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DATA TRANSFER" sheetId="1" state="visible" r:id="rId1"/>
    <sheet name="Set point Calc" sheetId="2" state="visible" r:id="rId2"/>
    <sheet name="Fault Logic" sheetId="3" state="visible" r:id="rId3"/>
    <sheet name="Calculation" sheetId="4" state="visible" r:id="rId4"/>
    <sheet name="Calc again" sheetId="5" state="visible" r:id="rId5"/>
    <sheet name="Final Calc" sheetId="6" state="visible" r:id="rId6"/>
    <sheet name="Mode Logic" sheetId="7" state="visible" r:id="rId7"/>
    <sheet name="TCMS" sheetId="8" state="visible" r:id="rId8"/>
    <sheet name="HVAC MODES IN NORMAL OPERATION" sheetId="9" state="visible" r:id="rId9"/>
    <sheet name="LFD OLD" sheetId="10" state="visible" r:id="rId10"/>
    <sheet name="LFD New" sheetId="11" state="visible" r:id="rId11"/>
    <sheet name="CIRCUIT SIMULATION" sheetId="12" state="visible" r:id="rId12"/>
    <sheet name="Sheet3" sheetId="13" state="visible" r:id="rId13"/>
    <sheet name="Modes wrt HW" sheetId="14" state="hidden" r:id="rId14"/>
    <sheet name="HVAC_IOs" sheetId="15" state="visible" r:id="rId15"/>
    <sheet name="Sheet1" sheetId="16" state="visible" r:id="rId16"/>
    <sheet name="functionality" sheetId="17" state="visible" r:id="rId17"/>
  </sheets>
  <definedNames>
    <definedName name="A1J">'CIRCUIT SIMULATION'!$DS$895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0">
    <font>
      <name val="Aptos Narrow"/>
      <family val="2"/>
      <color theme="1"/>
      <sz val="11"/>
      <scheme val="minor"/>
    </font>
    <font>
      <name val="Book Antiqua"/>
      <family val="1"/>
      <b val="1"/>
      <color theme="1"/>
      <sz val="12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Book Antiqua"/>
      <family val="1"/>
      <color theme="1"/>
      <sz val="11"/>
    </font>
    <font>
      <name val="Calibri"/>
      <family val="2"/>
      <b val="1"/>
      <color indexed="8"/>
      <sz val="11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Calibri"/>
      <family val="2"/>
      <color rgb="FF7030A0"/>
      <sz val="12"/>
    </font>
    <font>
      <name val="Calibri"/>
      <family val="2"/>
      <b val="1"/>
      <color theme="1"/>
      <sz val="14"/>
    </font>
    <font>
      <name val="Calibri"/>
      <family val="2"/>
      <b val="1"/>
      <color theme="1"/>
      <sz val="16"/>
    </font>
    <font>
      <name val="Book Antiqua"/>
      <family val="1"/>
      <color rgb="FF000000"/>
      <sz val="11"/>
    </font>
    <font>
      <name val="Aptos Narrow"/>
      <family val="2"/>
      <color rgb="FFD60C7F"/>
      <sz val="11"/>
      <scheme val="minor"/>
    </font>
    <font>
      <name val="Calibri"/>
      <family val="2"/>
      <color rgb="FFD60C7F"/>
      <sz val="12"/>
    </font>
    <font>
      <name val="Calibri"/>
      <family val="2"/>
      <b val="1"/>
      <color theme="1"/>
      <sz val="22"/>
    </font>
    <font>
      <name val="Calibri"/>
      <family val="2"/>
      <b val="1"/>
      <color theme="1"/>
      <sz val="26"/>
    </font>
    <font>
      <name val="Calibri"/>
      <family val="2"/>
      <sz val="12"/>
    </font>
    <font>
      <name val="Book Antiqua"/>
      <family val="1"/>
      <color theme="1"/>
      <sz val="12"/>
    </font>
    <font>
      <name val="Arial Unicode MS"/>
      <family val="2"/>
      <color theme="1"/>
      <sz val="10"/>
    </font>
    <font>
      <name val="Book Antiqua"/>
      <family val="1"/>
      <color rgb="FFFF0000"/>
      <sz val="11"/>
    </font>
    <font>
      <name val="Book Antiqua"/>
      <family val="1"/>
      <b val="1"/>
      <color theme="1"/>
      <sz val="11"/>
    </font>
    <font>
      <name val="Calibri"/>
      <charset val="1"/>
      <family val="2"/>
      <b val="1"/>
      <color indexed="8"/>
      <sz val="11"/>
    </font>
    <font>
      <name val="Calibri"/>
      <charset val="1"/>
      <family val="2"/>
      <color indexed="8"/>
      <sz val="11"/>
    </font>
    <font>
      <name val="Book Antiqua"/>
      <family val="1"/>
      <b val="1"/>
      <color theme="1"/>
      <sz val="16"/>
    </font>
    <font>
      <name val="Book Antiqua"/>
      <family val="1"/>
      <color rgb="FF000000"/>
      <sz val="12"/>
    </font>
    <font>
      <name val="Book Antiqua"/>
      <family val="1"/>
      <color rgb="FFD60C7F"/>
      <sz val="12"/>
    </font>
    <font>
      <name val="Book Antiqua"/>
      <family val="1"/>
      <b val="1"/>
      <color indexed="8"/>
      <sz val="12"/>
    </font>
    <font>
      <name val="Book Antiqua"/>
      <family val="1"/>
      <b val="1"/>
      <color rgb="FFFF0000"/>
      <sz val="16"/>
    </font>
    <font>
      <name val="Google Sans Text"/>
      <color rgb="FF303030"/>
      <sz val="12"/>
    </font>
    <font>
      <name val="Calibri"/>
      <charset val="1"/>
      <family val="2"/>
      <color rgb="FFFF0000"/>
      <sz val="11"/>
    </font>
    <font>
      <name val="Calibri"/>
      <charset val="1"/>
      <family val="2"/>
      <color indexed="8"/>
      <sz val="12"/>
    </font>
    <font>
      <name val="Calibri"/>
      <charset val="1"/>
      <family val="2"/>
      <sz val="12"/>
    </font>
    <font>
      <name val="Lato"/>
      <family val="2"/>
      <b val="1"/>
      <color rgb="FF000000"/>
      <sz val="12"/>
    </font>
    <font>
      <name val="Aptos Narrow"/>
      <family val="2"/>
      <color rgb="FFFF0000"/>
      <sz val="11"/>
      <scheme val="minor"/>
    </font>
    <font>
      <name val="Aptos Narrow"/>
      <family val="2"/>
      <color rgb="FF9C0006"/>
      <sz val="11"/>
      <scheme val="minor"/>
    </font>
    <font>
      <name val="Calibri"/>
      <family val="2"/>
      <b val="1"/>
      <color indexed="8"/>
      <sz val="18"/>
    </font>
    <font>
      <name val="Aptos Narrow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  <vertAlign val="superscript"/>
    </font>
    <font>
      <name val="Calibri"/>
      <family val="2"/>
      <b val="1"/>
      <color theme="1"/>
      <sz val="12"/>
    </font>
    <font>
      <name val="Calibri"/>
      <family val="2"/>
      <b val="1"/>
      <color theme="0"/>
      <sz val="12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rgb="FF000000"/>
      <sz val="11"/>
    </font>
    <font>
      <name val="Calibri"/>
      <family val="2"/>
      <b val="1"/>
      <color theme="0"/>
      <sz val="20"/>
    </font>
    <font>
      <name val="Calibri"/>
      <family val="2"/>
      <color theme="0"/>
      <sz val="20"/>
    </font>
    <font>
      <name val="Calibri"/>
      <family val="2"/>
      <b val="1"/>
      <color theme="0"/>
      <sz val="14"/>
    </font>
    <font>
      <name val="Calibri"/>
      <family val="2"/>
      <color rgb="FFD60C7F"/>
      <sz val="11"/>
    </font>
    <font>
      <name val="Calibri"/>
      <family val="2"/>
      <b val="1"/>
      <color theme="1"/>
      <sz val="20"/>
    </font>
    <font>
      <name val="Calibri"/>
      <family val="2"/>
      <color rgb="FFFF0000"/>
      <sz val="11"/>
    </font>
    <font>
      <name val="Calibri"/>
      <family val="2"/>
      <color rgb="FF9C0006"/>
      <sz val="11"/>
    </font>
    <font>
      <name val="Calibri"/>
      <family val="2"/>
      <b val="1"/>
      <color theme="1"/>
      <sz val="24"/>
    </font>
    <font>
      <name val="Calibri"/>
      <family val="2"/>
      <color theme="0"/>
      <sz val="11"/>
    </font>
    <font>
      <name val="Calibri"/>
      <family val="2"/>
      <b val="1"/>
      <color theme="0"/>
      <sz val="11"/>
    </font>
    <font>
      <name val="Calibri"/>
      <family val="2"/>
      <color theme="1"/>
      <sz val="22"/>
    </font>
    <font>
      <name val="Calibri"/>
      <family val="2"/>
      <b val="1"/>
      <color rgb="FFFF0000"/>
      <sz val="11"/>
    </font>
    <font>
      <name val="Calibri"/>
      <family val="2"/>
      <b val="1"/>
      <color rgb="FF0000FF"/>
      <sz val="12"/>
      <u val="single"/>
    </font>
    <font>
      <name val="Calibri"/>
      <family val="2"/>
      <color rgb="FFFF0000"/>
      <sz val="12"/>
    </font>
    <font>
      <name val="Calibri"/>
      <family val="2"/>
      <b val="1"/>
      <color rgb="FFFF0000"/>
      <sz val="12"/>
    </font>
    <font>
      <name val="Aptos Narrow"/>
      <family val="2"/>
      <color rgb="FF002060"/>
      <sz val="11"/>
      <scheme val="minor"/>
    </font>
    <font>
      <name val="Aptos Narrow"/>
      <family val="2"/>
      <b val="1"/>
      <color rgb="FF002060"/>
      <sz val="11"/>
      <scheme val="minor"/>
    </font>
    <font>
      <name val="Calibri"/>
      <family val="2"/>
      <b val="1"/>
      <color rgb="FF002060"/>
      <sz val="11"/>
    </font>
    <font>
      <name val="Calibri"/>
      <family val="2"/>
      <b val="1"/>
      <color rgb="FF0070C0"/>
      <sz val="11"/>
    </font>
    <font>
      <name val="Aptos Narrow"/>
      <family val="2"/>
      <b val="1"/>
      <color rgb="FF0070C0"/>
      <sz val="11"/>
      <scheme val="minor"/>
    </font>
    <font>
      <name val="Aptos Narrow"/>
      <family val="2"/>
      <b val="1"/>
      <color rgb="FF002060"/>
      <sz val="12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sz val="11"/>
      <scheme val="minor"/>
    </font>
    <font>
      <name val="Calibri"/>
      <family val="2"/>
      <sz val="11"/>
    </font>
  </fonts>
  <fills count="61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EEFB8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BEFCFE"/>
        <bgColor indexed="64"/>
      </patternFill>
    </fill>
    <fill>
      <patternFill patternType="solid">
        <fgColor rgb="FFFEEF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4B5F9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BBD6F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E9F7DB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indexed="11"/>
        <bgColor indexed="35"/>
      </patternFill>
    </fill>
    <fill>
      <patternFill patternType="solid">
        <fgColor indexed="51"/>
        <bgColor indexed="20"/>
      </patternFill>
    </fill>
    <fill>
      <patternFill patternType="solid">
        <fgColor indexed="13"/>
        <bgColor indexed="43"/>
      </patternFill>
    </fill>
    <fill>
      <patternFill patternType="solid">
        <fgColor theme="8" tint="0.7999816888943144"/>
        <bgColor indexed="47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indexed="50"/>
        <bgColor indexed="3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CD7FD"/>
        <bgColor indexed="64"/>
      </patternFill>
    </fill>
    <fill>
      <patternFill patternType="solid">
        <fgColor indexed="47"/>
        <bgColor indexed="61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C7CE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09997863704336681"/>
        <bgColor indexed="64"/>
      </patternFill>
    </fill>
  </fills>
  <borders count="1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2" fillId="0" borderId="0"/>
    <xf numFmtId="0" fontId="34" fillId="53" borderId="0"/>
  </cellStyleXfs>
  <cellXfs count="912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49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7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49" fontId="5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49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49" fontId="5" fillId="6" borderId="9" applyAlignment="1" pivotButton="0" quotePrefix="0" xfId="0">
      <alignment horizontal="center" vertical="center" wrapText="1"/>
    </xf>
    <xf numFmtId="0" fontId="6" fillId="5" borderId="7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5" borderId="7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 wrapText="1"/>
    </xf>
    <xf numFmtId="49" fontId="5" fillId="6" borderId="8" applyAlignment="1" pivotButton="0" quotePrefix="0" xfId="0">
      <alignment horizontal="center" vertical="center" wrapText="1"/>
    </xf>
    <xf numFmtId="49" fontId="5" fillId="6" borderId="2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9" borderId="8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5" borderId="7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7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21" borderId="15" pivotButton="0" quotePrefix="0" xfId="0"/>
    <xf numFmtId="0" fontId="17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0" fillId="8" borderId="30" pivotButton="0" quotePrefix="0" xfId="0"/>
    <xf numFmtId="0" fontId="0" fillId="8" borderId="22" applyAlignment="1" pivotButton="0" quotePrefix="0" xfId="0">
      <alignment horizontal="center" vertical="center" wrapText="1"/>
    </xf>
    <xf numFmtId="0" fontId="0" fillId="8" borderId="23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8" borderId="0" pivotButton="0" quotePrefix="0" xfId="0"/>
    <xf numFmtId="0" fontId="0" fillId="8" borderId="32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/>
    </xf>
    <xf numFmtId="0" fontId="18" fillId="21" borderId="32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vertical="center"/>
    </xf>
    <xf numFmtId="0" fontId="4" fillId="28" borderId="4" applyAlignment="1" pivotButton="0" quotePrefix="0" xfId="0">
      <alignment horizontal="left" vertical="center"/>
    </xf>
    <xf numFmtId="0" fontId="4" fillId="28" borderId="4" applyAlignment="1" pivotButton="0" quotePrefix="0" xfId="0">
      <alignment vertical="center"/>
    </xf>
    <xf numFmtId="0" fontId="4" fillId="28" borderId="0" applyAlignment="1" pivotButton="0" quotePrefix="0" xfId="0">
      <alignment vertical="center"/>
    </xf>
    <xf numFmtId="0" fontId="4" fillId="28" borderId="1" applyAlignment="1" pivotButton="0" quotePrefix="0" xfId="0">
      <alignment horizontal="left" vertical="center"/>
    </xf>
    <xf numFmtId="0" fontId="4" fillId="28" borderId="2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21" fillId="0" borderId="1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21" fillId="0" borderId="43" applyAlignment="1" pivotButton="0" quotePrefix="0" xfId="0">
      <alignment horizontal="center" vertical="center" wrapText="1"/>
    </xf>
    <xf numFmtId="0" fontId="21" fillId="0" borderId="44" applyAlignment="1" pivotButton="0" quotePrefix="0" xfId="0">
      <alignment horizontal="center" vertical="center" wrapText="1"/>
    </xf>
    <xf numFmtId="0" fontId="21" fillId="30" borderId="44" applyAlignment="1" pivotButton="0" quotePrefix="0" xfId="0">
      <alignment horizontal="center" vertical="center" wrapText="1"/>
    </xf>
    <xf numFmtId="0" fontId="0" fillId="0" borderId="46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 wrapText="1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32" borderId="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21" fillId="33" borderId="12" applyAlignment="1" pivotButton="0" quotePrefix="0" xfId="0">
      <alignment horizontal="center" vertical="center" wrapText="1"/>
    </xf>
    <xf numFmtId="0" fontId="0" fillId="33" borderId="4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49" fontId="5" fillId="6" borderId="8" applyAlignment="1" pivotButton="0" quotePrefix="0" xfId="0">
      <alignment horizontal="center" vertical="center"/>
    </xf>
    <xf numFmtId="49" fontId="5" fillId="6" borderId="8" applyAlignment="1" pivotButton="0" quotePrefix="0" xfId="0">
      <alignment horizontal="left" vertical="center"/>
    </xf>
    <xf numFmtId="0" fontId="0" fillId="0" borderId="45" applyAlignment="1" pivotButton="0" quotePrefix="0" xfId="0">
      <alignment horizontal="center" vertical="center"/>
    </xf>
    <xf numFmtId="0" fontId="0" fillId="11" borderId="55" applyAlignment="1" pivotButton="0" quotePrefix="0" xfId="0">
      <alignment horizontal="center" vertical="center"/>
    </xf>
    <xf numFmtId="0" fontId="0" fillId="11" borderId="56" applyAlignment="1" pivotButton="0" quotePrefix="0" xfId="0">
      <alignment horizontal="center" vertical="center"/>
    </xf>
    <xf numFmtId="0" fontId="0" fillId="11" borderId="42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34" borderId="0" applyAlignment="1" pivotButton="0" quotePrefix="0" xfId="0">
      <alignment horizontal="center" vertical="center"/>
    </xf>
    <xf numFmtId="0" fontId="0" fillId="35" borderId="49" applyAlignment="1" pivotButton="0" quotePrefix="0" xfId="0">
      <alignment horizontal="center" vertical="center"/>
    </xf>
    <xf numFmtId="0" fontId="0" fillId="35" borderId="0" applyAlignment="1" pivotButton="0" quotePrefix="0" xfId="0">
      <alignment horizontal="center" vertical="center"/>
    </xf>
    <xf numFmtId="0" fontId="0" fillId="35" borderId="50" applyAlignment="1" pivotButton="0" quotePrefix="0" xfId="0">
      <alignment horizontal="center" vertical="center"/>
    </xf>
    <xf numFmtId="0" fontId="0" fillId="0" borderId="57" applyAlignment="1" pivotButton="0" quotePrefix="0" xfId="0">
      <alignment horizontal="center" vertical="center"/>
    </xf>
    <xf numFmtId="0" fontId="0" fillId="11" borderId="46" applyAlignment="1" pivotButton="0" quotePrefix="0" xfId="0">
      <alignment horizontal="center" vertical="center"/>
    </xf>
    <xf numFmtId="0" fontId="0" fillId="11" borderId="47" applyAlignment="1" pivotButton="0" quotePrefix="0" xfId="0">
      <alignment horizontal="center" vertical="center"/>
    </xf>
    <xf numFmtId="0" fontId="0" fillId="11" borderId="48" applyAlignment="1" pivotButton="0" quotePrefix="0" xfId="0">
      <alignment horizontal="center" vertical="center"/>
    </xf>
    <xf numFmtId="0" fontId="0" fillId="11" borderId="49" applyAlignment="1" pivotButton="0" quotePrefix="0" xfId="0">
      <alignment horizontal="center" vertical="center"/>
    </xf>
    <xf numFmtId="0" fontId="0" fillId="11" borderId="50" applyAlignment="1" pivotButton="0" quotePrefix="0" xfId="0">
      <alignment horizontal="center" vertical="center"/>
    </xf>
    <xf numFmtId="0" fontId="0" fillId="11" borderId="57" applyAlignment="1" pivotButton="0" quotePrefix="0" xfId="0">
      <alignment horizontal="center" vertical="center"/>
    </xf>
    <xf numFmtId="0" fontId="0" fillId="11" borderId="51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11" borderId="52" applyAlignment="1" pivotButton="0" quotePrefix="0" xfId="0">
      <alignment horizontal="center" vertical="center"/>
    </xf>
    <xf numFmtId="0" fontId="0" fillId="11" borderId="58" applyAlignment="1" pivotButton="0" quotePrefix="0" xfId="0">
      <alignment horizontal="center" vertical="center"/>
    </xf>
    <xf numFmtId="0" fontId="0" fillId="35" borderId="46" applyAlignment="1" pivotButton="0" quotePrefix="0" xfId="0">
      <alignment horizontal="center" vertical="center"/>
    </xf>
    <xf numFmtId="0" fontId="0" fillId="35" borderId="47" applyAlignment="1" pivotButton="0" quotePrefix="0" xfId="0">
      <alignment horizontal="center" vertical="center"/>
    </xf>
    <xf numFmtId="0" fontId="0" fillId="35" borderId="48" applyAlignment="1" pivotButton="0" quotePrefix="0" xfId="0">
      <alignment horizontal="center" vertical="center"/>
    </xf>
    <xf numFmtId="0" fontId="0" fillId="35" borderId="57" applyAlignment="1" pivotButton="0" quotePrefix="0" xfId="0">
      <alignment horizontal="center" vertical="center"/>
    </xf>
    <xf numFmtId="0" fontId="0" fillId="35" borderId="51" applyAlignment="1" pivotButton="0" quotePrefix="0" xfId="0">
      <alignment horizontal="center" vertical="center"/>
    </xf>
    <xf numFmtId="0" fontId="0" fillId="35" borderId="52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6" applyAlignment="1" pivotButton="0" quotePrefix="0" xfId="0">
      <alignment horizontal="center" vertical="center"/>
    </xf>
    <xf numFmtId="0" fontId="0" fillId="11" borderId="21" applyAlignment="1" pivotButton="0" quotePrefix="0" xfId="0">
      <alignment horizontal="center" vertical="center"/>
    </xf>
    <xf numFmtId="0" fontId="0" fillId="11" borderId="22" applyAlignment="1" pivotButton="0" quotePrefix="0" xfId="0">
      <alignment horizontal="center" vertical="center"/>
    </xf>
    <xf numFmtId="0" fontId="0" fillId="11" borderId="23" applyAlignment="1" pivotButton="0" quotePrefix="0" xfId="0">
      <alignment horizontal="center" vertical="center"/>
    </xf>
    <xf numFmtId="0" fontId="0" fillId="11" borderId="31" applyAlignment="1" pivotButton="0" quotePrefix="0" xfId="0">
      <alignment horizontal="center" vertical="center"/>
    </xf>
    <xf numFmtId="0" fontId="0" fillId="11" borderId="32" applyAlignment="1" pivotButton="0" quotePrefix="0" xfId="0">
      <alignment horizontal="center" vertical="center"/>
    </xf>
    <xf numFmtId="0" fontId="0" fillId="11" borderId="26" applyAlignment="1" pivotButton="0" quotePrefix="0" xfId="0">
      <alignment horizontal="center" vertical="center"/>
    </xf>
    <xf numFmtId="0" fontId="0" fillId="11" borderId="27" applyAlignment="1" pivotButton="0" quotePrefix="0" xfId="0">
      <alignment horizontal="center" vertical="center"/>
    </xf>
    <xf numFmtId="0" fontId="0" fillId="11" borderId="60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  <xf numFmtId="0" fontId="0" fillId="11" borderId="59" applyAlignment="1" pivotButton="0" quotePrefix="0" xfId="0">
      <alignment horizontal="center" vertical="center"/>
    </xf>
    <xf numFmtId="0" fontId="2" fillId="11" borderId="16" applyAlignment="1" pivotButton="0" quotePrefix="0" xfId="0">
      <alignment horizontal="center" vertical="center"/>
    </xf>
    <xf numFmtId="0" fontId="0" fillId="11" borderId="61" applyAlignment="1" pivotButton="0" quotePrefix="0" xfId="0">
      <alignment horizontal="center" vertical="center"/>
    </xf>
    <xf numFmtId="0" fontId="2" fillId="11" borderId="17" applyAlignment="1" pivotButton="0" quotePrefix="0" xfId="0">
      <alignment horizontal="center" vertical="center"/>
    </xf>
    <xf numFmtId="0" fontId="2" fillId="11" borderId="19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 wrapText="1"/>
    </xf>
    <xf numFmtId="0" fontId="24" fillId="9" borderId="1" applyAlignment="1" pivotButton="0" quotePrefix="0" xfId="0">
      <alignment horizontal="center" vertical="center" wrapText="1"/>
    </xf>
    <xf numFmtId="0" fontId="25" fillId="9" borderId="8" applyAlignment="1" pivotButton="0" quotePrefix="0" xfId="0">
      <alignment horizontal="center" vertical="center" wrapText="1"/>
    </xf>
    <xf numFmtId="0" fontId="24" fillId="9" borderId="8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49" fontId="26" fillId="6" borderId="1" applyAlignment="1" pivotButton="0" quotePrefix="0" xfId="0">
      <alignment horizontal="center" vertical="center"/>
    </xf>
    <xf numFmtId="49" fontId="26" fillId="6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vertical="center"/>
    </xf>
    <xf numFmtId="0" fontId="4" fillId="36" borderId="4" applyAlignment="1" pivotButton="0" quotePrefix="0" xfId="0">
      <alignment vertical="center"/>
    </xf>
    <xf numFmtId="0" fontId="0" fillId="0" borderId="21" applyAlignment="1" pivotButton="0" quotePrefix="0" xfId="0">
      <alignment horizontal="center" vertical="center"/>
    </xf>
    <xf numFmtId="0" fontId="0" fillId="17" borderId="51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37" borderId="26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0" fillId="29" borderId="4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0" borderId="4" applyAlignment="1" pivotButton="0" quotePrefix="0" xfId="0">
      <alignment horizontal="center" vertical="center"/>
    </xf>
    <xf numFmtId="0" fontId="0" fillId="36" borderId="54" applyAlignment="1" pivotButton="0" quotePrefix="0" xfId="0">
      <alignment horizontal="center" vertical="center"/>
    </xf>
    <xf numFmtId="0" fontId="0" fillId="0" borderId="65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41" borderId="65" applyAlignment="1" pivotButton="0" quotePrefix="0" xfId="0">
      <alignment horizontal="center" vertical="center"/>
    </xf>
    <xf numFmtId="0" fontId="0" fillId="0" borderId="67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 vertical="center"/>
    </xf>
    <xf numFmtId="0" fontId="0" fillId="0" borderId="70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72" applyAlignment="1" pivotButton="0" quotePrefix="0" xfId="0">
      <alignment horizontal="center" vertical="center"/>
    </xf>
    <xf numFmtId="0" fontId="0" fillId="41" borderId="73" applyAlignment="1" pivotButton="0" quotePrefix="0" xfId="0">
      <alignment horizontal="center" vertical="center"/>
    </xf>
    <xf numFmtId="0" fontId="0" fillId="0" borderId="74" applyAlignment="1" pivotButton="0" quotePrefix="0" xfId="0">
      <alignment horizontal="center" vertical="center"/>
    </xf>
    <xf numFmtId="0" fontId="0" fillId="0" borderId="75" applyAlignment="1" pivotButton="0" quotePrefix="0" xfId="0">
      <alignment horizontal="center" vertical="center"/>
    </xf>
    <xf numFmtId="0" fontId="0" fillId="0" borderId="76" applyAlignment="1" pivotButton="0" quotePrefix="0" xfId="0">
      <alignment horizontal="center" vertical="center"/>
    </xf>
    <xf numFmtId="0" fontId="0" fillId="0" borderId="77" applyAlignment="1" pivotButton="0" quotePrefix="0" xfId="0">
      <alignment horizontal="center" vertical="center"/>
    </xf>
    <xf numFmtId="0" fontId="0" fillId="41" borderId="7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 wrapText="1"/>
    </xf>
    <xf numFmtId="0" fontId="0" fillId="0" borderId="81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74" applyAlignment="1" pivotButton="0" quotePrefix="0" xfId="0">
      <alignment horizontal="center" vertical="center" wrapText="1"/>
    </xf>
    <xf numFmtId="0" fontId="0" fillId="0" borderId="84" applyAlignment="1" pivotButton="0" quotePrefix="0" xfId="0">
      <alignment horizontal="center" vertical="center"/>
    </xf>
    <xf numFmtId="0" fontId="0" fillId="0" borderId="85" applyAlignment="1" pivotButton="0" quotePrefix="0" xfId="0">
      <alignment horizontal="center" vertical="center"/>
    </xf>
    <xf numFmtId="0" fontId="0" fillId="0" borderId="86" applyAlignment="1" pivotButton="0" quotePrefix="0" xfId="0">
      <alignment horizontal="center" vertical="center"/>
    </xf>
    <xf numFmtId="0" fontId="0" fillId="0" borderId="87" applyAlignment="1" pivotButton="0" quotePrefix="0" xfId="0">
      <alignment horizontal="center" vertical="center"/>
    </xf>
    <xf numFmtId="0" fontId="0" fillId="0" borderId="88" applyAlignment="1" pivotButton="0" quotePrefix="0" xfId="0">
      <alignment horizontal="center" vertical="center"/>
    </xf>
    <xf numFmtId="0" fontId="33" fillId="37" borderId="25" applyAlignment="1" pivotButton="0" quotePrefix="0" xfId="0">
      <alignment horizontal="center" vertical="center"/>
    </xf>
    <xf numFmtId="0" fontId="33" fillId="37" borderId="0" applyAlignment="1" pivotButton="0" quotePrefix="0" xfId="0">
      <alignment horizontal="center" vertical="center"/>
    </xf>
    <xf numFmtId="0" fontId="0" fillId="0" borderId="66" applyAlignment="1" pivotButton="0" quotePrefix="0" xfId="0">
      <alignment horizontal="center" vertical="center" wrapText="1"/>
    </xf>
    <xf numFmtId="0" fontId="0" fillId="0" borderId="66" applyAlignment="1" applyProtection="1" pivotButton="0" quotePrefix="0" xfId="0">
      <alignment horizontal="center" vertical="center" wrapText="1"/>
      <protection locked="1" hidden="1"/>
    </xf>
    <xf numFmtId="0" fontId="0" fillId="0" borderId="6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17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9" fillId="17" borderId="25" applyAlignment="1" pivotButton="0" quotePrefix="0" xfId="0">
      <alignment horizontal="center" vertical="center"/>
    </xf>
    <xf numFmtId="0" fontId="29" fillId="17" borderId="24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32" fillId="0" borderId="31" applyAlignment="1" pivotButton="0" quotePrefix="0" xfId="0">
      <alignment horizontal="center"/>
    </xf>
    <xf numFmtId="0" fontId="0" fillId="0" borderId="32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/>
    </xf>
    <xf numFmtId="0" fontId="32" fillId="0" borderId="26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32" fillId="0" borderId="89" applyAlignment="1" pivotButton="0" quotePrefix="0" xfId="0">
      <alignment horizontal="center"/>
    </xf>
    <xf numFmtId="0" fontId="0" fillId="0" borderId="9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0" fillId="47" borderId="47" applyAlignment="1" pivotButton="0" quotePrefix="0" xfId="0">
      <alignment horizontal="center" vertical="center"/>
    </xf>
    <xf numFmtId="0" fontId="0" fillId="47" borderId="0" applyAlignment="1" pivotButton="0" quotePrefix="0" xfId="0">
      <alignment horizontal="center" vertical="center"/>
    </xf>
    <xf numFmtId="0" fontId="0" fillId="18" borderId="21" applyAlignment="1" pivotButton="0" quotePrefix="0" xfId="0">
      <alignment horizontal="center" vertical="center"/>
    </xf>
    <xf numFmtId="0" fontId="0" fillId="18" borderId="22" applyAlignment="1" pivotButton="0" quotePrefix="0" xfId="0">
      <alignment horizontal="center" vertical="center"/>
    </xf>
    <xf numFmtId="0" fontId="0" fillId="18" borderId="23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 wrapText="1"/>
    </xf>
    <xf numFmtId="0" fontId="0" fillId="35" borderId="29" applyAlignment="1" pivotButton="0" quotePrefix="0" xfId="0">
      <alignment horizontal="center" vertical="center"/>
    </xf>
    <xf numFmtId="0" fontId="0" fillId="35" borderId="30" applyAlignment="1" pivotButton="0" quotePrefix="0" xfId="0">
      <alignment horizontal="center" vertical="center"/>
    </xf>
    <xf numFmtId="0" fontId="0" fillId="35" borderId="74" applyAlignment="1" pivotButton="0" quotePrefix="0" xfId="0">
      <alignment horizontal="center" vertical="center"/>
    </xf>
    <xf numFmtId="0" fontId="0" fillId="35" borderId="25" applyAlignment="1" pivotButton="0" quotePrefix="0" xfId="0">
      <alignment horizontal="center" vertical="center"/>
    </xf>
    <xf numFmtId="0" fontId="0" fillId="35" borderId="33" applyAlignment="1" pivotButton="0" quotePrefix="0" xfId="0">
      <alignment horizontal="center" vertical="center"/>
    </xf>
    <xf numFmtId="0" fontId="0" fillId="0" borderId="66" applyAlignment="1" pivotButton="0" quotePrefix="0" xfId="0">
      <alignment vertical="center"/>
    </xf>
    <xf numFmtId="0" fontId="0" fillId="0" borderId="9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0" borderId="0" applyAlignment="1" pivotButton="0" quotePrefix="0" xfId="0">
      <alignment horizontal="center" vertical="center"/>
    </xf>
    <xf numFmtId="0" fontId="0" fillId="50" borderId="1" applyAlignment="1" pivotButton="0" quotePrefix="0" xfId="0">
      <alignment horizontal="center" vertical="center"/>
    </xf>
    <xf numFmtId="0" fontId="0" fillId="17" borderId="66" applyAlignment="1" applyProtection="1" pivotButton="0" quotePrefix="0" xfId="0">
      <alignment horizontal="center" vertical="center" wrapText="1"/>
      <protection locked="1" hidden="1"/>
    </xf>
    <xf numFmtId="0" fontId="21" fillId="51" borderId="11" applyAlignment="1" pivotButton="0" quotePrefix="0" xfId="0">
      <alignment horizontal="center" vertical="center" wrapText="1"/>
    </xf>
    <xf numFmtId="0" fontId="21" fillId="51" borderId="12" applyAlignment="1" pivotButton="0" quotePrefix="0" xfId="0">
      <alignment horizontal="center" vertical="center" wrapText="1"/>
    </xf>
    <xf numFmtId="0" fontId="21" fillId="51" borderId="13" applyAlignment="1" pivotButton="0" quotePrefix="0" xfId="0">
      <alignment horizontal="center" vertical="center" wrapText="1"/>
    </xf>
    <xf numFmtId="0" fontId="0" fillId="0" borderId="92" applyAlignment="1" pivotButton="0" quotePrefix="0" xfId="0">
      <alignment horizontal="center" vertical="center" wrapText="1"/>
    </xf>
    <xf numFmtId="0" fontId="0" fillId="0" borderId="93" applyAlignment="1" pivotButton="0" quotePrefix="0" xfId="0">
      <alignment horizontal="center" vertical="center" wrapText="1"/>
    </xf>
    <xf numFmtId="0" fontId="0" fillId="0" borderId="94" applyAlignment="1" pivotButton="0" quotePrefix="0" xfId="0">
      <alignment horizontal="center" vertical="center"/>
    </xf>
    <xf numFmtId="0" fontId="0" fillId="0" borderId="94" applyAlignment="1" pivotButton="0" quotePrefix="0" xfId="0">
      <alignment horizontal="center" vertical="center" wrapText="1"/>
    </xf>
    <xf numFmtId="0" fontId="0" fillId="0" borderId="95" applyAlignment="1" pivotButton="0" quotePrefix="0" xfId="0">
      <alignment horizontal="center" vertical="center" wrapText="1"/>
    </xf>
    <xf numFmtId="0" fontId="0" fillId="0" borderId="96" applyAlignment="1" pivotButton="0" quotePrefix="0" xfId="0">
      <alignment horizontal="center" vertical="center" wrapText="1"/>
    </xf>
    <xf numFmtId="0" fontId="0" fillId="0" borderId="97" applyAlignment="1" pivotButton="0" quotePrefix="0" xfId="0">
      <alignment horizontal="center" vertical="center" wrapText="1"/>
    </xf>
    <xf numFmtId="0" fontId="0" fillId="17" borderId="66" applyAlignment="1" pivotButton="0" quotePrefix="0" xfId="0">
      <alignment horizontal="center" vertical="center" wrapText="1"/>
    </xf>
    <xf numFmtId="0" fontId="0" fillId="0" borderId="98" applyAlignment="1" pivotButton="0" quotePrefix="0" xfId="0">
      <alignment horizontal="center" vertical="center" wrapText="1"/>
    </xf>
    <xf numFmtId="0" fontId="0" fillId="0" borderId="99" applyAlignment="1" pivotButton="0" quotePrefix="0" xfId="0">
      <alignment horizontal="center" vertical="center"/>
    </xf>
    <xf numFmtId="0" fontId="0" fillId="0" borderId="99" applyAlignment="1" pivotButton="0" quotePrefix="0" xfId="0">
      <alignment horizontal="center" vertical="center" wrapText="1"/>
    </xf>
    <xf numFmtId="0" fontId="0" fillId="0" borderId="100" applyAlignment="1" pivotButton="0" quotePrefix="0" xfId="0">
      <alignment horizontal="center" vertical="center" wrapText="1"/>
    </xf>
    <xf numFmtId="0" fontId="10" fillId="2" borderId="4" applyAlignment="1" pivotButton="0" quotePrefix="0" xfId="0">
      <alignment vertical="center"/>
    </xf>
    <xf numFmtId="0" fontId="10" fillId="2" borderId="5" applyAlignment="1" pivotButton="0" quotePrefix="0" xfId="0">
      <alignment vertical="center"/>
    </xf>
    <xf numFmtId="0" fontId="10" fillId="2" borderId="6" applyAlignment="1" pivotButton="0" quotePrefix="0" xfId="0">
      <alignment vertical="center"/>
    </xf>
    <xf numFmtId="0" fontId="0" fillId="0" borderId="10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36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7" fillId="0" borderId="47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9" fontId="6" fillId="0" borderId="1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 wrapText="1"/>
    </xf>
    <xf numFmtId="0" fontId="41" fillId="5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8" borderId="1" applyAlignment="1" pivotButton="0" quotePrefix="0" xfId="0">
      <alignment horizontal="center"/>
    </xf>
    <xf numFmtId="0" fontId="40" fillId="18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8" borderId="17" pivotButton="0" quotePrefix="0" xfId="0"/>
    <xf numFmtId="0" fontId="6" fillId="8" borderId="18" applyAlignment="1" pivotButton="0" quotePrefix="0" xfId="0">
      <alignment horizontal="center" vertical="center"/>
    </xf>
    <xf numFmtId="0" fontId="6" fillId="8" borderId="19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wrapText="1"/>
    </xf>
    <xf numFmtId="0" fontId="6" fillId="19" borderId="18" applyAlignment="1" pivotButton="0" quotePrefix="0" xfId="0">
      <alignment horizontal="center" vertical="center"/>
    </xf>
    <xf numFmtId="0" fontId="6" fillId="19" borderId="19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2" applyAlignment="1" pivotButton="0" quotePrefix="0" xfId="0">
      <alignment horizontal="center" vertical="center"/>
    </xf>
    <xf numFmtId="0" fontId="6" fillId="8" borderId="22" applyAlignment="1" pivotButton="0" quotePrefix="0" xfId="0">
      <alignment horizontal="center" vertical="center"/>
    </xf>
    <xf numFmtId="0" fontId="6" fillId="19" borderId="22" applyAlignment="1" pivotButton="0" quotePrefix="0" xfId="0">
      <alignment horizontal="center" vertical="center"/>
    </xf>
    <xf numFmtId="0" fontId="6" fillId="19" borderId="23" applyAlignment="1" pivotButton="0" quotePrefix="0" xfId="0">
      <alignment horizontal="center" vertical="center"/>
    </xf>
    <xf numFmtId="0" fontId="6" fillId="8" borderId="27" applyAlignment="1" pivotButton="0" quotePrefix="0" xfId="0">
      <alignment horizontal="center" vertical="center"/>
    </xf>
    <xf numFmtId="0" fontId="6" fillId="19" borderId="27" applyAlignment="1" pivotButton="0" quotePrefix="0" xfId="0">
      <alignment horizontal="center" vertical="center"/>
    </xf>
    <xf numFmtId="0" fontId="6" fillId="19" borderId="28" applyAlignment="1" pivotButton="0" quotePrefix="0" xfId="0">
      <alignment horizontal="center" vertical="center"/>
    </xf>
    <xf numFmtId="0" fontId="6" fillId="0" borderId="2" applyAlignment="1" pivotButton="0" quotePrefix="0" xfId="0">
      <alignment wrapText="1"/>
    </xf>
    <xf numFmtId="0" fontId="6" fillId="18" borderId="21" applyAlignment="1" pivotButton="0" quotePrefix="0" xfId="0">
      <alignment horizontal="center" vertical="center"/>
    </xf>
    <xf numFmtId="0" fontId="6" fillId="18" borderId="22" applyAlignment="1" pivotButton="0" quotePrefix="0" xfId="0">
      <alignment horizontal="center" vertical="center"/>
    </xf>
    <xf numFmtId="0" fontId="6" fillId="18" borderId="23" applyAlignment="1" pivotButton="0" quotePrefix="0" xfId="0">
      <alignment horizontal="center" vertical="center"/>
    </xf>
    <xf numFmtId="0" fontId="6" fillId="19" borderId="26" applyAlignment="1" pivotButton="0" quotePrefix="0" xfId="0">
      <alignment horizontal="center" vertical="center"/>
    </xf>
    <xf numFmtId="0" fontId="6" fillId="8" borderId="1" applyAlignment="1" pivotButton="0" quotePrefix="0" xfId="0">
      <alignment vertical="center"/>
    </xf>
    <xf numFmtId="0" fontId="6" fillId="19" borderId="1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/>
    </xf>
    <xf numFmtId="0" fontId="37" fillId="0" borderId="84" applyAlignment="1" pivotButton="0" quotePrefix="0" xfId="0">
      <alignment horizontal="center" vertical="center"/>
    </xf>
    <xf numFmtId="0" fontId="37" fillId="0" borderId="85" applyAlignment="1" pivotButton="0" quotePrefix="0" xfId="0">
      <alignment horizontal="center" vertical="center"/>
    </xf>
    <xf numFmtId="0" fontId="37" fillId="0" borderId="25" applyAlignment="1" pivotButton="0" quotePrefix="0" xfId="0">
      <alignment horizontal="center" vertical="center"/>
    </xf>
    <xf numFmtId="0" fontId="37" fillId="0" borderId="33" applyAlignment="1" pivotButton="0" quotePrefix="0" xfId="0">
      <alignment horizontal="center" vertical="center"/>
    </xf>
    <xf numFmtId="0" fontId="37" fillId="0" borderId="24" applyAlignment="1" pivotButton="0" quotePrefix="0" xfId="0">
      <alignment horizontal="center" vertical="center"/>
    </xf>
    <xf numFmtId="0" fontId="37" fillId="0" borderId="67" applyAlignment="1" pivotButton="0" quotePrefix="0" xfId="0">
      <alignment horizontal="center" vertical="center"/>
    </xf>
    <xf numFmtId="0" fontId="37" fillId="0" borderId="68" applyAlignment="1" pivotButton="0" quotePrefix="0" xfId="0">
      <alignment horizontal="center" vertical="center"/>
    </xf>
    <xf numFmtId="9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right" vertical="center" wrapText="1"/>
    </xf>
    <xf numFmtId="0" fontId="38" fillId="0" borderId="0" applyAlignment="1" pivotButton="0" quotePrefix="0" xfId="0">
      <alignment vertical="center" wrapText="1"/>
    </xf>
    <xf numFmtId="0" fontId="37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4" fillId="19" borderId="26" applyAlignment="1" pivotButton="0" quotePrefix="0" xfId="0">
      <alignment horizontal="center" vertical="center"/>
    </xf>
    <xf numFmtId="0" fontId="4" fillId="19" borderId="27" applyAlignment="1" pivotButton="0" quotePrefix="0" xfId="0">
      <alignment horizontal="center" vertical="center"/>
    </xf>
    <xf numFmtId="0" fontId="0" fillId="0" borderId="79" applyAlignment="1" pivotButton="0" quotePrefix="0" xfId="0">
      <alignment horizontal="center" vertical="center"/>
    </xf>
    <xf numFmtId="0" fontId="19" fillId="37" borderId="33" applyAlignment="1" pivotButton="0" quotePrefix="0" xfId="0">
      <alignment vertical="center"/>
    </xf>
    <xf numFmtId="0" fontId="4" fillId="11" borderId="1" applyAlignment="1" pivotButton="0" quotePrefix="0" xfId="0">
      <alignment horizontal="center" vertical="center"/>
    </xf>
    <xf numFmtId="0" fontId="19" fillId="37" borderId="25" applyAlignment="1" pivotButton="0" quotePrefix="0" xfId="0">
      <alignment vertical="center"/>
    </xf>
    <xf numFmtId="0" fontId="19" fillId="37" borderId="0" applyAlignment="1" pivotButton="0" quotePrefix="0" xfId="0">
      <alignment vertical="center"/>
    </xf>
    <xf numFmtId="0" fontId="19" fillId="37" borderId="24" applyAlignment="1" pivotButton="0" quotePrefix="0" xfId="0">
      <alignment vertical="center"/>
    </xf>
    <xf numFmtId="0" fontId="19" fillId="37" borderId="67" applyAlignment="1" pivotButton="0" quotePrefix="0" xfId="0">
      <alignment vertical="center"/>
    </xf>
    <xf numFmtId="0" fontId="19" fillId="37" borderId="68" applyAlignment="1" pivotButton="0" quotePrefix="0" xfId="0">
      <alignment vertical="center"/>
    </xf>
    <xf numFmtId="0" fontId="4" fillId="1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vertical="center"/>
    </xf>
    <xf numFmtId="0" fontId="19" fillId="3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vertical="center"/>
    </xf>
    <xf numFmtId="0" fontId="4" fillId="11" borderId="1" applyAlignment="1" pivotButton="0" quotePrefix="0" xfId="0">
      <alignment vertical="center" wrapText="1"/>
    </xf>
    <xf numFmtId="0" fontId="4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vertical="center"/>
    </xf>
    <xf numFmtId="0" fontId="4" fillId="29" borderId="1" applyAlignment="1" pivotButton="0" quotePrefix="0" xfId="0">
      <alignment vertical="center" wrapText="1"/>
    </xf>
    <xf numFmtId="0" fontId="17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 wrapText="1"/>
    </xf>
    <xf numFmtId="0" fontId="0" fillId="52" borderId="66" applyAlignment="1" pivotButton="0" quotePrefix="0" xfId="0">
      <alignment horizontal="center" vertical="center"/>
    </xf>
    <xf numFmtId="0" fontId="0" fillId="40" borderId="66" applyAlignment="1" pivotButton="0" quotePrefix="0" xfId="0">
      <alignment horizontal="center" vertical="center"/>
    </xf>
    <xf numFmtId="0" fontId="0" fillId="17" borderId="66" applyAlignment="1" pivotButton="0" quotePrefix="0" xfId="0">
      <alignment horizontal="center" vertical="center"/>
    </xf>
    <xf numFmtId="0" fontId="0" fillId="49" borderId="0" applyAlignment="1" pivotButton="0" quotePrefix="0" xfId="0">
      <alignment horizontal="center" vertical="center"/>
    </xf>
    <xf numFmtId="0" fontId="0" fillId="49" borderId="1" applyAlignment="1" pivotButton="0" quotePrefix="0" xfId="0">
      <alignment horizontal="center" vertical="center"/>
    </xf>
    <xf numFmtId="0" fontId="0" fillId="0" borderId="91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0" fontId="0" fillId="40" borderId="91" applyAlignment="1" pivotButton="0" quotePrefix="0" xfId="0">
      <alignment horizontal="center" vertical="center"/>
    </xf>
    <xf numFmtId="0" fontId="0" fillId="52" borderId="101" applyAlignment="1" pivotButton="0" quotePrefix="0" xfId="0">
      <alignment horizontal="center" vertical="center"/>
    </xf>
    <xf numFmtId="0" fontId="0" fillId="52" borderId="102" applyAlignment="1" pivotButton="0" quotePrefix="0" xfId="0">
      <alignment horizontal="center" vertical="center"/>
    </xf>
    <xf numFmtId="0" fontId="17" fillId="52" borderId="4" applyAlignment="1" pivotButton="0" quotePrefix="0" xfId="0">
      <alignment horizontal="center" vertical="center"/>
    </xf>
    <xf numFmtId="0" fontId="17" fillId="17" borderId="0" applyAlignment="1" pivotButton="0" quotePrefix="0" xfId="0">
      <alignment horizontal="center" vertical="center"/>
    </xf>
    <xf numFmtId="0" fontId="17" fillId="17" borderId="0" applyAlignment="1" pivotButton="0" quotePrefix="0" xfId="0">
      <alignment horizontal="center" vertical="center" wrapText="1"/>
    </xf>
    <xf numFmtId="0" fontId="0" fillId="50" borderId="0" applyAlignment="1" pivotButton="0" quotePrefix="0" xfId="0">
      <alignment vertical="center"/>
    </xf>
    <xf numFmtId="0" fontId="19" fillId="11" borderId="1" applyAlignment="1" pivotButton="0" quotePrefix="0" xfId="0">
      <alignment vertical="center"/>
    </xf>
    <xf numFmtId="0" fontId="19" fillId="36" borderId="1" applyAlignment="1" pivotButton="0" quotePrefix="0" xfId="0">
      <alignment vertical="center"/>
    </xf>
    <xf numFmtId="0" fontId="19" fillId="11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vertical="center"/>
    </xf>
    <xf numFmtId="49" fontId="35" fillId="8" borderId="4" applyAlignment="1" pivotButton="0" quotePrefix="0" xfId="0">
      <alignment vertical="center"/>
    </xf>
    <xf numFmtId="49" fontId="35" fillId="8" borderId="5" applyAlignment="1" pivotButton="0" quotePrefix="0" xfId="0">
      <alignment vertical="center"/>
    </xf>
    <xf numFmtId="49" fontId="35" fillId="8" borderId="6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49" fontId="35" fillId="8" borderId="5" applyAlignment="1" pivotButton="0" quotePrefix="0" xfId="0">
      <alignment horizontal="center" vertical="center"/>
    </xf>
    <xf numFmtId="0" fontId="11" fillId="7" borderId="7" applyAlignment="1" pivotButton="0" quotePrefix="0" xfId="0">
      <alignment horizontal="left" vertical="center" wrapText="1"/>
    </xf>
    <xf numFmtId="0" fontId="11" fillId="7" borderId="27" applyAlignment="1" pivotButton="0" quotePrefix="0" xfId="0">
      <alignment horizontal="left" vertical="center" wrapText="1"/>
    </xf>
    <xf numFmtId="0" fontId="11" fillId="7" borderId="22" applyAlignment="1" pivotButton="0" quotePrefix="0" xfId="0">
      <alignment horizontal="left" vertical="center" wrapText="1"/>
    </xf>
    <xf numFmtId="0" fontId="4" fillId="7" borderId="27" applyAlignment="1" pivotButton="0" quotePrefix="0" xfId="0">
      <alignment horizontal="left" vertical="center"/>
    </xf>
    <xf numFmtId="0" fontId="37" fillId="11" borderId="1" applyAlignment="1" pivotButton="0" quotePrefix="0" xfId="0">
      <alignment vertical="center"/>
    </xf>
    <xf numFmtId="0" fontId="37" fillId="28" borderId="1" applyAlignment="1" pivotButton="0" quotePrefix="0" xfId="0">
      <alignment vertical="center"/>
    </xf>
    <xf numFmtId="0" fontId="44" fillId="7" borderId="1" applyAlignment="1" pivotButton="0" quotePrefix="0" xfId="0">
      <alignment horizontal="left" vertical="center" wrapText="1"/>
    </xf>
    <xf numFmtId="0" fontId="44" fillId="7" borderId="7" applyAlignment="1" pivotButton="0" quotePrefix="0" xfId="0">
      <alignment horizontal="left" vertical="center" wrapText="1"/>
    </xf>
    <xf numFmtId="0" fontId="37" fillId="0" borderId="29" applyAlignment="1" pivotButton="0" quotePrefix="0" xfId="0">
      <alignment vertical="center"/>
    </xf>
    <xf numFmtId="0" fontId="37" fillId="0" borderId="30" applyAlignment="1" pivotButton="0" quotePrefix="0" xfId="0">
      <alignment vertical="center"/>
    </xf>
    <xf numFmtId="0" fontId="37" fillId="0" borderId="74" applyAlignment="1" pivotButton="0" quotePrefix="0" xfId="0">
      <alignment horizontal="center" vertical="center"/>
    </xf>
    <xf numFmtId="0" fontId="37" fillId="0" borderId="25" applyAlignment="1" pivotButton="0" quotePrefix="0" xfId="0">
      <alignment vertical="center"/>
    </xf>
    <xf numFmtId="0" fontId="37" fillId="0" borderId="24" applyAlignment="1" pivotButton="0" quotePrefix="0" xfId="0">
      <alignment vertical="center"/>
    </xf>
    <xf numFmtId="0" fontId="37" fillId="0" borderId="67" applyAlignment="1" pivotButton="0" quotePrefix="0" xfId="0">
      <alignment vertical="center"/>
    </xf>
    <xf numFmtId="0" fontId="44" fillId="7" borderId="0" applyAlignment="1" pivotButton="0" quotePrefix="0" xfId="0">
      <alignment horizontal="left" vertical="center" wrapText="1"/>
    </xf>
    <xf numFmtId="0" fontId="44" fillId="7" borderId="30" applyAlignment="1" pivotButton="0" quotePrefix="0" xfId="0">
      <alignment horizontal="left" vertical="center" wrapText="1"/>
    </xf>
    <xf numFmtId="0" fontId="4" fillId="7" borderId="7" applyAlignment="1" pivotButton="0" quotePrefix="0" xfId="0">
      <alignment horizontal="left" vertical="center"/>
    </xf>
    <xf numFmtId="0" fontId="4" fillId="7" borderId="22" applyAlignment="1" pivotButton="0" quotePrefix="0" xfId="0">
      <alignment horizontal="left" vertical="center"/>
    </xf>
    <xf numFmtId="0" fontId="37" fillId="7" borderId="22" applyAlignment="1" pivotButton="0" quotePrefix="0" xfId="0">
      <alignment horizontal="left" vertical="center"/>
    </xf>
    <xf numFmtId="0" fontId="37" fillId="7" borderId="1" applyAlignment="1" pivotButton="0" quotePrefix="0" xfId="0">
      <alignment horizontal="left" vertical="center"/>
    </xf>
    <xf numFmtId="0" fontId="37" fillId="7" borderId="27" applyAlignment="1" pivotButton="0" quotePrefix="0" xfId="0">
      <alignment horizontal="left" vertical="center"/>
    </xf>
    <xf numFmtId="0" fontId="44" fillId="7" borderId="22" applyAlignment="1" pivotButton="0" quotePrefix="0" xfId="0">
      <alignment horizontal="left" vertical="center" wrapText="1"/>
    </xf>
    <xf numFmtId="0" fontId="44" fillId="7" borderId="2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8" borderId="106" applyAlignment="1" pivotButton="0" quotePrefix="0" xfId="0">
      <alignment horizontal="center" vertical="center" wrapText="1"/>
    </xf>
    <xf numFmtId="0" fontId="18" fillId="21" borderId="4" applyAlignment="1" pivotButton="0" quotePrefix="0" xfId="0">
      <alignment horizontal="center" vertical="center" wrapText="1"/>
    </xf>
    <xf numFmtId="0" fontId="0" fillId="52" borderId="1" applyAlignment="1" pivotButton="0" quotePrefix="0" xfId="0">
      <alignment horizontal="center" vertical="center" wrapText="1"/>
    </xf>
    <xf numFmtId="0" fontId="0" fillId="52" borderId="27" applyAlignment="1" pivotButton="0" quotePrefix="0" xfId="0">
      <alignment horizontal="center" vertical="center" wrapText="1"/>
    </xf>
    <xf numFmtId="0" fontId="0" fillId="52" borderId="1" pivotButton="0" quotePrefix="0" xfId="0"/>
    <xf numFmtId="0" fontId="0" fillId="52" borderId="1" applyAlignment="1" pivotButton="0" quotePrefix="0" xfId="0">
      <alignment horizontal="center"/>
    </xf>
    <xf numFmtId="0" fontId="33" fillId="0" borderId="1" applyAlignment="1" pivotButton="0" quotePrefix="0" xfId="0">
      <alignment horizontal="center" vertical="center" wrapText="1"/>
    </xf>
    <xf numFmtId="0" fontId="0" fillId="52" borderId="32" applyAlignment="1" pivotButton="0" quotePrefix="0" xfId="0">
      <alignment horizontal="center" vertical="center" wrapText="1"/>
    </xf>
    <xf numFmtId="0" fontId="0" fillId="52" borderId="28" applyAlignment="1" pivotButton="0" quotePrefix="0" xfId="0">
      <alignment horizontal="center" vertical="center" wrapText="1"/>
    </xf>
    <xf numFmtId="0" fontId="33" fillId="0" borderId="27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/>
    </xf>
    <xf numFmtId="49" fontId="5" fillId="6" borderId="6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2" fontId="37" fillId="0" borderId="0" applyAlignment="1" pivotButton="0" quotePrefix="0" xfId="0">
      <alignment horizontal="center" vertical="center"/>
    </xf>
    <xf numFmtId="164" fontId="37" fillId="0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 indent="1"/>
    </xf>
    <xf numFmtId="0" fontId="37" fillId="0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center" vertical="center"/>
    </xf>
    <xf numFmtId="0" fontId="37" fillId="17" borderId="1" applyAlignment="1" pivotButton="0" quotePrefix="0" xfId="0">
      <alignment horizontal="left" vertical="center" indent="1"/>
    </xf>
    <xf numFmtId="0" fontId="37" fillId="17" borderId="1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center" vertical="center" wrapText="1"/>
    </xf>
    <xf numFmtId="0" fontId="40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6" fillId="48" borderId="14" applyAlignment="1" pivotButton="0" quotePrefix="0" xfId="0">
      <alignment horizontal="center" vertical="center"/>
    </xf>
    <xf numFmtId="0" fontId="46" fillId="48" borderId="15" applyAlignment="1" pivotButton="0" quotePrefix="0" xfId="0">
      <alignment horizontal="center" vertical="center"/>
    </xf>
    <xf numFmtId="0" fontId="46" fillId="48" borderId="16" applyAlignment="1" pivotButton="0" quotePrefix="0" xfId="0">
      <alignment horizontal="center" vertical="center"/>
    </xf>
    <xf numFmtId="0" fontId="38" fillId="6" borderId="1" applyAlignment="1" pivotButton="0" quotePrefix="0" xfId="0">
      <alignment horizontal="center" vertical="center"/>
    </xf>
    <xf numFmtId="0" fontId="40" fillId="6" borderId="1" applyAlignment="1" pivotButton="0" quotePrefix="0" xfId="0">
      <alignment horizontal="left" vertical="center"/>
    </xf>
    <xf numFmtId="0" fontId="40" fillId="6" borderId="2" applyAlignment="1" pivotButton="0" quotePrefix="0" xfId="0">
      <alignment horizontal="center" vertical="center"/>
    </xf>
    <xf numFmtId="0" fontId="38" fillId="6" borderId="2" applyAlignment="1" pivotButton="0" quotePrefix="0" xfId="0">
      <alignment horizontal="center" vertical="center"/>
    </xf>
    <xf numFmtId="0" fontId="37" fillId="2" borderId="1" applyAlignment="1" pivotButton="0" quotePrefix="0" xfId="0">
      <alignment horizontal="center" vertical="center"/>
    </xf>
    <xf numFmtId="0" fontId="37" fillId="2" borderId="1" applyAlignment="1" pivotButton="0" quotePrefix="0" xfId="0">
      <alignment horizontal="left" vertical="center"/>
    </xf>
    <xf numFmtId="0" fontId="48" fillId="0" borderId="1" applyAlignment="1" pivotButton="0" quotePrefix="0" xfId="0">
      <alignment horizontal="center" vertical="center"/>
    </xf>
    <xf numFmtId="0" fontId="37" fillId="13" borderId="1" applyAlignment="1" pivotButton="0" quotePrefix="0" xfId="0">
      <alignment horizontal="center" vertical="center"/>
    </xf>
    <xf numFmtId="0" fontId="37" fillId="13" borderId="1" applyAlignment="1" pivotButton="0" quotePrefix="0" xfId="0">
      <alignment horizontal="center" vertical="center" wrapText="1"/>
    </xf>
    <xf numFmtId="0" fontId="37" fillId="40" borderId="1" applyAlignment="1" pivotButton="0" quotePrefix="0" xfId="0">
      <alignment horizontal="center" vertical="center"/>
    </xf>
    <xf numFmtId="0" fontId="37" fillId="0" borderId="1" applyAlignment="1" pivotButton="0" quotePrefix="0" xfId="0">
      <alignment vertical="center"/>
    </xf>
    <xf numFmtId="0" fontId="37" fillId="1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center"/>
    </xf>
    <xf numFmtId="0" fontId="37" fillId="0" borderId="66" applyAlignment="1" pivotButton="0" quotePrefix="0" xfId="0">
      <alignment horizontal="center" vertical="center" wrapText="1"/>
    </xf>
    <xf numFmtId="165" fontId="37" fillId="40" borderId="1" applyAlignment="1" pivotButton="0" quotePrefix="0" xfId="0">
      <alignment horizontal="center" vertical="center"/>
    </xf>
    <xf numFmtId="0" fontId="37" fillId="13" borderId="1" applyAlignment="1" pivotButton="0" quotePrefix="0" xfId="0">
      <alignment horizontal="left" vertical="center"/>
    </xf>
    <xf numFmtId="0" fontId="37" fillId="0" borderId="66" applyAlignment="1" pivotButton="0" quotePrefix="0" xfId="0">
      <alignment horizontal="center" vertical="center"/>
    </xf>
    <xf numFmtId="0" fontId="37" fillId="2" borderId="2" applyAlignment="1" pivotButton="0" quotePrefix="0" xfId="0">
      <alignment horizontal="center" vertical="center"/>
    </xf>
    <xf numFmtId="0" fontId="37" fillId="2" borderId="2" applyAlignment="1" pivotButton="0" quotePrefix="0" xfId="0">
      <alignment horizontal="left" vertical="center"/>
    </xf>
    <xf numFmtId="0" fontId="37" fillId="54" borderId="66" applyAlignment="1" pivotButton="0" quotePrefix="0" xfId="0">
      <alignment horizontal="center" vertical="center" wrapText="1"/>
    </xf>
    <xf numFmtId="0" fontId="37" fillId="2" borderId="1" applyAlignment="1" pivotButton="0" quotePrefix="0" xfId="0">
      <alignment horizontal="left" vertical="center" wrapText="1"/>
    </xf>
    <xf numFmtId="0" fontId="37" fillId="56" borderId="1" applyAlignment="1" pivotButton="0" quotePrefix="0" xfId="0">
      <alignment horizontal="center" vertical="center"/>
    </xf>
    <xf numFmtId="0" fontId="37" fillId="2" borderId="1" applyAlignment="1" pivotButton="0" quotePrefix="0" xfId="0">
      <alignment horizontal="center" vertical="center" wrapText="1"/>
    </xf>
    <xf numFmtId="0" fontId="37" fillId="39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37" fillId="54" borderId="1" applyAlignment="1" pivotButton="0" quotePrefix="0" xfId="0">
      <alignment horizontal="center" vertical="center"/>
    </xf>
    <xf numFmtId="0" fontId="37" fillId="40" borderId="0" applyAlignment="1" pivotButton="0" quotePrefix="0" xfId="0">
      <alignment vertical="center"/>
    </xf>
    <xf numFmtId="0" fontId="37" fillId="0" borderId="7" applyAlignment="1" pivotButton="0" quotePrefix="0" xfId="0">
      <alignment horizontal="center" vertical="center"/>
    </xf>
    <xf numFmtId="0" fontId="37" fillId="40" borderId="7" applyAlignment="1" pivotButton="0" quotePrefix="0" xfId="0">
      <alignment horizontal="center" vertical="center"/>
    </xf>
    <xf numFmtId="0" fontId="37" fillId="0" borderId="7" applyAlignment="1" pivotButton="0" quotePrefix="0" xfId="0">
      <alignment vertical="center"/>
    </xf>
    <xf numFmtId="0" fontId="37" fillId="43" borderId="1" applyAlignment="1" pivotButton="0" quotePrefix="0" xfId="0">
      <alignment vertical="center"/>
    </xf>
    <xf numFmtId="0" fontId="37" fillId="0" borderId="1" applyAlignment="1" pivotButton="0" quotePrefix="0" xfId="0">
      <alignment horizontal="left" vertical="center"/>
    </xf>
    <xf numFmtId="0" fontId="37" fillId="7" borderId="1" applyAlignment="1" pivotButton="0" quotePrefix="0" xfId="0">
      <alignment vertical="center"/>
    </xf>
    <xf numFmtId="0" fontId="37" fillId="0" borderId="7" applyAlignment="1" pivotButton="0" quotePrefix="0" xfId="0">
      <alignment horizontal="left" vertical="center"/>
    </xf>
    <xf numFmtId="0" fontId="37" fillId="7" borderId="7" applyAlignment="1" pivotButton="0" quotePrefix="0" xfId="0">
      <alignment horizontal="left" vertical="center"/>
    </xf>
    <xf numFmtId="0" fontId="48" fillId="0" borderId="7" applyAlignment="1" pivotButton="0" quotePrefix="0" xfId="0">
      <alignment horizontal="center" vertical="center"/>
    </xf>
    <xf numFmtId="0" fontId="37" fillId="0" borderId="21" applyAlignment="1" pivotButton="0" quotePrefix="0" xfId="0">
      <alignment horizontal="left" vertical="center"/>
    </xf>
    <xf numFmtId="0" fontId="37" fillId="0" borderId="106" applyAlignment="1" pivotButton="0" quotePrefix="0" xfId="0">
      <alignment horizontal="center" vertical="center"/>
    </xf>
    <xf numFmtId="0" fontId="38" fillId="7" borderId="69" applyAlignment="1" pivotButton="0" quotePrefix="0" xfId="0">
      <alignment horizontal="center" vertical="center"/>
    </xf>
    <xf numFmtId="0" fontId="48" fillId="0" borderId="107" applyAlignment="1" pivotButton="0" quotePrefix="0" xfId="0">
      <alignment horizontal="center" vertical="center"/>
    </xf>
    <xf numFmtId="0" fontId="37" fillId="0" borderId="22" applyAlignment="1" pivotButton="0" quotePrefix="0" xfId="0">
      <alignment horizontal="center" vertical="center"/>
    </xf>
    <xf numFmtId="0" fontId="37" fillId="0" borderId="22" applyAlignment="1" pivotButton="0" quotePrefix="0" xfId="0">
      <alignment horizontal="left" vertical="center"/>
    </xf>
    <xf numFmtId="0" fontId="48" fillId="0" borderId="22" applyAlignment="1" pivotButton="0" quotePrefix="0" xfId="0">
      <alignment horizontal="center" vertical="center"/>
    </xf>
    <xf numFmtId="0" fontId="37" fillId="0" borderId="23" applyAlignment="1" pivotButton="0" quotePrefix="0" xfId="0">
      <alignment horizontal="center" vertical="center"/>
    </xf>
    <xf numFmtId="0" fontId="37" fillId="0" borderId="31" applyAlignment="1" pivotButton="0" quotePrefix="0" xfId="0">
      <alignment horizontal="left" vertical="center"/>
    </xf>
    <xf numFmtId="0" fontId="37" fillId="7" borderId="8" applyAlignment="1" pivotButton="0" quotePrefix="0" xfId="0">
      <alignment horizontal="left" vertical="center"/>
    </xf>
    <xf numFmtId="0" fontId="37" fillId="0" borderId="32" applyAlignment="1" pivotButton="0" quotePrefix="0" xfId="0">
      <alignment horizontal="center" vertical="center"/>
    </xf>
    <xf numFmtId="0" fontId="37" fillId="0" borderId="26" applyAlignment="1" pivotButton="0" quotePrefix="0" xfId="0">
      <alignment horizontal="left" vertical="center"/>
    </xf>
    <xf numFmtId="0" fontId="37" fillId="0" borderId="27" applyAlignment="1" pivotButton="0" quotePrefix="0" xfId="0">
      <alignment horizontal="center" vertical="center"/>
    </xf>
    <xf numFmtId="0" fontId="48" fillId="0" borderId="27" applyAlignment="1" pivotButton="0" quotePrefix="0" xfId="0">
      <alignment horizontal="center" vertical="center"/>
    </xf>
    <xf numFmtId="0" fontId="37" fillId="0" borderId="27" applyAlignment="1" pivotButton="0" quotePrefix="0" xfId="0">
      <alignment horizontal="left" vertical="center"/>
    </xf>
    <xf numFmtId="0" fontId="37" fillId="0" borderId="28" applyAlignment="1" pivotButton="0" quotePrefix="0" xfId="0">
      <alignment horizontal="center" vertical="center"/>
    </xf>
    <xf numFmtId="0" fontId="44" fillId="7" borderId="8" applyAlignment="1" pivotButton="0" quotePrefix="0" xfId="0">
      <alignment horizontal="left" vertical="center" wrapText="1"/>
    </xf>
    <xf numFmtId="0" fontId="37" fillId="0" borderId="8" applyAlignment="1" pivotButton="0" quotePrefix="0" xfId="0">
      <alignment horizontal="left" vertical="center"/>
    </xf>
    <xf numFmtId="0" fontId="37" fillId="0" borderId="8" applyAlignment="1" pivotButton="0" quotePrefix="0" xfId="0">
      <alignment horizontal="center" vertical="center"/>
    </xf>
    <xf numFmtId="0" fontId="48" fillId="0" borderId="8" applyAlignment="1" pivotButton="0" quotePrefix="0" xfId="0">
      <alignment horizontal="center" vertical="center"/>
    </xf>
    <xf numFmtId="0" fontId="6" fillId="0" borderId="1" pivotButton="0" quotePrefix="0" xfId="0"/>
    <xf numFmtId="0" fontId="37" fillId="0" borderId="1" pivotButton="0" quotePrefix="0" xfId="0"/>
    <xf numFmtId="0" fontId="38" fillId="7" borderId="22" applyAlignment="1" pivotButton="0" quotePrefix="0" xfId="0">
      <alignment horizontal="center" vertical="center"/>
    </xf>
    <xf numFmtId="0" fontId="37" fillId="0" borderId="108" applyAlignment="1" pivotButton="0" quotePrefix="0" xfId="0">
      <alignment horizontal="center" vertical="center"/>
    </xf>
    <xf numFmtId="0" fontId="38" fillId="7" borderId="108" applyAlignment="1" pivotButton="0" quotePrefix="0" xfId="0">
      <alignment horizontal="center" vertical="center"/>
    </xf>
    <xf numFmtId="0" fontId="48" fillId="0" borderId="108" applyAlignment="1" pivotButton="0" quotePrefix="0" xfId="0">
      <alignment horizontal="center" vertical="center"/>
    </xf>
    <xf numFmtId="0" fontId="37" fillId="0" borderId="108" applyAlignment="1" pivotButton="0" quotePrefix="0" xfId="0">
      <alignment horizontal="left" vertical="center"/>
    </xf>
    <xf numFmtId="0" fontId="37" fillId="7" borderId="108" applyAlignment="1" pivotButton="0" quotePrefix="0" xfId="0">
      <alignment horizontal="left" vertical="center"/>
    </xf>
    <xf numFmtId="0" fontId="37" fillId="0" borderId="109" applyAlignment="1" pivotButton="0" quotePrefix="0" xfId="0">
      <alignment horizontal="center" vertical="center"/>
    </xf>
    <xf numFmtId="0" fontId="37" fillId="0" borderId="110" applyAlignment="1" pivotButton="0" quotePrefix="0" xfId="0">
      <alignment horizontal="left" vertical="center"/>
    </xf>
    <xf numFmtId="0" fontId="37" fillId="0" borderId="21" applyAlignment="1" pivotButton="0" quotePrefix="0" xfId="0">
      <alignment horizontal="center" vertical="center"/>
    </xf>
    <xf numFmtId="0" fontId="37" fillId="0" borderId="31" applyAlignment="1" pivotButton="0" quotePrefix="0" xfId="0">
      <alignment horizontal="center" vertical="center"/>
    </xf>
    <xf numFmtId="0" fontId="37" fillId="0" borderId="111" applyAlignment="1" pivotButton="0" quotePrefix="0" xfId="0">
      <alignment horizontal="left" vertical="center"/>
    </xf>
    <xf numFmtId="0" fontId="37" fillId="0" borderId="26" applyAlignment="1" pivotButton="0" quotePrefix="0" xfId="0">
      <alignment horizontal="center" vertical="center"/>
    </xf>
    <xf numFmtId="0" fontId="38" fillId="7" borderId="8" applyAlignment="1" pivotButton="0" quotePrefix="0" xfId="0">
      <alignment horizontal="center" vertical="center"/>
    </xf>
    <xf numFmtId="0" fontId="37" fillId="17" borderId="21" applyAlignment="1" pivotButton="0" quotePrefix="0" xfId="0">
      <alignment horizontal="left" vertical="center"/>
    </xf>
    <xf numFmtId="0" fontId="37" fillId="17" borderId="106" applyAlignment="1" pivotButton="0" quotePrefix="0" xfId="0">
      <alignment horizontal="center" vertical="center"/>
    </xf>
    <xf numFmtId="0" fontId="38" fillId="17" borderId="69" applyAlignment="1" pivotButton="0" quotePrefix="0" xfId="0">
      <alignment horizontal="left" vertical="center"/>
    </xf>
    <xf numFmtId="0" fontId="48" fillId="17" borderId="107" applyAlignment="1" pivotButton="0" quotePrefix="0" xfId="0">
      <alignment horizontal="center" vertical="center"/>
    </xf>
    <xf numFmtId="0" fontId="37" fillId="17" borderId="22" applyAlignment="1" pivotButton="0" quotePrefix="0" xfId="0">
      <alignment horizontal="center" vertical="center"/>
    </xf>
    <xf numFmtId="0" fontId="37" fillId="17" borderId="22" applyAlignment="1" pivotButton="0" quotePrefix="0" xfId="0">
      <alignment horizontal="left" vertical="center"/>
    </xf>
    <xf numFmtId="0" fontId="48" fillId="17" borderId="22" applyAlignment="1" pivotButton="0" quotePrefix="0" xfId="0">
      <alignment horizontal="center" vertical="center"/>
    </xf>
    <xf numFmtId="0" fontId="37" fillId="17" borderId="23" applyAlignment="1" pivotButton="0" quotePrefix="0" xfId="0">
      <alignment horizontal="center" vertical="center"/>
    </xf>
    <xf numFmtId="0" fontId="37" fillId="17" borderId="31" applyAlignment="1" pivotButton="0" quotePrefix="0" xfId="0">
      <alignment horizontal="left" vertical="center"/>
    </xf>
    <xf numFmtId="0" fontId="44" fillId="17" borderId="8" applyAlignment="1" pivotButton="0" quotePrefix="0" xfId="0">
      <alignment horizontal="left" vertical="center" wrapText="1"/>
    </xf>
    <xf numFmtId="0" fontId="48" fillId="17" borderId="1" applyAlignment="1" pivotButton="0" quotePrefix="0" xfId="0">
      <alignment horizontal="center" vertical="center"/>
    </xf>
    <xf numFmtId="0" fontId="37" fillId="17" borderId="1" applyAlignment="1" pivotButton="0" quotePrefix="0" xfId="0">
      <alignment horizontal="left" vertical="center"/>
    </xf>
    <xf numFmtId="0" fontId="44" fillId="17" borderId="1" applyAlignment="1" pivotButton="0" quotePrefix="0" xfId="0">
      <alignment horizontal="left" vertical="center" wrapText="1"/>
    </xf>
    <xf numFmtId="0" fontId="37" fillId="17" borderId="32" applyAlignment="1" pivotButton="0" quotePrefix="0" xfId="0">
      <alignment horizontal="center" vertical="center"/>
    </xf>
    <xf numFmtId="0" fontId="37" fillId="17" borderId="26" applyAlignment="1" pivotButton="0" quotePrefix="0" xfId="0">
      <alignment horizontal="left" vertical="center"/>
    </xf>
    <xf numFmtId="0" fontId="37" fillId="17" borderId="27" applyAlignment="1" pivotButton="0" quotePrefix="0" xfId="0">
      <alignment horizontal="center" vertical="center"/>
    </xf>
    <xf numFmtId="0" fontId="37" fillId="17" borderId="27" applyAlignment="1" pivotButton="0" quotePrefix="0" xfId="0">
      <alignment horizontal="left" vertical="center"/>
    </xf>
    <xf numFmtId="0" fontId="48" fillId="17" borderId="27" applyAlignment="1" pivotButton="0" quotePrefix="0" xfId="0">
      <alignment horizontal="center" vertical="center"/>
    </xf>
    <xf numFmtId="0" fontId="44" fillId="17" borderId="27" applyAlignment="1" pivotButton="0" quotePrefix="0" xfId="0">
      <alignment horizontal="left" vertical="center" wrapText="1"/>
    </xf>
    <xf numFmtId="0" fontId="37" fillId="17" borderId="28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 wrapText="1"/>
    </xf>
    <xf numFmtId="0" fontId="37" fillId="5" borderId="1" applyAlignment="1" pivotButton="0" quotePrefix="0" xfId="0">
      <alignment horizontal="center" vertical="center"/>
    </xf>
    <xf numFmtId="0" fontId="37" fillId="5" borderId="6" applyAlignment="1" pivotButton="0" quotePrefix="0" xfId="0">
      <alignment vertical="center"/>
    </xf>
    <xf numFmtId="0" fontId="37" fillId="5" borderId="1" applyAlignment="1" pivotButton="0" quotePrefix="0" xfId="0">
      <alignment vertical="center"/>
    </xf>
    <xf numFmtId="0" fontId="5" fillId="51" borderId="11" applyAlignment="1" pivotButton="0" quotePrefix="0" xfId="0">
      <alignment horizontal="center" vertical="center" wrapText="1"/>
    </xf>
    <xf numFmtId="0" fontId="5" fillId="51" borderId="12" applyAlignment="1" pivotButton="0" quotePrefix="0" xfId="0">
      <alignment horizontal="center" vertical="center" wrapText="1"/>
    </xf>
    <xf numFmtId="0" fontId="5" fillId="51" borderId="13" applyAlignment="1" pivotButton="0" quotePrefix="0" xfId="0">
      <alignment horizontal="center" vertical="center" wrapText="1"/>
    </xf>
    <xf numFmtId="0" fontId="37" fillId="0" borderId="92" applyAlignment="1" pivotButton="0" quotePrefix="0" xfId="0">
      <alignment horizontal="center" vertical="center" wrapText="1"/>
    </xf>
    <xf numFmtId="0" fontId="37" fillId="0" borderId="66" applyAlignment="1" applyProtection="1" pivotButton="0" quotePrefix="0" xfId="0">
      <alignment horizontal="center" vertical="center" wrapText="1"/>
      <protection locked="1" hidden="1"/>
    </xf>
    <xf numFmtId="0" fontId="37" fillId="0" borderId="93" applyAlignment="1" pivotButton="0" quotePrefix="0" xfId="0">
      <alignment horizontal="center" vertical="center" wrapText="1"/>
    </xf>
    <xf numFmtId="0" fontId="37" fillId="0" borderId="94" applyAlignment="1" pivotButton="0" quotePrefix="0" xfId="0">
      <alignment horizontal="center" vertical="center"/>
    </xf>
    <xf numFmtId="0" fontId="37" fillId="0" borderId="94" applyAlignment="1" pivotButton="0" quotePrefix="0" xfId="0">
      <alignment horizontal="center" vertical="center" wrapText="1"/>
    </xf>
    <xf numFmtId="0" fontId="37" fillId="0" borderId="95" applyAlignment="1" pivotButton="0" quotePrefix="0" xfId="0">
      <alignment horizontal="center" vertical="center" wrapText="1"/>
    </xf>
    <xf numFmtId="0" fontId="37" fillId="0" borderId="96" applyAlignment="1" pivotButton="0" quotePrefix="0" xfId="0">
      <alignment horizontal="center" vertical="center" wrapText="1"/>
    </xf>
    <xf numFmtId="0" fontId="37" fillId="0" borderId="97" applyAlignment="1" pivotButton="0" quotePrefix="0" xfId="0">
      <alignment horizontal="center" vertical="center" wrapText="1"/>
    </xf>
    <xf numFmtId="0" fontId="37" fillId="0" borderId="98" applyAlignment="1" pivotButton="0" quotePrefix="0" xfId="0">
      <alignment horizontal="center" vertical="center" wrapText="1"/>
    </xf>
    <xf numFmtId="0" fontId="37" fillId="0" borderId="99" applyAlignment="1" pivotButton="0" quotePrefix="0" xfId="0">
      <alignment horizontal="center" vertical="center"/>
    </xf>
    <xf numFmtId="0" fontId="37" fillId="0" borderId="99" applyAlignment="1" pivotButton="0" quotePrefix="0" xfId="0">
      <alignment horizontal="center" vertical="center" wrapText="1"/>
    </xf>
    <xf numFmtId="0" fontId="37" fillId="0" borderId="100" applyAlignment="1" pivotButton="0" quotePrefix="0" xfId="0">
      <alignment horizontal="center" vertical="center" wrapText="1"/>
    </xf>
    <xf numFmtId="0" fontId="37" fillId="10" borderId="1" applyAlignment="1" pivotButton="0" quotePrefix="0" xfId="0">
      <alignment horizontal="center" vertical="center"/>
    </xf>
    <xf numFmtId="0" fontId="37" fillId="10" borderId="1" applyAlignment="1" pivotButton="0" quotePrefix="0" xfId="0">
      <alignment horizontal="center" vertical="center" wrapText="1"/>
    </xf>
    <xf numFmtId="0" fontId="37" fillId="10" borderId="1" applyAlignment="1" pivotButton="0" quotePrefix="0" xfId="0">
      <alignment horizontal="left" vertical="center"/>
    </xf>
    <xf numFmtId="0" fontId="48" fillId="10" borderId="1" applyAlignment="1" pivotButton="0" quotePrefix="0" xfId="0">
      <alignment horizontal="center" vertical="center"/>
    </xf>
    <xf numFmtId="0" fontId="37" fillId="10" borderId="1" applyAlignment="1" pivotButton="0" quotePrefix="0" xfId="0">
      <alignment vertical="center"/>
    </xf>
    <xf numFmtId="0" fontId="50" fillId="17" borderId="0" applyAlignment="1" pivotButton="0" quotePrefix="0" xfId="0">
      <alignment horizontal="center" vertical="center"/>
    </xf>
    <xf numFmtId="0" fontId="37" fillId="40" borderId="1" applyAlignment="1" pivotButton="0" quotePrefix="0" xfId="0">
      <alignment vertical="center"/>
    </xf>
    <xf numFmtId="0" fontId="37" fillId="0" borderId="2" applyAlignment="1" pivotButton="0" quotePrefix="0" xfId="0">
      <alignment vertical="center"/>
    </xf>
    <xf numFmtId="0" fontId="37" fillId="0" borderId="8" applyAlignment="1" pivotButton="0" quotePrefix="0" xfId="0">
      <alignment vertical="center"/>
    </xf>
    <xf numFmtId="0" fontId="51" fillId="53" borderId="1" applyAlignment="1" pivotButton="0" quotePrefix="0" xfId="2">
      <alignment horizontal="center" vertical="center"/>
    </xf>
    <xf numFmtId="0" fontId="48" fillId="0" borderId="1" applyAlignment="1" pivotButton="0" quotePrefix="0" xfId="0">
      <alignment horizontal="center" vertical="center" wrapText="1"/>
    </xf>
    <xf numFmtId="0" fontId="53" fillId="3" borderId="1" applyAlignment="1" pivotButton="0" quotePrefix="0" xfId="0">
      <alignment horizontal="center" vertical="center"/>
    </xf>
    <xf numFmtId="0" fontId="54" fillId="3" borderId="1" applyAlignment="1" pivotButton="0" quotePrefix="0" xfId="0">
      <alignment horizontal="center" vertical="center"/>
    </xf>
    <xf numFmtId="0" fontId="55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vertical="center"/>
    </xf>
    <xf numFmtId="0" fontId="56" fillId="17" borderId="1" applyAlignment="1" pivotButton="0" quotePrefix="0" xfId="0">
      <alignment horizontal="center" vertical="center"/>
    </xf>
    <xf numFmtId="0" fontId="37" fillId="0" borderId="6" applyAlignment="1" pivotButton="0" quotePrefix="0" xfId="0">
      <alignment horizontal="center" vertical="center"/>
    </xf>
    <xf numFmtId="0" fontId="57" fillId="0" borderId="37" applyAlignment="1" pivotButton="0" quotePrefix="0" xfId="0">
      <alignment horizontal="center" vertical="center" wrapText="1"/>
    </xf>
    <xf numFmtId="0" fontId="40" fillId="0" borderId="34" applyAlignment="1" pivotButton="0" quotePrefix="0" xfId="0">
      <alignment horizontal="center" vertical="center" wrapText="1"/>
    </xf>
    <xf numFmtId="0" fontId="40" fillId="23" borderId="34" applyAlignment="1" pivotButton="0" quotePrefix="0" xfId="0">
      <alignment horizontal="center" vertical="center"/>
    </xf>
    <xf numFmtId="0" fontId="6" fillId="0" borderId="38" applyAlignment="1" pivotButton="0" quotePrefix="0" xfId="0">
      <alignment horizontal="right"/>
    </xf>
    <xf numFmtId="0" fontId="6" fillId="0" borderId="39" applyAlignment="1" pivotButton="0" quotePrefix="0" xfId="0">
      <alignment horizontal="center" wrapText="1"/>
    </xf>
    <xf numFmtId="0" fontId="40" fillId="24" borderId="39" applyAlignment="1" pivotButton="0" quotePrefix="0" xfId="0">
      <alignment horizontal="center" vertical="center" wrapText="1"/>
    </xf>
    <xf numFmtId="0" fontId="40" fillId="22" borderId="39" applyAlignment="1" pivotButton="0" quotePrefix="0" xfId="0">
      <alignment horizontal="center" wrapText="1"/>
    </xf>
    <xf numFmtId="0" fontId="40" fillId="22" borderId="39" applyAlignment="1" pivotButton="0" quotePrefix="0" xfId="0">
      <alignment horizontal="center" vertical="center" wrapText="1"/>
    </xf>
    <xf numFmtId="0" fontId="6" fillId="23" borderId="39" applyAlignment="1" pivotButton="0" quotePrefix="0" xfId="0">
      <alignment wrapText="1"/>
    </xf>
    <xf numFmtId="0" fontId="6" fillId="0" borderId="40" applyAlignment="1" pivotButton="0" quotePrefix="0" xfId="0">
      <alignment horizontal="center"/>
    </xf>
    <xf numFmtId="0" fontId="6" fillId="0" borderId="41" applyAlignment="1" pivotButton="0" quotePrefix="0" xfId="0">
      <alignment horizontal="center" wrapText="1"/>
    </xf>
    <xf numFmtId="0" fontId="40" fillId="24" borderId="41" applyAlignment="1" pivotButton="0" quotePrefix="0" xfId="0">
      <alignment horizontal="center" vertical="center" wrapText="1"/>
    </xf>
    <xf numFmtId="0" fontId="40" fillId="22" borderId="41" applyAlignment="1" pivotButton="0" quotePrefix="0" xfId="0">
      <alignment horizontal="center" wrapText="1"/>
    </xf>
    <xf numFmtId="0" fontId="40" fillId="22" borderId="41" applyAlignment="1" pivotButton="0" quotePrefix="0" xfId="0">
      <alignment horizontal="center" vertical="center" wrapText="1"/>
    </xf>
    <xf numFmtId="0" fontId="6" fillId="23" borderId="41" applyAlignment="1" pivotButton="0" quotePrefix="0" xfId="0">
      <alignment wrapText="1"/>
    </xf>
    <xf numFmtId="0" fontId="6" fillId="0" borderId="38" applyAlignment="1" pivotButton="0" quotePrefix="0" xfId="0">
      <alignment horizontal="center"/>
    </xf>
    <xf numFmtId="0" fontId="6" fillId="23" borderId="39" applyAlignment="1" pivotButton="0" quotePrefix="0" xfId="0">
      <alignment horizontal="center" wrapText="1"/>
    </xf>
    <xf numFmtId="0" fontId="6" fillId="0" borderId="1" applyAlignment="1" pivotButton="0" quotePrefix="0" xfId="0">
      <alignment horizontal="right"/>
    </xf>
    <xf numFmtId="0" fontId="6" fillId="1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21" borderId="1" pivotButton="0" quotePrefix="0" xfId="0"/>
    <xf numFmtId="0" fontId="6" fillId="2" borderId="1" applyAlignment="1" pivotButton="0" quotePrefix="0" xfId="0">
      <alignment horizontal="center" vertical="center"/>
    </xf>
    <xf numFmtId="0" fontId="37" fillId="0" borderId="0" pivotButton="0" quotePrefix="0" xfId="0"/>
    <xf numFmtId="0" fontId="6" fillId="17" borderId="1" pivotButton="0" quotePrefix="0" xfId="0"/>
    <xf numFmtId="0" fontId="6" fillId="0" borderId="1" applyAlignment="1" pivotButton="0" quotePrefix="0" xfId="0">
      <alignment horizontal="center" wrapText="1"/>
    </xf>
    <xf numFmtId="0" fontId="6" fillId="17" borderId="1" applyAlignment="1" pivotButton="0" quotePrefix="0" xfId="0">
      <alignment horizontal="center"/>
    </xf>
    <xf numFmtId="0" fontId="6" fillId="26" borderId="1" applyAlignment="1" pivotButton="0" quotePrefix="0" xfId="0">
      <alignment horizontal="center" wrapText="1"/>
    </xf>
    <xf numFmtId="0" fontId="6" fillId="43" borderId="1" applyAlignment="1" pivotButton="0" quotePrefix="0" xfId="0">
      <alignment horizontal="center" vertical="center"/>
    </xf>
    <xf numFmtId="0" fontId="6" fillId="43" borderId="1" pivotButton="0" quotePrefix="0" xfId="0"/>
    <xf numFmtId="0" fontId="6" fillId="21" borderId="1" applyAlignment="1" pivotButton="0" quotePrefix="0" xfId="0">
      <alignment horizontal="center"/>
    </xf>
    <xf numFmtId="0" fontId="6" fillId="37" borderId="1" applyAlignment="1" pivotButton="0" quotePrefix="0" xfId="0">
      <alignment horizontal="center" vertical="center" wrapText="1"/>
    </xf>
    <xf numFmtId="0" fontId="6" fillId="43" borderId="1" applyAlignment="1" pivotButton="0" quotePrefix="0" xfId="0">
      <alignment horizontal="center"/>
    </xf>
    <xf numFmtId="0" fontId="6" fillId="43" borderId="1" applyAlignment="1" pivotButton="0" quotePrefix="0" xfId="0">
      <alignment horizontal="center" vertical="center" wrapText="1"/>
    </xf>
    <xf numFmtId="0" fontId="6" fillId="43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left"/>
    </xf>
    <xf numFmtId="0" fontId="6" fillId="0" borderId="0" applyAlignment="1" pivotButton="0" quotePrefix="0" xfId="0">
      <alignment horizontal="center" wrapText="1"/>
    </xf>
    <xf numFmtId="0" fontId="6" fillId="26" borderId="1" applyAlignment="1" pivotButton="0" quotePrefix="0" xfId="0">
      <alignment horizontal="center"/>
    </xf>
    <xf numFmtId="0" fontId="6" fillId="26" borderId="1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/>
    </xf>
    <xf numFmtId="0" fontId="6" fillId="17" borderId="1" applyAlignment="1" pivotButton="0" quotePrefix="0" xfId="0">
      <alignment horizontal="center" vertical="center" wrapText="1"/>
    </xf>
    <xf numFmtId="0" fontId="6" fillId="35" borderId="1" applyAlignment="1" pivotButton="0" quotePrefix="0" xfId="0">
      <alignment horizontal="center" vertical="center"/>
    </xf>
    <xf numFmtId="0" fontId="6" fillId="58" borderId="1" applyAlignment="1" pivotButton="0" quotePrefix="0" xfId="0">
      <alignment horizontal="center" vertical="center" wrapText="1"/>
    </xf>
    <xf numFmtId="0" fontId="6" fillId="50" borderId="1" applyAlignment="1" pivotButton="0" quotePrefix="0" xfId="0">
      <alignment horizontal="center" wrapText="1"/>
    </xf>
    <xf numFmtId="11" fontId="37" fillId="0" borderId="0" applyAlignment="1" pivotButton="0" quotePrefix="0" xfId="0">
      <alignment horizontal="center"/>
    </xf>
    <xf numFmtId="0" fontId="6" fillId="17" borderId="1" applyAlignment="1" pivotButton="0" quotePrefix="0" xfId="0">
      <alignment horizontal="center" wrapText="1"/>
    </xf>
    <xf numFmtId="0" fontId="6" fillId="0" borderId="1" applyAlignment="1" pivotButton="0" quotePrefix="0" xfId="0">
      <alignment wrapText="1"/>
    </xf>
    <xf numFmtId="0" fontId="6" fillId="26" borderId="1" applyAlignment="1" pivotButton="0" quotePrefix="0" xfId="0">
      <alignment horizontal="center" vertical="center"/>
    </xf>
    <xf numFmtId="0" fontId="6" fillId="35" borderId="1" pivotButton="0" quotePrefix="0" xfId="0"/>
    <xf numFmtId="0" fontId="6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/>
    </xf>
    <xf numFmtId="0" fontId="6" fillId="50" borderId="1" pivotButton="0" quotePrefix="0" xfId="0"/>
    <xf numFmtId="0" fontId="6" fillId="0" borderId="0" applyAlignment="1" pivotButton="0" quotePrefix="0" xfId="0">
      <alignment horizontal="center" vertical="center" wrapText="1"/>
    </xf>
    <xf numFmtId="0" fontId="6" fillId="35" borderId="0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center" wrapText="1"/>
    </xf>
    <xf numFmtId="0" fontId="37" fillId="0" borderId="0" applyAlignment="1" pivotButton="0" quotePrefix="0" xfId="0">
      <alignment horizontal="center"/>
    </xf>
    <xf numFmtId="0" fontId="37" fillId="0" borderId="0" applyAlignment="1" pivotButton="0" quotePrefix="0" xfId="0">
      <alignment wrapText="1"/>
    </xf>
    <xf numFmtId="0" fontId="6" fillId="26" borderId="1" pivotButton="0" quotePrefix="0" xfId="0"/>
    <xf numFmtId="0" fontId="5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wrapText="1"/>
    </xf>
    <xf numFmtId="0" fontId="6" fillId="17" borderId="0" applyAlignment="1" pivotButton="0" quotePrefix="0" xfId="0">
      <alignment horizontal="center"/>
    </xf>
    <xf numFmtId="0" fontId="6" fillId="57" borderId="1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17" borderId="0" applyAlignment="1" pivotButton="0" quotePrefix="0" xfId="0">
      <alignment wrapText="1"/>
    </xf>
    <xf numFmtId="0" fontId="6" fillId="28" borderId="0" pivotButton="0" quotePrefix="0" xfId="0"/>
    <xf numFmtId="0" fontId="6" fillId="4" borderId="0" pivotButton="0" quotePrefix="0" xfId="0"/>
    <xf numFmtId="0" fontId="6" fillId="42" borderId="0" pivotButton="0" quotePrefix="0" xfId="0"/>
    <xf numFmtId="0" fontId="6" fillId="43" borderId="0" pivotButton="0" quotePrefix="0" xfId="0"/>
    <xf numFmtId="0" fontId="6" fillId="17" borderId="0" pivotButton="0" quotePrefix="0" xfId="0"/>
    <xf numFmtId="0" fontId="6" fillId="17" borderId="29" applyAlignment="1" pivotButton="0" quotePrefix="0" xfId="0">
      <alignment horizontal="center" vertical="center"/>
    </xf>
    <xf numFmtId="0" fontId="6" fillId="17" borderId="30" applyAlignment="1" pivotButton="0" quotePrefix="0" xfId="0">
      <alignment horizontal="center" vertical="center"/>
    </xf>
    <xf numFmtId="0" fontId="6" fillId="17" borderId="30" applyAlignment="1" pivotButton="0" quotePrefix="0" xfId="0">
      <alignment horizontal="center" vertical="center" wrapText="1"/>
    </xf>
    <xf numFmtId="0" fontId="6" fillId="17" borderId="74" applyAlignment="1" pivotButton="0" quotePrefix="0" xfId="0">
      <alignment horizontal="center" vertical="center" wrapText="1"/>
    </xf>
    <xf numFmtId="0" fontId="6" fillId="17" borderId="24" applyAlignment="1" pivotButton="0" quotePrefix="0" xfId="0">
      <alignment horizontal="center"/>
    </xf>
    <xf numFmtId="0" fontId="6" fillId="17" borderId="67" applyAlignment="1" pivotButton="0" quotePrefix="0" xfId="0">
      <alignment horizontal="center"/>
    </xf>
    <xf numFmtId="0" fontId="6" fillId="17" borderId="67" applyAlignment="1" pivotButton="0" quotePrefix="0" xfId="0">
      <alignment horizontal="center" vertical="center"/>
    </xf>
    <xf numFmtId="0" fontId="6" fillId="0" borderId="68" applyAlignment="1" pivotButton="0" quotePrefix="0" xfId="0">
      <alignment horizontal="center"/>
    </xf>
    <xf numFmtId="0" fontId="6" fillId="44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horizontal="center"/>
    </xf>
    <xf numFmtId="0" fontId="6" fillId="44" borderId="1" applyAlignment="1" pivotButton="0" quotePrefix="0" xfId="0">
      <alignment horizontal="center" vertical="center"/>
    </xf>
    <xf numFmtId="0" fontId="6" fillId="45" borderId="0" pivotButton="0" quotePrefix="0" xfId="0"/>
    <xf numFmtId="0" fontId="6" fillId="0" borderId="67" applyAlignment="1" pivotButton="0" quotePrefix="0" xfId="0">
      <alignment horizontal="center"/>
    </xf>
    <xf numFmtId="0" fontId="6" fillId="46" borderId="0" pivotButton="0" quotePrefix="0" xfId="0"/>
    <xf numFmtId="0" fontId="6" fillId="0" borderId="74" applyAlignment="1" pivotButton="0" quotePrefix="0" xfId="0">
      <alignment horizontal="center"/>
    </xf>
    <xf numFmtId="0" fontId="6" fillId="0" borderId="53" applyAlignment="1" pivotButton="0" quotePrefix="0" xfId="0">
      <alignment horizontal="center"/>
    </xf>
    <xf numFmtId="0" fontId="6" fillId="0" borderId="4" pivotButton="0" quotePrefix="0" xfId="0"/>
    <xf numFmtId="0" fontId="6" fillId="0" borderId="69" applyAlignment="1" pivotButton="0" quotePrefix="0" xfId="0">
      <alignment horizontal="center"/>
    </xf>
    <xf numFmtId="0" fontId="17" fillId="0" borderId="1" applyAlignment="1" pivotButton="0" quotePrefix="0" xfId="0">
      <alignment horizontal="left" vertical="center"/>
    </xf>
    <xf numFmtId="0" fontId="37" fillId="0" borderId="4" applyAlignment="1" pivotButton="0" quotePrefix="0" xfId="0">
      <alignment horizontal="left" vertical="center" indent="1"/>
    </xf>
    <xf numFmtId="0" fontId="17" fillId="0" borderId="1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/>
    </xf>
    <xf numFmtId="0" fontId="38" fillId="0" borderId="1" applyAlignment="1" pivotButton="0" quotePrefix="0" xfId="0">
      <alignment vertical="center"/>
    </xf>
    <xf numFmtId="0" fontId="58" fillId="59" borderId="1" applyAlignment="1" pivotButton="0" quotePrefix="0" xfId="0">
      <alignment horizontal="center" vertical="center"/>
    </xf>
    <xf numFmtId="0" fontId="6" fillId="59" borderId="1" applyAlignment="1" pivotButton="0" quotePrefix="0" xfId="0">
      <alignment horizontal="center" vertical="center"/>
    </xf>
    <xf numFmtId="0" fontId="61" fillId="0" borderId="7" applyAlignment="1" pivotButton="0" quotePrefix="0" xfId="0">
      <alignment horizontal="center" vertical="center"/>
    </xf>
    <xf numFmtId="0" fontId="61" fillId="0" borderId="1" applyAlignment="1" pivotButton="0" quotePrefix="0" xfId="0">
      <alignment horizontal="center" vertical="center"/>
    </xf>
    <xf numFmtId="0" fontId="6" fillId="37" borderId="1" applyAlignment="1" pivotButton="0" quotePrefix="0" xfId="0">
      <alignment horizontal="center"/>
    </xf>
    <xf numFmtId="0" fontId="6" fillId="37" borderId="1" applyAlignment="1" pivotButton="0" quotePrefix="0" xfId="0">
      <alignment horizontal="center" wrapText="1"/>
    </xf>
    <xf numFmtId="0" fontId="6" fillId="37" borderId="1" pivotButton="0" quotePrefix="0" xfId="0"/>
    <xf numFmtId="0" fontId="61" fillId="0" borderId="1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vertical="center"/>
    </xf>
    <xf numFmtId="0" fontId="62" fillId="0" borderId="1" applyAlignment="1" pivotButton="0" quotePrefix="0" xfId="0">
      <alignment horizontal="center" vertical="center"/>
    </xf>
    <xf numFmtId="0" fontId="63" fillId="0" borderId="1" applyAlignment="1" pivotButton="0" quotePrefix="0" xfId="0">
      <alignment horizontal="center" vertical="center"/>
    </xf>
    <xf numFmtId="0" fontId="64" fillId="0" borderId="1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1" fillId="0" borderId="14" applyAlignment="1" pivotButton="0" quotePrefix="0" xfId="0">
      <alignment horizontal="center" vertical="center"/>
    </xf>
    <xf numFmtId="0" fontId="61" fillId="0" borderId="69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/>
    </xf>
    <xf numFmtId="0" fontId="61" fillId="0" borderId="6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 indent="1"/>
    </xf>
    <xf numFmtId="0" fontId="2" fillId="0" borderId="106" applyAlignment="1" pivotButton="0" quotePrefix="0" xfId="0">
      <alignment horizontal="center" vertical="center"/>
    </xf>
    <xf numFmtId="0" fontId="61" fillId="0" borderId="113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113" applyAlignment="1" pivotButton="0" quotePrefix="0" xfId="0">
      <alignment horizontal="center" vertical="center"/>
    </xf>
    <xf numFmtId="0" fontId="0" fillId="0" borderId="114" applyAlignment="1" pivotButton="0" quotePrefix="0" xfId="0">
      <alignment horizontal="left" vertical="center" indent="1"/>
    </xf>
    <xf numFmtId="0" fontId="61" fillId="0" borderId="8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2" fillId="0" borderId="31" applyAlignment="1" pivotButton="0" quotePrefix="0" xfId="0">
      <alignment horizontal="center" vertical="center"/>
    </xf>
    <xf numFmtId="0" fontId="66" fillId="0" borderId="115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 indent="1"/>
    </xf>
    <xf numFmtId="0" fontId="2" fillId="0" borderId="7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16" applyAlignment="1" pivotButton="0" quotePrefix="0" xfId="0">
      <alignment horizontal="center" vertical="center"/>
    </xf>
    <xf numFmtId="0" fontId="2" fillId="0" borderId="117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 indent="1"/>
    </xf>
    <xf numFmtId="0" fontId="66" fillId="0" borderId="118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vertical="center"/>
    </xf>
    <xf numFmtId="0" fontId="2" fillId="0" borderId="27" applyAlignment="1" pivotButton="0" quotePrefix="0" xfId="0">
      <alignment horizontal="left" vertical="center" indent="1"/>
    </xf>
    <xf numFmtId="0" fontId="0" fillId="0" borderId="90" applyAlignment="1" pivotButton="0" quotePrefix="0" xfId="0">
      <alignment vertical="center"/>
    </xf>
    <xf numFmtId="0" fontId="0" fillId="0" borderId="119" applyAlignment="1" pivotButton="0" quotePrefix="0" xfId="0">
      <alignment vertical="center"/>
    </xf>
    <xf numFmtId="0" fontId="2" fillId="60" borderId="8" applyAlignment="1" pivotButton="0" quotePrefix="0" xfId="0">
      <alignment horizontal="center" vertical="center"/>
    </xf>
    <xf numFmtId="0" fontId="2" fillId="60" borderId="1" applyAlignment="1" pivotButton="0" quotePrefix="0" xfId="0">
      <alignment horizontal="center" vertical="center"/>
    </xf>
    <xf numFmtId="0" fontId="0" fillId="0" borderId="32" applyAlignment="1" pivotButton="0" quotePrefix="0" xfId="0">
      <alignment vertical="center"/>
    </xf>
    <xf numFmtId="0" fontId="0" fillId="0" borderId="12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 indent="1"/>
    </xf>
    <xf numFmtId="0" fontId="0" fillId="17" borderId="1" applyAlignment="1" pivotButton="0" quotePrefix="0" xfId="0">
      <alignment horizontal="left" vertical="center" wrapText="1" indent="1"/>
    </xf>
    <xf numFmtId="0" fontId="0" fillId="17" borderId="1" applyAlignment="1" pivotButton="0" quotePrefix="0" xfId="0">
      <alignment horizontal="center" vertical="center"/>
    </xf>
    <xf numFmtId="0" fontId="2" fillId="0" borderId="115" applyAlignment="1" pivotButton="0" quotePrefix="0" xfId="0">
      <alignment horizontal="center" vertical="center"/>
    </xf>
    <xf numFmtId="0" fontId="0" fillId="0" borderId="121" applyAlignment="1" pivotButton="0" quotePrefix="0" xfId="0">
      <alignment horizontal="left" vertical="center" indent="1"/>
    </xf>
    <xf numFmtId="0" fontId="0" fillId="0" borderId="118" applyAlignment="1" pivotButton="0" quotePrefix="0" xfId="0">
      <alignment vertical="center"/>
    </xf>
    <xf numFmtId="0" fontId="2" fillId="60" borderId="69" applyAlignment="1" pivotButton="0" quotePrefix="0" xfId="0">
      <alignment horizontal="center" vertical="center"/>
    </xf>
    <xf numFmtId="0" fontId="2" fillId="60" borderId="15" applyAlignment="1" pivotButton="0" quotePrefix="0" xfId="0">
      <alignment horizontal="center" vertical="center"/>
    </xf>
    <xf numFmtId="0" fontId="2" fillId="60" borderId="16" applyAlignment="1" pivotButton="0" quotePrefix="0" xfId="0">
      <alignment horizontal="center" vertical="center"/>
    </xf>
    <xf numFmtId="0" fontId="0" fillId="0" borderId="12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 wrapText="1" indent="1"/>
    </xf>
    <xf numFmtId="0" fontId="0" fillId="0" borderId="119" applyAlignment="1" pivotButton="0" quotePrefix="0" xfId="0">
      <alignment horizontal="center" vertical="center"/>
    </xf>
    <xf numFmtId="0" fontId="0" fillId="0" borderId="117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 wrapText="1" indent="1"/>
    </xf>
    <xf numFmtId="0" fontId="0" fillId="17" borderId="31" applyAlignment="1" pivotButton="0" quotePrefix="0" xfId="0">
      <alignment horizontal="center" vertical="center"/>
    </xf>
    <xf numFmtId="0" fontId="0" fillId="17" borderId="32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67" fillId="0" borderId="24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0" fontId="0" fillId="0" borderId="116" applyAlignment="1" pivotButton="0" quotePrefix="0" xfId="0">
      <alignment horizontal="center" vertical="center"/>
    </xf>
    <xf numFmtId="0" fontId="0" fillId="0" borderId="60" applyAlignment="1" pivotButton="0" quotePrefix="0" xfId="0">
      <alignment horizontal="center" vertical="center"/>
    </xf>
    <xf numFmtId="0" fontId="0" fillId="17" borderId="1" applyAlignment="1" pivotButton="0" quotePrefix="0" xfId="0">
      <alignment horizontal="left" vertical="center" indent="1"/>
    </xf>
    <xf numFmtId="0" fontId="0" fillId="17" borderId="21" applyAlignment="1" pivotButton="0" quotePrefix="0" xfId="0">
      <alignment horizontal="center" vertical="center"/>
    </xf>
    <xf numFmtId="0" fontId="0" fillId="17" borderId="23" applyAlignment="1" pivotButton="0" quotePrefix="0" xfId="0">
      <alignment horizontal="center" vertical="center"/>
    </xf>
    <xf numFmtId="0" fontId="0" fillId="0" borderId="115" applyAlignment="1" pivotButton="0" quotePrefix="0" xfId="0">
      <alignment horizontal="center" vertical="center"/>
    </xf>
    <xf numFmtId="0" fontId="0" fillId="0" borderId="121" applyAlignment="1" pivotButton="0" quotePrefix="0" xfId="0">
      <alignment horizontal="left" vertical="center" wrapText="1" indent="1"/>
    </xf>
    <xf numFmtId="0" fontId="69" fillId="0" borderId="1" applyAlignment="1" pivotButton="0" quotePrefix="0" xfId="0">
      <alignment horizontal="center" vertical="center"/>
    </xf>
    <xf numFmtId="0" fontId="69" fillId="0" borderId="1" applyAlignment="1" pivotButton="0" quotePrefix="0" xfId="0">
      <alignment horizontal="left" vertical="center"/>
    </xf>
    <xf numFmtId="0" fontId="0" fillId="18" borderId="49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0" fillId="18" borderId="5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164" fontId="0" fillId="18" borderId="1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/>
    </xf>
    <xf numFmtId="0" fontId="69" fillId="0" borderId="1" applyAlignment="1" pivotButton="0" quotePrefix="0" xfId="0">
      <alignment horizontal="left" vertical="center" indent="1"/>
    </xf>
    <xf numFmtId="0" fontId="50" fillId="0" borderId="1" applyAlignment="1" pivotButton="0" quotePrefix="0" xfId="0">
      <alignment horizontal="left" vertical="center"/>
    </xf>
    <xf numFmtId="0" fontId="5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61" fillId="4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5" fillId="3" borderId="3" applyAlignment="1" pivotButton="0" quotePrefix="0" xfId="0">
      <alignment horizontal="center" vertical="center"/>
    </xf>
    <xf numFmtId="0" fontId="46" fillId="48" borderId="14" applyAlignment="1" pivotButton="0" quotePrefix="0" xfId="0">
      <alignment horizontal="center" vertical="center"/>
    </xf>
    <xf numFmtId="0" fontId="46" fillId="48" borderId="15" applyAlignment="1" pivotButton="0" quotePrefix="0" xfId="0">
      <alignment horizontal="center" vertical="center"/>
    </xf>
    <xf numFmtId="0" fontId="46" fillId="48" borderId="16" applyAlignment="1" pivotButton="0" quotePrefix="0" xfId="0">
      <alignment horizontal="center" vertical="center"/>
    </xf>
    <xf numFmtId="0" fontId="52" fillId="14" borderId="1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15" fillId="13" borderId="10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49" fillId="2" borderId="4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4" borderId="4" applyAlignment="1" pivotButton="0" quotePrefix="0" xfId="0">
      <alignment horizontal="center" vertical="center"/>
    </xf>
    <xf numFmtId="0" fontId="49" fillId="4" borderId="5" applyAlignment="1" pivotButton="0" quotePrefix="0" xfId="0">
      <alignment horizontal="center" vertical="center"/>
    </xf>
    <xf numFmtId="0" fontId="49" fillId="4" borderId="6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49" fontId="35" fillId="8" borderId="4" applyAlignment="1" pivotButton="0" quotePrefix="0" xfId="0">
      <alignment horizontal="center" vertical="center"/>
    </xf>
    <xf numFmtId="49" fontId="35" fillId="8" borderId="5" applyAlignment="1" pivotButton="0" quotePrefix="0" xfId="0">
      <alignment horizontal="center" vertical="center"/>
    </xf>
    <xf numFmtId="49" fontId="35" fillId="8" borderId="6" applyAlignment="1" pivotButton="0" quotePrefix="0" xfId="0">
      <alignment horizontal="center" vertical="center"/>
    </xf>
    <xf numFmtId="0" fontId="47" fillId="3" borderId="3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/>
    </xf>
    <xf numFmtId="0" fontId="37" fillId="0" borderId="27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0" fontId="38" fillId="0" borderId="3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37" fillId="4" borderId="0" applyAlignment="1" pivotButton="0" quotePrefix="0" xfId="0">
      <alignment horizontal="center" vertical="center"/>
    </xf>
    <xf numFmtId="0" fontId="46" fillId="3" borderId="3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5" borderId="0" applyAlignment="1" pivotButton="0" quotePrefix="0" xfId="0">
      <alignment horizontal="center" vertical="center"/>
    </xf>
    <xf numFmtId="0" fontId="9" fillId="2" borderId="17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0" fontId="9" fillId="2" borderId="19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/>
    </xf>
    <xf numFmtId="0" fontId="55" fillId="0" borderId="3" applyAlignment="1" pivotButton="0" quotePrefix="0" xfId="0">
      <alignment horizontal="center" vertical="center"/>
    </xf>
    <xf numFmtId="0" fontId="10" fillId="13" borderId="4" applyAlignment="1" pivotButton="0" quotePrefix="0" xfId="0">
      <alignment horizontal="center" vertical="center"/>
    </xf>
    <xf numFmtId="0" fontId="10" fillId="13" borderId="5" applyAlignment="1" pivotButton="0" quotePrefix="0" xfId="0">
      <alignment horizontal="center" vertical="center"/>
    </xf>
    <xf numFmtId="0" fontId="10" fillId="13" borderId="6" applyAlignment="1" pivotButton="0" quotePrefix="0" xfId="0">
      <alignment horizontal="center" vertical="center"/>
    </xf>
    <xf numFmtId="0" fontId="52" fillId="9" borderId="10" applyAlignment="1" pivotButton="0" quotePrefix="0" xfId="0">
      <alignment horizontal="center" vertical="center"/>
    </xf>
    <xf numFmtId="0" fontId="52" fillId="9" borderId="0" applyAlignment="1" pivotButton="0" quotePrefix="0" xfId="0">
      <alignment horizontal="center" vertical="center"/>
    </xf>
    <xf numFmtId="0" fontId="61" fillId="0" borderId="1" applyAlignment="1" pivotButton="0" quotePrefix="0" xfId="0">
      <alignment horizontal="center" vertical="center"/>
    </xf>
    <xf numFmtId="0" fontId="61" fillId="0" borderId="7" applyAlignment="1" pivotButton="0" quotePrefix="0" xfId="0">
      <alignment horizontal="center" vertical="center"/>
    </xf>
    <xf numFmtId="0" fontId="61" fillId="0" borderId="2" applyAlignment="1" pivotButton="0" quotePrefix="0" xfId="0">
      <alignment horizontal="center" vertical="center"/>
    </xf>
    <xf numFmtId="0" fontId="61" fillId="0" borderId="8" applyAlignment="1" pivotButton="0" quotePrefix="0" xfId="0">
      <alignment horizontal="center" vertical="center"/>
    </xf>
    <xf numFmtId="0" fontId="65" fillId="8" borderId="1" applyAlignment="1" pivotButton="0" quotePrefix="0" xfId="0">
      <alignment horizontal="center" vertical="center"/>
    </xf>
    <xf numFmtId="0" fontId="65" fillId="8" borderId="112" applyAlignment="1" pivotButton="0" quotePrefix="0" xfId="0">
      <alignment horizontal="center" vertical="center"/>
    </xf>
    <xf numFmtId="0" fontId="65" fillId="8" borderId="108" applyAlignment="1" pivotButton="0" quotePrefix="0" xfId="0">
      <alignment horizontal="center" vertical="center"/>
    </xf>
    <xf numFmtId="0" fontId="65" fillId="8" borderId="109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2" fillId="39" borderId="0" applyAlignment="1" pivotButton="0" quotePrefix="0" xfId="0">
      <alignment horizontal="center" vertical="center"/>
    </xf>
    <xf numFmtId="0" fontId="0" fillId="39" borderId="0" applyAlignment="1" pivotButton="0" quotePrefix="0" xfId="0">
      <alignment horizontal="center" vertical="center"/>
    </xf>
    <xf numFmtId="0" fontId="0" fillId="11" borderId="62" applyAlignment="1" pivotButton="0" quotePrefix="0" xfId="0">
      <alignment horizontal="center" vertical="center"/>
    </xf>
    <xf numFmtId="0" fontId="0" fillId="11" borderId="63" applyAlignment="1" pivotButton="0" quotePrefix="0" xfId="0">
      <alignment horizontal="center" vertical="center"/>
    </xf>
    <xf numFmtId="0" fontId="0" fillId="11" borderId="64" applyAlignment="1" pivotButton="0" quotePrefix="0" xfId="0">
      <alignment horizontal="center" vertical="center"/>
    </xf>
    <xf numFmtId="0" fontId="0" fillId="11" borderId="45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38" fillId="0" borderId="103" applyAlignment="1" pivotButton="0" quotePrefix="0" xfId="0">
      <alignment horizontal="center" vertical="center"/>
    </xf>
    <xf numFmtId="0" fontId="38" fillId="0" borderId="104" applyAlignment="1" pivotButton="0" quotePrefix="0" xfId="0">
      <alignment horizontal="center" vertical="center"/>
    </xf>
    <xf numFmtId="0" fontId="38" fillId="0" borderId="105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8" borderId="29" applyAlignment="1" pivotButton="0" quotePrefix="0" xfId="0">
      <alignment horizontal="center" vertical="center"/>
    </xf>
    <xf numFmtId="0" fontId="6" fillId="8" borderId="24" applyAlignment="1" pivotButton="0" quotePrefix="0" xfId="0">
      <alignment horizontal="center" vertical="center"/>
    </xf>
    <xf numFmtId="0" fontId="40" fillId="20" borderId="14" applyAlignment="1" pivotButton="0" quotePrefix="0" xfId="0">
      <alignment horizontal="center"/>
    </xf>
    <xf numFmtId="0" fontId="40" fillId="20" borderId="15" applyAlignment="1" pivotButton="0" quotePrefix="0" xfId="0">
      <alignment horizontal="center"/>
    </xf>
    <xf numFmtId="0" fontId="40" fillId="20" borderId="16" applyAlignment="1" pivotButton="0" quotePrefix="0" xfId="0">
      <alignment horizontal="center"/>
    </xf>
    <xf numFmtId="0" fontId="6" fillId="8" borderId="21" applyAlignment="1" pivotButton="0" quotePrefix="0" xfId="0">
      <alignment horizontal="center" vertical="center" wrapText="1"/>
    </xf>
    <xf numFmtId="0" fontId="6" fillId="8" borderId="26" applyAlignment="1" pivotButton="0" quotePrefix="0" xfId="0">
      <alignment horizontal="center" vertical="center" wrapText="1"/>
    </xf>
    <xf numFmtId="0" fontId="6" fillId="19" borderId="53" applyAlignment="1" pivotButton="0" quotePrefix="0" xfId="0">
      <alignment horizontal="center" vertical="center"/>
    </xf>
    <xf numFmtId="0" fontId="6" fillId="19" borderId="54" applyAlignment="1" pivotButton="0" quotePrefix="0" xfId="0">
      <alignment horizontal="center" vertical="center"/>
    </xf>
    <xf numFmtId="0" fontId="40" fillId="20" borderId="14" applyAlignment="1" pivotButton="0" quotePrefix="0" xfId="0">
      <alignment horizontal="center" vertical="center"/>
    </xf>
    <xf numFmtId="0" fontId="40" fillId="20" borderId="15" applyAlignment="1" pivotButton="0" quotePrefix="0" xfId="0">
      <alignment horizontal="center" vertical="center"/>
    </xf>
    <xf numFmtId="0" fontId="40" fillId="20" borderId="30" applyAlignment="1" pivotButton="0" quotePrefix="0" xfId="0">
      <alignment horizontal="center" vertical="center"/>
    </xf>
    <xf numFmtId="0" fontId="40" fillId="20" borderId="16" applyAlignment="1" pivotButton="0" quotePrefix="0" xfId="0">
      <alignment horizontal="center" vertical="center"/>
    </xf>
    <xf numFmtId="0" fontId="6" fillId="8" borderId="25" applyAlignment="1" pivotButton="0" quotePrefix="0" xfId="0">
      <alignment horizontal="center" vertical="center"/>
    </xf>
    <xf numFmtId="0" fontId="6" fillId="8" borderId="20" applyAlignment="1" pivotButton="0" quotePrefix="0" xfId="0">
      <alignment horizontal="center" vertical="center"/>
    </xf>
    <xf numFmtId="0" fontId="6" fillId="8" borderId="21" applyAlignment="1" pivotButton="0" quotePrefix="0" xfId="0">
      <alignment horizontal="center" wrapText="1"/>
    </xf>
    <xf numFmtId="0" fontId="6" fillId="8" borderId="26" applyAlignment="1" pivotButton="0" quotePrefix="0" xfId="0">
      <alignment horizont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center" vertical="center"/>
    </xf>
    <xf numFmtId="0" fontId="27" fillId="17" borderId="1" applyAlignment="1" pivotButton="0" quotePrefix="0" xfId="0">
      <alignment horizontal="center" vertical="center"/>
    </xf>
    <xf numFmtId="0" fontId="21" fillId="30" borderId="13" applyAlignment="1" pivotButton="0" quotePrefix="0" xfId="0">
      <alignment horizontal="center" vertical="center" wrapText="1"/>
    </xf>
    <xf numFmtId="0" fontId="21" fillId="31" borderId="42" applyAlignment="1" pivotButton="0" quotePrefix="0" xfId="0">
      <alignment horizontal="center" vertical="center" wrapText="1"/>
    </xf>
    <xf numFmtId="0" fontId="23" fillId="17" borderId="4" applyAlignment="1" pivotButton="0" quotePrefix="0" xfId="0">
      <alignment horizontal="center" vertical="center"/>
    </xf>
    <xf numFmtId="0" fontId="23" fillId="17" borderId="5" applyAlignment="1" pivotButton="0" quotePrefix="0" xfId="0">
      <alignment horizontal="center" vertical="center"/>
    </xf>
    <xf numFmtId="0" fontId="23" fillId="17" borderId="6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20" fillId="6" borderId="5" applyAlignment="1" pivotButton="0" quotePrefix="0" xfId="0">
      <alignment horizontal="center" vertical="center"/>
    </xf>
    <xf numFmtId="0" fontId="20" fillId="6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40" fillId="22" borderId="35" applyAlignment="1" pivotButton="0" quotePrefix="0" xfId="0">
      <alignment horizontal="center" vertical="center" wrapText="1"/>
    </xf>
    <xf numFmtId="0" fontId="40" fillId="22" borderId="36" applyAlignment="1" pivotButton="0" quotePrefix="0" xfId="0">
      <alignment horizontal="center" vertical="center" wrapText="1"/>
    </xf>
    <xf numFmtId="0" fontId="40" fillId="22" borderId="34" applyAlignment="1" pivotButton="0" quotePrefix="0" xfId="0">
      <alignment horizontal="center" vertical="center" wrapText="1"/>
    </xf>
    <xf numFmtId="0" fontId="40" fillId="25" borderId="0" applyAlignment="1" pivotButton="0" quotePrefix="0" xfId="0">
      <alignment horizontal="center" wrapText="1"/>
    </xf>
    <xf numFmtId="0" fontId="6" fillId="0" borderId="0" pivotButton="0" quotePrefix="0" xfId="0"/>
    <xf numFmtId="0" fontId="40" fillId="2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40" fillId="0" borderId="14" applyAlignment="1" pivotButton="0" quotePrefix="0" xfId="0">
      <alignment horizontal="center"/>
    </xf>
    <xf numFmtId="0" fontId="40" fillId="0" borderId="16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40" fillId="0" borderId="82" applyAlignment="1" pivotButton="0" quotePrefix="0" xfId="0">
      <alignment horizontal="center" wrapText="1"/>
    </xf>
    <xf numFmtId="0" fontId="40" fillId="0" borderId="83" applyAlignment="1" pivotButton="0" quotePrefix="0" xfId="0">
      <alignment horizontal="center" wrapText="1"/>
    </xf>
    <xf numFmtId="0" fontId="40" fillId="25" borderId="0" applyAlignment="1" pivotButton="0" quotePrefix="0" xfId="0">
      <alignment horizontal="center" vertical="center"/>
    </xf>
    <xf numFmtId="0" fontId="40" fillId="2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 wrapText="1"/>
    </xf>
    <xf numFmtId="0" fontId="0" fillId="0" borderId="3" pivotButton="0" quotePrefix="0" xfId="0"/>
    <xf numFmtId="0" fontId="46" fillId="48" borderId="6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5" fontId="37" fillId="40" borderId="1" applyAlignment="1" pivotButton="0" quotePrefix="0" xfId="0">
      <alignment horizontal="center" vertical="center"/>
    </xf>
    <xf numFmtId="0" fontId="49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9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9" fillId="2" borderId="69" applyAlignment="1" pivotButton="0" quotePrefix="0" xfId="0">
      <alignment horizontal="center" vertical="center"/>
    </xf>
    <xf numFmtId="0" fontId="0" fillId="0" borderId="126" pivotButton="0" quotePrefix="0" xfId="0"/>
    <xf numFmtId="0" fontId="10" fillId="2" borderId="1" applyAlignment="1" pivotButton="0" quotePrefix="0" xfId="0">
      <alignment horizontal="center" vertical="center"/>
    </xf>
    <xf numFmtId="49" fontId="35" fillId="8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25" pivotButton="0" quotePrefix="0" xfId="0"/>
    <xf numFmtId="0" fontId="0" fillId="0" borderId="56" pivotButton="0" quotePrefix="0" xfId="0"/>
    <xf numFmtId="0" fontId="0" fillId="0" borderId="42" pivotButton="0" quotePrefix="0" xfId="0"/>
    <xf numFmtId="0" fontId="0" fillId="11" borderId="127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64" pivotButton="0" quotePrefix="0" xfId="0"/>
    <xf numFmtId="164" fontId="0" fillId="1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28" pivotButton="0" quotePrefix="0" xfId="0"/>
    <xf numFmtId="0" fontId="0" fillId="0" borderId="129" pivotButton="0" quotePrefix="0" xfId="0"/>
    <xf numFmtId="164" fontId="37" fillId="0" borderId="0" applyAlignment="1" pivotButton="0" quotePrefix="0" xfId="0">
      <alignment horizontal="center" vertical="center"/>
    </xf>
    <xf numFmtId="0" fontId="40" fillId="20" borderId="69" applyAlignment="1" pivotButton="0" quotePrefix="0" xfId="0">
      <alignment horizontal="center" vertical="center"/>
    </xf>
    <xf numFmtId="0" fontId="40" fillId="20" borderId="69" applyAlignment="1" pivotButton="0" quotePrefix="0" xfId="0">
      <alignment horizontal="center"/>
    </xf>
    <xf numFmtId="0" fontId="0" fillId="0" borderId="89" pivotButton="0" quotePrefix="0" xfId="0"/>
    <xf numFmtId="0" fontId="6" fillId="8" borderId="1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6" fillId="19" borderId="69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2" pivotButton="0" quotePrefix="0" xfId="0"/>
    <xf numFmtId="0" fontId="0" fillId="0" borderId="57" pivotButton="0" quotePrefix="0" xfId="0"/>
    <xf numFmtId="0" fontId="0" fillId="0" borderId="51" pivotButton="0" quotePrefix="0" xfId="0"/>
    <xf numFmtId="0" fontId="20" fillId="6" borderId="1" applyAlignment="1" pivotButton="0" quotePrefix="0" xfId="0">
      <alignment horizontal="center" vertical="center"/>
    </xf>
    <xf numFmtId="0" fontId="40" fillId="22" borderId="37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4" pivotButton="0" quotePrefix="0" xfId="0"/>
    <xf numFmtId="0" fontId="40" fillId="0" borderId="69" applyAlignment="1" pivotButton="0" quotePrefix="0" xfId="0">
      <alignment horizontal="center"/>
    </xf>
    <xf numFmtId="0" fontId="40" fillId="0" borderId="113" applyAlignment="1" pivotButton="0" quotePrefix="0" xfId="0">
      <alignment horizontal="center" wrapText="1"/>
    </xf>
    <xf numFmtId="0" fontId="0" fillId="0" borderId="83" pivotButton="0" quotePrefix="0" xfId="0"/>
    <xf numFmtId="0" fontId="0" fillId="0" borderId="130" pivotButton="0" quotePrefix="0" xfId="0"/>
  </cellXfs>
  <cellStyles count="3">
    <cellStyle name="Normal" xfId="0" builtinId="0"/>
    <cellStyle name="Normal 9" xfId="1"/>
    <cellStyle name="Bad" xfId="2" builtinId="2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Neil Lapalikar</author>
    <author>Admin</author>
  </authors>
  <commentList>
    <comment ref="B48" authorId="0" shapeId="0">
      <text>
        <t>Neil Lapalikar:
=IF(AND(OR(B35&lt;25,'DATA TRANSFER'!Q585=1,'DATA TRANSFER'!$F$12=1),calculation!B49=0),1,0)</t>
      </text>
    </comment>
    <comment ref="E49" authorId="1" shapeId="0">
      <text>
        <t>Admin:
OLD VENT FORMULA</t>
      </text>
    </comment>
    <comment ref="B73" authorId="0" shapeId="0">
      <text>
        <t>Neil Lapalikar:
=IF(B56=0,IF(OR(B57:B66,B69),1,0))</t>
      </text>
    </comment>
  </commentList>
</comments>
</file>

<file path=xl/comments/comment2.xml><?xml version="1.0" encoding="utf-8"?>
<comments xmlns="http://schemas.openxmlformats.org/spreadsheetml/2006/main">
  <authors>
    <author>Neil Lapalikar</author>
    <author>Admin</author>
  </authors>
  <commentList>
    <comment ref="B48" authorId="0" shapeId="0">
      <text>
        <t>Neil Lapalikar:
=IF(AND(OR(B35&lt;25,'DATA TRANSFER'!Q585=1,'DATA TRANSFER'!$F$12=1),calculation!B49=0),1,0)</t>
      </text>
    </comment>
    <comment ref="E49" authorId="1" shapeId="0">
      <text>
        <t>Admin:
OLD VENT FORMULA</t>
      </text>
    </comment>
    <comment ref="B73" authorId="0" shapeId="0">
      <text>
        <t>Neil Lapalikar:
=IF(B56=0,IF(OR(B57:B66,B69),1,0))</t>
      </text>
    </comment>
  </commentList>
</comments>
</file>

<file path=xl/comments/comment3.xml><?xml version="1.0" encoding="utf-8"?>
<comments xmlns="http://schemas.openxmlformats.org/spreadsheetml/2006/main">
  <authors>
    <author>Admin</author>
  </authors>
  <commentList>
    <comment ref="B28" authorId="0" shapeId="0">
      <text>
        <t>Admin:
=IF(AND(H10&gt;=H7,B26:B27=0,B32=0),1,0)</t>
      </text>
    </comment>
  </commentList>
</comments>
</file>

<file path=xl/comments/comment4.xml><?xml version="1.0" encoding="utf-8"?>
<comments xmlns="http://schemas.openxmlformats.org/spreadsheetml/2006/main">
  <authors>
    <author>Neil Lapalikar</author>
  </authors>
  <commentList>
    <comment ref="G11" authorId="0" shapeId="0">
      <text>
        <t>Neil Lapalikar:
=IF(AND(F6&gt;=F5+0.5,V6&lt;=50,K6=0,V7),1,0)</t>
      </text>
    </comment>
    <comment ref="H11" authorId="0" shapeId="0">
      <text>
        <t>Neil Lapalikar:
=IF(AND(F6 &lt;=25, V6 &lt;= 50, K6=0, V8=1), 1, 0)</t>
      </text>
    </comment>
    <comment ref="F108" authorId="0" shapeId="0">
      <text>
        <t>Neil Lapalikar:
=IF(AND(HVAC_IOs!D30=1,HVAC_IOs!D31=1,HVAC_IOs!D32=1,HVAC_IOs!D33=1,HVAC_IOs!D34=1,HVAC_IOs!D35=1,HVAC_IOs!D36=1,HVAC_IOs!D37=1,HVAC_IOs!D38=1,HVAC_IOs!D39=1,HVAC_IOs!D40=1,HVAC_IOs!D41=1,HVAC_IOs!D42=1,HVAC_IOs!D43=1,HVAC_IOs!D44=1),1,0)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581025</colOff>
      <row>2</row>
      <rowOff>28575</rowOff>
    </from>
    <to>
      <col>11</col>
      <colOff>29434</colOff>
      <row>16</row>
      <rowOff>171842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81025" y="409575"/>
          <a:ext cx="6154009" cy="281026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600075</colOff>
      <row>17</row>
      <rowOff>28575</rowOff>
    </from>
    <to>
      <col>17</col>
      <colOff>144258</colOff>
      <row>50</row>
      <rowOff>29452</rowOff>
    </to>
    <pic>
      <nvPicPr>
        <cNvPr id="4" name="Picture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00075" y="3267075"/>
          <a:ext cx="9907383" cy="628737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19050</colOff>
      <row>53</row>
      <rowOff>76200</rowOff>
    </from>
    <to>
      <col>19</col>
      <colOff>230161</colOff>
      <row>82</row>
      <rowOff>181761</rowOff>
    </to>
    <pic>
      <nvPicPr>
        <cNvPr id="3" name="Picture 2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628650" y="10172700"/>
          <a:ext cx="11183911" cy="563006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816:S869"/>
  <sheetViews>
    <sheetView tabSelected="1" topLeftCell="A816" zoomScale="55" zoomScaleNormal="55" workbookViewId="0">
      <selection activeCell="H841" sqref="H841"/>
    </sheetView>
  </sheetViews>
  <sheetFormatPr baseColWidth="8" defaultColWidth="8.7265625" defaultRowHeight="14.5"/>
  <cols>
    <col width="13.453125" customWidth="1" style="263" min="1" max="1"/>
    <col width="47.1796875" customWidth="1" style="263" min="2" max="2"/>
    <col width="56.26953125" customWidth="1" style="295" min="3" max="3"/>
    <col width="15.26953125" customWidth="1" style="309" min="4" max="4"/>
    <col width="14.453125" customWidth="1" style="263" min="5" max="5"/>
    <col width="49.453125" customWidth="1" style="263" min="6" max="6"/>
    <col width="55.453125" customWidth="1" style="263" min="7" max="7"/>
    <col width="39.81640625" customWidth="1" style="309" min="8" max="8"/>
    <col width="50.453125" customWidth="1" style="309" min="9" max="10"/>
    <col width="34" customWidth="1" style="263" min="11" max="11"/>
    <col width="54.1796875" customWidth="1" style="263" min="12" max="12"/>
    <col width="38.453125" customWidth="1" style="309" min="13" max="13"/>
    <col width="30.1796875" bestFit="1" customWidth="1" style="263" min="14" max="14"/>
    <col width="35.81640625" customWidth="1" style="263" min="15" max="15"/>
    <col width="18.1796875" customWidth="1" style="309" min="16" max="16"/>
    <col width="12.26953125" customWidth="1" style="263" min="17" max="17"/>
    <col width="33.81640625" bestFit="1" customWidth="1" style="263" min="18" max="18"/>
    <col width="47.36328125" customWidth="1" style="309" min="19" max="19"/>
  </cols>
  <sheetData>
    <row r="816" ht="48" customHeight="1">
      <c r="A816" s="759" t="inlineStr">
        <is>
          <t>Unity_DS3D (CPU_WS)</t>
        </is>
      </c>
      <c r="B816" s="869" t="n"/>
      <c r="C816" s="869" t="n"/>
      <c r="D816" s="869" t="n"/>
      <c r="E816" s="869" t="n"/>
      <c r="F816" s="869" t="n"/>
      <c r="G816" s="869" t="n"/>
      <c r="H816" s="869" t="n"/>
      <c r="I816" s="869" t="n"/>
      <c r="J816" s="869" t="n"/>
      <c r="K816" s="869" t="n"/>
      <c r="L816" s="869" t="n"/>
      <c r="M816" s="869" t="n"/>
      <c r="N816" s="869" t="n"/>
      <c r="O816" s="870" t="n"/>
    </row>
    <row r="817" hidden="1"/>
    <row r="818" ht="42.75" customHeight="1"/>
    <row r="819" ht="66.75" customHeight="1">
      <c r="A819" s="754" t="inlineStr">
        <is>
          <t>Unity INPUTS from DS3D</t>
        </is>
      </c>
      <c r="B819" s="869" t="n"/>
      <c r="C819" s="869" t="n"/>
      <c r="D819" s="869" t="n"/>
      <c r="E819" s="869" t="n"/>
      <c r="F819" s="869" t="n"/>
      <c r="G819" s="870" t="n"/>
      <c r="I819" s="754" t="inlineStr">
        <is>
          <t>OUTPUT TO DS3D</t>
        </is>
      </c>
      <c r="J819" s="869" t="n"/>
      <c r="K819" s="869" t="n"/>
      <c r="L819" s="869" t="n"/>
      <c r="M819" s="869" t="n"/>
      <c r="N819" s="869" t="n"/>
      <c r="O819" s="870" t="n"/>
      <c r="R819" s="763" t="inlineStr">
        <is>
          <t>TO UNITY</t>
        </is>
      </c>
      <c r="S819" s="863" t="n"/>
    </row>
    <row r="820" ht="27" customHeight="1">
      <c r="A820" s="5" t="inlineStr">
        <is>
          <t>SR.No</t>
        </is>
      </c>
      <c r="B820" s="5" t="inlineStr">
        <is>
          <t>Variable</t>
        </is>
      </c>
      <c r="C820" s="19" t="inlineStr">
        <is>
          <t>Labels</t>
        </is>
      </c>
      <c r="D820" s="5" t="inlineStr">
        <is>
          <t xml:space="preserve">Units </t>
        </is>
      </c>
      <c r="E820" s="5" t="inlineStr">
        <is>
          <t>Data Type</t>
        </is>
      </c>
      <c r="F820" s="5" t="inlineStr">
        <is>
          <t>Value</t>
        </is>
      </c>
      <c r="G820" s="5" t="inlineStr">
        <is>
          <t>Remark</t>
        </is>
      </c>
      <c r="I820" s="5" t="inlineStr">
        <is>
          <t>SR.No</t>
        </is>
      </c>
      <c r="J820" s="5" t="inlineStr">
        <is>
          <t>Variable</t>
        </is>
      </c>
      <c r="K820" s="5" t="inlineStr">
        <is>
          <t>Labels</t>
        </is>
      </c>
      <c r="L820" s="5" t="inlineStr">
        <is>
          <t xml:space="preserve">Units </t>
        </is>
      </c>
      <c r="M820" s="5" t="inlineStr">
        <is>
          <t>Data Type</t>
        </is>
      </c>
      <c r="N820" s="5" t="inlineStr">
        <is>
          <t>Value</t>
        </is>
      </c>
      <c r="O820" s="5" t="inlineStr">
        <is>
          <t>Remark</t>
        </is>
      </c>
      <c r="P820" s="530" t="inlineStr">
        <is>
          <t>Do not touch</t>
        </is>
      </c>
      <c r="R820" s="402" t="inlineStr">
        <is>
          <t>Requirement</t>
        </is>
      </c>
      <c r="S820" s="402" t="inlineStr">
        <is>
          <t>Remarks</t>
        </is>
      </c>
    </row>
    <row r="821" ht="17.25" customFormat="1" customHeight="1" s="263">
      <c r="A821" s="714" t="n">
        <v>1</v>
      </c>
      <c r="B821" s="724" t="inlineStr">
        <is>
          <t>Active_Fault_Status</t>
        </is>
      </c>
      <c r="C821" s="715" t="inlineStr">
        <is>
          <t>Active Fault Status</t>
        </is>
      </c>
      <c r="D821" s="714" t="inlineStr">
        <is>
          <t>Code</t>
        </is>
      </c>
      <c r="E821" s="714" t="inlineStr">
        <is>
          <t>Integer</t>
        </is>
      </c>
      <c r="F821" s="714" t="n">
        <v>1</v>
      </c>
      <c r="G821" s="714" t="inlineStr">
        <is>
          <t>If Fault is active: 1, Fault Inactive: 0</t>
        </is>
      </c>
      <c r="I821" s="714" t="n">
        <v>1</v>
      </c>
      <c r="J821" s="715" t="inlineStr">
        <is>
          <t>BlueArrowOut</t>
        </is>
      </c>
      <c r="K821" s="715" t="inlineStr">
        <is>
          <t>Fresh Air arrow</t>
        </is>
      </c>
      <c r="L821" s="714" t="inlineStr">
        <is>
          <t>Fresh Air blue arrow</t>
        </is>
      </c>
      <c r="M821" s="714" t="inlineStr">
        <is>
          <t>Integer</t>
        </is>
      </c>
      <c r="N821" s="714" t="n">
        <v>5</v>
      </c>
      <c r="O821" s="714" t="inlineStr">
        <is>
          <t>0-10 (Speed)</t>
        </is>
      </c>
      <c r="P821" s="263">
        <f>IF('Mode Logic'!V18=1,5,0)</f>
        <v/>
      </c>
      <c r="R821" s="403" t="inlineStr">
        <is>
          <t>Every Arrow with Speed</t>
        </is>
      </c>
      <c r="S821" s="403" t="n"/>
    </row>
    <row r="822" ht="17.25" customFormat="1" customHeight="1" s="263">
      <c r="A822" s="714" t="n">
        <v>2</v>
      </c>
      <c r="B822" s="724" t="inlineStr">
        <is>
          <t>Current_Step_Number</t>
        </is>
      </c>
      <c r="C822" s="715" t="inlineStr">
        <is>
          <t>Current Step Number</t>
        </is>
      </c>
      <c r="D822" s="714" t="inlineStr">
        <is>
          <t>Step</t>
        </is>
      </c>
      <c r="E822" s="714" t="inlineStr">
        <is>
          <t>Integer</t>
        </is>
      </c>
      <c r="F822" s="714" t="n">
        <v>1</v>
      </c>
      <c r="G822" s="714" t="inlineStr">
        <is>
          <t>1-based step index in procedure (0 = reset/unstarted)</t>
        </is>
      </c>
      <c r="I822" s="714" t="n">
        <v>2</v>
      </c>
      <c r="J822" s="715" t="inlineStr">
        <is>
          <t>Fan1</t>
        </is>
      </c>
      <c r="K822" s="715" t="inlineStr">
        <is>
          <t>Condensor Fan RedArrow Set 1</t>
        </is>
      </c>
      <c r="L822" s="714" t="inlineStr">
        <is>
          <t>Condensor Fan RedArrow Set 1</t>
        </is>
      </c>
      <c r="M822" s="714" t="inlineStr">
        <is>
          <t>Integer</t>
        </is>
      </c>
      <c r="N822" s="714" t="n">
        <v>5</v>
      </c>
      <c r="O822" s="714" t="inlineStr">
        <is>
          <t>0-10 (Speed)</t>
        </is>
      </c>
      <c r="P822" s="263">
        <f>IF('Mode Logic'!T18=1,5,0)</f>
        <v/>
      </c>
      <c r="R822" s="403" t="inlineStr">
        <is>
          <t>Every Arrow Colour Control</t>
        </is>
      </c>
      <c r="S822" s="403" t="n"/>
    </row>
    <row r="823" ht="17.25" customFormat="1" customHeight="1" s="263">
      <c r="A823" s="714" t="n">
        <v>3</v>
      </c>
      <c r="B823" s="724" t="inlineStr">
        <is>
          <t>Total_Steps</t>
        </is>
      </c>
      <c r="C823" s="715" t="inlineStr">
        <is>
          <t>Total Steps in Procedure</t>
        </is>
      </c>
      <c r="D823" s="714" t="inlineStr">
        <is>
          <t>Steps</t>
        </is>
      </c>
      <c r="E823" s="714" t="inlineStr">
        <is>
          <t>Integer</t>
        </is>
      </c>
      <c r="F823" s="714" t="n">
        <v>15</v>
      </c>
      <c r="G823" s="714" t="inlineStr">
        <is>
          <t>Total steps for active fault</t>
        </is>
      </c>
      <c r="I823" s="714" t="n">
        <v>3</v>
      </c>
      <c r="J823" s="715" t="inlineStr">
        <is>
          <t>Fan2</t>
        </is>
      </c>
      <c r="K823" s="715" t="inlineStr">
        <is>
          <t>Evaporator Fan RedArrow Set 2</t>
        </is>
      </c>
      <c r="L823" s="714" t="inlineStr">
        <is>
          <t>Evaporator Fan RedArrow Set 2</t>
        </is>
      </c>
      <c r="M823" s="714" t="inlineStr">
        <is>
          <t>Integer</t>
        </is>
      </c>
      <c r="N823" s="714" t="n">
        <v>5</v>
      </c>
      <c r="O823" s="714" t="inlineStr">
        <is>
          <t>0-10 (Speed)</t>
        </is>
      </c>
      <c r="P823" s="263">
        <f>IF('Mode Logic'!U18=1,5,0)</f>
        <v/>
      </c>
      <c r="R823" s="403" t="inlineStr">
        <is>
          <t>Application Quit</t>
        </is>
      </c>
      <c r="S823" s="403" t="n"/>
    </row>
    <row r="824" ht="17.25" customFormat="1" customHeight="1" s="263">
      <c r="A824" s="714" t="n">
        <v>4</v>
      </c>
      <c r="B824" s="724" t="inlineStr">
        <is>
          <t>Wrong_Attempts</t>
        </is>
      </c>
      <c r="C824" s="715" t="inlineStr">
        <is>
          <t>Wrong Attempts Counter</t>
        </is>
      </c>
      <c r="D824" s="714" t="inlineStr">
        <is>
          <t>Count</t>
        </is>
      </c>
      <c r="E824" s="714" t="inlineStr">
        <is>
          <t>Integer</t>
        </is>
      </c>
      <c r="F824" s="714" t="n">
        <v>0</v>
      </c>
      <c r="G824" s="714" t="inlineStr">
        <is>
          <t>Total number of times wrong steps were taken</t>
        </is>
      </c>
      <c r="I824" s="714" t="n">
        <v>4</v>
      </c>
      <c r="J824" s="715" t="inlineStr">
        <is>
          <t>GreenArrowIN1</t>
        </is>
      </c>
      <c r="K824" s="715" t="inlineStr">
        <is>
          <t>Fresh Air Damper Right</t>
        </is>
      </c>
      <c r="L824" s="714" t="inlineStr">
        <is>
          <t>Fresh Air Damper Right</t>
        </is>
      </c>
      <c r="M824" s="714" t="inlineStr">
        <is>
          <t>Integer</t>
        </is>
      </c>
      <c r="N824" s="714" t="n">
        <v>0</v>
      </c>
      <c r="O824" s="714" t="inlineStr">
        <is>
          <t>0-10 (Speed)</t>
        </is>
      </c>
      <c r="P824" s="263">
        <f>IF('Mode Logic'!P18=1,5,0)</f>
        <v/>
      </c>
      <c r="R824" s="403" t="inlineStr">
        <is>
          <t>Fresh Air Damper Left Position</t>
        </is>
      </c>
      <c r="S824" s="403" t="n"/>
    </row>
    <row r="825" ht="17.25" customFormat="1" customHeight="1" s="263">
      <c r="A825" s="714" t="n">
        <v>5</v>
      </c>
      <c r="B825" s="724" t="inlineStr">
        <is>
          <t>Fault_101_Status</t>
        </is>
      </c>
      <c r="C825" s="715" t="inlineStr">
        <is>
          <t>Fault 101: No HVAC operations</t>
        </is>
      </c>
      <c r="D825" s="714" t="inlineStr">
        <is>
          <t>State</t>
        </is>
      </c>
      <c r="E825" s="714" t="inlineStr">
        <is>
          <t>Boolean</t>
        </is>
      </c>
      <c r="F825" s="714" t="n">
        <v>0</v>
      </c>
      <c r="G825" s="714" t="inlineStr">
        <is>
          <t>0: Inactive, 1: Active (14 steps)</t>
        </is>
      </c>
      <c r="I825" s="714" t="n">
        <v>5</v>
      </c>
      <c r="J825" s="715" t="inlineStr">
        <is>
          <t>GreenArrowIN2</t>
        </is>
      </c>
      <c r="K825" s="715" t="inlineStr">
        <is>
          <t>Fresh Air Damper left</t>
        </is>
      </c>
      <c r="L825" s="714" t="inlineStr">
        <is>
          <t>Fresh Air Damper left</t>
        </is>
      </c>
      <c r="M825" s="714" t="inlineStr">
        <is>
          <t>Integer</t>
        </is>
      </c>
      <c r="N825" s="714" t="n">
        <v>0</v>
      </c>
      <c r="O825" s="714" t="inlineStr">
        <is>
          <t>0-10 (Speed)</t>
        </is>
      </c>
      <c r="P825" s="263">
        <f>IF('Mode Logic'!P18=1,5,0)</f>
        <v/>
      </c>
      <c r="R825" s="403" t="inlineStr">
        <is>
          <t>Fresh Air Damper Right Position</t>
        </is>
      </c>
      <c r="S825" s="403" t="n"/>
    </row>
    <row r="826" ht="17.25" customHeight="1">
      <c r="A826" s="714" t="n">
        <v>6</v>
      </c>
      <c r="B826" s="724" t="inlineStr">
        <is>
          <t>Fault_102_Status</t>
        </is>
      </c>
      <c r="C826" s="715" t="inlineStr">
        <is>
          <t>Fault 102: No ventilation</t>
        </is>
      </c>
      <c r="D826" s="714" t="inlineStr">
        <is>
          <t>State</t>
        </is>
      </c>
      <c r="E826" s="714" t="inlineStr">
        <is>
          <t>Boolean</t>
        </is>
      </c>
      <c r="F826" s="714" t="n">
        <v>0</v>
      </c>
      <c r="G826" s="714" t="inlineStr">
        <is>
          <t>0: Inactive, 1: Active (22 steps)</t>
        </is>
      </c>
      <c r="I826" s="714" t="n">
        <v>6</v>
      </c>
      <c r="J826" s="715" t="inlineStr">
        <is>
          <t>YellowArrowIn</t>
        </is>
      </c>
      <c r="K826" s="715" t="inlineStr">
        <is>
          <t>Return Air Damper</t>
        </is>
      </c>
      <c r="L826" s="714" t="inlineStr">
        <is>
          <t>Return Air Damper</t>
        </is>
      </c>
      <c r="M826" s="714" t="inlineStr">
        <is>
          <t>Integer</t>
        </is>
      </c>
      <c r="N826" s="714" t="n">
        <v>5</v>
      </c>
      <c r="O826" s="714" t="inlineStr">
        <is>
          <t>0-10 (Speed)</t>
        </is>
      </c>
      <c r="P826" s="263">
        <f>IF('Mode Logic'!Q18=1,5,0)</f>
        <v/>
      </c>
      <c r="R826" s="403" t="inlineStr">
        <is>
          <t>Return Air Damper Position</t>
        </is>
      </c>
      <c r="S826" s="425" t="n"/>
    </row>
    <row r="827" ht="17.25" customHeight="1">
      <c r="A827" s="714" t="n">
        <v>7</v>
      </c>
      <c r="B827" s="724" t="inlineStr">
        <is>
          <t>Fault_103_Status</t>
        </is>
      </c>
      <c r="C827" s="715" t="inlineStr">
        <is>
          <t>Fault 103: Reduced ventilation</t>
        </is>
      </c>
      <c r="D827" s="714" t="inlineStr">
        <is>
          <t>State</t>
        </is>
      </c>
      <c r="E827" s="714" t="inlineStr">
        <is>
          <t>Boolean</t>
        </is>
      </c>
      <c r="F827" s="714" t="n">
        <v>0</v>
      </c>
      <c r="G827" s="714" t="inlineStr">
        <is>
          <t>0: Inactive, 1: Active (15 steps)</t>
        </is>
      </c>
      <c r="I827" s="714" t="n">
        <v>7</v>
      </c>
      <c r="J827" s="715" t="inlineStr">
        <is>
          <t>RedArrow_Inlet</t>
        </is>
      </c>
      <c r="K827" s="715" t="inlineStr">
        <is>
          <t>Fresh Air arrow Colour</t>
        </is>
      </c>
      <c r="L827" s="714" t="inlineStr">
        <is>
          <t>Intensity</t>
        </is>
      </c>
      <c r="M827" s="714" t="inlineStr">
        <is>
          <t>Float</t>
        </is>
      </c>
      <c r="N827" s="714" t="n">
        <v>0</v>
      </c>
      <c r="O827" s="714" t="inlineStr">
        <is>
          <t>0: Red, 1: Green, 2: Yellow, 3: Blue</t>
        </is>
      </c>
      <c r="R827" s="403" t="inlineStr">
        <is>
          <t>Fault Code</t>
        </is>
      </c>
      <c r="S827" s="425" t="inlineStr">
        <is>
          <t>Code to trigger the repective fault on Unity</t>
        </is>
      </c>
    </row>
    <row r="828" ht="17.25" customHeight="1">
      <c r="A828" s="714" t="n">
        <v>8</v>
      </c>
      <c r="B828" s="724" t="inlineStr">
        <is>
          <t>Fault_104_Status</t>
        </is>
      </c>
      <c r="C828" s="715" t="inlineStr">
        <is>
          <t>Fault 104: Suction low and discharge low (C1)</t>
        </is>
      </c>
      <c r="D828" s="714" t="inlineStr">
        <is>
          <t>State</t>
        </is>
      </c>
      <c r="E828" s="714" t="inlineStr">
        <is>
          <t>Boolean</t>
        </is>
      </c>
      <c r="F828" s="714" t="n">
        <v>1</v>
      </c>
      <c r="G828" s="714" t="inlineStr">
        <is>
          <t>0: Inactive, 1: Active (15 steps)</t>
        </is>
      </c>
      <c r="I828" s="714" t="n">
        <v>8</v>
      </c>
      <c r="J828" s="715" t="inlineStr">
        <is>
          <t>RedArrow_Outlet</t>
        </is>
      </c>
      <c r="K828" s="715" t="inlineStr">
        <is>
          <t>Condensor Fan RedArrow Set 1 Colour</t>
        </is>
      </c>
      <c r="L828" s="714" t="inlineStr">
        <is>
          <t>Intensity</t>
        </is>
      </c>
      <c r="M828" s="714" t="inlineStr">
        <is>
          <t>Float</t>
        </is>
      </c>
      <c r="N828" s="714" t="n">
        <v>0</v>
      </c>
      <c r="O828" s="714" t="inlineStr">
        <is>
          <t>0: Red, 1: Green, 2: Yellow, 3: Blue</t>
        </is>
      </c>
      <c r="R828" s="403" t="inlineStr">
        <is>
          <t>Fault Reset Trigger</t>
        </is>
      </c>
      <c r="S828" s="403" t="inlineStr">
        <is>
          <t>Boolean in Excel toReset Entire Screen to Normal Mode</t>
        </is>
      </c>
    </row>
    <row r="829" ht="17.25" customHeight="1">
      <c r="A829" s="714" t="n">
        <v>9</v>
      </c>
      <c r="B829" s="724" t="inlineStr">
        <is>
          <t>Fault_105_Status</t>
        </is>
      </c>
      <c r="C829" s="715" t="inlineStr">
        <is>
          <t>Fault 105: Suction low and discharge low (C2)</t>
        </is>
      </c>
      <c r="D829" s="714" t="inlineStr">
        <is>
          <t>State</t>
        </is>
      </c>
      <c r="E829" s="714" t="inlineStr">
        <is>
          <t>Boolean</t>
        </is>
      </c>
      <c r="F829" s="714" t="n">
        <v>0</v>
      </c>
      <c r="G829" s="714" t="inlineStr">
        <is>
          <t>0: Inactive, 1: Active (14 steps)</t>
        </is>
      </c>
      <c r="I829" s="714" t="n">
        <v>9</v>
      </c>
      <c r="J829" s="715" t="inlineStr">
        <is>
          <t>BlueArrow_Outlet</t>
        </is>
      </c>
      <c r="K829" s="715" t="inlineStr">
        <is>
          <t>Evaporator Fan RedArrow Set 2 Colour</t>
        </is>
      </c>
      <c r="L829" s="714" t="inlineStr">
        <is>
          <t>Intensity</t>
        </is>
      </c>
      <c r="M829" s="714" t="inlineStr">
        <is>
          <t>Float</t>
        </is>
      </c>
      <c r="N829" s="714" t="n">
        <v>0</v>
      </c>
      <c r="O829" s="714" t="inlineStr">
        <is>
          <t>0: Red, 1: Green, 2: Yellow, 3: Blue</t>
        </is>
      </c>
      <c r="R829" s="403" t="inlineStr">
        <is>
          <t>Show Hide Objects</t>
        </is>
      </c>
      <c r="S829" s="425" t="n"/>
    </row>
    <row r="830" ht="17.25" customHeight="1">
      <c r="A830" s="714" t="n">
        <v>10</v>
      </c>
      <c r="B830" s="724" t="inlineStr">
        <is>
          <t>Fault_106_Status</t>
        </is>
      </c>
      <c r="C830" s="715" t="inlineStr">
        <is>
          <t>Fault 106: High suction and high discharge</t>
        </is>
      </c>
      <c r="D830" s="714" t="inlineStr">
        <is>
          <t>State</t>
        </is>
      </c>
      <c r="E830" s="714" t="inlineStr">
        <is>
          <t>Boolean</t>
        </is>
      </c>
      <c r="F830" s="714" t="n">
        <v>0</v>
      </c>
      <c r="G830" s="714" t="inlineStr">
        <is>
          <t>0: Inactive, 1: Active (26 steps)</t>
        </is>
      </c>
      <c r="I830" s="714" t="n">
        <v>10</v>
      </c>
      <c r="J830" s="715" t="inlineStr">
        <is>
          <t>GreenArrow_Inlet</t>
        </is>
      </c>
      <c r="K830" s="715" t="inlineStr">
        <is>
          <t>Fresh Air Inlet Color Intensity</t>
        </is>
      </c>
      <c r="L830" s="714" t="inlineStr">
        <is>
          <t>Intensity</t>
        </is>
      </c>
      <c r="M830" s="714" t="inlineStr">
        <is>
          <t>Float</t>
        </is>
      </c>
      <c r="N830" s="714" t="n">
        <v>0</v>
      </c>
      <c r="O830" s="714" t="inlineStr">
        <is>
          <t>0-10 (Material color lerp)</t>
        </is>
      </c>
      <c r="R830" s="403" t="inlineStr">
        <is>
          <t>All Component Highlight</t>
        </is>
      </c>
      <c r="S830" s="403" t="inlineStr">
        <is>
          <t>As per discussion</t>
        </is>
      </c>
    </row>
    <row r="831" ht="17.25" customHeight="1">
      <c r="A831" s="714" t="n">
        <v>11</v>
      </c>
      <c r="B831" s="724" t="inlineStr">
        <is>
          <t>Fault_107_Status</t>
        </is>
      </c>
      <c r="C831" s="715" t="inlineStr">
        <is>
          <t>Fault 107: Compressor not operating</t>
        </is>
      </c>
      <c r="D831" s="714" t="inlineStr">
        <is>
          <t>State</t>
        </is>
      </c>
      <c r="E831" s="714" t="inlineStr">
        <is>
          <t>Boolean</t>
        </is>
      </c>
      <c r="F831" s="714" t="n">
        <v>0</v>
      </c>
      <c r="G831" s="714" t="inlineStr">
        <is>
          <t>0: Inactive, 1: Active (40 steps)</t>
        </is>
      </c>
      <c r="I831" s="714" t="n">
        <v>11</v>
      </c>
      <c r="J831" s="715" t="inlineStr">
        <is>
          <t>YellowArrow_Inlet</t>
        </is>
      </c>
      <c r="K831" s="715" t="inlineStr">
        <is>
          <t>Return Air Inlet Color Intensity</t>
        </is>
      </c>
      <c r="L831" s="714" t="inlineStr">
        <is>
          <t>Intensity</t>
        </is>
      </c>
      <c r="M831" s="714" t="inlineStr">
        <is>
          <t>Float</t>
        </is>
      </c>
      <c r="N831" s="714" t="n">
        <v>0</v>
      </c>
      <c r="O831" s="714" t="inlineStr">
        <is>
          <t>0-10 (Material color lerp)</t>
        </is>
      </c>
      <c r="R831" s="800" t="n"/>
    </row>
    <row r="832" ht="17.25" customHeight="1">
      <c r="A832" s="714" t="n">
        <v>12</v>
      </c>
      <c r="B832" s="724" t="inlineStr">
        <is>
          <t>Fault_108_Status</t>
        </is>
      </c>
      <c r="C832" s="715" t="inlineStr">
        <is>
          <t>Fault 108: Reduced cooling</t>
        </is>
      </c>
      <c r="D832" s="714" t="inlineStr">
        <is>
          <t>State</t>
        </is>
      </c>
      <c r="E832" s="714" t="inlineStr">
        <is>
          <t>Boolean</t>
        </is>
      </c>
      <c r="F832" s="714" t="n">
        <v>0</v>
      </c>
      <c r="G832" s="714" t="inlineStr">
        <is>
          <t>0: Inactive, 1: Active (33 steps)</t>
        </is>
      </c>
      <c r="I832" s="714" t="n">
        <v>12</v>
      </c>
      <c r="J832" s="715" t="inlineStr">
        <is>
          <t>FADL</t>
        </is>
      </c>
      <c r="K832" s="715" t="inlineStr">
        <is>
          <t>Fresh Air Damper Left Position</t>
        </is>
      </c>
      <c r="L832" s="714" t="inlineStr">
        <is>
          <t>Position</t>
        </is>
      </c>
      <c r="M832" s="714" t="inlineStr">
        <is>
          <t>Float</t>
        </is>
      </c>
      <c r="N832" s="714" t="n">
        <v>0</v>
      </c>
      <c r="O832" s="714" t="inlineStr">
        <is>
          <t>%</t>
        </is>
      </c>
      <c r="R832" s="800" t="n"/>
    </row>
    <row r="833" ht="17.25" customHeight="1">
      <c r="A833" s="714" t="n">
        <v>13</v>
      </c>
      <c r="B833" s="724" t="inlineStr">
        <is>
          <t>Fault_109_Status</t>
        </is>
      </c>
      <c r="C833" s="715" t="inlineStr">
        <is>
          <t>Fault 109: No Heating</t>
        </is>
      </c>
      <c r="D833" s="714" t="inlineStr">
        <is>
          <t>State</t>
        </is>
      </c>
      <c r="E833" s="714" t="inlineStr">
        <is>
          <t>Boolean</t>
        </is>
      </c>
      <c r="F833" s="714" t="n">
        <v>0</v>
      </c>
      <c r="G833" s="714" t="inlineStr">
        <is>
          <t>0: Inactive, 1: Active (15 steps)</t>
        </is>
      </c>
      <c r="I833" s="714" t="n">
        <v>13</v>
      </c>
      <c r="J833" s="715" t="inlineStr">
        <is>
          <t>FADR</t>
        </is>
      </c>
      <c r="K833" s="715" t="inlineStr">
        <is>
          <t>Fresh Air Damper Right Position</t>
        </is>
      </c>
      <c r="L833" s="714" t="inlineStr">
        <is>
          <t>Position</t>
        </is>
      </c>
      <c r="M833" s="714" t="inlineStr">
        <is>
          <t>Float</t>
        </is>
      </c>
      <c r="N833" s="714" t="n">
        <v>0</v>
      </c>
      <c r="O833" s="714" t="inlineStr">
        <is>
          <t>%</t>
        </is>
      </c>
    </row>
    <row r="834" ht="17.25" customHeight="1">
      <c r="A834" s="714" t="n">
        <v>14</v>
      </c>
      <c r="B834" s="724" t="inlineStr">
        <is>
          <t>Fault_110_Status</t>
        </is>
      </c>
      <c r="C834" s="715" t="inlineStr">
        <is>
          <t>Fault 110: Over Cooling</t>
        </is>
      </c>
      <c r="D834" s="714" t="inlineStr">
        <is>
          <t>State</t>
        </is>
      </c>
      <c r="E834" s="714" t="inlineStr">
        <is>
          <t>Boolean</t>
        </is>
      </c>
      <c r="F834" s="714" t="n">
        <v>0</v>
      </c>
      <c r="G834" s="714" t="inlineStr">
        <is>
          <t>0: Inactive, 1: Active (8 steps)</t>
        </is>
      </c>
      <c r="I834" s="714" t="n">
        <v>14</v>
      </c>
      <c r="J834" s="715" t="inlineStr">
        <is>
          <t>RAD</t>
        </is>
      </c>
      <c r="K834" s="715" t="inlineStr">
        <is>
          <t>Return Air Damper Position</t>
        </is>
      </c>
      <c r="L834" s="714" t="inlineStr">
        <is>
          <t>Position</t>
        </is>
      </c>
      <c r="M834" s="714" t="inlineStr">
        <is>
          <t>Float</t>
        </is>
      </c>
      <c r="N834" s="714" t="n">
        <v>0</v>
      </c>
      <c r="O834" s="714" t="inlineStr">
        <is>
          <t>0 &amp;100%</t>
        </is>
      </c>
    </row>
    <row r="835" ht="17.25" customHeight="1">
      <c r="A835" s="714" t="n">
        <v>15</v>
      </c>
      <c r="B835" s="724" t="inlineStr">
        <is>
          <t>Fault_111_Status</t>
        </is>
      </c>
      <c r="C835" s="715" t="inlineStr">
        <is>
          <t>Fault 111: Over Heating</t>
        </is>
      </c>
      <c r="D835" s="714" t="inlineStr">
        <is>
          <t>State</t>
        </is>
      </c>
      <c r="E835" s="714" t="inlineStr">
        <is>
          <t>Boolean</t>
        </is>
      </c>
      <c r="F835" s="714" t="n">
        <v>0</v>
      </c>
      <c r="G835" s="714" t="inlineStr">
        <is>
          <t>0: Inactive, 1: Active (7 steps)</t>
        </is>
      </c>
      <c r="I835" s="714" t="n">
        <v>15</v>
      </c>
      <c r="J835" s="715" t="inlineStr">
        <is>
          <t>DS3D_OFF</t>
        </is>
      </c>
      <c r="K835" s="715" t="inlineStr">
        <is>
          <t>DS3D Application Quit</t>
        </is>
      </c>
      <c r="L835" s="714" t="inlineStr">
        <is>
          <t>DS3D OFF</t>
        </is>
      </c>
      <c r="M835" s="714" t="inlineStr">
        <is>
          <t>Integer</t>
        </is>
      </c>
      <c r="N835" s="714" t="n">
        <v>0</v>
      </c>
      <c r="O835" s="714" t="inlineStr">
        <is>
          <t>0: Running, 1: Shutdown</t>
        </is>
      </c>
    </row>
    <row r="836" ht="17.25" customHeight="1">
      <c r="A836" s="714" t="n">
        <v>16</v>
      </c>
      <c r="B836" s="724" t="inlineStr">
        <is>
          <t>Fault_112_Status</t>
        </is>
      </c>
      <c r="C836" s="715" t="inlineStr">
        <is>
          <t>Fault 112: No emergency ventilation</t>
        </is>
      </c>
      <c r="D836" s="714" t="inlineStr">
        <is>
          <t>State</t>
        </is>
      </c>
      <c r="E836" s="714" t="inlineStr">
        <is>
          <t>Boolean</t>
        </is>
      </c>
      <c r="F836" s="714" t="n">
        <v>0</v>
      </c>
      <c r="G836" s="714" t="inlineStr">
        <is>
          <t>0: Inactive, 1: Active (14 steps)</t>
        </is>
      </c>
      <c r="I836" s="714" t="n">
        <v>16</v>
      </c>
      <c r="J836" s="715" t="inlineStr">
        <is>
          <t>Fault_Code_Trigger</t>
        </is>
      </c>
      <c r="K836" s="715" t="inlineStr">
        <is>
          <t>Fault Trigger Scenario Code</t>
        </is>
      </c>
      <c r="L836" s="714" t="inlineStr">
        <is>
          <t>Code</t>
        </is>
      </c>
      <c r="M836" s="714" t="inlineStr">
        <is>
          <t>Integer</t>
        </is>
      </c>
      <c r="N836" s="714" t="n">
        <v>104</v>
      </c>
      <c r="O836" s="714" t="inlineStr">
        <is>
          <t>Active Fault to Unity (101-114 active)</t>
        </is>
      </c>
    </row>
    <row r="837" ht="17.25" customHeight="1">
      <c r="A837" s="714" t="n">
        <v>17</v>
      </c>
      <c r="B837" s="724" t="inlineStr">
        <is>
          <t>Fault_113_Status</t>
        </is>
      </c>
      <c r="C837" s="715" t="inlineStr">
        <is>
          <t>Fault 113: Smoke identified in saloon</t>
        </is>
      </c>
      <c r="D837" s="714" t="inlineStr">
        <is>
          <t>State</t>
        </is>
      </c>
      <c r="E837" s="714" t="inlineStr">
        <is>
          <t>Boolean</t>
        </is>
      </c>
      <c r="F837" s="714" t="n">
        <v>0</v>
      </c>
      <c r="G837" s="714" t="inlineStr">
        <is>
          <t>0: Inactive, 1: Active (13 steps)</t>
        </is>
      </c>
      <c r="I837" s="714" t="n">
        <v>17</v>
      </c>
      <c r="J837" s="715" t="inlineStr">
        <is>
          <t>Fault_reset</t>
        </is>
      </c>
      <c r="K837" s="715" t="inlineStr">
        <is>
          <t>Fault Reset Trigger</t>
        </is>
      </c>
      <c r="L837" s="714" t="inlineStr">
        <is>
          <t>Command</t>
        </is>
      </c>
      <c r="M837" s="714" t="inlineStr">
        <is>
          <t>Integer</t>
        </is>
      </c>
      <c r="N837" s="714" t="n">
        <v>0</v>
      </c>
      <c r="O837" s="714" t="inlineStr">
        <is>
          <t>0: Idle, 1: Reset</t>
        </is>
      </c>
    </row>
    <row r="838" ht="17.25" customHeight="1">
      <c r="A838" s="714" t="n">
        <v>18</v>
      </c>
      <c r="B838" s="724" t="inlineStr">
        <is>
          <t>Fault_114_Status</t>
        </is>
      </c>
      <c r="C838" s="715" t="inlineStr">
        <is>
          <t>Fault 114: Compressor / Blower noisy</t>
        </is>
      </c>
      <c r="D838" s="714" t="inlineStr">
        <is>
          <t>State</t>
        </is>
      </c>
      <c r="E838" s="714" t="inlineStr">
        <is>
          <t>Boolean</t>
        </is>
      </c>
      <c r="F838" s="714" t="n">
        <v>0</v>
      </c>
      <c r="G838" s="714" t="inlineStr">
        <is>
          <t>0: Inactive, 1: Active (36 steps)</t>
        </is>
      </c>
      <c r="I838" s="714" t="n">
        <v>18</v>
      </c>
      <c r="J838" s="715" t="inlineStr">
        <is>
          <t>ShowHideObjects</t>
        </is>
      </c>
      <c r="K838" s="715" t="inlineStr">
        <is>
          <t>Toggle Component Visibility</t>
        </is>
      </c>
      <c r="L838" s="714" t="inlineStr">
        <is>
          <t>State</t>
        </is>
      </c>
      <c r="M838" s="714" t="inlineStr">
        <is>
          <t>Boolean</t>
        </is>
      </c>
      <c r="N838" s="714" t="n">
        <v>0</v>
      </c>
      <c r="O838" s="714" t="inlineStr">
        <is>
          <t>0: Hide, 1: Show</t>
        </is>
      </c>
    </row>
    <row r="839" ht="17.25" customHeight="1">
      <c r="A839" s="714" t="n">
        <v>19</v>
      </c>
      <c r="B839" s="724" t="inlineStr">
        <is>
          <t>Fault_115_Status</t>
        </is>
      </c>
      <c r="C839" s="715" t="inlineStr">
        <is>
          <t>Fault 115: Spare Fault Scenario</t>
        </is>
      </c>
      <c r="D839" s="714" t="inlineStr">
        <is>
          <t>State</t>
        </is>
      </c>
      <c r="E839" s="714" t="inlineStr">
        <is>
          <t>Boolean</t>
        </is>
      </c>
      <c r="F839" s="714" t="n">
        <v>0</v>
      </c>
      <c r="G839" s="714" t="inlineStr">
        <is>
          <t>0: Inactive, 1: Active (Reserved in Excel)</t>
        </is>
      </c>
      <c r="I839" s="714" t="n">
        <v>19</v>
      </c>
      <c r="J839" s="715" t="inlineStr">
        <is>
          <t>Compresor 1_Highlights</t>
        </is>
      </c>
      <c r="K839" s="715" t="inlineStr">
        <is>
          <t>Toggle Compressor Highlights Visibility</t>
        </is>
      </c>
      <c r="L839" s="714" t="inlineStr">
        <is>
          <t>State</t>
        </is>
      </c>
      <c r="M839" s="714" t="inlineStr">
        <is>
          <t>Boolean</t>
        </is>
      </c>
      <c r="N839" s="714" t="n">
        <v>1</v>
      </c>
      <c r="O839" s="714" t="inlineStr">
        <is>
          <t>0: Hide Highlights, 1: Show Highlights</t>
        </is>
      </c>
    </row>
    <row r="840" ht="17.25" customHeight="1">
      <c r="A840" s="714" t="n">
        <v>20</v>
      </c>
      <c r="B840" s="724" t="inlineStr">
        <is>
          <t>Fault_116_Status</t>
        </is>
      </c>
      <c r="C840" s="715" t="inlineStr">
        <is>
          <t>Fault 116: Spare Fault Scenario</t>
        </is>
      </c>
      <c r="D840" s="714" t="inlineStr">
        <is>
          <t>State</t>
        </is>
      </c>
      <c r="E840" s="714" t="inlineStr">
        <is>
          <t>Boolean</t>
        </is>
      </c>
      <c r="F840" s="714" t="n">
        <v>0</v>
      </c>
      <c r="G840" s="714" t="inlineStr">
        <is>
          <t>0: Inactive, 1: Active (Reserved in Excel)</t>
        </is>
      </c>
      <c r="I840" s="714" t="n">
        <v>20</v>
      </c>
      <c r="J840" s="715" t="inlineStr">
        <is>
          <t>Compresor 2_Highlights</t>
        </is>
      </c>
      <c r="K840" s="715" t="inlineStr">
        <is>
          <t>Toggle Compressor Highlights Visibility</t>
        </is>
      </c>
      <c r="L840" s="714" t="inlineStr">
        <is>
          <t>State</t>
        </is>
      </c>
      <c r="M840" s="714" t="inlineStr">
        <is>
          <t>Boolean</t>
        </is>
      </c>
      <c r="N840" s="714" t="n">
        <v>1</v>
      </c>
      <c r="O840" s="714" t="inlineStr">
        <is>
          <t>0: Hide Highlights, 1: Show Highlights</t>
        </is>
      </c>
    </row>
    <row r="841" ht="17.25" customHeight="1">
      <c r="A841" s="714" t="n">
        <v>21</v>
      </c>
      <c r="B841" s="715" t="n"/>
      <c r="C841" s="715" t="inlineStr">
        <is>
          <t xml:space="preserve">Spare </t>
        </is>
      </c>
      <c r="D841" s="714" t="n"/>
      <c r="E841" s="714" t="inlineStr">
        <is>
          <t>Boolean</t>
        </is>
      </c>
      <c r="F841" s="714" t="n"/>
      <c r="G841" s="715" t="n"/>
      <c r="I841" s="714" t="n">
        <v>21</v>
      </c>
      <c r="J841" s="715" t="inlineStr">
        <is>
          <t>Compresor 3_Highlights</t>
        </is>
      </c>
      <c r="K841" s="715" t="inlineStr">
        <is>
          <t>Toggle Compressor Highlights Visibility</t>
        </is>
      </c>
      <c r="L841" s="714" t="inlineStr">
        <is>
          <t>State</t>
        </is>
      </c>
      <c r="M841" s="714" t="inlineStr">
        <is>
          <t>Boolean</t>
        </is>
      </c>
      <c r="N841" s="714" t="n">
        <v>1</v>
      </c>
      <c r="O841" s="714" t="inlineStr">
        <is>
          <t>0: Hide Highlights, 1: Show Highlights</t>
        </is>
      </c>
    </row>
    <row r="842" ht="17.25" customHeight="1">
      <c r="A842" s="714" t="n">
        <v>22</v>
      </c>
      <c r="B842" s="715" t="n"/>
      <c r="C842" s="715" t="inlineStr">
        <is>
          <t xml:space="preserve">Spare </t>
        </is>
      </c>
      <c r="D842" s="714" t="n"/>
      <c r="E842" s="714" t="inlineStr">
        <is>
          <t>Boolean</t>
        </is>
      </c>
      <c r="F842" s="714" t="n"/>
      <c r="G842" s="715" t="n"/>
      <c r="I842" s="714" t="n">
        <v>22</v>
      </c>
      <c r="J842" s="715" t="inlineStr">
        <is>
          <t>Compresor 4_Highlights</t>
        </is>
      </c>
      <c r="K842" s="715" t="inlineStr">
        <is>
          <t>Toggle Compressor Highlights Visibility</t>
        </is>
      </c>
      <c r="L842" s="714" t="inlineStr">
        <is>
          <t>State</t>
        </is>
      </c>
      <c r="M842" s="714" t="inlineStr">
        <is>
          <t>Boolean</t>
        </is>
      </c>
      <c r="N842" s="714" t="n">
        <v>1</v>
      </c>
      <c r="O842" s="714" t="inlineStr">
        <is>
          <t>0: Hide Highlights, 1: Show Highlights</t>
        </is>
      </c>
    </row>
    <row r="843" ht="17.25" customHeight="1">
      <c r="A843" s="714" t="n">
        <v>23</v>
      </c>
      <c r="B843" s="715" t="n"/>
      <c r="C843" s="715" t="inlineStr">
        <is>
          <t xml:space="preserve">Spare </t>
        </is>
      </c>
      <c r="D843" s="714" t="n"/>
      <c r="E843" s="714" t="inlineStr">
        <is>
          <t>Boolean</t>
        </is>
      </c>
      <c r="F843" s="714" t="n"/>
      <c r="G843" s="715" t="n"/>
      <c r="I843" s="714" t="n">
        <v>23</v>
      </c>
      <c r="J843" s="725" t="inlineStr">
        <is>
          <t>FAT_Sensor_Highlights</t>
        </is>
      </c>
      <c r="K843" s="725" t="inlineStr">
        <is>
          <t>Toggle FAT Sensor Highlight Visibility</t>
        </is>
      </c>
      <c r="L843" s="726" t="inlineStr">
        <is>
          <t>State</t>
        </is>
      </c>
      <c r="M843" s="726" t="inlineStr">
        <is>
          <t>Boolean</t>
        </is>
      </c>
      <c r="N843" s="726" t="n">
        <v>1</v>
      </c>
      <c r="O843" s="725" t="inlineStr">
        <is>
          <t>0: Hide Highlights, 1: Show Highlights (Fresh Air Temp)</t>
        </is>
      </c>
    </row>
    <row r="844" ht="17.25" customHeight="1">
      <c r="A844" s="714" t="n">
        <v>24</v>
      </c>
      <c r="B844" s="715" t="n"/>
      <c r="C844" s="715" t="inlineStr">
        <is>
          <t xml:space="preserve">Spare </t>
        </is>
      </c>
      <c r="D844" s="714" t="n"/>
      <c r="E844" s="714" t="inlineStr">
        <is>
          <t>Boolean</t>
        </is>
      </c>
      <c r="F844" s="714" t="n"/>
      <c r="G844" s="715" t="n"/>
      <c r="I844" s="714" t="n">
        <v>24</v>
      </c>
      <c r="J844" s="725" t="inlineStr">
        <is>
          <t>RAT_Sensor_Highlights</t>
        </is>
      </c>
      <c r="K844" s="725" t="inlineStr">
        <is>
          <t>Toggle RAT Sensor Highlight Visibility</t>
        </is>
      </c>
      <c r="L844" s="726" t="inlineStr">
        <is>
          <t>State</t>
        </is>
      </c>
      <c r="M844" s="726" t="inlineStr">
        <is>
          <t>Boolean</t>
        </is>
      </c>
      <c r="N844" s="726" t="n">
        <v>1</v>
      </c>
      <c r="O844" s="725" t="inlineStr">
        <is>
          <t>0: Hide Highlights, 1: Show Highlights (Return Air Temp)</t>
        </is>
      </c>
    </row>
    <row r="845" ht="17.25" customHeight="1">
      <c r="A845" s="714" t="n">
        <v>25</v>
      </c>
      <c r="B845" s="715" t="n"/>
      <c r="C845" s="715" t="inlineStr">
        <is>
          <t xml:space="preserve">Spare </t>
        </is>
      </c>
      <c r="D845" s="714" t="n"/>
      <c r="E845" s="714" t="inlineStr">
        <is>
          <t>Boolean</t>
        </is>
      </c>
      <c r="F845" s="714" t="n"/>
      <c r="G845" s="715" t="n"/>
      <c r="I845" s="714" t="n">
        <v>25</v>
      </c>
      <c r="J845" s="725" t="inlineStr">
        <is>
          <t>SAT_Sensor_Highlights</t>
        </is>
      </c>
      <c r="K845" s="725" t="inlineStr">
        <is>
          <t>Toggle SAT Sensor Highlight Visibility</t>
        </is>
      </c>
      <c r="L845" s="726" t="inlineStr">
        <is>
          <t>State</t>
        </is>
      </c>
      <c r="M845" s="726" t="inlineStr">
        <is>
          <t>Boolean</t>
        </is>
      </c>
      <c r="N845" s="726" t="n">
        <v>1</v>
      </c>
      <c r="O845" s="725" t="inlineStr">
        <is>
          <t>0: Hide Highlights, 1: Show Highlights (Supply Air Temp)</t>
        </is>
      </c>
    </row>
    <row r="846" ht="17.25" customHeight="1">
      <c r="A846" s="714" t="n">
        <v>26</v>
      </c>
      <c r="B846" s="715" t="n"/>
      <c r="C846" s="715" t="inlineStr">
        <is>
          <t xml:space="preserve">Spare </t>
        </is>
      </c>
      <c r="D846" s="714" t="n"/>
      <c r="E846" s="714" t="inlineStr">
        <is>
          <t>Boolean</t>
        </is>
      </c>
      <c r="F846" s="714" t="n"/>
      <c r="G846" s="715" t="n"/>
      <c r="I846" s="714" t="n">
        <v>26</v>
      </c>
      <c r="J846" s="725" t="inlineStr">
        <is>
          <t>Smoke_Detector_Highlights</t>
        </is>
      </c>
      <c r="K846" s="725" t="inlineStr">
        <is>
          <t>Toggle Smoke Detector Highlight Visibility</t>
        </is>
      </c>
      <c r="L846" s="726" t="inlineStr">
        <is>
          <t>State</t>
        </is>
      </c>
      <c r="M846" s="726" t="inlineStr">
        <is>
          <t>Boolean</t>
        </is>
      </c>
      <c r="N846" s="726" t="n">
        <v>1</v>
      </c>
      <c r="O846" s="725" t="inlineStr">
        <is>
          <t>0: Hide Highlights, 1: Show Highlights (Smoke Detector)</t>
        </is>
      </c>
    </row>
    <row r="847" ht="17.25" customHeight="1">
      <c r="A847" s="714" t="n">
        <v>27</v>
      </c>
      <c r="B847" s="715" t="n"/>
      <c r="C847" s="715" t="inlineStr">
        <is>
          <t xml:space="preserve">Spare </t>
        </is>
      </c>
      <c r="D847" s="714" t="n"/>
      <c r="E847" s="714" t="inlineStr">
        <is>
          <t>Boolean</t>
        </is>
      </c>
      <c r="F847" s="714" t="n"/>
      <c r="G847" s="715" t="n"/>
      <c r="I847" s="714" t="n">
        <v>27</v>
      </c>
      <c r="J847" s="725" t="inlineStr">
        <is>
          <t>Spare Sensor</t>
        </is>
      </c>
      <c r="K847" s="725" t="inlineStr">
        <is>
          <t>Spare</t>
        </is>
      </c>
      <c r="L847" s="726" t="n"/>
      <c r="M847" s="726" t="inlineStr">
        <is>
          <t>Integer</t>
        </is>
      </c>
      <c r="N847" s="726" t="n">
        <v>0</v>
      </c>
      <c r="O847" s="725" t="n"/>
    </row>
    <row r="848" ht="17.25" customHeight="1">
      <c r="A848" s="714" t="n">
        <v>28</v>
      </c>
      <c r="B848" s="715" t="n"/>
      <c r="C848" s="715" t="inlineStr">
        <is>
          <t xml:space="preserve">Spare </t>
        </is>
      </c>
      <c r="D848" s="714" t="n"/>
      <c r="E848" s="714" t="inlineStr">
        <is>
          <t>Boolean</t>
        </is>
      </c>
      <c r="F848" s="714" t="n"/>
      <c r="G848" s="715" t="n"/>
      <c r="I848" s="714" t="n">
        <v>28</v>
      </c>
      <c r="J848" s="725" t="inlineStr">
        <is>
          <t>Spare Sensor</t>
        </is>
      </c>
      <c r="K848" s="725" t="inlineStr">
        <is>
          <t>Spare</t>
        </is>
      </c>
      <c r="L848" s="726" t="n"/>
      <c r="M848" s="726" t="inlineStr">
        <is>
          <t>Integer</t>
        </is>
      </c>
      <c r="N848" s="726" t="n">
        <v>0</v>
      </c>
      <c r="O848" s="725" t="n"/>
    </row>
    <row r="849" ht="17.25" customHeight="1">
      <c r="A849" s="714" t="n">
        <v>29</v>
      </c>
      <c r="B849" s="715" t="n"/>
      <c r="C849" s="715" t="inlineStr">
        <is>
          <t xml:space="preserve">Spare </t>
        </is>
      </c>
      <c r="D849" s="714" t="n"/>
      <c r="E849" s="714" t="inlineStr">
        <is>
          <t>Boolean</t>
        </is>
      </c>
      <c r="F849" s="714" t="n"/>
      <c r="G849" s="715" t="n"/>
      <c r="I849" s="714" t="n">
        <v>29</v>
      </c>
      <c r="J849" s="715" t="n"/>
      <c r="K849" s="715" t="inlineStr">
        <is>
          <t>Spare</t>
        </is>
      </c>
      <c r="L849" s="714" t="n"/>
      <c r="M849" s="714" t="inlineStr">
        <is>
          <t>Integer</t>
        </is>
      </c>
      <c r="N849" s="714" t="n">
        <v>0</v>
      </c>
      <c r="O849" s="715" t="n"/>
    </row>
    <row r="850" ht="17.25" customHeight="1">
      <c r="A850" s="714" t="n">
        <v>30</v>
      </c>
      <c r="B850" s="715" t="n"/>
      <c r="C850" s="715" t="inlineStr">
        <is>
          <t xml:space="preserve">Spare </t>
        </is>
      </c>
      <c r="D850" s="714" t="n"/>
      <c r="E850" s="714" t="inlineStr">
        <is>
          <t>Boolean</t>
        </is>
      </c>
      <c r="F850" s="714" t="n"/>
      <c r="G850" s="715" t="n"/>
      <c r="I850" s="714" t="n">
        <v>30</v>
      </c>
      <c r="J850" s="715" t="n"/>
      <c r="K850" s="715" t="inlineStr">
        <is>
          <t>Spare</t>
        </is>
      </c>
      <c r="L850" s="714" t="n"/>
      <c r="M850" s="714" t="inlineStr">
        <is>
          <t>Integer</t>
        </is>
      </c>
      <c r="N850" s="714" t="n">
        <v>0</v>
      </c>
      <c r="O850" s="715" t="n"/>
    </row>
    <row r="851" ht="17.25" customHeight="1">
      <c r="A851" s="714" t="n">
        <v>31</v>
      </c>
      <c r="B851" s="715" t="n"/>
      <c r="C851" s="715" t="inlineStr">
        <is>
          <t xml:space="preserve">Spare </t>
        </is>
      </c>
      <c r="D851" s="714" t="n"/>
      <c r="E851" s="714" t="inlineStr">
        <is>
          <t>Boolean</t>
        </is>
      </c>
      <c r="F851" s="714" t="n"/>
      <c r="G851" s="715" t="n"/>
      <c r="I851" s="714" t="n">
        <v>31</v>
      </c>
      <c r="J851" s="715" t="n"/>
      <c r="K851" s="715" t="inlineStr">
        <is>
          <t>Spare</t>
        </is>
      </c>
      <c r="L851" s="714" t="n"/>
      <c r="M851" s="714" t="inlineStr">
        <is>
          <t>Integer</t>
        </is>
      </c>
      <c r="N851" s="714" t="n">
        <v>0</v>
      </c>
      <c r="O851" s="715" t="n"/>
    </row>
    <row r="852" ht="17.25" customHeight="1">
      <c r="A852" s="714" t="n">
        <v>32</v>
      </c>
      <c r="B852" s="715" t="n"/>
      <c r="C852" s="715" t="inlineStr">
        <is>
          <t xml:space="preserve">Spare </t>
        </is>
      </c>
      <c r="D852" s="714" t="n"/>
      <c r="E852" s="714" t="inlineStr">
        <is>
          <t>Boolean</t>
        </is>
      </c>
      <c r="F852" s="714" t="n"/>
      <c r="G852" s="715" t="n"/>
      <c r="I852" s="714" t="n">
        <v>32</v>
      </c>
      <c r="J852" s="715" t="n"/>
      <c r="K852" s="715" t="inlineStr">
        <is>
          <t>Spare</t>
        </is>
      </c>
      <c r="L852" s="714" t="n"/>
      <c r="M852" s="714" t="inlineStr">
        <is>
          <t>Integer</t>
        </is>
      </c>
      <c r="N852" s="714" t="n">
        <v>0</v>
      </c>
      <c r="O852" s="715" t="n"/>
    </row>
    <row r="853" ht="17.25" customHeight="1">
      <c r="A853" s="714" t="n">
        <v>33</v>
      </c>
      <c r="B853" s="715" t="n"/>
      <c r="C853" s="715" t="inlineStr">
        <is>
          <t xml:space="preserve">Spare </t>
        </is>
      </c>
      <c r="D853" s="714" t="n"/>
      <c r="E853" s="714" t="inlineStr">
        <is>
          <t>Boolean</t>
        </is>
      </c>
      <c r="F853" s="714" t="n"/>
      <c r="G853" s="715" t="n"/>
      <c r="I853" s="714" t="n">
        <v>33</v>
      </c>
      <c r="J853" s="715" t="n"/>
      <c r="K853" s="715" t="inlineStr">
        <is>
          <t>Spare</t>
        </is>
      </c>
      <c r="L853" s="714" t="n"/>
      <c r="M853" s="714" t="inlineStr">
        <is>
          <t>Integer</t>
        </is>
      </c>
      <c r="N853" s="714" t="n">
        <v>0</v>
      </c>
      <c r="O853" s="715" t="n"/>
    </row>
    <row r="854" ht="17.25" customHeight="1">
      <c r="A854" s="714" t="n">
        <v>34</v>
      </c>
      <c r="B854" s="715" t="inlineStr">
        <is>
          <t>Telemetry_Event</t>
        </is>
      </c>
      <c r="C854" s="715" t="inlineStr">
        <is>
          <t>Telemetry Event Name</t>
        </is>
      </c>
      <c r="D854" s="714" t="inlineStr">
        <is>
          <t>String</t>
        </is>
      </c>
      <c r="E854" s="714" t="inlineStr">
        <is>
          <t>String</t>
        </is>
      </c>
      <c r="F854" s="714" t="inlineStr">
        <is>
          <t>fault_started</t>
        </is>
      </c>
      <c r="G854" s="715" t="inlineStr">
        <is>
          <t>fault_started / step_completed / fault_completed</t>
        </is>
      </c>
      <c r="I854" s="714" t="n">
        <v>34</v>
      </c>
      <c r="J854" s="715" t="n"/>
      <c r="K854" s="715" t="inlineStr">
        <is>
          <t>Spare</t>
        </is>
      </c>
      <c r="L854" s="714" t="n"/>
      <c r="M854" s="714" t="inlineStr">
        <is>
          <t>Integer</t>
        </is>
      </c>
      <c r="N854" s="714" t="n">
        <v>0</v>
      </c>
      <c r="O854" s="715" t="n"/>
    </row>
    <row r="855" ht="17.25" customHeight="1">
      <c r="I855" s="714" t="n">
        <v>35</v>
      </c>
      <c r="J855" s="715" t="n"/>
      <c r="K855" s="715" t="inlineStr">
        <is>
          <t>Spare</t>
        </is>
      </c>
      <c r="L855" s="714" t="n"/>
      <c r="M855" s="714" t="inlineStr">
        <is>
          <t>Integer</t>
        </is>
      </c>
      <c r="N855" s="714" t="n">
        <v>0</v>
      </c>
      <c r="O855" s="715" t="n"/>
    </row>
    <row r="856" ht="17.25" customHeight="1">
      <c r="I856" s="714" t="n">
        <v>36</v>
      </c>
      <c r="J856" s="715" t="n"/>
      <c r="K856" s="715" t="inlineStr">
        <is>
          <t>Spare</t>
        </is>
      </c>
      <c r="L856" s="714" t="n"/>
      <c r="M856" s="714" t="inlineStr">
        <is>
          <t>Integer</t>
        </is>
      </c>
      <c r="N856" s="714" t="n">
        <v>0</v>
      </c>
      <c r="O856" s="715" t="n"/>
    </row>
    <row r="857" ht="17.25" customHeight="1">
      <c r="I857" s="714" t="n">
        <v>37</v>
      </c>
      <c r="J857" s="715" t="n"/>
      <c r="K857" s="715" t="inlineStr">
        <is>
          <t>Spare</t>
        </is>
      </c>
      <c r="L857" s="714" t="n"/>
      <c r="M857" s="714" t="inlineStr">
        <is>
          <t>Integer</t>
        </is>
      </c>
      <c r="N857" s="714" t="n">
        <v>0</v>
      </c>
      <c r="O857" s="715" t="n"/>
    </row>
    <row r="858" ht="17.25" customHeight="1">
      <c r="I858" s="714" t="n">
        <v>38</v>
      </c>
      <c r="J858" s="715" t="n"/>
      <c r="K858" s="715" t="inlineStr">
        <is>
          <t>Spare</t>
        </is>
      </c>
      <c r="L858" s="714" t="n"/>
      <c r="M858" s="714" t="inlineStr">
        <is>
          <t>Integer</t>
        </is>
      </c>
      <c r="N858" s="714" t="n">
        <v>0</v>
      </c>
      <c r="O858" s="715" t="n"/>
    </row>
    <row r="859" ht="17.25" customHeight="1">
      <c r="I859" s="714" t="n">
        <v>39</v>
      </c>
      <c r="J859" s="715" t="n"/>
      <c r="K859" s="715" t="inlineStr">
        <is>
          <t>Spare</t>
        </is>
      </c>
      <c r="L859" s="714" t="n"/>
      <c r="M859" s="714" t="inlineStr">
        <is>
          <t>Integer</t>
        </is>
      </c>
      <c r="N859" s="714" t="n">
        <v>0</v>
      </c>
      <c r="O859" s="715" t="n"/>
    </row>
    <row r="860" ht="17.25" customHeight="1">
      <c r="I860" s="714" t="n">
        <v>40</v>
      </c>
      <c r="J860" s="715" t="n"/>
      <c r="K860" s="715" t="inlineStr">
        <is>
          <t>Spare</t>
        </is>
      </c>
      <c r="L860" s="714" t="n"/>
      <c r="M860" s="714" t="inlineStr">
        <is>
          <t>Integer</t>
        </is>
      </c>
      <c r="N860" s="714" t="n">
        <v>0</v>
      </c>
      <c r="O860" s="715" t="n"/>
    </row>
    <row r="861" ht="17.25" customHeight="1">
      <c r="I861" s="714" t="n">
        <v>41</v>
      </c>
      <c r="J861" s="715" t="n"/>
      <c r="K861" s="715" t="inlineStr">
        <is>
          <t>Spare</t>
        </is>
      </c>
      <c r="L861" s="714" t="n"/>
      <c r="M861" s="714" t="inlineStr">
        <is>
          <t>Integer</t>
        </is>
      </c>
      <c r="N861" s="714" t="n">
        <v>0</v>
      </c>
      <c r="O861" s="715" t="n"/>
    </row>
    <row r="862" ht="17.25" customHeight="1">
      <c r="I862" s="714" t="n">
        <v>42</v>
      </c>
      <c r="J862" s="715" t="n"/>
      <c r="K862" s="715" t="inlineStr">
        <is>
          <t>Spare</t>
        </is>
      </c>
      <c r="L862" s="714" t="n"/>
      <c r="M862" s="714" t="inlineStr">
        <is>
          <t>Integer</t>
        </is>
      </c>
      <c r="N862" s="714" t="n">
        <v>0</v>
      </c>
      <c r="O862" s="715" t="n"/>
    </row>
    <row r="863" ht="17.25" customHeight="1">
      <c r="I863" s="714" t="n">
        <v>43</v>
      </c>
      <c r="J863" s="715" t="n"/>
      <c r="K863" s="715" t="inlineStr">
        <is>
          <t>Spare</t>
        </is>
      </c>
      <c r="L863" s="714" t="n"/>
      <c r="M863" s="714" t="inlineStr">
        <is>
          <t>Integer</t>
        </is>
      </c>
      <c r="N863" s="714" t="n">
        <v>0</v>
      </c>
      <c r="O863" s="715" t="n"/>
    </row>
    <row r="864" ht="17.25" customHeight="1">
      <c r="I864" s="714" t="n">
        <v>44</v>
      </c>
      <c r="J864" s="715" t="n"/>
      <c r="K864" s="715" t="inlineStr">
        <is>
          <t>Spare</t>
        </is>
      </c>
      <c r="L864" s="714" t="n"/>
      <c r="M864" s="714" t="inlineStr">
        <is>
          <t>Integer</t>
        </is>
      </c>
      <c r="N864" s="714" t="n">
        <v>0</v>
      </c>
      <c r="O864" s="715" t="n"/>
    </row>
    <row r="865" ht="17.25" customHeight="1">
      <c r="I865" s="714" t="n">
        <v>45</v>
      </c>
      <c r="J865" s="715" t="n"/>
      <c r="K865" s="715" t="inlineStr">
        <is>
          <t>Spare</t>
        </is>
      </c>
      <c r="L865" s="714" t="n"/>
      <c r="M865" s="714" t="inlineStr">
        <is>
          <t>Integer</t>
        </is>
      </c>
      <c r="N865" s="714" t="n">
        <v>0</v>
      </c>
      <c r="O865" s="715" t="n"/>
    </row>
    <row r="866" ht="17.25" customHeight="1">
      <c r="I866" s="714" t="n">
        <v>46</v>
      </c>
      <c r="J866" s="715" t="n"/>
      <c r="K866" s="715" t="inlineStr">
        <is>
          <t>Spare</t>
        </is>
      </c>
      <c r="L866" s="714" t="n"/>
      <c r="M866" s="714" t="inlineStr">
        <is>
          <t>Integer</t>
        </is>
      </c>
      <c r="N866" s="714" t="n">
        <v>0</v>
      </c>
      <c r="O866" s="715" t="n"/>
    </row>
    <row r="867" ht="17.25" customHeight="1">
      <c r="I867" s="714" t="n">
        <v>47</v>
      </c>
      <c r="J867" s="715" t="n"/>
      <c r="K867" s="715" t="inlineStr">
        <is>
          <t>Spare</t>
        </is>
      </c>
      <c r="L867" s="714" t="n"/>
      <c r="M867" s="714" t="inlineStr">
        <is>
          <t>Integer</t>
        </is>
      </c>
      <c r="N867" s="714" t="n">
        <v>0</v>
      </c>
      <c r="O867" s="715" t="n"/>
    </row>
    <row r="868" ht="17.25" customHeight="1">
      <c r="I868" s="714" t="n">
        <v>48</v>
      </c>
      <c r="J868" s="715" t="n"/>
      <c r="K868" s="715" t="inlineStr">
        <is>
          <t>Spare</t>
        </is>
      </c>
      <c r="L868" s="714" t="n"/>
      <c r="M868" s="714" t="inlineStr">
        <is>
          <t>Integer</t>
        </is>
      </c>
      <c r="N868" s="714" t="n">
        <v>0</v>
      </c>
      <c r="O868" s="715" t="n"/>
    </row>
    <row r="869" ht="17.25" customHeight="1">
      <c r="I869" s="714" t="n">
        <v>49</v>
      </c>
      <c r="J869" s="715" t="n"/>
      <c r="K869" s="715" t="inlineStr">
        <is>
          <t>Spare</t>
        </is>
      </c>
      <c r="L869" s="714" t="n"/>
      <c r="M869" s="714" t="inlineStr">
        <is>
          <t>Integer</t>
        </is>
      </c>
      <c r="N869" s="714" t="n">
        <v>0</v>
      </c>
      <c r="O869" s="715" t="n"/>
    </row>
  </sheetData>
  <mergeCells count="4">
    <mergeCell ref="A816:O816"/>
    <mergeCell ref="A819:G819"/>
    <mergeCell ref="R819:S819"/>
    <mergeCell ref="I819:O819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71"/>
  <sheetViews>
    <sheetView workbookViewId="0">
      <selection activeCell="H23" sqref="H23"/>
    </sheetView>
  </sheetViews>
  <sheetFormatPr baseColWidth="8" defaultColWidth="9.1796875" defaultRowHeight="14.5"/>
  <cols>
    <col width="23.453125" customWidth="1" style="310" min="1" max="11"/>
    <col width="9.1796875" customWidth="1" style="310" min="12" max="16384"/>
  </cols>
  <sheetData>
    <row r="1">
      <c r="A1" s="644" t="inlineStr">
        <is>
          <t>Ambient Temperature</t>
        </is>
      </c>
      <c r="B1" s="3">
        <f>'DATA TRANSFER'!F39</f>
        <v/>
      </c>
      <c r="E1" s="647" t="inlineStr">
        <is>
          <t>Temp</t>
        </is>
      </c>
      <c r="F1" s="647" t="inlineStr">
        <is>
          <t>Celcius</t>
        </is>
      </c>
      <c r="G1" s="647" t="inlineStr">
        <is>
          <t>Kelvin</t>
        </is>
      </c>
    </row>
    <row r="2">
      <c r="A2" s="644" t="inlineStr">
        <is>
          <t>Setpoint</t>
        </is>
      </c>
      <c r="B2" s="3">
        <f>'DATA TRANSFER'!F37</f>
        <v/>
      </c>
      <c r="E2" s="648" t="inlineStr">
        <is>
          <t>T1</t>
        </is>
      </c>
      <c r="F2" s="403" t="n">
        <v>18</v>
      </c>
      <c r="G2" s="403" t="n">
        <v>291.15</v>
      </c>
    </row>
    <row r="3">
      <c r="A3" s="644" t="inlineStr">
        <is>
          <t>RAT</t>
        </is>
      </c>
      <c r="B3" s="3">
        <f>Calculation!B36</f>
        <v/>
      </c>
      <c r="E3" s="648" t="inlineStr">
        <is>
          <t>T2</t>
        </is>
      </c>
      <c r="F3" s="403" t="n">
        <v>25</v>
      </c>
      <c r="G3" s="403" t="n">
        <v>298.15</v>
      </c>
    </row>
    <row r="4">
      <c r="E4" s="648" t="inlineStr">
        <is>
          <t>T3</t>
        </is>
      </c>
      <c r="F4" s="403" t="n">
        <v>43</v>
      </c>
      <c r="G4" s="403" t="n">
        <v>316.15</v>
      </c>
    </row>
    <row r="5">
      <c r="E5" s="648" t="inlineStr">
        <is>
          <t>T4</t>
        </is>
      </c>
      <c r="F5" s="403" t="n">
        <v>10</v>
      </c>
      <c r="G5" s="403" t="n">
        <v>283.15</v>
      </c>
    </row>
    <row r="6">
      <c r="E6" s="648" t="inlineStr">
        <is>
          <t>T5</t>
        </is>
      </c>
      <c r="F6" s="403" t="n">
        <v>11</v>
      </c>
      <c r="G6" s="403" t="n">
        <v>284.15</v>
      </c>
    </row>
    <row r="7">
      <c r="E7" s="648" t="inlineStr">
        <is>
          <t>T6</t>
        </is>
      </c>
      <c r="F7" s="403" t="n">
        <v>12</v>
      </c>
      <c r="G7" s="403" t="n">
        <v>285.15</v>
      </c>
    </row>
    <row r="8">
      <c r="E8" s="648" t="inlineStr">
        <is>
          <t>T7</t>
        </is>
      </c>
      <c r="F8" s="403" t="n">
        <v>30</v>
      </c>
      <c r="G8" s="403" t="n">
        <v>303.15</v>
      </c>
    </row>
    <row r="12">
      <c r="A12" s="781" t="inlineStr">
        <is>
          <t>Set point</t>
        </is>
      </c>
      <c r="B12" s="781" t="inlineStr">
        <is>
          <t>Amb&lt;T1</t>
        </is>
      </c>
      <c r="C12" s="870" t="n"/>
      <c r="D12" s="781" t="inlineStr">
        <is>
          <t>T1&lt;Amb&lt;T2</t>
        </is>
      </c>
      <c r="E12" s="870" t="n"/>
      <c r="F12" s="781" t="inlineStr">
        <is>
          <t>T2&lt;Amb&lt;T3</t>
        </is>
      </c>
      <c r="G12" s="870" t="n"/>
      <c r="H12" s="781" t="inlineStr">
        <is>
          <t>Amb&gt;T3</t>
        </is>
      </c>
      <c r="I12" s="870" t="n"/>
      <c r="J12" s="781" t="inlineStr">
        <is>
          <t>Final SP Value</t>
        </is>
      </c>
    </row>
    <row r="13">
      <c r="A13" s="872" t="n"/>
      <c r="B13" s="649" t="inlineStr">
        <is>
          <t>Status</t>
        </is>
      </c>
      <c r="C13" s="649" t="inlineStr">
        <is>
          <t>SP Value</t>
        </is>
      </c>
      <c r="D13" s="649" t="inlineStr">
        <is>
          <t>Status</t>
        </is>
      </c>
      <c r="E13" s="649" t="inlineStr">
        <is>
          <t>SP Value</t>
        </is>
      </c>
      <c r="F13" s="649" t="inlineStr">
        <is>
          <t>Status</t>
        </is>
      </c>
      <c r="G13" s="649" t="inlineStr">
        <is>
          <t>SP Value</t>
        </is>
      </c>
      <c r="H13" s="649" t="inlineStr">
        <is>
          <t>Status</t>
        </is>
      </c>
      <c r="I13" s="649" t="inlineStr">
        <is>
          <t>SP Value</t>
        </is>
      </c>
      <c r="J13" s="649" t="inlineStr">
        <is>
          <t>SP Value</t>
        </is>
      </c>
      <c r="K13" s="733" t="n"/>
    </row>
    <row r="14">
      <c r="A14" s="873" t="n"/>
      <c r="B14" s="3">
        <f>IF(B1&lt;F2,1,0)</f>
        <v/>
      </c>
      <c r="C14" s="3">
        <f>IF(B1&lt;F2,F2,0)</f>
        <v/>
      </c>
      <c r="D14" s="3">
        <f>IF(AND(B1&gt;F2,B1&lt;F3),1,0)</f>
        <v/>
      </c>
      <c r="E14" s="3">
        <f>IF(D14=1,1*(F3-B1)+18,0)</f>
        <v/>
      </c>
      <c r="F14" s="3">
        <f>IF(AND(B1&lt;F4,B1&gt;F3),1,0)</f>
        <v/>
      </c>
      <c r="G14" s="3">
        <f>IF(AND(B1&lt;F4,B1&gt;F3),F3,0)</f>
        <v/>
      </c>
      <c r="H14" s="3">
        <f>IF(B1&gt;F4,1,0)</f>
        <v/>
      </c>
      <c r="I14" s="3">
        <f>IF(B1&gt;F4,B1-18,0)</f>
        <v/>
      </c>
      <c r="J14" s="3">
        <f>MAX(C14,E14,G14,I14)</f>
        <v/>
      </c>
      <c r="K14" s="733" t="n"/>
    </row>
    <row r="15">
      <c r="A15" s="645" t="n"/>
      <c r="B15" s="733" t="n"/>
      <c r="C15" s="733" t="n"/>
      <c r="D15" s="733" t="n"/>
      <c r="E15" s="733" t="n"/>
      <c r="F15" s="733" t="n"/>
      <c r="G15" s="733" t="n"/>
      <c r="H15" s="733" t="n"/>
      <c r="I15" s="733" t="n"/>
      <c r="J15" s="733" t="n"/>
      <c r="K15" s="733" t="n"/>
    </row>
    <row r="16">
      <c r="A16" s="781" t="inlineStr">
        <is>
          <t>Cooling Circuit</t>
        </is>
      </c>
      <c r="B16" s="781" t="inlineStr">
        <is>
          <t>Amb&lt;T4</t>
        </is>
      </c>
      <c r="C16" s="870" t="n"/>
      <c r="D16" s="781" t="inlineStr">
        <is>
          <t>Amb&lt;T6</t>
        </is>
      </c>
      <c r="E16" s="870" t="n"/>
      <c r="F16" s="781" t="inlineStr">
        <is>
          <t>Amb&gt;=T6</t>
        </is>
      </c>
      <c r="G16" s="870" t="n"/>
      <c r="H16" s="781" t="inlineStr">
        <is>
          <t>Final Status</t>
        </is>
      </c>
      <c r="I16" s="870" t="n"/>
      <c r="J16" s="733" t="n"/>
      <c r="K16" s="733" t="n"/>
    </row>
    <row r="17">
      <c r="A17" s="872" t="n"/>
      <c r="B17" s="649" t="inlineStr">
        <is>
          <t>Cooling Circuit 1</t>
        </is>
      </c>
      <c r="C17" s="649" t="inlineStr">
        <is>
          <t>Cooling Circuit 2</t>
        </is>
      </c>
      <c r="D17" s="649" t="inlineStr">
        <is>
          <t>Cooling Circuit 1</t>
        </is>
      </c>
      <c r="E17" s="649" t="inlineStr">
        <is>
          <t>Cooling Circuit 2</t>
        </is>
      </c>
      <c r="F17" s="649" t="inlineStr">
        <is>
          <t>Cooling Circuit 1</t>
        </is>
      </c>
      <c r="G17" s="649" t="inlineStr">
        <is>
          <t>Cooling Circuit 2</t>
        </is>
      </c>
      <c r="H17" s="649" t="inlineStr">
        <is>
          <t>Cooling Circuit 1</t>
        </is>
      </c>
      <c r="I17" s="649" t="inlineStr">
        <is>
          <t>Cooling Circuit 2</t>
        </is>
      </c>
    </row>
    <row r="18">
      <c r="A18" s="873" t="n"/>
      <c r="B18" s="3" t="n">
        <v>0</v>
      </c>
      <c r="C18" s="3" t="n">
        <v>0</v>
      </c>
      <c r="D18" s="3" t="n">
        <v>1</v>
      </c>
      <c r="E18" s="3" t="n">
        <v>0</v>
      </c>
      <c r="F18" s="3" t="n">
        <v>1</v>
      </c>
      <c r="G18" s="3" t="n">
        <v>1</v>
      </c>
      <c r="H18" s="3">
        <f>IF(OR(AND(B1&gt;F5,B1&lt;F7),B1&gt;F8),1,0)</f>
        <v/>
      </c>
      <c r="I18" s="3">
        <f>IF(B1&gt;F8,1,0)</f>
        <v/>
      </c>
    </row>
    <row r="19">
      <c r="A19" s="646" t="n"/>
    </row>
    <row r="20">
      <c r="A20" s="646" t="n"/>
    </row>
    <row r="21">
      <c r="A21" s="781" t="inlineStr">
        <is>
          <t>Heater</t>
        </is>
      </c>
      <c r="B21" s="781" t="inlineStr">
        <is>
          <t>Amb&lt;T5</t>
        </is>
      </c>
      <c r="C21" s="870" t="n"/>
      <c r="D21" s="781" t="inlineStr">
        <is>
          <t>Amb&gt;T5</t>
        </is>
      </c>
      <c r="E21" s="870" t="n"/>
      <c r="F21" s="781" t="inlineStr">
        <is>
          <t>Amb&gt;T7</t>
        </is>
      </c>
      <c r="G21" s="870" t="n"/>
      <c r="H21" s="781" t="inlineStr">
        <is>
          <t>Final Status</t>
        </is>
      </c>
      <c r="I21" s="870" t="n"/>
    </row>
    <row r="22">
      <c r="A22" s="872" t="n"/>
      <c r="B22" s="649" t="inlineStr">
        <is>
          <t>OH Heater 1</t>
        </is>
      </c>
      <c r="C22" s="649" t="inlineStr">
        <is>
          <t>OH Heater 2</t>
        </is>
      </c>
      <c r="D22" s="649" t="inlineStr">
        <is>
          <t>OH Heater 1</t>
        </is>
      </c>
      <c r="E22" s="649" t="inlineStr">
        <is>
          <t>OH Heater 2</t>
        </is>
      </c>
      <c r="F22" s="649" t="inlineStr">
        <is>
          <t>OH Heater 1</t>
        </is>
      </c>
      <c r="G22" s="649" t="inlineStr">
        <is>
          <t>OH Heater 2</t>
        </is>
      </c>
      <c r="H22" s="649" t="inlineStr">
        <is>
          <t>OH Heater 1</t>
        </is>
      </c>
      <c r="I22" s="649" t="inlineStr">
        <is>
          <t>OH Heater 2</t>
        </is>
      </c>
    </row>
    <row r="23">
      <c r="A23" s="873" t="n"/>
      <c r="B23" s="3" t="n">
        <v>1</v>
      </c>
      <c r="C23" s="3" t="n">
        <v>1</v>
      </c>
      <c r="D23" s="3" t="n">
        <v>1</v>
      </c>
      <c r="E23" s="3" t="n">
        <v>0</v>
      </c>
      <c r="F23" s="3" t="n">
        <v>0</v>
      </c>
      <c r="G23" s="3" t="n">
        <v>0</v>
      </c>
      <c r="H23" s="3">
        <f>IF(OR(AND(B1&gt;F6,B1&lt;F8),B1&lt;F6),1,0)</f>
        <v/>
      </c>
      <c r="I23" s="3">
        <f>IF(B1&lt;F6,1,0)</f>
        <v/>
      </c>
    </row>
    <row r="24">
      <c r="A24" s="733" t="n"/>
      <c r="B24" s="733" t="n"/>
      <c r="C24" s="733" t="n"/>
      <c r="D24" s="733" t="n"/>
      <c r="E24" s="733" t="n"/>
      <c r="F24" s="733" t="n"/>
      <c r="G24" s="733" t="n"/>
      <c r="H24" s="733" t="n"/>
      <c r="I24" s="733" t="n"/>
    </row>
    <row r="171">
      <c r="DL171" s="310">
        <f>'DATA TRANSFER'!F37</f>
        <v/>
      </c>
    </row>
  </sheetData>
  <mergeCells count="15">
    <mergeCell ref="A21:A23"/>
    <mergeCell ref="F21:G21"/>
    <mergeCell ref="H12:I12"/>
    <mergeCell ref="F12:G12"/>
    <mergeCell ref="A12:A14"/>
    <mergeCell ref="H21:I21"/>
    <mergeCell ref="B16:C16"/>
    <mergeCell ref="H16:I16"/>
    <mergeCell ref="A16:A18"/>
    <mergeCell ref="D16:E16"/>
    <mergeCell ref="F16:G16"/>
    <mergeCell ref="B21:C21"/>
    <mergeCell ref="B12:C12"/>
    <mergeCell ref="D12:E12"/>
    <mergeCell ref="D21:E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104"/>
  <sheetViews>
    <sheetView topLeftCell="F1" workbookViewId="0">
      <selection activeCell="H10" sqref="H10"/>
    </sheetView>
  </sheetViews>
  <sheetFormatPr baseColWidth="8" defaultColWidth="8.7265625" defaultRowHeight="14.5"/>
  <cols>
    <col width="8.7265625" customWidth="1" style="733" min="1" max="1"/>
    <col width="28.7265625" customWidth="1" style="310" min="2" max="2"/>
    <col width="23.54296875" customWidth="1" style="733" min="3" max="3"/>
    <col width="9.54296875" customWidth="1" style="310" min="4" max="4"/>
    <col width="9.26953125" customWidth="1" style="310" min="5" max="5"/>
    <col width="63.81640625" customWidth="1" style="310" min="6" max="6"/>
    <col width="23.54296875" customWidth="1" style="310" min="7" max="7"/>
    <col width="26" customWidth="1" style="310" min="8" max="8"/>
    <col width="8.7265625" customWidth="1" style="310" min="9" max="9"/>
    <col width="9.26953125" customWidth="1" style="310" min="10" max="10"/>
    <col width="63.81640625" customWidth="1" style="310" min="11" max="11"/>
    <col width="23.54296875" customWidth="1" style="310" min="12" max="12"/>
    <col width="25.453125" customWidth="1" style="310" min="13" max="13"/>
    <col width="8.7265625" customWidth="1" style="310" min="14" max="14"/>
    <col width="9.26953125" customWidth="1" style="310" min="15" max="15"/>
    <col width="70.54296875" customWidth="1" style="310" min="16" max="16"/>
    <col width="23.54296875" customWidth="1" style="310" min="17" max="18"/>
    <col width="8.7265625" customWidth="1" style="310" min="19" max="19"/>
    <col width="9.26953125" customWidth="1" style="310" min="20" max="20"/>
    <col width="74.54296875" customWidth="1" style="310" min="21" max="21"/>
    <col width="23.54296875" customWidth="1" style="310" min="22" max="23"/>
    <col width="8.7265625" customWidth="1" style="310" min="24" max="24"/>
    <col width="9.26953125" customWidth="1" style="310" min="25" max="25"/>
    <col width="72.453125" customWidth="1" style="310" min="26" max="26"/>
    <col width="23.54296875" customWidth="1" style="310" min="27" max="28"/>
    <col width="8.7265625" customWidth="1" style="310" min="29" max="29"/>
    <col width="9.26953125" customWidth="1" style="310" min="30" max="30"/>
    <col width="76.7265625" customWidth="1" style="310" min="31" max="31"/>
    <col width="23.54296875" customWidth="1" style="310" min="32" max="33"/>
    <col width="8.7265625" customWidth="1" style="310" min="34" max="34"/>
    <col width="9.26953125" customWidth="1" style="310" min="35" max="35"/>
    <col width="72.453125" customWidth="1" style="310" min="36" max="36"/>
    <col width="23.54296875" customWidth="1" style="310" min="37" max="38"/>
    <col width="8.7265625" customWidth="1" style="310" min="39" max="39"/>
    <col width="9.26953125" customWidth="1" style="310" min="40" max="40"/>
    <col width="72.453125" customWidth="1" style="310" min="41" max="41"/>
    <col width="23.54296875" customWidth="1" style="310" min="42" max="43"/>
    <col width="8.7265625" customWidth="1" style="310" min="44" max="44"/>
    <col width="9.26953125" customWidth="1" style="310" min="45" max="45"/>
    <col width="74.54296875" customWidth="1" style="310" min="46" max="46"/>
    <col width="23.54296875" customWidth="1" style="310" min="47" max="48"/>
    <col width="8.7265625" customWidth="1" style="310" min="49" max="49"/>
    <col width="9.26953125" customWidth="1" style="310" min="50" max="50"/>
    <col width="73.1796875" customWidth="1" style="310" min="51" max="51"/>
    <col width="23.54296875" customWidth="1" style="310" min="52" max="53"/>
    <col width="8.7265625" customWidth="1" style="310" min="54" max="54"/>
    <col width="9.26953125" customWidth="1" style="310" min="55" max="55"/>
    <col width="72.453125" customWidth="1" style="310" min="56" max="56"/>
    <col width="23.54296875" customWidth="1" style="310" min="57" max="58"/>
    <col width="8.7265625" customWidth="1" style="310" min="59" max="59"/>
    <col width="9.26953125" customWidth="1" style="310" min="60" max="60"/>
    <col width="72.453125" customWidth="1" style="310" min="61" max="61"/>
    <col width="23.54296875" customWidth="1" style="310" min="62" max="63"/>
    <col width="8.7265625" customWidth="1" style="310" min="64" max="64"/>
    <col width="9.26953125" customWidth="1" style="310" min="65" max="65"/>
    <col width="72.453125" customWidth="1" style="310" min="66" max="66"/>
    <col width="23.54296875" customWidth="1" style="310" min="67" max="68"/>
    <col width="8.7265625" customWidth="1" style="310" min="69" max="69"/>
    <col width="9.26953125" customWidth="1" style="310" min="70" max="70"/>
    <col width="72.7265625" customWidth="1" style="310" min="71" max="71"/>
    <col width="23.54296875" customWidth="1" style="310" min="72" max="73"/>
    <col width="8.7265625" customWidth="1" style="310" min="74" max="16384"/>
  </cols>
  <sheetData>
    <row r="1" ht="16.5" customHeight="1" thickBot="1">
      <c r="E1" s="785">
        <f>E2</f>
        <v/>
      </c>
      <c r="F1" s="869" t="n"/>
      <c r="G1" s="869" t="n"/>
      <c r="H1" s="870" t="n"/>
      <c r="J1" s="785">
        <f>J2</f>
        <v/>
      </c>
      <c r="K1" s="869" t="n"/>
      <c r="L1" s="869" t="n"/>
      <c r="M1" s="870" t="n"/>
      <c r="O1" s="785">
        <f>O2</f>
        <v/>
      </c>
      <c r="P1" s="869" t="n"/>
      <c r="Q1" s="869" t="n"/>
      <c r="R1" s="870" t="n"/>
      <c r="T1" s="785">
        <f>T2</f>
        <v/>
      </c>
      <c r="U1" s="869" t="n"/>
      <c r="V1" s="869" t="n"/>
      <c r="W1" s="870" t="n"/>
      <c r="Y1" s="785">
        <f>Y2</f>
        <v/>
      </c>
      <c r="Z1" s="869" t="n"/>
      <c r="AA1" s="869" t="n"/>
      <c r="AB1" s="870" t="n"/>
      <c r="AD1" s="785">
        <f>AD2</f>
        <v/>
      </c>
      <c r="AE1" s="869" t="n"/>
      <c r="AF1" s="869" t="n"/>
      <c r="AG1" s="870" t="n"/>
      <c r="AI1" s="785">
        <f>AI2</f>
        <v/>
      </c>
      <c r="AJ1" s="869" t="n"/>
      <c r="AK1" s="869" t="n"/>
      <c r="AL1" s="870" t="n"/>
      <c r="AN1" s="785">
        <f>AN2</f>
        <v/>
      </c>
      <c r="AO1" s="869" t="n"/>
      <c r="AP1" s="869" t="n"/>
      <c r="AQ1" s="870" t="n"/>
      <c r="AS1" s="785">
        <f>AS2</f>
        <v/>
      </c>
      <c r="AT1" s="869" t="n"/>
      <c r="AU1" s="869" t="n"/>
      <c r="AV1" s="870" t="n"/>
      <c r="AX1" s="785">
        <f>AX2</f>
        <v/>
      </c>
      <c r="AY1" s="869" t="n"/>
      <c r="AZ1" s="869" t="n"/>
      <c r="BA1" s="870" t="n"/>
      <c r="BC1" s="785">
        <f>BC2</f>
        <v/>
      </c>
      <c r="BD1" s="869" t="n"/>
      <c r="BE1" s="869" t="n"/>
      <c r="BF1" s="870" t="n"/>
      <c r="BH1" s="785">
        <f>BH2</f>
        <v/>
      </c>
      <c r="BI1" s="869" t="n"/>
      <c r="BJ1" s="869" t="n"/>
      <c r="BK1" s="870" t="n"/>
      <c r="BM1" s="785">
        <f>BM2</f>
        <v/>
      </c>
      <c r="BN1" s="869" t="n"/>
      <c r="BO1" s="869" t="n"/>
      <c r="BP1" s="870" t="n"/>
      <c r="BR1" s="786">
        <f>BR2</f>
        <v/>
      </c>
      <c r="BS1" s="879" t="n"/>
      <c r="BT1" s="879" t="n"/>
      <c r="BU1" s="880" t="n"/>
    </row>
    <row r="2" ht="29.5" customFormat="1" customHeight="1" s="645" thickBot="1">
      <c r="B2" s="781" t="inlineStr">
        <is>
          <t>Components</t>
        </is>
      </c>
      <c r="C2" s="781" t="inlineStr">
        <is>
          <t>Status</t>
        </is>
      </c>
      <c r="E2" s="782" t="inlineStr">
        <is>
          <t>Fault 101</t>
        </is>
      </c>
      <c r="F2" s="782" t="inlineStr">
        <is>
          <t>No HVAC Operation</t>
        </is>
      </c>
      <c r="G2" s="650" t="inlineStr">
        <is>
          <t>Steps Complete</t>
        </is>
      </c>
      <c r="H2" s="782" t="n">
        <v>4</v>
      </c>
      <c r="J2" s="782" t="inlineStr">
        <is>
          <t>Fault 102</t>
        </is>
      </c>
      <c r="K2" s="782" t="inlineStr">
        <is>
          <t>No Ventilation</t>
        </is>
      </c>
      <c r="L2" s="650" t="inlineStr">
        <is>
          <t>Steps Complete</t>
        </is>
      </c>
      <c r="M2" s="782" t="n">
        <v>0</v>
      </c>
      <c r="O2" s="781" t="inlineStr">
        <is>
          <t>Fault 103</t>
        </is>
      </c>
      <c r="P2" s="781" t="inlineStr">
        <is>
          <t>Reduced Ventilation</t>
        </is>
      </c>
      <c r="Q2" s="650" t="inlineStr">
        <is>
          <t>Steps Complete</t>
        </is>
      </c>
      <c r="R2" s="782" t="n">
        <v>8</v>
      </c>
      <c r="T2" s="782" t="inlineStr">
        <is>
          <t>Fault 104</t>
        </is>
      </c>
      <c r="U2" s="782" t="inlineStr">
        <is>
          <t>Suction low and discharge low</t>
        </is>
      </c>
      <c r="V2" s="650" t="inlineStr">
        <is>
          <t>Steps Complete</t>
        </is>
      </c>
      <c r="W2" s="782" t="n">
        <v>1</v>
      </c>
      <c r="Y2" s="781" t="inlineStr">
        <is>
          <t>Fault 105</t>
        </is>
      </c>
      <c r="Z2" s="781" t="inlineStr">
        <is>
          <t>Suction low and discharge low</t>
        </is>
      </c>
      <c r="AA2" s="650" t="inlineStr">
        <is>
          <t>Steps Complete</t>
        </is>
      </c>
      <c r="AB2" s="782" t="n">
        <v>8</v>
      </c>
      <c r="AD2" s="781" t="inlineStr">
        <is>
          <t>Fault 106</t>
        </is>
      </c>
      <c r="AE2" s="781" t="inlineStr">
        <is>
          <t>High suction and high discharge</t>
        </is>
      </c>
      <c r="AF2" s="650" t="inlineStr">
        <is>
          <t>Steps Complete</t>
        </is>
      </c>
      <c r="AG2" s="782" t="n">
        <v>8</v>
      </c>
      <c r="AI2" s="781" t="inlineStr">
        <is>
          <t>Fault 107</t>
        </is>
      </c>
      <c r="AJ2" s="781" t="inlineStr">
        <is>
          <t>Compressor not Operating</t>
        </is>
      </c>
      <c r="AK2" s="650" t="inlineStr">
        <is>
          <t>Steps Complete</t>
        </is>
      </c>
      <c r="AL2" s="782" t="n">
        <v>8</v>
      </c>
      <c r="AN2" s="782" t="inlineStr">
        <is>
          <t>Fault 108</t>
        </is>
      </c>
      <c r="AO2" s="782" t="inlineStr">
        <is>
          <t>Reduced Cooling</t>
        </is>
      </c>
      <c r="AP2" s="650" t="inlineStr">
        <is>
          <t>Steps Complete</t>
        </is>
      </c>
      <c r="AQ2" s="782" t="n">
        <v>8</v>
      </c>
      <c r="AS2" s="781" t="inlineStr">
        <is>
          <t>Fault 109</t>
        </is>
      </c>
      <c r="AT2" s="781" t="inlineStr">
        <is>
          <t>No Heating</t>
        </is>
      </c>
      <c r="AU2" s="650" t="inlineStr">
        <is>
          <t>Steps Complete</t>
        </is>
      </c>
      <c r="AV2" s="782" t="n">
        <v>8</v>
      </c>
      <c r="AX2" s="781" t="inlineStr">
        <is>
          <t>Fault 110</t>
        </is>
      </c>
      <c r="AY2" s="781" t="inlineStr">
        <is>
          <t>Overcooling</t>
        </is>
      </c>
      <c r="AZ2" s="650" t="inlineStr">
        <is>
          <t>Steps Complete</t>
        </is>
      </c>
      <c r="BA2" s="782" t="n">
        <v>8</v>
      </c>
      <c r="BC2" s="781" t="inlineStr">
        <is>
          <t>Fault 111</t>
        </is>
      </c>
      <c r="BD2" s="781" t="inlineStr">
        <is>
          <t>Overheating</t>
        </is>
      </c>
      <c r="BE2" s="650" t="inlineStr">
        <is>
          <t>Steps Complete</t>
        </is>
      </c>
      <c r="BF2" s="782" t="n">
        <v>8</v>
      </c>
      <c r="BH2" s="781" t="inlineStr">
        <is>
          <t>Fault 112</t>
        </is>
      </c>
      <c r="BI2" s="781" t="inlineStr">
        <is>
          <t>No Emergency Ventilation</t>
        </is>
      </c>
      <c r="BJ2" s="650" t="inlineStr">
        <is>
          <t>Steps Complete</t>
        </is>
      </c>
      <c r="BK2" s="782" t="n">
        <v>8</v>
      </c>
      <c r="BM2" s="781" t="inlineStr">
        <is>
          <t>Fault 113</t>
        </is>
      </c>
      <c r="BN2" s="781" t="inlineStr">
        <is>
          <t>Smoke Identified in Saloon</t>
        </is>
      </c>
      <c r="BO2" s="650" t="inlineStr">
        <is>
          <t>Steps Complete</t>
        </is>
      </c>
      <c r="BP2" s="782" t="n">
        <v>8</v>
      </c>
      <c r="BR2" s="651" t="inlineStr">
        <is>
          <t>Fault 114</t>
        </is>
      </c>
      <c r="BS2" s="652" t="inlineStr">
        <is>
          <t>Compressor is excessively noisy | Condenser Fan or Supply air Blower is excessively noisy | Noisy TX valve | HVAC unit is noisy</t>
        </is>
      </c>
      <c r="BT2" s="653" t="inlineStr">
        <is>
          <t>Steps Complete</t>
        </is>
      </c>
      <c r="BU2" s="654" t="n">
        <v>2</v>
      </c>
    </row>
    <row r="3" ht="25" customFormat="1" customHeight="1" s="734">
      <c r="B3" s="656" t="inlineStr">
        <is>
          <t>HVAC OFF</t>
        </is>
      </c>
      <c r="C3" s="657" t="n"/>
      <c r="E3" s="658" t="inlineStr">
        <is>
          <t>Cause 1</t>
        </is>
      </c>
      <c r="F3" s="659">
        <f>_xlfn.CONCAT("Faulty"," ",F26)</f>
        <v/>
      </c>
      <c r="G3" s="660">
        <f>IF(H4=1,1,0)</f>
        <v/>
      </c>
      <c r="H3" s="661" t="inlineStr">
        <is>
          <t>Cause Triggered</t>
        </is>
      </c>
      <c r="J3" s="658" t="inlineStr">
        <is>
          <t>Cause 1</t>
        </is>
      </c>
      <c r="K3" s="659">
        <f>_xlfn.CONCAT("Faulty"," ",K34)</f>
        <v/>
      </c>
      <c r="L3" s="660">
        <f>IF(M4=1,1,0)</f>
        <v/>
      </c>
      <c r="M3" s="661" t="inlineStr">
        <is>
          <t>Cause Triggered</t>
        </is>
      </c>
      <c r="O3" s="658" t="inlineStr">
        <is>
          <t>Cause 1</t>
        </is>
      </c>
      <c r="P3" s="659">
        <f>_xlfn.CONCAT("Faulty"," ",P27)</f>
        <v/>
      </c>
      <c r="Q3" s="660">
        <f>IF(R4=1,1,0)</f>
        <v/>
      </c>
      <c r="R3" s="661" t="inlineStr">
        <is>
          <t>Cause Triggered</t>
        </is>
      </c>
      <c r="T3" s="658" t="inlineStr">
        <is>
          <t>Cause 1</t>
        </is>
      </c>
      <c r="U3" s="659">
        <f>U27</f>
        <v/>
      </c>
      <c r="V3" s="660">
        <f>IF(W4=1,1,0)</f>
        <v/>
      </c>
      <c r="W3" s="661" t="inlineStr">
        <is>
          <t>Cause Triggered</t>
        </is>
      </c>
      <c r="Y3" s="658" t="inlineStr">
        <is>
          <t>Cause 1</t>
        </is>
      </c>
      <c r="Z3" s="659">
        <f>_xlfn.CONCAT(Z26," ","Faulty")</f>
        <v/>
      </c>
      <c r="AA3" s="660">
        <f>IF(AB4=1,1,0)</f>
        <v/>
      </c>
      <c r="AB3" s="661" t="inlineStr">
        <is>
          <t>Cause Triggered</t>
        </is>
      </c>
      <c r="AD3" s="658" t="inlineStr">
        <is>
          <t>Cause 1</t>
        </is>
      </c>
      <c r="AE3" s="659">
        <f>_xlfn.CONCAT(AE40," ","Faulty")</f>
        <v/>
      </c>
      <c r="AF3" s="660">
        <f>IF(AG4=1,1,0)</f>
        <v/>
      </c>
      <c r="AG3" s="661" t="inlineStr">
        <is>
          <t>Cause Triggered</t>
        </is>
      </c>
      <c r="AI3" s="658" t="inlineStr">
        <is>
          <t>Cause 1</t>
        </is>
      </c>
      <c r="AJ3" s="659">
        <f>_xlfn.CONCAT(AJ59," ","Faulty")</f>
        <v/>
      </c>
      <c r="AK3" s="660">
        <f>IF(AL4=1,1,0)</f>
        <v/>
      </c>
      <c r="AL3" s="661" t="inlineStr">
        <is>
          <t>Cause Triggered</t>
        </is>
      </c>
      <c r="AN3" s="658" t="inlineStr">
        <is>
          <t>Cause 1</t>
        </is>
      </c>
      <c r="AO3" s="659">
        <f>_xlfn.CONCAT(AO58," ","Faulty")</f>
        <v/>
      </c>
      <c r="AP3" s="660">
        <f>IF(AQ4=1,1,0)</f>
        <v/>
      </c>
      <c r="AQ3" s="661" t="inlineStr">
        <is>
          <t>Cause Triggered</t>
        </is>
      </c>
      <c r="AS3" s="658" t="inlineStr">
        <is>
          <t>Cause 1</t>
        </is>
      </c>
      <c r="AT3" s="659">
        <f>_xlfn.CONCAT(AT34," ","Faulty")</f>
        <v/>
      </c>
      <c r="AU3" s="660">
        <f>IF($AV$4=1,1,0)</f>
        <v/>
      </c>
      <c r="AV3" s="661" t="inlineStr">
        <is>
          <t>Cause Triggered</t>
        </is>
      </c>
      <c r="AX3" s="658" t="inlineStr">
        <is>
          <t>Cause 1</t>
        </is>
      </c>
      <c r="AY3" s="662">
        <f>_xlfn.CONCAT(AY27," ","Faulty")</f>
        <v/>
      </c>
      <c r="AZ3" s="660">
        <f>IF(BA4=1,1,0)</f>
        <v/>
      </c>
      <c r="BA3" s="661" t="inlineStr">
        <is>
          <t>Cause Triggered</t>
        </is>
      </c>
      <c r="BC3" s="658" t="inlineStr">
        <is>
          <t>Cause 1</t>
        </is>
      </c>
      <c r="BD3" s="662">
        <f>_xlfn.CONCAT(BD21," ","Faulty")</f>
        <v/>
      </c>
      <c r="BE3" s="660">
        <f>IF(BF4=1,1,0)</f>
        <v/>
      </c>
      <c r="BF3" s="661" t="inlineStr">
        <is>
          <t>Cause Triggered</t>
        </is>
      </c>
      <c r="BH3" s="658" t="inlineStr">
        <is>
          <t>Cause 1</t>
        </is>
      </c>
      <c r="BI3" s="659">
        <f>_xlfn.CONCAT(BI27," ","Faulty")</f>
        <v/>
      </c>
      <c r="BJ3" s="660">
        <f>IF(BK4=1,1,0)</f>
        <v/>
      </c>
      <c r="BK3" s="661" t="inlineStr">
        <is>
          <t>Cause Triggered</t>
        </is>
      </c>
      <c r="BM3" s="658" t="inlineStr">
        <is>
          <t>Cause 1</t>
        </is>
      </c>
      <c r="BN3" s="659">
        <f>_xlfn.CONCAT(BN25," ","Faulty")</f>
        <v/>
      </c>
      <c r="BO3" s="660">
        <f>IF(BP4=1,1,0)</f>
        <v/>
      </c>
      <c r="BP3" s="661" t="inlineStr">
        <is>
          <t>Cause Triggered</t>
        </is>
      </c>
      <c r="BR3" s="663" t="inlineStr">
        <is>
          <t>Cause 1</t>
        </is>
      </c>
      <c r="BS3" s="664">
        <f>_xlfn.CONCAT(BS85," ","Faulty")</f>
        <v/>
      </c>
      <c r="BT3" s="663">
        <f>IF($BU$4=1,1,0)</f>
        <v/>
      </c>
      <c r="BU3" s="665" t="inlineStr">
        <is>
          <t>Cause Triggered</t>
        </is>
      </c>
    </row>
    <row r="4" ht="25" customHeight="1" thickBot="1">
      <c r="B4" s="666" t="inlineStr">
        <is>
          <t>Control Panel Circuit Breakers</t>
        </is>
      </c>
      <c r="C4" s="3" t="n"/>
      <c r="E4" s="667" t="inlineStr">
        <is>
          <t>Cause 2</t>
        </is>
      </c>
      <c r="F4" s="656">
        <f>_xlfn.CONCAT("Faulty"," ",F27)</f>
        <v/>
      </c>
      <c r="G4" s="657">
        <f>IF(H4=2,1,0)</f>
        <v/>
      </c>
      <c r="H4" s="668" t="n">
        <v>1</v>
      </c>
      <c r="J4" s="667" t="inlineStr">
        <is>
          <t>Cause 2</t>
        </is>
      </c>
      <c r="K4" s="656">
        <f>_xlfn.CONCAT("Faulty"," ",K35)</f>
        <v/>
      </c>
      <c r="L4" s="657">
        <f>IF(M4=2,1,0)</f>
        <v/>
      </c>
      <c r="M4" s="668" t="n">
        <v>1</v>
      </c>
      <c r="O4" s="667" t="inlineStr">
        <is>
          <t>Cause 2</t>
        </is>
      </c>
      <c r="P4" s="656">
        <f>_xlfn.CONCAT("Faulty"," ",P28)</f>
        <v/>
      </c>
      <c r="Q4" s="657">
        <f>IF(R4=2,1,0)</f>
        <v/>
      </c>
      <c r="R4" s="668" t="n">
        <v>0</v>
      </c>
      <c r="T4" s="667" t="inlineStr">
        <is>
          <t>Cause 2</t>
        </is>
      </c>
      <c r="U4" s="656">
        <f>_xlfn.CONCAT(U28," ","Faulty")</f>
        <v/>
      </c>
      <c r="V4" s="657">
        <f>IF(W4=2,1,0)</f>
        <v/>
      </c>
      <c r="W4" s="668" t="n">
        <v>1</v>
      </c>
      <c r="Y4" s="667" t="inlineStr">
        <is>
          <t>Cause 2</t>
        </is>
      </c>
      <c r="Z4" s="656">
        <f>_xlfn.CONCAT(Z27," ","Faulty")</f>
        <v/>
      </c>
      <c r="AA4" s="657">
        <f>IF(AB4=2,1,0)</f>
        <v/>
      </c>
      <c r="AB4" s="668" t="n">
        <v>0</v>
      </c>
      <c r="AD4" s="667" t="inlineStr">
        <is>
          <t>Cause 2</t>
        </is>
      </c>
      <c r="AE4" s="669">
        <f>_xlfn.CONCAT(AE41," ","Faulty")</f>
        <v/>
      </c>
      <c r="AF4" s="670">
        <f>IF($AG$4=2,1,0)</f>
        <v/>
      </c>
      <c r="AG4" s="668" t="n">
        <v>0</v>
      </c>
      <c r="AI4" s="667" t="inlineStr">
        <is>
          <t>Cause 2</t>
        </is>
      </c>
      <c r="AJ4" s="669">
        <f>_xlfn.CONCAT(AJ60," ","Faulty")</f>
        <v/>
      </c>
      <c r="AK4" s="657">
        <f>IF(AL4=2,1,0)</f>
        <v/>
      </c>
      <c r="AL4" s="668" t="n">
        <v>0</v>
      </c>
      <c r="AN4" s="667" t="inlineStr">
        <is>
          <t>Cause 2</t>
        </is>
      </c>
      <c r="AO4" s="656">
        <f>_xlfn.CONCAT(AO59," ","Damaged")</f>
        <v/>
      </c>
      <c r="AP4" s="671">
        <f>IF($AQ$4=2,1,0)</f>
        <v/>
      </c>
      <c r="AQ4" s="668" t="n">
        <v>0</v>
      </c>
      <c r="AS4" s="672" t="inlineStr">
        <is>
          <t>Cause 2</t>
        </is>
      </c>
      <c r="AT4" s="669">
        <f>_xlfn.CONCAT(AT35," ","Faulty")</f>
        <v/>
      </c>
      <c r="AU4" s="670">
        <f>IF($AV$4=2,1,0)</f>
        <v/>
      </c>
      <c r="AV4" s="668" t="n">
        <v>0</v>
      </c>
      <c r="AX4" s="667" t="n"/>
      <c r="AY4" s="657" t="n"/>
      <c r="AZ4" s="657" t="n"/>
      <c r="BA4" s="668" t="n">
        <v>0</v>
      </c>
      <c r="BC4" s="667" t="inlineStr">
        <is>
          <t>Cause 2</t>
        </is>
      </c>
      <c r="BD4" s="657">
        <f>_xlfn.CONCAT(BD22," ","Faulty")</f>
        <v/>
      </c>
      <c r="BE4" s="657">
        <f>IF(BF4=2,1,0)</f>
        <v/>
      </c>
      <c r="BF4" s="668" t="n">
        <v>0</v>
      </c>
      <c r="BH4" s="667" t="n"/>
      <c r="BI4" s="657" t="n"/>
      <c r="BJ4" s="657" t="n"/>
      <c r="BK4" s="668" t="n">
        <v>0</v>
      </c>
      <c r="BM4" s="667" t="inlineStr">
        <is>
          <t>Cause 2</t>
        </is>
      </c>
      <c r="BN4" s="656">
        <f>_xlfn.CONCAT(BN26," ","Faulty")</f>
        <v/>
      </c>
      <c r="BO4" s="657">
        <f>IF(BP4=2,1,0)</f>
        <v/>
      </c>
      <c r="BP4" s="668" t="n">
        <v>0</v>
      </c>
      <c r="BR4" s="673" t="inlineStr">
        <is>
          <t>Cause 2</t>
        </is>
      </c>
      <c r="BS4" s="674">
        <f>_xlfn.CONCAT(BS86," ","Faulty")</f>
        <v/>
      </c>
      <c r="BT4" s="673">
        <f>IF($BU$4=1,1,0)</f>
        <v/>
      </c>
      <c r="BU4" s="675" t="n">
        <v>0</v>
      </c>
    </row>
    <row r="5" ht="23.15" customHeight="1" thickBot="1">
      <c r="B5" s="666" t="inlineStr">
        <is>
          <t>Supply Air Fan</t>
        </is>
      </c>
      <c r="C5" s="3" t="n"/>
      <c r="E5" s="676" t="n"/>
      <c r="F5" s="677" t="n"/>
      <c r="G5" s="677" t="n"/>
      <c r="H5" s="678" t="n"/>
      <c r="J5" s="676" t="inlineStr">
        <is>
          <t>Cause 3</t>
        </is>
      </c>
      <c r="K5" s="679">
        <f>_xlfn.CONCAT("Faulty"," ",K36)</f>
        <v/>
      </c>
      <c r="L5" s="677">
        <f>IF(M4=3,1,0)</f>
        <v/>
      </c>
      <c r="M5" s="678" t="n"/>
      <c r="O5" s="676" t="inlineStr">
        <is>
          <t>Cause 3</t>
        </is>
      </c>
      <c r="P5" s="679" t="inlineStr">
        <is>
          <t>Refrigerant Leak</t>
        </is>
      </c>
      <c r="Q5" s="677">
        <f>IF(R4=3,1,0)</f>
        <v/>
      </c>
      <c r="R5" s="678" t="n"/>
      <c r="T5" s="676" t="n"/>
      <c r="U5" s="679" t="n"/>
      <c r="V5" s="677" t="n"/>
      <c r="W5" s="678" t="n"/>
      <c r="Y5" s="676" t="n"/>
      <c r="Z5" s="679" t="n"/>
      <c r="AA5" s="677" t="n"/>
      <c r="AB5" s="678" t="n"/>
      <c r="AD5" s="667" t="inlineStr">
        <is>
          <t>Cause 3</t>
        </is>
      </c>
      <c r="AE5" s="656">
        <f>_xlfn.CONCAT(AE42," ","Faulty")</f>
        <v/>
      </c>
      <c r="AF5" s="657">
        <f>IF($AG$4=3,1,0)</f>
        <v/>
      </c>
      <c r="AG5" s="680" t="n"/>
      <c r="AI5" s="676" t="inlineStr">
        <is>
          <t>Cause 3</t>
        </is>
      </c>
      <c r="AJ5" s="679">
        <f>_xlfn.CONCAT(AJ61," ","Faulty")</f>
        <v/>
      </c>
      <c r="AK5" s="677">
        <f>IF(AL4=3,1,0)</f>
        <v/>
      </c>
      <c r="AL5" s="678" t="n"/>
      <c r="AN5" s="667" t="inlineStr">
        <is>
          <t>Cause 3</t>
        </is>
      </c>
      <c r="AO5" s="656">
        <f>_xlfn.CONCAT(AO60," ","Faulty")</f>
        <v/>
      </c>
      <c r="AP5" s="657">
        <f>IF($AQ$4=3,1,0)</f>
        <v/>
      </c>
      <c r="AQ5" s="680" t="n"/>
      <c r="AS5" s="667" t="inlineStr">
        <is>
          <t>Cause 3</t>
        </is>
      </c>
      <c r="AT5" s="656">
        <f>_xlfn.CONCAT(AT36," ","Faulty")</f>
        <v/>
      </c>
      <c r="AU5" s="657">
        <f>IF($AV$4=3,1,0)</f>
        <v/>
      </c>
      <c r="AV5" s="680" t="n"/>
      <c r="AX5" s="676" t="n"/>
      <c r="AY5" s="677" t="n"/>
      <c r="AZ5" s="677" t="n"/>
      <c r="BA5" s="678" t="n"/>
      <c r="BC5" s="676" t="n"/>
      <c r="BD5" s="677" t="n"/>
      <c r="BE5" s="677" t="n"/>
      <c r="BF5" s="678" t="n"/>
      <c r="BH5" s="676" t="n"/>
      <c r="BI5" s="677" t="n"/>
      <c r="BJ5" s="677" t="n"/>
      <c r="BK5" s="678" t="n"/>
      <c r="BM5" s="676" t="n"/>
      <c r="BN5" s="677" t="n"/>
      <c r="BO5" s="677" t="n"/>
      <c r="BP5" s="678" t="n"/>
      <c r="BR5" s="673" t="inlineStr">
        <is>
          <t>Cause 3</t>
        </is>
      </c>
      <c r="BS5" s="674">
        <f>_xlfn.CONCAT(BS87," ","Faulty")</f>
        <v/>
      </c>
      <c r="BT5" s="673">
        <f>IF($BU$4=3,1,0)</f>
        <v/>
      </c>
      <c r="BU5" s="681" t="n"/>
    </row>
    <row r="6" ht="38.5" customHeight="1" thickBot="1">
      <c r="B6" s="666">
        <f>K36</f>
        <v/>
      </c>
      <c r="C6" s="3" t="n"/>
      <c r="E6" s="682" t="inlineStr">
        <is>
          <t>Sr No</t>
        </is>
      </c>
      <c r="F6" s="682" t="inlineStr">
        <is>
          <t>Fault Step</t>
        </is>
      </c>
      <c r="G6" s="682" t="inlineStr">
        <is>
          <t>Step Status</t>
        </is>
      </c>
      <c r="H6" s="682" t="inlineStr">
        <is>
          <t>Remarks</t>
        </is>
      </c>
      <c r="J6" s="682" t="inlineStr">
        <is>
          <t>Sr No</t>
        </is>
      </c>
      <c r="K6" s="682" t="inlineStr">
        <is>
          <t>Fault Step</t>
        </is>
      </c>
      <c r="L6" s="682" t="inlineStr">
        <is>
          <t>Step Status</t>
        </is>
      </c>
      <c r="M6" s="682" t="inlineStr">
        <is>
          <t>Remarks</t>
        </is>
      </c>
      <c r="O6" s="683" t="inlineStr">
        <is>
          <t>Sr No</t>
        </is>
      </c>
      <c r="P6" s="683" t="inlineStr">
        <is>
          <t>Fault Step</t>
        </is>
      </c>
      <c r="Q6" s="683" t="inlineStr">
        <is>
          <t>Step Status</t>
        </is>
      </c>
      <c r="R6" s="683" t="inlineStr">
        <is>
          <t>Remarks</t>
        </is>
      </c>
      <c r="T6" s="683" t="inlineStr">
        <is>
          <t>Sr No</t>
        </is>
      </c>
      <c r="U6" s="683" t="inlineStr">
        <is>
          <t>Fault Step</t>
        </is>
      </c>
      <c r="V6" s="683" t="inlineStr">
        <is>
          <t>Step Status</t>
        </is>
      </c>
      <c r="W6" s="683" t="inlineStr">
        <is>
          <t>Remarks</t>
        </is>
      </c>
      <c r="Y6" s="683" t="inlineStr">
        <is>
          <t>Sr No</t>
        </is>
      </c>
      <c r="Z6" s="683" t="inlineStr">
        <is>
          <t>Fault Step</t>
        </is>
      </c>
      <c r="AA6" s="683" t="inlineStr">
        <is>
          <t>Step Status</t>
        </is>
      </c>
      <c r="AB6" s="683" t="inlineStr">
        <is>
          <t>Remarks</t>
        </is>
      </c>
      <c r="AD6" s="676" t="inlineStr">
        <is>
          <t>Cause 4</t>
        </is>
      </c>
      <c r="AE6" s="679">
        <f>_xlfn.CONCAT(AE43," ","Faulty")</f>
        <v/>
      </c>
      <c r="AF6" s="677">
        <f>IF($AG$4=4,1,0)</f>
        <v/>
      </c>
      <c r="AG6" s="678" t="n"/>
      <c r="AI6" s="683" t="inlineStr">
        <is>
          <t>Sr No</t>
        </is>
      </c>
      <c r="AJ6" s="683" t="inlineStr">
        <is>
          <t>Fault Step</t>
        </is>
      </c>
      <c r="AK6" s="683" t="inlineStr">
        <is>
          <t>Step Status</t>
        </is>
      </c>
      <c r="AL6" s="683" t="inlineStr">
        <is>
          <t>Remarks</t>
        </is>
      </c>
      <c r="AN6" s="667" t="inlineStr">
        <is>
          <t>Cause 4</t>
        </is>
      </c>
      <c r="AO6" s="656">
        <f>_xlfn.CONCAT(AO61," ","Damaged")</f>
        <v/>
      </c>
      <c r="AP6" s="657">
        <f>IF($AQ$4=4,1,0)</f>
        <v/>
      </c>
      <c r="AQ6" s="684" t="n"/>
      <c r="AS6" s="667" t="inlineStr">
        <is>
          <t>Cause 4</t>
        </is>
      </c>
      <c r="AT6" s="656">
        <f>AT37</f>
        <v/>
      </c>
      <c r="AU6" s="657">
        <f>IF($AV$4=4,1,0)</f>
        <v/>
      </c>
      <c r="AV6" s="684" t="n"/>
      <c r="AX6" s="683" t="inlineStr">
        <is>
          <t>Sr No</t>
        </is>
      </c>
      <c r="AY6" s="683" t="inlineStr">
        <is>
          <t>Fault Step</t>
        </is>
      </c>
      <c r="AZ6" s="683" t="inlineStr">
        <is>
          <t>Step Status</t>
        </is>
      </c>
      <c r="BA6" s="683" t="inlineStr">
        <is>
          <t>Remarks</t>
        </is>
      </c>
      <c r="BC6" s="683" t="inlineStr">
        <is>
          <t>Sr No</t>
        </is>
      </c>
      <c r="BD6" s="683" t="inlineStr">
        <is>
          <t>Fault Step</t>
        </is>
      </c>
      <c r="BE6" s="683" t="inlineStr">
        <is>
          <t>Step Status</t>
        </is>
      </c>
      <c r="BF6" s="683" t="inlineStr">
        <is>
          <t>Remarks</t>
        </is>
      </c>
      <c r="BH6" s="683" t="inlineStr">
        <is>
          <t>Sr No</t>
        </is>
      </c>
      <c r="BI6" s="683" t="inlineStr">
        <is>
          <t>Fault Step</t>
        </is>
      </c>
      <c r="BJ6" s="683" t="inlineStr">
        <is>
          <t>Step Status</t>
        </is>
      </c>
      <c r="BK6" s="683" t="inlineStr">
        <is>
          <t>Remarks</t>
        </is>
      </c>
      <c r="BM6" s="683" t="inlineStr">
        <is>
          <t>Sr No</t>
        </is>
      </c>
      <c r="BN6" s="683" t="inlineStr">
        <is>
          <t>Fault Step</t>
        </is>
      </c>
      <c r="BO6" s="683" t="inlineStr">
        <is>
          <t>Step Status</t>
        </is>
      </c>
      <c r="BP6" s="683" t="inlineStr">
        <is>
          <t>Remarks</t>
        </is>
      </c>
      <c r="BR6" s="673" t="inlineStr">
        <is>
          <t>Cause 4</t>
        </is>
      </c>
      <c r="BS6" s="674">
        <f>_xlfn.CONCAT(BS88," ","Faulty")</f>
        <v/>
      </c>
      <c r="BT6" s="673">
        <f>IF($BU$4=4,1,0)</f>
        <v/>
      </c>
      <c r="BU6" s="685" t="n"/>
    </row>
    <row r="7" ht="38.5" customHeight="1" thickBot="1">
      <c r="B7" s="666" t="inlineStr">
        <is>
          <t>Compressor</t>
        </is>
      </c>
      <c r="C7" s="3" t="n">
        <v>1</v>
      </c>
      <c r="E7" s="3" t="n">
        <v>1</v>
      </c>
      <c r="F7" s="686" t="inlineStr">
        <is>
          <t>Loosen and remove 24 nos M8X20 bolts (8) along with washer set (7) to open evaporator cover (9). (Spanner)</t>
        </is>
      </c>
      <c r="G7" s="3">
        <f>IF($H$2&gt;=E7,1,0)</f>
        <v/>
      </c>
      <c r="H7" s="3" t="inlineStr">
        <is>
          <t>1: Complete, 0: Incomplete</t>
        </is>
      </c>
      <c r="J7" s="3" t="n">
        <v>1</v>
      </c>
      <c r="K7" s="686" t="inlineStr">
        <is>
          <t>Loosen and remove 24 nos M8X20 bolts (8) along with washer set (7) to open evaporator cover (9). (Spanner)</t>
        </is>
      </c>
      <c r="L7" s="3">
        <f>IF($M$2&gt;=J7,1,0)</f>
        <v/>
      </c>
      <c r="M7" s="3" t="inlineStr">
        <is>
          <t>1: Complete, 0: Incomplete</t>
        </is>
      </c>
      <c r="O7" s="3" t="n">
        <v>1</v>
      </c>
      <c r="P7" s="686" t="inlineStr">
        <is>
          <t>Loosen and remove 24 nos M8X20 bolts (8) along with washer set (7) to open evaporator cover (9). (Spanner)</t>
        </is>
      </c>
      <c r="Q7" s="3">
        <f>IF($R$2&gt;=O7,1,0)</f>
        <v/>
      </c>
      <c r="R7" s="3" t="inlineStr">
        <is>
          <t>1: Complete, 0: Incomplete</t>
        </is>
      </c>
      <c r="T7" s="3" t="n">
        <v>1</v>
      </c>
      <c r="U7" s="686" t="inlineStr">
        <is>
          <t>Loosen and remove 24 nos M8X20 bolts (8) along with washer set (7) to open evaporator cover (9). (Spanner)</t>
        </is>
      </c>
      <c r="V7" s="3">
        <f>IF($W$2&gt;=T7,1,0)</f>
        <v/>
      </c>
      <c r="W7" s="3" t="inlineStr">
        <is>
          <t>1: Complete, 0: Incomplete</t>
        </is>
      </c>
      <c r="Y7" s="3" t="n">
        <v>1</v>
      </c>
      <c r="Z7" s="686" t="inlineStr">
        <is>
          <t>Remove Condenser Mesh with lifting device (Lifting Device)</t>
        </is>
      </c>
      <c r="AA7" s="3">
        <f>IF($AB$2&gt;=Y7,1,0)</f>
        <v/>
      </c>
      <c r="AB7" s="3" t="inlineStr">
        <is>
          <t>1: Complete, 0: Incomplete</t>
        </is>
      </c>
      <c r="AD7" s="682" t="inlineStr">
        <is>
          <t>Sr No</t>
        </is>
      </c>
      <c r="AE7" s="682" t="inlineStr">
        <is>
          <t>Fault Step</t>
        </is>
      </c>
      <c r="AF7" s="682" t="inlineStr">
        <is>
          <t>Step Status</t>
        </is>
      </c>
      <c r="AG7" s="682" t="inlineStr">
        <is>
          <t>Remarks</t>
        </is>
      </c>
      <c r="AI7" s="3" t="n">
        <v>1</v>
      </c>
      <c r="AJ7" s="686" t="inlineStr">
        <is>
          <t>Loosen and remove 24 nos M8X20 bolts (8) along with washer set (7) to open evaporator cover (9). (Spanner)</t>
        </is>
      </c>
      <c r="AK7" s="3">
        <f>IF($AL$2&gt;=AI7,1,0)</f>
        <v/>
      </c>
      <c r="AL7" s="3" t="inlineStr">
        <is>
          <t>1: Complete, 0: Incomplete</t>
        </is>
      </c>
      <c r="AN7" s="667" t="inlineStr">
        <is>
          <t>Cause 5</t>
        </is>
      </c>
      <c r="AO7" s="656">
        <f>_xlfn.CONCAT(AO62," ","Faulty")</f>
        <v/>
      </c>
      <c r="AP7" s="657">
        <f>IF($AQ$4=5,1,0)</f>
        <v/>
      </c>
      <c r="AQ7" s="684" t="n"/>
      <c r="AS7" s="676" t="inlineStr">
        <is>
          <t>Cause 5</t>
        </is>
      </c>
      <c r="AT7" s="679">
        <f>_xlfn.CONCAT(AT38," ","Faulty")</f>
        <v/>
      </c>
      <c r="AU7" s="677">
        <f>IF($AV$4=5,1,0)</f>
        <v/>
      </c>
      <c r="AV7" s="678" t="n"/>
      <c r="AX7" s="3" t="n">
        <v>1</v>
      </c>
      <c r="AY7" s="686" t="inlineStr">
        <is>
          <t>Loosen and remove 24 nos M8X20 bolts (8) along with washer set (7) to open evaporator cover (9). (Spanner)</t>
        </is>
      </c>
      <c r="AZ7" s="3">
        <f>IF($BA$2&gt;=AX7,1,0)</f>
        <v/>
      </c>
      <c r="BA7" s="3" t="inlineStr">
        <is>
          <t>1: Complete, 0: Incomplete</t>
        </is>
      </c>
      <c r="BC7" s="3" t="n">
        <v>1</v>
      </c>
      <c r="BD7" s="686" t="inlineStr">
        <is>
          <t>Loosen and remove 24 nos M8X20 bolts (8) along with washer set (7) to open evaporator cover (9). (Spanner)</t>
        </is>
      </c>
      <c r="BE7" s="3">
        <f>IF(BF$2&gt;=BC7,1,0)</f>
        <v/>
      </c>
      <c r="BF7" s="3" t="inlineStr">
        <is>
          <t>1: Complete, 0: Incomplete</t>
        </is>
      </c>
      <c r="BH7" s="3" t="n">
        <v>1</v>
      </c>
      <c r="BI7" s="686" t="inlineStr">
        <is>
          <t>Loosen and remove 24 nos M8X20 bolts (8) along with washer set (7) to open evaporator cover (9). (Spanner)</t>
        </is>
      </c>
      <c r="BJ7" s="3">
        <f>IF($BK$2&gt;=BH7,1,0)</f>
        <v/>
      </c>
      <c r="BK7" s="3" t="inlineStr">
        <is>
          <t>1: Complete, 0: Incomplete</t>
        </is>
      </c>
      <c r="BM7" s="3" t="n">
        <v>1</v>
      </c>
      <c r="BN7" s="686" t="inlineStr">
        <is>
          <t>Loosen and remove 24 nos M8X20 bolts (8) along with washer set (7) to open evaporator cover (9). (Spanner)</t>
        </is>
      </c>
      <c r="BO7" s="3">
        <f>IF($BP$2&gt;=BM7,1,0)</f>
        <v/>
      </c>
      <c r="BP7" s="3" t="inlineStr">
        <is>
          <t>1: Complete, 0: Incomplete</t>
        </is>
      </c>
      <c r="BR7" s="673" t="inlineStr">
        <is>
          <t>Cause 5</t>
        </is>
      </c>
      <c r="BS7" s="674">
        <f>_xlfn.CONCAT(BS89," ","Faulty")</f>
        <v/>
      </c>
      <c r="BT7" s="673">
        <f>IF($BU$4=5,1,0)</f>
        <v/>
      </c>
      <c r="BU7" s="685" t="n"/>
    </row>
    <row r="8" ht="38.5" customHeight="1" thickBot="1">
      <c r="B8" s="666" t="inlineStr">
        <is>
          <t>Supply Air Fan Circuit</t>
        </is>
      </c>
      <c r="C8" s="3" t="n"/>
      <c r="E8" s="3">
        <f>E7+1</f>
        <v/>
      </c>
      <c r="F8" s="686" t="inlineStr">
        <is>
          <t>Remove hinge pins to remove the evaporator cover (9) from HVAC unit. (Pliers)</t>
        </is>
      </c>
      <c r="G8" s="3">
        <f>IF($H$2&gt;=E8,1,0)</f>
        <v/>
      </c>
      <c r="H8" s="236" t="n"/>
      <c r="J8" s="3">
        <f>J7+1</f>
        <v/>
      </c>
      <c r="K8" s="686" t="inlineStr">
        <is>
          <t>Remove hinge pins to remove the evaporator cover (9) from HVAC unit. (Pliers)</t>
        </is>
      </c>
      <c r="L8" s="3">
        <f>IF($M$2&gt;=J8,1,0)</f>
        <v/>
      </c>
      <c r="M8" s="236" t="n"/>
      <c r="O8" s="3">
        <f>O7+1</f>
        <v/>
      </c>
      <c r="P8" s="686" t="inlineStr">
        <is>
          <t>Remove hinge pins to remove the evaporator cover (9) from HVAC unit. (Pliers)</t>
        </is>
      </c>
      <c r="Q8" s="3">
        <f>IF($R$2&gt;=O8,1,0)</f>
        <v/>
      </c>
      <c r="R8" s="236" t="n"/>
      <c r="T8" s="3">
        <f>T7+1</f>
        <v/>
      </c>
      <c r="U8" s="686" t="inlineStr">
        <is>
          <t>Remove hinge pins to remove the evaporator cover (9) from HVAC unit. (Pliers)</t>
        </is>
      </c>
      <c r="V8" s="3">
        <f>IF($W$2&gt;=T8,1,0)</f>
        <v/>
      </c>
      <c r="W8" s="236" t="n"/>
      <c r="Y8" s="3">
        <f>Y7+1</f>
        <v/>
      </c>
      <c r="Z8" s="686" t="inlineStr">
        <is>
          <t>Remove Condenser Coil &amp; Filter with lifting device (Lifting Device)</t>
        </is>
      </c>
      <c r="AA8" s="3">
        <f>IF($AB$2&gt;=Y8,1,0)</f>
        <v/>
      </c>
      <c r="AB8" s="236" t="n"/>
      <c r="AD8" s="3" t="n">
        <v>1</v>
      </c>
      <c r="AE8" s="687" t="inlineStr">
        <is>
          <t>Unscrew Fan cover bolt (Spanner)</t>
        </is>
      </c>
      <c r="AF8" s="3">
        <f>IF($AG$2&gt;=AD8,1,0)</f>
        <v/>
      </c>
      <c r="AG8" s="3" t="inlineStr">
        <is>
          <t>1: Complete, 0: Incomplete</t>
        </is>
      </c>
      <c r="AI8" s="3">
        <f>AI7+1</f>
        <v/>
      </c>
      <c r="AJ8" s="686" t="inlineStr">
        <is>
          <t>Remove hinge pins to remove the evaporator cover (9) from HVAC unit. (Pliers)</t>
        </is>
      </c>
      <c r="AK8" s="3">
        <f>IF($AL$2&gt;=AI8,1,0)</f>
        <v/>
      </c>
      <c r="AL8" s="236" t="n"/>
      <c r="AN8" s="676" t="inlineStr">
        <is>
          <t>Cause 6</t>
        </is>
      </c>
      <c r="AO8" s="679">
        <f>_xlfn.CONCAT(AO63," ","Faulty")</f>
        <v/>
      </c>
      <c r="AP8" s="677">
        <f>IF($AQ$4=6,1,0)</f>
        <v/>
      </c>
      <c r="AQ8" s="678" t="n"/>
      <c r="AS8" s="683" t="inlineStr">
        <is>
          <t>Sr No</t>
        </is>
      </c>
      <c r="AT8" s="683" t="inlineStr">
        <is>
          <t>Fault Step</t>
        </is>
      </c>
      <c r="AU8" s="683" t="inlineStr">
        <is>
          <t>Step Status</t>
        </is>
      </c>
      <c r="AV8" s="683" t="inlineStr">
        <is>
          <t>Remarks</t>
        </is>
      </c>
      <c r="AX8" s="3">
        <f>AX7+1</f>
        <v/>
      </c>
      <c r="AY8" s="686" t="inlineStr">
        <is>
          <t>Remove hinge pins to remove the evaporator cover (9) from HVAC unit. (Pliers)</t>
        </is>
      </c>
      <c r="AZ8" s="3">
        <f>IF($BA$2&gt;=AX8,1,0)</f>
        <v/>
      </c>
      <c r="BA8" s="236" t="n"/>
      <c r="BC8" s="3">
        <f>BC7+1</f>
        <v/>
      </c>
      <c r="BD8" s="686" t="inlineStr">
        <is>
          <t>Remove hinge pins to remove the evaporator cover (9) from HVAC unit. (Pliers)</t>
        </is>
      </c>
      <c r="BE8" s="3">
        <f>IF(BF$2&gt;=BC8,1,0)</f>
        <v/>
      </c>
      <c r="BF8" s="236" t="n"/>
      <c r="BH8" s="3">
        <f>BH7+1</f>
        <v/>
      </c>
      <c r="BI8" s="686" t="inlineStr">
        <is>
          <t>Remove hinge pins to remove the evaporator cover (9) from HVAC unit. (Pliers)</t>
        </is>
      </c>
      <c r="BJ8" s="3">
        <f>IF($BK$2&gt;=BH8,1,0)</f>
        <v/>
      </c>
      <c r="BK8" s="236" t="n"/>
      <c r="BM8" s="3">
        <f>BM7+1</f>
        <v/>
      </c>
      <c r="BN8" s="686" t="inlineStr">
        <is>
          <t>Remove hinge pins to remove the evaporator cover (9) from HVAC unit. (Pliers)</t>
        </is>
      </c>
      <c r="BO8" s="3">
        <f>IF($BP$2&gt;=BM8,1,0)</f>
        <v/>
      </c>
      <c r="BP8" s="236" t="n"/>
      <c r="BR8" s="673" t="inlineStr">
        <is>
          <t>Cause 6</t>
        </is>
      </c>
      <c r="BS8" s="674">
        <f>_xlfn.CONCAT(BS90," ","Faulty")</f>
        <v/>
      </c>
      <c r="BT8" s="673">
        <f>IF($BU$4=6,1,0)</f>
        <v/>
      </c>
      <c r="BU8" s="685" t="n"/>
    </row>
    <row r="9" ht="37" customHeight="1">
      <c r="B9" s="666" t="inlineStr">
        <is>
          <t>Supply Air Filter</t>
        </is>
      </c>
      <c r="C9" s="3" t="n"/>
      <c r="E9" s="3">
        <f>E8+1</f>
        <v/>
      </c>
      <c r="F9" s="686" t="inlineStr">
        <is>
          <t>Remove the evaporator cover (9) from HVAC unit using suitable lifting device. (None)</t>
        </is>
      </c>
      <c r="G9" s="3">
        <f>IF($H$2&gt;=E9,1,0)</f>
        <v/>
      </c>
      <c r="H9" s="236" t="n"/>
      <c r="J9" s="3">
        <f>J8+1</f>
        <v/>
      </c>
      <c r="K9" s="686" t="inlineStr">
        <is>
          <t>Remove the evaporator cover (9) from HVAC unit using suitable lifting device. (None)</t>
        </is>
      </c>
      <c r="L9" s="3">
        <f>IF($M$2&gt;=J9,1,0)</f>
        <v/>
      </c>
      <c r="M9" s="236" t="n"/>
      <c r="O9" s="3">
        <f>O8+1</f>
        <v/>
      </c>
      <c r="P9" s="686" t="inlineStr">
        <is>
          <t>Remove the evaporator cover (9) from HVAC unit using suitable lifting device. (None)</t>
        </is>
      </c>
      <c r="Q9" s="3">
        <f>IF($R$2&gt;=O9,1,0)</f>
        <v/>
      </c>
      <c r="R9" s="236" t="n"/>
      <c r="T9" s="3">
        <f>T8+1</f>
        <v/>
      </c>
      <c r="U9" s="686" t="inlineStr">
        <is>
          <t>Remove the evaporator cover (9) from HVAC unit using suitable lifting device. (None)</t>
        </is>
      </c>
      <c r="V9" s="3">
        <f>IF($W$2&gt;=T9,1,0)</f>
        <v/>
      </c>
      <c r="W9" s="236" t="n"/>
      <c r="Y9" s="3">
        <f>Y8+1</f>
        <v/>
      </c>
      <c r="Z9" s="686" t="inlineStr">
        <is>
          <t>Check for leaks using Electronic leak detector (Electronic Leak Detector)</t>
        </is>
      </c>
      <c r="AA9" s="3">
        <f>IF($AB$2&gt;=Y9,1,0)</f>
        <v/>
      </c>
      <c r="AB9" s="236" t="n"/>
      <c r="AD9" s="3">
        <f>AD8+1</f>
        <v/>
      </c>
      <c r="AE9" s="687" t="inlineStr">
        <is>
          <t>Open fan cover (Insulated Gloves)</t>
        </is>
      </c>
      <c r="AF9" s="3">
        <f>IF($AG$2&gt;=AD9,1,0)</f>
        <v/>
      </c>
      <c r="AG9" s="236" t="n"/>
      <c r="AI9" s="3">
        <f>AI8+1</f>
        <v/>
      </c>
      <c r="AJ9" s="686" t="inlineStr">
        <is>
          <t>Remove the evaporator cover (9) from HVAC unit using suitable lifting device. (None)</t>
        </is>
      </c>
      <c r="AK9" s="3">
        <f>IF($AL$2&gt;=AI9,1,0)</f>
        <v/>
      </c>
      <c r="AL9" s="236" t="n"/>
      <c r="AN9" s="682" t="inlineStr">
        <is>
          <t>Sr No</t>
        </is>
      </c>
      <c r="AO9" s="682" t="inlineStr">
        <is>
          <t>Fault Step</t>
        </is>
      </c>
      <c r="AP9" s="682" t="inlineStr">
        <is>
          <t>Step Status</t>
        </is>
      </c>
      <c r="AQ9" s="682" t="inlineStr">
        <is>
          <t>Remarks</t>
        </is>
      </c>
      <c r="AS9" s="3" t="n">
        <v>1</v>
      </c>
      <c r="AT9" s="686" t="inlineStr">
        <is>
          <t>Loosen and remove 24 nos M8X20 bolts (8) along with washer set (7) to open evaporator cover (9). (Spanner)</t>
        </is>
      </c>
      <c r="AU9" s="3">
        <f>IF($AV$2&gt;=AS9,1,0)</f>
        <v/>
      </c>
      <c r="AV9" s="3" t="inlineStr">
        <is>
          <t>1: Complete, 0: Incomplete</t>
        </is>
      </c>
      <c r="AX9" s="3">
        <f>AX8+1</f>
        <v/>
      </c>
      <c r="AY9" s="686" t="inlineStr">
        <is>
          <t>Remove the evaporator cover (9) from HVAC unit using suitable lifting device. (None)</t>
        </is>
      </c>
      <c r="AZ9" s="3">
        <f>IF($BA$2&gt;=AX9,1,0)</f>
        <v/>
      </c>
      <c r="BA9" s="236" t="n"/>
      <c r="BC9" s="3">
        <f>BC8+1</f>
        <v/>
      </c>
      <c r="BD9" s="686" t="inlineStr">
        <is>
          <t>Remove the evaporator cover (9) from HVAC unit using suitable lifting device. (None)</t>
        </is>
      </c>
      <c r="BE9" s="3">
        <f>IF(BF$2&gt;=BC9,1,0)</f>
        <v/>
      </c>
      <c r="BF9" s="236" t="n"/>
      <c r="BH9" s="3">
        <f>BH8+1</f>
        <v/>
      </c>
      <c r="BI9" s="686" t="inlineStr">
        <is>
          <t>Remove the evaporator cover (9) from HVAC unit using suitable lifting device. (None)</t>
        </is>
      </c>
      <c r="BJ9" s="3">
        <f>IF($BK$2&gt;=BH9,1,0)</f>
        <v/>
      </c>
      <c r="BK9" s="236" t="n"/>
      <c r="BM9" s="3">
        <f>BM8+1</f>
        <v/>
      </c>
      <c r="BN9" s="686" t="inlineStr">
        <is>
          <t>Remove the evaporator cover (9) from HVAC unit using suitable lifting device. (None)</t>
        </is>
      </c>
      <c r="BO9" s="3">
        <f>IF($BP$2&gt;=BM9,1,0)</f>
        <v/>
      </c>
      <c r="BP9" s="236" t="n"/>
      <c r="BR9" s="673" t="inlineStr">
        <is>
          <t>Cause 7</t>
        </is>
      </c>
      <c r="BS9" s="674">
        <f>_xlfn.CONCAT(BS91," ","Faulty")</f>
        <v/>
      </c>
      <c r="BT9" s="673">
        <f>IF($BU$4=7,1,0)</f>
        <v/>
      </c>
      <c r="BU9" s="685" t="n"/>
    </row>
    <row r="10" ht="25" customHeight="1">
      <c r="B10" s="666" t="inlineStr">
        <is>
          <t>Evaporator Coil Damage</t>
        </is>
      </c>
      <c r="C10" s="3" t="n"/>
      <c r="E10" s="3">
        <f>E9+1</f>
        <v/>
      </c>
      <c r="F10" s="686" t="inlineStr">
        <is>
          <t>Remove electrical control panel assembly (Spanner)</t>
        </is>
      </c>
      <c r="G10" s="3">
        <f>IF($H$2&gt;=E10,1,0)</f>
        <v/>
      </c>
      <c r="H10" s="236" t="n"/>
      <c r="J10" s="3">
        <f>J9+1</f>
        <v/>
      </c>
      <c r="K10" s="686" t="inlineStr">
        <is>
          <t>Remove electrical control panel assembly (Spanner)</t>
        </is>
      </c>
      <c r="L10" s="3">
        <f>IF($M$2&gt;=J10,1,0)</f>
        <v/>
      </c>
      <c r="M10" s="236" t="n"/>
      <c r="O10" s="3">
        <f>O9+1</f>
        <v/>
      </c>
      <c r="P10" s="686" t="inlineStr">
        <is>
          <t>Open supply air blower (Spanner)</t>
        </is>
      </c>
      <c r="Q10" s="3">
        <f>IF($R$2&gt;=O10,1,0)</f>
        <v/>
      </c>
      <c r="R10" s="236" t="n"/>
      <c r="T10" s="3">
        <f>T9+1</f>
        <v/>
      </c>
      <c r="U10" s="686" t="inlineStr">
        <is>
          <t>Check the evaporator coil (1) for any damages to the fins. (Visual Inspection Lamp)</t>
        </is>
      </c>
      <c r="V10" s="3">
        <f>IF($W$2&gt;=T10,1,0)</f>
        <v/>
      </c>
      <c r="W10" s="236" t="n"/>
      <c r="Y10" s="3">
        <f>Y9+1</f>
        <v/>
      </c>
      <c r="Z10" s="686" t="inlineStr">
        <is>
          <t>Open Filter Drier Cover (Screwdriver)</t>
        </is>
      </c>
      <c r="AA10" s="3">
        <f>IF($AB$2&gt;=Y10,1,0)</f>
        <v/>
      </c>
      <c r="AB10" s="236" t="n"/>
      <c r="AD10" s="3">
        <f>AD9+1</f>
        <v/>
      </c>
      <c r="AE10" s="687" t="inlineStr">
        <is>
          <t>Unscrews Fan Motor Bolt (Spanner)</t>
        </is>
      </c>
      <c r="AF10" s="3">
        <f>IF($AG$2&gt;=AD10,1,0)</f>
        <v/>
      </c>
      <c r="AG10" s="236" t="n"/>
      <c r="AI10" s="3">
        <f>AI9+1</f>
        <v/>
      </c>
      <c r="AJ10" s="686" t="inlineStr">
        <is>
          <t>Remove electrical control panel assembly (Spanner)</t>
        </is>
      </c>
      <c r="AK10" s="3">
        <f>IF($AL$2&gt;=AI10,1,0)</f>
        <v/>
      </c>
      <c r="AL10" s="236" t="n"/>
      <c r="AN10" s="3" t="n">
        <v>1</v>
      </c>
      <c r="AO10" s="686" t="inlineStr">
        <is>
          <t>Unscrew bottom panel (Spanner)</t>
        </is>
      </c>
      <c r="AP10" s="3">
        <f>IF($AQ$2&gt;=AN10,1,0)</f>
        <v/>
      </c>
      <c r="AQ10" s="3" t="inlineStr">
        <is>
          <t>1: Complete, 0: Incomplete</t>
        </is>
      </c>
      <c r="AS10" s="3">
        <f>AS9+1</f>
        <v/>
      </c>
      <c r="AT10" s="687" t="inlineStr">
        <is>
          <t>Remove hinge pins to remove the evaporator cover (9) from HVAC unit. (Pliers)</t>
        </is>
      </c>
      <c r="AU10" s="688">
        <f>IF($AV$2&gt;=AS10,1,0)</f>
        <v/>
      </c>
      <c r="AV10" s="236" t="n"/>
      <c r="AX10" s="3">
        <f>AX9+1</f>
        <v/>
      </c>
      <c r="AY10" s="686" t="inlineStr">
        <is>
          <t>Open supply air cover (Spanner)</t>
        </is>
      </c>
      <c r="AZ10" s="3">
        <f>IF($BA$2&gt;=AX10,1,0)</f>
        <v/>
      </c>
      <c r="BA10" s="236" t="n"/>
      <c r="BC10" s="3">
        <f>BC9+1</f>
        <v/>
      </c>
      <c r="BD10" s="686" t="inlineStr">
        <is>
          <t>Check the temperature sensors for any damage (Clamp Thermometer)</t>
        </is>
      </c>
      <c r="BE10" s="3">
        <f>IF(BF$2&gt;=BC10,1,0)</f>
        <v/>
      </c>
      <c r="BF10" s="236" t="n"/>
      <c r="BH10" s="3">
        <f>BH9+1</f>
        <v/>
      </c>
      <c r="BI10" s="686" t="inlineStr">
        <is>
          <t>Remove electrical control panel assembly (Spanner)</t>
        </is>
      </c>
      <c r="BJ10" s="3">
        <f>IF($BK$2&gt;=BH10,1,0)</f>
        <v/>
      </c>
      <c r="BK10" s="236" t="n"/>
      <c r="BM10" s="3">
        <f>BM9+1</f>
        <v/>
      </c>
      <c r="BN10" s="686" t="inlineStr">
        <is>
          <t>Remove the fresh air dampers (Spanner)</t>
        </is>
      </c>
      <c r="BO10" s="3">
        <f>IF($BP$2&gt;=BM10,1,0)</f>
        <v/>
      </c>
      <c r="BP10" s="236" t="n"/>
      <c r="BR10" s="673" t="inlineStr">
        <is>
          <t>Cause 8</t>
        </is>
      </c>
      <c r="BS10" s="674">
        <f>_xlfn.CONCAT(BS92," ","Faulty")</f>
        <v/>
      </c>
      <c r="BT10" s="673">
        <f>IF($BU$4=8,1,0)</f>
        <v/>
      </c>
      <c r="BU10" s="685" t="n"/>
    </row>
    <row r="11" ht="34.5" customHeight="1" thickBot="1">
      <c r="B11" s="666" t="inlineStr">
        <is>
          <t>TX Valve</t>
        </is>
      </c>
      <c r="C11" s="3" t="n"/>
      <c r="E11" s="3">
        <f>E10+1</f>
        <v/>
      </c>
      <c r="F11" s="686" t="inlineStr">
        <is>
          <t>Check all circuit breakers and close. (Multimeter)</t>
        </is>
      </c>
      <c r="G11" s="3">
        <f>IF($H$2&gt;=E11,1,0)</f>
        <v/>
      </c>
      <c r="H11" s="236" t="n"/>
      <c r="J11" s="3">
        <f>J10+1</f>
        <v/>
      </c>
      <c r="K11" s="686" t="inlineStr">
        <is>
          <t>Check all circuit breakers and close. (Multimeter)</t>
        </is>
      </c>
      <c r="L11" s="3">
        <f>IF($M$2&gt;=J11,1,0)</f>
        <v/>
      </c>
      <c r="M11" s="236" t="n"/>
      <c r="O11" s="3">
        <f>O10+1</f>
        <v/>
      </c>
      <c r="P11" s="686" t="inlineStr">
        <is>
          <t>Clean the supply air blower (1) with compressed air. (Compressed Air Gun)</t>
        </is>
      </c>
      <c r="Q11" s="3">
        <f>IF($R$2&gt;=O11,1,0)</f>
        <v/>
      </c>
      <c r="R11" s="236" t="n"/>
      <c r="T11" s="3">
        <f>T10+1</f>
        <v/>
      </c>
      <c r="U11" s="686" t="inlineStr">
        <is>
          <t>Check and defrost evaporator coil. (Visual Inspection)</t>
        </is>
      </c>
      <c r="V11" s="3">
        <f>IF($W$2&gt;=T11,1,0)</f>
        <v/>
      </c>
      <c r="W11" s="236" t="n"/>
      <c r="Y11" s="3">
        <f>Y10+1</f>
        <v/>
      </c>
      <c r="Z11" s="686" t="inlineStr">
        <is>
          <t>Remove Filter Drier (Insulated Gloves)</t>
        </is>
      </c>
      <c r="AA11" s="3">
        <f>IF($AB$2&gt;=Y11,1,0)</f>
        <v/>
      </c>
      <c r="AB11" s="236" t="n"/>
      <c r="AD11" s="3">
        <f>AD10+1</f>
        <v/>
      </c>
      <c r="AE11" s="687" t="inlineStr">
        <is>
          <t>Remove Fan Motor (Insulated Gloves)</t>
        </is>
      </c>
      <c r="AF11" s="3">
        <f>IF($AG$2&gt;=AD11,1,0)</f>
        <v/>
      </c>
      <c r="AG11" s="236" t="n"/>
      <c r="AI11" s="3">
        <f>AI10+1</f>
        <v/>
      </c>
      <c r="AJ11" s="686" t="inlineStr">
        <is>
          <t>Check all circuit breakers and close. (Multimeter)</t>
        </is>
      </c>
      <c r="AK11" s="3">
        <f>IF($AL$2&gt;=AI11,1,0)</f>
        <v/>
      </c>
      <c r="AL11" s="236" t="n"/>
      <c r="AN11" s="3">
        <f>AN10+1</f>
        <v/>
      </c>
      <c r="AO11" s="686" t="inlineStr">
        <is>
          <t>Remove bottom panel (Insulated Gloves)</t>
        </is>
      </c>
      <c r="AP11" s="3">
        <f>IF($AQ$2&gt;=AN11,1,0)</f>
        <v/>
      </c>
      <c r="AQ11" s="236" t="n"/>
      <c r="AS11" s="3">
        <f>AS10+1</f>
        <v/>
      </c>
      <c r="AT11" s="687" t="inlineStr">
        <is>
          <t>Remove the evaporator cover (9) from HVAC unit using suitable lifting device. (None)</t>
        </is>
      </c>
      <c r="AU11" s="688">
        <f>IF($AV$2&gt;=AS11,1,0)</f>
        <v/>
      </c>
      <c r="AV11" s="236" t="n"/>
      <c r="AX11" s="3">
        <f>AX10+1</f>
        <v/>
      </c>
      <c r="AY11" s="686" t="inlineStr">
        <is>
          <t>Remove FAT Bolt (Spanner)</t>
        </is>
      </c>
      <c r="AZ11" s="3">
        <f>IF($BA$2&gt;=AX11,1,0)</f>
        <v/>
      </c>
      <c r="BA11" s="236" t="n"/>
      <c r="BC11" s="3">
        <f>BC10+1</f>
        <v/>
      </c>
      <c r="BD11" s="686" t="inlineStr">
        <is>
          <t>RAT Damaged (Visual Inspection)</t>
        </is>
      </c>
      <c r="BE11" s="3">
        <f>IF(BF$2&gt;=BC11,1,0)</f>
        <v/>
      </c>
      <c r="BF11" s="236" t="n"/>
      <c r="BH11" s="3">
        <f>BH10+1</f>
        <v/>
      </c>
      <c r="BI11" s="686" t="inlineStr">
        <is>
          <t>Check all circuit breakers and close. (Multimeter)</t>
        </is>
      </c>
      <c r="BJ11" s="3">
        <f>IF($BK$2&gt;=BH11,1,0)</f>
        <v/>
      </c>
      <c r="BK11" s="236" t="n"/>
      <c r="BM11" s="3">
        <f>BM10+1</f>
        <v/>
      </c>
      <c r="BN11" s="686" t="inlineStr">
        <is>
          <t>Replace the fresh air dampers (Visual Inspection)</t>
        </is>
      </c>
      <c r="BO11" s="3">
        <f>IF($BP$2&gt;=BM11,1,0)</f>
        <v/>
      </c>
      <c r="BP11" s="236" t="n"/>
      <c r="BR11" s="689" t="inlineStr">
        <is>
          <t>Cause 9</t>
        </is>
      </c>
      <c r="BS11" s="690">
        <f>_xlfn.CONCAT(BS93," ","Faulty")</f>
        <v/>
      </c>
      <c r="BT11" s="689">
        <f>IF($BU$4=9,1,0)</f>
        <v/>
      </c>
      <c r="BU11" s="691" t="n"/>
    </row>
    <row r="12" ht="37.5" customHeight="1" thickBot="1">
      <c r="B12" s="666" t="inlineStr">
        <is>
          <t>Filter Drier</t>
        </is>
      </c>
      <c r="C12" s="3" t="n"/>
      <c r="E12" s="3">
        <f>E11+1</f>
        <v/>
      </c>
      <c r="F12" s="686" t="inlineStr">
        <is>
          <t>Unplug the connected wires (Screwdriver)</t>
        </is>
      </c>
      <c r="G12" s="3">
        <f>IF($H$2&gt;=E12,1,0)</f>
        <v/>
      </c>
      <c r="H12" s="236" t="n"/>
      <c r="J12" s="3">
        <f>J11+1</f>
        <v/>
      </c>
      <c r="K12" s="686" t="inlineStr">
        <is>
          <t>Unplug the connected wires (Screwdriver)</t>
        </is>
      </c>
      <c r="L12" s="3">
        <f>IF($M$2&gt;=J12,1,0)</f>
        <v/>
      </c>
      <c r="M12" s="236" t="n"/>
      <c r="O12" s="3">
        <f>O11+1</f>
        <v/>
      </c>
      <c r="P12" s="686" t="inlineStr">
        <is>
          <t>Rotate supply air blower (1) motor with hand and ensure that only a light force is required to rotate it. (Insulated Hand Gloves)</t>
        </is>
      </c>
      <c r="Q12" s="3">
        <f>IF($R$2&gt;=O12,1,0)</f>
        <v/>
      </c>
      <c r="R12" s="236" t="n"/>
      <c r="T12" s="3">
        <f>T11+1</f>
        <v/>
      </c>
      <c r="U12" s="686" t="inlineStr">
        <is>
          <t>Use a fin comb to straighten any bent fins. (Fin Comb)</t>
        </is>
      </c>
      <c r="V12" s="3">
        <f>IF($W$2&gt;=T12,1,0)</f>
        <v/>
      </c>
      <c r="W12" s="236" t="n"/>
      <c r="Y12" s="3">
        <f>Y11+1</f>
        <v/>
      </c>
      <c r="Z12" s="686" t="inlineStr">
        <is>
          <t>Replace Filter Drier (None)</t>
        </is>
      </c>
      <c r="AA12" s="3">
        <f>IF($AB$2&gt;=Y12,1,0)</f>
        <v/>
      </c>
      <c r="AB12" s="236" t="n"/>
      <c r="AD12" s="3">
        <f>AD11+1</f>
        <v/>
      </c>
      <c r="AE12" s="687" t="inlineStr">
        <is>
          <t>Replace Fan Motor (None)</t>
        </is>
      </c>
      <c r="AF12" s="3">
        <f>IF($AG$2&gt;=AD12,1,0)</f>
        <v/>
      </c>
      <c r="AG12" s="236" t="n"/>
      <c r="AI12" s="3">
        <f>AI11+1</f>
        <v/>
      </c>
      <c r="AJ12" s="686" t="inlineStr">
        <is>
          <t>Unplug the connected wires (Screwdriver)</t>
        </is>
      </c>
      <c r="AK12" s="3">
        <f>IF($AL$2&gt;=AI12,1,0)</f>
        <v/>
      </c>
      <c r="AL12" s="236" t="n"/>
      <c r="AN12" s="3">
        <f>AN11+1</f>
        <v/>
      </c>
      <c r="AO12" s="686" t="inlineStr">
        <is>
          <t>Unscrew return air damper (Spanner)</t>
        </is>
      </c>
      <c r="AP12" s="3">
        <f>IF($AQ$2&gt;=AN12,1,0)</f>
        <v/>
      </c>
      <c r="AQ12" s="236" t="n"/>
      <c r="AS12" s="3">
        <f>AS11+1</f>
        <v/>
      </c>
      <c r="AT12" s="687" t="inlineStr">
        <is>
          <t>Remove electrical control panel assembly (Spanner)</t>
        </is>
      </c>
      <c r="AU12" s="688">
        <f>IF($AV$2&gt;=AS12,1,0)</f>
        <v/>
      </c>
      <c r="AV12" s="236" t="n"/>
      <c r="AX12" s="3">
        <f>AX11+1</f>
        <v/>
      </c>
      <c r="AY12" s="686" t="inlineStr">
        <is>
          <t>Replace with new FAT Sensor (None)</t>
        </is>
      </c>
      <c r="AZ12" s="3">
        <f>IF($BA$2&gt;=AX12,1,0)</f>
        <v/>
      </c>
      <c r="BA12" s="236" t="n"/>
      <c r="BC12" s="3">
        <f>BC11+1</f>
        <v/>
      </c>
      <c r="BD12" s="686" t="inlineStr">
        <is>
          <t>Unbolt the return air temperature sensor (Spanner)</t>
        </is>
      </c>
      <c r="BE12" s="3">
        <f>IF(BF$2&gt;=BC12,1,0)</f>
        <v/>
      </c>
      <c r="BF12" s="236" t="n"/>
      <c r="BH12" s="3">
        <f>BH11+1</f>
        <v/>
      </c>
      <c r="BI12" s="686" t="inlineStr">
        <is>
          <t>Unplug the connected wires (Screwdriver)</t>
        </is>
      </c>
      <c r="BJ12" s="3">
        <f>IF($BK$2&gt;=BH12,1,0)</f>
        <v/>
      </c>
      <c r="BK12" s="236" t="n"/>
      <c r="BM12" s="3">
        <f>BM11+1</f>
        <v/>
      </c>
      <c r="BN12" s="686" t="inlineStr">
        <is>
          <t>Unscrew fresh air filter bolt (Screwdriver)</t>
        </is>
      </c>
      <c r="BO12" s="3">
        <f>IF($BP$2&gt;=BM12,1,0)</f>
        <v/>
      </c>
      <c r="BP12" s="236" t="n"/>
      <c r="BR12" s="692" t="inlineStr">
        <is>
          <t>Sr No</t>
        </is>
      </c>
      <c r="BS12" s="693" t="inlineStr">
        <is>
          <t>Fault Step</t>
        </is>
      </c>
      <c r="BT12" s="692" t="inlineStr">
        <is>
          <t>Step Status</t>
        </is>
      </c>
      <c r="BU12" s="694" t="inlineStr">
        <is>
          <t>Remarks</t>
        </is>
      </c>
    </row>
    <row r="13" ht="54.65" customHeight="1">
      <c r="B13" s="666" t="inlineStr">
        <is>
          <t>Condensor Fan Motor</t>
        </is>
      </c>
      <c r="C13" s="3" t="n"/>
      <c r="E13" s="3">
        <f>E12+1</f>
        <v/>
      </c>
      <c r="F13" s="686" t="inlineStr">
        <is>
          <t>Remove electrical plugs. (Insulated Gloves)</t>
        </is>
      </c>
      <c r="G13" s="3">
        <f>IF($H$2&gt;=E13,1,0)</f>
        <v/>
      </c>
      <c r="H13" s="236" t="n"/>
      <c r="J13" s="3">
        <f>J12+1</f>
        <v/>
      </c>
      <c r="K13" s="686" t="inlineStr">
        <is>
          <t>Remove electrical plugs. (Insulated Gloves)</t>
        </is>
      </c>
      <c r="L13" s="3">
        <f>IF($M$2&gt;=J13,1,0)</f>
        <v/>
      </c>
      <c r="M13" s="236" t="n"/>
      <c r="O13" s="3">
        <f>O12+1</f>
        <v/>
      </c>
      <c r="P13" s="686" t="inlineStr">
        <is>
          <t>Remove supply air blower (Screwdriver)</t>
        </is>
      </c>
      <c r="Q13" s="3">
        <f>IF($R$2&gt;=O13,1,0)</f>
        <v/>
      </c>
      <c r="R13" s="236" t="n"/>
      <c r="T13" s="3">
        <f>T12+1</f>
        <v/>
      </c>
      <c r="U13" s="686" t="inlineStr">
        <is>
          <t>Wash the evaporator coil (1) with warm to hot water and a small quantity of detergent. The hot water softens the bristles helps the grease to dissolve and removes the chlorides. (Bristle Brush)</t>
        </is>
      </c>
      <c r="V13" s="3">
        <f>IF($W$2&gt;=T13,1,0)</f>
        <v/>
      </c>
      <c r="W13" s="236" t="n"/>
      <c r="Y13" s="3">
        <f>Y12+1</f>
        <v/>
      </c>
      <c r="Z13" s="686" t="inlineStr">
        <is>
          <t>Check LP/HP (Manifold Gauge Set)</t>
        </is>
      </c>
      <c r="AA13" s="3">
        <f>IF($AB$2&gt;=Y13,1,0)</f>
        <v/>
      </c>
      <c r="AB13" s="236" t="n"/>
      <c r="AD13" s="3">
        <f>AD12+1</f>
        <v/>
      </c>
      <c r="AE13" s="687" t="inlineStr">
        <is>
          <t>Clean the condenser fan with dry compressed air (Compressed Air)</t>
        </is>
      </c>
      <c r="AF13" s="3">
        <f>IF($AG$2&gt;=AD13,1,0)</f>
        <v/>
      </c>
      <c r="AG13" s="236" t="n"/>
      <c r="AI13" s="3">
        <f>AI12+1</f>
        <v/>
      </c>
      <c r="AJ13" s="686" t="inlineStr">
        <is>
          <t>Remove electrical plugs. (Insulated Gloves)</t>
        </is>
      </c>
      <c r="AK13" s="3">
        <f>IF($AL$2&gt;=AI13,1,0)</f>
        <v/>
      </c>
      <c r="AL13" s="236" t="n"/>
      <c r="AN13" s="3">
        <f>AN12+1</f>
        <v/>
      </c>
      <c r="AO13" s="686" t="inlineStr">
        <is>
          <t>Remove return air damper (Insulated Gloves)</t>
        </is>
      </c>
      <c r="AP13" s="3">
        <f>IF($AQ$2&gt;=AN13,1,0)</f>
        <v/>
      </c>
      <c r="AQ13" s="236" t="n"/>
      <c r="AS13" s="3">
        <f>AS12+1</f>
        <v/>
      </c>
      <c r="AT13" s="687" t="inlineStr">
        <is>
          <t>Check all circuit breakers and close. (Multimeter)</t>
        </is>
      </c>
      <c r="AU13" s="688">
        <f>IF($AV$2&gt;=AS13,1,0)</f>
        <v/>
      </c>
      <c r="AV13" s="236" t="n"/>
      <c r="AX13" s="3">
        <f>AX12+1</f>
        <v/>
      </c>
      <c r="AY13" s="686" t="inlineStr">
        <is>
          <t>Secure with FAT bolt (None)</t>
        </is>
      </c>
      <c r="AZ13" s="3">
        <f>IF($BA$2&gt;=AX13,1,0)</f>
        <v/>
      </c>
      <c r="BA13" s="236" t="n"/>
      <c r="BC13" s="3">
        <f>BC12+1</f>
        <v/>
      </c>
      <c r="BD13" s="686" t="inlineStr">
        <is>
          <t>Remove the return air temperature sensor (None)</t>
        </is>
      </c>
      <c r="BE13" s="3">
        <f>IF(BF$2&gt;=BC13,1,0)</f>
        <v/>
      </c>
      <c r="BF13" s="236" t="n"/>
      <c r="BH13" s="3">
        <f>BH12+1</f>
        <v/>
      </c>
      <c r="BI13" s="686" t="inlineStr">
        <is>
          <t>Remove electrical plugs. (Insulated Gloves)</t>
        </is>
      </c>
      <c r="BJ13" s="3">
        <f>IF($BK$2&gt;=BH13,1,0)</f>
        <v/>
      </c>
      <c r="BK13" s="236" t="n"/>
      <c r="BM13" s="3">
        <f>BM12+1</f>
        <v/>
      </c>
      <c r="BN13" s="686" t="inlineStr">
        <is>
          <t>Replace fresh air filter (Visual Inspection)</t>
        </is>
      </c>
      <c r="BO13" s="3">
        <f>IF($BP$2&gt;=BM13,1,0)</f>
        <v/>
      </c>
      <c r="BP13" s="236" t="n"/>
      <c r="BR13" s="695" t="n">
        <v>1</v>
      </c>
      <c r="BS13" s="696" t="inlineStr">
        <is>
          <t>Run HVAC 20 mins. (None)</t>
        </is>
      </c>
      <c r="BT13" s="695">
        <f>IF($BU$2&gt;=BR13,1,0)</f>
        <v/>
      </c>
      <c r="BU13" s="697" t="inlineStr">
        <is>
          <t>1: Complete, 0: Incomplete</t>
        </is>
      </c>
    </row>
    <row r="14" ht="35.5" customHeight="1">
      <c r="B14" s="666" t="inlineStr">
        <is>
          <t>Condensor Fan Circuit Breaker</t>
        </is>
      </c>
      <c r="C14" s="3" t="n"/>
      <c r="E14" s="3">
        <f>E13+1</f>
        <v/>
      </c>
      <c r="F14" s="259" t="inlineStr">
        <is>
          <t>Replace the plugs (Visual Inspection)</t>
        </is>
      </c>
      <c r="G14" s="3">
        <f>IF($H$2&gt;=E14,1,0)</f>
        <v/>
      </c>
      <c r="H14" s="236" t="n"/>
      <c r="J14" s="3">
        <f>J13+1</f>
        <v/>
      </c>
      <c r="K14" s="686" t="inlineStr">
        <is>
          <t>Replace the plugs (Visual Inspection)</t>
        </is>
      </c>
      <c r="L14" s="3">
        <f>IF($M$2&gt;=J14,1,0)</f>
        <v/>
      </c>
      <c r="M14" s="236" t="n"/>
      <c r="O14" s="3">
        <f>O13+1</f>
        <v/>
      </c>
      <c r="P14" s="686" t="inlineStr">
        <is>
          <t>Replace supply air blower (Visual Inspection)</t>
        </is>
      </c>
      <c r="Q14" s="3">
        <f>IF($R$2&gt;=O14,1,0)</f>
        <v/>
      </c>
      <c r="R14" s="236" t="n"/>
      <c r="T14" s="3">
        <f>T13+1</f>
        <v/>
      </c>
      <c r="U14" s="686" t="inlineStr">
        <is>
          <t>Clean the drain tray (2) with wet cloth (Wet Cloth)</t>
        </is>
      </c>
      <c r="V14" s="3">
        <f>IF($W$2&gt;=T14,1,0)</f>
        <v/>
      </c>
      <c r="W14" s="236" t="n"/>
      <c r="Y14" s="3">
        <f>Y13+1</f>
        <v/>
      </c>
      <c r="Z14" s="686" t="inlineStr">
        <is>
          <t>Loosen and remove 24 nos M8X20 bolts (8) along with washer set (7) to open evaporator cover (9). (Spanner)</t>
        </is>
      </c>
      <c r="AA14" s="3">
        <f>IF($AB$2&gt;=Y14,1,0)</f>
        <v/>
      </c>
      <c r="AB14" s="236" t="n"/>
      <c r="AD14" s="3">
        <f>AD13+1</f>
        <v/>
      </c>
      <c r="AE14" s="687" t="inlineStr">
        <is>
          <t>Unscrew condenser fan bolt (Spanner)</t>
        </is>
      </c>
      <c r="AF14" s="3">
        <f>IF($AG$2&gt;=AD14,1,0)</f>
        <v/>
      </c>
      <c r="AG14" s="236" t="n"/>
      <c r="AI14" s="3">
        <f>AI13+1</f>
        <v/>
      </c>
      <c r="AJ14" s="686" t="inlineStr">
        <is>
          <t>Replace the plugs (Visual Inspection)</t>
        </is>
      </c>
      <c r="AK14" s="3">
        <f>IF($AL$2&gt;=AI14,1,0)</f>
        <v/>
      </c>
      <c r="AL14" s="236" t="n"/>
      <c r="AN14" s="3">
        <f>AN13+1</f>
        <v/>
      </c>
      <c r="AO14" s="686" t="inlineStr">
        <is>
          <t>Loosen and remove 24 nos M8X20 bolts (8) along with washer set (7) to open evaporator cover (9). (Spanner)</t>
        </is>
      </c>
      <c r="AP14" s="3">
        <f>IF($AQ$2&gt;=AN14,1,0)</f>
        <v/>
      </c>
      <c r="AQ14" s="236" t="n"/>
      <c r="AS14" s="3">
        <f>AS13+1</f>
        <v/>
      </c>
      <c r="AT14" s="687" t="inlineStr">
        <is>
          <t>Unplug the connected wires (Screwdriver)</t>
        </is>
      </c>
      <c r="AU14" s="688">
        <f>IF($AV$2&gt;=AS14,1,0)</f>
        <v/>
      </c>
      <c r="AV14" s="236" t="n"/>
      <c r="AX14" s="3">
        <f>AX13+1</f>
        <v/>
      </c>
      <c r="AY14" s="686" t="inlineStr">
        <is>
          <t>Remove SAT Bolt (Spanner)</t>
        </is>
      </c>
      <c r="AZ14" s="3">
        <f>IF($BA$2&gt;=AX14,1,0)</f>
        <v/>
      </c>
      <c r="BA14" s="236" t="n"/>
      <c r="BC14" s="3">
        <f>BC13+1</f>
        <v/>
      </c>
      <c r="BD14" s="686" t="inlineStr">
        <is>
          <t>Replace the return air temperature sensor (None)</t>
        </is>
      </c>
      <c r="BE14" s="3">
        <f>IF(BF$2&gt;=BC14,1,0)</f>
        <v/>
      </c>
      <c r="BF14" s="236" t="n"/>
      <c r="BH14" s="3">
        <f>BH13+1</f>
        <v/>
      </c>
      <c r="BI14" s="686" t="inlineStr">
        <is>
          <t>Replace the plugs (Visual Inspection)</t>
        </is>
      </c>
      <c r="BJ14" s="3">
        <f>IF($BK$2&gt;=BH14,1,0)</f>
        <v/>
      </c>
      <c r="BK14" s="236" t="n"/>
      <c r="BM14" s="3">
        <f>BM13+1</f>
        <v/>
      </c>
      <c r="BN14" s="686" t="inlineStr">
        <is>
          <t>Remove fresh air damper motor (Screwdriver)</t>
        </is>
      </c>
      <c r="BO14" s="3">
        <f>IF($BP$2&gt;=BM14,1,0)</f>
        <v/>
      </c>
      <c r="BP14" s="236" t="n"/>
      <c r="BR14" s="698">
        <f>BR13+1</f>
        <v/>
      </c>
      <c r="BS14" s="699" t="inlineStr">
        <is>
          <t>Unusual noise from compressor assembly (None)</t>
        </is>
      </c>
      <c r="BT14" s="698">
        <f>IF($BU$2&gt;=BR14,1,0)</f>
        <v/>
      </c>
      <c r="BU14" s="685" t="n"/>
    </row>
    <row r="15" ht="35.15" customHeight="1">
      <c r="B15" s="666" t="inlineStr">
        <is>
          <t>Condensor Coil</t>
        </is>
      </c>
      <c r="C15" s="3" t="n"/>
      <c r="E15" s="3">
        <f>E14+1</f>
        <v/>
      </c>
      <c r="F15" s="686" t="inlineStr">
        <is>
          <t>Connect the electrical plugs. (Screwdriver)</t>
        </is>
      </c>
      <c r="G15" s="3">
        <f>IF($H$2&gt;=E15,1,0)</f>
        <v/>
      </c>
      <c r="H15" s="236" t="n"/>
      <c r="J15" s="3">
        <f>J14+1</f>
        <v/>
      </c>
      <c r="K15" s="686" t="inlineStr">
        <is>
          <t>Connect the electrical plugs. (Screwdriver)</t>
        </is>
      </c>
      <c r="L15" s="3">
        <f>IF($M$2&gt;=J15,1,0)</f>
        <v/>
      </c>
      <c r="M15" s="236" t="n"/>
      <c r="O15" s="3">
        <f>O14+1</f>
        <v/>
      </c>
      <c r="P15" s="686" t="inlineStr">
        <is>
          <t>Close air supply blower (Visual Inspection)</t>
        </is>
      </c>
      <c r="Q15" s="3">
        <f>IF($R$2&gt;=O15,1,0)</f>
        <v/>
      </c>
      <c r="R15" s="236" t="n"/>
      <c r="T15" s="3">
        <f>T14+1</f>
        <v/>
      </c>
      <c r="U15" s="686" t="inlineStr">
        <is>
          <t>Ensure that there is no condensate or debris left over on the drain tray (2). (Vacuum Cleaner)</t>
        </is>
      </c>
      <c r="V15" s="3">
        <f>IF($W$2&gt;=T15,1,0)</f>
        <v/>
      </c>
      <c r="W15" s="236" t="n"/>
      <c r="Y15" s="3">
        <f>Y14+1</f>
        <v/>
      </c>
      <c r="Z15" s="686" t="inlineStr">
        <is>
          <t>Remove hinge pins to remove the evaporator cover (9) from HVAC unit. (Pliers)</t>
        </is>
      </c>
      <c r="AA15" s="3">
        <f>IF($AB$2&gt;=Y15,1,0)</f>
        <v/>
      </c>
      <c r="AB15" s="236" t="n"/>
      <c r="AD15" s="3">
        <f>AD14+1</f>
        <v/>
      </c>
      <c r="AE15" s="687" t="inlineStr">
        <is>
          <t>Remove condenser fan (Insulated Gloves)</t>
        </is>
      </c>
      <c r="AF15" s="3">
        <f>IF($AG$2&gt;=AD15,1,0)</f>
        <v/>
      </c>
      <c r="AG15" s="236" t="n"/>
      <c r="AI15" s="3">
        <f>AI14+1</f>
        <v/>
      </c>
      <c r="AJ15" s="686" t="inlineStr">
        <is>
          <t>Connect the electrical plugs. (Screwdriver)</t>
        </is>
      </c>
      <c r="AK15" s="3">
        <f>IF($AL$2&gt;=AI15,1,0)</f>
        <v/>
      </c>
      <c r="AL15" s="236" t="n"/>
      <c r="AN15" s="3">
        <f>AN14+1</f>
        <v/>
      </c>
      <c r="AO15" s="686" t="inlineStr">
        <is>
          <t>Remove hinge pins to remove the evaporator cover (9) from HVAC unit. (Pliers)</t>
        </is>
      </c>
      <c r="AP15" s="3">
        <f>IF($AQ$2&gt;=AN15,1,0)</f>
        <v/>
      </c>
      <c r="AQ15" s="236" t="n"/>
      <c r="AS15" s="3">
        <f>AS14+1</f>
        <v/>
      </c>
      <c r="AT15" s="687" t="inlineStr">
        <is>
          <t>Remove electrical plugs. (Insulated Gloves)</t>
        </is>
      </c>
      <c r="AU15" s="688">
        <f>IF($AV$2&gt;=AS15,1,0)</f>
        <v/>
      </c>
      <c r="AV15" s="236" t="n"/>
      <c r="AX15" s="3">
        <f>AX14+1</f>
        <v/>
      </c>
      <c r="AY15" s="686" t="inlineStr">
        <is>
          <t>Remove SAT Sensor (None)</t>
        </is>
      </c>
      <c r="AZ15" s="3">
        <f>IF($BA$2&gt;=AX15,1,0)</f>
        <v/>
      </c>
      <c r="BA15" s="236" t="n"/>
      <c r="BC15" s="3">
        <f>BC14+1</f>
        <v/>
      </c>
      <c r="BD15" s="686" t="inlineStr">
        <is>
          <t>Secure the RAT sensor bolt (None)</t>
        </is>
      </c>
      <c r="BE15" s="3">
        <f>IF(BF$2&gt;=BC15,1,0)</f>
        <v/>
      </c>
      <c r="BF15" s="236" t="n"/>
      <c r="BH15" s="3">
        <f>BH14+1</f>
        <v/>
      </c>
      <c r="BI15" s="686" t="inlineStr">
        <is>
          <t>Connect the electrical plugs. (Screwdriver)</t>
        </is>
      </c>
      <c r="BJ15" s="3">
        <f>IF($BK$2&gt;=BH15,1,0)</f>
        <v/>
      </c>
      <c r="BK15" s="236" t="n"/>
      <c r="BM15" s="3">
        <f>BM14+1</f>
        <v/>
      </c>
      <c r="BN15" s="686" t="inlineStr">
        <is>
          <t>Replace fresh air damper motor (Visual Inspection)</t>
        </is>
      </c>
      <c r="BO15" s="3">
        <f>IF($BP$2&gt;=BM15,1,0)</f>
        <v/>
      </c>
      <c r="BP15" s="236" t="n"/>
      <c r="BR15" s="698">
        <f>BR14+1</f>
        <v/>
      </c>
      <c r="BS15" s="699" t="inlineStr">
        <is>
          <t>Unscrew bolt compressor unit cover (Spanner)</t>
        </is>
      </c>
      <c r="BT15" s="698">
        <f>IF($BU$2&gt;=BR15,1,0)</f>
        <v/>
      </c>
      <c r="BU15" s="685" t="n"/>
    </row>
    <row r="16" ht="25" customHeight="1">
      <c r="B16" s="666" t="inlineStr">
        <is>
          <t>Refrigerent Level</t>
        </is>
      </c>
      <c r="C16" s="3" t="n"/>
      <c r="E16" s="3">
        <f>E15+1</f>
        <v/>
      </c>
      <c r="F16" s="686" t="inlineStr">
        <is>
          <t>Close electrical control panel assembly (None)</t>
        </is>
      </c>
      <c r="G16" s="3">
        <f>IF($H$2&gt;=E16,1,0)</f>
        <v/>
      </c>
      <c r="H16" s="236" t="n"/>
      <c r="J16" s="3">
        <f>J15+1</f>
        <v/>
      </c>
      <c r="K16" s="686" t="inlineStr">
        <is>
          <t>Close electrical control panel assembly (None)</t>
        </is>
      </c>
      <c r="L16" s="3">
        <f>IF($M$2&gt;=J16,1,0)</f>
        <v/>
      </c>
      <c r="M16" s="236" t="n"/>
      <c r="O16" s="3">
        <f>O15+1</f>
        <v/>
      </c>
      <c r="P16" s="686" t="inlineStr">
        <is>
          <t>Unscrew bottom panel (Spanner)</t>
        </is>
      </c>
      <c r="Q16" s="3">
        <f>IF($R$2&gt;=O16,1,0)</f>
        <v/>
      </c>
      <c r="R16" s="236" t="n"/>
      <c r="T16" s="3">
        <f>T15+1</f>
        <v/>
      </c>
      <c r="U16" s="686" t="inlineStr">
        <is>
          <t>Remove the grommet on the drain hole cover. (Pliers)</t>
        </is>
      </c>
      <c r="V16" s="3">
        <f>IF($W$2&gt;=T16,1,0)</f>
        <v/>
      </c>
      <c r="W16" s="236" t="n"/>
      <c r="Y16" s="3">
        <f>Y15+1</f>
        <v/>
      </c>
      <c r="Z16" s="686" t="inlineStr">
        <is>
          <t>Remove the evaporator cover (9) from HVAC unit using suitable lifting device. (None)</t>
        </is>
      </c>
      <c r="AA16" s="3">
        <f>IF($AB$2&gt;=Y16,1,0)</f>
        <v/>
      </c>
      <c r="AB16" s="236" t="n"/>
      <c r="AD16" s="3">
        <f>AD15+1</f>
        <v/>
      </c>
      <c r="AE16" s="687" t="inlineStr">
        <is>
          <t>Replace condenser fan (None)</t>
        </is>
      </c>
      <c r="AF16" s="3">
        <f>IF($AG$2&gt;=AD16,1,0)</f>
        <v/>
      </c>
      <c r="AG16" s="236" t="n"/>
      <c r="AI16" s="3">
        <f>AI15+1</f>
        <v/>
      </c>
      <c r="AJ16" s="686" t="inlineStr">
        <is>
          <t>Close electrical control panel assembly (None)</t>
        </is>
      </c>
      <c r="AK16" s="3">
        <f>IF($AL$2&gt;=AI16,1,0)</f>
        <v/>
      </c>
      <c r="AL16" s="236" t="n"/>
      <c r="AN16" s="3">
        <f>AN15+1</f>
        <v/>
      </c>
      <c r="AO16" s="686" t="inlineStr">
        <is>
          <t>Remove the evaporator cover (9) from HVAC unit using suitable lifting device. (None)</t>
        </is>
      </c>
      <c r="AP16" s="3">
        <f>IF($AQ$2&gt;=AN16,1,0)</f>
        <v/>
      </c>
      <c r="AQ16" s="236" t="n"/>
      <c r="AS16" s="3">
        <f>AS15+1</f>
        <v/>
      </c>
      <c r="AT16" s="687" t="inlineStr">
        <is>
          <t>Replace the plugs (Visual Inspection)</t>
        </is>
      </c>
      <c r="AU16" s="688">
        <f>IF($AV$2&gt;=AS16,1,0)</f>
        <v/>
      </c>
      <c r="AV16" s="236" t="n"/>
      <c r="AX16" s="3">
        <f>AX15+1</f>
        <v/>
      </c>
      <c r="AY16" s="686" t="inlineStr">
        <is>
          <t>Replace with new SAT Sensor (None)</t>
        </is>
      </c>
      <c r="AZ16" s="3">
        <f>IF($BA$2&gt;=AX16,1,0)</f>
        <v/>
      </c>
      <c r="BA16" s="236" t="n"/>
      <c r="BC16" s="3">
        <f>BC15+1</f>
        <v/>
      </c>
      <c r="BD16" s="686" t="inlineStr">
        <is>
          <t>Tighten the fastener of RAT (Spanner)</t>
        </is>
      </c>
      <c r="BE16" s="3">
        <f>IF(BF$2&gt;=BC16,1,0)</f>
        <v/>
      </c>
      <c r="BF16" s="236" t="n"/>
      <c r="BH16" s="3">
        <f>BH15+1</f>
        <v/>
      </c>
      <c r="BI16" s="686" t="inlineStr">
        <is>
          <t>Close electrical control panel assembly (None)</t>
        </is>
      </c>
      <c r="BJ16" s="3">
        <f>IF($BK$2&gt;=BH16,1,0)</f>
        <v/>
      </c>
      <c r="BK16" s="236" t="n"/>
      <c r="BM16" s="3">
        <f>BM15+1</f>
        <v/>
      </c>
      <c r="BN16" s="686" t="inlineStr">
        <is>
          <t>Clean Smoke Detector (Bristle Brush)</t>
        </is>
      </c>
      <c r="BO16" s="3">
        <f>IF($BP$2&gt;=BM16,1,0)</f>
        <v/>
      </c>
      <c r="BP16" s="236" t="n"/>
      <c r="BR16" s="698">
        <f>BR15+1</f>
        <v/>
      </c>
      <c r="BS16" s="699" t="inlineStr">
        <is>
          <t>Compressor Cover Removal (None)</t>
        </is>
      </c>
      <c r="BT16" s="698">
        <f>IF($BU$2&gt;=BR16,1,0)</f>
        <v/>
      </c>
      <c r="BU16" s="685" t="n"/>
    </row>
    <row r="17" ht="37" customHeight="1">
      <c r="B17" s="666" t="inlineStr">
        <is>
          <t>RAT Sensor</t>
        </is>
      </c>
      <c r="C17" s="3" t="n"/>
      <c r="E17" s="3">
        <f>E16+1</f>
        <v/>
      </c>
      <c r="F17" s="686" t="inlineStr">
        <is>
          <t>Open supply air cover (Spanner)</t>
        </is>
      </c>
      <c r="G17" s="3">
        <f>IF($H$2&gt;=E17,1,0)</f>
        <v/>
      </c>
      <c r="H17" s="236" t="n"/>
      <c r="J17" s="3">
        <f>J16+1</f>
        <v/>
      </c>
      <c r="K17" s="686" t="inlineStr">
        <is>
          <t>Open supply air blower (Spanner)</t>
        </is>
      </c>
      <c r="L17" s="3">
        <f>IF($M$2&gt;=J17,1,0)</f>
        <v/>
      </c>
      <c r="M17" s="236" t="n"/>
      <c r="O17" s="3">
        <f>O16+1</f>
        <v/>
      </c>
      <c r="P17" s="686" t="inlineStr">
        <is>
          <t>Remove bottom panel (Insulated Gloves)</t>
        </is>
      </c>
      <c r="Q17" s="3">
        <f>IF($R$2&gt;=O17,1,0)</f>
        <v/>
      </c>
      <c r="R17" s="236" t="n"/>
      <c r="T17" s="3">
        <f>T16+1</f>
        <v/>
      </c>
      <c r="U17" s="686" t="inlineStr">
        <is>
          <t>Place the hose inside the hole and use high pressure to remove the debris from the drain hole. (None)</t>
        </is>
      </c>
      <c r="V17" s="3">
        <f>IF($W$2&gt;=T17,1,0)</f>
        <v/>
      </c>
      <c r="W17" s="236" t="n"/>
      <c r="Y17" s="3">
        <f>Y16+1</f>
        <v/>
      </c>
      <c r="Z17" s="686" t="inlineStr">
        <is>
          <t>Check temperature of solenoid valve using clamp thermometer (Clamp Thermometer)</t>
        </is>
      </c>
      <c r="AA17" s="3">
        <f>IF($AB$2&gt;=Y17,1,0)</f>
        <v/>
      </c>
      <c r="AB17" s="236" t="n"/>
      <c r="AD17" s="3">
        <f>AD16+1</f>
        <v/>
      </c>
      <c r="AE17" s="687" t="inlineStr">
        <is>
          <t>Remove the condenser coil cover (Lifting Device)</t>
        </is>
      </c>
      <c r="AF17" s="3">
        <f>IF($AG$2&gt;=AD17,1,0)</f>
        <v/>
      </c>
      <c r="AG17" s="236" t="n"/>
      <c r="AI17" s="3">
        <f>AI16+1</f>
        <v/>
      </c>
      <c r="AJ17" s="686" t="inlineStr">
        <is>
          <t>Unscrew bolt compressor unit cover (Spanner)</t>
        </is>
      </c>
      <c r="AK17" s="3">
        <f>IF($AL$2&gt;=AI17,1,0)</f>
        <v/>
      </c>
      <c r="AL17" s="236" t="n"/>
      <c r="AN17" s="3">
        <f>AN16+1</f>
        <v/>
      </c>
      <c r="AO17" s="686" t="inlineStr">
        <is>
          <t>Remove Heat bank screws (Spanner)</t>
        </is>
      </c>
      <c r="AP17" s="3">
        <f>IF($AQ$2&gt;=AN17,1,0)</f>
        <v/>
      </c>
      <c r="AQ17" s="236" t="n"/>
      <c r="AS17" s="3">
        <f>AS16+1</f>
        <v/>
      </c>
      <c r="AT17" s="687" t="inlineStr">
        <is>
          <t>Tighten loose connection of circuit breakers (Screwdriver)</t>
        </is>
      </c>
      <c r="AU17" s="688">
        <f>IF($AV$2&gt;=AS17,1,0)</f>
        <v/>
      </c>
      <c r="AV17" s="236" t="n"/>
      <c r="AX17" s="3">
        <f>AX16+1</f>
        <v/>
      </c>
      <c r="AY17" s="686" t="inlineStr">
        <is>
          <t>Secure with SAT Bolt (None)</t>
        </is>
      </c>
      <c r="AZ17" s="3">
        <f>IF($BA$2&gt;=AX17,1,0)</f>
        <v/>
      </c>
      <c r="BA17" s="236" t="n"/>
      <c r="BC17" s="3">
        <f>BC16+1</f>
        <v/>
      </c>
      <c r="BD17" s="686" t="inlineStr">
        <is>
          <t>Check working (Visual Inspection)</t>
        </is>
      </c>
      <c r="BE17" s="3">
        <f>IF(BF$2&gt;=BC17,1,0)</f>
        <v/>
      </c>
      <c r="BF17" s="236" t="n"/>
      <c r="BH17" s="3">
        <f>BH16+1</f>
        <v/>
      </c>
      <c r="BI17" s="686" t="inlineStr">
        <is>
          <t>DB9 Connection Clarification Pending (None)</t>
        </is>
      </c>
      <c r="BJ17" s="3">
        <f>IF($BK$2&gt;=BH17,1,0)</f>
        <v/>
      </c>
      <c r="BK17" s="236" t="n"/>
      <c r="BM17" s="3">
        <f>BM16+1</f>
        <v/>
      </c>
      <c r="BN17" s="686" t="inlineStr">
        <is>
          <t>Remove Smoke Detector Bolts (Spanner)</t>
        </is>
      </c>
      <c r="BO17" s="3">
        <f>IF($BP$2&gt;=BM17,1,0)</f>
        <v/>
      </c>
      <c r="BP17" s="236" t="n"/>
      <c r="BR17" s="698">
        <f>BR16+1</f>
        <v/>
      </c>
      <c r="BS17" s="699" t="inlineStr">
        <is>
          <t>Check hp lp pressure using manifold gauge set (None)</t>
        </is>
      </c>
      <c r="BT17" s="698">
        <f>IF($BU$2&gt;=BR17,1,0)</f>
        <v/>
      </c>
      <c r="BU17" s="685" t="n"/>
    </row>
    <row r="18" ht="54.65" customHeight="1">
      <c r="B18" s="666" t="inlineStr">
        <is>
          <t>Evaporator Coil</t>
        </is>
      </c>
      <c r="C18" s="3" t="n"/>
      <c r="E18" s="3">
        <f>E17+1</f>
        <v/>
      </c>
      <c r="F18" s="686" t="inlineStr">
        <is>
          <t>Clean the supply air cover (1) with compressed air. (Compressed Air Gun)</t>
        </is>
      </c>
      <c r="G18" s="3">
        <f>IF($H$2&gt;=E18,1,0)</f>
        <v/>
      </c>
      <c r="H18" s="236" t="n"/>
      <c r="J18" s="3">
        <f>J17+1</f>
        <v/>
      </c>
      <c r="K18" s="686" t="inlineStr">
        <is>
          <t>Clean the supply air blower (1) with compressed air. (Compressed Air Gun)</t>
        </is>
      </c>
      <c r="L18" s="3">
        <f>IF($M$2&gt;=J18,1,0)</f>
        <v/>
      </c>
      <c r="M18" s="236" t="n"/>
      <c r="O18" s="3">
        <f>O17+1</f>
        <v/>
      </c>
      <c r="P18" s="686" t="inlineStr">
        <is>
          <t>Unscrew return air damper (Spanner)</t>
        </is>
      </c>
      <c r="Q18" s="3">
        <f>IF($R$2&gt;=O18,1,0)</f>
        <v/>
      </c>
      <c r="R18" s="236" t="n"/>
      <c r="T18" s="3">
        <f>T17+1</f>
        <v/>
      </c>
      <c r="U18" s="686" t="inlineStr">
        <is>
          <t>Ensure that draining is done completely through the drain tube (3). (Compressed Air Gun)</t>
        </is>
      </c>
      <c r="V18" s="3">
        <f>IF($W$2&gt;=T18,1,0)</f>
        <v/>
      </c>
      <c r="W18" s="236" t="n"/>
      <c r="Y18" s="3">
        <f>Y17+1</f>
        <v/>
      </c>
      <c r="Z18" s="686" t="inlineStr">
        <is>
          <t>Unscrew solenoid valve using spanner (Spanner)</t>
        </is>
      </c>
      <c r="AA18" s="3">
        <f>IF($AB$2&gt;=Y18,1,0)</f>
        <v/>
      </c>
      <c r="AB18" s="236" t="n"/>
      <c r="AD18" s="3">
        <f>AD17+1</f>
        <v/>
      </c>
      <c r="AE18" s="687" t="inlineStr">
        <is>
          <t>Clean condenser coil (Bristle Brush)</t>
        </is>
      </c>
      <c r="AF18" s="3">
        <f>IF($AG$2&gt;=AD18,1,0)</f>
        <v/>
      </c>
      <c r="AG18" s="236" t="n"/>
      <c r="AI18" s="3">
        <f>AI17+1</f>
        <v/>
      </c>
      <c r="AJ18" s="686" t="inlineStr">
        <is>
          <t>Compressor Cover Removal (None)</t>
        </is>
      </c>
      <c r="AK18" s="3">
        <f>IF($AL$2&gt;=AI18,1,0)</f>
        <v/>
      </c>
      <c r="AL18" s="236" t="n"/>
      <c r="AN18" s="3">
        <f>AN17+1</f>
        <v/>
      </c>
      <c r="AO18" s="686" t="inlineStr">
        <is>
          <t>Remove Heat bank assembly (Insulated Gloves)</t>
        </is>
      </c>
      <c r="AP18" s="3">
        <f>IF($AQ$2&gt;=AN18,1,0)</f>
        <v/>
      </c>
      <c r="AQ18" s="236" t="n"/>
      <c r="AS18" s="3">
        <f>AS17+1</f>
        <v/>
      </c>
      <c r="AT18" s="687" t="inlineStr">
        <is>
          <t>Circuit Breaker Cleaning (Bristle Brush)</t>
        </is>
      </c>
      <c r="AU18" s="688">
        <f>IF($AV$2&gt;=AS18,1,0)</f>
        <v/>
      </c>
      <c r="AV18" s="236" t="n"/>
      <c r="AX18" s="3">
        <f>AX17+1</f>
        <v/>
      </c>
      <c r="AY18" s="686" t="inlineStr">
        <is>
          <t>Unbolt the return air temperature sensor (Spanner)</t>
        </is>
      </c>
      <c r="AZ18" s="3">
        <f>IF($BA$2&gt;=AX18,1,0)</f>
        <v/>
      </c>
      <c r="BA18" s="236" t="n"/>
      <c r="BH18" s="3">
        <f>BH17+1</f>
        <v/>
      </c>
      <c r="BI18" s="686" t="inlineStr">
        <is>
          <t>Remove Converter Bolts (Spanner)</t>
        </is>
      </c>
      <c r="BJ18" s="3">
        <f>IF($BK$2&gt;=BH18,1,0)</f>
        <v/>
      </c>
      <c r="BK18" s="236" t="n"/>
      <c r="BM18" s="3">
        <f>BM17+1</f>
        <v/>
      </c>
      <c r="BN18" s="686" t="inlineStr">
        <is>
          <t>Remove Smoke Detector unit (Visual Inspection)</t>
        </is>
      </c>
      <c r="BO18" s="3">
        <f>IF($BP$2&gt;=BM18,1,0)</f>
        <v/>
      </c>
      <c r="BP18" s="236" t="n"/>
      <c r="BR18" s="698">
        <f>BR17+1</f>
        <v/>
      </c>
      <c r="BS18" s="699" t="inlineStr">
        <is>
          <t>Unscrew compressor bolt (Spanner)</t>
        </is>
      </c>
      <c r="BT18" s="698">
        <f>IF($BU$2&gt;=BR18,1,0)</f>
        <v/>
      </c>
      <c r="BU18" s="685" t="n"/>
    </row>
    <row r="19" ht="35.5" customHeight="1">
      <c r="B19" s="666" t="inlineStr">
        <is>
          <t>Condensor Coil</t>
        </is>
      </c>
      <c r="C19" s="3" t="n"/>
      <c r="E19" s="3">
        <f>E18+1</f>
        <v/>
      </c>
      <c r="F19" s="686" t="inlineStr">
        <is>
          <t>Rotate supply air cover (1) motor with hand and ensure that only a light force is required to rotate it. (Insulated Hand Gloves)</t>
        </is>
      </c>
      <c r="G19" s="3">
        <f>IF($H$2&gt;=E19,1,0)</f>
        <v/>
      </c>
      <c r="H19" s="236" t="n"/>
      <c r="J19" s="3">
        <f>J18+1</f>
        <v/>
      </c>
      <c r="K19" s="686" t="inlineStr">
        <is>
          <t>Rotate supply air blower (1) motor with hand and ensure that only a light force is required to rotate it. (Insulated Hand Gloves)</t>
        </is>
      </c>
      <c r="L19" s="3">
        <f>IF($M$2&gt;=J19,1,0)</f>
        <v/>
      </c>
      <c r="M19" s="236" t="n"/>
      <c r="O19" s="3">
        <f>O18+1</f>
        <v/>
      </c>
      <c r="P19" s="686" t="inlineStr">
        <is>
          <t>Remove return air damper (Insulated Gloves)</t>
        </is>
      </c>
      <c r="Q19" s="3">
        <f>IF($R$2&gt;=O19,1,0)</f>
        <v/>
      </c>
      <c r="R19" s="236" t="n"/>
      <c r="T19" s="3">
        <f>T18+1</f>
        <v/>
      </c>
      <c r="U19" s="686" t="inlineStr">
        <is>
          <t>Check for leaks in TX Valve (Electronic Leak Detector)</t>
        </is>
      </c>
      <c r="V19" s="3">
        <f>IF($W$2&gt;=T19,1,0)</f>
        <v/>
      </c>
      <c r="W19" s="236" t="n"/>
      <c r="Y19" s="3">
        <f>Y18+1</f>
        <v/>
      </c>
      <c r="Z19" s="686" t="inlineStr">
        <is>
          <t>Remove solenoid valve (Visual Inspection)</t>
        </is>
      </c>
      <c r="AA19" s="3">
        <f>IF($AB$2&gt;=Y19,1,0)</f>
        <v/>
      </c>
      <c r="AB19" s="236" t="n"/>
      <c r="AD19" s="3">
        <f>AD18+1</f>
        <v/>
      </c>
      <c r="AE19" s="687" t="inlineStr">
        <is>
          <t>Straighten any bent fins with a fin comb (Fin Comb)</t>
        </is>
      </c>
      <c r="AF19" s="3">
        <f>IF($AG$2&gt;=AD19,1,0)</f>
        <v/>
      </c>
      <c r="AG19" s="236" t="n"/>
      <c r="AI19" s="3">
        <f>AI18+1</f>
        <v/>
      </c>
      <c r="AJ19" s="686" t="inlineStr">
        <is>
          <t>Clean the dust on the component with a soft bristle brush (with the metal part insulated) (Bristle Brush)</t>
        </is>
      </c>
      <c r="AK19" s="3">
        <f>IF($AL$2&gt;=AI19,1,0)</f>
        <v/>
      </c>
      <c r="AL19" s="236" t="n"/>
      <c r="AN19" s="3">
        <f>AN18+1</f>
        <v/>
      </c>
      <c r="AO19" s="686" t="inlineStr">
        <is>
          <t>Replace Heat bank assembly (None)</t>
        </is>
      </c>
      <c r="AP19" s="3">
        <f>IF($AQ$2&gt;=AN19,1,0)</f>
        <v/>
      </c>
      <c r="AQ19" s="236" t="n"/>
      <c r="AS19" s="3">
        <f>AS18+1</f>
        <v/>
      </c>
      <c r="AT19" s="687" t="inlineStr">
        <is>
          <t>Close electrical control panel assembly (None)</t>
        </is>
      </c>
      <c r="AU19" s="688">
        <f>IF($AV$2&gt;=AS19,1,0)</f>
        <v/>
      </c>
      <c r="AV19" s="236" t="n"/>
      <c r="AX19" s="3">
        <f>AX18+1</f>
        <v/>
      </c>
      <c r="AY19" s="686" t="inlineStr">
        <is>
          <t>Remove the return air temperature sensor (None)</t>
        </is>
      </c>
      <c r="AZ19" s="3">
        <f>IF($BA$2&gt;=AX19,1,0)</f>
        <v/>
      </c>
      <c r="BA19" s="236" t="n"/>
      <c r="BH19" s="3">
        <f>BH18+1</f>
        <v/>
      </c>
      <c r="BI19" s="686" t="inlineStr">
        <is>
          <t>Converter Removal (Lifting Device)</t>
        </is>
      </c>
      <c r="BJ19" s="3">
        <f>IF($BK$2&gt;=BH19,1,0)</f>
        <v/>
      </c>
      <c r="BK19" s="236" t="n"/>
      <c r="BM19" s="3">
        <f>BM18+1</f>
        <v/>
      </c>
      <c r="BN19" s="686" t="inlineStr">
        <is>
          <t>Replace Smoke Detector unit (Visual Inspection)</t>
        </is>
      </c>
      <c r="BO19" s="3">
        <f>IF($BP$2&gt;=BM19,1,0)</f>
        <v/>
      </c>
      <c r="BP19" s="236" t="n"/>
      <c r="BR19" s="698">
        <f>BR18+1</f>
        <v/>
      </c>
      <c r="BS19" s="699" t="inlineStr">
        <is>
          <t>Remove the compressor (Insulated Gloves)</t>
        </is>
      </c>
      <c r="BT19" s="698">
        <f>IF($BU$2&gt;=BR19,1,0)</f>
        <v/>
      </c>
      <c r="BU19" s="685" t="n"/>
    </row>
    <row r="20" ht="37.5" customHeight="1">
      <c r="B20" s="666" t="inlineStr">
        <is>
          <t>Solenoid Valve</t>
        </is>
      </c>
      <c r="C20" s="3" t="n"/>
      <c r="E20" s="3">
        <f>E19+1</f>
        <v/>
      </c>
      <c r="F20" s="686" t="inlineStr">
        <is>
          <t>Remove supply air blower (Screwdriver)</t>
        </is>
      </c>
      <c r="G20" s="3">
        <f>IF($H$2&gt;=E20,1,0)</f>
        <v/>
      </c>
      <c r="H20" s="236" t="n"/>
      <c r="J20" s="3">
        <f>J19+1</f>
        <v/>
      </c>
      <c r="K20" s="686" t="inlineStr">
        <is>
          <t>Remove supply air blower (Screwdriver)</t>
        </is>
      </c>
      <c r="L20" s="3">
        <f>IF($M$2&gt;=J20,1,0)</f>
        <v/>
      </c>
      <c r="M20" s="236" t="n"/>
      <c r="O20" s="3">
        <f>O19+1</f>
        <v/>
      </c>
      <c r="P20" s="686" t="inlineStr">
        <is>
          <t>Check moisture indicator on the sight glass (1) to find any excessive moisture in the system. (Electronic Leak Detector)</t>
        </is>
      </c>
      <c r="Q20" s="3">
        <f>IF($R$2&gt;=O20,1,0)</f>
        <v/>
      </c>
      <c r="R20" s="236" t="n"/>
      <c r="T20" s="3">
        <f>T19+1</f>
        <v/>
      </c>
      <c r="U20" s="686" t="inlineStr">
        <is>
          <t>Fix TX valve with spanner (Spanner)</t>
        </is>
      </c>
      <c r="V20" s="3">
        <f>IF($W$2&gt;=T20,1,0)</f>
        <v/>
      </c>
      <c r="W20" s="236" t="n"/>
      <c r="Y20" s="3">
        <f>Y19+1</f>
        <v/>
      </c>
      <c r="Z20" s="686" t="inlineStr">
        <is>
          <t>Replace solenoid valve (Visual Inspection)</t>
        </is>
      </c>
      <c r="AA20" s="3">
        <f>IF($AB$2&gt;=Y20,1,0)</f>
        <v/>
      </c>
      <c r="AB20" s="236" t="n"/>
      <c r="AD20" s="3">
        <f>AD19+1</f>
        <v/>
      </c>
      <c r="AE20" s="687" t="inlineStr">
        <is>
          <t>Clean the coil with compressed air (Compressed Air)</t>
        </is>
      </c>
      <c r="AF20" s="3">
        <f>IF($AG$2&gt;=AD20,1,0)</f>
        <v/>
      </c>
      <c r="AG20" s="236" t="n"/>
      <c r="AI20" s="3">
        <f>AI19+1</f>
        <v/>
      </c>
      <c r="AJ20" s="686" t="inlineStr">
        <is>
          <t>Ensure compressor is not over heated (Clamp Thermometer)</t>
        </is>
      </c>
      <c r="AK20" s="3">
        <f>IF($AL$2&gt;=AI20,1,0)</f>
        <v/>
      </c>
      <c r="AL20" s="236" t="n"/>
      <c r="AN20" s="3">
        <f>AN19+1</f>
        <v/>
      </c>
      <c r="AO20" s="686" t="inlineStr">
        <is>
          <t>Use a fin comb to straighten any bent fins. (Fin Comb)</t>
        </is>
      </c>
      <c r="AP20" s="3">
        <f>IF($AQ$2&gt;=AN20,1,0)</f>
        <v/>
      </c>
      <c r="AQ20" s="236" t="n"/>
      <c r="AS20" s="3">
        <f>AS19+1</f>
        <v/>
      </c>
      <c r="AT20" s="686" t="inlineStr">
        <is>
          <t>Check Heat Bank (Clamp Thermometer)</t>
        </is>
      </c>
      <c r="AU20" s="3">
        <f>IF($AV$2&gt;=AS20,1,0)</f>
        <v/>
      </c>
      <c r="AV20" s="236" t="n"/>
      <c r="AX20" s="3">
        <f>AX19+1</f>
        <v/>
      </c>
      <c r="AY20" s="686" t="inlineStr">
        <is>
          <t>Replace the return air temperature sensor (None)</t>
        </is>
      </c>
      <c r="AZ20" s="3">
        <f>IF($BA$2&gt;=AX20,1,0)</f>
        <v/>
      </c>
      <c r="BA20" s="236" t="n"/>
      <c r="BC20" s="657" t="inlineStr">
        <is>
          <t>Sr. No.</t>
        </is>
      </c>
      <c r="BD20" s="657" t="inlineStr">
        <is>
          <t>Components Affected</t>
        </is>
      </c>
      <c r="BE20" s="657" t="n"/>
      <c r="BF20" s="657" t="n"/>
      <c r="BH20" s="3">
        <f>BH19+1</f>
        <v/>
      </c>
      <c r="BI20" s="686" t="inlineStr">
        <is>
          <t>Check for short circuit using multimeter (Visual Inspection)</t>
        </is>
      </c>
      <c r="BJ20" s="3">
        <f>IF($BK$2&gt;=BH20,1,0)</f>
        <v/>
      </c>
      <c r="BK20" s="236" t="n"/>
      <c r="BM20" s="3">
        <f>BM19+1</f>
        <v/>
      </c>
      <c r="BN20" s="686" t="inlineStr">
        <is>
          <t>Secure Smoke Detector Bolts (None)</t>
        </is>
      </c>
      <c r="BO20" s="3">
        <f>IF($BP$2&gt;=BM20,1,0)</f>
        <v/>
      </c>
      <c r="BP20" s="236" t="n"/>
      <c r="BR20" s="698">
        <f>BR19+1</f>
        <v/>
      </c>
      <c r="BS20" s="699" t="inlineStr">
        <is>
          <t>Replace the compressor (None)</t>
        </is>
      </c>
      <c r="BT20" s="698">
        <f>IF($BU$2&gt;=BR20,1,0)</f>
        <v/>
      </c>
      <c r="BU20" s="685" t="n"/>
    </row>
    <row r="21" ht="54.65" customHeight="1">
      <c r="B21" s="666" t="inlineStr">
        <is>
          <t>Heater</t>
        </is>
      </c>
      <c r="C21" s="3" t="n"/>
      <c r="E21" s="3">
        <f>E20+1</f>
        <v/>
      </c>
      <c r="F21" s="686" t="inlineStr">
        <is>
          <t>Replace supply air blower (Visual Inspection)</t>
        </is>
      </c>
      <c r="G21" s="3">
        <f>IF($H$2&gt;=E21,1,0)</f>
        <v/>
      </c>
      <c r="H21" s="236" t="n"/>
      <c r="J21" s="3">
        <f>J20+1</f>
        <v/>
      </c>
      <c r="K21" s="686" t="inlineStr">
        <is>
          <t>Replace supply air blower (Visual Inspection)</t>
        </is>
      </c>
      <c r="L21" s="3">
        <f>IF($M$2&gt;=J21,1,0)</f>
        <v/>
      </c>
      <c r="M21" s="236" t="n"/>
      <c r="O21" s="3">
        <f>O20+1</f>
        <v/>
      </c>
      <c r="P21" s="686" t="inlineStr">
        <is>
          <t>Locate the leak (Spanner)</t>
        </is>
      </c>
      <c r="Q21" s="3">
        <f>IF($R$2&gt;=O21,1,0)</f>
        <v/>
      </c>
      <c r="R21" s="236" t="n"/>
      <c r="T21" s="3">
        <f>T20+1</f>
        <v/>
      </c>
      <c r="U21" s="686" t="inlineStr">
        <is>
          <t>Remove TX valve if necessary (Visual Inspection)</t>
        </is>
      </c>
      <c r="V21" s="3">
        <f>IF($W$2&gt;=T21,1,0)</f>
        <v/>
      </c>
      <c r="W21" s="236" t="n"/>
      <c r="Y21" s="3">
        <f>Y20+1</f>
        <v/>
      </c>
      <c r="Z21" s="686" t="inlineStr">
        <is>
          <t>Screw solenoid valve using spanner (Visual Inspection)</t>
        </is>
      </c>
      <c r="AA21" s="3">
        <f>IF($AB$2&gt;=Y21,1,0)</f>
        <v/>
      </c>
      <c r="AB21" s="236" t="n"/>
      <c r="AD21" s="3">
        <f>AD20+1</f>
        <v/>
      </c>
      <c r="AE21" s="687" t="inlineStr">
        <is>
          <t>Loosen and remove 24 nos M8X20 bolts (8) along with washer set (7) to open evaporator cover (9). (Spanner)</t>
        </is>
      </c>
      <c r="AF21" s="3">
        <f>IF($AG$2&gt;=AD21,1,0)</f>
        <v/>
      </c>
      <c r="AG21" s="236" t="n"/>
      <c r="AI21" s="3">
        <f>AI20+1</f>
        <v/>
      </c>
      <c r="AJ21" s="686" t="inlineStr">
        <is>
          <t>Unscrew Fan bolt (Spanner)</t>
        </is>
      </c>
      <c r="AK21" s="3">
        <f>IF($AL$2&gt;=AI21,1,0)</f>
        <v/>
      </c>
      <c r="AL21" s="236" t="n"/>
      <c r="AN21" s="3">
        <f>AN20+1</f>
        <v/>
      </c>
      <c r="AO21" s="686" t="inlineStr">
        <is>
          <t>Wash the evaporator coil (1) with warm to hot water and a small quantity of detergent. The hot water softens the bristles helps the grease to dissolve and removes the chlorides. (Bristle Brush)</t>
        </is>
      </c>
      <c r="AP21" s="3">
        <f>IF($AQ$2&gt;=AN21,1,0)</f>
        <v/>
      </c>
      <c r="AQ21" s="236" t="n"/>
      <c r="AS21" s="3">
        <f>AS20+1</f>
        <v/>
      </c>
      <c r="AT21" s="686" t="inlineStr">
        <is>
          <t>Heat bank damaged (None)</t>
        </is>
      </c>
      <c r="AU21" s="3">
        <f>IF($AV$2&gt;=AS21,1,0)</f>
        <v/>
      </c>
      <c r="AV21" s="236" t="n"/>
      <c r="AX21" s="3">
        <f>AX20+1</f>
        <v/>
      </c>
      <c r="AY21" s="686" t="inlineStr">
        <is>
          <t>Secure the RAT sensor bolt (None)</t>
        </is>
      </c>
      <c r="AZ21" s="3">
        <f>IF($BA$2&gt;=AX21,1,0)</f>
        <v/>
      </c>
      <c r="BA21" s="236" t="n"/>
      <c r="BC21" s="3" t="n">
        <v>1</v>
      </c>
      <c r="BD21" s="666" t="inlineStr">
        <is>
          <t>RAT Sensor</t>
        </is>
      </c>
      <c r="BE21" s="3">
        <f>IF(BE11=1,0,1)</f>
        <v/>
      </c>
      <c r="BF21" s="3" t="inlineStr">
        <is>
          <t>Open: 1, Close: 0</t>
        </is>
      </c>
      <c r="BH21" s="3">
        <f>BH20+1</f>
        <v/>
      </c>
      <c r="BI21" s="686" t="inlineStr">
        <is>
          <t>Put converter back to it place (Visual Inspection)</t>
        </is>
      </c>
      <c r="BJ21" s="3">
        <f>IF($BK$2&gt;=BH21,1,0)</f>
        <v/>
      </c>
      <c r="BK21" s="236" t="n"/>
      <c r="BM21" s="3">
        <f>BM20+1</f>
        <v/>
      </c>
      <c r="BN21" s="686" t="inlineStr">
        <is>
          <t>Check working (Visual Inspection)</t>
        </is>
      </c>
      <c r="BO21" s="3">
        <f>IF($BP$2&gt;=BM21,1,0)</f>
        <v/>
      </c>
      <c r="BP21" s="236" t="n"/>
      <c r="BR21" s="698">
        <f>BR20+1</f>
        <v/>
      </c>
      <c r="BS21" s="699" t="inlineStr">
        <is>
          <t>Compressor Cover close (None)</t>
        </is>
      </c>
      <c r="BT21" s="698">
        <f>IF($BU$2&gt;=BR21,1,0)</f>
        <v/>
      </c>
      <c r="BU21" s="685" t="n"/>
    </row>
    <row r="22" ht="35.15" customFormat="1" customHeight="1" s="734">
      <c r="B22" s="666" t="inlineStr">
        <is>
          <t>Electrical Connections</t>
        </is>
      </c>
      <c r="C22" s="657" t="n"/>
      <c r="E22" s="3">
        <f>E21+1</f>
        <v/>
      </c>
      <c r="F22" s="686" t="inlineStr">
        <is>
          <t>Check working (Visual Inspection)</t>
        </is>
      </c>
      <c r="G22" s="3">
        <f>IF($H$2&gt;=E22,1,0)</f>
        <v/>
      </c>
      <c r="H22" s="236" t="n"/>
      <c r="J22" s="3">
        <f>J21+1</f>
        <v/>
      </c>
      <c r="K22" s="686" t="inlineStr">
        <is>
          <t>Close air supply blower (Visual Inspection)</t>
        </is>
      </c>
      <c r="L22" s="3">
        <f>IF($M$2&gt;=J22,1,0)</f>
        <v/>
      </c>
      <c r="M22" s="236" t="n"/>
      <c r="O22" s="3">
        <f>O21+1</f>
        <v/>
      </c>
      <c r="P22" s="686" t="inlineStr">
        <is>
          <t>Repair the leak (None)</t>
        </is>
      </c>
      <c r="Q22" s="3">
        <f>IF($R$2&gt;=O22,1,0)</f>
        <v/>
      </c>
      <c r="R22" s="236" t="n"/>
      <c r="T22" s="3">
        <f>T21+1</f>
        <v/>
      </c>
      <c r="U22" s="686" t="inlineStr">
        <is>
          <t>Replace TX valve if necessary (Visual Inspection)</t>
        </is>
      </c>
      <c r="V22" s="3">
        <f>IF($W$2&gt;=T22,1,0)</f>
        <v/>
      </c>
      <c r="W22" s="236" t="n"/>
      <c r="Y22" s="3">
        <f>Y21+1</f>
        <v/>
      </c>
      <c r="Z22" s="686" t="inlineStr">
        <is>
          <t>Check HVAC working (Visual Inspection)</t>
        </is>
      </c>
      <c r="AA22" s="3">
        <f>IF($AB$2&gt;=Y22,1,0)</f>
        <v/>
      </c>
      <c r="AB22" s="236" t="n"/>
      <c r="AD22" s="3">
        <f>AD21+1</f>
        <v/>
      </c>
      <c r="AE22" s="687" t="inlineStr">
        <is>
          <t>Remove hinge pins to remove the evaporator cover (9) from HVAC unit. (Pliers)</t>
        </is>
      </c>
      <c r="AF22" s="3">
        <f>IF($AG$2&gt;=AD22,1,0)</f>
        <v/>
      </c>
      <c r="AG22" s="236" t="n"/>
      <c r="AI22" s="3">
        <f>AI21+1</f>
        <v/>
      </c>
      <c r="AJ22" s="686" t="inlineStr">
        <is>
          <t>Open fan cover (Insulated Gloves)</t>
        </is>
      </c>
      <c r="AK22" s="3">
        <f>IF($AL$2&gt;=AI22,1,0)</f>
        <v/>
      </c>
      <c r="AL22" s="236" t="n"/>
      <c r="AN22" s="3">
        <f>AN21+1</f>
        <v/>
      </c>
      <c r="AO22" s="686" t="inlineStr">
        <is>
          <t>Clean the drain tray (2) with wet cloth (Wet Cloth)</t>
        </is>
      </c>
      <c r="AP22" s="3">
        <f>IF($AQ$2&gt;=AN22,1,0)</f>
        <v/>
      </c>
      <c r="AQ22" s="236" t="n"/>
      <c r="AS22" s="3">
        <f>AS21+1</f>
        <v/>
      </c>
      <c r="AT22" s="686" t="inlineStr">
        <is>
          <t>Remove Heat bank screws (Spanner)</t>
        </is>
      </c>
      <c r="AU22" s="3">
        <f>IF($AV$2&gt;=AS22,1,0)</f>
        <v/>
      </c>
      <c r="AV22" s="236" t="n"/>
      <c r="AX22" s="3">
        <f>AX21+1</f>
        <v/>
      </c>
      <c r="AY22" s="686" t="inlineStr">
        <is>
          <t>Tighten the fastener of RAT (Spanner)</t>
        </is>
      </c>
      <c r="AZ22" s="3">
        <f>IF($BA$2&gt;=AX22,1,0)</f>
        <v/>
      </c>
      <c r="BA22" s="236" t="n"/>
      <c r="BC22" s="3" t="n">
        <v>2</v>
      </c>
      <c r="BD22" s="666" t="inlineStr">
        <is>
          <t>HOT 1 Switch</t>
        </is>
      </c>
      <c r="BE22" s="3" t="n"/>
      <c r="BF22" s="3" t="n"/>
      <c r="BH22" s="3">
        <f>BH21+1</f>
        <v/>
      </c>
      <c r="BI22" s="686" t="inlineStr">
        <is>
          <t>Secure converter with bolts (Visual Inspection)</t>
        </is>
      </c>
      <c r="BJ22" s="3">
        <f>IF($BK$2&gt;=BH22,1,0)</f>
        <v/>
      </c>
      <c r="BK22" s="236" t="n"/>
      <c r="BM22" s="310" t="n"/>
      <c r="BN22" s="310" t="n"/>
      <c r="BO22" s="310" t="n"/>
      <c r="BP22" s="310" t="n"/>
      <c r="BR22" s="698">
        <f>BR21+1</f>
        <v/>
      </c>
      <c r="BS22" s="699" t="inlineStr">
        <is>
          <t>Screw bolt compressor unit cover (None)</t>
        </is>
      </c>
      <c r="BT22" s="698">
        <f>IF($BU$2&gt;=BR22,1,0)</f>
        <v/>
      </c>
      <c r="BU22" s="685" t="n"/>
    </row>
    <row r="23" ht="34" customHeight="1" thickBot="1">
      <c r="A23" s="310" t="n"/>
      <c r="B23" s="666" t="inlineStr">
        <is>
          <t>Temperature Sensor</t>
        </is>
      </c>
      <c r="C23" s="3" t="n"/>
      <c r="E23" s="733" t="n"/>
      <c r="J23" s="3">
        <f>J22+1</f>
        <v/>
      </c>
      <c r="K23" s="686" t="inlineStr">
        <is>
          <t>Unscrew fresh air filter bolt (Screwdriver)</t>
        </is>
      </c>
      <c r="L23" s="3">
        <f>IF($M$2&gt;=J23,1,0)</f>
        <v/>
      </c>
      <c r="M23" s="236" t="n"/>
      <c r="O23" s="3">
        <f>O22+1</f>
        <v/>
      </c>
      <c r="P23" s="686" t="inlineStr">
        <is>
          <t>Check working (Visual Inspection)</t>
        </is>
      </c>
      <c r="Q23" s="3">
        <f>IF($R$2&gt;=O23,1,0)</f>
        <v/>
      </c>
      <c r="R23" s="236" t="n"/>
      <c r="T23" s="3">
        <f>T22+1</f>
        <v/>
      </c>
      <c r="U23" s="686" t="inlineStr">
        <is>
          <t>Check working (Visual Inspection)</t>
        </is>
      </c>
      <c r="V23" s="3">
        <f>IF($W$2&gt;=T23,1,0)</f>
        <v/>
      </c>
      <c r="W23" s="236" t="n"/>
      <c r="AD23" s="3">
        <f>AD22+1</f>
        <v/>
      </c>
      <c r="AE23" s="687" t="inlineStr">
        <is>
          <t>Remove the evaporator cover (9) from HVAC unit using suitable lifting device. (None)</t>
        </is>
      </c>
      <c r="AF23" s="3">
        <f>IF($AG$2&gt;=AD23,1,0)</f>
        <v/>
      </c>
      <c r="AG23" s="236" t="n"/>
      <c r="AI23" s="3">
        <f>AI22+1</f>
        <v/>
      </c>
      <c r="AJ23" s="686" t="inlineStr">
        <is>
          <t>Unscrews Fan Motor Bolt (Spanner)</t>
        </is>
      </c>
      <c r="AK23" s="3">
        <f>IF($AL$2&gt;=AI23,1,0)</f>
        <v/>
      </c>
      <c r="AL23" s="236" t="n"/>
      <c r="AN23" s="3">
        <f>AN22+1</f>
        <v/>
      </c>
      <c r="AO23" s="686" t="inlineStr">
        <is>
          <t>Ensure that there is no condensate or debris left over on the drain tray (2). (Vacuum Cleaner)</t>
        </is>
      </c>
      <c r="AP23" s="3">
        <f>IF($AQ$2&gt;=AN23,1,0)</f>
        <v/>
      </c>
      <c r="AQ23" s="236" t="n"/>
      <c r="AS23" s="3">
        <f>AS22+1</f>
        <v/>
      </c>
      <c r="AT23" s="686" t="inlineStr">
        <is>
          <t>Remove Heat bank assembly (Insulated Gloves)</t>
        </is>
      </c>
      <c r="AU23" s="3">
        <f>IF($AV$2&gt;=AS23,1,0)</f>
        <v/>
      </c>
      <c r="AV23" s="236" t="n"/>
      <c r="AX23" s="3">
        <f>AX22+1</f>
        <v/>
      </c>
      <c r="AY23" s="686" t="inlineStr">
        <is>
          <t>Check working (Visual Inspection)</t>
        </is>
      </c>
      <c r="AZ23" s="3">
        <f>IF($BA$2&gt;=AX23,1,0)</f>
        <v/>
      </c>
      <c r="BA23" s="236" t="n"/>
      <c r="BH23" s="3">
        <f>BH22+1</f>
        <v/>
      </c>
      <c r="BI23" s="686" t="inlineStr">
        <is>
          <t>Check working (Visual Inspection)</t>
        </is>
      </c>
      <c r="BJ23" s="3">
        <f>IF($BK$2&gt;=BH23,1,0)</f>
        <v/>
      </c>
      <c r="BK23" s="236" t="n"/>
      <c r="BR23" s="698">
        <f>BR22+1</f>
        <v/>
      </c>
      <c r="BS23" s="699" t="inlineStr">
        <is>
          <t>Loosen and remove 24 nos M8X20 bolts (8) along with washer set (7) to open evaporator cover (9). (Spanner)</t>
        </is>
      </c>
      <c r="BT23" s="698">
        <f>IF($BU$2&gt;=BR23,1,0)</f>
        <v/>
      </c>
      <c r="BU23" s="685" t="n"/>
    </row>
    <row r="24" ht="25" customHeight="1">
      <c r="A24" s="310" t="n"/>
      <c r="B24" s="666" t="inlineStr">
        <is>
          <t>RAT Sensor</t>
        </is>
      </c>
      <c r="C24" s="3" t="n"/>
      <c r="E24" s="733" t="n"/>
      <c r="J24" s="3">
        <f>J23+1</f>
        <v/>
      </c>
      <c r="K24" s="686" t="inlineStr">
        <is>
          <t>Replace fresh air filter (Visual Inspection)</t>
        </is>
      </c>
      <c r="L24" s="3">
        <f>IF($M$2&gt;=J24,1,0)</f>
        <v/>
      </c>
      <c r="M24" s="236" t="n"/>
      <c r="AD24" s="3">
        <f>AD23+1</f>
        <v/>
      </c>
      <c r="AE24" s="687" t="inlineStr">
        <is>
          <t>Open supply air blower (Spanner)</t>
        </is>
      </c>
      <c r="AF24" s="3">
        <f>IF($AG$2&gt;=AD24,1,0)</f>
        <v/>
      </c>
      <c r="AG24" s="236" t="n"/>
      <c r="AI24" s="3">
        <f>AI23+1</f>
        <v/>
      </c>
      <c r="AJ24" s="686" t="inlineStr">
        <is>
          <t>Remove Fan Motor (Insulated Gloves)</t>
        </is>
      </c>
      <c r="AK24" s="3">
        <f>IF($AL$2&gt;=AI24,1,0)</f>
        <v/>
      </c>
      <c r="AL24" s="236" t="n"/>
      <c r="AN24" s="3">
        <f>AN23+1</f>
        <v/>
      </c>
      <c r="AO24" s="686" t="inlineStr">
        <is>
          <t>Remove the grommet on the drain hole cover. (Pliers)</t>
        </is>
      </c>
      <c r="AP24" s="3">
        <f>IF($AQ$2&gt;=AN24,1,0)</f>
        <v/>
      </c>
      <c r="AQ24" s="236" t="n"/>
      <c r="AS24" s="3">
        <f>AS23+1</f>
        <v/>
      </c>
      <c r="AT24" s="686" t="inlineStr">
        <is>
          <t>Replace Heat bank assembly (None)</t>
        </is>
      </c>
      <c r="AU24" s="3">
        <f>IF($AV$2&gt;=AS24,1,0)</f>
        <v/>
      </c>
      <c r="AV24" s="236" t="n"/>
      <c r="BD24" s="859" t="inlineStr">
        <is>
          <t>Cause 1 &amp; Rectified</t>
        </is>
      </c>
      <c r="BE24" s="153">
        <f>IF(AND(BE17=1,BF4=1),1,0)</f>
        <v/>
      </c>
      <c r="BM24" s="657" t="inlineStr">
        <is>
          <t>Sr. No.</t>
        </is>
      </c>
      <c r="BN24" s="657" t="inlineStr">
        <is>
          <t>Components Affected</t>
        </is>
      </c>
      <c r="BO24" s="657" t="n"/>
      <c r="BP24" s="657" t="n"/>
      <c r="BR24" s="698">
        <f>BR23+1</f>
        <v/>
      </c>
      <c r="BS24" s="699" t="inlineStr">
        <is>
          <t>Remove hinge pins to remove the evaporator cover (9) from HVAC unit. (Pliers)</t>
        </is>
      </c>
      <c r="BT24" s="698">
        <f>IF($BU$2&gt;=BR24,1,0)</f>
        <v/>
      </c>
      <c r="BU24" s="685" t="n"/>
    </row>
    <row r="25" ht="34" customHeight="1" thickBot="1">
      <c r="A25" s="310" t="n"/>
      <c r="B25" s="666" t="inlineStr">
        <is>
          <t>Smoke Detector</t>
        </is>
      </c>
      <c r="C25" s="3" t="n"/>
      <c r="E25" s="657" t="inlineStr">
        <is>
          <t>Sr. No.</t>
        </is>
      </c>
      <c r="F25" s="657" t="inlineStr">
        <is>
          <t>Components Affected</t>
        </is>
      </c>
      <c r="G25" s="657" t="inlineStr">
        <is>
          <t>Status</t>
        </is>
      </c>
      <c r="H25" s="657" t="inlineStr">
        <is>
          <t>Remarks</t>
        </is>
      </c>
      <c r="J25" s="3">
        <f>J24+1</f>
        <v/>
      </c>
      <c r="K25" s="686" t="inlineStr">
        <is>
          <t>Clean the fresh air dampers (1) and damper motor (2) with dry compressed air. (Bristle Brush)</t>
        </is>
      </c>
      <c r="L25" s="3">
        <f>IF($M$2&gt;=J25,1,0)</f>
        <v/>
      </c>
      <c r="M25" s="236" t="n"/>
      <c r="Y25" s="657" t="inlineStr">
        <is>
          <t>Sr. No.</t>
        </is>
      </c>
      <c r="Z25" s="657" t="inlineStr">
        <is>
          <t>Components Affected</t>
        </is>
      </c>
      <c r="AA25" s="657" t="n"/>
      <c r="AB25" s="657" t="n"/>
      <c r="AD25" s="3">
        <f>AD24+1</f>
        <v/>
      </c>
      <c r="AE25" s="687" t="inlineStr">
        <is>
          <t>Clean the supply air blower (1) with compressed air. (Compressed Air Gun)</t>
        </is>
      </c>
      <c r="AF25" s="3">
        <f>IF($AG$2&gt;=AD25,1,0)</f>
        <v/>
      </c>
      <c r="AG25" s="236" t="n"/>
      <c r="AI25" s="3">
        <f>AI24+1</f>
        <v/>
      </c>
      <c r="AJ25" s="686" t="inlineStr">
        <is>
          <t>Replace Fan Motor (None)</t>
        </is>
      </c>
      <c r="AK25" s="3">
        <f>IF($AL$2&gt;=AI25,1,0)</f>
        <v/>
      </c>
      <c r="AL25" s="236" t="n"/>
      <c r="AN25" s="3">
        <f>AN24+1</f>
        <v/>
      </c>
      <c r="AO25" s="686" t="inlineStr">
        <is>
          <t>Place the hose inside the hole and use high pressure to remove the debris from the drain hole. (None)</t>
        </is>
      </c>
      <c r="AP25" s="3">
        <f>IF($AQ$2&gt;=AN25,1,0)</f>
        <v/>
      </c>
      <c r="AQ25" s="236" t="n"/>
      <c r="AS25" s="3">
        <f>AS24+1</f>
        <v/>
      </c>
      <c r="AT25" s="686" t="inlineStr">
        <is>
          <t>Clean Heat bank (Compressed Air Gun)</t>
        </is>
      </c>
      <c r="AU25" s="3">
        <f>IF($AV$2&gt;=AS25,1,0)</f>
        <v/>
      </c>
      <c r="AV25" s="236" t="n"/>
      <c r="BD25" s="700" t="inlineStr">
        <is>
          <t>Cause 2 &amp; Rectified</t>
        </is>
      </c>
      <c r="BE25" s="701">
        <f>IF(AND(BE17=1,BF4=2),1,0)</f>
        <v/>
      </c>
      <c r="BF25" s="310" t="inlineStr">
        <is>
          <t>Not present</t>
        </is>
      </c>
      <c r="BM25" s="3" t="n">
        <v>1</v>
      </c>
      <c r="BN25" s="666" t="inlineStr">
        <is>
          <t>Fresh Air Damper</t>
        </is>
      </c>
      <c r="BO25" s="3">
        <f>IF(BO11=1,0,1)</f>
        <v/>
      </c>
      <c r="BP25" s="3" t="inlineStr">
        <is>
          <t>Open: 1, Close: 0</t>
        </is>
      </c>
      <c r="BR25" s="698">
        <f>BR24+1</f>
        <v/>
      </c>
      <c r="BS25" s="699" t="inlineStr">
        <is>
          <t>Remove the evaporator cover (9) from HVAC unit using suitable lifting device. (None)</t>
        </is>
      </c>
      <c r="BT25" s="698">
        <f>IF($BU$2&gt;=BR25,1,0)</f>
        <v/>
      </c>
      <c r="BU25" s="685" t="n"/>
    </row>
    <row r="26" ht="42" customHeight="1" thickBot="1">
      <c r="A26" s="310" t="n"/>
      <c r="B26" s="666" t="n"/>
      <c r="C26" s="3" t="n"/>
      <c r="E26" s="3" t="n">
        <v>1</v>
      </c>
      <c r="F26" s="666" t="inlineStr">
        <is>
          <t>Control Panel Circuit Breakers</t>
        </is>
      </c>
      <c r="G26" s="3">
        <f>IF(G3=1,0,IF(G11=1,0,1))</f>
        <v/>
      </c>
      <c r="H26" s="3" t="inlineStr">
        <is>
          <t>Open: 1, Close: 0</t>
        </is>
      </c>
      <c r="J26" s="3">
        <f>J25+1</f>
        <v/>
      </c>
      <c r="K26" s="686" t="inlineStr">
        <is>
          <t>Remove the fresh air dampers (Spanner)</t>
        </is>
      </c>
      <c r="L26" s="3">
        <f>IF($M$2&gt;=J26,1,0)</f>
        <v/>
      </c>
      <c r="M26" s="236" t="n"/>
      <c r="O26" s="657" t="inlineStr">
        <is>
          <t>Sr. No.</t>
        </is>
      </c>
      <c r="P26" s="657" t="inlineStr">
        <is>
          <t>Components Affected</t>
        </is>
      </c>
      <c r="Q26" s="657" t="n"/>
      <c r="R26" s="657" t="n"/>
      <c r="T26" s="657" t="inlineStr">
        <is>
          <t>Sr. No.</t>
        </is>
      </c>
      <c r="U26" s="657" t="inlineStr">
        <is>
          <t>Components Affected</t>
        </is>
      </c>
      <c r="V26" s="657" t="n"/>
      <c r="W26" s="657" t="n"/>
      <c r="Y26" s="3" t="n">
        <v>1</v>
      </c>
      <c r="Z26" s="666" t="inlineStr">
        <is>
          <t>Filter Drier</t>
        </is>
      </c>
      <c r="AA26" s="3">
        <f>IF(AA11=1,0,1)</f>
        <v/>
      </c>
      <c r="AB26" s="3" t="inlineStr">
        <is>
          <t>Open: 1, Close: 0</t>
        </is>
      </c>
      <c r="AD26" s="3">
        <f>AD25+1</f>
        <v/>
      </c>
      <c r="AE26" s="687" t="inlineStr">
        <is>
          <t>Rotate supply air blower (1) motor with hand and ensure that only a light force is required to rotate it. (Insulated Hand Gloves)</t>
        </is>
      </c>
      <c r="AF26" s="3">
        <f>IF($AG$2&gt;=AD26,1,0)</f>
        <v/>
      </c>
      <c r="AG26" s="236" t="n"/>
      <c r="AI26" s="3">
        <f>AI25+1</f>
        <v/>
      </c>
      <c r="AJ26" s="686" t="inlineStr">
        <is>
          <t>Clean the condenser fan with dry compressed air (Compressed Air)</t>
        </is>
      </c>
      <c r="AK26" s="3">
        <f>IF($AL$2&gt;=AI26,1,0)</f>
        <v/>
      </c>
      <c r="AL26" s="236" t="n"/>
      <c r="AN26" s="3">
        <f>AN25+1</f>
        <v/>
      </c>
      <c r="AO26" s="686" t="inlineStr">
        <is>
          <t>Fix TX valve with spanner (Spanner)</t>
        </is>
      </c>
      <c r="AP26" s="3">
        <f>IF($AQ$2&gt;=AN26,1,0)</f>
        <v/>
      </c>
      <c r="AQ26" s="236" t="n"/>
      <c r="AS26" s="3">
        <f>AS25+1</f>
        <v/>
      </c>
      <c r="AT26" s="686" t="inlineStr">
        <is>
          <t>Unbolt the return air temperature sensor (Spanner)</t>
        </is>
      </c>
      <c r="AU26" s="3">
        <f>IF($AV$2&gt;=AS26,1,0)</f>
        <v/>
      </c>
      <c r="AV26" s="236" t="n"/>
      <c r="AX26" s="657" t="inlineStr">
        <is>
          <t>Sr. No.</t>
        </is>
      </c>
      <c r="AY26" s="657" t="inlineStr">
        <is>
          <t>Components Affected</t>
        </is>
      </c>
      <c r="AZ26" s="657" t="n"/>
      <c r="BA26" s="657" t="n"/>
      <c r="BD26" s="702" t="inlineStr">
        <is>
          <t>Fault Reset Logic</t>
        </is>
      </c>
      <c r="BE26" s="703">
        <f>IF(OR(BE24:BE25),1,0)</f>
        <v/>
      </c>
      <c r="BH26" s="657" t="inlineStr">
        <is>
          <t>Sr. No.</t>
        </is>
      </c>
      <c r="BI26" s="657" t="inlineStr">
        <is>
          <t>Components Affected</t>
        </is>
      </c>
      <c r="BJ26" s="657" t="n"/>
      <c r="BK26" s="657" t="n"/>
      <c r="BM26" s="3" t="n">
        <v>2</v>
      </c>
      <c r="BN26" s="666" t="inlineStr">
        <is>
          <t>Smoke Detector</t>
        </is>
      </c>
      <c r="BO26" s="3" t="n"/>
      <c r="BP26" s="3" t="n"/>
      <c r="BR26" s="698">
        <f>BR25+1</f>
        <v/>
      </c>
      <c r="BS26" s="699" t="inlineStr">
        <is>
          <t>Remove electrical control panel assembly (Spanner)</t>
        </is>
      </c>
      <c r="BT26" s="698">
        <f>IF($BU$2&gt;=BR26,1,0)</f>
        <v/>
      </c>
      <c r="BU26" s="685" t="n"/>
    </row>
    <row r="27" ht="25" customHeight="1" thickBot="1">
      <c r="A27" s="310" t="n"/>
      <c r="E27" s="3">
        <f>E26+1</f>
        <v/>
      </c>
      <c r="F27" s="666" t="inlineStr">
        <is>
          <t>Supply Air Blower</t>
        </is>
      </c>
      <c r="G27" s="3">
        <f>IF(OR(G3:G4),0,1)</f>
        <v/>
      </c>
      <c r="H27" s="3" t="n"/>
      <c r="J27" s="3">
        <f>J26+1</f>
        <v/>
      </c>
      <c r="K27" s="686" t="inlineStr">
        <is>
          <t>Replace the fresh air dampers (Visual Inspection)</t>
        </is>
      </c>
      <c r="L27" s="3">
        <f>IF($M$2&gt;=J27,1,0)</f>
        <v/>
      </c>
      <c r="M27" s="236" t="n"/>
      <c r="O27" s="3" t="n">
        <v>1</v>
      </c>
      <c r="P27" s="666" t="inlineStr">
        <is>
          <t>Supply Air Filter</t>
        </is>
      </c>
      <c r="Q27" s="3">
        <f>IF(Q11=1,0,1)</f>
        <v/>
      </c>
      <c r="R27" s="3" t="inlineStr">
        <is>
          <t>Open: 1, Close: 0</t>
        </is>
      </c>
      <c r="T27" s="3" t="n">
        <v>1</v>
      </c>
      <c r="U27" s="666" t="inlineStr">
        <is>
          <t>Evaporator Coil Damage</t>
        </is>
      </c>
      <c r="V27" s="3">
        <f>IF(V11=1,0,1)</f>
        <v/>
      </c>
      <c r="W27" s="3" t="inlineStr">
        <is>
          <t>Open: 1, Close: 0</t>
        </is>
      </c>
      <c r="Y27" s="3" t="n">
        <v>2</v>
      </c>
      <c r="Z27" s="666" t="inlineStr">
        <is>
          <t>Piping Section</t>
        </is>
      </c>
      <c r="AA27" s="3" t="n"/>
      <c r="AB27" s="3" t="n"/>
      <c r="AD27" s="3">
        <f>AD26+1</f>
        <v/>
      </c>
      <c r="AE27" s="687" t="inlineStr">
        <is>
          <t>Remove supply air blower (Screwdriver)</t>
        </is>
      </c>
      <c r="AF27" s="3">
        <f>IF($AG$2&gt;=AD27,1,0)</f>
        <v/>
      </c>
      <c r="AG27" s="236" t="n"/>
      <c r="AI27" s="3">
        <f>AI26+1</f>
        <v/>
      </c>
      <c r="AJ27" s="686" t="inlineStr">
        <is>
          <t>Unscrew condenser fan bolt (Spanner)</t>
        </is>
      </c>
      <c r="AK27" s="3">
        <f>IF($AL$2&gt;=AI27,1,0)</f>
        <v/>
      </c>
      <c r="AL27" s="236" t="n"/>
      <c r="AN27" s="3">
        <f>AN26+1</f>
        <v/>
      </c>
      <c r="AO27" s="686" t="inlineStr">
        <is>
          <t>Remove TX valve if necessary (Visual Inspection)</t>
        </is>
      </c>
      <c r="AP27" s="3">
        <f>IF($AQ$2&gt;=AN27,1,0)</f>
        <v/>
      </c>
      <c r="AQ27" s="236" t="n"/>
      <c r="AS27" s="3">
        <f>AS26+1</f>
        <v/>
      </c>
      <c r="AT27" s="686" t="inlineStr">
        <is>
          <t>Remove the return air temperature sensor (None)</t>
        </is>
      </c>
      <c r="AU27" s="3">
        <f>IF($AV$2&gt;=AS27,1,0)</f>
        <v/>
      </c>
      <c r="AV27" s="236" t="n"/>
      <c r="AX27" s="3" t="n">
        <v>1</v>
      </c>
      <c r="AY27" s="666" t="inlineStr">
        <is>
          <t>Temperature Sensor</t>
        </is>
      </c>
      <c r="AZ27" s="3">
        <f>IF(AZ11=1,0,1)</f>
        <v/>
      </c>
      <c r="BA27" s="3" t="inlineStr">
        <is>
          <t>Open: 1, Close: 0</t>
        </is>
      </c>
      <c r="BH27" s="3" t="n">
        <v>1</v>
      </c>
      <c r="BI27" s="666" t="inlineStr">
        <is>
          <t>Electrical Connections</t>
        </is>
      </c>
      <c r="BJ27" s="3">
        <f>IF(BJ11=1,0,1)</f>
        <v/>
      </c>
      <c r="BK27" s="3" t="inlineStr">
        <is>
          <t>Open: 1, Close: 0</t>
        </is>
      </c>
      <c r="BR27" s="698">
        <f>BR26+1</f>
        <v/>
      </c>
      <c r="BS27" s="699" t="inlineStr">
        <is>
          <t>Check all circuit breakers and close. (Multimeter)</t>
        </is>
      </c>
      <c r="BT27" s="698">
        <f>IF($BU$2&gt;=BR27,1,0)</f>
        <v/>
      </c>
      <c r="BU27" s="685" t="n"/>
    </row>
    <row r="28" ht="25" customHeight="1" thickBot="1">
      <c r="J28" s="3">
        <f>J27+1</f>
        <v/>
      </c>
      <c r="K28" s="686" t="inlineStr">
        <is>
          <t>Remove fresh air damper motor (Screwdriver)</t>
        </is>
      </c>
      <c r="L28" s="3">
        <f>IF($M$2&gt;=J28,1,0)</f>
        <v/>
      </c>
      <c r="M28" s="236" t="n"/>
      <c r="O28" s="3">
        <f>O27+1</f>
        <v/>
      </c>
      <c r="P28" s="666" t="inlineStr">
        <is>
          <t>Supply Air Blower</t>
        </is>
      </c>
      <c r="Q28" s="3" t="n"/>
      <c r="R28" s="3" t="n"/>
      <c r="T28" s="3" t="n">
        <v>2</v>
      </c>
      <c r="U28" s="666" t="inlineStr">
        <is>
          <t>TX Valve</t>
        </is>
      </c>
      <c r="V28" s="3" t="n"/>
      <c r="W28" s="3" t="n"/>
      <c r="AD28" s="3">
        <f>AD27+1</f>
        <v/>
      </c>
      <c r="AE28" s="686" t="inlineStr">
        <is>
          <t>Replace supply air blower (Visual Inspection)</t>
        </is>
      </c>
      <c r="AF28" s="3">
        <f>IF($AG$2&gt;=AD28,1,0)</f>
        <v/>
      </c>
      <c r="AG28" s="236" t="n"/>
      <c r="AI28" s="3">
        <f>AI27+1</f>
        <v/>
      </c>
      <c r="AJ28" s="686" t="inlineStr">
        <is>
          <t>Remove condenser fan (Insulated Gloves)</t>
        </is>
      </c>
      <c r="AK28" s="3">
        <f>IF($AL$2&gt;=AI28,1,0)</f>
        <v/>
      </c>
      <c r="AL28" s="236" t="n"/>
      <c r="AN28" s="3">
        <f>AN27+1</f>
        <v/>
      </c>
      <c r="AO28" s="686" t="inlineStr">
        <is>
          <t>Replace TX valve if necessary (Visual Inspection)</t>
        </is>
      </c>
      <c r="AP28" s="3">
        <f>IF($AQ$2&gt;=AN28,1,0)</f>
        <v/>
      </c>
      <c r="AQ28" s="236" t="n"/>
      <c r="AS28" s="3">
        <f>AS27+1</f>
        <v/>
      </c>
      <c r="AT28" s="686" t="inlineStr">
        <is>
          <t>Replace the return air temperature sensor (None)</t>
        </is>
      </c>
      <c r="AU28" s="3">
        <f>IF($AV$2&gt;=AS28,1,0)</f>
        <v/>
      </c>
      <c r="AV28" s="236" t="n"/>
      <c r="BN28" s="859" t="inlineStr">
        <is>
          <t>Cause 1 &amp; Rectified</t>
        </is>
      </c>
      <c r="BO28" s="153">
        <f>IF(AND(BO15=1,BP4=1),1,0)</f>
        <v/>
      </c>
      <c r="BR28" s="698">
        <f>BR27+1</f>
        <v/>
      </c>
      <c r="BS28" s="699" t="inlineStr">
        <is>
          <t>Unplug the connected wires (Screwdriver)</t>
        </is>
      </c>
      <c r="BT28" s="698">
        <f>IF($BU$2&gt;=BR28,1,0)</f>
        <v/>
      </c>
      <c r="BU28" s="685" t="n"/>
    </row>
    <row r="29" ht="25" customHeight="1" thickBot="1">
      <c r="F29" s="859" t="inlineStr">
        <is>
          <t>Cause 1 &amp; Rectified</t>
        </is>
      </c>
      <c r="G29" s="153">
        <f>IF(AND(H4=1,G11=1),1,0)</f>
        <v/>
      </c>
      <c r="J29" s="3">
        <f>J28+1</f>
        <v/>
      </c>
      <c r="K29" s="686" t="inlineStr">
        <is>
          <t>Replace fresh air damper motor (Visual Inspection)</t>
        </is>
      </c>
      <c r="L29" s="3">
        <f>IF($M$2&gt;=J29,1,0)</f>
        <v/>
      </c>
      <c r="M29" s="236" t="n"/>
      <c r="O29" s="3">
        <f>O28+1</f>
        <v/>
      </c>
      <c r="P29" s="666" t="inlineStr">
        <is>
          <t>Refrigerent Level</t>
        </is>
      </c>
      <c r="Q29" s="3" t="n"/>
      <c r="R29" s="3" t="n"/>
      <c r="AD29" s="3">
        <f>AD28+1</f>
        <v/>
      </c>
      <c r="AE29" s="686" t="inlineStr">
        <is>
          <t>Close air supply blower (Visual Inspection)</t>
        </is>
      </c>
      <c r="AF29" s="3">
        <f>IF($AG$2&gt;=AD29,1,0)</f>
        <v/>
      </c>
      <c r="AG29" s="236" t="n"/>
      <c r="AI29" s="3">
        <f>AI28+1</f>
        <v/>
      </c>
      <c r="AJ29" s="686" t="inlineStr">
        <is>
          <t>Replace condenser fan (None)</t>
        </is>
      </c>
      <c r="AK29" s="3">
        <f>IF($AL$2&gt;=AI29,1,0)</f>
        <v/>
      </c>
      <c r="AL29" s="236" t="n"/>
      <c r="AN29" s="3">
        <f>AN28+1</f>
        <v/>
      </c>
      <c r="AO29" s="686" t="inlineStr">
        <is>
          <t>Remove the condenser coil cover (Lifting Device)</t>
        </is>
      </c>
      <c r="AP29" s="3">
        <f>IF($AQ$2&gt;=AN29,1,0)</f>
        <v/>
      </c>
      <c r="AQ29" s="236" t="n"/>
      <c r="AS29" s="3">
        <f>AS28+1</f>
        <v/>
      </c>
      <c r="AT29" s="686" t="inlineStr">
        <is>
          <t>Bolt the RAT (None)</t>
        </is>
      </c>
      <c r="AU29" s="3">
        <f>IF($AV$2&gt;=AS29,1,0)</f>
        <v/>
      </c>
      <c r="AV29" s="236" t="n"/>
      <c r="AY29" s="859" t="inlineStr">
        <is>
          <t>Cause 1 &amp; Rectified</t>
        </is>
      </c>
      <c r="AZ29" s="153">
        <f>IF(AND(AZ23=1,$BA$4=1),1,0)</f>
        <v/>
      </c>
      <c r="BI29" s="859" t="inlineStr">
        <is>
          <t>Cause 1 &amp; Rectified</t>
        </is>
      </c>
      <c r="BJ29" s="153">
        <f>IF(AND(BJ23=1,$BK$4=1),1,0)</f>
        <v/>
      </c>
      <c r="BN29" s="860" t="inlineStr">
        <is>
          <t>Cause 2 &amp; Rectified</t>
        </is>
      </c>
      <c r="BO29" s="215">
        <f>IF(AND(BO21=1,BP8=2),1,0)</f>
        <v/>
      </c>
      <c r="BR29" s="698">
        <f>BR28+1</f>
        <v/>
      </c>
      <c r="BS29" s="699" t="inlineStr">
        <is>
          <t>Remove electrical plugs. (Insulated Gloves)</t>
        </is>
      </c>
      <c r="BT29" s="698">
        <f>IF($BU$2&gt;=BR29,1,0)</f>
        <v/>
      </c>
      <c r="BU29" s="685" t="n"/>
    </row>
    <row r="30" ht="25" customHeight="1" thickBot="1">
      <c r="F30" s="861" t="inlineStr">
        <is>
          <t>Cause 2 &amp; Rectified</t>
        </is>
      </c>
      <c r="G30" s="155">
        <f>IF(AND(H4=2,G22=1),1,0)</f>
        <v/>
      </c>
      <c r="J30" s="3">
        <f>J29+1</f>
        <v/>
      </c>
      <c r="K30" s="686" t="inlineStr">
        <is>
          <t>Check working (Visual Inspection)</t>
        </is>
      </c>
      <c r="L30" s="3">
        <f>IF($M$2&gt;=J30,1,0)</f>
        <v/>
      </c>
      <c r="M30" s="236" t="n"/>
      <c r="Z30" s="859" t="inlineStr">
        <is>
          <t>Cause 1 &amp; Rectified</t>
        </is>
      </c>
      <c r="AA30" s="153">
        <f>IF(AND(AA12=1,AB4=1),1,0)</f>
        <v/>
      </c>
      <c r="AD30" s="3">
        <f>AD29+1</f>
        <v/>
      </c>
      <c r="AE30" s="686" t="inlineStr">
        <is>
          <t>Unscrew bottom panel (Spanner)</t>
        </is>
      </c>
      <c r="AF30" s="3">
        <f>IF($AG$2&gt;=AD30,1,0)</f>
        <v/>
      </c>
      <c r="AG30" s="236" t="n"/>
      <c r="AI30" s="3">
        <f>AI29+1</f>
        <v/>
      </c>
      <c r="AJ30" s="686" t="inlineStr">
        <is>
          <t>Remove the condenser coil cover (Lifting Device)</t>
        </is>
      </c>
      <c r="AK30" s="3">
        <f>IF($AL$2&gt;=AI30,1,0)</f>
        <v/>
      </c>
      <c r="AL30" s="236" t="n"/>
      <c r="AN30" s="3">
        <f>AN29+1</f>
        <v/>
      </c>
      <c r="AO30" s="686" t="inlineStr">
        <is>
          <t>Clean condenser coil (Bristle Brush)</t>
        </is>
      </c>
      <c r="AP30" s="3">
        <f>IF($AQ$2&gt;=AN30,1,0)</f>
        <v/>
      </c>
      <c r="AQ30" s="236" t="n"/>
      <c r="AS30" s="3">
        <f>AS29+1</f>
        <v/>
      </c>
      <c r="AT30" s="686" t="inlineStr">
        <is>
          <t>Check working (Visual Inspection)</t>
        </is>
      </c>
      <c r="AU30" s="3">
        <f>IF($AV$2&gt;=AS30,1,0)</f>
        <v/>
      </c>
      <c r="AV30" s="236" t="n"/>
      <c r="AY30" s="702" t="inlineStr">
        <is>
          <t>Fault Reset Logic</t>
        </is>
      </c>
      <c r="AZ30" s="703">
        <f>IF(OR(AZ29),1,0)</f>
        <v/>
      </c>
      <c r="BI30" s="702" t="inlineStr">
        <is>
          <t>Fault Reset Logic</t>
        </is>
      </c>
      <c r="BJ30" s="703">
        <f>IF(OR(BJ29),1,0)</f>
        <v/>
      </c>
      <c r="BN30" s="702" t="inlineStr">
        <is>
          <t>Fault Reset Logic</t>
        </is>
      </c>
      <c r="BO30" s="703">
        <f>IF(OR(BO28:BO29),1,0)</f>
        <v/>
      </c>
      <c r="BR30" s="698">
        <f>BR29+1</f>
        <v/>
      </c>
      <c r="BS30" s="699" t="inlineStr">
        <is>
          <t>Replace the plugs (Visual Inspection)</t>
        </is>
      </c>
      <c r="BT30" s="698">
        <f>IF($BU$2&gt;=BR30,1,0)</f>
        <v/>
      </c>
      <c r="BU30" s="685" t="n"/>
    </row>
    <row r="31" ht="25" customHeight="1" thickBot="1">
      <c r="F31" s="704" t="inlineStr">
        <is>
          <t>Fault Reset Logic</t>
        </is>
      </c>
      <c r="G31" s="705">
        <f>IF(OR(G29:G30),1,0)</f>
        <v/>
      </c>
      <c r="H31" s="706" t="inlineStr">
        <is>
          <t>1: Reset</t>
        </is>
      </c>
      <c r="P31" s="859" t="inlineStr">
        <is>
          <t>Cause 1 &amp; Rectified</t>
        </is>
      </c>
      <c r="Q31" s="153">
        <f>IF(AND(Q15=1,R4=1),1,0)</f>
        <v/>
      </c>
      <c r="U31" s="859" t="inlineStr">
        <is>
          <t>Cause 1 &amp; Rectified</t>
        </is>
      </c>
      <c r="V31" s="153">
        <f>IF(AND(V11=1,W4=1),1,0)</f>
        <v/>
      </c>
      <c r="Z31" s="860" t="inlineStr">
        <is>
          <t>Cause 2 &amp; Rectified</t>
        </is>
      </c>
      <c r="AA31" s="215">
        <f>IF(AND(AA22=1,AB4=2),1,0)</f>
        <v/>
      </c>
      <c r="AD31" s="3">
        <f>AD30+1</f>
        <v/>
      </c>
      <c r="AE31" s="686" t="inlineStr">
        <is>
          <t>Remove bottom panel (Insulated Gloves)</t>
        </is>
      </c>
      <c r="AF31" s="3">
        <f>IF($AG$2&gt;=AD31,1,0)</f>
        <v/>
      </c>
      <c r="AG31" s="236" t="n"/>
      <c r="AI31" s="3">
        <f>AI30+1</f>
        <v/>
      </c>
      <c r="AJ31" s="686" t="inlineStr">
        <is>
          <t>Clean condenser coil (Bristle Brush)</t>
        </is>
      </c>
      <c r="AK31" s="3">
        <f>IF($AL$2&gt;=AI31,1,0)</f>
        <v/>
      </c>
      <c r="AL31" s="236" t="n"/>
      <c r="AN31" s="3">
        <f>AN30+1</f>
        <v/>
      </c>
      <c r="AO31" s="686" t="inlineStr">
        <is>
          <t>Straighten any bent fins with a fin comb (Fin Comb)</t>
        </is>
      </c>
      <c r="AP31" s="3">
        <f>IF($AQ$2&gt;=AN31,1,0)</f>
        <v/>
      </c>
      <c r="AQ31" s="236" t="n"/>
      <c r="BR31" s="698">
        <f>BR30+1</f>
        <v/>
      </c>
      <c r="BS31" s="699" t="inlineStr">
        <is>
          <t>Connect the electrical plugs. (Screwdriver)</t>
        </is>
      </c>
      <c r="BT31" s="698">
        <f>IF($BU$2&gt;=BR31,1,0)</f>
        <v/>
      </c>
      <c r="BU31" s="685" t="n"/>
    </row>
    <row r="32" ht="25" customHeight="1" thickBot="1">
      <c r="P32" s="860" t="inlineStr">
        <is>
          <t>Cause 2 &amp; Rectified</t>
        </is>
      </c>
      <c r="Q32" s="215">
        <f>IF(AND(Q15=1,R4=2),1,0)</f>
        <v/>
      </c>
      <c r="U32" s="860" t="inlineStr">
        <is>
          <t>Cause 2 &amp; Rectified</t>
        </is>
      </c>
      <c r="V32" s="215">
        <f>IF(AND(V23=1,W4=2),1,0)</f>
        <v/>
      </c>
      <c r="Z32" s="702" t="inlineStr">
        <is>
          <t>Fault Reset Logic</t>
        </is>
      </c>
      <c r="AA32" s="703">
        <f>IF(OR(AA30:AA31),1,0)</f>
        <v/>
      </c>
      <c r="AD32" s="3">
        <f>AD31+1</f>
        <v/>
      </c>
      <c r="AE32" s="686" t="inlineStr">
        <is>
          <t>Unscrew return air damper (Spanner)</t>
        </is>
      </c>
      <c r="AF32" s="3">
        <f>IF($AG$2&gt;=AD32,1,0)</f>
        <v/>
      </c>
      <c r="AG32" s="236" t="n"/>
      <c r="AI32" s="3">
        <f>AI31+1</f>
        <v/>
      </c>
      <c r="AJ32" s="686" t="inlineStr">
        <is>
          <t>Straighten any bent fins with a fin comb (Fin Comb)</t>
        </is>
      </c>
      <c r="AK32" s="3">
        <f>IF($AL$2&gt;=AI32,1,0)</f>
        <v/>
      </c>
      <c r="AL32" s="236" t="n"/>
      <c r="AN32" s="3">
        <f>AN31+1</f>
        <v/>
      </c>
      <c r="AO32" s="686" t="inlineStr">
        <is>
          <t>Clean the coil with compressed air (Compressed Air)</t>
        </is>
      </c>
      <c r="AP32" s="3">
        <f>IF($AQ$2&gt;=AN32,1,0)</f>
        <v/>
      </c>
      <c r="AQ32" s="236" t="n"/>
      <c r="BR32" s="698">
        <f>BR31+1</f>
        <v/>
      </c>
      <c r="BS32" s="699" t="inlineStr">
        <is>
          <t>Close electrical control panel assembly (None)</t>
        </is>
      </c>
      <c r="BT32" s="698">
        <f>IF($BU$2&gt;=BR32,1,0)</f>
        <v/>
      </c>
      <c r="BU32" s="685" t="n"/>
    </row>
    <row r="33" ht="25" customHeight="1" thickBot="1">
      <c r="J33" s="657" t="inlineStr">
        <is>
          <t>Sr. No.</t>
        </is>
      </c>
      <c r="K33" s="657" t="inlineStr">
        <is>
          <t>Components Affected</t>
        </is>
      </c>
      <c r="L33" s="657" t="n"/>
      <c r="M33" s="657" t="n"/>
      <c r="P33" s="707" t="inlineStr">
        <is>
          <t>Cause 3 &amp; Rectified</t>
        </is>
      </c>
      <c r="Q33" s="708">
        <f>IF(AND(R4=3,Q23=1),1,0)</f>
        <v/>
      </c>
      <c r="U33" s="702" t="inlineStr">
        <is>
          <t>Fault Reset Logic</t>
        </is>
      </c>
      <c r="V33" s="703">
        <f>IF(OR(V31:V32),1,0)</f>
        <v/>
      </c>
      <c r="AD33" s="3">
        <f>AD32+1</f>
        <v/>
      </c>
      <c r="AE33" s="686" t="inlineStr">
        <is>
          <t>Remove return air damper (Insulated Gloves)</t>
        </is>
      </c>
      <c r="AF33" s="3">
        <f>IF($AG$2&gt;=AD33,1,0)</f>
        <v/>
      </c>
      <c r="AG33" s="236" t="n"/>
      <c r="AI33" s="3">
        <f>AI32+1</f>
        <v/>
      </c>
      <c r="AJ33" s="686" t="inlineStr">
        <is>
          <t>Clean the coil with compressed air (Compressed Air)</t>
        </is>
      </c>
      <c r="AK33" s="3">
        <f>IF($AL$2&gt;=AI33,1,0)</f>
        <v/>
      </c>
      <c r="AL33" s="236" t="n"/>
      <c r="AN33" s="3">
        <f>AN32+1</f>
        <v/>
      </c>
      <c r="AO33" s="686" t="inlineStr">
        <is>
          <t>Close HVAC components (None)</t>
        </is>
      </c>
      <c r="AP33" s="3">
        <f>IF($AQ$2&gt;=AN33,1,0)</f>
        <v/>
      </c>
      <c r="AQ33" s="236" t="n"/>
      <c r="AS33" s="657" t="inlineStr">
        <is>
          <t>Sr. No.</t>
        </is>
      </c>
      <c r="AT33" s="657" t="inlineStr">
        <is>
          <t>Components Affected</t>
        </is>
      </c>
      <c r="AU33" s="657" t="n"/>
      <c r="AV33" s="657" t="n"/>
      <c r="BR33" s="698">
        <f>BR32+1</f>
        <v/>
      </c>
      <c r="BS33" s="699" t="inlineStr">
        <is>
          <t>Remove Heat bank screws (Spanner)</t>
        </is>
      </c>
      <c r="BT33" s="698">
        <f>IF($BU$2&gt;=BR33,1,0)</f>
        <v/>
      </c>
      <c r="BU33" s="685" t="n"/>
    </row>
    <row r="34" ht="37.5" customHeight="1" thickBot="1">
      <c r="J34" s="3" t="n">
        <v>1</v>
      </c>
      <c r="K34" s="666" t="inlineStr">
        <is>
          <t>Air Blower Circuit Breakers</t>
        </is>
      </c>
      <c r="L34" s="3">
        <f>IF(OR(L11=1,L3=1),0,1)</f>
        <v/>
      </c>
      <c r="M34" s="3" t="inlineStr">
        <is>
          <t>Open: 1, Close: 0</t>
        </is>
      </c>
      <c r="P34" s="702" t="inlineStr">
        <is>
          <t>Fault Reset Logic</t>
        </is>
      </c>
      <c r="Q34" s="703">
        <f>IF(OR(Q31:Q33),1,0)</f>
        <v/>
      </c>
      <c r="AD34" s="3">
        <f>AD33+1</f>
        <v/>
      </c>
      <c r="AE34" s="686" t="inlineStr">
        <is>
          <t>Check moisture indicator on the sight glass (1) to find any excessive moisture in the system. (Electronic Leak Detector)</t>
        </is>
      </c>
      <c r="AF34" s="3">
        <f>IF($AG$2&gt;=AD34,1,0)</f>
        <v/>
      </c>
      <c r="AG34" s="236" t="n"/>
      <c r="AI34" s="3">
        <f>AI33+1</f>
        <v/>
      </c>
      <c r="AJ34" s="686" t="inlineStr">
        <is>
          <t>Loosen and remove 24 nos M8X20 bolts (8) along with washer set (7) to open evaporator cover (9). (Spanner)</t>
        </is>
      </c>
      <c r="AK34" s="3">
        <f>IF($AL$2&gt;=AI34,1,0)</f>
        <v/>
      </c>
      <c r="AL34" s="236" t="n"/>
      <c r="AN34" s="3">
        <f>AN33+1</f>
        <v/>
      </c>
      <c r="AO34" s="686" t="inlineStr">
        <is>
          <t>Unscrew bolt compressor unit cover (Spanner)</t>
        </is>
      </c>
      <c r="AP34" s="3">
        <f>IF($AQ$2&gt;=AN34,1,0)</f>
        <v/>
      </c>
      <c r="AQ34" s="236" t="n"/>
      <c r="AS34" s="3" t="n">
        <v>1</v>
      </c>
      <c r="AT34" s="666" t="inlineStr">
        <is>
          <t>Heater Circuit Breaker</t>
        </is>
      </c>
      <c r="AU34" s="3">
        <f>IF(AU13=1,0,1)</f>
        <v/>
      </c>
      <c r="AV34" s="3" t="inlineStr">
        <is>
          <t>Open: 1, Close: 0</t>
        </is>
      </c>
      <c r="BR34" s="698">
        <f>BR33+1</f>
        <v/>
      </c>
      <c r="BS34" s="699" t="inlineStr">
        <is>
          <t>Remove Heat bank assembly (Insulated Gloves)</t>
        </is>
      </c>
      <c r="BT34" s="698">
        <f>IF($BU$2&gt;=BR34,1,0)</f>
        <v/>
      </c>
      <c r="BU34" s="685" t="n"/>
    </row>
    <row r="35" ht="25" customHeight="1">
      <c r="J35" s="3">
        <f>J34+1</f>
        <v/>
      </c>
      <c r="K35" s="666" t="inlineStr">
        <is>
          <t>Supply Air Blower</t>
        </is>
      </c>
      <c r="L35" s="3">
        <f>IF(OR(L3:L4),0,1)</f>
        <v/>
      </c>
      <c r="M35" s="3" t="n"/>
      <c r="AD35" s="3">
        <f>AD34+1</f>
        <v/>
      </c>
      <c r="AE35" s="686" t="inlineStr">
        <is>
          <t>Locate the leak and repair (Spanner)</t>
        </is>
      </c>
      <c r="AF35" s="3">
        <f>IF($AG$2&gt;=AD35,1,0)</f>
        <v/>
      </c>
      <c r="AG35" s="236" t="n"/>
      <c r="AI35" s="3">
        <f>AI34+1</f>
        <v/>
      </c>
      <c r="AJ35" s="686" t="inlineStr">
        <is>
          <t>Remove hinge pins to remove the evaporator cover (9) from HVAC unit. (Pliers)</t>
        </is>
      </c>
      <c r="AK35" s="3">
        <f>IF($AL$2&gt;=AI35,1,0)</f>
        <v/>
      </c>
      <c r="AL35" s="236" t="n"/>
      <c r="AN35" s="3">
        <f>AN34+1</f>
        <v/>
      </c>
      <c r="AO35" s="686" t="inlineStr">
        <is>
          <t>Compressor Cover Removal (None)</t>
        </is>
      </c>
      <c r="AP35" s="3">
        <f>IF($AQ$2&gt;=AN35,1,0)</f>
        <v/>
      </c>
      <c r="AQ35" s="236" t="n"/>
      <c r="AS35" s="3" t="n">
        <v>2</v>
      </c>
      <c r="AT35" s="666" t="inlineStr">
        <is>
          <t>Heater</t>
        </is>
      </c>
      <c r="AU35" s="3" t="n"/>
      <c r="AV35" s="3" t="n"/>
      <c r="BR35" s="698">
        <f>BR34+1</f>
        <v/>
      </c>
      <c r="BS35" s="699" t="inlineStr">
        <is>
          <t>Replace Heat bank assembly (None)</t>
        </is>
      </c>
      <c r="BT35" s="698">
        <f>IF($BU$2&gt;=BR35,1,0)</f>
        <v/>
      </c>
      <c r="BU35" s="685" t="n"/>
    </row>
    <row r="36" ht="25" customHeight="1">
      <c r="J36" s="3">
        <f>J35+1</f>
        <v/>
      </c>
      <c r="K36" s="666" t="inlineStr">
        <is>
          <t>Fresh Air Damper</t>
        </is>
      </c>
      <c r="L36" s="3" t="n"/>
      <c r="M36" s="3" t="n"/>
      <c r="AD36" s="3">
        <f>AD35+1</f>
        <v/>
      </c>
      <c r="AE36" s="686" t="inlineStr">
        <is>
          <t>Check working (Visual Inspection)</t>
        </is>
      </c>
      <c r="AF36" s="3">
        <f>IF($AG$2&gt;=AD36,1,0)</f>
        <v/>
      </c>
      <c r="AG36" s="236" t="n"/>
      <c r="AI36" s="3">
        <f>AI35+1</f>
        <v/>
      </c>
      <c r="AJ36" s="686" t="inlineStr">
        <is>
          <t>Remove the evaporator cover (9) from HVAC unit using suitable lifting device. (None)</t>
        </is>
      </c>
      <c r="AK36" s="3">
        <f>IF($AL$2&gt;=AI36,1,0)</f>
        <v/>
      </c>
      <c r="AL36" s="236" t="n"/>
      <c r="AN36" s="3">
        <f>AN35+1</f>
        <v/>
      </c>
      <c r="AO36" s="686" t="inlineStr">
        <is>
          <t>Check compressor of excessive noise or leaks (None)</t>
        </is>
      </c>
      <c r="AP36" s="3">
        <f>IF($AQ$2&gt;=AN36,1,0)</f>
        <v/>
      </c>
      <c r="AQ36" s="236" t="n"/>
      <c r="AS36" s="3" t="n">
        <v>3</v>
      </c>
      <c r="AT36" s="666" t="inlineStr">
        <is>
          <t>RAT Sensor</t>
        </is>
      </c>
      <c r="AU36" s="3" t="n"/>
      <c r="AV36" s="3" t="n"/>
      <c r="BR36" s="698">
        <f>BR35+1</f>
        <v/>
      </c>
      <c r="BS36" s="699" t="inlineStr">
        <is>
          <t>Clean Heat bank (Compressed Air Gun)</t>
        </is>
      </c>
      <c r="BT36" s="698">
        <f>IF($BU$2&gt;=BR36,1,0)</f>
        <v/>
      </c>
      <c r="BU36" s="685" t="n"/>
    </row>
    <row r="37" ht="25" customHeight="1" thickBot="1">
      <c r="AI37" s="3">
        <f>AI36+1</f>
        <v/>
      </c>
      <c r="AJ37" s="686" t="inlineStr">
        <is>
          <t>Open supply air blower (Spanner)</t>
        </is>
      </c>
      <c r="AK37" s="3">
        <f>IF($AL$2&gt;=AI37,1,0)</f>
        <v/>
      </c>
      <c r="AL37" s="236" t="n"/>
      <c r="AN37" s="3">
        <f>AN36+1</f>
        <v/>
      </c>
      <c r="AO37" s="686" t="inlineStr">
        <is>
          <t>Unscrew compressor bolt (Spanner)</t>
        </is>
      </c>
      <c r="AP37" s="3">
        <f>IF($AQ$2&gt;=AN37,1,0)</f>
        <v/>
      </c>
      <c r="AQ37" s="236" t="n"/>
      <c r="AS37" s="3" t="n">
        <v>4</v>
      </c>
      <c r="AT37" s="666" t="inlineStr">
        <is>
          <t>Heater Circuit Breaker Manual Reset Required</t>
        </is>
      </c>
      <c r="AU37" s="3" t="n"/>
      <c r="AV37" s="3" t="n"/>
      <c r="BR37" s="698">
        <f>BR36+1</f>
        <v/>
      </c>
      <c r="BS37" s="699" t="inlineStr">
        <is>
          <t>Secure the Heat bank screws (None)</t>
        </is>
      </c>
      <c r="BT37" s="698">
        <f>IF($BU$2&gt;=BR37,1,0)</f>
        <v/>
      </c>
      <c r="BU37" s="685" t="n"/>
    </row>
    <row r="38" ht="25" customHeight="1">
      <c r="K38" s="859" t="inlineStr">
        <is>
          <t>Cause 1 &amp; Rectified</t>
        </is>
      </c>
      <c r="L38" s="153">
        <f>IF(AND(L11=1,M4=1),1,0)</f>
        <v/>
      </c>
      <c r="AI38" s="3">
        <f>AI37+1</f>
        <v/>
      </c>
      <c r="AJ38" s="686" t="inlineStr">
        <is>
          <t>Clean the supply air blower (1) with compressed air. (Compressed Air Gun)</t>
        </is>
      </c>
      <c r="AK38" s="3">
        <f>IF($AL$2&gt;=AI38,1,0)</f>
        <v/>
      </c>
      <c r="AL38" s="236" t="n"/>
      <c r="AN38" s="3">
        <f>AN37+1</f>
        <v/>
      </c>
      <c r="AO38" s="686" t="inlineStr">
        <is>
          <t>Remove the compressor (Insulated Gloves)</t>
        </is>
      </c>
      <c r="AP38" s="3">
        <f>IF($AQ$2&gt;=AN38,1,0)</f>
        <v/>
      </c>
      <c r="AQ38" s="236" t="n"/>
      <c r="AS38" s="3" t="n">
        <v>5</v>
      </c>
      <c r="AT38" s="666" t="inlineStr">
        <is>
          <t>Electrical Connections</t>
        </is>
      </c>
      <c r="AU38" s="3" t="n"/>
      <c r="AV38" s="3" t="n"/>
      <c r="BR38" s="698">
        <f>BR37+1</f>
        <v/>
      </c>
      <c r="BS38" s="699" t="inlineStr">
        <is>
          <t>Run HVAC 20 mins. (None)</t>
        </is>
      </c>
      <c r="BT38" s="698">
        <f>IF($BU$2&gt;=BR38,1,0)</f>
        <v/>
      </c>
      <c r="BU38" s="685" t="n"/>
    </row>
    <row r="39" ht="31" customHeight="1" thickBot="1">
      <c r="K39" s="860" t="inlineStr">
        <is>
          <t>Cause 2 &amp; Rectified</t>
        </is>
      </c>
      <c r="L39" s="215">
        <f>IF(AND(L16=1,M4=2),1,0)</f>
        <v/>
      </c>
      <c r="AD39" s="657" t="inlineStr">
        <is>
          <t>Sr. No.</t>
        </is>
      </c>
      <c r="AE39" s="657" t="inlineStr">
        <is>
          <t>Components Affected</t>
        </is>
      </c>
      <c r="AF39" s="657" t="n"/>
      <c r="AG39" s="657" t="n"/>
      <c r="AI39" s="3">
        <f>AI38+1</f>
        <v/>
      </c>
      <c r="AJ39" s="686" t="inlineStr">
        <is>
          <t>Rotate supply air blower (1) motor with hand and ensure that only a light force is required to rotate it. (Insulated Hand Gloves)</t>
        </is>
      </c>
      <c r="AK39" s="3">
        <f>IF($AL$2&gt;=AI39,1,0)</f>
        <v/>
      </c>
      <c r="AL39" s="236" t="n"/>
      <c r="AN39" s="3">
        <f>AN38+1</f>
        <v/>
      </c>
      <c r="AO39" s="686" t="inlineStr">
        <is>
          <t>Replace the compressor (None)</t>
        </is>
      </c>
      <c r="AP39" s="3">
        <f>IF($AQ$2&gt;=AN39,1,0)</f>
        <v/>
      </c>
      <c r="AQ39" s="236" t="n"/>
      <c r="BR39" s="698">
        <f>BR38+1</f>
        <v/>
      </c>
      <c r="BS39" s="699" t="inlineStr">
        <is>
          <t>Unusual noise from compressor assembly (None)</t>
        </is>
      </c>
      <c r="BT39" s="698">
        <f>IF($BU$2&gt;=BR39,1,0)</f>
        <v/>
      </c>
      <c r="BU39" s="685" t="n"/>
    </row>
    <row r="40" ht="25" customHeight="1" thickBot="1">
      <c r="K40" s="707" t="inlineStr">
        <is>
          <t>Cause 3 &amp; Rectified</t>
        </is>
      </c>
      <c r="L40" s="708">
        <f>IF(AND(M4=3,L30=1),1,0)</f>
        <v/>
      </c>
      <c r="AD40" s="3" t="n">
        <v>1</v>
      </c>
      <c r="AE40" s="666" t="inlineStr">
        <is>
          <t>Condensor Fan Motor</t>
        </is>
      </c>
      <c r="AF40" s="3">
        <f>IF(AF12=1,0,1)</f>
        <v/>
      </c>
      <c r="AG40" s="3" t="inlineStr">
        <is>
          <t>Open: 1, Close: 0</t>
        </is>
      </c>
      <c r="AI40" s="3">
        <f>AI39+1</f>
        <v/>
      </c>
      <c r="AJ40" s="686" t="inlineStr">
        <is>
          <t>Remove supply air blower (Screwdriver)</t>
        </is>
      </c>
      <c r="AK40" s="3">
        <f>IF($AL$2&gt;=AI40,1,0)</f>
        <v/>
      </c>
      <c r="AL40" s="236" t="n"/>
      <c r="AN40" s="3">
        <f>AN39+1</f>
        <v/>
      </c>
      <c r="AO40" s="686" t="inlineStr">
        <is>
          <t>Check hp lp pressure using manifold gauge set (None)</t>
        </is>
      </c>
      <c r="AP40" s="3">
        <f>IF($AQ$2&gt;=AN40,1,0)</f>
        <v/>
      </c>
      <c r="AQ40" s="236" t="n"/>
      <c r="AT40" s="859" t="inlineStr">
        <is>
          <t>Cause 1 &amp; Rectified</t>
        </is>
      </c>
      <c r="AU40" s="153">
        <f>IF(AND(AU19=1,$AV$4=1),1,0)</f>
        <v/>
      </c>
      <c r="BR40" s="698">
        <f>BR39+1</f>
        <v/>
      </c>
      <c r="BS40" s="699" t="inlineStr">
        <is>
          <t>Unscrew bolt compressor unit cover (Spanner)</t>
        </is>
      </c>
      <c r="BT40" s="698">
        <f>IF($BU$2&gt;=BR40,1,0)</f>
        <v/>
      </c>
      <c r="BU40" s="685" t="n"/>
    </row>
    <row r="41" ht="25" customHeight="1" thickBot="1">
      <c r="K41" s="702" t="inlineStr">
        <is>
          <t>Fault Reset Logic</t>
        </is>
      </c>
      <c r="L41" s="703">
        <f>IF(OR(L38:L40),1,0)</f>
        <v/>
      </c>
      <c r="M41" s="706" t="inlineStr">
        <is>
          <t>1: Reset</t>
        </is>
      </c>
      <c r="AD41" s="3" t="n">
        <v>2</v>
      </c>
      <c r="AE41" s="709" t="inlineStr">
        <is>
          <t>Condensor Fan Circuit Breaker</t>
        </is>
      </c>
      <c r="AF41" s="3" t="n"/>
      <c r="AG41" s="3" t="n"/>
      <c r="AI41" s="3">
        <f>AI40+1</f>
        <v/>
      </c>
      <c r="AJ41" s="686" t="inlineStr">
        <is>
          <t>Replace supply air blower (Visual Inspection)</t>
        </is>
      </c>
      <c r="AK41" s="3">
        <f>IF($AL$2&gt;=AI41,1,0)</f>
        <v/>
      </c>
      <c r="AL41" s="236" t="n"/>
      <c r="AN41" s="3">
        <f>AN40+1</f>
        <v/>
      </c>
      <c r="AO41" s="686" t="inlineStr">
        <is>
          <t>Unscrew Fan bolt (Spanner)</t>
        </is>
      </c>
      <c r="AP41" s="3">
        <f>IF($AQ$2&gt;=AN41,1,0)</f>
        <v/>
      </c>
      <c r="AQ41" s="236" t="n"/>
      <c r="AT41" s="860" t="inlineStr">
        <is>
          <t>Cause 2 &amp; Rectified</t>
        </is>
      </c>
      <c r="AU41" s="215">
        <f>IF(AND(AU25=1,$AV$4=2),1,0)</f>
        <v/>
      </c>
      <c r="BR41" s="698">
        <f>BR40+1</f>
        <v/>
      </c>
      <c r="BS41" s="699" t="inlineStr">
        <is>
          <t>Compressor Cover Removal (None)</t>
        </is>
      </c>
      <c r="BT41" s="698">
        <f>IF($BU$2&gt;=BR41,1,0)</f>
        <v/>
      </c>
      <c r="BU41" s="685" t="n"/>
    </row>
    <row r="42" ht="25" customHeight="1">
      <c r="AD42" s="3" t="n">
        <v>3</v>
      </c>
      <c r="AE42" s="666" t="inlineStr">
        <is>
          <t>Condensor Coil</t>
        </is>
      </c>
      <c r="AF42" s="3" t="n"/>
      <c r="AG42" s="3" t="n"/>
      <c r="AI42" s="3">
        <f>AI41+1</f>
        <v/>
      </c>
      <c r="AJ42" s="686" t="inlineStr">
        <is>
          <t>Close air supply blower (Visual Inspection)</t>
        </is>
      </c>
      <c r="AK42" s="3">
        <f>IF($AL$2&gt;=AI42,1,0)</f>
        <v/>
      </c>
      <c r="AL42" s="236" t="n"/>
      <c r="AN42" s="3">
        <f>AN41+1</f>
        <v/>
      </c>
      <c r="AO42" s="686" t="inlineStr">
        <is>
          <t>Open fan cover (Insulated Gloves)</t>
        </is>
      </c>
      <c r="AP42" s="3">
        <f>IF($AQ$2&gt;=AN42,1,0)</f>
        <v/>
      </c>
      <c r="AQ42" s="236" t="n"/>
      <c r="AT42" s="860" t="inlineStr">
        <is>
          <t>Cause 3 &amp; Rectified</t>
        </is>
      </c>
      <c r="AU42" s="215">
        <f>IF(AND(AU15=1,$AV$4=3),1,0)</f>
        <v/>
      </c>
      <c r="BR42" s="698">
        <f>BR41+1</f>
        <v/>
      </c>
      <c r="BS42" s="699" t="inlineStr">
        <is>
          <t>Check hp lp pressure using manifold gauge set (None)</t>
        </is>
      </c>
      <c r="BT42" s="698">
        <f>IF($BU$2&gt;=BR42,1,0)</f>
        <v/>
      </c>
      <c r="BU42" s="685" t="n"/>
    </row>
    <row r="43" ht="35.15" customHeight="1">
      <c r="AD43" s="3" t="n">
        <v>4</v>
      </c>
      <c r="AE43" s="666" t="inlineStr">
        <is>
          <t>Refrigerent Level</t>
        </is>
      </c>
      <c r="AF43" s="3" t="n"/>
      <c r="AG43" s="3" t="n"/>
      <c r="AI43" s="3">
        <f>AI42+1</f>
        <v/>
      </c>
      <c r="AJ43" s="686" t="inlineStr">
        <is>
          <t>Unscrew bottom panel (Spanner)</t>
        </is>
      </c>
      <c r="AK43" s="3">
        <f>IF($AL$2&gt;=AI43,1,0)</f>
        <v/>
      </c>
      <c r="AL43" s="236" t="n"/>
      <c r="AN43" s="3">
        <f>AN42+1</f>
        <v/>
      </c>
      <c r="AO43" s="686" t="inlineStr">
        <is>
          <t>Remove the compressor (Insulated Gloves)</t>
        </is>
      </c>
      <c r="AP43" s="3">
        <f>IF($AQ$2&gt;=AN43,1,0)</f>
        <v/>
      </c>
      <c r="AQ43" s="236" t="n"/>
      <c r="AT43" s="860" t="inlineStr">
        <is>
          <t>Cause 4 &amp; Rectified</t>
        </is>
      </c>
      <c r="AU43" s="215">
        <f>IF(AND(AU16=1,$AV$4=4),1,0)</f>
        <v/>
      </c>
      <c r="BR43" s="698">
        <f>BR42+1</f>
        <v/>
      </c>
      <c r="BS43" s="699" t="inlineStr">
        <is>
          <t>Compressor Cover close (None)</t>
        </is>
      </c>
      <c r="BT43" s="698">
        <f>IF($BU$2&gt;=BR43,1,0)</f>
        <v/>
      </c>
      <c r="BU43" s="685" t="n"/>
    </row>
    <row r="44" ht="25" customHeight="1" thickBot="1">
      <c r="AI44" s="3">
        <f>AI43+1</f>
        <v/>
      </c>
      <c r="AJ44" s="686" t="inlineStr">
        <is>
          <t>Remove bottom panel (Insulated Gloves)</t>
        </is>
      </c>
      <c r="AK44" s="3">
        <f>IF($AL$2&gt;=AI44,1,0)</f>
        <v/>
      </c>
      <c r="AL44" s="236" t="n"/>
      <c r="AN44" s="3">
        <f>AN43+1</f>
        <v/>
      </c>
      <c r="AO44" s="686" t="inlineStr">
        <is>
          <t>Replace the compressor (None)</t>
        </is>
      </c>
      <c r="AP44" s="3">
        <f>IF($AQ$2&gt;=AN44,1,0)</f>
        <v/>
      </c>
      <c r="AQ44" s="236" t="n"/>
      <c r="AT44" s="860" t="inlineStr">
        <is>
          <t>Cause 5 &amp; Rectified</t>
        </is>
      </c>
      <c r="AU44" s="215">
        <f>IF(AND(AU17=1,$AV$4=5),1,0)</f>
        <v/>
      </c>
      <c r="BR44" s="698">
        <f>BR43+1</f>
        <v/>
      </c>
      <c r="BS44" s="699" t="inlineStr">
        <is>
          <t>Screw bolt compressor unit cover (None)</t>
        </is>
      </c>
      <c r="BT44" s="698">
        <f>IF($BU$2&gt;=BR44,1,0)</f>
        <v/>
      </c>
      <c r="BU44" s="685" t="n"/>
    </row>
    <row r="45" ht="25" customHeight="1" thickBot="1">
      <c r="AE45" s="859" t="inlineStr">
        <is>
          <t>Cause 1 &amp; Rectified</t>
        </is>
      </c>
      <c r="AF45" s="153">
        <f>IF(AND(AF16=1,AG4=1),1,0)</f>
        <v/>
      </c>
      <c r="AI45" s="3">
        <f>AI44+1</f>
        <v/>
      </c>
      <c r="AJ45" s="686" t="inlineStr">
        <is>
          <t>Unscrew return air damper (Spanner)</t>
        </is>
      </c>
      <c r="AK45" s="3">
        <f>IF($AL$2&gt;=AI45,1,0)</f>
        <v/>
      </c>
      <c r="AL45" s="236" t="n"/>
      <c r="AN45" s="3">
        <f>AN44+1</f>
        <v/>
      </c>
      <c r="AO45" s="686" t="inlineStr">
        <is>
          <t>Close HVAC components (None)</t>
        </is>
      </c>
      <c r="AP45" s="3">
        <f>IF($AQ$2&gt;=AN45,1,0)</f>
        <v/>
      </c>
      <c r="AQ45" s="236" t="n"/>
      <c r="AT45" s="702" t="inlineStr">
        <is>
          <t>Fault Reset Logic</t>
        </is>
      </c>
      <c r="AU45" s="703">
        <f>IF(OR(AU40:AU44),1,0)</f>
        <v/>
      </c>
      <c r="BR45" s="698">
        <f>BR44+1</f>
        <v/>
      </c>
      <c r="BS45" s="699" t="inlineStr">
        <is>
          <t>Unscrew bottom panel (Spanner)</t>
        </is>
      </c>
      <c r="BT45" s="698">
        <f>IF($BU$2&gt;=BR45,1,0)</f>
        <v/>
      </c>
      <c r="BU45" s="685" t="n"/>
    </row>
    <row r="46" ht="41.15" customHeight="1">
      <c r="AE46" s="860" t="inlineStr">
        <is>
          <t>Cause 2 &amp; Rectified</t>
        </is>
      </c>
      <c r="AF46" s="215">
        <f>IF(AND(AF21=1,AG4=2),1,0)</f>
        <v/>
      </c>
      <c r="AI46" s="3">
        <f>AI45+1</f>
        <v/>
      </c>
      <c r="AJ46" s="686" t="inlineStr">
        <is>
          <t>Remove return air damper (Insulated Gloves)</t>
        </is>
      </c>
      <c r="AK46" s="3">
        <f>IF($AL$2&gt;=AI46,1,0)</f>
        <v/>
      </c>
      <c r="AL46" s="236" t="n"/>
      <c r="AN46" s="3">
        <f>AN45+1</f>
        <v/>
      </c>
      <c r="AO46" s="686" t="inlineStr">
        <is>
          <t>Loosen and remove 24 nos M8X20 bolts (8) along with washer set (7) to open evaporator cover (9). (Spanner)</t>
        </is>
      </c>
      <c r="AP46" s="3">
        <f>IF($AQ$2&gt;=AN46,1,0)</f>
        <v/>
      </c>
      <c r="AQ46" s="236" t="n"/>
      <c r="BR46" s="698">
        <f>BR45+1</f>
        <v/>
      </c>
      <c r="BS46" s="699" t="inlineStr">
        <is>
          <t>Remove bottom panel (Insulated Gloves)</t>
        </is>
      </c>
      <c r="BT46" s="698">
        <f>IF($BU$2&gt;=BR46,1,0)</f>
        <v/>
      </c>
      <c r="BU46" s="685" t="n"/>
    </row>
    <row r="47" ht="34.5" customHeight="1">
      <c r="AE47" s="860" t="inlineStr">
        <is>
          <t>Cause 3 &amp; Rectified</t>
        </is>
      </c>
      <c r="AF47" s="215">
        <f>IF(AND(AF28=1,AG4=3),1,0)</f>
        <v/>
      </c>
      <c r="AI47" s="3">
        <f>AI46+1</f>
        <v/>
      </c>
      <c r="AJ47" s="686" t="inlineStr">
        <is>
          <t>Check moisture indicator on the sight glass (1) to find any excessive moisture in the system. (Electronic Leak Detector)</t>
        </is>
      </c>
      <c r="AK47" s="3">
        <f>IF($AL$2&gt;=AI47,1,0)</f>
        <v/>
      </c>
      <c r="AL47" s="236" t="n"/>
      <c r="AN47" s="3">
        <f>AN46+1</f>
        <v/>
      </c>
      <c r="AO47" s="686" t="inlineStr">
        <is>
          <t>Remove hinge pins to remove the evaporator cover (9) from HVAC unit. (Pliers)</t>
        </is>
      </c>
      <c r="AP47" s="3">
        <f>IF($AQ$2&gt;=AN47,1,0)</f>
        <v/>
      </c>
      <c r="AQ47" s="236" t="n"/>
      <c r="BR47" s="698">
        <f>BR46+1</f>
        <v/>
      </c>
      <c r="BS47" s="699" t="inlineStr">
        <is>
          <t>Unscrew return air damper (Spanner)</t>
        </is>
      </c>
      <c r="BT47" s="698">
        <f>IF($BU$2&gt;=BR47,1,0)</f>
        <v/>
      </c>
      <c r="BU47" s="685" t="n"/>
    </row>
    <row r="48" ht="25" customHeight="1" thickBot="1">
      <c r="AE48" s="860" t="inlineStr">
        <is>
          <t>Cause 4 &amp; Rectified</t>
        </is>
      </c>
      <c r="AF48" s="168">
        <f>IF(AND(AF36=1,AG4=4),1,0)</f>
        <v/>
      </c>
      <c r="AI48" s="3">
        <f>AI47+1</f>
        <v/>
      </c>
      <c r="AJ48" s="686" t="inlineStr">
        <is>
          <t>Locate the leak and repair (Spanner)</t>
        </is>
      </c>
      <c r="AK48" s="3">
        <f>IF($AL$2&gt;=AI48,1,0)</f>
        <v/>
      </c>
      <c r="AL48" s="236" t="n"/>
      <c r="AN48" s="3">
        <f>AN47+1</f>
        <v/>
      </c>
      <c r="AO48" s="686" t="inlineStr">
        <is>
          <t>Remove the evaporator cover (9) from HVAC unit using suitable lifting device. (None)</t>
        </is>
      </c>
      <c r="AP48" s="3">
        <f>IF($AQ$2&gt;=AN48,1,0)</f>
        <v/>
      </c>
      <c r="AQ48" s="236" t="n"/>
      <c r="BR48" s="698">
        <f>BR47+1</f>
        <v/>
      </c>
      <c r="BS48" s="699" t="inlineStr">
        <is>
          <t>Remove return air damper (Insulated Gloves)</t>
        </is>
      </c>
      <c r="BT48" s="698">
        <f>IF($BU$2&gt;=BR48,1,0)</f>
        <v/>
      </c>
      <c r="BU48" s="685" t="n"/>
    </row>
    <row r="49" ht="25" customHeight="1" thickBot="1">
      <c r="AE49" s="702" t="inlineStr">
        <is>
          <t>Fault Reset Logic</t>
        </is>
      </c>
      <c r="AF49" s="703">
        <f>IF(OR(AF45:AF48),1,0)</f>
        <v/>
      </c>
      <c r="AI49" s="3">
        <f>AI48+1</f>
        <v/>
      </c>
      <c r="AJ49" s="686" t="inlineStr">
        <is>
          <t>Unbolt the return air temperature sensor (Spanner)</t>
        </is>
      </c>
      <c r="AK49" s="3">
        <f>IF($AL$2&gt;=AI49,1,0)</f>
        <v/>
      </c>
      <c r="AL49" s="236" t="n"/>
      <c r="AN49" s="3">
        <f>AN48+1</f>
        <v/>
      </c>
      <c r="AO49" s="686" t="inlineStr">
        <is>
          <t>Check temperature of solenoid valve using clamp thermometer (Clamp Thermometer)</t>
        </is>
      </c>
      <c r="AP49" s="3">
        <f>IF($AQ$2&gt;=AN49,1,0)</f>
        <v/>
      </c>
      <c r="AQ49" s="236" t="n"/>
      <c r="BR49" s="698">
        <f>BR48+1</f>
        <v/>
      </c>
      <c r="BS49" s="699" t="inlineStr">
        <is>
          <t>Unscrew Fan cover bolt (Spanner)</t>
        </is>
      </c>
      <c r="BT49" s="698">
        <f>IF($BU$2&gt;=BR49,1,0)</f>
        <v/>
      </c>
      <c r="BU49" s="685" t="n"/>
    </row>
    <row r="50" ht="25" customHeight="1">
      <c r="AI50" s="3">
        <f>AI49+1</f>
        <v/>
      </c>
      <c r="AJ50" s="686" t="inlineStr">
        <is>
          <t>Remove the return air temperature sensor (None)</t>
        </is>
      </c>
      <c r="AK50" s="3">
        <f>IF($AL$2&gt;=AI50,1,0)</f>
        <v/>
      </c>
      <c r="AL50" s="236" t="n"/>
      <c r="AN50" s="3">
        <f>AN49+1</f>
        <v/>
      </c>
      <c r="AO50" s="686" t="inlineStr">
        <is>
          <t>Unscrew solenoid valve using spanner (Spanner)</t>
        </is>
      </c>
      <c r="AP50" s="3">
        <f>IF($AQ$2&gt;=AN50,1,0)</f>
        <v/>
      </c>
      <c r="AQ50" s="236" t="n"/>
      <c r="BR50" s="698">
        <f>BR49+1</f>
        <v/>
      </c>
      <c r="BS50" s="699" t="inlineStr">
        <is>
          <t>Open fan cover (Insulated Gloves)</t>
        </is>
      </c>
      <c r="BT50" s="698">
        <f>IF($BU$2&gt;=BR50,1,0)</f>
        <v/>
      </c>
      <c r="BU50" s="685" t="n"/>
    </row>
    <row r="51" ht="25" customHeight="1">
      <c r="AI51" s="3">
        <f>AI50+1</f>
        <v/>
      </c>
      <c r="AJ51" s="686" t="inlineStr">
        <is>
          <t>Replace the return air temperature sensor (None)</t>
        </is>
      </c>
      <c r="AK51" s="3">
        <f>IF($AL$2&gt;=AI51,1,0)</f>
        <v/>
      </c>
      <c r="AL51" s="236" t="n"/>
      <c r="AN51" s="3">
        <f>AN50+1</f>
        <v/>
      </c>
      <c r="AO51" s="686" t="inlineStr">
        <is>
          <t>Remove solenoid valve (Visual Inspection)</t>
        </is>
      </c>
      <c r="AP51" s="3">
        <f>IF($AQ$2&gt;=AN51,1,0)</f>
        <v/>
      </c>
      <c r="AQ51" s="236" t="n"/>
      <c r="BR51" s="698">
        <f>BR50+1</f>
        <v/>
      </c>
      <c r="BS51" s="699" t="inlineStr">
        <is>
          <t>Clean the condenser fan with dry compressed air (Compressed Air)</t>
        </is>
      </c>
      <c r="BT51" s="698">
        <f>IF($BU$2&gt;=BR51,1,0)</f>
        <v/>
      </c>
      <c r="BU51" s="685" t="n"/>
    </row>
    <row r="52" ht="38.5" customHeight="1">
      <c r="AI52" s="3">
        <f>AI51+1</f>
        <v/>
      </c>
      <c r="AJ52" s="686" t="inlineStr">
        <is>
          <t>Secure the RAT sensor bolt (None)</t>
        </is>
      </c>
      <c r="AK52" s="3">
        <f>IF($AL$2&gt;=AI52,1,0)</f>
        <v/>
      </c>
      <c r="AL52" s="236" t="n"/>
      <c r="AN52" s="3">
        <f>AN51+1</f>
        <v/>
      </c>
      <c r="AO52" s="686" t="inlineStr">
        <is>
          <t>Replace solenoid valve (Visual Inspection)</t>
        </is>
      </c>
      <c r="AP52" s="3">
        <f>IF($AQ$2&gt;=AN52,1,0)</f>
        <v/>
      </c>
      <c r="AQ52" s="236" t="n"/>
      <c r="BR52" s="698">
        <f>BR51+1</f>
        <v/>
      </c>
      <c r="BS52" s="699" t="inlineStr">
        <is>
          <t>Unscrew condenser fan bolt (Spanner)</t>
        </is>
      </c>
      <c r="BT52" s="698">
        <f>IF($BU$2&gt;=BR52,1,0)</f>
        <v/>
      </c>
      <c r="BU52" s="685" t="n"/>
    </row>
    <row r="53" ht="25" customHeight="1">
      <c r="AI53" s="3">
        <f>AI52+1</f>
        <v/>
      </c>
      <c r="AJ53" s="686" t="inlineStr">
        <is>
          <t>Check the temperature sensors for any damage (Clamp Thermometer)</t>
        </is>
      </c>
      <c r="AK53" s="3">
        <f>IF($AL$2&gt;=AI53,1,0)</f>
        <v/>
      </c>
      <c r="AL53" s="236" t="n"/>
      <c r="AN53" s="3">
        <f>AN52+1</f>
        <v/>
      </c>
      <c r="AO53" s="686" t="inlineStr">
        <is>
          <t>Screw solenoid valve using spanner (Visual Inspection)</t>
        </is>
      </c>
      <c r="AP53" s="3">
        <f>IF($AQ$2&gt;=AN53,1,0)</f>
        <v/>
      </c>
      <c r="AQ53" s="236" t="n"/>
      <c r="BR53" s="698">
        <f>BR52+1</f>
        <v/>
      </c>
      <c r="BS53" s="699" t="inlineStr">
        <is>
          <t>Remove condenser fan (Insulated Gloves)</t>
        </is>
      </c>
      <c r="BT53" s="698">
        <f>IF($BU$2&gt;=BR53,1,0)</f>
        <v/>
      </c>
      <c r="BU53" s="685" t="n"/>
    </row>
    <row r="54" ht="32.5" customHeight="1">
      <c r="AI54" s="3">
        <f>AI53+1</f>
        <v/>
      </c>
      <c r="AJ54" s="686" t="inlineStr">
        <is>
          <t>Place external calibrated temperature sensor close to the return air temperature sensor. (Calibrated Thermometer)</t>
        </is>
      </c>
      <c r="AK54" s="3">
        <f>IF($AL$2&gt;=AI54,1,0)</f>
        <v/>
      </c>
      <c r="AL54" s="236" t="n"/>
      <c r="AN54" s="3">
        <f>AN53+1</f>
        <v/>
      </c>
      <c r="AO54" s="686" t="inlineStr">
        <is>
          <t>Close HVAC components (None)</t>
        </is>
      </c>
      <c r="AP54" s="3">
        <f>IF($AQ$2&gt;=AN54,1,0)</f>
        <v/>
      </c>
      <c r="AQ54" s="236" t="n"/>
      <c r="BR54" s="698">
        <f>BR53+1</f>
        <v/>
      </c>
      <c r="BS54" s="699" t="inlineStr">
        <is>
          <t>Replace condenser fan (None)</t>
        </is>
      </c>
      <c r="BT54" s="698">
        <f>IF($BU$2&gt;=BR54,1,0)</f>
        <v/>
      </c>
      <c r="BU54" s="685" t="n"/>
    </row>
    <row r="55" ht="25" customHeight="1">
      <c r="AI55" s="3">
        <f>AI54+1</f>
        <v/>
      </c>
      <c r="AJ55" s="686" t="inlineStr">
        <is>
          <t>Check working (Visual Inspection)</t>
        </is>
      </c>
      <c r="AK55" s="3">
        <f>IF($AL$2&gt;=AI55,1,0)</f>
        <v/>
      </c>
      <c r="AL55" s="236" t="n"/>
      <c r="BR55" s="698">
        <f>BR54+1</f>
        <v/>
      </c>
      <c r="BS55" s="699" t="inlineStr">
        <is>
          <t>Close fan cover (None)</t>
        </is>
      </c>
      <c r="BT55" s="698">
        <f>IF($BU$2&gt;=BR55,1,0)</f>
        <v/>
      </c>
      <c r="BU55" s="685" t="n"/>
    </row>
    <row r="56" ht="25" customHeight="1">
      <c r="BR56" s="698">
        <f>BR55+1</f>
        <v/>
      </c>
      <c r="BS56" s="699" t="inlineStr">
        <is>
          <t>Secure Fan cover bolt (None)</t>
        </is>
      </c>
      <c r="BT56" s="698">
        <f>IF($BU$2&gt;=BR56,1,0)</f>
        <v/>
      </c>
      <c r="BU56" s="685" t="n"/>
    </row>
    <row r="57" ht="25" customHeight="1">
      <c r="AN57" s="657" t="inlineStr">
        <is>
          <t>Sr. No.</t>
        </is>
      </c>
      <c r="AO57" s="657" t="inlineStr">
        <is>
          <t>Components Affected</t>
        </is>
      </c>
      <c r="AP57" s="657" t="n"/>
      <c r="AQ57" s="657" t="n"/>
      <c r="BR57" s="698">
        <f>BR56+1</f>
        <v/>
      </c>
      <c r="BS57" s="699" t="inlineStr">
        <is>
          <t>Run HVAC 20 mins. (None)</t>
        </is>
      </c>
      <c r="BT57" s="698">
        <f>IF($BU$2&gt;=BR57,1,0)</f>
        <v/>
      </c>
      <c r="BU57" s="685" t="n"/>
    </row>
    <row r="58" ht="35.15" customHeight="1">
      <c r="AI58" s="657" t="inlineStr">
        <is>
          <t>Sr. No.</t>
        </is>
      </c>
      <c r="AJ58" s="657" t="inlineStr">
        <is>
          <t>Components Affected</t>
        </is>
      </c>
      <c r="AK58" s="657" t="n"/>
      <c r="AL58" s="657" t="n"/>
      <c r="AN58" s="3" t="n">
        <v>1</v>
      </c>
      <c r="AO58" s="666" t="inlineStr">
        <is>
          <t>Refrigerent Level</t>
        </is>
      </c>
      <c r="AP58" s="3">
        <f>IF(AP14=1,0,1)</f>
        <v/>
      </c>
      <c r="AQ58" s="3" t="inlineStr">
        <is>
          <t>Open: 1, Close: 0</t>
        </is>
      </c>
      <c r="BR58" s="698">
        <f>BR57+1</f>
        <v/>
      </c>
      <c r="BS58" s="699" t="inlineStr">
        <is>
          <t>Loosen and remove 24 nos M8X20 bolts (8) along with washer set (7) to open evaporator cover (9). (Spanner)</t>
        </is>
      </c>
      <c r="BT58" s="698">
        <f>IF($BU$2&gt;=BR58,1,0)</f>
        <v/>
      </c>
      <c r="BU58" s="685" t="n"/>
    </row>
    <row r="59" ht="25" customHeight="1">
      <c r="AI59" s="3" t="n">
        <v>1</v>
      </c>
      <c r="AJ59" s="666" t="inlineStr">
        <is>
          <t>Circuit Breaker</t>
        </is>
      </c>
      <c r="AK59" s="3">
        <f>IF(AK11=1,0,1)</f>
        <v/>
      </c>
      <c r="AL59" s="3" t="inlineStr">
        <is>
          <t>Open: 1, Close: 0</t>
        </is>
      </c>
      <c r="AN59" s="3" t="n">
        <v>2</v>
      </c>
      <c r="AO59" s="666" t="inlineStr">
        <is>
          <t>Evaporator Coil</t>
        </is>
      </c>
      <c r="AP59" s="3" t="n"/>
      <c r="AQ59" s="3" t="n"/>
      <c r="BR59" s="698">
        <f>BR58+1</f>
        <v/>
      </c>
      <c r="BS59" s="699" t="inlineStr">
        <is>
          <t>Remove hinge pins to remove the evaporator cover (9) from HVAC unit. (Pliers)</t>
        </is>
      </c>
      <c r="BT59" s="698">
        <f>IF($BU$2&gt;=BR59,1,0)</f>
        <v/>
      </c>
      <c r="BU59" s="685" t="n"/>
    </row>
    <row r="60" ht="25" customHeight="1">
      <c r="AI60" s="3" t="n">
        <v>2</v>
      </c>
      <c r="AJ60" s="666" t="inlineStr">
        <is>
          <t>Condensor Fan Motor</t>
        </is>
      </c>
      <c r="AK60" s="3" t="n"/>
      <c r="AL60" s="3" t="n"/>
      <c r="AN60" s="3" t="n">
        <v>3</v>
      </c>
      <c r="AO60" s="666" t="inlineStr">
        <is>
          <t>TX Valve</t>
        </is>
      </c>
      <c r="AP60" s="3" t="n"/>
      <c r="AQ60" s="3" t="n"/>
      <c r="BR60" s="698">
        <f>BR59+1</f>
        <v/>
      </c>
      <c r="BS60" s="699" t="inlineStr">
        <is>
          <t>Remove the evaporator cover (9) from HVAC unit using suitable lifting device. (None)</t>
        </is>
      </c>
      <c r="BT60" s="698">
        <f>IF($BU$2&gt;=BR60,1,0)</f>
        <v/>
      </c>
      <c r="BU60" s="685" t="n"/>
    </row>
    <row r="61" ht="25" customHeight="1">
      <c r="AI61" s="3" t="n">
        <v>3</v>
      </c>
      <c r="AJ61" s="666" t="inlineStr">
        <is>
          <t>RAT Sensor</t>
        </is>
      </c>
      <c r="AK61" s="3" t="n"/>
      <c r="AL61" s="3" t="n"/>
      <c r="AN61" s="3" t="n">
        <v>4</v>
      </c>
      <c r="AO61" s="666" t="inlineStr">
        <is>
          <t>Condensor Coil</t>
        </is>
      </c>
      <c r="AP61" s="3" t="n"/>
      <c r="AQ61" s="3" t="n"/>
      <c r="BR61" s="698">
        <f>BR60+1</f>
        <v/>
      </c>
      <c r="BS61" s="699" t="inlineStr">
        <is>
          <t>Unusual noise from supply air blower (None)</t>
        </is>
      </c>
      <c r="BT61" s="698">
        <f>IF($BU$2&gt;=BR61,1,0)</f>
        <v/>
      </c>
      <c r="BU61" s="685" t="n"/>
    </row>
    <row r="62" ht="25" customHeight="1" thickBot="1">
      <c r="AN62" s="3" t="n">
        <v>5</v>
      </c>
      <c r="AO62" s="666" t="inlineStr">
        <is>
          <t>Compressor</t>
        </is>
      </c>
      <c r="AP62" s="3" t="n"/>
      <c r="AQ62" s="3" t="n"/>
      <c r="BR62" s="698">
        <f>BR61+1</f>
        <v/>
      </c>
      <c r="BS62" s="699" t="inlineStr">
        <is>
          <t>Open supply air cover (Spanner)</t>
        </is>
      </c>
      <c r="BT62" s="698">
        <f>IF($BU$2&gt;=BR62,1,0)</f>
        <v/>
      </c>
      <c r="BU62" s="685" t="n"/>
    </row>
    <row r="63" ht="25" customHeight="1">
      <c r="AJ63" s="859" t="inlineStr">
        <is>
          <t>Cause 1 &amp; Rectified</t>
        </is>
      </c>
      <c r="AK63" s="153">
        <f>IF(AND(AK16=1,AL4=1),1,0)</f>
        <v/>
      </c>
      <c r="AN63" s="3" t="n">
        <v>6</v>
      </c>
      <c r="AO63" s="666" t="inlineStr">
        <is>
          <t>Solenoid Valve</t>
        </is>
      </c>
      <c r="AP63" s="3" t="n"/>
      <c r="AQ63" s="3" t="n"/>
      <c r="BR63" s="698">
        <f>BR62+1</f>
        <v/>
      </c>
      <c r="BS63" s="699" t="inlineStr">
        <is>
          <t>Remove supply air blower (Screwdriver)</t>
        </is>
      </c>
      <c r="BT63" s="698">
        <f>IF($BU$2&gt;=BR63,1,0)</f>
        <v/>
      </c>
      <c r="BU63" s="685" t="n"/>
    </row>
    <row r="64" ht="25" customHeight="1" thickBot="1">
      <c r="AJ64" s="860" t="inlineStr">
        <is>
          <t>Cause 2 &amp; Rectified</t>
        </is>
      </c>
      <c r="AK64" s="215">
        <f>IF(AND(AK29=1,AL4=2),1,0)</f>
        <v/>
      </c>
      <c r="BR64" s="698">
        <f>BR63+1</f>
        <v/>
      </c>
      <c r="BS64" s="699" t="inlineStr">
        <is>
          <t>Replace supply air blower (Visual Inspection)</t>
        </is>
      </c>
      <c r="BT64" s="698">
        <f>IF($BU$2&gt;=BR64,1,0)</f>
        <v/>
      </c>
      <c r="BU64" s="685" t="n"/>
    </row>
    <row r="65" ht="25" customHeight="1" thickBot="1">
      <c r="AJ65" s="860" t="inlineStr">
        <is>
          <t>Cause 3 &amp; Rectified</t>
        </is>
      </c>
      <c r="AK65" s="215">
        <f>IF(AND(AK55=1,AL4=3),1,0)</f>
        <v/>
      </c>
      <c r="AO65" s="710" t="inlineStr">
        <is>
          <t>Cause 1 &amp; Rectified</t>
        </is>
      </c>
      <c r="AP65" s="711" t="n"/>
      <c r="AQ65" s="310" t="inlineStr">
        <is>
          <t>Not preent</t>
        </is>
      </c>
      <c r="BR65" s="698">
        <f>BR64+1</f>
        <v/>
      </c>
      <c r="BS65" s="699" t="inlineStr">
        <is>
          <t>Close supply air cover (None)</t>
        </is>
      </c>
      <c r="BT65" s="698">
        <f>IF($BU$2&gt;=BR65,1,0)</f>
        <v/>
      </c>
      <c r="BU65" s="685" t="n"/>
    </row>
    <row r="66" ht="25" customHeight="1" thickBot="1">
      <c r="AJ66" s="702" t="inlineStr">
        <is>
          <t>Fault Reset Logic</t>
        </is>
      </c>
      <c r="AK66" s="703">
        <f>IF(OR(AK63:AK65),1,0)</f>
        <v/>
      </c>
      <c r="AO66" s="860" t="inlineStr">
        <is>
          <t>Cause 2 &amp; Rectified</t>
        </is>
      </c>
      <c r="AP66" s="215">
        <f>IF(AND(AP21=1,$AQ$4=2),1,0)</f>
        <v/>
      </c>
      <c r="BR66" s="698">
        <f>BR65+1</f>
        <v/>
      </c>
      <c r="BS66" s="699" t="inlineStr">
        <is>
          <t>Check for leaks in TX Valve (Electronic Leak Detector)</t>
        </is>
      </c>
      <c r="BT66" s="698">
        <f>IF($BU$2&gt;=BR66,1,0)</f>
        <v/>
      </c>
      <c r="BU66" s="685" t="n"/>
    </row>
    <row r="67" ht="25" customHeight="1">
      <c r="AO67" s="860" t="inlineStr">
        <is>
          <t>Cause 3 &amp; Rectified</t>
        </is>
      </c>
      <c r="AP67" s="215">
        <f>IF(AND(AP27=1,$AQ$4=3),1,0)</f>
        <v/>
      </c>
      <c r="BR67" s="698">
        <f>BR66+1</f>
        <v/>
      </c>
      <c r="BS67" s="699" t="inlineStr">
        <is>
          <t>Close the evaporator cover (None)</t>
        </is>
      </c>
      <c r="BT67" s="698">
        <f>IF($BU$2&gt;=BR67,1,0)</f>
        <v/>
      </c>
      <c r="BU67" s="685" t="n"/>
    </row>
    <row r="68" ht="25" customHeight="1">
      <c r="AO68" s="860" t="inlineStr">
        <is>
          <t>Cause 4 &amp; Rectified</t>
        </is>
      </c>
      <c r="AP68" s="215">
        <f>IF(AND(AP33=1,$AQ$4=4),1,0)</f>
        <v/>
      </c>
      <c r="BR68" s="698">
        <f>BR67+1</f>
        <v/>
      </c>
      <c r="BS68" s="699" t="inlineStr">
        <is>
          <t>Fix hinge pins to close the evaporator cover (None)</t>
        </is>
      </c>
      <c r="BT68" s="698">
        <f>IF($BU$2&gt;=BR68,1,0)</f>
        <v/>
      </c>
      <c r="BU68" s="685" t="n"/>
    </row>
    <row r="69" ht="25" customHeight="1">
      <c r="AO69" s="860" t="inlineStr">
        <is>
          <t>Cause 5 &amp; Rectified</t>
        </is>
      </c>
      <c r="AP69" s="215">
        <f>IF(AND(AP44=1,$AQ$4=5),1,0)</f>
        <v/>
      </c>
      <c r="BR69" s="698">
        <f>BR68+1</f>
        <v/>
      </c>
      <c r="BS69" s="699" t="inlineStr">
        <is>
          <t>Secure 24 nos M8X20 bolts (to close evaporator cover (None)</t>
        </is>
      </c>
      <c r="BT69" s="698">
        <f>IF($BU$2&gt;=BR69,1,0)</f>
        <v/>
      </c>
      <c r="BU69" s="685" t="n"/>
    </row>
    <row r="70" ht="25" customHeight="1" thickBot="1">
      <c r="AO70" s="860" t="inlineStr">
        <is>
          <t>Cause 6 &amp; Rectified</t>
        </is>
      </c>
      <c r="AP70" s="215">
        <f>IF(AND(AP54=1,$AQ$4=6),1,0)</f>
        <v/>
      </c>
      <c r="BR70" s="698">
        <f>BR69+1</f>
        <v/>
      </c>
      <c r="BS70" s="699" t="inlineStr">
        <is>
          <t>Remove Condenser Mesh with lifting device (Lifting Device)</t>
        </is>
      </c>
      <c r="BT70" s="698">
        <f>IF($BU$2&gt;=BR70,1,0)</f>
        <v/>
      </c>
      <c r="BU70" s="685" t="n"/>
    </row>
    <row r="71" ht="25" customHeight="1" thickBot="1">
      <c r="AO71" s="702" t="inlineStr">
        <is>
          <t>Fault Reset Logic</t>
        </is>
      </c>
      <c r="AP71" s="703">
        <f>IF(OR(AP65:AP70),1,0)</f>
        <v/>
      </c>
      <c r="BR71" s="698">
        <f>BR70+1</f>
        <v/>
      </c>
      <c r="BS71" s="699" t="inlineStr">
        <is>
          <t>Remove Condenser Coil &amp; Filter with lifting device (Lifting Device)</t>
        </is>
      </c>
      <c r="BT71" s="698">
        <f>IF($BU$2&gt;=BR71,1,0)</f>
        <v/>
      </c>
      <c r="BU71" s="685" t="n"/>
    </row>
    <row r="72" ht="25" customHeight="1">
      <c r="BR72" s="698">
        <f>BR71+1</f>
        <v/>
      </c>
      <c r="BS72" s="699" t="inlineStr">
        <is>
          <t>Open Filter Drier Cover (Screwdriver)</t>
        </is>
      </c>
      <c r="BT72" s="698">
        <f>IF($BU$2&gt;=BR72,1,0)</f>
        <v/>
      </c>
      <c r="BU72" s="685" t="n"/>
    </row>
    <row r="73" ht="25" customHeight="1">
      <c r="BR73" s="698">
        <f>BR72+1</f>
        <v/>
      </c>
      <c r="BS73" s="699" t="inlineStr">
        <is>
          <t>Remove Filter Drier (Insulated Gloves)</t>
        </is>
      </c>
      <c r="BT73" s="698">
        <f>IF($BU$2&gt;=BR73,1,0)</f>
        <v/>
      </c>
      <c r="BU73" s="685" t="n"/>
    </row>
    <row r="74" ht="25" customHeight="1">
      <c r="BR74" s="698">
        <f>BR73+1</f>
        <v/>
      </c>
      <c r="BS74" s="699" t="inlineStr">
        <is>
          <t>Replace Filter Drier (Visual Inspection)</t>
        </is>
      </c>
      <c r="BT74" s="698">
        <f>IF($BU$2&gt;=BR74,1,0)</f>
        <v/>
      </c>
      <c r="BU74" s="685" t="n"/>
    </row>
    <row r="75" ht="25" customHeight="1">
      <c r="BR75" s="698">
        <f>BR74+1</f>
        <v/>
      </c>
      <c r="BS75" s="699" t="inlineStr">
        <is>
          <t>Close Filter Drier Cover (None)</t>
        </is>
      </c>
      <c r="BT75" s="698">
        <f>IF($BU$2&gt;=BR75,1,0)</f>
        <v/>
      </c>
      <c r="BU75" s="685" t="n"/>
    </row>
    <row r="76" ht="25" customHeight="1">
      <c r="BR76" s="698">
        <f>BR75+1</f>
        <v/>
      </c>
      <c r="BS76" s="699" t="inlineStr">
        <is>
          <t>Place Condenser Coil &amp; Filter with lifting device (None)</t>
        </is>
      </c>
      <c r="BT76" s="698">
        <f>IF($BU$2&gt;=BR76,1,0)</f>
        <v/>
      </c>
      <c r="BU76" s="685" t="n"/>
    </row>
    <row r="77" ht="25" customHeight="1">
      <c r="BR77" s="698">
        <f>BR76+1</f>
        <v/>
      </c>
      <c r="BS77" s="699" t="inlineStr">
        <is>
          <t>Place Condenser Mesh with lifting device (None)</t>
        </is>
      </c>
      <c r="BT77" s="698">
        <f>IF($BU$2&gt;=BR77,1,0)</f>
        <v/>
      </c>
      <c r="BU77" s="685" t="n"/>
    </row>
    <row r="78" ht="25" customHeight="1">
      <c r="BR78" s="698">
        <f>BR77+1</f>
        <v/>
      </c>
      <c r="BS78" s="699" t="inlineStr">
        <is>
          <t>Run HVAC 20 mins. (None)</t>
        </is>
      </c>
      <c r="BT78" s="698">
        <f>IF($BU$2&gt;=BR78,1,0)</f>
        <v/>
      </c>
      <c r="BU78" s="685" t="n"/>
    </row>
    <row r="79" ht="25" customHeight="1">
      <c r="BR79" s="698">
        <f>BR78+1</f>
        <v/>
      </c>
      <c r="BS79" s="699" t="inlineStr">
        <is>
          <t>Unusual noise from HVAC Unit (None)</t>
        </is>
      </c>
      <c r="BT79" s="698">
        <f>IF($BU$2&gt;=BR79,1,0)</f>
        <v/>
      </c>
      <c r="BU79" s="685" t="n"/>
    </row>
    <row r="80" ht="25" customHeight="1">
      <c r="BR80" s="698">
        <f>BR79+1</f>
        <v/>
      </c>
      <c r="BS80" s="699" t="inlineStr">
        <is>
          <t>Tighten HVAC unit connection (Spanner)</t>
        </is>
      </c>
      <c r="BT80" s="698">
        <f>IF($BU$2&gt;=BR80,1,0)</f>
        <v/>
      </c>
      <c r="BU80" s="685" t="n"/>
    </row>
    <row r="81" ht="25" customHeight="1" thickBot="1">
      <c r="BR81" s="712">
        <f>BR80+1</f>
        <v/>
      </c>
      <c r="BS81" s="713" t="inlineStr">
        <is>
          <t>Check working (None)</t>
        </is>
      </c>
      <c r="BT81" s="712">
        <f>IF($BU$2&gt;=BR81,1,0)</f>
        <v/>
      </c>
      <c r="BU81" s="691" t="n"/>
    </row>
    <row r="82" ht="25" customHeight="1"/>
    <row r="83" ht="25" customHeight="1"/>
    <row r="84" ht="25" customHeight="1">
      <c r="BR84" s="657" t="inlineStr">
        <is>
          <t>Sr. No.</t>
        </is>
      </c>
      <c r="BS84" s="657" t="inlineStr">
        <is>
          <t>Components Affected</t>
        </is>
      </c>
      <c r="BT84" s="657" t="n"/>
      <c r="BU84" s="657" t="n"/>
    </row>
    <row r="85" ht="25" customHeight="1">
      <c r="BR85" s="3" t="n">
        <v>1</v>
      </c>
      <c r="BS85" s="666" t="inlineStr">
        <is>
          <t>Compressor</t>
        </is>
      </c>
      <c r="BT85" s="3">
        <f>IF(BT17=1,0,1)</f>
        <v/>
      </c>
      <c r="BU85" s="3" t="inlineStr">
        <is>
          <t>Open: 1, Close: 0</t>
        </is>
      </c>
    </row>
    <row r="86" ht="25" customHeight="1">
      <c r="BR86" s="3" t="n">
        <v>2</v>
      </c>
      <c r="BS86" s="666" t="inlineStr">
        <is>
          <t>Compresor Motor Heater Circuit Breaker</t>
        </is>
      </c>
      <c r="BT86" s="3" t="n"/>
      <c r="BU86" s="3" t="n"/>
    </row>
    <row r="87" ht="25" customHeight="1">
      <c r="BR87" s="3" t="n">
        <v>3</v>
      </c>
      <c r="BS87" s="666" t="inlineStr">
        <is>
          <t>Compresor Motor Heater Electrical Connections</t>
        </is>
      </c>
      <c r="BT87" s="3" t="n"/>
      <c r="BU87" s="3" t="n"/>
    </row>
    <row r="88" ht="25" customHeight="1">
      <c r="BR88" s="3" t="n">
        <v>4</v>
      </c>
      <c r="BS88" s="666" t="inlineStr">
        <is>
          <t>Compressor Bolts</t>
        </is>
      </c>
      <c r="BT88" s="3" t="n"/>
      <c r="BU88" s="3" t="n"/>
    </row>
    <row r="89" ht="25" customHeight="1">
      <c r="BR89" s="3" t="n">
        <v>5</v>
      </c>
      <c r="BS89" s="666" t="inlineStr">
        <is>
          <t>Refrigerent Level</t>
        </is>
      </c>
      <c r="BT89" s="3" t="n"/>
      <c r="BU89" s="3" t="n"/>
    </row>
    <row r="90" ht="25" customHeight="1">
      <c r="BR90" s="3" t="n">
        <v>6</v>
      </c>
      <c r="BS90" s="666" t="inlineStr">
        <is>
          <t>Condensor Fan Obstruction</t>
        </is>
      </c>
      <c r="BT90" s="3" t="n"/>
      <c r="BU90" s="3" t="n"/>
    </row>
    <row r="91" ht="25" customHeight="1">
      <c r="BR91" s="3" t="n">
        <v>7</v>
      </c>
      <c r="BS91" s="666" t="inlineStr">
        <is>
          <t>Supply Air Blower</t>
        </is>
      </c>
      <c r="BT91" s="3" t="n"/>
      <c r="BU91" s="3" t="n"/>
    </row>
    <row r="92" ht="25" customHeight="1">
      <c r="BR92" s="3" t="n">
        <v>8</v>
      </c>
      <c r="BS92" s="666" t="inlineStr">
        <is>
          <t>Filter Drier</t>
        </is>
      </c>
      <c r="BT92" s="3" t="n"/>
      <c r="BU92" s="3" t="n"/>
    </row>
    <row r="93" ht="25" customHeight="1">
      <c r="BR93" s="3" t="n">
        <v>9</v>
      </c>
      <c r="BS93" s="666" t="inlineStr">
        <is>
          <t>HVAC unit Component Bolts</t>
        </is>
      </c>
      <c r="BT93" s="3" t="n"/>
      <c r="BU93" s="3" t="n"/>
    </row>
    <row r="94" ht="25" customHeight="1" thickBot="1"/>
    <row r="95" ht="25" customHeight="1">
      <c r="BS95" s="859" t="inlineStr">
        <is>
          <t>Cause 1 &amp; Rectified</t>
        </is>
      </c>
      <c r="BT95" s="153">
        <f>IF(AND(BT22=1,$BT$4=1),1,0)</f>
        <v/>
      </c>
    </row>
    <row r="96" ht="25" customHeight="1">
      <c r="BS96" s="860" t="inlineStr">
        <is>
          <t>Cause 2 &amp; Rectified</t>
        </is>
      </c>
      <c r="BT96" s="215">
        <f>IF(AND(BT37=1,$BT$4=2),1,0)</f>
        <v/>
      </c>
    </row>
    <row r="97" ht="25" customHeight="1">
      <c r="BS97" s="860" t="inlineStr">
        <is>
          <t>Cause 3 &amp; Rectified</t>
        </is>
      </c>
      <c r="BT97" s="215">
        <f>IF(AND(BT37=1,$BT$4=3),1,0)</f>
        <v/>
      </c>
    </row>
    <row r="98" ht="25" customHeight="1">
      <c r="BS98" s="860" t="inlineStr">
        <is>
          <t>Cause 4 &amp; Rectified</t>
        </is>
      </c>
      <c r="BT98" s="215">
        <f>IF(AND(BT77=1,$BT$4=4),1,0)</f>
        <v/>
      </c>
    </row>
    <row r="99" ht="25" customHeight="1">
      <c r="BS99" s="860" t="inlineStr">
        <is>
          <t>Cause 5 &amp; Rectified</t>
        </is>
      </c>
      <c r="BT99" s="215">
        <f>IF(AND(BT67=1,$BT$4=5),1,0)</f>
        <v/>
      </c>
    </row>
    <row r="100" ht="25" customHeight="1">
      <c r="BS100" s="860" t="inlineStr">
        <is>
          <t>Cause 6 &amp; Rectified</t>
        </is>
      </c>
      <c r="BT100" s="215">
        <f>IF(AND(BT65=1,$BT$4=6),1,0)</f>
        <v/>
      </c>
    </row>
    <row r="101" ht="25" customHeight="1">
      <c r="BS101" s="860" t="inlineStr">
        <is>
          <t>Cause 7 &amp; Rectified</t>
        </is>
      </c>
      <c r="BT101" s="215">
        <f>IF(AND(BT65=1,$BT$4=7),1,0)</f>
        <v/>
      </c>
    </row>
    <row r="102" ht="25" customHeight="1">
      <c r="BS102" s="860" t="inlineStr">
        <is>
          <t>Cause 8 &amp; Rectified</t>
        </is>
      </c>
      <c r="BT102" s="215">
        <f>IF(AND(BT75=1,$BT$4=8),1,0)</f>
        <v/>
      </c>
    </row>
    <row r="103" ht="25" customHeight="1" thickBot="1">
      <c r="BS103" s="860" t="inlineStr">
        <is>
          <t>Cause 9 &amp; Rectified</t>
        </is>
      </c>
      <c r="BT103" s="215">
        <f>IF(AND(BT81=1,$BT$4=9),1,0)</f>
        <v/>
      </c>
    </row>
    <row r="104" ht="25" customHeight="1" thickBot="1">
      <c r="BS104" s="702" t="inlineStr">
        <is>
          <t>Fault Reset Logic</t>
        </is>
      </c>
      <c r="BT104" s="703">
        <f>IF(OR(BT95:BT103),1,0)</f>
        <v/>
      </c>
    </row>
    <row r="105" ht="25" customHeight="1"/>
  </sheetData>
  <mergeCells count="14">
    <mergeCell ref="AI1:AL1"/>
    <mergeCell ref="BH1:BK1"/>
    <mergeCell ref="BC1:BF1"/>
    <mergeCell ref="BR1:BU1"/>
    <mergeCell ref="O1:R1"/>
    <mergeCell ref="AS1:AV1"/>
    <mergeCell ref="AX1:BA1"/>
    <mergeCell ref="E1:H1"/>
    <mergeCell ref="AN1:AQ1"/>
    <mergeCell ref="AD1:AG1"/>
    <mergeCell ref="J1:M1"/>
    <mergeCell ref="Y1:AB1"/>
    <mergeCell ref="BM1:BP1"/>
    <mergeCell ref="T1: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11"/>
  <sheetViews>
    <sheetView zoomScaleNormal="100" workbookViewId="0">
      <selection activeCell="B83" sqref="B83"/>
    </sheetView>
  </sheetViews>
  <sheetFormatPr baseColWidth="8" defaultRowHeight="14.5"/>
  <cols>
    <col width="34.1796875" customWidth="1" min="1" max="1"/>
    <col width="19.7265625" customWidth="1" style="2" min="2" max="2"/>
    <col width="23" customWidth="1" min="3" max="3"/>
    <col width="28" customWidth="1" min="4" max="4"/>
    <col width="24.81640625" customWidth="1" min="5" max="5"/>
    <col width="28.1796875" customWidth="1" min="6" max="6"/>
    <col width="19.453125" customWidth="1" min="7" max="7"/>
    <col width="21.453125" customWidth="1" min="8" max="8"/>
    <col width="38.26953125" customWidth="1" min="9" max="9"/>
    <col width="23.81640625" customWidth="1" min="10" max="10"/>
    <col width="24.453125" customWidth="1" min="11" max="11"/>
    <col width="19" customWidth="1" min="12" max="12"/>
    <col width="23.453125" customWidth="1" min="13" max="13"/>
    <col width="34.1796875" customWidth="1" min="14" max="14"/>
  </cols>
  <sheetData>
    <row r="1" ht="15" customHeight="1" thickBot="1">
      <c r="A1" s="789" t="inlineStr">
        <is>
          <t>Inputs</t>
        </is>
      </c>
      <c r="B1" s="881" t="n"/>
      <c r="C1" s="882" t="n"/>
      <c r="I1" s="126" t="inlineStr">
        <is>
          <t>Sr. No</t>
        </is>
      </c>
      <c r="J1" s="127" t="inlineStr">
        <is>
          <t>Item</t>
        </is>
      </c>
      <c r="K1" s="127" t="inlineStr">
        <is>
          <t>Heat Load (W)</t>
        </is>
      </c>
      <c r="L1" s="127" t="inlineStr">
        <is>
          <t>Qty</t>
        </is>
      </c>
      <c r="M1" s="128" t="inlineStr">
        <is>
          <t>Total Heat Load (W)</t>
        </is>
      </c>
      <c r="N1" s="125" t="n"/>
    </row>
    <row r="2" ht="15" customHeight="1" thickBot="1">
      <c r="A2" s="78" t="inlineStr">
        <is>
          <t>c</t>
        </is>
      </c>
      <c r="B2" s="79" t="n">
        <v>1</v>
      </c>
      <c r="C2" s="81" t="inlineStr">
        <is>
          <t>KJ/Kg</t>
        </is>
      </c>
      <c r="D2" s="733" t="n"/>
      <c r="E2" s="795" t="inlineStr">
        <is>
          <t>Outputs</t>
        </is>
      </c>
      <c r="F2" s="881" t="n"/>
      <c r="G2" s="882" t="n"/>
      <c r="I2" s="129" t="n">
        <v>1</v>
      </c>
      <c r="J2" s="124" t="inlineStr">
        <is>
          <t>Passenger</t>
        </is>
      </c>
      <c r="K2" s="124" t="n">
        <v>72.84</v>
      </c>
      <c r="L2" s="124" t="n">
        <v>340</v>
      </c>
      <c r="M2" s="130">
        <f>K2*L2</f>
        <v/>
      </c>
      <c r="N2" s="125" t="n"/>
    </row>
    <row r="3" ht="15" customHeight="1" thickBot="1">
      <c r="A3" s="82" t="inlineStr">
        <is>
          <t>Set Point</t>
        </is>
      </c>
      <c r="B3" s="733">
        <f>'LFD OLD'!F5+273</f>
        <v/>
      </c>
      <c r="C3" s="83" t="inlineStr">
        <is>
          <t>K</t>
        </is>
      </c>
      <c r="D3" s="733" t="n"/>
      <c r="E3" s="97" t="inlineStr">
        <is>
          <t>Return Air</t>
        </is>
      </c>
      <c r="F3" s="98">
        <f>B18-J32</f>
        <v/>
      </c>
      <c r="G3" s="99" t="inlineStr">
        <is>
          <t>C</t>
        </is>
      </c>
      <c r="I3" s="129" t="n">
        <v>2</v>
      </c>
      <c r="J3" s="124" t="inlineStr">
        <is>
          <t>Solar Gain</t>
        </is>
      </c>
      <c r="K3" s="124" t="n">
        <v>2336</v>
      </c>
      <c r="L3" s="124" t="n">
        <v>1</v>
      </c>
      <c r="M3" s="130">
        <f>K3*L3</f>
        <v/>
      </c>
      <c r="N3" s="125" t="n"/>
    </row>
    <row r="4">
      <c r="A4" s="82" t="inlineStr">
        <is>
          <t>Ambient Temp</t>
        </is>
      </c>
      <c r="B4" s="733">
        <f>'LFD OLD'!F7+273</f>
        <v/>
      </c>
      <c r="C4" s="83" t="inlineStr">
        <is>
          <t>K</t>
        </is>
      </c>
      <c r="D4" s="733" t="n"/>
      <c r="E4" s="100" t="n"/>
      <c r="F4" s="100" t="n"/>
      <c r="G4" s="100" t="n"/>
      <c r="I4" s="129" t="n">
        <v>3</v>
      </c>
      <c r="J4" s="124" t="inlineStr">
        <is>
          <t>Transmission Gain</t>
        </is>
      </c>
      <c r="K4" s="124" t="n">
        <v>2882</v>
      </c>
      <c r="L4" s="124" t="n">
        <v>1</v>
      </c>
      <c r="M4" s="130">
        <f>K4*L4</f>
        <v/>
      </c>
      <c r="N4" s="125" t="n"/>
    </row>
    <row r="5">
      <c r="A5" s="82" t="inlineStr">
        <is>
          <t>Supply Temp</t>
        </is>
      </c>
      <c r="B5" s="733">
        <f>'LFD OLD'!F8+273</f>
        <v/>
      </c>
      <c r="C5" s="83" t="inlineStr">
        <is>
          <t>K</t>
        </is>
      </c>
      <c r="D5" s="733" t="n"/>
      <c r="E5" s="100" t="n"/>
      <c r="F5" s="100" t="n"/>
      <c r="G5" s="100" t="n"/>
      <c r="I5" s="129" t="n">
        <v>4</v>
      </c>
      <c r="J5" s="124" t="inlineStr">
        <is>
          <t>Internal Equipment</t>
        </is>
      </c>
      <c r="K5" s="124" t="n">
        <v>2500</v>
      </c>
      <c r="L5" s="124" t="n">
        <v>1</v>
      </c>
      <c r="M5" s="130">
        <f>K5*L5</f>
        <v/>
      </c>
      <c r="N5" s="125" t="n"/>
    </row>
    <row r="6">
      <c r="A6" s="82" t="inlineStr">
        <is>
          <t>Time</t>
        </is>
      </c>
      <c r="B6" s="101" t="n">
        <v>0.8</v>
      </c>
      <c r="C6" s="83" t="inlineStr">
        <is>
          <t>s</t>
        </is>
      </c>
      <c r="D6" s="733" t="n"/>
      <c r="E6" s="100" t="inlineStr">
        <is>
          <t>Supply Air Temp</t>
        </is>
      </c>
      <c r="F6" s="100">
        <f>IF(B14=1,(F3+B3-273)/2,F3)</f>
        <v/>
      </c>
      <c r="G6" s="100" t="n"/>
      <c r="I6" s="129" t="n">
        <v>5</v>
      </c>
      <c r="J6" s="124" t="inlineStr">
        <is>
          <t>Fan Motor Load</t>
        </is>
      </c>
      <c r="K6" s="124" t="n">
        <v>4000</v>
      </c>
      <c r="L6" s="124" t="n">
        <v>1</v>
      </c>
      <c r="M6" s="130">
        <f>K6*L6</f>
        <v/>
      </c>
      <c r="N6" s="125" t="n"/>
    </row>
    <row r="7">
      <c r="A7" s="82" t="inlineStr">
        <is>
          <t xml:space="preserve">Loading </t>
        </is>
      </c>
      <c r="B7" s="733">
        <f>'DATA TRANSFER'!F40</f>
        <v/>
      </c>
      <c r="C7" s="83" t="inlineStr">
        <is>
          <t>pax</t>
        </is>
      </c>
      <c r="D7" s="733" t="n"/>
      <c r="E7" s="100" t="n"/>
      <c r="F7" s="100" t="n"/>
      <c r="G7" s="100" t="n"/>
      <c r="I7" s="129" t="n">
        <v>6</v>
      </c>
      <c r="J7" s="124" t="inlineStr">
        <is>
          <t>Fresh Air Load</t>
        </is>
      </c>
      <c r="K7" s="124" t="n">
        <v>6663</v>
      </c>
      <c r="L7" s="124" t="n">
        <v>1</v>
      </c>
      <c r="M7" s="130">
        <f>K7*L7</f>
        <v/>
      </c>
      <c r="N7" s="125" t="n"/>
    </row>
    <row r="8" ht="15" customHeight="1" thickBot="1">
      <c r="A8" s="82" t="inlineStr">
        <is>
          <t>Heat Load Damper</t>
        </is>
      </c>
      <c r="B8" s="101" t="n">
        <v>0.8</v>
      </c>
      <c r="C8" s="83" t="inlineStr">
        <is>
          <t>0-1</t>
        </is>
      </c>
      <c r="D8" s="733" t="n"/>
      <c r="E8" s="100" t="inlineStr">
        <is>
          <t>Damper Pos</t>
        </is>
      </c>
      <c r="F8" s="100">
        <f>B7*25+25*IF('DATA TRANSFER'!CP18=1,0,1)*IF('DATA TRANSFER'!AE22=0,0,1)</f>
        <v/>
      </c>
      <c r="G8" s="100" t="n"/>
      <c r="I8" s="129" t="n">
        <v>7</v>
      </c>
      <c r="J8" s="124" t="inlineStr">
        <is>
          <t>Door Opening Load</t>
        </is>
      </c>
      <c r="K8" s="124" t="n">
        <v>525</v>
      </c>
      <c r="L8" s="134" t="n">
        <v>1</v>
      </c>
      <c r="M8" s="133">
        <f>K8*L8</f>
        <v/>
      </c>
      <c r="N8" s="125" t="n"/>
    </row>
    <row r="9" ht="15" customHeight="1" thickBot="1">
      <c r="A9" s="102" t="inlineStr">
        <is>
          <t>Comp 1</t>
        </is>
      </c>
      <c r="B9" s="103">
        <f>'Mode Logic'!L18</f>
        <v/>
      </c>
      <c r="C9" s="104" t="inlineStr">
        <is>
          <t>On/off</t>
        </is>
      </c>
      <c r="D9" s="733" t="n"/>
      <c r="E9" s="733" t="n"/>
      <c r="F9" s="733">
        <f>IF('DATA TRANSFER'!AE24=1,100,Calculation!F8)</f>
        <v/>
      </c>
      <c r="G9" s="733" t="n"/>
      <c r="I9" s="131" t="n"/>
      <c r="J9" s="132" t="n"/>
      <c r="K9" s="137" t="n"/>
      <c r="L9" s="138" t="inlineStr">
        <is>
          <t>Total Heat Load</t>
        </is>
      </c>
      <c r="M9" s="139">
        <f>SUM(M2:M8)</f>
        <v/>
      </c>
      <c r="N9" s="136" t="inlineStr">
        <is>
          <t>W</t>
        </is>
      </c>
    </row>
    <row r="10" ht="23.25" customHeight="1">
      <c r="A10" s="102" t="inlineStr">
        <is>
          <t>Comp 2</t>
        </is>
      </c>
      <c r="B10" s="103">
        <f>'Mode Logic'!M18</f>
        <v/>
      </c>
      <c r="C10" s="104" t="inlineStr">
        <is>
          <t>On/off</t>
        </is>
      </c>
      <c r="D10" s="733" t="inlineStr">
        <is>
          <t>HVAC 1 DMA</t>
        </is>
      </c>
      <c r="E10" s="733" t="n"/>
      <c r="F10" s="733" t="n"/>
      <c r="G10" s="733" t="n"/>
      <c r="I10" s="100" t="n"/>
      <c r="J10" s="100" t="n"/>
      <c r="K10" s="100" t="n"/>
      <c r="L10" s="100" t="n"/>
      <c r="M10" s="100" t="n"/>
      <c r="N10">
        <f>M9/1000</f>
        <v/>
      </c>
    </row>
    <row r="11" ht="15" customHeight="1" thickBot="1">
      <c r="A11" s="102" t="inlineStr">
        <is>
          <t>Comp 3</t>
        </is>
      </c>
      <c r="B11" s="103">
        <f>'Mode Logic'!N18</f>
        <v/>
      </c>
      <c r="C11" s="104" t="inlineStr">
        <is>
          <t>On/off</t>
        </is>
      </c>
      <c r="E11" s="733" t="n"/>
      <c r="F11" s="733" t="n"/>
      <c r="G11" s="733" t="n"/>
      <c r="I11" s="100" t="n"/>
      <c r="J11" s="100" t="n"/>
      <c r="K11" s="100" t="n"/>
      <c r="L11" s="100" t="n"/>
      <c r="M11" s="100" t="n"/>
    </row>
    <row r="12" ht="15" customHeight="1" thickBot="1">
      <c r="A12" s="102" t="inlineStr">
        <is>
          <t>Comp 4</t>
        </is>
      </c>
      <c r="B12" s="103">
        <f>'Mode Logic'!O18</f>
        <v/>
      </c>
      <c r="C12" s="104" t="inlineStr">
        <is>
          <t>On/off</t>
        </is>
      </c>
      <c r="E12" s="733" t="n"/>
      <c r="F12" s="733" t="n"/>
      <c r="G12" s="733" t="n"/>
      <c r="I12" s="883" t="inlineStr">
        <is>
          <t>Fresh Air Load</t>
        </is>
      </c>
      <c r="J12" s="884" t="n"/>
      <c r="K12" s="884" t="n"/>
      <c r="L12" s="884" t="n"/>
      <c r="M12" s="885" t="n"/>
    </row>
    <row r="13">
      <c r="A13" s="102" t="inlineStr">
        <is>
          <t>Heater</t>
        </is>
      </c>
      <c r="B13" s="103">
        <f>'DATA TRANSFER'!M24</f>
        <v/>
      </c>
      <c r="C13" s="104" t="inlineStr">
        <is>
          <t>On/off</t>
        </is>
      </c>
      <c r="D13" s="733" t="n"/>
      <c r="E13" s="733" t="n"/>
      <c r="F13" s="733" t="n"/>
      <c r="G13" s="733" t="n"/>
      <c r="I13" s="106" t="inlineStr">
        <is>
          <t>Air Flow</t>
        </is>
      </c>
      <c r="J13" s="107">
        <f>IF(B17=1,3037,0)/3600</f>
        <v/>
      </c>
      <c r="K13" s="107" t="inlineStr">
        <is>
          <t>m^3/s</t>
        </is>
      </c>
      <c r="L13" s="107" t="n"/>
      <c r="M13" s="108" t="n"/>
      <c r="N13" s="733" t="n"/>
    </row>
    <row r="14">
      <c r="A14" s="102" t="inlineStr">
        <is>
          <t>FAD</t>
        </is>
      </c>
      <c r="B14" s="103">
        <f>'DATA TRANSFER'!M16</f>
        <v/>
      </c>
      <c r="C14" s="104" t="n"/>
      <c r="D14" s="733" t="n"/>
      <c r="E14" s="733" t="n"/>
      <c r="F14" s="733" t="n"/>
      <c r="G14" s="733" t="n"/>
      <c r="I14" s="109" t="inlineStr">
        <is>
          <t>Delta T</t>
        </is>
      </c>
      <c r="J14" s="100">
        <f>B9-B7</f>
        <v/>
      </c>
      <c r="K14" s="100" t="inlineStr">
        <is>
          <t>K</t>
        </is>
      </c>
      <c r="L14" s="100" t="n"/>
      <c r="M14" s="110" t="n"/>
      <c r="N14" s="733" t="n"/>
    </row>
    <row r="15">
      <c r="A15" s="102" t="inlineStr">
        <is>
          <t xml:space="preserve">Cooling </t>
        </is>
      </c>
      <c r="B15" s="103">
        <f>IF(AND(B9:B12),47,IF(OR(B9:B12),10,IF(B13=1,-9,0)))</f>
        <v/>
      </c>
      <c r="C15" s="104" t="inlineStr">
        <is>
          <t>KW</t>
        </is>
      </c>
      <c r="D15" s="733" t="n"/>
      <c r="E15" s="733">
        <f>MAX(IF(TCMS!D24&gt;0,Calculation!O40+TCMS!D24,O40),'Set point Calc'!J14)</f>
        <v/>
      </c>
      <c r="F15" s="733" t="n"/>
      <c r="G15" s="733" t="n"/>
      <c r="I15" s="109" t="n"/>
      <c r="J15" s="100" t="n"/>
      <c r="K15" s="100" t="n"/>
      <c r="L15" s="100" t="n"/>
      <c r="M15" s="110" t="n"/>
      <c r="N15" s="733" t="n"/>
    </row>
    <row r="16">
      <c r="A16" s="82" t="n"/>
      <c r="B16" s="733">
        <f>B15*1000</f>
        <v/>
      </c>
      <c r="C16" s="83" t="inlineStr">
        <is>
          <t>W</t>
        </is>
      </c>
      <c r="D16" s="733" t="n"/>
      <c r="E16" s="733" t="n"/>
      <c r="F16" s="733" t="n"/>
      <c r="G16" s="733" t="n"/>
      <c r="I16" s="109" t="inlineStr">
        <is>
          <t xml:space="preserve">Heat Load </t>
        </is>
      </c>
      <c r="J16" s="100">
        <f>J13*J14</f>
        <v/>
      </c>
      <c r="K16" s="100" t="inlineStr">
        <is>
          <t>KW</t>
        </is>
      </c>
      <c r="L16" s="100" t="n"/>
      <c r="M16" s="110" t="n"/>
      <c r="N16" s="733" t="n"/>
    </row>
    <row r="17" ht="15" customHeight="1" thickBot="1">
      <c r="A17" s="82" t="n"/>
      <c r="B17" s="733" t="n"/>
      <c r="C17" s="83" t="n"/>
      <c r="D17" s="733" t="n"/>
      <c r="E17" s="733" t="n"/>
      <c r="F17" s="733" t="n"/>
      <c r="G17" s="733" t="n"/>
      <c r="I17" s="111" t="n"/>
      <c r="J17" s="112">
        <f>J16*1000</f>
        <v/>
      </c>
      <c r="K17" s="112" t="inlineStr">
        <is>
          <t>W</t>
        </is>
      </c>
      <c r="L17" s="112" t="n"/>
      <c r="M17" s="114" t="n"/>
      <c r="N17" s="733" t="n"/>
    </row>
    <row r="18" ht="15" customHeight="1" thickBot="1">
      <c r="A18" s="82" t="inlineStr">
        <is>
          <t>Internal Temp(RAT)</t>
        </is>
      </c>
      <c r="B18" s="733">
        <f>'DATA TRANSFER'!F38</f>
        <v/>
      </c>
      <c r="C18" s="83" t="inlineStr">
        <is>
          <t>C</t>
        </is>
      </c>
      <c r="D18" s="733" t="n"/>
      <c r="E18" s="733" t="n"/>
      <c r="F18" s="733" t="n"/>
      <c r="G18" s="733" t="n"/>
      <c r="I18" s="100" t="n"/>
      <c r="J18" s="100" t="n"/>
      <c r="K18" s="100" t="n"/>
      <c r="L18" s="100">
        <f>'Mode Logic'!M18</f>
        <v/>
      </c>
      <c r="M18" s="100" t="n"/>
      <c r="N18" s="733" t="n"/>
    </row>
    <row r="19">
      <c r="A19" s="82" t="inlineStr">
        <is>
          <t>Time Elapsed since Preconditioning</t>
        </is>
      </c>
      <c r="B19" s="733">
        <f>'DATA TRANSFER'!F36</f>
        <v/>
      </c>
      <c r="C19" s="83" t="inlineStr">
        <is>
          <t>mins</t>
        </is>
      </c>
      <c r="D19" s="308" t="inlineStr">
        <is>
          <t>Need to add timer start once preconditioning is triggered</t>
        </is>
      </c>
      <c r="E19" s="733" t="n"/>
      <c r="F19" s="733" t="n"/>
      <c r="G19" s="733" t="n"/>
      <c r="I19" s="135" t="inlineStr">
        <is>
          <t>Total Heat Load</t>
        </is>
      </c>
      <c r="J19" s="135" t="n"/>
      <c r="K19" s="135" t="n"/>
      <c r="L19" s="135" t="n"/>
      <c r="M19" s="135" t="n"/>
      <c r="N19" s="733" t="n"/>
    </row>
    <row r="20">
      <c r="A20" s="82" t="n"/>
      <c r="B20" s="733" t="n"/>
      <c r="C20" s="83" t="n"/>
      <c r="D20" s="733" t="n"/>
      <c r="E20" s="733" t="n"/>
      <c r="F20" s="733" t="n"/>
      <c r="G20" s="733" t="n"/>
      <c r="I20" s="124" t="n">
        <v>1</v>
      </c>
      <c r="J20" s="124" t="inlineStr">
        <is>
          <t>Heat Load</t>
        </is>
      </c>
      <c r="K20" s="124">
        <f>M9</f>
        <v/>
      </c>
      <c r="L20" s="124" t="inlineStr">
        <is>
          <t>W</t>
        </is>
      </c>
      <c r="M20" s="124" t="n"/>
      <c r="N20" s="733" t="n"/>
    </row>
    <row r="21" ht="15" customHeight="1" thickBot="1">
      <c r="A21" s="105" t="n"/>
      <c r="B21" s="85" t="n"/>
      <c r="C21" s="86" t="n"/>
      <c r="D21" s="733" t="n"/>
      <c r="E21" s="733" t="n"/>
      <c r="F21" s="733" t="n"/>
      <c r="G21" s="733" t="n"/>
      <c r="I21" s="124" t="n">
        <v>2</v>
      </c>
      <c r="J21" s="124" t="inlineStr">
        <is>
          <t>Freah Air</t>
        </is>
      </c>
      <c r="K21" s="124">
        <f>J17*G8/100</f>
        <v/>
      </c>
      <c r="L21" s="124" t="inlineStr">
        <is>
          <t>W</t>
        </is>
      </c>
      <c r="M21" s="124" t="n"/>
      <c r="N21" s="733" t="n"/>
    </row>
    <row r="22" ht="15" customHeight="1" thickBot="1">
      <c r="A22" s="733" t="n"/>
      <c r="B22" s="733" t="n"/>
      <c r="C22" s="733" t="n"/>
      <c r="D22" s="733" t="n"/>
      <c r="E22" s="733" t="n"/>
      <c r="F22" s="733" t="n"/>
      <c r="G22" s="733" t="n"/>
      <c r="I22" s="124" t="n">
        <v>3</v>
      </c>
      <c r="J22" s="124" t="inlineStr">
        <is>
          <t xml:space="preserve">Operational </t>
        </is>
      </c>
      <c r="K22" s="124" t="n"/>
      <c r="L22" s="124" t="inlineStr">
        <is>
          <t>W</t>
        </is>
      </c>
      <c r="M22" s="124" t="n"/>
      <c r="N22" s="733" t="n"/>
    </row>
    <row r="23" ht="15" customHeight="1" thickBot="1">
      <c r="A23" s="229" t="inlineStr">
        <is>
          <t>Comp 1</t>
        </is>
      </c>
      <c r="B23" s="230">
        <f>'DATA TRANSFER'!M41</f>
        <v/>
      </c>
      <c r="C23" s="231" t="inlineStr">
        <is>
          <t>On/off</t>
        </is>
      </c>
      <c r="D23" s="733" t="n"/>
      <c r="E23" s="733" t="n"/>
      <c r="F23" s="733" t="n"/>
      <c r="G23" s="733" t="n"/>
      <c r="I23" s="115" t="inlineStr">
        <is>
          <t>Total Heat Load</t>
        </is>
      </c>
      <c r="J23" s="115" t="n"/>
      <c r="K23" s="115">
        <f>SUM(K20:K22)</f>
        <v/>
      </c>
      <c r="L23" s="100" t="n"/>
      <c r="M23" s="100" t="n"/>
      <c r="N23" s="733" t="n"/>
    </row>
    <row r="24">
      <c r="A24" s="232" t="inlineStr">
        <is>
          <t>Comp 2</t>
        </is>
      </c>
      <c r="B24" s="103">
        <f>'DATA TRANSFER'!M42</f>
        <v/>
      </c>
      <c r="C24" s="233" t="inlineStr">
        <is>
          <t>On/off</t>
        </is>
      </c>
      <c r="D24" s="733" t="inlineStr">
        <is>
          <t>HVAC 1 DMB</t>
        </is>
      </c>
      <c r="E24" s="733" t="n"/>
      <c r="F24" s="733" t="n"/>
      <c r="G24" s="733" t="n"/>
      <c r="I24" s="733" t="n"/>
      <c r="J24" s="733" t="n"/>
      <c r="K24" s="733" t="n"/>
      <c r="L24" s="733" t="n"/>
      <c r="M24" s="733" t="n"/>
      <c r="N24" s="733" t="n"/>
    </row>
    <row r="25" ht="15" customHeight="1" thickBot="1">
      <c r="A25" s="232" t="inlineStr">
        <is>
          <t>Comp 3</t>
        </is>
      </c>
      <c r="B25" s="103">
        <f>'DATA TRANSFER'!M43</f>
        <v/>
      </c>
      <c r="C25" s="233" t="inlineStr">
        <is>
          <t>On/off</t>
        </is>
      </c>
      <c r="D25" s="733" t="n"/>
      <c r="E25" s="733" t="n"/>
      <c r="F25" s="733" t="n"/>
      <c r="G25" s="733" t="n"/>
      <c r="I25" s="733" t="n"/>
      <c r="J25" s="733" t="n"/>
      <c r="K25" s="733" t="n"/>
      <c r="L25" s="733" t="n"/>
      <c r="M25" s="733" t="n"/>
      <c r="N25" s="733" t="n"/>
    </row>
    <row r="26" ht="15" customHeight="1" thickBot="1">
      <c r="A26" s="232" t="inlineStr">
        <is>
          <t>Comp 4</t>
        </is>
      </c>
      <c r="B26" s="103">
        <f>'DATA TRANSFER'!M46</f>
        <v/>
      </c>
      <c r="C26" s="233" t="inlineStr">
        <is>
          <t>On/off</t>
        </is>
      </c>
      <c r="D26" s="733" t="n"/>
      <c r="E26" s="733" t="n"/>
      <c r="F26" s="733" t="n"/>
      <c r="G26" s="733" t="n"/>
      <c r="I26" s="789" t="inlineStr">
        <is>
          <t xml:space="preserve">Change in Temp </t>
        </is>
      </c>
      <c r="J26" s="789" t="n"/>
      <c r="K26" s="789" t="n"/>
      <c r="L26" s="789" t="n"/>
      <c r="M26" s="789" t="n"/>
      <c r="N26" s="733" t="n"/>
    </row>
    <row r="27">
      <c r="A27" s="232" t="inlineStr">
        <is>
          <t>Heater</t>
        </is>
      </c>
      <c r="B27" s="103" t="n">
        <v>1</v>
      </c>
      <c r="C27" s="233" t="inlineStr">
        <is>
          <t>On/off</t>
        </is>
      </c>
      <c r="D27" s="733" t="n"/>
      <c r="E27" s="733" t="n"/>
      <c r="F27" s="733" t="n"/>
      <c r="G27" s="733" t="n"/>
      <c r="I27" s="116" t="n">
        <v>1</v>
      </c>
      <c r="J27" s="117" t="inlineStr">
        <is>
          <t>Delta W</t>
        </is>
      </c>
      <c r="K27" s="117">
        <f>B16-K23</f>
        <v/>
      </c>
      <c r="L27" s="117" t="inlineStr">
        <is>
          <t>W</t>
        </is>
      </c>
      <c r="M27" s="118" t="n"/>
      <c r="N27" s="733" t="n"/>
    </row>
    <row r="28">
      <c r="A28" s="232" t="inlineStr">
        <is>
          <t>FAD</t>
        </is>
      </c>
      <c r="B28" s="103" t="n">
        <v>1</v>
      </c>
      <c r="C28" s="233" t="n"/>
      <c r="D28" s="733" t="n"/>
      <c r="E28" s="733" t="n"/>
      <c r="F28" s="733" t="n"/>
      <c r="G28" s="733" t="n"/>
      <c r="I28" s="102" t="n">
        <v>2</v>
      </c>
      <c r="J28" s="103" t="inlineStr">
        <is>
          <t>Time</t>
        </is>
      </c>
      <c r="K28" s="103">
        <f>B6</f>
        <v/>
      </c>
      <c r="L28" s="103" t="inlineStr">
        <is>
          <t>s</t>
        </is>
      </c>
      <c r="M28" s="104" t="n"/>
      <c r="N28" s="733" t="inlineStr">
        <is>
          <t>DM1 HVAC1</t>
        </is>
      </c>
    </row>
    <row r="29">
      <c r="A29" s="232" t="inlineStr">
        <is>
          <t xml:space="preserve">Cooling </t>
        </is>
      </c>
      <c r="B29" s="103">
        <f>IF(AND(B23:B26),47,IF(OR(B23:B26),10,IF(B27=1,-9,0)))</f>
        <v/>
      </c>
      <c r="C29" s="233" t="inlineStr">
        <is>
          <t>KW</t>
        </is>
      </c>
      <c r="D29" s="733" t="n"/>
      <c r="E29" s="733" t="n"/>
      <c r="F29" s="733" t="n"/>
      <c r="G29" s="733" t="n"/>
      <c r="I29" s="102" t="n">
        <v>3</v>
      </c>
      <c r="J29" s="103" t="inlineStr">
        <is>
          <t>c</t>
        </is>
      </c>
      <c r="K29" s="103" t="n">
        <v>1</v>
      </c>
      <c r="L29" s="103" t="inlineStr">
        <is>
          <t>Kj/Kg.K</t>
        </is>
      </c>
      <c r="M29" s="104" t="n"/>
      <c r="N29" s="733" t="n"/>
    </row>
    <row r="30" ht="15" customHeight="1" thickBot="1">
      <c r="A30" s="202" t="n"/>
      <c r="B30" s="170">
        <f>B29*1000</f>
        <v/>
      </c>
      <c r="C30" s="171" t="inlineStr">
        <is>
          <t>W</t>
        </is>
      </c>
      <c r="D30" s="733" t="n"/>
      <c r="E30" s="733" t="n"/>
      <c r="F30" s="733" t="n"/>
      <c r="G30" s="733" t="n"/>
      <c r="I30" s="119" t="n">
        <v>4</v>
      </c>
      <c r="J30" s="120" t="inlineStr">
        <is>
          <t>m</t>
        </is>
      </c>
      <c r="K30" s="120" t="n">
        <v>1000</v>
      </c>
      <c r="L30" s="120" t="inlineStr">
        <is>
          <t>Kg</t>
        </is>
      </c>
      <c r="M30" s="121" t="n"/>
      <c r="N30" s="733" t="n"/>
    </row>
    <row r="31" ht="15" customHeight="1" thickBot="1">
      <c r="E31" s="733" t="n"/>
      <c r="F31" s="733" t="n"/>
      <c r="G31" s="733" t="n"/>
      <c r="I31" s="733" t="n"/>
      <c r="J31" s="733" t="n"/>
      <c r="K31" s="733" t="n"/>
      <c r="L31" s="733" t="n"/>
      <c r="M31" s="733" t="n"/>
      <c r="N31" s="733" t="n"/>
    </row>
    <row r="32" ht="15" customHeight="1" thickBot="1">
      <c r="A32" s="207" t="n"/>
      <c r="B32" s="208" t="inlineStr">
        <is>
          <t>DMA</t>
        </is>
      </c>
      <c r="C32" s="208" t="inlineStr">
        <is>
          <t>TCA</t>
        </is>
      </c>
      <c r="D32" s="209" t="inlineStr">
        <is>
          <t>DMB</t>
        </is>
      </c>
      <c r="E32" s="733" t="n"/>
      <c r="F32" s="733" t="n"/>
      <c r="G32" s="733" t="n"/>
      <c r="I32" s="122" t="inlineStr">
        <is>
          <t xml:space="preserve">Change </t>
        </is>
      </c>
      <c r="J32" s="123">
        <f>(1/1000)*(K27*K28)/(K29*K30)</f>
        <v/>
      </c>
      <c r="K32" s="113" t="inlineStr">
        <is>
          <t>C</t>
        </is>
      </c>
      <c r="L32" s="733" t="n"/>
      <c r="M32" s="733" t="n"/>
      <c r="N32" s="733" t="n"/>
    </row>
    <row r="33">
      <c r="A33" s="205" t="inlineStr">
        <is>
          <t xml:space="preserve">Set Point </t>
        </is>
      </c>
      <c r="B33" s="733">
        <f>MAX(IF(TCMS!D24&gt;0,Calculation!O40+TCMS!D24,O40),'Set point Calc'!J14)</f>
        <v/>
      </c>
      <c r="C33" s="733">
        <f>IF(TCMS!E24&gt;0,Calculation!P40+TCMS!E24,P40)</f>
        <v/>
      </c>
      <c r="D33" s="168">
        <f>IF(TCMS!F24&gt;0,Calculation!Q40+TCMS!F24,Q40)</f>
        <v/>
      </c>
      <c r="E33" s="733" t="n"/>
      <c r="F33" s="733" t="n"/>
      <c r="G33" s="733" t="n"/>
      <c r="I33" s="733" t="n"/>
      <c r="J33" s="733" t="n"/>
      <c r="K33" s="733" t="n"/>
      <c r="L33" s="733" t="n"/>
      <c r="M33" s="733" t="n"/>
      <c r="N33" s="733" t="n"/>
    </row>
    <row r="34" ht="15" customHeight="1" thickBot="1">
      <c r="A34" s="206" t="inlineStr">
        <is>
          <t>Ambient Temp</t>
        </is>
      </c>
      <c r="B34" s="733">
        <f>'DATA TRANSFER'!F39</f>
        <v/>
      </c>
      <c r="C34" s="733">
        <f>B34</f>
        <v/>
      </c>
      <c r="D34" s="168">
        <f>C34</f>
        <v/>
      </c>
      <c r="E34" s="733" t="n"/>
      <c r="F34" s="733" t="n"/>
      <c r="G34" s="733" t="n"/>
      <c r="I34" s="733" t="n"/>
      <c r="J34" s="733" t="n"/>
      <c r="K34" s="733" t="n"/>
      <c r="L34" s="733" t="n"/>
      <c r="M34" s="733" t="n"/>
      <c r="N34" s="733" t="n"/>
    </row>
    <row r="35" ht="15" customHeight="1" thickBot="1">
      <c r="A35" s="206" t="inlineStr">
        <is>
          <t>RAT</t>
        </is>
      </c>
      <c r="B35" s="733">
        <f>'DATA TRANSFER'!Q584</f>
        <v/>
      </c>
      <c r="C35" s="733">
        <f>'DATA TRANSFER'!G38</f>
        <v/>
      </c>
      <c r="D35" s="168">
        <f>'DATA TRANSFER'!H38</f>
        <v/>
      </c>
      <c r="E35" s="733" t="n"/>
      <c r="F35" s="733" t="n"/>
      <c r="G35" s="733" t="n"/>
      <c r="I35" s="789" t="inlineStr">
        <is>
          <t xml:space="preserve">Change in Temp </t>
        </is>
      </c>
      <c r="J35" s="789" t="n"/>
      <c r="K35" s="789" t="n"/>
      <c r="L35" s="789" t="n"/>
      <c r="M35" s="789" t="n"/>
      <c r="N35" s="733" t="n"/>
    </row>
    <row r="36" ht="15" customHeight="1" thickBot="1">
      <c r="A36" s="202" t="inlineStr">
        <is>
          <t>New RAT</t>
        </is>
      </c>
      <c r="B36" s="170">
        <f>B35-B90</f>
        <v/>
      </c>
      <c r="C36" s="170">
        <f>C35-C90</f>
        <v/>
      </c>
      <c r="D36" s="171">
        <f>D35-B90</f>
        <v/>
      </c>
      <c r="I36" s="116" t="n">
        <v>1</v>
      </c>
      <c r="J36" s="117" t="inlineStr">
        <is>
          <t>Delta W</t>
        </is>
      </c>
      <c r="K36" s="117">
        <f>B15-K23</f>
        <v/>
      </c>
      <c r="L36" s="117" t="inlineStr">
        <is>
          <t>W</t>
        </is>
      </c>
      <c r="M36" s="118" t="n"/>
      <c r="N36" s="733" t="n"/>
    </row>
    <row r="37" ht="15" customHeight="1" thickBot="1">
      <c r="I37" s="102" t="n">
        <v>2</v>
      </c>
      <c r="J37" s="103" t="inlineStr">
        <is>
          <t>Time</t>
        </is>
      </c>
      <c r="K37" s="103">
        <f>B15</f>
        <v/>
      </c>
      <c r="L37" s="103" t="inlineStr">
        <is>
          <t>s</t>
        </is>
      </c>
      <c r="M37" s="104" t="n"/>
      <c r="N37" s="733" t="inlineStr">
        <is>
          <t>DM1 HVAC2</t>
        </is>
      </c>
    </row>
    <row r="38">
      <c r="A38" s="183" t="inlineStr">
        <is>
          <t>Pre-Cool</t>
        </is>
      </c>
      <c r="B38" s="796">
        <f>IF('Mode Logic'!B27=1,1,0)</f>
        <v/>
      </c>
      <c r="C38" s="796">
        <f>B38</f>
        <v/>
      </c>
      <c r="D38" s="178">
        <f>C38</f>
        <v/>
      </c>
      <c r="E38" s="36">
        <f>IF(B48=1,0,IF(OR(B38=1,B39=1,B40=1),0,IF('Mode Logic'!B30=1,1,0)))*IF(B50=1,0,1)</f>
        <v/>
      </c>
      <c r="F38">
        <f>'DATA TRANSFER'!F38</f>
        <v/>
      </c>
      <c r="I38" s="102" t="n">
        <v>3</v>
      </c>
      <c r="J38" s="103" t="inlineStr">
        <is>
          <t>c</t>
        </is>
      </c>
      <c r="K38" s="103" t="n">
        <v>1</v>
      </c>
      <c r="L38" s="103" t="inlineStr">
        <is>
          <t>Kj/Kg.K</t>
        </is>
      </c>
      <c r="M38" s="104" t="n"/>
      <c r="N38" s="733" t="n"/>
    </row>
    <row r="39" ht="15" customHeight="1" thickBot="1">
      <c r="A39" s="206" t="inlineStr">
        <is>
          <t>Pre-heat</t>
        </is>
      </c>
      <c r="B39" s="733">
        <f>IF('Mode Logic'!B26=1,1,0)</f>
        <v/>
      </c>
      <c r="C39" s="733">
        <f>B39</f>
        <v/>
      </c>
      <c r="D39" s="168">
        <f>C39</f>
        <v/>
      </c>
      <c r="I39" s="119" t="n">
        <v>4</v>
      </c>
      <c r="J39" s="120" t="inlineStr">
        <is>
          <t>m</t>
        </is>
      </c>
      <c r="K39" s="120" t="n">
        <v>1000</v>
      </c>
      <c r="L39" s="120" t="inlineStr">
        <is>
          <t>Kg</t>
        </is>
      </c>
      <c r="M39" s="121" t="n"/>
      <c r="N39" s="733" t="n"/>
    </row>
    <row r="40" ht="15" customHeight="1" thickBot="1">
      <c r="A40" s="206" t="inlineStr">
        <is>
          <t>Auto Cool 1 (Cooling Circuits Disabled)</t>
        </is>
      </c>
      <c r="B40" s="733">
        <f>IF(B48=1,0,IF(B38=0,IF('Mode Logic'!B29=1,1,0)))*IF(B50=1,0,1)</f>
        <v/>
      </c>
      <c r="C40" s="733">
        <f>B40</f>
        <v/>
      </c>
      <c r="D40" s="733">
        <f>IF(OR(D48=0,D38=0,D50=0),1,IF(AND(D35&gt;=D33+1.5,D35&lt;D33+2.5),1,0))</f>
        <v/>
      </c>
      <c r="E40" s="2" t="inlineStr">
        <is>
          <t>FAT&lt;T4</t>
        </is>
      </c>
      <c r="G40">
        <f>IF(OR(B48=0,B38=0,B50=0),1,IF(AND(B35&gt;=B33+1.5,B35&lt;B33+2.5),1,0))</f>
        <v/>
      </c>
    </row>
    <row r="41" ht="15" customHeight="1" thickBot="1">
      <c r="A41" s="206" t="inlineStr">
        <is>
          <t>Auto Cool 2</t>
        </is>
      </c>
      <c r="B41" s="733">
        <f>IF(B48=1,0,IF(OR(B38=1,B39=1,B40=1),0,IF('Mode Logic'!B30=1,1,0)))*IF(B50=1,0,1)</f>
        <v/>
      </c>
      <c r="C41" s="733">
        <f>B41</f>
        <v/>
      </c>
      <c r="D41" s="168">
        <f>IF(OR(D48=1,D38=1,D50=1),0,IF(AND(D35&gt;=D33,D35&lt;D33+1),1,0))</f>
        <v/>
      </c>
      <c r="I41" s="122" t="inlineStr">
        <is>
          <t xml:space="preserve">Change </t>
        </is>
      </c>
      <c r="J41" s="123">
        <f>(1/1000)*(K36*K37)/(K38*K39)</f>
        <v/>
      </c>
      <c r="K41" s="113" t="inlineStr">
        <is>
          <t>C</t>
        </is>
      </c>
    </row>
    <row r="42">
      <c r="A42" s="206" t="inlineStr">
        <is>
          <t>Auto Cool 3</t>
        </is>
      </c>
      <c r="B42" s="2">
        <f>IF(B48=1,0,IF(OR(B38=1,B39=1,B40=1,B41=1),0,IF('Mode Logic'!B31=1,1,0)))*IF(OR(B50=1,B49),0,1)</f>
        <v/>
      </c>
      <c r="C42" s="2">
        <f>B42</f>
        <v/>
      </c>
      <c r="D42" s="213">
        <f>IF(OR(D48=1,D38=1,D50=1,N1=1,N2=1),0,IF(AND(D35&gt;=D33+2.5,D35&lt;D33+3.5),1,0))</f>
        <v/>
      </c>
      <c r="E42">
        <f>IF(OR(B48=1,B38=1,B50=1,L1=1,L2=1),0,IF(AND(B35&gt;=B33+2.5,B35&lt;B33+3.5),1,0))</f>
        <v/>
      </c>
    </row>
    <row r="43">
      <c r="A43" s="206" t="inlineStr">
        <is>
          <t>Temp reference for Internal Smoke</t>
        </is>
      </c>
      <c r="B43" s="2" t="n">
        <v>45</v>
      </c>
      <c r="C43" s="2" t="n">
        <v>45</v>
      </c>
      <c r="D43" s="213" t="n">
        <v>45</v>
      </c>
    </row>
    <row r="44">
      <c r="A44" s="206" t="inlineStr">
        <is>
          <t>Internal Smoke GUI input</t>
        </is>
      </c>
      <c r="B44" s="2">
        <f>'DATA TRANSFER'!F28</f>
        <v/>
      </c>
      <c r="C44" s="2" t="n"/>
      <c r="D44" s="213" t="n"/>
    </row>
    <row r="45">
      <c r="A45" s="206" t="inlineStr">
        <is>
          <t>External Smoke GUI input</t>
        </is>
      </c>
      <c r="B45" s="2">
        <f>'DATA TRANSFER'!F29</f>
        <v/>
      </c>
      <c r="C45" s="2" t="n"/>
      <c r="D45" s="213" t="n"/>
      <c r="E45" s="733" t="n"/>
      <c r="F45" s="733" t="n"/>
      <c r="H45" s="733" t="n"/>
      <c r="I45" s="733" t="n"/>
      <c r="J45" s="733" t="n"/>
      <c r="K45" s="733" t="n"/>
      <c r="L45" s="733" t="n"/>
      <c r="M45" s="733" t="n"/>
      <c r="N45" s="733" t="n"/>
    </row>
    <row r="46">
      <c r="A46" s="206" t="n"/>
      <c r="C46" s="2" t="n"/>
      <c r="D46" s="213" t="n"/>
      <c r="E46" s="733" t="n"/>
      <c r="F46" s="733" t="n"/>
      <c r="G46" s="733" t="n"/>
      <c r="H46" s="733" t="n"/>
      <c r="I46" s="733" t="n"/>
      <c r="J46" s="733" t="n"/>
      <c r="K46" s="733" t="n"/>
      <c r="L46" s="733" t="n"/>
      <c r="M46" s="733" t="n"/>
      <c r="N46" s="733" t="n"/>
    </row>
    <row r="47">
      <c r="A47" s="206" t="n"/>
      <c r="C47" s="2" t="n"/>
      <c r="D47" s="213" t="n"/>
      <c r="E47" s="733">
        <f>IF(B44=1,IF(OR(B35&lt;B43,'DATA TRANSFER'!Q585=1,'DATA TRANSFER'!$F$12=1),1,0),IF('DATA TRANSFER'!F31=1,IF(OR(B35&lt;B34,'DATA TRANSFER'!Q585=1,'DATA TRANSFER'!$F$12=1),1,0),IF(OR(B35&lt;B33,'DATA TRANSFER'!Q585=1,'DATA TRANSFER'!$F$12=1),1,0)))</f>
        <v/>
      </c>
      <c r="F47" s="733" t="n"/>
      <c r="G47" s="733" t="n"/>
      <c r="H47" s="733" t="n"/>
      <c r="I47" s="733" t="n"/>
      <c r="J47" s="733" t="n"/>
      <c r="K47" s="733" t="n"/>
      <c r="L47" s="733" t="n"/>
      <c r="M47" s="733" t="n"/>
      <c r="N47" s="733" t="n"/>
    </row>
    <row r="48">
      <c r="A48" s="206" t="inlineStr">
        <is>
          <t>Vent</t>
        </is>
      </c>
      <c r="B48" s="733">
        <f>IF(B44=1,IF(OR(B35&lt;B43,'DATA TRANSFER'!Q585=1,'DATA TRANSFER'!$F$12=1),1,0),IF('DATA TRANSFER'!F31=1,IF(OR(B35&lt;B34,'DATA TRANSFER'!Q585=1,'DATA TRANSFER'!$F$12=1),1,0),IF(OR(B35&lt;B33,'DATA TRANSFER'!Q585=1,'DATA TRANSFER'!$F$12=1),1,0)))</f>
        <v/>
      </c>
      <c r="C48" s="733">
        <f>B48</f>
        <v/>
      </c>
      <c r="D48" s="168">
        <f>IF(AND(OR('DATA TRANSFER'!H38&lt;25,'DATA TRANSFER'!H59=1,'DATA TRANSFER'!$CP$37=1),D49=0),1,0)</f>
        <v/>
      </c>
      <c r="E48" s="733">
        <f>IF('DATA TRANSFER'!F31=1,IF(OR(B35&lt;B34,'DATA TRANSFER'!Q585=1,'DATA TRANSFER'!$F$12=1),1,0),IF(OR(B35&lt;B33,'DATA TRANSFER'!Q585=1,'DATA TRANSFER'!$F$12=1),1,0))</f>
        <v/>
      </c>
      <c r="F48" s="733">
        <f>IF('DATA TRANSFER'!F31=1,IF(OR(B35&lt;B34,'DATA TRANSFER'!Q585=1,'DATA TRANSFER'!$F$12=1),1,0),IF(OR(B35&lt;B33,'DATA TRANSFER'!Q585=1,'DATA TRANSFER'!$F$12=1),1,0))</f>
        <v/>
      </c>
      <c r="G48" s="733">
        <f>IF(AND(OR('DATA TRANSFER'!F38&lt;25,'DATA TRANSFER'!DF14=1,'DATA TRANSFER'!F46),B49=0),1,0)</f>
        <v/>
      </c>
      <c r="H48" s="733" t="n"/>
      <c r="I48" s="733" t="n"/>
      <c r="J48" s="733" t="n"/>
      <c r="K48" s="733" t="n"/>
      <c r="L48" s="733" t="n"/>
      <c r="M48" s="733" t="n"/>
      <c r="N48" s="733" t="n"/>
    </row>
    <row r="49" ht="15" customHeight="1" thickBot="1">
      <c r="A49" s="206" t="inlineStr">
        <is>
          <t>Int Smoke</t>
        </is>
      </c>
      <c r="B49" s="733" t="n">
        <v>0</v>
      </c>
      <c r="C49" s="733">
        <f>B49</f>
        <v/>
      </c>
      <c r="D49" s="168">
        <f>C49</f>
        <v/>
      </c>
      <c r="E49" s="398">
        <f>IF(OR(B35&lt;B33,'DATA TRANSFER'!Q585=1,'DATA TRANSFER'!$F$12=1),1,0)</f>
        <v/>
      </c>
      <c r="F49" s="733" t="n"/>
      <c r="G49" s="733" t="n"/>
      <c r="H49" s="733" t="n"/>
      <c r="I49" s="733" t="n"/>
      <c r="J49" s="733" t="n"/>
      <c r="K49" s="733" t="n"/>
      <c r="L49" s="733" t="n"/>
      <c r="M49" s="733" t="n"/>
      <c r="N49" s="733" t="n"/>
    </row>
    <row r="50">
      <c r="A50" s="206" t="inlineStr">
        <is>
          <t>Ext Smoke</t>
        </is>
      </c>
      <c r="B50" s="733" t="n">
        <v>0</v>
      </c>
      <c r="C50" s="733">
        <f>B50</f>
        <v/>
      </c>
      <c r="D50" s="168">
        <f>C50</f>
        <v/>
      </c>
      <c r="E50" s="733" t="n"/>
      <c r="F50" s="859" t="inlineStr">
        <is>
          <t>close external damper-FAD</t>
        </is>
      </c>
      <c r="G50" s="153">
        <f>IF(OR(B51,C51,D51,),1,0)</f>
        <v/>
      </c>
      <c r="H50" s="733" t="n"/>
      <c r="I50" s="183" t="inlineStr">
        <is>
          <t>DM A</t>
        </is>
      </c>
      <c r="J50" s="796" t="inlineStr">
        <is>
          <t>TCA</t>
        </is>
      </c>
      <c r="K50" s="178" t="inlineStr">
        <is>
          <t>DM B</t>
        </is>
      </c>
      <c r="L50" s="733" t="n"/>
      <c r="M50" s="733" t="n"/>
      <c r="N50" s="733" t="n"/>
    </row>
    <row r="51" ht="15" customHeight="1" thickBot="1">
      <c r="A51" s="210" t="inlineStr">
        <is>
          <t>FAD</t>
        </is>
      </c>
      <c r="B51" s="733">
        <f>IF(OR(TCMS!D27=1,1,TCMS!D28=1,1),1,0)</f>
        <v/>
      </c>
      <c r="C51" s="733">
        <f>B51</f>
        <v/>
      </c>
      <c r="D51" s="733">
        <f>IF(OR(TCMS!F27=1,1,TCMS!F28=1,1),1,0)</f>
        <v/>
      </c>
      <c r="E51" s="733" t="n"/>
      <c r="F51" s="154" t="inlineStr">
        <is>
          <t>close internal damper-RAD</t>
        </is>
      </c>
      <c r="G51" s="155">
        <f>IF(OR(B52:D52),1,0)</f>
        <v/>
      </c>
      <c r="H51" s="733" t="n"/>
      <c r="I51" s="202">
        <f>IF('DATA TRANSFER'!Q584=1,IF((Calculation!B36&gt;=(Calculation!B33+0.5)),0,1),IF(AND('DATA TRANSFER'!$F$13=1,Calculation!B36&lt;=Calculation!B33),1,0))</f>
        <v/>
      </c>
      <c r="J51" s="202">
        <f>IF('DATA TRANSFER'!DG14=1,    IF(Calculation!C36&gt;=Calculation!C33+0.5,1,       IF(Calculation!C36&lt;=Calculation!C33-0.5,0,'DATA TRANSFER'!DG15)),'DATA TRANSFER'!DG15)</f>
        <v/>
      </c>
      <c r="K51" s="202">
        <f>IF('DATA TRANSFER'!DH14=1,    IF(Calculation!D36&gt;=Calculation!D33+0.5,1,       IF(Calculation!D36&lt;=Calculation!D33-0.5,0,'DATA TRANSFER'!DH15)),'DATA TRANSFER'!DH15)</f>
        <v/>
      </c>
      <c r="L51" s="733" t="n"/>
      <c r="M51" s="733" t="n"/>
      <c r="N51" s="733" t="n"/>
    </row>
    <row r="52" ht="15" customHeight="1" thickBot="1">
      <c r="A52" s="211" t="inlineStr">
        <is>
          <t>RAD</t>
        </is>
      </c>
      <c r="B52" s="170">
        <f>IF(OR(B49=1,'DATA TRANSFER'!F563=0),0,1)</f>
        <v/>
      </c>
      <c r="C52" s="733">
        <f>B52</f>
        <v/>
      </c>
      <c r="D52" s="170">
        <f>IF(OR(TCMS!F27=2,1,TCMS!F28=2,1),1,0)</f>
        <v/>
      </c>
      <c r="E52" s="733" t="n"/>
      <c r="F52" s="733" t="n"/>
      <c r="G52" s="733" t="n"/>
      <c r="H52" s="733" t="n"/>
      <c r="I52" s="733" t="n"/>
      <c r="J52" s="733" t="n"/>
      <c r="K52" s="733" t="n"/>
      <c r="L52" s="733" t="n"/>
      <c r="M52" s="733" t="n"/>
      <c r="N52" s="733" t="n"/>
    </row>
    <row r="53" ht="15" customHeight="1" thickBot="1">
      <c r="E53" s="733" t="n"/>
      <c r="F53" s="733" t="n"/>
      <c r="G53" s="733" t="n"/>
      <c r="H53" s="733" t="n"/>
      <c r="I53" s="733" t="n"/>
      <c r="J53" s="733" t="n"/>
      <c r="K53" s="733" t="n"/>
      <c r="L53" s="733" t="n"/>
      <c r="M53" s="733" t="n"/>
      <c r="N53" s="733" t="n"/>
      <c r="O53" s="733" t="n"/>
    </row>
    <row r="54">
      <c r="A54" s="183" t="n"/>
      <c r="B54" s="796" t="inlineStr">
        <is>
          <t>DM1</t>
        </is>
      </c>
      <c r="C54" s="879" t="n"/>
      <c r="D54" s="796" t="inlineStr">
        <is>
          <t>T2</t>
        </is>
      </c>
      <c r="E54" s="796" t="n"/>
      <c r="F54" s="796" t="inlineStr">
        <is>
          <t>DM6</t>
        </is>
      </c>
      <c r="G54" s="178" t="n"/>
      <c r="H54" s="733" t="n"/>
      <c r="I54" s="733" t="n"/>
      <c r="J54" s="733" t="n"/>
      <c r="K54" s="733" t="n"/>
      <c r="L54" s="733" t="n"/>
      <c r="M54" s="733" t="n"/>
      <c r="N54" s="733" t="n"/>
      <c r="O54" s="733" t="n"/>
    </row>
    <row r="55">
      <c r="A55" s="206" t="n"/>
      <c r="B55" s="733" t="inlineStr">
        <is>
          <t>HVAC 1</t>
        </is>
      </c>
      <c r="C55" s="733" t="inlineStr">
        <is>
          <t>HVAC 2</t>
        </is>
      </c>
      <c r="D55" s="733" t="inlineStr">
        <is>
          <t>HVAC 1</t>
        </is>
      </c>
      <c r="E55" s="733" t="inlineStr">
        <is>
          <t>HVAC 2</t>
        </is>
      </c>
      <c r="F55" s="733" t="inlineStr">
        <is>
          <t>HVAC 1</t>
        </is>
      </c>
      <c r="G55" s="168" t="inlineStr">
        <is>
          <t>HVAC 2</t>
        </is>
      </c>
      <c r="H55" s="733" t="n"/>
      <c r="M55" s="733" t="n"/>
      <c r="N55" s="733" t="n"/>
      <c r="O55" s="733" t="n"/>
    </row>
    <row r="56">
      <c r="A56" s="205" t="inlineStr">
        <is>
          <t>Fault</t>
        </is>
      </c>
      <c r="B56" s="733" t="n">
        <v>0</v>
      </c>
      <c r="C56" s="733">
        <f>B56</f>
        <v/>
      </c>
      <c r="D56" s="733">
        <f t="array" ref="D56">IF(OR('DATA TRANSFER'!$AD$61:$AH$61=1),1,0)</f>
        <v/>
      </c>
      <c r="E56" s="733">
        <f t="array" ref="E56">IF(OR('DATA TRANSFER'!$AD$61:$AH$61=1),1,0)</f>
        <v/>
      </c>
      <c r="F56" s="733">
        <f t="array" ref="F56">IF(OR('DATA TRANSFER'!$AD$61:$AH$61=1),1,0)</f>
        <v/>
      </c>
      <c r="G56" s="168">
        <f t="array" ref="G56">IF(OR('DATA TRANSFER'!$AD$61:$AH$61=1),1,0)</f>
        <v/>
      </c>
      <c r="H56" s="733" t="n"/>
      <c r="M56" s="733" t="n"/>
      <c r="N56" s="733" t="n"/>
      <c r="O56" s="733" t="n"/>
    </row>
    <row r="57">
      <c r="A57" s="206" t="inlineStr">
        <is>
          <t>Pre-Cool</t>
        </is>
      </c>
      <c r="B57" s="733">
        <f>B38</f>
        <v/>
      </c>
      <c r="C57" s="733">
        <f>B57</f>
        <v/>
      </c>
      <c r="D57" s="733">
        <f>C38</f>
        <v/>
      </c>
      <c r="E57" s="733">
        <f>C38</f>
        <v/>
      </c>
      <c r="F57" s="733">
        <f>D38</f>
        <v/>
      </c>
      <c r="G57" s="168">
        <f>D38</f>
        <v/>
      </c>
      <c r="H57" s="733" t="n"/>
      <c r="M57" s="733" t="n"/>
      <c r="N57" s="733" t="n"/>
      <c r="O57" s="733" t="n"/>
    </row>
    <row r="58">
      <c r="A58" s="206" t="inlineStr">
        <is>
          <t>Pre-heat</t>
        </is>
      </c>
      <c r="B58" s="733">
        <f>B39</f>
        <v/>
      </c>
      <c r="C58" s="733">
        <f>B58</f>
        <v/>
      </c>
      <c r="D58" s="733">
        <f>C39</f>
        <v/>
      </c>
      <c r="E58" s="733">
        <f>C39</f>
        <v/>
      </c>
      <c r="F58" s="733">
        <f>D39</f>
        <v/>
      </c>
      <c r="G58" s="168">
        <f>D39</f>
        <v/>
      </c>
      <c r="H58" s="733" t="n"/>
      <c r="M58" s="733" t="n"/>
      <c r="N58" s="733" t="n"/>
      <c r="O58" s="733" t="n"/>
    </row>
    <row r="59" ht="25.5" customHeight="1">
      <c r="A59" s="206" t="inlineStr">
        <is>
          <t>Auto Cool 1 (Cooling Circuits Disabled)</t>
        </is>
      </c>
      <c r="B59" s="733">
        <f>B40</f>
        <v/>
      </c>
      <c r="C59" s="733">
        <f>B59</f>
        <v/>
      </c>
      <c r="D59" s="733">
        <f>C40</f>
        <v/>
      </c>
      <c r="E59" s="733">
        <f>C40</f>
        <v/>
      </c>
      <c r="F59" s="733">
        <f>D40</f>
        <v/>
      </c>
      <c r="G59" s="168">
        <f>D40</f>
        <v/>
      </c>
      <c r="H59" s="733" t="n"/>
      <c r="M59" s="733" t="n"/>
      <c r="N59" s="733" t="n"/>
      <c r="O59" s="733" t="n"/>
    </row>
    <row r="60" ht="19.5" customHeight="1">
      <c r="A60" s="206" t="inlineStr">
        <is>
          <t>Auto Cool 2</t>
        </is>
      </c>
      <c r="B60" s="733">
        <f>B41</f>
        <v/>
      </c>
      <c r="C60" s="733">
        <f>B60</f>
        <v/>
      </c>
      <c r="D60" s="733">
        <f>C40</f>
        <v/>
      </c>
      <c r="E60" s="733">
        <f>C40</f>
        <v/>
      </c>
      <c r="F60" s="733">
        <f>D41</f>
        <v/>
      </c>
      <c r="G60" s="168">
        <f>D41</f>
        <v/>
      </c>
      <c r="H60" s="733" t="n"/>
      <c r="M60" s="733" t="n"/>
      <c r="N60" s="733" t="n"/>
      <c r="O60" s="733" t="n"/>
    </row>
    <row r="61" ht="19.5" customHeight="1">
      <c r="A61" s="206" t="inlineStr">
        <is>
          <t>Auto Cool 5</t>
        </is>
      </c>
      <c r="B61" s="2">
        <f>B42</f>
        <v/>
      </c>
      <c r="C61" s="733">
        <f>B61</f>
        <v/>
      </c>
      <c r="D61" s="2">
        <f>C42</f>
        <v/>
      </c>
      <c r="E61" s="2">
        <f>C42</f>
        <v/>
      </c>
      <c r="F61" s="733">
        <f>D42</f>
        <v/>
      </c>
      <c r="G61" s="213">
        <f>D42</f>
        <v/>
      </c>
      <c r="H61" s="733" t="n"/>
      <c r="M61" s="733" t="n"/>
      <c r="N61" s="733" t="n"/>
      <c r="O61" s="733" t="n"/>
    </row>
    <row r="62">
      <c r="A62" s="206" t="inlineStr">
        <is>
          <t>Heat Mode</t>
        </is>
      </c>
      <c r="B62" s="2" t="n">
        <v>0</v>
      </c>
      <c r="C62" s="733" t="n"/>
      <c r="D62" s="733" t="n"/>
      <c r="E62" s="2" t="n"/>
      <c r="F62" s="733" t="n"/>
      <c r="G62" s="213" t="n"/>
      <c r="H62" s="733" t="n"/>
      <c r="J62" s="733" t="n"/>
      <c r="M62" s="733" t="n"/>
      <c r="N62" s="733" t="n"/>
      <c r="O62" s="733" t="n"/>
    </row>
    <row r="63">
      <c r="A63" s="206" t="inlineStr">
        <is>
          <t>Dehumidification Mode</t>
        </is>
      </c>
      <c r="B63" s="2" t="n">
        <v>0</v>
      </c>
      <c r="C63" s="733" t="n"/>
      <c r="D63" s="733" t="n"/>
      <c r="E63" s="2" t="n"/>
      <c r="F63" s="733" t="n"/>
      <c r="G63" s="213" t="n"/>
      <c r="H63" s="733" t="n"/>
      <c r="I63" s="733" t="n"/>
      <c r="J63" s="733" t="n"/>
      <c r="K63" s="733" t="n"/>
    </row>
    <row r="64">
      <c r="A64" s="206" t="inlineStr">
        <is>
          <t>Emergency Vent Mode</t>
        </is>
      </c>
      <c r="B64" s="2">
        <f>'LFD OLD'!R45</f>
        <v/>
      </c>
      <c r="C64" s="733" t="n"/>
      <c r="D64" s="733" t="n"/>
      <c r="E64" s="2" t="n"/>
      <c r="F64" s="733" t="n"/>
      <c r="G64" s="213" t="n"/>
      <c r="H64" s="733" t="n"/>
      <c r="I64" s="733" t="n"/>
      <c r="J64" s="733" t="n"/>
      <c r="K64" s="733" t="n"/>
    </row>
    <row r="65">
      <c r="A65" s="206" t="inlineStr">
        <is>
          <t>Heater</t>
        </is>
      </c>
      <c r="B65" s="2">
        <f>VLOOKUP(1,'Mode Logic'!B26:E36,3,FALSE)</f>
        <v/>
      </c>
      <c r="C65" s="733" t="n"/>
      <c r="D65" s="733" t="n"/>
      <c r="E65" s="2" t="n"/>
      <c r="F65" s="733" t="n"/>
      <c r="G65" s="213" t="n"/>
      <c r="H65" s="733" t="n"/>
      <c r="I65" s="733" t="n"/>
      <c r="J65" s="733" t="n"/>
      <c r="K65" s="733" t="n"/>
    </row>
    <row r="66">
      <c r="A66" s="206" t="inlineStr">
        <is>
          <t>Condensor Fan</t>
        </is>
      </c>
      <c r="B66" s="2">
        <f>VLOOKUP(1,'Mode Logic'!B26:E36,4,FALSE)</f>
        <v/>
      </c>
      <c r="C66" s="733">
        <f>B66</f>
        <v/>
      </c>
      <c r="D66" s="733" t="n"/>
      <c r="E66" s="2" t="n"/>
      <c r="F66" s="733" t="n"/>
      <c r="G66" s="213" t="n"/>
      <c r="H66" s="733" t="n"/>
      <c r="I66" s="733" t="n"/>
      <c r="J66" s="733" t="n"/>
      <c r="K66" s="733" t="n"/>
    </row>
    <row r="67">
      <c r="A67" s="206" t="inlineStr">
        <is>
          <t>Vent</t>
        </is>
      </c>
      <c r="B67" s="733">
        <f>B48</f>
        <v/>
      </c>
      <c r="C67" s="733">
        <f>B67</f>
        <v/>
      </c>
      <c r="D67" s="733">
        <f>C48</f>
        <v/>
      </c>
      <c r="E67" s="733">
        <f>D48</f>
        <v/>
      </c>
      <c r="F67" s="733">
        <f>D48</f>
        <v/>
      </c>
      <c r="G67" s="168">
        <f>D48</f>
        <v/>
      </c>
      <c r="H67" s="733" t="n"/>
      <c r="I67" s="733" t="n"/>
      <c r="J67" s="733" t="n"/>
      <c r="K67" s="733" t="n"/>
    </row>
    <row r="68">
      <c r="A68" s="206" t="inlineStr">
        <is>
          <t>Int Smoke</t>
        </is>
      </c>
      <c r="B68" s="733">
        <f>B49</f>
        <v/>
      </c>
      <c r="C68" s="733">
        <f>B68</f>
        <v/>
      </c>
      <c r="D68" s="733">
        <f>C49</f>
        <v/>
      </c>
      <c r="E68" s="733">
        <f>C49</f>
        <v/>
      </c>
      <c r="F68" s="733">
        <f>D49</f>
        <v/>
      </c>
      <c r="G68" s="168">
        <f>D49</f>
        <v/>
      </c>
      <c r="H68" s="733" t="n"/>
      <c r="I68" s="733" t="n"/>
      <c r="J68" s="733" t="n"/>
      <c r="K68" s="733" t="n"/>
    </row>
    <row r="69">
      <c r="A69" s="206" t="inlineStr">
        <is>
          <t>Ext Smoke</t>
        </is>
      </c>
      <c r="B69" s="733">
        <f>B50</f>
        <v/>
      </c>
      <c r="C69" s="733">
        <f>B69</f>
        <v/>
      </c>
      <c r="D69" s="733">
        <f>C50</f>
        <v/>
      </c>
      <c r="E69" s="733">
        <f>C50</f>
        <v/>
      </c>
      <c r="F69" s="733">
        <f>D50</f>
        <v/>
      </c>
      <c r="G69" s="168">
        <f>D50</f>
        <v/>
      </c>
      <c r="H69" s="733" t="n"/>
      <c r="I69" s="733" t="n"/>
      <c r="J69" s="733" t="n"/>
      <c r="K69" s="733" t="n"/>
    </row>
    <row r="70">
      <c r="A70" s="206" t="inlineStr">
        <is>
          <t>FAD</t>
        </is>
      </c>
      <c r="B70" s="733">
        <f>B51</f>
        <v/>
      </c>
      <c r="C70" s="733">
        <f>B70</f>
        <v/>
      </c>
      <c r="D70" s="733">
        <f>C51</f>
        <v/>
      </c>
      <c r="E70" s="733">
        <f>C51</f>
        <v/>
      </c>
      <c r="F70" s="733">
        <f>D51</f>
        <v/>
      </c>
      <c r="G70" s="168">
        <f>D51</f>
        <v/>
      </c>
      <c r="H70" s="733" t="n"/>
      <c r="I70" s="733" t="n"/>
      <c r="J70" s="733" t="n"/>
      <c r="K70" s="733" t="n"/>
      <c r="N70" s="733" t="n"/>
    </row>
    <row r="71">
      <c r="A71" s="206" t="inlineStr">
        <is>
          <t>RAD</t>
        </is>
      </c>
      <c r="B71" s="733">
        <f>B52</f>
        <v/>
      </c>
      <c r="C71" s="733">
        <f>B71</f>
        <v/>
      </c>
      <c r="D71" s="733">
        <f>C52</f>
        <v/>
      </c>
      <c r="E71" s="733">
        <f>C52</f>
        <v/>
      </c>
      <c r="F71" s="733">
        <f>D52</f>
        <v/>
      </c>
      <c r="G71" s="168">
        <f>D52</f>
        <v/>
      </c>
      <c r="H71" s="733" t="n"/>
      <c r="I71" s="733" t="n"/>
      <c r="J71" s="733" t="n"/>
      <c r="K71" s="733" t="n"/>
    </row>
    <row r="72">
      <c r="A72" s="206" t="n"/>
      <c r="B72" s="733" t="n"/>
      <c r="C72" s="733" t="n"/>
      <c r="D72" s="733" t="n"/>
      <c r="E72" s="733" t="n"/>
      <c r="F72" s="733" t="n"/>
      <c r="G72" s="168" t="n"/>
      <c r="H72" s="733" t="n"/>
      <c r="I72" s="733" t="n"/>
      <c r="J72" s="733" t="n"/>
      <c r="K72" s="733" t="n"/>
    </row>
    <row r="73">
      <c r="A73" s="206" t="inlineStr">
        <is>
          <t>Comp 1</t>
        </is>
      </c>
      <c r="B73" s="733">
        <f>IF(B56=0,IF(VLOOKUP(1,'Mode Logic'!B26:K37,7,FALSE),1,0))</f>
        <v/>
      </c>
      <c r="C73" s="733">
        <f>B73</f>
        <v/>
      </c>
      <c r="D73" s="733">
        <f>IF(D56=0,IF(OR(D57:D66,D69),1,0))</f>
        <v/>
      </c>
      <c r="E73" s="733">
        <f>IF(E56=0,IF(OR(E57:E66,E69),1,0))</f>
        <v/>
      </c>
      <c r="F73" s="733">
        <f>IF(F56=0,IF(OR(F57:F66,F69),1,0))</f>
        <v/>
      </c>
      <c r="G73" s="168">
        <f>IF(G56=0,IF(OR(G57:G66,G69),1,0))</f>
        <v/>
      </c>
      <c r="H73" s="733" t="n"/>
      <c r="I73" s="733" t="n"/>
      <c r="J73" s="733" t="n"/>
      <c r="K73" s="733" t="n"/>
    </row>
    <row r="74">
      <c r="A74" s="206" t="inlineStr">
        <is>
          <t>Comp 2</t>
        </is>
      </c>
      <c r="B74" s="733">
        <f>IF(B56=0,IF(VLOOKUP(1,'Mode Logic'!B26:K37,8,FALSE),1,0))</f>
        <v/>
      </c>
      <c r="C74" s="733">
        <f>B74</f>
        <v/>
      </c>
      <c r="D74" s="733">
        <f>IF(D56=0,IF(OR(D57:D66,D69),1,0))</f>
        <v/>
      </c>
      <c r="E74" s="733">
        <f>IF(E56=0,IF(OR(E57:E66,E69),1,0))</f>
        <v/>
      </c>
      <c r="F74" s="733">
        <f>IF(F56=0,IF(OR(F57:F66,F69),1,0))</f>
        <v/>
      </c>
      <c r="G74" s="168">
        <f>IF(G56=0,IF(OR(G57:G66,G69),1,0))</f>
        <v/>
      </c>
      <c r="H74" s="733" t="n"/>
      <c r="I74" s="733" t="n"/>
      <c r="J74" s="733" t="n"/>
      <c r="K74" s="733" t="n"/>
    </row>
    <row r="75">
      <c r="A75" s="206" t="inlineStr">
        <is>
          <t>Comp 3</t>
        </is>
      </c>
      <c r="B75" s="2">
        <f>IF(B56=0,IF(VLOOKUP(1,'Mode Logic'!B26:K37,9,FALSE),1,0))</f>
        <v/>
      </c>
      <c r="C75" s="733">
        <f>B75</f>
        <v/>
      </c>
      <c r="D75" s="2">
        <f>IF(D56=0,IF(OR(D57:D66,D69),1,0))</f>
        <v/>
      </c>
      <c r="E75" s="2">
        <f>IF(E56=0,IF(OR(E57:E66,E69),1,0))</f>
        <v/>
      </c>
      <c r="F75" s="2">
        <f>IF(F56=0,IF(OR(F57:F66,F69),1,0))</f>
        <v/>
      </c>
      <c r="G75" s="213">
        <f>IF(G56=0,IF(OR(G57:G66,G69),1,0))</f>
        <v/>
      </c>
      <c r="H75" s="733" t="n"/>
      <c r="I75" s="733" t="n"/>
      <c r="J75" s="733" t="n"/>
      <c r="K75" s="733" t="n"/>
    </row>
    <row r="76">
      <c r="A76" s="206" t="inlineStr">
        <is>
          <t>Comp 4</t>
        </is>
      </c>
      <c r="B76" s="2">
        <f>IF(B56=0,IF(VLOOKUP(1,'Mode Logic'!B26:K37,10,FALSE),1,0))</f>
        <v/>
      </c>
      <c r="C76" s="733">
        <f>B76</f>
        <v/>
      </c>
      <c r="D76" s="2">
        <f>IF(D56=0,IF(OR(D57:D66,D69),1,0))</f>
        <v/>
      </c>
      <c r="E76" s="2">
        <f>IF(E56=0,IF(OR(E57:E66,E69),1,0))</f>
        <v/>
      </c>
      <c r="F76" s="2">
        <f>IF(F56=0,IF(OR(F57:F66,F69),1,0))</f>
        <v/>
      </c>
      <c r="G76" s="213">
        <f>IF(G56=0,IF(OR(G57:G66,G69),1,0))</f>
        <v/>
      </c>
      <c r="K76" s="733" t="n"/>
    </row>
    <row r="77">
      <c r="A77" s="206" t="inlineStr">
        <is>
          <t>FAD</t>
        </is>
      </c>
      <c r="B77" s="733">
        <f>IF(B56=0,IF(VLOOKUP(1,'Mode Logic'!B26:N37,11,FALSE),1,0))</f>
        <v/>
      </c>
      <c r="C77" s="733">
        <f>B77</f>
        <v/>
      </c>
      <c r="D77" s="733" t="n"/>
      <c r="E77" s="733" t="n"/>
      <c r="F77" s="733" t="n"/>
      <c r="G77" s="168" t="n"/>
      <c r="K77" s="733" t="n"/>
    </row>
    <row r="78" ht="15" customHeight="1" thickBot="1">
      <c r="A78" s="202" t="inlineStr">
        <is>
          <t>RAD</t>
        </is>
      </c>
      <c r="B78" s="170">
        <f>B52</f>
        <v/>
      </c>
      <c r="C78" s="170">
        <f>B78</f>
        <v/>
      </c>
      <c r="D78" s="170" t="n"/>
      <c r="E78" s="170" t="n"/>
      <c r="F78" s="170" t="n"/>
      <c r="G78" s="171" t="n"/>
      <c r="H78" s="733" t="n"/>
      <c r="I78" s="733" t="n"/>
      <c r="J78" s="733" t="n"/>
      <c r="K78" s="733" t="n"/>
    </row>
    <row r="79" ht="15" customHeight="1" thickBot="1">
      <c r="H79" s="733" t="n"/>
      <c r="I79" s="733" t="n"/>
      <c r="J79" s="733" t="n"/>
      <c r="K79" s="733" t="n"/>
    </row>
    <row r="80">
      <c r="A80" s="183" t="inlineStr">
        <is>
          <t>Pax Heat Load</t>
        </is>
      </c>
      <c r="B80" s="796">
        <f>$M$9</f>
        <v/>
      </c>
      <c r="C80" s="796">
        <f>$M$9</f>
        <v/>
      </c>
      <c r="D80" s="796">
        <f>$M$9</f>
        <v/>
      </c>
      <c r="E80" s="796">
        <f>$M$9</f>
        <v/>
      </c>
      <c r="F80" s="796">
        <f>$M$9</f>
        <v/>
      </c>
      <c r="G80" s="178">
        <f>$M$9</f>
        <v/>
      </c>
      <c r="H80" s="733" t="n"/>
      <c r="I80" s="733" t="n"/>
      <c r="J80" s="733" t="n"/>
      <c r="K80" s="733" t="n"/>
    </row>
    <row r="81">
      <c r="A81" s="206" t="inlineStr">
        <is>
          <t>FAD Load</t>
        </is>
      </c>
      <c r="B81" s="733">
        <f>IF(B77=1,$J$17*$F$8/100,0)</f>
        <v/>
      </c>
      <c r="C81" s="733">
        <f>IF(C77=1,$J$17*$F$8/100,0)</f>
        <v/>
      </c>
      <c r="D81" s="733">
        <f>IF(D77=1,$J$17*$F$8/100,0)</f>
        <v/>
      </c>
      <c r="E81" s="733">
        <f>IF(E77=1,$J$17*$F$8/100,0)</f>
        <v/>
      </c>
      <c r="F81" s="733">
        <f>IF(F77=1,$J$17*$F$8/100,0)</f>
        <v/>
      </c>
      <c r="G81" s="168">
        <f>IF(G77=1,$J$17*$F$8/100,0)</f>
        <v/>
      </c>
      <c r="H81" s="733" t="n"/>
      <c r="I81" s="733" t="n"/>
      <c r="J81" s="733" t="n"/>
      <c r="K81" s="733" t="n"/>
    </row>
    <row r="82">
      <c r="A82" s="206" t="inlineStr">
        <is>
          <t>Operational Heat</t>
        </is>
      </c>
      <c r="B82" s="733">
        <f>$K$23</f>
        <v/>
      </c>
      <c r="C82" s="733" t="n"/>
      <c r="D82" s="733" t="n"/>
      <c r="E82" s="733" t="n"/>
      <c r="F82" s="733" t="n"/>
      <c r="G82" s="168" t="n"/>
      <c r="H82" s="733" t="n"/>
      <c r="I82" s="733" t="n"/>
      <c r="J82" s="733" t="n"/>
      <c r="K82" s="733" t="n"/>
    </row>
    <row r="83" ht="15" customHeight="1" thickBot="1">
      <c r="A83" s="202" t="inlineStr">
        <is>
          <t xml:space="preserve">Total </t>
        </is>
      </c>
      <c r="B83" s="170">
        <f>SUM(B80:B82)*$B$8</f>
        <v/>
      </c>
      <c r="C83" s="170">
        <f>SUM(C80:C82)*$B$8</f>
        <v/>
      </c>
      <c r="D83" s="170">
        <f>SUM(D80:D82)*$B$8</f>
        <v/>
      </c>
      <c r="E83" s="170">
        <f>SUM(E80:E82)*$B$8</f>
        <v/>
      </c>
      <c r="F83" s="170">
        <f>SUM(F80:F82)*$B$8</f>
        <v/>
      </c>
      <c r="G83" s="171">
        <f>SUM(G80:G82)*$B$8</f>
        <v/>
      </c>
      <c r="H83" s="733" t="n"/>
      <c r="I83" s="733" t="n"/>
      <c r="J83" s="733" t="n"/>
      <c r="K83" s="733" t="n"/>
      <c r="N83" s="733" t="n"/>
    </row>
    <row r="84" ht="15" customHeight="1" thickBot="1">
      <c r="F84" s="733" t="n"/>
      <c r="G84" s="733" t="n"/>
      <c r="K84" s="733" t="n"/>
      <c r="N84" s="733" t="n"/>
    </row>
    <row r="85">
      <c r="A85" s="183" t="inlineStr">
        <is>
          <t>Cooling</t>
        </is>
      </c>
      <c r="B85" s="796">
        <f>IF(AND(B73:B76),75000,IF(OR(B73:B76),70000,0))</f>
        <v/>
      </c>
      <c r="C85" s="796">
        <f>IF(AND(C73:C76),47000,IF(OR(C73:C76),10000,0))</f>
        <v/>
      </c>
      <c r="D85" s="796">
        <f>IF(AND(D73:D76),47000,IF(OR(D73:D76),10000,0))</f>
        <v/>
      </c>
      <c r="E85" s="796">
        <f>IF(AND(E73:E76),47000,IF(OR(E73:E76),10000,0))</f>
        <v/>
      </c>
      <c r="F85" s="796">
        <f>IF(AND(F73:F76),47000,IF(OR(F73:F76),10000,0))</f>
        <v/>
      </c>
      <c r="G85" s="178">
        <f>IF(AND(G73:G76),47000,IF(OR(G73:G76),10000,0))</f>
        <v/>
      </c>
      <c r="H85" s="733" t="n"/>
      <c r="I85" s="733" t="n"/>
      <c r="J85" s="733" t="n"/>
      <c r="K85" s="733" t="n"/>
      <c r="N85" s="733" t="n"/>
    </row>
    <row r="86">
      <c r="A86" s="206" t="inlineStr">
        <is>
          <t>Delta W</t>
        </is>
      </c>
      <c r="B86" s="733">
        <f>B85-B83</f>
        <v/>
      </c>
      <c r="C86" s="733">
        <f>C85-C83</f>
        <v/>
      </c>
      <c r="D86" s="733">
        <f>D85-D84</f>
        <v/>
      </c>
      <c r="E86" s="733">
        <f>E85-E84</f>
        <v/>
      </c>
      <c r="F86" s="733">
        <f>F85-F84</f>
        <v/>
      </c>
      <c r="G86" s="168">
        <f>G85-G84</f>
        <v/>
      </c>
      <c r="H86" s="733" t="n"/>
      <c r="I86" s="733" t="n"/>
      <c r="J86" s="733" t="n"/>
      <c r="K86" s="733" t="n"/>
      <c r="N86" s="733" t="n"/>
    </row>
    <row r="87" ht="15" customHeight="1" thickBot="1">
      <c r="A87" s="202" t="inlineStr">
        <is>
          <t>Time</t>
        </is>
      </c>
      <c r="B87" s="170">
        <f>$B$6</f>
        <v/>
      </c>
      <c r="C87" s="170">
        <f>$B$6</f>
        <v/>
      </c>
      <c r="D87" s="170">
        <f>$B$6</f>
        <v/>
      </c>
      <c r="E87" s="170">
        <f>$B$6</f>
        <v/>
      </c>
      <c r="F87" s="170">
        <f>$B$6</f>
        <v/>
      </c>
      <c r="G87" s="171">
        <f>$B$6</f>
        <v/>
      </c>
      <c r="H87" s="733" t="n"/>
      <c r="I87" s="733" t="n"/>
      <c r="J87" s="733" t="n"/>
      <c r="K87" s="733" t="n"/>
      <c r="L87" s="733" t="n"/>
      <c r="M87" s="733" t="n"/>
      <c r="N87" s="733" t="n"/>
    </row>
    <row r="88" ht="15" customHeight="1" thickBot="1">
      <c r="B88" s="796" t="n"/>
      <c r="H88" s="733" t="n"/>
      <c r="I88" s="733" t="n"/>
      <c r="J88" s="733" t="n"/>
      <c r="K88" s="733" t="n"/>
      <c r="L88" s="733" t="n"/>
      <c r="M88" s="733" t="n"/>
      <c r="N88" s="733" t="n"/>
    </row>
    <row r="89">
      <c r="A89" s="183" t="inlineStr">
        <is>
          <t>Total Delta W</t>
        </is>
      </c>
      <c r="B89" s="796">
        <f>B86+C86</f>
        <v/>
      </c>
      <c r="C89" s="796">
        <f>D86+E86</f>
        <v/>
      </c>
      <c r="D89" s="796">
        <f>F86+G86</f>
        <v/>
      </c>
      <c r="E89" s="796" t="n"/>
      <c r="F89" s="796" t="n"/>
      <c r="G89" s="178" t="n"/>
      <c r="H89" s="733" t="n"/>
      <c r="I89" s="733" t="n"/>
      <c r="J89" s="733" t="n"/>
      <c r="K89" s="733" t="n"/>
      <c r="L89" s="733" t="n"/>
      <c r="M89" s="733" t="n"/>
      <c r="N89" s="733" t="n"/>
    </row>
    <row r="90" ht="15" customHeight="1" thickBot="1">
      <c r="A90" s="202" t="inlineStr">
        <is>
          <t>Change</t>
        </is>
      </c>
      <c r="B90" s="170">
        <f>((1/1000)*((B89*$B$6)/($K$29*$K$30)))</f>
        <v/>
      </c>
      <c r="C90" s="170">
        <f>((1/1000)*((C89*$B$6)/($K$29*$K$30)))</f>
        <v/>
      </c>
      <c r="D90" s="170">
        <f>((1/1000)*((D89*$B$6)/($K$29*$K$30)))</f>
        <v/>
      </c>
      <c r="E90" s="170" t="n"/>
      <c r="F90" s="170" t="n"/>
      <c r="G90" s="171" t="n"/>
      <c r="H90" s="733" t="n"/>
      <c r="I90" s="733" t="n"/>
      <c r="J90" s="733" t="n"/>
      <c r="K90" s="733" t="n"/>
      <c r="L90" s="733" t="n"/>
      <c r="M90" s="733" t="n"/>
      <c r="N90" s="733" t="n"/>
    </row>
    <row r="91">
      <c r="A91" s="733" t="n"/>
      <c r="B91" s="733" t="n"/>
      <c r="C91" s="733" t="n"/>
      <c r="D91" s="733" t="n"/>
      <c r="E91" s="733" t="n"/>
      <c r="F91" s="733" t="n"/>
      <c r="G91" s="733" t="n"/>
      <c r="H91" s="733" t="n"/>
      <c r="I91" s="733" t="n"/>
      <c r="J91" s="733" t="n"/>
      <c r="K91" s="733" t="n"/>
      <c r="L91" s="733" t="n"/>
      <c r="M91" s="733" t="n"/>
      <c r="N91" s="733" t="n"/>
    </row>
    <row r="92">
      <c r="A92" s="790" t="inlineStr">
        <is>
          <t>HVAC SYSTEM COMMANDS SCREEN</t>
        </is>
      </c>
      <c r="E92" s="733" t="n"/>
      <c r="F92" s="791" t="inlineStr">
        <is>
          <t>REMOTE CBs COMMANDS</t>
        </is>
      </c>
      <c r="L92" s="733" t="n"/>
      <c r="M92" s="733" t="n"/>
      <c r="N92" s="733" t="n"/>
    </row>
    <row r="93" ht="15" customHeight="1" thickBot="1">
      <c r="A93" s="733" t="n"/>
      <c r="B93" s="733" t="n"/>
      <c r="C93" s="733" t="n"/>
      <c r="D93" s="733" t="n"/>
      <c r="E93" s="733" t="n"/>
      <c r="F93" s="733" t="n"/>
      <c r="G93" s="733" t="n"/>
      <c r="H93" s="733" t="n"/>
      <c r="L93" s="733" t="n"/>
      <c r="M93" s="733" t="n"/>
      <c r="N93" s="733" t="n"/>
    </row>
    <row r="94">
      <c r="A94" s="156" t="inlineStr">
        <is>
          <t>ISOLATE DMA HVAC 1</t>
        </is>
      </c>
      <c r="B94" s="156" t="inlineStr">
        <is>
          <t>ISOLATE TCA HVAC 1</t>
        </is>
      </c>
      <c r="C94" s="157" t="inlineStr">
        <is>
          <t>ISOLATE DMB HVAC 1</t>
        </is>
      </c>
      <c r="D94" s="158" t="inlineStr">
        <is>
          <t>HW ISOLATE</t>
        </is>
      </c>
      <c r="E94" s="733" t="n"/>
      <c r="F94" s="156" t="inlineStr">
        <is>
          <t>DMA HVAC 1 CB TRIP</t>
        </is>
      </c>
      <c r="G94" s="156" t="inlineStr">
        <is>
          <t>TCA HVAC 1 CB TRIP</t>
        </is>
      </c>
      <c r="H94" s="156" t="inlineStr">
        <is>
          <t>DMB HVAC 1 CB TRIP</t>
        </is>
      </c>
      <c r="I94" s="158" t="inlineStr">
        <is>
          <t>HW OFF DUE TO CB TRIP</t>
        </is>
      </c>
      <c r="L94" s="733" t="n"/>
      <c r="M94" s="733" t="n"/>
      <c r="N94" s="733" t="n"/>
    </row>
    <row r="95" ht="15" customHeight="1" thickBot="1">
      <c r="A95" s="201">
        <f>--AND(TCMS!C97=1,TCMS!C100=1,(TCMS!C97+TCMS!C100+TCMS!D97+TCMS!D100+TCMS!E97+TCMS!E100)=2,'DATA TRANSFER'!F46)</f>
        <v/>
      </c>
      <c r="B95" s="163">
        <f>--AND(TCMS!D97=1,TCMS!D100=1,(TCMS!C97+TCMS!C100+TCMS!D97+TCMS!D100+TCMS!E97+TCMS!E100)=2)</f>
        <v/>
      </c>
      <c r="C95" s="201">
        <f>--AND(TCMS!E97=1,TCMS!E100=1,(TCMS!C97+TCMS!C100+TCMS!D97+TCMS!D100+TCMS!E97+TCMS!E100)=2)</f>
        <v/>
      </c>
      <c r="D95" s="165" t="n"/>
      <c r="E95" s="733" t="n"/>
      <c r="F95" s="163">
        <f>IF((TCMS!C105=0),1,0)</f>
        <v/>
      </c>
      <c r="G95" s="163" t="n"/>
      <c r="H95" s="164" t="n"/>
      <c r="I95" s="165">
        <f>IF(OR(C95,D95,E95,F95,G95,H95,C98,D98,E98,F98,G98,H98),1,0)</f>
        <v/>
      </c>
      <c r="L95" s="733" t="n"/>
      <c r="M95" s="733" t="n"/>
      <c r="N95" s="733" t="n"/>
    </row>
    <row r="96">
      <c r="A96" s="733" t="n"/>
      <c r="B96" s="733" t="n"/>
      <c r="C96" s="733" t="n"/>
      <c r="D96" s="733" t="n"/>
      <c r="E96" s="733" t="n"/>
      <c r="F96" s="733" t="n"/>
      <c r="G96" s="733" t="n"/>
      <c r="H96" s="733" t="n"/>
      <c r="L96" s="733" t="n"/>
      <c r="M96" s="733" t="n"/>
      <c r="N96" s="733" t="n"/>
    </row>
    <row r="97">
      <c r="A97" s="156" t="inlineStr">
        <is>
          <t>FAULT DMA HVAC 1</t>
        </is>
      </c>
      <c r="B97" s="156" t="inlineStr">
        <is>
          <t>FAULT TCA</t>
        </is>
      </c>
      <c r="C97" s="156" t="inlineStr">
        <is>
          <t>FAULT DMB</t>
        </is>
      </c>
      <c r="D97" s="733" t="n"/>
      <c r="E97" s="733" t="n"/>
      <c r="F97" s="156" t="inlineStr">
        <is>
          <t>DMA HVAC 2 CB TRIP</t>
        </is>
      </c>
      <c r="G97" s="156" t="inlineStr">
        <is>
          <t>TCA HVAC 2 CB TRIP</t>
        </is>
      </c>
      <c r="H97" s="156" t="inlineStr">
        <is>
          <t>DMB HVAC 2 CB TRIP</t>
        </is>
      </c>
      <c r="L97" s="733" t="n"/>
      <c r="M97" s="733" t="n"/>
      <c r="N97" s="733" t="n"/>
    </row>
    <row r="98">
      <c r="A98" s="163" t="n"/>
      <c r="B98" s="163" t="n"/>
      <c r="C98" s="164" t="n"/>
      <c r="D98" s="733" t="n"/>
      <c r="E98" s="733" t="n"/>
      <c r="F98" s="163" t="n"/>
      <c r="G98" s="163" t="n"/>
      <c r="H98" s="164" t="n"/>
      <c r="L98" s="733" t="n"/>
      <c r="M98" s="733" t="n"/>
      <c r="N98" s="733" t="n"/>
    </row>
    <row r="99">
      <c r="A99" s="733" t="n"/>
      <c r="B99" s="733" t="n"/>
      <c r="C99" s="733" t="n"/>
      <c r="D99" s="733" t="n"/>
      <c r="E99" s="733" t="n"/>
      <c r="F99" s="733" t="n"/>
      <c r="G99" s="733" t="n"/>
      <c r="H99" s="733" t="n"/>
      <c r="L99" s="733" t="n"/>
      <c r="M99" s="733" t="n"/>
      <c r="N99" s="733" t="n"/>
    </row>
    <row r="100">
      <c r="A100" s="156" t="inlineStr">
        <is>
          <t>AUTO DMA</t>
        </is>
      </c>
      <c r="B100" s="156" t="inlineStr">
        <is>
          <t>AUTO TCA</t>
        </is>
      </c>
      <c r="C100" s="156" t="inlineStr">
        <is>
          <t>AUTO DMB</t>
        </is>
      </c>
      <c r="D100" s="733" t="n"/>
      <c r="E100" s="733" t="n"/>
      <c r="F100" s="733" t="n"/>
      <c r="G100" s="733" t="n"/>
      <c r="H100" s="733" t="n"/>
      <c r="L100" s="733" t="n"/>
      <c r="M100" s="733" t="n"/>
      <c r="N100" s="733" t="n"/>
    </row>
    <row r="101">
      <c r="A101" s="163">
        <f>IF(OR(TCMS!E62=1,TCMS!E65=1),1,0)</f>
        <v/>
      </c>
      <c r="B101" s="163">
        <f>IF(OR(TCMS!E62=1,TCMS!E65=1),1,0)</f>
        <v/>
      </c>
      <c r="C101" s="164">
        <f>IF(OR(TCMS!E62=1,TCMS!E65=1),1,0)</f>
        <v/>
      </c>
      <c r="D101" s="733" t="n"/>
      <c r="E101" s="733" t="n"/>
      <c r="F101" s="733" t="n"/>
      <c r="G101" s="733" t="n"/>
      <c r="H101" s="733" t="n"/>
      <c r="L101" s="733" t="n"/>
      <c r="M101" s="733" t="n"/>
      <c r="N101" s="733" t="n"/>
    </row>
    <row r="102" ht="15" customHeight="1" thickBot="1">
      <c r="A102" s="733" t="n"/>
      <c r="B102" s="733" t="n"/>
      <c r="C102" s="733" t="n"/>
      <c r="D102" s="733" t="n"/>
      <c r="E102" s="733" t="n"/>
      <c r="F102" s="733" t="n"/>
      <c r="G102" s="733" t="n"/>
      <c r="H102" s="733" t="n"/>
      <c r="L102" s="733" t="n"/>
      <c r="M102" s="733" t="n"/>
      <c r="N102" s="733" t="n"/>
    </row>
    <row r="103">
      <c r="A103" s="156" t="inlineStr">
        <is>
          <t>RESET DMA</t>
        </is>
      </c>
      <c r="B103" s="156" t="inlineStr">
        <is>
          <t>RESET TCA</t>
        </is>
      </c>
      <c r="C103" s="157" t="inlineStr">
        <is>
          <t>RESET DMB</t>
        </is>
      </c>
      <c r="D103" s="158" t="inlineStr">
        <is>
          <t>HW RESET</t>
        </is>
      </c>
      <c r="E103" s="733" t="n"/>
      <c r="F103" s="733" t="n"/>
      <c r="G103" s="733" t="n"/>
      <c r="H103" s="733" t="n"/>
      <c r="L103" s="733" t="n"/>
      <c r="M103" s="733" t="n"/>
      <c r="N103" s="733" t="n"/>
    </row>
    <row r="104" ht="15" customHeight="1" thickBot="1">
      <c r="A104" s="163">
        <f>TCMS!C103</f>
        <v/>
      </c>
      <c r="B104" s="163" t="n"/>
      <c r="C104" s="164">
        <f>TCMS!C103</f>
        <v/>
      </c>
      <c r="D104" s="165">
        <f>IF(OR(A104,C104),1,0)</f>
        <v/>
      </c>
      <c r="E104" s="733" t="n"/>
      <c r="F104" s="733" t="n"/>
      <c r="G104" s="733" t="n"/>
      <c r="H104" s="733" t="n"/>
      <c r="L104" s="733" t="n"/>
      <c r="M104" s="733" t="n"/>
      <c r="N104" s="733" t="n"/>
    </row>
    <row r="105" ht="15" customHeight="1" thickBot="1">
      <c r="A105" s="733" t="n"/>
      <c r="B105" s="733" t="n"/>
      <c r="C105" s="733" t="n"/>
      <c r="D105" s="733" t="n"/>
      <c r="E105" s="733" t="n"/>
      <c r="F105" s="733" t="n"/>
      <c r="G105" s="733" t="n"/>
      <c r="H105" s="733" t="n"/>
      <c r="L105" s="733" t="n"/>
      <c r="M105" s="733" t="n"/>
      <c r="N105" s="733" t="n"/>
    </row>
    <row r="106">
      <c r="A106" s="156" t="inlineStr">
        <is>
          <t>VENT MODE DMA</t>
        </is>
      </c>
      <c r="B106" s="156" t="inlineStr">
        <is>
          <t>VENT MODE TCA</t>
        </is>
      </c>
      <c r="C106" s="157" t="inlineStr">
        <is>
          <t>VENT MODE DMB</t>
        </is>
      </c>
      <c r="D106" s="158" t="inlineStr">
        <is>
          <t>HW IN VENT MODE</t>
        </is>
      </c>
      <c r="E106" s="733" t="n"/>
      <c r="F106" s="733" t="n"/>
      <c r="G106" s="733" t="n"/>
      <c r="H106" s="733" t="n"/>
      <c r="J106" s="733" t="n"/>
      <c r="K106" s="733" t="n"/>
      <c r="L106" s="733" t="n"/>
      <c r="M106" s="733" t="n"/>
      <c r="N106" s="733" t="n"/>
    </row>
    <row r="107" ht="15" customHeight="1" thickBot="1">
      <c r="A107" s="163" t="n"/>
      <c r="B107" s="163" t="n"/>
      <c r="C107" s="164" t="n"/>
      <c r="D107" s="165" t="n"/>
      <c r="E107" s="733" t="n"/>
      <c r="F107" s="733" t="n"/>
      <c r="G107" s="733" t="n"/>
      <c r="H107" s="733" t="n"/>
      <c r="J107" s="733" t="n"/>
      <c r="K107" s="733" t="n"/>
      <c r="L107" s="733" t="n"/>
      <c r="M107" s="733" t="n"/>
      <c r="N107" s="733" t="n"/>
    </row>
    <row r="108" ht="15" customHeight="1" thickBot="1">
      <c r="A108" s="733" t="n"/>
      <c r="B108" s="733" t="n"/>
      <c r="C108" s="733" t="n"/>
      <c r="D108" s="733" t="n"/>
      <c r="E108" s="733" t="n"/>
      <c r="F108" s="733" t="n"/>
      <c r="G108" s="733" t="n"/>
      <c r="H108" s="733" t="n"/>
      <c r="J108" s="733" t="n"/>
      <c r="K108" s="733" t="n"/>
      <c r="L108" s="733" t="n"/>
      <c r="M108" s="733" t="n"/>
      <c r="N108" s="733" t="n"/>
    </row>
    <row r="109">
      <c r="A109" s="160" t="inlineStr">
        <is>
          <t>SET POINT DMA</t>
        </is>
      </c>
      <c r="B109" s="160" t="inlineStr">
        <is>
          <t>SET POINT TCA</t>
        </is>
      </c>
      <c r="C109" s="160" t="inlineStr">
        <is>
          <t>SET POINT DMB</t>
        </is>
      </c>
      <c r="D109" s="158" t="n"/>
      <c r="E109" s="733" t="n"/>
      <c r="F109" s="733" t="n"/>
      <c r="G109" s="733" t="n"/>
      <c r="H109" s="733" t="n"/>
      <c r="J109" s="733" t="n"/>
      <c r="K109" s="733" t="n"/>
      <c r="L109" s="733" t="n"/>
      <c r="M109" s="733" t="n"/>
      <c r="N109" s="733" t="n"/>
    </row>
    <row r="110" ht="15" customHeight="1" thickBot="1">
      <c r="A110" s="163">
        <f>IF(AND(TCMS!D74=1,TCMS!D75=1),1,0)</f>
        <v/>
      </c>
      <c r="B110" s="163">
        <f>IF(AND(TCMS!E74=1,TCMS!E75=1),1,0)</f>
        <v/>
      </c>
      <c r="C110" s="164">
        <f>IF(AND(TCMS!F74=1,TCMS!F75=1),1,0)</f>
        <v/>
      </c>
      <c r="D110" s="165">
        <f>IF(OR(A110:C110),1,0)</f>
        <v/>
      </c>
      <c r="E110" s="733" t="n"/>
      <c r="F110" s="733" t="n"/>
      <c r="G110" s="733" t="n"/>
      <c r="H110" s="733" t="n"/>
      <c r="J110" s="733" t="n"/>
      <c r="K110" s="733" t="n"/>
      <c r="L110" s="733" t="n"/>
      <c r="M110" s="733" t="n"/>
      <c r="N110" s="733" t="n"/>
    </row>
    <row r="111" ht="15" customHeight="1" thickBot="1">
      <c r="A111" s="733" t="n"/>
      <c r="B111" s="733" t="n"/>
      <c r="C111" s="733" t="n"/>
      <c r="D111" s="733" t="n"/>
      <c r="E111" s="733" t="n"/>
      <c r="F111" s="733" t="n"/>
      <c r="G111" s="733" t="n"/>
      <c r="H111" s="733" t="n"/>
      <c r="J111" s="733" t="n"/>
      <c r="K111" s="733" t="n"/>
      <c r="L111" s="733" t="n"/>
      <c r="M111" s="733" t="n"/>
      <c r="N111" s="733" t="n"/>
    </row>
    <row r="112">
      <c r="A112" s="156" t="inlineStr">
        <is>
          <t>RESET SMOKE DMA</t>
        </is>
      </c>
      <c r="B112" s="156" t="inlineStr">
        <is>
          <t>RESET SMOKE TCA</t>
        </is>
      </c>
      <c r="C112" s="156" t="inlineStr">
        <is>
          <t>RESET SMOKE DMB</t>
        </is>
      </c>
      <c r="D112" s="158" t="inlineStr">
        <is>
          <t>HW SMOKE RESET</t>
        </is>
      </c>
      <c r="E112" s="733" t="n"/>
      <c r="F112" s="733" t="n"/>
      <c r="G112" s="733" t="n"/>
      <c r="H112" s="733" t="n"/>
      <c r="J112" s="733" t="n"/>
      <c r="K112" s="733" t="n"/>
      <c r="L112" s="733" t="n"/>
      <c r="M112" s="733" t="n"/>
      <c r="N112" s="733" t="n"/>
    </row>
    <row r="113" ht="15" customHeight="1" thickBot="1">
      <c r="A113" s="163" t="n"/>
      <c r="B113" s="163" t="n"/>
      <c r="C113" s="164" t="n"/>
      <c r="D113" s="165" t="n"/>
      <c r="E113" s="733" t="n"/>
      <c r="F113" s="733" t="n"/>
      <c r="G113" s="733" t="n"/>
      <c r="H113" s="733" t="n"/>
      <c r="J113" s="733" t="n"/>
      <c r="K113" s="733" t="n"/>
      <c r="L113" s="733" t="n"/>
      <c r="M113" s="733" t="n"/>
      <c r="N113" s="733" t="n"/>
    </row>
    <row r="114">
      <c r="A114" s="733" t="n"/>
      <c r="B114" s="733" t="n"/>
      <c r="C114" s="733" t="n"/>
      <c r="D114" s="733" t="n"/>
      <c r="E114" s="733" t="n"/>
      <c r="F114" s="733" t="n"/>
      <c r="G114" s="733" t="n"/>
      <c r="H114" s="733" t="n"/>
      <c r="I114" s="733" t="n"/>
      <c r="J114" s="733" t="n"/>
      <c r="K114" s="733" t="n"/>
      <c r="L114" s="733" t="n"/>
      <c r="M114" s="733" t="n"/>
      <c r="N114" s="733" t="n"/>
    </row>
    <row r="115">
      <c r="A115" s="156" t="inlineStr">
        <is>
          <t>ISOLATE DMA HVAC 2</t>
        </is>
      </c>
      <c r="B115" s="156" t="inlineStr">
        <is>
          <t>ISOLATE TCA HVAC 2</t>
        </is>
      </c>
      <c r="C115" s="157" t="inlineStr">
        <is>
          <t>ISOLATE DMB HVAC 2</t>
        </is>
      </c>
      <c r="D115" s="733" t="n"/>
      <c r="E115" s="733" t="n"/>
      <c r="F115" s="733" t="n"/>
      <c r="G115" s="733" t="n"/>
      <c r="H115" s="733" t="n"/>
      <c r="I115" s="733" t="n"/>
      <c r="J115" s="733" t="n"/>
      <c r="K115" s="733" t="n"/>
      <c r="L115" s="733" t="n"/>
      <c r="M115" s="733" t="n"/>
      <c r="N115" s="733" t="n"/>
    </row>
    <row r="116">
      <c r="A116" s="163" t="n"/>
      <c r="B116" s="163" t="n"/>
      <c r="C116" s="164" t="n"/>
      <c r="D116" s="733" t="n"/>
      <c r="E116" s="733" t="n"/>
      <c r="F116" s="733" t="n"/>
      <c r="G116" s="733" t="n"/>
      <c r="H116" s="733" t="n"/>
      <c r="I116" s="733" t="n"/>
      <c r="J116" s="733" t="n"/>
      <c r="K116" s="733" t="n"/>
      <c r="L116" s="733" t="n"/>
      <c r="M116" s="733" t="n"/>
      <c r="N116" s="733" t="n"/>
    </row>
    <row r="117">
      <c r="A117" s="733" t="n"/>
      <c r="B117" s="733" t="n"/>
      <c r="C117" s="733" t="n"/>
      <c r="D117" s="733" t="n"/>
      <c r="E117" s="733" t="n"/>
      <c r="F117" s="733" t="n"/>
      <c r="G117" s="733" t="n"/>
      <c r="H117" s="733" t="n"/>
      <c r="I117" s="733" t="n"/>
      <c r="J117" s="733" t="n"/>
      <c r="K117" s="733" t="n"/>
      <c r="L117" s="733" t="n"/>
      <c r="M117" s="733" t="n"/>
      <c r="N117" s="733" t="n"/>
    </row>
    <row r="118">
      <c r="A118" s="733" t="n"/>
      <c r="B118" s="733" t="n"/>
      <c r="C118" s="733" t="n"/>
      <c r="D118" s="733" t="n"/>
      <c r="E118" s="733" t="n"/>
      <c r="F118" s="733" t="n"/>
      <c r="G118" s="733" t="n"/>
      <c r="H118" s="733" t="n"/>
      <c r="I118" s="733" t="n"/>
      <c r="J118" s="733" t="n"/>
      <c r="K118" s="733" t="n"/>
      <c r="L118" s="733" t="n"/>
      <c r="M118" s="733" t="n"/>
      <c r="N118" s="733" t="n"/>
    </row>
    <row r="119">
      <c r="A119" s="733" t="n"/>
      <c r="B119" s="733" t="n"/>
      <c r="C119" s="733" t="n"/>
      <c r="D119" s="733" t="n"/>
      <c r="E119" s="733" t="n"/>
      <c r="F119" s="733" t="n"/>
      <c r="G119" s="733" t="n"/>
      <c r="H119" s="733" t="n"/>
      <c r="I119" s="733" t="n"/>
      <c r="J119" s="733" t="n"/>
      <c r="K119" s="733" t="n"/>
      <c r="L119" s="733" t="n"/>
      <c r="M119" s="733" t="n"/>
      <c r="N119" s="733" t="n"/>
    </row>
    <row r="120">
      <c r="A120" s="156" t="inlineStr">
        <is>
          <t>FAULT DMA HVAC 1</t>
        </is>
      </c>
      <c r="B120" s="156" t="inlineStr">
        <is>
          <t>FAULT TCA</t>
        </is>
      </c>
      <c r="C120" s="156" t="inlineStr">
        <is>
          <t>FAULT DMB</t>
        </is>
      </c>
      <c r="D120" s="733" t="n"/>
      <c r="E120" s="733" t="n"/>
      <c r="F120" s="733" t="n"/>
      <c r="G120" s="733" t="n"/>
      <c r="H120" s="733" t="n"/>
      <c r="I120" s="733" t="n"/>
      <c r="J120" s="733" t="n"/>
      <c r="K120" s="733" t="n"/>
      <c r="L120" s="733" t="n"/>
      <c r="M120" s="733" t="n"/>
      <c r="N120" s="733" t="n"/>
    </row>
    <row r="121">
      <c r="A121" s="159" t="n"/>
      <c r="B121" s="159" t="n"/>
      <c r="C121" s="159" t="n"/>
      <c r="D121" s="733" t="n"/>
      <c r="E121" s="733" t="n"/>
      <c r="F121" s="733" t="n"/>
      <c r="G121" s="733" t="n"/>
      <c r="H121" s="733" t="n"/>
      <c r="I121" s="733" t="n"/>
      <c r="J121" s="733" t="n"/>
      <c r="K121" s="733" t="n"/>
      <c r="L121" s="733" t="n"/>
      <c r="M121" s="733" t="n"/>
      <c r="N121" s="733" t="n"/>
    </row>
    <row r="122" ht="15.5" customHeight="1">
      <c r="A122" s="733" t="n"/>
      <c r="B122" s="161" t="n"/>
      <c r="C122" s="161" t="n"/>
      <c r="D122" s="733" t="n"/>
      <c r="E122" s="161" t="n"/>
      <c r="F122" s="161" t="n"/>
      <c r="G122" s="733" t="n"/>
      <c r="H122" s="733" t="n"/>
      <c r="I122" s="733" t="n"/>
      <c r="J122" s="733" t="n"/>
      <c r="K122" s="733" t="n"/>
      <c r="L122" s="733" t="n"/>
      <c r="M122" s="733" t="n"/>
      <c r="N122" s="733" t="n"/>
    </row>
    <row r="123" ht="15.5" customHeight="1">
      <c r="A123" s="733" t="n"/>
      <c r="E123" s="162" t="n"/>
      <c r="F123" s="162" t="n"/>
      <c r="G123" s="733" t="n"/>
      <c r="H123" s="733" t="n"/>
      <c r="I123" s="733" t="n"/>
      <c r="J123" s="733" t="n"/>
      <c r="K123" s="733" t="n"/>
      <c r="L123" s="733" t="n"/>
      <c r="M123" s="733" t="n"/>
      <c r="N123" s="733" t="n"/>
    </row>
    <row r="124">
      <c r="A124" s="733" t="n"/>
      <c r="E124" s="733" t="n"/>
      <c r="F124" s="733" t="n"/>
      <c r="G124" s="733" t="n"/>
      <c r="H124" s="733" t="n"/>
      <c r="I124" s="733" t="n"/>
      <c r="J124" s="733" t="n"/>
      <c r="K124" s="733" t="n"/>
      <c r="L124" s="733" t="n"/>
      <c r="M124" s="733" t="n"/>
      <c r="N124" s="733" t="n"/>
    </row>
    <row r="125">
      <c r="A125" s="733" t="n"/>
      <c r="E125" s="733" t="n"/>
      <c r="F125" s="733" t="n"/>
      <c r="G125" s="733" t="n"/>
      <c r="H125" s="733" t="n"/>
      <c r="I125" s="733" t="n"/>
      <c r="J125" s="733" t="n"/>
      <c r="K125" s="733" t="n"/>
      <c r="L125" s="733" t="n"/>
      <c r="M125" s="733" t="n"/>
      <c r="N125" s="733" t="n"/>
    </row>
    <row r="135" ht="19" customHeight="1">
      <c r="B135" s="212" t="n"/>
    </row>
    <row r="136" ht="16" customHeight="1" thickBot="1">
      <c r="A136" s="162" t="n"/>
      <c r="B136" s="162" t="n"/>
      <c r="C136" s="162" t="n"/>
    </row>
    <row r="137" ht="15" customHeight="1" thickBot="1">
      <c r="A137" s="207" t="inlineStr">
        <is>
          <t>cooling level</t>
        </is>
      </c>
      <c r="B137" s="209" t="inlineStr">
        <is>
          <t>cooling capacity (kw)</t>
        </is>
      </c>
      <c r="C137" s="158" t="inlineStr">
        <is>
          <t xml:space="preserve">w </t>
        </is>
      </c>
    </row>
    <row r="138" ht="19" customHeight="1">
      <c r="A138" s="219" t="n">
        <v>1</v>
      </c>
      <c r="B138" s="220" t="n">
        <v>10</v>
      </c>
      <c r="C138" s="221" t="n">
        <v>10000</v>
      </c>
    </row>
    <row r="139" ht="19" customHeight="1">
      <c r="A139" s="214" t="n">
        <v>2</v>
      </c>
      <c r="B139" s="216" t="n">
        <v>11</v>
      </c>
      <c r="C139" s="221" t="n">
        <v>11000</v>
      </c>
    </row>
    <row r="140" ht="19" customHeight="1">
      <c r="A140" s="214" t="n">
        <v>3</v>
      </c>
      <c r="B140" s="216" t="n">
        <v>12</v>
      </c>
      <c r="C140" s="221" t="n">
        <v>12000</v>
      </c>
    </row>
    <row r="141" ht="19" customHeight="1">
      <c r="A141" s="214" t="n">
        <v>4</v>
      </c>
      <c r="B141" s="216" t="n">
        <v>13</v>
      </c>
      <c r="C141" s="221" t="n">
        <v>13000</v>
      </c>
    </row>
    <row r="142" ht="19" customHeight="1">
      <c r="A142" s="214" t="n">
        <v>5</v>
      </c>
      <c r="B142" s="216" t="n">
        <v>15</v>
      </c>
      <c r="C142" s="221" t="n">
        <v>14000</v>
      </c>
    </row>
    <row r="143" ht="19" customHeight="1">
      <c r="A143" s="214" t="n">
        <v>6</v>
      </c>
      <c r="B143" s="216" t="n">
        <v>23</v>
      </c>
      <c r="C143" s="221" t="n">
        <v>23000</v>
      </c>
    </row>
    <row r="144" ht="19" customHeight="1">
      <c r="A144" s="214" t="n">
        <v>7</v>
      </c>
      <c r="B144" s="216" t="n">
        <v>34</v>
      </c>
      <c r="C144" s="221" t="n">
        <v>34000</v>
      </c>
    </row>
    <row r="145" ht="19.5" customHeight="1" thickBot="1">
      <c r="A145" s="217" t="n">
        <v>8</v>
      </c>
      <c r="B145" s="218" t="n">
        <v>47</v>
      </c>
      <c r="C145" s="222" t="n">
        <v>47000</v>
      </c>
    </row>
    <row r="146" ht="19" customHeight="1">
      <c r="A146" s="212" t="n"/>
    </row>
    <row r="147" ht="19" customHeight="1">
      <c r="A147" s="212" t="n"/>
      <c r="C147">
        <f>IF(A138=1,10,IF(A139=2,11, IF(A140=3,12,IF(A141=4,13,IF(A142=5,15,IF(A143=6,23,IF(A144=7,34,IF(A145=8,47,0))))))))</f>
        <v/>
      </c>
    </row>
    <row r="345">
      <c r="F345">
        <f>'DATA TRANSFER'!F34</f>
        <v/>
      </c>
    </row>
    <row r="584">
      <c r="Q584">
        <f>'DATA TRANSFER'!Q584</f>
        <v/>
      </c>
    </row>
    <row r="611">
      <c r="L611">
        <f>'DATA TRANSFER'!F38</f>
        <v/>
      </c>
    </row>
  </sheetData>
  <mergeCells count="8">
    <mergeCell ref="I12:M12"/>
    <mergeCell ref="E2:G2"/>
    <mergeCell ref="B54:C54"/>
    <mergeCell ref="A1:C1"/>
    <mergeCell ref="H62:I62"/>
    <mergeCell ref="A92:D92"/>
    <mergeCell ref="J62:K62"/>
    <mergeCell ref="F92:H92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11"/>
  <sheetViews>
    <sheetView topLeftCell="A9" workbookViewId="0">
      <selection activeCell="B33" sqref="B33"/>
    </sheetView>
  </sheetViews>
  <sheetFormatPr baseColWidth="8" defaultRowHeight="14.5"/>
  <cols>
    <col width="34.1796875" customWidth="1" min="1" max="1"/>
    <col width="19.7265625" customWidth="1" style="2" min="2" max="2"/>
    <col width="23" customWidth="1" min="3" max="3"/>
    <col width="28" customWidth="1" min="4" max="4"/>
    <col width="24.81640625" customWidth="1" min="5" max="5"/>
    <col width="28.1796875" customWidth="1" min="6" max="6"/>
    <col width="19.453125" customWidth="1" min="7" max="7"/>
    <col width="21.453125" customWidth="1" min="8" max="8"/>
    <col width="38.26953125" customWidth="1" min="9" max="9"/>
    <col width="23.81640625" customWidth="1" min="10" max="10"/>
    <col width="24.453125" customWidth="1" min="11" max="11"/>
    <col width="19" customWidth="1" min="12" max="12"/>
    <col width="23.453125" customWidth="1" min="13" max="13"/>
    <col width="34.1796875" customWidth="1" min="14" max="14"/>
  </cols>
  <sheetData>
    <row r="1" ht="15" customHeight="1" thickBot="1">
      <c r="A1" s="789" t="inlineStr">
        <is>
          <t>Inputs</t>
        </is>
      </c>
      <c r="B1" s="881" t="n"/>
      <c r="C1" s="882" t="n"/>
      <c r="I1" s="126" t="inlineStr">
        <is>
          <t>Sr. No</t>
        </is>
      </c>
      <c r="J1" s="127" t="inlineStr">
        <is>
          <t>Item</t>
        </is>
      </c>
      <c r="K1" s="127" t="inlineStr">
        <is>
          <t>Heat Load (W)</t>
        </is>
      </c>
      <c r="L1" s="127" t="inlineStr">
        <is>
          <t>Qty</t>
        </is>
      </c>
      <c r="M1" s="128" t="inlineStr">
        <is>
          <t>Total Heat Load (W)</t>
        </is>
      </c>
      <c r="N1" s="125" t="n"/>
    </row>
    <row r="2" ht="15" customHeight="1" thickBot="1">
      <c r="A2" s="78" t="n"/>
      <c r="B2" s="79" t="n"/>
      <c r="C2" s="81" t="n"/>
      <c r="D2" s="733" t="n"/>
      <c r="E2" s="795" t="inlineStr">
        <is>
          <t>Outputs</t>
        </is>
      </c>
      <c r="F2" s="881" t="n"/>
      <c r="G2" s="882" t="n"/>
      <c r="I2" s="129" t="n">
        <v>1</v>
      </c>
      <c r="J2" s="124" t="inlineStr">
        <is>
          <t>Passenger</t>
        </is>
      </c>
      <c r="K2" s="124" t="n">
        <v>72.84</v>
      </c>
      <c r="L2" s="124" t="n">
        <v>340</v>
      </c>
      <c r="M2" s="130">
        <f>K2*L2</f>
        <v/>
      </c>
      <c r="N2" s="125" t="n"/>
    </row>
    <row r="3" ht="15" customHeight="1" thickBot="1">
      <c r="A3" s="716" t="inlineStr">
        <is>
          <t>Set Point</t>
        </is>
      </c>
      <c r="B3" s="717">
        <f>Calculation!B33+273</f>
        <v/>
      </c>
      <c r="C3" s="718" t="inlineStr">
        <is>
          <t>K</t>
        </is>
      </c>
      <c r="D3" s="733" t="n"/>
      <c r="E3" s="97" t="inlineStr">
        <is>
          <t>Return Air</t>
        </is>
      </c>
      <c r="F3" s="98">
        <f>B18-J32</f>
        <v/>
      </c>
      <c r="G3" s="99" t="inlineStr">
        <is>
          <t>C</t>
        </is>
      </c>
      <c r="I3" s="129" t="n">
        <v>2</v>
      </c>
      <c r="J3" s="124" t="inlineStr">
        <is>
          <t>Solar Gain</t>
        </is>
      </c>
      <c r="K3" s="124" t="n">
        <v>2336</v>
      </c>
      <c r="L3" s="124" t="n">
        <v>1</v>
      </c>
      <c r="M3" s="130">
        <f>K3*L3</f>
        <v/>
      </c>
      <c r="N3" s="125" t="n"/>
    </row>
    <row r="4">
      <c r="A4" s="716" t="inlineStr">
        <is>
          <t>Ambient Temp</t>
        </is>
      </c>
      <c r="B4" s="717">
        <f>Calculation!B34+273</f>
        <v/>
      </c>
      <c r="C4" s="718" t="inlineStr">
        <is>
          <t>K</t>
        </is>
      </c>
      <c r="D4" s="733" t="n"/>
      <c r="E4" s="100" t="n"/>
      <c r="F4" s="100" t="n"/>
      <c r="G4" s="100" t="n"/>
      <c r="I4" s="129" t="n">
        <v>3</v>
      </c>
      <c r="J4" s="124" t="inlineStr">
        <is>
          <t>Transmission Gain</t>
        </is>
      </c>
      <c r="K4" s="124" t="n">
        <v>2882</v>
      </c>
      <c r="L4" s="124" t="n">
        <v>1</v>
      </c>
      <c r="M4" s="130">
        <f>K4*L4</f>
        <v/>
      </c>
      <c r="N4" s="125" t="n"/>
    </row>
    <row r="5">
      <c r="A5" s="716" t="inlineStr">
        <is>
          <t>Supply Temp</t>
        </is>
      </c>
      <c r="B5" s="717">
        <f>'DATA TRANSFER'!F39+273</f>
        <v/>
      </c>
      <c r="C5" s="718" t="inlineStr">
        <is>
          <t>K</t>
        </is>
      </c>
      <c r="D5" s="733" t="n"/>
      <c r="E5" s="100" t="n"/>
      <c r="F5" s="100" t="n"/>
      <c r="G5" s="100" t="n"/>
      <c r="I5" s="129" t="n">
        <v>4</v>
      </c>
      <c r="J5" s="124" t="inlineStr">
        <is>
          <t>Internal Equipment</t>
        </is>
      </c>
      <c r="K5" s="124" t="n">
        <v>2500</v>
      </c>
      <c r="L5" s="124" t="n">
        <v>1</v>
      </c>
      <c r="M5" s="130">
        <f>K5*L5</f>
        <v/>
      </c>
      <c r="N5" s="125" t="n"/>
    </row>
    <row r="6">
      <c r="A6" s="82" t="inlineStr">
        <is>
          <t>Time</t>
        </is>
      </c>
      <c r="B6" s="101" t="n">
        <v>0.8</v>
      </c>
      <c r="C6" s="83" t="inlineStr">
        <is>
          <t>s</t>
        </is>
      </c>
      <c r="D6" s="733" t="n"/>
      <c r="E6" s="100" t="inlineStr">
        <is>
          <t>Supply Air Temp</t>
        </is>
      </c>
      <c r="F6" s="100">
        <f>IF(B14=1,(F3+B3-273)/2,F3)</f>
        <v/>
      </c>
      <c r="G6" s="100" t="n"/>
      <c r="I6" s="129" t="n">
        <v>5</v>
      </c>
      <c r="J6" s="124" t="inlineStr">
        <is>
          <t>Fan Motor Load</t>
        </is>
      </c>
      <c r="K6" s="124" t="n">
        <v>4000</v>
      </c>
      <c r="L6" s="124" t="n">
        <v>1</v>
      </c>
      <c r="M6" s="130">
        <f>K6*L6</f>
        <v/>
      </c>
      <c r="N6" s="125" t="n"/>
    </row>
    <row r="7">
      <c r="A7" s="716" t="inlineStr">
        <is>
          <t xml:space="preserve">Loading </t>
        </is>
      </c>
      <c r="B7" s="717">
        <f>MAX(D13:D16)</f>
        <v/>
      </c>
      <c r="C7" s="718" t="inlineStr">
        <is>
          <t>pax</t>
        </is>
      </c>
      <c r="D7" s="733" t="n"/>
      <c r="E7" s="100" t="n"/>
      <c r="F7" s="100" t="n"/>
      <c r="G7" s="100" t="n"/>
      <c r="I7" s="129" t="n">
        <v>6</v>
      </c>
      <c r="J7" s="124" t="inlineStr">
        <is>
          <t>Fresh Air Load</t>
        </is>
      </c>
      <c r="K7" s="124" t="n">
        <v>6663</v>
      </c>
      <c r="L7" s="124" t="n">
        <v>1</v>
      </c>
      <c r="M7" s="130">
        <f>K7*L7</f>
        <v/>
      </c>
      <c r="N7" s="125" t="n"/>
    </row>
    <row r="8" ht="15" customHeight="1" thickBot="1">
      <c r="A8" s="716" t="inlineStr">
        <is>
          <t>Heat Load Damper</t>
        </is>
      </c>
      <c r="B8" s="717">
        <f>IF(B7=0,0.8,IF(B7=1,0.7,IF(B7=2,0.5,0.45)))</f>
        <v/>
      </c>
      <c r="C8" s="718" t="inlineStr">
        <is>
          <t>0-1</t>
        </is>
      </c>
      <c r="D8" s="733" t="n"/>
      <c r="E8" s="100" t="inlineStr">
        <is>
          <t>Damper Pos</t>
        </is>
      </c>
      <c r="F8" s="100">
        <f>'DATA TRANSFER'!AE13</f>
        <v/>
      </c>
      <c r="G8" s="100" t="n"/>
      <c r="I8" s="129" t="n">
        <v>7</v>
      </c>
      <c r="J8" s="124" t="inlineStr">
        <is>
          <t>Door Opening Load</t>
        </is>
      </c>
      <c r="K8" s="124" t="n">
        <v>525</v>
      </c>
      <c r="L8" s="134" t="n">
        <v>1</v>
      </c>
      <c r="M8" s="133">
        <f>K8*L8</f>
        <v/>
      </c>
      <c r="N8" s="125" t="n"/>
    </row>
    <row r="9" ht="15" customHeight="1" thickBot="1">
      <c r="A9" s="102" t="inlineStr">
        <is>
          <t>Comp 1</t>
        </is>
      </c>
      <c r="B9" s="103">
        <f>'Mode Logic'!L18</f>
        <v/>
      </c>
      <c r="C9" s="104" t="inlineStr">
        <is>
          <t>On/off</t>
        </is>
      </c>
      <c r="D9" s="733" t="n"/>
      <c r="E9" s="733" t="n"/>
      <c r="F9" s="733">
        <f>IF('DATA TRANSFER'!AE24=1,100,Calculation!F8)</f>
        <v/>
      </c>
      <c r="G9" s="733" t="n"/>
      <c r="I9" s="131" t="n"/>
      <c r="J9" s="132" t="n"/>
      <c r="K9" s="137" t="n"/>
      <c r="L9" s="138" t="inlineStr">
        <is>
          <t>Total Heat Load</t>
        </is>
      </c>
      <c r="M9" s="139">
        <f>SUM(M2:M8)</f>
        <v/>
      </c>
      <c r="N9" s="136" t="inlineStr">
        <is>
          <t>W</t>
        </is>
      </c>
    </row>
    <row r="10" ht="23.25" customHeight="1">
      <c r="A10" s="102" t="inlineStr">
        <is>
          <t>Comp 2</t>
        </is>
      </c>
      <c r="B10" s="103">
        <f>'Mode Logic'!M18</f>
        <v/>
      </c>
      <c r="C10" s="104" t="inlineStr">
        <is>
          <t>On/off</t>
        </is>
      </c>
      <c r="D10" s="733" t="inlineStr">
        <is>
          <t>HVAC 1 DMA</t>
        </is>
      </c>
      <c r="E10" s="733" t="n"/>
      <c r="F10" s="733" t="n"/>
      <c r="G10" s="733" t="n"/>
      <c r="I10" s="100" t="n"/>
      <c r="J10" s="100" t="n"/>
      <c r="K10" s="100" t="n"/>
      <c r="L10" s="100" t="n"/>
      <c r="M10" s="100" t="n"/>
      <c r="N10">
        <f>M9/1000</f>
        <v/>
      </c>
    </row>
    <row r="11" ht="15" customHeight="1" thickBot="1">
      <c r="A11" s="102" t="inlineStr">
        <is>
          <t>Comp 3</t>
        </is>
      </c>
      <c r="B11" s="103">
        <f>'Mode Logic'!N18</f>
        <v/>
      </c>
      <c r="C11" s="104" t="inlineStr">
        <is>
          <t>On/off</t>
        </is>
      </c>
      <c r="E11" s="733" t="n"/>
      <c r="F11" s="733" t="n"/>
      <c r="G11" s="733" t="n"/>
      <c r="I11" s="100" t="n"/>
      <c r="J11" s="100" t="n"/>
      <c r="K11" s="100" t="n"/>
      <c r="L11" s="100" t="n"/>
      <c r="M11" s="100" t="n"/>
    </row>
    <row r="12" ht="15" customHeight="1" thickBot="1">
      <c r="A12" s="102" t="inlineStr">
        <is>
          <t>Comp 4</t>
        </is>
      </c>
      <c r="B12" s="103">
        <f>'Mode Logic'!O18</f>
        <v/>
      </c>
      <c r="C12" s="103" t="inlineStr">
        <is>
          <t>On/off</t>
        </is>
      </c>
      <c r="D12" s="723" t="inlineStr">
        <is>
          <t>Status</t>
        </is>
      </c>
      <c r="E12" s="719" t="inlineStr">
        <is>
          <t>Loading</t>
        </is>
      </c>
      <c r="F12" s="719" t="inlineStr">
        <is>
          <t>Number of Passenger</t>
        </is>
      </c>
      <c r="G12" s="719" t="inlineStr">
        <is>
          <t>Design Heat Load (kW)</t>
        </is>
      </c>
      <c r="I12" s="883" t="inlineStr">
        <is>
          <t>Fresh Air Load</t>
        </is>
      </c>
      <c r="J12" s="884" t="n"/>
      <c r="K12" s="884" t="n"/>
      <c r="L12" s="884" t="n"/>
      <c r="M12" s="885" t="n"/>
    </row>
    <row r="13">
      <c r="A13" s="102" t="inlineStr">
        <is>
          <t>Heater 1</t>
        </is>
      </c>
      <c r="B13" s="103">
        <f>'DATA TRANSFER'!M24</f>
        <v/>
      </c>
      <c r="C13" s="103" t="inlineStr">
        <is>
          <t>On/off</t>
        </is>
      </c>
      <c r="D13" s="720">
        <f>IF(AND('DATA TRANSFER'!F40&lt;=100,'DATA TRANSFER'!F40&gt;81),4,0)</f>
        <v/>
      </c>
      <c r="E13" s="720" t="inlineStr">
        <is>
          <t>AW0</t>
        </is>
      </c>
      <c r="F13" s="720" t="n">
        <v>340</v>
      </c>
      <c r="G13" s="720" t="n">
        <v>88.7</v>
      </c>
      <c r="I13" s="106" t="inlineStr">
        <is>
          <t>Air Flow</t>
        </is>
      </c>
      <c r="J13" s="107">
        <f>IF(B17=1,3037,0)/3600</f>
        <v/>
      </c>
      <c r="K13" s="107" t="inlineStr">
        <is>
          <t>m^3/s</t>
        </is>
      </c>
      <c r="L13" s="107" t="n"/>
      <c r="M13" s="108" t="n"/>
      <c r="N13" s="733" t="n"/>
    </row>
    <row r="14">
      <c r="A14" s="102" t="inlineStr">
        <is>
          <t>FAD</t>
        </is>
      </c>
      <c r="B14" s="103">
        <f>'DATA TRANSFER'!M16</f>
        <v/>
      </c>
      <c r="C14" s="103" t="n"/>
      <c r="D14" s="720">
        <f>IF(AND('DATA TRANSFER'!F40&lt;=81,'DATA TRANSFER'!F40&gt;59),3,0)</f>
        <v/>
      </c>
      <c r="E14" s="720" t="inlineStr">
        <is>
          <t>AW1</t>
        </is>
      </c>
      <c r="F14" s="720" t="n">
        <v>274</v>
      </c>
      <c r="G14" s="720" t="n">
        <v>73.90000000000001</v>
      </c>
      <c r="I14" s="109" t="inlineStr">
        <is>
          <t>Delta T</t>
        </is>
      </c>
      <c r="J14" s="100">
        <f>B9-B7</f>
        <v/>
      </c>
      <c r="K14" s="100" t="inlineStr">
        <is>
          <t>K</t>
        </is>
      </c>
      <c r="L14" s="100" t="n"/>
      <c r="M14" s="110" t="n"/>
      <c r="N14" s="733" t="n"/>
    </row>
    <row r="15">
      <c r="A15" s="102" t="inlineStr">
        <is>
          <t xml:space="preserve">Cooling </t>
        </is>
      </c>
      <c r="B15" s="103">
        <f>IF(AND(B9:B12),47,IF(OR(B9:B12),10,IF(B13=1,-9,0)))</f>
        <v/>
      </c>
      <c r="C15" s="103" t="inlineStr">
        <is>
          <t>KW</t>
        </is>
      </c>
      <c r="D15" s="720">
        <f>IF(AND('DATA TRANSFER'!F40&lt;=59,'DATA TRANSFER'!F40&gt;15),2,0)</f>
        <v/>
      </c>
      <c r="E15" s="720" t="inlineStr">
        <is>
          <t>AW2</t>
        </is>
      </c>
      <c r="F15" s="720" t="n">
        <v>200</v>
      </c>
      <c r="G15" s="720" t="n">
        <v>57.7</v>
      </c>
      <c r="I15" s="109" t="n"/>
      <c r="J15" s="100" t="n"/>
      <c r="K15" s="100" t="n"/>
      <c r="L15" s="100" t="n"/>
      <c r="M15" s="110" t="n"/>
      <c r="N15" s="733" t="n"/>
    </row>
    <row r="16">
      <c r="A16" s="82" t="inlineStr">
        <is>
          <t xml:space="preserve">Cooling </t>
        </is>
      </c>
      <c r="B16" s="733">
        <f>B15*1000</f>
        <v/>
      </c>
      <c r="C16" s="733" t="inlineStr">
        <is>
          <t>W</t>
        </is>
      </c>
      <c r="D16" s="720">
        <f>IF('DATA TRANSFER'!F40&lt;=15,1,0)</f>
        <v/>
      </c>
      <c r="E16" s="720" t="inlineStr">
        <is>
          <t>AW3</t>
        </is>
      </c>
      <c r="F16" s="720" t="n">
        <v>52</v>
      </c>
      <c r="G16" s="886" t="n">
        <v>27</v>
      </c>
      <c r="I16" s="109" t="inlineStr">
        <is>
          <t xml:space="preserve">Heat Load </t>
        </is>
      </c>
      <c r="J16" s="100">
        <f>J13*J14</f>
        <v/>
      </c>
      <c r="K16" s="100" t="inlineStr">
        <is>
          <t>KW</t>
        </is>
      </c>
      <c r="L16" s="100" t="n"/>
      <c r="M16" s="110" t="n"/>
      <c r="N16" s="733" t="n"/>
    </row>
    <row r="17" ht="15" customHeight="1" thickBot="1">
      <c r="A17" s="82" t="inlineStr">
        <is>
          <t>Heater 2</t>
        </is>
      </c>
      <c r="B17" s="733">
        <f>'DATA TRANSFER'!M30</f>
        <v/>
      </c>
      <c r="C17" s="83" t="n"/>
      <c r="D17" s="733" t="n"/>
      <c r="E17" s="733" t="n"/>
      <c r="F17" s="733" t="n"/>
      <c r="G17" s="733" t="n"/>
      <c r="I17" s="111" t="n"/>
      <c r="J17" s="112">
        <f>J16*1000</f>
        <v/>
      </c>
      <c r="K17" s="112" t="inlineStr">
        <is>
          <t>W</t>
        </is>
      </c>
      <c r="L17" s="112" t="n"/>
      <c r="M17" s="114" t="n"/>
      <c r="N17" s="733" t="n"/>
    </row>
    <row r="18" ht="15" customHeight="1" thickBot="1">
      <c r="A18" s="82" t="inlineStr">
        <is>
          <t>Internal Temp(RAT)</t>
        </is>
      </c>
      <c r="B18" s="733">
        <f>'DATA TRANSFER'!F38</f>
        <v/>
      </c>
      <c r="C18" s="83" t="inlineStr">
        <is>
          <t>C</t>
        </is>
      </c>
      <c r="D18" s="722" t="n"/>
      <c r="E18" s="733" t="n"/>
      <c r="F18" s="733" t="n"/>
      <c r="G18" s="733" t="n"/>
      <c r="I18" s="100" t="n"/>
      <c r="J18" s="100" t="n"/>
      <c r="K18" s="100" t="n"/>
      <c r="L18" s="100">
        <f>'Mode Logic'!M18</f>
        <v/>
      </c>
      <c r="M18" s="100" t="n"/>
      <c r="N18" s="733" t="n"/>
    </row>
    <row r="19">
      <c r="A19" s="82" t="inlineStr">
        <is>
          <t>Time Elapsed since Preconditioning</t>
        </is>
      </c>
      <c r="B19" s="733">
        <f>'DATA TRANSFER'!F36</f>
        <v/>
      </c>
      <c r="C19" s="83" t="inlineStr">
        <is>
          <t>mins</t>
        </is>
      </c>
      <c r="D19" s="722" t="n"/>
      <c r="E19" s="733" t="n"/>
      <c r="F19" s="733" t="n"/>
      <c r="G19" s="733" t="n"/>
      <c r="I19" s="135" t="inlineStr">
        <is>
          <t>Total Heat Load</t>
        </is>
      </c>
      <c r="J19" s="135" t="n"/>
      <c r="K19" s="135" t="n"/>
      <c r="L19" s="135" t="n"/>
      <c r="M19" s="135" t="n"/>
      <c r="N19" s="733" t="n"/>
    </row>
    <row r="20">
      <c r="A20" s="82" t="inlineStr">
        <is>
          <t>Number of Compressors ON</t>
        </is>
      </c>
      <c r="B20" s="733">
        <f>SUM(B9:B12)</f>
        <v/>
      </c>
      <c r="C20" s="83" t="n"/>
      <c r="D20" s="722" t="n"/>
      <c r="E20" s="733" t="n"/>
      <c r="F20" s="733" t="n"/>
      <c r="G20" s="733" t="n"/>
      <c r="I20" s="124" t="n">
        <v>1</v>
      </c>
      <c r="J20" s="124" t="inlineStr">
        <is>
          <t>Heat Load</t>
        </is>
      </c>
      <c r="K20" s="124">
        <f>M9</f>
        <v/>
      </c>
      <c r="L20" s="124" t="inlineStr">
        <is>
          <t>W</t>
        </is>
      </c>
      <c r="M20" s="124" t="n"/>
      <c r="N20" s="733" t="n"/>
    </row>
    <row r="21" ht="15" customHeight="1" thickBot="1">
      <c r="A21" s="105" t="n"/>
      <c r="B21" s="85" t="n"/>
      <c r="C21" s="86" t="n"/>
      <c r="D21" s="722" t="n"/>
      <c r="E21" s="733" t="n"/>
      <c r="F21" s="733" t="n"/>
      <c r="G21" s="733" t="n"/>
      <c r="I21" s="124" t="n">
        <v>2</v>
      </c>
      <c r="J21" s="124" t="inlineStr">
        <is>
          <t>Freah Air</t>
        </is>
      </c>
      <c r="K21" s="124">
        <f>J17*G8/100</f>
        <v/>
      </c>
      <c r="L21" s="124" t="inlineStr">
        <is>
          <t>W</t>
        </is>
      </c>
      <c r="M21" s="124" t="n"/>
      <c r="N21" s="733" t="n"/>
    </row>
    <row r="22" ht="15" customHeight="1" thickBot="1">
      <c r="A22" s="733" t="n"/>
      <c r="B22" s="733" t="n"/>
      <c r="C22" s="733" t="n"/>
      <c r="D22" s="733" t="n"/>
      <c r="E22" s="733" t="n"/>
      <c r="F22" s="733" t="n"/>
      <c r="G22" s="733" t="n"/>
      <c r="I22" s="124" t="n">
        <v>3</v>
      </c>
      <c r="J22" s="124" t="inlineStr">
        <is>
          <t xml:space="preserve">Operational </t>
        </is>
      </c>
      <c r="K22" s="124" t="n"/>
      <c r="L22" s="124" t="inlineStr">
        <is>
          <t>W</t>
        </is>
      </c>
      <c r="M22" s="124" t="n"/>
      <c r="N22" s="733" t="n"/>
    </row>
    <row r="23" ht="15" customHeight="1" thickBot="1">
      <c r="A23" s="229" t="inlineStr">
        <is>
          <t>Comp 1</t>
        </is>
      </c>
      <c r="B23" s="230">
        <f>'DATA TRANSFER'!M41</f>
        <v/>
      </c>
      <c r="C23" s="231" t="inlineStr">
        <is>
          <t>On/off</t>
        </is>
      </c>
      <c r="D23" s="733" t="n"/>
      <c r="E23" s="733" t="n"/>
      <c r="F23" s="733" t="n"/>
      <c r="G23" s="733" t="n"/>
      <c r="I23" s="115" t="inlineStr">
        <is>
          <t>Total Heat Load</t>
        </is>
      </c>
      <c r="J23" s="115" t="n"/>
      <c r="K23" s="115">
        <f>SUM(K20:K22)</f>
        <v/>
      </c>
      <c r="L23" s="100" t="n"/>
      <c r="M23" s="100" t="n"/>
      <c r="N23" s="733" t="n"/>
    </row>
    <row r="24">
      <c r="A24" s="232" t="inlineStr">
        <is>
          <t>Comp 2</t>
        </is>
      </c>
      <c r="B24" s="103">
        <f>'DATA TRANSFER'!M42</f>
        <v/>
      </c>
      <c r="C24" s="233" t="inlineStr">
        <is>
          <t>On/off</t>
        </is>
      </c>
      <c r="D24" s="733" t="inlineStr">
        <is>
          <t>HVAC 1 DMB</t>
        </is>
      </c>
      <c r="E24" s="733" t="n"/>
      <c r="F24" s="733" t="n"/>
      <c r="G24" s="733" t="n"/>
      <c r="I24" s="733" t="n"/>
      <c r="J24" s="733" t="n"/>
      <c r="K24" s="733" t="n"/>
      <c r="L24" s="733" t="n"/>
      <c r="M24" s="733" t="n"/>
      <c r="N24" s="733" t="n"/>
    </row>
    <row r="25" ht="15" customHeight="1" thickBot="1">
      <c r="A25" s="232" t="inlineStr">
        <is>
          <t>Comp 3</t>
        </is>
      </c>
      <c r="B25" s="103">
        <f>'DATA TRANSFER'!M43</f>
        <v/>
      </c>
      <c r="C25" s="233" t="inlineStr">
        <is>
          <t>On/off</t>
        </is>
      </c>
      <c r="D25" s="733" t="n"/>
      <c r="E25" s="733" t="n"/>
      <c r="F25" s="733" t="n"/>
      <c r="G25" s="733" t="n"/>
      <c r="I25" s="733" t="n"/>
      <c r="J25" s="733" t="n"/>
      <c r="K25" s="733" t="n"/>
      <c r="L25" s="733" t="n"/>
      <c r="M25" s="733" t="n"/>
      <c r="N25" s="733" t="n"/>
    </row>
    <row r="26" ht="15" customHeight="1" thickBot="1">
      <c r="A26" s="232" t="inlineStr">
        <is>
          <t>Comp 4</t>
        </is>
      </c>
      <c r="B26" s="103">
        <f>'DATA TRANSFER'!M46</f>
        <v/>
      </c>
      <c r="C26" s="233" t="inlineStr">
        <is>
          <t>On/off</t>
        </is>
      </c>
      <c r="D26" s="733" t="n"/>
      <c r="E26" s="733" t="n"/>
      <c r="F26" s="733" t="n"/>
      <c r="G26" s="733" t="n"/>
      <c r="I26" s="789" t="inlineStr">
        <is>
          <t xml:space="preserve">Change in Temp </t>
        </is>
      </c>
      <c r="J26" s="789" t="n"/>
      <c r="K26" s="789" t="n"/>
      <c r="L26" s="789" t="n"/>
      <c r="M26" s="789" t="n"/>
      <c r="N26" s="733" t="n"/>
    </row>
    <row r="27">
      <c r="A27" s="232" t="inlineStr">
        <is>
          <t>Heater</t>
        </is>
      </c>
      <c r="B27" s="103" t="n">
        <v>1</v>
      </c>
      <c r="C27" s="233" t="inlineStr">
        <is>
          <t>On/off</t>
        </is>
      </c>
      <c r="D27" s="733" t="n"/>
      <c r="E27" s="733" t="n"/>
      <c r="F27" s="733" t="n"/>
      <c r="G27" s="733" t="n"/>
      <c r="I27" s="116" t="n">
        <v>1</v>
      </c>
      <c r="J27" s="117" t="inlineStr">
        <is>
          <t>Delta W</t>
        </is>
      </c>
      <c r="K27" s="117">
        <f>B16-K23</f>
        <v/>
      </c>
      <c r="L27" s="117" t="inlineStr">
        <is>
          <t>W</t>
        </is>
      </c>
      <c r="M27" s="118" t="n"/>
      <c r="N27" s="733" t="n"/>
    </row>
    <row r="28">
      <c r="A28" s="232" t="inlineStr">
        <is>
          <t>FAD</t>
        </is>
      </c>
      <c r="B28" s="103" t="n">
        <v>1</v>
      </c>
      <c r="C28" s="233" t="n"/>
      <c r="D28" s="733" t="n"/>
      <c r="E28" s="733" t="n"/>
      <c r="F28" s="733" t="n"/>
      <c r="G28" s="733" t="n"/>
      <c r="I28" s="102" t="n">
        <v>2</v>
      </c>
      <c r="J28" s="103" t="inlineStr">
        <is>
          <t>Time</t>
        </is>
      </c>
      <c r="K28" s="103">
        <f>B6</f>
        <v/>
      </c>
      <c r="L28" s="103" t="inlineStr">
        <is>
          <t>s</t>
        </is>
      </c>
      <c r="M28" s="104" t="n"/>
      <c r="N28" s="733" t="inlineStr">
        <is>
          <t>DM1 HVAC1</t>
        </is>
      </c>
    </row>
    <row r="29">
      <c r="A29" s="232" t="inlineStr">
        <is>
          <t xml:space="preserve">Cooling </t>
        </is>
      </c>
      <c r="B29" s="103">
        <f>IF(AND(B23:B26),47,IF(OR(B23:B26),10,IF(B27=1,-9,0)))</f>
        <v/>
      </c>
      <c r="C29" s="233" t="inlineStr">
        <is>
          <t>KW</t>
        </is>
      </c>
      <c r="D29" s="733" t="n"/>
      <c r="E29" s="733" t="n"/>
      <c r="F29" s="733" t="n"/>
      <c r="G29" s="733" t="n"/>
      <c r="I29" s="102" t="n">
        <v>3</v>
      </c>
      <c r="J29" s="103" t="inlineStr">
        <is>
          <t>c</t>
        </is>
      </c>
      <c r="K29" s="103" t="n">
        <v>1</v>
      </c>
      <c r="L29" s="103" t="inlineStr">
        <is>
          <t>Kj/Kg.K</t>
        </is>
      </c>
      <c r="M29" s="104" t="n"/>
      <c r="N29" s="733" t="n"/>
    </row>
    <row r="30" ht="15" customHeight="1" thickBot="1">
      <c r="A30" s="202" t="n"/>
      <c r="B30" s="170">
        <f>B29*1000</f>
        <v/>
      </c>
      <c r="C30" s="171" t="inlineStr">
        <is>
          <t>W</t>
        </is>
      </c>
      <c r="D30" s="733" t="n"/>
      <c r="E30" s="733" t="n"/>
      <c r="F30" s="733" t="n"/>
      <c r="G30" s="733" t="n"/>
      <c r="I30" s="119" t="n">
        <v>4</v>
      </c>
      <c r="J30" s="120" t="inlineStr">
        <is>
          <t>m</t>
        </is>
      </c>
      <c r="K30" s="120" t="n">
        <v>1000</v>
      </c>
      <c r="L30" s="120" t="inlineStr">
        <is>
          <t>Kg</t>
        </is>
      </c>
      <c r="M30" s="121" t="n"/>
      <c r="N30" s="733" t="n"/>
    </row>
    <row r="31" ht="15" customHeight="1" thickBot="1">
      <c r="E31" s="733" t="n"/>
      <c r="F31" s="733" t="n"/>
      <c r="G31" s="733" t="n"/>
      <c r="I31" s="733" t="n"/>
      <c r="J31" s="733" t="n"/>
      <c r="K31" s="733" t="n"/>
      <c r="L31" s="733" t="n"/>
      <c r="M31" s="733" t="n"/>
      <c r="N31" s="733" t="n"/>
    </row>
    <row r="32" ht="15" customHeight="1" thickBot="1">
      <c r="A32" s="207" t="n"/>
      <c r="B32" s="208" t="inlineStr">
        <is>
          <t>DMA</t>
        </is>
      </c>
      <c r="C32" s="208" t="inlineStr">
        <is>
          <t>TCA</t>
        </is>
      </c>
      <c r="D32" s="209" t="inlineStr">
        <is>
          <t>DMB</t>
        </is>
      </c>
      <c r="E32" s="733" t="n"/>
      <c r="F32" s="733" t="n"/>
      <c r="G32" s="733" t="n"/>
      <c r="I32" s="122" t="inlineStr">
        <is>
          <t xml:space="preserve">Change </t>
        </is>
      </c>
      <c r="J32" s="123">
        <f>(1/1000)*(K27*K28)/(K29*K30)</f>
        <v/>
      </c>
      <c r="K32" s="113" t="inlineStr">
        <is>
          <t>C</t>
        </is>
      </c>
      <c r="L32" s="733" t="n"/>
      <c r="M32" s="733" t="n"/>
      <c r="N32" s="733" t="n"/>
    </row>
    <row r="33">
      <c r="A33" s="205" t="inlineStr">
        <is>
          <t xml:space="preserve">Set Point </t>
        </is>
      </c>
      <c r="B33" s="733">
        <f>MAX(IF(TCMS!D24&gt;0,Calculation!O40+TCMS!D24,O40),'Set point Calc'!J14)</f>
        <v/>
      </c>
      <c r="C33" s="733">
        <f>IF(TCMS!E24&gt;0,Calculation!P40+TCMS!E24,P40)</f>
        <v/>
      </c>
      <c r="D33" s="168">
        <f>IF(TCMS!F24&gt;0,Calculation!Q40+TCMS!F24,Q40)</f>
        <v/>
      </c>
      <c r="E33" s="733" t="n"/>
      <c r="F33" s="733" t="n"/>
      <c r="G33" s="733" t="n"/>
      <c r="I33" s="733" t="n"/>
      <c r="J33" s="733" t="n"/>
      <c r="K33" s="733" t="n"/>
      <c r="L33" s="733" t="n"/>
      <c r="M33" s="733" t="n"/>
      <c r="N33" s="733" t="n"/>
    </row>
    <row r="34" ht="15" customHeight="1" thickBot="1">
      <c r="A34" s="206" t="inlineStr">
        <is>
          <t>Ambient Temp</t>
        </is>
      </c>
      <c r="B34" s="733">
        <f>'DATA TRANSFER'!F39</f>
        <v/>
      </c>
      <c r="C34" s="733">
        <f>B34</f>
        <v/>
      </c>
      <c r="D34" s="168">
        <f>C34</f>
        <v/>
      </c>
      <c r="E34" s="733" t="n"/>
      <c r="F34" s="733" t="n"/>
      <c r="G34" s="733" t="n"/>
      <c r="I34" s="733" t="n"/>
      <c r="J34" s="733" t="n"/>
      <c r="K34" s="733" t="n"/>
      <c r="L34" s="733" t="n"/>
      <c r="M34" s="733" t="n"/>
      <c r="N34" s="733" t="n"/>
    </row>
    <row r="35" ht="15" customHeight="1" thickBot="1">
      <c r="A35" s="206" t="inlineStr">
        <is>
          <t>RAT</t>
        </is>
      </c>
      <c r="B35" s="733">
        <f>'DATA TRANSFER'!Q584</f>
        <v/>
      </c>
      <c r="C35" s="733">
        <f>'DATA TRANSFER'!G38</f>
        <v/>
      </c>
      <c r="D35" s="168">
        <f>'DATA TRANSFER'!H38</f>
        <v/>
      </c>
      <c r="E35" s="733" t="n"/>
      <c r="F35" s="733" t="n"/>
      <c r="G35" s="733" t="n"/>
      <c r="I35" s="789" t="inlineStr">
        <is>
          <t xml:space="preserve">Change in Temp </t>
        </is>
      </c>
      <c r="J35" s="789" t="n"/>
      <c r="K35" s="789" t="n"/>
      <c r="L35" s="789" t="n"/>
      <c r="M35" s="789" t="n"/>
      <c r="N35" s="733" t="n"/>
    </row>
    <row r="36" ht="15" customHeight="1" thickBot="1">
      <c r="A36" s="202" t="inlineStr">
        <is>
          <t>New RAT</t>
        </is>
      </c>
      <c r="B36" s="170">
        <f>B35-B90</f>
        <v/>
      </c>
      <c r="C36" s="170">
        <f>C35-C90</f>
        <v/>
      </c>
      <c r="D36" s="171">
        <f>D35-B90</f>
        <v/>
      </c>
      <c r="I36" s="116" t="n">
        <v>1</v>
      </c>
      <c r="J36" s="117" t="inlineStr">
        <is>
          <t>Delta W</t>
        </is>
      </c>
      <c r="K36" s="117">
        <f>B15-K23</f>
        <v/>
      </c>
      <c r="L36" s="117" t="inlineStr">
        <is>
          <t>W</t>
        </is>
      </c>
      <c r="M36" s="118" t="n"/>
      <c r="N36" s="733" t="n"/>
    </row>
    <row r="37" ht="15" customHeight="1" thickBot="1">
      <c r="I37" s="102" t="n">
        <v>2</v>
      </c>
      <c r="J37" s="103" t="inlineStr">
        <is>
          <t>Time</t>
        </is>
      </c>
      <c r="K37" s="103">
        <f>B15</f>
        <v/>
      </c>
      <c r="L37" s="103" t="inlineStr">
        <is>
          <t>s</t>
        </is>
      </c>
      <c r="M37" s="104" t="n"/>
      <c r="N37" s="733" t="inlineStr">
        <is>
          <t>DM1 HVAC2</t>
        </is>
      </c>
    </row>
    <row r="38">
      <c r="A38" s="183" t="inlineStr">
        <is>
          <t>Pre-Cool</t>
        </is>
      </c>
      <c r="B38" s="796">
        <f>IF('Mode Logic'!B27=1,1,0)</f>
        <v/>
      </c>
      <c r="C38" s="796">
        <f>B38</f>
        <v/>
      </c>
      <c r="D38" s="178">
        <f>C38</f>
        <v/>
      </c>
      <c r="E38" s="36">
        <f>IF(B48=1,0,IF(OR(B38=1,B39=1,B40=1),0,IF('Mode Logic'!B30=1,1,0)))*IF(B50=1,0,1)</f>
        <v/>
      </c>
      <c r="F38">
        <f>'DATA TRANSFER'!F38</f>
        <v/>
      </c>
      <c r="I38" s="102" t="n">
        <v>3</v>
      </c>
      <c r="J38" s="103" t="inlineStr">
        <is>
          <t>c</t>
        </is>
      </c>
      <c r="K38" s="103" t="n">
        <v>1</v>
      </c>
      <c r="L38" s="103" t="inlineStr">
        <is>
          <t>Kj/Kg.K</t>
        </is>
      </c>
      <c r="M38" s="104" t="n"/>
      <c r="N38" s="733" t="n"/>
    </row>
    <row r="39" ht="15" customHeight="1" thickBot="1">
      <c r="A39" s="206" t="inlineStr">
        <is>
          <t>Pre-heat</t>
        </is>
      </c>
      <c r="B39" s="733">
        <f>IF('Mode Logic'!B26=1,1,0)</f>
        <v/>
      </c>
      <c r="C39" s="733">
        <f>B39</f>
        <v/>
      </c>
      <c r="D39" s="168">
        <f>C39</f>
        <v/>
      </c>
      <c r="I39" s="119" t="n">
        <v>4</v>
      </c>
      <c r="J39" s="120" t="inlineStr">
        <is>
          <t>m</t>
        </is>
      </c>
      <c r="K39" s="120" t="n">
        <v>1000</v>
      </c>
      <c r="L39" s="120" t="inlineStr">
        <is>
          <t>Kg</t>
        </is>
      </c>
      <c r="M39" s="121" t="n"/>
      <c r="N39" s="733" t="n"/>
    </row>
    <row r="40" ht="15" customHeight="1" thickBot="1">
      <c r="A40" s="206" t="inlineStr">
        <is>
          <t>Auto Cool 1 (Cooling Circuits Disabled)</t>
        </is>
      </c>
      <c r="B40" s="733">
        <f>IF(B48=1,0,IF(B38=0,IF('Mode Logic'!B29=1,1,0)))*IF(B50=1,0,1)</f>
        <v/>
      </c>
      <c r="C40" s="733">
        <f>B40</f>
        <v/>
      </c>
      <c r="D40" s="733">
        <f>IF(OR(D48=0,D38=0,D50=0),1,IF(AND(D35&gt;=D33+1.5,D35&lt;D33+2.5),1,0))</f>
        <v/>
      </c>
      <c r="E40" s="2" t="inlineStr">
        <is>
          <t>FAT&lt;T4</t>
        </is>
      </c>
      <c r="G40">
        <f>IF(OR(B48=0,B38=0,B50=0),1,IF(AND(B35&gt;=B33+1.5,B35&lt;B33+2.5),1,0))</f>
        <v/>
      </c>
    </row>
    <row r="41" ht="15" customHeight="1" thickBot="1">
      <c r="A41" s="206" t="inlineStr">
        <is>
          <t>Auto Cool 2</t>
        </is>
      </c>
      <c r="B41" s="733">
        <f>IF(B48=1,0,IF(OR(B38=1,B39=1,B40=1),0,IF('Mode Logic'!B30=1,1,0)))*IF(B50=1,0,1)</f>
        <v/>
      </c>
      <c r="C41" s="733">
        <f>B41</f>
        <v/>
      </c>
      <c r="D41" s="168">
        <f>IF(OR(D48=1,D38=1,D50=1),0,IF(AND(D35&gt;=D33,D35&lt;D33+1),1,0))</f>
        <v/>
      </c>
      <c r="I41" s="122" t="inlineStr">
        <is>
          <t xml:space="preserve">Change </t>
        </is>
      </c>
      <c r="J41" s="123">
        <f>(1/1000)*(K36*K37)/(K38*K39)</f>
        <v/>
      </c>
      <c r="K41" s="113" t="inlineStr">
        <is>
          <t>C</t>
        </is>
      </c>
    </row>
    <row r="42">
      <c r="A42" s="206" t="inlineStr">
        <is>
          <t>Auto Cool 3</t>
        </is>
      </c>
      <c r="B42" s="2">
        <f>IF(B48=1,0,IF(OR(B38=1,B39=1,B40=1,B41=1),0,IF('Mode Logic'!B31=1,1,0)))*IF(OR(B50=1,B49),0,1)</f>
        <v/>
      </c>
      <c r="C42" s="2">
        <f>B42</f>
        <v/>
      </c>
      <c r="D42" s="213">
        <f>IF(OR(D48=1,D38=1,D50=1,N1=1,N2=1),0,IF(AND(D35&gt;=D33+2.5,D35&lt;D33+3.5),1,0))</f>
        <v/>
      </c>
      <c r="E42">
        <f>IF(OR(B48=1,B38=1,B50=1,L1=1,L2=1),0,IF(AND(B35&gt;=B33+2.5,B35&lt;B33+3.5),1,0))</f>
        <v/>
      </c>
    </row>
    <row r="43">
      <c r="A43" s="206" t="inlineStr">
        <is>
          <t>Temp reference for Internal Smoke</t>
        </is>
      </c>
      <c r="B43" s="2" t="n">
        <v>45</v>
      </c>
      <c r="C43" s="2" t="n">
        <v>45</v>
      </c>
      <c r="D43" s="213" t="n">
        <v>45</v>
      </c>
    </row>
    <row r="44">
      <c r="A44" s="206" t="inlineStr">
        <is>
          <t>Internal Smoke GUI input</t>
        </is>
      </c>
      <c r="B44" s="2">
        <f>'DATA TRANSFER'!F28</f>
        <v/>
      </c>
      <c r="C44" s="2" t="n"/>
      <c r="D44" s="213" t="n"/>
    </row>
    <row r="45">
      <c r="A45" s="206" t="inlineStr">
        <is>
          <t>External Smoke GUI input</t>
        </is>
      </c>
      <c r="B45" s="2">
        <f>'DATA TRANSFER'!F29</f>
        <v/>
      </c>
      <c r="C45" s="2" t="n"/>
      <c r="D45" s="213" t="n"/>
      <c r="E45" s="733" t="n"/>
      <c r="F45" s="733" t="n"/>
      <c r="H45" s="733" t="n"/>
      <c r="I45" s="733" t="n"/>
      <c r="J45" s="733" t="n"/>
      <c r="K45" s="733" t="n"/>
      <c r="L45" s="733" t="n"/>
      <c r="M45" s="733" t="n"/>
      <c r="N45" s="733" t="n"/>
    </row>
    <row r="46">
      <c r="A46" s="206" t="n"/>
      <c r="C46" s="2" t="n"/>
      <c r="D46" s="213" t="n"/>
      <c r="E46" s="733" t="n"/>
      <c r="F46" s="733" t="n"/>
      <c r="G46" s="733" t="n"/>
      <c r="H46" s="733" t="n"/>
      <c r="I46" s="733" t="n"/>
      <c r="J46" s="733" t="n"/>
      <c r="K46" s="733" t="n"/>
      <c r="L46" s="733" t="n"/>
      <c r="M46" s="733" t="n"/>
      <c r="N46" s="733" t="n"/>
    </row>
    <row r="47">
      <c r="A47" s="206" t="n"/>
      <c r="C47" s="2" t="n"/>
      <c r="D47" s="213" t="n"/>
      <c r="E47" s="733">
        <f>IF(B44=1,IF(OR(B35&lt;B43,'DATA TRANSFER'!Q585=1,'DATA TRANSFER'!$F$12=1),1,0),IF('DATA TRANSFER'!F31=1,IF(OR(B35&lt;B34,'DATA TRANSFER'!Q585=1,'DATA TRANSFER'!$F$12=1),1,0),IF(OR(B35&lt;B33,'DATA TRANSFER'!Q585=1,'DATA TRANSFER'!$F$12=1),1,0)))</f>
        <v/>
      </c>
      <c r="F47" s="733" t="n"/>
      <c r="G47" s="733" t="n"/>
      <c r="H47" s="733" t="n"/>
      <c r="I47" s="733" t="n"/>
      <c r="J47" s="733" t="n"/>
      <c r="K47" s="733" t="n"/>
      <c r="L47" s="733" t="n"/>
      <c r="M47" s="733" t="n"/>
      <c r="N47" s="733" t="n"/>
    </row>
    <row r="48">
      <c r="A48" s="206" t="inlineStr">
        <is>
          <t>Vent</t>
        </is>
      </c>
      <c r="B48" s="733">
        <f>IF(B44=1,IF(OR(B35&lt;B43,'DATA TRANSFER'!Q585=1,'DATA TRANSFER'!$F$12=1),1,0),IF('DATA TRANSFER'!F31=1,IF(OR(B35&lt;B34,'DATA TRANSFER'!Q585=1,'DATA TRANSFER'!$F$12=1),1,0),IF(OR(B35&lt;B33,'DATA TRANSFER'!Q585=1,'DATA TRANSFER'!$F$12=1),1,0)))</f>
        <v/>
      </c>
      <c r="C48" s="733">
        <f>B48</f>
        <v/>
      </c>
      <c r="D48" s="168">
        <f>IF(AND(OR('DATA TRANSFER'!H38&lt;25,'DATA TRANSFER'!H59=1,'DATA TRANSFER'!$CP$37=1),D49=0),1,0)</f>
        <v/>
      </c>
      <c r="E48" s="733">
        <f>IF('DATA TRANSFER'!F31=1,IF(OR(B35&lt;B34,'DATA TRANSFER'!Q585=1,'DATA TRANSFER'!$F$12=1),1,0),IF(OR(B35&lt;B33,'DATA TRANSFER'!Q585=1,'DATA TRANSFER'!$F$12=1),1,0))</f>
        <v/>
      </c>
      <c r="F48" s="733">
        <f>IF('DATA TRANSFER'!F31=1,IF(OR(B35&lt;B34,'DATA TRANSFER'!Q585=1,'DATA TRANSFER'!$F$12=1),1,0),IF(OR(B35&lt;B33,'DATA TRANSFER'!Q585=1,'DATA TRANSFER'!$F$12=1),1,0))</f>
        <v/>
      </c>
      <c r="G48" s="733">
        <f>IF(AND(OR('DATA TRANSFER'!F38&lt;25,'DATA TRANSFER'!DF14=1,'DATA TRANSFER'!F46),B49=0),1,0)</f>
        <v/>
      </c>
      <c r="H48" s="733" t="n"/>
      <c r="I48" s="733" t="n"/>
      <c r="J48" s="733" t="n"/>
      <c r="K48" s="733" t="n"/>
      <c r="L48" s="733" t="n"/>
      <c r="M48" s="733" t="n"/>
      <c r="N48" s="733" t="n"/>
    </row>
    <row r="49" ht="15" customHeight="1" thickBot="1">
      <c r="A49" s="206" t="inlineStr">
        <is>
          <t>Int Smoke</t>
        </is>
      </c>
      <c r="B49" s="733" t="n">
        <v>0</v>
      </c>
      <c r="C49" s="733">
        <f>B49</f>
        <v/>
      </c>
      <c r="D49" s="168">
        <f>C49</f>
        <v/>
      </c>
      <c r="E49" s="398">
        <f>IF(OR(B35&lt;B33,'DATA TRANSFER'!Q585=1,'DATA TRANSFER'!$F$12=1),1,0)</f>
        <v/>
      </c>
      <c r="F49" s="733" t="n"/>
      <c r="G49" s="733" t="n"/>
      <c r="H49" s="733" t="n"/>
      <c r="I49" s="733" t="n"/>
      <c r="J49" s="733" t="n"/>
      <c r="K49" s="733" t="n"/>
      <c r="L49" s="733" t="n"/>
      <c r="M49" s="733" t="n"/>
      <c r="N49" s="733" t="n"/>
    </row>
    <row r="50">
      <c r="A50" s="206" t="inlineStr">
        <is>
          <t>Ext Smoke</t>
        </is>
      </c>
      <c r="B50" s="733" t="n">
        <v>0</v>
      </c>
      <c r="C50" s="733">
        <f>B50</f>
        <v/>
      </c>
      <c r="D50" s="168">
        <f>C50</f>
        <v/>
      </c>
      <c r="E50" s="733" t="n"/>
      <c r="F50" s="859" t="inlineStr">
        <is>
          <t>close external damper-FAD</t>
        </is>
      </c>
      <c r="G50" s="153">
        <f>IF(OR(B51,C51,D51,),1,0)</f>
        <v/>
      </c>
      <c r="H50" s="733" t="n"/>
      <c r="I50" s="183" t="inlineStr">
        <is>
          <t>DM A</t>
        </is>
      </c>
      <c r="J50" s="796" t="inlineStr">
        <is>
          <t>TCA</t>
        </is>
      </c>
      <c r="K50" s="178" t="inlineStr">
        <is>
          <t>DM B</t>
        </is>
      </c>
      <c r="L50" s="733" t="n"/>
      <c r="M50" s="733" t="n"/>
      <c r="N50" s="733" t="n"/>
    </row>
    <row r="51" ht="15" customHeight="1" thickBot="1">
      <c r="A51" s="210" t="inlineStr">
        <is>
          <t>FAD</t>
        </is>
      </c>
      <c r="B51" s="733">
        <f>IF(OR(TCMS!D27=1,1,TCMS!D28=1,1),1,0)</f>
        <v/>
      </c>
      <c r="C51" s="733">
        <f>B51</f>
        <v/>
      </c>
      <c r="D51" s="733">
        <f>IF(OR(TCMS!F27=1,1,TCMS!F28=1,1),1,0)</f>
        <v/>
      </c>
      <c r="E51" s="733" t="n"/>
      <c r="F51" s="154" t="inlineStr">
        <is>
          <t>close internal damper-RAD</t>
        </is>
      </c>
      <c r="G51" s="155">
        <f>IF(OR(B52:D52),1,0)</f>
        <v/>
      </c>
      <c r="H51" s="733" t="n"/>
      <c r="I51" s="202">
        <f>IF('DATA TRANSFER'!Q584=1,IF((Calculation!B36&gt;=(Calculation!B33+0.5)),0,1),IF(AND('DATA TRANSFER'!$F$13=1,Calculation!B36&lt;=Calculation!B33),1,0))</f>
        <v/>
      </c>
      <c r="J51" s="202">
        <f>IF('DATA TRANSFER'!DG14=1,    IF(Calculation!C36&gt;=Calculation!C33+0.5,1,       IF(Calculation!C36&lt;=Calculation!C33-0.5,0,'DATA TRANSFER'!DG15)),'DATA TRANSFER'!DG15)</f>
        <v/>
      </c>
      <c r="K51" s="202">
        <f>IF('DATA TRANSFER'!DH14=1,    IF(Calculation!D36&gt;=Calculation!D33+0.5,1,       IF(Calculation!D36&lt;=Calculation!D33-0.5,0,'DATA TRANSFER'!DH15)),'DATA TRANSFER'!DH15)</f>
        <v/>
      </c>
      <c r="L51" s="733" t="n"/>
      <c r="M51" s="733" t="n"/>
      <c r="N51" s="733" t="n"/>
    </row>
    <row r="52" ht="15" customHeight="1" thickBot="1">
      <c r="A52" s="211" t="inlineStr">
        <is>
          <t>RAD</t>
        </is>
      </c>
      <c r="B52" s="170">
        <f>IF(OR(B49=1,'DATA TRANSFER'!F563=0),0,1)</f>
        <v/>
      </c>
      <c r="C52" s="733">
        <f>B52</f>
        <v/>
      </c>
      <c r="D52" s="170">
        <f>IF(OR(TCMS!F27=2,1,TCMS!F28=2,1),1,0)</f>
        <v/>
      </c>
      <c r="E52" s="733" t="n"/>
      <c r="F52" s="733" t="n"/>
      <c r="G52" s="733" t="n"/>
      <c r="H52" s="733" t="n"/>
      <c r="I52" s="733" t="n"/>
      <c r="J52" s="733" t="n"/>
      <c r="K52" s="733" t="n"/>
      <c r="L52" s="733" t="n"/>
      <c r="M52" s="733" t="n"/>
      <c r="N52" s="733" t="n"/>
    </row>
    <row r="53" ht="15" customHeight="1" thickBot="1">
      <c r="E53" s="733" t="n"/>
      <c r="F53" s="733" t="n"/>
      <c r="G53" s="733" t="n"/>
      <c r="H53" s="733" t="n"/>
      <c r="I53" s="733" t="n"/>
      <c r="J53" s="733" t="n"/>
      <c r="K53" s="733" t="n"/>
      <c r="L53" s="733" t="n"/>
      <c r="M53" s="733" t="n"/>
      <c r="N53" s="733" t="n"/>
      <c r="O53" s="733" t="n"/>
    </row>
    <row r="54">
      <c r="A54" s="183" t="n"/>
      <c r="B54" s="796" t="inlineStr">
        <is>
          <t>DM1</t>
        </is>
      </c>
      <c r="C54" s="879" t="n"/>
      <c r="D54" s="796" t="inlineStr">
        <is>
          <t>T2</t>
        </is>
      </c>
      <c r="E54" s="796" t="n"/>
      <c r="F54" s="796" t="inlineStr">
        <is>
          <t>DM6</t>
        </is>
      </c>
      <c r="G54" s="178" t="n"/>
      <c r="H54" s="733" t="n"/>
      <c r="I54" s="733" t="n"/>
      <c r="J54" s="733" t="n"/>
      <c r="K54" s="733" t="n"/>
      <c r="L54" s="733" t="n"/>
      <c r="M54" s="733" t="n"/>
      <c r="N54" s="733" t="n"/>
      <c r="O54" s="733" t="n"/>
    </row>
    <row r="55">
      <c r="A55" s="206" t="n"/>
      <c r="B55" s="733" t="inlineStr">
        <is>
          <t>HVAC 1</t>
        </is>
      </c>
      <c r="C55" s="733" t="inlineStr">
        <is>
          <t>HVAC 2</t>
        </is>
      </c>
      <c r="D55" s="733" t="inlineStr">
        <is>
          <t>HVAC 1</t>
        </is>
      </c>
      <c r="E55" s="733" t="inlineStr">
        <is>
          <t>HVAC 2</t>
        </is>
      </c>
      <c r="F55" s="733" t="inlineStr">
        <is>
          <t>HVAC 1</t>
        </is>
      </c>
      <c r="G55" s="168" t="inlineStr">
        <is>
          <t>HVAC 2</t>
        </is>
      </c>
      <c r="H55" s="733" t="n"/>
      <c r="M55" s="733" t="n"/>
      <c r="N55" s="733" t="n"/>
      <c r="O55" s="733" t="n"/>
    </row>
    <row r="56">
      <c r="A56" s="205" t="inlineStr">
        <is>
          <t>Fault</t>
        </is>
      </c>
      <c r="B56" s="733" t="n">
        <v>0</v>
      </c>
      <c r="C56" s="733">
        <f>B56</f>
        <v/>
      </c>
      <c r="D56" s="733">
        <f t="array" ref="D56">IF(OR('DATA TRANSFER'!$AD$61:$AH$61=1),1,0)</f>
        <v/>
      </c>
      <c r="E56" s="733">
        <f t="array" ref="E56">IF(OR('DATA TRANSFER'!$AD$61:$AH$61=1),1,0)</f>
        <v/>
      </c>
      <c r="F56" s="733">
        <f t="array" ref="F56">IF(OR('DATA TRANSFER'!$AD$61:$AH$61=1),1,0)</f>
        <v/>
      </c>
      <c r="G56" s="168">
        <f t="array" ref="G56">IF(OR('DATA TRANSFER'!$AD$61:$AH$61=1),1,0)</f>
        <v/>
      </c>
      <c r="H56" s="733" t="n"/>
      <c r="M56" s="733" t="n"/>
      <c r="N56" s="733" t="n"/>
      <c r="O56" s="733" t="n"/>
    </row>
    <row r="57">
      <c r="A57" s="206" t="inlineStr">
        <is>
          <t>Pre-Cool</t>
        </is>
      </c>
      <c r="B57" s="733">
        <f>B38</f>
        <v/>
      </c>
      <c r="C57" s="733">
        <f>B57</f>
        <v/>
      </c>
      <c r="D57" s="733">
        <f>C38</f>
        <v/>
      </c>
      <c r="E57" s="733">
        <f>C38</f>
        <v/>
      </c>
      <c r="F57" s="733">
        <f>D38</f>
        <v/>
      </c>
      <c r="G57" s="168">
        <f>D38</f>
        <v/>
      </c>
      <c r="H57" s="733" t="n"/>
      <c r="M57" s="733" t="n"/>
      <c r="N57" s="733" t="n"/>
      <c r="O57" s="733" t="n"/>
    </row>
    <row r="58">
      <c r="A58" s="206" t="inlineStr">
        <is>
          <t>Pre-heat</t>
        </is>
      </c>
      <c r="B58" s="733">
        <f>B39</f>
        <v/>
      </c>
      <c r="C58" s="733">
        <f>B58</f>
        <v/>
      </c>
      <c r="D58" s="733">
        <f>C39</f>
        <v/>
      </c>
      <c r="E58" s="733">
        <f>C39</f>
        <v/>
      </c>
      <c r="F58" s="733">
        <f>D39</f>
        <v/>
      </c>
      <c r="G58" s="168">
        <f>D39</f>
        <v/>
      </c>
      <c r="H58" s="733" t="n"/>
      <c r="M58" s="733" t="n"/>
      <c r="N58" s="733" t="n"/>
      <c r="O58" s="733" t="n"/>
    </row>
    <row r="59" ht="25.5" customHeight="1">
      <c r="A59" s="206" t="inlineStr">
        <is>
          <t>Auto Cool 1 (Cooling Circuits Disabled)</t>
        </is>
      </c>
      <c r="B59" s="733">
        <f>B40</f>
        <v/>
      </c>
      <c r="C59" s="733">
        <f>B59</f>
        <v/>
      </c>
      <c r="D59" s="733">
        <f>C40</f>
        <v/>
      </c>
      <c r="E59" s="733">
        <f>C40</f>
        <v/>
      </c>
      <c r="F59" s="733">
        <f>D40</f>
        <v/>
      </c>
      <c r="G59" s="168">
        <f>D40</f>
        <v/>
      </c>
      <c r="H59" s="733" t="n"/>
      <c r="M59" s="733" t="n"/>
      <c r="N59" s="733" t="n"/>
      <c r="O59" s="733" t="n"/>
    </row>
    <row r="60" ht="19.5" customHeight="1">
      <c r="A60" s="206" t="inlineStr">
        <is>
          <t>Auto Cool 2</t>
        </is>
      </c>
      <c r="B60" s="733">
        <f>B41</f>
        <v/>
      </c>
      <c r="C60" s="733">
        <f>B60</f>
        <v/>
      </c>
      <c r="D60" s="733">
        <f>C40</f>
        <v/>
      </c>
      <c r="E60" s="733">
        <f>C40</f>
        <v/>
      </c>
      <c r="F60" s="733">
        <f>D41</f>
        <v/>
      </c>
      <c r="G60" s="168">
        <f>D41</f>
        <v/>
      </c>
      <c r="H60" s="733" t="n"/>
      <c r="M60" s="733" t="n"/>
      <c r="N60" s="733" t="n"/>
      <c r="O60" s="733" t="n"/>
    </row>
    <row r="61" ht="19.5" customHeight="1">
      <c r="A61" s="206" t="inlineStr">
        <is>
          <t>Auto Cool 5</t>
        </is>
      </c>
      <c r="B61" s="2">
        <f>B42</f>
        <v/>
      </c>
      <c r="C61" s="733">
        <f>B61</f>
        <v/>
      </c>
      <c r="D61" s="2">
        <f>C42</f>
        <v/>
      </c>
      <c r="E61" s="2">
        <f>C42</f>
        <v/>
      </c>
      <c r="F61" s="733">
        <f>D42</f>
        <v/>
      </c>
      <c r="G61" s="213">
        <f>D42</f>
        <v/>
      </c>
      <c r="H61" s="733" t="n"/>
      <c r="M61" s="733" t="n"/>
      <c r="N61" s="733" t="n"/>
      <c r="O61" s="733" t="n"/>
    </row>
    <row r="62">
      <c r="A62" s="206" t="inlineStr">
        <is>
          <t>Heat Mode</t>
        </is>
      </c>
      <c r="B62" s="2" t="n">
        <v>0</v>
      </c>
      <c r="C62" s="733" t="n"/>
      <c r="D62" s="733" t="n"/>
      <c r="E62" s="2" t="n"/>
      <c r="F62" s="733" t="n"/>
      <c r="G62" s="213" t="n"/>
      <c r="H62" s="733" t="n"/>
      <c r="J62" s="733" t="n"/>
      <c r="M62" s="733" t="n"/>
      <c r="N62" s="733" t="n"/>
      <c r="O62" s="733" t="n"/>
    </row>
    <row r="63">
      <c r="A63" s="206" t="inlineStr">
        <is>
          <t>Dehumidification Mode</t>
        </is>
      </c>
      <c r="B63" s="2" t="n">
        <v>0</v>
      </c>
      <c r="C63" s="733" t="n"/>
      <c r="D63" s="733" t="n"/>
      <c r="E63" s="2" t="n"/>
      <c r="F63" s="733" t="n"/>
      <c r="G63" s="213" t="n"/>
      <c r="H63" s="733" t="n"/>
      <c r="I63" s="733" t="n"/>
      <c r="J63" s="733" t="n"/>
      <c r="K63" s="733" t="n"/>
    </row>
    <row r="64">
      <c r="A64" s="206" t="inlineStr">
        <is>
          <t>Emergency Vent Mode</t>
        </is>
      </c>
      <c r="B64" s="2">
        <f>'LFD OLD'!R45</f>
        <v/>
      </c>
      <c r="C64" s="733" t="n"/>
      <c r="D64" s="733" t="n"/>
      <c r="E64" s="2" t="n"/>
      <c r="F64" s="733" t="n"/>
      <c r="G64" s="213" t="n"/>
      <c r="H64" s="733" t="n"/>
      <c r="I64" s="733" t="n"/>
      <c r="J64" s="733" t="n"/>
      <c r="K64" s="733" t="n"/>
    </row>
    <row r="65">
      <c r="A65" s="206" t="inlineStr">
        <is>
          <t>Heater</t>
        </is>
      </c>
      <c r="B65" s="2">
        <f>VLOOKUP(1,'Mode Logic'!B26:E36,3,FALSE)</f>
        <v/>
      </c>
      <c r="C65" s="733" t="n"/>
      <c r="D65" s="733" t="n"/>
      <c r="E65" s="2" t="n"/>
      <c r="F65" s="733" t="n"/>
      <c r="G65" s="213" t="n"/>
      <c r="H65" s="733" t="n"/>
      <c r="I65" s="733" t="n"/>
      <c r="J65" s="733" t="n"/>
      <c r="K65" s="733" t="n"/>
    </row>
    <row r="66">
      <c r="A66" s="206" t="inlineStr">
        <is>
          <t>Condensor Fan</t>
        </is>
      </c>
      <c r="B66" s="2">
        <f>VLOOKUP(1,'Mode Logic'!B26:E36,4,FALSE)</f>
        <v/>
      </c>
      <c r="C66" s="733">
        <f>B66</f>
        <v/>
      </c>
      <c r="D66" s="733" t="n"/>
      <c r="E66" s="2" t="n"/>
      <c r="F66" s="733" t="n"/>
      <c r="G66" s="213" t="n"/>
      <c r="H66" s="733" t="n"/>
      <c r="I66" s="733" t="n"/>
      <c r="J66" s="733" t="n"/>
      <c r="K66" s="733" t="n"/>
    </row>
    <row r="67">
      <c r="A67" s="206" t="inlineStr">
        <is>
          <t>Vent</t>
        </is>
      </c>
      <c r="B67" s="733">
        <f>B48</f>
        <v/>
      </c>
      <c r="C67" s="733">
        <f>B67</f>
        <v/>
      </c>
      <c r="D67" s="733">
        <f>C48</f>
        <v/>
      </c>
      <c r="E67" s="733">
        <f>D48</f>
        <v/>
      </c>
      <c r="F67" s="733">
        <f>D48</f>
        <v/>
      </c>
      <c r="G67" s="168">
        <f>D48</f>
        <v/>
      </c>
      <c r="H67" s="733" t="n"/>
      <c r="I67" s="733" t="n"/>
      <c r="J67" s="733" t="n"/>
      <c r="K67" s="733" t="n"/>
    </row>
    <row r="68">
      <c r="A68" s="206" t="inlineStr">
        <is>
          <t>Int Smoke</t>
        </is>
      </c>
      <c r="B68" s="733">
        <f>B49</f>
        <v/>
      </c>
      <c r="C68" s="733">
        <f>B68</f>
        <v/>
      </c>
      <c r="D68" s="733">
        <f>C49</f>
        <v/>
      </c>
      <c r="E68" s="733">
        <f>C49</f>
        <v/>
      </c>
      <c r="F68" s="733">
        <f>D49</f>
        <v/>
      </c>
      <c r="G68" s="168">
        <f>D49</f>
        <v/>
      </c>
      <c r="H68" s="733" t="n"/>
      <c r="I68" s="733" t="n"/>
      <c r="J68" s="733" t="n"/>
      <c r="K68" s="733" t="n"/>
    </row>
    <row r="69">
      <c r="A69" s="206" t="inlineStr">
        <is>
          <t>Ext Smoke</t>
        </is>
      </c>
      <c r="B69" s="733">
        <f>B50</f>
        <v/>
      </c>
      <c r="C69" s="733">
        <f>B69</f>
        <v/>
      </c>
      <c r="D69" s="733">
        <f>C50</f>
        <v/>
      </c>
      <c r="E69" s="733">
        <f>C50</f>
        <v/>
      </c>
      <c r="F69" s="733">
        <f>D50</f>
        <v/>
      </c>
      <c r="G69" s="168">
        <f>D50</f>
        <v/>
      </c>
      <c r="H69" s="733" t="n"/>
      <c r="I69" s="733" t="n"/>
      <c r="J69" s="733" t="n"/>
      <c r="K69" s="733" t="n"/>
    </row>
    <row r="70">
      <c r="A70" s="206" t="inlineStr">
        <is>
          <t>FAD</t>
        </is>
      </c>
      <c r="B70" s="733">
        <f>B51</f>
        <v/>
      </c>
      <c r="C70" s="733">
        <f>B70</f>
        <v/>
      </c>
      <c r="D70" s="733">
        <f>C51</f>
        <v/>
      </c>
      <c r="E70" s="733">
        <f>C51</f>
        <v/>
      </c>
      <c r="F70" s="733">
        <f>D51</f>
        <v/>
      </c>
      <c r="G70" s="168">
        <f>D51</f>
        <v/>
      </c>
      <c r="H70" s="733" t="n"/>
      <c r="I70" s="733" t="n"/>
      <c r="J70" s="733" t="n"/>
      <c r="K70" s="733" t="n"/>
      <c r="N70" s="733" t="n"/>
    </row>
    <row r="71">
      <c r="A71" s="206" t="inlineStr">
        <is>
          <t>RAD</t>
        </is>
      </c>
      <c r="B71" s="733">
        <f>B52</f>
        <v/>
      </c>
      <c r="C71" s="733">
        <f>B71</f>
        <v/>
      </c>
      <c r="D71" s="733">
        <f>C52</f>
        <v/>
      </c>
      <c r="E71" s="733">
        <f>C52</f>
        <v/>
      </c>
      <c r="F71" s="733">
        <f>D52</f>
        <v/>
      </c>
      <c r="G71" s="168">
        <f>D52</f>
        <v/>
      </c>
      <c r="H71" s="733" t="n"/>
      <c r="I71" s="733" t="n"/>
      <c r="J71" s="733" t="n"/>
      <c r="K71" s="733" t="n"/>
    </row>
    <row r="72">
      <c r="A72" s="206" t="n"/>
      <c r="B72" s="733" t="n"/>
      <c r="C72" s="733" t="n"/>
      <c r="D72" s="733" t="n"/>
      <c r="E72" s="733" t="n"/>
      <c r="F72" s="733" t="n"/>
      <c r="G72" s="168" t="n"/>
      <c r="H72" s="733" t="n"/>
      <c r="I72" s="733" t="n"/>
      <c r="J72" s="733" t="n"/>
      <c r="K72" s="733" t="n"/>
    </row>
    <row r="73">
      <c r="A73" s="206" t="inlineStr">
        <is>
          <t>Comp 1</t>
        </is>
      </c>
      <c r="B73" s="733">
        <f>IF(B56=0,IF(VLOOKUP(1,'Mode Logic'!B26:K37,7,FALSE),1,0))</f>
        <v/>
      </c>
      <c r="C73" s="733">
        <f>B73</f>
        <v/>
      </c>
      <c r="D73" s="733">
        <f>IF(D56=0,IF(OR(D57:D66,D69),1,0))</f>
        <v/>
      </c>
      <c r="E73" s="733">
        <f>IF(E56=0,IF(OR(E57:E66,E69),1,0))</f>
        <v/>
      </c>
      <c r="F73" s="733">
        <f>IF(F56=0,IF(OR(F57:F66,F69),1,0))</f>
        <v/>
      </c>
      <c r="G73" s="168">
        <f>IF(G56=0,IF(OR(G57:G66,G69),1,0))</f>
        <v/>
      </c>
      <c r="H73" s="733" t="n"/>
      <c r="I73" s="733" t="n"/>
      <c r="J73" s="733" t="n"/>
      <c r="K73" s="733" t="n"/>
    </row>
    <row r="74">
      <c r="A74" s="206" t="inlineStr">
        <is>
          <t>Comp 2</t>
        </is>
      </c>
      <c r="B74" s="733">
        <f>IF(B56=0,IF(VLOOKUP(1,'Mode Logic'!B26:K37,8,FALSE),1,0))</f>
        <v/>
      </c>
      <c r="C74" s="733">
        <f>B74</f>
        <v/>
      </c>
      <c r="D74" s="733">
        <f>IF(D56=0,IF(OR(D57:D66,D69),1,0))</f>
        <v/>
      </c>
      <c r="E74" s="733">
        <f>IF(E56=0,IF(OR(E57:E66,E69),1,0))</f>
        <v/>
      </c>
      <c r="F74" s="733">
        <f>IF(F56=0,IF(OR(F57:F66,F69),1,0))</f>
        <v/>
      </c>
      <c r="G74" s="168">
        <f>IF(G56=0,IF(OR(G57:G66,G69),1,0))</f>
        <v/>
      </c>
      <c r="H74" s="733" t="n"/>
      <c r="I74" s="733" t="n"/>
      <c r="J74" s="733" t="n"/>
      <c r="K74" s="733" t="n"/>
    </row>
    <row r="75">
      <c r="A75" s="206" t="inlineStr">
        <is>
          <t>Comp 3</t>
        </is>
      </c>
      <c r="B75" s="2">
        <f>IF(B56=0,IF(VLOOKUP(1,'Mode Logic'!B26:K37,9,FALSE),1,0))</f>
        <v/>
      </c>
      <c r="C75" s="733">
        <f>B75</f>
        <v/>
      </c>
      <c r="D75" s="2">
        <f>IF(D56=0,IF(OR(D57:D66,D69),1,0))</f>
        <v/>
      </c>
      <c r="E75" s="2">
        <f>IF(E56=0,IF(OR(E57:E66,E69),1,0))</f>
        <v/>
      </c>
      <c r="F75" s="2">
        <f>IF(F56=0,IF(OR(F57:F66,F69),1,0))</f>
        <v/>
      </c>
      <c r="G75" s="213">
        <f>IF(G56=0,IF(OR(G57:G66,G69),1,0))</f>
        <v/>
      </c>
      <c r="H75" s="733" t="n"/>
      <c r="I75" s="733" t="n"/>
      <c r="J75" s="733" t="n"/>
      <c r="K75" s="733" t="n"/>
    </row>
    <row r="76">
      <c r="A76" s="206" t="inlineStr">
        <is>
          <t>Comp 4</t>
        </is>
      </c>
      <c r="B76" s="2">
        <f>IF(B56=0,IF(VLOOKUP(1,'Mode Logic'!B26:K37,10,FALSE),1,0))</f>
        <v/>
      </c>
      <c r="C76" s="733">
        <f>B76</f>
        <v/>
      </c>
      <c r="D76" s="2">
        <f>IF(D56=0,IF(OR(D57:D66,D69),1,0))</f>
        <v/>
      </c>
      <c r="E76" s="2">
        <f>IF(E56=0,IF(OR(E57:E66,E69),1,0))</f>
        <v/>
      </c>
      <c r="F76" s="2">
        <f>IF(F56=0,IF(OR(F57:F66,F69),1,0))</f>
        <v/>
      </c>
      <c r="G76" s="213">
        <f>IF(G56=0,IF(OR(G57:G66,G69),1,0))</f>
        <v/>
      </c>
      <c r="K76" s="733" t="n"/>
    </row>
    <row r="77">
      <c r="A77" s="206" t="inlineStr">
        <is>
          <t>FAD</t>
        </is>
      </c>
      <c r="B77" s="733">
        <f>IF(B56=0,IF(VLOOKUP(1,'Mode Logic'!B26:N37,11,FALSE),1,0))</f>
        <v/>
      </c>
      <c r="C77" s="733">
        <f>B77</f>
        <v/>
      </c>
      <c r="D77" s="733" t="n"/>
      <c r="E77" s="733" t="n"/>
      <c r="F77" s="733" t="n"/>
      <c r="G77" s="168" t="n"/>
      <c r="K77" s="733" t="n"/>
    </row>
    <row r="78" ht="15" customHeight="1" thickBot="1">
      <c r="A78" s="202" t="inlineStr">
        <is>
          <t>RAD</t>
        </is>
      </c>
      <c r="B78" s="170">
        <f>B52</f>
        <v/>
      </c>
      <c r="C78" s="170">
        <f>B78</f>
        <v/>
      </c>
      <c r="D78" s="170" t="n"/>
      <c r="E78" s="170" t="n"/>
      <c r="F78" s="170" t="n"/>
      <c r="G78" s="171" t="n"/>
      <c r="H78" s="733" t="n"/>
      <c r="I78" s="733" t="n"/>
      <c r="J78" s="733" t="n"/>
      <c r="K78" s="733" t="n"/>
    </row>
    <row r="79" ht="15" customHeight="1" thickBot="1">
      <c r="H79" s="733" t="n"/>
      <c r="I79" s="733" t="n"/>
      <c r="J79" s="733" t="n"/>
      <c r="K79" s="733" t="n"/>
    </row>
    <row r="80">
      <c r="A80" s="183" t="inlineStr">
        <is>
          <t>Pax Heat Load</t>
        </is>
      </c>
      <c r="B80" s="796">
        <f>$M$9</f>
        <v/>
      </c>
      <c r="C80" s="796">
        <f>$M$9</f>
        <v/>
      </c>
      <c r="D80" s="796">
        <f>$M$9</f>
        <v/>
      </c>
      <c r="E80" s="796">
        <f>$M$9</f>
        <v/>
      </c>
      <c r="F80" s="796">
        <f>$M$9</f>
        <v/>
      </c>
      <c r="G80" s="178">
        <f>$M$9</f>
        <v/>
      </c>
      <c r="H80" s="733" t="n"/>
      <c r="I80" s="733" t="n"/>
      <c r="J80" s="733" t="n"/>
      <c r="K80" s="733" t="n"/>
    </row>
    <row r="81">
      <c r="A81" s="206" t="inlineStr">
        <is>
          <t>FAD Load</t>
        </is>
      </c>
      <c r="B81" s="733">
        <f>IF(B77=1,$J$17*$F$8/100,0)</f>
        <v/>
      </c>
      <c r="C81" s="733">
        <f>IF(C77=1,$J$17*$F$8/100,0)</f>
        <v/>
      </c>
      <c r="D81" s="733">
        <f>IF(D77=1,$J$17*$F$8/100,0)</f>
        <v/>
      </c>
      <c r="E81" s="733">
        <f>IF(E77=1,$J$17*$F$8/100,0)</f>
        <v/>
      </c>
      <c r="F81" s="733">
        <f>IF(F77=1,$J$17*$F$8/100,0)</f>
        <v/>
      </c>
      <c r="G81" s="168">
        <f>IF(G77=1,$J$17*$F$8/100,0)</f>
        <v/>
      </c>
      <c r="H81" s="733" t="n"/>
      <c r="I81" s="733" t="n"/>
      <c r="J81" s="733" t="n"/>
      <c r="K81" s="733" t="n"/>
    </row>
    <row r="82">
      <c r="A82" s="206" t="inlineStr">
        <is>
          <t>Operational Heat</t>
        </is>
      </c>
      <c r="B82" s="733">
        <f>$K$23</f>
        <v/>
      </c>
      <c r="C82" s="733" t="n"/>
      <c r="D82" s="733" t="n"/>
      <c r="E82" s="733" t="n"/>
      <c r="F82" s="733" t="n"/>
      <c r="G82" s="168" t="n"/>
      <c r="H82" s="733" t="n"/>
      <c r="I82" s="733" t="n"/>
      <c r="J82" s="733" t="n"/>
      <c r="K82" s="733" t="n"/>
    </row>
    <row r="83" ht="15" customHeight="1" thickBot="1">
      <c r="A83" s="202" t="inlineStr">
        <is>
          <t xml:space="preserve">Total </t>
        </is>
      </c>
      <c r="B83" s="170">
        <f>SUM(B80:B82)*$B$8</f>
        <v/>
      </c>
      <c r="C83" s="170">
        <f>SUM(C80:C82)*$B$8</f>
        <v/>
      </c>
      <c r="D83" s="170">
        <f>SUM(D80:D82)*$B$8</f>
        <v/>
      </c>
      <c r="E83" s="170">
        <f>SUM(E80:E82)*$B$8</f>
        <v/>
      </c>
      <c r="F83" s="170">
        <f>SUM(F80:F82)*$B$8</f>
        <v/>
      </c>
      <c r="G83" s="171">
        <f>SUM(G80:G82)*$B$8</f>
        <v/>
      </c>
      <c r="H83" s="733" t="n"/>
      <c r="I83" s="733" t="n"/>
      <c r="J83" s="733" t="n"/>
      <c r="K83" s="733" t="n"/>
      <c r="N83" s="733" t="n"/>
    </row>
    <row r="84" ht="15" customHeight="1" thickBot="1">
      <c r="F84" s="733" t="n"/>
      <c r="G84" s="733" t="n"/>
      <c r="K84" s="733" t="n"/>
      <c r="N84" s="733" t="n"/>
    </row>
    <row r="85">
      <c r="A85" s="183" t="inlineStr">
        <is>
          <t>Cooling</t>
        </is>
      </c>
      <c r="B85" s="796">
        <f>IF(AND(B73:B76),75000,IF(OR(B73:B76),70000,0))</f>
        <v/>
      </c>
      <c r="C85" s="796">
        <f>IF(AND(C73:C76),47000,IF(OR(C73:C76),10000,0))</f>
        <v/>
      </c>
      <c r="D85" s="796">
        <f>IF(AND(D73:D76),47000,IF(OR(D73:D76),10000,0))</f>
        <v/>
      </c>
      <c r="E85" s="796">
        <f>IF(AND(E73:E76),47000,IF(OR(E73:E76),10000,0))</f>
        <v/>
      </c>
      <c r="F85" s="796">
        <f>IF(AND(F73:F76),47000,IF(OR(F73:F76),10000,0))</f>
        <v/>
      </c>
      <c r="G85" s="178">
        <f>IF(AND(G73:G76),47000,IF(OR(G73:G76),10000,0))</f>
        <v/>
      </c>
      <c r="H85" s="733" t="n"/>
      <c r="I85" s="733" t="n"/>
      <c r="J85" s="733" t="n"/>
      <c r="K85" s="733" t="n"/>
      <c r="N85" s="733" t="n"/>
    </row>
    <row r="86">
      <c r="A86" s="206" t="inlineStr">
        <is>
          <t>Delta W</t>
        </is>
      </c>
      <c r="B86" s="733">
        <f>B85-B83</f>
        <v/>
      </c>
      <c r="C86" s="733">
        <f>C85-C83</f>
        <v/>
      </c>
      <c r="D86" s="733">
        <f>D85-D84</f>
        <v/>
      </c>
      <c r="E86" s="733">
        <f>E85-E84</f>
        <v/>
      </c>
      <c r="F86" s="733">
        <f>F85-F84</f>
        <v/>
      </c>
      <c r="G86" s="168">
        <f>G85-G84</f>
        <v/>
      </c>
      <c r="H86" s="733" t="n"/>
      <c r="I86" s="733" t="n"/>
      <c r="J86" s="733" t="n"/>
      <c r="K86" s="733" t="n"/>
      <c r="N86" s="733" t="n"/>
    </row>
    <row r="87" ht="15" customHeight="1" thickBot="1">
      <c r="A87" s="202" t="inlineStr">
        <is>
          <t>Time</t>
        </is>
      </c>
      <c r="B87" s="170">
        <f>$B$6</f>
        <v/>
      </c>
      <c r="C87" s="170">
        <f>$B$6</f>
        <v/>
      </c>
      <c r="D87" s="170">
        <f>$B$6</f>
        <v/>
      </c>
      <c r="E87" s="170">
        <f>$B$6</f>
        <v/>
      </c>
      <c r="F87" s="170">
        <f>$B$6</f>
        <v/>
      </c>
      <c r="G87" s="171">
        <f>$B$6</f>
        <v/>
      </c>
      <c r="H87" s="733" t="n"/>
      <c r="I87" s="733" t="n"/>
      <c r="J87" s="733" t="n"/>
      <c r="K87" s="733" t="n"/>
      <c r="L87" s="733" t="n"/>
      <c r="M87" s="733" t="n"/>
      <c r="N87" s="733" t="n"/>
    </row>
    <row r="88" ht="15" customHeight="1" thickBot="1">
      <c r="B88" s="796" t="n"/>
      <c r="H88" s="733" t="n"/>
      <c r="I88" s="733" t="n"/>
      <c r="J88" s="733" t="n"/>
      <c r="K88" s="733" t="n"/>
      <c r="L88" s="733" t="n"/>
      <c r="M88" s="733" t="n"/>
      <c r="N88" s="733" t="n"/>
    </row>
    <row r="89">
      <c r="A89" s="183" t="inlineStr">
        <is>
          <t>Total Delta W</t>
        </is>
      </c>
      <c r="B89" s="796">
        <f>B86+C86</f>
        <v/>
      </c>
      <c r="C89" s="796">
        <f>D86+E86</f>
        <v/>
      </c>
      <c r="D89" s="796">
        <f>F86+G86</f>
        <v/>
      </c>
      <c r="E89" s="796" t="n"/>
      <c r="F89" s="796" t="n"/>
      <c r="G89" s="178" t="n"/>
      <c r="H89" s="733" t="n"/>
      <c r="I89" s="733" t="n"/>
      <c r="J89" s="733" t="n"/>
      <c r="K89" s="733" t="n"/>
      <c r="L89" s="733" t="n"/>
      <c r="M89" s="733" t="n"/>
      <c r="N89" s="733" t="n"/>
    </row>
    <row r="90" ht="15" customHeight="1" thickBot="1">
      <c r="A90" s="202" t="inlineStr">
        <is>
          <t>Change</t>
        </is>
      </c>
      <c r="B90" s="170">
        <f>((1/1000)*((B89*$B$6)/($K$29*$K$30)))</f>
        <v/>
      </c>
      <c r="C90" s="170">
        <f>((1/1000)*((C89*$B$6)/($K$29*$K$30)))</f>
        <v/>
      </c>
      <c r="D90" s="170">
        <f>((1/1000)*((D89*$B$6)/($K$29*$K$30)))</f>
        <v/>
      </c>
      <c r="E90" s="170" t="n"/>
      <c r="F90" s="170" t="n"/>
      <c r="G90" s="171" t="n"/>
      <c r="H90" s="733" t="n"/>
      <c r="I90" s="733" t="n"/>
      <c r="J90" s="733" t="n"/>
      <c r="K90" s="733" t="n"/>
      <c r="L90" s="733" t="n"/>
      <c r="M90" s="733" t="n"/>
      <c r="N90" s="733" t="n"/>
    </row>
    <row r="91">
      <c r="A91" s="733" t="n"/>
      <c r="B91" s="733" t="n"/>
      <c r="C91" s="733" t="n"/>
      <c r="D91" s="733" t="n"/>
      <c r="E91" s="733" t="n"/>
      <c r="F91" s="733" t="n"/>
      <c r="G91" s="733" t="n"/>
      <c r="H91" s="733" t="n"/>
      <c r="I91" s="733" t="n"/>
      <c r="J91" s="733" t="n"/>
      <c r="K91" s="733" t="n"/>
      <c r="L91" s="733" t="n"/>
      <c r="M91" s="733" t="n"/>
      <c r="N91" s="733" t="n"/>
    </row>
    <row r="92">
      <c r="A92" s="790" t="inlineStr">
        <is>
          <t>HVAC SYSTEM COMMANDS SCREEN</t>
        </is>
      </c>
      <c r="E92" s="733" t="n"/>
      <c r="F92" s="791" t="inlineStr">
        <is>
          <t>REMOTE CBs COMMANDS</t>
        </is>
      </c>
      <c r="L92" s="733" t="n"/>
      <c r="M92" s="733" t="n"/>
      <c r="N92" s="733" t="n"/>
    </row>
    <row r="93" ht="15" customHeight="1" thickBot="1">
      <c r="A93" s="733" t="n"/>
      <c r="B93" s="733" t="n"/>
      <c r="C93" s="733" t="n"/>
      <c r="D93" s="733" t="n"/>
      <c r="E93" s="733" t="n"/>
      <c r="F93" s="733" t="n"/>
      <c r="G93" s="733" t="n"/>
      <c r="H93" s="733" t="n"/>
      <c r="L93" s="733" t="n"/>
      <c r="M93" s="733" t="n"/>
      <c r="N93" s="733" t="n"/>
    </row>
    <row r="94">
      <c r="A94" s="156" t="inlineStr">
        <is>
          <t>ISOLATE DMA HVAC 1</t>
        </is>
      </c>
      <c r="B94" s="156" t="inlineStr">
        <is>
          <t>ISOLATE TCA HVAC 1</t>
        </is>
      </c>
      <c r="C94" s="157" t="inlineStr">
        <is>
          <t>ISOLATE DMB HVAC 1</t>
        </is>
      </c>
      <c r="D94" s="158" t="inlineStr">
        <is>
          <t>HW ISOLATE</t>
        </is>
      </c>
      <c r="E94" s="733" t="n"/>
      <c r="F94" s="156" t="inlineStr">
        <is>
          <t>DMA HVAC 1 CB TRIP</t>
        </is>
      </c>
      <c r="G94" s="156" t="inlineStr">
        <is>
          <t>TCA HVAC 1 CB TRIP</t>
        </is>
      </c>
      <c r="H94" s="156" t="inlineStr">
        <is>
          <t>DMB HVAC 1 CB TRIP</t>
        </is>
      </c>
      <c r="I94" s="158" t="inlineStr">
        <is>
          <t>HW OFF DUE TO CB TRIP</t>
        </is>
      </c>
      <c r="L94" s="733" t="n"/>
      <c r="M94" s="733" t="n"/>
      <c r="N94" s="733" t="n"/>
    </row>
    <row r="95" ht="15" customHeight="1" thickBot="1">
      <c r="A95" s="201">
        <f>--AND(TCMS!C97=1,TCMS!C100=1,(TCMS!C97+TCMS!C100+TCMS!D97+TCMS!D100+TCMS!E97+TCMS!E100)=2,'DATA TRANSFER'!F46)</f>
        <v/>
      </c>
      <c r="B95" s="163">
        <f>--AND(TCMS!D97=1,TCMS!D100=1,(TCMS!C97+TCMS!C100+TCMS!D97+TCMS!D100+TCMS!E97+TCMS!E100)=2)</f>
        <v/>
      </c>
      <c r="C95" s="201">
        <f>--AND(TCMS!E97=1,TCMS!E100=1,(TCMS!C97+TCMS!C100+TCMS!D97+TCMS!D100+TCMS!E97+TCMS!E100)=2)</f>
        <v/>
      </c>
      <c r="D95" s="165" t="n"/>
      <c r="E95" s="733" t="n"/>
      <c r="F95" s="163">
        <f>IF((TCMS!C105=0),1,0)</f>
        <v/>
      </c>
      <c r="G95" s="163" t="n"/>
      <c r="H95" s="164" t="n"/>
      <c r="I95" s="165">
        <f>IF(OR(C95,D95,E95,F95,G95,H95,C98,D98,E98,F98,G98,H98),1,0)</f>
        <v/>
      </c>
      <c r="L95" s="733" t="n"/>
      <c r="M95" s="733" t="n"/>
      <c r="N95" s="733" t="n"/>
    </row>
    <row r="96">
      <c r="A96" s="733" t="n"/>
      <c r="B96" s="733" t="n"/>
      <c r="C96" s="733" t="n"/>
      <c r="D96" s="733" t="n"/>
      <c r="E96" s="733" t="n"/>
      <c r="F96" s="733" t="n"/>
      <c r="G96" s="733" t="n"/>
      <c r="H96" s="733" t="n"/>
      <c r="L96" s="733" t="n"/>
      <c r="M96" s="733" t="n"/>
      <c r="N96" s="733" t="n"/>
    </row>
    <row r="97">
      <c r="A97" s="156" t="inlineStr">
        <is>
          <t>FAULT DMA HVAC 1</t>
        </is>
      </c>
      <c r="B97" s="156" t="inlineStr">
        <is>
          <t>FAULT TCA</t>
        </is>
      </c>
      <c r="C97" s="156" t="inlineStr">
        <is>
          <t>FAULT DMB</t>
        </is>
      </c>
      <c r="D97" s="733" t="n"/>
      <c r="E97" s="733" t="n"/>
      <c r="F97" s="156" t="inlineStr">
        <is>
          <t>DMA HVAC 2 CB TRIP</t>
        </is>
      </c>
      <c r="G97" s="156" t="inlineStr">
        <is>
          <t>TCA HVAC 2 CB TRIP</t>
        </is>
      </c>
      <c r="H97" s="156" t="inlineStr">
        <is>
          <t>DMB HVAC 2 CB TRIP</t>
        </is>
      </c>
      <c r="L97" s="733" t="n"/>
      <c r="M97" s="733" t="n"/>
      <c r="N97" s="733" t="n"/>
    </row>
    <row r="98">
      <c r="A98" s="163" t="n"/>
      <c r="B98" s="163" t="n"/>
      <c r="C98" s="164" t="n"/>
      <c r="D98" s="733" t="n"/>
      <c r="E98" s="733" t="n"/>
      <c r="F98" s="163" t="n"/>
      <c r="G98" s="163" t="n"/>
      <c r="H98" s="164" t="n"/>
      <c r="L98" s="733" t="n"/>
      <c r="M98" s="733" t="n"/>
      <c r="N98" s="733" t="n"/>
    </row>
    <row r="99">
      <c r="A99" s="733" t="n"/>
      <c r="B99" s="733" t="n"/>
      <c r="C99" s="733" t="n"/>
      <c r="D99" s="733" t="n"/>
      <c r="E99" s="733" t="n"/>
      <c r="F99" s="733" t="n"/>
      <c r="G99" s="733" t="n"/>
      <c r="H99" s="733" t="n"/>
      <c r="L99" s="733" t="n"/>
      <c r="M99" s="733" t="n"/>
      <c r="N99" s="733" t="n"/>
    </row>
    <row r="100">
      <c r="A100" s="156" t="inlineStr">
        <is>
          <t>AUTO DMA</t>
        </is>
      </c>
      <c r="B100" s="156" t="inlineStr">
        <is>
          <t>AUTO TCA</t>
        </is>
      </c>
      <c r="C100" s="156" t="inlineStr">
        <is>
          <t>AUTO DMB</t>
        </is>
      </c>
      <c r="D100" s="733" t="n"/>
      <c r="E100" s="733" t="n"/>
      <c r="F100" s="733" t="n"/>
      <c r="G100" s="733" t="n"/>
      <c r="H100" s="733" t="n"/>
      <c r="L100" s="733" t="n"/>
      <c r="M100" s="733" t="n"/>
      <c r="N100" s="733" t="n"/>
    </row>
    <row r="101">
      <c r="A101" s="163">
        <f>IF(OR(TCMS!E62=1,TCMS!E65=1),1,0)</f>
        <v/>
      </c>
      <c r="B101" s="163">
        <f>IF(OR(TCMS!E62=1,TCMS!E65=1),1,0)</f>
        <v/>
      </c>
      <c r="C101" s="164">
        <f>IF(OR(TCMS!E62=1,TCMS!E65=1),1,0)</f>
        <v/>
      </c>
      <c r="D101" s="733" t="n"/>
      <c r="E101" s="733" t="n"/>
      <c r="F101" s="733" t="n"/>
      <c r="G101" s="733" t="n"/>
      <c r="H101" s="733" t="n"/>
      <c r="L101" s="733" t="n"/>
      <c r="M101" s="733" t="n"/>
      <c r="N101" s="733" t="n"/>
    </row>
    <row r="102" ht="15" customHeight="1" thickBot="1">
      <c r="A102" s="733" t="n"/>
      <c r="B102" s="733" t="n"/>
      <c r="C102" s="733" t="n"/>
      <c r="D102" s="733" t="n"/>
      <c r="E102" s="733" t="n"/>
      <c r="F102" s="733" t="n"/>
      <c r="G102" s="733" t="n"/>
      <c r="H102" s="733" t="n"/>
      <c r="L102" s="733" t="n"/>
      <c r="M102" s="733" t="n"/>
      <c r="N102" s="733" t="n"/>
    </row>
    <row r="103">
      <c r="A103" s="156" t="inlineStr">
        <is>
          <t>RESET DMA</t>
        </is>
      </c>
      <c r="B103" s="156" t="inlineStr">
        <is>
          <t>RESET TCA</t>
        </is>
      </c>
      <c r="C103" s="157" t="inlineStr">
        <is>
          <t>RESET DMB</t>
        </is>
      </c>
      <c r="D103" s="158" t="inlineStr">
        <is>
          <t>HW RESET</t>
        </is>
      </c>
      <c r="E103" s="733" t="n"/>
      <c r="F103" s="733" t="n"/>
      <c r="G103" s="733" t="n"/>
      <c r="H103" s="733" t="n"/>
      <c r="L103" s="733" t="n"/>
      <c r="M103" s="733" t="n"/>
      <c r="N103" s="733" t="n"/>
    </row>
    <row r="104" ht="15" customHeight="1" thickBot="1">
      <c r="A104" s="163">
        <f>TCMS!C103</f>
        <v/>
      </c>
      <c r="B104" s="163" t="n"/>
      <c r="C104" s="164">
        <f>TCMS!C103</f>
        <v/>
      </c>
      <c r="D104" s="165">
        <f>IF(OR(A104,C104),1,0)</f>
        <v/>
      </c>
      <c r="E104" s="733" t="n"/>
      <c r="F104" s="733" t="n"/>
      <c r="G104" s="733" t="n"/>
      <c r="H104" s="733" t="n"/>
      <c r="L104" s="733" t="n"/>
      <c r="M104" s="733" t="n"/>
      <c r="N104" s="733" t="n"/>
    </row>
    <row r="105" ht="15" customHeight="1" thickBot="1">
      <c r="A105" s="733" t="n"/>
      <c r="B105" s="733" t="n"/>
      <c r="C105" s="733" t="n"/>
      <c r="D105" s="733" t="n"/>
      <c r="E105" s="733" t="n"/>
      <c r="F105" s="733" t="n"/>
      <c r="G105" s="733" t="n"/>
      <c r="H105" s="733" t="n"/>
      <c r="L105" s="733" t="n"/>
      <c r="M105" s="733" t="n"/>
      <c r="N105" s="733" t="n"/>
    </row>
    <row r="106">
      <c r="A106" s="156" t="inlineStr">
        <is>
          <t>VENT MODE DMA</t>
        </is>
      </c>
      <c r="B106" s="156" t="inlineStr">
        <is>
          <t>VENT MODE TCA</t>
        </is>
      </c>
      <c r="C106" s="157" t="inlineStr">
        <is>
          <t>VENT MODE DMB</t>
        </is>
      </c>
      <c r="D106" s="158" t="inlineStr">
        <is>
          <t>HW IN VENT MODE</t>
        </is>
      </c>
      <c r="E106" s="733" t="n"/>
      <c r="F106" s="733" t="n"/>
      <c r="G106" s="733" t="n"/>
      <c r="H106" s="733" t="n"/>
      <c r="J106" s="733" t="n"/>
      <c r="K106" s="733" t="n"/>
      <c r="L106" s="733" t="n"/>
      <c r="M106" s="733" t="n"/>
      <c r="N106" s="733" t="n"/>
    </row>
    <row r="107" ht="15" customHeight="1" thickBot="1">
      <c r="A107" s="163" t="n"/>
      <c r="B107" s="163" t="n"/>
      <c r="C107" s="164" t="n"/>
      <c r="D107" s="165" t="n"/>
      <c r="E107" s="733" t="n"/>
      <c r="F107" s="733" t="n"/>
      <c r="G107" s="733" t="n"/>
      <c r="H107" s="733" t="n"/>
      <c r="J107" s="733" t="n"/>
      <c r="K107" s="733" t="n"/>
      <c r="L107" s="733" t="n"/>
      <c r="M107" s="733" t="n"/>
      <c r="N107" s="733" t="n"/>
    </row>
    <row r="108" ht="15" customHeight="1" thickBot="1">
      <c r="A108" s="733" t="n"/>
      <c r="B108" s="733" t="n"/>
      <c r="C108" s="733" t="n"/>
      <c r="D108" s="733" t="n"/>
      <c r="E108" s="733" t="n"/>
      <c r="F108" s="733" t="n"/>
      <c r="G108" s="733" t="n"/>
      <c r="H108" s="733" t="n"/>
      <c r="J108" s="733" t="n"/>
      <c r="K108" s="733" t="n"/>
      <c r="L108" s="733" t="n"/>
      <c r="M108" s="733" t="n"/>
      <c r="N108" s="733" t="n"/>
    </row>
    <row r="109">
      <c r="A109" s="160" t="inlineStr">
        <is>
          <t>SET POINT DMA</t>
        </is>
      </c>
      <c r="B109" s="160" t="inlineStr">
        <is>
          <t>SET POINT TCA</t>
        </is>
      </c>
      <c r="C109" s="160" t="inlineStr">
        <is>
          <t>SET POINT DMB</t>
        </is>
      </c>
      <c r="D109" s="158" t="n"/>
      <c r="E109" s="733" t="n"/>
      <c r="F109" s="733" t="n"/>
      <c r="G109" s="733" t="n"/>
      <c r="H109" s="733" t="n"/>
      <c r="J109" s="733" t="n"/>
      <c r="K109" s="733" t="n"/>
      <c r="L109" s="733" t="n"/>
      <c r="M109" s="733" t="n"/>
      <c r="N109" s="733" t="n"/>
    </row>
    <row r="110" ht="15" customHeight="1" thickBot="1">
      <c r="A110" s="163">
        <f>IF(AND(TCMS!D74=1,TCMS!D75=1),1,0)</f>
        <v/>
      </c>
      <c r="B110" s="163">
        <f>IF(AND(TCMS!E74=1,TCMS!E75=1),1,0)</f>
        <v/>
      </c>
      <c r="C110" s="164">
        <f>IF(AND(TCMS!F74=1,TCMS!F75=1),1,0)</f>
        <v/>
      </c>
      <c r="D110" s="165">
        <f>IF(OR(A110:C110),1,0)</f>
        <v/>
      </c>
      <c r="E110" s="733" t="n"/>
      <c r="F110" s="733" t="n"/>
      <c r="G110" s="733" t="n"/>
      <c r="H110" s="733" t="n"/>
      <c r="J110" s="733" t="n"/>
      <c r="K110" s="733" t="n"/>
      <c r="L110" s="733" t="n"/>
      <c r="M110" s="733" t="n"/>
      <c r="N110" s="733" t="n"/>
    </row>
    <row r="111" ht="15" customHeight="1" thickBot="1">
      <c r="A111" s="733" t="n"/>
      <c r="B111" s="733" t="n"/>
      <c r="C111" s="733" t="n"/>
      <c r="D111" s="733" t="n"/>
      <c r="E111" s="733" t="n"/>
      <c r="F111" s="733" t="n"/>
      <c r="G111" s="733" t="n"/>
      <c r="H111" s="733" t="n"/>
      <c r="J111" s="733" t="n"/>
      <c r="K111" s="733" t="n"/>
      <c r="L111" s="733" t="n"/>
      <c r="M111" s="733" t="n"/>
      <c r="N111" s="733" t="n"/>
    </row>
    <row r="112">
      <c r="A112" s="156" t="inlineStr">
        <is>
          <t>RESET SMOKE DMA</t>
        </is>
      </c>
      <c r="B112" s="156" t="inlineStr">
        <is>
          <t>RESET SMOKE TCA</t>
        </is>
      </c>
      <c r="C112" s="156" t="inlineStr">
        <is>
          <t>RESET SMOKE DMB</t>
        </is>
      </c>
      <c r="D112" s="158" t="inlineStr">
        <is>
          <t>HW SMOKE RESET</t>
        </is>
      </c>
      <c r="E112" s="733" t="n"/>
      <c r="F112" s="733" t="n"/>
      <c r="G112" s="733" t="n"/>
      <c r="H112" s="733" t="n"/>
      <c r="J112" s="733" t="n"/>
      <c r="K112" s="733" t="n"/>
      <c r="L112" s="733" t="n"/>
      <c r="M112" s="733" t="n"/>
      <c r="N112" s="733" t="n"/>
    </row>
    <row r="113" ht="15" customHeight="1" thickBot="1">
      <c r="A113" s="163" t="n"/>
      <c r="B113" s="163" t="n"/>
      <c r="C113" s="164" t="n"/>
      <c r="D113" s="165" t="n"/>
      <c r="E113" s="733" t="n"/>
      <c r="F113" s="733" t="n"/>
      <c r="G113" s="733" t="n"/>
      <c r="H113" s="733" t="n"/>
      <c r="J113" s="733" t="n"/>
      <c r="K113" s="733" t="n"/>
      <c r="L113" s="733" t="n"/>
      <c r="M113" s="733" t="n"/>
      <c r="N113" s="733" t="n"/>
    </row>
    <row r="114">
      <c r="A114" s="733" t="n"/>
      <c r="B114" s="733" t="n"/>
      <c r="C114" s="733" t="n"/>
      <c r="D114" s="733" t="n"/>
      <c r="E114" s="733" t="n"/>
      <c r="F114" s="733" t="n"/>
      <c r="G114" s="733" t="n"/>
      <c r="H114" s="733" t="n"/>
      <c r="I114" s="733" t="n"/>
      <c r="J114" s="733" t="n"/>
      <c r="K114" s="733" t="n"/>
      <c r="L114" s="733" t="n"/>
      <c r="M114" s="733" t="n"/>
      <c r="N114" s="733" t="n"/>
    </row>
    <row r="115">
      <c r="A115" s="156" t="inlineStr">
        <is>
          <t>ISOLATE DMA HVAC 2</t>
        </is>
      </c>
      <c r="B115" s="156" t="inlineStr">
        <is>
          <t>ISOLATE TCA HVAC 2</t>
        </is>
      </c>
      <c r="C115" s="157" t="inlineStr">
        <is>
          <t>ISOLATE DMB HVAC 2</t>
        </is>
      </c>
      <c r="D115" s="733" t="n"/>
      <c r="E115" s="733" t="n"/>
      <c r="F115" s="733" t="n"/>
      <c r="G115" s="733" t="n"/>
      <c r="H115" s="733" t="n"/>
      <c r="I115" s="733" t="n"/>
      <c r="J115" s="733" t="n"/>
      <c r="K115" s="733" t="n"/>
      <c r="L115" s="733" t="n"/>
      <c r="M115" s="733" t="n"/>
      <c r="N115" s="733" t="n"/>
    </row>
    <row r="116">
      <c r="A116" s="163" t="n"/>
      <c r="B116" s="163" t="n"/>
      <c r="C116" s="164" t="n"/>
      <c r="D116" s="733" t="n"/>
      <c r="E116" s="733" t="n"/>
      <c r="F116" s="733" t="n"/>
      <c r="G116" s="733" t="n"/>
      <c r="H116" s="733" t="n"/>
      <c r="I116" s="733" t="n"/>
      <c r="J116" s="733" t="n"/>
      <c r="K116" s="733" t="n"/>
      <c r="L116" s="733" t="n"/>
      <c r="M116" s="733" t="n"/>
      <c r="N116" s="733" t="n"/>
    </row>
    <row r="117">
      <c r="A117" s="733" t="n"/>
      <c r="B117" s="733" t="n"/>
      <c r="C117" s="733" t="n"/>
      <c r="D117" s="733" t="n"/>
      <c r="E117" s="733" t="n"/>
      <c r="F117" s="733" t="n"/>
      <c r="G117" s="733" t="n"/>
      <c r="H117" s="733" t="n"/>
      <c r="I117" s="733" t="n"/>
      <c r="J117" s="733" t="n"/>
      <c r="K117" s="733" t="n"/>
      <c r="L117" s="733" t="n"/>
      <c r="M117" s="733" t="n"/>
      <c r="N117" s="733" t="n"/>
    </row>
    <row r="118">
      <c r="A118" s="733" t="n"/>
      <c r="B118" s="733" t="n"/>
      <c r="C118" s="733" t="n"/>
      <c r="D118" s="733" t="n"/>
      <c r="E118" s="733" t="n"/>
      <c r="F118" s="733" t="n"/>
      <c r="G118" s="733" t="n"/>
      <c r="H118" s="733" t="n"/>
      <c r="I118" s="733" t="n"/>
      <c r="J118" s="733" t="n"/>
      <c r="K118" s="733" t="n"/>
      <c r="L118" s="733" t="n"/>
      <c r="M118" s="733" t="n"/>
      <c r="N118" s="733" t="n"/>
    </row>
    <row r="119">
      <c r="A119" s="733" t="n"/>
      <c r="B119" s="733" t="n"/>
      <c r="C119" s="733" t="n"/>
      <c r="D119" s="733" t="n"/>
      <c r="E119" s="733" t="n"/>
      <c r="F119" s="733" t="n"/>
      <c r="G119" s="733" t="n"/>
      <c r="H119" s="733" t="n"/>
      <c r="I119" s="733" t="n"/>
      <c r="J119" s="733" t="n"/>
      <c r="K119" s="733" t="n"/>
      <c r="L119" s="733" t="n"/>
      <c r="M119" s="733" t="n"/>
      <c r="N119" s="733" t="n"/>
    </row>
    <row r="120">
      <c r="A120" s="156" t="inlineStr">
        <is>
          <t>FAULT DMA HVAC 1</t>
        </is>
      </c>
      <c r="B120" s="156" t="inlineStr">
        <is>
          <t>FAULT TCA</t>
        </is>
      </c>
      <c r="C120" s="156" t="inlineStr">
        <is>
          <t>FAULT DMB</t>
        </is>
      </c>
      <c r="D120" s="733" t="n"/>
      <c r="E120" s="733" t="n"/>
      <c r="F120" s="733" t="n"/>
      <c r="G120" s="733" t="n"/>
      <c r="H120" s="733" t="n"/>
      <c r="I120" s="733" t="n"/>
      <c r="J120" s="733" t="n"/>
      <c r="K120" s="733" t="n"/>
      <c r="L120" s="733" t="n"/>
      <c r="M120" s="733" t="n"/>
      <c r="N120" s="733" t="n"/>
    </row>
    <row r="121">
      <c r="A121" s="159" t="n"/>
      <c r="B121" s="159" t="n"/>
      <c r="C121" s="159" t="n"/>
      <c r="D121" s="733" t="n"/>
      <c r="E121" s="733" t="n"/>
      <c r="F121" s="733" t="n"/>
      <c r="G121" s="733" t="n"/>
      <c r="H121" s="733" t="n"/>
      <c r="I121" s="733" t="n"/>
      <c r="J121" s="733" t="n"/>
      <c r="K121" s="733" t="n"/>
      <c r="L121" s="733" t="n"/>
      <c r="M121" s="733" t="n"/>
      <c r="N121" s="733" t="n"/>
    </row>
    <row r="122" ht="15.5" customHeight="1">
      <c r="A122" s="733" t="n"/>
      <c r="B122" s="161" t="n"/>
      <c r="C122" s="161" t="n"/>
      <c r="D122" s="733" t="n"/>
      <c r="E122" s="161" t="n"/>
      <c r="F122" s="161" t="n"/>
      <c r="G122" s="733" t="n"/>
      <c r="H122" s="733" t="n"/>
      <c r="I122" s="733" t="n"/>
      <c r="J122" s="733" t="n"/>
      <c r="K122" s="733" t="n"/>
      <c r="L122" s="733" t="n"/>
      <c r="M122" s="733" t="n"/>
      <c r="N122" s="733" t="n"/>
    </row>
    <row r="123" ht="15.5" customHeight="1">
      <c r="A123" s="733" t="n"/>
      <c r="E123" s="162" t="n"/>
      <c r="F123" s="162" t="n"/>
      <c r="G123" s="733" t="n"/>
      <c r="H123" s="733" t="n"/>
      <c r="I123" s="733" t="n"/>
      <c r="J123" s="733" t="n"/>
      <c r="K123" s="733" t="n"/>
      <c r="L123" s="733" t="n"/>
      <c r="M123" s="733" t="n"/>
      <c r="N123" s="733" t="n"/>
    </row>
    <row r="124">
      <c r="A124" s="733" t="n"/>
      <c r="E124" s="733" t="n"/>
      <c r="F124" s="733" t="n"/>
      <c r="G124" s="733" t="n"/>
      <c r="H124" s="733" t="n"/>
      <c r="I124" s="733" t="n"/>
      <c r="J124" s="733" t="n"/>
      <c r="K124" s="733" t="n"/>
      <c r="L124" s="733" t="n"/>
      <c r="M124" s="733" t="n"/>
      <c r="N124" s="733" t="n"/>
    </row>
    <row r="125">
      <c r="A125" s="733" t="n"/>
      <c r="E125" s="733" t="n"/>
      <c r="F125" s="733" t="n"/>
      <c r="G125" s="733" t="n"/>
      <c r="H125" s="733" t="n"/>
      <c r="I125" s="733" t="n"/>
      <c r="J125" s="733" t="n"/>
      <c r="K125" s="733" t="n"/>
      <c r="L125" s="733" t="n"/>
      <c r="M125" s="733" t="n"/>
      <c r="N125" s="733" t="n"/>
    </row>
    <row r="135" ht="19" customHeight="1">
      <c r="B135" s="212" t="n"/>
    </row>
    <row r="136" ht="16" customHeight="1" thickBot="1">
      <c r="A136" s="162" t="n"/>
      <c r="B136" s="162" t="n"/>
      <c r="C136" s="162" t="n"/>
    </row>
    <row r="137" ht="15" customHeight="1" thickBot="1">
      <c r="A137" s="207" t="inlineStr">
        <is>
          <t>cooling level</t>
        </is>
      </c>
      <c r="B137" s="209" t="inlineStr">
        <is>
          <t>cooling capacity (kw)</t>
        </is>
      </c>
      <c r="C137" s="158" t="inlineStr">
        <is>
          <t xml:space="preserve">w </t>
        </is>
      </c>
    </row>
    <row r="138" ht="19" customHeight="1">
      <c r="A138" s="219" t="n">
        <v>1</v>
      </c>
      <c r="B138" s="220" t="n">
        <v>10</v>
      </c>
      <c r="C138" s="221" t="n">
        <v>10000</v>
      </c>
    </row>
    <row r="139" ht="19" customHeight="1">
      <c r="A139" s="214" t="n">
        <v>2</v>
      </c>
      <c r="B139" s="216" t="n">
        <v>11</v>
      </c>
      <c r="C139" s="221" t="n">
        <v>11000</v>
      </c>
    </row>
    <row r="140" ht="19" customHeight="1">
      <c r="A140" s="214" t="n">
        <v>3</v>
      </c>
      <c r="B140" s="216" t="n">
        <v>12</v>
      </c>
      <c r="C140" s="221" t="n">
        <v>12000</v>
      </c>
    </row>
    <row r="141" ht="19" customHeight="1">
      <c r="A141" s="214" t="n">
        <v>4</v>
      </c>
      <c r="B141" s="216" t="n">
        <v>13</v>
      </c>
      <c r="C141" s="221" t="n">
        <v>13000</v>
      </c>
    </row>
    <row r="142" ht="19" customHeight="1">
      <c r="A142" s="214" t="n">
        <v>5</v>
      </c>
      <c r="B142" s="216" t="n">
        <v>15</v>
      </c>
      <c r="C142" s="221" t="n">
        <v>14000</v>
      </c>
    </row>
    <row r="143" ht="19" customHeight="1">
      <c r="A143" s="214" t="n">
        <v>6</v>
      </c>
      <c r="B143" s="216" t="n">
        <v>23</v>
      </c>
      <c r="C143" s="221" t="n">
        <v>23000</v>
      </c>
    </row>
    <row r="144" ht="19" customHeight="1">
      <c r="A144" s="214" t="n">
        <v>7</v>
      </c>
      <c r="B144" s="216" t="n">
        <v>34</v>
      </c>
      <c r="C144" s="221" t="n">
        <v>34000</v>
      </c>
    </row>
    <row r="145" ht="19.5" customHeight="1" thickBot="1">
      <c r="A145" s="217" t="n">
        <v>8</v>
      </c>
      <c r="B145" s="218" t="n">
        <v>47</v>
      </c>
      <c r="C145" s="222" t="n">
        <v>47000</v>
      </c>
    </row>
    <row r="146" ht="19" customHeight="1">
      <c r="A146" s="212" t="n"/>
    </row>
    <row r="147" ht="19" customHeight="1">
      <c r="A147" s="212" t="n"/>
      <c r="C147">
        <f>IF(A138=1,10,IF(A139=2,11, IF(A140=3,12,IF(A141=4,13,IF(A142=5,15,IF(A143=6,23,IF(A144=7,34,IF(A145=8,47,0))))))))</f>
        <v/>
      </c>
    </row>
    <row r="345">
      <c r="F345">
        <f>'DATA TRANSFER'!F34</f>
        <v/>
      </c>
    </row>
    <row r="584">
      <c r="Q584">
        <f>'DATA TRANSFER'!Q584</f>
        <v/>
      </c>
    </row>
    <row r="611">
      <c r="L611">
        <f>'DATA TRANSFER'!F38</f>
        <v/>
      </c>
    </row>
  </sheetData>
  <mergeCells count="8">
    <mergeCell ref="I12:M12"/>
    <mergeCell ref="E2:G2"/>
    <mergeCell ref="B54:C54"/>
    <mergeCell ref="A1:C1"/>
    <mergeCell ref="H62:I62"/>
    <mergeCell ref="A92:D92"/>
    <mergeCell ref="J62:K62"/>
    <mergeCell ref="F92:H92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5"/>
  <sheetViews>
    <sheetView topLeftCell="D1" workbookViewId="0">
      <selection activeCell="J5" sqref="J5"/>
    </sheetView>
  </sheetViews>
  <sheetFormatPr baseColWidth="8" defaultRowHeight="14.5"/>
  <cols>
    <col width="8.7265625" customWidth="1" style="310" min="1" max="1"/>
    <col width="38.54296875" customWidth="1" style="310" min="2" max="2"/>
    <col width="27.36328125" customWidth="1" style="733" min="3" max="4"/>
    <col width="27.36328125" customWidth="1" style="310" min="5" max="8"/>
    <col width="30.36328125" customWidth="1" style="310" min="9" max="9"/>
    <col width="29.08984375" customWidth="1" style="733" min="10" max="12"/>
    <col width="32.453125" customWidth="1" style="733" min="13" max="14"/>
    <col width="32.453125" customWidth="1" style="310" min="15" max="15"/>
    <col width="8.7265625" customWidth="1" style="310" min="16" max="16384"/>
  </cols>
  <sheetData>
    <row r="1">
      <c r="A1" s="733" t="n"/>
    </row>
    <row r="2" ht="22" customFormat="1" customHeight="1" s="733">
      <c r="A2" s="728" t="inlineStr">
        <is>
          <t>Sr No.</t>
        </is>
      </c>
      <c r="B2" s="728" t="inlineStr">
        <is>
          <t>Description</t>
        </is>
      </c>
      <c r="C2" s="728" t="inlineStr">
        <is>
          <t>Value</t>
        </is>
      </c>
      <c r="D2" s="728" t="inlineStr">
        <is>
          <t>Unit</t>
        </is>
      </c>
      <c r="E2" s="728" t="inlineStr">
        <is>
          <t>Remarks</t>
        </is>
      </c>
      <c r="G2" s="728" t="inlineStr">
        <is>
          <t>Status</t>
        </is>
      </c>
      <c r="H2" s="728" t="inlineStr">
        <is>
          <t>Loading</t>
        </is>
      </c>
      <c r="I2" s="728" t="inlineStr">
        <is>
          <t>Number of Passengers</t>
        </is>
      </c>
      <c r="J2" s="728" t="inlineStr">
        <is>
          <t>% Demand</t>
        </is>
      </c>
      <c r="K2" s="728" t="inlineStr">
        <is>
          <t>Considered Load</t>
        </is>
      </c>
      <c r="L2" s="728" t="inlineStr">
        <is>
          <t>Per HVAC Unit Design Load</t>
        </is>
      </c>
      <c r="M2" s="728" t="inlineStr">
        <is>
          <t>Design Heat Load (kW) in Winter</t>
        </is>
      </c>
      <c r="N2" s="728" t="inlineStr">
        <is>
          <t>Design Heat Load (kW) in Monsoon</t>
        </is>
      </c>
      <c r="O2" s="728" t="inlineStr">
        <is>
          <t>Design Heat Load (kW) in Summer</t>
        </is>
      </c>
    </row>
    <row r="3">
      <c r="A3" s="3" t="n">
        <v>1</v>
      </c>
      <c r="B3" s="18" t="inlineStr">
        <is>
          <t>Set Point Temperature</t>
        </is>
      </c>
      <c r="C3" s="3">
        <f>Calculation!B33+273</f>
        <v/>
      </c>
      <c r="D3" s="3" t="inlineStr">
        <is>
          <t>Kelvin</t>
        </is>
      </c>
      <c r="E3" s="236" t="n"/>
      <c r="G3" s="3">
        <f>IF(AND('DATA TRANSFER'!I30&lt;=100,'DATA TRANSFER'!I30&gt;81),4,0)</f>
        <v/>
      </c>
      <c r="H3" s="3" t="inlineStr">
        <is>
          <t>AW3</t>
        </is>
      </c>
      <c r="I3" s="3" t="n">
        <v>340</v>
      </c>
      <c r="J3" s="729">
        <f>K3/$C$14</f>
        <v/>
      </c>
      <c r="K3" s="3">
        <f>O3</f>
        <v/>
      </c>
      <c r="L3" s="3">
        <f>K3/2</f>
        <v/>
      </c>
      <c r="M3" s="3" t="n">
        <v>78.40000000000001</v>
      </c>
      <c r="N3" s="3" t="n">
        <v>86.7</v>
      </c>
      <c r="O3" s="3" t="n">
        <v>88.7</v>
      </c>
    </row>
    <row r="4">
      <c r="A4" s="3">
        <f>A3+1</f>
        <v/>
      </c>
      <c r="B4" s="18" t="inlineStr">
        <is>
          <t>Return Air Temperature</t>
        </is>
      </c>
      <c r="C4" s="3">
        <f>Calculation!B34+273</f>
        <v/>
      </c>
      <c r="D4" s="3" t="inlineStr">
        <is>
          <t>Kelvin</t>
        </is>
      </c>
      <c r="E4" s="236" t="n"/>
      <c r="G4" s="3">
        <f>IF(AND('DATA TRANSFER'!I30&lt;=81,'DATA TRANSFER'!I30&gt;59),3,0)</f>
        <v/>
      </c>
      <c r="H4" s="3" t="inlineStr">
        <is>
          <t>AW2</t>
        </is>
      </c>
      <c r="I4" s="3" t="n">
        <v>274</v>
      </c>
      <c r="J4" s="729">
        <f>K4/$C$14</f>
        <v/>
      </c>
      <c r="K4" s="3">
        <f>O4</f>
        <v/>
      </c>
      <c r="L4" s="3">
        <f>K4/2</f>
        <v/>
      </c>
      <c r="M4" s="3" t="n"/>
      <c r="N4" s="3" t="n"/>
      <c r="O4" s="3" t="n">
        <v>73.90000000000001</v>
      </c>
    </row>
    <row r="5">
      <c r="A5" s="3">
        <f>A4+1</f>
        <v/>
      </c>
      <c r="B5" s="18" t="inlineStr">
        <is>
          <t>Supply Air Temperature</t>
        </is>
      </c>
      <c r="C5" s="3">
        <f>'DATA TRANSFER'!F39+273</f>
        <v/>
      </c>
      <c r="D5" s="3" t="inlineStr">
        <is>
          <t>Kelvin</t>
        </is>
      </c>
      <c r="E5" s="236" t="n"/>
      <c r="G5" s="3">
        <f>IF(AND('DATA TRANSFER'!I30&lt;=59,'DATA TRANSFER'!I30&gt;15),2,0)</f>
        <v/>
      </c>
      <c r="H5" s="3" t="inlineStr">
        <is>
          <t>AW1</t>
        </is>
      </c>
      <c r="I5" s="3" t="n">
        <v>200</v>
      </c>
      <c r="J5" s="729">
        <f>K5/$C$14</f>
        <v/>
      </c>
      <c r="K5" s="3">
        <f>O5</f>
        <v/>
      </c>
      <c r="L5" s="3">
        <f>K5/2</f>
        <v/>
      </c>
      <c r="M5" s="3" t="n"/>
      <c r="N5" s="3" t="n"/>
      <c r="O5" s="3" t="n">
        <v>57.7</v>
      </c>
    </row>
    <row r="6">
      <c r="A6" s="3">
        <f>A5+1</f>
        <v/>
      </c>
      <c r="B6" s="18" t="inlineStr">
        <is>
          <t>Time</t>
        </is>
      </c>
      <c r="C6" s="3" t="n">
        <v>0.8</v>
      </c>
      <c r="D6" s="3" t="n"/>
      <c r="E6" s="236" t="n"/>
      <c r="G6" s="3">
        <f>IF('DATA TRANSFER'!I30&lt;=15,1,0)</f>
        <v/>
      </c>
      <c r="H6" s="3" t="inlineStr">
        <is>
          <t>AW0</t>
        </is>
      </c>
      <c r="I6" s="3" t="n">
        <v>52</v>
      </c>
      <c r="J6" s="729">
        <f>K6/$C$14</f>
        <v/>
      </c>
      <c r="K6" s="887">
        <f>O6</f>
        <v/>
      </c>
      <c r="L6" s="3">
        <f>K6/2</f>
        <v/>
      </c>
      <c r="M6" s="3" t="n"/>
      <c r="N6" s="3" t="n"/>
      <c r="O6" s="887" t="n">
        <v>27</v>
      </c>
    </row>
    <row r="7">
      <c r="A7" s="3">
        <f>A6+1</f>
        <v/>
      </c>
      <c r="B7" s="18" t="inlineStr">
        <is>
          <t>Loading</t>
        </is>
      </c>
      <c r="C7" s="3">
        <f>MAX(G3:G6)</f>
        <v/>
      </c>
      <c r="D7" s="3" t="n"/>
      <c r="E7" s="3" t="inlineStr">
        <is>
          <t>AW0: 1, AW1: 2, AW2: 3, AW3: 4</t>
        </is>
      </c>
    </row>
    <row r="8">
      <c r="A8" s="3">
        <f>A7+1</f>
        <v/>
      </c>
      <c r="B8" s="18" t="inlineStr">
        <is>
          <t>Heat Load Damper</t>
        </is>
      </c>
      <c r="C8" s="3">
        <f>IF(B7=0,0.8,IF(B7=1,0.7,IF(B7=2,0.5,0.45)))</f>
        <v/>
      </c>
      <c r="D8" s="3" t="n"/>
      <c r="E8" s="236" t="n"/>
    </row>
    <row r="9">
      <c r="A9" s="3">
        <f>A8+1</f>
        <v/>
      </c>
      <c r="B9" s="18" t="inlineStr">
        <is>
          <t>Compressor 1</t>
        </is>
      </c>
      <c r="C9" s="3" t="n">
        <v>0</v>
      </c>
      <c r="D9" s="3" t="n"/>
      <c r="E9" s="236" t="n"/>
    </row>
    <row r="10">
      <c r="A10" s="3">
        <f>A9+1</f>
        <v/>
      </c>
      <c r="B10" s="18" t="inlineStr">
        <is>
          <t>Compressor 2</t>
        </is>
      </c>
      <c r="C10" s="3" t="n">
        <v>0</v>
      </c>
      <c r="D10" s="3" t="n"/>
      <c r="E10" s="236" t="n"/>
    </row>
    <row r="11">
      <c r="A11" s="3">
        <f>A10+1</f>
        <v/>
      </c>
      <c r="B11" s="18" t="inlineStr">
        <is>
          <t>Compressor 3</t>
        </is>
      </c>
      <c r="C11" s="3" t="n">
        <v>0</v>
      </c>
      <c r="D11" s="3" t="n"/>
      <c r="E11" s="236" t="n"/>
      <c r="I11" s="36" t="inlineStr">
        <is>
          <t>Preconditioning: Cooling</t>
        </is>
      </c>
    </row>
    <row r="12">
      <c r="A12" s="3">
        <f>A11+1</f>
        <v/>
      </c>
      <c r="B12" s="18" t="inlineStr">
        <is>
          <t>Compressor 4 (VFD)</t>
        </is>
      </c>
      <c r="C12" s="3" t="n">
        <v>0</v>
      </c>
      <c r="D12" s="3" t="n"/>
      <c r="E12" s="236" t="n"/>
      <c r="I12" s="36" t="inlineStr">
        <is>
          <t>Preconditioning: Heating</t>
        </is>
      </c>
    </row>
    <row r="13">
      <c r="A13" s="3">
        <f>A12+1</f>
        <v/>
      </c>
      <c r="B13" s="730" t="inlineStr">
        <is>
          <t>Number of Compressors ON</t>
        </is>
      </c>
      <c r="C13" s="3">
        <f>SUM(C9:C12)</f>
        <v/>
      </c>
      <c r="D13" s="3" t="n"/>
      <c r="E13" s="236" t="n"/>
      <c r="I13" s="36" t="inlineStr">
        <is>
          <t>Cooling Demand &lt;30%</t>
        </is>
      </c>
    </row>
    <row r="14">
      <c r="A14" s="3">
        <f>A13+1</f>
        <v/>
      </c>
      <c r="B14" s="731" t="inlineStr">
        <is>
          <t>Total Compressor Capacity</t>
        </is>
      </c>
      <c r="C14" s="3" t="n">
        <v>94</v>
      </c>
      <c r="D14" s="3" t="inlineStr">
        <is>
          <t>kW</t>
        </is>
      </c>
      <c r="E14" s="236" t="n"/>
      <c r="I14" s="36" t="inlineStr">
        <is>
          <t>Cooling Demand &gt;=30%</t>
        </is>
      </c>
    </row>
    <row r="15">
      <c r="A15" s="3">
        <f>A14+1</f>
        <v/>
      </c>
      <c r="B15" s="18" t="inlineStr">
        <is>
          <t>Heater 1</t>
        </is>
      </c>
      <c r="C15" s="3" t="n">
        <v>1</v>
      </c>
      <c r="D15" s="3" t="n"/>
      <c r="E15" s="236" t="n"/>
      <c r="I15" s="36" t="inlineStr">
        <is>
          <t>Cool 1: All Circuits Disabled</t>
        </is>
      </c>
    </row>
    <row r="16">
      <c r="A16" s="3">
        <f>A15+1</f>
        <v/>
      </c>
      <c r="B16" s="18" t="inlineStr">
        <is>
          <t>Heater 2</t>
        </is>
      </c>
      <c r="C16" s="3" t="n">
        <v>1</v>
      </c>
      <c r="D16" s="3" t="n"/>
      <c r="E16" s="236" t="n"/>
      <c r="I16" s="36" t="inlineStr">
        <is>
          <t>Cool 2: 25% Circuits ON</t>
        </is>
      </c>
    </row>
    <row r="17">
      <c r="A17" s="3">
        <f>A16+1</f>
        <v/>
      </c>
      <c r="B17" s="730" t="inlineStr">
        <is>
          <t>Number of Heaters ON</t>
        </is>
      </c>
      <c r="C17" s="3">
        <f>SUM(C15:C16)</f>
        <v/>
      </c>
      <c r="D17" s="3" t="n"/>
      <c r="E17" s="236" t="n"/>
      <c r="I17" s="36" t="inlineStr">
        <is>
          <t>Cool 3: 50% Circuits ON</t>
        </is>
      </c>
    </row>
    <row r="18">
      <c r="A18" s="3">
        <f>A17+1</f>
        <v/>
      </c>
      <c r="B18" s="18" t="inlineStr">
        <is>
          <t>FAD Status</t>
        </is>
      </c>
      <c r="C18" s="3" t="n"/>
      <c r="D18" s="3" t="n"/>
      <c r="E18" s="236" t="n"/>
      <c r="I18" s="36" t="inlineStr">
        <is>
          <t>Cool 4: 75% Circuits ON</t>
        </is>
      </c>
    </row>
    <row r="19">
      <c r="A19" s="3">
        <f>A18+1</f>
        <v/>
      </c>
      <c r="B19" s="18" t="inlineStr">
        <is>
          <t>RAD Status</t>
        </is>
      </c>
      <c r="C19" s="3" t="n"/>
      <c r="D19" s="3" t="n"/>
      <c r="E19" s="236" t="n"/>
      <c r="I19" s="36" t="inlineStr">
        <is>
          <t>Cool 5: 100% Circuits ON</t>
        </is>
      </c>
    </row>
    <row r="20">
      <c r="A20" s="3">
        <f>A19+1</f>
        <v/>
      </c>
      <c r="B20" s="18" t="inlineStr">
        <is>
          <t>Cooling/Heating</t>
        </is>
      </c>
      <c r="C20" s="3">
        <f>IF(OR(C9:C12),C13*11.75,IF(OR(C15:C16),-4.8*C17,0))</f>
        <v/>
      </c>
      <c r="D20" s="3" t="inlineStr">
        <is>
          <t>kW</t>
        </is>
      </c>
      <c r="E20" s="236" t="n"/>
      <c r="I20" s="36" t="inlineStr">
        <is>
          <t>VFD Modulation</t>
        </is>
      </c>
    </row>
    <row r="21">
      <c r="A21" s="3">
        <f>A20+1</f>
        <v/>
      </c>
      <c r="B21" s="18" t="inlineStr">
        <is>
          <t>Cooling/Heating</t>
        </is>
      </c>
      <c r="C21" s="3">
        <f>C20*1000</f>
        <v/>
      </c>
      <c r="D21" s="3" t="inlineStr">
        <is>
          <t>W</t>
        </is>
      </c>
      <c r="E21" s="236" t="n"/>
      <c r="I21" s="36" t="inlineStr">
        <is>
          <t>Heating Mode</t>
        </is>
      </c>
    </row>
    <row r="22">
      <c r="A22" s="3">
        <f>A21+1</f>
        <v/>
      </c>
      <c r="B22" s="18" t="inlineStr">
        <is>
          <t>Passenger Load</t>
        </is>
      </c>
      <c r="C22" s="3">
        <f>'DATA TRANSFER'!F40</f>
        <v/>
      </c>
      <c r="D22" s="3" t="inlineStr">
        <is>
          <t>%</t>
        </is>
      </c>
      <c r="E22" s="236" t="n"/>
      <c r="I22" s="36" t="inlineStr">
        <is>
          <t>Reheat Mode</t>
        </is>
      </c>
    </row>
    <row r="23">
      <c r="A23" s="3">
        <f>A22+1</f>
        <v/>
      </c>
      <c r="B23" s="18" t="inlineStr">
        <is>
          <t>Relative Humidity</t>
        </is>
      </c>
      <c r="C23" s="3">
        <f>'DATA TRANSFER'!F43</f>
        <v/>
      </c>
      <c r="D23" s="3" t="inlineStr">
        <is>
          <t>%</t>
        </is>
      </c>
      <c r="E23" s="236" t="n"/>
      <c r="I23" s="36" t="inlineStr">
        <is>
          <t>Internal Smoke Mode</t>
        </is>
      </c>
    </row>
    <row r="24">
      <c r="A24" s="3">
        <f>A23+1</f>
        <v/>
      </c>
      <c r="B24" s="18" t="inlineStr">
        <is>
          <t>Time Elapsed since HVAC ON</t>
        </is>
      </c>
      <c r="C24" s="3">
        <f>'DATA TRANSFER'!F36</f>
        <v/>
      </c>
      <c r="D24" s="3" t="inlineStr">
        <is>
          <t>Mins</t>
        </is>
      </c>
      <c r="E24" s="236" t="n"/>
      <c r="I24" s="36" t="inlineStr">
        <is>
          <t>External Smoke Mode</t>
        </is>
      </c>
    </row>
    <row r="25">
      <c r="A25" s="3">
        <f>A24+1</f>
        <v/>
      </c>
      <c r="B25" s="18" t="n"/>
      <c r="C25" s="3" t="n"/>
      <c r="D25" s="3" t="n"/>
      <c r="E25" s="236" t="n"/>
      <c r="I25" s="36" t="inlineStr">
        <is>
          <t>Reduced Mode</t>
        </is>
      </c>
    </row>
    <row r="26">
      <c r="A26" s="3">
        <f>A25+1</f>
        <v/>
      </c>
      <c r="B26" s="18" t="n"/>
      <c r="C26" s="3" t="n"/>
      <c r="D26" s="3" t="n"/>
      <c r="E26" s="236" t="n"/>
      <c r="I26" s="36" t="inlineStr">
        <is>
          <t>Emergency Mode</t>
        </is>
      </c>
    </row>
    <row r="27">
      <c r="A27" s="3">
        <f>A26+1</f>
        <v/>
      </c>
      <c r="B27" s="236" t="n"/>
      <c r="C27" s="3" t="n"/>
      <c r="D27" s="3" t="n"/>
      <c r="E27" s="236" t="n"/>
    </row>
    <row r="28">
      <c r="A28" s="3">
        <f>A27+1</f>
        <v/>
      </c>
      <c r="B28" s="236" t="n"/>
      <c r="C28" s="3" t="n"/>
      <c r="D28" s="3" t="n"/>
      <c r="E28" s="236" t="n"/>
    </row>
    <row r="29">
      <c r="A29" s="3">
        <f>A28+1</f>
        <v/>
      </c>
      <c r="B29" s="236" t="n"/>
      <c r="C29" s="3" t="n"/>
      <c r="D29" s="3" t="n"/>
      <c r="E29" s="236" t="n"/>
    </row>
    <row r="30">
      <c r="A30" s="3">
        <f>A29+1</f>
        <v/>
      </c>
      <c r="B30" s="236" t="n"/>
      <c r="C30" s="3" t="n"/>
      <c r="D30" s="3" t="n"/>
      <c r="E30" s="236" t="n"/>
    </row>
    <row r="31">
      <c r="A31" s="3">
        <f>A30+1</f>
        <v/>
      </c>
      <c r="B31" s="236" t="n"/>
      <c r="C31" s="3" t="n"/>
      <c r="D31" s="3" t="n"/>
      <c r="E31" s="236" t="n"/>
    </row>
    <row r="32">
      <c r="A32" s="3">
        <f>A31+1</f>
        <v/>
      </c>
      <c r="B32" s="236" t="n"/>
      <c r="C32" s="3" t="n"/>
      <c r="D32" s="3" t="n"/>
      <c r="E32" s="236" t="n"/>
    </row>
    <row r="33">
      <c r="A33" s="3">
        <f>A32+1</f>
        <v/>
      </c>
      <c r="B33" s="236" t="n"/>
      <c r="C33" s="3" t="n"/>
      <c r="D33" s="3" t="n"/>
      <c r="E33" s="236" t="n"/>
    </row>
    <row r="34">
      <c r="A34" s="3">
        <f>A33+1</f>
        <v/>
      </c>
      <c r="B34" s="236" t="n"/>
      <c r="C34" s="3" t="n"/>
      <c r="D34" s="3" t="n"/>
      <c r="E34" s="236" t="n"/>
    </row>
    <row r="35">
      <c r="A35" s="3">
        <f>A34+1</f>
        <v/>
      </c>
      <c r="B35" s="236" t="n"/>
      <c r="C35" s="3" t="n"/>
      <c r="D35" s="3" t="n"/>
      <c r="E35" s="236" t="n"/>
    </row>
    <row r="36">
      <c r="A36" s="3">
        <f>A35+1</f>
        <v/>
      </c>
      <c r="B36" s="236" t="n"/>
      <c r="C36" s="3" t="n"/>
      <c r="D36" s="3" t="n"/>
      <c r="E36" s="236" t="n"/>
    </row>
    <row r="37">
      <c r="A37" s="3">
        <f>A36+1</f>
        <v/>
      </c>
      <c r="B37" s="236" t="n"/>
      <c r="C37" s="3" t="n"/>
      <c r="D37" s="3" t="n"/>
      <c r="E37" s="236" t="n"/>
    </row>
    <row r="38">
      <c r="A38" s="3">
        <f>A37+1</f>
        <v/>
      </c>
      <c r="B38" s="236" t="n"/>
      <c r="C38" s="3" t="n"/>
      <c r="D38" s="3" t="n"/>
      <c r="E38" s="236" t="n"/>
    </row>
    <row r="39">
      <c r="A39" s="3">
        <f>A38+1</f>
        <v/>
      </c>
      <c r="B39" s="236" t="n"/>
      <c r="C39" s="3" t="n"/>
      <c r="D39" s="3" t="n"/>
      <c r="E39" s="236" t="n"/>
    </row>
    <row r="40">
      <c r="A40" s="3">
        <f>A39+1</f>
        <v/>
      </c>
      <c r="B40" s="236" t="n"/>
      <c r="C40" s="3" t="n"/>
      <c r="D40" s="3" t="n"/>
      <c r="E40" s="236" t="n"/>
    </row>
    <row r="41">
      <c r="A41" s="3">
        <f>A40+1</f>
        <v/>
      </c>
      <c r="B41" s="236" t="n"/>
      <c r="C41" s="3" t="n"/>
      <c r="D41" s="3" t="n"/>
      <c r="E41" s="236" t="n"/>
    </row>
    <row r="42">
      <c r="A42" s="3">
        <f>A41+1</f>
        <v/>
      </c>
      <c r="B42" s="236" t="n"/>
      <c r="C42" s="3" t="n"/>
      <c r="D42" s="3" t="n"/>
      <c r="E42" s="236" t="n"/>
    </row>
    <row r="46">
      <c r="H46" s="732" t="n"/>
    </row>
    <row r="47">
      <c r="C47" s="734" t="inlineStr">
        <is>
          <t>DMA</t>
        </is>
      </c>
      <c r="E47" s="734" t="inlineStr">
        <is>
          <t>TC</t>
        </is>
      </c>
      <c r="G47" s="734" t="inlineStr">
        <is>
          <t>DMB</t>
        </is>
      </c>
    </row>
    <row r="48">
      <c r="C48" s="734" t="inlineStr">
        <is>
          <t>HVAC 1</t>
        </is>
      </c>
      <c r="D48" s="734" t="inlineStr">
        <is>
          <t>HVAC 2</t>
        </is>
      </c>
      <c r="E48" s="734" t="inlineStr">
        <is>
          <t>HVAC 1</t>
        </is>
      </c>
      <c r="F48" s="734" t="inlineStr">
        <is>
          <t>HVAC 2</t>
        </is>
      </c>
      <c r="G48" s="734" t="inlineStr">
        <is>
          <t>HVAC 1</t>
        </is>
      </c>
      <c r="H48" s="734" t="inlineStr">
        <is>
          <t>HVAC 2</t>
        </is>
      </c>
    </row>
    <row r="49">
      <c r="B49" s="310" t="inlineStr">
        <is>
          <t>Set Point</t>
        </is>
      </c>
      <c r="C49" s="733">
        <f>MAX('DATA TRANSFER'!$F$37,'Set point Calc'!$J$14)</f>
        <v/>
      </c>
      <c r="D49" s="733">
        <f>MAX('DATA TRANSFER'!$F$37,'Set point Calc'!$J$14)</f>
        <v/>
      </c>
      <c r="E49" s="733">
        <f>MAX('DATA TRANSFER'!$F$37,'Set point Calc'!$J$14)</f>
        <v/>
      </c>
      <c r="F49" s="733">
        <f>MAX('DATA TRANSFER'!$F$37,'Set point Calc'!$J$14)</f>
        <v/>
      </c>
      <c r="G49" s="733">
        <f>MAX('DATA TRANSFER'!$F$37,'Set point Calc'!$J$14)</f>
        <v/>
      </c>
      <c r="H49" s="733">
        <f>MAX('DATA TRANSFER'!$F$37,'Set point Calc'!$J$14)</f>
        <v/>
      </c>
    </row>
    <row r="50">
      <c r="B50" s="310" t="inlineStr">
        <is>
          <t>Ambient Temperature/FAT</t>
        </is>
      </c>
      <c r="C50" s="733">
        <f>'DATA TRANSFER'!$F$39</f>
        <v/>
      </c>
      <c r="D50" s="733">
        <f>'DATA TRANSFER'!$F$39</f>
        <v/>
      </c>
      <c r="E50" s="733">
        <f>'DATA TRANSFER'!$F$39</f>
        <v/>
      </c>
      <c r="F50" s="733">
        <f>'DATA TRANSFER'!$F$39</f>
        <v/>
      </c>
      <c r="G50" s="733">
        <f>'DATA TRANSFER'!$F$39</f>
        <v/>
      </c>
      <c r="H50" s="733">
        <f>'DATA TRANSFER'!$F$39</f>
        <v/>
      </c>
    </row>
    <row r="51">
      <c r="B51" s="310" t="inlineStr">
        <is>
          <t>OLD RAT</t>
        </is>
      </c>
    </row>
    <row r="52">
      <c r="B52" s="310" t="inlineStr">
        <is>
          <t>NEW RAT</t>
        </is>
      </c>
    </row>
    <row r="53">
      <c r="B53" s="310" t="inlineStr">
        <is>
          <t>Cooling Demand</t>
        </is>
      </c>
      <c r="C53" s="722">
        <f>VLOOKUP(1,G3:L6,4,FALSE)</f>
        <v/>
      </c>
    </row>
    <row r="54">
      <c r="B54" s="310" t="inlineStr">
        <is>
          <t>Preconditioning: Cooling</t>
        </is>
      </c>
    </row>
    <row r="55">
      <c r="B55" s="310" t="inlineStr">
        <is>
          <t>Preconditioning: Heating</t>
        </is>
      </c>
    </row>
    <row r="56">
      <c r="B56" s="310" t="inlineStr">
        <is>
          <t>Cooling Demand &lt;30%</t>
        </is>
      </c>
      <c r="C56" s="733">
        <f>IF(C53&lt;30%,1,0)</f>
        <v/>
      </c>
    </row>
    <row r="57">
      <c r="B57" s="310" t="inlineStr">
        <is>
          <t>Cooling Demand &gt;=30%</t>
        </is>
      </c>
      <c r="C57" s="733">
        <f>IF(C53&gt;=30%,1,0)</f>
        <v/>
      </c>
    </row>
    <row r="58">
      <c r="B58" s="310" t="inlineStr">
        <is>
          <t>Cool 1: All Circuits Disabled</t>
        </is>
      </c>
    </row>
    <row r="59">
      <c r="B59" s="310" t="inlineStr">
        <is>
          <t>Cool 2: 25% Circuits ON</t>
        </is>
      </c>
    </row>
    <row r="60">
      <c r="B60" s="310" t="inlineStr">
        <is>
          <t>Cool 3: 50% Circuits ON</t>
        </is>
      </c>
    </row>
    <row r="61">
      <c r="B61" s="310" t="inlineStr">
        <is>
          <t>Cool 4: 75% Circuits ON</t>
        </is>
      </c>
    </row>
    <row r="62">
      <c r="B62" s="310" t="inlineStr">
        <is>
          <t>Cool 5: 100% Circuits ON</t>
        </is>
      </c>
    </row>
    <row r="63">
      <c r="B63" s="310" t="inlineStr">
        <is>
          <t>VFD Modulation</t>
        </is>
      </c>
    </row>
    <row r="64">
      <c r="B64" s="310" t="inlineStr">
        <is>
          <t>Heating Mode</t>
        </is>
      </c>
    </row>
    <row r="65">
      <c r="B65" s="310" t="inlineStr">
        <is>
          <t>Reheat Mode</t>
        </is>
      </c>
    </row>
    <row r="66">
      <c r="B66" s="310" t="inlineStr">
        <is>
          <t>Internal Smoke Mode</t>
        </is>
      </c>
    </row>
    <row r="67">
      <c r="B67" s="310" t="inlineStr">
        <is>
          <t>External Smoke Mode</t>
        </is>
      </c>
    </row>
    <row r="68">
      <c r="B68" s="310" t="inlineStr">
        <is>
          <t>Reduced Mode</t>
        </is>
      </c>
    </row>
    <row r="69">
      <c r="B69" s="310" t="inlineStr">
        <is>
          <t>Emergency Mode</t>
        </is>
      </c>
    </row>
    <row r="74">
      <c r="B74" s="310" t="inlineStr">
        <is>
          <t>Total Heat Load</t>
        </is>
      </c>
      <c r="C74" s="733">
        <f>VLOOKUP(1,G3:L6,6,FALSE)*1000</f>
        <v/>
      </c>
      <c r="D74" s="733">
        <f>C74</f>
        <v/>
      </c>
      <c r="E74" s="733">
        <f>D74</f>
        <v/>
      </c>
      <c r="F74" s="733">
        <f>E74</f>
        <v/>
      </c>
      <c r="G74" s="733">
        <f>F74</f>
        <v/>
      </c>
      <c r="H74" s="733">
        <f>G74</f>
        <v/>
      </c>
    </row>
    <row r="75">
      <c r="B75" s="310" t="inlineStr">
        <is>
          <t>Cooling/Heating</t>
        </is>
      </c>
      <c r="C75" s="733">
        <f>C21</f>
        <v/>
      </c>
      <c r="D75" s="733">
        <f>C75</f>
        <v/>
      </c>
      <c r="E75" s="733">
        <f>D75</f>
        <v/>
      </c>
      <c r="F75" s="733">
        <f>E75</f>
        <v/>
      </c>
      <c r="G75" s="733">
        <f>F75</f>
        <v/>
      </c>
      <c r="H75" s="733">
        <f>G75</f>
        <v/>
      </c>
    </row>
  </sheetData>
  <mergeCells count="4">
    <mergeCell ref="G47:H47"/>
    <mergeCell ref="A1:D1"/>
    <mergeCell ref="E47:F47"/>
    <mergeCell ref="C47:D4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588"/>
  <sheetViews>
    <sheetView zoomScale="110" zoomScaleNormal="110" workbookViewId="0">
      <selection activeCell="B27" sqref="B27"/>
    </sheetView>
  </sheetViews>
  <sheetFormatPr baseColWidth="8" defaultColWidth="9" defaultRowHeight="14.5"/>
  <cols>
    <col width="9" customWidth="1" style="263" min="1" max="1"/>
    <col width="39.81640625" customWidth="1" style="263" min="2" max="2"/>
    <col width="60.54296875" customWidth="1" style="263" min="3" max="3"/>
    <col width="18.81640625" customWidth="1" style="263" min="4" max="10"/>
    <col width="60.453125" customWidth="1" style="263" min="11" max="11"/>
    <col width="18.81640625" customWidth="1" style="263" min="12" max="12"/>
    <col width="18.54296875" customWidth="1" style="263" min="13" max="13"/>
    <col width="44.453125" customWidth="1" style="263" min="14" max="14"/>
    <col width="18.54296875" customWidth="1" style="263" min="15" max="16"/>
    <col width="18.54296875" customWidth="1" style="309" min="17" max="18"/>
    <col width="19" customWidth="1" style="309" min="19" max="21"/>
    <col width="18.453125" customWidth="1" style="309" min="22" max="22"/>
    <col width="17.26953125" customWidth="1" style="309" min="23" max="23"/>
    <col width="9" customWidth="1" style="309" min="24" max="16384"/>
  </cols>
  <sheetData>
    <row r="1" ht="15" customHeight="1" thickBot="1">
      <c r="B1" s="797" t="inlineStr">
        <is>
          <t>Inputs</t>
        </is>
      </c>
      <c r="C1" s="888" t="n"/>
      <c r="D1" s="889" t="n"/>
      <c r="F1" s="800" t="inlineStr">
        <is>
          <t>Temp</t>
        </is>
      </c>
      <c r="G1" s="800" t="inlineStr">
        <is>
          <t>Values</t>
        </is>
      </c>
      <c r="H1" s="263" t="inlineStr">
        <is>
          <t>Kelvin</t>
        </is>
      </c>
      <c r="J1" s="800" t="inlineStr">
        <is>
          <t>For Operating Panel Screen</t>
        </is>
      </c>
    </row>
    <row r="2">
      <c r="B2" s="296" t="inlineStr">
        <is>
          <t>c</t>
        </is>
      </c>
      <c r="C2" s="262" t="n">
        <v>1</v>
      </c>
      <c r="D2" s="297" t="inlineStr">
        <is>
          <t>KJ/Kg</t>
        </is>
      </c>
      <c r="F2" s="263" t="inlineStr">
        <is>
          <t>T1</t>
        </is>
      </c>
      <c r="G2" s="263" t="n">
        <v>18</v>
      </c>
      <c r="H2" s="263">
        <f>G2+273.15</f>
        <v/>
      </c>
      <c r="J2" s="402" t="inlineStr">
        <is>
          <t>Status</t>
        </is>
      </c>
      <c r="K2" s="402" t="inlineStr">
        <is>
          <t>Modes of Operation</t>
        </is>
      </c>
      <c r="L2" s="402" t="inlineStr">
        <is>
          <t>Compressor 1</t>
        </is>
      </c>
      <c r="M2" s="402" t="inlineStr">
        <is>
          <t>Compressor 2</t>
        </is>
      </c>
      <c r="N2" s="402" t="inlineStr">
        <is>
          <t>Compressor 3</t>
        </is>
      </c>
      <c r="O2" s="402" t="inlineStr">
        <is>
          <t>Compressor 4</t>
        </is>
      </c>
      <c r="P2" s="402" t="inlineStr">
        <is>
          <t>FAD</t>
        </is>
      </c>
      <c r="Q2" s="402" t="inlineStr">
        <is>
          <t>RAD</t>
        </is>
      </c>
      <c r="R2" s="402" t="inlineStr">
        <is>
          <t>Heater 1</t>
        </is>
      </c>
      <c r="S2" s="402" t="inlineStr">
        <is>
          <t>Heater 2</t>
        </is>
      </c>
      <c r="T2" s="402" t="inlineStr">
        <is>
          <t>Condensor Fan</t>
        </is>
      </c>
      <c r="U2" s="402" t="inlineStr">
        <is>
          <t>Evaporator Fan 1</t>
        </is>
      </c>
      <c r="V2" s="402" t="inlineStr">
        <is>
          <t>Evaporator Fan 2</t>
        </is>
      </c>
    </row>
    <row r="3">
      <c r="B3" s="298" t="inlineStr">
        <is>
          <t>Set Point</t>
        </is>
      </c>
      <c r="C3" s="263">
        <f>'DATA TRANSFER'!F37+273.15</f>
        <v/>
      </c>
      <c r="D3" s="299" t="inlineStr">
        <is>
          <t>K</t>
        </is>
      </c>
      <c r="F3" s="263" t="inlineStr">
        <is>
          <t>T2</t>
        </is>
      </c>
      <c r="G3" s="263" t="n">
        <v>25</v>
      </c>
      <c r="H3" s="263">
        <f>G3+273.15</f>
        <v/>
      </c>
      <c r="J3" s="403">
        <f t="array" ref="J3">IF(AND(J13:J15=0,J6=0),IF(AND(Calculation!B33&gt;Calculation!B35,C3-C19&gt;3,C7&lt;=10%,C21&lt;=60,C20&lt;60),1,0),0)</f>
        <v/>
      </c>
      <c r="K3" s="404">
        <f>C26</f>
        <v/>
      </c>
      <c r="L3" s="403">
        <f>H26</f>
        <v/>
      </c>
      <c r="M3" s="403">
        <f>I26</f>
        <v/>
      </c>
      <c r="N3" s="403">
        <f>J26</f>
        <v/>
      </c>
      <c r="O3" s="403">
        <f>K26</f>
        <v/>
      </c>
      <c r="P3" s="405" t="n">
        <v>0</v>
      </c>
      <c r="Q3" s="405">
        <f>Calculation!$B$52</f>
        <v/>
      </c>
      <c r="R3" s="405">
        <f>R12</f>
        <v/>
      </c>
      <c r="S3" s="405">
        <f>S12</f>
        <v/>
      </c>
      <c r="T3" s="405" t="n">
        <v>0</v>
      </c>
      <c r="U3" s="405" t="n">
        <v>1</v>
      </c>
      <c r="V3" s="405" t="n">
        <v>1</v>
      </c>
      <c r="AB3" s="309" t="inlineStr">
        <is>
          <t>Preconditioning: Preheating</t>
        </is>
      </c>
    </row>
    <row r="4">
      <c r="B4" s="298" t="inlineStr">
        <is>
          <t>Ambient Temp</t>
        </is>
      </c>
      <c r="C4" s="263">
        <f>'DATA TRANSFER'!F39+273.15</f>
        <v/>
      </c>
      <c r="D4" s="299" t="inlineStr">
        <is>
          <t>K</t>
        </is>
      </c>
      <c r="F4" s="263" t="inlineStr">
        <is>
          <t>T3</t>
        </is>
      </c>
      <c r="G4" s="263" t="n">
        <v>43</v>
      </c>
      <c r="H4" s="263">
        <f>G4+273.15</f>
        <v/>
      </c>
      <c r="J4" s="403">
        <f t="array" ref="J4">IF(AND(J13:J15=0),B27,0)</f>
        <v/>
      </c>
      <c r="K4" s="404">
        <f>C27</f>
        <v/>
      </c>
      <c r="L4" s="403" t="n">
        <v>1</v>
      </c>
      <c r="M4" s="403" t="n">
        <v>1</v>
      </c>
      <c r="N4" s="403" t="n">
        <v>1</v>
      </c>
      <c r="O4" s="403" t="n">
        <v>1</v>
      </c>
      <c r="P4" s="405" t="n">
        <v>0</v>
      </c>
      <c r="Q4" s="405" t="n">
        <v>1</v>
      </c>
      <c r="R4" s="405" t="n">
        <v>0</v>
      </c>
      <c r="S4" s="405" t="n">
        <v>0</v>
      </c>
      <c r="T4" s="405" t="n">
        <v>1</v>
      </c>
      <c r="U4" s="405" t="n">
        <v>1</v>
      </c>
      <c r="V4" s="405" t="n">
        <v>1</v>
      </c>
      <c r="AB4" s="309" t="inlineStr">
        <is>
          <t>Preconditioning: Precooling</t>
        </is>
      </c>
    </row>
    <row r="5">
      <c r="B5" s="298" t="inlineStr">
        <is>
          <t>Supply Temp</t>
        </is>
      </c>
      <c r="C5" s="263">
        <f>'DATA TRANSFER'!F39+273.15</f>
        <v/>
      </c>
      <c r="D5" s="299" t="inlineStr">
        <is>
          <t>K</t>
        </is>
      </c>
      <c r="F5" s="263" t="inlineStr">
        <is>
          <t>T4</t>
        </is>
      </c>
      <c r="G5" s="263" t="n">
        <v>10</v>
      </c>
      <c r="H5" s="263">
        <f>G5+273.15</f>
        <v/>
      </c>
      <c r="J5" s="406">
        <f>B28</f>
        <v/>
      </c>
      <c r="K5" s="407">
        <f>C28</f>
        <v/>
      </c>
      <c r="L5" s="406" t="n"/>
      <c r="M5" s="406" t="n"/>
      <c r="N5" s="406" t="n"/>
      <c r="O5" s="406" t="n"/>
      <c r="P5" s="408" t="n">
        <v>1</v>
      </c>
      <c r="Q5" s="408" t="n">
        <v>1</v>
      </c>
      <c r="R5" s="408" t="n">
        <v>0</v>
      </c>
      <c r="S5" s="408" t="n">
        <v>0</v>
      </c>
      <c r="T5" s="408" t="n">
        <v>1</v>
      </c>
      <c r="U5" s="408" t="n">
        <v>1</v>
      </c>
      <c r="V5" s="408" t="n">
        <v>1</v>
      </c>
      <c r="AB5" s="309" t="inlineStr">
        <is>
          <t>Cooling Mode</t>
        </is>
      </c>
    </row>
    <row r="6">
      <c r="B6" s="298" t="inlineStr">
        <is>
          <t>Time</t>
        </is>
      </c>
      <c r="C6" s="263" t="n">
        <v>0.8</v>
      </c>
      <c r="D6" s="299" t="inlineStr">
        <is>
          <t>s</t>
        </is>
      </c>
      <c r="F6" s="263" t="inlineStr">
        <is>
          <t>T5</t>
        </is>
      </c>
      <c r="G6" s="263" t="n">
        <v>11</v>
      </c>
      <c r="H6" s="263">
        <f>G6+273.15</f>
        <v/>
      </c>
      <c r="J6" s="403">
        <f>IF(AND('DATA TRANSFER'!Q584-Calculation!B33&gt;=-0.5,'DATA TRANSFER'!Q584-Calculation!B33&lt;0.5,J13=0,J14=0,J15=0),1,0)</f>
        <v/>
      </c>
      <c r="K6" s="404">
        <f>C29</f>
        <v/>
      </c>
      <c r="L6" s="403" t="n">
        <v>0</v>
      </c>
      <c r="M6" s="403" t="n">
        <v>0</v>
      </c>
      <c r="N6" s="403" t="n">
        <v>0</v>
      </c>
      <c r="O6" s="403" t="n">
        <v>0</v>
      </c>
      <c r="P6" s="403" t="n">
        <v>1</v>
      </c>
      <c r="Q6" s="403" t="n">
        <v>1</v>
      </c>
      <c r="R6" s="403" t="n">
        <v>0</v>
      </c>
      <c r="S6" s="403" t="n">
        <v>0</v>
      </c>
      <c r="T6" s="403" t="n">
        <v>1</v>
      </c>
      <c r="U6" s="403" t="n">
        <v>1</v>
      </c>
      <c r="V6" s="403" t="n">
        <v>1</v>
      </c>
      <c r="AB6" s="309" t="inlineStr">
        <is>
          <t>Standard Automatic Cooling State 1 (Cooling Circuits Disabled)</t>
        </is>
      </c>
    </row>
    <row r="7">
      <c r="B7" s="298" t="inlineStr">
        <is>
          <t xml:space="preserve">Loading </t>
        </is>
      </c>
      <c r="C7" s="303">
        <f>E7/100</f>
        <v/>
      </c>
      <c r="D7" s="299" t="inlineStr">
        <is>
          <t>%</t>
        </is>
      </c>
      <c r="E7" s="263">
        <f>'DATA TRANSFER'!F40</f>
        <v/>
      </c>
      <c r="F7" s="263" t="inlineStr">
        <is>
          <t>T6</t>
        </is>
      </c>
      <c r="G7" s="263" t="n">
        <v>12</v>
      </c>
      <c r="H7" s="263">
        <f>G7+273.15</f>
        <v/>
      </c>
      <c r="J7" s="403">
        <f t="array" ref="J7">IF(AND(B31=1,Calculation!B35-Calculation!B33&gt;=0.5,Calculation!B35-Calculation!B33&lt;3,J13:J15=0),1,0)</f>
        <v/>
      </c>
      <c r="K7" s="404" t="inlineStr">
        <is>
          <t>Standard Automatic Cooling State 2 (Up to 25% Modulated Cooling)</t>
        </is>
      </c>
      <c r="L7" s="403">
        <f>IF('Set point Calc'!$H$18=1,1,0)</f>
        <v/>
      </c>
      <c r="M7" s="403" t="n">
        <v>0</v>
      </c>
      <c r="N7" s="403" t="n">
        <v>0</v>
      </c>
      <c r="O7" s="403" t="n">
        <v>0</v>
      </c>
      <c r="P7" s="405" t="n">
        <v>1</v>
      </c>
      <c r="Q7" s="405" t="n">
        <v>1</v>
      </c>
      <c r="R7" s="405" t="n">
        <v>0</v>
      </c>
      <c r="S7" s="405" t="n">
        <v>0</v>
      </c>
      <c r="T7" s="409" t="n">
        <v>1</v>
      </c>
      <c r="U7" s="405" t="n">
        <v>1</v>
      </c>
      <c r="V7" s="405" t="n">
        <v>1</v>
      </c>
      <c r="AB7" s="309" t="inlineStr">
        <is>
          <t>Standard Automatic Cooling State 2 (Up to 25% Modulated Cooling)</t>
        </is>
      </c>
    </row>
    <row r="8">
      <c r="B8" s="298" t="inlineStr">
        <is>
          <t>Current Mode</t>
        </is>
      </c>
      <c r="C8" s="263">
        <f>IFERROR(VLOOKUP(1,B26:C39,2,FALSE)," ")</f>
        <v/>
      </c>
      <c r="D8" s="299" t="inlineStr">
        <is>
          <t>0-1</t>
        </is>
      </c>
      <c r="F8" s="263" t="inlineStr">
        <is>
          <t>T7</t>
        </is>
      </c>
      <c r="G8" s="263" t="n">
        <v>30</v>
      </c>
      <c r="H8" s="263">
        <f>G8+273.15</f>
        <v/>
      </c>
      <c r="J8" s="403">
        <f t="array" ref="J8">IF(AND(B31=1,Calculation!B35-Calculation!B33&gt;=3,Calculation!B35-Calculation!B33&lt;4.5,J13:J15=0),1,0)</f>
        <v/>
      </c>
      <c r="K8" s="404" t="inlineStr">
        <is>
          <t>Standard Automatic Cooling State 3 (Up to 50% Modulated Cooling)</t>
        </is>
      </c>
      <c r="L8" s="403">
        <f>IF('Set point Calc'!$H$18=1,1,0)</f>
        <v/>
      </c>
      <c r="M8" s="403">
        <f>IF('Set point Calc'!$H$18=1,1,0)</f>
        <v/>
      </c>
      <c r="N8" s="403" t="n">
        <v>0</v>
      </c>
      <c r="O8" s="403" t="n">
        <v>0</v>
      </c>
      <c r="P8" s="405" t="n">
        <v>1</v>
      </c>
      <c r="Q8" s="405" t="n">
        <v>1</v>
      </c>
      <c r="R8" s="405" t="n">
        <v>0</v>
      </c>
      <c r="S8" s="405" t="n">
        <v>0</v>
      </c>
      <c r="T8" s="405" t="n">
        <v>1</v>
      </c>
      <c r="U8" s="405" t="n">
        <v>1</v>
      </c>
      <c r="V8" s="405" t="n">
        <v>1</v>
      </c>
      <c r="AB8" s="309" t="inlineStr">
        <is>
          <t>Standard Automatic Cooling State 3 (Up to 50% Modulated Cooling)</t>
        </is>
      </c>
    </row>
    <row r="9">
      <c r="B9" s="298" t="inlineStr">
        <is>
          <t>Comp 1</t>
        </is>
      </c>
      <c r="C9" s="263">
        <f>IFERROR(VLOOKUP($C$8,$C$26:$H$40,6,FALSE)," ")</f>
        <v/>
      </c>
      <c r="D9" s="299" t="inlineStr">
        <is>
          <t>On/off</t>
        </is>
      </c>
      <c r="F9" s="263" t="inlineStr">
        <is>
          <t>RAT</t>
        </is>
      </c>
      <c r="G9" s="263" t="n">
        <v>32</v>
      </c>
      <c r="H9" s="263">
        <f>G9+273.15</f>
        <v/>
      </c>
      <c r="J9" s="403">
        <f t="array" ref="J9">IF(AND(B31=1,Calculation!B35-Calculation!B33&gt;=4.5,Calculation!B35-Calculation!B33&lt;6,J13:J15=0),1,0)</f>
        <v/>
      </c>
      <c r="K9" s="404" t="inlineStr">
        <is>
          <t>Standard Automatic Cooling State 4 (Up to 75% Modulated Cooling)</t>
        </is>
      </c>
      <c r="L9" s="403">
        <f>IF('Set point Calc'!$H$18=1,1,0)</f>
        <v/>
      </c>
      <c r="M9" s="403">
        <f>IF('Set point Calc'!$H$18=1,1,0)</f>
        <v/>
      </c>
      <c r="N9" s="403">
        <f>IF('Set point Calc'!$I$18=1,1,0)</f>
        <v/>
      </c>
      <c r="O9" s="403" t="n">
        <v>0</v>
      </c>
      <c r="P9" s="405" t="n">
        <v>1</v>
      </c>
      <c r="Q9" s="405" t="n">
        <v>1</v>
      </c>
      <c r="R9" s="405" t="n">
        <v>0</v>
      </c>
      <c r="S9" s="405" t="n">
        <v>0</v>
      </c>
      <c r="T9" s="405" t="n">
        <v>1</v>
      </c>
      <c r="U9" s="405" t="n">
        <v>1</v>
      </c>
      <c r="V9" s="405" t="n">
        <v>1</v>
      </c>
      <c r="AB9" s="309" t="inlineStr">
        <is>
          <t>Standard Automatic Cooling State 4 (Up to 75% Modulated Cooling)</t>
        </is>
      </c>
    </row>
    <row r="10">
      <c r="B10" s="298" t="inlineStr">
        <is>
          <t>Comp 2</t>
        </is>
      </c>
      <c r="C10" s="263">
        <f>IFERROR(VLOOKUP($C$8,$C$26:$M$40,7,FALSE)," ")</f>
        <v/>
      </c>
      <c r="D10" s="299" t="inlineStr">
        <is>
          <t>On/off</t>
        </is>
      </c>
      <c r="F10" s="263" t="inlineStr">
        <is>
          <t>FAT</t>
        </is>
      </c>
      <c r="G10" s="263">
        <f>C18</f>
        <v/>
      </c>
      <c r="H10" s="263">
        <f>G10+273.15</f>
        <v/>
      </c>
      <c r="J10" s="403">
        <f t="array" ref="J10">IF(AND(B31=1,Calculation!B35-Calculation!B33&gt;=6,J13:J15=0),1,0)</f>
        <v/>
      </c>
      <c r="K10" s="404" t="inlineStr">
        <is>
          <t>Standard Automatic Cooling State 5 (Up to 100% Modulated Cooling)</t>
        </is>
      </c>
      <c r="L10" s="403">
        <f>IF('Set point Calc'!$H$18=1,1,0)</f>
        <v/>
      </c>
      <c r="M10" s="403">
        <f>IF('Set point Calc'!$H$18=1,1,0)</f>
        <v/>
      </c>
      <c r="N10" s="403">
        <f>IF('Set point Calc'!$I$18=1,1,0)</f>
        <v/>
      </c>
      <c r="O10" s="403">
        <f>IF('Set point Calc'!$I$18=1,1,0)</f>
        <v/>
      </c>
      <c r="P10" s="405" t="n">
        <v>1</v>
      </c>
      <c r="Q10" s="405" t="n">
        <v>1</v>
      </c>
      <c r="R10" s="405" t="n">
        <v>0</v>
      </c>
      <c r="S10" s="405" t="n">
        <v>0</v>
      </c>
      <c r="T10" s="405" t="n">
        <v>1</v>
      </c>
      <c r="U10" s="405" t="n">
        <v>1</v>
      </c>
      <c r="V10" s="405" t="n">
        <v>1</v>
      </c>
      <c r="AB10" s="309" t="inlineStr">
        <is>
          <t>Standard Automatic Cooling State 5 (Up to 100% Modulated Cooling)</t>
        </is>
      </c>
      <c r="CD10" s="309">
        <f>'DATA TRANSFER'!F38</f>
        <v/>
      </c>
    </row>
    <row r="11">
      <c r="B11" s="298" t="inlineStr">
        <is>
          <t>Comp 3</t>
        </is>
      </c>
      <c r="C11" s="263">
        <f>IFERROR(VLOOKUP($C$8,$C$26:$M$40,8,FALSE)," ")</f>
        <v/>
      </c>
      <c r="D11" s="299" t="inlineStr">
        <is>
          <t>On/off</t>
        </is>
      </c>
      <c r="F11" s="263" t="inlineStr">
        <is>
          <t>SAT</t>
        </is>
      </c>
      <c r="J11" s="403">
        <f t="array" ref="J11">IF(AND(J6=0,J12:J15=0,J3=0),B32,0)</f>
        <v/>
      </c>
      <c r="K11" s="404">
        <f>C32</f>
        <v/>
      </c>
      <c r="L11" s="403">
        <f>IF(AND(L13=0,L14=0),H32,0)</f>
        <v/>
      </c>
      <c r="M11" s="403" t="n">
        <v>0</v>
      </c>
      <c r="N11" s="403">
        <f>J32</f>
        <v/>
      </c>
      <c r="O11" s="403">
        <f>K32</f>
        <v/>
      </c>
      <c r="P11" s="405" t="n">
        <v>1</v>
      </c>
      <c r="Q11" s="405" t="n">
        <v>1</v>
      </c>
      <c r="R11" s="405" t="n">
        <v>0</v>
      </c>
      <c r="S11" s="405" t="n">
        <v>0</v>
      </c>
      <c r="T11" s="405" t="n">
        <v>0</v>
      </c>
      <c r="U11" s="405" t="n">
        <v>1</v>
      </c>
      <c r="V11" s="405" t="n">
        <v>1</v>
      </c>
      <c r="AB11" s="309" t="inlineStr">
        <is>
          <t>Ventilation Mode</t>
        </is>
      </c>
    </row>
    <row r="12">
      <c r="B12" s="298" t="inlineStr">
        <is>
          <t>Comp 4</t>
        </is>
      </c>
      <c r="C12" s="263">
        <f>IFERROR(VLOOKUP($C$8,$C$26:$M$40,9,FALSE)," ")</f>
        <v/>
      </c>
      <c r="D12" s="299" t="inlineStr">
        <is>
          <t>On/off</t>
        </is>
      </c>
      <c r="F12" s="263" t="inlineStr">
        <is>
          <t>Set Point</t>
        </is>
      </c>
      <c r="G12" s="263">
        <f>Calculation!B33</f>
        <v/>
      </c>
      <c r="J12" s="403">
        <f t="array" ref="J12">IF(AND(J13:J15=0,J3=0),B33,0)</f>
        <v/>
      </c>
      <c r="K12" s="404">
        <f>C33</f>
        <v/>
      </c>
      <c r="L12" s="403">
        <f>H32</f>
        <v/>
      </c>
      <c r="M12" s="403">
        <f>I33</f>
        <v/>
      </c>
      <c r="N12" s="403">
        <f>J33</f>
        <v/>
      </c>
      <c r="O12" s="403">
        <f>K33</f>
        <v/>
      </c>
      <c r="P12" s="403" t="n">
        <v>0</v>
      </c>
      <c r="Q12" s="403" t="n">
        <v>1</v>
      </c>
      <c r="R12" s="405">
        <f>IF('Set point Calc'!H23=1,1,0)</f>
        <v/>
      </c>
      <c r="S12" s="405">
        <f>IF('Set point Calc'!I23=1,1,0)</f>
        <v/>
      </c>
      <c r="T12" s="405" t="n">
        <v>1</v>
      </c>
      <c r="U12" s="405" t="n">
        <v>1</v>
      </c>
      <c r="V12" s="405" t="n">
        <v>1</v>
      </c>
      <c r="AB12" s="309" t="inlineStr">
        <is>
          <t>Heating Mode</t>
        </is>
      </c>
    </row>
    <row r="13">
      <c r="B13" s="298" t="inlineStr">
        <is>
          <t>Heater</t>
        </is>
      </c>
      <c r="C13" s="263">
        <f>IFERROR(VLOOKUP($C$8,$C$26:$M$40,2,FALSE)," ")</f>
        <v/>
      </c>
      <c r="D13" s="299" t="inlineStr">
        <is>
          <t>On/off</t>
        </is>
      </c>
      <c r="F13" s="263" t="inlineStr">
        <is>
          <t>old rat</t>
        </is>
      </c>
      <c r="G13" s="399">
        <f>Calculation!B35</f>
        <v/>
      </c>
      <c r="J13" s="403">
        <f>'DATA TRANSFER'!F28</f>
        <v/>
      </c>
      <c r="K13" s="404">
        <f>C34</f>
        <v/>
      </c>
      <c r="L13" s="403">
        <f>H33</f>
        <v/>
      </c>
      <c r="M13" s="403" t="n">
        <v>0</v>
      </c>
      <c r="N13" s="403" t="n">
        <v>0</v>
      </c>
      <c r="O13" s="403" t="n">
        <v>0</v>
      </c>
      <c r="P13" s="403" t="n">
        <v>0</v>
      </c>
      <c r="Q13" s="403" t="n">
        <v>0</v>
      </c>
      <c r="R13" s="405" t="n">
        <v>0</v>
      </c>
      <c r="S13" s="405" t="n">
        <v>0</v>
      </c>
      <c r="T13" s="405" t="n">
        <v>0</v>
      </c>
      <c r="U13" s="405" t="n">
        <v>0</v>
      </c>
      <c r="V13" s="405" t="n">
        <v>0</v>
      </c>
      <c r="AB13" s="309" t="inlineStr">
        <is>
          <t>Internal Smoke Mode</t>
        </is>
      </c>
    </row>
    <row r="14">
      <c r="B14" s="298" t="inlineStr">
        <is>
          <t>FAD</t>
        </is>
      </c>
      <c r="C14" s="263">
        <f>IFERROR(VLOOKUP($C$8,$C$26:$M$40,10,FALSE)," ")</f>
        <v/>
      </c>
      <c r="D14" s="299" t="n"/>
      <c r="F14" s="263" t="inlineStr">
        <is>
          <t>new rat</t>
        </is>
      </c>
      <c r="G14" s="399">
        <f>Calculation!B36</f>
        <v/>
      </c>
      <c r="J14" s="403">
        <f>'DATA TRANSFER'!F29</f>
        <v/>
      </c>
      <c r="K14" s="404">
        <f>C35</f>
        <v/>
      </c>
      <c r="L14" s="403" t="n">
        <v>1</v>
      </c>
      <c r="M14" s="403" t="n">
        <v>1</v>
      </c>
      <c r="N14" s="403" t="n">
        <v>1</v>
      </c>
      <c r="O14" s="403" t="n">
        <v>1</v>
      </c>
      <c r="P14" s="403" t="n">
        <v>0</v>
      </c>
      <c r="Q14" s="403" t="n">
        <v>1</v>
      </c>
      <c r="R14" s="405" t="n">
        <v>0</v>
      </c>
      <c r="S14" s="405" t="n">
        <v>0</v>
      </c>
      <c r="T14" s="403" t="n">
        <v>1</v>
      </c>
      <c r="U14" s="403" t="n">
        <v>1</v>
      </c>
      <c r="V14" s="403" t="n">
        <v>1</v>
      </c>
      <c r="AB14" s="309" t="inlineStr">
        <is>
          <t>External Smoke Mode</t>
        </is>
      </c>
    </row>
    <row r="15">
      <c r="B15" s="298" t="inlineStr">
        <is>
          <t>RAD</t>
        </is>
      </c>
      <c r="C15" s="263">
        <f>IFERROR(VLOOKUP($C$8,$C$26:$M$40,11,FALSE)," ")</f>
        <v/>
      </c>
      <c r="D15" s="299" t="n"/>
      <c r="J15" s="403">
        <f>'DATA TRANSFER'!F31</f>
        <v/>
      </c>
      <c r="K15" s="404">
        <f>C37</f>
        <v/>
      </c>
      <c r="L15" s="403" t="n">
        <v>0</v>
      </c>
      <c r="M15" s="403" t="n">
        <v>0</v>
      </c>
      <c r="N15" s="403" t="n">
        <v>0</v>
      </c>
      <c r="O15" s="403" t="n">
        <v>0</v>
      </c>
      <c r="P15" s="403" t="n">
        <v>0</v>
      </c>
      <c r="Q15" s="403" t="n">
        <v>0</v>
      </c>
      <c r="R15" s="403" t="n">
        <v>0</v>
      </c>
      <c r="S15" s="403" t="n">
        <v>0</v>
      </c>
      <c r="T15" s="403" t="n">
        <v>0</v>
      </c>
      <c r="U15" s="403" t="n">
        <v>1</v>
      </c>
      <c r="V15" s="403" t="n">
        <v>1</v>
      </c>
      <c r="AB15" s="309" t="inlineStr">
        <is>
          <t>Emergency Ventilation Mode</t>
        </is>
      </c>
    </row>
    <row r="16">
      <c r="B16" s="298" t="inlineStr">
        <is>
          <t xml:space="preserve">Cooling </t>
        </is>
      </c>
      <c r="D16" s="299" t="inlineStr">
        <is>
          <t>KW</t>
        </is>
      </c>
    </row>
    <row r="17">
      <c r="B17" s="298" t="n"/>
      <c r="C17" s="263">
        <f>C16*1000</f>
        <v/>
      </c>
      <c r="D17" s="299" t="n"/>
      <c r="J17" s="403" t="n"/>
      <c r="K17" s="402" t="inlineStr">
        <is>
          <t>Current Mode</t>
        </is>
      </c>
      <c r="L17" s="402" t="inlineStr">
        <is>
          <t>Compressor 1</t>
        </is>
      </c>
      <c r="M17" s="402" t="inlineStr">
        <is>
          <t>Compressor 2</t>
        </is>
      </c>
      <c r="N17" s="402" t="inlineStr">
        <is>
          <t>Compressor 3</t>
        </is>
      </c>
      <c r="O17" s="402" t="inlineStr">
        <is>
          <t>Compressor 4</t>
        </is>
      </c>
      <c r="P17" s="402">
        <f>P2</f>
        <v/>
      </c>
      <c r="Q17" s="402">
        <f>Q2</f>
        <v/>
      </c>
      <c r="R17" s="402">
        <f>R2</f>
        <v/>
      </c>
      <c r="S17" s="402">
        <f>S2</f>
        <v/>
      </c>
      <c r="T17" s="402">
        <f>T2</f>
        <v/>
      </c>
      <c r="U17" s="402" t="inlineStr">
        <is>
          <t>Condensor Fan 2</t>
        </is>
      </c>
      <c r="V17" s="402">
        <f>U2</f>
        <v/>
      </c>
      <c r="W17" s="402">
        <f>V2</f>
        <v/>
      </c>
    </row>
    <row r="18" ht="16.5" customHeight="1">
      <c r="B18" s="298" t="inlineStr">
        <is>
          <t>Fresh Air Temp (FAT)</t>
        </is>
      </c>
      <c r="C18" s="263">
        <f>'DATA TRANSFER'!F39</f>
        <v/>
      </c>
      <c r="D18" s="299" t="inlineStr">
        <is>
          <t>oc</t>
        </is>
      </c>
      <c r="J18" s="403">
        <f>VLOOKUP(1,J3:K15,1,FALSE)</f>
        <v/>
      </c>
      <c r="K18" s="403">
        <f>VLOOKUP(1,J3:P15,2,FALSE)</f>
        <v/>
      </c>
      <c r="L18" s="403">
        <f>VLOOKUP($K$18,$K$3:$O$15,2,FALSE)</f>
        <v/>
      </c>
      <c r="M18" s="403">
        <f>VLOOKUP($K$18,$K$3:$O$15,3,FALSE)</f>
        <v/>
      </c>
      <c r="N18" s="403">
        <f>VLOOKUP($K$18,$K$3:$O$15,4,FALSE)</f>
        <v/>
      </c>
      <c r="O18" s="403">
        <f>VLOOKUP($K$18,$K$3:$O$15,5,FALSE)</f>
        <v/>
      </c>
      <c r="P18" s="403">
        <f>VLOOKUP($K$18,$K$3:$V$15,6,FALSE)</f>
        <v/>
      </c>
      <c r="Q18" s="403">
        <f>VLOOKUP($K$18,$K$3:$V$15,7,FALSE)</f>
        <v/>
      </c>
      <c r="R18" s="403">
        <f>VLOOKUP($K$18,$K$3:$V$15,8,FALSE)</f>
        <v/>
      </c>
      <c r="S18" s="403">
        <f>VLOOKUP($K$18,$K$3:$V$15,9,FALSE)</f>
        <v/>
      </c>
      <c r="T18" s="403">
        <f>VLOOKUP($K$18,$K$3:$V$15,10,FALSE)</f>
        <v/>
      </c>
      <c r="U18" s="403">
        <f>T18</f>
        <v/>
      </c>
      <c r="V18" s="403">
        <f>VLOOKUP($K$18,$K$3:$V$15,11,FALSE)</f>
        <v/>
      </c>
      <c r="W18" s="403">
        <f>VLOOKUP($K$18,$K$3:$V$15,12,FALSE)</f>
        <v/>
      </c>
    </row>
    <row r="19">
      <c r="B19" s="298">
        <f>Calculation!B36+273.15</f>
        <v/>
      </c>
      <c r="C19" s="263">
        <f>Calculation!B35+273.15</f>
        <v/>
      </c>
      <c r="D19" s="299" t="inlineStr">
        <is>
          <t>K</t>
        </is>
      </c>
      <c r="S19" s="309">
        <f>VLOOKUP($K$18,$K$3:$V$15,9,FALSE)</f>
        <v/>
      </c>
    </row>
    <row r="20">
      <c r="B20" s="298" t="inlineStr">
        <is>
          <t>Time Since HVAC ON</t>
        </is>
      </c>
      <c r="C20" s="890">
        <f>Calculation!B19</f>
        <v/>
      </c>
      <c r="D20" s="299" t="inlineStr">
        <is>
          <t>min</t>
        </is>
      </c>
    </row>
    <row r="21" ht="15" customHeight="1" thickBot="1">
      <c r="B21" s="300" t="inlineStr">
        <is>
          <t>Relative Humiditty</t>
        </is>
      </c>
      <c r="C21" s="301">
        <f>'DATA TRANSFER'!F43</f>
        <v/>
      </c>
      <c r="D21" s="302" t="n"/>
      <c r="J21" s="263">
        <f t="array" ref="J21">IF(AND(B31=1,Calculation!B35-Calculation!B33&gt;=6,J13:J15=0),1,0)</f>
        <v/>
      </c>
    </row>
    <row r="25" customFormat="1" s="800">
      <c r="A25" s="800" t="inlineStr">
        <is>
          <t>Sr No</t>
        </is>
      </c>
      <c r="B25" s="800" t="inlineStr">
        <is>
          <t>Status of Operation</t>
        </is>
      </c>
      <c r="C25" s="800" t="inlineStr">
        <is>
          <t>Status</t>
        </is>
      </c>
      <c r="D25" s="800" t="inlineStr">
        <is>
          <t>Heater</t>
        </is>
      </c>
      <c r="E25" s="800" t="inlineStr">
        <is>
          <t>Condensor Fan</t>
        </is>
      </c>
      <c r="F25" s="800" t="inlineStr">
        <is>
          <t>Evaporator Fan 1</t>
        </is>
      </c>
      <c r="G25" s="800" t="inlineStr">
        <is>
          <t>Evaporator Fan 2</t>
        </is>
      </c>
      <c r="H25" s="800" t="inlineStr">
        <is>
          <t>Compressor 1</t>
        </is>
      </c>
      <c r="I25" s="800" t="inlineStr">
        <is>
          <t>Compressor 2</t>
        </is>
      </c>
      <c r="J25" s="800" t="inlineStr">
        <is>
          <t>Compressor 3</t>
        </is>
      </c>
      <c r="K25" s="800" t="inlineStr">
        <is>
          <t>Compressor 4</t>
        </is>
      </c>
      <c r="L25" s="800" t="inlineStr">
        <is>
          <t>FAD</t>
        </is>
      </c>
      <c r="M25" s="800" t="inlineStr">
        <is>
          <t>RAD</t>
        </is>
      </c>
      <c r="N25" s="800" t="inlineStr">
        <is>
          <t>Remarks</t>
        </is>
      </c>
    </row>
    <row r="26">
      <c r="A26" s="263" t="n">
        <v>1</v>
      </c>
      <c r="B26" s="263" t="n">
        <v>0</v>
      </c>
      <c r="C26" s="295" t="inlineStr">
        <is>
          <t>Preconditioning: Preheating</t>
        </is>
      </c>
      <c r="D26" s="304" t="n">
        <v>1</v>
      </c>
      <c r="E26" s="304" t="n">
        <v>0</v>
      </c>
      <c r="F26" s="304" t="n">
        <v>1</v>
      </c>
      <c r="G26" s="304" t="n">
        <v>1</v>
      </c>
      <c r="H26" s="304" t="n">
        <v>0</v>
      </c>
      <c r="I26" s="304" t="n">
        <v>0</v>
      </c>
      <c r="J26" s="304" t="n">
        <v>0</v>
      </c>
      <c r="K26" s="304" t="n">
        <v>0</v>
      </c>
      <c r="L26" s="304" t="n">
        <v>0</v>
      </c>
      <c r="M26" s="304">
        <f>Calculation!$B$52</f>
        <v/>
      </c>
      <c r="N26" s="304" t="inlineStr">
        <is>
          <t>pre-Heating operation</t>
        </is>
      </c>
    </row>
    <row r="27">
      <c r="A27" s="263" t="n">
        <v>2</v>
      </c>
      <c r="B27" s="263">
        <f>IF(AND(C19-C3&gt;3,C7&lt;=10%,C21&lt;=60,Calculation!B19&lt;60,B32=0),1,0)</f>
        <v/>
      </c>
      <c r="C27" s="295" t="inlineStr">
        <is>
          <t>Preconditioning: Precooling</t>
        </is>
      </c>
      <c r="D27" s="304" t="n">
        <v>0</v>
      </c>
      <c r="E27" s="304" t="n">
        <v>1</v>
      </c>
      <c r="F27" s="304" t="n">
        <v>1</v>
      </c>
      <c r="G27" s="304" t="n">
        <v>1</v>
      </c>
      <c r="H27" s="304" t="n">
        <v>1</v>
      </c>
      <c r="I27" s="304" t="n">
        <v>1</v>
      </c>
      <c r="J27" s="304" t="n">
        <v>1</v>
      </c>
      <c r="K27" s="304" t="n">
        <v>1</v>
      </c>
      <c r="L27" s="304" t="n">
        <v>0</v>
      </c>
      <c r="M27" s="304" t="n">
        <v>1</v>
      </c>
      <c r="N27" s="304" t="inlineStr">
        <is>
          <t>pre-Cooling operation</t>
        </is>
      </c>
    </row>
    <row r="28">
      <c r="A28" s="263" t="n">
        <v>3</v>
      </c>
      <c r="B28" s="263" t="n">
        <v>0</v>
      </c>
      <c r="C28" s="295" t="inlineStr">
        <is>
          <t>Cooling Mode</t>
        </is>
      </c>
      <c r="D28" s="304" t="n">
        <v>0</v>
      </c>
      <c r="E28" s="304" t="n">
        <v>1</v>
      </c>
      <c r="F28" s="304" t="n">
        <v>1</v>
      </c>
      <c r="G28" s="304" t="n">
        <v>1</v>
      </c>
      <c r="H28" s="304" t="n">
        <v>1</v>
      </c>
      <c r="I28" s="304" t="n">
        <v>1</v>
      </c>
      <c r="J28" s="304" t="n">
        <v>1</v>
      </c>
      <c r="K28" s="304" t="n">
        <v>1</v>
      </c>
      <c r="L28" s="304" t="n">
        <v>1</v>
      </c>
      <c r="M28" s="304" t="n">
        <v>1</v>
      </c>
      <c r="N28" s="304" t="inlineStr">
        <is>
          <t>Cooling demand dependent</t>
        </is>
      </c>
    </row>
    <row r="29">
      <c r="A29" s="263" t="n">
        <v>4</v>
      </c>
      <c r="B29" s="263">
        <f t="array" ref="B29">IF(AND(B26:B27=0,B32=0),IF(C18&lt;G5,1,0),0)</f>
        <v/>
      </c>
      <c r="C29" s="295" t="inlineStr">
        <is>
          <t>Standard Automatic Cooling State 1 (Cooling Circuits Disabled)</t>
        </is>
      </c>
      <c r="D29" s="263" t="n">
        <v>0</v>
      </c>
      <c r="E29" s="263" t="n">
        <v>0</v>
      </c>
      <c r="F29" s="263" t="n">
        <v>1</v>
      </c>
      <c r="G29" s="263" t="n">
        <v>1</v>
      </c>
      <c r="H29" s="263" t="n">
        <v>0</v>
      </c>
      <c r="I29" s="263" t="n">
        <v>0</v>
      </c>
      <c r="J29" s="263" t="n">
        <v>0</v>
      </c>
      <c r="K29" s="263" t="n">
        <v>0</v>
      </c>
      <c r="L29" s="263" t="n">
        <v>0</v>
      </c>
      <c r="M29" s="263" t="n">
        <v>0</v>
      </c>
      <c r="N29" s="304" t="n"/>
    </row>
    <row r="30">
      <c r="A30" s="263" t="n">
        <v>5</v>
      </c>
      <c r="B30" s="263">
        <f>IF(AND(H5&lt;=H10,H10&lt;H7,B32=0),1,0)</f>
        <v/>
      </c>
      <c r="C30" s="295" t="inlineStr">
        <is>
          <t>Standard Automatic Cooling State 2 (Up to 50% Modulated Cooling)</t>
        </is>
      </c>
      <c r="D30" s="304">
        <f>IF(J15=0,IF(AND(Calculation!B33&gt;Calculation!B35,C3-C19&gt;3,C7&lt;=10%,C21&lt;=60,C20&lt;=60),1,0))</f>
        <v/>
      </c>
      <c r="E30" s="267" t="n">
        <v>1</v>
      </c>
      <c r="F30" s="304" t="n">
        <v>1</v>
      </c>
      <c r="G30" s="304" t="n">
        <v>1</v>
      </c>
      <c r="H30" s="304" t="n">
        <v>1</v>
      </c>
      <c r="I30" s="304" t="n">
        <v>1</v>
      </c>
      <c r="J30" s="304" t="n">
        <v>0</v>
      </c>
      <c r="K30" s="304" t="n">
        <v>0</v>
      </c>
      <c r="L30" s="307" t="n"/>
      <c r="M30" s="304" t="n"/>
      <c r="N30" s="304" t="n"/>
    </row>
    <row r="31">
      <c r="A31" s="263" t="n">
        <v>6</v>
      </c>
      <c r="B31" s="263">
        <f t="array" ref="B31">IF(AND(B26:B27=0,B32=0,B34=0,B35=0),1,0)</f>
        <v/>
      </c>
      <c r="C31" s="295" t="inlineStr">
        <is>
          <t>Standard Automatic Cooling State 3 (Up to 100% Modulated Cooling)</t>
        </is>
      </c>
      <c r="D31" s="304" t="n">
        <v>0</v>
      </c>
      <c r="E31" s="304" t="n">
        <v>1</v>
      </c>
      <c r="F31" s="304" t="n">
        <v>1</v>
      </c>
      <c r="G31" s="304" t="n">
        <v>1</v>
      </c>
      <c r="H31" s="304" t="n">
        <v>1</v>
      </c>
      <c r="I31" s="304" t="n">
        <v>1</v>
      </c>
      <c r="J31" s="304" t="n">
        <v>1</v>
      </c>
      <c r="K31" s="304" t="n">
        <v>1</v>
      </c>
      <c r="L31" s="307" t="n"/>
      <c r="M31" s="304" t="n"/>
      <c r="N31" s="304" t="n"/>
    </row>
    <row r="32" ht="19.5" customHeight="1">
      <c r="A32" s="263" t="n">
        <v>7</v>
      </c>
      <c r="B32" s="263">
        <f>IF(AND(B26=0),Calculation!B67,0)</f>
        <v/>
      </c>
      <c r="C32" s="295" t="inlineStr">
        <is>
          <t>Ventilation Mode</t>
        </is>
      </c>
      <c r="D32" s="304" t="n">
        <v>0</v>
      </c>
      <c r="E32" s="304" t="n">
        <v>0</v>
      </c>
      <c r="F32" s="304" t="n">
        <v>1</v>
      </c>
      <c r="G32" s="304" t="n">
        <v>1</v>
      </c>
      <c r="H32" s="304" t="n">
        <v>0</v>
      </c>
      <c r="I32" s="304">
        <f>IF('Set point Calc'!H23=0,0,1)</f>
        <v/>
      </c>
      <c r="J32" s="304" t="n">
        <v>0</v>
      </c>
      <c r="K32" s="304" t="n">
        <v>0</v>
      </c>
      <c r="L32" s="304" t="n">
        <v>0</v>
      </c>
      <c r="M32" s="304" t="n">
        <v>1</v>
      </c>
      <c r="N32" s="304" t="inlineStr">
        <is>
          <t>Fresh air intake closed</t>
        </is>
      </c>
    </row>
    <row r="33" ht="19.5" customHeight="1">
      <c r="A33" s="263" t="n">
        <v>8</v>
      </c>
      <c r="B33" s="263">
        <f>IF(Calculation!B33-Calculation!B35&gt;5,1,0)</f>
        <v/>
      </c>
      <c r="C33" s="295" t="inlineStr">
        <is>
          <t>Heating Mode</t>
        </is>
      </c>
      <c r="D33" s="304" t="n">
        <v>1</v>
      </c>
      <c r="E33" s="304" t="n">
        <v>0</v>
      </c>
      <c r="F33" s="304" t="n">
        <v>1</v>
      </c>
      <c r="G33" s="304" t="n">
        <v>1</v>
      </c>
      <c r="H33" s="304" t="n">
        <v>0</v>
      </c>
      <c r="I33" s="304" t="n">
        <v>0</v>
      </c>
      <c r="J33" s="304" t="n">
        <v>0</v>
      </c>
      <c r="K33" s="304" t="n">
        <v>0</v>
      </c>
      <c r="L33" s="304" t="inlineStr">
        <is>
          <t>0/1</t>
        </is>
      </c>
      <c r="M33" s="304" t="n">
        <v>1</v>
      </c>
      <c r="N33" s="304" t="inlineStr">
        <is>
          <t>Cooling/dehumidification with possible reheat</t>
        </is>
      </c>
    </row>
    <row r="34" ht="20.25" customHeight="1">
      <c r="A34" s="263" t="n">
        <v>9</v>
      </c>
      <c r="B34" s="263" t="n">
        <v>0</v>
      </c>
      <c r="C34" s="295" t="inlineStr">
        <is>
          <t>Internal Smoke Mode</t>
        </is>
      </c>
      <c r="D34" s="304" t="n">
        <v>0</v>
      </c>
      <c r="E34" s="304" t="n">
        <v>0</v>
      </c>
      <c r="F34" s="304" t="n">
        <v>1</v>
      </c>
      <c r="G34" s="304" t="n">
        <v>1</v>
      </c>
      <c r="H34" s="304" t="n">
        <v>0</v>
      </c>
      <c r="I34" s="304" t="n">
        <v>0</v>
      </c>
      <c r="J34" s="304" t="n">
        <v>0</v>
      </c>
      <c r="K34" s="304" t="n">
        <v>0</v>
      </c>
      <c r="L34" s="304" t="n">
        <v>1</v>
      </c>
      <c r="M34" s="304" t="n">
        <v>0</v>
      </c>
      <c r="N34" s="304" t="inlineStr">
        <is>
          <t>Maximum ventilation / smoke removal</t>
        </is>
      </c>
    </row>
    <row r="35">
      <c r="A35" s="263" t="n">
        <v>10</v>
      </c>
      <c r="B35" s="263" t="n">
        <v>0</v>
      </c>
      <c r="C35" s="295" t="inlineStr">
        <is>
          <t>External Smoke Mode</t>
        </is>
      </c>
      <c r="D35" s="304" t="n">
        <v>0</v>
      </c>
      <c r="E35" s="304" t="n">
        <v>0</v>
      </c>
      <c r="F35" s="304" t="n">
        <v>1</v>
      </c>
      <c r="G35" s="304" t="n">
        <v>1</v>
      </c>
      <c r="H35" s="304" t="n">
        <v>0</v>
      </c>
      <c r="L35" s="263" t="n">
        <v>0</v>
      </c>
      <c r="M35" s="263" t="n">
        <v>1</v>
      </c>
    </row>
    <row r="36">
      <c r="A36" s="263" t="n">
        <v>11</v>
      </c>
      <c r="C36" s="295" t="inlineStr">
        <is>
          <t>Dehumidification Mode</t>
        </is>
      </c>
      <c r="D36" s="304" t="inlineStr">
        <is>
          <t>0/1</t>
        </is>
      </c>
      <c r="E36" s="304" t="n">
        <v>1</v>
      </c>
      <c r="F36" s="304" t="n">
        <v>1</v>
      </c>
      <c r="G36" s="304" t="n">
        <v>1</v>
      </c>
      <c r="H36" s="304" t="n">
        <v>1</v>
      </c>
      <c r="L36" s="263" t="n">
        <v>0</v>
      </c>
      <c r="M36" s="263" t="n">
        <v>1</v>
      </c>
    </row>
    <row r="37">
      <c r="A37" s="263" t="n">
        <v>12</v>
      </c>
      <c r="C37" s="295" t="inlineStr">
        <is>
          <t>Emergency Ventilation Mode</t>
        </is>
      </c>
      <c r="D37" s="304" t="n">
        <v>0</v>
      </c>
      <c r="E37" s="304" t="inlineStr">
        <is>
          <t>0/1</t>
        </is>
      </c>
      <c r="F37" s="304" t="n">
        <v>1</v>
      </c>
      <c r="G37" s="304" t="n">
        <v>1</v>
      </c>
      <c r="H37" s="304" t="n">
        <v>0</v>
      </c>
      <c r="L37" s="263" t="n">
        <v>1</v>
      </c>
      <c r="M37" s="263" t="n">
        <v>1</v>
      </c>
    </row>
    <row r="38">
      <c r="A38" s="263" t="n">
        <v>13</v>
      </c>
      <c r="F38" s="263">
        <f>'DATA TRANSFER'!F38</f>
        <v/>
      </c>
    </row>
    <row r="39">
      <c r="A39" s="263" t="n">
        <v>14</v>
      </c>
      <c r="G39" s="263">
        <f>'DATA TRANSFER'!G38</f>
        <v/>
      </c>
    </row>
    <row r="40">
      <c r="A40" s="263" t="n">
        <v>15</v>
      </c>
      <c r="E40" s="263">
        <f>IF(OR(E26:E36),1,0)</f>
        <v/>
      </c>
    </row>
    <row r="41">
      <c r="C41" s="267" t="n"/>
      <c r="D41" s="305" t="n"/>
      <c r="E41" s="267" t="n"/>
      <c r="F41" s="267" t="n"/>
      <c r="G41" s="267" t="n"/>
      <c r="H41" s="267" t="n"/>
      <c r="I41" s="267" t="n"/>
      <c r="J41" s="267" t="n"/>
      <c r="K41" s="267" t="n"/>
      <c r="L41" s="305" t="n"/>
      <c r="M41" s="267" t="n"/>
      <c r="N41" s="267" t="n"/>
    </row>
    <row r="42">
      <c r="B42" s="800" t="inlineStr">
        <is>
          <t>HVAC Staggered Start</t>
        </is>
      </c>
    </row>
    <row r="43">
      <c r="B43" s="263" t="inlineStr">
        <is>
          <t>Compressor 1</t>
        </is>
      </c>
      <c r="C43" s="263">
        <f>IF('DATA TRANSFER'!CP23=1,1,0)</f>
        <v/>
      </c>
    </row>
    <row r="44">
      <c r="B44" s="263" t="inlineStr">
        <is>
          <t>Time Elapsed since Compressor 1 start</t>
        </is>
      </c>
      <c r="C44" s="263">
        <f>'DATA TRANSFER'!Q587</f>
        <v/>
      </c>
    </row>
    <row r="45">
      <c r="B45" s="263" t="inlineStr">
        <is>
          <t>Compressor 2</t>
        </is>
      </c>
      <c r="C45" s="263">
        <f>IF(AND(Calculation!B24=1,'Mode Logic'!C43=1,'Mode Logic'!C44&gt;=1),1,0)</f>
        <v/>
      </c>
      <c r="D45" s="307" t="n"/>
      <c r="E45" s="304">
        <f>Calculation!B19</f>
        <v/>
      </c>
      <c r="F45" s="304" t="n"/>
      <c r="G45" s="304" t="n"/>
      <c r="H45" s="304" t="n"/>
      <c r="I45" s="304" t="n"/>
      <c r="J45" s="304" t="n"/>
      <c r="K45" s="304" t="n"/>
      <c r="L45" s="307" t="n"/>
      <c r="M45" s="304" t="n"/>
      <c r="N45" s="304" t="n"/>
    </row>
    <row r="46">
      <c r="D46" s="307" t="n"/>
      <c r="E46" s="304" t="n"/>
      <c r="F46" s="304" t="n"/>
      <c r="G46" s="304" t="n"/>
      <c r="H46" s="304" t="n"/>
      <c r="I46" s="304" t="n"/>
      <c r="J46" s="304" t="n"/>
      <c r="K46" s="304" t="n"/>
      <c r="L46" s="307" t="n"/>
      <c r="M46" s="304" t="n"/>
      <c r="N46" s="304" t="n"/>
    </row>
    <row r="47">
      <c r="B47" s="263" t="inlineStr">
        <is>
          <t>Compressor 3</t>
        </is>
      </c>
      <c r="C47" s="306" t="n"/>
      <c r="D47" s="307" t="n"/>
      <c r="E47" s="304" t="n"/>
      <c r="F47" s="304" t="n"/>
      <c r="G47" s="304" t="n"/>
      <c r="H47" s="304" t="n"/>
      <c r="I47" s="304" t="n"/>
      <c r="J47" s="304" t="n"/>
      <c r="K47" s="304" t="n"/>
      <c r="L47" s="305" t="n"/>
      <c r="M47" s="304" t="n"/>
    </row>
    <row r="48">
      <c r="D48" s="307" t="n"/>
      <c r="E48" s="304" t="n"/>
      <c r="F48" s="304" t="n"/>
      <c r="G48" s="304" t="n"/>
      <c r="H48" s="304" t="n"/>
      <c r="I48" s="304" t="n"/>
      <c r="J48" s="304" t="n"/>
      <c r="K48" s="304" t="n"/>
      <c r="L48" s="305" t="n"/>
      <c r="M48" s="304" t="n"/>
    </row>
    <row r="49">
      <c r="B49" s="263" t="inlineStr">
        <is>
          <t>Compressor 4</t>
        </is>
      </c>
      <c r="C49" s="306" t="n"/>
      <c r="D49" s="307" t="n"/>
      <c r="E49" s="304" t="n"/>
      <c r="F49" s="304" t="n"/>
      <c r="G49" s="304" t="n"/>
      <c r="H49" s="304" t="n"/>
      <c r="I49" s="304" t="n"/>
      <c r="J49" s="304" t="n"/>
      <c r="K49" s="304" t="n"/>
      <c r="L49" s="307" t="n"/>
      <c r="M49" s="304" t="n"/>
    </row>
    <row r="50">
      <c r="C50" s="306" t="n"/>
      <c r="D50" s="307" t="n"/>
      <c r="E50" s="304" t="n"/>
      <c r="F50" s="267" t="n"/>
      <c r="G50" s="267" t="n"/>
      <c r="H50" s="304" t="n"/>
      <c r="I50" s="304" t="n"/>
      <c r="J50" s="304" t="n"/>
      <c r="K50" s="304" t="n"/>
      <c r="L50" s="305" t="n"/>
      <c r="M50" s="304" t="n"/>
    </row>
    <row r="376">
      <c r="F376" s="263">
        <f>'DATA TRANSFER'!F39</f>
        <v/>
      </c>
    </row>
    <row r="584">
      <c r="Q584" s="309">
        <f>IF(AND('DATA TRANSFER'!Q584-Calculation!B33&gt;=-0.5,'DATA TRANSFER'!Q584-Calculation!B33&lt;0.5,J13=0,J14=0),1,0)</f>
        <v/>
      </c>
    </row>
    <row r="587">
      <c r="R587" s="309">
        <f>'DATA TRANSFER'!R590</f>
        <v/>
      </c>
    </row>
    <row r="588">
      <c r="R588" s="309">
        <f>'DATA TRANSFER'!Q587</f>
        <v/>
      </c>
    </row>
  </sheetData>
  <mergeCells count="3">
    <mergeCell ref="B1:D1"/>
    <mergeCell ref="J1:L1"/>
    <mergeCell ref="B42:C42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0"/>
  <sheetViews>
    <sheetView topLeftCell="A3" zoomScale="70" zoomScaleNormal="70" workbookViewId="0">
      <selection activeCell="D24" sqref="D24"/>
    </sheetView>
  </sheetViews>
  <sheetFormatPr baseColWidth="8" defaultColWidth="9.1796875" defaultRowHeight="15.5"/>
  <cols>
    <col width="9.1796875" customWidth="1" style="840" min="1" max="1"/>
    <col width="33.453125" customWidth="1" style="840" min="2" max="2"/>
    <col width="20.26953125" customWidth="1" style="273" min="3" max="3"/>
    <col width="22.453125" customWidth="1" style="273" min="4" max="4"/>
    <col width="20.453125" customWidth="1" style="273" min="5" max="5"/>
    <col width="19" customWidth="1" style="273" min="6" max="6"/>
    <col width="18.81640625" customWidth="1" style="273" min="7" max="7"/>
    <col width="20.81640625" customWidth="1" style="273" min="8" max="8"/>
    <col width="9.1796875" customWidth="1" style="840" min="9" max="16384"/>
  </cols>
  <sheetData>
    <row r="1" ht="24" customHeight="1" thickBot="1">
      <c r="A1" s="891" t="inlineStr">
        <is>
          <t>Operating  Screen for HVAC</t>
        </is>
      </c>
      <c r="B1" s="865" t="n"/>
      <c r="C1" s="865" t="n"/>
      <c r="D1" s="865" t="n"/>
      <c r="E1" s="865" t="n"/>
      <c r="F1" s="865" t="n"/>
      <c r="G1" s="865" t="n"/>
      <c r="H1" s="865" t="n"/>
      <c r="I1" s="866" t="n"/>
    </row>
    <row r="2">
      <c r="C2" s="801" t="inlineStr">
        <is>
          <t xml:space="preserve">DMA </t>
        </is>
      </c>
      <c r="D2" s="870" t="n"/>
      <c r="E2" s="801" t="inlineStr">
        <is>
          <t>TCA</t>
        </is>
      </c>
      <c r="F2" s="870" t="n"/>
      <c r="G2" s="801" t="inlineStr">
        <is>
          <t>DMB</t>
        </is>
      </c>
      <c r="H2" s="870" t="n"/>
    </row>
    <row r="3" customFormat="1" s="265">
      <c r="B3" s="270" t="inlineStr">
        <is>
          <t xml:space="preserve">HVAC UNIT </t>
        </is>
      </c>
      <c r="C3" s="271" t="inlineStr">
        <is>
          <t>HVAC 1 (DMA)</t>
        </is>
      </c>
      <c r="D3" s="271" t="inlineStr">
        <is>
          <t>HVAC 2  (DMA)</t>
        </is>
      </c>
      <c r="E3" s="271" t="inlineStr">
        <is>
          <t>HVAC 3 (T CAR )</t>
        </is>
      </c>
      <c r="F3" s="271" t="inlineStr">
        <is>
          <t>HVAC 4 (T CAR )</t>
        </is>
      </c>
      <c r="G3" s="271" t="inlineStr">
        <is>
          <t>HVAC 5 (DMB)</t>
        </is>
      </c>
      <c r="H3" s="271" t="inlineStr">
        <is>
          <t>HVAC 6 (DMB)</t>
        </is>
      </c>
    </row>
    <row r="4">
      <c r="B4" s="270" t="inlineStr">
        <is>
          <t xml:space="preserve"> HVAC STATUS</t>
        </is>
      </c>
      <c r="C4" s="272">
        <f>functionality!B5</f>
        <v/>
      </c>
      <c r="D4" s="272">
        <f>functionality!B8</f>
        <v/>
      </c>
      <c r="E4" s="272">
        <f>functionality!B12</f>
        <v/>
      </c>
      <c r="F4" s="272">
        <f>functionality!B15</f>
        <v/>
      </c>
      <c r="G4" s="272">
        <f>functionality!B19</f>
        <v/>
      </c>
      <c r="H4" s="272">
        <f>functionality!B22</f>
        <v/>
      </c>
    </row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4" ht="16" customHeight="1" thickBot="1"/>
    <row r="15" ht="16" customHeight="1" thickBot="1">
      <c r="A15" s="892" t="inlineStr">
        <is>
          <t xml:space="preserve"> Status Screen for HVAC</t>
        </is>
      </c>
      <c r="B15" s="865" t="n"/>
      <c r="C15" s="865" t="n"/>
      <c r="D15" s="865" t="n"/>
      <c r="E15" s="865" t="n"/>
      <c r="F15" s="865" t="n"/>
      <c r="G15" s="865" t="n"/>
      <c r="H15" s="865" t="n"/>
      <c r="I15" s="866" t="n"/>
    </row>
    <row r="16" ht="16" customHeight="1" thickBot="1"/>
    <row r="17" ht="16" customHeight="1" thickBot="1">
      <c r="B17" s="274" t="n"/>
      <c r="C17" s="275" t="n"/>
      <c r="D17" s="275" t="inlineStr">
        <is>
          <t>DMA</t>
        </is>
      </c>
      <c r="E17" s="275" t="inlineStr">
        <is>
          <t xml:space="preserve"> T CAR</t>
        </is>
      </c>
      <c r="F17" s="276" t="inlineStr">
        <is>
          <t xml:space="preserve">DMB </t>
        </is>
      </c>
    </row>
    <row r="18" ht="16" customHeight="1" thickBot="1"/>
    <row r="19" ht="33" customHeight="1" thickBot="1">
      <c r="B19" s="277" t="inlineStr">
        <is>
          <t>Current Outside Temperature (degC)</t>
        </is>
      </c>
      <c r="C19" s="275" t="n"/>
      <c r="D19" s="278">
        <f>HVAC_IOs!R4</f>
        <v/>
      </c>
      <c r="E19" s="278">
        <f>HVAC_IOs!R4</f>
        <v/>
      </c>
      <c r="F19" s="279">
        <f>HVAC_IOs!R4</f>
        <v/>
      </c>
    </row>
    <row r="20" ht="16" customHeight="1" thickBot="1">
      <c r="B20" s="280" t="n"/>
      <c r="C20" s="281" t="n"/>
    </row>
    <row r="21" ht="16.5" customHeight="1">
      <c r="B21" s="807" t="inlineStr">
        <is>
          <t>Current Inside Temperature (degC)</t>
        </is>
      </c>
      <c r="C21" s="282" t="inlineStr">
        <is>
          <t>UNIT 1</t>
        </is>
      </c>
      <c r="D21" s="283">
        <f>HVAC_IOs!R2</f>
        <v/>
      </c>
      <c r="E21" s="283">
        <f>HVAC_IOs!R2</f>
        <v/>
      </c>
      <c r="F21" s="284">
        <f>HVAC_IOs!R2</f>
        <v/>
      </c>
    </row>
    <row r="22" ht="16" customHeight="1" thickBot="1">
      <c r="B22" s="893" t="n"/>
      <c r="C22" s="285" t="inlineStr">
        <is>
          <t>UNIT 2</t>
        </is>
      </c>
      <c r="D22" s="286">
        <f>HVAC_IOs!R2</f>
        <v/>
      </c>
      <c r="E22" s="286">
        <f>HVAC_IOs!R2</f>
        <v/>
      </c>
      <c r="F22" s="287">
        <f>HVAC_IOs!R2</f>
        <v/>
      </c>
    </row>
    <row r="23" ht="16" customHeight="1" thickBot="1">
      <c r="B23" s="280" t="n"/>
      <c r="C23" s="281" t="n"/>
    </row>
    <row r="24" ht="18" customHeight="1">
      <c r="B24" s="807" t="inlineStr">
        <is>
          <t>Target Temperature (degC)</t>
        </is>
      </c>
      <c r="C24" s="282" t="inlineStr">
        <is>
          <t>UNIT 1</t>
        </is>
      </c>
      <c r="D24" s="283">
        <f>HVAC_IOs!R10</f>
        <v/>
      </c>
      <c r="E24" s="283">
        <f>HVAC_IOs!R10</f>
        <v/>
      </c>
      <c r="F24" s="284">
        <f>HVAC_IOs!R10</f>
        <v/>
      </c>
    </row>
    <row r="25" ht="16" customHeight="1" thickBot="1">
      <c r="B25" s="893" t="n"/>
      <c r="C25" s="285" t="inlineStr">
        <is>
          <t>UNIT 2</t>
        </is>
      </c>
      <c r="D25" s="286">
        <f>HVAC_IOs!R10</f>
        <v/>
      </c>
      <c r="E25" s="286">
        <f>HVAC_IOs!R10</f>
        <v/>
      </c>
      <c r="F25" s="287">
        <f>HVAC_IOs!R10</f>
        <v/>
      </c>
    </row>
    <row r="26" ht="16" customHeight="1" thickBot="1">
      <c r="B26" s="280" t="n"/>
      <c r="C26" s="281" t="n"/>
    </row>
    <row r="27" ht="17.25" customHeight="1">
      <c r="B27" s="807" t="inlineStr">
        <is>
          <t>Fresh Air Damper (degC)</t>
        </is>
      </c>
      <c r="C27" s="282" t="inlineStr">
        <is>
          <t>UNIT 1</t>
        </is>
      </c>
      <c r="D27" s="283">
        <f>functionality!E27</f>
        <v/>
      </c>
      <c r="E27" s="283">
        <f>functionality!E34</f>
        <v/>
      </c>
      <c r="F27" s="284">
        <f>functionality!E40</f>
        <v/>
      </c>
    </row>
    <row r="28" ht="16" customHeight="1" thickBot="1">
      <c r="B28" s="893" t="n"/>
      <c r="C28" s="285" t="inlineStr">
        <is>
          <t>UNIT 2</t>
        </is>
      </c>
      <c r="D28" s="286">
        <f>functionality!E30</f>
        <v/>
      </c>
      <c r="E28" s="286">
        <f>functionality!E37</f>
        <v/>
      </c>
      <c r="F28" s="287">
        <f>functionality!E43</f>
        <v/>
      </c>
    </row>
    <row r="29" ht="16" customHeight="1" thickBot="1">
      <c r="B29" s="288" t="n"/>
      <c r="C29" s="281" t="n"/>
    </row>
    <row r="30" ht="18.75" customHeight="1">
      <c r="B30" s="817" t="inlineStr">
        <is>
          <t>Low-pressure value on Compressor (MPa)</t>
        </is>
      </c>
      <c r="C30" s="282" t="inlineStr">
        <is>
          <t>UNIT 1</t>
        </is>
      </c>
      <c r="D30" s="283">
        <f>IF(AND(HVAC_IOs!R7=1,HVAC_IOs!R9=1),1,0)</f>
        <v/>
      </c>
      <c r="E30" s="283">
        <f>IF(AND(HVAC_IOs!R7=1,HVAC_IOs!R9=1),1,0)</f>
        <v/>
      </c>
      <c r="F30" s="284">
        <f>IF(AND(HVAC_IOs!R7=1,HVAC_IOs!R9=1),1,0)</f>
        <v/>
      </c>
    </row>
    <row r="31" ht="16" customHeight="1" thickBot="1">
      <c r="B31" s="893" t="n"/>
      <c r="C31" s="285" t="inlineStr">
        <is>
          <t>UNIT 2</t>
        </is>
      </c>
      <c r="D31" s="286">
        <f>IF(AND(HVAC_IOs!R7=1,HVAC_IOs!R9=1),1,0)</f>
        <v/>
      </c>
      <c r="E31" s="286">
        <f>IF(AND(HVAC_IOs!R7=1,HVAC_IOs!R9=1),1,0)</f>
        <v/>
      </c>
      <c r="F31" s="287">
        <f>IF(AND(HVAC_IOs!R7=1,HVAC_IOs!R9=1),1,0)</f>
        <v/>
      </c>
    </row>
    <row r="32" ht="16" customHeight="1" thickBot="1">
      <c r="B32" s="280" t="n"/>
      <c r="C32" s="281" t="n"/>
    </row>
    <row r="33" ht="16.5" customHeight="1">
      <c r="B33" s="817" t="inlineStr">
        <is>
          <t>High-pressure value on Compressor (MPa)</t>
        </is>
      </c>
      <c r="C33" s="282" t="inlineStr">
        <is>
          <t>UNIT 1</t>
        </is>
      </c>
      <c r="D33" s="283">
        <f>IF(AND(HVAC_IOs!R6=1,HVAC_IOs!R8=1),1,0)</f>
        <v/>
      </c>
      <c r="E33" s="283">
        <f>IF(AND(HVAC_IOs!R6=1,HVAC_IOs!R8=1),1,0)</f>
        <v/>
      </c>
      <c r="F33" s="284">
        <f>IF(AND(HVAC_IOs!R6=1,HVAC_IOs!R8=1),1,0)</f>
        <v/>
      </c>
    </row>
    <row r="34" ht="16" customHeight="1" thickBot="1">
      <c r="B34" s="893" t="n"/>
      <c r="C34" s="285" t="inlineStr">
        <is>
          <t>UNIT 2</t>
        </is>
      </c>
      <c r="D34" s="286">
        <f>IF(AND(HVAC_IOs!R6=1,HVAC_IOs!R8=1),1,0)</f>
        <v/>
      </c>
      <c r="E34" s="286">
        <f>IF(AND(HVAC_IOs!R6=1,HVAC_IOs!R8=1),1,0)</f>
        <v/>
      </c>
      <c r="F34" s="287">
        <f>IF(AND(HVAC_IOs!R6=1,HVAC_IOs!R8=1),1,0)</f>
        <v/>
      </c>
    </row>
    <row r="35" ht="16" customHeight="1" thickBot="1"/>
    <row r="36">
      <c r="B36" s="807" t="inlineStr">
        <is>
          <t>Current Mode Status</t>
        </is>
      </c>
      <c r="C36" s="282" t="inlineStr">
        <is>
          <t>UNIT 1</t>
        </is>
      </c>
      <c r="D36" s="283">
        <f>functionality!C47</f>
        <v/>
      </c>
      <c r="E36" s="283">
        <f>functionality!C54</f>
        <v/>
      </c>
      <c r="F36" s="284">
        <f>functionality!C60</f>
        <v/>
      </c>
    </row>
    <row r="37" ht="16" customHeight="1" thickBot="1">
      <c r="B37" s="893" t="n"/>
      <c r="C37" s="285" t="inlineStr">
        <is>
          <t>UNIT 2</t>
        </is>
      </c>
      <c r="D37" s="286">
        <f>functionality!C50</f>
        <v/>
      </c>
      <c r="E37" s="286">
        <f>functionality!C57</f>
        <v/>
      </c>
      <c r="F37" s="287">
        <f>functionality!C63</f>
        <v/>
      </c>
    </row>
    <row r="38" ht="16" customHeight="1" thickBot="1"/>
    <row r="39" ht="16" customHeight="1" thickBot="1">
      <c r="B39" s="807" t="inlineStr">
        <is>
          <t>Exterior Smoke Status</t>
        </is>
      </c>
      <c r="C39" s="282" t="inlineStr">
        <is>
          <t>UNIT 1</t>
        </is>
      </c>
      <c r="D39" s="283">
        <f>functionality!C67</f>
        <v/>
      </c>
      <c r="E39" s="286">
        <f>functionality!C74</f>
        <v/>
      </c>
      <c r="F39" s="284">
        <f>functionality!C80</f>
        <v/>
      </c>
    </row>
    <row r="40" ht="16" customHeight="1" thickBot="1">
      <c r="B40" s="893" t="n"/>
      <c r="C40" s="285" t="inlineStr">
        <is>
          <t>UNIT 2</t>
        </is>
      </c>
      <c r="D40" s="283">
        <f>functionality!C70</f>
        <v/>
      </c>
      <c r="E40" s="286">
        <f>functionality!C77</f>
        <v/>
      </c>
      <c r="F40" s="287">
        <f>functionality!C83</f>
        <v/>
      </c>
    </row>
    <row r="41" ht="16" customHeight="1" thickBot="1"/>
    <row r="42">
      <c r="B42" s="282" t="inlineStr">
        <is>
          <t>Fresh Air Damper Open</t>
        </is>
      </c>
      <c r="C42" s="282" t="n"/>
      <c r="D42" s="283" t="n"/>
    </row>
    <row r="43" ht="16" customHeight="1" thickBot="1"/>
    <row r="44">
      <c r="B44" s="282" t="inlineStr">
        <is>
          <t>Fresh Air Damper Close</t>
        </is>
      </c>
      <c r="C44" s="282" t="n"/>
      <c r="D44" s="283" t="n"/>
    </row>
    <row r="49" ht="16" customHeight="1" thickBot="1"/>
    <row r="50" ht="16" customHeight="1" thickBot="1">
      <c r="A50" s="892" t="inlineStr">
        <is>
          <t xml:space="preserve"> Status Screen for Mode Setting: </t>
        </is>
      </c>
      <c r="B50" s="865" t="n"/>
      <c r="C50" s="865" t="n"/>
      <c r="D50" s="865" t="n"/>
      <c r="E50" s="865" t="n"/>
      <c r="F50" s="865" t="n"/>
      <c r="G50" s="865" t="n"/>
      <c r="H50" s="865" t="n"/>
      <c r="I50" s="866" t="n"/>
    </row>
    <row r="52" ht="16" customHeight="1" thickBot="1">
      <c r="D52" s="273" t="inlineStr">
        <is>
          <t xml:space="preserve">DMA </t>
        </is>
      </c>
      <c r="E52" s="273" t="inlineStr">
        <is>
          <t>TCA</t>
        </is>
      </c>
      <c r="F52" s="273" t="inlineStr">
        <is>
          <t>DMB</t>
        </is>
      </c>
    </row>
    <row r="53">
      <c r="B53" s="894" t="inlineStr">
        <is>
          <t xml:space="preserve">Car select </t>
        </is>
      </c>
      <c r="C53" s="289" t="inlineStr">
        <is>
          <t>All car</t>
        </is>
      </c>
      <c r="D53" s="290" t="inlineStr">
        <is>
          <t>DMA</t>
        </is>
      </c>
      <c r="E53" s="290" t="inlineStr">
        <is>
          <t>TCA</t>
        </is>
      </c>
      <c r="F53" s="291" t="inlineStr">
        <is>
          <t>DMB</t>
        </is>
      </c>
    </row>
    <row r="54" ht="16" customHeight="1" thickBot="1">
      <c r="B54" s="895" t="n"/>
      <c r="C54" s="292">
        <f>HVAC_IOs!F94</f>
        <v/>
      </c>
      <c r="D54" s="286">
        <f>HVAC_IOs!F95</f>
        <v/>
      </c>
      <c r="E54" s="286">
        <f>HVAC_IOs!F96</f>
        <v/>
      </c>
      <c r="F54" s="287">
        <f>HVAC_IOs!F97</f>
        <v/>
      </c>
    </row>
    <row r="55">
      <c r="B55" s="265" t="n"/>
    </row>
    <row r="56" ht="16" customHeight="1" thickBot="1">
      <c r="B56" s="265" t="n"/>
    </row>
    <row r="57">
      <c r="B57" s="894" t="inlineStr">
        <is>
          <t xml:space="preserve">HVAC Select </t>
        </is>
      </c>
      <c r="C57" s="289" t="inlineStr">
        <is>
          <t>All HVAC</t>
        </is>
      </c>
      <c r="D57" s="290" t="inlineStr">
        <is>
          <t xml:space="preserve"> Unit 1 </t>
        </is>
      </c>
      <c r="E57" s="291" t="inlineStr">
        <is>
          <t xml:space="preserve"> Unit 2</t>
        </is>
      </c>
    </row>
    <row r="58" ht="16" customHeight="1" thickBot="1">
      <c r="B58" s="895" t="n"/>
      <c r="C58" s="292">
        <f>HVAC_IOs!F98</f>
        <v/>
      </c>
      <c r="D58" s="286">
        <f>HVAC_IOs!F99</f>
        <v/>
      </c>
      <c r="E58" s="287">
        <f>HVAC_IOs!F100</f>
        <v/>
      </c>
    </row>
    <row r="59">
      <c r="B59" s="265" t="n"/>
    </row>
    <row r="60" ht="16" customHeight="1" thickBot="1">
      <c r="B60" s="265" t="n"/>
    </row>
    <row r="61">
      <c r="B61" s="894" t="inlineStr">
        <is>
          <t xml:space="preserve">Mode Select </t>
        </is>
      </c>
      <c r="C61" s="289" t="inlineStr">
        <is>
          <t>OFF</t>
        </is>
      </c>
      <c r="D61" s="290" t="inlineStr">
        <is>
          <t>VENT</t>
        </is>
      </c>
      <c r="E61" s="291" t="inlineStr">
        <is>
          <t>AUTO</t>
        </is>
      </c>
    </row>
    <row r="62" ht="16" customHeight="1" thickBot="1">
      <c r="B62" s="896" t="n"/>
      <c r="C62" s="292">
        <f>HVAC_IOs!F101</f>
        <v/>
      </c>
      <c r="D62" s="286">
        <f>HVAC_IOs!F102</f>
        <v/>
      </c>
      <c r="E62" s="287">
        <f>HVAC_IOs!F103</f>
        <v/>
      </c>
    </row>
    <row r="63" ht="16" customHeight="1" thickBot="1">
      <c r="B63" s="896" t="n"/>
    </row>
    <row r="64">
      <c r="B64" s="896" t="n"/>
      <c r="C64" s="289" t="inlineStr">
        <is>
          <t>ALL OFF</t>
        </is>
      </c>
      <c r="D64" s="290" t="inlineStr">
        <is>
          <t>ALL VENT</t>
        </is>
      </c>
      <c r="E64" s="291" t="inlineStr">
        <is>
          <t>ALL AUTO</t>
        </is>
      </c>
    </row>
    <row r="65" ht="16" customHeight="1" thickBot="1">
      <c r="B65" s="895" t="n"/>
      <c r="C65" s="292">
        <f>HVAC_IOs!F104</f>
        <v/>
      </c>
      <c r="D65" s="286">
        <f>HVAC_IOs!F105</f>
        <v/>
      </c>
      <c r="E65" s="287">
        <f>HVAC_IOs!F106</f>
        <v/>
      </c>
    </row>
    <row r="70" ht="16" customHeight="1" thickBot="1"/>
    <row r="71" ht="16" customHeight="1" thickBot="1">
      <c r="A71" s="892" t="inlineStr">
        <is>
          <t xml:space="preserve"> Status Screen for Temperature Setting: </t>
        </is>
      </c>
      <c r="B71" s="865" t="n"/>
      <c r="C71" s="865" t="n"/>
      <c r="D71" s="865" t="n"/>
      <c r="E71" s="865" t="n"/>
      <c r="F71" s="865" t="n"/>
      <c r="G71" s="865" t="n"/>
      <c r="H71" s="865" t="n"/>
      <c r="I71" s="866" t="n"/>
    </row>
    <row r="73" ht="16" customHeight="1" thickBot="1">
      <c r="D73" s="273" t="inlineStr">
        <is>
          <t xml:space="preserve">DMA </t>
        </is>
      </c>
      <c r="E73" s="273" t="inlineStr">
        <is>
          <t>TCA</t>
        </is>
      </c>
      <c r="F73" s="273" t="inlineStr">
        <is>
          <t>DMB</t>
        </is>
      </c>
    </row>
    <row r="74">
      <c r="B74" s="807" t="inlineStr">
        <is>
          <t>Target Temperature (degC)</t>
        </is>
      </c>
      <c r="C74" s="282" t="inlineStr">
        <is>
          <t>UNIT 1</t>
        </is>
      </c>
      <c r="D74" s="283">
        <f>HVAC_IOs!R10</f>
        <v/>
      </c>
      <c r="E74" s="283">
        <f>HVAC_IOs!R10</f>
        <v/>
      </c>
      <c r="F74" s="284">
        <f>HVAC_IOs!R10</f>
        <v/>
      </c>
    </row>
    <row r="75" ht="16" customHeight="1" thickBot="1">
      <c r="B75" s="893" t="n"/>
      <c r="C75" s="285" t="inlineStr">
        <is>
          <t>UNIT 2</t>
        </is>
      </c>
      <c r="D75" s="286">
        <f>HVAC_IOs!R10</f>
        <v/>
      </c>
      <c r="E75" s="286">
        <f>HVAC_IOs!R10</f>
        <v/>
      </c>
      <c r="F75" s="287">
        <f>HVAC_IOs!R10</f>
        <v/>
      </c>
    </row>
    <row r="77" ht="16" customHeight="1" thickBot="1"/>
    <row r="78">
      <c r="B78" s="894" t="inlineStr">
        <is>
          <t xml:space="preserve">Car select </t>
        </is>
      </c>
      <c r="C78" s="289" t="inlineStr">
        <is>
          <t>All car</t>
        </is>
      </c>
      <c r="D78" s="290" t="inlineStr">
        <is>
          <t>DMA</t>
        </is>
      </c>
      <c r="E78" s="290" t="inlineStr">
        <is>
          <t>TCA</t>
        </is>
      </c>
      <c r="F78" s="291" t="inlineStr">
        <is>
          <t>DMB</t>
        </is>
      </c>
    </row>
    <row r="79" ht="16" customHeight="1" thickBot="1">
      <c r="B79" s="895" t="n"/>
      <c r="C79" s="292">
        <f>HVAC_IOs!F108</f>
        <v/>
      </c>
      <c r="D79" s="286">
        <f>HVAC_IOs!F109</f>
        <v/>
      </c>
      <c r="E79" s="286">
        <f>HVAC_IOs!F110</f>
        <v/>
      </c>
      <c r="F79" s="287">
        <f>HVAC_IOs!F111</f>
        <v/>
      </c>
    </row>
    <row r="80" ht="16" customHeight="1" thickBot="1"/>
    <row r="81">
      <c r="B81" s="894" t="inlineStr">
        <is>
          <t xml:space="preserve">HVAC Select </t>
        </is>
      </c>
      <c r="C81" s="289" t="inlineStr">
        <is>
          <t>All HVAC</t>
        </is>
      </c>
      <c r="D81" s="290" t="inlineStr">
        <is>
          <t xml:space="preserve"> Unit 1 </t>
        </is>
      </c>
      <c r="E81" s="291" t="inlineStr">
        <is>
          <t xml:space="preserve"> Unit 2</t>
        </is>
      </c>
    </row>
    <row r="82" ht="16" customHeight="1" thickBot="1">
      <c r="B82" s="895" t="n"/>
      <c r="C82" s="292">
        <f>HVAC_IOs!F112</f>
        <v/>
      </c>
      <c r="D82" s="286">
        <f>HVAC_IOs!F113</f>
        <v/>
      </c>
      <c r="E82" s="287">
        <f>HVAC_IOs!F114</f>
        <v/>
      </c>
    </row>
    <row r="84" ht="16" customHeight="1" thickBot="1"/>
    <row r="85">
      <c r="B85" s="894" t="inlineStr">
        <is>
          <t>Request Temp</t>
        </is>
      </c>
      <c r="C85" s="897">
        <f>HVAC_IOs!R10</f>
        <v/>
      </c>
    </row>
    <row r="86" ht="16" customHeight="1" thickBot="1">
      <c r="B86" s="895" t="n"/>
      <c r="C86" s="898" t="n"/>
    </row>
    <row r="90" ht="16" customHeight="1" thickBot="1"/>
    <row r="91" ht="16" customHeight="1" thickBot="1">
      <c r="A91" s="892" t="inlineStr">
        <is>
          <t>HVAC isolation</t>
        </is>
      </c>
      <c r="B91" s="865" t="n"/>
      <c r="C91" s="865" t="n"/>
      <c r="D91" s="865" t="n"/>
      <c r="E91" s="865" t="n"/>
      <c r="F91" s="865" t="n"/>
      <c r="G91" s="865" t="n"/>
      <c r="H91" s="865" t="n"/>
      <c r="I91" s="866" t="n"/>
    </row>
    <row r="92">
      <c r="C92" s="273" t="inlineStr">
        <is>
          <t xml:space="preserve">DMA </t>
        </is>
      </c>
      <c r="D92" s="273" t="inlineStr">
        <is>
          <t>TCA</t>
        </is>
      </c>
      <c r="E92" s="273" t="inlineStr">
        <is>
          <t>DMB</t>
        </is>
      </c>
    </row>
    <row r="93">
      <c r="B93" s="293" t="inlineStr">
        <is>
          <t>HVAC 1</t>
        </is>
      </c>
      <c r="C93" s="272">
        <f>functionality!B90</f>
        <v/>
      </c>
      <c r="D93" s="272">
        <f>functionality!B97</f>
        <v/>
      </c>
      <c r="E93" s="272">
        <f>functionality!B104</f>
        <v/>
      </c>
    </row>
    <row r="94">
      <c r="B94" s="293" t="inlineStr">
        <is>
          <t>HVAC 2</t>
        </is>
      </c>
      <c r="C94" s="272">
        <f>functionality!B93</f>
        <v/>
      </c>
      <c r="D94" s="272">
        <f>functionality!B100</f>
        <v/>
      </c>
      <c r="E94" s="272">
        <f>functionality!B107</f>
        <v/>
      </c>
    </row>
    <row r="97">
      <c r="B97" s="293" t="inlineStr">
        <is>
          <t xml:space="preserve">HVAC 1 </t>
        </is>
      </c>
      <c r="C97" s="272">
        <f>HVAC_IOs!F116</f>
        <v/>
      </c>
      <c r="D97" s="272">
        <f>HVAC_IOs!F117</f>
        <v/>
      </c>
      <c r="E97" s="272">
        <f>HVAC_IOs!F118</f>
        <v/>
      </c>
    </row>
    <row r="98">
      <c r="B98" s="293" t="inlineStr">
        <is>
          <t xml:space="preserve">TARGET CAR </t>
        </is>
      </c>
      <c r="C98" s="294" t="n"/>
      <c r="D98" s="272" t="n"/>
      <c r="E98" s="272" t="n"/>
    </row>
    <row r="100">
      <c r="B100" s="293" t="inlineStr">
        <is>
          <t>HVAC 2</t>
        </is>
      </c>
      <c r="C100" s="272">
        <f>HVAC_IOs!F119</f>
        <v/>
      </c>
      <c r="D100" s="272">
        <f>HVAC_IOs!F120</f>
        <v/>
      </c>
      <c r="E100" s="272">
        <f>HVAC_IOs!F121</f>
        <v/>
      </c>
    </row>
    <row r="101">
      <c r="B101" s="293" t="inlineStr">
        <is>
          <t xml:space="preserve">TARGET CAR </t>
        </is>
      </c>
      <c r="C101" s="294" t="n"/>
      <c r="D101" s="294" t="n"/>
      <c r="E101" s="294" t="n"/>
    </row>
    <row r="103">
      <c r="B103" s="293" t="inlineStr">
        <is>
          <t>HVAC Reset</t>
        </is>
      </c>
      <c r="C103" s="272">
        <f>HVAC_IOs!F122</f>
        <v/>
      </c>
    </row>
    <row r="105">
      <c r="B105" s="293" t="inlineStr">
        <is>
          <t>ISOLATE</t>
        </is>
      </c>
      <c r="C105" s="272">
        <f>HVAC_IOs!F123</f>
        <v/>
      </c>
    </row>
    <row r="107">
      <c r="B107" s="293" t="inlineStr">
        <is>
          <t>ISOLATE RESET</t>
        </is>
      </c>
      <c r="C107" s="272">
        <f>HVAC_IOs!F124</f>
        <v/>
      </c>
    </row>
    <row r="119">
      <c r="A119" s="273" t="n"/>
      <c r="B119" s="273" t="n"/>
      <c r="I119" s="273" t="n"/>
    </row>
    <row r="120">
      <c r="A120" s="273" t="n"/>
      <c r="B120" s="273" t="n"/>
      <c r="I120" s="273" t="n"/>
    </row>
    <row r="121">
      <c r="A121" s="273" t="n"/>
      <c r="B121" s="273" t="n"/>
      <c r="I121" s="273" t="n"/>
    </row>
    <row r="122">
      <c r="A122" s="273" t="n"/>
      <c r="B122" s="273" t="n"/>
      <c r="I122" s="273" t="n"/>
    </row>
    <row r="123">
      <c r="A123" s="273" t="n"/>
      <c r="B123" s="273" t="n"/>
      <c r="I123" s="273" t="n"/>
    </row>
    <row r="124">
      <c r="A124" s="273" t="n"/>
      <c r="B124" s="273" t="n"/>
      <c r="I124" s="273" t="n"/>
    </row>
    <row r="125">
      <c r="A125" s="273" t="n"/>
      <c r="B125" s="273" t="n"/>
      <c r="I125" s="273" t="n"/>
    </row>
    <row r="126">
      <c r="A126" s="273" t="n"/>
      <c r="B126" s="273" t="n"/>
      <c r="I126" s="273" t="n"/>
    </row>
    <row r="127">
      <c r="A127" s="273" t="n"/>
      <c r="B127" s="273" t="n"/>
      <c r="I127" s="273" t="n"/>
    </row>
    <row r="128">
      <c r="A128" s="273" t="n"/>
      <c r="B128" s="273" t="n"/>
      <c r="I128" s="273" t="n"/>
    </row>
    <row r="129">
      <c r="A129" s="273" t="n"/>
      <c r="B129" s="273" t="n"/>
      <c r="I129" s="273" t="n"/>
    </row>
    <row r="130">
      <c r="A130" s="273" t="n"/>
      <c r="B130" s="273" t="n"/>
      <c r="I130" s="273" t="n"/>
    </row>
  </sheetData>
  <mergeCells count="23">
    <mergeCell ref="B27:B28"/>
    <mergeCell ref="G2:H2"/>
    <mergeCell ref="C85:C86"/>
    <mergeCell ref="A50:I50"/>
    <mergeCell ref="B39:B40"/>
    <mergeCell ref="B57:B58"/>
    <mergeCell ref="A71:I71"/>
    <mergeCell ref="B78:B79"/>
    <mergeCell ref="A91:I91"/>
    <mergeCell ref="B24:B25"/>
    <mergeCell ref="B53:B54"/>
    <mergeCell ref="C2:D2"/>
    <mergeCell ref="B36:B37"/>
    <mergeCell ref="E2:F2"/>
    <mergeCell ref="B74:B75"/>
    <mergeCell ref="B33:B34"/>
    <mergeCell ref="B30:B31"/>
    <mergeCell ref="A15:I15"/>
    <mergeCell ref="B61:B65"/>
    <mergeCell ref="A1:I1"/>
    <mergeCell ref="B85:B86"/>
    <mergeCell ref="B81:B82"/>
    <mergeCell ref="B21:B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5"/>
  <sheetViews>
    <sheetView topLeftCell="B1" zoomScale="70" zoomScaleNormal="70" workbookViewId="0">
      <selection activeCell="B12" sqref="B12:B20"/>
    </sheetView>
  </sheetViews>
  <sheetFormatPr baseColWidth="8" defaultColWidth="9.1796875" defaultRowHeight="15.5"/>
  <cols>
    <col width="42.453125" customWidth="1" style="265" min="1" max="1"/>
    <col width="61.7265625" customWidth="1" style="265" min="2" max="2"/>
    <col width="23" customWidth="1" style="265" min="3" max="3"/>
    <col width="36.81640625" customWidth="1" style="265" min="4" max="4"/>
    <col width="24.26953125" customWidth="1" style="265" min="5" max="5"/>
    <col width="21" customWidth="1" style="265" min="6" max="6"/>
    <col width="13.1796875" customWidth="1" style="265" min="7" max="7"/>
    <col width="14" customWidth="1" style="265" min="8" max="8"/>
    <col width="20" customWidth="1" style="265" min="9" max="9"/>
    <col width="17.81640625" customWidth="1" style="265" min="10" max="10"/>
    <col width="28.453125" customWidth="1" style="265" min="11" max="11"/>
    <col width="9.1796875" customWidth="1" style="265" min="12" max="16384"/>
  </cols>
  <sheetData>
    <row r="1" ht="66" customHeight="1">
      <c r="A1" s="268" t="inlineStr">
        <is>
          <t>MODE</t>
        </is>
      </c>
      <c r="B1" s="268" t="inlineStr">
        <is>
          <t>Passenger Load</t>
        </is>
      </c>
      <c r="C1" s="268" t="inlineStr">
        <is>
          <t>Season</t>
        </is>
      </c>
      <c r="D1" s="268" t="inlineStr">
        <is>
          <t>Time</t>
        </is>
      </c>
      <c r="E1" s="268" t="inlineStr">
        <is>
          <t>Ambient Temp Min</t>
        </is>
      </c>
      <c r="F1" s="268" t="inlineStr">
        <is>
          <t>Ambient Temp Max</t>
        </is>
      </c>
      <c r="G1" s="268" t="inlineStr">
        <is>
          <t>Set Point Min</t>
        </is>
      </c>
      <c r="H1" s="268" t="inlineStr">
        <is>
          <t>Set Point Max</t>
        </is>
      </c>
      <c r="I1" s="268" t="inlineStr">
        <is>
          <t>RH Min</t>
        </is>
      </c>
      <c r="J1" s="268" t="inlineStr">
        <is>
          <t>RH Max</t>
        </is>
      </c>
      <c r="K1" s="268" t="inlineStr">
        <is>
          <t>Return Air Temperature</t>
        </is>
      </c>
    </row>
    <row r="2" ht="31" customHeight="1">
      <c r="A2" s="822" t="inlineStr">
        <is>
          <t>Fresh Air Ventilation</t>
        </is>
      </c>
      <c r="B2" s="822" t="inlineStr">
        <is>
          <t>AW0</t>
        </is>
      </c>
      <c r="C2" s="822" t="inlineStr">
        <is>
          <t>Summer, Rainy, Winter</t>
        </is>
      </c>
      <c r="D2" s="822" t="inlineStr">
        <is>
          <t>Morning, Afternoon, Night</t>
        </is>
      </c>
      <c r="E2" s="822" t="n">
        <v>15</v>
      </c>
      <c r="F2" s="822" t="n">
        <v>50</v>
      </c>
      <c r="G2" s="822" t="n">
        <v>18</v>
      </c>
      <c r="H2" s="822" t="n">
        <v>34</v>
      </c>
      <c r="I2" s="266" t="n">
        <v>0.4</v>
      </c>
      <c r="J2" s="266" t="n">
        <v>0.6</v>
      </c>
      <c r="K2" s="822" t="inlineStr">
        <is>
          <t>Initial = Ambient, Final = Set Point</t>
        </is>
      </c>
    </row>
    <row r="3" ht="17.25" customHeight="1">
      <c r="A3" s="822" t="inlineStr">
        <is>
          <t>COOL 1</t>
        </is>
      </c>
      <c r="B3" s="822" t="inlineStr">
        <is>
          <t>AW0 Laod 0, AW1 Load 50 ,AW2 Load 300, AW3 Load 380</t>
        </is>
      </c>
      <c r="C3" s="822" t="inlineStr">
        <is>
          <t>Summer</t>
        </is>
      </c>
      <c r="D3" s="822" t="inlineStr">
        <is>
          <t>Morning</t>
        </is>
      </c>
      <c r="E3" s="822" t="n">
        <v>25</v>
      </c>
      <c r="F3" s="822" t="n">
        <v>36</v>
      </c>
      <c r="G3" s="822" t="n">
        <v>18</v>
      </c>
      <c r="H3" s="822" t="n">
        <v>34</v>
      </c>
      <c r="I3" s="266" t="n">
        <v>0.4</v>
      </c>
      <c r="J3" s="266" t="n">
        <v>0.6</v>
      </c>
      <c r="K3" s="822" t="inlineStr">
        <is>
          <t>RAT &gt; Set Point</t>
        </is>
      </c>
    </row>
    <row r="4" ht="24.75" customHeight="1">
      <c r="A4" s="872" t="n"/>
      <c r="B4" s="872" t="n"/>
      <c r="C4" s="872" t="n"/>
      <c r="D4" s="822" t="inlineStr">
        <is>
          <t>Afternoon</t>
        </is>
      </c>
      <c r="E4" s="822" t="n">
        <v>36</v>
      </c>
      <c r="F4" s="822" t="n">
        <v>42.5</v>
      </c>
      <c r="G4" s="822" t="n">
        <v>18</v>
      </c>
      <c r="H4" s="822" t="n">
        <v>34</v>
      </c>
      <c r="I4" s="266" t="n">
        <v>0.4</v>
      </c>
      <c r="J4" s="266" t="n">
        <v>0.6</v>
      </c>
      <c r="K4" s="822" t="inlineStr">
        <is>
          <t>RAT &gt; Set Point</t>
        </is>
      </c>
    </row>
    <row r="5" ht="20.25" customHeight="1">
      <c r="A5" s="872" t="n"/>
      <c r="B5" s="872" t="n"/>
      <c r="C5" s="873" t="n"/>
      <c r="D5" s="822" t="inlineStr">
        <is>
          <t>Night</t>
        </is>
      </c>
      <c r="E5" s="822" t="n">
        <v>25</v>
      </c>
      <c r="F5" s="822" t="n">
        <v>32</v>
      </c>
      <c r="G5" s="822" t="n">
        <v>18</v>
      </c>
      <c r="H5" s="822" t="n">
        <v>34</v>
      </c>
      <c r="I5" s="266" t="n">
        <v>0.4</v>
      </c>
      <c r="J5" s="266" t="n">
        <v>0.6</v>
      </c>
      <c r="K5" s="822" t="inlineStr">
        <is>
          <t>RAT &gt; Set Point</t>
        </is>
      </c>
    </row>
    <row r="6" ht="17.25" customHeight="1">
      <c r="A6" s="872" t="n"/>
      <c r="B6" s="872" t="n"/>
      <c r="C6" s="822" t="inlineStr">
        <is>
          <t>Rainy</t>
        </is>
      </c>
      <c r="D6" s="822" t="inlineStr">
        <is>
          <t>Morning</t>
        </is>
      </c>
      <c r="E6" s="822" t="n">
        <v>25</v>
      </c>
      <c r="F6" s="822" t="n">
        <v>30</v>
      </c>
      <c r="G6" s="822" t="n">
        <v>18</v>
      </c>
      <c r="H6" s="822" t="n">
        <v>34</v>
      </c>
      <c r="I6" s="266" t="n">
        <v>0.5</v>
      </c>
      <c r="J6" s="266" t="n">
        <v>0.75</v>
      </c>
      <c r="K6" s="822" t="inlineStr">
        <is>
          <t>RAT &gt; Set Point</t>
        </is>
      </c>
    </row>
    <row r="7" ht="21.75" customHeight="1">
      <c r="A7" s="872" t="n"/>
      <c r="B7" s="872" t="n"/>
      <c r="C7" s="872" t="n"/>
      <c r="D7" s="822" t="inlineStr">
        <is>
          <t>Afternoon</t>
        </is>
      </c>
      <c r="E7" s="822" t="n">
        <v>30</v>
      </c>
      <c r="F7" s="822" t="n">
        <v>33</v>
      </c>
      <c r="G7" s="822" t="n">
        <v>18</v>
      </c>
      <c r="H7" s="822" t="n">
        <v>34</v>
      </c>
      <c r="I7" s="266" t="n">
        <v>0.5</v>
      </c>
      <c r="J7" s="266" t="n">
        <v>0.75</v>
      </c>
      <c r="K7" s="822" t="inlineStr">
        <is>
          <t>RAT &gt; Set Point</t>
        </is>
      </c>
    </row>
    <row r="8" ht="20.25" customHeight="1">
      <c r="A8" s="872" t="n"/>
      <c r="B8" s="872" t="n"/>
      <c r="C8" s="873" t="n"/>
      <c r="D8" s="822" t="inlineStr">
        <is>
          <t>Night</t>
        </is>
      </c>
      <c r="E8" s="822" t="n">
        <v>25</v>
      </c>
      <c r="F8" s="822" t="n">
        <v>28</v>
      </c>
      <c r="G8" s="822" t="n">
        <v>18</v>
      </c>
      <c r="H8" s="822" t="n">
        <v>34</v>
      </c>
      <c r="I8" s="266" t="n">
        <v>0.5</v>
      </c>
      <c r="J8" s="266" t="n">
        <v>0.75</v>
      </c>
      <c r="K8" s="822" t="inlineStr">
        <is>
          <t>RAT &gt; Set Point</t>
        </is>
      </c>
    </row>
    <row r="9" ht="23.25" customHeight="1">
      <c r="A9" s="872" t="n"/>
      <c r="B9" s="872" t="n"/>
      <c r="C9" s="822" t="inlineStr">
        <is>
          <t>Winter</t>
        </is>
      </c>
      <c r="D9" s="822" t="inlineStr">
        <is>
          <t>Morning</t>
        </is>
      </c>
      <c r="E9" s="822" t="n">
        <v>4</v>
      </c>
      <c r="F9" s="822" t="n">
        <v>18</v>
      </c>
      <c r="G9" s="822" t="n">
        <v>18</v>
      </c>
      <c r="H9" s="822" t="n">
        <v>34</v>
      </c>
      <c r="I9" s="266" t="n">
        <v>0.3</v>
      </c>
      <c r="J9" s="266" t="n">
        <v>0.6</v>
      </c>
      <c r="K9" s="822" t="inlineStr">
        <is>
          <t>RAT &gt; Set Point</t>
        </is>
      </c>
    </row>
    <row r="10" ht="18.75" customHeight="1">
      <c r="A10" s="872" t="n"/>
      <c r="B10" s="872" t="n"/>
      <c r="C10" s="872" t="n"/>
      <c r="D10" s="822" t="inlineStr">
        <is>
          <t>Afternoon</t>
        </is>
      </c>
      <c r="E10" s="822" t="n">
        <v>18</v>
      </c>
      <c r="F10" s="822" t="n">
        <v>28</v>
      </c>
      <c r="G10" s="822" t="n">
        <v>18</v>
      </c>
      <c r="H10" s="822" t="n">
        <v>34</v>
      </c>
      <c r="I10" s="266" t="n">
        <v>0.3</v>
      </c>
      <c r="J10" s="266" t="n">
        <v>0.6</v>
      </c>
      <c r="K10" s="822" t="inlineStr">
        <is>
          <t>RAT &gt; Set Point</t>
        </is>
      </c>
    </row>
    <row r="11">
      <c r="A11" s="873" t="n"/>
      <c r="B11" s="873" t="n"/>
      <c r="C11" s="873" t="n"/>
      <c r="D11" s="822" t="inlineStr">
        <is>
          <t>Night</t>
        </is>
      </c>
      <c r="E11" s="822" t="n">
        <v>4</v>
      </c>
      <c r="F11" s="822" t="n">
        <v>15</v>
      </c>
      <c r="G11" s="822" t="n">
        <v>18</v>
      </c>
      <c r="H11" s="822" t="n">
        <v>34</v>
      </c>
      <c r="I11" s="266" t="n">
        <v>0.3</v>
      </c>
      <c r="J11" s="266" t="n">
        <v>0.6</v>
      </c>
      <c r="K11" s="822" t="inlineStr">
        <is>
          <t>RAT &gt; Set Point</t>
        </is>
      </c>
    </row>
    <row r="12" ht="20.25" customHeight="1">
      <c r="A12" s="822" t="inlineStr">
        <is>
          <t>COOL 2</t>
        </is>
      </c>
      <c r="B12" s="822" t="inlineStr">
        <is>
          <t>AW0 Laod 0, AW1 Load 50 ,AW2 Load 300, AW3 Load 380</t>
        </is>
      </c>
      <c r="C12" s="822" t="inlineStr">
        <is>
          <t>Summer</t>
        </is>
      </c>
      <c r="D12" s="822" t="inlineStr">
        <is>
          <t>Morning</t>
        </is>
      </c>
      <c r="E12" s="822" t="n">
        <v>25</v>
      </c>
      <c r="F12" s="822" t="n">
        <v>36</v>
      </c>
      <c r="G12" s="822" t="n">
        <v>18</v>
      </c>
      <c r="H12" s="822" t="n">
        <v>34</v>
      </c>
      <c r="I12" s="266" t="n">
        <v>0.4</v>
      </c>
      <c r="J12" s="266" t="n">
        <v>0.6</v>
      </c>
      <c r="K12" s="822" t="inlineStr">
        <is>
          <t xml:space="preserve">RAT &gt; SP </t>
        </is>
      </c>
    </row>
    <row r="13" ht="21.75" customHeight="1">
      <c r="A13" s="872" t="n"/>
      <c r="B13" s="872" t="n"/>
      <c r="C13" s="872" t="n"/>
      <c r="D13" s="822" t="inlineStr">
        <is>
          <t>Afternoon</t>
        </is>
      </c>
      <c r="E13" s="822" t="n">
        <v>36</v>
      </c>
      <c r="F13" s="822" t="n">
        <v>50</v>
      </c>
      <c r="G13" s="822" t="n">
        <v>18</v>
      </c>
      <c r="H13" s="822" t="n">
        <v>34</v>
      </c>
      <c r="I13" s="266" t="n">
        <v>0.4</v>
      </c>
      <c r="J13" s="266" t="n">
        <v>0.6</v>
      </c>
      <c r="K13" s="822" t="inlineStr">
        <is>
          <t xml:space="preserve">RAT &gt; SP </t>
        </is>
      </c>
    </row>
    <row r="14" ht="18.75" customHeight="1">
      <c r="A14" s="872" t="n"/>
      <c r="B14" s="872" t="n"/>
      <c r="C14" s="873" t="n"/>
      <c r="D14" s="822" t="inlineStr">
        <is>
          <t>Night</t>
        </is>
      </c>
      <c r="E14" s="822" t="n">
        <v>25</v>
      </c>
      <c r="F14" s="822" t="n">
        <v>32</v>
      </c>
      <c r="G14" s="822" t="n">
        <v>18</v>
      </c>
      <c r="H14" s="822" t="n">
        <v>34</v>
      </c>
      <c r="I14" s="266" t="n">
        <v>0.4</v>
      </c>
      <c r="J14" s="266" t="n">
        <v>0.6</v>
      </c>
      <c r="K14" s="822" t="inlineStr">
        <is>
          <t xml:space="preserve">RAT &gt; SP </t>
        </is>
      </c>
    </row>
    <row r="15" ht="21" customHeight="1">
      <c r="A15" s="872" t="n"/>
      <c r="B15" s="872" t="n"/>
      <c r="C15" s="822" t="inlineStr">
        <is>
          <t>Rainy</t>
        </is>
      </c>
      <c r="D15" s="822" t="inlineStr">
        <is>
          <t>Morning</t>
        </is>
      </c>
      <c r="E15" s="822" t="n">
        <v>25</v>
      </c>
      <c r="F15" s="822" t="n">
        <v>30</v>
      </c>
      <c r="G15" s="822" t="n">
        <v>18</v>
      </c>
      <c r="H15" s="822" t="n">
        <v>34</v>
      </c>
      <c r="I15" s="266" t="n">
        <v>0.5</v>
      </c>
      <c r="J15" s="266" t="n">
        <v>0.75</v>
      </c>
      <c r="K15" s="822" t="inlineStr">
        <is>
          <t xml:space="preserve">RAT &gt; SP </t>
        </is>
      </c>
    </row>
    <row r="16" ht="24" customHeight="1">
      <c r="A16" s="872" t="n"/>
      <c r="B16" s="872" t="n"/>
      <c r="C16" s="872" t="n"/>
      <c r="D16" s="822" t="inlineStr">
        <is>
          <t>Afternoon</t>
        </is>
      </c>
      <c r="E16" s="822" t="n">
        <v>30</v>
      </c>
      <c r="F16" s="822" t="n">
        <v>33</v>
      </c>
      <c r="G16" s="822" t="n">
        <v>18</v>
      </c>
      <c r="H16" s="822" t="n">
        <v>34</v>
      </c>
      <c r="I16" s="266" t="n">
        <v>0.5</v>
      </c>
      <c r="J16" s="266" t="n">
        <v>0.75</v>
      </c>
      <c r="K16" s="822" t="inlineStr">
        <is>
          <t xml:space="preserve">RAT &gt; SP </t>
        </is>
      </c>
    </row>
    <row r="17" ht="24.75" customHeight="1">
      <c r="A17" s="872" t="n"/>
      <c r="B17" s="872" t="n"/>
      <c r="C17" s="873" t="n"/>
      <c r="D17" s="822" t="inlineStr">
        <is>
          <t>Night</t>
        </is>
      </c>
      <c r="E17" s="822" t="n">
        <v>25</v>
      </c>
      <c r="F17" s="822" t="n">
        <v>28</v>
      </c>
      <c r="G17" s="822" t="n">
        <v>18</v>
      </c>
      <c r="H17" s="822" t="n">
        <v>34</v>
      </c>
      <c r="I17" s="266" t="n">
        <v>0.5</v>
      </c>
      <c r="J17" s="266" t="n">
        <v>0.75</v>
      </c>
      <c r="K17" s="822" t="inlineStr">
        <is>
          <t xml:space="preserve">RAT &gt; SP </t>
        </is>
      </c>
    </row>
    <row r="18" ht="24" customHeight="1">
      <c r="A18" s="872" t="n"/>
      <c r="B18" s="872" t="n"/>
      <c r="C18" s="822" t="inlineStr">
        <is>
          <t>Winter</t>
        </is>
      </c>
      <c r="D18" s="822" t="inlineStr">
        <is>
          <t>Morning</t>
        </is>
      </c>
      <c r="E18" s="822" t="n">
        <v>4</v>
      </c>
      <c r="F18" s="822" t="n">
        <v>18</v>
      </c>
      <c r="G18" s="822" t="n">
        <v>18</v>
      </c>
      <c r="H18" s="822" t="n">
        <v>34</v>
      </c>
      <c r="I18" s="266" t="n">
        <v>0.3</v>
      </c>
      <c r="J18" s="266" t="n">
        <v>0.6</v>
      </c>
      <c r="K18" s="822" t="inlineStr">
        <is>
          <t xml:space="preserve">RAT &gt; SP </t>
        </is>
      </c>
    </row>
    <row r="19" ht="25.5" customHeight="1">
      <c r="A19" s="872" t="n"/>
      <c r="B19" s="872" t="n"/>
      <c r="C19" s="872" t="n"/>
      <c r="D19" s="822" t="inlineStr">
        <is>
          <t>Afternoon</t>
        </is>
      </c>
      <c r="E19" s="822" t="n">
        <v>18</v>
      </c>
      <c r="F19" s="822" t="n">
        <v>28</v>
      </c>
      <c r="G19" s="822" t="n">
        <v>18</v>
      </c>
      <c r="H19" s="822" t="n">
        <v>34</v>
      </c>
      <c r="I19" s="266" t="n">
        <v>0.3</v>
      </c>
      <c r="J19" s="266" t="n">
        <v>0.6</v>
      </c>
      <c r="K19" s="822" t="inlineStr">
        <is>
          <t xml:space="preserve">RAT &gt; SP </t>
        </is>
      </c>
    </row>
    <row r="20">
      <c r="A20" s="873" t="n"/>
      <c r="B20" s="873" t="n"/>
      <c r="C20" s="873" t="n"/>
      <c r="D20" s="822" t="inlineStr">
        <is>
          <t>Night</t>
        </is>
      </c>
      <c r="E20" s="822" t="n">
        <v>4</v>
      </c>
      <c r="F20" s="822" t="n">
        <v>15</v>
      </c>
      <c r="G20" s="822" t="n">
        <v>18</v>
      </c>
      <c r="H20" s="822" t="n">
        <v>34</v>
      </c>
      <c r="I20" s="266" t="n">
        <v>0.3</v>
      </c>
      <c r="J20" s="266" t="n">
        <v>0.6</v>
      </c>
      <c r="K20" s="822" t="inlineStr">
        <is>
          <t xml:space="preserve">RAT &gt; SP </t>
        </is>
      </c>
    </row>
    <row r="21" ht="63" customHeight="1">
      <c r="A21" s="822" t="inlineStr">
        <is>
          <t>Dehumidification</t>
        </is>
      </c>
      <c r="B21" s="822" t="inlineStr">
        <is>
          <t>AW0 Laod 0, AW1 Load 50 ,AW2 Load 300, AW3 Load 380</t>
        </is>
      </c>
      <c r="C21" s="822" t="inlineStr">
        <is>
          <t>Summer, Rainy</t>
        </is>
      </c>
      <c r="D21" s="822" t="inlineStr">
        <is>
          <t>Morning, Afternoon, Night</t>
        </is>
      </c>
      <c r="E21" s="822" t="n">
        <v>25</v>
      </c>
      <c r="F21" s="822" t="n">
        <v>33</v>
      </c>
      <c r="G21" s="822" t="n">
        <v>18</v>
      </c>
      <c r="H21" s="822" t="n">
        <v>34</v>
      </c>
      <c r="I21" s="266" t="n">
        <v>0.6</v>
      </c>
      <c r="J21" s="266" t="n">
        <v>0.85</v>
      </c>
      <c r="K21" s="822" t="inlineStr">
        <is>
          <t>RAT ≈ SP</t>
        </is>
      </c>
    </row>
    <row r="22" ht="31" customHeight="1">
      <c r="A22" s="822" t="inlineStr">
        <is>
          <t>Pre-Cooling</t>
        </is>
      </c>
      <c r="B22" s="822" t="inlineStr">
        <is>
          <t>AW0 Laod 0, AW1 Load 50 ,AW2 Load 300, AW3 Load 380</t>
        </is>
      </c>
      <c r="C22" s="822" t="inlineStr">
        <is>
          <t>Summer</t>
        </is>
      </c>
      <c r="D22" s="822" t="inlineStr">
        <is>
          <t>Morning</t>
        </is>
      </c>
      <c r="E22" s="822" t="n">
        <v>30</v>
      </c>
      <c r="F22" s="822" t="n">
        <v>42.5</v>
      </c>
      <c r="G22" s="822" t="n">
        <v>18</v>
      </c>
      <c r="H22" s="822" t="n">
        <v>34</v>
      </c>
      <c r="I22" s="266" t="n">
        <v>0.4</v>
      </c>
      <c r="J22" s="266" t="n">
        <v>0.6</v>
      </c>
      <c r="K22" s="822" t="inlineStr">
        <is>
          <t>Initial = Ambient, Final = Set Point</t>
        </is>
      </c>
    </row>
    <row r="23" ht="31" customHeight="1">
      <c r="A23" s="872" t="n"/>
      <c r="B23" s="872" t="n"/>
      <c r="C23" s="872" t="n"/>
      <c r="D23" s="822" t="inlineStr">
        <is>
          <t>Afternoon</t>
        </is>
      </c>
      <c r="E23" s="822" t="n">
        <v>36</v>
      </c>
      <c r="F23" s="822" t="n">
        <v>50</v>
      </c>
      <c r="G23" s="822" t="n">
        <v>18</v>
      </c>
      <c r="H23" s="822" t="n">
        <v>34</v>
      </c>
      <c r="I23" s="266" t="n">
        <v>0.4</v>
      </c>
      <c r="J23" s="266" t="n">
        <v>0.6</v>
      </c>
      <c r="K23" s="822" t="inlineStr">
        <is>
          <t>Initial = Ambient, Final = Set Point</t>
        </is>
      </c>
    </row>
    <row r="24" ht="31" customHeight="1">
      <c r="A24" s="873" t="n"/>
      <c r="B24" s="873" t="n"/>
      <c r="C24" s="873" t="n"/>
      <c r="D24" s="822" t="inlineStr">
        <is>
          <t>Night</t>
        </is>
      </c>
      <c r="E24" s="822" t="n">
        <v>30</v>
      </c>
      <c r="F24" s="822" t="n">
        <v>36</v>
      </c>
      <c r="G24" s="822" t="n">
        <v>18</v>
      </c>
      <c r="H24" s="822" t="n">
        <v>34</v>
      </c>
      <c r="I24" s="266" t="n">
        <v>0.4</v>
      </c>
      <c r="J24" s="266" t="n">
        <v>0.6</v>
      </c>
      <c r="K24" s="822" t="inlineStr">
        <is>
          <t>Initial = Ambient, Final = Set Point</t>
        </is>
      </c>
    </row>
    <row r="25" ht="54.75" customHeight="1">
      <c r="A25" s="822" t="inlineStr">
        <is>
          <t>Pre-Heating</t>
        </is>
      </c>
      <c r="B25" s="822" t="inlineStr">
        <is>
          <t>AW0 Laod 0, AW1 Load 50 ,AW2 Load 300, AW3 Load 380</t>
        </is>
      </c>
      <c r="C25" s="822" t="inlineStr">
        <is>
          <t>Winter</t>
        </is>
      </c>
      <c r="D25" s="822" t="inlineStr">
        <is>
          <t>Morning</t>
        </is>
      </c>
      <c r="E25" s="822" t="n">
        <v>4</v>
      </c>
      <c r="F25" s="822" t="n">
        <v>15</v>
      </c>
      <c r="G25" s="822" t="n">
        <v>18</v>
      </c>
      <c r="H25" s="822" t="n">
        <v>34</v>
      </c>
      <c r="I25" s="266" t="n">
        <v>0.3</v>
      </c>
      <c r="J25" s="266" t="n">
        <v>0.6</v>
      </c>
      <c r="K25" s="822" t="inlineStr">
        <is>
          <t>Initial = Ambient Temp, Final = Set Point</t>
        </is>
      </c>
    </row>
    <row r="26" ht="65.25" customHeight="1">
      <c r="A26" s="872" t="n"/>
      <c r="B26" s="872" t="n"/>
      <c r="C26" s="872" t="n"/>
      <c r="D26" s="822" t="inlineStr">
        <is>
          <t>Afternoon</t>
        </is>
      </c>
      <c r="E26" s="822" t="n">
        <v>15</v>
      </c>
      <c r="F26" s="822" t="n">
        <v>20</v>
      </c>
      <c r="G26" s="822" t="n">
        <v>18</v>
      </c>
      <c r="H26" s="822" t="n">
        <v>34</v>
      </c>
      <c r="I26" s="266" t="n">
        <v>0.3</v>
      </c>
      <c r="J26" s="266" t="n">
        <v>0.6</v>
      </c>
      <c r="K26" s="822" t="inlineStr">
        <is>
          <t>Initial = Ambient Temp, Final = Set Point</t>
        </is>
      </c>
    </row>
    <row r="27" ht="57.75" customHeight="1">
      <c r="A27" s="873" t="n"/>
      <c r="B27" s="873" t="n"/>
      <c r="C27" s="873" t="n"/>
      <c r="D27" s="822" t="inlineStr">
        <is>
          <t>Night</t>
        </is>
      </c>
      <c r="E27" s="822" t="n">
        <v>4</v>
      </c>
      <c r="F27" s="822" t="n">
        <v>15</v>
      </c>
      <c r="G27" s="822" t="n">
        <v>18</v>
      </c>
      <c r="H27" s="822" t="n">
        <v>34</v>
      </c>
      <c r="I27" s="266" t="n">
        <v>0.3</v>
      </c>
      <c r="J27" s="266" t="n">
        <v>0.6</v>
      </c>
      <c r="K27" s="822" t="inlineStr">
        <is>
          <t>Initial = Ambient Temp, Final = Set Point</t>
        </is>
      </c>
    </row>
    <row r="28">
      <c r="A28" s="822" t="inlineStr">
        <is>
          <t>Emergency Ventilation</t>
        </is>
      </c>
      <c r="B28" s="822" t="inlineStr">
        <is>
          <t>AW0 Laod 0, AW1 Load 50 ,AW2 Load 300, AW3 Load 380</t>
        </is>
      </c>
      <c r="C28" s="822" t="inlineStr">
        <is>
          <t>Summer, Rainy, Winter</t>
        </is>
      </c>
      <c r="D28" s="822" t="inlineStr">
        <is>
          <t>Any</t>
        </is>
      </c>
      <c r="E28" s="822" t="inlineStr">
        <is>
          <t>Any</t>
        </is>
      </c>
      <c r="F28" s="822" t="inlineStr">
        <is>
          <t>Any</t>
        </is>
      </c>
      <c r="G28" s="822" t="inlineStr">
        <is>
          <t>—</t>
        </is>
      </c>
      <c r="H28" s="822" t="inlineStr">
        <is>
          <t>—</t>
        </is>
      </c>
      <c r="I28" s="822" t="inlineStr">
        <is>
          <t>—</t>
        </is>
      </c>
      <c r="J28" s="822" t="inlineStr">
        <is>
          <t>—</t>
        </is>
      </c>
      <c r="K28" s="822" t="inlineStr">
        <is>
          <t>Temperature independent</t>
        </is>
      </c>
    </row>
    <row r="29">
      <c r="A29" s="822" t="inlineStr">
        <is>
          <t>Ambient Smoke Mode</t>
        </is>
      </c>
      <c r="B29" s="822" t="inlineStr">
        <is>
          <t>AW0 Laod 0, AW1 Load 50 ,AW2 Load 300, AW3 Load 380</t>
        </is>
      </c>
      <c r="C29" s="822" t="inlineStr">
        <is>
          <t>Any</t>
        </is>
      </c>
      <c r="D29" s="822" t="inlineStr">
        <is>
          <t>Any</t>
        </is>
      </c>
      <c r="E29" s="822" t="inlineStr">
        <is>
          <t>Any</t>
        </is>
      </c>
      <c r="F29" s="822" t="inlineStr">
        <is>
          <t>Any</t>
        </is>
      </c>
      <c r="G29" s="822" t="inlineStr">
        <is>
          <t>—</t>
        </is>
      </c>
      <c r="H29" s="822" t="inlineStr">
        <is>
          <t>—</t>
        </is>
      </c>
      <c r="I29" s="822" t="inlineStr">
        <is>
          <t>—</t>
        </is>
      </c>
      <c r="J29" s="822" t="inlineStr">
        <is>
          <t>—</t>
        </is>
      </c>
      <c r="K29" s="822" t="inlineStr">
        <is>
          <t>Temperature independent</t>
        </is>
      </c>
    </row>
    <row r="30">
      <c r="A30" s="822" t="inlineStr">
        <is>
          <t>Internal Smoke Mode</t>
        </is>
      </c>
      <c r="B30" s="822" t="inlineStr">
        <is>
          <t>AW0 Laod 0, AW1 Load 50 ,AW2 Load 300, AW3 Load 380</t>
        </is>
      </c>
      <c r="C30" s="822" t="inlineStr">
        <is>
          <t>Any</t>
        </is>
      </c>
      <c r="D30" s="822" t="inlineStr">
        <is>
          <t>Any</t>
        </is>
      </c>
      <c r="E30" s="822" t="inlineStr">
        <is>
          <t>Any</t>
        </is>
      </c>
      <c r="F30" s="822" t="inlineStr">
        <is>
          <t>Any</t>
        </is>
      </c>
      <c r="G30" s="822" t="inlineStr">
        <is>
          <t>—</t>
        </is>
      </c>
      <c r="H30" s="822" t="inlineStr">
        <is>
          <t>—</t>
        </is>
      </c>
      <c r="I30" s="822" t="inlineStr">
        <is>
          <t>—</t>
        </is>
      </c>
      <c r="J30" s="822" t="inlineStr">
        <is>
          <t>—</t>
        </is>
      </c>
      <c r="K30" s="822" t="inlineStr">
        <is>
          <t>Temperature independent</t>
        </is>
      </c>
    </row>
    <row r="35">
      <c r="A35" s="267" t="n"/>
      <c r="B35" s="267" t="n"/>
      <c r="C35" s="267" t="n"/>
      <c r="D35" s="267" t="n"/>
      <c r="E35" s="267" t="n"/>
      <c r="F35" s="267" t="n"/>
      <c r="G35" s="267" t="n"/>
      <c r="H35" s="267" t="n"/>
      <c r="I35" s="267" t="n"/>
      <c r="J35" s="267" t="n"/>
      <c r="K35" s="267" t="n"/>
    </row>
  </sheetData>
  <mergeCells count="16">
    <mergeCell ref="C15:C17"/>
    <mergeCell ref="C12:C14"/>
    <mergeCell ref="C25:C27"/>
    <mergeCell ref="A25:A27"/>
    <mergeCell ref="B12:B20"/>
    <mergeCell ref="A12:A20"/>
    <mergeCell ref="A3:A11"/>
    <mergeCell ref="B3:B11"/>
    <mergeCell ref="C3:C5"/>
    <mergeCell ref="B25:B27"/>
    <mergeCell ref="C6:C8"/>
    <mergeCell ref="C22:C24"/>
    <mergeCell ref="A22:A24"/>
    <mergeCell ref="C9:C11"/>
    <mergeCell ref="B22:B24"/>
    <mergeCell ref="C18:C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678"/>
  <sheetViews>
    <sheetView topLeftCell="A5" zoomScale="85" zoomScaleNormal="85" workbookViewId="0">
      <selection activeCell="F8" sqref="F8"/>
    </sheetView>
  </sheetViews>
  <sheetFormatPr baseColWidth="8" defaultColWidth="9" defaultRowHeight="14.5"/>
  <cols>
    <col width="9" customWidth="1" style="311" min="1" max="1"/>
    <col width="45.26953125" customWidth="1" style="8" min="2" max="2"/>
    <col width="14.81640625" customWidth="1" style="8" min="3" max="3"/>
    <col width="27.453125" customWidth="1" style="8" min="4" max="4"/>
    <col width="15.453125" customWidth="1" style="8" min="5" max="5"/>
    <col width="15.26953125" customWidth="1" style="311" min="6" max="6"/>
    <col width="17.1796875" customWidth="1" style="311" min="7" max="7"/>
    <col width="12.453125" customWidth="1" style="311" min="8" max="8"/>
    <col width="12.81640625" customWidth="1" style="311" min="9" max="9"/>
    <col width="13.7265625" customWidth="1" style="311" min="10" max="10"/>
    <col width="11.81640625" customWidth="1" style="311" min="11" max="11"/>
    <col width="13" customWidth="1" style="311" min="12" max="12"/>
    <col width="11.81640625" customWidth="1" style="311" min="13" max="13"/>
    <col width="12.81640625" customWidth="1" style="311" min="14" max="14"/>
    <col width="12" customWidth="1" style="311" min="15" max="15"/>
    <col width="12.26953125" customWidth="1" style="311" min="16" max="16"/>
    <col width="12.7265625" customWidth="1" style="311" min="17" max="17"/>
    <col width="9" customWidth="1" style="311" min="18" max="18"/>
    <col width="9" customWidth="1" style="8" min="19" max="19"/>
    <col width="14.453125" customWidth="1" style="8" min="20" max="20"/>
    <col width="16.81640625" customWidth="1" style="8" min="21" max="21"/>
    <col width="16.453125" customWidth="1" style="8" min="22" max="22"/>
    <col width="9" customWidth="1" style="8" min="23" max="30"/>
    <col width="9.1796875" customWidth="1" style="8" min="31" max="31"/>
    <col width="32.26953125" customWidth="1" style="8" min="32" max="32"/>
    <col width="9" customWidth="1" style="8" min="33" max="37"/>
    <col width="9.81640625" customWidth="1" style="8" min="38" max="38"/>
    <col width="9" customWidth="1" style="8" min="39" max="39"/>
    <col width="13.26953125" customWidth="1" style="8" min="40" max="40"/>
    <col width="9" customWidth="1" style="8" min="41" max="47"/>
    <col width="16.453125" customWidth="1" style="8" min="48" max="48"/>
    <col width="12.453125" customWidth="1" style="8" min="49" max="49"/>
    <col width="16.7265625" customWidth="1" style="8" min="50" max="50"/>
    <col width="29.81640625" customWidth="1" style="8" min="51" max="51"/>
    <col width="13.81640625" customWidth="1" style="8" min="52" max="52"/>
    <col width="9" customWidth="1" style="8" min="53" max="55"/>
    <col width="16.7265625" customWidth="1" style="8" min="56" max="56"/>
    <col width="13.81640625" customWidth="1" style="8" min="57" max="57"/>
    <col width="12.7265625" customWidth="1" style="8" min="58" max="58"/>
    <col width="9" customWidth="1" style="8" min="59" max="63"/>
    <col width="20.7265625" customWidth="1" style="8" min="64" max="74"/>
    <col width="9" customWidth="1" style="8" min="75" max="16384"/>
  </cols>
  <sheetData>
    <row r="1" ht="29.5" customHeight="1" thickBot="1">
      <c r="A1" s="73" t="inlineStr">
        <is>
          <t>Sr. No</t>
        </is>
      </c>
      <c r="B1" s="74" t="inlineStr">
        <is>
          <t>Component ID</t>
        </is>
      </c>
      <c r="C1" s="74" t="inlineStr">
        <is>
          <t>Component Name</t>
        </is>
      </c>
      <c r="D1" s="74" t="inlineStr">
        <is>
          <t>Description</t>
        </is>
      </c>
      <c r="E1" s="74" t="inlineStr">
        <is>
          <t>Comment</t>
        </is>
      </c>
      <c r="F1" s="87" t="inlineStr">
        <is>
          <t>Labview input</t>
        </is>
      </c>
      <c r="G1" s="825" t="inlineStr">
        <is>
          <t>Logical Condition</t>
        </is>
      </c>
      <c r="H1" s="881" t="n"/>
      <c r="I1" s="881" t="n"/>
      <c r="J1" s="881" t="n"/>
      <c r="K1" s="881" t="n"/>
      <c r="L1" s="881" t="n"/>
      <c r="M1" s="881" t="n"/>
      <c r="N1" s="881" t="n"/>
      <c r="O1" s="881" t="n"/>
      <c r="P1" s="881" t="n"/>
      <c r="Q1" s="882" t="n"/>
      <c r="R1" s="826" t="inlineStr">
        <is>
          <t>Status</t>
        </is>
      </c>
      <c r="AE1" s="789" t="inlineStr">
        <is>
          <t>COOLING STATUS ATTRIBUTES SUMMARY</t>
        </is>
      </c>
      <c r="AF1" s="899" t="n"/>
      <c r="AG1" s="899" t="n"/>
      <c r="AH1" s="899" t="n"/>
      <c r="AI1" s="899" t="n"/>
      <c r="AJ1" s="899" t="n"/>
      <c r="AK1" s="899" t="n"/>
      <c r="AL1" s="899" t="n"/>
      <c r="AM1" s="899" t="n"/>
      <c r="AN1" s="899" t="n"/>
      <c r="AO1" s="899" t="n"/>
      <c r="AP1" s="899" t="n"/>
      <c r="AQ1" s="899" t="n"/>
      <c r="AR1" s="899" t="n"/>
      <c r="AS1" s="899" t="n"/>
      <c r="AT1" s="899" t="n"/>
      <c r="AU1" s="899" t="n"/>
      <c r="AV1" s="899" t="n"/>
      <c r="AW1" s="899" t="n"/>
      <c r="AX1" s="900" t="n"/>
      <c r="AY1" s="733" t="n"/>
      <c r="AZ1" s="733" t="n"/>
      <c r="BA1" s="733" t="n"/>
      <c r="BB1" s="733" t="n"/>
      <c r="BC1" s="733" t="n"/>
      <c r="BD1" s="733" t="n"/>
      <c r="BE1" s="733" t="n"/>
      <c r="BF1" s="733" t="n"/>
      <c r="BG1" s="733" t="n"/>
      <c r="BH1" s="733" t="n"/>
      <c r="BI1" s="733" t="n"/>
      <c r="BL1" s="8" t="inlineStr">
        <is>
          <t>LFD INPUTS TO EXCEL</t>
        </is>
      </c>
    </row>
    <row r="2" ht="29.5" customHeight="1" thickBot="1">
      <c r="A2" s="75" t="n"/>
      <c r="B2" s="76" t="n"/>
      <c r="C2" s="76" t="n"/>
      <c r="D2" s="76" t="n"/>
      <c r="E2" s="76" t="n"/>
      <c r="F2" s="88" t="n"/>
      <c r="G2" s="77" t="inlineStr">
        <is>
          <t>Dependency 1  LabView Input</t>
        </is>
      </c>
      <c r="H2" s="77" t="inlineStr">
        <is>
          <t xml:space="preserve">Dependency 2  </t>
        </is>
      </c>
      <c r="I2" s="77" t="inlineStr">
        <is>
          <t>Dependency 3</t>
        </is>
      </c>
      <c r="J2" s="77" t="inlineStr">
        <is>
          <t>Dependency 4</t>
        </is>
      </c>
      <c r="K2" s="77" t="inlineStr">
        <is>
          <t>Dependency 5</t>
        </is>
      </c>
      <c r="L2" s="77" t="inlineStr">
        <is>
          <t>Dependency 6</t>
        </is>
      </c>
      <c r="M2" s="77" t="inlineStr">
        <is>
          <t>Dependency 7</t>
        </is>
      </c>
      <c r="N2" s="77" t="inlineStr">
        <is>
          <t>Dependency 8</t>
        </is>
      </c>
      <c r="O2" s="77" t="inlineStr">
        <is>
          <t>Dependency 9</t>
        </is>
      </c>
      <c r="P2" s="77" t="inlineStr">
        <is>
          <t>Dependency 10</t>
        </is>
      </c>
      <c r="Q2" s="77" t="inlineStr">
        <is>
          <t>Dependency 11</t>
        </is>
      </c>
      <c r="R2" s="901" t="n"/>
      <c r="AE2" s="902" t="n"/>
      <c r="AF2" s="903" t="n"/>
      <c r="AG2" s="903" t="n"/>
      <c r="AH2" s="903" t="n"/>
      <c r="AI2" s="903" t="n"/>
      <c r="AJ2" s="903" t="n"/>
      <c r="AK2" s="903" t="n"/>
      <c r="AL2" s="903" t="n"/>
      <c r="AM2" s="903" t="n"/>
      <c r="AN2" s="903" t="n"/>
      <c r="AO2" s="903" t="n"/>
      <c r="AP2" s="903" t="n"/>
      <c r="AQ2" s="903" t="n"/>
      <c r="AR2" s="903" t="n"/>
      <c r="AS2" s="903" t="n"/>
      <c r="AT2" s="903" t="n"/>
      <c r="AU2" s="903" t="n"/>
      <c r="AV2" s="903" t="n"/>
      <c r="AW2" s="903" t="n"/>
      <c r="AX2" s="901" t="n"/>
      <c r="AY2" s="733" t="n"/>
      <c r="AZ2" s="733" t="n"/>
      <c r="BA2" s="733" t="n"/>
      <c r="BB2" s="733" t="n"/>
      <c r="BC2" s="733" t="n"/>
      <c r="BD2" s="733" t="n"/>
      <c r="BE2" s="733" t="n"/>
      <c r="BF2" s="733" t="n"/>
      <c r="BG2" s="733" t="n"/>
      <c r="BH2" s="733" t="n"/>
      <c r="BI2" s="733" t="n"/>
    </row>
    <row r="3" ht="15" customHeight="1" thickBot="1">
      <c r="A3" s="733" t="n"/>
      <c r="B3" s="733" t="n"/>
      <c r="C3" s="733" t="n"/>
      <c r="D3" s="733" t="n"/>
      <c r="E3" s="733" t="n"/>
      <c r="F3" s="733" t="n"/>
      <c r="G3" s="733" t="n"/>
      <c r="H3" s="733" t="n"/>
      <c r="I3" s="733" t="n"/>
      <c r="J3" s="733" t="n"/>
      <c r="K3" s="733" t="n"/>
      <c r="L3" s="733" t="n"/>
      <c r="M3" s="733" t="n"/>
      <c r="N3" s="733" t="n"/>
      <c r="O3" s="733" t="n"/>
      <c r="P3" s="733" t="n"/>
      <c r="Q3" s="733" t="n"/>
      <c r="R3" s="733" t="n"/>
      <c r="AE3" s="733" t="n"/>
      <c r="AF3" s="733" t="n"/>
      <c r="AG3" s="733" t="n"/>
      <c r="AH3" s="733" t="n"/>
      <c r="AI3" s="733" t="n"/>
      <c r="AJ3" s="733" t="n"/>
      <c r="AK3" s="733" t="n"/>
      <c r="AL3" s="733" t="n"/>
      <c r="AM3" s="733" t="n"/>
      <c r="AN3" s="733" t="n"/>
      <c r="AO3" s="733" t="n"/>
      <c r="AP3" s="733" t="n"/>
      <c r="AQ3" s="733" t="n"/>
      <c r="AR3" s="733" t="n"/>
      <c r="AS3" s="733" t="n"/>
      <c r="AT3" s="733" t="n"/>
      <c r="AU3" s="733" t="n"/>
      <c r="AV3" s="733" t="n"/>
      <c r="AW3" s="733" t="n"/>
      <c r="AX3" s="733" t="n"/>
      <c r="AY3" s="733" t="n"/>
      <c r="AZ3" s="733" t="n"/>
      <c r="BA3" s="733" t="n"/>
      <c r="BB3" s="733" t="n"/>
      <c r="BC3" s="733" t="n"/>
      <c r="BD3" s="733" t="n"/>
      <c r="BE3" s="733" t="n"/>
      <c r="BF3" s="733" t="n"/>
      <c r="BG3" s="733" t="n"/>
      <c r="BH3" s="733" t="n"/>
      <c r="BI3" s="733" t="n"/>
    </row>
    <row r="4" ht="15" customHeight="1" thickBot="1">
      <c r="A4" s="789" t="inlineStr">
        <is>
          <t>Additional Inputs</t>
        </is>
      </c>
      <c r="B4" s="881" t="n"/>
      <c r="C4" s="881" t="n"/>
      <c r="D4" s="881" t="n"/>
      <c r="E4" s="881" t="n"/>
      <c r="F4" s="881" t="n"/>
      <c r="G4" s="881" t="n"/>
      <c r="H4" s="881" t="n"/>
      <c r="I4" s="881" t="n"/>
      <c r="J4" s="881" t="n"/>
      <c r="K4" s="881" t="n"/>
      <c r="L4" s="881" t="n"/>
      <c r="M4" s="881" t="n"/>
      <c r="N4" s="881" t="n"/>
      <c r="O4" s="881" t="n"/>
      <c r="P4" s="881" t="n"/>
      <c r="Q4" s="881" t="n"/>
      <c r="R4" s="882" t="n"/>
      <c r="AE4" s="733" t="n"/>
      <c r="AF4" s="789" t="inlineStr">
        <is>
          <t>Mode</t>
        </is>
      </c>
      <c r="AG4" s="123" t="inlineStr">
        <is>
          <t>Cool 2</t>
        </is>
      </c>
      <c r="AH4" s="123" t="inlineStr">
        <is>
          <t>Cool 1</t>
        </is>
      </c>
      <c r="AI4" s="123" t="inlineStr">
        <is>
          <t>Preheat</t>
        </is>
      </c>
      <c r="AJ4" s="123" t="inlineStr">
        <is>
          <t>PreCool</t>
        </is>
      </c>
      <c r="AK4" s="123" t="inlineStr">
        <is>
          <t>Vent</t>
        </is>
      </c>
      <c r="AL4" s="123" t="inlineStr">
        <is>
          <t>Heat</t>
        </is>
      </c>
      <c r="AM4" s="123" t="inlineStr">
        <is>
          <t xml:space="preserve">Humidity </t>
        </is>
      </c>
      <c r="AN4" s="113" t="inlineStr">
        <is>
          <t>Emergency</t>
        </is>
      </c>
      <c r="AO4" s="733" t="n"/>
      <c r="AP4" s="789" t="inlineStr">
        <is>
          <t>Priority</t>
        </is>
      </c>
      <c r="AQ4" s="122" t="inlineStr">
        <is>
          <t>Preheat</t>
        </is>
      </c>
      <c r="AR4" s="122" t="inlineStr">
        <is>
          <t>PreCool</t>
        </is>
      </c>
      <c r="AS4" s="123" t="inlineStr">
        <is>
          <t>Cool2</t>
        </is>
      </c>
      <c r="AT4" s="123" t="inlineStr">
        <is>
          <t>Cool1</t>
        </is>
      </c>
      <c r="AU4" s="123" t="inlineStr">
        <is>
          <t>Vent</t>
        </is>
      </c>
      <c r="AV4" s="123" t="inlineStr">
        <is>
          <t>Humidity</t>
        </is>
      </c>
      <c r="AW4" s="123" t="inlineStr">
        <is>
          <t xml:space="preserve">Heat </t>
        </is>
      </c>
      <c r="AX4" s="113" t="inlineStr">
        <is>
          <t>Emergency</t>
        </is>
      </c>
      <c r="AY4" s="733" t="n"/>
      <c r="AZ4" s="733" t="n"/>
      <c r="BA4" s="733" t="n"/>
      <c r="BB4" s="733" t="n"/>
      <c r="BC4" s="733" t="n"/>
      <c r="BD4" s="733" t="n"/>
      <c r="BE4" s="733" t="n"/>
      <c r="BF4" s="733" t="n"/>
      <c r="BG4" s="733" t="n"/>
      <c r="BH4" s="733" t="n"/>
      <c r="BI4" s="733" t="n"/>
    </row>
    <row r="5" ht="29" customHeight="1">
      <c r="A5" s="78" t="n">
        <v>1</v>
      </c>
      <c r="B5" s="79" t="inlineStr">
        <is>
          <t>Set Point</t>
        </is>
      </c>
      <c r="C5" s="79" t="n"/>
      <c r="D5" s="79" t="n"/>
      <c r="E5" s="79" t="inlineStr">
        <is>
          <t>TCMS</t>
        </is>
      </c>
      <c r="F5" s="79">
        <f>Calculation!B33</f>
        <v/>
      </c>
      <c r="G5" s="223" t="inlineStr">
        <is>
          <t>Cool 2</t>
        </is>
      </c>
      <c r="H5" s="223" t="inlineStr">
        <is>
          <t>Cool 1</t>
        </is>
      </c>
      <c r="I5" s="79" t="inlineStr">
        <is>
          <t>Vent</t>
        </is>
      </c>
      <c r="J5" s="79" t="inlineStr">
        <is>
          <t xml:space="preserve">Heat </t>
        </is>
      </c>
      <c r="K5" s="79" t="inlineStr">
        <is>
          <t>Humidity</t>
        </is>
      </c>
      <c r="L5" s="80" t="inlineStr">
        <is>
          <t>Emergency Vent Mode</t>
        </is>
      </c>
      <c r="M5" s="80" t="inlineStr">
        <is>
          <t>External Smoke mode</t>
        </is>
      </c>
      <c r="N5" s="80" t="inlineStr">
        <is>
          <t>Internal smoke mode</t>
        </is>
      </c>
      <c r="O5" s="79" t="n"/>
      <c r="P5" s="79" t="n"/>
      <c r="Q5" s="79" t="n"/>
      <c r="R5" s="81" t="n"/>
      <c r="W5" s="8">
        <f>'DATA TRANSFER'!F43</f>
        <v/>
      </c>
      <c r="AE5" s="733" t="n"/>
      <c r="AF5" s="166" t="inlineStr">
        <is>
          <t xml:space="preserve">Status </t>
        </is>
      </c>
      <c r="AG5" s="733">
        <f>R103</f>
        <v/>
      </c>
      <c r="AH5" s="733">
        <f>R103</f>
        <v/>
      </c>
      <c r="AI5" s="733">
        <f>R273</f>
        <v/>
      </c>
      <c r="AJ5" s="733">
        <f>R292</f>
        <v/>
      </c>
      <c r="AK5" s="733">
        <f>R42</f>
        <v/>
      </c>
      <c r="AL5" s="733">
        <f>R150</f>
        <v/>
      </c>
      <c r="AM5" s="733" t="n"/>
      <c r="AN5" s="83" t="n"/>
      <c r="AO5" s="733" t="n"/>
      <c r="AP5" s="733" t="n"/>
      <c r="AQ5" s="733" t="n"/>
      <c r="AR5" s="733" t="n"/>
      <c r="AS5" s="733" t="n"/>
      <c r="AT5" s="733" t="n"/>
      <c r="AU5" s="733" t="n"/>
      <c r="AV5" s="733" t="n"/>
      <c r="AW5" s="733" t="n"/>
      <c r="AX5" s="733" t="n"/>
      <c r="AY5" s="733" t="n"/>
      <c r="AZ5" s="733" t="n"/>
      <c r="BA5" s="733" t="n"/>
      <c r="BB5" s="733" t="n"/>
      <c r="BC5" s="733" t="n"/>
      <c r="BD5" s="733" t="n"/>
      <c r="BE5" s="733" t="n"/>
      <c r="BF5" s="733" t="n"/>
      <c r="BG5" s="733" t="n"/>
      <c r="BH5" s="733" t="n"/>
      <c r="BI5" s="733" t="n"/>
    </row>
    <row r="6" ht="15" customHeight="1" thickBot="1">
      <c r="A6" s="82" t="n">
        <v>2</v>
      </c>
      <c r="B6" s="733" t="inlineStr">
        <is>
          <t>HAVC1_RATSI_1</t>
        </is>
      </c>
      <c r="C6" s="733" t="n"/>
      <c r="D6" s="733" t="inlineStr">
        <is>
          <t>Return Air Temp</t>
        </is>
      </c>
      <c r="E6" s="733" t="inlineStr">
        <is>
          <t>I/O</t>
        </is>
      </c>
      <c r="F6" s="733">
        <f>Calculation!B35</f>
        <v/>
      </c>
      <c r="G6" s="224">
        <f>IF(OR(V9=1,M6=0,V16=1,Calculation!D107=0,Calculation!D104=0,Calculation!D107=0),1,0)</f>
        <v/>
      </c>
      <c r="H6" s="224">
        <f>IF(AND(Calculation!B67=1,'LFD OLD'!G11=0,'LFD OLD'!H11=0,'LFD OLD'!K6=0,'LFD OLD'!V17=1,'LFD OLD'!V9=1,Calculation!D107=0,Calculation!D104=0),1,0)</f>
        <v/>
      </c>
      <c r="I6" s="733" t="n"/>
      <c r="J6" s="733">
        <f>IF(F6 &lt; (F5 - 0.5), 1, 0)</f>
        <v/>
      </c>
      <c r="K6" s="733">
        <f>IF(F9&gt;60,1,0)</f>
        <v/>
      </c>
      <c r="L6" s="733">
        <f>'DATA TRANSFER'!CP36</f>
        <v/>
      </c>
      <c r="M6" s="733">
        <f>'DATA TRANSFER'!AE22</f>
        <v/>
      </c>
      <c r="N6" s="733">
        <f>'DATA TRANSFER'!AE21</f>
        <v/>
      </c>
      <c r="O6" s="733" t="n"/>
      <c r="P6" s="733" t="n"/>
      <c r="Q6" s="733" t="n"/>
      <c r="R6" s="83" t="n"/>
      <c r="U6" s="8" t="inlineStr">
        <is>
          <t xml:space="preserve">passenger load </t>
        </is>
      </c>
      <c r="V6" s="8">
        <f>'DATA TRANSFER'!F40</f>
        <v/>
      </c>
      <c r="AE6" s="733" t="n"/>
      <c r="AF6" s="167" t="inlineStr">
        <is>
          <t>Fault</t>
        </is>
      </c>
      <c r="AG6" s="85" t="n"/>
      <c r="AH6" s="85">
        <f>IF(AND(R106:R109),1,0)</f>
        <v/>
      </c>
      <c r="AI6" s="85">
        <f>IF(AND(R276:R279,R281),1,0)</f>
        <v/>
      </c>
      <c r="AJ6" s="85">
        <f>IF(AND(R294:R298,R299),1,0)</f>
        <v/>
      </c>
      <c r="AK6" s="85" t="n"/>
      <c r="AL6" s="85" t="n"/>
      <c r="AM6" s="85" t="n"/>
      <c r="AN6" s="86" t="n"/>
      <c r="AO6" s="733" t="n"/>
      <c r="AP6" s="733" t="n"/>
      <c r="AQ6" s="733" t="n"/>
      <c r="AR6" s="733" t="n"/>
      <c r="AS6" s="733" t="n"/>
      <c r="AT6" s="733" t="n"/>
      <c r="AU6" s="733" t="n"/>
      <c r="AV6" s="733" t="n"/>
      <c r="AW6" s="733" t="n"/>
      <c r="AX6" s="733" t="n"/>
      <c r="AY6" s="733" t="n"/>
      <c r="AZ6" s="733" t="n"/>
      <c r="BA6" s="733" t="n"/>
      <c r="BB6" s="733" t="n"/>
      <c r="BC6" s="733" t="n"/>
      <c r="BD6" s="733" t="n"/>
      <c r="BE6" s="733" t="n"/>
      <c r="BF6" s="733" t="n"/>
      <c r="BG6" s="733" t="n"/>
      <c r="BH6" s="733" t="n"/>
      <c r="BI6" s="733" t="n"/>
    </row>
    <row r="7" ht="15.75" customHeight="1" thickBot="1">
      <c r="A7" s="82" t="n">
        <v>3</v>
      </c>
      <c r="B7" s="733" t="inlineStr">
        <is>
          <t>HVAC1_FATSI_1</t>
        </is>
      </c>
      <c r="C7" s="733" t="n"/>
      <c r="D7" s="733" t="inlineStr">
        <is>
          <t>Ambient Temp</t>
        </is>
      </c>
      <c r="E7" s="733" t="inlineStr">
        <is>
          <t>I/O</t>
        </is>
      </c>
      <c r="F7" s="733">
        <f>Calculation!B34</f>
        <v/>
      </c>
      <c r="G7" s="225" t="inlineStr">
        <is>
          <t>cooling level 1 to 8</t>
        </is>
      </c>
      <c r="H7" s="226" t="inlineStr">
        <is>
          <t>level 1</t>
        </is>
      </c>
      <c r="I7" s="226" t="inlineStr">
        <is>
          <t>level 2</t>
        </is>
      </c>
      <c r="J7" s="226" t="inlineStr">
        <is>
          <t>level 3</t>
        </is>
      </c>
      <c r="K7" s="226" t="inlineStr">
        <is>
          <t>level 4</t>
        </is>
      </c>
      <c r="L7" s="226" t="inlineStr">
        <is>
          <t>level 5</t>
        </is>
      </c>
      <c r="M7" s="226" t="inlineStr">
        <is>
          <t>level 6</t>
        </is>
      </c>
      <c r="N7" s="226" t="inlineStr">
        <is>
          <t>level 7</t>
        </is>
      </c>
      <c r="O7" s="227" t="inlineStr">
        <is>
          <t>level 8</t>
        </is>
      </c>
      <c r="P7" s="733" t="n"/>
      <c r="Q7" s="733" t="n"/>
      <c r="R7" s="83" t="n"/>
      <c r="U7" s="859" t="inlineStr">
        <is>
          <t xml:space="preserve">Pre-cool </t>
        </is>
      </c>
      <c r="V7" s="153">
        <f>IF(($W$5&gt;=40)*($W$5&lt;=60),1,0)</f>
        <v/>
      </c>
      <c r="AE7" s="733" t="n"/>
      <c r="AF7" s="733" t="n"/>
      <c r="AG7" s="733" t="n"/>
      <c r="AH7" s="733" t="n"/>
      <c r="AI7" s="733" t="n"/>
      <c r="AJ7" s="733" t="n"/>
      <c r="AK7" s="733" t="n"/>
      <c r="AL7" s="733" t="n"/>
      <c r="AM7" s="733" t="n"/>
      <c r="AN7" s="733" t="n"/>
      <c r="AO7" s="733" t="n"/>
      <c r="AP7" s="733" t="n"/>
      <c r="AQ7" s="733" t="n"/>
      <c r="AR7" s="733" t="n"/>
      <c r="AS7" s="733" t="n"/>
      <c r="AT7" s="733" t="n"/>
      <c r="AU7" s="733" t="n"/>
      <c r="AV7" s="733" t="n"/>
      <c r="AW7" s="733" t="n"/>
      <c r="AX7" s="733" t="n"/>
      <c r="AY7" s="733" t="n"/>
      <c r="AZ7" s="733" t="n"/>
      <c r="BA7" s="733" t="n"/>
      <c r="BB7" s="733" t="n"/>
      <c r="BC7" s="733" t="n"/>
      <c r="BD7" s="733" t="n"/>
      <c r="BE7" s="733" t="n"/>
      <c r="BF7" s="733" t="n"/>
      <c r="BG7" s="733" t="n"/>
      <c r="BH7" s="733" t="n"/>
      <c r="BI7" s="733" t="n"/>
    </row>
    <row r="8" ht="15" customHeight="1" thickBot="1">
      <c r="A8" s="82" t="n">
        <v>4</v>
      </c>
      <c r="B8" s="733" t="inlineStr">
        <is>
          <t>HVAC1_SATSI_1</t>
        </is>
      </c>
      <c r="C8" s="733" t="n"/>
      <c r="D8" s="733" t="inlineStr">
        <is>
          <t xml:space="preserve">Supply Air Temp </t>
        </is>
      </c>
      <c r="E8" s="733" t="inlineStr">
        <is>
          <t>I/O</t>
        </is>
      </c>
      <c r="F8" s="733">
        <f>'Mode Logic'!C18</f>
        <v/>
      </c>
      <c r="G8" s="314" t="n"/>
      <c r="H8" s="315">
        <f>IF(OR(Calculation!B67=1,V9=1,M6=0,V16=1),1,0)</f>
        <v/>
      </c>
      <c r="I8" s="315">
        <f>IF(OR(Calculation!B67=1,V9=1,M6=0,V17=1,G11=0,H11=0,K6=0,Calculation!D107=0,Calculation!D104=0,Calculation!D107=0),1,0)</f>
        <v/>
      </c>
      <c r="J8" s="315">
        <f>IF(OR(Calculation!B67=1,V9=1,M6=0,V18=1,G11=0,H11=0,K6=0,Calculation!D107=0,Calculation!D104=0,Calculation!D107=0),1,0)</f>
        <v/>
      </c>
      <c r="K8" s="315">
        <f>IF(OR(Calculation!B67=1,V9=1,M6=0,V19=1,G11=0,H11=0,K6=0,Calculation!D107=0,Calculation!D104=0,Calculation!D107=0),1,0)</f>
        <v/>
      </c>
      <c r="L8" s="315">
        <f>IF(OR(Calculation!B67=1,V9=1,M6=0,V20=1,G11=0,H11=0,K6=0,Calculation!D107=0,Calculation!D104=0,Calculation!D107=0),1,0)</f>
        <v/>
      </c>
      <c r="M8" s="315">
        <f>IF(OR(Calculation!B67=1,V9=1,M6=0,V21=1,G11=0,H11=0,K6=0,Calculation!D107=0,Calculation!D104=0,Calculation!D107=0),1,0)</f>
        <v/>
      </c>
      <c r="N8" s="315">
        <f>IF(OR(Calculation!B67=1,V9=1,M6=0,V22=1,G11=0,H11=0,K6=0,Calculation!D107=0,Calculation!D104=0,Calculation!D107=0),1,0)</f>
        <v/>
      </c>
      <c r="O8" s="315">
        <f>IF(OR(Calculation!B67=1,V9=1,M6=0,V23=1,G11=0,H11=0,K6=0,Calculation!D107=0,Calculation!D104=0,Calculation!D107=0),1,0)</f>
        <v/>
      </c>
      <c r="P8" s="733" t="n"/>
      <c r="Q8" s="733" t="n"/>
      <c r="R8" s="83" t="n"/>
      <c r="U8" s="860" t="inlineStr">
        <is>
          <t>Pre-heat</t>
        </is>
      </c>
      <c r="V8" s="215">
        <f>IF(($W$5&gt;=4)*($W$5&lt;=18), 1, 0)</f>
        <v/>
      </c>
      <c r="AE8" s="789" t="inlineStr">
        <is>
          <t>Commands from Cooling Status Attributes</t>
        </is>
      </c>
      <c r="AF8" s="881" t="n"/>
      <c r="AG8" s="881" t="n"/>
      <c r="AH8" s="881" t="n"/>
      <c r="AI8" s="881" t="n"/>
      <c r="AJ8" s="881" t="n"/>
      <c r="AK8" s="881" t="n"/>
      <c r="AL8" s="881" t="n"/>
      <c r="AM8" s="881" t="n"/>
      <c r="AN8" s="881" t="n"/>
      <c r="AO8" s="881" t="n"/>
      <c r="AP8" s="881" t="n"/>
      <c r="AQ8" s="881" t="n"/>
      <c r="AR8" s="881" t="n"/>
      <c r="AS8" s="881" t="n"/>
      <c r="AT8" s="881" t="n"/>
      <c r="AU8" s="881" t="n"/>
      <c r="AV8" s="881" t="n"/>
      <c r="AW8" s="881" t="n"/>
      <c r="AX8" s="882" t="n"/>
      <c r="AY8" s="733" t="n"/>
      <c r="AZ8" s="733" t="n"/>
      <c r="BA8" s="733" t="n"/>
      <c r="BB8" s="733" t="n"/>
      <c r="BC8" s="733" t="n"/>
      <c r="BD8" s="733" t="n"/>
      <c r="BE8" s="733" t="n"/>
      <c r="BF8" s="733" t="n"/>
      <c r="BG8" s="733" t="n"/>
      <c r="BH8" s="733" t="n"/>
      <c r="BI8" s="733" t="n"/>
    </row>
    <row r="9" ht="44" customHeight="1" thickBot="1">
      <c r="A9" s="82" t="n">
        <v>5</v>
      </c>
      <c r="B9" s="733" t="inlineStr">
        <is>
          <t>HVAC1_RHTSI_1</t>
        </is>
      </c>
      <c r="C9" s="733" t="n"/>
      <c r="D9" s="733" t="inlineStr">
        <is>
          <t>Relative Humidity</t>
        </is>
      </c>
      <c r="E9" s="733" t="inlineStr">
        <is>
          <t>I/O</t>
        </is>
      </c>
      <c r="F9" s="733">
        <f>'Mode Logic'!C21</f>
        <v/>
      </c>
      <c r="G9" s="733" t="n"/>
      <c r="H9" s="733" t="n"/>
      <c r="I9" s="733" t="n"/>
      <c r="J9" s="733" t="n"/>
      <c r="K9" s="733" t="n"/>
      <c r="L9" s="733" t="n"/>
      <c r="M9" s="733" t="n"/>
      <c r="N9" s="733" t="n"/>
      <c r="O9" s="733" t="n"/>
      <c r="P9" s="733" t="n"/>
      <c r="Q9" s="733" t="n"/>
      <c r="R9" s="83" t="n"/>
      <c r="U9" s="228" t="inlineStr">
        <is>
          <t>Cooling level 1 to  8, vent</t>
        </is>
      </c>
      <c r="V9" s="215">
        <f>IF(($W$5&gt;=50)*AND($W$5&lt;=60),1,0)</f>
        <v/>
      </c>
      <c r="AE9" s="78" t="n"/>
      <c r="AF9" s="79" t="n"/>
      <c r="AG9" s="78" t="inlineStr">
        <is>
          <t>PreCool</t>
        </is>
      </c>
      <c r="AH9" s="79" t="inlineStr">
        <is>
          <t>Preheat</t>
        </is>
      </c>
      <c r="AI9" s="79" t="inlineStr">
        <is>
          <t>Cool2</t>
        </is>
      </c>
      <c r="AJ9" s="79" t="inlineStr">
        <is>
          <t>Cool1</t>
        </is>
      </c>
      <c r="AK9" s="79" t="inlineStr">
        <is>
          <t>Vent</t>
        </is>
      </c>
      <c r="AL9" s="79" t="inlineStr">
        <is>
          <t>Humidity</t>
        </is>
      </c>
      <c r="AM9" s="79" t="inlineStr">
        <is>
          <t>Heat</t>
        </is>
      </c>
      <c r="AN9" s="81" t="inlineStr">
        <is>
          <t>Emergency</t>
        </is>
      </c>
      <c r="AO9" s="78" t="inlineStr">
        <is>
          <t>PreCool</t>
        </is>
      </c>
      <c r="AP9" s="78" t="inlineStr">
        <is>
          <t>Preheat</t>
        </is>
      </c>
      <c r="AQ9" s="79" t="inlineStr">
        <is>
          <t>Cool2</t>
        </is>
      </c>
      <c r="AR9" s="79" t="inlineStr">
        <is>
          <t>Cool1</t>
        </is>
      </c>
      <c r="AS9" s="79" t="inlineStr">
        <is>
          <t>Vent</t>
        </is>
      </c>
      <c r="AT9" s="79" t="inlineStr">
        <is>
          <t>Humidity</t>
        </is>
      </c>
      <c r="AU9" s="79" t="inlineStr">
        <is>
          <t>Heat</t>
        </is>
      </c>
      <c r="AV9" s="81" t="inlineStr">
        <is>
          <t>Emergency</t>
        </is>
      </c>
      <c r="AW9" s="172" t="inlineStr">
        <is>
          <t>Command</t>
        </is>
      </c>
      <c r="AX9" s="81" t="n"/>
      <c r="AY9" s="733" t="n"/>
      <c r="AZ9" s="187" t="inlineStr">
        <is>
          <t>Emergency Vent Mode</t>
        </is>
      </c>
      <c r="BA9" s="188" t="inlineStr">
        <is>
          <t>Internal Smoke mode</t>
        </is>
      </c>
      <c r="BB9" s="189" t="inlineStr">
        <is>
          <t>External smoke mode</t>
        </is>
      </c>
      <c r="BC9" s="733" t="n"/>
      <c r="BD9" s="187" t="inlineStr">
        <is>
          <t>Emergency Vent Mode</t>
        </is>
      </c>
      <c r="BE9" s="188" t="inlineStr">
        <is>
          <t>Internal Smoke mode</t>
        </is>
      </c>
      <c r="BF9" s="189" t="inlineStr">
        <is>
          <t>External smoke mode</t>
        </is>
      </c>
      <c r="BG9" s="733" t="n"/>
      <c r="BH9" s="733" t="n"/>
      <c r="BI9" s="733" t="n"/>
    </row>
    <row r="10" ht="15" customHeight="1" thickBot="1">
      <c r="A10" s="82" t="n">
        <v>6</v>
      </c>
      <c r="B10" s="733" t="n"/>
      <c r="C10" s="733" t="n"/>
      <c r="D10" s="733" t="inlineStr">
        <is>
          <t xml:space="preserve">Passenger Loading </t>
        </is>
      </c>
      <c r="E10" s="733" t="inlineStr">
        <is>
          <t>I/O</t>
        </is>
      </c>
      <c r="F10" s="733">
        <f>'DATA TRANSFER'!F40</f>
        <v/>
      </c>
      <c r="G10" s="733" t="inlineStr">
        <is>
          <t>PCOOL</t>
        </is>
      </c>
      <c r="H10" s="733" t="inlineStr">
        <is>
          <t>PHEAT</t>
        </is>
      </c>
      <c r="I10" s="733" t="n"/>
      <c r="J10" s="733" t="n"/>
      <c r="K10" s="733" t="n"/>
      <c r="L10" s="733" t="n"/>
      <c r="M10" s="733" t="n"/>
      <c r="N10" s="733" t="n"/>
      <c r="O10" s="733" t="n"/>
      <c r="P10" s="733" t="n"/>
      <c r="Q10" s="733" t="n"/>
      <c r="R10" s="83" t="n"/>
      <c r="U10" s="860" t="inlineStr">
        <is>
          <t>Dehumidification</t>
        </is>
      </c>
      <c r="V10" s="215">
        <f>IF(W5&gt;60,1,0)</f>
        <v/>
      </c>
      <c r="AE10" s="173" t="n">
        <v>1</v>
      </c>
      <c r="AF10" s="316" t="inlineStr">
        <is>
          <t>HAVC1_COMP_1</t>
        </is>
      </c>
      <c r="AG10" s="796">
        <f>R303</f>
        <v/>
      </c>
      <c r="AH10" s="796">
        <f>R284</f>
        <v/>
      </c>
      <c r="AI10" s="796">
        <f>Q112</f>
        <v/>
      </c>
      <c r="AJ10" s="796">
        <f>R112</f>
        <v/>
      </c>
      <c r="AK10" s="796" t="n"/>
      <c r="AL10" s="796" t="n"/>
      <c r="AM10" s="796" t="n"/>
      <c r="AN10" s="176" t="n"/>
      <c r="AO10" s="174">
        <f>AG10</f>
        <v/>
      </c>
      <c r="AP10" s="796">
        <f>AH10</f>
        <v/>
      </c>
      <c r="AQ10" s="796">
        <f>IF(AG10=1,1,AI10)</f>
        <v/>
      </c>
      <c r="AR10" s="796">
        <f>IF(OR(AG10,AI10),1,AJ10)</f>
        <v/>
      </c>
      <c r="AS10" s="796">
        <f>IF(OR(AG10:AJ10),1,AK10)</f>
        <v/>
      </c>
      <c r="AT10" s="796">
        <f>IF(OR(AG10:AK10),1,AL10)</f>
        <v/>
      </c>
      <c r="AU10" s="796">
        <f>IF(OR(AG10:AL10),1,AM10)</f>
        <v/>
      </c>
      <c r="AV10" s="176">
        <f>IF(OR(AG10:AM10),1,AN10)</f>
        <v/>
      </c>
      <c r="AW10" s="177">
        <f>AV10</f>
        <v/>
      </c>
      <c r="AX10" s="178" t="n"/>
      <c r="AY10" s="316" t="inlineStr">
        <is>
          <t>HAVC1_COMP_1</t>
        </is>
      </c>
      <c r="AZ10" s="183">
        <f>'CIRCUIT SIMULATION'!L696</f>
        <v/>
      </c>
      <c r="BA10" s="796">
        <f>'CIRCUIT SIMULATION'!Q696</f>
        <v/>
      </c>
      <c r="BB10" s="178">
        <f>'CIRCUIT SIMULATION'!S696</f>
        <v/>
      </c>
      <c r="BC10" s="733" t="n"/>
      <c r="BD10" s="183">
        <f>IF(OR(AG10:AN10,BA10,BB10),1,AZ10)</f>
        <v/>
      </c>
      <c r="BE10" s="796">
        <f>IF(OR(AG10:AN10,AZ10,BB10),1,BA10)</f>
        <v/>
      </c>
      <c r="BF10" s="178">
        <f>IF(OR(AG10:AN10,AZ10:BA10),1,BB10)</f>
        <v/>
      </c>
      <c r="BG10" s="733" t="n"/>
      <c r="BH10" s="733" t="n"/>
      <c r="BI10" s="733" t="n"/>
    </row>
    <row r="11" ht="15" customHeight="1" thickBot="1">
      <c r="A11" s="82" t="n">
        <v>7</v>
      </c>
      <c r="B11" s="84" t="inlineStr">
        <is>
          <t>Chk_TDR Precool</t>
        </is>
      </c>
      <c r="C11" s="733" t="n"/>
      <c r="D11" s="733" t="inlineStr">
        <is>
          <t>HVAC1_START Time</t>
        </is>
      </c>
      <c r="E11" s="733" t="inlineStr">
        <is>
          <t>I/O</t>
        </is>
      </c>
      <c r="F11" s="733">
        <f>HVAC_IOs!D51-HVAC_IOs!D50</f>
        <v/>
      </c>
      <c r="G11" s="733">
        <f>Calculation!B40</f>
        <v/>
      </c>
      <c r="H11" s="733">
        <f>Calculation!B39</f>
        <v/>
      </c>
      <c r="I11" s="733" t="n"/>
      <c r="J11" s="733" t="n"/>
      <c r="K11" s="733" t="n"/>
      <c r="L11" s="733" t="n"/>
      <c r="M11" s="733" t="n"/>
      <c r="N11" s="733" t="n"/>
      <c r="O11" s="733" t="n"/>
      <c r="P11" s="733" t="n"/>
      <c r="Q11" s="733" t="n"/>
      <c r="R11" s="83" t="n"/>
      <c r="U11" s="860" t="n"/>
      <c r="V11" s="215" t="n"/>
      <c r="AE11" s="179" t="n">
        <v>2</v>
      </c>
      <c r="AF11" s="184" t="inlineStr">
        <is>
          <t>HAVC1_COMP_2</t>
        </is>
      </c>
      <c r="AG11" s="733">
        <f>R304</f>
        <v/>
      </c>
      <c r="AH11" s="733">
        <f>R285</f>
        <v/>
      </c>
      <c r="AI11" s="733">
        <f>Q113</f>
        <v/>
      </c>
      <c r="AJ11" s="733">
        <f>R113</f>
        <v/>
      </c>
      <c r="AK11" s="733" t="n"/>
      <c r="AL11" s="733" t="n"/>
      <c r="AM11" s="733" t="n"/>
      <c r="AN11" s="733" t="n"/>
      <c r="AO11" s="82">
        <f>AG11</f>
        <v/>
      </c>
      <c r="AP11" s="733">
        <f>IF(AG11,1,AH11)</f>
        <v/>
      </c>
      <c r="AQ11" s="733">
        <f>IF(OR(AG11:AH11),1,AI11)</f>
        <v/>
      </c>
      <c r="AR11" s="733">
        <f>IF(OR(AG11:AI11),1,AJ11)</f>
        <v/>
      </c>
      <c r="AS11" s="733">
        <f>IF(OR(AG11:AJ11),1,AK11)</f>
        <v/>
      </c>
      <c r="AT11" s="733">
        <f>IF(OR(AG11:AK11),1,AL11)</f>
        <v/>
      </c>
      <c r="AU11" s="733">
        <f>IF(OR(AG11:AL11),1,AM11)</f>
        <v/>
      </c>
      <c r="AV11" s="733">
        <f>IF(OR(AG11:AM11),1,AN11)</f>
        <v/>
      </c>
      <c r="AW11" s="169">
        <f>AV11</f>
        <v/>
      </c>
      <c r="AX11" s="168" t="n"/>
      <c r="AY11" s="184" t="inlineStr">
        <is>
          <t>HAVC1_COMP_2</t>
        </is>
      </c>
      <c r="AZ11" s="183">
        <f>'CIRCUIT SIMULATION'!L697</f>
        <v/>
      </c>
      <c r="BA11" s="796">
        <f>'CIRCUIT SIMULATION'!Q697</f>
        <v/>
      </c>
      <c r="BB11" s="178">
        <f>'CIRCUIT SIMULATION'!S697</f>
        <v/>
      </c>
      <c r="BC11" s="733" t="n"/>
      <c r="BD11" s="190">
        <f>IF(OR(AG11:AN11,BA11,BB11),1,AZ11)</f>
        <v/>
      </c>
      <c r="BE11" s="79">
        <f>IF(OR(AG11:AN11,AZ11,BB11),1,BA11)</f>
        <v/>
      </c>
      <c r="BF11" s="191">
        <f>IF(OR(AG11:AN11,AZ11:BA11),1,BB11)</f>
        <v/>
      </c>
      <c r="BG11" s="733" t="n"/>
      <c r="BH11" s="733" t="n"/>
      <c r="BI11" s="733" t="n"/>
    </row>
    <row r="12" ht="29.5" customHeight="1" thickBot="1">
      <c r="A12" s="82" t="n">
        <v>8</v>
      </c>
      <c r="B12" s="84" t="inlineStr">
        <is>
          <t>Pumpdown_CHk</t>
        </is>
      </c>
      <c r="C12" s="733" t="n"/>
      <c r="D12" s="13" t="inlineStr">
        <is>
          <t>Pumodown (Managed Shutdown) Check</t>
        </is>
      </c>
      <c r="E12" s="733" t="n"/>
      <c r="F12" s="733">
        <f>HVAC_IOs!D52</f>
        <v/>
      </c>
      <c r="G12" s="733" t="n"/>
      <c r="H12" s="733" t="n"/>
      <c r="I12" s="733" t="n"/>
      <c r="J12" s="733" t="n"/>
      <c r="K12" s="733" t="n"/>
      <c r="L12" s="733" t="n"/>
      <c r="M12" s="733" t="n"/>
      <c r="N12" s="733" t="n"/>
      <c r="O12" s="733" t="n"/>
      <c r="P12" s="733" t="n"/>
      <c r="Q12" s="733" t="n"/>
      <c r="R12" s="83" t="n"/>
      <c r="U12" s="861" t="inlineStr">
        <is>
          <t>Vent temperature</t>
        </is>
      </c>
      <c r="V12" s="155">
        <f>IF(F6&lt;=F5-0.5,1,0)</f>
        <v/>
      </c>
      <c r="AE12" s="179" t="n">
        <v>3</v>
      </c>
      <c r="AF12" s="184" t="inlineStr">
        <is>
          <t>HAVC1_COMP_3</t>
        </is>
      </c>
      <c r="AG12" s="733">
        <f>R305</f>
        <v/>
      </c>
      <c r="AH12" s="733">
        <f>R286</f>
        <v/>
      </c>
      <c r="AI12" s="733">
        <f>Q114</f>
        <v/>
      </c>
      <c r="AJ12" s="733">
        <f>R114</f>
        <v/>
      </c>
      <c r="AK12" s="733" t="n"/>
      <c r="AL12" s="733" t="n"/>
      <c r="AM12" s="733" t="n"/>
      <c r="AN12" s="733" t="n"/>
      <c r="AO12" s="82">
        <f>AG12</f>
        <v/>
      </c>
      <c r="AP12" s="733">
        <f>IF(AG12,1,AH12)</f>
        <v/>
      </c>
      <c r="AQ12" s="733">
        <f>IF(OR(AG12:AH12),1,AI12)</f>
        <v/>
      </c>
      <c r="AR12" s="733">
        <f>IF(OR(AG12:AI12),1,AJ12)</f>
        <v/>
      </c>
      <c r="AS12" s="733">
        <f>IF(OR(AG12:AJ12),1,AK12)</f>
        <v/>
      </c>
      <c r="AT12" s="733">
        <f>IF(OR(AG12:AK12),1,AL12)</f>
        <v/>
      </c>
      <c r="AU12" s="733">
        <f>IF(OR(AG12:AL12),1,AM12)</f>
        <v/>
      </c>
      <c r="AV12" s="733">
        <f>IF(OR(AG12:AM12),1,AN12)</f>
        <v/>
      </c>
      <c r="AW12" s="177" t="n"/>
      <c r="AX12" s="178" t="n"/>
      <c r="AY12" s="184" t="inlineStr">
        <is>
          <t>HAVC1_COMP_3</t>
        </is>
      </c>
      <c r="AZ12" s="183">
        <f>'CIRCUIT SIMULATION'!L698</f>
        <v/>
      </c>
      <c r="BA12" s="796">
        <f>'CIRCUIT SIMULATION'!Q698</f>
        <v/>
      </c>
      <c r="BB12" s="178">
        <f>'CIRCUIT SIMULATION'!S698</f>
        <v/>
      </c>
      <c r="BC12" s="733" t="n"/>
      <c r="BD12" s="190">
        <f>IF(OR(AG12:AN12,BA12,BB12),1,AZ12)</f>
        <v/>
      </c>
      <c r="BE12" s="79">
        <f>IF(OR(AG12:AN12,AZ12,BB12),1,BA12)</f>
        <v/>
      </c>
      <c r="BF12" s="191">
        <f>IF(OR(AG12:AN12,AZ12:BA12),1,BB12)</f>
        <v/>
      </c>
      <c r="BG12" s="733" t="n"/>
      <c r="BH12" s="733" t="n"/>
      <c r="BI12" s="733" t="n"/>
    </row>
    <row r="13" ht="15" customHeight="1" thickBot="1">
      <c r="A13" s="82" t="n">
        <v>9</v>
      </c>
      <c r="B13" s="84" t="inlineStr">
        <is>
          <t>Equilization_Chk</t>
        </is>
      </c>
      <c r="C13" s="733" t="n"/>
      <c r="D13" s="733" t="inlineStr">
        <is>
          <t>Equilization Runtime check</t>
        </is>
      </c>
      <c r="E13" s="733" t="n"/>
      <c r="F13" s="733">
        <f>HVAC_IOs!D53</f>
        <v/>
      </c>
      <c r="G13" s="733" t="n"/>
      <c r="H13" s="733" t="n"/>
      <c r="I13" s="733" t="n"/>
      <c r="J13" s="733" t="inlineStr">
        <is>
          <t xml:space="preserve">Aux Supply </t>
        </is>
      </c>
      <c r="K13" s="733" t="n"/>
      <c r="L13" s="733" t="inlineStr">
        <is>
          <t>isolate</t>
        </is>
      </c>
      <c r="M13" s="733">
        <f>TCMS!C105</f>
        <v/>
      </c>
      <c r="N13" s="733" t="n"/>
      <c r="O13" s="733" t="n"/>
      <c r="P13" s="733" t="n"/>
      <c r="Q13" s="733" t="n"/>
      <c r="R13" s="83" t="n"/>
      <c r="U13" s="733" t="n"/>
      <c r="V13" s="733" t="n"/>
      <c r="AE13" s="179" t="n">
        <v>4</v>
      </c>
      <c r="AF13" s="184" t="inlineStr">
        <is>
          <t>HAVC1_COMP_4</t>
        </is>
      </c>
      <c r="AG13" s="733">
        <f>R306</f>
        <v/>
      </c>
      <c r="AH13" s="733">
        <f>R287</f>
        <v/>
      </c>
      <c r="AI13" s="733">
        <f>Q115</f>
        <v/>
      </c>
      <c r="AJ13" s="733">
        <f>R115</f>
        <v/>
      </c>
      <c r="AK13" s="733" t="n"/>
      <c r="AL13" s="733" t="n"/>
      <c r="AM13" s="733" t="n"/>
      <c r="AN13" s="733" t="n"/>
      <c r="AO13" s="82">
        <f>AG13</f>
        <v/>
      </c>
      <c r="AP13" s="733">
        <f>IF(AG13,1,AH13)</f>
        <v/>
      </c>
      <c r="AQ13" s="733">
        <f>IF(OR(AG13:AH13),1,AI13)</f>
        <v/>
      </c>
      <c r="AR13" s="733">
        <f>IF(OR(AG13:AI13),1,AJ13)</f>
        <v/>
      </c>
      <c r="AS13" s="733">
        <f>IF(OR(AG13:AJ13),1,AK13)</f>
        <v/>
      </c>
      <c r="AT13" s="733">
        <f>IF(OR(AG13:AK13),1,AL13)</f>
        <v/>
      </c>
      <c r="AU13" s="733">
        <f>IF(OR(AG13:AL13),1,AM13)</f>
        <v/>
      </c>
      <c r="AV13" s="733">
        <f>IF(OR(AG13:AM13),1,AN13)</f>
        <v/>
      </c>
      <c r="AW13" s="169" t="n"/>
      <c r="AX13" s="168" t="n"/>
      <c r="AY13" s="184" t="inlineStr">
        <is>
          <t>HAVC1_COMP_4</t>
        </is>
      </c>
      <c r="AZ13" s="183">
        <f>'CIRCUIT SIMULATION'!L699</f>
        <v/>
      </c>
      <c r="BA13" s="796">
        <f>'CIRCUIT SIMULATION'!Q699</f>
        <v/>
      </c>
      <c r="BB13" s="178">
        <f>'CIRCUIT SIMULATION'!S699</f>
        <v/>
      </c>
      <c r="BC13" s="733" t="n"/>
      <c r="BD13" s="190">
        <f>IF(OR(AG13:AN13,BA13,BB13),1,AZ13)</f>
        <v/>
      </c>
      <c r="BE13" s="79">
        <f>IF(OR(AG13:AN13,AZ13,BB13),1,BA13)</f>
        <v/>
      </c>
      <c r="BF13" s="191">
        <f>IF(OR(AG13:AN13,AZ13:BA13),1,BB13)</f>
        <v/>
      </c>
      <c r="BG13" s="733" t="n"/>
      <c r="BH13" s="733" t="n"/>
      <c r="BI13" s="733" t="n"/>
    </row>
    <row r="14" ht="15" customHeight="1" thickBot="1">
      <c r="A14" s="82" t="n">
        <v>10</v>
      </c>
      <c r="B14" s="84" t="inlineStr">
        <is>
          <t>Chk_TDR LP</t>
        </is>
      </c>
      <c r="C14" s="733" t="n"/>
      <c r="D14" s="733" t="inlineStr">
        <is>
          <t>LP Cutout</t>
        </is>
      </c>
      <c r="E14" s="733" t="n"/>
      <c r="F14" s="733" t="n">
        <v>1</v>
      </c>
      <c r="G14" s="733" t="n"/>
      <c r="H14" s="733" t="n"/>
      <c r="I14" s="733" t="n"/>
      <c r="J14" s="733" t="n"/>
      <c r="K14" s="733" t="n"/>
      <c r="L14" s="733" t="n"/>
      <c r="M14" s="733" t="n"/>
      <c r="N14" s="733" t="n"/>
      <c r="O14" s="733" t="n"/>
      <c r="P14" s="733" t="n"/>
      <c r="Q14" s="733" t="n"/>
      <c r="R14" s="83" t="n"/>
      <c r="U14" s="733" t="inlineStr">
        <is>
          <t xml:space="preserve">set point </t>
        </is>
      </c>
      <c r="V14" s="733">
        <f>'DATA TRANSFER'!F37</f>
        <v/>
      </c>
      <c r="AE14" s="179" t="n">
        <v>5</v>
      </c>
      <c r="AF14" s="184" t="inlineStr">
        <is>
          <t>HVAC1_CF_1</t>
        </is>
      </c>
      <c r="AG14" s="733">
        <f>R307</f>
        <v/>
      </c>
      <c r="AH14" s="733">
        <f>R288</f>
        <v/>
      </c>
      <c r="AI14" s="733">
        <f>P114</f>
        <v/>
      </c>
      <c r="AJ14" s="733">
        <f>Q114</f>
        <v/>
      </c>
      <c r="AK14" s="733" t="n"/>
      <c r="AL14" s="733" t="n"/>
      <c r="AM14" s="733" t="n"/>
      <c r="AN14" s="83" t="n"/>
      <c r="AO14" s="82">
        <f>AG14</f>
        <v/>
      </c>
      <c r="AP14" s="733">
        <f>IF(AG14,1,AH14)</f>
        <v/>
      </c>
      <c r="AQ14" s="733">
        <f>IF(OR(AG14:AH14),1,AI14)</f>
        <v/>
      </c>
      <c r="AR14" s="733">
        <f>IF(OR(AG14:AI14),1,AJ14)</f>
        <v/>
      </c>
      <c r="AS14" s="733">
        <f>IF(OR(AG14:AJ14),1,AK14)</f>
        <v/>
      </c>
      <c r="AT14" s="733">
        <f>IF(OR(AG14:AK14),1,AL14)</f>
        <v/>
      </c>
      <c r="AU14" s="733">
        <f>IF(OR(AG14:AL14),1,AM14)</f>
        <v/>
      </c>
      <c r="AV14" s="733">
        <f>IF(OR(AG14:AM14),1,AN14)</f>
        <v/>
      </c>
      <c r="AW14" s="169" t="n"/>
      <c r="AX14" s="168" t="n"/>
      <c r="AY14" s="184" t="inlineStr">
        <is>
          <t>HVAC1_CF_1</t>
        </is>
      </c>
      <c r="AZ14" s="183">
        <f>'CIRCUIT SIMULATION'!L700</f>
        <v/>
      </c>
      <c r="BA14" s="796">
        <f>'CIRCUIT SIMULATION'!Q700</f>
        <v/>
      </c>
      <c r="BB14" s="178">
        <f>'CIRCUIT SIMULATION'!S700</f>
        <v/>
      </c>
      <c r="BC14" s="733" t="n"/>
      <c r="BD14" s="190">
        <f>IF(OR(AG14:AN14,BA14,BB14),1,AZ14)</f>
        <v/>
      </c>
      <c r="BE14" s="79">
        <f>IF(OR(AG14:AN14,AZ14,BB14),1,BA14)</f>
        <v/>
      </c>
      <c r="BF14" s="191">
        <f>IF(OR(AG14:AN14,AZ14:BA14),1,BB14)</f>
        <v/>
      </c>
      <c r="BG14" s="733" t="n"/>
      <c r="BH14" s="733" t="n"/>
      <c r="BI14" s="733" t="n"/>
    </row>
    <row r="15" ht="15" customHeight="1" thickBot="1">
      <c r="A15" s="82" t="n">
        <v>11</v>
      </c>
      <c r="B15" s="84" t="inlineStr">
        <is>
          <t>Chk_TDR Comp1</t>
        </is>
      </c>
      <c r="C15" s="733" t="n"/>
      <c r="D15" s="261" t="inlineStr">
        <is>
          <t xml:space="preserve">TDR Comp1 </t>
        </is>
      </c>
      <c r="E15" s="733" t="n"/>
      <c r="F15" s="733">
        <f>HVAC_IOs!D47</f>
        <v/>
      </c>
      <c r="G15" s="733" t="n"/>
      <c r="H15" s="733" t="n"/>
      <c r="I15" s="733" t="n"/>
      <c r="J15" s="733" t="n"/>
      <c r="K15" s="733" t="n"/>
      <c r="L15" s="733" t="n"/>
      <c r="M15" s="733" t="n"/>
      <c r="N15" s="733" t="n"/>
      <c r="O15" s="733" t="n"/>
      <c r="P15" s="733" t="n"/>
      <c r="Q15" s="733" t="n"/>
      <c r="R15" s="83" t="n"/>
      <c r="U15" s="207" t="inlineStr">
        <is>
          <t xml:space="preserve">cooling  level </t>
        </is>
      </c>
      <c r="V15" s="209">
        <f>'DATA TRANSFER'!F38</f>
        <v/>
      </c>
      <c r="AE15" s="179" t="n">
        <v>6</v>
      </c>
      <c r="AF15" s="184" t="inlineStr">
        <is>
          <t>HVAC1_CF_2</t>
        </is>
      </c>
      <c r="AG15" s="733">
        <f>R308</f>
        <v/>
      </c>
      <c r="AH15" s="733">
        <f>R289</f>
        <v/>
      </c>
      <c r="AI15" s="733">
        <f>P115</f>
        <v/>
      </c>
      <c r="AJ15" s="733">
        <f>Q115</f>
        <v/>
      </c>
      <c r="AK15" s="733" t="n"/>
      <c r="AL15" s="733" t="n"/>
      <c r="AM15" s="733" t="n"/>
      <c r="AN15" s="83" t="n"/>
      <c r="AO15" s="82">
        <f>AG15</f>
        <v/>
      </c>
      <c r="AP15" s="733">
        <f>IF(AG15,1,AH15)</f>
        <v/>
      </c>
      <c r="AQ15" s="733">
        <f>IF(OR(AG15:AH15),1,AI15)</f>
        <v/>
      </c>
      <c r="AR15" s="733">
        <f>IF(OR(AG15:AI15),1,AJ15)</f>
        <v/>
      </c>
      <c r="AS15" s="733">
        <f>IF(OR(AG15:AJ15),1,AK15)</f>
        <v/>
      </c>
      <c r="AT15" s="733">
        <f>IF(OR(AG15:AK15),1,AL15)</f>
        <v/>
      </c>
      <c r="AU15" s="733">
        <f>IF(OR(AG15:AL15),1,AM15)</f>
        <v/>
      </c>
      <c r="AV15" s="733">
        <f>IF(OR(AG15:AM15),1,AN15)</f>
        <v/>
      </c>
      <c r="AW15" s="169" t="n"/>
      <c r="AX15" s="168" t="n"/>
      <c r="AY15" s="184" t="inlineStr">
        <is>
          <t>HVAC1_CF_2</t>
        </is>
      </c>
      <c r="AZ15" s="183">
        <f>'CIRCUIT SIMULATION'!L701</f>
        <v/>
      </c>
      <c r="BA15" s="796">
        <f>'CIRCUIT SIMULATION'!Q701</f>
        <v/>
      </c>
      <c r="BB15" s="178">
        <f>'CIRCUIT SIMULATION'!S701</f>
        <v/>
      </c>
      <c r="BC15" s="733" t="n"/>
      <c r="BD15" s="190">
        <f>IF(OR(AG15:AN15,BA15,BB15),1,AZ15)</f>
        <v/>
      </c>
      <c r="BE15" s="79">
        <f>IF(OR(AG15:AN15,AZ15,BB15),1,BA15)</f>
        <v/>
      </c>
      <c r="BF15" s="191">
        <f>IF(OR(AG15:AN15,AZ15:BA15),1,BB15)</f>
        <v/>
      </c>
      <c r="BG15" s="733" t="n"/>
      <c r="BH15" s="733" t="n"/>
      <c r="BI15" s="733" t="n"/>
    </row>
    <row r="16" ht="15" customHeight="1" thickBot="1">
      <c r="A16" s="82" t="n">
        <v>12</v>
      </c>
      <c r="B16" s="84" t="inlineStr">
        <is>
          <t>CHk_TDR Comp2</t>
        </is>
      </c>
      <c r="C16" s="733" t="inlineStr">
        <is>
          <t>E1</t>
        </is>
      </c>
      <c r="D16" s="261" t="inlineStr">
        <is>
          <t>TDR Comp 2</t>
        </is>
      </c>
      <c r="E16" s="733" t="n"/>
      <c r="F16" s="733">
        <f>HVAC_IOs!D54</f>
        <v/>
      </c>
      <c r="G16" s="733" t="n"/>
      <c r="H16" s="733" t="n"/>
      <c r="I16" s="733" t="n"/>
      <c r="J16" s="733" t="n"/>
      <c r="K16" s="733" t="n"/>
      <c r="L16" s="733" t="n"/>
      <c r="M16" s="733" t="n"/>
      <c r="N16" s="733" t="n"/>
      <c r="O16" s="733" t="n"/>
      <c r="P16" s="733" t="n"/>
      <c r="Q16" s="733" t="n"/>
      <c r="R16" s="83" t="n"/>
      <c r="U16" s="206" t="inlineStr">
        <is>
          <t>level 1</t>
        </is>
      </c>
      <c r="V16" s="168">
        <f>IF(AND(V15&gt;=V14+0.5,V15&lt;V14+1.5),1,0)</f>
        <v/>
      </c>
      <c r="AE16" s="179" t="n">
        <v>7</v>
      </c>
      <c r="AF16" s="184" t="inlineStr">
        <is>
          <t>Command_RAD</t>
        </is>
      </c>
      <c r="AG16" s="733">
        <f>R309</f>
        <v/>
      </c>
      <c r="AH16" s="733">
        <f>R290</f>
        <v/>
      </c>
      <c r="AI16" s="733">
        <f>P111</f>
        <v/>
      </c>
      <c r="AJ16" s="733">
        <f>Q111</f>
        <v/>
      </c>
      <c r="AK16" s="733" t="n"/>
      <c r="AL16" s="733" t="n"/>
      <c r="AM16" s="733">
        <f>R156</f>
        <v/>
      </c>
      <c r="AN16" s="83" t="n"/>
      <c r="AO16" s="82">
        <f>AG16</f>
        <v/>
      </c>
      <c r="AP16" s="733">
        <f>IF(AG16,1,AH16)</f>
        <v/>
      </c>
      <c r="AQ16" s="733">
        <f>IF(OR(AG16:AH16),1,AI16)</f>
        <v/>
      </c>
      <c r="AR16" s="733">
        <f>IF(OR(AG16:AI16),1,AJ16)</f>
        <v/>
      </c>
      <c r="AS16" s="733">
        <f>IF(OR(AG16:AJ16),1,AK16)</f>
        <v/>
      </c>
      <c r="AT16" s="733">
        <f>IF(OR(AG16:AK16),1,AL16)</f>
        <v/>
      </c>
      <c r="AU16" s="733">
        <f>IF(OR(AG16:AL16),1,AM16)</f>
        <v/>
      </c>
      <c r="AV16" s="733">
        <f>IF(OR(AG16:AM16),1,AN16)</f>
        <v/>
      </c>
      <c r="AW16" s="169" t="n"/>
      <c r="AX16" s="168" t="n"/>
      <c r="AY16" s="184" t="inlineStr">
        <is>
          <t>Command_RAD</t>
        </is>
      </c>
      <c r="AZ16" s="183">
        <f>'CIRCUIT SIMULATION'!L702</f>
        <v/>
      </c>
      <c r="BA16" s="796">
        <f>'CIRCUIT SIMULATION'!Q702</f>
        <v/>
      </c>
      <c r="BB16" s="178">
        <f>'CIRCUIT SIMULATION'!S702</f>
        <v/>
      </c>
      <c r="BC16" s="733" t="n"/>
      <c r="BD16" s="190">
        <f>IF(OR(AG16:AN16,BA16,BB16),1,AZ16)</f>
        <v/>
      </c>
      <c r="BE16" s="79">
        <f>IF(OR(AG16:AN16,AZ16,BB16),1,BA16)</f>
        <v/>
      </c>
      <c r="BF16" s="191">
        <f>IF(OR(AG16:AN16,AZ16:BA16),1,BB16)</f>
        <v/>
      </c>
      <c r="BG16" s="733" t="n"/>
      <c r="BH16" s="733" t="n"/>
      <c r="BI16" s="733" t="n"/>
    </row>
    <row r="17" ht="15" customHeight="1" thickBot="1">
      <c r="A17" s="82" t="n">
        <v>13</v>
      </c>
      <c r="B17" s="85" t="n"/>
      <c r="C17" s="85" t="n"/>
      <c r="D17" s="85" t="inlineStr">
        <is>
          <t>Internal Smoke (NOT)</t>
        </is>
      </c>
      <c r="E17" s="85" t="n"/>
      <c r="F17" s="152" t="n"/>
      <c r="G17" s="85" t="n"/>
      <c r="H17" s="85" t="n"/>
      <c r="I17" s="85" t="n"/>
      <c r="J17" s="85" t="n"/>
      <c r="K17" s="85" t="n"/>
      <c r="L17" s="85" t="n"/>
      <c r="M17" s="85" t="n"/>
      <c r="N17" s="85" t="n"/>
      <c r="O17" s="85" t="n"/>
      <c r="P17" s="85" t="n"/>
      <c r="Q17" s="85" t="n"/>
      <c r="R17" s="86" t="n"/>
      <c r="U17" s="206" t="inlineStr">
        <is>
          <t>level 2</t>
        </is>
      </c>
      <c r="V17" s="168">
        <f>IF(AND(V15&gt;=V14+1.5,V15&lt;V14+2.5),1,0)</f>
        <v/>
      </c>
      <c r="AE17" s="179" t="n">
        <v>8</v>
      </c>
      <c r="AF17" s="184" t="inlineStr">
        <is>
          <t>Command_FAD_1</t>
        </is>
      </c>
      <c r="AG17" s="733">
        <f>R310</f>
        <v/>
      </c>
      <c r="AH17" s="733">
        <f>R291</f>
        <v/>
      </c>
      <c r="AI17" s="733">
        <f>R113</f>
        <v/>
      </c>
      <c r="AJ17" s="733">
        <f>S113</f>
        <v/>
      </c>
      <c r="AK17" s="733" t="n"/>
      <c r="AL17" s="733" t="n"/>
      <c r="AM17" s="733">
        <f>R156</f>
        <v/>
      </c>
      <c r="AN17" s="83" t="n"/>
      <c r="AO17" s="82">
        <f>AG17</f>
        <v/>
      </c>
      <c r="AP17" s="733">
        <f>IF(AG17,1,AH17)</f>
        <v/>
      </c>
      <c r="AQ17" s="733">
        <f>IF(OR(AG17:AH17),1,AI17)</f>
        <v/>
      </c>
      <c r="AR17" s="733">
        <f>IF(OR(AG17:AI17),1,AJ17)</f>
        <v/>
      </c>
      <c r="AS17" s="733">
        <f>IF(OR(AG17:AJ17),1,AK17)</f>
        <v/>
      </c>
      <c r="AT17" s="733">
        <f>IF(OR(AG17:AK17),1,AL17)</f>
        <v/>
      </c>
      <c r="AU17" s="733">
        <f>IF(OR(AG17:AL17),1,AM17)</f>
        <v/>
      </c>
      <c r="AV17" s="733">
        <f>IF(OR(AG17:AM17),1,AN17)</f>
        <v/>
      </c>
      <c r="AW17" s="169" t="n"/>
      <c r="AX17" s="168" t="n"/>
      <c r="AY17" s="184" t="inlineStr">
        <is>
          <t>Command_FAD_1</t>
        </is>
      </c>
      <c r="AZ17" s="183">
        <f>'CIRCUIT SIMULATION'!L703</f>
        <v/>
      </c>
      <c r="BA17" s="796">
        <f>'CIRCUIT SIMULATION'!Q703</f>
        <v/>
      </c>
      <c r="BB17" s="178">
        <f>'CIRCUIT SIMULATION'!S703</f>
        <v/>
      </c>
      <c r="BC17" s="733" t="n"/>
      <c r="BD17" s="190">
        <f>IF(OR(AG17:AN17,BA17,BB17),1,AZ17)</f>
        <v/>
      </c>
      <c r="BE17" s="79">
        <f>IF(OR(AG17:AN17,AZ17,BB17),1,BA17)</f>
        <v/>
      </c>
      <c r="BF17" s="191">
        <f>IF(OR(AG17:AN17,AZ17:BA17),1,BB17)</f>
        <v/>
      </c>
      <c r="BG17" s="733" t="n"/>
      <c r="BH17" s="733" t="n"/>
      <c r="BI17" s="733" t="n"/>
    </row>
    <row r="18" ht="15" customHeight="1" thickBot="1">
      <c r="U18" s="206" t="inlineStr">
        <is>
          <t>level 3</t>
        </is>
      </c>
      <c r="V18" s="168">
        <f>IF(AND(V15&gt;=V14+2.5,V15&lt;V14+3.5),1,0)</f>
        <v/>
      </c>
      <c r="AE18" s="179" t="n">
        <v>9</v>
      </c>
      <c r="AF18" s="184" t="inlineStr">
        <is>
          <t>Command_FAD_2</t>
        </is>
      </c>
      <c r="AG18" s="733">
        <f>R311</f>
        <v/>
      </c>
      <c r="AH18" s="733">
        <f>R292</f>
        <v/>
      </c>
      <c r="AI18" s="733">
        <f>R114</f>
        <v/>
      </c>
      <c r="AJ18" s="733">
        <f>S114</f>
        <v/>
      </c>
      <c r="AK18" s="733" t="n"/>
      <c r="AL18" s="733" t="n"/>
      <c r="AM18" s="733">
        <f>R156</f>
        <v/>
      </c>
      <c r="AN18" s="83" t="n"/>
      <c r="AO18" s="82">
        <f>AG18</f>
        <v/>
      </c>
      <c r="AP18" s="733">
        <f>IF(AG18,1,AH18)</f>
        <v/>
      </c>
      <c r="AQ18" s="733">
        <f>IF(OR(AG18:AH18),1,AI18)</f>
        <v/>
      </c>
      <c r="AR18" s="733">
        <f>IF(OR(AG18:AI18),1,AJ18)</f>
        <v/>
      </c>
      <c r="AS18" s="733">
        <f>IF(OR(AG18:AJ18),1,AK18)</f>
        <v/>
      </c>
      <c r="AT18" s="733">
        <f>IF(OR(AG18:AK18),1,AL18)</f>
        <v/>
      </c>
      <c r="AU18" s="733">
        <f>IF(OR(AG18:AL18),1,AM18)</f>
        <v/>
      </c>
      <c r="AV18" s="733">
        <f>IF(OR(AG18:AM18),1,AN18)</f>
        <v/>
      </c>
      <c r="AW18" s="169" t="n"/>
      <c r="AX18" s="168" t="n"/>
      <c r="AY18" s="184" t="inlineStr">
        <is>
          <t>Command_FAD_2</t>
        </is>
      </c>
      <c r="AZ18" s="183">
        <f>'CIRCUIT SIMULATION'!L704</f>
        <v/>
      </c>
      <c r="BA18" s="796">
        <f>'CIRCUIT SIMULATION'!Q704</f>
        <v/>
      </c>
      <c r="BB18" s="178">
        <f>'CIRCUIT SIMULATION'!S704</f>
        <v/>
      </c>
      <c r="BC18" s="733" t="n"/>
      <c r="BD18" s="190">
        <f>IF(OR(AG18:AN18,BA18,BB18),1,AZ18)</f>
        <v/>
      </c>
      <c r="BE18" s="79">
        <f>IF(OR(AG18:AN18,AZ18,BB18),1,BA18)</f>
        <v/>
      </c>
      <c r="BF18" s="191">
        <f>IF(OR(AG18:AN18,AZ18:BA18),1,BB18)</f>
        <v/>
      </c>
      <c r="BG18" s="733" t="n"/>
      <c r="BH18" s="733" t="n"/>
      <c r="BI18" s="733" t="n"/>
    </row>
    <row r="19" ht="15" customHeight="1" thickBot="1">
      <c r="U19" s="206" t="inlineStr">
        <is>
          <t>level 4</t>
        </is>
      </c>
      <c r="V19" s="168">
        <f>IF(AND(V15&gt;=V14+3.5,V15&lt;V14+4.5),1,0)</f>
        <v/>
      </c>
      <c r="AE19" s="179" t="n">
        <v>10</v>
      </c>
      <c r="AF19" s="184" t="inlineStr">
        <is>
          <t>HVAC1_SAF1</t>
        </is>
      </c>
      <c r="AG19" s="733">
        <f>R312</f>
        <v/>
      </c>
      <c r="AH19" s="733">
        <f>R293</f>
        <v/>
      </c>
      <c r="AI19" s="733">
        <f>P110</f>
        <v/>
      </c>
      <c r="AJ19" s="733">
        <f>Q110</f>
        <v/>
      </c>
      <c r="AK19" s="733" t="n"/>
      <c r="AL19" s="733" t="n"/>
      <c r="AM19" s="733">
        <f>R156</f>
        <v/>
      </c>
      <c r="AN19" s="83" t="n"/>
      <c r="AO19" s="82">
        <f>AG19</f>
        <v/>
      </c>
      <c r="AP19" s="733">
        <f>IF(AG19,1,AH19)</f>
        <v/>
      </c>
      <c r="AQ19" s="733">
        <f>IF(OR(AG19:AH19),1,AI19)</f>
        <v/>
      </c>
      <c r="AR19" s="733">
        <f>IF(OR(AG19:AI19),1,AJ19)</f>
        <v/>
      </c>
      <c r="AS19" s="733">
        <f>IF(OR(AG19:AJ19),1,AK19)</f>
        <v/>
      </c>
      <c r="AT19" s="733">
        <f>IF(OR(AG19:AK19),1,AL19)</f>
        <v/>
      </c>
      <c r="AU19" s="733">
        <f>IF(OR(AG19:AL19),1,AM19)</f>
        <v/>
      </c>
      <c r="AV19" s="733">
        <f>IF(OR(AG19:AM19),1,AN19)</f>
        <v/>
      </c>
      <c r="AW19" s="169" t="n"/>
      <c r="AX19" s="168" t="n"/>
      <c r="AY19" s="184" t="inlineStr">
        <is>
          <t>HVAC1_SAF1</t>
        </is>
      </c>
      <c r="AZ19" s="183">
        <f>'CIRCUIT SIMULATION'!L705</f>
        <v/>
      </c>
      <c r="BA19" s="796">
        <f>'CIRCUIT SIMULATION'!Q705</f>
        <v/>
      </c>
      <c r="BB19" s="178">
        <f>'CIRCUIT SIMULATION'!S705</f>
        <v/>
      </c>
      <c r="BC19" s="733" t="n"/>
      <c r="BD19" s="190">
        <f>IF(OR(AG19:AN19,BA19,BB19),1,AZ19)</f>
        <v/>
      </c>
      <c r="BE19" s="79">
        <f>IF(OR(AG19:AN19,AZ19,BB19),1,BA19)</f>
        <v/>
      </c>
      <c r="BF19" s="191">
        <f>IF(OR(AG19:AN19,AZ19:BA19),1,BB19)</f>
        <v/>
      </c>
      <c r="BG19" s="733" t="n"/>
      <c r="BH19" s="733" t="n"/>
      <c r="BI19" s="733" t="n"/>
    </row>
    <row r="20" ht="15" customHeight="1" thickBot="1">
      <c r="U20" s="206" t="inlineStr">
        <is>
          <t>level 5</t>
        </is>
      </c>
      <c r="V20" s="168">
        <f>IF(AND(V15&gt;=V14+4.5,V15&lt;V14+5.5),1,0)</f>
        <v/>
      </c>
      <c r="AE20" s="179" t="n">
        <v>11</v>
      </c>
      <c r="AF20" s="184" t="inlineStr">
        <is>
          <t>HVAC1_SAF2</t>
        </is>
      </c>
      <c r="AG20" s="733">
        <f>R313</f>
        <v/>
      </c>
      <c r="AH20" s="733">
        <f>R294</f>
        <v/>
      </c>
      <c r="AI20" s="733">
        <f>P111</f>
        <v/>
      </c>
      <c r="AJ20" s="733">
        <f>Q111</f>
        <v/>
      </c>
      <c r="AK20" s="733" t="n"/>
      <c r="AL20" s="733" t="n"/>
      <c r="AM20" s="733">
        <f>R156</f>
        <v/>
      </c>
      <c r="AN20" s="733" t="n"/>
      <c r="AO20" s="82">
        <f>AG20</f>
        <v/>
      </c>
      <c r="AP20" s="733">
        <f>IF(AG20,1,AH20)</f>
        <v/>
      </c>
      <c r="AQ20" s="733">
        <f>IF(OR(AG20:AH20),1,AI20)</f>
        <v/>
      </c>
      <c r="AR20" s="733">
        <f>IF(OR(AG20:AI20),1,AJ20)</f>
        <v/>
      </c>
      <c r="AS20" s="733">
        <f>IF(OR(AG20:AJ20),1,AK20)</f>
        <v/>
      </c>
      <c r="AT20" s="733">
        <f>IF(OR(AG20:AK20),1,AL20)</f>
        <v/>
      </c>
      <c r="AU20" s="733">
        <f>IF(OR(AG20:AL20),1,AM20)</f>
        <v/>
      </c>
      <c r="AV20" s="733">
        <f>IF(OR(AG20:AM20),1,AN20)</f>
        <v/>
      </c>
      <c r="AW20" s="169" t="n"/>
      <c r="AX20" s="168" t="n"/>
      <c r="AY20" s="184" t="inlineStr">
        <is>
          <t>HVAC1_SAF2</t>
        </is>
      </c>
      <c r="AZ20" s="183">
        <f>'CIRCUIT SIMULATION'!L706</f>
        <v/>
      </c>
      <c r="BA20" s="796">
        <f>'CIRCUIT SIMULATION'!Q706</f>
        <v/>
      </c>
      <c r="BB20" s="178">
        <f>'CIRCUIT SIMULATION'!S706</f>
        <v/>
      </c>
      <c r="BC20" s="733" t="n"/>
      <c r="BD20" s="192">
        <f>IF(OR(AG20:AN20,BA20,BB20),1,AZ20)</f>
        <v/>
      </c>
      <c r="BE20" s="193">
        <f>IF(OR(AG20:AN20,AZ20,BB20),1,BA20)</f>
        <v/>
      </c>
      <c r="BF20" s="194">
        <f>IF(OR(AG20:AN20,AZ20:BA20),1,BB20)</f>
        <v/>
      </c>
      <c r="BG20" s="733" t="n"/>
      <c r="BH20" s="733" t="n"/>
      <c r="BI20" s="733" t="n"/>
    </row>
    <row r="21" ht="20.15" customHeight="1">
      <c r="A21" s="904" t="inlineStr">
        <is>
          <t>HVAC LFD's</t>
        </is>
      </c>
      <c r="B21" s="869" t="n"/>
      <c r="C21" s="869" t="n"/>
      <c r="D21" s="869" t="n"/>
      <c r="E21" s="869" t="n"/>
      <c r="F21" s="869" t="n"/>
      <c r="G21" s="869" t="n"/>
      <c r="H21" s="869" t="n"/>
      <c r="I21" s="869" t="n"/>
      <c r="J21" s="869" t="n"/>
      <c r="K21" s="869" t="n"/>
      <c r="L21" s="869" t="n"/>
      <c r="M21" s="869" t="n"/>
      <c r="N21" s="869" t="n"/>
      <c r="O21" s="869" t="n"/>
      <c r="P21" s="869" t="n"/>
      <c r="Q21" s="869" t="n"/>
      <c r="R21" s="870" t="n"/>
      <c r="U21" s="206" t="inlineStr">
        <is>
          <t>level 6</t>
        </is>
      </c>
      <c r="V21" s="168">
        <f>IF(AND(V15&gt;=V14+5.5,V15&lt;V14+6.5),1,0)</f>
        <v/>
      </c>
      <c r="AE21" s="179" t="n">
        <v>12</v>
      </c>
      <c r="AF21" s="184" t="inlineStr">
        <is>
          <t xml:space="preserve">Command_Heater </t>
        </is>
      </c>
      <c r="AG21" s="733" t="n"/>
      <c r="AH21" s="733" t="n"/>
      <c r="AJ21" s="733" t="n"/>
      <c r="AK21" s="733" t="n"/>
      <c r="AL21" s="733" t="n"/>
      <c r="AM21" s="733" t="n"/>
      <c r="AN21" s="733" t="n"/>
      <c r="AO21" s="82" t="n"/>
      <c r="AP21" s="733" t="n"/>
      <c r="AQ21" s="733" t="n"/>
      <c r="AR21" s="733" t="n"/>
      <c r="AS21" s="733" t="n"/>
      <c r="AT21" s="733" t="n"/>
      <c r="AU21" s="733" t="n"/>
      <c r="AV21" s="733" t="n"/>
      <c r="AW21" s="169" t="n"/>
      <c r="AX21" s="168" t="n"/>
      <c r="AY21" s="184" t="inlineStr">
        <is>
          <t xml:space="preserve">Command_Heater </t>
        </is>
      </c>
      <c r="AZ21" s="195" t="n"/>
      <c r="BA21" s="196" t="n"/>
      <c r="BB21" s="317" t="n"/>
    </row>
    <row r="22">
      <c r="U22" s="206" t="inlineStr">
        <is>
          <t>level 7</t>
        </is>
      </c>
      <c r="V22" s="168">
        <f>IF(AND(V15&gt;=V14+6.5,V15&lt;V14+7.5),1,0)</f>
        <v/>
      </c>
      <c r="AE22" s="179" t="n">
        <v>13</v>
      </c>
      <c r="AF22" s="185" t="inlineStr">
        <is>
          <t>Command_Liquidline Solenoid 1</t>
        </is>
      </c>
      <c r="AG22" s="733" t="n"/>
      <c r="AH22" s="733" t="n"/>
      <c r="AI22" s="733" t="n"/>
      <c r="AJ22" s="733" t="n"/>
      <c r="AK22" s="733" t="n"/>
      <c r="AL22" s="733" t="n"/>
      <c r="AM22" s="733" t="n"/>
      <c r="AN22" s="733" t="n"/>
      <c r="AO22" s="82" t="n"/>
      <c r="AP22" s="733" t="n"/>
      <c r="AQ22" s="733" t="n"/>
      <c r="AR22" s="733" t="n"/>
      <c r="AS22" s="733" t="n"/>
      <c r="AT22" s="733" t="n"/>
      <c r="AU22" s="733" t="n"/>
      <c r="AV22" s="733" t="n"/>
      <c r="AW22" s="169" t="n"/>
      <c r="AX22" s="168" t="n"/>
      <c r="AY22" s="185" t="inlineStr">
        <is>
          <t>Command_Liquidline Solenoid 1</t>
        </is>
      </c>
      <c r="AZ22" s="195" t="n"/>
      <c r="BA22" s="196" t="n"/>
      <c r="BB22" s="317" t="n"/>
    </row>
    <row r="23" ht="20.15" customHeight="1" thickBot="1">
      <c r="A23" s="823" t="inlineStr">
        <is>
          <t>1. HVAC fresh air damper</t>
        </is>
      </c>
      <c r="B23" s="869" t="n"/>
      <c r="C23" s="869" t="n"/>
      <c r="D23" s="869" t="n"/>
      <c r="E23" s="869" t="n"/>
      <c r="F23" s="869" t="n"/>
      <c r="G23" s="869" t="n"/>
      <c r="H23" s="869" t="n"/>
      <c r="I23" s="869" t="n"/>
      <c r="J23" s="869" t="n"/>
      <c r="K23" s="869" t="n"/>
      <c r="L23" s="869" t="n"/>
      <c r="M23" s="869" t="n"/>
      <c r="N23" s="869" t="n"/>
      <c r="O23" s="869" t="n"/>
      <c r="P23" s="869" t="n"/>
      <c r="Q23" s="869" t="n"/>
      <c r="R23" s="870" t="n"/>
      <c r="U23" s="202" t="inlineStr">
        <is>
          <t>level 8</t>
        </is>
      </c>
      <c r="V23" s="168">
        <f>IF(V15&gt;=V14+7.5,1,0)</f>
        <v/>
      </c>
      <c r="AE23" s="179" t="n">
        <v>14</v>
      </c>
      <c r="AF23" s="185" t="inlineStr">
        <is>
          <t>Command_Liquidline Solenoid 2</t>
        </is>
      </c>
      <c r="AG23" s="733" t="n"/>
      <c r="AH23" s="733" t="n"/>
      <c r="AI23" s="733" t="n"/>
      <c r="AJ23" s="733" t="n"/>
      <c r="AK23" s="733" t="n"/>
      <c r="AL23" s="733" t="n"/>
      <c r="AM23" s="733" t="n"/>
      <c r="AN23" s="733" t="n"/>
      <c r="AO23" s="82" t="n"/>
      <c r="AP23" s="733" t="n"/>
      <c r="AQ23" s="733" t="n"/>
      <c r="AR23" s="733" t="n"/>
      <c r="AS23" s="733" t="n"/>
      <c r="AT23" s="733" t="n"/>
      <c r="AU23" s="733" t="n"/>
      <c r="AV23" s="733" t="n"/>
      <c r="AW23" s="169" t="n"/>
      <c r="AX23" s="168" t="n"/>
      <c r="AY23" s="185" t="inlineStr">
        <is>
          <t>Command_Liquidline Solenoid 2</t>
        </is>
      </c>
      <c r="AZ23" s="195" t="n"/>
      <c r="BA23" s="196" t="n"/>
      <c r="BB23" s="317" t="n"/>
    </row>
    <row r="24" ht="20.15" customHeight="1">
      <c r="A24" s="318" t="n">
        <v>1</v>
      </c>
      <c r="B24" s="72" t="inlineStr">
        <is>
          <t>External_smoke_detected</t>
        </is>
      </c>
      <c r="C24" s="72" t="n"/>
      <c r="D24" s="72" t="n"/>
      <c r="E24" s="72" t="n"/>
      <c r="F24" s="318">
        <f>'DATA TRANSFER'!F29</f>
        <v/>
      </c>
      <c r="G24" s="318" t="n"/>
      <c r="H24" s="318" t="n"/>
      <c r="I24" s="318" t="n"/>
      <c r="J24" s="318" t="n"/>
      <c r="K24" s="318" t="n"/>
      <c r="L24" s="318" t="n"/>
      <c r="M24" s="318" t="n"/>
      <c r="N24" s="318" t="n"/>
      <c r="O24" s="318" t="n"/>
      <c r="P24" s="318" t="n"/>
      <c r="Q24" s="318" t="n"/>
      <c r="R24" s="318">
        <f>IF(AND(D24:Q24),1,0)</f>
        <v/>
      </c>
      <c r="AE24" s="179" t="n">
        <v>15</v>
      </c>
      <c r="AF24" s="185" t="inlineStr">
        <is>
          <t xml:space="preserve">Emergency Inverter </t>
        </is>
      </c>
      <c r="AG24" s="733" t="n"/>
      <c r="AH24" s="733" t="n"/>
      <c r="AI24" s="733" t="n"/>
      <c r="AJ24" s="733" t="n"/>
      <c r="AK24" s="733" t="n"/>
      <c r="AL24" s="733" t="n"/>
      <c r="AM24" s="733" t="n"/>
      <c r="AN24" s="733" t="n"/>
      <c r="AO24" s="82" t="n"/>
      <c r="AP24" s="733" t="n"/>
      <c r="AQ24" s="733" t="n"/>
      <c r="AR24" s="733" t="n"/>
      <c r="AS24" s="733" t="n"/>
      <c r="AT24" s="733" t="n"/>
      <c r="AU24" s="733" t="n"/>
      <c r="AV24" s="733" t="n"/>
      <c r="AW24" s="169" t="n"/>
      <c r="AX24" s="168" t="n"/>
      <c r="AY24" s="185" t="inlineStr">
        <is>
          <t xml:space="preserve">Emergency Inverter </t>
        </is>
      </c>
      <c r="AZ24" s="319" t="n"/>
      <c r="BA24" s="320" t="n"/>
      <c r="BB24" s="317" t="n"/>
    </row>
    <row r="25" ht="20.15" customHeight="1" thickBot="1">
      <c r="A25" s="318" t="n">
        <v>2</v>
      </c>
      <c r="B25" s="72" t="inlineStr">
        <is>
          <t>Driver_Close_command</t>
        </is>
      </c>
      <c r="C25" s="72" t="n"/>
      <c r="D25" s="72" t="n"/>
      <c r="E25" s="72" t="n"/>
      <c r="F25" s="318">
        <f>HVAC_IOs!D23</f>
        <v/>
      </c>
      <c r="G25" s="318" t="n"/>
      <c r="H25" s="318" t="n"/>
      <c r="I25" s="318" t="n"/>
      <c r="J25" s="318" t="n"/>
      <c r="K25" s="318" t="n"/>
      <c r="L25" s="318" t="n"/>
      <c r="M25" s="318" t="n"/>
      <c r="N25" s="318" t="n"/>
      <c r="O25" s="318" t="n"/>
      <c r="P25" s="318" t="n"/>
      <c r="Q25" s="318" t="n"/>
      <c r="R25" s="318">
        <f>IF(AND(F25:Q25),1,0)</f>
        <v/>
      </c>
      <c r="AE25" s="180" t="n">
        <v>16</v>
      </c>
      <c r="AF25" s="186" t="n"/>
      <c r="AG25" s="170" t="n"/>
      <c r="AH25" s="170" t="n"/>
      <c r="AI25" s="170" t="n"/>
      <c r="AJ25" s="170" t="n"/>
      <c r="AK25" s="170" t="n"/>
      <c r="AL25" s="170" t="n"/>
      <c r="AM25" s="170" t="n"/>
      <c r="AN25" s="181" t="n"/>
      <c r="AO25" s="170" t="n"/>
      <c r="AP25" s="170" t="n"/>
      <c r="AQ25" s="170" t="n"/>
      <c r="AR25" s="170" t="n"/>
      <c r="AS25" s="170" t="n"/>
      <c r="AT25" s="170" t="n"/>
      <c r="AU25" s="170" t="n"/>
      <c r="AV25" s="170" t="n"/>
      <c r="AW25" s="182" t="n"/>
      <c r="AX25" s="171" t="n"/>
      <c r="AY25" s="186" t="n"/>
      <c r="AZ25" s="321" t="n"/>
      <c r="BA25" s="322" t="n"/>
      <c r="BB25" s="323" t="n"/>
    </row>
    <row r="26" ht="20.15" customHeight="1">
      <c r="A26" s="318" t="n">
        <v>3</v>
      </c>
      <c r="B26" s="72" t="inlineStr">
        <is>
          <t>Internal_Smoke_Detected</t>
        </is>
      </c>
      <c r="C26" s="72" t="n"/>
      <c r="D26" s="72" t="n"/>
      <c r="E26" s="72" t="n"/>
      <c r="F26" s="318">
        <f>'DATA TRANSFER'!F28</f>
        <v/>
      </c>
      <c r="G26" s="318" t="n"/>
      <c r="H26" s="318" t="n"/>
      <c r="I26" s="318" t="n"/>
      <c r="J26" s="318" t="n"/>
      <c r="K26" s="318" t="n"/>
      <c r="L26" s="318" t="n"/>
      <c r="M26" s="318" t="n"/>
      <c r="N26" s="318" t="n"/>
      <c r="O26" s="318" t="n"/>
      <c r="P26" s="318" t="n"/>
      <c r="Q26" s="318" t="n"/>
      <c r="R26" s="318">
        <f>IF(AND(D26:Q26),1,0)</f>
        <v/>
      </c>
    </row>
    <row r="27" ht="20.15" customHeight="1">
      <c r="A27" s="318" t="n"/>
      <c r="B27" s="72" t="n"/>
      <c r="C27" s="72" t="n"/>
      <c r="D27" s="72" t="n"/>
      <c r="E27" s="72" t="n"/>
      <c r="F27" s="318" t="n"/>
      <c r="G27" s="318" t="n"/>
      <c r="H27" s="318">
        <f>IF(OR(F24:F26),1,0)</f>
        <v/>
      </c>
      <c r="I27" s="318" t="n"/>
      <c r="J27" s="318" t="n"/>
      <c r="K27" s="318" t="n"/>
      <c r="L27" s="318" t="n"/>
      <c r="M27" s="318" t="n"/>
      <c r="N27" s="318" t="n"/>
      <c r="O27" s="318" t="n"/>
      <c r="P27" s="318" t="n"/>
      <c r="Q27" s="318" t="n"/>
      <c r="R27" s="318">
        <f>IF(AND(F27:Q27),1,0)</f>
        <v/>
      </c>
    </row>
    <row r="28" ht="20.15" customHeight="1">
      <c r="A28" s="318" t="n">
        <v>4</v>
      </c>
      <c r="B28" s="72" t="inlineStr">
        <is>
          <t>Driver_by_pass_command</t>
        </is>
      </c>
      <c r="C28" s="72" t="n"/>
      <c r="D28" s="72" t="n"/>
      <c r="E28" s="72" t="n"/>
      <c r="F28" s="318" t="n">
        <v>0</v>
      </c>
      <c r="G28" s="318">
        <f>IF(NOT(F28),1,0)</f>
        <v/>
      </c>
      <c r="H28" s="318" t="n"/>
      <c r="I28" s="318" t="n"/>
      <c r="J28" s="318" t="n"/>
      <c r="K28" s="318" t="n"/>
      <c r="L28" s="318" t="n"/>
      <c r="M28" s="318" t="n"/>
      <c r="N28" s="318" t="n"/>
      <c r="O28" s="318" t="n"/>
      <c r="P28" s="318" t="n"/>
      <c r="Q28" s="318" t="n"/>
      <c r="R28" s="318">
        <f>IF(AND(D28:Q28),1,0)</f>
        <v/>
      </c>
    </row>
    <row r="29" ht="20.15" customHeight="1">
      <c r="A29" s="318" t="n">
        <v>5</v>
      </c>
      <c r="B29" s="72" t="inlineStr">
        <is>
          <t>FADR_closed</t>
        </is>
      </c>
      <c r="C29" s="72" t="n"/>
      <c r="D29" s="72" t="n"/>
      <c r="E29" s="72" t="n"/>
      <c r="F29" s="318">
        <f>Calculation!B28</f>
        <v/>
      </c>
      <c r="G29" s="318" t="n"/>
      <c r="H29" s="318" t="n"/>
      <c r="I29" s="318" t="n"/>
      <c r="J29" s="318" t="n"/>
      <c r="K29" s="318" t="n"/>
      <c r="L29" s="318" t="n"/>
      <c r="M29" s="318" t="n"/>
      <c r="N29" s="318" t="n"/>
      <c r="O29" s="318" t="n"/>
      <c r="P29" s="318" t="n"/>
      <c r="Q29" s="318" t="n"/>
      <c r="R29" s="318">
        <f>IF(AND(F29:Q29),1,0)</f>
        <v/>
      </c>
    </row>
    <row r="30" ht="20.15" customHeight="1">
      <c r="A30" s="148" t="n">
        <v>6</v>
      </c>
      <c r="B30" s="149" t="inlineStr">
        <is>
          <t>Fresh_air_Damper_Close(FAD)</t>
        </is>
      </c>
      <c r="C30" s="149" t="n"/>
      <c r="D30" s="149" t="n"/>
      <c r="E30" s="149" t="n"/>
      <c r="F30" s="148" t="n"/>
      <c r="G30" s="148" t="n"/>
      <c r="H30" s="148">
        <f>IF(AND(H27,G28,F29),1,0)</f>
        <v/>
      </c>
      <c r="I30" s="148" t="n"/>
      <c r="J30" s="148" t="n"/>
      <c r="K30" s="148" t="n"/>
      <c r="L30" s="148" t="n"/>
      <c r="M30" s="148" t="n"/>
      <c r="N30" s="148" t="n"/>
      <c r="O30" s="148" t="n"/>
      <c r="P30" s="148" t="n"/>
      <c r="Q30" s="148" t="n"/>
      <c r="R30" s="148">
        <f>IF(AND(D30:Q30),1,0)</f>
        <v/>
      </c>
    </row>
    <row r="34" ht="20.15" customHeight="1">
      <c r="A34" s="823" t="inlineStr">
        <is>
          <t>2. HVAC emergency ventilation Control</t>
        </is>
      </c>
      <c r="B34" s="869" t="n"/>
      <c r="C34" s="869" t="n"/>
      <c r="D34" s="869" t="n"/>
      <c r="E34" s="869" t="n"/>
      <c r="F34" s="869" t="n"/>
      <c r="G34" s="869" t="n"/>
      <c r="H34" s="869" t="n"/>
      <c r="I34" s="869" t="n"/>
      <c r="J34" s="869" t="n"/>
      <c r="K34" s="869" t="n"/>
      <c r="L34" s="869" t="n"/>
      <c r="M34" s="869" t="n"/>
      <c r="N34" s="869" t="n"/>
      <c r="O34" s="869" t="n"/>
      <c r="P34" s="869" t="n"/>
      <c r="Q34" s="869" t="n"/>
      <c r="R34" s="870" t="n"/>
    </row>
    <row r="35" ht="20.15" customHeight="1">
      <c r="A35" s="318" t="n">
        <v>1</v>
      </c>
      <c r="B35" s="72" t="inlineStr">
        <is>
          <t>APS1_healthy</t>
        </is>
      </c>
      <c r="C35" s="72" t="n"/>
      <c r="D35" s="72" t="n"/>
      <c r="E35" s="72" t="n"/>
      <c r="F35" s="318">
        <f>HVAC_IOs!D15</f>
        <v/>
      </c>
      <c r="G35" s="318">
        <f>IF(NOT(F35),1,0)</f>
        <v/>
      </c>
      <c r="H35" s="318" t="n"/>
      <c r="I35" s="318" t="n"/>
      <c r="J35" s="318" t="n"/>
      <c r="K35" s="318" t="n"/>
      <c r="L35" s="318" t="n"/>
      <c r="M35" s="318" t="n"/>
      <c r="N35" s="318" t="n"/>
      <c r="O35" s="318" t="n"/>
      <c r="P35" s="318" t="n"/>
      <c r="Q35" s="318" t="n"/>
      <c r="R35" s="318">
        <f>IF(AND(F35:Q35),1,0)</f>
        <v/>
      </c>
    </row>
    <row r="36" ht="20.15" customHeight="1">
      <c r="A36" s="318" t="n">
        <v>2</v>
      </c>
      <c r="B36" s="72" t="inlineStr">
        <is>
          <t>APS2_Healthy</t>
        </is>
      </c>
      <c r="C36" s="72" t="n"/>
      <c r="D36" s="72" t="n"/>
      <c r="E36" s="72" t="n"/>
      <c r="F36" s="318">
        <f>HVAC_IOs!D26</f>
        <v/>
      </c>
      <c r="G36" s="318">
        <f>IF(NOT(F36),1,0)</f>
        <v/>
      </c>
      <c r="H36" s="318" t="n"/>
      <c r="I36" s="318" t="n"/>
      <c r="J36" s="318" t="n"/>
      <c r="K36" s="318" t="n"/>
      <c r="L36" s="318" t="n"/>
      <c r="M36" s="318" t="n"/>
      <c r="N36" s="318" t="n"/>
      <c r="O36" s="318" t="n"/>
      <c r="P36" s="318" t="n"/>
      <c r="Q36" s="318" t="n"/>
      <c r="R36" s="318">
        <f>IF(AND(F36:Q36),1,0)</f>
        <v/>
      </c>
    </row>
    <row r="37" ht="20.15" customHeight="1">
      <c r="A37" s="318" t="n"/>
      <c r="B37" s="72" t="inlineStr">
        <is>
          <t>LFC05</t>
        </is>
      </c>
      <c r="C37" s="72" t="n"/>
      <c r="D37" s="72" t="n"/>
      <c r="E37" s="72" t="n"/>
      <c r="F37" s="318" t="n"/>
      <c r="G37" s="318" t="n"/>
      <c r="H37" s="318">
        <f>IF(OR(G35:G36),1,0)</f>
        <v/>
      </c>
      <c r="I37" s="318" t="n"/>
      <c r="J37" s="318" t="n"/>
      <c r="K37" s="318" t="n"/>
      <c r="L37" s="318" t="n"/>
      <c r="M37" s="318" t="n"/>
      <c r="N37" s="318" t="n"/>
      <c r="O37" s="318" t="n"/>
      <c r="P37" s="318" t="n"/>
      <c r="Q37" s="318" t="n"/>
      <c r="R37" s="318" t="n"/>
    </row>
    <row r="38" ht="20.15" customHeight="1">
      <c r="A38" s="318" t="n">
        <v>3</v>
      </c>
      <c r="B38" s="72" t="inlineStr">
        <is>
          <t>110V_Battery_supply</t>
        </is>
      </c>
      <c r="C38" s="72" t="n"/>
      <c r="D38" s="72" t="n"/>
      <c r="E38" s="72" t="n"/>
      <c r="F38" s="318">
        <f>HVAC_IOs!D25</f>
        <v/>
      </c>
      <c r="G38" s="318" t="n"/>
      <c r="H38" s="318" t="n"/>
      <c r="I38" s="318" t="n"/>
      <c r="J38" s="318" t="n"/>
      <c r="K38" s="318" t="n"/>
      <c r="L38" s="318" t="n"/>
      <c r="M38" s="318" t="n"/>
      <c r="N38" s="318" t="n"/>
      <c r="O38" s="318" t="n"/>
      <c r="P38" s="318" t="n"/>
      <c r="Q38" s="318" t="n"/>
      <c r="R38" s="318">
        <f>IF(AND(F38:Q38),1,0)</f>
        <v/>
      </c>
    </row>
    <row r="39" ht="20.15" customHeight="1">
      <c r="A39" s="318" t="n">
        <v>4</v>
      </c>
      <c r="B39" s="72" t="inlineStr">
        <is>
          <t>APS1_healthy</t>
        </is>
      </c>
      <c r="C39" s="72" t="n"/>
      <c r="D39" s="72" t="n"/>
      <c r="E39" s="72" t="n"/>
      <c r="F39" s="318">
        <f>F35</f>
        <v/>
      </c>
      <c r="G39" s="318">
        <f>IF(NOT(F39),1,0)</f>
        <v/>
      </c>
      <c r="H39" s="318" t="n"/>
      <c r="I39" s="318" t="n"/>
      <c r="J39" s="318" t="n"/>
      <c r="K39" s="318" t="n"/>
      <c r="L39" s="318" t="n"/>
      <c r="M39" s="318" t="n"/>
      <c r="N39" s="318" t="n"/>
      <c r="O39" s="318" t="n"/>
      <c r="P39" s="318" t="n"/>
      <c r="Q39" s="318" t="n"/>
      <c r="R39" s="318">
        <f>IF(AND(F39:Q39),1,0)</f>
        <v/>
      </c>
    </row>
    <row r="40" ht="20.15" customHeight="1">
      <c r="A40" s="318" t="n">
        <v>5</v>
      </c>
      <c r="B40" s="72" t="inlineStr">
        <is>
          <t>APS2_healthy</t>
        </is>
      </c>
      <c r="C40" s="72" t="n"/>
      <c r="D40" s="72" t="n"/>
      <c r="E40" s="72" t="n"/>
      <c r="F40" s="318">
        <f>F36</f>
        <v/>
      </c>
      <c r="G40" s="318">
        <f>IF(NOT(F40),1,0)</f>
        <v/>
      </c>
      <c r="H40" s="318" t="n"/>
      <c r="I40" s="318" t="n"/>
      <c r="J40" s="318" t="n"/>
      <c r="K40" s="318" t="n"/>
      <c r="L40" s="318" t="n"/>
      <c r="M40" s="318" t="n"/>
      <c r="N40" s="318" t="n"/>
      <c r="O40" s="318" t="n"/>
      <c r="P40" s="318" t="n"/>
      <c r="Q40" s="318" t="n"/>
      <c r="R40" s="318">
        <f>IF(AND(F40:Q40),1,0)</f>
        <v/>
      </c>
    </row>
    <row r="41" ht="20.15" customHeight="1">
      <c r="A41" s="318" t="n"/>
      <c r="B41" s="72" t="inlineStr">
        <is>
          <t>LFC11</t>
        </is>
      </c>
      <c r="C41" s="72" t="n"/>
      <c r="D41" s="72" t="n"/>
      <c r="E41" s="72" t="n"/>
      <c r="F41" s="318" t="n"/>
      <c r="G41" s="318" t="n"/>
      <c r="H41" s="318">
        <f>IF(AND(F38,G39:G40),1,0)</f>
        <v/>
      </c>
      <c r="I41" s="318" t="n"/>
      <c r="J41" s="318" t="n"/>
      <c r="K41" s="318" t="n"/>
      <c r="L41" s="318" t="n"/>
      <c r="M41" s="318" t="n"/>
      <c r="N41" s="318" t="n"/>
      <c r="O41" s="318" t="n"/>
      <c r="P41" s="318" t="n"/>
      <c r="Q41" s="318" t="n"/>
      <c r="R41" s="318" t="n"/>
    </row>
    <row r="42" ht="20.15" customHeight="1">
      <c r="A42" s="318" t="n">
        <v>6</v>
      </c>
      <c r="B42" s="72" t="inlineStr">
        <is>
          <t>VDU command</t>
        </is>
      </c>
      <c r="C42" s="72" t="n"/>
      <c r="D42" s="72" t="n"/>
      <c r="E42" s="72" t="n"/>
      <c r="F42" s="318">
        <f>HVAC_IOs!D27</f>
        <v/>
      </c>
      <c r="G42" s="318" t="n"/>
      <c r="H42" s="318" t="n"/>
      <c r="I42" s="318" t="n"/>
      <c r="J42" s="318" t="n"/>
      <c r="K42" s="318" t="n"/>
      <c r="L42" s="318" t="n"/>
      <c r="M42" s="318" t="n"/>
      <c r="N42" s="318" t="n"/>
      <c r="O42" s="318" t="n"/>
      <c r="P42" s="318" t="n"/>
      <c r="Q42" s="318" t="n"/>
      <c r="R42" s="318">
        <f>IF(AND(F42:Q42),1,0)</f>
        <v/>
      </c>
    </row>
    <row r="43" ht="20.15" customHeight="1">
      <c r="A43" s="318" t="n">
        <v>7</v>
      </c>
      <c r="B43" s="72" t="inlineStr">
        <is>
          <t>HVAC system status</t>
        </is>
      </c>
      <c r="C43" s="72" t="n"/>
      <c r="D43" s="72" t="n"/>
      <c r="E43" s="72" t="n"/>
      <c r="F43" s="318">
        <f>IF(Calculation!B56=1,0,1)</f>
        <v/>
      </c>
      <c r="G43" s="318" t="n"/>
      <c r="H43" s="318" t="n"/>
      <c r="I43" s="318" t="n"/>
      <c r="J43" s="318" t="n"/>
      <c r="K43" s="318" t="n"/>
      <c r="L43" s="318" t="n"/>
      <c r="M43" s="318" t="n"/>
      <c r="N43" s="318" t="n"/>
      <c r="O43" s="318" t="n"/>
      <c r="P43" s="318" t="n"/>
      <c r="Q43" s="318" t="n"/>
      <c r="R43" s="318">
        <f>IF(AND(F43:Q43),1,0)</f>
        <v/>
      </c>
    </row>
    <row r="44" ht="20.15" customHeight="1">
      <c r="A44" s="148" t="n">
        <v>8</v>
      </c>
      <c r="B44" s="149" t="inlineStr">
        <is>
          <t>Emergency ventilation</t>
        </is>
      </c>
      <c r="C44" s="149" t="n"/>
      <c r="D44" s="149" t="n"/>
      <c r="E44" s="149" t="n"/>
      <c r="F44" s="148" t="n"/>
      <c r="G44" s="148" t="n"/>
      <c r="H44" s="148" t="n"/>
      <c r="I44" s="148">
        <f>IF(OR(H37,H41,F42),1,0)</f>
        <v/>
      </c>
      <c r="J44" s="148" t="n"/>
      <c r="K44" s="148" t="n"/>
      <c r="L44" s="148" t="n"/>
      <c r="M44" s="148" t="n"/>
      <c r="N44" s="148" t="n"/>
      <c r="O44" s="148" t="n"/>
      <c r="P44" s="148" t="n"/>
      <c r="Q44" s="148" t="n"/>
      <c r="R44" s="148">
        <f>IF(AND(F44:Q44),1,0)</f>
        <v/>
      </c>
    </row>
    <row r="45" ht="25" customHeight="1">
      <c r="A45" s="148" t="n">
        <v>9</v>
      </c>
      <c r="B45" s="149" t="inlineStr">
        <is>
          <t>Feedback_indication</t>
        </is>
      </c>
      <c r="C45" s="149" t="n"/>
      <c r="D45" s="149" t="n"/>
      <c r="E45" s="149" t="n"/>
      <c r="F45" s="148" t="n"/>
      <c r="G45" s="148" t="n"/>
      <c r="H45" s="148" t="n"/>
      <c r="I45" s="148">
        <f>F43</f>
        <v/>
      </c>
      <c r="J45" s="148" t="n"/>
      <c r="K45" s="148" t="n"/>
      <c r="L45" s="148" t="n"/>
      <c r="M45" s="148" t="n"/>
      <c r="N45" s="148" t="n"/>
      <c r="O45" s="148" t="n"/>
      <c r="P45" s="148" t="n"/>
      <c r="Q45" s="148" t="n"/>
      <c r="R45" s="148">
        <f>IF(AND(F45:Q45),1,0)</f>
        <v/>
      </c>
    </row>
    <row r="48" ht="20.15" customHeight="1">
      <c r="A48" s="823" t="inlineStr">
        <is>
          <t>3. HVAC Staggered Starting</t>
        </is>
      </c>
      <c r="B48" s="869" t="n"/>
      <c r="C48" s="869" t="n"/>
      <c r="D48" s="869" t="n"/>
      <c r="E48" s="869" t="n"/>
      <c r="F48" s="869" t="n"/>
      <c r="G48" s="869" t="n"/>
      <c r="H48" s="869" t="n"/>
      <c r="I48" s="869" t="n"/>
      <c r="J48" s="869" t="n"/>
      <c r="K48" s="869" t="n"/>
      <c r="L48" s="869" t="n"/>
      <c r="M48" s="869" t="n"/>
      <c r="N48" s="869" t="n"/>
      <c r="O48" s="869" t="n"/>
      <c r="P48" s="869" t="n"/>
      <c r="Q48" s="869" t="n"/>
      <c r="R48" s="870" t="n"/>
    </row>
    <row r="49" ht="20.15" customHeight="1">
      <c r="A49" s="318" t="n">
        <v>1</v>
      </c>
      <c r="B49" s="350" t="inlineStr">
        <is>
          <t>APS_1_ok</t>
        </is>
      </c>
      <c r="C49" s="72" t="n"/>
      <c r="D49" s="72" t="n"/>
      <c r="E49" s="72" t="n"/>
      <c r="F49" s="318">
        <f>HVAC_IOs!D15</f>
        <v/>
      </c>
      <c r="G49" s="318" t="n"/>
      <c r="H49" s="318" t="n"/>
      <c r="I49" s="318" t="n"/>
      <c r="J49" s="318" t="n"/>
      <c r="K49" s="318" t="n"/>
      <c r="L49" s="318" t="n"/>
      <c r="M49" s="318" t="n"/>
      <c r="N49" s="318" t="n"/>
      <c r="O49" s="318" t="n"/>
      <c r="P49" s="318" t="n"/>
      <c r="Q49" s="318" t="n"/>
      <c r="R49" s="318">
        <f>IF(AND(F49:Q49),1,0)</f>
        <v/>
      </c>
    </row>
    <row r="50" ht="20.15" customHeight="1">
      <c r="A50" s="318" t="n">
        <v>2</v>
      </c>
      <c r="B50" s="350" t="inlineStr">
        <is>
          <t>APS_2_ok</t>
        </is>
      </c>
      <c r="C50" s="72" t="n"/>
      <c r="D50" s="72" t="n"/>
      <c r="E50" s="72" t="n"/>
      <c r="F50" s="318">
        <f>HVAC_IOs!D26</f>
        <v/>
      </c>
      <c r="G50" s="318" t="n"/>
      <c r="H50" s="318" t="n"/>
      <c r="I50" s="318" t="n"/>
      <c r="J50" s="318" t="n"/>
      <c r="K50" s="318" t="n"/>
      <c r="L50" s="318" t="n"/>
      <c r="M50" s="318" t="n"/>
      <c r="N50" s="318" t="n"/>
      <c r="O50" s="318" t="n"/>
      <c r="P50" s="318" t="n"/>
      <c r="Q50" s="318" t="n"/>
      <c r="R50" s="318">
        <f>IF(AND(F50:Q50),1,0)</f>
        <v/>
      </c>
    </row>
    <row r="51" ht="20.15" customHeight="1">
      <c r="A51" s="318" t="n"/>
      <c r="B51" s="350" t="inlineStr">
        <is>
          <t>LFC 03</t>
        </is>
      </c>
      <c r="C51" s="72" t="n"/>
      <c r="D51" s="72" t="n"/>
      <c r="E51" s="72" t="n"/>
      <c r="F51" s="318" t="n"/>
      <c r="G51" s="318">
        <f>IF(AND(F49:F50),1,0)</f>
        <v/>
      </c>
      <c r="H51" s="318" t="n"/>
      <c r="I51" s="318" t="n"/>
      <c r="J51" s="318" t="n"/>
      <c r="K51" s="318" t="n"/>
      <c r="L51" s="318" t="n"/>
      <c r="M51" s="318" t="n"/>
      <c r="N51" s="318" t="n"/>
      <c r="O51" s="318" t="n"/>
      <c r="P51" s="318" t="n"/>
      <c r="Q51" s="318" t="n"/>
      <c r="R51" s="318" t="n"/>
    </row>
    <row r="52" ht="20.15" customHeight="1">
      <c r="A52" s="318" t="n">
        <v>3</v>
      </c>
      <c r="B52" s="350" t="inlineStr">
        <is>
          <t>START_Command_TCMS</t>
        </is>
      </c>
      <c r="C52" s="72" t="n"/>
      <c r="D52" s="72" t="n"/>
      <c r="E52" s="72" t="n"/>
      <c r="F52" s="318">
        <f>HVAC_IOs!D18</f>
        <v/>
      </c>
      <c r="G52" s="318" t="n"/>
      <c r="H52" s="318" t="n"/>
      <c r="I52" s="318" t="n"/>
      <c r="J52" s="318" t="n"/>
      <c r="K52" s="318" t="n"/>
      <c r="L52" s="318" t="n"/>
      <c r="M52" s="318" t="n"/>
      <c r="N52" s="318" t="n"/>
      <c r="O52" s="318" t="n"/>
      <c r="P52" s="318" t="n"/>
      <c r="Q52" s="318" t="n"/>
      <c r="R52" s="318">
        <f>IF(AND(F52:Q52),1,0)</f>
        <v/>
      </c>
    </row>
    <row r="53" ht="20.15" customHeight="1">
      <c r="A53" s="318" t="n">
        <v>4</v>
      </c>
      <c r="B53" s="350" t="inlineStr">
        <is>
          <t>START_allow</t>
        </is>
      </c>
      <c r="C53" s="72" t="n"/>
      <c r="D53" s="72" t="n"/>
      <c r="E53" s="72" t="n"/>
      <c r="F53" s="318">
        <f>G58</f>
        <v/>
      </c>
      <c r="G53" s="318" t="n"/>
      <c r="H53" s="318" t="n"/>
      <c r="I53" s="318" t="n"/>
      <c r="J53" s="318" t="n"/>
      <c r="K53" s="318" t="n"/>
      <c r="L53" s="318" t="n"/>
      <c r="M53" s="318" t="n"/>
      <c r="N53" s="318" t="n"/>
      <c r="O53" s="318" t="n"/>
      <c r="P53" s="318" t="n"/>
      <c r="Q53" s="318" t="n"/>
      <c r="R53" s="318">
        <f>IF(AND(F53:Q53),1,10)</f>
        <v/>
      </c>
    </row>
    <row r="54" ht="20.15" customHeight="1">
      <c r="A54" s="318" t="n">
        <v>5</v>
      </c>
      <c r="B54" s="350" t="inlineStr">
        <is>
          <t>Comp_2_Start</t>
        </is>
      </c>
      <c r="C54" s="72" t="n"/>
      <c r="D54" s="72" t="n"/>
      <c r="E54" s="72" t="n"/>
      <c r="F54" s="318">
        <f>G61</f>
        <v/>
      </c>
      <c r="G54" s="318" t="n"/>
      <c r="H54" s="318" t="n"/>
      <c r="I54" s="318" t="n"/>
      <c r="J54" s="318" t="n"/>
      <c r="K54" s="318" t="n"/>
      <c r="L54" s="318" t="n"/>
      <c r="M54" s="318" t="n"/>
      <c r="N54" s="318" t="n"/>
      <c r="O54" s="318" t="n"/>
      <c r="P54" s="318" t="n"/>
      <c r="Q54" s="318" t="n"/>
      <c r="R54" s="318">
        <f>IF(AND(F54:Q54),1,0)</f>
        <v/>
      </c>
    </row>
    <row r="55" ht="20.15" customHeight="1">
      <c r="A55" s="318" t="n">
        <v>6</v>
      </c>
      <c r="B55" s="350" t="inlineStr">
        <is>
          <t>Load_Cooling_Level_5</t>
        </is>
      </c>
      <c r="C55" s="72" t="n"/>
      <c r="D55" s="72" t="n"/>
      <c r="E55" s="72" t="n"/>
      <c r="F55" s="324" t="n">
        <v>1</v>
      </c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>
        <f>IF(AND(F55:Q55),1,0)</f>
        <v/>
      </c>
    </row>
    <row r="56" ht="20.15" customHeight="1">
      <c r="A56" s="318" t="n">
        <v>7</v>
      </c>
      <c r="B56" s="350" t="inlineStr">
        <is>
          <t>Comp_3_Start</t>
        </is>
      </c>
      <c r="C56" s="72" t="n"/>
      <c r="D56" s="72" t="n"/>
      <c r="E56" s="72" t="n"/>
      <c r="F56" s="318">
        <f>G63</f>
        <v/>
      </c>
      <c r="G56" s="318" t="n"/>
      <c r="H56" s="318" t="n"/>
      <c r="I56" s="318" t="n"/>
      <c r="J56" s="318" t="n"/>
      <c r="K56" s="318" t="n"/>
      <c r="L56" s="318" t="n"/>
      <c r="M56" s="318" t="n"/>
      <c r="N56" s="318" t="n"/>
      <c r="O56" s="318" t="n"/>
      <c r="P56" s="318" t="n"/>
      <c r="Q56" s="318" t="n"/>
      <c r="R56" s="318">
        <f>IF(AND(F56:Q56),1,0)</f>
        <v/>
      </c>
    </row>
    <row r="57" ht="20.15" customHeight="1">
      <c r="A57" s="318" t="n">
        <v>8</v>
      </c>
      <c r="B57" s="350" t="inlineStr">
        <is>
          <t>Load_Cooling_level_7</t>
        </is>
      </c>
      <c r="C57" s="72" t="n"/>
      <c r="D57" s="72" t="n"/>
      <c r="E57" s="72" t="n"/>
      <c r="F57" s="324" t="n">
        <v>1</v>
      </c>
      <c r="G57" s="318" t="n"/>
      <c r="H57" s="318" t="n"/>
      <c r="I57" s="318" t="n"/>
      <c r="J57" s="318" t="n"/>
      <c r="K57" s="318" t="n"/>
      <c r="L57" s="318" t="n"/>
      <c r="M57" s="318" t="n"/>
      <c r="N57" s="318" t="n"/>
      <c r="O57" s="318" t="n"/>
      <c r="P57" s="318" t="n"/>
      <c r="Q57" s="318" t="n"/>
      <c r="R57" s="318">
        <f>IF(AND(F57:Q57),1,0)</f>
        <v/>
      </c>
    </row>
    <row r="58" ht="20.15" customHeight="1">
      <c r="A58" s="148" t="n">
        <v>9</v>
      </c>
      <c r="B58" s="351" t="inlineStr">
        <is>
          <t>START_allow</t>
        </is>
      </c>
      <c r="C58" s="149" t="n"/>
      <c r="D58" s="149" t="n"/>
      <c r="E58" s="149" t="n"/>
      <c r="F58" s="148" t="n"/>
      <c r="G58" s="148">
        <f>IF(AND(G51,B52),1,0)</f>
        <v/>
      </c>
      <c r="H58" s="148" t="n"/>
      <c r="I58" s="148" t="n"/>
      <c r="J58" s="148" t="n"/>
      <c r="K58" s="148" t="n"/>
      <c r="L58" s="148" t="n"/>
      <c r="M58" s="148" t="n"/>
      <c r="N58" s="148" t="n"/>
      <c r="O58" s="148" t="n"/>
      <c r="P58" s="148" t="n"/>
      <c r="Q58" s="148" t="n"/>
      <c r="R58" s="148">
        <f>IF(AND(F58:Q58),1,0)</f>
        <v/>
      </c>
    </row>
    <row r="59" ht="20.15" customHeight="1">
      <c r="A59" s="148" t="n">
        <v>10</v>
      </c>
      <c r="B59" s="351" t="inlineStr">
        <is>
          <t>Comp_1_Start</t>
        </is>
      </c>
      <c r="C59" s="149" t="n"/>
      <c r="D59" s="149" t="n"/>
      <c r="E59" s="149" t="n"/>
      <c r="F59" s="148" t="n"/>
      <c r="G59" s="148">
        <f>F53</f>
        <v/>
      </c>
      <c r="H59" s="148" t="n"/>
      <c r="I59" s="148" t="n"/>
      <c r="J59" s="148" t="n"/>
      <c r="K59" s="148" t="n"/>
      <c r="L59" s="148" t="n"/>
      <c r="M59" s="148" t="n"/>
      <c r="N59" s="148" t="n"/>
      <c r="O59" s="148" t="n"/>
      <c r="P59" s="148" t="n"/>
      <c r="Q59" s="148" t="n"/>
      <c r="R59" s="148">
        <f>IF(AND(G59:Q59),1,0)</f>
        <v/>
      </c>
    </row>
    <row r="60" ht="20.15" customFormat="1" customHeight="1" s="72">
      <c r="A60" s="318" t="n">
        <v>11</v>
      </c>
      <c r="B60" s="350" t="inlineStr">
        <is>
          <t>1_sec_delay</t>
        </is>
      </c>
      <c r="G60" s="318">
        <f>F53</f>
        <v/>
      </c>
      <c r="R60" s="72">
        <f>IF(AND(G60:Q60),1,0)</f>
        <v/>
      </c>
    </row>
    <row r="61" ht="20.15" customHeight="1">
      <c r="A61" s="148" t="n">
        <v>12</v>
      </c>
      <c r="B61" s="351" t="inlineStr">
        <is>
          <t>Comp_2_Start</t>
        </is>
      </c>
      <c r="C61" s="149" t="n"/>
      <c r="D61" s="149" t="n"/>
      <c r="E61" s="149" t="n"/>
      <c r="F61" s="148" t="n"/>
      <c r="G61" s="148">
        <f>G60</f>
        <v/>
      </c>
      <c r="H61" s="148" t="n"/>
      <c r="I61" s="148" t="n"/>
      <c r="J61" s="148" t="n"/>
      <c r="K61" s="148" t="n"/>
      <c r="L61" s="148" t="n"/>
      <c r="M61" s="148" t="n"/>
      <c r="N61" s="148" t="n"/>
      <c r="O61" s="148" t="n"/>
      <c r="P61" s="148" t="n"/>
      <c r="Q61" s="148" t="n"/>
      <c r="R61" s="148">
        <f>IF(AND(G61:Q61),1,0)</f>
        <v/>
      </c>
    </row>
    <row r="62" ht="20.15" customHeight="1">
      <c r="A62" s="148" t="n">
        <v>13</v>
      </c>
      <c r="B62" s="351" t="inlineStr">
        <is>
          <t>1_sec_delay</t>
        </is>
      </c>
      <c r="C62" s="149" t="n"/>
      <c r="D62" s="149" t="n"/>
      <c r="E62" s="149" t="n"/>
      <c r="F62" s="148" t="n"/>
      <c r="G62" s="148">
        <f>IF(AND(F54:F55),1,0)</f>
        <v/>
      </c>
      <c r="H62" s="148" t="n"/>
      <c r="I62" s="148" t="n"/>
      <c r="J62" s="148" t="n"/>
      <c r="K62" s="148" t="n"/>
      <c r="L62" s="148" t="n"/>
      <c r="M62" s="148" t="n"/>
      <c r="N62" s="148" t="n"/>
      <c r="O62" s="148" t="n"/>
      <c r="P62" s="148" t="n"/>
      <c r="Q62" s="148" t="n"/>
      <c r="R62" s="148">
        <f>IF(AND(G62:Q62),1,0)</f>
        <v/>
      </c>
    </row>
    <row r="63" ht="20.15" customHeight="1">
      <c r="A63" s="148" t="n">
        <v>14</v>
      </c>
      <c r="B63" s="351" t="inlineStr">
        <is>
          <t>Com_3_start</t>
        </is>
      </c>
      <c r="C63" s="149" t="n"/>
      <c r="D63" s="149" t="n"/>
      <c r="E63" s="149" t="n"/>
      <c r="F63" s="148" t="n"/>
      <c r="G63" s="148">
        <f>G62</f>
        <v/>
      </c>
      <c r="H63" s="148" t="n"/>
      <c r="I63" s="148" t="n"/>
      <c r="J63" s="148" t="n"/>
      <c r="K63" s="148" t="n"/>
      <c r="L63" s="148" t="n"/>
      <c r="M63" s="148" t="n"/>
      <c r="N63" s="148" t="n"/>
      <c r="O63" s="148" t="n"/>
      <c r="P63" s="148" t="n"/>
      <c r="Q63" s="148" t="n"/>
      <c r="R63" s="148">
        <f>IF(AND(G63:Q63),1,0)</f>
        <v/>
      </c>
    </row>
    <row r="64" ht="20.15" customHeight="1">
      <c r="A64" s="148" t="n">
        <v>15</v>
      </c>
      <c r="B64" s="351" t="inlineStr">
        <is>
          <t>1_sec_delay</t>
        </is>
      </c>
      <c r="C64" s="149" t="n"/>
      <c r="D64" s="149" t="n"/>
      <c r="E64" s="149" t="n"/>
      <c r="F64" s="148" t="n"/>
      <c r="G64" s="148">
        <f>IF(AND(F56:F57),1,0)</f>
        <v/>
      </c>
      <c r="H64" s="148" t="n"/>
      <c r="I64" s="148" t="n"/>
      <c r="J64" s="148" t="n"/>
      <c r="K64" s="148" t="n"/>
      <c r="L64" s="148" t="n"/>
      <c r="M64" s="148" t="n"/>
      <c r="N64" s="148" t="n"/>
      <c r="O64" s="148" t="n"/>
      <c r="P64" s="148" t="n"/>
      <c r="Q64" s="148" t="n"/>
      <c r="R64" s="148">
        <f>IF(AND(G64:Q64),1,0)</f>
        <v/>
      </c>
    </row>
    <row r="65" ht="20.15" customHeight="1">
      <c r="A65" s="148" t="n">
        <v>16</v>
      </c>
      <c r="B65" s="351" t="inlineStr">
        <is>
          <t>comp_4_start</t>
        </is>
      </c>
      <c r="C65" s="149" t="n"/>
      <c r="D65" s="149" t="n"/>
      <c r="E65" s="149" t="n"/>
      <c r="F65" s="148" t="n"/>
      <c r="G65" s="148">
        <f>G64</f>
        <v/>
      </c>
      <c r="H65" s="148" t="n"/>
      <c r="I65" s="148" t="n"/>
      <c r="J65" s="148" t="n"/>
      <c r="K65" s="148" t="n"/>
      <c r="L65" s="148" t="n"/>
      <c r="M65" s="148" t="n"/>
      <c r="N65" s="148" t="n"/>
      <c r="O65" s="148" t="n"/>
      <c r="P65" s="148" t="n"/>
      <c r="Q65" s="148" t="n"/>
      <c r="R65" s="148">
        <f>IF(AND(G65:Q65),1,0)</f>
        <v/>
      </c>
    </row>
    <row r="70" ht="20.15" customHeight="1">
      <c r="A70" s="824" t="inlineStr">
        <is>
          <t>4. Out side Smoke</t>
        </is>
      </c>
      <c r="B70" s="869" t="n"/>
      <c r="C70" s="869" t="n"/>
      <c r="D70" s="869" t="n"/>
      <c r="E70" s="869" t="n"/>
      <c r="F70" s="869" t="n"/>
      <c r="G70" s="869" t="n"/>
      <c r="H70" s="869" t="n"/>
      <c r="I70" s="869" t="n"/>
      <c r="J70" s="869" t="n"/>
      <c r="K70" s="869" t="n"/>
      <c r="L70" s="869" t="n"/>
      <c r="M70" s="869" t="n"/>
      <c r="N70" s="869" t="n"/>
      <c r="O70" s="869" t="n"/>
      <c r="P70" s="869" t="n"/>
      <c r="Q70" s="869" t="n"/>
      <c r="R70" s="870" t="n"/>
    </row>
    <row r="71" ht="20.15" customHeight="1">
      <c r="A71" s="65" t="n">
        <v>1</v>
      </c>
      <c r="B71" s="66" t="inlineStr">
        <is>
          <t>HVAC1_SMDR_de-energized</t>
        </is>
      </c>
      <c r="C71" s="66" t="n"/>
      <c r="D71" s="66" t="n"/>
      <c r="E71" s="66" t="n"/>
      <c r="F71" s="65">
        <f>HVAC_IOs!D5</f>
        <v/>
      </c>
      <c r="G71" s="65" t="n"/>
      <c r="H71" s="65" t="n"/>
      <c r="I71" s="65" t="n"/>
      <c r="J71" s="65" t="n"/>
      <c r="K71" s="65" t="n"/>
      <c r="L71" s="65" t="n"/>
      <c r="M71" s="65" t="n"/>
      <c r="N71" s="65" t="n"/>
      <c r="O71" s="65" t="n"/>
      <c r="P71" s="65" t="n"/>
      <c r="Q71" s="65" t="n"/>
      <c r="R71" s="65">
        <f>IF(AND(F71:Q71),1,0)</f>
        <v/>
      </c>
    </row>
    <row r="72" ht="20.15" customHeight="1">
      <c r="A72" s="65" t="n">
        <v>2</v>
      </c>
      <c r="B72" s="66" t="inlineStr">
        <is>
          <t>HVAC2_SMDR_de-energized</t>
        </is>
      </c>
      <c r="C72" s="66" t="n"/>
      <c r="D72" s="66" t="n"/>
      <c r="E72" s="66" t="n"/>
      <c r="F72" s="65">
        <f>HVAC_IOs!D5</f>
        <v/>
      </c>
      <c r="G72" s="65" t="n"/>
      <c r="H72" s="65" t="n"/>
      <c r="I72" s="65" t="n"/>
      <c r="J72" s="65" t="n"/>
      <c r="K72" s="65" t="n"/>
      <c r="L72" s="65" t="n"/>
      <c r="M72" s="65" t="n"/>
      <c r="N72" s="65" t="n"/>
      <c r="O72" s="65" t="n"/>
      <c r="P72" s="65" t="n"/>
      <c r="Q72" s="65" t="n"/>
      <c r="R72" s="65">
        <f>IF(AND(F72:Q72),1,0)</f>
        <v/>
      </c>
    </row>
    <row r="73" ht="20.15" customHeight="1">
      <c r="A73" s="65" t="n">
        <v>3</v>
      </c>
      <c r="B73" s="66" t="inlineStr">
        <is>
          <t>SMRR_relay_reset</t>
        </is>
      </c>
      <c r="C73" s="66" t="n"/>
      <c r="D73" s="66" t="n"/>
      <c r="E73" s="66" t="n"/>
      <c r="F73" s="65">
        <f>HVAC_IOs!K27</f>
        <v/>
      </c>
      <c r="G73" s="65">
        <f>IF(NOT(F73),1,0)</f>
        <v/>
      </c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>
        <f>IF(AND(F73:Q73),1,0)</f>
        <v/>
      </c>
    </row>
    <row r="74" ht="20.15" customHeight="1">
      <c r="A74" s="148" t="n">
        <v>4</v>
      </c>
      <c r="B74" s="149" t="inlineStr">
        <is>
          <t>Command_compressor_1_OFF</t>
        </is>
      </c>
      <c r="C74" s="149" t="n"/>
      <c r="D74" s="149" t="n"/>
      <c r="E74" s="149" t="n"/>
      <c r="F74" s="148" t="n"/>
      <c r="G74" s="148" t="n"/>
      <c r="H74" s="148">
        <f>IF(AND(F71:F72,G73),1,0)</f>
        <v/>
      </c>
      <c r="I74" s="148" t="n"/>
      <c r="J74" s="148" t="n"/>
      <c r="K74" s="148" t="n"/>
      <c r="L74" s="148" t="n"/>
      <c r="M74" s="148" t="n"/>
      <c r="N74" s="148" t="n"/>
      <c r="O74" s="148" t="n"/>
      <c r="P74" s="148" t="n"/>
      <c r="Q74" s="148" t="n"/>
      <c r="R74" s="148">
        <f>IF(AND(F74:Q74),1,0)</f>
        <v/>
      </c>
    </row>
    <row r="75" ht="20.15" customHeight="1">
      <c r="A75" s="148" t="n">
        <v>5</v>
      </c>
      <c r="B75" s="149" t="inlineStr">
        <is>
          <t>Command_compressor_2_OFF</t>
        </is>
      </c>
      <c r="C75" s="149" t="n"/>
      <c r="D75" s="149" t="n"/>
      <c r="E75" s="149" t="n"/>
      <c r="F75" s="148" t="n"/>
      <c r="G75" s="148" t="n"/>
      <c r="H75" s="148">
        <f>IF(AND(F71,F72,G73),1,0)</f>
        <v/>
      </c>
      <c r="I75" s="148" t="n"/>
      <c r="J75" s="148" t="n"/>
      <c r="K75" s="148" t="n"/>
      <c r="L75" s="148" t="n"/>
      <c r="M75" s="148" t="n"/>
      <c r="N75" s="148" t="n"/>
      <c r="O75" s="148" t="n"/>
      <c r="P75" s="148" t="n"/>
      <c r="Q75" s="148" t="n"/>
      <c r="R75" s="148">
        <f>IF(AND(H75:Q75),1,0)</f>
        <v/>
      </c>
    </row>
    <row r="76" ht="20.15" customHeight="1">
      <c r="A76" s="148" t="n">
        <v>6</v>
      </c>
      <c r="B76" s="149" t="inlineStr">
        <is>
          <t>Command_compressor_1_OFF</t>
        </is>
      </c>
      <c r="C76" s="149" t="n"/>
      <c r="D76" s="149" t="n"/>
      <c r="E76" s="149" t="n"/>
      <c r="F76" s="148" t="n"/>
      <c r="G76" s="148" t="n"/>
      <c r="H76" s="148">
        <f>IF(AND(F71:F72,G73),1,0)</f>
        <v/>
      </c>
      <c r="I76" s="148" t="n"/>
      <c r="J76" s="148" t="n"/>
      <c r="K76" s="148" t="n"/>
      <c r="L76" s="148" t="n"/>
      <c r="M76" s="148" t="n"/>
      <c r="N76" s="148" t="n"/>
      <c r="O76" s="148" t="n"/>
      <c r="P76" s="148" t="n"/>
      <c r="Q76" s="148" t="n"/>
      <c r="R76" s="148">
        <f>IF(AND(H76:Q76),1,0)</f>
        <v/>
      </c>
    </row>
    <row r="77" ht="20.15" customHeight="1">
      <c r="A77" s="148" t="n">
        <v>7</v>
      </c>
      <c r="B77" s="149" t="inlineStr">
        <is>
          <t>Command_compressor_2_OFF</t>
        </is>
      </c>
      <c r="C77" s="149" t="n"/>
      <c r="D77" s="149" t="n"/>
      <c r="E77" s="149" t="n"/>
      <c r="F77" s="148" t="n"/>
      <c r="G77" s="148" t="n"/>
      <c r="H77" s="148">
        <f>IF(AND(F71:F72,G73),1,0)</f>
        <v/>
      </c>
      <c r="I77" s="148" t="n"/>
      <c r="J77" s="148" t="n"/>
      <c r="K77" s="148" t="n"/>
      <c r="L77" s="148" t="n"/>
      <c r="M77" s="148" t="n"/>
      <c r="N77" s="148" t="n"/>
      <c r="O77" s="148" t="n"/>
      <c r="P77" s="148" t="n"/>
      <c r="Q77" s="148" t="n"/>
      <c r="R77" s="148">
        <f>IF(AND(H77:Q77),1,0)</f>
        <v/>
      </c>
    </row>
    <row r="78" ht="20.15" customHeight="1">
      <c r="A78" s="148" t="n">
        <v>8</v>
      </c>
      <c r="B78" s="149" t="inlineStr">
        <is>
          <t>Command_return_air_damper_Close</t>
        </is>
      </c>
      <c r="C78" s="149" t="n"/>
      <c r="D78" s="149" t="n"/>
      <c r="E78" s="149" t="n"/>
      <c r="F78" s="148" t="n"/>
      <c r="G78" s="148" t="n"/>
      <c r="H78" s="148">
        <f>IF(AND(F71:F72,G73),1,0)</f>
        <v/>
      </c>
      <c r="I78" s="148" t="n"/>
      <c r="J78" s="148" t="n"/>
      <c r="K78" s="148" t="n"/>
      <c r="L78" s="148" t="n"/>
      <c r="M78" s="148" t="n"/>
      <c r="N78" s="148" t="n"/>
      <c r="O78" s="148" t="n"/>
      <c r="P78" s="148" t="n"/>
      <c r="Q78" s="148" t="n"/>
      <c r="R78" s="148">
        <f>IF(AND(H78:Q78),1,0)</f>
        <v/>
      </c>
    </row>
    <row r="79" ht="20.15" customHeight="1">
      <c r="A79" s="148" t="n">
        <v>9</v>
      </c>
      <c r="B79" s="149" t="inlineStr">
        <is>
          <t>Command_supply_air_fan_OFF</t>
        </is>
      </c>
      <c r="C79" s="149" t="n"/>
      <c r="D79" s="149" t="n"/>
      <c r="E79" s="149" t="n"/>
      <c r="F79" s="148" t="n"/>
      <c r="G79" s="148" t="n"/>
      <c r="H79" s="148">
        <f>IF(AND(F71:F72,G73),1,0)</f>
        <v/>
      </c>
      <c r="I79" s="148" t="n"/>
      <c r="J79" s="148" t="n"/>
      <c r="K79" s="148" t="n"/>
      <c r="L79" s="148" t="n"/>
      <c r="M79" s="148" t="n"/>
      <c r="N79" s="148" t="n"/>
      <c r="O79" s="148" t="n"/>
      <c r="P79" s="148" t="n"/>
      <c r="Q79" s="148" t="n"/>
      <c r="R79" s="148">
        <f>IF(AND(H79:Q79),1,0)</f>
        <v/>
      </c>
    </row>
    <row r="80" ht="20.15" customHeight="1">
      <c r="A80" s="148" t="n">
        <v>10</v>
      </c>
      <c r="B80" s="149" t="inlineStr">
        <is>
          <t>Command_fresh_air_damper_Close</t>
        </is>
      </c>
      <c r="C80" s="149" t="n"/>
      <c r="D80" s="149" t="n"/>
      <c r="E80" s="149" t="n"/>
      <c r="F80" s="148" t="n"/>
      <c r="G80" s="148" t="n"/>
      <c r="H80" s="148">
        <f>IF(AND(F71:F72,G73),1,0)</f>
        <v/>
      </c>
      <c r="I80" s="148" t="n"/>
      <c r="J80" s="148" t="n"/>
      <c r="K80" s="148" t="n"/>
      <c r="L80" s="148" t="n"/>
      <c r="M80" s="148" t="n"/>
      <c r="N80" s="148" t="n"/>
      <c r="O80" s="148" t="n"/>
      <c r="P80" s="148" t="n"/>
      <c r="Q80" s="148" t="n"/>
      <c r="R80" s="148">
        <f>IF(AND(H80:Q80),1,0)</f>
        <v/>
      </c>
    </row>
    <row r="81" ht="20.15" customHeight="1">
      <c r="A81" s="148" t="n">
        <v>11</v>
      </c>
      <c r="B81" s="149" t="inlineStr">
        <is>
          <t>FADR_close_full_train</t>
        </is>
      </c>
      <c r="C81" s="149" t="n"/>
      <c r="D81" s="149" t="n"/>
      <c r="E81" s="149" t="n"/>
      <c r="F81" s="148" t="n"/>
      <c r="G81" s="148" t="n"/>
      <c r="H81" s="148">
        <f>IF(AND(F71:F72,G73),1,0)</f>
        <v/>
      </c>
      <c r="I81" s="148" t="n"/>
      <c r="J81" s="148" t="n"/>
      <c r="K81" s="148" t="n"/>
      <c r="L81" s="148" t="n"/>
      <c r="M81" s="148" t="n"/>
      <c r="N81" s="148" t="n"/>
      <c r="O81" s="148" t="n"/>
      <c r="P81" s="148" t="n"/>
      <c r="Q81" s="148" t="n"/>
      <c r="R81" s="148">
        <f>IF(AND(H81:Q81),1,0)</f>
        <v/>
      </c>
    </row>
    <row r="86" ht="20.15" customHeight="1">
      <c r="A86" s="824" t="inlineStr">
        <is>
          <t>5. Inside Smoke</t>
        </is>
      </c>
      <c r="B86" s="869" t="n"/>
      <c r="C86" s="869" t="n"/>
      <c r="D86" s="869" t="n"/>
      <c r="E86" s="869" t="n"/>
      <c r="F86" s="869" t="n"/>
      <c r="G86" s="869" t="n"/>
      <c r="H86" s="869" t="n"/>
      <c r="I86" s="869" t="n"/>
      <c r="J86" s="869" t="n"/>
      <c r="K86" s="869" t="n"/>
      <c r="L86" s="869" t="n"/>
      <c r="M86" s="869" t="n"/>
      <c r="N86" s="869" t="n"/>
      <c r="O86" s="869" t="n"/>
      <c r="P86" s="869" t="n"/>
      <c r="Q86" s="869" t="n"/>
      <c r="R86" s="870" t="n"/>
    </row>
    <row r="88" ht="20.15" customHeight="1">
      <c r="A88" s="65" t="n">
        <v>1</v>
      </c>
      <c r="B88" s="66" t="inlineStr">
        <is>
          <t>Inside_smoke_active(FDU_low)</t>
        </is>
      </c>
      <c r="C88" s="66" t="n"/>
      <c r="D88" s="66" t="n"/>
      <c r="E88" s="66" t="n"/>
      <c r="F88" s="65">
        <f>HVAC_IOs!D4</f>
        <v/>
      </c>
      <c r="G88" s="65" t="n"/>
      <c r="H88" s="65" t="n"/>
      <c r="I88" s="65" t="n"/>
      <c r="J88" s="65" t="n"/>
      <c r="K88" s="65" t="n"/>
      <c r="L88" s="65" t="n"/>
      <c r="M88" s="65" t="n"/>
      <c r="N88" s="65" t="n"/>
      <c r="O88" s="65" t="n"/>
      <c r="P88" s="65" t="n"/>
      <c r="Q88" s="65" t="n"/>
      <c r="R88" s="65">
        <f>IF(AND(F88:Q88),1,0)</f>
        <v/>
      </c>
    </row>
    <row r="89" ht="20.15" customHeight="1">
      <c r="A89" s="65" t="n">
        <v>2</v>
      </c>
      <c r="B89" s="66" t="inlineStr">
        <is>
          <t>HVAC_in_ON_condition</t>
        </is>
      </c>
      <c r="C89" s="66" t="n"/>
      <c r="D89" s="66" t="n"/>
      <c r="E89" s="66" t="n"/>
      <c r="F89" s="65" t="n">
        <v>1</v>
      </c>
      <c r="G89" s="65" t="n"/>
      <c r="H89" s="65" t="n"/>
      <c r="I89" s="65" t="n"/>
      <c r="J89" s="65" t="n"/>
      <c r="K89" s="65" t="n"/>
      <c r="L89" s="65" t="n"/>
      <c r="M89" s="65" t="n"/>
      <c r="N89" s="65" t="n"/>
      <c r="O89" s="65" t="n"/>
      <c r="P89" s="65" t="n"/>
      <c r="Q89" s="65" t="n"/>
      <c r="R89" s="65">
        <f>IF(AND(F89:Q89),1,0)</f>
        <v/>
      </c>
    </row>
    <row r="90" ht="20.15" customHeight="1">
      <c r="A90" s="325" t="n">
        <v>3</v>
      </c>
      <c r="B90" s="326" t="inlineStr">
        <is>
          <t>Command_compressor_1_OFF</t>
        </is>
      </c>
      <c r="C90" s="326" t="n"/>
      <c r="D90" s="326" t="n"/>
      <c r="E90" s="326" t="n"/>
      <c r="F90" s="325" t="n"/>
      <c r="G90" s="325">
        <f>IF(AND(F88:F89),1,0)</f>
        <v/>
      </c>
      <c r="H90" s="325" t="n"/>
      <c r="I90" s="325" t="n"/>
      <c r="J90" s="325" t="n"/>
      <c r="K90" s="325" t="n"/>
      <c r="L90" s="325" t="n"/>
      <c r="M90" s="325" t="n"/>
      <c r="N90" s="325" t="n"/>
      <c r="O90" s="325" t="n"/>
      <c r="P90" s="325" t="n"/>
      <c r="Q90" s="325" t="n"/>
      <c r="R90" s="325">
        <f>IF(AND(G90:Q90),1,0)</f>
        <v/>
      </c>
    </row>
    <row r="91" ht="20.15" customHeight="1">
      <c r="A91" s="325" t="n">
        <v>4</v>
      </c>
      <c r="B91" s="326" t="inlineStr">
        <is>
          <t>Command_compressor_2_OFF</t>
        </is>
      </c>
      <c r="C91" s="326" t="n"/>
      <c r="D91" s="326" t="n"/>
      <c r="E91" s="326" t="n"/>
      <c r="F91" s="325" t="n"/>
      <c r="G91" s="325">
        <f>IF(AND(F88:F89),1,0)</f>
        <v/>
      </c>
      <c r="H91" s="325" t="n"/>
      <c r="I91" s="325" t="n"/>
      <c r="J91" s="325" t="n"/>
      <c r="K91" s="325" t="n"/>
      <c r="L91" s="325" t="n"/>
      <c r="M91" s="325" t="n"/>
      <c r="N91" s="325" t="n"/>
      <c r="O91" s="325" t="n"/>
      <c r="P91" s="325" t="n"/>
      <c r="Q91" s="325" t="n"/>
      <c r="R91" s="325">
        <f>IF(AND(G91:Q91),1,0)</f>
        <v/>
      </c>
    </row>
    <row r="92" ht="20.15" customHeight="1">
      <c r="A92" s="325" t="n">
        <v>5</v>
      </c>
      <c r="B92" s="326" t="inlineStr">
        <is>
          <t>Command_compressor_3_OFF</t>
        </is>
      </c>
      <c r="C92" s="326" t="n"/>
      <c r="D92" s="326" t="n"/>
      <c r="E92" s="326" t="n"/>
      <c r="F92" s="325" t="n"/>
      <c r="G92" s="325">
        <f>IF(AND(F88:F89),1,0)</f>
        <v/>
      </c>
      <c r="H92" s="325" t="n"/>
      <c r="I92" s="325" t="n"/>
      <c r="J92" s="325" t="n"/>
      <c r="K92" s="325" t="n"/>
      <c r="L92" s="325" t="n"/>
      <c r="M92" s="325" t="n"/>
      <c r="N92" s="325" t="n"/>
      <c r="O92" s="325" t="n"/>
      <c r="P92" s="325" t="n"/>
      <c r="Q92" s="325" t="n"/>
      <c r="R92" s="325">
        <f>IF(AND(G92:Q92),1,0)</f>
        <v/>
      </c>
    </row>
    <row r="93" ht="20.15" customHeight="1">
      <c r="A93" s="325" t="n">
        <v>6</v>
      </c>
      <c r="B93" s="326" t="inlineStr">
        <is>
          <t>Command_compressor_4_OFF</t>
        </is>
      </c>
      <c r="C93" s="326" t="n"/>
      <c r="D93" s="326" t="n"/>
      <c r="E93" s="326" t="n"/>
      <c r="F93" s="325" t="n"/>
      <c r="G93" s="325">
        <f>IF(AND(F88:F89),1,0)</f>
        <v/>
      </c>
      <c r="H93" s="325" t="n"/>
      <c r="I93" s="325" t="n"/>
      <c r="J93" s="325" t="n"/>
      <c r="K93" s="325" t="n"/>
      <c r="L93" s="325" t="n"/>
      <c r="M93" s="325" t="n"/>
      <c r="N93" s="325" t="n"/>
      <c r="O93" s="325" t="n"/>
      <c r="P93" s="325" t="n"/>
      <c r="Q93" s="325" t="n"/>
      <c r="R93" s="325">
        <f>IF(AND(G93:Q93),1,0)</f>
        <v/>
      </c>
    </row>
    <row r="94" ht="20.15" customHeight="1">
      <c r="A94" s="325" t="n">
        <v>7</v>
      </c>
      <c r="B94" s="326" t="inlineStr">
        <is>
          <t>Command_return_Air_damper_close</t>
        </is>
      </c>
      <c r="C94" s="326" t="n"/>
      <c r="D94" s="326" t="n"/>
      <c r="E94" s="326" t="n"/>
      <c r="F94" s="325" t="n"/>
      <c r="G94" s="325">
        <f>IF(AND(F88:F89),1,0)</f>
        <v/>
      </c>
      <c r="H94" s="325" t="n"/>
      <c r="I94" s="325" t="n"/>
      <c r="J94" s="325" t="n"/>
      <c r="K94" s="325" t="n"/>
      <c r="L94" s="325" t="n"/>
      <c r="M94" s="325" t="n"/>
      <c r="N94" s="325" t="n"/>
      <c r="O94" s="325" t="n"/>
      <c r="P94" s="325" t="n"/>
      <c r="Q94" s="325" t="n"/>
      <c r="R94" s="325">
        <f>IF(AND(G94:Q94),1,0)</f>
        <v/>
      </c>
    </row>
    <row r="95" ht="20.15" customHeight="1">
      <c r="A95" s="325" t="n">
        <v>8</v>
      </c>
      <c r="B95" s="326" t="inlineStr">
        <is>
          <t>command_supply_air_fan_OFF</t>
        </is>
      </c>
      <c r="C95" s="326" t="n"/>
      <c r="D95" s="326" t="n"/>
      <c r="E95" s="326" t="n"/>
      <c r="F95" s="325" t="n"/>
      <c r="G95" s="325">
        <f>IF(AND(F88:F89),1,0)</f>
        <v/>
      </c>
      <c r="H95" s="325" t="n"/>
      <c r="I95" s="325" t="n"/>
      <c r="J95" s="325" t="n"/>
      <c r="K95" s="325" t="n"/>
      <c r="L95" s="325" t="n"/>
      <c r="M95" s="325" t="n"/>
      <c r="N95" s="325" t="n"/>
      <c r="O95" s="325" t="n"/>
      <c r="P95" s="325" t="n"/>
      <c r="Q95" s="325" t="n"/>
      <c r="R95" s="325">
        <f>IF(AND(G95:Q95),1,0)</f>
        <v/>
      </c>
    </row>
    <row r="96" ht="20.15" customHeight="1">
      <c r="A96" s="325" t="n">
        <v>9</v>
      </c>
      <c r="B96" s="326" t="inlineStr">
        <is>
          <t>command_fresh_air_damper_close</t>
        </is>
      </c>
      <c r="C96" s="326" t="n"/>
      <c r="D96" s="326" t="n"/>
      <c r="E96" s="326" t="n"/>
      <c r="F96" s="325" t="n"/>
      <c r="G96" s="325">
        <f>IF(AND(F88:F89),1,)</f>
        <v/>
      </c>
      <c r="H96" s="325" t="n"/>
      <c r="I96" s="325" t="n"/>
      <c r="J96" s="325" t="n"/>
      <c r="K96" s="325" t="n"/>
      <c r="L96" s="325" t="n"/>
      <c r="M96" s="325" t="n"/>
      <c r="N96" s="325" t="n"/>
      <c r="O96" s="325" t="n"/>
      <c r="P96" s="325" t="n"/>
      <c r="Q96" s="325" t="n"/>
      <c r="R96" s="325">
        <f>IF(AND(G96:Q96),1,0)</f>
        <v/>
      </c>
    </row>
    <row r="101" ht="20.15" customHeight="1">
      <c r="A101" s="823" t="inlineStr">
        <is>
          <t>6. Cooling Multiple Stages</t>
        </is>
      </c>
      <c r="B101" s="869" t="n"/>
      <c r="C101" s="869" t="n"/>
      <c r="D101" s="869" t="n"/>
      <c r="E101" s="869" t="n"/>
      <c r="F101" s="869" t="n"/>
      <c r="G101" s="869" t="n"/>
      <c r="H101" s="869" t="n"/>
      <c r="I101" s="869" t="n"/>
      <c r="J101" s="869" t="n"/>
      <c r="K101" s="869" t="n"/>
      <c r="L101" s="869" t="n"/>
      <c r="M101" s="869" t="n"/>
      <c r="N101" s="869" t="n"/>
      <c r="O101" s="869" t="n"/>
      <c r="P101" s="869" t="n"/>
      <c r="Q101" s="869" t="n"/>
      <c r="R101" s="870" t="n"/>
    </row>
    <row r="103" ht="20.15" customHeight="1">
      <c r="A103" s="318" t="n">
        <v>1</v>
      </c>
      <c r="B103" s="72" t="inlineStr">
        <is>
          <t>HVAC_ON</t>
        </is>
      </c>
      <c r="C103" s="72" t="n"/>
      <c r="D103" s="72" t="n"/>
      <c r="E103" s="72" t="n"/>
      <c r="F103" s="324" t="n">
        <v>1</v>
      </c>
      <c r="G103" s="318" t="n"/>
      <c r="H103" s="318" t="n"/>
      <c r="I103" s="318" t="n"/>
      <c r="J103" s="318" t="n"/>
      <c r="K103" s="318" t="n"/>
      <c r="L103" s="318" t="n"/>
      <c r="M103" s="318" t="n"/>
      <c r="N103" s="318" t="n"/>
      <c r="O103" s="318" t="n"/>
      <c r="P103" s="318" t="n"/>
      <c r="Q103" s="318" t="n"/>
      <c r="R103" s="318">
        <f>IF(AND(F103:Q103),1,0)</f>
        <v/>
      </c>
    </row>
    <row r="104" ht="20.15" customHeight="1">
      <c r="A104" s="318" t="n">
        <v>2</v>
      </c>
      <c r="B104" s="72" t="inlineStr">
        <is>
          <t>Cooling_mode selected</t>
        </is>
      </c>
      <c r="C104" s="72" t="n"/>
      <c r="D104" s="72" t="n"/>
      <c r="E104" s="72" t="n"/>
      <c r="F104" s="324">
        <f>HVAC_IOs!D20</f>
        <v/>
      </c>
      <c r="G104" s="318" t="n"/>
      <c r="H104" s="318" t="n"/>
      <c r="I104" s="318" t="n"/>
      <c r="J104" s="318" t="n"/>
      <c r="K104" s="318" t="n"/>
      <c r="L104" s="318" t="n"/>
      <c r="M104" s="318" t="n"/>
      <c r="N104" s="318" t="n"/>
      <c r="O104" s="318" t="n"/>
      <c r="P104" s="318" t="n"/>
      <c r="Q104" s="318" t="n"/>
      <c r="R104" s="318">
        <f>IF(AND(F104:Q104),1,0)</f>
        <v/>
      </c>
    </row>
    <row r="105" ht="20.15" customHeight="1">
      <c r="A105" s="318" t="n">
        <v>3</v>
      </c>
      <c r="B105" s="72" t="inlineStr">
        <is>
          <t>RAT&gt;Cooling_set_point</t>
        </is>
      </c>
      <c r="C105" s="72" t="n"/>
      <c r="D105" s="72" t="n"/>
      <c r="E105" s="72" t="n"/>
      <c r="F105" s="324">
        <f>IF(Calculation!B35&gt;Calculation!B33,1,0)</f>
        <v/>
      </c>
      <c r="G105" s="318" t="n"/>
      <c r="H105" s="318" t="n"/>
      <c r="I105" s="318" t="n"/>
      <c r="J105" s="318" t="n"/>
      <c r="K105" s="318" t="n"/>
      <c r="L105" s="318" t="n"/>
      <c r="M105" s="318" t="n"/>
      <c r="N105" s="318" t="n"/>
      <c r="O105" s="318" t="n"/>
      <c r="P105" s="318" t="n"/>
      <c r="Q105" s="318" t="n"/>
      <c r="R105" s="318">
        <f>IF(AND(F105:Q105),1,0)</f>
        <v/>
      </c>
    </row>
    <row r="106" ht="20.15" customHeight="1">
      <c r="A106" s="318" t="n">
        <v>4</v>
      </c>
      <c r="B106" s="72" t="inlineStr">
        <is>
          <t>HP_fault</t>
        </is>
      </c>
      <c r="C106" s="72" t="n"/>
      <c r="D106" s="72" t="n"/>
      <c r="E106" s="72" t="n"/>
      <c r="F106" s="324">
        <f>IF(AND(HVAC_IOs!R6=1,HVAC_IOs!R8=1),1,0)</f>
        <v/>
      </c>
      <c r="G106" s="318">
        <f>IF(NOT(F106),1,0)</f>
        <v/>
      </c>
      <c r="H106" s="318" t="n"/>
      <c r="I106" s="318" t="n"/>
      <c r="J106" s="318" t="n"/>
      <c r="K106" s="318" t="n"/>
      <c r="L106" s="318" t="n"/>
      <c r="M106" s="318" t="n"/>
      <c r="N106" s="318" t="n"/>
      <c r="O106" s="318" t="n"/>
      <c r="P106" s="318" t="n"/>
      <c r="Q106" s="318" t="n"/>
      <c r="R106" s="318">
        <f>IF(AND(G106:Q106),1,0)</f>
        <v/>
      </c>
    </row>
    <row r="107" ht="20.15" customHeight="1">
      <c r="A107" s="318" t="n">
        <v>5</v>
      </c>
      <c r="B107" s="72" t="inlineStr">
        <is>
          <t>LP_fault</t>
        </is>
      </c>
      <c r="C107" s="72" t="n"/>
      <c r="D107" s="72" t="n"/>
      <c r="E107" s="72" t="n"/>
      <c r="F107" s="324">
        <f>IF(AND(HVAC_IOs!R7=1,HVAC_IOs!R9=1),1,0)</f>
        <v/>
      </c>
      <c r="G107" s="318">
        <f>IF(NOT(F107),1,0)</f>
        <v/>
      </c>
      <c r="H107" s="318" t="n"/>
      <c r="I107" s="318" t="n"/>
      <c r="J107" s="318" t="n"/>
      <c r="K107" s="318" t="n"/>
      <c r="L107" s="318" t="n"/>
      <c r="M107" s="318" t="n"/>
      <c r="N107" s="318" t="n"/>
      <c r="O107" s="318" t="n"/>
      <c r="P107" s="318" t="n"/>
      <c r="Q107" s="318" t="n"/>
      <c r="R107" s="318">
        <f>IF(AND(G107:Q107),1,0)</f>
        <v/>
      </c>
    </row>
    <row r="108" ht="20.15" customHeight="1">
      <c r="A108" s="318" t="n">
        <v>6</v>
      </c>
      <c r="B108" s="72" t="inlineStr">
        <is>
          <t>CB_fault</t>
        </is>
      </c>
      <c r="C108" s="72" t="n"/>
      <c r="D108" s="72" t="n"/>
      <c r="E108" s="72" t="n"/>
      <c r="F108" s="324" t="n">
        <v>0</v>
      </c>
      <c r="G108" s="318">
        <f>IF(NOT(F108),1,0)</f>
        <v/>
      </c>
      <c r="H108" s="318" t="n"/>
      <c r="I108" s="318" t="n"/>
      <c r="J108" s="318" t="n"/>
      <c r="K108" s="318" t="n"/>
      <c r="L108" s="318" t="n"/>
      <c r="M108" s="318" t="n"/>
      <c r="N108" s="318" t="n"/>
      <c r="O108" s="318" t="n"/>
      <c r="P108" s="318" t="n"/>
      <c r="Q108" s="318" t="n"/>
      <c r="R108" s="318">
        <f>IF(AND(G108:Q108),1,0)</f>
        <v/>
      </c>
    </row>
    <row r="109" ht="20.15" customHeight="1">
      <c r="A109" s="318" t="n">
        <v>7</v>
      </c>
      <c r="B109" s="72" t="inlineStr">
        <is>
          <t>SAFAN_fault</t>
        </is>
      </c>
      <c r="C109" s="72" t="n"/>
      <c r="D109" s="72" t="n"/>
      <c r="E109" s="72" t="n"/>
      <c r="F109" s="324">
        <f>IF(AND(HVAC_IOs!D45=1,HVAC_IOs!D46=1),0,1)</f>
        <v/>
      </c>
      <c r="G109" s="318">
        <f>IF(NOT(F109),1,0)</f>
        <v/>
      </c>
      <c r="H109" s="318" t="n"/>
      <c r="I109" s="318" t="n"/>
      <c r="J109" s="318" t="n"/>
      <c r="K109" s="318" t="n"/>
      <c r="L109" s="318" t="n"/>
      <c r="M109" s="318" t="n"/>
      <c r="N109" s="318" t="n"/>
      <c r="O109" s="318" t="n"/>
      <c r="P109" s="318" t="n"/>
      <c r="Q109" s="318" t="n"/>
      <c r="R109" s="318">
        <f>IF(AND(G109:Q109),1,0)</f>
        <v/>
      </c>
    </row>
    <row r="110" ht="20.15" customHeight="1">
      <c r="A110" s="148" t="n">
        <v>8</v>
      </c>
      <c r="B110" s="149" t="inlineStr">
        <is>
          <t>SAF_ON</t>
        </is>
      </c>
      <c r="C110" s="149" t="n"/>
      <c r="D110" s="149" t="n"/>
      <c r="E110" s="149" t="n"/>
      <c r="F110" s="148" t="n"/>
      <c r="G110" s="148" t="n"/>
      <c r="H110" s="148">
        <f>IF(AND(R103:R105,R106:R109),1,0)</f>
        <v/>
      </c>
      <c r="I110" s="148" t="n"/>
      <c r="J110" s="148" t="n"/>
      <c r="K110" s="148" t="n"/>
      <c r="L110" s="148" t="n"/>
      <c r="M110" s="148" t="n"/>
      <c r="N110" s="148" t="n"/>
      <c r="O110" s="148" t="n"/>
      <c r="P110" s="148" t="n"/>
      <c r="Q110" s="148" t="n"/>
      <c r="R110" s="148">
        <f>IF(AND(F110:Q110),1,0)</f>
        <v/>
      </c>
    </row>
    <row r="111" ht="20.15" customHeight="1">
      <c r="A111" s="148" t="n">
        <v>9</v>
      </c>
      <c r="B111" s="149" t="inlineStr">
        <is>
          <t>RAD_open</t>
        </is>
      </c>
      <c r="C111" s="149" t="n"/>
      <c r="D111" s="149" t="n"/>
      <c r="E111" s="149" t="n"/>
      <c r="F111" s="148" t="n"/>
      <c r="G111" s="148" t="n"/>
      <c r="H111" s="148">
        <f>IF(AND(R103:R105,R106:R109),1,0)</f>
        <v/>
      </c>
      <c r="I111" s="148" t="n"/>
      <c r="J111" s="148" t="n"/>
      <c r="K111" s="148" t="n"/>
      <c r="L111" s="148" t="n"/>
      <c r="M111" s="148" t="n"/>
      <c r="N111" s="148" t="n"/>
      <c r="O111" s="148" t="n"/>
      <c r="P111" s="148" t="n"/>
      <c r="Q111" s="148" t="n"/>
      <c r="R111" s="148">
        <f>IF(AND(H111:Q111),1,0)</f>
        <v/>
      </c>
    </row>
    <row r="112" ht="20.15" customHeight="1">
      <c r="A112" s="148" t="n">
        <v>10</v>
      </c>
      <c r="B112" s="149" t="inlineStr">
        <is>
          <t>Cooling_enable</t>
        </is>
      </c>
      <c r="C112" s="149" t="n"/>
      <c r="D112" s="149" t="n"/>
      <c r="E112" s="149" t="n"/>
      <c r="F112" s="148" t="n"/>
      <c r="G112" s="148" t="n"/>
      <c r="H112" s="148">
        <f>IF(AND(R103:R105,R106:R109),1,0)</f>
        <v/>
      </c>
      <c r="I112" s="148" t="n"/>
      <c r="J112" s="148" t="n"/>
      <c r="K112" s="148" t="n"/>
      <c r="L112" s="148" t="n"/>
      <c r="M112" s="148" t="n"/>
      <c r="N112" s="148" t="n"/>
      <c r="O112" s="148" t="n"/>
      <c r="P112" s="148" t="n"/>
      <c r="Q112" s="148" t="n"/>
      <c r="R112" s="148">
        <f>IF(AND(H112:Q112),1,0)</f>
        <v/>
      </c>
    </row>
    <row r="113" ht="20.15" customHeight="1">
      <c r="A113" s="148" t="n">
        <v>11</v>
      </c>
      <c r="B113" s="149" t="inlineStr">
        <is>
          <t>FAD_Open</t>
        </is>
      </c>
      <c r="C113" s="149" t="n"/>
      <c r="D113" s="149" t="n"/>
      <c r="E113" s="149" t="n"/>
      <c r="F113" s="148" t="n"/>
      <c r="G113" s="148" t="n"/>
      <c r="H113" s="148">
        <f>IF(AND(R103:R105,R106:R109),1,0)</f>
        <v/>
      </c>
      <c r="I113" s="148" t="n"/>
      <c r="J113" s="148" t="n"/>
      <c r="K113" s="148" t="n"/>
      <c r="L113" s="148" t="n"/>
      <c r="M113" s="148" t="n"/>
      <c r="N113" s="148" t="n"/>
      <c r="O113" s="148" t="n"/>
      <c r="P113" s="148" t="n"/>
      <c r="Q113" s="148" t="n"/>
      <c r="R113" s="148">
        <f>IF(AND(H113:Q113),1,0)</f>
        <v/>
      </c>
    </row>
    <row r="114" ht="20.15" customHeight="1">
      <c r="A114" s="148" t="n">
        <v>12</v>
      </c>
      <c r="B114" s="149" t="inlineStr">
        <is>
          <t>Condensor_fan_open</t>
        </is>
      </c>
      <c r="C114" s="149" t="n"/>
      <c r="D114" s="149" t="n"/>
      <c r="E114" s="149" t="n"/>
      <c r="F114" s="148" t="n"/>
      <c r="G114" s="148" t="n"/>
      <c r="H114" s="148">
        <f>IF(AND(R103:R105,R106:R109),1,0)</f>
        <v/>
      </c>
      <c r="I114" s="148" t="n"/>
      <c r="J114" s="148" t="n"/>
      <c r="K114" s="148" t="n"/>
      <c r="L114" s="148" t="n"/>
      <c r="M114" s="148" t="n"/>
      <c r="N114" s="148" t="n"/>
      <c r="O114" s="148" t="n"/>
      <c r="P114" s="148" t="n"/>
      <c r="Q114" s="148" t="n"/>
      <c r="R114" s="148">
        <f>IF(AND(H114:Q114),1,0)</f>
        <v/>
      </c>
    </row>
    <row r="119" ht="20.15" customHeight="1">
      <c r="A119" s="823" t="inlineStr">
        <is>
          <t>7. Fixed Speed Compressor</t>
        </is>
      </c>
      <c r="B119" s="869" t="n"/>
      <c r="C119" s="869" t="n"/>
      <c r="D119" s="869" t="n"/>
      <c r="E119" s="869" t="n"/>
      <c r="F119" s="869" t="n"/>
      <c r="G119" s="869" t="n"/>
      <c r="H119" s="869" t="n"/>
      <c r="I119" s="869" t="n"/>
      <c r="J119" s="869" t="n"/>
      <c r="K119" s="869" t="n"/>
      <c r="L119" s="869" t="n"/>
      <c r="M119" s="869" t="n"/>
      <c r="N119" s="869" t="n"/>
      <c r="O119" s="869" t="n"/>
      <c r="P119" s="869" t="n"/>
      <c r="Q119" s="869" t="n"/>
      <c r="R119" s="870" t="n"/>
    </row>
    <row r="121" ht="20.15" customHeight="1">
      <c r="A121" s="318" t="n">
        <v>1</v>
      </c>
      <c r="B121" s="72" t="inlineStr">
        <is>
          <t>Cooling_level_3</t>
        </is>
      </c>
      <c r="C121" s="72" t="n"/>
      <c r="D121" s="72" t="n"/>
      <c r="E121" s="72" t="n"/>
      <c r="F121" s="318">
        <f>IF(OR(Calculation!$B$59:$B$61),1,0)</f>
        <v/>
      </c>
      <c r="G121" s="318" t="n"/>
      <c r="H121" s="318" t="n"/>
      <c r="I121" s="318" t="n"/>
      <c r="J121" s="318" t="n"/>
      <c r="K121" s="318" t="n"/>
      <c r="L121" s="318" t="n"/>
      <c r="M121" s="318" t="n"/>
      <c r="N121" s="318" t="n"/>
      <c r="O121" s="318" t="n"/>
      <c r="P121" s="318" t="n"/>
      <c r="Q121" s="318" t="n"/>
      <c r="R121" s="318">
        <f>IF(AND(F121:Q121),1,0)</f>
        <v/>
      </c>
    </row>
    <row r="122" ht="20.15" customHeight="1">
      <c r="A122" s="318" t="n">
        <v>2</v>
      </c>
      <c r="B122" s="72" t="inlineStr">
        <is>
          <t>Cooling_level_4</t>
        </is>
      </c>
      <c r="C122" s="72" t="n"/>
      <c r="D122" s="72" t="n"/>
      <c r="E122" s="72" t="n"/>
      <c r="F122" s="318">
        <f>IF(OR(Calculation!$B$59:$B$61),1,0)</f>
        <v/>
      </c>
      <c r="G122" s="318" t="n"/>
      <c r="H122" s="318" t="n"/>
      <c r="I122" s="318" t="n"/>
      <c r="J122" s="318" t="n"/>
      <c r="K122" s="318" t="n"/>
      <c r="L122" s="318" t="n"/>
      <c r="M122" s="318" t="n"/>
      <c r="N122" s="318" t="n"/>
      <c r="O122" s="318" t="n"/>
      <c r="P122" s="318" t="n"/>
      <c r="Q122" s="318" t="n"/>
      <c r="R122" s="318">
        <f>IF(AND(F122:Q122),1,0)</f>
        <v/>
      </c>
    </row>
    <row r="123" ht="20.15" customHeight="1">
      <c r="A123" s="318" t="n">
        <v>3</v>
      </c>
      <c r="B123" s="72" t="inlineStr">
        <is>
          <t>Cooling_level_5</t>
        </is>
      </c>
      <c r="C123" s="72" t="n"/>
      <c r="D123" s="72" t="n"/>
      <c r="E123" s="72" t="n"/>
      <c r="F123" s="318">
        <f>IF(OR(Calculation!$B$59:$B$61),1,0)</f>
        <v/>
      </c>
      <c r="G123" s="318" t="n"/>
      <c r="H123" s="318" t="n"/>
      <c r="I123" s="318" t="n"/>
      <c r="J123" s="318" t="n"/>
      <c r="K123" s="318" t="n"/>
      <c r="L123" s="318" t="n"/>
      <c r="M123" s="318" t="n"/>
      <c r="N123" s="318" t="n"/>
      <c r="O123" s="318" t="n"/>
      <c r="P123" s="318" t="n"/>
      <c r="Q123" s="318" t="n"/>
      <c r="R123" s="318">
        <f>IF(AND(F123:Q123),1,0)</f>
        <v/>
      </c>
    </row>
    <row r="124" ht="20.15" customHeight="1">
      <c r="A124" s="318" t="n"/>
      <c r="B124" s="72" t="inlineStr">
        <is>
          <t>LFC04</t>
        </is>
      </c>
      <c r="C124" s="72" t="n"/>
      <c r="D124" s="72" t="n"/>
      <c r="E124" s="72" t="n"/>
      <c r="F124" s="318" t="n"/>
      <c r="G124" s="318">
        <f>IF(OR(F121:F123),1,0)</f>
        <v/>
      </c>
      <c r="H124" s="318" t="n"/>
      <c r="I124" s="318" t="n"/>
      <c r="J124" s="318" t="n"/>
      <c r="K124" s="318" t="n"/>
      <c r="L124" s="318" t="n"/>
      <c r="M124" s="318" t="n"/>
      <c r="N124" s="318" t="n"/>
      <c r="O124" s="318" t="n"/>
      <c r="P124" s="318" t="n"/>
      <c r="Q124" s="318" t="n"/>
      <c r="R124" s="318" t="n"/>
    </row>
    <row r="125" ht="20.15" customHeight="1">
      <c r="A125" s="318" t="n">
        <v>4</v>
      </c>
      <c r="B125" s="72" t="inlineStr">
        <is>
          <t>Cooling_level_6</t>
        </is>
      </c>
      <c r="C125" s="72" t="n"/>
      <c r="D125" s="72" t="n"/>
      <c r="E125" s="72" t="n"/>
      <c r="F125" s="318">
        <f>IF(OR(Calculation!$B$59:$B$61),1,0)</f>
        <v/>
      </c>
      <c r="G125" s="318" t="n"/>
      <c r="H125" s="318" t="n"/>
      <c r="I125" s="318" t="n"/>
      <c r="J125" s="318" t="n"/>
      <c r="K125" s="318" t="n"/>
      <c r="L125" s="318" t="n"/>
      <c r="M125" s="318" t="n"/>
      <c r="N125" s="318" t="n"/>
      <c r="O125" s="318" t="n"/>
      <c r="P125" s="318" t="n"/>
      <c r="Q125" s="318" t="n"/>
      <c r="R125" s="318">
        <f>IF(AND(F125:Q125),1,0)</f>
        <v/>
      </c>
    </row>
    <row r="126" ht="20.15" customHeight="1">
      <c r="A126" s="318" t="n">
        <v>5</v>
      </c>
      <c r="B126" s="72" t="inlineStr">
        <is>
          <t>Cooling_level_7</t>
        </is>
      </c>
      <c r="C126" s="72" t="n"/>
      <c r="D126" s="72" t="n"/>
      <c r="E126" s="72" t="n"/>
      <c r="F126" s="318">
        <f>IF(OR(Calculation!$B$59:$B$61),1,0)</f>
        <v/>
      </c>
      <c r="G126" s="318" t="n"/>
      <c r="H126" s="318" t="n"/>
      <c r="I126" s="318" t="n"/>
      <c r="J126" s="318" t="n"/>
      <c r="K126" s="318" t="n"/>
      <c r="L126" s="318" t="n"/>
      <c r="M126" s="318" t="n"/>
      <c r="N126" s="318" t="n"/>
      <c r="O126" s="318" t="n"/>
      <c r="P126" s="318" t="n"/>
      <c r="Q126" s="318" t="n"/>
      <c r="R126" s="318">
        <f>IF(AND(F126:Q126),1,0)</f>
        <v/>
      </c>
    </row>
    <row r="127" ht="20.15" customHeight="1">
      <c r="A127" s="318" t="n"/>
      <c r="B127" s="72" t="inlineStr">
        <is>
          <t>LFC07</t>
        </is>
      </c>
      <c r="C127" s="72" t="n"/>
      <c r="D127" s="72" t="n"/>
      <c r="E127" s="72" t="n"/>
      <c r="F127" s="318" t="n"/>
      <c r="G127" s="318">
        <f>IF(AND(F125:F126),1,0)</f>
        <v/>
      </c>
      <c r="H127" s="318" t="n"/>
      <c r="I127" s="318" t="n"/>
      <c r="J127" s="318" t="n"/>
      <c r="K127" s="318" t="n"/>
      <c r="L127" s="318" t="n"/>
      <c r="M127" s="318" t="n"/>
      <c r="N127" s="318" t="n"/>
      <c r="O127" s="318" t="n"/>
      <c r="P127" s="318" t="n"/>
      <c r="Q127" s="318" t="n"/>
      <c r="R127" s="318" t="n"/>
    </row>
    <row r="128" ht="20.15" customHeight="1">
      <c r="A128" s="318" t="n">
        <v>6</v>
      </c>
      <c r="B128" s="72" t="inlineStr">
        <is>
          <t>Cooling_level_8</t>
        </is>
      </c>
      <c r="C128" s="72" t="n"/>
      <c r="D128" s="72" t="n"/>
      <c r="E128" s="72" t="n"/>
      <c r="F128" s="318">
        <f>IF(OR(Calculation!$B$59:$B$61),1,0)</f>
        <v/>
      </c>
      <c r="G128" s="318" t="n"/>
      <c r="H128" s="318" t="n"/>
      <c r="I128" s="318" t="n"/>
      <c r="J128" s="318" t="n"/>
      <c r="K128" s="318" t="n"/>
      <c r="L128" s="318" t="n"/>
      <c r="M128" s="318" t="n"/>
      <c r="N128" s="318" t="n"/>
      <c r="O128" s="318" t="n"/>
      <c r="P128" s="318" t="n"/>
      <c r="Q128" s="318" t="n"/>
      <c r="R128" s="318">
        <f>IF(AND(F128:Q128),1,0)</f>
        <v/>
      </c>
    </row>
    <row r="129" ht="20.15" customHeight="1">
      <c r="A129" s="325" t="n">
        <v>7</v>
      </c>
      <c r="B129" s="326" t="inlineStr">
        <is>
          <t>Comp_QTY_1_nos</t>
        </is>
      </c>
      <c r="C129" s="326" t="n"/>
      <c r="D129" s="326" t="n"/>
      <c r="E129" s="326" t="n"/>
      <c r="F129" s="325" t="n"/>
      <c r="G129" s="325">
        <f>IF(OR(F121:F123),1,0)</f>
        <v/>
      </c>
      <c r="H129" s="325" t="n"/>
      <c r="I129" s="325" t="n"/>
      <c r="J129" s="325" t="n"/>
      <c r="K129" s="325" t="n"/>
      <c r="L129" s="325" t="n"/>
      <c r="M129" s="325" t="n"/>
      <c r="N129" s="325" t="n"/>
      <c r="O129" s="325" t="n"/>
      <c r="P129" s="325" t="n"/>
      <c r="Q129" s="325" t="n"/>
      <c r="R129" s="325">
        <f>IF(AND(F129:Q129),1,0)</f>
        <v/>
      </c>
    </row>
    <row r="130" ht="20.15" customHeight="1">
      <c r="A130" s="325" t="n">
        <v>8</v>
      </c>
      <c r="B130" s="326" t="inlineStr">
        <is>
          <t>Comp_QTY_2_nos</t>
        </is>
      </c>
      <c r="C130" s="326" t="n"/>
      <c r="D130" s="326" t="n"/>
      <c r="E130" s="326" t="n"/>
      <c r="F130" s="325" t="n"/>
      <c r="G130" s="325">
        <f>IF(OR(G127),1,0)</f>
        <v/>
      </c>
      <c r="H130" s="325" t="n"/>
      <c r="I130" s="325" t="n"/>
      <c r="J130" s="325" t="n"/>
      <c r="K130" s="325" t="n"/>
      <c r="L130" s="325" t="n"/>
      <c r="M130" s="325" t="n"/>
      <c r="N130" s="325" t="n"/>
      <c r="O130" s="325" t="n"/>
      <c r="P130" s="325" t="n"/>
      <c r="Q130" s="325" t="n"/>
      <c r="R130" s="325">
        <f>IF(AND(G130:Q130),1,0)</f>
        <v/>
      </c>
    </row>
    <row r="131" ht="20.15" customHeight="1">
      <c r="A131" s="325" t="n">
        <v>9</v>
      </c>
      <c r="B131" s="326" t="inlineStr">
        <is>
          <t>Comp_QTY_3_nos</t>
        </is>
      </c>
      <c r="C131" s="326" t="n"/>
      <c r="D131" s="326" t="n"/>
      <c r="E131" s="326" t="n"/>
      <c r="F131" s="325" t="n"/>
      <c r="G131" s="325" t="n"/>
      <c r="H131" s="325" t="n"/>
      <c r="I131" s="325" t="n"/>
      <c r="J131" s="325" t="n"/>
      <c r="K131" s="325" t="n"/>
      <c r="L131" s="325" t="n"/>
      <c r="M131" s="325" t="n"/>
      <c r="N131" s="325" t="n"/>
      <c r="O131" s="325" t="n"/>
      <c r="P131" s="325" t="n"/>
      <c r="Q131" s="325" t="n"/>
      <c r="R131" s="325" t="n"/>
    </row>
    <row r="136" ht="20.15" customHeight="1">
      <c r="A136" s="823" t="inlineStr">
        <is>
          <t>8. Variable Compressor</t>
        </is>
      </c>
      <c r="B136" s="869" t="n"/>
      <c r="C136" s="869" t="n"/>
      <c r="D136" s="869" t="n"/>
      <c r="E136" s="869" t="n"/>
      <c r="F136" s="869" t="n"/>
      <c r="G136" s="869" t="n"/>
      <c r="H136" s="869" t="n"/>
      <c r="I136" s="869" t="n"/>
      <c r="J136" s="869" t="n"/>
      <c r="K136" s="869" t="n"/>
      <c r="L136" s="869" t="n"/>
      <c r="M136" s="869" t="n"/>
      <c r="N136" s="869" t="n"/>
      <c r="O136" s="869" t="n"/>
      <c r="P136" s="869" t="n"/>
      <c r="Q136" s="869" t="n"/>
      <c r="R136" s="870" t="n"/>
    </row>
    <row r="138" ht="20.15" customHeight="1">
      <c r="A138" s="318" t="n">
        <v>1</v>
      </c>
      <c r="B138" s="72" t="inlineStr">
        <is>
          <t>Cooling_level_1</t>
        </is>
      </c>
      <c r="C138" s="72" t="n"/>
      <c r="D138" s="72" t="n"/>
      <c r="E138" s="72" t="n"/>
      <c r="F138" s="318">
        <f>Calculation!$B$76</f>
        <v/>
      </c>
      <c r="G138" s="318" t="n"/>
      <c r="H138" s="318" t="n"/>
      <c r="I138" s="318" t="n"/>
      <c r="J138" s="318" t="n"/>
      <c r="K138" s="318" t="n"/>
      <c r="L138" s="318" t="n"/>
      <c r="M138" s="318" t="n"/>
      <c r="N138" s="318" t="n"/>
      <c r="O138" s="318" t="n"/>
      <c r="P138" s="318" t="n"/>
      <c r="Q138" s="318" t="n"/>
      <c r="R138" s="318">
        <f>IF(AND(F138:Q138),1,0)</f>
        <v/>
      </c>
    </row>
    <row r="139" ht="20.15" customHeight="1">
      <c r="A139" s="318" t="n">
        <v>2</v>
      </c>
      <c r="B139" s="72" t="inlineStr">
        <is>
          <t>Cooling_level_2</t>
        </is>
      </c>
      <c r="C139" s="72" t="n"/>
      <c r="D139" s="72" t="n"/>
      <c r="E139" s="72" t="n"/>
      <c r="F139" s="318">
        <f>Calculation!$B$76</f>
        <v/>
      </c>
      <c r="G139" s="318" t="n"/>
      <c r="H139" s="318" t="n"/>
      <c r="I139" s="318" t="n"/>
      <c r="J139" s="318" t="n"/>
      <c r="K139" s="318" t="n"/>
      <c r="L139" s="318" t="n"/>
      <c r="M139" s="318" t="n"/>
      <c r="N139" s="318" t="n"/>
      <c r="O139" s="318" t="n"/>
      <c r="P139" s="318" t="n"/>
      <c r="Q139" s="318" t="n"/>
      <c r="R139" s="318">
        <f>IF(AND(F139:Q139),1,0)</f>
        <v/>
      </c>
    </row>
    <row r="140" ht="20.15" customHeight="1">
      <c r="A140" s="318" t="n">
        <v>3</v>
      </c>
      <c r="B140" s="72" t="inlineStr">
        <is>
          <t>Cooling_level_4</t>
        </is>
      </c>
      <c r="C140" s="72" t="n"/>
      <c r="D140" s="72" t="n"/>
      <c r="E140" s="72" t="n"/>
      <c r="F140" s="318">
        <f>Calculation!$B$76</f>
        <v/>
      </c>
      <c r="G140" s="318" t="n"/>
      <c r="H140" s="318" t="n"/>
      <c r="I140" s="318" t="n"/>
      <c r="J140" s="318" t="n"/>
      <c r="K140" s="318" t="n"/>
      <c r="L140" s="318" t="n"/>
      <c r="M140" s="318" t="n"/>
      <c r="N140" s="318" t="n"/>
      <c r="O140" s="318" t="n"/>
      <c r="P140" s="318" t="n"/>
      <c r="Q140" s="318" t="n"/>
      <c r="R140" s="318">
        <f>IF(AND(F140:Q140),1,0)</f>
        <v/>
      </c>
    </row>
    <row r="141" ht="20.15" customHeight="1">
      <c r="A141" s="318" t="n">
        <v>4</v>
      </c>
      <c r="B141" s="72" t="inlineStr">
        <is>
          <t>Cooling_level_5</t>
        </is>
      </c>
      <c r="C141" s="72" t="n"/>
      <c r="D141" s="72" t="n"/>
      <c r="E141" s="72" t="n"/>
      <c r="F141" s="318">
        <f>Calculation!$B$76</f>
        <v/>
      </c>
      <c r="G141" s="318" t="n"/>
      <c r="H141" s="318" t="n"/>
      <c r="I141" s="318" t="n"/>
      <c r="J141" s="318" t="n"/>
      <c r="K141" s="318" t="n"/>
      <c r="L141" s="318" t="n"/>
      <c r="M141" s="318" t="n"/>
      <c r="N141" s="318" t="n"/>
      <c r="O141" s="318" t="n"/>
      <c r="P141" s="318" t="n"/>
      <c r="Q141" s="318" t="n"/>
      <c r="R141" s="318">
        <f>IF(AND(F141:Q141),1,0)</f>
        <v/>
      </c>
    </row>
    <row r="142" ht="20.15" customHeight="1">
      <c r="A142" s="318" t="n">
        <v>5</v>
      </c>
      <c r="B142" s="72" t="inlineStr">
        <is>
          <t>Cooling_level_7</t>
        </is>
      </c>
      <c r="C142" s="72" t="n"/>
      <c r="D142" s="72" t="n"/>
      <c r="E142" s="72" t="n"/>
      <c r="F142" s="318">
        <f>Calculation!$B$76</f>
        <v/>
      </c>
      <c r="G142" s="318" t="n"/>
      <c r="H142" s="318" t="n"/>
      <c r="I142" s="318" t="n"/>
      <c r="J142" s="318" t="n"/>
      <c r="K142" s="318" t="n"/>
      <c r="L142" s="318" t="n"/>
      <c r="M142" s="318" t="n"/>
      <c r="N142" s="318" t="n"/>
      <c r="O142" s="318" t="n"/>
      <c r="P142" s="318" t="n"/>
      <c r="Q142" s="318" t="n"/>
      <c r="R142" s="318">
        <f>IF(AND(F142:Q142),1,0)</f>
        <v/>
      </c>
    </row>
    <row r="143" ht="20.15" customHeight="1">
      <c r="A143" s="325" t="n">
        <v>6</v>
      </c>
      <c r="B143" s="326" t="inlineStr">
        <is>
          <t>Comp_ON</t>
        </is>
      </c>
      <c r="C143" s="326" t="n"/>
      <c r="D143" s="326" t="n"/>
      <c r="E143" s="326" t="n"/>
      <c r="F143" s="325" t="n"/>
      <c r="G143" s="325">
        <f>IF(OR(R138:R142),1,0)</f>
        <v/>
      </c>
      <c r="H143" s="325" t="n"/>
      <c r="I143" s="325" t="n"/>
      <c r="J143" s="325" t="n"/>
      <c r="K143" s="325" t="n"/>
      <c r="L143" s="325" t="n"/>
      <c r="M143" s="325" t="n"/>
      <c r="N143" s="325" t="n"/>
      <c r="O143" s="325" t="n"/>
      <c r="P143" s="325" t="n"/>
      <c r="Q143" s="325" t="n"/>
      <c r="R143" s="325">
        <f>IF(AND(F143:Q143),1,0)</f>
        <v/>
      </c>
    </row>
    <row r="148" ht="20.15" customHeight="1">
      <c r="A148" s="823" t="inlineStr">
        <is>
          <t>9. Heating Mode</t>
        </is>
      </c>
      <c r="B148" s="869" t="n"/>
      <c r="C148" s="869" t="n"/>
      <c r="D148" s="869" t="n"/>
      <c r="E148" s="869" t="n"/>
      <c r="F148" s="869" t="n"/>
      <c r="G148" s="869" t="n"/>
      <c r="H148" s="869" t="n"/>
      <c r="I148" s="869" t="n"/>
      <c r="J148" s="869" t="n"/>
      <c r="K148" s="869" t="n"/>
      <c r="L148" s="869" t="n"/>
      <c r="M148" s="869" t="n"/>
      <c r="N148" s="869" t="n"/>
      <c r="O148" s="869" t="n"/>
      <c r="P148" s="869" t="n"/>
      <c r="Q148" s="869" t="n"/>
      <c r="R148" s="870" t="n"/>
    </row>
    <row r="150" ht="20.15" customHeight="1">
      <c r="A150" s="318" t="n">
        <v>1</v>
      </c>
      <c r="B150" s="72" t="inlineStr">
        <is>
          <t>Auto_mode_selected</t>
        </is>
      </c>
      <c r="C150" s="72" t="n"/>
      <c r="D150" s="72" t="n"/>
      <c r="E150" s="72" t="n"/>
      <c r="F150" s="318">
        <f>HVAC_IOs!D18</f>
        <v/>
      </c>
      <c r="G150" s="318" t="n"/>
      <c r="H150" s="318" t="n"/>
      <c r="I150" s="318" t="n"/>
      <c r="J150" s="318" t="n"/>
      <c r="K150" s="318" t="n"/>
      <c r="L150" s="318" t="n"/>
      <c r="M150" s="318" t="n"/>
      <c r="N150" s="318" t="n"/>
      <c r="O150" s="318" t="n"/>
      <c r="P150" s="318" t="n"/>
      <c r="Q150" s="318" t="n"/>
      <c r="R150" s="318">
        <f>IF(AND(F150:Q150),1,0)</f>
        <v/>
      </c>
    </row>
    <row r="151" ht="20.15" customHeight="1">
      <c r="A151" s="318" t="n">
        <v>2</v>
      </c>
      <c r="B151" s="72" t="inlineStr">
        <is>
          <t>No_standby_mode</t>
        </is>
      </c>
      <c r="C151" s="72" t="n"/>
      <c r="D151" s="72" t="n"/>
      <c r="E151" s="72" t="n"/>
      <c r="F151" s="318">
        <f>HVAC_IOs!D20</f>
        <v/>
      </c>
      <c r="G151" s="318" t="n"/>
      <c r="H151" s="318" t="n"/>
      <c r="I151" s="318" t="n"/>
      <c r="J151" s="318" t="n"/>
      <c r="K151" s="318" t="n"/>
      <c r="L151" s="318" t="n"/>
      <c r="M151" s="318" t="n"/>
      <c r="N151" s="318" t="n"/>
      <c r="O151" s="318" t="n"/>
      <c r="P151" s="318" t="n"/>
      <c r="Q151" s="318" t="n"/>
      <c r="R151" s="318">
        <f>IF(AND(F151:Q151),1,0)</f>
        <v/>
      </c>
    </row>
    <row r="152" ht="20.15" customHeight="1">
      <c r="A152" s="318" t="n">
        <v>3</v>
      </c>
      <c r="B152" s="72" t="inlineStr">
        <is>
          <t>No_APS_Load_reduction</t>
        </is>
      </c>
      <c r="C152" s="72" t="n"/>
      <c r="D152" s="72" t="n"/>
      <c r="E152" s="72" t="n"/>
      <c r="F152" s="318">
        <f>IF(AND(HVAC_IOs!D8=1,HVAC_IOs!D9=1),1,0)</f>
        <v/>
      </c>
      <c r="G152" s="318" t="n"/>
      <c r="H152" s="318" t="n"/>
      <c r="I152" s="318" t="n"/>
      <c r="J152" s="318" t="n"/>
      <c r="K152" s="318" t="n"/>
      <c r="L152" s="318" t="n"/>
      <c r="M152" s="318" t="n"/>
      <c r="N152" s="318" t="n"/>
      <c r="O152" s="318" t="n"/>
      <c r="P152" s="318" t="n"/>
      <c r="Q152" s="318" t="n"/>
      <c r="R152" s="318">
        <f>IF(AND(F152:Q152),1,0)</f>
        <v/>
      </c>
    </row>
    <row r="153" ht="20.15" customHeight="1">
      <c r="A153" s="318" t="n">
        <v>4</v>
      </c>
      <c r="B153" s="72" t="inlineStr">
        <is>
          <t>No_LVPS_Load_shed</t>
        </is>
      </c>
      <c r="C153" s="72" t="n"/>
      <c r="D153" s="72" t="n"/>
      <c r="E153" s="72" t="n"/>
      <c r="F153" s="324" t="n">
        <v>1</v>
      </c>
      <c r="G153" s="318" t="n"/>
      <c r="H153" s="318" t="n"/>
      <c r="I153" s="318" t="n"/>
      <c r="J153" s="318" t="n"/>
      <c r="K153" s="318" t="n"/>
      <c r="L153" s="318" t="n"/>
      <c r="M153" s="318" t="n"/>
      <c r="N153" s="318" t="n"/>
      <c r="O153" s="318" t="n"/>
      <c r="P153" s="318" t="n"/>
      <c r="Q153" s="318" t="n"/>
      <c r="R153" s="318">
        <f>IF(AND(F153:Q153),1,0)</f>
        <v/>
      </c>
    </row>
    <row r="154" ht="20.15" customHeight="1">
      <c r="A154" s="318" t="n">
        <v>5</v>
      </c>
      <c r="B154" s="72" t="inlineStr">
        <is>
          <t>No_fire_detected</t>
        </is>
      </c>
      <c r="C154" s="72" t="n"/>
      <c r="D154" s="72" t="n"/>
      <c r="E154" s="72" t="n"/>
      <c r="F154" s="318">
        <f>HVAC_IOs!D7</f>
        <v/>
      </c>
      <c r="G154" s="318" t="n"/>
      <c r="H154" s="318" t="n"/>
      <c r="I154" s="318" t="n"/>
      <c r="J154" s="318" t="n"/>
      <c r="K154" s="318" t="n"/>
      <c r="L154" s="318" t="n"/>
      <c r="M154" s="318" t="n"/>
      <c r="N154" s="318" t="n"/>
      <c r="O154" s="318" t="n"/>
      <c r="P154" s="318" t="n"/>
      <c r="Q154" s="318" t="n"/>
      <c r="R154" s="318">
        <f>IF(AND(F154:Q154),1,0)</f>
        <v/>
      </c>
    </row>
    <row r="155" ht="20.15" customHeight="1">
      <c r="A155" s="318" t="n">
        <v>6</v>
      </c>
      <c r="B155" s="72" t="inlineStr">
        <is>
          <t>Interior_temp_&lt;_set_Point</t>
        </is>
      </c>
      <c r="C155" s="72" t="n"/>
      <c r="D155" s="72" t="n"/>
      <c r="E155" s="72" t="n"/>
      <c r="F155" s="318">
        <f>IF(Calculation!B35&gt;Calculation!B33,1,0)</f>
        <v/>
      </c>
      <c r="G155" s="318" t="n"/>
      <c r="H155" s="318" t="n"/>
      <c r="I155" s="318" t="n"/>
      <c r="J155" s="318" t="n"/>
      <c r="K155" s="318" t="n"/>
      <c r="L155" s="318" t="n"/>
      <c r="M155" s="318" t="n"/>
      <c r="N155" s="318" t="n"/>
      <c r="O155" s="318" t="n"/>
      <c r="P155" s="318" t="n"/>
      <c r="Q155" s="318" t="n"/>
      <c r="R155" s="318">
        <f>IF(AND(F155:Q155),1,0)</f>
        <v/>
      </c>
    </row>
    <row r="156" ht="20.15" customHeight="1">
      <c r="A156" s="148" t="n">
        <v>7</v>
      </c>
      <c r="B156" s="149" t="inlineStr">
        <is>
          <t>Heating_Mode_enable</t>
        </is>
      </c>
      <c r="C156" s="149" t="n"/>
      <c r="D156" s="149" t="n"/>
      <c r="E156" s="149" t="n"/>
      <c r="F156" s="148" t="n"/>
      <c r="G156" s="148">
        <f>IF(AND(R150:R154),1,0)</f>
        <v/>
      </c>
      <c r="H156" s="148" t="n"/>
      <c r="I156" s="148" t="n"/>
      <c r="J156" s="148" t="n"/>
      <c r="K156" s="148" t="n"/>
      <c r="L156" s="148" t="n"/>
      <c r="M156" s="148" t="n"/>
      <c r="N156" s="148" t="n"/>
      <c r="O156" s="148" t="n"/>
      <c r="P156" s="148" t="n"/>
      <c r="Q156" s="148" t="n"/>
      <c r="R156" s="148">
        <f>IF(AND(F156:Q156),1,0)</f>
        <v/>
      </c>
    </row>
    <row r="157" ht="20.15" customHeight="1">
      <c r="A157" s="148" t="n">
        <v>8</v>
      </c>
      <c r="B157" s="149" t="inlineStr">
        <is>
          <t>Heater_ON(9kw)</t>
        </is>
      </c>
      <c r="C157" s="149" t="n"/>
      <c r="D157" s="149" t="n"/>
      <c r="E157" s="149" t="n"/>
      <c r="F157" s="148" t="n"/>
      <c r="G157" s="148" t="n"/>
      <c r="H157" s="148">
        <f>IF(AND(R156,R155),1,0)</f>
        <v/>
      </c>
      <c r="I157" s="148" t="n"/>
      <c r="J157" s="148" t="n"/>
      <c r="K157" s="148" t="n"/>
      <c r="L157" s="148" t="n"/>
      <c r="M157" s="148" t="n"/>
      <c r="N157" s="148" t="n"/>
      <c r="O157" s="148" t="n"/>
      <c r="P157" s="148" t="n"/>
      <c r="Q157" s="148" t="n"/>
      <c r="R157" s="148">
        <f>IF(AND(G157:Q157),1,0)</f>
        <v/>
      </c>
    </row>
    <row r="162" ht="20.15" customHeight="1">
      <c r="A162" s="823" t="inlineStr">
        <is>
          <t>10. Emergency Ventilation</t>
        </is>
      </c>
      <c r="B162" s="869" t="n"/>
      <c r="C162" s="869" t="n"/>
      <c r="D162" s="869" t="n"/>
      <c r="E162" s="869" t="n"/>
      <c r="F162" s="869" t="n"/>
      <c r="G162" s="869" t="n"/>
      <c r="H162" s="869" t="n"/>
      <c r="I162" s="869" t="n"/>
      <c r="J162" s="869" t="n"/>
      <c r="K162" s="869" t="n"/>
      <c r="L162" s="869" t="n"/>
      <c r="M162" s="869" t="n"/>
      <c r="N162" s="869" t="n"/>
      <c r="O162" s="869" t="n"/>
      <c r="P162" s="869" t="n"/>
      <c r="Q162" s="869" t="n"/>
      <c r="R162" s="870" t="n"/>
    </row>
    <row r="164" ht="20.15" customHeight="1">
      <c r="A164" s="318" t="n">
        <v>1</v>
      </c>
      <c r="B164" s="350" t="inlineStr">
        <is>
          <t>Command_emergency_mode</t>
        </is>
      </c>
      <c r="C164" s="72" t="n"/>
      <c r="D164" s="72" t="n"/>
      <c r="E164" s="72" t="n"/>
      <c r="F164" s="318">
        <f>HVAC_IOs!D20</f>
        <v/>
      </c>
      <c r="G164" s="318" t="n"/>
      <c r="H164" s="318" t="n"/>
      <c r="I164" s="318" t="n"/>
      <c r="J164" s="318" t="n"/>
      <c r="K164" s="318" t="n"/>
      <c r="L164" s="318" t="n"/>
      <c r="M164" s="318" t="n"/>
      <c r="N164" s="318" t="n"/>
      <c r="O164" s="318" t="n"/>
      <c r="P164" s="318" t="n"/>
      <c r="Q164" s="318" t="n"/>
      <c r="R164" s="318">
        <f>IF(AND(F164:Q164),1,0)</f>
        <v/>
      </c>
    </row>
    <row r="165" ht="20.15" customHeight="1">
      <c r="A165" s="318" t="n">
        <v>2</v>
      </c>
      <c r="B165" s="350" t="inlineStr">
        <is>
          <t>APS1_file</t>
        </is>
      </c>
      <c r="C165" s="72" t="n"/>
      <c r="D165" s="72" t="n"/>
      <c r="E165" s="72" t="n"/>
      <c r="F165" s="318">
        <f>HVAC_IOs!D15</f>
        <v/>
      </c>
      <c r="G165" s="318" t="n"/>
      <c r="H165" s="318" t="n"/>
      <c r="I165" s="318" t="n"/>
      <c r="J165" s="318" t="n"/>
      <c r="K165" s="318" t="n"/>
      <c r="L165" s="318" t="n"/>
      <c r="M165" s="318" t="n"/>
      <c r="N165" s="318" t="n"/>
      <c r="O165" s="318" t="n"/>
      <c r="P165" s="318" t="n"/>
      <c r="Q165" s="318" t="n"/>
      <c r="R165" s="318">
        <f>IF(AND(F165:Q165),1,0)</f>
        <v/>
      </c>
    </row>
    <row r="166" ht="20.15" customHeight="1">
      <c r="A166" s="318" t="n">
        <v>3</v>
      </c>
      <c r="B166" s="350" t="inlineStr">
        <is>
          <t>APS2_file</t>
        </is>
      </c>
      <c r="C166" s="72" t="n"/>
      <c r="D166" s="72" t="n"/>
      <c r="E166" s="72" t="n"/>
      <c r="F166" s="318">
        <f>HVAC_IOs!D26</f>
        <v/>
      </c>
      <c r="G166" s="318" t="n"/>
      <c r="H166" s="318" t="n"/>
      <c r="I166" s="318" t="n"/>
      <c r="J166" s="318" t="n"/>
      <c r="K166" s="318" t="n"/>
      <c r="L166" s="318" t="n"/>
      <c r="M166" s="318" t="n"/>
      <c r="N166" s="318" t="n"/>
      <c r="O166" s="318" t="n"/>
      <c r="P166" s="318" t="n"/>
      <c r="Q166" s="318" t="n"/>
      <c r="R166" s="318">
        <f>IF(AND(F166:Q166),1,0)</f>
        <v/>
      </c>
    </row>
    <row r="167" ht="20.15" customHeight="1">
      <c r="A167" s="318" t="n">
        <v>4</v>
      </c>
      <c r="B167" s="350" t="inlineStr">
        <is>
          <t>PPR1_trip</t>
        </is>
      </c>
      <c r="C167" s="72" t="n"/>
      <c r="D167" s="72" t="n"/>
      <c r="E167" s="72" t="n"/>
      <c r="F167" s="318">
        <f>HVAC_IOs!D8</f>
        <v/>
      </c>
      <c r="G167" s="318" t="n"/>
      <c r="H167" s="318" t="n"/>
      <c r="I167" s="318" t="n"/>
      <c r="J167" s="318" t="n"/>
      <c r="K167" s="318" t="n"/>
      <c r="L167" s="318" t="n"/>
      <c r="M167" s="318" t="n"/>
      <c r="N167" s="318" t="n"/>
      <c r="O167" s="318" t="n"/>
      <c r="P167" s="318" t="n"/>
      <c r="Q167" s="318" t="n"/>
      <c r="R167" s="318">
        <f>IF(AND(F167:Q167),1,0)</f>
        <v/>
      </c>
    </row>
    <row r="168" ht="20.15" customHeight="1">
      <c r="A168" s="318" t="n">
        <v>5</v>
      </c>
      <c r="B168" s="350" t="inlineStr">
        <is>
          <t>PPR2_trip</t>
        </is>
      </c>
      <c r="C168" s="72" t="n"/>
      <c r="D168" s="72" t="n"/>
      <c r="E168" s="72" t="n"/>
      <c r="F168" s="318">
        <f>HVAC_IOs!D9</f>
        <v/>
      </c>
      <c r="G168" s="318" t="n"/>
      <c r="H168" s="318" t="n"/>
      <c r="I168" s="318" t="n"/>
      <c r="J168" s="318" t="n"/>
      <c r="K168" s="318" t="n"/>
      <c r="L168" s="318" t="n"/>
      <c r="M168" s="318" t="n"/>
      <c r="N168" s="318" t="n"/>
      <c r="O168" s="318" t="n"/>
      <c r="P168" s="318" t="n"/>
      <c r="Q168" s="318" t="n"/>
      <c r="R168" s="318">
        <f>IF(AND(F168:Q168),1,0)</f>
        <v/>
      </c>
    </row>
    <row r="169" ht="20.15" customHeight="1">
      <c r="A169" s="318" t="n">
        <v>6</v>
      </c>
      <c r="B169" s="350" t="inlineStr">
        <is>
          <t>External_smoke</t>
        </is>
      </c>
      <c r="C169" s="72" t="n"/>
      <c r="D169" s="72" t="n"/>
      <c r="E169" s="72" t="n"/>
      <c r="F169" s="318">
        <f>HVAC_IOs!D3</f>
        <v/>
      </c>
      <c r="G169" s="318" t="n"/>
      <c r="H169" s="318" t="n"/>
      <c r="I169" s="318" t="n"/>
      <c r="J169" s="318" t="n"/>
      <c r="K169" s="318" t="n"/>
      <c r="L169" s="318" t="n"/>
      <c r="M169" s="318" t="n"/>
      <c r="N169" s="318" t="n"/>
      <c r="O169" s="318" t="n"/>
      <c r="P169" s="318" t="n"/>
      <c r="Q169" s="318" t="n"/>
      <c r="R169" s="318">
        <f>IF(AND(F169:Q169),1,0)</f>
        <v/>
      </c>
    </row>
    <row r="170" ht="20.15" customHeight="1">
      <c r="A170" s="318" t="n">
        <v>7</v>
      </c>
      <c r="B170" s="350" t="inlineStr">
        <is>
          <t>Internal_smoke</t>
        </is>
      </c>
      <c r="C170" s="72" t="n"/>
      <c r="D170" s="72" t="n"/>
      <c r="E170" s="72" t="n"/>
      <c r="F170" s="318">
        <f>HVAC_IOs!D4</f>
        <v/>
      </c>
      <c r="G170" s="318" t="n"/>
      <c r="H170" s="318" t="n"/>
      <c r="I170" s="318" t="n"/>
      <c r="J170" s="318" t="n"/>
      <c r="K170" s="318" t="n"/>
      <c r="L170" s="318" t="n"/>
      <c r="M170" s="318" t="n"/>
      <c r="N170" s="318" t="n"/>
      <c r="O170" s="318" t="n"/>
      <c r="P170" s="318" t="n"/>
      <c r="Q170" s="318" t="n"/>
      <c r="R170" s="318">
        <f>IF(AND(F170:Q170),1,0)</f>
        <v/>
      </c>
    </row>
    <row r="171" ht="20.15" customHeight="1">
      <c r="A171" s="318" t="n">
        <v>8</v>
      </c>
      <c r="B171" s="350" t="inlineStr">
        <is>
          <t>SAFC1_closed</t>
        </is>
      </c>
      <c r="C171" s="72" t="n"/>
      <c r="D171" s="72" t="n"/>
      <c r="E171" s="72" t="n"/>
      <c r="F171" s="318">
        <f>HVAC_IOs!D45</f>
        <v/>
      </c>
      <c r="G171" s="318" t="n"/>
      <c r="H171" s="318" t="n"/>
      <c r="I171" s="318" t="n"/>
      <c r="J171" s="318" t="n"/>
      <c r="K171" s="318" t="n"/>
      <c r="L171" s="318" t="n"/>
      <c r="M171" s="318" t="n"/>
      <c r="N171" s="318" t="n"/>
      <c r="O171" s="318" t="n"/>
      <c r="P171" s="318" t="n"/>
      <c r="Q171" s="318" t="n"/>
      <c r="R171" s="318">
        <f>IF(AND(F171:Q171),1,0)</f>
        <v/>
      </c>
    </row>
    <row r="172" ht="20.15" customHeight="1">
      <c r="A172" s="318" t="n">
        <v>9</v>
      </c>
      <c r="B172" s="350" t="inlineStr">
        <is>
          <t>SAFC2_closed</t>
        </is>
      </c>
      <c r="C172" s="72" t="n"/>
      <c r="D172" s="72" t="n"/>
      <c r="E172" s="72" t="n"/>
      <c r="F172" s="318">
        <f>HVAC_IOs!D46</f>
        <v/>
      </c>
      <c r="G172" s="318" t="n"/>
      <c r="H172" s="318" t="n"/>
      <c r="I172" s="318" t="n"/>
      <c r="J172" s="318" t="n"/>
      <c r="K172" s="318" t="n"/>
      <c r="L172" s="318" t="n"/>
      <c r="M172" s="318" t="n"/>
      <c r="N172" s="318" t="n"/>
      <c r="O172" s="318" t="n"/>
      <c r="P172" s="318" t="n"/>
      <c r="Q172" s="318" t="n"/>
      <c r="R172" s="318">
        <f>IF(AND(F172:Q172),1,0)</f>
        <v/>
      </c>
    </row>
    <row r="173" ht="20.15" customHeight="1">
      <c r="A173" s="318" t="n">
        <v>10</v>
      </c>
      <c r="B173" s="350" t="inlineStr">
        <is>
          <t>EMR</t>
        </is>
      </c>
      <c r="C173" s="72" t="n"/>
      <c r="D173" s="72" t="n"/>
      <c r="E173" s="72" t="n"/>
      <c r="F173" s="318">
        <f>HVAC_IOs!D48</f>
        <v/>
      </c>
      <c r="G173" s="318" t="n"/>
      <c r="H173" s="318" t="n"/>
      <c r="I173" s="318" t="n"/>
      <c r="J173" s="318" t="n"/>
      <c r="K173" s="318" t="n"/>
      <c r="L173" s="318" t="n"/>
      <c r="M173" s="318" t="n"/>
      <c r="N173" s="318" t="n"/>
      <c r="O173" s="318" t="n"/>
      <c r="P173" s="318" t="n"/>
      <c r="Q173" s="318" t="n"/>
      <c r="R173" s="318">
        <f>IF(AND(F173:Q173),1,0)</f>
        <v/>
      </c>
    </row>
    <row r="174" ht="20.15" customHeight="1">
      <c r="A174" s="318" t="n">
        <v>11</v>
      </c>
      <c r="B174" s="350" t="inlineStr">
        <is>
          <t>TMR1</t>
        </is>
      </c>
      <c r="C174" s="72" t="n"/>
      <c r="D174" s="72" t="n"/>
      <c r="E174" s="72" t="n"/>
      <c r="F174" s="318">
        <f>HVAC_IOs!D47</f>
        <v/>
      </c>
      <c r="G174" s="318" t="n"/>
      <c r="H174" s="318" t="n"/>
      <c r="I174" s="318" t="n"/>
      <c r="J174" s="318" t="n"/>
      <c r="K174" s="318" t="n"/>
      <c r="L174" s="318" t="n"/>
      <c r="M174" s="318" t="n"/>
      <c r="N174" s="318" t="n"/>
      <c r="O174" s="318" t="n"/>
      <c r="P174" s="318" t="n"/>
      <c r="Q174" s="318" t="n"/>
      <c r="R174" s="318">
        <f>IF(AND(F174:Q174),1,0)</f>
        <v/>
      </c>
    </row>
    <row r="175" ht="20.15" customHeight="1">
      <c r="A175" s="148" t="n">
        <v>12</v>
      </c>
      <c r="B175" s="149" t="inlineStr">
        <is>
          <t>command_mode_active</t>
        </is>
      </c>
      <c r="C175" s="149" t="n"/>
      <c r="D175" s="149" t="n"/>
      <c r="E175" s="149" t="n"/>
      <c r="F175" s="148" t="n"/>
      <c r="G175" s="148">
        <f>IF(OR(R164:R174),1,0)</f>
        <v/>
      </c>
      <c r="H175" s="148" t="n"/>
      <c r="I175" s="148" t="n"/>
      <c r="J175" s="148" t="n"/>
      <c r="K175" s="148" t="n"/>
      <c r="L175" s="148" t="n"/>
      <c r="M175" s="148" t="n"/>
      <c r="N175" s="148" t="n"/>
      <c r="O175" s="148" t="n"/>
      <c r="P175" s="148" t="n"/>
      <c r="Q175" s="148" t="n"/>
      <c r="R175" s="148">
        <f>IF(AND(F175:Q175),1,0)</f>
        <v/>
      </c>
    </row>
    <row r="180" ht="20.15" customHeight="1">
      <c r="A180" s="823" t="inlineStr">
        <is>
          <t>11. Fresh Air Control(Damper_full_close)</t>
        </is>
      </c>
      <c r="B180" s="869" t="n"/>
      <c r="C180" s="869" t="n"/>
      <c r="D180" s="869" t="n"/>
      <c r="E180" s="869" t="n"/>
      <c r="F180" s="869" t="n"/>
      <c r="G180" s="869" t="n"/>
      <c r="H180" s="869" t="n"/>
      <c r="I180" s="869" t="n"/>
      <c r="J180" s="869" t="n"/>
      <c r="K180" s="869" t="n"/>
      <c r="L180" s="869" t="n"/>
      <c r="M180" s="869" t="n"/>
      <c r="N180" s="869" t="n"/>
      <c r="O180" s="869" t="n"/>
      <c r="P180" s="869" t="n"/>
      <c r="Q180" s="869" t="n"/>
      <c r="R180" s="870" t="n"/>
    </row>
    <row r="182" ht="20.15" customHeight="1">
      <c r="A182" s="318" t="n">
        <v>1</v>
      </c>
      <c r="B182" s="72" t="inlineStr">
        <is>
          <t>HVAC_ON</t>
        </is>
      </c>
      <c r="C182" s="72" t="n"/>
      <c r="D182" s="72" t="n"/>
      <c r="E182" s="72" t="n"/>
      <c r="F182" s="318">
        <f>HVAC_IOs!D18</f>
        <v/>
      </c>
      <c r="G182" s="318" t="n"/>
      <c r="H182" s="318" t="n"/>
      <c r="I182" s="318" t="n"/>
      <c r="J182" s="318" t="n"/>
      <c r="K182" s="318" t="n"/>
      <c r="L182" s="318" t="n"/>
      <c r="M182" s="318" t="n"/>
      <c r="N182" s="318" t="n"/>
      <c r="O182" s="318" t="n"/>
      <c r="P182" s="318" t="n"/>
      <c r="Q182" s="318" t="n"/>
      <c r="R182" s="318">
        <f>IF(AND(F182:Q182),1,0)</f>
        <v/>
      </c>
    </row>
    <row r="183" ht="20.15" customHeight="1">
      <c r="A183" s="318" t="n">
        <v>2</v>
      </c>
      <c r="B183" s="72" t="inlineStr">
        <is>
          <t>APS_ON</t>
        </is>
      </c>
      <c r="C183" s="72" t="n"/>
      <c r="D183" s="72" t="n"/>
      <c r="E183" s="72" t="n"/>
      <c r="F183" s="318">
        <f>IF(AND(HVAC_IOs!D8=1,HVAC_IOs!D9=1),1,0)</f>
        <v/>
      </c>
      <c r="G183" s="318" t="n"/>
      <c r="H183" s="318" t="n"/>
      <c r="I183" s="318" t="n"/>
      <c r="J183" s="318" t="n"/>
      <c r="K183" s="318" t="n"/>
      <c r="L183" s="318" t="n"/>
      <c r="M183" s="318" t="n"/>
      <c r="N183" s="318" t="n"/>
      <c r="O183" s="318" t="n"/>
      <c r="P183" s="318" t="n"/>
      <c r="Q183" s="318" t="n"/>
      <c r="R183" s="318">
        <f>IF(AND(F183:Q183),1,0)</f>
        <v/>
      </c>
    </row>
    <row r="184" ht="20.15" customHeight="1">
      <c r="A184" s="318" t="n"/>
      <c r="B184" s="72" t="inlineStr">
        <is>
          <t>LFC03</t>
        </is>
      </c>
      <c r="C184" s="72" t="n"/>
      <c r="D184" s="72" t="n"/>
      <c r="E184" s="72" t="n"/>
      <c r="F184" s="318" t="n"/>
      <c r="G184" s="318">
        <f>IF(AND(F182:F183),1,0)</f>
        <v/>
      </c>
      <c r="H184" s="318" t="n"/>
      <c r="I184" s="318" t="n"/>
      <c r="J184" s="318" t="n"/>
      <c r="K184" s="318" t="n"/>
      <c r="L184" s="318" t="n"/>
      <c r="M184" s="318" t="n"/>
      <c r="N184" s="318" t="n"/>
      <c r="O184" s="318" t="n"/>
      <c r="P184" s="318" t="n"/>
      <c r="Q184" s="318" t="n"/>
      <c r="R184" s="318">
        <f>IF(AND(F184:Q184),1,0)</f>
        <v/>
      </c>
    </row>
    <row r="185" ht="20.15" customHeight="1">
      <c r="A185" s="318" t="n">
        <v>3</v>
      </c>
      <c r="B185" s="72" t="inlineStr">
        <is>
          <t>Smoke_fire_outside_vehicle</t>
        </is>
      </c>
      <c r="C185" s="72" t="n"/>
      <c r="D185" s="72" t="n"/>
      <c r="E185" s="72" t="n"/>
      <c r="F185" s="318">
        <f>HVAC_IOs!D5</f>
        <v/>
      </c>
      <c r="G185" s="318" t="n"/>
      <c r="H185" s="318" t="n"/>
      <c r="I185" s="318" t="n"/>
      <c r="J185" s="318" t="n"/>
      <c r="K185" s="318" t="n"/>
      <c r="L185" s="318" t="n"/>
      <c r="M185" s="318" t="n"/>
      <c r="N185" s="318" t="n"/>
      <c r="O185" s="318" t="n"/>
      <c r="P185" s="318" t="n"/>
      <c r="Q185" s="318" t="n"/>
      <c r="R185" s="318">
        <f>IF(AND(F185:Q185),1,0)</f>
        <v/>
      </c>
    </row>
    <row r="186" ht="20.15" customHeight="1">
      <c r="A186" s="318" t="n">
        <v>4</v>
      </c>
      <c r="B186" s="72" t="inlineStr">
        <is>
          <t>Pre-cooling</t>
        </is>
      </c>
      <c r="C186" s="72" t="n"/>
      <c r="D186" s="72" t="n"/>
      <c r="E186" s="72" t="n"/>
      <c r="F186" s="318">
        <f>Calculation!B57</f>
        <v/>
      </c>
      <c r="G186" s="318" t="n"/>
      <c r="H186" s="318" t="n"/>
      <c r="I186" s="318" t="n"/>
      <c r="J186" s="318" t="n"/>
      <c r="K186" s="318" t="n"/>
      <c r="L186" s="318" t="n"/>
      <c r="M186" s="318" t="n"/>
      <c r="N186" s="318" t="n"/>
      <c r="O186" s="318" t="n"/>
      <c r="P186" s="318" t="n"/>
      <c r="Q186" s="318" t="n"/>
      <c r="R186" s="318">
        <f>IF(AND(F186:Q186),1)</f>
        <v/>
      </c>
    </row>
    <row r="187" ht="20.15" customHeight="1">
      <c r="A187" s="318" t="n">
        <v>5</v>
      </c>
      <c r="B187" s="72" t="inlineStr">
        <is>
          <t>Pre-heating</t>
        </is>
      </c>
      <c r="C187" s="72" t="n"/>
      <c r="D187" s="72" t="n"/>
      <c r="E187" s="72" t="n"/>
      <c r="F187" s="318">
        <f>Calculation!B58</f>
        <v/>
      </c>
      <c r="G187" s="318" t="n"/>
      <c r="H187" s="318" t="n"/>
      <c r="I187" s="318" t="n"/>
      <c r="J187" s="318" t="n"/>
      <c r="K187" s="318" t="n"/>
      <c r="L187" s="318" t="n"/>
      <c r="M187" s="318" t="n"/>
      <c r="N187" s="318" t="n"/>
      <c r="O187" s="318" t="n"/>
      <c r="P187" s="318" t="n"/>
      <c r="Q187" s="318" t="n"/>
      <c r="R187" s="318">
        <f>IF(AND(F187:Q187),1,0)</f>
        <v/>
      </c>
    </row>
    <row r="188" ht="20.15" customHeight="1">
      <c r="A188" s="318" t="n"/>
      <c r="B188" s="72" t="inlineStr">
        <is>
          <t>LFC07</t>
        </is>
      </c>
      <c r="C188" s="72" t="n"/>
      <c r="D188" s="72" t="n"/>
      <c r="E188" s="72" t="n"/>
      <c r="F188" s="318" t="n"/>
      <c r="G188" s="318">
        <f>IF(OR(F186:F187),1,0)</f>
        <v/>
      </c>
      <c r="H188" s="318" t="n"/>
      <c r="I188" s="318" t="n"/>
      <c r="J188" s="318" t="n"/>
      <c r="K188" s="318" t="n"/>
      <c r="L188" s="318" t="n"/>
      <c r="M188" s="318" t="n"/>
      <c r="N188" s="318" t="n"/>
      <c r="O188" s="318" t="n"/>
      <c r="P188" s="318" t="n"/>
      <c r="Q188" s="318" t="n"/>
      <c r="R188" s="318">
        <f>IF(AND(F188:Q188),1,0)</f>
        <v/>
      </c>
    </row>
    <row r="189" ht="20.15" customHeight="1">
      <c r="A189" s="148" t="n">
        <v>6</v>
      </c>
      <c r="B189" s="149" t="inlineStr">
        <is>
          <t>Damper_full_close</t>
        </is>
      </c>
      <c r="C189" s="149" t="n"/>
      <c r="D189" s="149" t="n"/>
      <c r="E189" s="149" t="n"/>
      <c r="F189" s="148" t="n"/>
      <c r="G189" s="148" t="n"/>
      <c r="H189" s="148">
        <f>IF(OR(R184,R188,R185),1,0)</f>
        <v/>
      </c>
      <c r="I189" s="148" t="n"/>
      <c r="J189" s="148" t="n"/>
      <c r="K189" s="148" t="n"/>
      <c r="L189" s="148" t="n"/>
      <c r="M189" s="148" t="n"/>
      <c r="N189" s="148" t="n"/>
      <c r="O189" s="148" t="n"/>
      <c r="P189" s="148" t="n"/>
      <c r="Q189" s="148" t="n"/>
      <c r="R189" s="148">
        <f>IF(AND(F189:Q189),1,0)</f>
        <v/>
      </c>
    </row>
    <row r="194" ht="20.15" customHeight="1">
      <c r="A194" s="823" t="inlineStr">
        <is>
          <t>12. Fresh Air Control (Damper_full_open)</t>
        </is>
      </c>
      <c r="B194" s="869" t="n"/>
      <c r="C194" s="869" t="n"/>
      <c r="D194" s="869" t="n"/>
      <c r="E194" s="869" t="n"/>
      <c r="F194" s="869" t="n"/>
      <c r="G194" s="869" t="n"/>
      <c r="H194" s="869" t="n"/>
      <c r="I194" s="869" t="n"/>
      <c r="J194" s="869" t="n"/>
      <c r="K194" s="869" t="n"/>
      <c r="L194" s="869" t="n"/>
      <c r="M194" s="869" t="n"/>
      <c r="N194" s="869" t="n"/>
      <c r="O194" s="869" t="n"/>
      <c r="P194" s="869" t="n"/>
      <c r="Q194" s="869" t="n"/>
      <c r="R194" s="870" t="n"/>
    </row>
    <row r="196" ht="20.15" customHeight="1">
      <c r="A196" s="318" t="n">
        <v>1</v>
      </c>
      <c r="B196" s="72" t="inlineStr">
        <is>
          <t>HVAC_ON</t>
        </is>
      </c>
      <c r="C196" s="72" t="n"/>
      <c r="D196" s="72" t="n"/>
      <c r="E196" s="72" t="n"/>
      <c r="F196" s="318">
        <f>F182</f>
        <v/>
      </c>
      <c r="G196" s="318" t="n"/>
      <c r="H196" s="318" t="n"/>
      <c r="I196" s="318" t="n"/>
      <c r="J196" s="318" t="n"/>
      <c r="K196" s="318" t="n"/>
      <c r="L196" s="318" t="n"/>
      <c r="M196" s="318" t="n"/>
      <c r="N196" s="318" t="n"/>
      <c r="O196" s="318" t="n"/>
      <c r="P196" s="318" t="n"/>
      <c r="Q196" s="318" t="n"/>
      <c r="R196" s="318">
        <f>IF(AND(F196:Q196),1,0)</f>
        <v/>
      </c>
    </row>
    <row r="197" ht="20.15" customHeight="1">
      <c r="A197" s="318" t="n">
        <v>2</v>
      </c>
      <c r="B197" s="72" t="inlineStr">
        <is>
          <t>APS_ON</t>
        </is>
      </c>
      <c r="C197" s="72" t="n"/>
      <c r="D197" s="72" t="n"/>
      <c r="E197" s="72" t="n"/>
      <c r="F197" s="318">
        <f>IF(AND(HVAC_IOs!D8=1,HVAC_IOs!D9=1),1,0)</f>
        <v/>
      </c>
      <c r="G197" s="318" t="n"/>
      <c r="H197" s="318" t="n"/>
      <c r="I197" s="318" t="n"/>
      <c r="J197" s="318" t="n"/>
      <c r="K197" s="318" t="n"/>
      <c r="L197" s="318" t="n"/>
      <c r="M197" s="318" t="n"/>
      <c r="N197" s="318" t="n"/>
      <c r="O197" s="318" t="n"/>
      <c r="P197" s="318" t="n"/>
      <c r="Q197" s="318" t="n"/>
      <c r="R197" s="318">
        <f>IF(AND(F197:Q197),1,0)</f>
        <v/>
      </c>
    </row>
    <row r="198" ht="20.15" customHeight="1">
      <c r="A198" s="318" t="n"/>
      <c r="B198" s="72" t="inlineStr">
        <is>
          <t>LFC03</t>
        </is>
      </c>
      <c r="C198" s="72" t="n"/>
      <c r="D198" s="72" t="n"/>
      <c r="E198" s="72" t="n"/>
      <c r="F198" s="318" t="n"/>
      <c r="G198" s="318">
        <f>IF(AND(F196:F197),1,0)</f>
        <v/>
      </c>
      <c r="H198" s="318" t="n"/>
      <c r="I198" s="318" t="n"/>
      <c r="J198" s="318" t="n"/>
      <c r="K198" s="318" t="n"/>
      <c r="L198" s="318" t="n"/>
      <c r="M198" s="318" t="n"/>
      <c r="N198" s="318" t="n"/>
      <c r="O198" s="318" t="n"/>
      <c r="P198" s="318" t="n"/>
      <c r="Q198" s="318" t="n"/>
      <c r="R198" s="318" t="n"/>
    </row>
    <row r="199" ht="20.15" customHeight="1">
      <c r="A199" s="318" t="n">
        <v>3</v>
      </c>
      <c r="B199" s="72" t="inlineStr">
        <is>
          <t>Smoke_fire_outside_vehicle</t>
        </is>
      </c>
      <c r="C199" s="72" t="n"/>
      <c r="D199" s="72" t="n"/>
      <c r="E199" s="72" t="n"/>
      <c r="F199" s="318">
        <f>HVAC_IOs!D5</f>
        <v/>
      </c>
      <c r="G199" s="318">
        <f>IF(NOT(F199),1,0)</f>
        <v/>
      </c>
      <c r="H199" s="318" t="n"/>
      <c r="I199" s="318" t="n"/>
      <c r="J199" s="318" t="n"/>
      <c r="K199" s="318" t="n"/>
      <c r="L199" s="318" t="n"/>
      <c r="M199" s="318" t="n"/>
      <c r="N199" s="318" t="n"/>
      <c r="O199" s="318" t="n"/>
      <c r="P199" s="318" t="n"/>
      <c r="Q199" s="318" t="n"/>
      <c r="R199" s="318">
        <f>IF(AND(F199:Q199),1,0)</f>
        <v/>
      </c>
    </row>
    <row r="200" ht="20.15" customHeight="1">
      <c r="A200" s="318" t="n">
        <v>4</v>
      </c>
      <c r="B200" s="72" t="inlineStr">
        <is>
          <t>Emergency_ventilation_mode</t>
        </is>
      </c>
      <c r="C200" s="72" t="n"/>
      <c r="D200" s="72" t="n"/>
      <c r="E200" s="72" t="n"/>
      <c r="F200" s="318">
        <f>R44</f>
        <v/>
      </c>
      <c r="G200" s="318" t="n"/>
      <c r="H200" s="318" t="n"/>
      <c r="I200" s="318" t="n"/>
      <c r="J200" s="318" t="n"/>
      <c r="K200" s="318" t="n"/>
      <c r="L200" s="318" t="n"/>
      <c r="M200" s="318" t="n"/>
      <c r="N200" s="318" t="n"/>
      <c r="O200" s="318" t="n"/>
      <c r="P200" s="318" t="n"/>
      <c r="Q200" s="318" t="n"/>
      <c r="R200" s="318">
        <f>IF(AND(F200:Q200)*1,0)</f>
        <v/>
      </c>
    </row>
    <row r="201" ht="20.15" customHeight="1">
      <c r="A201" s="148" t="n">
        <v>5</v>
      </c>
      <c r="B201" s="149" t="inlineStr">
        <is>
          <t>Damper_full_open</t>
        </is>
      </c>
      <c r="C201" s="149" t="n"/>
      <c r="D201" s="149" t="n"/>
      <c r="E201" s="149" t="n"/>
      <c r="F201" s="148" t="n"/>
      <c r="G201" s="148" t="n"/>
      <c r="H201" s="148">
        <f>IF(AND(R198,R199,R200),1,0)</f>
        <v/>
      </c>
      <c r="I201" s="148" t="n"/>
      <c r="J201" s="148" t="n"/>
      <c r="K201" s="148" t="n"/>
      <c r="L201" s="148" t="n"/>
      <c r="M201" s="148" t="n"/>
      <c r="N201" s="148" t="n"/>
      <c r="O201" s="148" t="n"/>
      <c r="P201" s="148" t="n"/>
      <c r="Q201" s="148" t="n"/>
      <c r="R201" s="148">
        <f>IF(AND(F201:Q201),1,0)</f>
        <v/>
      </c>
    </row>
    <row r="206" ht="20.15" customHeight="1">
      <c r="A206" s="823" t="inlineStr">
        <is>
          <t>13.Fresh Air Control (Damper Modulate)</t>
        </is>
      </c>
      <c r="B206" s="869" t="n"/>
      <c r="C206" s="869" t="n"/>
      <c r="D206" s="869" t="n"/>
      <c r="E206" s="869" t="n"/>
      <c r="F206" s="869" t="n"/>
      <c r="G206" s="869" t="n"/>
      <c r="H206" s="869" t="n"/>
      <c r="I206" s="869" t="n"/>
      <c r="J206" s="869" t="n"/>
      <c r="K206" s="869" t="n"/>
      <c r="L206" s="869" t="n"/>
      <c r="M206" s="869" t="n"/>
      <c r="N206" s="869" t="n"/>
      <c r="O206" s="869" t="n"/>
      <c r="P206" s="869" t="n"/>
      <c r="Q206" s="869" t="n"/>
      <c r="R206" s="870" t="n"/>
    </row>
    <row r="208" ht="20.15" customHeight="1">
      <c r="A208" s="318" t="n">
        <v>1</v>
      </c>
      <c r="B208" s="72" t="inlineStr">
        <is>
          <t>HVAC_ON</t>
        </is>
      </c>
      <c r="C208" s="72" t="n"/>
      <c r="D208" s="72" t="n"/>
      <c r="E208" s="72" t="n"/>
      <c r="F208" s="318">
        <f>F196</f>
        <v/>
      </c>
      <c r="G208" s="318" t="n"/>
      <c r="H208" s="318" t="n"/>
      <c r="I208" s="318" t="n"/>
      <c r="J208" s="318" t="n"/>
      <c r="K208" s="318" t="n"/>
      <c r="L208" s="318" t="n"/>
      <c r="M208" s="318" t="n"/>
      <c r="N208" s="318" t="n"/>
      <c r="O208" s="318" t="n"/>
      <c r="P208" s="318" t="n"/>
      <c r="Q208" s="318" t="n"/>
      <c r="R208" s="318">
        <f>IF(AND(F208:Q208),1,0)</f>
        <v/>
      </c>
    </row>
    <row r="209" ht="20.15" customHeight="1">
      <c r="A209" s="318" t="n">
        <v>2</v>
      </c>
      <c r="B209" s="72" t="inlineStr">
        <is>
          <t>APS_ON</t>
        </is>
      </c>
      <c r="C209" s="72" t="n"/>
      <c r="D209" s="72" t="n"/>
      <c r="E209" s="72" t="n"/>
      <c r="F209" s="318">
        <f>IF(AND(HVAC_IOs!D8=1,HVAC_IOs!D9=1),1,0)</f>
        <v/>
      </c>
      <c r="G209" s="318" t="n"/>
      <c r="H209" s="318" t="n"/>
      <c r="I209" s="318" t="n"/>
      <c r="J209" s="318" t="n"/>
      <c r="K209" s="318" t="n"/>
      <c r="L209" s="318" t="n"/>
      <c r="M209" s="318" t="n"/>
      <c r="N209" s="318" t="n"/>
      <c r="O209" s="318" t="n"/>
      <c r="P209" s="318" t="n"/>
      <c r="Q209" s="318" t="n"/>
      <c r="R209" s="318">
        <f>IF(AND(F209:Q209),1,0)</f>
        <v/>
      </c>
    </row>
    <row r="210" ht="20.15" customHeight="1">
      <c r="A210" s="318" t="n"/>
      <c r="B210" s="72" t="inlineStr">
        <is>
          <t>LFC03</t>
        </is>
      </c>
      <c r="C210" s="72" t="n"/>
      <c r="D210" s="72" t="n"/>
      <c r="E210" s="72" t="n"/>
      <c r="F210" s="318" t="n"/>
      <c r="G210" s="318">
        <f>IF(AND(F208:F209),1,0)</f>
        <v/>
      </c>
      <c r="H210" s="318" t="n"/>
      <c r="I210" s="318" t="n"/>
      <c r="J210" s="318" t="n"/>
      <c r="K210" s="318" t="n"/>
      <c r="L210" s="318" t="n"/>
      <c r="M210" s="318" t="n"/>
      <c r="N210" s="318" t="n"/>
      <c r="O210" s="318" t="n"/>
      <c r="P210" s="318" t="n"/>
      <c r="Q210" s="318" t="n"/>
      <c r="R210" s="318" t="n"/>
    </row>
    <row r="211" ht="20.15" customHeight="1">
      <c r="A211" s="318" t="n">
        <v>3</v>
      </c>
      <c r="B211" s="72" t="inlineStr">
        <is>
          <t>Pre-cooling</t>
        </is>
      </c>
      <c r="C211" s="72" t="n"/>
      <c r="D211" s="72" t="n"/>
      <c r="E211" s="72" t="n"/>
      <c r="F211" s="318">
        <f>F186</f>
        <v/>
      </c>
      <c r="G211" s="318" t="n"/>
      <c r="H211" s="318" t="n"/>
      <c r="I211" s="318" t="n"/>
      <c r="J211" s="318" t="n"/>
      <c r="K211" s="318" t="n"/>
      <c r="L211" s="318" t="n"/>
      <c r="M211" s="318" t="n"/>
      <c r="N211" s="318" t="n"/>
      <c r="O211" s="318" t="n"/>
      <c r="P211" s="318" t="n"/>
      <c r="Q211" s="318" t="n"/>
      <c r="R211" s="318">
        <f>IF(AND(F211:Q211),1,0)</f>
        <v/>
      </c>
    </row>
    <row r="212" ht="20.15" customHeight="1">
      <c r="A212" s="318" t="n">
        <v>4</v>
      </c>
      <c r="B212" s="72" t="inlineStr">
        <is>
          <t>Pre-heating</t>
        </is>
      </c>
      <c r="C212" s="72" t="n"/>
      <c r="D212" s="72" t="n"/>
      <c r="E212" s="72" t="n"/>
      <c r="F212" s="318">
        <f>F187</f>
        <v/>
      </c>
      <c r="G212" s="318" t="n"/>
      <c r="H212" s="318" t="n"/>
      <c r="I212" s="318" t="n"/>
      <c r="J212" s="318" t="n"/>
      <c r="K212" s="318" t="n"/>
      <c r="L212" s="318" t="n"/>
      <c r="M212" s="318" t="n"/>
      <c r="N212" s="318" t="n"/>
      <c r="O212" s="318" t="n"/>
      <c r="P212" s="318" t="n"/>
      <c r="Q212" s="318" t="n"/>
      <c r="R212" s="318">
        <f>IF(AND(F212:Q212),1,0)</f>
        <v/>
      </c>
    </row>
    <row r="213" ht="20.15" customHeight="1">
      <c r="A213" s="318" t="n"/>
      <c r="B213" s="72" t="inlineStr">
        <is>
          <t>LFc06/07</t>
        </is>
      </c>
      <c r="C213" s="72" t="n"/>
      <c r="D213" s="72" t="n"/>
      <c r="E213" s="72" t="n"/>
      <c r="F213" s="318" t="n"/>
      <c r="G213" s="318">
        <f>IF(OR(F211:F212),1,0)</f>
        <v/>
      </c>
      <c r="H213" s="318">
        <f>IF(NOT(G213),1,0)</f>
        <v/>
      </c>
      <c r="I213" s="318" t="n"/>
      <c r="J213" s="318" t="n"/>
      <c r="K213" s="318" t="n"/>
      <c r="L213" s="318" t="n"/>
      <c r="M213" s="318" t="n"/>
      <c r="N213" s="318" t="n"/>
      <c r="O213" s="318" t="n"/>
      <c r="P213" s="318" t="n"/>
      <c r="Q213" s="318" t="n"/>
      <c r="R213" s="318" t="n"/>
    </row>
    <row r="214" ht="20.15" customHeight="1">
      <c r="A214" s="318" t="n">
        <v>5</v>
      </c>
      <c r="B214" s="72" t="inlineStr">
        <is>
          <t>Normal_operation_mode</t>
        </is>
      </c>
      <c r="C214" s="72" t="n"/>
      <c r="D214" s="72" t="n"/>
      <c r="E214" s="72" t="n"/>
      <c r="F214" s="318" t="n">
        <v>1</v>
      </c>
      <c r="G214" s="318" t="n"/>
      <c r="H214" s="318" t="n"/>
      <c r="I214" s="318" t="n"/>
      <c r="J214" s="318" t="n"/>
      <c r="K214" s="318" t="n"/>
      <c r="L214" s="318" t="n"/>
      <c r="M214" s="318" t="n"/>
      <c r="N214" s="318" t="n"/>
      <c r="O214" s="318" t="n"/>
      <c r="P214" s="318" t="n"/>
      <c r="Q214" s="318" t="n"/>
      <c r="R214" s="318">
        <f>IF(AND(F214:Q214),1,0)</f>
        <v/>
      </c>
    </row>
    <row r="215" ht="20.15" customHeight="1">
      <c r="A215" s="318" t="n"/>
      <c r="B215" s="72" t="inlineStr">
        <is>
          <t>Emergency_ventilation_mode</t>
        </is>
      </c>
      <c r="C215" s="72" t="n"/>
      <c r="D215" s="72" t="n"/>
      <c r="E215" s="72" t="n"/>
      <c r="F215" s="318">
        <f>F200</f>
        <v/>
      </c>
      <c r="G215" s="318" t="n"/>
      <c r="H215" s="318">
        <f>IF(NOT(F215),1,0)</f>
        <v/>
      </c>
      <c r="I215" s="318" t="n"/>
      <c r="J215" s="318" t="n"/>
      <c r="K215" s="318" t="n"/>
      <c r="L215" s="318" t="n"/>
      <c r="M215" s="318" t="n"/>
      <c r="N215" s="318" t="n"/>
      <c r="O215" s="318" t="n"/>
      <c r="P215" s="318" t="n"/>
      <c r="Q215" s="318" t="n"/>
      <c r="R215" s="318">
        <f>IF(AND(F215:Q215),1,0)</f>
        <v/>
      </c>
    </row>
    <row r="216" ht="20.15" customHeight="1">
      <c r="A216" s="318" t="n">
        <v>6</v>
      </c>
      <c r="B216" s="72" t="inlineStr">
        <is>
          <t>Smoke/fire_outside_ehicle</t>
        </is>
      </c>
      <c r="C216" s="72" t="n"/>
      <c r="D216" s="72" t="n"/>
      <c r="E216" s="72" t="n"/>
      <c r="F216" s="318">
        <f>HVAC_IOs!D5</f>
        <v/>
      </c>
      <c r="G216" s="318" t="n"/>
      <c r="H216" s="318">
        <f>IF(NOT(F216),1,0)</f>
        <v/>
      </c>
      <c r="I216" s="318" t="n"/>
      <c r="J216" s="318" t="n"/>
      <c r="K216" s="318" t="n"/>
      <c r="L216" s="318" t="n"/>
      <c r="M216" s="318" t="n"/>
      <c r="N216" s="318" t="n"/>
      <c r="O216" s="318" t="n"/>
      <c r="P216" s="318" t="n"/>
      <c r="Q216" s="318" t="n"/>
      <c r="R216" s="318">
        <f>IF(AND(F216:Q216),1,0)</f>
        <v/>
      </c>
    </row>
    <row r="217" ht="20.15" customHeight="1">
      <c r="A217" s="318" t="n">
        <v>7</v>
      </c>
      <c r="B217" s="72" t="inlineStr">
        <is>
          <t>Passenger_load_modulation_available</t>
        </is>
      </c>
      <c r="C217" s="72" t="n"/>
      <c r="D217" s="72" t="n"/>
      <c r="E217" s="72" t="n"/>
      <c r="F217" s="318" t="n">
        <v>1</v>
      </c>
      <c r="G217" s="318" t="n"/>
      <c r="H217" s="318" t="n"/>
      <c r="I217" s="318" t="n"/>
      <c r="J217" s="318" t="n"/>
      <c r="K217" s="318" t="n"/>
      <c r="L217" s="318" t="n"/>
      <c r="M217" s="318" t="n"/>
      <c r="N217" s="318" t="n"/>
      <c r="O217" s="318" t="n"/>
      <c r="P217" s="318" t="n"/>
      <c r="Q217" s="318" t="n"/>
      <c r="R217" s="318">
        <f>IF(AND(F217:Q217),1,0)</f>
        <v/>
      </c>
    </row>
    <row r="218" ht="20.15" customHeight="1">
      <c r="A218" s="148" t="n">
        <v>8</v>
      </c>
      <c r="B218" s="149" t="inlineStr">
        <is>
          <t>Damper_modulated</t>
        </is>
      </c>
      <c r="C218" s="149" t="n"/>
      <c r="D218" s="149" t="n"/>
      <c r="E218" s="149" t="n"/>
      <c r="F218" s="148" t="n"/>
      <c r="G218" s="148" t="n"/>
      <c r="H218" s="148" t="n"/>
      <c r="I218" s="148">
        <f>IF(AND(R210,R213,R215:R216),1,0)</f>
        <v/>
      </c>
      <c r="J218" s="148" t="n"/>
      <c r="K218" s="148" t="n"/>
      <c r="L218" s="148" t="n"/>
      <c r="M218" s="148" t="n"/>
      <c r="N218" s="148" t="n"/>
      <c r="O218" s="148" t="n"/>
      <c r="P218" s="148" t="n"/>
      <c r="Q218" s="148" t="n"/>
      <c r="R218" s="148">
        <f>IF(AND(F218:Q218),1,0)</f>
        <v/>
      </c>
    </row>
    <row r="223" ht="20.15" customHeight="1">
      <c r="A223" s="823" t="inlineStr">
        <is>
          <t>14.Status Data Adaption by TCMS</t>
        </is>
      </c>
      <c r="B223" s="869" t="n"/>
      <c r="C223" s="869" t="n"/>
      <c r="D223" s="869" t="n"/>
      <c r="E223" s="869" t="n"/>
      <c r="F223" s="869" t="n"/>
      <c r="G223" s="869" t="n"/>
      <c r="H223" s="869" t="n"/>
      <c r="I223" s="869" t="n"/>
      <c r="J223" s="869" t="n"/>
      <c r="K223" s="869" t="n"/>
      <c r="L223" s="869" t="n"/>
      <c r="M223" s="869" t="n"/>
      <c r="N223" s="869" t="n"/>
      <c r="O223" s="869" t="n"/>
      <c r="P223" s="869" t="n"/>
      <c r="Q223" s="869" t="n"/>
      <c r="R223" s="870" t="n"/>
    </row>
    <row r="225" ht="20.15" customHeight="1">
      <c r="A225" s="318" t="n">
        <v>1</v>
      </c>
      <c r="B225" s="72" t="inlineStr">
        <is>
          <t>N1_ON_HVAC_online_network_1</t>
        </is>
      </c>
      <c r="C225" s="72" t="n"/>
      <c r="D225" s="72" t="n"/>
      <c r="E225" s="72" t="n"/>
      <c r="F225" s="318" t="n">
        <v>1</v>
      </c>
      <c r="G225" s="318" t="n"/>
      <c r="H225" s="318" t="n"/>
      <c r="I225" s="318" t="n"/>
      <c r="J225" s="318" t="n"/>
      <c r="K225" s="318" t="n"/>
      <c r="L225" s="318" t="n"/>
      <c r="M225" s="318" t="n"/>
      <c r="N225" s="318" t="n"/>
      <c r="O225" s="318" t="n"/>
      <c r="P225" s="318" t="n"/>
      <c r="Q225" s="318" t="n"/>
      <c r="R225" s="318">
        <f>IF(AND(F225:Q225),1,0)</f>
        <v/>
      </c>
    </row>
    <row r="226" ht="20.15" customHeight="1">
      <c r="A226" s="318" t="n">
        <v>2</v>
      </c>
      <c r="B226" s="72" t="inlineStr">
        <is>
          <t>N1_V1_HVAC1_Data_Valid</t>
        </is>
      </c>
      <c r="C226" s="72" t="n"/>
      <c r="D226" s="72" t="n"/>
      <c r="E226" s="72" t="n"/>
      <c r="F226" s="318" t="n">
        <v>1</v>
      </c>
      <c r="G226" s="318" t="n"/>
      <c r="H226" s="318" t="n"/>
      <c r="I226" s="318" t="n"/>
      <c r="J226" s="318" t="n"/>
      <c r="K226" s="318" t="n"/>
      <c r="L226" s="318" t="n"/>
      <c r="M226" s="318" t="n"/>
      <c r="N226" s="318" t="n"/>
      <c r="O226" s="318" t="n"/>
      <c r="P226" s="318" t="n"/>
      <c r="Q226" s="318" t="n"/>
      <c r="R226" s="318">
        <f>IF(AND(F226:Q226),1,0)</f>
        <v/>
      </c>
    </row>
    <row r="227" ht="20.15" customHeight="1">
      <c r="A227" s="318" t="n">
        <v>3</v>
      </c>
      <c r="B227" s="72" t="inlineStr">
        <is>
          <t>N1_V2_HVAC2_data_valid</t>
        </is>
      </c>
      <c r="C227" s="72" t="n"/>
      <c r="D227" s="72" t="n"/>
      <c r="E227" s="72" t="n"/>
      <c r="F227" s="318" t="n">
        <v>1</v>
      </c>
      <c r="G227" s="318" t="n"/>
      <c r="H227" s="318" t="n"/>
      <c r="I227" s="318" t="n"/>
      <c r="J227" s="318" t="n"/>
      <c r="K227" s="318" t="n"/>
      <c r="L227" s="318" t="n"/>
      <c r="M227" s="318" t="n"/>
      <c r="N227" s="318" t="n"/>
      <c r="O227" s="318" t="n"/>
      <c r="P227" s="318" t="n"/>
      <c r="Q227" s="318" t="n"/>
      <c r="R227" s="318">
        <f>IF(AND(F227:Q227),1,0)</f>
        <v/>
      </c>
    </row>
    <row r="228" ht="20.15" customHeight="1">
      <c r="A228" s="318" t="n"/>
      <c r="B228" s="72" t="inlineStr">
        <is>
          <t>LFC04</t>
        </is>
      </c>
      <c r="C228" s="72" t="n"/>
      <c r="D228" s="72" t="n"/>
      <c r="E228" s="72" t="n"/>
      <c r="F228" s="318" t="n"/>
      <c r="G228" s="318">
        <f>IF(AND(F225:F227),1,0)</f>
        <v/>
      </c>
      <c r="H228" s="318" t="n"/>
      <c r="I228" s="318" t="n"/>
      <c r="J228" s="318" t="n"/>
      <c r="K228" s="318" t="n"/>
      <c r="L228" s="318" t="n"/>
      <c r="M228" s="318" t="n"/>
      <c r="N228" s="318" t="n"/>
      <c r="O228" s="318" t="n"/>
      <c r="P228" s="318" t="n"/>
      <c r="Q228" s="318" t="n"/>
      <c r="R228" s="318" t="n"/>
    </row>
    <row r="229" ht="20.15" customHeight="1">
      <c r="A229" s="318" t="n">
        <v>4</v>
      </c>
      <c r="B229" s="72" t="inlineStr">
        <is>
          <t>N2_ON_HVAC_online_network_2</t>
        </is>
      </c>
      <c r="C229" s="72" t="n"/>
      <c r="D229" s="72" t="n"/>
      <c r="E229" s="72" t="n"/>
      <c r="F229" s="318" t="n">
        <v>1</v>
      </c>
      <c r="G229" s="318" t="n"/>
      <c r="H229" s="318" t="n"/>
      <c r="I229" s="318" t="n"/>
      <c r="J229" s="318" t="n"/>
      <c r="K229" s="318" t="n"/>
      <c r="L229" s="318" t="n"/>
      <c r="M229" s="318" t="n"/>
      <c r="N229" s="318" t="n"/>
      <c r="O229" s="318" t="n"/>
      <c r="P229" s="318" t="n"/>
      <c r="Q229" s="318" t="n"/>
      <c r="R229" s="318">
        <f>IF(AND(F229:Q229),1,0)</f>
        <v/>
      </c>
    </row>
    <row r="230" ht="20.15" customHeight="1">
      <c r="A230" s="318" t="n">
        <v>5</v>
      </c>
      <c r="B230" s="72" t="inlineStr">
        <is>
          <t>N1_ON_HVAC_SD_online_network</t>
        </is>
      </c>
      <c r="C230" s="72" t="n"/>
      <c r="D230" s="72" t="n"/>
      <c r="E230" s="72" t="n"/>
      <c r="F230" s="318" t="n">
        <v>1</v>
      </c>
      <c r="G230" s="318">
        <f>IF(NOT(F230),1,0)</f>
        <v/>
      </c>
      <c r="H230" s="318" t="n"/>
      <c r="I230" s="318" t="n"/>
      <c r="J230" s="318" t="n"/>
      <c r="K230" s="318" t="n"/>
      <c r="L230" s="318" t="n"/>
      <c r="M230" s="318" t="n"/>
      <c r="N230" s="318" t="n"/>
      <c r="O230" s="318" t="n"/>
      <c r="P230" s="318" t="n"/>
      <c r="Q230" s="318" t="n"/>
      <c r="R230" s="318">
        <f>IF(AND(F230:Q230),1,0)</f>
        <v/>
      </c>
    </row>
    <row r="231" ht="20.15" customHeight="1">
      <c r="A231" s="318" t="n">
        <v>6</v>
      </c>
      <c r="B231" s="72" t="inlineStr">
        <is>
          <t>N2_V1_HVAC1_data_valid</t>
        </is>
      </c>
      <c r="C231" s="72" t="n"/>
      <c r="D231" s="72" t="n"/>
      <c r="E231" s="72" t="n"/>
      <c r="F231" s="318" t="n">
        <v>1</v>
      </c>
      <c r="G231" s="318" t="n"/>
      <c r="H231" s="318" t="n"/>
      <c r="I231" s="318" t="n"/>
      <c r="J231" s="318" t="n"/>
      <c r="K231" s="318" t="n"/>
      <c r="L231" s="318" t="n"/>
      <c r="M231" s="318" t="n"/>
      <c r="N231" s="318" t="n"/>
      <c r="O231" s="318" t="n"/>
      <c r="P231" s="318" t="n"/>
      <c r="Q231" s="318" t="n"/>
      <c r="R231" s="318">
        <f>IF(AND(F231:Q231),1,0)</f>
        <v/>
      </c>
    </row>
    <row r="232" ht="20.15" customHeight="1">
      <c r="A232" s="318" t="n">
        <v>7</v>
      </c>
      <c r="B232" s="72" t="inlineStr">
        <is>
          <t>N2_V2_HVAC2_data_valid</t>
        </is>
      </c>
      <c r="C232" s="72" t="n"/>
      <c r="D232" s="72" t="n"/>
      <c r="E232" s="72" t="n"/>
      <c r="F232" s="318" t="n">
        <v>1</v>
      </c>
      <c r="G232" s="318" t="n"/>
      <c r="H232" s="318" t="n"/>
      <c r="I232" s="318" t="n"/>
      <c r="J232" s="318" t="n"/>
      <c r="K232" s="318" t="n"/>
      <c r="L232" s="318" t="n"/>
      <c r="M232" s="318" t="n"/>
      <c r="N232" s="318" t="n"/>
      <c r="O232" s="318" t="n"/>
      <c r="P232" s="318" t="n"/>
      <c r="Q232" s="318" t="n"/>
      <c r="R232" s="318">
        <f>IF(AND(F232:Q232),1,0)</f>
        <v/>
      </c>
    </row>
    <row r="233" ht="20.15" customHeight="1">
      <c r="A233" s="318" t="n"/>
      <c r="B233" s="72" t="inlineStr">
        <is>
          <t>LFC10</t>
        </is>
      </c>
      <c r="C233" s="72" t="n"/>
      <c r="D233" s="72" t="n"/>
      <c r="E233" s="72" t="n"/>
      <c r="F233" s="318" t="n"/>
      <c r="G233" s="318">
        <f>IF(AND(F229,G230,F231:F232),1,0)</f>
        <v/>
      </c>
      <c r="H233" s="318" t="n"/>
      <c r="I233" s="318" t="n"/>
      <c r="J233" s="318" t="n"/>
      <c r="K233" s="318" t="n"/>
      <c r="L233" s="318" t="n"/>
      <c r="M233" s="318" t="n"/>
      <c r="N233" s="318" t="n"/>
      <c r="O233" s="318" t="n"/>
      <c r="P233" s="318" t="n"/>
      <c r="Q233" s="318" t="n"/>
      <c r="R233" s="318">
        <f>IF(AND(F233:Q233),1,0)</f>
        <v/>
      </c>
    </row>
    <row r="234" ht="20.15" customHeight="1">
      <c r="A234" s="325" t="n">
        <v>8</v>
      </c>
      <c r="B234" s="326" t="inlineStr">
        <is>
          <t>Network_1_HVAC_status_data</t>
        </is>
      </c>
      <c r="C234" s="326" t="n"/>
      <c r="D234" s="326" t="n"/>
      <c r="E234" s="326" t="n"/>
      <c r="F234" s="325" t="n"/>
      <c r="G234" s="325" t="n"/>
      <c r="H234" s="325">
        <f>IF(AND(G228),1,0)</f>
        <v/>
      </c>
      <c r="I234" s="325" t="n"/>
      <c r="J234" s="325" t="n"/>
      <c r="K234" s="325" t="n"/>
      <c r="L234" s="325" t="n"/>
      <c r="M234" s="325" t="n"/>
      <c r="N234" s="325" t="n"/>
      <c r="O234" s="325" t="n"/>
      <c r="P234" s="325" t="n"/>
      <c r="Q234" s="325" t="n"/>
      <c r="R234" s="325">
        <f>IF(AND(G234:Q234),1,0)</f>
        <v/>
      </c>
    </row>
    <row r="235" ht="20.15" customHeight="1">
      <c r="A235" s="325" t="n">
        <v>9</v>
      </c>
      <c r="B235" s="326" t="inlineStr">
        <is>
          <t>Network_2_HVAC_Status_data</t>
        </is>
      </c>
      <c r="C235" s="326" t="n"/>
      <c r="D235" s="326" t="n"/>
      <c r="E235" s="326" t="n"/>
      <c r="F235" s="325" t="n"/>
      <c r="G235" s="325" t="n"/>
      <c r="H235" s="325">
        <f>IF(AND(G233),1,0)</f>
        <v/>
      </c>
      <c r="I235" s="325" t="n"/>
      <c r="J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>
        <f>IF(AND(G235:Q235),1,0)</f>
        <v/>
      </c>
    </row>
    <row r="240" ht="20.15" customHeight="1">
      <c r="A240" s="823" t="inlineStr">
        <is>
          <t>15.Status Data Adaption by TCMS</t>
        </is>
      </c>
      <c r="B240" s="869" t="n"/>
      <c r="C240" s="869" t="n"/>
      <c r="D240" s="869" t="n"/>
      <c r="E240" s="869" t="n"/>
      <c r="F240" s="869" t="n"/>
      <c r="G240" s="869" t="n"/>
      <c r="H240" s="869" t="n"/>
      <c r="I240" s="869" t="n"/>
      <c r="J240" s="869" t="n"/>
      <c r="K240" s="869" t="n"/>
      <c r="L240" s="869" t="n"/>
      <c r="M240" s="869" t="n"/>
      <c r="N240" s="869" t="n"/>
      <c r="O240" s="869" t="n"/>
      <c r="P240" s="869" t="n"/>
      <c r="Q240" s="869" t="n"/>
      <c r="R240" s="870" t="n"/>
    </row>
    <row r="242" ht="20.15" customHeight="1">
      <c r="A242" s="318" t="n">
        <v>1</v>
      </c>
      <c r="B242" s="72" t="inlineStr">
        <is>
          <t>N1_ON_HVAC_online_network_1</t>
        </is>
      </c>
      <c r="C242" s="72" t="n"/>
      <c r="D242" s="72" t="n"/>
      <c r="E242" s="72" t="n"/>
      <c r="F242" s="318" t="n">
        <v>1</v>
      </c>
      <c r="G242" s="318" t="n"/>
      <c r="H242" s="318" t="n"/>
      <c r="I242" s="318" t="n"/>
      <c r="J242" s="318" t="n"/>
      <c r="K242" s="318" t="n"/>
      <c r="L242" s="318" t="n"/>
      <c r="M242" s="318" t="n"/>
      <c r="N242" s="318" t="n"/>
      <c r="O242" s="318" t="n"/>
      <c r="P242" s="318" t="n"/>
      <c r="Q242" s="318" t="n"/>
      <c r="R242" s="318">
        <f>IF(AND(F242:Q242),1,0)</f>
        <v/>
      </c>
    </row>
    <row r="243" ht="20.15" customHeight="1">
      <c r="A243" s="318" t="n">
        <v>2</v>
      </c>
      <c r="B243" s="72" t="inlineStr">
        <is>
          <t>N1_V1_HVAC1_Data_Valid</t>
        </is>
      </c>
      <c r="C243" s="72" t="n"/>
      <c r="D243" s="72" t="n"/>
      <c r="E243" s="72" t="n"/>
      <c r="F243" s="318" t="n">
        <v>1</v>
      </c>
      <c r="G243" s="318" t="n"/>
      <c r="H243" s="318" t="n"/>
      <c r="I243" s="318" t="n"/>
      <c r="J243" s="318" t="n"/>
      <c r="K243" s="318" t="n"/>
      <c r="L243" s="318" t="n"/>
      <c r="M243" s="318" t="n"/>
      <c r="N243" s="318" t="n"/>
      <c r="O243" s="318" t="n"/>
      <c r="P243" s="318" t="n"/>
      <c r="Q243" s="318" t="n"/>
      <c r="R243" s="318">
        <f>IF(AND(F243:Q243),1,0)</f>
        <v/>
      </c>
    </row>
    <row r="244" ht="20.15" customHeight="1">
      <c r="A244" s="318" t="n">
        <v>3</v>
      </c>
      <c r="B244" s="72" t="inlineStr">
        <is>
          <t>N1_V2_HVAC2_data_valid</t>
        </is>
      </c>
      <c r="C244" s="72" t="n"/>
      <c r="D244" s="72" t="n"/>
      <c r="E244" s="72" t="n"/>
      <c r="F244" s="318" t="n">
        <v>1</v>
      </c>
      <c r="G244" s="318">
        <f>IF(NOT(F244),1,0)</f>
        <v/>
      </c>
      <c r="H244" s="318" t="n"/>
      <c r="I244" s="318" t="n"/>
      <c r="J244" s="318" t="n"/>
      <c r="K244" s="318" t="n"/>
      <c r="L244" s="318" t="n"/>
      <c r="M244" s="318" t="n"/>
      <c r="N244" s="318" t="n"/>
      <c r="O244" s="318" t="n"/>
      <c r="P244" s="318" t="n"/>
      <c r="Q244" s="318" t="n"/>
      <c r="R244" s="318">
        <f>IF(AND(F244:Q244),1,0)</f>
        <v/>
      </c>
    </row>
    <row r="245" ht="20.15" customHeight="1">
      <c r="A245" s="318" t="n"/>
      <c r="B245" s="72" t="inlineStr">
        <is>
          <t>LFC05</t>
        </is>
      </c>
      <c r="C245" s="72" t="n"/>
      <c r="D245" s="72" t="n"/>
      <c r="E245" s="72" t="n"/>
      <c r="F245" s="318" t="n"/>
      <c r="G245" s="318" t="n"/>
      <c r="H245" s="318">
        <f>IF(AND(F242:F243,G244),1,0)</f>
        <v/>
      </c>
      <c r="I245" s="318" t="n"/>
      <c r="J245" s="318" t="n"/>
      <c r="K245" s="318" t="n"/>
      <c r="L245" s="318" t="n"/>
      <c r="M245" s="318" t="n"/>
      <c r="N245" s="318" t="n"/>
      <c r="O245" s="318" t="n"/>
      <c r="P245" s="318" t="n"/>
      <c r="Q245" s="318" t="n"/>
      <c r="R245" s="318" t="n"/>
    </row>
    <row r="246" ht="20.15" customHeight="1">
      <c r="A246" s="318" t="n">
        <v>5</v>
      </c>
      <c r="B246" s="72" t="inlineStr">
        <is>
          <t>N1_ON_HVAC_SD_online_network_2</t>
        </is>
      </c>
      <c r="C246" s="72" t="n"/>
      <c r="D246" s="72" t="n"/>
      <c r="E246" s="72" t="n"/>
      <c r="F246" s="318" t="n">
        <v>1</v>
      </c>
      <c r="G246" s="318" t="n"/>
      <c r="H246" s="318" t="n"/>
      <c r="I246" s="318" t="n"/>
      <c r="J246" s="318" t="n"/>
      <c r="K246" s="318" t="n"/>
      <c r="L246" s="318" t="n"/>
      <c r="M246" s="318" t="n"/>
      <c r="N246" s="318" t="n"/>
      <c r="O246" s="318" t="n"/>
      <c r="P246" s="318" t="n"/>
      <c r="Q246" s="318" t="n"/>
      <c r="R246" s="318">
        <f>IF(AND(F246:Q246),1,0)</f>
        <v/>
      </c>
    </row>
    <row r="247" ht="20.15" customHeight="1">
      <c r="A247" s="318" t="n">
        <v>6</v>
      </c>
      <c r="B247" s="72" t="inlineStr">
        <is>
          <t>N2_V2_No_HVAC2_data_valid</t>
        </is>
      </c>
      <c r="C247" s="72" t="n"/>
      <c r="D247" s="72" t="n"/>
      <c r="E247" s="72" t="n"/>
      <c r="F247" s="318" t="n">
        <v>1</v>
      </c>
      <c r="G247" s="318">
        <f>IF(NOT(F247),1,0)</f>
        <v/>
      </c>
      <c r="H247" s="318" t="n"/>
      <c r="I247" s="318" t="n"/>
      <c r="J247" s="318" t="n"/>
      <c r="K247" s="318" t="n"/>
      <c r="L247" s="318" t="n"/>
      <c r="M247" s="318" t="n"/>
      <c r="N247" s="318" t="n"/>
      <c r="O247" s="318" t="n"/>
      <c r="P247" s="318" t="n"/>
      <c r="Q247" s="318" t="n"/>
      <c r="R247" s="318">
        <f>IF(AND(F247:Q247),1,0)</f>
        <v/>
      </c>
    </row>
    <row r="248" ht="20.15" customHeight="1">
      <c r="A248" s="318" t="n">
        <v>7</v>
      </c>
      <c r="B248" s="72" t="inlineStr">
        <is>
          <t>N2_V2_HVAC2_data_valid</t>
        </is>
      </c>
      <c r="C248" s="72" t="n"/>
      <c r="D248" s="72" t="n"/>
      <c r="E248" s="72" t="n"/>
      <c r="F248" s="318" t="n">
        <v>1</v>
      </c>
      <c r="G248" s="318" t="n"/>
      <c r="H248" s="318" t="n"/>
      <c r="I248" s="318" t="n"/>
      <c r="J248" s="318" t="n"/>
      <c r="K248" s="318" t="n"/>
      <c r="L248" s="318" t="n"/>
      <c r="M248" s="318" t="n"/>
      <c r="N248" s="318" t="n"/>
      <c r="O248" s="318" t="n"/>
      <c r="P248" s="318" t="n"/>
      <c r="Q248" s="318" t="n"/>
      <c r="R248" s="318">
        <f>IF(AND(F248:Q248),1,0)</f>
        <v/>
      </c>
    </row>
    <row r="249" ht="20.15" customHeight="1">
      <c r="A249" s="318" t="n"/>
      <c r="B249" s="72" t="inlineStr">
        <is>
          <t>LFC10</t>
        </is>
      </c>
      <c r="C249" s="72" t="n"/>
      <c r="D249" s="72" t="n"/>
      <c r="E249" s="72" t="n"/>
      <c r="F249" s="318" t="n"/>
      <c r="G249" s="318" t="n"/>
      <c r="H249" s="318">
        <f>IF(AND(F246,G247,F248),1,0)</f>
        <v/>
      </c>
      <c r="I249" s="318" t="n"/>
      <c r="J249" s="318" t="n"/>
      <c r="K249" s="318" t="n"/>
      <c r="L249" s="318" t="n"/>
      <c r="M249" s="318" t="n"/>
      <c r="N249" s="318" t="n"/>
      <c r="O249" s="318" t="n"/>
      <c r="P249" s="318" t="n"/>
      <c r="Q249" s="318" t="n"/>
      <c r="R249" s="318">
        <f>IF(AND(F249:Q249),1,0)</f>
        <v/>
      </c>
    </row>
    <row r="250" ht="20.15" customHeight="1">
      <c r="A250" s="325" t="n">
        <v>8</v>
      </c>
      <c r="B250" s="326" t="inlineStr">
        <is>
          <t>HVAC1_status_data</t>
        </is>
      </c>
      <c r="C250" s="326" t="n"/>
      <c r="D250" s="326" t="n"/>
      <c r="E250" s="326" t="n"/>
      <c r="F250" s="325" t="n"/>
      <c r="G250" s="325" t="n"/>
      <c r="H250" s="325">
        <f>IF(AND(H245),1,0)</f>
        <v/>
      </c>
      <c r="I250" s="325" t="n"/>
      <c r="J250" s="325" t="n"/>
      <c r="K250" s="325" t="n"/>
      <c r="L250" s="325" t="n"/>
      <c r="M250" s="325" t="n"/>
      <c r="N250" s="325" t="n"/>
      <c r="O250" s="325" t="n"/>
      <c r="P250" s="325" t="n"/>
      <c r="Q250" s="325" t="n"/>
      <c r="R250" s="325">
        <f>IF(AND(H250:Q250),1,0)</f>
        <v/>
      </c>
    </row>
    <row r="251" ht="20.15" customHeight="1">
      <c r="A251" s="325" t="n">
        <v>9</v>
      </c>
      <c r="B251" s="326" t="inlineStr">
        <is>
          <t>HVAC2_Status_data</t>
        </is>
      </c>
      <c r="C251" s="326" t="n"/>
      <c r="D251" s="326" t="n"/>
      <c r="E251" s="326" t="n"/>
      <c r="F251" s="325" t="n"/>
      <c r="G251" s="325" t="n"/>
      <c r="H251" s="325">
        <f>IF(AND(H249),1,0)</f>
        <v/>
      </c>
      <c r="I251" s="325" t="n"/>
      <c r="J251" s="325" t="n"/>
      <c r="K251" s="325" t="n"/>
      <c r="L251" s="325" t="n"/>
      <c r="M251" s="325" t="n"/>
      <c r="N251" s="325" t="n"/>
      <c r="O251" s="325" t="n"/>
      <c r="P251" s="325" t="n"/>
      <c r="Q251" s="325" t="n"/>
      <c r="R251" s="325">
        <f>IF(AND(H251:Q251),1,0)</f>
        <v/>
      </c>
    </row>
    <row r="256" ht="20.15" customHeight="1">
      <c r="A256" s="823" t="inlineStr">
        <is>
          <t>16.Pre-conditioning</t>
        </is>
      </c>
      <c r="B256" s="869" t="n"/>
      <c r="C256" s="869" t="n"/>
      <c r="D256" s="869" t="n"/>
      <c r="E256" s="869" t="n"/>
      <c r="F256" s="869" t="n"/>
      <c r="G256" s="869" t="n"/>
      <c r="H256" s="869" t="n"/>
      <c r="I256" s="869" t="n"/>
      <c r="J256" s="869" t="n"/>
      <c r="K256" s="869" t="n"/>
      <c r="L256" s="869" t="n"/>
      <c r="M256" s="869" t="n"/>
      <c r="N256" s="869" t="n"/>
      <c r="O256" s="869" t="n"/>
      <c r="P256" s="869" t="n"/>
      <c r="Q256" s="869" t="n"/>
      <c r="R256" s="870" t="n"/>
    </row>
    <row r="258" ht="20.15" customHeight="1">
      <c r="A258" s="65" t="n">
        <v>1</v>
      </c>
      <c r="B258" s="66" t="inlineStr">
        <is>
          <t>HVAC_ON</t>
        </is>
      </c>
      <c r="C258" s="65" t="n"/>
      <c r="D258" s="65" t="n"/>
      <c r="E258" s="65" t="n"/>
      <c r="F258" s="65">
        <f>F208</f>
        <v/>
      </c>
      <c r="G258" s="65" t="n"/>
      <c r="H258" s="65" t="n"/>
      <c r="I258" s="65" t="n"/>
      <c r="J258" s="65" t="n"/>
      <c r="K258" s="65" t="n"/>
      <c r="L258" s="65" t="n"/>
      <c r="M258" s="65" t="n"/>
      <c r="N258" s="65" t="n"/>
      <c r="O258" s="65" t="n"/>
      <c r="P258" s="65" t="n"/>
      <c r="Q258" s="65" t="n"/>
      <c r="R258" s="65">
        <f>IF(AND(F258:Q258),1,0)</f>
        <v/>
      </c>
    </row>
    <row r="259" ht="20.15" customHeight="1">
      <c r="A259" s="65" t="n">
        <v>2</v>
      </c>
      <c r="B259" s="66" t="inlineStr">
        <is>
          <t>precondition command</t>
        </is>
      </c>
      <c r="C259" s="65" t="n"/>
      <c r="D259" s="65" t="n"/>
      <c r="E259" s="65" t="n"/>
      <c r="F259" s="65">
        <f>IF(OR(Calculation!B57:B58),1,0)</f>
        <v/>
      </c>
      <c r="G259" s="65" t="n"/>
      <c r="H259" s="65" t="n"/>
      <c r="I259" s="65" t="n"/>
      <c r="J259" s="65" t="n"/>
      <c r="K259" s="65" t="n"/>
      <c r="L259" s="65" t="n"/>
      <c r="M259" s="65" t="n"/>
      <c r="N259" s="65" t="n"/>
      <c r="O259" s="65" t="n"/>
      <c r="P259" s="65" t="n"/>
      <c r="Q259" s="65" t="n"/>
      <c r="R259" s="65">
        <f>IF(AND(F259:Q259),1,0)</f>
        <v/>
      </c>
    </row>
    <row r="260" ht="20.15" customHeight="1">
      <c r="A260" s="65" t="n">
        <v>3</v>
      </c>
      <c r="B260" s="66" t="inlineStr">
        <is>
          <t>passerger&lt;=10%</t>
        </is>
      </c>
      <c r="C260" s="65" t="n"/>
      <c r="D260" s="65" t="n"/>
      <c r="E260" s="65" t="n"/>
      <c r="F260" s="65">
        <f>IF('Mode Logic'!C7&lt;10%,1,0)</f>
        <v/>
      </c>
      <c r="G260" s="65" t="n"/>
      <c r="H260" s="65" t="n"/>
      <c r="I260" s="65" t="n"/>
      <c r="J260" s="65" t="n"/>
      <c r="K260" s="65" t="n"/>
      <c r="L260" s="65" t="n"/>
      <c r="M260" s="65" t="n"/>
      <c r="N260" s="65" t="n"/>
      <c r="O260" s="65" t="n"/>
      <c r="P260" s="65" t="n"/>
      <c r="Q260" s="65" t="n"/>
      <c r="R260" s="65">
        <f>IF(AND(F260:Q260),1,0)</f>
        <v/>
      </c>
    </row>
    <row r="261" ht="20.15" customHeight="1">
      <c r="A261" s="65" t="n">
        <v>4</v>
      </c>
      <c r="B261" s="66" t="inlineStr">
        <is>
          <t>HP_OK</t>
        </is>
      </c>
      <c r="C261" s="65" t="n"/>
      <c r="D261" s="65" t="n"/>
      <c r="E261" s="65" t="n"/>
      <c r="F261" s="65">
        <f>IF(AND(HVAC_IOs!D10=1,HVAC_IOs!D12=1),1,0)</f>
        <v/>
      </c>
      <c r="G261" s="65" t="n"/>
      <c r="H261" s="65" t="n"/>
      <c r="I261" s="65" t="n"/>
      <c r="J261" s="65" t="n"/>
      <c r="K261" s="65" t="n"/>
      <c r="L261" s="65" t="n"/>
      <c r="M261" s="65" t="n"/>
      <c r="N261" s="65" t="n"/>
      <c r="O261" s="65" t="n"/>
      <c r="P261" s="65" t="n"/>
      <c r="Q261" s="65" t="n"/>
      <c r="R261" s="65">
        <f>IF(AND(F261:Q261),1,0)</f>
        <v/>
      </c>
    </row>
    <row r="262" ht="20.15" customHeight="1">
      <c r="A262" s="65" t="n">
        <v>5</v>
      </c>
      <c r="B262" s="66" t="inlineStr">
        <is>
          <t>LP_OK</t>
        </is>
      </c>
      <c r="C262" s="65" t="n"/>
      <c r="D262" s="65" t="n"/>
      <c r="E262" s="65" t="n"/>
      <c r="F262" s="65">
        <f>IF(AND(HVAC_IOs!D11=1,HVAC_IOs!D13=1),1,0)</f>
        <v/>
      </c>
      <c r="G262" s="65" t="n"/>
      <c r="H262" s="65" t="n"/>
      <c r="I262" s="65" t="n"/>
      <c r="J262" s="65" t="n"/>
      <c r="K262" s="65" t="n"/>
      <c r="L262" s="65" t="n"/>
      <c r="M262" s="65" t="n"/>
      <c r="N262" s="65" t="n"/>
      <c r="O262" s="65" t="n"/>
      <c r="P262" s="65" t="n"/>
      <c r="Q262" s="65" t="n"/>
      <c r="R262" s="65">
        <f>IF(AND(F262:Q262),1,0)</f>
        <v/>
      </c>
    </row>
    <row r="263" ht="20.15" customHeight="1">
      <c r="A263" s="65" t="n">
        <v>6</v>
      </c>
      <c r="B263" s="66" t="inlineStr">
        <is>
          <t>Breaker_ok</t>
        </is>
      </c>
      <c r="C263" s="65" t="n"/>
      <c r="D263" s="65" t="n"/>
      <c r="E263" s="65" t="n"/>
      <c r="F263" s="65">
        <f>IF(AND(HVAC_IOs!D30=1,HVAC_IOs!D31=1,HVAC_IOs!D32=1,HVAC_IOs!D33=1,HVAC_IOs!D34=1,HVAC_IOs!D35=1,HVAC_IOs!D36=1,HVAC_IOs!D37=1,HVAC_IOs!D38=1,HVAC_IOs!D39=1,HVAC_IOs!D40=1,HVAC_IOs!D41=1,HVAC_IOs!D42=1,HVAC_IOs!D43=1,HVAC_IOs!D44=1,HVAC_IOs!D45=1,HVAC_IOs!D46=1),1,0)</f>
        <v/>
      </c>
      <c r="G263" s="65" t="n"/>
      <c r="H263" s="65" t="n"/>
      <c r="I263" s="65" t="n"/>
      <c r="J263" s="65" t="n"/>
      <c r="K263" s="65" t="n"/>
      <c r="L263" s="65" t="n"/>
      <c r="M263" s="65" t="n"/>
      <c r="N263" s="65" t="n"/>
      <c r="O263" s="65" t="n"/>
      <c r="P263" s="65" t="n"/>
      <c r="Q263" s="65" t="n"/>
      <c r="R263" s="65">
        <f>IF(AND(F263:Q263),1,0)</f>
        <v/>
      </c>
    </row>
    <row r="264" ht="20.15" customHeight="1">
      <c r="A264" s="65" t="n">
        <v>7</v>
      </c>
      <c r="B264" s="66" t="inlineStr">
        <is>
          <t>Fan_ok</t>
        </is>
      </c>
      <c r="C264" s="65" t="n"/>
      <c r="D264" s="65" t="n"/>
      <c r="E264" s="65" t="n"/>
      <c r="F264" s="65" t="n">
        <v>1</v>
      </c>
      <c r="G264" s="65" t="n"/>
      <c r="H264" s="65" t="n"/>
      <c r="I264" s="65" t="n"/>
      <c r="J264" s="65" t="n"/>
      <c r="K264" s="65" t="n"/>
      <c r="L264" s="65" t="n"/>
      <c r="M264" s="65" t="n"/>
      <c r="N264" s="65" t="n"/>
      <c r="O264" s="65" t="n"/>
      <c r="P264" s="65" t="n"/>
      <c r="Q264" s="65" t="n"/>
      <c r="R264" s="65">
        <f>IF(AND(F264:Q264),1,0)</f>
        <v/>
      </c>
    </row>
    <row r="265" ht="20.15" customHeight="1">
      <c r="A265" s="65" t="n">
        <v>8</v>
      </c>
      <c r="B265" s="66" t="inlineStr">
        <is>
          <t>RAT_&gt;SP+3</t>
        </is>
      </c>
      <c r="C265" s="65" t="n"/>
      <c r="D265" s="65" t="n"/>
      <c r="E265" s="65" t="n"/>
      <c r="F265" s="65">
        <f>F259</f>
        <v/>
      </c>
      <c r="G265" s="65">
        <f>IF(AND(F258:F265),1,0)</f>
        <v/>
      </c>
      <c r="H265" s="65" t="n"/>
      <c r="I265" s="65" t="n"/>
      <c r="J265" s="65" t="n"/>
      <c r="K265" s="65" t="n"/>
      <c r="L265" s="65" t="n"/>
      <c r="M265" s="65" t="n"/>
      <c r="N265" s="65" t="n"/>
      <c r="O265" s="65" t="n"/>
      <c r="P265" s="65" t="n"/>
      <c r="Q265" s="65" t="n"/>
      <c r="R265" s="65">
        <f>IF(AND(F265:Q265),1,0)</f>
        <v/>
      </c>
    </row>
    <row r="266" ht="20.15" customHeight="1">
      <c r="A266" s="148" t="n">
        <v>9</v>
      </c>
      <c r="B266" s="149" t="inlineStr">
        <is>
          <t>Preconditioning enable</t>
        </is>
      </c>
      <c r="C266" s="148" t="n"/>
      <c r="D266" s="148" t="n"/>
      <c r="E266" s="148" t="n"/>
      <c r="F266" s="148" t="n"/>
      <c r="G266" s="148">
        <f>IF(AND(R265),1,0)</f>
        <v/>
      </c>
      <c r="H266" s="148" t="n"/>
      <c r="I266" s="148" t="n"/>
      <c r="J266" s="148" t="n"/>
      <c r="K266" s="148" t="n"/>
      <c r="L266" s="148" t="n"/>
      <c r="M266" s="148" t="n"/>
      <c r="N266" s="148" t="n"/>
      <c r="O266" s="148" t="n"/>
      <c r="P266" s="148" t="n"/>
      <c r="Q266" s="148" t="n"/>
      <c r="R266" s="148">
        <f>IF(AND(F266:Q266),1,0)</f>
        <v/>
      </c>
    </row>
    <row r="267" ht="20.15" customHeight="1">
      <c r="A267" s="148" t="n">
        <v>10</v>
      </c>
      <c r="B267" s="149" t="inlineStr">
        <is>
          <t>fresh air damper closed</t>
        </is>
      </c>
      <c r="C267" s="148" t="n"/>
      <c r="D267" s="148" t="n"/>
      <c r="E267" s="148" t="n"/>
      <c r="F267" s="148" t="n"/>
      <c r="G267" s="148">
        <f>IF(AND(R266),1,0)</f>
        <v/>
      </c>
      <c r="H267" s="148" t="n"/>
      <c r="I267" s="148" t="n"/>
      <c r="J267" s="148" t="n"/>
      <c r="K267" s="148" t="n"/>
      <c r="L267" s="148" t="n"/>
      <c r="M267" s="148" t="n"/>
      <c r="N267" s="148" t="n"/>
      <c r="O267" s="148" t="n"/>
      <c r="P267" s="148" t="n"/>
      <c r="Q267" s="148" t="n"/>
      <c r="R267" s="148">
        <f>IF(AND(F267:Q267),1,0)</f>
        <v/>
      </c>
    </row>
    <row r="271" ht="20.15" customHeight="1">
      <c r="A271" s="823" t="inlineStr">
        <is>
          <t>17.Pre-heating</t>
        </is>
      </c>
      <c r="B271" s="869" t="n"/>
      <c r="C271" s="869" t="n"/>
      <c r="D271" s="869" t="n"/>
      <c r="E271" s="869" t="n"/>
      <c r="F271" s="869" t="n"/>
      <c r="G271" s="869" t="n"/>
      <c r="H271" s="869" t="n"/>
      <c r="I271" s="869" t="n"/>
      <c r="J271" s="869" t="n"/>
      <c r="K271" s="869" t="n"/>
      <c r="L271" s="869" t="n"/>
      <c r="M271" s="869" t="n"/>
      <c r="N271" s="869" t="n"/>
      <c r="O271" s="869" t="n"/>
      <c r="P271" s="869" t="n"/>
      <c r="Q271" s="869" t="n"/>
      <c r="R271" s="870" t="n"/>
    </row>
    <row r="273" ht="20.15" customHeight="1">
      <c r="A273" s="65" t="n">
        <v>1</v>
      </c>
      <c r="B273" s="67" t="inlineStr">
        <is>
          <t>HVAC_on</t>
        </is>
      </c>
      <c r="C273" s="65" t="n"/>
      <c r="D273" s="65" t="n"/>
      <c r="E273" s="65" t="n"/>
      <c r="F273" s="65">
        <f>F258</f>
        <v/>
      </c>
      <c r="G273" s="65" t="n"/>
      <c r="H273" s="65" t="n"/>
      <c r="I273" s="65" t="n"/>
      <c r="J273" s="65" t="n"/>
      <c r="K273" s="65" t="n"/>
      <c r="L273" s="65" t="n"/>
      <c r="M273" s="65" t="n"/>
      <c r="N273" s="65" t="n"/>
      <c r="O273" s="65" t="n"/>
      <c r="P273" s="65" t="n"/>
      <c r="Q273" s="65" t="n"/>
      <c r="R273" s="65">
        <f>IF(AND(F273:Q273),1,0)</f>
        <v/>
      </c>
    </row>
    <row r="274" ht="20.15" customHeight="1">
      <c r="A274" s="65" t="n">
        <v>2</v>
      </c>
      <c r="B274" s="68" t="inlineStr">
        <is>
          <t>Precondition_command</t>
        </is>
      </c>
      <c r="C274" s="65" t="n"/>
      <c r="D274" s="65" t="n"/>
      <c r="E274" s="65" t="n"/>
      <c r="F274" s="65">
        <f>F259</f>
        <v/>
      </c>
      <c r="G274" s="65" t="n"/>
      <c r="H274" s="65" t="n"/>
      <c r="I274" s="65" t="n"/>
      <c r="J274" s="65" t="n"/>
      <c r="K274" s="65" t="n"/>
      <c r="L274" s="65" t="n"/>
      <c r="M274" s="65" t="n"/>
      <c r="N274" s="65" t="n"/>
      <c r="O274" s="65" t="n"/>
      <c r="P274" s="65" t="n"/>
      <c r="Q274" s="65" t="n"/>
      <c r="R274" s="65">
        <f>IF(AND(F274:Q274),1,0)</f>
        <v/>
      </c>
    </row>
    <row r="275" ht="20.15" customHeight="1">
      <c r="A275" s="65" t="n">
        <v>3</v>
      </c>
      <c r="B275" s="69" t="inlineStr">
        <is>
          <t>passanger_&lt;=_10%</t>
        </is>
      </c>
      <c r="C275" s="65" t="n"/>
      <c r="D275" s="65" t="n"/>
      <c r="E275" s="65" t="n"/>
      <c r="F275" s="65">
        <f>F260</f>
        <v/>
      </c>
      <c r="G275" s="65" t="n"/>
      <c r="H275" s="65" t="n"/>
      <c r="I275" s="65" t="n"/>
      <c r="J275" s="65" t="n"/>
      <c r="K275" s="65" t="n"/>
      <c r="L275" s="65" t="n"/>
      <c r="M275" s="65" t="n"/>
      <c r="N275" s="65" t="n"/>
      <c r="O275" s="65" t="n"/>
      <c r="P275" s="65" t="n"/>
      <c r="Q275" s="65" t="n"/>
      <c r="R275" s="65">
        <f>IF(AND(F275:Q275),1,0)</f>
        <v/>
      </c>
    </row>
    <row r="276" ht="20.15" customHeight="1">
      <c r="A276" s="65" t="n">
        <v>4</v>
      </c>
      <c r="B276" s="68" t="inlineStr">
        <is>
          <t>HP_OK</t>
        </is>
      </c>
      <c r="C276" s="65" t="n"/>
      <c r="D276" s="65" t="n"/>
      <c r="E276" s="65" t="n"/>
      <c r="F276" s="65">
        <f>IF(AND(HVAC_IOs!D10=1,HVAC_IOs!D12=1),1,0)</f>
        <v/>
      </c>
      <c r="G276" s="65" t="n"/>
      <c r="H276" s="65" t="n"/>
      <c r="I276" s="65" t="n"/>
      <c r="J276" s="65" t="n"/>
      <c r="K276" s="65" t="n"/>
      <c r="L276" s="65" t="n"/>
      <c r="M276" s="65" t="n"/>
      <c r="N276" s="65" t="n"/>
      <c r="O276" s="65" t="n"/>
      <c r="P276" s="65" t="n"/>
      <c r="Q276" s="65" t="n"/>
      <c r="R276" s="65">
        <f>IF(AND(F276:Q276),1,0)</f>
        <v/>
      </c>
    </row>
    <row r="277" ht="20.15" customHeight="1">
      <c r="A277" s="65" t="n">
        <v>5</v>
      </c>
      <c r="B277" s="68" t="inlineStr">
        <is>
          <t>LP_ok</t>
        </is>
      </c>
      <c r="C277" s="65" t="n"/>
      <c r="D277" s="65" t="n"/>
      <c r="E277" s="65" t="n"/>
      <c r="F277" s="65">
        <f>IF(AND(HVAC_IOs!D11=1,HVAC_IOs!D13=1),1,0)</f>
        <v/>
      </c>
      <c r="G277" s="65" t="n"/>
      <c r="H277" s="65" t="n"/>
      <c r="I277" s="65" t="n"/>
      <c r="J277" s="65" t="n"/>
      <c r="K277" s="65" t="n"/>
      <c r="L277" s="65" t="n"/>
      <c r="M277" s="65" t="n"/>
      <c r="N277" s="65" t="n"/>
      <c r="O277" s="65" t="n"/>
      <c r="P277" s="65" t="n"/>
      <c r="Q277" s="65" t="n"/>
      <c r="R277" s="65">
        <f>IF(AND(F277:Q277),1,0)</f>
        <v/>
      </c>
    </row>
    <row r="278" ht="20.15" customHeight="1">
      <c r="A278" s="65" t="n">
        <v>6</v>
      </c>
      <c r="B278" s="68" t="inlineStr">
        <is>
          <t>Breaker_ok</t>
        </is>
      </c>
      <c r="C278" s="65" t="n"/>
      <c r="D278" s="65" t="n"/>
      <c r="E278" s="65" t="n"/>
      <c r="F278" s="65">
        <f>IF(AND(HVAC_IOs!D30=1,HVAC_IOs!D31=1,HVAC_IOs!D32=1,HVAC_IOs!D33=1,HVAC_IOs!D34=1,HVAC_IOs!D35=1,HVAC_IOs!D36=1,HVAC_IOs!D37=1,HVAC_IOs!D38=1,HVAC_IOs!D39=1,HVAC_IOs!D40=1,HVAC_IOs!D41=1,HVAC_IOs!D42=1,HVAC_IOs!D43=1,HVAC_IOs!D44=1,HVAC_IOs!D45=1,HVAC_IOs!D46=1),1,0)</f>
        <v/>
      </c>
      <c r="G278" s="65" t="n"/>
      <c r="H278" s="65" t="n"/>
      <c r="I278" s="65" t="n"/>
      <c r="J278" s="65" t="n"/>
      <c r="K278" s="65" t="n"/>
      <c r="L278" s="65" t="n"/>
      <c r="M278" s="65" t="n"/>
      <c r="N278" s="65" t="n"/>
      <c r="O278" s="65" t="n"/>
      <c r="P278" s="65" t="n"/>
      <c r="Q278" s="65" t="n"/>
      <c r="R278" s="65">
        <f>IF(AND(F278:Q278),1,0)</f>
        <v/>
      </c>
    </row>
    <row r="279" ht="20.15" customHeight="1">
      <c r="A279" s="65" t="n">
        <v>7</v>
      </c>
      <c r="B279" s="68" t="inlineStr">
        <is>
          <t>Fan_OK</t>
        </is>
      </c>
      <c r="C279" s="65" t="n"/>
      <c r="D279" s="65" t="n"/>
      <c r="E279" s="65" t="n"/>
      <c r="F279" s="65">
        <f>F264</f>
        <v/>
      </c>
      <c r="G279" s="65" t="n"/>
      <c r="H279" s="65" t="n"/>
      <c r="I279" s="65" t="n"/>
      <c r="J279" s="65" t="n"/>
      <c r="K279" s="65" t="n"/>
      <c r="L279" s="65" t="n"/>
      <c r="M279" s="65" t="n"/>
      <c r="N279" s="65" t="n"/>
      <c r="O279" s="65" t="n"/>
      <c r="P279" s="65" t="n"/>
      <c r="Q279" s="65" t="n"/>
      <c r="R279" s="65">
        <f>IF(AND(F279:Q279),1,0)</f>
        <v/>
      </c>
    </row>
    <row r="280" ht="20.15" customHeight="1">
      <c r="A280" s="65" t="n">
        <v>8</v>
      </c>
      <c r="B280" s="68" t="inlineStr">
        <is>
          <t>RAT_&lt;=_SP+3K</t>
        </is>
      </c>
      <c r="C280" s="65" t="n"/>
      <c r="D280" s="65" t="n"/>
      <c r="E280" s="65" t="n"/>
      <c r="F280" s="65">
        <f>Calculation!B58</f>
        <v/>
      </c>
      <c r="G280" s="65" t="n"/>
      <c r="H280" s="65" t="n"/>
      <c r="I280" s="65" t="n"/>
      <c r="J280" s="65" t="n"/>
      <c r="K280" s="65" t="n"/>
      <c r="L280" s="65" t="n"/>
      <c r="M280" s="65" t="n"/>
      <c r="N280" s="65" t="n"/>
      <c r="O280" s="65" t="n"/>
      <c r="P280" s="65" t="n"/>
      <c r="Q280" s="65" t="n"/>
      <c r="R280" s="65">
        <f>IF(AND(F280:Q280),1,0)</f>
        <v/>
      </c>
    </row>
    <row r="281" ht="20.15" customHeight="1">
      <c r="A281" s="65" t="n">
        <v>9</v>
      </c>
      <c r="B281" s="68" t="inlineStr">
        <is>
          <t>Fan_FB_OK</t>
        </is>
      </c>
      <c r="C281" s="65" t="n"/>
      <c r="D281" s="65" t="n"/>
      <c r="E281" s="65" t="n"/>
      <c r="F281" s="65">
        <f>IF(AND(HVAC_IOs!D45=1,HVAC_IOs!D46=1),1,0)</f>
        <v/>
      </c>
      <c r="G281" s="65" t="n"/>
      <c r="H281" s="65" t="n"/>
      <c r="I281" s="65" t="n"/>
      <c r="J281" s="65" t="n"/>
      <c r="K281" s="65" t="n"/>
      <c r="L281" s="65" t="n"/>
      <c r="M281" s="65" t="n"/>
      <c r="N281" s="65" t="n"/>
      <c r="O281" s="65" t="n"/>
      <c r="P281" s="65" t="n"/>
      <c r="Q281" s="65" t="n"/>
      <c r="R281" s="65">
        <f>IF(AND(F281:Q281),1,0)</f>
        <v/>
      </c>
    </row>
    <row r="282" ht="20.15" customHeight="1">
      <c r="A282" s="65" t="n">
        <v>10</v>
      </c>
      <c r="B282" s="68" t="inlineStr">
        <is>
          <t>pre-conditioning_enable</t>
        </is>
      </c>
      <c r="C282" s="65" t="n"/>
      <c r="D282" s="65" t="n"/>
      <c r="E282" s="65" t="n"/>
      <c r="F282" s="65">
        <f>R266</f>
        <v/>
      </c>
      <c r="G282" s="65">
        <f>IF(AND(F273:F281),1,0)</f>
        <v/>
      </c>
      <c r="H282" s="65" t="n"/>
      <c r="I282" s="65" t="n"/>
      <c r="J282" s="65" t="n"/>
      <c r="K282" s="65" t="n"/>
      <c r="L282" s="65" t="n"/>
      <c r="M282" s="65" t="n"/>
      <c r="N282" s="65" t="n"/>
      <c r="O282" s="65" t="n"/>
      <c r="P282" s="65" t="n"/>
      <c r="Q282" s="65" t="n"/>
      <c r="R282" s="65">
        <f>IF(AND(F282:Q282),1,0)</f>
        <v/>
      </c>
    </row>
    <row r="283" ht="20.15" customHeight="1">
      <c r="A283" s="65" t="n">
        <v>11</v>
      </c>
      <c r="B283" s="68" t="inlineStr">
        <is>
          <t>LFC 11</t>
        </is>
      </c>
      <c r="C283" s="65" t="n"/>
      <c r="D283" s="65" t="n"/>
      <c r="E283" s="65" t="n"/>
      <c r="F283" s="65" t="n"/>
      <c r="G283" s="65">
        <f>IF(AND(F280:F281),1,0)</f>
        <v/>
      </c>
      <c r="H283" s="65" t="n"/>
      <c r="I283" s="65" t="n"/>
      <c r="J283" s="65" t="n"/>
      <c r="K283" s="65" t="n"/>
      <c r="L283" s="65" t="n"/>
      <c r="M283" s="65" t="n"/>
      <c r="N283" s="65" t="n"/>
      <c r="O283" s="65" t="n"/>
      <c r="P283" s="65" t="n"/>
      <c r="Q283" s="65" t="n"/>
      <c r="R283" s="65">
        <f>IF(AND(F283:Q283),1,0)</f>
        <v/>
      </c>
    </row>
    <row r="284" ht="20.15" customHeight="1">
      <c r="A284" s="148" t="n">
        <v>12</v>
      </c>
      <c r="B284" s="150" t="inlineStr">
        <is>
          <t>pre-heating_ON 100%</t>
        </is>
      </c>
      <c r="C284" s="148" t="n"/>
      <c r="D284" s="148" t="n"/>
      <c r="E284" s="148" t="n"/>
      <c r="F284" s="148" t="n"/>
      <c r="G284" s="148">
        <f>IF(AND(R282:R283),1,0)</f>
        <v/>
      </c>
      <c r="H284" s="148" t="n"/>
      <c r="I284" s="148" t="n"/>
      <c r="J284" s="148" t="n"/>
      <c r="K284" s="148" t="n"/>
      <c r="L284" s="148" t="n"/>
      <c r="M284" s="148" t="n"/>
      <c r="N284" s="148" t="n"/>
      <c r="O284" s="148" t="n"/>
      <c r="P284" s="148" t="n"/>
      <c r="Q284" s="148" t="n"/>
      <c r="R284" s="148">
        <f>IF(AND(F284:Q284),1,0)</f>
        <v/>
      </c>
    </row>
    <row r="290" ht="20.15" customHeight="1">
      <c r="A290" s="823" t="inlineStr">
        <is>
          <t>18.Pre-Cooling</t>
        </is>
      </c>
      <c r="B290" s="869" t="n"/>
      <c r="C290" s="869" t="n"/>
      <c r="D290" s="869" t="n"/>
      <c r="E290" s="869" t="n"/>
      <c r="F290" s="869" t="n"/>
      <c r="G290" s="869" t="n"/>
      <c r="H290" s="869" t="n"/>
      <c r="I290" s="869" t="n"/>
      <c r="J290" s="869" t="n"/>
      <c r="K290" s="869" t="n"/>
      <c r="L290" s="869" t="n"/>
      <c r="M290" s="869" t="n"/>
      <c r="N290" s="869" t="n"/>
      <c r="O290" s="869" t="n"/>
      <c r="P290" s="869" t="n"/>
      <c r="Q290" s="869" t="n"/>
      <c r="R290" s="870" t="n"/>
    </row>
    <row r="292" ht="20.15" customHeight="1">
      <c r="A292" s="65" t="n">
        <v>1</v>
      </c>
      <c r="B292" s="67" t="inlineStr">
        <is>
          <t>HVAC_on</t>
        </is>
      </c>
      <c r="C292" s="65" t="n"/>
      <c r="D292" s="65" t="n"/>
      <c r="E292" s="65" t="n"/>
      <c r="F292" s="65">
        <f>F273</f>
        <v/>
      </c>
      <c r="G292" s="65" t="n"/>
      <c r="H292" s="65" t="n"/>
      <c r="I292" s="65" t="n"/>
      <c r="J292" s="65" t="n"/>
      <c r="K292" s="65" t="n"/>
      <c r="L292" s="65" t="n"/>
      <c r="M292" s="65" t="n"/>
      <c r="N292" s="65" t="n"/>
      <c r="O292" s="65" t="n"/>
      <c r="P292" s="65" t="n"/>
      <c r="Q292" s="65" t="n"/>
      <c r="R292" s="65">
        <f>IF(AND(F292:Q292),1,0)</f>
        <v/>
      </c>
    </row>
    <row r="293" ht="20.15" customHeight="1">
      <c r="A293" s="65" t="n">
        <v>2</v>
      </c>
      <c r="B293" s="68" t="inlineStr">
        <is>
          <t>Precondition_command</t>
        </is>
      </c>
      <c r="C293" s="65" t="n"/>
      <c r="D293" s="65" t="n"/>
      <c r="E293" s="65" t="n"/>
      <c r="F293" s="65">
        <f>F274</f>
        <v/>
      </c>
      <c r="G293" s="65" t="n"/>
      <c r="H293" s="65" t="n"/>
      <c r="I293" s="65" t="n"/>
      <c r="J293" s="65" t="n"/>
      <c r="K293" s="65" t="n"/>
      <c r="L293" s="65" t="n"/>
      <c r="M293" s="65" t="n"/>
      <c r="N293" s="65" t="n"/>
      <c r="O293" s="65" t="n"/>
      <c r="P293" s="65" t="n"/>
      <c r="Q293" s="65" t="n"/>
      <c r="R293" s="65">
        <f>IF(AND(F293:Q293),1,0)</f>
        <v/>
      </c>
    </row>
    <row r="294" ht="20.15" customHeight="1">
      <c r="A294" s="65" t="n">
        <v>3</v>
      </c>
      <c r="B294" s="69" t="inlineStr">
        <is>
          <t>passanger_&lt;=_10%</t>
        </is>
      </c>
      <c r="C294" s="65" t="n"/>
      <c r="D294" s="65" t="n"/>
      <c r="E294" s="65" t="n"/>
      <c r="F294" s="65">
        <f>F275</f>
        <v/>
      </c>
      <c r="G294" s="65" t="n"/>
      <c r="H294" s="65" t="n"/>
      <c r="I294" s="65" t="n"/>
      <c r="J294" s="65" t="n"/>
      <c r="K294" s="65" t="n"/>
      <c r="L294" s="65" t="n"/>
      <c r="M294" s="65" t="n"/>
      <c r="N294" s="65" t="n"/>
      <c r="O294" s="65" t="n"/>
      <c r="P294" s="65" t="n"/>
      <c r="Q294" s="65" t="n"/>
      <c r="R294" s="65">
        <f>IF(AND(F294:Q294),1,0)</f>
        <v/>
      </c>
    </row>
    <row r="295" ht="20.15" customHeight="1">
      <c r="A295" s="65" t="n">
        <v>4</v>
      </c>
      <c r="B295" s="68" t="inlineStr">
        <is>
          <t>HP_OK</t>
        </is>
      </c>
      <c r="C295" s="65" t="n"/>
      <c r="D295" s="65" t="n"/>
      <c r="E295" s="65" t="n"/>
      <c r="F295" s="65">
        <f>F276</f>
        <v/>
      </c>
      <c r="G295" s="65" t="n"/>
      <c r="H295" s="65" t="n"/>
      <c r="I295" s="65" t="n"/>
      <c r="J295" s="65" t="n"/>
      <c r="K295" s="65" t="n"/>
      <c r="L295" s="65" t="n"/>
      <c r="M295" s="65" t="n"/>
      <c r="N295" s="65" t="n"/>
      <c r="O295" s="65" t="n"/>
      <c r="P295" s="65" t="n"/>
      <c r="Q295" s="65" t="n"/>
      <c r="R295" s="65">
        <f>IF(AND(F295:Q295),1,0)</f>
        <v/>
      </c>
    </row>
    <row r="296" ht="20.15" customHeight="1">
      <c r="A296" s="65" t="n">
        <v>5</v>
      </c>
      <c r="B296" s="68" t="inlineStr">
        <is>
          <t>LP_ok</t>
        </is>
      </c>
      <c r="C296" s="65" t="n"/>
      <c r="D296" s="65" t="n"/>
      <c r="E296" s="65" t="n"/>
      <c r="F296" s="65">
        <f>F277</f>
        <v/>
      </c>
      <c r="G296" s="65" t="n"/>
      <c r="H296" s="65" t="n"/>
      <c r="I296" s="65" t="n"/>
      <c r="J296" s="65" t="n"/>
      <c r="K296" s="65" t="n"/>
      <c r="L296" s="65" t="n"/>
      <c r="M296" s="65" t="n"/>
      <c r="N296" s="65" t="n"/>
      <c r="O296" s="65" t="n"/>
      <c r="P296" s="65" t="n"/>
      <c r="Q296" s="65" t="n"/>
      <c r="R296" s="65">
        <f>IF(AND(F296:Q296),1,0)</f>
        <v/>
      </c>
    </row>
    <row r="297" ht="20.15" customHeight="1">
      <c r="A297" s="65" t="n">
        <v>6</v>
      </c>
      <c r="B297" s="68" t="inlineStr">
        <is>
          <t>Breaker_ok</t>
        </is>
      </c>
      <c r="C297" s="65" t="n"/>
      <c r="D297" s="65" t="n"/>
      <c r="E297" s="65" t="n"/>
      <c r="F297" s="65">
        <f>F278</f>
        <v/>
      </c>
      <c r="G297" s="65" t="n"/>
      <c r="H297" s="65" t="n"/>
      <c r="I297" s="65" t="n"/>
      <c r="J297" s="65" t="n"/>
      <c r="K297" s="65" t="n"/>
      <c r="L297" s="65" t="n"/>
      <c r="M297" s="65" t="n"/>
      <c r="N297" s="65" t="n"/>
      <c r="O297" s="65" t="n"/>
      <c r="P297" s="65" t="n"/>
      <c r="Q297" s="65" t="n"/>
      <c r="R297" s="65">
        <f>IF(AND(F297:Q297),1,0)</f>
        <v/>
      </c>
    </row>
    <row r="298" ht="20.15" customHeight="1">
      <c r="A298" s="65" t="n">
        <v>7</v>
      </c>
      <c r="B298" s="68" t="inlineStr">
        <is>
          <t>Fan_OK</t>
        </is>
      </c>
      <c r="C298" s="65" t="n"/>
      <c r="D298" s="65" t="n"/>
      <c r="E298" s="65" t="n"/>
      <c r="F298" s="65">
        <f>F279</f>
        <v/>
      </c>
      <c r="G298" s="65" t="n"/>
      <c r="H298" s="65" t="n"/>
      <c r="I298" s="65" t="n"/>
      <c r="J298" s="65" t="n"/>
      <c r="K298" s="65" t="n"/>
      <c r="L298" s="65" t="n"/>
      <c r="M298" s="65" t="n"/>
      <c r="N298" s="65" t="n"/>
      <c r="O298" s="65" t="n"/>
      <c r="P298" s="65" t="n"/>
      <c r="Q298" s="65" t="n"/>
      <c r="R298" s="65">
        <f>IF(AND(F298:Q298),1,0)</f>
        <v/>
      </c>
    </row>
    <row r="299" ht="20.15" customHeight="1">
      <c r="A299" s="65" t="n">
        <v>8</v>
      </c>
      <c r="B299" s="68" t="inlineStr">
        <is>
          <t>RAT_SP&lt;=3K</t>
        </is>
      </c>
      <c r="C299" s="65" t="n"/>
      <c r="D299" s="65" t="n"/>
      <c r="E299" s="65" t="n"/>
      <c r="F299" s="65">
        <f>Calculation!B57</f>
        <v/>
      </c>
      <c r="G299" s="65" t="n"/>
      <c r="H299" s="65" t="n"/>
      <c r="I299" s="65" t="n"/>
      <c r="J299" s="65" t="n"/>
      <c r="K299" s="65" t="n"/>
      <c r="L299" s="65" t="n"/>
      <c r="M299" s="65" t="n"/>
      <c r="N299" s="65" t="n"/>
      <c r="O299" s="65" t="n"/>
      <c r="P299" s="65" t="n"/>
      <c r="Q299" s="65" t="n"/>
      <c r="R299" s="65">
        <f>IF(AND(F299:Q299),1,0)</f>
        <v/>
      </c>
    </row>
    <row r="300" ht="20.15" customHeight="1">
      <c r="A300" s="65" t="n">
        <v>9</v>
      </c>
      <c r="B300" s="68" t="inlineStr">
        <is>
          <t>Fan_FB_OK</t>
        </is>
      </c>
      <c r="C300" s="65" t="n"/>
      <c r="D300" s="65" t="n"/>
      <c r="E300" s="65" t="n"/>
      <c r="F300" s="65">
        <f>F281</f>
        <v/>
      </c>
      <c r="G300" s="65" t="n"/>
      <c r="H300" s="65" t="n"/>
      <c r="I300" s="65" t="n"/>
      <c r="J300" s="65" t="n"/>
      <c r="K300" s="65" t="n"/>
      <c r="L300" s="65" t="n"/>
      <c r="M300" s="65" t="n"/>
      <c r="N300" s="65" t="n"/>
      <c r="O300" s="65" t="n"/>
      <c r="P300" s="65" t="n"/>
      <c r="Q300" s="65" t="n"/>
      <c r="R300" s="65">
        <f>IF(AND(F300:Q300),1,0)</f>
        <v/>
      </c>
    </row>
    <row r="301" ht="20.15" customHeight="1">
      <c r="A301" s="65" t="n">
        <v>10</v>
      </c>
      <c r="B301" s="68" t="inlineStr">
        <is>
          <t>pre-condtion_enable</t>
        </is>
      </c>
      <c r="C301" s="65" t="n"/>
      <c r="D301" s="65" t="n"/>
      <c r="E301" s="65" t="n"/>
      <c r="F301" s="65">
        <f>F282</f>
        <v/>
      </c>
      <c r="G301" s="65">
        <f>IF(AND(F292:F298),1,0)</f>
        <v/>
      </c>
      <c r="H301" s="65" t="n"/>
      <c r="I301" s="65" t="n"/>
      <c r="J301" s="65" t="n"/>
      <c r="K301" s="65" t="n"/>
      <c r="L301" s="65" t="n"/>
      <c r="M301" s="65" t="n"/>
      <c r="N301" s="65" t="n"/>
      <c r="O301" s="65" t="n"/>
      <c r="P301" s="65" t="n"/>
      <c r="Q301" s="65" t="n"/>
      <c r="R301" s="65">
        <f>IF(AND(F301:Q301),1,0)</f>
        <v/>
      </c>
    </row>
    <row r="302" ht="20.15" customHeight="1">
      <c r="A302" s="65" t="n">
        <v>11</v>
      </c>
      <c r="B302" s="68" t="inlineStr">
        <is>
          <t>LFC 11</t>
        </is>
      </c>
      <c r="C302" s="65" t="n"/>
      <c r="D302" s="65" t="n"/>
      <c r="E302" s="65" t="n"/>
      <c r="F302" s="65" t="n"/>
      <c r="G302" s="65">
        <f>IF(AND(F299:F300),1,0)</f>
        <v/>
      </c>
      <c r="H302" s="65" t="n"/>
      <c r="I302" s="65" t="n"/>
      <c r="J302" s="65" t="n"/>
      <c r="K302" s="65" t="n"/>
      <c r="L302" s="65" t="n"/>
      <c r="M302" s="65" t="n"/>
      <c r="N302" s="65" t="n"/>
      <c r="O302" s="65" t="n"/>
      <c r="P302" s="65" t="n"/>
      <c r="Q302" s="65" t="n"/>
      <c r="R302" s="65">
        <f>IF(AND(F302:Q302),1,0)</f>
        <v/>
      </c>
    </row>
    <row r="303" ht="20.15" customHeight="1">
      <c r="A303" s="148" t="n">
        <v>12</v>
      </c>
      <c r="B303" s="150" t="inlineStr">
        <is>
          <t>Pre-cooling ON 100%</t>
        </is>
      </c>
      <c r="C303" s="148" t="n"/>
      <c r="D303" s="148" t="n"/>
      <c r="E303" s="148" t="n"/>
      <c r="F303" s="148" t="n"/>
      <c r="G303" s="148" t="n"/>
      <c r="H303" s="148">
        <f>IF(AND(R301:R302),1,0)</f>
        <v/>
      </c>
      <c r="I303" s="148" t="n"/>
      <c r="J303" s="148" t="n"/>
      <c r="K303" s="148" t="n"/>
      <c r="L303" s="148" t="n"/>
      <c r="M303" s="148" t="n"/>
      <c r="N303" s="148" t="n"/>
      <c r="O303" s="148" t="n"/>
      <c r="P303" s="148" t="n"/>
      <c r="Q303" s="148" t="n"/>
      <c r="R303" s="148">
        <f>IF(AND(F303:Q303),1,0)</f>
        <v/>
      </c>
    </row>
    <row r="309" ht="20.15" customHeight="1">
      <c r="A309" s="823" t="inlineStr">
        <is>
          <t>17.Pre-condition END</t>
        </is>
      </c>
      <c r="B309" s="869" t="n"/>
      <c r="C309" s="869" t="n"/>
      <c r="D309" s="869" t="n"/>
      <c r="E309" s="869" t="n"/>
      <c r="F309" s="869" t="n"/>
      <c r="G309" s="869" t="n"/>
      <c r="H309" s="869" t="n"/>
      <c r="I309" s="869" t="n"/>
      <c r="J309" s="869" t="n"/>
      <c r="K309" s="869" t="n"/>
      <c r="L309" s="869" t="n"/>
      <c r="M309" s="869" t="n"/>
      <c r="N309" s="869" t="n"/>
      <c r="O309" s="869" t="n"/>
      <c r="P309" s="869" t="n"/>
      <c r="Q309" s="869" t="n"/>
      <c r="R309" s="870" t="n"/>
    </row>
    <row r="311" ht="20.15" customHeight="1">
      <c r="A311" s="65" t="n">
        <v>1</v>
      </c>
      <c r="B311" s="70" t="inlineStr">
        <is>
          <t>HVAC_on</t>
        </is>
      </c>
      <c r="C311" s="65" t="inlineStr">
        <is>
          <t>LFC01</t>
        </is>
      </c>
      <c r="D311" s="65" t="n"/>
      <c r="E311" s="65" t="n"/>
      <c r="F311" s="65">
        <f>F292</f>
        <v/>
      </c>
      <c r="G311" s="65" t="n"/>
      <c r="H311" s="65" t="n"/>
      <c r="I311" s="65" t="n"/>
      <c r="J311" s="65" t="n"/>
      <c r="K311" s="65" t="n"/>
      <c r="L311" s="65" t="n"/>
      <c r="M311" s="65" t="n"/>
      <c r="N311" s="65" t="n"/>
      <c r="O311" s="65" t="n"/>
      <c r="P311" s="65" t="n"/>
      <c r="Q311" s="65" t="n"/>
      <c r="R311" s="65">
        <f>IF(AND(F311:Q311),1,0)</f>
        <v/>
      </c>
    </row>
    <row r="312" ht="20.15" customHeight="1">
      <c r="A312" s="65" t="n">
        <v>2</v>
      </c>
      <c r="B312" s="66" t="inlineStr">
        <is>
          <t>Precondition_command</t>
        </is>
      </c>
      <c r="C312" s="65" t="inlineStr">
        <is>
          <t>LFC02</t>
        </is>
      </c>
      <c r="D312" s="65" t="n"/>
      <c r="E312" s="65" t="n"/>
      <c r="F312" s="65">
        <f>F293</f>
        <v/>
      </c>
      <c r="G312" s="65" t="n"/>
      <c r="H312" s="65" t="n"/>
      <c r="I312" s="65" t="n"/>
      <c r="J312" s="65" t="n"/>
      <c r="K312" s="65" t="n"/>
      <c r="L312" s="65" t="n"/>
      <c r="M312" s="65" t="n"/>
      <c r="N312" s="65" t="n"/>
      <c r="O312" s="65" t="n"/>
      <c r="P312" s="65" t="n"/>
      <c r="Q312" s="65" t="n"/>
      <c r="R312" s="65">
        <f>IF(AND(F312:Q312),1,0)</f>
        <v/>
      </c>
    </row>
    <row r="313" ht="20.15" customHeight="1">
      <c r="A313" s="65" t="n">
        <v>3</v>
      </c>
      <c r="B313" s="69" t="inlineStr">
        <is>
          <t>passanger_&lt;=_10%</t>
        </is>
      </c>
      <c r="C313" s="65" t="inlineStr">
        <is>
          <t>LFC03</t>
        </is>
      </c>
      <c r="D313" s="65" t="n"/>
      <c r="E313" s="65" t="n"/>
      <c r="F313" s="65">
        <f>F294</f>
        <v/>
      </c>
      <c r="G313" s="65" t="n"/>
      <c r="H313" s="65" t="n"/>
      <c r="I313" s="65" t="n"/>
      <c r="J313" s="65" t="n"/>
      <c r="K313" s="65" t="n"/>
      <c r="L313" s="65" t="n"/>
      <c r="M313" s="65" t="n"/>
      <c r="N313" s="65" t="n"/>
      <c r="O313" s="65" t="n"/>
      <c r="P313" s="65" t="n"/>
      <c r="Q313" s="65" t="n"/>
      <c r="R313" s="65">
        <f>IF(AND(F313:Q313),1,0)</f>
        <v/>
      </c>
    </row>
    <row r="314" ht="20.15" customHeight="1">
      <c r="A314" s="65" t="n">
        <v>4</v>
      </c>
      <c r="B314" s="66" t="inlineStr">
        <is>
          <t>HP_OK</t>
        </is>
      </c>
      <c r="C314" s="65" t="inlineStr">
        <is>
          <t>LFC04</t>
        </is>
      </c>
      <c r="D314" s="65" t="n"/>
      <c r="E314" s="65" t="n"/>
      <c r="F314" s="65">
        <f>F295</f>
        <v/>
      </c>
      <c r="G314" s="65" t="n"/>
      <c r="H314" s="65" t="n"/>
      <c r="I314" s="65" t="n"/>
      <c r="J314" s="65" t="n"/>
      <c r="K314" s="65" t="n"/>
      <c r="L314" s="65" t="n"/>
      <c r="M314" s="65" t="n"/>
      <c r="N314" s="65" t="n"/>
      <c r="O314" s="65" t="n"/>
      <c r="P314" s="65" t="n"/>
      <c r="Q314" s="65" t="n"/>
      <c r="R314" s="65">
        <f>IF(AND(F314:Q314),1,0)</f>
        <v/>
      </c>
    </row>
    <row r="315" ht="20.15" customHeight="1">
      <c r="A315" s="65" t="n">
        <v>5</v>
      </c>
      <c r="B315" s="66" t="inlineStr">
        <is>
          <t>LP_ok</t>
        </is>
      </c>
      <c r="C315" s="65" t="inlineStr">
        <is>
          <t>LFC05</t>
        </is>
      </c>
      <c r="D315" s="65" t="n"/>
      <c r="E315" s="65" t="n"/>
      <c r="F315" s="65">
        <f>F296</f>
        <v/>
      </c>
      <c r="G315" s="65" t="n"/>
      <c r="H315" s="65" t="n"/>
      <c r="I315" s="65" t="n"/>
      <c r="J315" s="65" t="n"/>
      <c r="K315" s="65" t="n"/>
      <c r="L315" s="65" t="n"/>
      <c r="M315" s="65" t="n"/>
      <c r="N315" s="65" t="n"/>
      <c r="O315" s="65" t="n"/>
      <c r="P315" s="65" t="n"/>
      <c r="Q315" s="65" t="n"/>
      <c r="R315" s="65">
        <f>IF(AND(F315:Q315),1,0)</f>
        <v/>
      </c>
    </row>
    <row r="316" ht="20.15" customHeight="1">
      <c r="A316" s="65" t="n">
        <v>6</v>
      </c>
      <c r="B316" s="66" t="inlineStr">
        <is>
          <t>Breaker_ok</t>
        </is>
      </c>
      <c r="C316" s="65" t="inlineStr">
        <is>
          <t>LFC06</t>
        </is>
      </c>
      <c r="D316" s="65" t="n"/>
      <c r="E316" s="65" t="n"/>
      <c r="F316" s="65">
        <f>F297</f>
        <v/>
      </c>
      <c r="G316" s="65" t="n"/>
      <c r="H316" s="65" t="n"/>
      <c r="I316" s="65" t="n"/>
      <c r="J316" s="65" t="n"/>
      <c r="K316" s="65" t="n"/>
      <c r="L316" s="65" t="n"/>
      <c r="M316" s="65" t="n"/>
      <c r="N316" s="65" t="n"/>
      <c r="O316" s="65" t="n"/>
      <c r="P316" s="65" t="n"/>
      <c r="Q316" s="65" t="n"/>
      <c r="R316" s="65">
        <f>IF(AND(F316:Q316),1,0)</f>
        <v/>
      </c>
    </row>
    <row r="317" ht="20.15" customHeight="1">
      <c r="A317" s="65" t="n">
        <v>7</v>
      </c>
      <c r="B317" s="66" t="inlineStr">
        <is>
          <t>Fan_OK</t>
        </is>
      </c>
      <c r="C317" s="65" t="inlineStr">
        <is>
          <t>LFC07</t>
        </is>
      </c>
      <c r="D317" s="65" t="n"/>
      <c r="E317" s="65" t="n"/>
      <c r="F317" s="65">
        <f>F298</f>
        <v/>
      </c>
      <c r="G317" s="65" t="n"/>
      <c r="H317" s="65" t="n"/>
      <c r="I317" s="65" t="n"/>
      <c r="J317" s="65" t="n"/>
      <c r="K317" s="65" t="n"/>
      <c r="L317" s="65" t="n"/>
      <c r="M317" s="65" t="n"/>
      <c r="N317" s="65" t="n"/>
      <c r="O317" s="65" t="n"/>
      <c r="P317" s="65" t="n"/>
      <c r="Q317" s="65" t="n"/>
      <c r="R317" s="65">
        <f>IF(AND(F317:Q317),1,0)</f>
        <v/>
      </c>
    </row>
    <row r="318" ht="20.15" customHeight="1">
      <c r="A318" s="65" t="n">
        <v>8</v>
      </c>
      <c r="B318" s="66" t="inlineStr">
        <is>
          <t>RAT_SP&lt;=3K</t>
        </is>
      </c>
      <c r="C318" s="65" t="inlineStr">
        <is>
          <t>LFC09</t>
        </is>
      </c>
      <c r="D318" s="65" t="n"/>
      <c r="E318" s="65" t="n"/>
      <c r="F318" s="65">
        <f>F265</f>
        <v/>
      </c>
      <c r="G318" s="65" t="n"/>
      <c r="H318" s="65" t="n"/>
      <c r="I318" s="65" t="n"/>
      <c r="J318" s="65" t="n"/>
      <c r="K318" s="65" t="n"/>
      <c r="L318" s="65" t="n"/>
      <c r="M318" s="65" t="n"/>
      <c r="N318" s="65" t="n"/>
      <c r="O318" s="65" t="n"/>
      <c r="P318" s="65" t="n"/>
      <c r="Q318" s="65" t="n"/>
      <c r="R318" s="65">
        <f>IF(AND(F318:Q318),1,0)</f>
        <v/>
      </c>
    </row>
    <row r="319" ht="20.15" customHeight="1">
      <c r="A319" s="65" t="n">
        <v>9</v>
      </c>
      <c r="B319" s="66" t="inlineStr">
        <is>
          <t>60 min timer Expire</t>
        </is>
      </c>
      <c r="C319" s="65" t="inlineStr">
        <is>
          <t>LFC10</t>
        </is>
      </c>
      <c r="D319" s="65" t="n"/>
      <c r="E319" s="65" t="n"/>
      <c r="F319" s="324">
        <f>IF(Calculation!B19&gt;60,1,0)</f>
        <v/>
      </c>
      <c r="G319" s="65" t="n"/>
      <c r="H319" s="65" t="n"/>
      <c r="I319" s="65" t="n"/>
      <c r="J319" s="65" t="n"/>
      <c r="K319" s="65" t="n"/>
      <c r="L319" s="65" t="n"/>
      <c r="M319" s="65" t="n"/>
      <c r="N319" s="65" t="n"/>
      <c r="O319" s="65" t="n"/>
      <c r="P319" s="65" t="n"/>
      <c r="Q319" s="65" t="n"/>
      <c r="R319" s="65">
        <f>IF(AND(F319:Q319),1,0)</f>
        <v/>
      </c>
    </row>
    <row r="320" ht="20.15" customHeight="1">
      <c r="A320" s="65" t="n">
        <v>10</v>
      </c>
      <c r="B320" s="66" t="inlineStr">
        <is>
          <t>pre_conditioning_enable</t>
        </is>
      </c>
      <c r="C320" s="65" t="inlineStr">
        <is>
          <t>LFC08</t>
        </is>
      </c>
      <c r="D320" s="65" t="n"/>
      <c r="E320" s="65" t="n"/>
      <c r="F320" s="65">
        <f>F301</f>
        <v/>
      </c>
      <c r="G320" s="65">
        <f>IF(AND(F311:F319),1,0)</f>
        <v/>
      </c>
      <c r="H320" s="65" t="n"/>
      <c r="I320" s="65" t="n"/>
      <c r="J320" s="65" t="n"/>
      <c r="K320" s="65" t="n"/>
      <c r="L320" s="65" t="n"/>
      <c r="M320" s="65" t="n"/>
      <c r="N320" s="65" t="n"/>
      <c r="O320" s="65" t="n"/>
      <c r="P320" s="65" t="n"/>
      <c r="Q320" s="65" t="n"/>
      <c r="R320" s="65">
        <f>IF(AND(F320:Q320),1,0)</f>
        <v/>
      </c>
    </row>
    <row r="321" ht="20.15" customHeight="1">
      <c r="A321" s="65" t="n">
        <v>11</v>
      </c>
      <c r="B321" s="71" t="inlineStr">
        <is>
          <t>LFC11</t>
        </is>
      </c>
      <c r="C321" s="69" t="n"/>
      <c r="D321" s="65" t="n"/>
      <c r="E321" s="65" t="n"/>
      <c r="F321" s="65" t="n"/>
      <c r="G321" s="65">
        <f>IF(OR(F318,F319),1,0)</f>
        <v/>
      </c>
      <c r="H321" s="65" t="n"/>
      <c r="I321" s="65" t="n"/>
      <c r="J321" s="65" t="n"/>
      <c r="K321" s="65" t="n"/>
      <c r="L321" s="65" t="n"/>
      <c r="M321" s="65" t="n"/>
      <c r="N321" s="65" t="n"/>
      <c r="O321" s="65" t="n"/>
      <c r="P321" s="65" t="n"/>
      <c r="Q321" s="65" t="n"/>
      <c r="R321" s="65">
        <f>IF(AND(G321:Q321),1,0)</f>
        <v/>
      </c>
    </row>
    <row r="322" ht="20.15" customHeight="1">
      <c r="A322" s="148" t="n">
        <v>12</v>
      </c>
      <c r="B322" s="149" t="inlineStr">
        <is>
          <t>preconditioning END</t>
        </is>
      </c>
      <c r="C322" s="148" t="inlineStr">
        <is>
          <t>LFC12</t>
        </is>
      </c>
      <c r="D322" s="148" t="n"/>
      <c r="E322" s="148" t="n"/>
      <c r="F322" s="148" t="n"/>
      <c r="G322" s="148" t="n"/>
      <c r="H322" s="148">
        <f>IF(AND(R320,R321),1,0)</f>
        <v/>
      </c>
      <c r="I322" s="148" t="n"/>
      <c r="J322" s="148" t="n"/>
      <c r="K322" s="148" t="n"/>
      <c r="L322" s="148" t="n"/>
      <c r="M322" s="148" t="n"/>
      <c r="N322" s="148" t="n"/>
      <c r="O322" s="148" t="n"/>
      <c r="P322" s="148" t="n"/>
      <c r="Q322" s="148" t="n"/>
      <c r="R322" s="148">
        <f>IF(AND(F322:Q322),1,0)</f>
        <v/>
      </c>
    </row>
    <row r="327" ht="20.15" customHeight="1">
      <c r="A327" s="823" t="inlineStr">
        <is>
          <t>18.Pre-conditioning Heating Mode- FAT&gt;=T7</t>
        </is>
      </c>
      <c r="B327" s="869" t="n"/>
      <c r="C327" s="869" t="n"/>
      <c r="D327" s="869" t="n"/>
      <c r="E327" s="869" t="n"/>
      <c r="F327" s="869" t="n"/>
      <c r="G327" s="869" t="n"/>
      <c r="H327" s="869" t="n"/>
      <c r="I327" s="869" t="n"/>
      <c r="J327" s="869" t="n"/>
      <c r="K327" s="869" t="n"/>
      <c r="L327" s="869" t="n"/>
      <c r="M327" s="869" t="n"/>
      <c r="N327" s="869" t="n"/>
      <c r="O327" s="869" t="n"/>
      <c r="P327" s="869" t="n"/>
      <c r="Q327" s="869" t="n"/>
      <c r="R327" s="870" t="n"/>
    </row>
    <row r="329" ht="20.15" customHeight="1">
      <c r="A329" s="352" t="n">
        <v>1</v>
      </c>
      <c r="B329" s="350" t="inlineStr">
        <is>
          <t>HVAC_ON</t>
        </is>
      </c>
      <c r="C329" s="350" t="n"/>
      <c r="D329" s="350" t="n"/>
      <c r="E329" s="350" t="n"/>
      <c r="F329" s="352">
        <f>F273</f>
        <v/>
      </c>
      <c r="G329" s="352" t="n"/>
      <c r="H329" s="352" t="n"/>
      <c r="I329" s="352" t="n"/>
      <c r="J329" s="352" t="n"/>
      <c r="K329" s="352" t="n"/>
      <c r="L329" s="352" t="n"/>
      <c r="M329" s="352" t="n"/>
      <c r="N329" s="352" t="n"/>
      <c r="O329" s="352" t="n"/>
      <c r="P329" s="352" t="n"/>
      <c r="Q329" s="352" t="n"/>
      <c r="R329" s="352">
        <f>IF(AND(F329:Q329),1,0)</f>
        <v/>
      </c>
    </row>
    <row r="330" ht="20.15" customHeight="1">
      <c r="A330" s="352" t="n">
        <v>2</v>
      </c>
      <c r="B330" s="350" t="inlineStr">
        <is>
          <t>Heating Mode</t>
        </is>
      </c>
      <c r="C330" s="350" t="n"/>
      <c r="D330" s="350" t="n"/>
      <c r="E330" s="350" t="n"/>
      <c r="F330" s="352">
        <f>Calculation!B39</f>
        <v/>
      </c>
      <c r="G330" s="352" t="n"/>
      <c r="H330" s="352" t="n"/>
      <c r="I330" s="352" t="n"/>
      <c r="J330" s="352" t="n"/>
      <c r="K330" s="352" t="n"/>
      <c r="L330" s="352" t="n"/>
      <c r="M330" s="352" t="n"/>
      <c r="N330" s="352" t="n"/>
      <c r="O330" s="352" t="n"/>
      <c r="P330" s="352" t="n"/>
      <c r="Q330" s="352" t="n"/>
      <c r="R330" s="352">
        <f>IF(AND(F330:Q330),1,0)</f>
        <v/>
      </c>
    </row>
    <row r="331" ht="20.15" customHeight="1">
      <c r="A331" s="352" t="n">
        <v>3</v>
      </c>
      <c r="B331" s="350" t="inlineStr">
        <is>
          <t>RAT&lt;SET point</t>
        </is>
      </c>
      <c r="C331" s="350" t="n"/>
      <c r="D331" s="350" t="n"/>
      <c r="E331" s="350" t="n"/>
      <c r="F331" s="352">
        <f>F330</f>
        <v/>
      </c>
      <c r="G331" s="352" t="n"/>
      <c r="H331" s="352" t="n"/>
      <c r="I331" s="352" t="n"/>
      <c r="J331" s="352" t="n"/>
      <c r="K331" s="352" t="n"/>
      <c r="L331" s="352" t="n"/>
      <c r="M331" s="352" t="n"/>
      <c r="N331" s="352" t="n"/>
      <c r="O331" s="352" t="n"/>
      <c r="P331" s="352" t="n"/>
      <c r="Q331" s="352" t="n"/>
      <c r="R331" s="352">
        <f>IF(AND(F331:Q331),1,0)</f>
        <v/>
      </c>
    </row>
    <row r="332" ht="20.15" customHeight="1">
      <c r="A332" s="352" t="n">
        <v>4</v>
      </c>
      <c r="B332" s="350" t="inlineStr">
        <is>
          <t>Heater_ok</t>
        </is>
      </c>
      <c r="C332" s="350" t="n"/>
      <c r="D332" s="350" t="n"/>
      <c r="E332" s="350" t="n"/>
      <c r="F332" s="352">
        <f>IF(AND(HVAC_IOs!D38=1,HVAC_IOs!D39=1,HVAC_IOs!D40=1),1,0)</f>
        <v/>
      </c>
      <c r="G332" s="352" t="n"/>
      <c r="H332" s="352" t="n"/>
      <c r="I332" s="352" t="n"/>
      <c r="J332" s="352" t="n"/>
      <c r="K332" s="352" t="n"/>
      <c r="L332" s="352" t="n"/>
      <c r="M332" s="352" t="n"/>
      <c r="N332" s="352" t="n"/>
      <c r="O332" s="352" t="n"/>
      <c r="P332" s="352" t="n"/>
      <c r="Q332" s="352" t="n"/>
      <c r="R332" s="352">
        <f>IF(AND(F332:Q332),1,0)</f>
        <v/>
      </c>
    </row>
    <row r="333" ht="20.15" customHeight="1">
      <c r="A333" s="352" t="n">
        <v>5</v>
      </c>
      <c r="B333" s="350" t="inlineStr">
        <is>
          <t>Fan_ok</t>
        </is>
      </c>
      <c r="C333" s="350" t="n"/>
      <c r="D333" s="350" t="n"/>
      <c r="E333" s="350" t="n"/>
      <c r="F333" s="352">
        <f>IF(AND(HVAC_IOs!D45=1,HVAC_IOs!D46=1),1,0)</f>
        <v/>
      </c>
      <c r="G333" s="352" t="n"/>
      <c r="H333" s="352" t="n"/>
      <c r="I333" s="352" t="n"/>
      <c r="J333" s="352" t="n"/>
      <c r="K333" s="352" t="n"/>
      <c r="L333" s="352" t="n"/>
      <c r="M333" s="352" t="n"/>
      <c r="N333" s="352" t="n"/>
      <c r="O333" s="352" t="n"/>
      <c r="P333" s="352" t="n"/>
      <c r="Q333" s="352" t="n"/>
      <c r="R333" s="352">
        <f>IF(AND(F333:Q333),1,0)</f>
        <v/>
      </c>
    </row>
    <row r="334" ht="20.15" customHeight="1">
      <c r="A334" s="352" t="n">
        <v>6</v>
      </c>
      <c r="B334" s="350" t="inlineStr">
        <is>
          <t>Breaker_ok</t>
        </is>
      </c>
      <c r="C334" s="350" t="n"/>
      <c r="D334" s="350" t="n"/>
      <c r="E334" s="350" t="n"/>
      <c r="F334" s="352" t="n">
        <v>1</v>
      </c>
      <c r="G334" s="352" t="n"/>
      <c r="H334" s="352" t="n"/>
      <c r="I334" s="352" t="n"/>
      <c r="J334" s="352" t="n"/>
      <c r="K334" s="352" t="n"/>
      <c r="L334" s="352" t="n"/>
      <c r="M334" s="352" t="n"/>
      <c r="N334" s="352" t="n"/>
      <c r="O334" s="352" t="n"/>
      <c r="P334" s="352" t="n"/>
      <c r="Q334" s="352" t="n"/>
      <c r="R334" s="352">
        <f>IF(AND(F334:Q334),1,0)</f>
        <v/>
      </c>
    </row>
    <row r="335" ht="20.15" customHeight="1">
      <c r="A335" s="352" t="n">
        <v>7</v>
      </c>
      <c r="B335" s="350" t="inlineStr">
        <is>
          <t>No_Fire</t>
        </is>
      </c>
      <c r="C335" s="350" t="n"/>
      <c r="D335" s="350" t="n"/>
      <c r="E335" s="350" t="n"/>
      <c r="F335" s="352" t="n">
        <v>1</v>
      </c>
      <c r="G335" s="352" t="n"/>
      <c r="H335" s="352" t="n"/>
      <c r="I335" s="352" t="n"/>
      <c r="J335" s="352" t="n"/>
      <c r="K335" s="352" t="n"/>
      <c r="L335" s="352" t="n"/>
      <c r="M335" s="352" t="n"/>
      <c r="N335" s="352" t="n"/>
      <c r="O335" s="352" t="n"/>
      <c r="P335" s="352" t="n"/>
      <c r="Q335" s="352" t="n"/>
      <c r="R335" s="352">
        <f>IF(AND(F335:Q335),1,0)</f>
        <v/>
      </c>
    </row>
    <row r="336" ht="20.15" customHeight="1">
      <c r="A336" s="352" t="n">
        <v>8</v>
      </c>
      <c r="B336" s="350" t="inlineStr">
        <is>
          <t>FAT_&gt;=_T7</t>
        </is>
      </c>
      <c r="C336" s="350" t="n"/>
      <c r="D336" s="350" t="n"/>
      <c r="E336" s="350" t="n"/>
      <c r="F336" s="352">
        <f>F331</f>
        <v/>
      </c>
      <c r="G336" s="352" t="n"/>
      <c r="H336" s="352" t="n"/>
      <c r="I336" s="352" t="n"/>
      <c r="J336" s="352" t="n"/>
      <c r="K336" s="352" t="n"/>
      <c r="L336" s="352" t="n"/>
      <c r="M336" s="352" t="n"/>
      <c r="N336" s="352" t="n"/>
      <c r="O336" s="352" t="n"/>
      <c r="P336" s="352" t="n"/>
      <c r="Q336" s="352" t="n"/>
      <c r="R336" s="352">
        <f>IF(AND(F336:Q336),1,0)</f>
        <v/>
      </c>
    </row>
    <row r="337" ht="20.15" customHeight="1">
      <c r="A337" s="352" t="n">
        <v>9</v>
      </c>
      <c r="B337" s="350" t="inlineStr">
        <is>
          <t>Fan_FB_ok</t>
        </is>
      </c>
      <c r="C337" s="350" t="n"/>
      <c r="D337" s="350" t="n"/>
      <c r="E337" s="350" t="n"/>
      <c r="F337" s="352">
        <f>F317</f>
        <v/>
      </c>
      <c r="G337" s="352" t="n"/>
      <c r="H337" s="352" t="n"/>
      <c r="I337" s="352" t="n"/>
      <c r="J337" s="352" t="n"/>
      <c r="K337" s="352" t="n"/>
      <c r="L337" s="352" t="n"/>
      <c r="M337" s="352" t="n"/>
      <c r="N337" s="352" t="n"/>
      <c r="O337" s="352" t="n"/>
      <c r="P337" s="352" t="n"/>
      <c r="Q337" s="352" t="n"/>
      <c r="R337" s="352">
        <f>IF(AND(F337:Q337),1,0)</f>
        <v/>
      </c>
    </row>
    <row r="338" ht="20.15" customHeight="1">
      <c r="A338" s="352" t="n"/>
      <c r="B338" s="350" t="inlineStr">
        <is>
          <t>LFC11</t>
        </is>
      </c>
      <c r="C338" s="350" t="n"/>
      <c r="D338" s="350" t="n"/>
      <c r="E338" s="350" t="n"/>
      <c r="F338" s="352" t="n"/>
      <c r="G338" s="352">
        <f>IF(AND(F336:F337),1,0)</f>
        <v/>
      </c>
      <c r="H338" s="352" t="n"/>
      <c r="I338" s="352" t="n"/>
      <c r="J338" s="352" t="n"/>
      <c r="K338" s="352" t="n"/>
      <c r="L338" s="352" t="n"/>
      <c r="M338" s="352" t="n"/>
      <c r="N338" s="352" t="n"/>
      <c r="O338" s="352" t="n"/>
      <c r="P338" s="352" t="n"/>
      <c r="Q338" s="352" t="n"/>
      <c r="R338" s="352">
        <f>IF(AND(G338:Q338),1,0)</f>
        <v/>
      </c>
    </row>
    <row r="339" ht="20.15" customHeight="1">
      <c r="A339" s="352" t="n">
        <v>10</v>
      </c>
      <c r="B339" s="350" t="inlineStr">
        <is>
          <t>Heating_enable</t>
        </is>
      </c>
      <c r="C339" s="350" t="inlineStr">
        <is>
          <t>LFC08</t>
        </is>
      </c>
      <c r="D339" s="350" t="n"/>
      <c r="E339" s="350" t="n"/>
      <c r="F339" s="352">
        <f>HVAC_IOs!K10</f>
        <v/>
      </c>
      <c r="G339" s="352">
        <f>IF(AND(F329:F335),1,0)</f>
        <v/>
      </c>
      <c r="H339" s="352" t="n"/>
      <c r="I339" s="352" t="n"/>
      <c r="J339" s="352" t="n"/>
      <c r="K339" s="352" t="n"/>
      <c r="L339" s="352" t="n"/>
      <c r="M339" s="352" t="n"/>
      <c r="N339" s="352" t="n"/>
      <c r="O339" s="352" t="n"/>
      <c r="P339" s="352" t="n"/>
      <c r="Q339" s="352" t="n"/>
      <c r="R339" s="352">
        <f>IF(AND(G339:Q339),1,0)</f>
        <v/>
      </c>
    </row>
    <row r="340" ht="20.15" customHeight="1">
      <c r="A340" s="327" t="n">
        <v>11</v>
      </c>
      <c r="B340" s="351" t="inlineStr">
        <is>
          <t>Heater_off</t>
        </is>
      </c>
      <c r="C340" s="351" t="n"/>
      <c r="D340" s="351" t="n"/>
      <c r="E340" s="351" t="n"/>
      <c r="F340" s="327" t="n"/>
      <c r="G340" s="327" t="n"/>
      <c r="H340" s="327">
        <f>IF(AND(R338:R339),1,0)</f>
        <v/>
      </c>
      <c r="I340" s="327" t="n"/>
      <c r="J340" s="327" t="n"/>
      <c r="K340" s="327" t="n"/>
      <c r="L340" s="327" t="n"/>
      <c r="M340" s="327" t="n"/>
      <c r="N340" s="327" t="n"/>
      <c r="O340" s="327" t="n"/>
      <c r="P340" s="327" t="n"/>
      <c r="Q340" s="327" t="n"/>
      <c r="R340" s="327">
        <f>IF(AND(G340:Q340),1,0)</f>
        <v/>
      </c>
    </row>
    <row r="341">
      <c r="A341" s="353" t="n"/>
      <c r="B341" s="354" t="n"/>
      <c r="C341" s="354" t="n"/>
      <c r="D341" s="354" t="n"/>
      <c r="E341" s="354" t="n"/>
      <c r="F341" s="353" t="n"/>
      <c r="G341" s="353" t="n"/>
      <c r="H341" s="353" t="n"/>
      <c r="I341" s="353" t="n"/>
      <c r="J341" s="353" t="n"/>
      <c r="K341" s="353" t="n"/>
      <c r="L341" s="353" t="n"/>
      <c r="M341" s="353" t="n"/>
      <c r="N341" s="353" t="n"/>
      <c r="O341" s="353" t="n"/>
      <c r="P341" s="353" t="n"/>
      <c r="Q341" s="353" t="n"/>
      <c r="R341" s="353" t="n"/>
    </row>
    <row r="342">
      <c r="A342" s="353" t="n"/>
      <c r="B342" s="354" t="n"/>
      <c r="C342" s="354" t="n"/>
      <c r="D342" s="354" t="n"/>
      <c r="E342" s="354" t="n"/>
      <c r="F342" s="353" t="n"/>
      <c r="G342" s="353" t="n"/>
      <c r="H342" s="353" t="n"/>
      <c r="I342" s="353" t="n"/>
      <c r="J342" s="353" t="n"/>
      <c r="K342" s="353" t="n"/>
      <c r="L342" s="353" t="n"/>
      <c r="M342" s="353" t="n"/>
      <c r="N342" s="353" t="n"/>
      <c r="O342" s="353" t="n"/>
      <c r="P342" s="353" t="n"/>
      <c r="Q342" s="353" t="n"/>
      <c r="R342" s="353" t="n"/>
    </row>
    <row r="343">
      <c r="A343" s="353" t="n"/>
      <c r="B343" s="354" t="n"/>
      <c r="C343" s="354" t="n"/>
      <c r="D343" s="354" t="n"/>
      <c r="E343" s="354" t="n"/>
      <c r="F343" s="353" t="n"/>
      <c r="G343" s="353" t="n"/>
      <c r="H343" s="353" t="n"/>
      <c r="I343" s="353" t="n"/>
      <c r="J343" s="353" t="n"/>
      <c r="K343" s="353" t="n"/>
      <c r="L343" s="353" t="n"/>
      <c r="M343" s="353" t="n"/>
      <c r="N343" s="353" t="n"/>
      <c r="O343" s="353" t="n"/>
      <c r="P343" s="353" t="n"/>
      <c r="Q343" s="353" t="n"/>
      <c r="R343" s="353" t="n"/>
    </row>
    <row r="344">
      <c r="A344" s="353" t="n"/>
      <c r="B344" s="354" t="n"/>
      <c r="C344" s="354" t="n"/>
      <c r="D344" s="354" t="n"/>
      <c r="E344" s="354" t="n"/>
      <c r="F344" s="353" t="n"/>
      <c r="G344" s="353" t="n"/>
      <c r="H344" s="353" t="n"/>
      <c r="I344" s="353" t="n"/>
      <c r="J344" s="353" t="n"/>
      <c r="K344" s="353" t="n"/>
      <c r="L344" s="353" t="n"/>
      <c r="M344" s="353" t="n"/>
      <c r="N344" s="353" t="n"/>
      <c r="O344" s="353" t="n"/>
      <c r="P344" s="353" t="n"/>
      <c r="Q344" s="353" t="n"/>
      <c r="R344" s="353" t="n"/>
    </row>
    <row r="345" ht="20.15" customHeight="1">
      <c r="A345" s="824" t="inlineStr">
        <is>
          <t>19.Pre-conditioning heating Mode- FAT&lt;T5</t>
        </is>
      </c>
      <c r="B345" s="869" t="n"/>
      <c r="C345" s="869" t="n"/>
      <c r="D345" s="869" t="n"/>
      <c r="E345" s="869" t="n"/>
      <c r="F345" s="869" t="n"/>
      <c r="G345" s="869" t="n"/>
      <c r="H345" s="869" t="n"/>
      <c r="I345" s="869" t="n"/>
      <c r="J345" s="869" t="n"/>
      <c r="K345" s="869" t="n"/>
      <c r="L345" s="869" t="n"/>
      <c r="M345" s="869" t="n"/>
      <c r="N345" s="869" t="n"/>
      <c r="O345" s="869" t="n"/>
      <c r="P345" s="869" t="n"/>
      <c r="Q345" s="869" t="n"/>
      <c r="R345" s="870" t="n"/>
    </row>
    <row r="346">
      <c r="A346" s="353" t="n"/>
      <c r="B346" s="354" t="n"/>
      <c r="C346" s="354" t="n"/>
      <c r="D346" s="354" t="n"/>
      <c r="E346" s="354" t="n"/>
      <c r="F346" s="353" t="n"/>
      <c r="G346" s="353" t="n"/>
      <c r="H346" s="353" t="n"/>
      <c r="I346" s="353" t="n"/>
      <c r="J346" s="353" t="n"/>
      <c r="K346" s="353" t="n"/>
      <c r="L346" s="353" t="n"/>
      <c r="M346" s="353" t="n"/>
      <c r="N346" s="353" t="n"/>
      <c r="O346" s="353" t="n"/>
      <c r="P346" s="353" t="n"/>
      <c r="Q346" s="353" t="n"/>
      <c r="R346" s="353" t="n"/>
    </row>
    <row r="347" ht="20.15" customHeight="1">
      <c r="A347" s="355" t="n">
        <v>1</v>
      </c>
      <c r="B347" s="356" t="inlineStr">
        <is>
          <t>HVAC_ON</t>
        </is>
      </c>
      <c r="C347" s="355" t="n"/>
      <c r="D347" s="355" t="n"/>
      <c r="E347" s="355" t="n"/>
      <c r="F347" s="355">
        <f>HVAC_IOs!K31</f>
        <v/>
      </c>
      <c r="G347" s="355" t="n"/>
      <c r="H347" s="355" t="n"/>
      <c r="I347" s="355" t="n"/>
      <c r="J347" s="355" t="n"/>
      <c r="K347" s="355" t="n"/>
      <c r="L347" s="355" t="n"/>
      <c r="M347" s="355" t="n"/>
      <c r="N347" s="355" t="n"/>
      <c r="O347" s="355" t="n"/>
      <c r="P347" s="355" t="n"/>
      <c r="Q347" s="355" t="n"/>
      <c r="R347" s="355">
        <f>IF(AND(F347:Q347),1,0)</f>
        <v/>
      </c>
    </row>
    <row r="348" ht="20.15" customHeight="1">
      <c r="A348" s="355" t="n">
        <v>2</v>
      </c>
      <c r="B348" s="356" t="inlineStr">
        <is>
          <t>Heating Mode</t>
        </is>
      </c>
      <c r="C348" s="355" t="n"/>
      <c r="D348" s="355" t="n"/>
      <c r="E348" s="355" t="n"/>
      <c r="F348" s="355">
        <f>HVAC_IOs!D38</f>
        <v/>
      </c>
      <c r="G348" s="355" t="n"/>
      <c r="H348" s="355" t="n"/>
      <c r="I348" s="355" t="n"/>
      <c r="J348" s="355" t="n"/>
      <c r="K348" s="355" t="n"/>
      <c r="L348" s="355" t="n"/>
      <c r="M348" s="355" t="n"/>
      <c r="N348" s="355" t="n"/>
      <c r="O348" s="355" t="n"/>
      <c r="P348" s="355" t="n"/>
      <c r="Q348" s="355" t="n"/>
      <c r="R348" s="355">
        <f>IF(AND(F348:Q348),1,0)</f>
        <v/>
      </c>
    </row>
    <row r="349" ht="20.15" customHeight="1">
      <c r="A349" s="355" t="n">
        <v>3</v>
      </c>
      <c r="B349" s="356" t="inlineStr">
        <is>
          <t>RAT&lt;SET point</t>
        </is>
      </c>
      <c r="C349" s="355" t="n"/>
      <c r="D349" s="355" t="n"/>
      <c r="E349" s="355" t="n"/>
      <c r="F349" s="355">
        <f>IF(AND(D38=1,R20&lt; R28), 1, 0)</f>
        <v/>
      </c>
      <c r="G349" s="355" t="n"/>
      <c r="H349" s="355" t="n"/>
      <c r="I349" s="355" t="n"/>
      <c r="J349" s="355" t="n"/>
      <c r="K349" s="355" t="n"/>
      <c r="L349" s="355" t="n"/>
      <c r="M349" s="355" t="n"/>
      <c r="N349" s="355" t="n"/>
      <c r="O349" s="355" t="n"/>
      <c r="P349" s="355" t="n"/>
      <c r="Q349" s="355" t="n"/>
      <c r="R349" s="355">
        <f>IF(AND(F349:Q349),1,0)</f>
        <v/>
      </c>
    </row>
    <row r="350" ht="20.15" customHeight="1">
      <c r="A350" s="355" t="n">
        <v>4</v>
      </c>
      <c r="B350" s="356" t="inlineStr">
        <is>
          <t>Heater_ok</t>
        </is>
      </c>
      <c r="C350" s="355" t="n"/>
      <c r="D350" s="355" t="n"/>
      <c r="E350" s="355" t="n"/>
      <c r="F350" s="355">
        <f>IF(AND(HVAC_IOs!D56=1,HVAC_IOs!D57=1,HVAC_IOs!D58=1),1,0)</f>
        <v/>
      </c>
      <c r="G350" s="355" t="n"/>
      <c r="H350" s="355" t="n"/>
      <c r="I350" s="355" t="n"/>
      <c r="J350" s="355" t="n"/>
      <c r="K350" s="355" t="n"/>
      <c r="L350" s="355" t="n"/>
      <c r="M350" s="355" t="n"/>
      <c r="N350" s="355" t="n"/>
      <c r="O350" s="355" t="n"/>
      <c r="P350" s="355" t="n"/>
      <c r="Q350" s="355" t="n"/>
      <c r="R350" s="355">
        <f>IF(AND(F350:Q350),1,0)</f>
        <v/>
      </c>
    </row>
    <row r="351" ht="20.15" customHeight="1">
      <c r="A351" s="355" t="n">
        <v>5</v>
      </c>
      <c r="B351" s="356" t="inlineStr">
        <is>
          <t>Fan_ok</t>
        </is>
      </c>
      <c r="C351" s="355" t="n"/>
      <c r="D351" s="355" t="n"/>
      <c r="E351" s="355" t="n"/>
      <c r="F351" s="355">
        <f>IF(AND(HVAC_IOs!D63=1,HVAC_IOs!D64=1),1,0)</f>
        <v/>
      </c>
      <c r="G351" s="355" t="n"/>
      <c r="H351" s="355" t="n"/>
      <c r="I351" s="355" t="n"/>
      <c r="J351" s="355" t="n"/>
      <c r="K351" s="355" t="n"/>
      <c r="L351" s="355" t="n"/>
      <c r="M351" s="355" t="n"/>
      <c r="N351" s="355" t="n"/>
      <c r="O351" s="355" t="n"/>
      <c r="P351" s="355" t="n"/>
      <c r="Q351" s="355" t="n"/>
      <c r="R351" s="355">
        <f>IF(AND(F351:Q351),1,0)</f>
        <v/>
      </c>
    </row>
    <row r="352" ht="20.15" customHeight="1">
      <c r="A352" s="355" t="n">
        <v>6</v>
      </c>
      <c r="B352" s="356" t="inlineStr">
        <is>
          <t>Breaker_ok</t>
        </is>
      </c>
      <c r="C352" s="355" t="n"/>
      <c r="D352" s="355" t="n"/>
      <c r="E352" s="355" t="n"/>
      <c r="F352" s="355">
        <f>IF(AND(HVAC_IOs!D86=1,HVAC_IOs!D87=1,HVAC_IOs!D88=1,HVAC_IOs!D89=1,HVAC_IOs!D90=1,HVAC_IOs!D91=1,HVAC_IOs!D92=1,HVAC_IOs!D93=1,HVAC_IOs!D94=1,HVAC_IOs!D95=1,HVAC_IOs!D96=1,HVAC_IOs!D97=1,HVAC_IOs!D98=1,HVAC_IOs!D99=1,HVAC_IOs!D100=1,HVAC_IOs!D101=1,HVAC_IOs!D102=1),1,0)</f>
        <v/>
      </c>
      <c r="G352" s="355" t="n"/>
      <c r="H352" s="355" t="n"/>
      <c r="I352" s="355" t="n"/>
      <c r="J352" s="355" t="n"/>
      <c r="K352" s="355" t="n"/>
      <c r="L352" s="355" t="n"/>
      <c r="M352" s="355" t="n"/>
      <c r="N352" s="355" t="n"/>
      <c r="O352" s="355" t="n"/>
      <c r="P352" s="355" t="n"/>
      <c r="Q352" s="355" t="n"/>
      <c r="R352" s="355">
        <f>IF(AND(F352:Q352),1,0)</f>
        <v/>
      </c>
    </row>
    <row r="353" ht="20.15" customHeight="1">
      <c r="A353" s="355" t="n">
        <v>7</v>
      </c>
      <c r="B353" s="356" t="inlineStr">
        <is>
          <t>No_Fire</t>
        </is>
      </c>
      <c r="C353" s="355" t="n"/>
      <c r="D353" s="355" t="n"/>
      <c r="E353" s="355" t="n"/>
      <c r="F353" s="355">
        <f>HVAC_IOs!D23</f>
        <v/>
      </c>
      <c r="G353" s="355" t="n"/>
      <c r="H353" s="355" t="n"/>
      <c r="I353" s="355" t="n"/>
      <c r="J353" s="355" t="n"/>
      <c r="K353" s="355" t="n"/>
      <c r="L353" s="355" t="n"/>
      <c r="M353" s="355" t="n"/>
      <c r="N353" s="355" t="n"/>
      <c r="O353" s="355" t="n"/>
      <c r="P353" s="355" t="n"/>
      <c r="Q353" s="355" t="n"/>
      <c r="R353" s="355">
        <f>IF(AND(F353:Q353),1,0)</f>
        <v/>
      </c>
    </row>
    <row r="354" ht="20.15" customHeight="1">
      <c r="A354" s="355" t="n">
        <v>8</v>
      </c>
      <c r="B354" s="356" t="inlineStr">
        <is>
          <t>FAT_&lt;_T5</t>
        </is>
      </c>
      <c r="C354" s="355" t="n"/>
      <c r="D354" s="355" t="n"/>
      <c r="E354" s="355" t="n"/>
      <c r="F354" s="355">
        <f>IF(AND(K31=1, R20 &lt; R28, R20 &lt; T5, D47=1), 1, 0)</f>
        <v/>
      </c>
      <c r="G354" s="355" t="n"/>
      <c r="H354" s="355" t="n"/>
      <c r="I354" s="355" t="n"/>
      <c r="J354" s="355" t="n"/>
      <c r="K354" s="355" t="n"/>
      <c r="L354" s="355" t="n"/>
      <c r="M354" s="355" t="n"/>
      <c r="N354" s="355" t="n"/>
      <c r="O354" s="355" t="n"/>
      <c r="P354" s="355" t="n"/>
      <c r="Q354" s="355" t="n"/>
      <c r="R354" s="355">
        <f>IF(AND(F354:Q354),1,0)</f>
        <v/>
      </c>
    </row>
    <row r="355" ht="20.15" customHeight="1">
      <c r="A355" s="355" t="n">
        <v>9</v>
      </c>
      <c r="B355" s="356" t="inlineStr">
        <is>
          <t>Fan_FB_OK</t>
        </is>
      </c>
      <c r="C355" s="355" t="n"/>
      <c r="D355" s="355" t="n"/>
      <c r="E355" s="355" t="n"/>
      <c r="F355" s="355">
        <f>IF(AND(HVAC_IOs!D82=1,HVAC_IOs!D83=1),1,0)</f>
        <v/>
      </c>
      <c r="G355" s="355" t="n"/>
      <c r="H355" s="355" t="n"/>
      <c r="I355" s="355" t="n"/>
      <c r="J355" s="355" t="n"/>
      <c r="K355" s="355" t="n"/>
      <c r="L355" s="355" t="n"/>
      <c r="M355" s="355" t="n"/>
      <c r="N355" s="355" t="n"/>
      <c r="O355" s="355" t="n"/>
      <c r="P355" s="355" t="n"/>
      <c r="Q355" s="355" t="n"/>
      <c r="R355" s="355">
        <f>IF(AND(F355:Q355),1,0)</f>
        <v/>
      </c>
    </row>
    <row r="356" ht="20.15" customHeight="1">
      <c r="A356" s="355" t="n">
        <v>10</v>
      </c>
      <c r="B356" s="356" t="inlineStr">
        <is>
          <t>heating_enable</t>
        </is>
      </c>
      <c r="C356" s="355" t="n"/>
      <c r="D356" s="355" t="n"/>
      <c r="E356" s="355" t="n"/>
      <c r="F356" s="355" t="n"/>
      <c r="G356" s="355">
        <f>IF(AND(F347:F353),1,0)</f>
        <v/>
      </c>
      <c r="H356" s="355" t="n"/>
      <c r="I356" s="355" t="n"/>
      <c r="J356" s="355" t="n"/>
      <c r="K356" s="355" t="n"/>
      <c r="L356" s="355" t="n"/>
      <c r="M356" s="355" t="n"/>
      <c r="N356" s="355" t="n"/>
      <c r="O356" s="355" t="n"/>
      <c r="P356" s="355" t="n"/>
      <c r="Q356" s="355" t="n"/>
      <c r="R356" s="355">
        <f>IF(AND(F356:Q356),1,0)</f>
        <v/>
      </c>
    </row>
    <row r="357" ht="20.15" customHeight="1">
      <c r="A357" s="355" t="n">
        <v>11</v>
      </c>
      <c r="B357" s="356" t="inlineStr">
        <is>
          <t>LFC 11</t>
        </is>
      </c>
      <c r="C357" s="355" t="n"/>
      <c r="D357" s="355" t="n"/>
      <c r="E357" s="355" t="n"/>
      <c r="F357" s="355">
        <f>HVAC_IOs!K29</f>
        <v/>
      </c>
      <c r="G357" s="355">
        <f>IF(AND(F354:F355),1,0)</f>
        <v/>
      </c>
      <c r="H357" s="355" t="n"/>
      <c r="I357" s="355" t="n"/>
      <c r="J357" s="355" t="n"/>
      <c r="K357" s="355" t="n"/>
      <c r="L357" s="355" t="n"/>
      <c r="M357" s="355" t="n"/>
      <c r="N357" s="355" t="n"/>
      <c r="O357" s="355" t="n"/>
      <c r="P357" s="355" t="n"/>
      <c r="Q357" s="355" t="n"/>
      <c r="R357" s="355">
        <f>IF(AND(F357:Q357),1,0)</f>
        <v/>
      </c>
    </row>
    <row r="358" ht="20.15" customHeight="1">
      <c r="A358" s="327" t="n">
        <v>12</v>
      </c>
      <c r="B358" s="351" t="inlineStr">
        <is>
          <t>OH_Stage_01</t>
        </is>
      </c>
      <c r="C358" s="327" t="n"/>
      <c r="D358" s="327" t="n"/>
      <c r="E358" s="327" t="n"/>
      <c r="F358" s="327" t="n"/>
      <c r="G358" s="327" t="n"/>
      <c r="H358" s="327">
        <f>IF(AND(R356:R357),1,0)</f>
        <v/>
      </c>
      <c r="I358" s="327" t="n"/>
      <c r="J358" s="327" t="n"/>
      <c r="K358" s="327" t="n"/>
      <c r="L358" s="327" t="n"/>
      <c r="M358" s="327" t="n"/>
      <c r="N358" s="327" t="n"/>
      <c r="O358" s="327" t="n"/>
      <c r="P358" s="327" t="n"/>
      <c r="Q358" s="327" t="n"/>
      <c r="R358" s="327">
        <f>IF(AND(F358:Q358),1,0)</f>
        <v/>
      </c>
    </row>
    <row r="359" ht="20.15" customHeight="1">
      <c r="A359" s="327" t="n">
        <v>13</v>
      </c>
      <c r="B359" s="351" t="inlineStr">
        <is>
          <t>OH_Stage_02</t>
        </is>
      </c>
      <c r="C359" s="327" t="n"/>
      <c r="D359" s="327" t="n"/>
      <c r="E359" s="327" t="n"/>
      <c r="F359" s="327" t="n"/>
      <c r="G359" s="327" t="n"/>
      <c r="H359" s="327">
        <f>IF(AND(R356:R357),1,)</f>
        <v/>
      </c>
      <c r="I359" s="327" t="n"/>
      <c r="J359" s="327" t="n"/>
      <c r="K359" s="327" t="n"/>
      <c r="L359" s="327" t="n"/>
      <c r="M359" s="327" t="n"/>
      <c r="N359" s="327" t="n"/>
      <c r="O359" s="327" t="n"/>
      <c r="P359" s="327" t="n"/>
      <c r="Q359" s="327" t="n"/>
      <c r="R359" s="327">
        <f>IF(AND(F359:Q359),1,0)</f>
        <v/>
      </c>
    </row>
    <row r="360">
      <c r="A360" s="353" t="n"/>
      <c r="B360" s="354" t="n"/>
      <c r="C360" s="354" t="n"/>
      <c r="D360" s="354" t="n"/>
      <c r="E360" s="354" t="n"/>
      <c r="F360" s="353" t="n"/>
      <c r="G360" s="353" t="n"/>
      <c r="H360" s="353" t="n"/>
      <c r="I360" s="353" t="n"/>
      <c r="J360" s="353" t="n"/>
      <c r="K360" s="353" t="n"/>
      <c r="L360" s="353" t="n"/>
      <c r="M360" s="353" t="n"/>
      <c r="N360" s="353" t="n"/>
      <c r="O360" s="353" t="n"/>
      <c r="P360" s="353" t="n"/>
      <c r="Q360" s="353" t="n"/>
      <c r="R360" s="353" t="n"/>
    </row>
    <row r="364" ht="20.15" customHeight="1">
      <c r="A364" s="823" t="inlineStr">
        <is>
          <t>20.Cooling Mode-Pre-conditioning(Cooling_50%)</t>
        </is>
      </c>
      <c r="B364" s="869" t="n"/>
      <c r="C364" s="869" t="n"/>
      <c r="D364" s="869" t="n"/>
      <c r="E364" s="869" t="n"/>
      <c r="F364" s="869" t="n"/>
      <c r="G364" s="869" t="n"/>
      <c r="H364" s="869" t="n"/>
      <c r="I364" s="869" t="n"/>
      <c r="J364" s="869" t="n"/>
      <c r="K364" s="869" t="n"/>
      <c r="L364" s="869" t="n"/>
      <c r="M364" s="869" t="n"/>
      <c r="N364" s="869" t="n"/>
      <c r="O364" s="869" t="n"/>
      <c r="P364" s="869" t="n"/>
      <c r="Q364" s="869" t="n"/>
      <c r="R364" s="870" t="n"/>
    </row>
    <row r="366" ht="20.15" customHeight="1">
      <c r="A366" s="318" t="n">
        <v>1</v>
      </c>
      <c r="B366" s="72" t="inlineStr">
        <is>
          <t>Auto_mode_from_TCMS</t>
        </is>
      </c>
      <c r="C366" s="72" t="n"/>
      <c r="D366" s="72" t="n"/>
      <c r="E366" s="72" t="n"/>
      <c r="F366" s="318" t="n">
        <v>1</v>
      </c>
      <c r="G366" s="318" t="n"/>
      <c r="H366" s="318" t="n"/>
      <c r="I366" s="318" t="n"/>
      <c r="J366" s="318" t="n"/>
      <c r="K366" s="318" t="n"/>
      <c r="L366" s="318" t="n"/>
      <c r="M366" s="318" t="n"/>
      <c r="N366" s="318" t="n"/>
      <c r="O366" s="318" t="n"/>
      <c r="P366" s="318" t="n"/>
      <c r="Q366" s="318" t="n"/>
      <c r="R366" s="318">
        <f>IF(AND(F366:Q366),1,0)</f>
        <v/>
      </c>
    </row>
    <row r="367" ht="20.15" customHeight="1">
      <c r="A367" s="318" t="n">
        <v>2</v>
      </c>
      <c r="B367" s="72" t="inlineStr">
        <is>
          <t>Stand_by_mode_ON</t>
        </is>
      </c>
      <c r="C367" s="72" t="n"/>
      <c r="D367" s="72" t="n"/>
      <c r="E367" s="72" t="n"/>
      <c r="F367" s="318">
        <f>HVAC_IOs!D20</f>
        <v/>
      </c>
      <c r="G367" s="318" t="n"/>
      <c r="H367" s="318" t="n"/>
      <c r="I367" s="318" t="n"/>
      <c r="J367" s="318" t="n"/>
      <c r="K367" s="318" t="n"/>
      <c r="L367" s="318" t="n"/>
      <c r="M367" s="318" t="n"/>
      <c r="N367" s="318" t="n"/>
      <c r="O367" s="318" t="n"/>
      <c r="P367" s="318" t="n"/>
      <c r="Q367" s="318" t="n"/>
      <c r="R367" s="318">
        <f>IF(AND(F367:Q367),1,0)</f>
        <v/>
      </c>
    </row>
    <row r="368" ht="20.15" customHeight="1">
      <c r="A368" s="318" t="n">
        <v>3</v>
      </c>
      <c r="B368" s="72" t="inlineStr">
        <is>
          <t>Aps_load_reduction_ON</t>
        </is>
      </c>
      <c r="C368" s="72" t="n"/>
      <c r="D368" s="72" t="n"/>
      <c r="E368" s="72" t="n"/>
      <c r="F368" s="318">
        <f>IF(AND(HVAC_IOs!D8=1,HVAC_IOs!D9=1),1,0)</f>
        <v/>
      </c>
      <c r="G368" s="318" t="n"/>
      <c r="H368" s="318" t="n"/>
      <c r="I368" s="318" t="n"/>
      <c r="J368" s="318" t="n"/>
      <c r="K368" s="318" t="n"/>
      <c r="L368" s="318" t="n"/>
      <c r="M368" s="318" t="n"/>
      <c r="N368" s="318" t="n"/>
      <c r="O368" s="318" t="n"/>
      <c r="P368" s="318" t="n"/>
      <c r="Q368" s="318" t="n"/>
      <c r="R368" s="318">
        <f>IF(AND(F368:Q368),1,0)</f>
        <v/>
      </c>
    </row>
    <row r="369" ht="20.15" customHeight="1">
      <c r="A369" s="318" t="n">
        <v>4</v>
      </c>
      <c r="B369" s="72" t="inlineStr">
        <is>
          <t>LVPS_load_shed_ON</t>
        </is>
      </c>
      <c r="C369" s="72" t="n"/>
      <c r="D369" s="72" t="n"/>
      <c r="E369" s="72" t="n"/>
      <c r="F369" s="324" t="n">
        <v>1</v>
      </c>
      <c r="G369" s="318" t="n"/>
      <c r="H369" s="318" t="n"/>
      <c r="I369" s="318" t="n"/>
      <c r="J369" s="318" t="n"/>
      <c r="K369" s="318" t="n"/>
      <c r="L369" s="318" t="n"/>
      <c r="M369" s="318" t="n"/>
      <c r="N369" s="318" t="n"/>
      <c r="O369" s="318" t="n"/>
      <c r="P369" s="318" t="n"/>
      <c r="Q369" s="318" t="n"/>
      <c r="R369" s="318">
        <f>IF(AND(F369:Q369),1,0)</f>
        <v/>
      </c>
    </row>
    <row r="370" ht="20.15" customHeight="1">
      <c r="A370" s="318" t="n">
        <v>5</v>
      </c>
      <c r="B370" s="72" t="inlineStr">
        <is>
          <t>No_fire_detected'</t>
        </is>
      </c>
      <c r="C370" s="72" t="n"/>
      <c r="D370" s="72" t="n"/>
      <c r="E370" s="72" t="n"/>
      <c r="F370" s="318" t="n">
        <v>1</v>
      </c>
      <c r="G370" s="318" t="n"/>
      <c r="H370" s="318" t="n"/>
      <c r="I370" s="318" t="n"/>
      <c r="J370" s="318" t="n"/>
      <c r="K370" s="318" t="n"/>
      <c r="L370" s="318" t="n"/>
      <c r="M370" s="318" t="n"/>
      <c r="N370" s="318" t="n"/>
      <c r="O370" s="318" t="n"/>
      <c r="P370" s="318" t="n"/>
      <c r="Q370" s="318" t="n"/>
      <c r="R370" s="318">
        <f>IF(AND(F370:Q370),1,0)</f>
        <v/>
      </c>
    </row>
    <row r="371" ht="20.15" customHeight="1">
      <c r="A371" s="318" t="n">
        <v>6</v>
      </c>
      <c r="B371" s="72" t="inlineStr">
        <is>
          <t>HP_OK</t>
        </is>
      </c>
      <c r="C371" s="72" t="n"/>
      <c r="D371" s="72" t="n"/>
      <c r="E371" s="72" t="n"/>
      <c r="F371" s="318">
        <f>IF(AND(HVAC_IOs!D10=1,HVAC_IOs!D12=1),1,0)</f>
        <v/>
      </c>
      <c r="G371" s="318" t="n"/>
      <c r="H371" s="318" t="n"/>
      <c r="I371" s="318" t="n"/>
      <c r="J371" s="318" t="n"/>
      <c r="K371" s="318" t="n"/>
      <c r="L371" s="318" t="n"/>
      <c r="M371" s="318" t="n"/>
      <c r="N371" s="318" t="n"/>
      <c r="O371" s="318" t="n"/>
      <c r="P371" s="318" t="n"/>
      <c r="Q371" s="318" t="n"/>
      <c r="R371" s="318">
        <f>IF(AND(F371:Q371),1,0)</f>
        <v/>
      </c>
    </row>
    <row r="372" ht="20.15" customHeight="1">
      <c r="A372" s="318" t="n">
        <v>7</v>
      </c>
      <c r="B372" s="72" t="inlineStr">
        <is>
          <t>LP_OK</t>
        </is>
      </c>
      <c r="C372" s="72" t="n"/>
      <c r="D372" s="72" t="n"/>
      <c r="E372" s="72" t="n"/>
      <c r="F372" s="318">
        <f>IF(AND(HVAC_IOs!D11=1,HVAC_IOs!D13=1),1,0)</f>
        <v/>
      </c>
      <c r="G372" s="318" t="n"/>
      <c r="H372" s="318" t="n"/>
      <c r="I372" s="318" t="n"/>
      <c r="J372" s="318" t="n"/>
      <c r="K372" s="318" t="n"/>
      <c r="L372" s="318" t="n"/>
      <c r="M372" s="318" t="n"/>
      <c r="N372" s="318" t="n"/>
      <c r="O372" s="318" t="n"/>
      <c r="P372" s="318" t="n"/>
      <c r="Q372" s="318" t="n"/>
      <c r="R372" s="318">
        <f>IF(AND(F372:Q372),1,0)</f>
        <v/>
      </c>
    </row>
    <row r="373" ht="20.15" customHeight="1">
      <c r="A373" s="318" t="n">
        <v>8</v>
      </c>
      <c r="B373" s="72" t="inlineStr">
        <is>
          <t>Breaker_ok</t>
        </is>
      </c>
      <c r="C373" s="72" t="n"/>
      <c r="D373" s="72" t="n"/>
      <c r="E373" s="72" t="n"/>
      <c r="F373" s="318">
        <f>IF(AND(HVAC_IOs!D6=1,HVAC_IOs!D7=1),1,0)</f>
        <v/>
      </c>
      <c r="G373" s="318" t="n"/>
      <c r="H373" s="318" t="n"/>
      <c r="I373" s="318" t="n"/>
      <c r="J373" s="318" t="n"/>
      <c r="K373" s="318" t="n"/>
      <c r="L373" s="318" t="n"/>
      <c r="M373" s="318" t="n"/>
      <c r="N373" s="318" t="n"/>
      <c r="O373" s="318" t="n"/>
      <c r="P373" s="318" t="n"/>
      <c r="Q373" s="318" t="n"/>
      <c r="R373" s="318">
        <f>IF(AND(F373:Q373),1,0)</f>
        <v/>
      </c>
    </row>
    <row r="374" ht="20.15" customHeight="1">
      <c r="A374" s="318" t="n">
        <v>9</v>
      </c>
      <c r="B374" s="72" t="inlineStr">
        <is>
          <t>Supply_fan_feedback_OK</t>
        </is>
      </c>
      <c r="C374" s="72" t="n"/>
      <c r="D374" s="72" t="n"/>
      <c r="E374" s="72" t="n"/>
      <c r="F374" s="318">
        <f>IF(AND(HVAC_IOs!D45=1,HVAC_IOs!D46=1),1,0)</f>
        <v/>
      </c>
      <c r="G374" s="318" t="n"/>
      <c r="H374" s="318" t="n"/>
      <c r="I374" s="318" t="n"/>
      <c r="J374" s="318" t="n"/>
      <c r="K374" s="318" t="n"/>
      <c r="L374" s="318" t="n"/>
      <c r="M374" s="318" t="n"/>
      <c r="N374" s="318" t="n"/>
      <c r="O374" s="318" t="n"/>
      <c r="P374" s="318" t="n"/>
      <c r="Q374" s="318" t="n"/>
      <c r="R374" s="318">
        <f>IF(AND(F374:Q374),1,0)</f>
        <v/>
      </c>
    </row>
    <row r="375" ht="20.15" customHeight="1">
      <c r="A375" s="318" t="n">
        <v>10</v>
      </c>
      <c r="B375" s="72" t="inlineStr">
        <is>
          <t>fAT_&gt;=_T4</t>
        </is>
      </c>
      <c r="C375" s="72" t="n"/>
      <c r="D375" s="72" t="n"/>
      <c r="E375" s="72" t="n"/>
      <c r="F375" s="72">
        <f>Calculation!B41</f>
        <v/>
      </c>
      <c r="G375" s="72" t="n"/>
      <c r="H375" s="72" t="n"/>
      <c r="I375" s="72" t="n"/>
      <c r="J375" s="72" t="n"/>
      <c r="K375" s="72" t="n"/>
      <c r="L375" s="72" t="n"/>
      <c r="M375" s="72" t="n"/>
      <c r="N375" s="72" t="n"/>
      <c r="O375" s="72" t="n"/>
      <c r="P375" s="72" t="n"/>
      <c r="Q375" s="72" t="n"/>
      <c r="R375" s="72">
        <f>IF(AND(F375:Q375),1,0)</f>
        <v/>
      </c>
    </row>
    <row r="376" ht="20.15" customHeight="1">
      <c r="A376" s="318" t="n">
        <v>11</v>
      </c>
      <c r="B376" s="72" t="inlineStr">
        <is>
          <t>fAT_&gt;=_T6</t>
        </is>
      </c>
      <c r="C376" s="72" t="n"/>
      <c r="D376" s="72" t="n"/>
      <c r="E376" s="72" t="n"/>
      <c r="F376" s="72">
        <f>F375</f>
        <v/>
      </c>
      <c r="G376" s="72">
        <f>IF(NOT(F376),1,0)</f>
        <v/>
      </c>
      <c r="H376" s="72" t="n"/>
      <c r="I376" s="72" t="n"/>
      <c r="J376" s="72" t="n"/>
      <c r="K376" s="72" t="n"/>
      <c r="L376" s="72" t="n"/>
      <c r="M376" s="72" t="n"/>
      <c r="N376" s="72" t="n"/>
      <c r="O376" s="72" t="n"/>
      <c r="P376" s="72" t="n"/>
      <c r="Q376" s="72" t="n"/>
      <c r="R376" s="72">
        <f>IF(AND(F376:Q376),1,0)</f>
        <v/>
      </c>
    </row>
    <row r="377" ht="20.15" customHeight="1">
      <c r="A377" s="148" t="n">
        <v>12</v>
      </c>
      <c r="B377" s="149" t="inlineStr">
        <is>
          <t>Cooling_mode_enable</t>
        </is>
      </c>
      <c r="C377" s="149" t="n"/>
      <c r="D377" s="149" t="n"/>
      <c r="E377" s="149" t="n"/>
      <c r="F377" s="148" t="n"/>
      <c r="G377" s="148">
        <f>IF(AND(R366:R374),1,0)</f>
        <v/>
      </c>
      <c r="H377" s="148" t="n"/>
      <c r="I377" s="148" t="n"/>
      <c r="J377" s="148" t="n"/>
      <c r="K377" s="148" t="n"/>
      <c r="L377" s="148" t="n"/>
      <c r="M377" s="148" t="n"/>
      <c r="N377" s="148" t="n"/>
      <c r="O377" s="148" t="n"/>
      <c r="P377" s="148" t="n"/>
      <c r="Q377" s="148" t="n"/>
      <c r="R377" s="148">
        <f>IF(AND(G377:Q377),1,0)</f>
        <v/>
      </c>
    </row>
    <row r="378" ht="20.15" customHeight="1">
      <c r="A378" s="148" t="n">
        <v>13</v>
      </c>
      <c r="B378" s="149" t="inlineStr">
        <is>
          <t>Cooling_50%</t>
        </is>
      </c>
      <c r="C378" s="149" t="n"/>
      <c r="D378" s="149" t="n"/>
      <c r="E378" s="149" t="n"/>
      <c r="F378" s="148" t="n"/>
      <c r="G378" s="148" t="n"/>
      <c r="H378" s="148">
        <f>IF(AND(R377,R375,R376),1,0)</f>
        <v/>
      </c>
      <c r="I378" s="148" t="n"/>
      <c r="J378" s="148" t="n"/>
      <c r="K378" s="148" t="n"/>
      <c r="L378" s="148" t="n"/>
      <c r="M378" s="148" t="n"/>
      <c r="N378" s="148" t="n"/>
      <c r="O378" s="148" t="n"/>
      <c r="P378" s="148" t="n"/>
      <c r="Q378" s="148" t="n"/>
      <c r="R378" s="148">
        <f>IF(AND(G378:Q378),1,0)</f>
        <v/>
      </c>
    </row>
    <row r="382" ht="20.15" customHeight="1">
      <c r="A382" s="823" t="inlineStr">
        <is>
          <t>21.Cooling Mode- Pre-conditioning(Cooling_100%)</t>
        </is>
      </c>
      <c r="B382" s="869" t="n"/>
      <c r="C382" s="869" t="n"/>
      <c r="D382" s="869" t="n"/>
      <c r="E382" s="869" t="n"/>
      <c r="F382" s="869" t="n"/>
      <c r="G382" s="869" t="n"/>
      <c r="H382" s="869" t="n"/>
      <c r="I382" s="869" t="n"/>
      <c r="J382" s="869" t="n"/>
      <c r="K382" s="869" t="n"/>
      <c r="L382" s="869" t="n"/>
      <c r="M382" s="869" t="n"/>
      <c r="N382" s="869" t="n"/>
      <c r="O382" s="869" t="n"/>
      <c r="P382" s="869" t="n"/>
      <c r="Q382" s="869" t="n"/>
      <c r="R382" s="870" t="n"/>
    </row>
    <row r="384" ht="20.15" customHeight="1">
      <c r="A384" s="318" t="n">
        <v>1</v>
      </c>
      <c r="B384" s="72" t="inlineStr">
        <is>
          <t>Auto_mode_from_TCMS</t>
        </is>
      </c>
      <c r="C384" s="72" t="n"/>
      <c r="D384" s="72" t="n"/>
      <c r="E384" s="72" t="n"/>
      <c r="F384" s="318">
        <f>F366</f>
        <v/>
      </c>
      <c r="G384" s="318" t="n"/>
      <c r="H384" s="318" t="n"/>
      <c r="I384" s="318" t="n"/>
      <c r="J384" s="318" t="n"/>
      <c r="K384" s="318" t="n"/>
      <c r="L384" s="318" t="n"/>
      <c r="M384" s="318" t="n"/>
      <c r="N384" s="318" t="n"/>
      <c r="O384" s="318" t="n"/>
      <c r="P384" s="318" t="n"/>
      <c r="Q384" s="318" t="n"/>
      <c r="R384" s="318">
        <f>IF(AND(F384:Q384),1,0)</f>
        <v/>
      </c>
    </row>
    <row r="385" ht="20.15" customHeight="1">
      <c r="A385" s="318" t="n">
        <v>2</v>
      </c>
      <c r="B385" s="72" t="inlineStr">
        <is>
          <t>Stand_by_mode_ON</t>
        </is>
      </c>
      <c r="C385" s="72" t="n"/>
      <c r="D385" s="72" t="n"/>
      <c r="E385" s="72" t="n"/>
      <c r="F385" s="318">
        <f>F367</f>
        <v/>
      </c>
      <c r="G385" s="318" t="n"/>
      <c r="H385" s="318" t="n"/>
      <c r="I385" s="318" t="n"/>
      <c r="J385" s="318" t="n"/>
      <c r="K385" s="318" t="n"/>
      <c r="L385" s="318" t="n"/>
      <c r="M385" s="318" t="n"/>
      <c r="N385" s="318" t="n"/>
      <c r="O385" s="318" t="n"/>
      <c r="P385" s="318" t="n"/>
      <c r="Q385" s="318" t="n"/>
      <c r="R385" s="318">
        <f>IF(AND(F385:Q385),1,0)</f>
        <v/>
      </c>
    </row>
    <row r="386" ht="20.15" customHeight="1">
      <c r="A386" s="318" t="n">
        <v>3</v>
      </c>
      <c r="B386" s="72" t="inlineStr">
        <is>
          <t>Aps_load_reduction_ON</t>
        </is>
      </c>
      <c r="C386" s="72" t="n"/>
      <c r="D386" s="72" t="n"/>
      <c r="E386" s="72" t="n"/>
      <c r="F386" s="318">
        <f>F368</f>
        <v/>
      </c>
      <c r="G386" s="318" t="n"/>
      <c r="H386" s="318" t="n"/>
      <c r="I386" s="318" t="n"/>
      <c r="J386" s="318" t="n"/>
      <c r="K386" s="318" t="n"/>
      <c r="L386" s="318" t="n"/>
      <c r="M386" s="318" t="n"/>
      <c r="N386" s="318" t="n"/>
      <c r="O386" s="318" t="n"/>
      <c r="P386" s="318" t="n"/>
      <c r="Q386" s="318" t="n"/>
      <c r="R386" s="318">
        <f>IF(AND(F386:Q386),1,0)</f>
        <v/>
      </c>
    </row>
    <row r="387" ht="20.15" customHeight="1">
      <c r="A387" s="318" t="n">
        <v>4</v>
      </c>
      <c r="B387" s="72" t="inlineStr">
        <is>
          <t>LVPS_load_shed_ON</t>
        </is>
      </c>
      <c r="C387" s="72" t="n"/>
      <c r="D387" s="72" t="n"/>
      <c r="E387" s="72" t="n"/>
      <c r="F387" s="324" t="n">
        <v>1</v>
      </c>
      <c r="G387" s="318" t="n"/>
      <c r="H387" s="318" t="n"/>
      <c r="I387" s="318" t="n"/>
      <c r="J387" s="318" t="n"/>
      <c r="K387" s="318" t="n"/>
      <c r="L387" s="318" t="n"/>
      <c r="M387" s="318" t="n"/>
      <c r="N387" s="318" t="n"/>
      <c r="O387" s="318" t="n"/>
      <c r="P387" s="318" t="n"/>
      <c r="Q387" s="318" t="n"/>
      <c r="R387" s="318">
        <f>IF(AND(F387:Q387),1,0)</f>
        <v/>
      </c>
    </row>
    <row r="388" ht="20.15" customHeight="1">
      <c r="A388" s="318" t="n">
        <v>5</v>
      </c>
      <c r="B388" s="72" t="inlineStr">
        <is>
          <t>No_fire_detected'</t>
        </is>
      </c>
      <c r="C388" s="72" t="n"/>
      <c r="D388" s="72" t="n"/>
      <c r="E388" s="72" t="n"/>
      <c r="F388" s="318">
        <f>HVAC_IOs!D23</f>
        <v/>
      </c>
      <c r="G388" s="318" t="n"/>
      <c r="H388" s="318" t="n"/>
      <c r="I388" s="318" t="n"/>
      <c r="J388" s="318" t="n"/>
      <c r="K388" s="318" t="n"/>
      <c r="L388" s="318" t="n"/>
      <c r="M388" s="318" t="n"/>
      <c r="N388" s="318" t="n"/>
      <c r="O388" s="318" t="n"/>
      <c r="P388" s="318" t="n"/>
      <c r="Q388" s="318" t="n"/>
      <c r="R388" s="318">
        <f>IF(AND(F388:Q388),1,0)</f>
        <v/>
      </c>
    </row>
    <row r="389" ht="20.15" customHeight="1">
      <c r="A389" s="318" t="n">
        <v>6</v>
      </c>
      <c r="B389" s="72" t="inlineStr">
        <is>
          <t>HP_OK</t>
        </is>
      </c>
      <c r="C389" s="72" t="n"/>
      <c r="D389" s="72" t="n"/>
      <c r="E389" s="72" t="n"/>
      <c r="F389" s="318">
        <f>IF(AND(HVAC_IOs!D28=1,HVAC_IOs!D30=1),1,0)</f>
        <v/>
      </c>
      <c r="G389" s="318" t="n"/>
      <c r="H389" s="318" t="n"/>
      <c r="I389" s="318" t="n"/>
      <c r="J389" s="318" t="n"/>
      <c r="K389" s="318" t="n"/>
      <c r="L389" s="318" t="n"/>
      <c r="M389" s="318" t="n"/>
      <c r="N389" s="318" t="n"/>
      <c r="O389" s="318" t="n"/>
      <c r="P389" s="318" t="n"/>
      <c r="Q389" s="318" t="n"/>
      <c r="R389" s="318">
        <f>IF(AND(F389:Q389),1,0)</f>
        <v/>
      </c>
    </row>
    <row r="390" ht="20.15" customHeight="1">
      <c r="A390" s="318" t="n">
        <v>7</v>
      </c>
      <c r="B390" s="72" t="inlineStr">
        <is>
          <t>LP_OK</t>
        </is>
      </c>
      <c r="C390" s="72" t="n"/>
      <c r="D390" s="72" t="n"/>
      <c r="E390" s="72" t="n"/>
      <c r="F390" s="318">
        <f>IF(AND(HVAC_IOs!D29=1,HVAC_IOs!D31=1),1,0)</f>
        <v/>
      </c>
      <c r="G390" s="318" t="n"/>
      <c r="H390" s="318" t="n"/>
      <c r="I390" s="318" t="n"/>
      <c r="J390" s="318" t="n"/>
      <c r="K390" s="318" t="n"/>
      <c r="L390" s="318" t="n"/>
      <c r="M390" s="318" t="n"/>
      <c r="N390" s="318" t="n"/>
      <c r="O390" s="318" t="n"/>
      <c r="P390" s="318" t="n"/>
      <c r="Q390" s="318" t="n"/>
      <c r="R390" s="318">
        <f>IF(AND(F390:Q390),1,0)</f>
        <v/>
      </c>
    </row>
    <row r="391" ht="20.15" customHeight="1">
      <c r="A391" s="318" t="n">
        <v>8</v>
      </c>
      <c r="B391" s="72" t="inlineStr">
        <is>
          <t>Breaker_ok</t>
        </is>
      </c>
      <c r="C391" s="72" t="n"/>
      <c r="D391" s="72" t="n"/>
      <c r="E391" s="72" t="n"/>
      <c r="F391" s="318">
        <f>IF(AND(HVAC_IOs!D24=1,HVAC_IOs!D25=1),1,0)</f>
        <v/>
      </c>
      <c r="G391" s="318" t="n"/>
      <c r="H391" s="318" t="n"/>
      <c r="I391" s="318" t="n"/>
      <c r="J391" s="318" t="n"/>
      <c r="K391" s="318" t="n"/>
      <c r="L391" s="318" t="n"/>
      <c r="M391" s="318" t="n"/>
      <c r="N391" s="318" t="n"/>
      <c r="O391" s="318" t="n"/>
      <c r="P391" s="318" t="n"/>
      <c r="Q391" s="318" t="n"/>
      <c r="R391" s="318">
        <f>IF(AND(F391:Q391),1,0)</f>
        <v/>
      </c>
    </row>
    <row r="392" ht="20.15" customHeight="1">
      <c r="A392" s="318" t="n">
        <v>9</v>
      </c>
      <c r="B392" s="72" t="inlineStr">
        <is>
          <t>Supply_fan_feedback_OK</t>
        </is>
      </c>
      <c r="C392" s="72" t="n"/>
      <c r="D392" s="72" t="n"/>
      <c r="E392" s="72" t="n"/>
      <c r="F392" s="318">
        <f>IF(AND(HVAC_IOs!D63=1,HVAC_IOs!D64=1),1,0)</f>
        <v/>
      </c>
      <c r="G392" s="318" t="n"/>
      <c r="H392" s="318" t="n"/>
      <c r="I392" s="318" t="n"/>
      <c r="J392" s="318" t="n"/>
      <c r="K392" s="318" t="n"/>
      <c r="L392" s="318" t="n"/>
      <c r="M392" s="318" t="n"/>
      <c r="N392" s="318" t="n"/>
      <c r="O392" s="318" t="n"/>
      <c r="P392" s="318" t="n"/>
      <c r="Q392" s="318" t="n"/>
      <c r="R392" s="318">
        <f>IF(AND(F392:Q392),1,0)</f>
        <v/>
      </c>
    </row>
    <row r="393" ht="20.15" customHeight="1">
      <c r="A393" s="318" t="n">
        <v>10</v>
      </c>
      <c r="B393" s="72" t="inlineStr">
        <is>
          <t>FAT_&gt;=_T6</t>
        </is>
      </c>
      <c r="C393" s="72" t="n"/>
      <c r="D393" s="72" t="n"/>
      <c r="E393" s="72" t="n"/>
      <c r="F393" s="318">
        <f>IF(AND(K31=1, R20 &lt; R28, R20 &gt; T6, D47=1), 1, 0)</f>
        <v/>
      </c>
      <c r="G393" s="318" t="n"/>
      <c r="H393" s="318" t="n"/>
      <c r="I393" s="318" t="n"/>
      <c r="J393" s="318" t="n"/>
      <c r="K393" s="318" t="n"/>
      <c r="L393" s="318" t="n"/>
      <c r="M393" s="318" t="n"/>
      <c r="N393" s="318" t="n"/>
      <c r="O393" s="318" t="n"/>
      <c r="P393" s="318" t="n"/>
      <c r="Q393" s="318" t="n"/>
      <c r="R393" s="318">
        <f>IF(AND(F393:Q393),1,0)</f>
        <v/>
      </c>
    </row>
    <row r="394" ht="20.15" customHeight="1">
      <c r="A394" s="148" t="n">
        <v>11</v>
      </c>
      <c r="B394" s="149" t="inlineStr">
        <is>
          <t>Cooling_mode_enable</t>
        </is>
      </c>
      <c r="C394" s="149" t="inlineStr">
        <is>
          <t>LFC10</t>
        </is>
      </c>
      <c r="D394" s="149" t="n"/>
      <c r="E394" s="149" t="n"/>
      <c r="F394" s="148" t="n"/>
      <c r="G394" s="148">
        <f>IF(AND(R384:R392),1,0)</f>
        <v/>
      </c>
      <c r="H394" s="148" t="n"/>
      <c r="I394" s="148" t="n"/>
      <c r="J394" s="148" t="n"/>
      <c r="K394" s="148" t="n"/>
      <c r="L394" s="148" t="n"/>
      <c r="M394" s="148" t="n"/>
      <c r="N394" s="148" t="n"/>
      <c r="O394" s="148" t="n"/>
      <c r="P394" s="148" t="n"/>
      <c r="Q394" s="148" t="n"/>
      <c r="R394" s="148">
        <f>IF(AND(F394:Q394),1,0)</f>
        <v/>
      </c>
    </row>
    <row r="395" ht="20.15" customHeight="1">
      <c r="A395" s="148" t="n">
        <v>12</v>
      </c>
      <c r="B395" s="149" t="inlineStr">
        <is>
          <t>Cooling_50%</t>
        </is>
      </c>
      <c r="C395" s="149" t="n"/>
      <c r="D395" s="149" t="n"/>
      <c r="E395" s="149" t="n"/>
      <c r="F395" s="148" t="n"/>
      <c r="G395" s="148" t="n"/>
      <c r="H395" s="148">
        <f>IF(AND(R394,R393),1,0)</f>
        <v/>
      </c>
      <c r="I395" s="148" t="n"/>
      <c r="J395" s="148" t="n"/>
      <c r="K395" s="148" t="n"/>
      <c r="L395" s="148" t="n"/>
      <c r="M395" s="148" t="n"/>
      <c r="N395" s="148" t="n"/>
      <c r="O395" s="148" t="n"/>
      <c r="P395" s="148" t="n"/>
      <c r="Q395" s="148" t="n"/>
      <c r="R395" s="327">
        <f>IF(AND(F395:Q395),1,0)</f>
        <v/>
      </c>
    </row>
    <row r="400" ht="20.15" customHeight="1">
      <c r="A400" s="823" t="inlineStr">
        <is>
          <t>22.Cooling Mode- Pre-conditioning(Cooling_OFF)</t>
        </is>
      </c>
      <c r="B400" s="869" t="n"/>
      <c r="C400" s="869" t="n"/>
      <c r="D400" s="869" t="n"/>
      <c r="E400" s="869" t="n"/>
      <c r="F400" s="869" t="n"/>
      <c r="G400" s="869" t="n"/>
      <c r="H400" s="869" t="n"/>
      <c r="I400" s="869" t="n"/>
      <c r="J400" s="869" t="n"/>
      <c r="K400" s="869" t="n"/>
      <c r="L400" s="869" t="n"/>
      <c r="M400" s="869" t="n"/>
      <c r="N400" s="869" t="n"/>
      <c r="O400" s="869" t="n"/>
      <c r="P400" s="869" t="n"/>
      <c r="Q400" s="869" t="n"/>
      <c r="R400" s="870" t="n"/>
    </row>
    <row r="402" ht="20.15" customHeight="1">
      <c r="A402" s="318" t="n">
        <v>1</v>
      </c>
      <c r="B402" s="72" t="inlineStr">
        <is>
          <t>Auto_mode_from_TCMS</t>
        </is>
      </c>
      <c r="C402" s="72" t="n"/>
      <c r="D402" s="72" t="n"/>
      <c r="E402" s="72" t="n"/>
      <c r="F402" s="318">
        <f>HVAC_IOs!D56</f>
        <v/>
      </c>
      <c r="G402" s="318" t="n"/>
      <c r="H402" s="318" t="n"/>
      <c r="I402" s="318" t="n"/>
      <c r="J402" s="318" t="n"/>
      <c r="K402" s="318" t="n"/>
      <c r="L402" s="318" t="n"/>
      <c r="M402" s="318" t="n"/>
      <c r="N402" s="318" t="n"/>
      <c r="O402" s="318" t="n"/>
      <c r="P402" s="318" t="n"/>
      <c r="Q402" s="318" t="n"/>
      <c r="R402" s="318">
        <f>IF(AND(F402:Q402),1,0)</f>
        <v/>
      </c>
    </row>
    <row r="403" ht="20.15" customHeight="1">
      <c r="A403" s="318" t="n">
        <v>2</v>
      </c>
      <c r="B403" s="72" t="inlineStr">
        <is>
          <t>Stand_by_mode_ON</t>
        </is>
      </c>
      <c r="C403" s="72" t="n"/>
      <c r="D403" s="72" t="n"/>
      <c r="E403" s="72" t="n"/>
      <c r="F403" s="318">
        <f>HVAC_IOs!D56</f>
        <v/>
      </c>
      <c r="G403" s="318" t="n"/>
      <c r="H403" s="318" t="n"/>
      <c r="I403" s="318" t="n"/>
      <c r="J403" s="318" t="n"/>
      <c r="K403" s="318" t="n"/>
      <c r="L403" s="318" t="n"/>
      <c r="M403" s="318" t="n"/>
      <c r="N403" s="318" t="n"/>
      <c r="O403" s="318" t="n"/>
      <c r="P403" s="318" t="n"/>
      <c r="Q403" s="318" t="n"/>
      <c r="R403" s="318">
        <f>IF(AND(F403:Q403),1,0)</f>
        <v/>
      </c>
    </row>
    <row r="404" ht="20.15" customHeight="1">
      <c r="A404" s="318" t="n">
        <v>3</v>
      </c>
      <c r="B404" s="72" t="inlineStr">
        <is>
          <t>APS_load_reduction_ON</t>
        </is>
      </c>
      <c r="C404" s="72" t="n"/>
      <c r="D404" s="72" t="n"/>
      <c r="E404" s="72" t="n"/>
      <c r="F404" s="318">
        <f>IF(AND(HVAC_IOs!D44=1,HVAC_IOs!D45=1),1,0)</f>
        <v/>
      </c>
      <c r="G404" s="318" t="n"/>
      <c r="H404" s="318" t="n"/>
      <c r="I404" s="318" t="n"/>
      <c r="J404" s="318" t="n"/>
      <c r="K404" s="318" t="n"/>
      <c r="L404" s="318" t="n"/>
      <c r="M404" s="318" t="n"/>
      <c r="N404" s="318" t="n"/>
      <c r="O404" s="318" t="n"/>
      <c r="P404" s="318" t="n"/>
      <c r="Q404" s="318" t="n"/>
      <c r="R404" s="318">
        <f>IF(AND(F404:Q404),1,0)</f>
        <v/>
      </c>
    </row>
    <row r="405" ht="20.15" customHeight="1">
      <c r="A405" s="318" t="n">
        <v>4</v>
      </c>
      <c r="B405" s="72" t="inlineStr">
        <is>
          <t>LVPS_load_shed_ON</t>
        </is>
      </c>
      <c r="C405" s="72" t="n"/>
      <c r="D405" s="72" t="n"/>
      <c r="E405" s="72" t="n"/>
      <c r="F405" s="324" t="n">
        <v>1</v>
      </c>
      <c r="G405" s="318" t="n"/>
      <c r="H405" s="318" t="n"/>
      <c r="I405" s="318" t="n"/>
      <c r="J405" s="318" t="n"/>
      <c r="K405" s="318" t="n"/>
      <c r="L405" s="318" t="n"/>
      <c r="M405" s="318" t="n"/>
      <c r="N405" s="318" t="n"/>
      <c r="O405" s="318" t="n"/>
      <c r="P405" s="318" t="n"/>
      <c r="Q405" s="318" t="n"/>
      <c r="R405" s="318">
        <f>IF(AND(F405:Q405),1,0)</f>
        <v/>
      </c>
    </row>
    <row r="406" ht="20.15" customHeight="1">
      <c r="A406" s="318" t="n">
        <v>5</v>
      </c>
      <c r="B406" s="72" t="inlineStr">
        <is>
          <t>No_fire_detected'</t>
        </is>
      </c>
      <c r="C406" s="72" t="n"/>
      <c r="D406" s="72" t="n"/>
      <c r="E406" s="72" t="n"/>
      <c r="F406" s="318">
        <f>HVAC_IOs!D41</f>
        <v/>
      </c>
      <c r="G406" s="318" t="n"/>
      <c r="H406" s="318" t="n"/>
      <c r="I406" s="318" t="n"/>
      <c r="J406" s="318" t="n"/>
      <c r="K406" s="318" t="n"/>
      <c r="L406" s="318" t="n"/>
      <c r="M406" s="318" t="n"/>
      <c r="N406" s="318" t="n"/>
      <c r="O406" s="318" t="n"/>
      <c r="P406" s="318" t="n"/>
      <c r="Q406" s="318" t="n"/>
      <c r="R406" s="318">
        <f>IF(AND(F406:Q406),1,0)</f>
        <v/>
      </c>
    </row>
    <row r="407" ht="20.15" customHeight="1">
      <c r="A407" s="318" t="n">
        <v>6</v>
      </c>
      <c r="B407" s="72" t="inlineStr">
        <is>
          <t>HP_OK</t>
        </is>
      </c>
      <c r="C407" s="72" t="n"/>
      <c r="D407" s="72" t="n"/>
      <c r="E407" s="72" t="n"/>
      <c r="F407" s="318">
        <f>IF(AND(HVAC_IOs!D46=1,HVAC_IOs!D48=1),1,0)</f>
        <v/>
      </c>
      <c r="G407" s="318" t="n"/>
      <c r="H407" s="318" t="n"/>
      <c r="I407" s="318" t="n"/>
      <c r="J407" s="318" t="n"/>
      <c r="K407" s="318" t="n"/>
      <c r="L407" s="318" t="n"/>
      <c r="M407" s="318" t="n"/>
      <c r="N407" s="318" t="n"/>
      <c r="O407" s="318" t="n"/>
      <c r="P407" s="318" t="n"/>
      <c r="Q407" s="318" t="n"/>
      <c r="R407" s="318">
        <f>IF(AND(F407:Q407),1,0)</f>
        <v/>
      </c>
    </row>
    <row r="408" ht="20.15" customHeight="1">
      <c r="A408" s="318" t="n">
        <v>7</v>
      </c>
      <c r="B408" s="72" t="inlineStr">
        <is>
          <t>LP_OK</t>
        </is>
      </c>
      <c r="C408" s="72" t="n"/>
      <c r="D408" s="72" t="n"/>
      <c r="E408" s="72" t="n"/>
      <c r="F408" s="318">
        <f>IF(AND(HVAC_IOs!D47=1,HVAC_IOs!D49=1),1,0)</f>
        <v/>
      </c>
      <c r="G408" s="318" t="n"/>
      <c r="H408" s="318" t="n"/>
      <c r="I408" s="318" t="n"/>
      <c r="J408" s="318" t="n"/>
      <c r="K408" s="318" t="n"/>
      <c r="L408" s="318" t="n"/>
      <c r="M408" s="318" t="n"/>
      <c r="N408" s="318" t="n"/>
      <c r="O408" s="318" t="n"/>
      <c r="P408" s="318" t="n"/>
      <c r="Q408" s="318" t="n"/>
      <c r="R408" s="318">
        <f>IF(AND(F408:Q408),1,0)</f>
        <v/>
      </c>
    </row>
    <row r="409" ht="20.15" customHeight="1">
      <c r="A409" s="318" t="n">
        <v>8</v>
      </c>
      <c r="B409" s="72" t="inlineStr">
        <is>
          <t>Breaker_ok</t>
        </is>
      </c>
      <c r="C409" s="72" t="n"/>
      <c r="D409" s="72" t="n"/>
      <c r="E409" s="72" t="n"/>
      <c r="F409" s="318">
        <f>IF(AND(HVAC_IOs!D42=1,HVAC_IOs!D43=1),1,0)</f>
        <v/>
      </c>
      <c r="G409" s="318" t="n"/>
      <c r="H409" s="318" t="n"/>
      <c r="I409" s="318" t="n"/>
      <c r="J409" s="318" t="n"/>
      <c r="K409" s="318" t="n"/>
      <c r="L409" s="318" t="n"/>
      <c r="M409" s="318" t="n"/>
      <c r="N409" s="318" t="n"/>
      <c r="O409" s="318" t="n"/>
      <c r="P409" s="318" t="n"/>
      <c r="Q409" s="318" t="n"/>
      <c r="R409" s="318">
        <f>IF(AND(F409:Q409),1,0)</f>
        <v/>
      </c>
    </row>
    <row r="410" ht="20.15" customHeight="1">
      <c r="A410" s="318" t="n">
        <v>9</v>
      </c>
      <c r="B410" s="72" t="inlineStr">
        <is>
          <t>Supply_fan_feedback_OK</t>
        </is>
      </c>
      <c r="C410" s="72" t="n"/>
      <c r="D410" s="72" t="n"/>
      <c r="E410" s="72" t="n"/>
      <c r="F410" s="318">
        <f>IF(AND(HVAC_IOs!D81=1,HVAC_IOs!D82=1),1,0)</f>
        <v/>
      </c>
      <c r="G410" s="318" t="n"/>
      <c r="H410" s="318" t="n"/>
      <c r="I410" s="318" t="n"/>
      <c r="J410" s="318" t="n"/>
      <c r="K410" s="318" t="n"/>
      <c r="L410" s="318" t="n"/>
      <c r="M410" s="318" t="n"/>
      <c r="N410" s="318" t="n"/>
      <c r="O410" s="318" t="n"/>
      <c r="P410" s="318" t="n"/>
      <c r="Q410" s="318" t="n"/>
      <c r="R410" s="318">
        <f>IF(AND(F410:Q410),1,0)</f>
        <v/>
      </c>
    </row>
    <row r="411" ht="20.15" customHeight="1">
      <c r="A411" s="318" t="n">
        <v>10</v>
      </c>
      <c r="B411" s="72" t="inlineStr">
        <is>
          <t>fAT_&gt;=_T4</t>
        </is>
      </c>
      <c r="C411" s="72" t="n"/>
      <c r="D411" s="72" t="n"/>
      <c r="E411" s="72" t="n"/>
      <c r="F411" s="72">
        <f>IF(AND(K67=1, R56 &lt; R64, R56 &gt; T40, D83=1), 1, 0)</f>
        <v/>
      </c>
      <c r="G411" s="318">
        <f>IF(NOT(F411),1,0)</f>
        <v/>
      </c>
      <c r="H411" s="318" t="n"/>
      <c r="I411" s="318" t="n"/>
      <c r="J411" s="318" t="n"/>
      <c r="K411" s="318" t="n"/>
      <c r="L411" s="318" t="n"/>
      <c r="M411" s="318" t="n"/>
      <c r="N411" s="318" t="n"/>
      <c r="O411" s="318" t="n"/>
      <c r="P411" s="318" t="n"/>
      <c r="Q411" s="318" t="n"/>
      <c r="R411" s="318">
        <f>IF(AND(F411:Q411),1,0)</f>
        <v/>
      </c>
    </row>
    <row r="412" ht="20.15" customHeight="1">
      <c r="A412" s="318" t="n">
        <v>11</v>
      </c>
      <c r="B412" s="72" t="inlineStr">
        <is>
          <t>fAT_&gt;=_T6</t>
        </is>
      </c>
      <c r="C412" s="72" t="n"/>
      <c r="D412" s="72" t="n"/>
      <c r="E412" s="72" t="n"/>
      <c r="F412" s="72">
        <f>IF(AND(K68=1, R57 &lt; R65, R57 &gt; T42, D84=1), 1, 0)</f>
        <v/>
      </c>
      <c r="G412" s="318">
        <f>IF(NOT(F412),1,0)</f>
        <v/>
      </c>
      <c r="H412" s="318" t="n"/>
      <c r="I412" s="318" t="n"/>
      <c r="J412" s="318" t="n"/>
      <c r="K412" s="318" t="n"/>
      <c r="L412" s="318" t="n"/>
      <c r="M412" s="318" t="n"/>
      <c r="N412" s="318" t="n"/>
      <c r="O412" s="318" t="n"/>
      <c r="P412" s="318" t="n"/>
      <c r="Q412" s="318" t="n"/>
      <c r="R412" s="318">
        <f>IF(AND(F412:Q412),1,0)</f>
        <v/>
      </c>
    </row>
    <row r="413" ht="20.15" customHeight="1">
      <c r="A413" s="148" t="n">
        <v>12</v>
      </c>
      <c r="B413" s="149" t="inlineStr">
        <is>
          <t>Cooling_mode_enable</t>
        </is>
      </c>
      <c r="C413" s="149" t="inlineStr">
        <is>
          <t>LFC10</t>
        </is>
      </c>
      <c r="D413" s="149" t="n"/>
      <c r="E413" s="149" t="n"/>
      <c r="F413" s="148" t="n"/>
      <c r="G413" s="148">
        <f>IF(AND(R402:R410),1,0)</f>
        <v/>
      </c>
      <c r="H413" s="148">
        <f>IF(NOT(G413),1,0)</f>
        <v/>
      </c>
      <c r="I413" s="148" t="n"/>
      <c r="J413" s="148" t="n"/>
      <c r="K413" s="148" t="n"/>
      <c r="L413" s="148" t="n"/>
      <c r="M413" s="148" t="n"/>
      <c r="N413" s="148" t="n"/>
      <c r="O413" s="148" t="n"/>
      <c r="P413" s="148" t="n"/>
      <c r="Q413" s="148" t="n"/>
      <c r="R413" s="148">
        <f>IF(AND(F413:Q413),1,0)</f>
        <v/>
      </c>
    </row>
    <row r="414" ht="20.15" customHeight="1">
      <c r="A414" s="148" t="n">
        <v>13</v>
      </c>
      <c r="B414" s="149" t="inlineStr">
        <is>
          <t>Cooling_50%</t>
        </is>
      </c>
      <c r="C414" s="149" t="n"/>
      <c r="D414" s="149" t="n"/>
      <c r="E414" s="149" t="n"/>
      <c r="F414" s="148" t="n"/>
      <c r="G414" s="148" t="n"/>
      <c r="H414" s="148" t="n"/>
      <c r="I414" s="148">
        <f>IF(AND(R411,R412,R413),1,0)</f>
        <v/>
      </c>
      <c r="J414" s="148" t="n"/>
      <c r="K414" s="148" t="n"/>
      <c r="L414" s="148" t="n"/>
      <c r="M414" s="148" t="n"/>
      <c r="N414" s="148" t="n"/>
      <c r="O414" s="148" t="n"/>
      <c r="P414" s="148" t="n"/>
      <c r="Q414" s="148" t="n"/>
      <c r="R414" s="148">
        <f>IF(AND(F414:Q414),1,0)</f>
        <v/>
      </c>
    </row>
    <row r="419" ht="20.15" customHeight="1">
      <c r="A419" s="823" t="inlineStr">
        <is>
          <t>23.Re-heat Mode Preconditioning</t>
        </is>
      </c>
      <c r="B419" s="869" t="n"/>
      <c r="C419" s="869" t="n"/>
      <c r="D419" s="869" t="n"/>
      <c r="E419" s="869" t="n"/>
      <c r="F419" s="869" t="n"/>
      <c r="G419" s="869" t="n"/>
      <c r="H419" s="869" t="n"/>
      <c r="I419" s="869" t="n"/>
      <c r="J419" s="869" t="n"/>
      <c r="K419" s="869" t="n"/>
      <c r="L419" s="869" t="n"/>
      <c r="M419" s="869" t="n"/>
      <c r="N419" s="869" t="n"/>
      <c r="O419" s="869" t="n"/>
      <c r="P419" s="869" t="n"/>
      <c r="Q419" s="869" t="n"/>
      <c r="R419" s="870" t="n"/>
    </row>
    <row r="421" ht="20.15" customHeight="1">
      <c r="A421" s="65" t="n">
        <v>1</v>
      </c>
      <c r="B421" s="66" t="inlineStr">
        <is>
          <t>HVAC_ON</t>
        </is>
      </c>
      <c r="C421" s="65" t="n"/>
      <c r="D421" s="65" t="n"/>
      <c r="E421" s="65" t="n"/>
      <c r="F421" s="65">
        <f>HVAC_IOs!K15</f>
        <v/>
      </c>
      <c r="G421" s="65" t="n"/>
      <c r="H421" s="65" t="n"/>
      <c r="I421" s="65" t="n"/>
      <c r="J421" s="65" t="n"/>
      <c r="K421" s="65" t="n"/>
      <c r="L421" s="65" t="n"/>
      <c r="M421" s="65" t="n"/>
      <c r="N421" s="65" t="n"/>
      <c r="O421" s="65" t="n"/>
      <c r="P421" s="65" t="n"/>
      <c r="Q421" s="65" t="n"/>
      <c r="R421" s="65">
        <f>IF(AND(F421:Q421),1,0)</f>
        <v/>
      </c>
    </row>
    <row r="422" ht="20.15" customHeight="1">
      <c r="A422" s="65" t="n">
        <v>2</v>
      </c>
      <c r="B422" s="66" t="inlineStr">
        <is>
          <t>Cooling_Mode 2_Select</t>
        </is>
      </c>
      <c r="C422" s="65" t="n"/>
      <c r="D422" s="65" t="n"/>
      <c r="E422" s="65" t="n"/>
      <c r="F422" s="324" t="n">
        <v>1</v>
      </c>
      <c r="G422" s="65" t="n"/>
      <c r="H422" s="65" t="n"/>
      <c r="I422" s="65" t="n"/>
      <c r="J422" s="65" t="n"/>
      <c r="K422" s="65" t="n"/>
      <c r="L422" s="65" t="n"/>
      <c r="M422" s="65" t="n"/>
      <c r="N422" s="65" t="n"/>
      <c r="O422" s="65" t="n"/>
      <c r="P422" s="65" t="n"/>
      <c r="Q422" s="65" t="n"/>
      <c r="R422" s="65">
        <f>IF(AND(F422:Q422),1,0)</f>
        <v/>
      </c>
    </row>
    <row r="423" ht="20.15" customHeight="1">
      <c r="A423" s="65" t="n">
        <v>3</v>
      </c>
      <c r="B423" s="66" t="inlineStr">
        <is>
          <t>heating active</t>
        </is>
      </c>
      <c r="C423" s="65" t="n"/>
      <c r="D423" s="65" t="n"/>
      <c r="E423" s="65" t="n"/>
      <c r="F423" s="65">
        <f>HVAC_IOs!K10</f>
        <v/>
      </c>
      <c r="G423" s="65" t="n"/>
      <c r="H423" s="65" t="n"/>
      <c r="I423" s="65" t="n"/>
      <c r="J423" s="65" t="n"/>
      <c r="K423" s="65" t="n"/>
      <c r="L423" s="65" t="n"/>
      <c r="M423" s="65" t="n"/>
      <c r="N423" s="65" t="n"/>
      <c r="O423" s="65" t="n"/>
      <c r="P423" s="65" t="n"/>
      <c r="Q423" s="65" t="n"/>
      <c r="R423" s="65">
        <f>IF(AND(F423:Q423),1,0)</f>
        <v/>
      </c>
    </row>
    <row r="424" ht="20.15" customHeight="1">
      <c r="A424" s="65" t="n">
        <v>4</v>
      </c>
      <c r="B424" s="66" t="inlineStr">
        <is>
          <t>Relative humidity&gt;RH_Set</t>
        </is>
      </c>
      <c r="C424" s="65" t="n"/>
      <c r="D424" s="65" t="n"/>
      <c r="E424" s="65" t="n"/>
      <c r="F424" s="65">
        <f>IF(R5 &gt; R10, 1, 0)</f>
        <v/>
      </c>
      <c r="G424" s="65" t="n"/>
      <c r="H424" s="65" t="n"/>
      <c r="I424" s="65" t="n"/>
      <c r="J424" s="65" t="n"/>
      <c r="K424" s="65" t="n"/>
      <c r="L424" s="65" t="n"/>
      <c r="M424" s="65" t="n"/>
      <c r="N424" s="65" t="n"/>
      <c r="O424" s="65" t="n"/>
      <c r="P424" s="65" t="n"/>
      <c r="Q424" s="65" t="n"/>
      <c r="R424" s="65">
        <f>IF(AND(F424:Q424),1,0)</f>
        <v/>
      </c>
    </row>
    <row r="425" ht="20.15" customHeight="1">
      <c r="A425" s="65" t="n">
        <v>5</v>
      </c>
      <c r="B425" s="66" t="inlineStr">
        <is>
          <t>FAT&gt;=T4</t>
        </is>
      </c>
      <c r="C425" s="65" t="n"/>
      <c r="D425" s="65" t="n"/>
      <c r="E425" s="65" t="n"/>
      <c r="F425" s="65">
        <f>IF(AND(K81=1, R70 &lt; R78, R70 &gt; T4, D97=1), 1, 0)</f>
        <v/>
      </c>
      <c r="G425" s="65" t="n"/>
      <c r="H425" s="65" t="n"/>
      <c r="I425" s="65" t="n"/>
      <c r="J425" s="65" t="n"/>
      <c r="K425" s="65" t="n"/>
      <c r="L425" s="65" t="n"/>
      <c r="M425" s="65" t="n"/>
      <c r="N425" s="65" t="n"/>
      <c r="O425" s="65" t="n"/>
      <c r="P425" s="65" t="n"/>
      <c r="Q425" s="65" t="n"/>
      <c r="R425" s="65">
        <f>IF(AND(F425:Q425),1,0)</f>
        <v/>
      </c>
    </row>
    <row r="426" ht="20.15" customHeight="1">
      <c r="A426" s="65" t="n">
        <v>6</v>
      </c>
      <c r="B426" s="66" t="inlineStr">
        <is>
          <t>FAT&lt;=T7</t>
        </is>
      </c>
      <c r="C426" s="65" t="n"/>
      <c r="D426" s="65" t="n"/>
      <c r="E426" s="65" t="n"/>
      <c r="F426" s="65">
        <f>IF(AND(K82=1, R71 &lt; R79, R71 &gt; T7, D98=1), 1, 0)</f>
        <v/>
      </c>
      <c r="G426" s="65" t="n"/>
      <c r="H426" s="65" t="n"/>
      <c r="I426" s="65" t="n"/>
      <c r="J426" s="65" t="n"/>
      <c r="K426" s="65" t="n"/>
      <c r="L426" s="65" t="n"/>
      <c r="M426" s="65" t="n"/>
      <c r="N426" s="65" t="n"/>
      <c r="O426" s="65" t="n"/>
      <c r="P426" s="65" t="n"/>
      <c r="Q426" s="65" t="n"/>
      <c r="R426" s="65">
        <f>IF(AND(F426:Q426),1,0)</f>
        <v/>
      </c>
    </row>
    <row r="427" ht="20.15" customHeight="1">
      <c r="A427" s="65" t="n">
        <v>7</v>
      </c>
      <c r="B427" s="66" t="inlineStr">
        <is>
          <t>LFC 04</t>
        </is>
      </c>
      <c r="C427" s="65" t="n"/>
      <c r="D427" s="65" t="n"/>
      <c r="E427" s="65" t="n"/>
      <c r="F427" s="65" t="n">
        <v>1</v>
      </c>
      <c r="G427" s="65">
        <f>IF(AND(F421:F423),1,0)</f>
        <v/>
      </c>
      <c r="H427" s="65" t="n"/>
      <c r="I427" s="65" t="n"/>
      <c r="J427" s="65" t="n"/>
      <c r="K427" s="65" t="n"/>
      <c r="L427" s="65" t="n"/>
      <c r="M427" s="65" t="n"/>
      <c r="N427" s="65" t="n"/>
      <c r="O427" s="65" t="n"/>
      <c r="P427" s="65" t="n"/>
      <c r="Q427" s="65" t="n"/>
      <c r="R427" s="65">
        <f>IF(AND(F427:Q427),1,0)</f>
        <v/>
      </c>
    </row>
    <row r="428" ht="20.15" customHeight="1">
      <c r="A428" s="65" t="n">
        <v>8</v>
      </c>
      <c r="B428" s="66" t="inlineStr">
        <is>
          <t>LFC 05</t>
        </is>
      </c>
      <c r="C428" s="65" t="n"/>
      <c r="D428" s="65" t="n"/>
      <c r="E428" s="65" t="n"/>
      <c r="F428" s="65" t="n">
        <v>1</v>
      </c>
      <c r="G428" s="65">
        <f>IF(AND(F428),1,0)</f>
        <v/>
      </c>
      <c r="H428" s="65" t="n"/>
      <c r="I428" s="65" t="n"/>
      <c r="J428" s="65" t="n"/>
      <c r="K428" s="65" t="n"/>
      <c r="L428" s="65" t="n"/>
      <c r="M428" s="65" t="n"/>
      <c r="N428" s="65" t="n"/>
      <c r="O428" s="65" t="n"/>
      <c r="P428" s="65" t="n"/>
      <c r="Q428" s="65" t="n"/>
      <c r="R428" s="65">
        <f>IF(AND(F428:Q428),1,0)</f>
        <v/>
      </c>
    </row>
    <row r="429" ht="20.15" customHeight="1">
      <c r="A429" s="65" t="n">
        <v>9</v>
      </c>
      <c r="B429" s="66" t="inlineStr">
        <is>
          <t>LFC 08</t>
        </is>
      </c>
      <c r="C429" s="65" t="n"/>
      <c r="D429" s="65" t="n"/>
      <c r="E429" s="65" t="n"/>
      <c r="F429" s="65" t="n">
        <v>1</v>
      </c>
      <c r="G429" s="65">
        <f>IF(AND(F425:F426),1,0)</f>
        <v/>
      </c>
      <c r="H429" s="65" t="n"/>
      <c r="I429" s="65" t="n"/>
      <c r="J429" s="65" t="n"/>
      <c r="K429" s="65" t="n"/>
      <c r="L429" s="65" t="n"/>
      <c r="M429" s="65" t="n"/>
      <c r="N429" s="65" t="n"/>
      <c r="O429" s="65" t="n"/>
      <c r="P429" s="65" t="n"/>
      <c r="Q429" s="65" t="n"/>
      <c r="R429" s="65">
        <f>IF(AND(F429:Q429),1,0)</f>
        <v/>
      </c>
    </row>
    <row r="430" ht="20.15" customHeight="1">
      <c r="A430" s="148" t="n">
        <v>10</v>
      </c>
      <c r="B430" s="149" t="inlineStr">
        <is>
          <t>Re_Heat enable</t>
        </is>
      </c>
      <c r="C430" s="148" t="n"/>
      <c r="D430" s="148" t="n"/>
      <c r="E430" s="148" t="n"/>
      <c r="F430" s="148" t="n"/>
      <c r="G430" s="148">
        <f>IF(AND(R427,R428,R429),1,0)</f>
        <v/>
      </c>
      <c r="H430" s="148" t="n"/>
      <c r="I430" s="148" t="n"/>
      <c r="J430" s="148" t="n"/>
      <c r="K430" s="148" t="n"/>
      <c r="L430" s="148" t="n"/>
      <c r="M430" s="148" t="n"/>
      <c r="N430" s="148" t="n"/>
      <c r="O430" s="148" t="n"/>
      <c r="P430" s="148" t="n"/>
      <c r="Q430" s="148" t="n"/>
      <c r="R430" s="148">
        <f>IF(AND(F430:Q430),1,0)</f>
        <v/>
      </c>
    </row>
    <row r="434" ht="20.15" customHeight="1">
      <c r="A434" s="823" t="inlineStr">
        <is>
          <t>24.Ventilation Pre Conditioning</t>
        </is>
      </c>
      <c r="B434" s="869" t="n"/>
      <c r="C434" s="869" t="n"/>
      <c r="D434" s="869" t="n"/>
      <c r="E434" s="869" t="n"/>
      <c r="F434" s="869" t="n"/>
      <c r="G434" s="869" t="n"/>
      <c r="H434" s="869" t="n"/>
      <c r="I434" s="869" t="n"/>
      <c r="J434" s="869" t="n"/>
      <c r="K434" s="869" t="n"/>
      <c r="L434" s="869" t="n"/>
      <c r="M434" s="869" t="n"/>
      <c r="N434" s="869" t="n"/>
      <c r="O434" s="869" t="n"/>
      <c r="P434" s="869" t="n"/>
      <c r="Q434" s="869" t="n"/>
      <c r="R434" s="870" t="n"/>
    </row>
    <row r="436" ht="20.15" customHeight="1">
      <c r="A436" s="318" t="n">
        <v>1</v>
      </c>
      <c r="B436" s="72" t="inlineStr">
        <is>
          <t>HVAC_ON</t>
        </is>
      </c>
      <c r="C436" s="72" t="n"/>
      <c r="D436" s="72" t="n"/>
      <c r="E436" s="72" t="n"/>
      <c r="F436" s="318">
        <f>HVAC_IOs!K15</f>
        <v/>
      </c>
      <c r="G436" s="318" t="n"/>
      <c r="H436" s="318" t="n"/>
      <c r="I436" s="318" t="n"/>
      <c r="J436" s="318" t="n"/>
      <c r="K436" s="318" t="n"/>
      <c r="L436" s="318" t="n"/>
      <c r="M436" s="318" t="n"/>
      <c r="N436" s="318" t="n"/>
      <c r="O436" s="318" t="n"/>
      <c r="P436" s="318" t="n"/>
      <c r="Q436" s="318" t="n"/>
      <c r="R436" s="318">
        <f>IF(AND(F436:Q436),1,0)</f>
        <v/>
      </c>
    </row>
    <row r="437" ht="20.15" customHeight="1">
      <c r="A437" s="318" t="n">
        <v>2</v>
      </c>
      <c r="B437" s="72" t="inlineStr">
        <is>
          <t>HP_OK</t>
        </is>
      </c>
      <c r="C437" s="72" t="n"/>
      <c r="D437" s="72" t="n"/>
      <c r="E437" s="72" t="n"/>
      <c r="F437" s="318">
        <f>IF(AND(HVAC_IOs!D10=1,HVAC_IOs!D12=1),1,0)</f>
        <v/>
      </c>
      <c r="G437" s="318" t="n"/>
      <c r="H437" s="318" t="n"/>
      <c r="I437" s="318" t="n"/>
      <c r="J437" s="318" t="n"/>
      <c r="K437" s="318" t="n"/>
      <c r="L437" s="318" t="n"/>
      <c r="M437" s="318" t="n"/>
      <c r="N437" s="318" t="n"/>
      <c r="O437" s="318" t="n"/>
      <c r="P437" s="318" t="n"/>
      <c r="Q437" s="318" t="n"/>
      <c r="R437" s="318">
        <f>IF(AND(F437:Q437),1,0)</f>
        <v/>
      </c>
    </row>
    <row r="438" ht="20.15" customHeight="1">
      <c r="A438" s="318" t="n">
        <v>3</v>
      </c>
      <c r="B438" s="72" t="inlineStr">
        <is>
          <t>LP_OK</t>
        </is>
      </c>
      <c r="C438" s="72" t="n"/>
      <c r="D438" s="72" t="n"/>
      <c r="E438" s="72" t="n"/>
      <c r="F438" s="318">
        <f>IF(AND(HVAC_IOs!D11=1,HVAC_IOs!D13=1),1,0)</f>
        <v/>
      </c>
      <c r="G438" s="318" t="n"/>
      <c r="H438" s="318" t="n"/>
      <c r="I438" s="318" t="n"/>
      <c r="J438" s="318" t="n"/>
      <c r="K438" s="318" t="n"/>
      <c r="L438" s="318" t="n"/>
      <c r="M438" s="318" t="n"/>
      <c r="N438" s="318" t="n"/>
      <c r="O438" s="318" t="n"/>
      <c r="P438" s="318" t="n"/>
      <c r="Q438" s="318" t="n"/>
      <c r="R438" s="318">
        <f>IF(AND(F438:Q438),1,0)</f>
        <v/>
      </c>
    </row>
    <row r="439" ht="20.15" customHeight="1">
      <c r="A439" s="318" t="n">
        <v>4</v>
      </c>
      <c r="B439" s="72" t="inlineStr">
        <is>
          <t>APS_1Breaker_OK</t>
        </is>
      </c>
      <c r="C439" s="72" t="n"/>
      <c r="D439" s="72" t="n"/>
      <c r="E439" s="72" t="n"/>
      <c r="F439" s="318">
        <f>IF(AND(HVAC_IOs!D42=1,HVAC_IOs!D43=1),1,0)</f>
        <v/>
      </c>
      <c r="G439" s="318" t="n"/>
      <c r="H439" s="318" t="n"/>
      <c r="I439" s="318" t="n"/>
      <c r="J439" s="318" t="n"/>
      <c r="K439" s="318" t="n"/>
      <c r="L439" s="318" t="n"/>
      <c r="M439" s="318" t="n"/>
      <c r="N439" s="318" t="n"/>
      <c r="O439" s="318" t="n"/>
      <c r="P439" s="318" t="n"/>
      <c r="Q439" s="318" t="n"/>
      <c r="R439" s="318">
        <f>IF(AND(F439:Q439),1,0)</f>
        <v/>
      </c>
    </row>
    <row r="440" ht="20.15" customHeight="1">
      <c r="A440" s="318" t="n">
        <v>5</v>
      </c>
      <c r="B440" s="72" t="inlineStr">
        <is>
          <t>Emergency_OK</t>
        </is>
      </c>
      <c r="C440" s="72" t="n"/>
      <c r="D440" s="72" t="n"/>
      <c r="E440" s="72" t="n"/>
      <c r="F440" s="324" t="n">
        <v>1</v>
      </c>
      <c r="G440" s="318" t="n"/>
      <c r="H440" s="318" t="n"/>
      <c r="I440" s="318" t="n"/>
      <c r="J440" s="318" t="n"/>
      <c r="K440" s="318" t="n"/>
      <c r="L440" s="318" t="n"/>
      <c r="M440" s="318" t="n"/>
      <c r="N440" s="318" t="n"/>
      <c r="O440" s="318" t="n"/>
      <c r="P440" s="318" t="n"/>
      <c r="Q440" s="318" t="n"/>
      <c r="R440" s="318">
        <f>IF(AND(F440:Q440),1,0)</f>
        <v/>
      </c>
    </row>
    <row r="441" ht="20.15" customHeight="1">
      <c r="A441" s="318" t="n">
        <v>6</v>
      </c>
      <c r="B441" s="72" t="inlineStr">
        <is>
          <t>Cooling Satisfied</t>
        </is>
      </c>
      <c r="C441" s="72" t="n"/>
      <c r="D441" s="72" t="n"/>
      <c r="E441" s="72" t="n"/>
      <c r="F441" s="318">
        <f>HVAC_IOs!K10</f>
        <v/>
      </c>
      <c r="G441" s="318" t="n"/>
      <c r="H441" s="318" t="n"/>
      <c r="I441" s="318" t="n"/>
      <c r="J441" s="318" t="n"/>
      <c r="K441" s="318" t="n"/>
      <c r="L441" s="318" t="n"/>
      <c r="M441" s="318" t="n"/>
      <c r="N441" s="318" t="n"/>
      <c r="O441" s="318" t="n"/>
      <c r="P441" s="318" t="n"/>
      <c r="Q441" s="318" t="n"/>
      <c r="R441" s="318">
        <f>IF(AND(F441:Q441),1,0)</f>
        <v/>
      </c>
    </row>
    <row r="442" ht="20.15" customHeight="1">
      <c r="A442" s="318" t="n">
        <v>7</v>
      </c>
      <c r="B442" s="72" t="inlineStr">
        <is>
          <t>Heating Satisfied</t>
        </is>
      </c>
      <c r="C442" s="72" t="n"/>
      <c r="D442" s="72" t="n"/>
      <c r="E442" s="72" t="n"/>
      <c r="F442" s="318">
        <f>HVAC_IOs!K10</f>
        <v/>
      </c>
      <c r="G442" s="318" t="n"/>
      <c r="H442" s="318" t="n"/>
      <c r="I442" s="318" t="n"/>
      <c r="J442" s="318" t="n"/>
      <c r="K442" s="318" t="n"/>
      <c r="L442" s="318" t="n"/>
      <c r="M442" s="318" t="n"/>
      <c r="N442" s="318" t="n"/>
      <c r="O442" s="318" t="n"/>
      <c r="P442" s="318" t="n"/>
      <c r="Q442" s="318" t="n"/>
      <c r="R442" s="318">
        <f>IF(AND(F442:Q442),1,0)</f>
        <v/>
      </c>
    </row>
    <row r="443" ht="20.15" customHeight="1">
      <c r="A443" s="318" t="n">
        <v>8</v>
      </c>
      <c r="B443" s="72" t="inlineStr">
        <is>
          <t>Cooling/heating inhabited due to falut</t>
        </is>
      </c>
      <c r="C443" s="72" t="n"/>
      <c r="D443" s="72" t="n"/>
      <c r="E443" s="72" t="n"/>
      <c r="F443" s="324" t="n">
        <v>1</v>
      </c>
      <c r="G443" s="318" t="n"/>
      <c r="H443" s="318" t="n"/>
      <c r="I443" s="318" t="n"/>
      <c r="J443" s="318" t="n"/>
      <c r="K443" s="318" t="n"/>
      <c r="L443" s="318" t="n"/>
      <c r="M443" s="318" t="n"/>
      <c r="N443" s="318" t="n"/>
      <c r="O443" s="318" t="n"/>
      <c r="P443" s="318" t="n"/>
      <c r="Q443" s="318" t="n"/>
      <c r="R443" s="318">
        <f>IF(AND(F443:Q443),1,0)</f>
        <v/>
      </c>
    </row>
    <row r="444" ht="20.15" customHeight="1">
      <c r="A444" s="318" t="n">
        <v>9</v>
      </c>
      <c r="B444" s="72" t="inlineStr">
        <is>
          <t>driver selects ventilation mode from VDU</t>
        </is>
      </c>
      <c r="C444" s="72" t="n"/>
      <c r="D444" s="72" t="n"/>
      <c r="E444" s="72" t="n"/>
      <c r="F444" s="318">
        <f>HVAC_IOs!D20</f>
        <v/>
      </c>
      <c r="G444" s="318" t="n"/>
      <c r="H444" s="318" t="n"/>
      <c r="I444" s="318" t="n"/>
      <c r="J444" s="318" t="n"/>
      <c r="K444" s="318" t="n"/>
      <c r="L444" s="318" t="n"/>
      <c r="M444" s="318" t="n"/>
      <c r="N444" s="318" t="n"/>
      <c r="O444" s="318" t="n"/>
      <c r="P444" s="318" t="n"/>
      <c r="Q444" s="318" t="n"/>
      <c r="R444" s="318">
        <f>IF(AND(F444:Q444),1,0)</f>
        <v/>
      </c>
    </row>
    <row r="445" ht="20.15" customHeight="1">
      <c r="A445" s="318" t="n">
        <v>10</v>
      </c>
      <c r="B445" s="72" t="inlineStr">
        <is>
          <t>LFC06</t>
        </is>
      </c>
      <c r="C445" s="72" t="n"/>
      <c r="D445" s="72" t="n"/>
      <c r="E445" s="72" t="n"/>
      <c r="F445" s="318" t="n"/>
      <c r="G445" s="318">
        <f>IF(AND(F436:F440),1,0)</f>
        <v/>
      </c>
      <c r="H445" s="318" t="n"/>
      <c r="I445" s="318" t="n"/>
      <c r="J445" s="318" t="n"/>
      <c r="K445" s="318" t="n"/>
      <c r="L445" s="318" t="n"/>
      <c r="M445" s="318" t="n"/>
      <c r="N445" s="318" t="n"/>
      <c r="O445" s="318" t="n"/>
      <c r="P445" s="318" t="n"/>
      <c r="Q445" s="318" t="n"/>
      <c r="R445" s="318">
        <f>IF(AND(F445:Q445),1,0)</f>
        <v/>
      </c>
    </row>
    <row r="446" ht="20.15" customHeight="1">
      <c r="A446" s="318" t="n"/>
      <c r="B446" s="72" t="inlineStr">
        <is>
          <t>LFC09</t>
        </is>
      </c>
      <c r="C446" s="72" t="n"/>
      <c r="D446" s="72" t="n"/>
      <c r="E446" s="72" t="n"/>
      <c r="F446" s="318" t="n"/>
      <c r="G446" s="318">
        <f>IF(AND(F441:F442),1,0)</f>
        <v/>
      </c>
      <c r="H446" s="318" t="n"/>
      <c r="I446" s="318" t="n"/>
      <c r="J446" s="318" t="n"/>
      <c r="K446" s="318" t="n"/>
      <c r="L446" s="318" t="n"/>
      <c r="M446" s="318" t="n"/>
      <c r="N446" s="318" t="n"/>
      <c r="O446" s="318" t="n"/>
      <c r="P446" s="318" t="n"/>
      <c r="Q446" s="318" t="n"/>
      <c r="R446" s="318">
        <f>IF(AND(F446:Q446),1,0)</f>
        <v/>
      </c>
    </row>
    <row r="447" ht="20.15" customHeight="1">
      <c r="A447" s="318" t="n">
        <v>11</v>
      </c>
      <c r="B447" s="72" t="inlineStr">
        <is>
          <t>LFC12</t>
        </is>
      </c>
      <c r="C447" s="72" t="n"/>
      <c r="D447" s="72" t="n"/>
      <c r="E447" s="72" t="n"/>
      <c r="F447" s="318" t="n"/>
      <c r="G447" s="318" t="n"/>
      <c r="H447" s="318">
        <f>IF(OR(G446,F443:F444),1,0)</f>
        <v/>
      </c>
      <c r="I447" s="318" t="n"/>
      <c r="J447" s="318" t="n"/>
      <c r="K447" s="318" t="n"/>
      <c r="L447" s="318" t="n"/>
      <c r="M447" s="318" t="n"/>
      <c r="N447" s="318" t="n"/>
      <c r="O447" s="318" t="n"/>
      <c r="P447" s="318" t="n"/>
      <c r="Q447" s="318" t="n"/>
      <c r="R447" s="318">
        <f>IF(AND(F447:Q447),1,0)</f>
        <v/>
      </c>
    </row>
    <row r="448" ht="20.15" customHeight="1">
      <c r="A448" s="148" t="n">
        <v>12</v>
      </c>
      <c r="B448" s="149" t="inlineStr">
        <is>
          <t>Pre-conditioning venntilation enable</t>
        </is>
      </c>
      <c r="C448" s="149" t="n"/>
      <c r="D448" s="149" t="n"/>
      <c r="E448" s="149" t="n"/>
      <c r="F448" s="148" t="n"/>
      <c r="G448" s="148" t="n"/>
      <c r="H448" s="148" t="n"/>
      <c r="I448" s="148">
        <f>IF(AND(R445,R447),1,0)</f>
        <v/>
      </c>
      <c r="J448" s="148" t="n"/>
      <c r="K448" s="148" t="n"/>
      <c r="L448" s="148" t="n"/>
      <c r="M448" s="148" t="n"/>
      <c r="N448" s="148" t="n"/>
      <c r="O448" s="148" t="n"/>
      <c r="P448" s="148" t="n"/>
      <c r="Q448" s="148" t="n"/>
      <c r="R448" s="148">
        <f>IF(AND(F448:Q448),1,0)</f>
        <v/>
      </c>
    </row>
    <row r="452" ht="20.15" customHeight="1">
      <c r="A452" s="823" t="inlineStr">
        <is>
          <t>25.Heating/Cooling</t>
        </is>
      </c>
      <c r="B452" s="869" t="n"/>
      <c r="C452" s="869" t="n"/>
      <c r="D452" s="869" t="n"/>
      <c r="E452" s="869" t="n"/>
      <c r="F452" s="869" t="n"/>
      <c r="G452" s="869" t="n"/>
      <c r="H452" s="869" t="n"/>
      <c r="I452" s="869" t="n"/>
      <c r="J452" s="869" t="n"/>
      <c r="K452" s="869" t="n"/>
      <c r="L452" s="869" t="n"/>
      <c r="M452" s="869" t="n"/>
      <c r="N452" s="869" t="n"/>
      <c r="O452" s="869" t="n"/>
      <c r="P452" s="869" t="n"/>
      <c r="Q452" s="869" t="n"/>
      <c r="R452" s="870" t="n"/>
    </row>
    <row r="454" ht="20.15" customHeight="1">
      <c r="A454" s="318" t="n">
        <v>1</v>
      </c>
      <c r="B454" s="72" t="inlineStr">
        <is>
          <t>APS_OK</t>
        </is>
      </c>
      <c r="C454" s="72" t="n"/>
      <c r="D454" s="72" t="n"/>
      <c r="E454" s="72" t="n"/>
      <c r="F454" s="318">
        <f>IF(AND(HVAC_IOs!D8=1,HVAC_IOs!D9=1),1,0)</f>
        <v/>
      </c>
      <c r="G454" s="318" t="n"/>
      <c r="H454" s="318" t="n"/>
      <c r="I454" s="318" t="n"/>
      <c r="J454" s="318" t="n"/>
      <c r="K454" s="318" t="n"/>
      <c r="L454" s="318" t="n"/>
      <c r="M454" s="318" t="n"/>
      <c r="N454" s="318" t="n"/>
      <c r="O454" s="318" t="n"/>
      <c r="P454" s="318" t="n"/>
      <c r="Q454" s="318" t="n"/>
      <c r="R454" s="318">
        <f>IF(AND(F454:Q454),1,0)</f>
        <v/>
      </c>
    </row>
    <row r="455" ht="20.15" customHeight="1">
      <c r="A455" s="318" t="n">
        <v>2</v>
      </c>
      <c r="B455" s="72" t="inlineStr">
        <is>
          <t>HVAC_enable</t>
        </is>
      </c>
      <c r="C455" s="72" t="n"/>
      <c r="D455" s="72" t="n"/>
      <c r="E455" s="72" t="n"/>
      <c r="F455" s="318">
        <f>HVAC_IOs!D18</f>
        <v/>
      </c>
      <c r="G455" s="318" t="n"/>
      <c r="H455" s="318" t="n"/>
      <c r="I455" s="318" t="n"/>
      <c r="J455" s="318" t="n"/>
      <c r="K455" s="318" t="n"/>
      <c r="L455" s="318" t="n"/>
      <c r="M455" s="318" t="n"/>
      <c r="N455" s="318" t="n"/>
      <c r="O455" s="318" t="n"/>
      <c r="P455" s="318" t="n"/>
      <c r="Q455" s="318" t="n"/>
      <c r="R455" s="318">
        <f>IF(AND(F455:Q455),1,0)</f>
        <v/>
      </c>
    </row>
    <row r="456" ht="20.15" customHeight="1">
      <c r="A456" s="318" t="n"/>
      <c r="B456" s="72" t="inlineStr">
        <is>
          <t>LFC 03</t>
        </is>
      </c>
      <c r="C456" s="72" t="n"/>
      <c r="D456" s="72" t="n"/>
      <c r="E456" s="72" t="n"/>
      <c r="F456" s="318" t="n"/>
      <c r="G456" s="318">
        <f>IF(AND(F454:F455),1,0)</f>
        <v/>
      </c>
      <c r="H456" s="318" t="n"/>
      <c r="I456" s="318" t="n"/>
      <c r="J456" s="318" t="n"/>
      <c r="K456" s="318" t="n"/>
      <c r="L456" s="318" t="n"/>
      <c r="M456" s="318" t="n"/>
      <c r="N456" s="318" t="n"/>
      <c r="O456" s="318" t="n"/>
      <c r="P456" s="318" t="n"/>
      <c r="Q456" s="318" t="n"/>
      <c r="R456" s="318">
        <f>IF(AND(F456:Q456),1,0)</f>
        <v/>
      </c>
    </row>
    <row r="457" ht="20.15" customHeight="1">
      <c r="A457" s="148" t="n">
        <v>3</v>
      </c>
      <c r="B457" s="149" t="inlineStr">
        <is>
          <t>Heat-REQ</t>
        </is>
      </c>
      <c r="C457" s="149" t="n"/>
      <c r="D457" s="149" t="n"/>
      <c r="E457" s="149" t="n"/>
      <c r="F457" s="148" t="n"/>
      <c r="G457" s="148">
        <f>R456</f>
        <v/>
      </c>
      <c r="H457" s="148" t="n"/>
      <c r="I457" s="148" t="n"/>
      <c r="J457" s="148" t="n"/>
      <c r="K457" s="148" t="n"/>
      <c r="L457" s="148" t="n"/>
      <c r="M457" s="148" t="n"/>
      <c r="N457" s="148" t="n"/>
      <c r="O457" s="148" t="n"/>
      <c r="P457" s="148" t="n"/>
      <c r="Q457" s="148" t="n"/>
      <c r="R457" s="148">
        <f>IF(AND(F457:Q457),1,0)</f>
        <v/>
      </c>
    </row>
    <row r="458" ht="20.15" customHeight="1">
      <c r="A458" s="148" t="n">
        <v>4</v>
      </c>
      <c r="B458" s="149" t="inlineStr">
        <is>
          <t>Cool-REQ</t>
        </is>
      </c>
      <c r="C458" s="149" t="n"/>
      <c r="D458" s="149" t="n"/>
      <c r="E458" s="149" t="n"/>
      <c r="F458" s="148" t="n"/>
      <c r="G458" s="148">
        <f>R456</f>
        <v/>
      </c>
      <c r="H458" s="148" t="n"/>
      <c r="I458" s="148" t="n"/>
      <c r="J458" s="148" t="n"/>
      <c r="K458" s="148" t="n"/>
      <c r="L458" s="148" t="n"/>
      <c r="M458" s="148" t="n"/>
      <c r="N458" s="148" t="n"/>
      <c r="O458" s="148" t="n"/>
      <c r="P458" s="148" t="n"/>
      <c r="Q458" s="148" t="n"/>
      <c r="R458" s="148">
        <f>IF(AND(F458:Q458),1,0)</f>
        <v/>
      </c>
    </row>
    <row r="459" ht="20.15" customHeight="1">
      <c r="A459" s="148" t="n">
        <v>5</v>
      </c>
      <c r="B459" s="149" t="inlineStr">
        <is>
          <t>Heating-active</t>
        </is>
      </c>
      <c r="C459" s="149" t="n"/>
      <c r="D459" s="149" t="n"/>
      <c r="E459" s="149" t="n"/>
      <c r="F459" s="148" t="n"/>
      <c r="G459" s="148">
        <f>R457</f>
        <v/>
      </c>
      <c r="H459" s="148" t="n"/>
      <c r="I459" s="148" t="n"/>
      <c r="J459" s="148" t="n"/>
      <c r="K459" s="148" t="n"/>
      <c r="L459" s="148" t="n"/>
      <c r="M459" s="148" t="n"/>
      <c r="N459" s="148" t="n"/>
      <c r="O459" s="148" t="n"/>
      <c r="P459" s="148" t="n"/>
      <c r="Q459" s="148" t="n"/>
      <c r="R459" s="148">
        <f>IF(AND(F459:Q459),1,0)</f>
        <v/>
      </c>
    </row>
    <row r="460" ht="20.15" customHeight="1">
      <c r="A460" s="148" t="n">
        <v>6</v>
      </c>
      <c r="B460" s="149" t="inlineStr">
        <is>
          <t>Cooling-active</t>
        </is>
      </c>
      <c r="C460" s="149" t="n"/>
      <c r="D460" s="149" t="n"/>
      <c r="E460" s="149" t="n"/>
      <c r="F460" s="148" t="n"/>
      <c r="G460" s="148">
        <f>R458</f>
        <v/>
      </c>
      <c r="H460" s="148" t="n"/>
      <c r="I460" s="148" t="n"/>
      <c r="J460" s="148" t="n"/>
      <c r="K460" s="148" t="n"/>
      <c r="L460" s="148" t="n"/>
      <c r="M460" s="148" t="n"/>
      <c r="N460" s="148" t="n"/>
      <c r="O460" s="148" t="n"/>
      <c r="P460" s="148" t="n"/>
      <c r="Q460" s="148" t="n"/>
      <c r="R460" s="148">
        <f>IF(AND(F460:Q460),1,0)</f>
        <v/>
      </c>
    </row>
    <row r="461" ht="20.15" customHeight="1">
      <c r="A461" s="148" t="n">
        <v>7</v>
      </c>
      <c r="B461" s="149" t="inlineStr">
        <is>
          <t>Compressor/Heater-control</t>
        </is>
      </c>
      <c r="C461" s="149" t="n"/>
      <c r="D461" s="149" t="n"/>
      <c r="E461" s="149" t="n"/>
      <c r="F461" s="148" t="n"/>
      <c r="G461" s="148">
        <f>IF(OR(R459:R460),1,0)</f>
        <v/>
      </c>
      <c r="H461" s="148" t="n"/>
      <c r="I461" s="148" t="n"/>
      <c r="J461" s="148" t="n"/>
      <c r="K461" s="148" t="n"/>
      <c r="L461" s="148" t="n"/>
      <c r="M461" s="148" t="n"/>
      <c r="N461" s="148" t="n"/>
      <c r="O461" s="148" t="n"/>
      <c r="P461" s="148" t="n"/>
      <c r="Q461" s="148" t="n"/>
      <c r="R461" s="148">
        <f>IF(AND(F461:Q461),1,0)</f>
        <v/>
      </c>
    </row>
    <row r="462" ht="20.15" customHeight="1">
      <c r="A462" s="148" t="n">
        <v>8</v>
      </c>
      <c r="B462" s="149" t="inlineStr">
        <is>
          <t>Passenger Load_(PL)</t>
        </is>
      </c>
      <c r="C462" s="149" t="n"/>
      <c r="D462" s="149" t="n"/>
      <c r="E462" s="149" t="n"/>
      <c r="F462" s="148" t="n"/>
      <c r="G462" s="148">
        <f>R461</f>
        <v/>
      </c>
      <c r="H462" s="148" t="n"/>
      <c r="I462" s="148" t="n"/>
      <c r="J462" s="148" t="n"/>
      <c r="K462" s="148" t="n"/>
      <c r="L462" s="148" t="n"/>
      <c r="M462" s="148" t="n"/>
      <c r="N462" s="148" t="n"/>
      <c r="O462" s="148" t="n"/>
      <c r="P462" s="148" t="n"/>
      <c r="Q462" s="148" t="n"/>
      <c r="R462" s="148">
        <f>IF(AND(F462:Q462),1,0)</f>
        <v/>
      </c>
    </row>
    <row r="463" ht="20.15" customHeight="1">
      <c r="A463" s="148" t="n">
        <v>9</v>
      </c>
      <c r="B463" s="149" t="inlineStr">
        <is>
          <t>PL_&lt;=_25</t>
        </is>
      </c>
      <c r="C463" s="149" t="n"/>
      <c r="D463" s="149" t="n"/>
      <c r="E463" s="149" t="n"/>
      <c r="F463" s="148" t="n"/>
      <c r="G463" s="148">
        <f>R462</f>
        <v/>
      </c>
      <c r="H463" s="148" t="n"/>
      <c r="I463" s="148" t="n"/>
      <c r="J463" s="148" t="n"/>
      <c r="K463" s="148" t="n"/>
      <c r="L463" s="148" t="n"/>
      <c r="M463" s="148" t="n"/>
      <c r="N463" s="148" t="n"/>
      <c r="O463" s="148" t="n"/>
      <c r="P463" s="148" t="n"/>
      <c r="Q463" s="148" t="n"/>
      <c r="R463" s="148">
        <f>IF(AND(F463:Q463),1,0)</f>
        <v/>
      </c>
    </row>
    <row r="464" ht="20.15" customHeight="1">
      <c r="A464" s="148" t="n">
        <v>10</v>
      </c>
      <c r="B464" s="149" t="inlineStr">
        <is>
          <t>FAD_=_25%</t>
        </is>
      </c>
      <c r="C464" s="149" t="n"/>
      <c r="D464" s="149" t="n"/>
      <c r="E464" s="149" t="n"/>
      <c r="F464" s="148" t="n"/>
      <c r="G464" s="148">
        <f>R463</f>
        <v/>
      </c>
      <c r="H464" s="148" t="n"/>
      <c r="I464" s="148" t="n"/>
      <c r="J464" s="148" t="n"/>
      <c r="K464" s="148" t="n"/>
      <c r="L464" s="148" t="n"/>
      <c r="M464" s="148" t="n"/>
      <c r="N464" s="148" t="n"/>
      <c r="O464" s="148" t="n"/>
      <c r="P464" s="148" t="n"/>
      <c r="Q464" s="148" t="n"/>
      <c r="R464" s="148">
        <f>IF(AND(F464:Q464),1,0)</f>
        <v/>
      </c>
    </row>
    <row r="465" ht="20.15" customHeight="1">
      <c r="A465" s="148" t="n">
        <v>11</v>
      </c>
      <c r="B465" s="149" t="inlineStr">
        <is>
          <t>26_&lt;=_PL_&lt;=_50</t>
        </is>
      </c>
      <c r="C465" s="149" t="n"/>
      <c r="D465" s="149" t="n"/>
      <c r="E465" s="149" t="n"/>
      <c r="F465" s="148" t="n"/>
      <c r="G465" s="148">
        <f>R462</f>
        <v/>
      </c>
      <c r="H465" s="148" t="n"/>
      <c r="I465" s="148" t="n"/>
      <c r="J465" s="148" t="n"/>
      <c r="K465" s="148" t="n"/>
      <c r="L465" s="148" t="n"/>
      <c r="M465" s="148" t="n"/>
      <c r="N465" s="148" t="n"/>
      <c r="O465" s="148" t="n"/>
      <c r="P465" s="148" t="n"/>
      <c r="Q465" s="148" t="n"/>
      <c r="R465" s="148">
        <f>IF(AND(F465:Q465),1,0)</f>
        <v/>
      </c>
    </row>
    <row r="466" ht="20.15" customHeight="1">
      <c r="A466" s="148" t="n">
        <v>12</v>
      </c>
      <c r="B466" s="149" t="inlineStr">
        <is>
          <t>FAD=50%</t>
        </is>
      </c>
      <c r="C466" s="149" t="n"/>
      <c r="D466" s="149" t="n"/>
      <c r="E466" s="149" t="n"/>
      <c r="F466" s="148" t="n"/>
      <c r="G466" s="148">
        <f>R465</f>
        <v/>
      </c>
      <c r="H466" s="148" t="n"/>
      <c r="I466" s="148" t="n"/>
      <c r="J466" s="148" t="n"/>
      <c r="K466" s="148" t="n"/>
      <c r="L466" s="148" t="n"/>
      <c r="M466" s="148" t="n"/>
      <c r="N466" s="148" t="n"/>
      <c r="O466" s="148" t="n"/>
      <c r="P466" s="148" t="n"/>
      <c r="Q466" s="148" t="n"/>
      <c r="R466" s="148">
        <f>IF(AND(F466:Q466),1,0)</f>
        <v/>
      </c>
    </row>
    <row r="467" ht="20.15" customHeight="1">
      <c r="A467" s="148" t="n">
        <v>13</v>
      </c>
      <c r="B467" s="149" t="inlineStr">
        <is>
          <t>51_&lt;=PL_75</t>
        </is>
      </c>
      <c r="C467" s="149" t="n"/>
      <c r="D467" s="149" t="n"/>
      <c r="E467" s="149" t="n"/>
      <c r="F467" s="148" t="n"/>
      <c r="G467" s="148">
        <f>R462</f>
        <v/>
      </c>
      <c r="H467" s="148" t="n"/>
      <c r="I467" s="148" t="n"/>
      <c r="J467" s="148" t="n"/>
      <c r="K467" s="148" t="n"/>
      <c r="L467" s="148" t="n"/>
      <c r="M467" s="148" t="n"/>
      <c r="N467" s="148" t="n"/>
      <c r="O467" s="148" t="n"/>
      <c r="P467" s="148" t="n"/>
      <c r="Q467" s="148" t="n"/>
      <c r="R467" s="148">
        <f>IF(AND(F467:Q467),1,0)</f>
        <v/>
      </c>
    </row>
    <row r="468" ht="20.15" customHeight="1">
      <c r="A468" s="148" t="n">
        <v>14</v>
      </c>
      <c r="B468" s="149" t="inlineStr">
        <is>
          <t>FAD_=_75%</t>
        </is>
      </c>
      <c r="C468" s="149" t="n"/>
      <c r="D468" s="149" t="n"/>
      <c r="E468" s="149" t="n"/>
      <c r="F468" s="148" t="n"/>
      <c r="G468" s="148">
        <f>R467</f>
        <v/>
      </c>
      <c r="H468" s="148" t="n"/>
      <c r="I468" s="148" t="n"/>
      <c r="J468" s="148" t="n"/>
      <c r="K468" s="148" t="n"/>
      <c r="L468" s="148" t="n"/>
      <c r="M468" s="148" t="n"/>
      <c r="N468" s="148" t="n"/>
      <c r="O468" s="148" t="n"/>
      <c r="P468" s="148" t="n"/>
      <c r="Q468" s="148" t="n"/>
      <c r="R468" s="148">
        <f>IF(AND(F468:Q468),1,0)</f>
        <v/>
      </c>
    </row>
    <row r="469" ht="20.15" customHeight="1">
      <c r="A469" s="148" t="n">
        <v>15</v>
      </c>
      <c r="B469" s="149" t="inlineStr">
        <is>
          <t>PL_&gt;=_76</t>
        </is>
      </c>
      <c r="C469" s="149" t="n"/>
      <c r="D469" s="149" t="n"/>
      <c r="E469" s="149" t="n"/>
      <c r="F469" s="148" t="n"/>
      <c r="G469" s="148">
        <f>R462</f>
        <v/>
      </c>
      <c r="H469" s="148" t="n"/>
      <c r="I469" s="148" t="n"/>
      <c r="J469" s="148" t="n"/>
      <c r="K469" s="148" t="n"/>
      <c r="L469" s="148" t="n"/>
      <c r="M469" s="148" t="n"/>
      <c r="N469" s="148" t="n"/>
      <c r="O469" s="148" t="n"/>
      <c r="P469" s="148" t="n"/>
      <c r="Q469" s="148" t="n"/>
      <c r="R469" s="148">
        <f>IF(AND(F469:Q469),1,0)</f>
        <v/>
      </c>
    </row>
    <row r="470" ht="20.15" customHeight="1">
      <c r="A470" s="148" t="n">
        <v>16</v>
      </c>
      <c r="B470" s="149" t="inlineStr">
        <is>
          <t>FAD_=_100%</t>
        </is>
      </c>
      <c r="C470" s="149" t="n"/>
      <c r="D470" s="149" t="n"/>
      <c r="E470" s="149" t="n"/>
      <c r="F470" s="148" t="n"/>
      <c r="G470" s="148">
        <f>R469</f>
        <v/>
      </c>
      <c r="H470" s="148" t="n"/>
      <c r="I470" s="148" t="n"/>
      <c r="J470" s="148" t="n"/>
      <c r="K470" s="148" t="n"/>
      <c r="L470" s="148" t="n"/>
      <c r="M470" s="148" t="n"/>
      <c r="N470" s="148" t="n"/>
      <c r="O470" s="148" t="n"/>
      <c r="P470" s="148" t="n"/>
      <c r="Q470" s="148" t="n"/>
      <c r="R470" s="148">
        <f>IF(AND(F470:Q470),1,0)</f>
        <v/>
      </c>
    </row>
    <row r="475" ht="20.15" customHeight="1">
      <c r="A475" s="823" t="inlineStr">
        <is>
          <t>26.HVAC sytem Safety</t>
        </is>
      </c>
      <c r="B475" s="869" t="n"/>
      <c r="C475" s="869" t="n"/>
      <c r="D475" s="869" t="n"/>
      <c r="E475" s="869" t="n"/>
      <c r="F475" s="869" t="n"/>
      <c r="G475" s="869" t="n"/>
      <c r="H475" s="869" t="n"/>
      <c r="I475" s="869" t="n"/>
      <c r="J475" s="869" t="n"/>
      <c r="K475" s="869" t="n"/>
      <c r="L475" s="869" t="n"/>
      <c r="M475" s="869" t="n"/>
      <c r="N475" s="869" t="n"/>
      <c r="O475" s="869" t="n"/>
      <c r="P475" s="869" t="n"/>
      <c r="Q475" s="869" t="n"/>
      <c r="R475" s="870" t="n"/>
    </row>
    <row r="477" ht="20.15" customHeight="1">
      <c r="A477" s="318" t="n">
        <v>1</v>
      </c>
      <c r="B477" s="72" t="inlineStr">
        <is>
          <t>Fire_detected_on_board</t>
        </is>
      </c>
      <c r="C477" s="72" t="n"/>
      <c r="D477" s="72" t="n"/>
      <c r="E477" s="72" t="n"/>
      <c r="F477" s="318">
        <f>HVAC_IOs!D5</f>
        <v/>
      </c>
      <c r="G477" s="318" t="n"/>
      <c r="H477" s="318" t="n"/>
      <c r="I477" s="318" t="n"/>
      <c r="J477" s="318" t="n"/>
      <c r="K477" s="318" t="n"/>
      <c r="L477" s="318" t="n"/>
      <c r="M477" s="318" t="n"/>
      <c r="N477" s="318" t="n"/>
      <c r="O477" s="318" t="n"/>
      <c r="P477" s="318" t="n"/>
      <c r="Q477" s="318" t="n"/>
      <c r="R477" s="318">
        <f>IF(AND(F477:Q477),1,0)</f>
        <v/>
      </c>
    </row>
    <row r="478" ht="20.15" customHeight="1">
      <c r="A478" s="318" t="n">
        <v>2</v>
      </c>
      <c r="B478" s="72" t="inlineStr">
        <is>
          <t>Driver_by_passs_fire_ventilation_OFF</t>
        </is>
      </c>
      <c r="C478" s="72" t="n"/>
      <c r="D478" s="72" t="n"/>
      <c r="E478" s="72" t="n"/>
      <c r="F478" s="318">
        <f>HVAC_IOs!D24</f>
        <v/>
      </c>
      <c r="G478" s="318">
        <f>IF(NOT(F478),1,0)</f>
        <v/>
      </c>
      <c r="H478" s="318" t="n"/>
      <c r="I478" s="318" t="n"/>
      <c r="J478" s="318" t="n"/>
      <c r="K478" s="318" t="n"/>
      <c r="L478" s="318" t="n"/>
      <c r="M478" s="318" t="n"/>
      <c r="N478" s="318" t="n"/>
      <c r="O478" s="318" t="n"/>
      <c r="P478" s="318" t="n"/>
      <c r="Q478" s="318" t="n"/>
      <c r="R478" s="318">
        <f>IF(AND(F478:Q478),1,0)</f>
        <v/>
      </c>
    </row>
    <row r="479" ht="20.15" customHeight="1">
      <c r="A479" s="318" t="n">
        <v>3</v>
      </c>
      <c r="B479" s="72" t="inlineStr">
        <is>
          <t>External_detected_on_board</t>
        </is>
      </c>
      <c r="C479" s="72" t="n"/>
      <c r="D479" s="72" t="n"/>
      <c r="E479" s="72" t="n"/>
      <c r="F479" s="318">
        <f>HVAC_IOs!D3</f>
        <v/>
      </c>
      <c r="G479" s="318" t="n"/>
      <c r="H479" s="318" t="n"/>
      <c r="I479" s="318" t="n"/>
      <c r="J479" s="318" t="n"/>
      <c r="K479" s="318" t="n"/>
      <c r="L479" s="318" t="n"/>
      <c r="M479" s="318" t="n"/>
      <c r="N479" s="318" t="n"/>
      <c r="O479" s="318" t="n"/>
      <c r="P479" s="318" t="n"/>
      <c r="Q479" s="318" t="n"/>
      <c r="R479" s="318">
        <f>IF(AND(F479:Q479),1,0)</f>
        <v/>
      </c>
    </row>
    <row r="480" ht="20.15" customHeight="1">
      <c r="A480" s="318" t="n">
        <v>4</v>
      </c>
      <c r="B480" s="72" t="inlineStr">
        <is>
          <t>Driver_by_pass-smoke_damper_close</t>
        </is>
      </c>
      <c r="C480" s="72" t="n"/>
      <c r="D480" s="72" t="n"/>
      <c r="E480" s="72" t="n"/>
      <c r="F480" s="318">
        <f>HVAC_IOs!D23</f>
        <v/>
      </c>
      <c r="G480" s="318">
        <f>IF(NOT(F480),1,0)</f>
        <v/>
      </c>
      <c r="H480" s="318" t="n"/>
      <c r="I480" s="318" t="n"/>
      <c r="J480" s="318" t="n"/>
      <c r="K480" s="318" t="n"/>
      <c r="L480" s="318" t="n"/>
      <c r="M480" s="318" t="n"/>
      <c r="N480" s="318" t="n"/>
      <c r="O480" s="318" t="n"/>
      <c r="P480" s="318" t="n"/>
      <c r="Q480" s="318" t="n"/>
      <c r="R480" s="318">
        <f>IF(AND(F480:Q480),1,0)</f>
        <v/>
      </c>
    </row>
    <row r="481" ht="20.15" customHeight="1">
      <c r="A481" s="148" t="n">
        <v>5</v>
      </c>
      <c r="B481" s="149" t="inlineStr">
        <is>
          <t>ventilation fans_OFF</t>
        </is>
      </c>
      <c r="C481" s="149" t="inlineStr">
        <is>
          <t>LFC04</t>
        </is>
      </c>
      <c r="D481" s="149" t="n"/>
      <c r="E481" s="149" t="n"/>
      <c r="F481" s="148" t="n"/>
      <c r="G481" s="148" t="n"/>
      <c r="H481" s="148">
        <f>IF(AND(R477,R478),1,0)</f>
        <v/>
      </c>
      <c r="I481" s="148" t="n"/>
      <c r="J481" s="148" t="n"/>
      <c r="K481" s="148" t="n"/>
      <c r="L481" s="148" t="n"/>
      <c r="M481" s="148" t="n"/>
      <c r="N481" s="148" t="n"/>
      <c r="O481" s="148" t="n"/>
      <c r="P481" s="148" t="n"/>
      <c r="Q481" s="148" t="n"/>
      <c r="R481" s="148">
        <f>IF(AND(F481:Q481),1,0)</f>
        <v/>
      </c>
    </row>
    <row r="482" ht="20.15" customHeight="1">
      <c r="A482" s="148" t="n">
        <v>6</v>
      </c>
      <c r="B482" s="149" t="inlineStr">
        <is>
          <t>Fresh_air_damper_close</t>
        </is>
      </c>
      <c r="C482" s="149" t="inlineStr">
        <is>
          <t>LFC08</t>
        </is>
      </c>
      <c r="D482" s="149" t="n"/>
      <c r="E482" s="149" t="n"/>
      <c r="F482" s="148" t="n"/>
      <c r="G482" s="148" t="n"/>
      <c r="H482" s="148">
        <f>IF(AND(R479,R480),1,0)</f>
        <v/>
      </c>
      <c r="I482" s="148" t="n"/>
      <c r="J482" s="148" t="n"/>
      <c r="K482" s="148" t="n"/>
      <c r="L482" s="148" t="n"/>
      <c r="M482" s="148" t="n"/>
      <c r="N482" s="148" t="n"/>
      <c r="O482" s="148" t="n"/>
      <c r="P482" s="148" t="n"/>
      <c r="Q482" s="148" t="n"/>
      <c r="R482" s="148">
        <f>IF(AND(F482:Q482),1,0)</f>
        <v/>
      </c>
    </row>
    <row r="483" ht="20.15" customHeight="1">
      <c r="A483" s="148" t="n">
        <v>7</v>
      </c>
      <c r="B483" s="149" t="inlineStr">
        <is>
          <t>HVAC_System_safety</t>
        </is>
      </c>
      <c r="C483" s="149" t="n"/>
      <c r="D483" s="149" t="n"/>
      <c r="E483" s="149" t="n"/>
      <c r="F483" s="148" t="n"/>
      <c r="G483" s="148" t="n"/>
      <c r="H483" s="148" t="n"/>
      <c r="I483" s="148">
        <f>IF(OR(R481,R482),1,0)</f>
        <v/>
      </c>
      <c r="J483" s="148" t="n"/>
      <c r="K483" s="148" t="n"/>
      <c r="L483" s="148" t="n"/>
      <c r="M483" s="148" t="n"/>
      <c r="N483" s="148" t="n"/>
      <c r="O483" s="148" t="n"/>
      <c r="P483" s="148" t="n"/>
      <c r="Q483" s="148" t="n"/>
      <c r="R483" s="148">
        <f>IF(AND(F483:Q483),1,0)</f>
        <v/>
      </c>
    </row>
    <row r="487" ht="20.15" customHeight="1">
      <c r="A487" s="823" t="inlineStr">
        <is>
          <t>27.APS Load Reduction Control</t>
        </is>
      </c>
      <c r="B487" s="869" t="n"/>
      <c r="C487" s="869" t="n"/>
      <c r="D487" s="869" t="n"/>
      <c r="E487" s="869" t="n"/>
      <c r="F487" s="869" t="n"/>
      <c r="G487" s="869" t="n"/>
      <c r="H487" s="869" t="n"/>
      <c r="I487" s="869" t="n"/>
      <c r="J487" s="869" t="n"/>
      <c r="K487" s="869" t="n"/>
      <c r="L487" s="869" t="n"/>
      <c r="M487" s="869" t="n"/>
      <c r="N487" s="869" t="n"/>
      <c r="O487" s="869" t="n"/>
      <c r="P487" s="869" t="n"/>
      <c r="Q487" s="869" t="n"/>
      <c r="R487" s="870" t="n"/>
    </row>
    <row r="489" ht="20.15" customHeight="1">
      <c r="A489" s="318" t="n">
        <v>1</v>
      </c>
      <c r="B489" s="72" t="inlineStr">
        <is>
          <t>HVAC_ON</t>
        </is>
      </c>
      <c r="C489" s="72" t="n"/>
      <c r="D489" s="72" t="n"/>
      <c r="E489" s="72" t="n"/>
      <c r="F489" s="318">
        <f>HVAC_IOs!K15</f>
        <v/>
      </c>
      <c r="G489" s="318" t="n"/>
      <c r="H489" s="318" t="n"/>
      <c r="I489" s="318" t="n"/>
      <c r="J489" s="318" t="n"/>
      <c r="K489" s="318" t="n"/>
      <c r="L489" s="318" t="n"/>
      <c r="M489" s="318" t="n"/>
      <c r="N489" s="318" t="n"/>
      <c r="O489" s="318" t="n"/>
      <c r="P489" s="318" t="n"/>
      <c r="Q489" s="318" t="n"/>
      <c r="R489" s="318">
        <f>IF(AND(F489:Q489),1,0)</f>
        <v/>
      </c>
    </row>
    <row r="490" ht="20.15" customHeight="1">
      <c r="A490" s="318" t="n">
        <v>2</v>
      </c>
      <c r="B490" s="72" t="inlineStr">
        <is>
          <t>TCMS Start allow</t>
        </is>
      </c>
      <c r="C490" s="72" t="n"/>
      <c r="D490" s="72" t="n"/>
      <c r="E490" s="72" t="n"/>
      <c r="F490" s="318">
        <f>HVAC_IOs!D18</f>
        <v/>
      </c>
      <c r="G490" s="318">
        <f>IF(NOT(F490),1,0)</f>
        <v/>
      </c>
      <c r="H490" s="318" t="n"/>
      <c r="I490" s="318" t="n"/>
      <c r="J490" s="318" t="n"/>
      <c r="K490" s="318" t="n"/>
      <c r="L490" s="318" t="n"/>
      <c r="M490" s="318" t="n"/>
      <c r="N490" s="318" t="n"/>
      <c r="O490" s="318" t="n"/>
      <c r="P490" s="318" t="n"/>
      <c r="Q490" s="318" t="n"/>
      <c r="R490" s="318">
        <f>IF(AND(F490:Q490),1,0)</f>
        <v/>
      </c>
    </row>
    <row r="491" ht="20.15" customHeight="1">
      <c r="A491" s="318" t="n">
        <v>3</v>
      </c>
      <c r="B491" s="72" t="inlineStr">
        <is>
          <t>APS_1 failure</t>
        </is>
      </c>
      <c r="C491" s="72" t="n"/>
      <c r="D491" s="72" t="n"/>
      <c r="E491" s="72" t="n"/>
      <c r="F491" s="318">
        <f>HVAC_IOs!D15</f>
        <v/>
      </c>
      <c r="G491" s="318">
        <f>IF(NOT(F491),1,0)</f>
        <v/>
      </c>
      <c r="H491" s="318" t="n"/>
      <c r="I491" s="318" t="n"/>
      <c r="J491" s="318" t="n"/>
      <c r="K491" s="318" t="n"/>
      <c r="L491" s="318" t="n"/>
      <c r="M491" s="318" t="n"/>
      <c r="N491" s="318" t="n"/>
      <c r="O491" s="318" t="n"/>
      <c r="P491" s="318" t="n"/>
      <c r="Q491" s="318" t="n"/>
      <c r="R491" s="318">
        <f>IF(AND(F491:Q491),1,0)</f>
        <v/>
      </c>
    </row>
    <row r="492" ht="20.15" customHeight="1">
      <c r="A492" s="318" t="n">
        <v>4</v>
      </c>
      <c r="B492" s="72" t="inlineStr">
        <is>
          <t>APS_2 failure</t>
        </is>
      </c>
      <c r="C492" s="72" t="n"/>
      <c r="D492" s="72" t="n"/>
      <c r="E492" s="72" t="n"/>
      <c r="F492" s="318">
        <f>HVAC_IOs!D26</f>
        <v/>
      </c>
      <c r="G492" s="318">
        <f>IF(NOT(F492),1,0)</f>
        <v/>
      </c>
      <c r="H492" s="318" t="n"/>
      <c r="I492" s="318" t="n"/>
      <c r="J492" s="318" t="n"/>
      <c r="K492" s="318" t="n"/>
      <c r="L492" s="318" t="n"/>
      <c r="M492" s="318" t="n"/>
      <c r="N492" s="318" t="n"/>
      <c r="O492" s="318" t="n"/>
      <c r="P492" s="318" t="n"/>
      <c r="Q492" s="318" t="n"/>
      <c r="R492" s="318">
        <f>IF(AND(F492:Q492),1,0)</f>
        <v/>
      </c>
    </row>
    <row r="493" ht="20.15" customHeight="1">
      <c r="A493" s="318" t="n">
        <v>5</v>
      </c>
      <c r="B493" s="72" t="inlineStr">
        <is>
          <t>Hvac priority select</t>
        </is>
      </c>
      <c r="C493" s="72" t="n"/>
      <c r="D493" s="72" t="n"/>
      <c r="E493" s="72" t="n"/>
      <c r="F493" s="318">
        <f>HVAC_IOs!D20</f>
        <v/>
      </c>
      <c r="G493" s="318">
        <f>IF(NOT(F493),1,0)</f>
        <v/>
      </c>
      <c r="H493" s="318" t="n"/>
      <c r="I493" s="318" t="n"/>
      <c r="J493" s="318" t="n"/>
      <c r="K493" s="318" t="n"/>
      <c r="L493" s="318" t="n"/>
      <c r="M493" s="318" t="n"/>
      <c r="N493" s="318" t="n"/>
      <c r="O493" s="318" t="n"/>
      <c r="P493" s="318" t="n"/>
      <c r="Q493" s="318" t="n"/>
      <c r="R493" s="318">
        <f>IF(AND(F493:Q493),1,0)</f>
        <v/>
      </c>
    </row>
    <row r="494" ht="20.15" customHeight="1">
      <c r="A494" s="328" t="n">
        <v>6</v>
      </c>
      <c r="B494" s="329" t="inlineStr">
        <is>
          <t>LFC 04</t>
        </is>
      </c>
      <c r="C494" s="329" t="n"/>
      <c r="D494" s="329" t="n"/>
      <c r="E494" s="329" t="n"/>
      <c r="F494" s="328" t="n"/>
      <c r="G494" s="328" t="n"/>
      <c r="H494" s="328">
        <f>IF(AND(R489,R490),1,0)</f>
        <v/>
      </c>
      <c r="I494" s="328" t="n"/>
      <c r="J494" s="328" t="n"/>
      <c r="K494" s="328" t="n"/>
      <c r="L494" s="328" t="n"/>
      <c r="M494" s="328" t="n"/>
      <c r="N494" s="328" t="n"/>
      <c r="O494" s="328" t="n"/>
      <c r="P494" s="328" t="n"/>
      <c r="Q494" s="328" t="n"/>
      <c r="R494" s="328">
        <f>IF(AND(F494:Q494),1,0)</f>
        <v/>
      </c>
    </row>
    <row r="495" ht="20.15" customHeight="1">
      <c r="A495" s="328" t="n">
        <v>7</v>
      </c>
      <c r="B495" s="329" t="inlineStr">
        <is>
          <t>LFC 09</t>
        </is>
      </c>
      <c r="C495" s="329" t="n"/>
      <c r="D495" s="329" t="n"/>
      <c r="E495" s="329" t="n"/>
      <c r="F495" s="328" t="n"/>
      <c r="G495" s="328" t="n"/>
      <c r="H495" s="328">
        <f>IF(OR(R491:R492),1,0)</f>
        <v/>
      </c>
      <c r="I495" s="328" t="n"/>
      <c r="J495" s="328" t="n"/>
      <c r="K495" s="328" t="n"/>
      <c r="L495" s="328" t="n"/>
      <c r="M495" s="328" t="n"/>
      <c r="N495" s="328" t="n"/>
      <c r="O495" s="328" t="n"/>
      <c r="P495" s="328" t="n"/>
      <c r="Q495" s="328" t="n"/>
      <c r="R495" s="328">
        <f>IF(AND(F495:Q495),1,0)</f>
        <v/>
      </c>
    </row>
    <row r="496" ht="20.15" customHeight="1">
      <c r="A496" s="148" t="n">
        <v>8</v>
      </c>
      <c r="B496" s="149" t="inlineStr">
        <is>
          <t>HVAC_1 cooling</t>
        </is>
      </c>
      <c r="C496" s="149" t="n"/>
      <c r="D496" s="149" t="n"/>
      <c r="E496" s="149" t="n"/>
      <c r="F496" s="148" t="n"/>
      <c r="G496" s="148" t="n"/>
      <c r="H496" s="148" t="n"/>
      <c r="I496" s="148">
        <f>IF(AND(R494,R495,R493),1,0)</f>
        <v/>
      </c>
      <c r="J496" s="148" t="n"/>
      <c r="K496" s="148" t="n"/>
      <c r="L496" s="148" t="n"/>
      <c r="M496" s="148" t="n"/>
      <c r="N496" s="148" t="n"/>
      <c r="O496" s="148" t="n"/>
      <c r="P496" s="148" t="n"/>
      <c r="Q496" s="148" t="n"/>
      <c r="R496" s="148">
        <f>IF(AND(F496:Q496),1,0)</f>
        <v/>
      </c>
    </row>
    <row r="497" ht="20.15" customHeight="1">
      <c r="A497" s="148" t="n">
        <v>9</v>
      </c>
      <c r="B497" s="149" t="inlineStr">
        <is>
          <t>HVAC_2 ventilation</t>
        </is>
      </c>
      <c r="C497" s="149" t="n"/>
      <c r="D497" s="149" t="n"/>
      <c r="E497" s="149" t="n"/>
      <c r="F497" s="148" t="n"/>
      <c r="G497" s="148" t="n"/>
      <c r="H497" s="148" t="n"/>
      <c r="I497" s="148">
        <f>IF(AND(R494,R495,R493),1,0)</f>
        <v/>
      </c>
      <c r="J497" s="148" t="n"/>
      <c r="K497" s="148" t="n"/>
      <c r="L497" s="148" t="n"/>
      <c r="M497" s="148" t="n"/>
      <c r="N497" s="148" t="n"/>
      <c r="O497" s="148" t="n"/>
      <c r="P497" s="148" t="n"/>
      <c r="Q497" s="148" t="n"/>
      <c r="R497" s="148">
        <f>IF(AND(F497:Q497),1,0)</f>
        <v/>
      </c>
    </row>
    <row r="498" ht="20.15" customHeight="1">
      <c r="A498" s="148" t="n">
        <v>10</v>
      </c>
      <c r="B498" s="149" t="inlineStr">
        <is>
          <t>fresh ir damper closed</t>
        </is>
      </c>
      <c r="C498" s="149" t="n"/>
      <c r="D498" s="149" t="n"/>
      <c r="E498" s="149" t="n"/>
      <c r="F498" s="148" t="n"/>
      <c r="G498" s="148" t="n"/>
      <c r="H498" s="148" t="n"/>
      <c r="I498" s="148">
        <f>IF(AND(R494,R495,R493),1,0)</f>
        <v/>
      </c>
      <c r="J498" s="148" t="n"/>
      <c r="K498" s="148" t="n"/>
      <c r="L498" s="148" t="n"/>
      <c r="M498" s="148" t="n"/>
      <c r="N498" s="148" t="n"/>
      <c r="O498" s="148" t="n"/>
      <c r="P498" s="148" t="n"/>
      <c r="Q498" s="148" t="n"/>
      <c r="R498" s="148">
        <f>IF(AND(F498:Q498),1,0)</f>
        <v/>
      </c>
    </row>
    <row r="503" ht="20.15" customHeight="1">
      <c r="A503" s="823" t="inlineStr">
        <is>
          <t>28.Exchange of operating Mode in Formation</t>
        </is>
      </c>
      <c r="B503" s="869" t="n"/>
      <c r="C503" s="869" t="n"/>
      <c r="D503" s="869" t="n"/>
      <c r="E503" s="869" t="n"/>
      <c r="F503" s="869" t="n"/>
      <c r="G503" s="869" t="n"/>
      <c r="H503" s="869" t="n"/>
      <c r="I503" s="869" t="n"/>
      <c r="J503" s="869" t="n"/>
      <c r="K503" s="869" t="n"/>
      <c r="L503" s="869" t="n"/>
      <c r="M503" s="869" t="n"/>
      <c r="N503" s="869" t="n"/>
      <c r="O503" s="869" t="n"/>
      <c r="P503" s="869" t="n"/>
      <c r="Q503" s="869" t="n"/>
      <c r="R503" s="870" t="n"/>
    </row>
    <row r="505" ht="20.15" customHeight="1">
      <c r="A505" s="318" t="n">
        <v>1</v>
      </c>
      <c r="B505" s="72" t="inlineStr">
        <is>
          <t>HEC_HEC communication status</t>
        </is>
      </c>
      <c r="C505" s="72" t="n"/>
      <c r="D505" s="72" t="n"/>
      <c r="E505" s="72" t="n"/>
      <c r="F505" s="324" t="n">
        <v>1</v>
      </c>
      <c r="G505" s="318" t="n"/>
      <c r="H505" s="318" t="n"/>
      <c r="I505" s="318" t="n"/>
      <c r="J505" s="318" t="n"/>
      <c r="K505" s="318" t="n"/>
      <c r="L505" s="318" t="n"/>
      <c r="M505" s="318" t="n"/>
      <c r="N505" s="318" t="n"/>
      <c r="O505" s="318" t="n"/>
      <c r="P505" s="318" t="n"/>
      <c r="Q505" s="318" t="n"/>
      <c r="R505" s="318">
        <f>IF(AND(F505:Q505),1,0)</f>
        <v/>
      </c>
    </row>
    <row r="506" ht="20.15" customHeight="1">
      <c r="A506" s="318" t="n">
        <v>2</v>
      </c>
      <c r="B506" s="72" t="inlineStr">
        <is>
          <t>HVAC_ON</t>
        </is>
      </c>
      <c r="C506" s="72" t="n"/>
      <c r="D506" s="72" t="n"/>
      <c r="E506" s="72" t="n"/>
      <c r="F506" s="318">
        <f>HVAC_IOs!K15</f>
        <v/>
      </c>
      <c r="G506" s="318" t="n"/>
      <c r="H506" s="318" t="n"/>
      <c r="I506" s="318" t="n"/>
      <c r="J506" s="318" t="n"/>
      <c r="K506" s="318" t="n"/>
      <c r="L506" s="318" t="n"/>
      <c r="M506" s="318" t="n"/>
      <c r="N506" s="318" t="n"/>
      <c r="O506" s="318" t="n"/>
      <c r="P506" s="318" t="n"/>
      <c r="Q506" s="318" t="n"/>
      <c r="R506" s="318">
        <f>IF(AND(F506:Q506),1,0)</f>
        <v/>
      </c>
    </row>
    <row r="507" ht="20.15" customHeight="1">
      <c r="A507" s="318" t="n">
        <v>3</v>
      </c>
      <c r="B507" s="72" t="inlineStr">
        <is>
          <t>Cooling enble</t>
        </is>
      </c>
      <c r="C507" s="72" t="n"/>
      <c r="D507" s="72" t="n"/>
      <c r="E507" s="72" t="n"/>
      <c r="F507" s="318">
        <f>HVAC_IOs!K9</f>
        <v/>
      </c>
      <c r="G507" s="318" t="n"/>
      <c r="H507" s="318" t="n"/>
      <c r="I507" s="318" t="n"/>
      <c r="J507" s="318" t="n"/>
      <c r="K507" s="318" t="n"/>
      <c r="L507" s="318" t="n"/>
      <c r="M507" s="318" t="n"/>
      <c r="N507" s="318" t="n"/>
      <c r="O507" s="318" t="n"/>
      <c r="P507" s="318" t="n"/>
      <c r="Q507" s="318" t="n"/>
      <c r="R507" s="318">
        <f>IF(AND(F507:Q507),1,0)</f>
        <v/>
      </c>
    </row>
    <row r="508" ht="20.15" customHeight="1">
      <c r="A508" s="318" t="n">
        <v>4</v>
      </c>
      <c r="B508" s="72" t="inlineStr">
        <is>
          <t>Cooling enable</t>
        </is>
      </c>
      <c r="C508" s="72" t="n"/>
      <c r="D508" s="72" t="n"/>
      <c r="E508" s="72" t="n"/>
      <c r="F508" s="318">
        <f>HVAC_IOs!K9</f>
        <v/>
      </c>
      <c r="G508" s="318">
        <f>IF(NOT(F508),1,0)</f>
        <v/>
      </c>
      <c r="H508" s="318" t="n"/>
      <c r="I508" s="318" t="n"/>
      <c r="J508" s="318" t="n"/>
      <c r="K508" s="318" t="n"/>
      <c r="L508" s="318" t="n"/>
      <c r="M508" s="318" t="n"/>
      <c r="N508" s="318" t="n"/>
      <c r="O508" s="318" t="n"/>
      <c r="P508" s="318" t="n"/>
      <c r="Q508" s="318" t="n"/>
      <c r="R508" s="318">
        <f>IF(AND(F508:Q508),1,0)</f>
        <v/>
      </c>
    </row>
    <row r="509" ht="20.15" customHeight="1">
      <c r="A509" s="318" t="n">
        <v>5</v>
      </c>
      <c r="B509" s="72" t="inlineStr">
        <is>
          <t>Heating enable</t>
        </is>
      </c>
      <c r="C509" s="72" t="n"/>
      <c r="D509" s="72" t="n"/>
      <c r="E509" s="72" t="n"/>
      <c r="F509" s="318">
        <f>HVAC_IOs!K10</f>
        <v/>
      </c>
      <c r="G509" s="318" t="n"/>
      <c r="H509" s="318" t="n"/>
      <c r="I509" s="318" t="n"/>
      <c r="J509" s="318" t="n"/>
      <c r="K509" s="318" t="n"/>
      <c r="L509" s="318" t="n"/>
      <c r="M509" s="318" t="n"/>
      <c r="N509" s="318" t="n"/>
      <c r="O509" s="318" t="n"/>
      <c r="P509" s="318" t="n"/>
      <c r="Q509" s="318" t="n"/>
      <c r="R509" s="318">
        <f>IF(AND(F509:Q509),1,0)</f>
        <v/>
      </c>
    </row>
    <row r="510" ht="20.15" customHeight="1">
      <c r="A510" s="318" t="n">
        <v>6</v>
      </c>
      <c r="B510" s="72" t="inlineStr">
        <is>
          <t>Reheat enable</t>
        </is>
      </c>
      <c r="C510" s="72" t="n"/>
      <c r="D510" s="72" t="n"/>
      <c r="E510" s="72" t="n"/>
      <c r="F510" s="318">
        <f>HVAC_IOs!K28</f>
        <v/>
      </c>
      <c r="G510" s="318" t="n"/>
      <c r="H510" s="318" t="n"/>
      <c r="I510" s="318" t="n"/>
      <c r="J510" s="318" t="n"/>
      <c r="K510" s="318" t="n"/>
      <c r="L510" s="318" t="n"/>
      <c r="M510" s="318" t="n"/>
      <c r="N510" s="318" t="n"/>
      <c r="O510" s="318" t="n"/>
      <c r="P510" s="318" t="n"/>
      <c r="Q510" s="318" t="n"/>
      <c r="R510" s="318">
        <f>IF(AND(F510:Q510),1,0)</f>
        <v/>
      </c>
    </row>
    <row r="511" ht="20.15" customHeight="1">
      <c r="A511" s="318" t="n">
        <v>7</v>
      </c>
      <c r="B511" s="72" t="inlineStr">
        <is>
          <t>ventilation enable</t>
        </is>
      </c>
      <c r="C511" s="72" t="n"/>
      <c r="D511" s="72" t="n"/>
      <c r="E511" s="72" t="n"/>
      <c r="F511" s="318">
        <f>HVAC_IOs!K11</f>
        <v/>
      </c>
      <c r="G511" s="318" t="n"/>
      <c r="H511" s="318" t="n"/>
      <c r="I511" s="318" t="n"/>
      <c r="J511" s="318" t="n"/>
      <c r="K511" s="318" t="n"/>
      <c r="L511" s="318" t="n"/>
      <c r="M511" s="318" t="n"/>
      <c r="N511" s="318" t="n"/>
      <c r="O511" s="318" t="n"/>
      <c r="P511" s="318" t="n"/>
      <c r="Q511" s="318" t="n"/>
      <c r="R511" s="318">
        <f>IF(AND(F511:Q511),1,0)</f>
        <v/>
      </c>
    </row>
    <row r="512" ht="20.15" customHeight="1">
      <c r="A512" s="328" t="n">
        <v>8</v>
      </c>
      <c r="B512" s="329" t="inlineStr">
        <is>
          <t>LFC 03</t>
        </is>
      </c>
      <c r="C512" s="329" t="n"/>
      <c r="D512" s="329" t="n"/>
      <c r="E512" s="329" t="n"/>
      <c r="F512" s="328" t="n"/>
      <c r="G512" s="328" t="n"/>
      <c r="H512" s="328">
        <f>IF(AND(R505:R506),1,0)</f>
        <v/>
      </c>
      <c r="I512" s="328" t="n"/>
      <c r="J512" s="328" t="n"/>
      <c r="K512" s="328" t="n"/>
      <c r="L512" s="328" t="n"/>
      <c r="M512" s="328" t="n"/>
      <c r="N512" s="328" t="n"/>
      <c r="O512" s="328" t="n"/>
      <c r="P512" s="328" t="n"/>
      <c r="Q512" s="328" t="n"/>
      <c r="R512" s="328">
        <f>IF(AND(F512:Q512),1,0)</f>
        <v/>
      </c>
    </row>
    <row r="513" ht="20.15" customHeight="1">
      <c r="A513" s="328" t="n"/>
      <c r="B513" s="329" t="inlineStr">
        <is>
          <t>LFC08</t>
        </is>
      </c>
      <c r="C513" s="329" t="n"/>
      <c r="D513" s="329" t="n"/>
      <c r="E513" s="329" t="n"/>
      <c r="F513" s="328" t="n"/>
      <c r="G513" s="328" t="n"/>
      <c r="H513" s="328">
        <f>IF(AND(R508,R509),1,0)</f>
        <v/>
      </c>
      <c r="I513" s="328" t="n"/>
      <c r="J513" s="328" t="n"/>
      <c r="K513" s="328" t="n"/>
      <c r="L513" s="328" t="n"/>
      <c r="M513" s="328" t="n"/>
      <c r="N513" s="328" t="n"/>
      <c r="O513" s="328" t="n"/>
      <c r="P513" s="328" t="n"/>
      <c r="Q513" s="328" t="n"/>
      <c r="R513" s="328">
        <f>IF(AND(F513:Q513),1,0)</f>
        <v/>
      </c>
    </row>
    <row r="514" ht="20.15" customHeight="1">
      <c r="A514" s="328" t="n">
        <v>9</v>
      </c>
      <c r="B514" s="329" t="inlineStr">
        <is>
          <t>LFC 11</t>
        </is>
      </c>
      <c r="C514" s="329" t="n"/>
      <c r="D514" s="329" t="n"/>
      <c r="E514" s="329" t="n"/>
      <c r="F514" s="328" t="n"/>
      <c r="G514" s="328" t="n"/>
      <c r="H514" s="328">
        <f>IF(OR(R512,R507,R513,R510,R511),1,0)</f>
        <v/>
      </c>
      <c r="I514" s="328" t="n"/>
      <c r="J514" s="328" t="n"/>
      <c r="K514" s="328" t="n"/>
      <c r="L514" s="328" t="n"/>
      <c r="M514" s="328" t="n"/>
      <c r="N514" s="328" t="n"/>
      <c r="O514" s="328" t="n"/>
      <c r="P514" s="328" t="n"/>
      <c r="Q514" s="328" t="n"/>
      <c r="R514" s="328">
        <f>IF(AND(F514:Q514),1,0)</f>
        <v/>
      </c>
    </row>
    <row r="515" ht="20.15" customHeight="1">
      <c r="A515" s="148" t="n">
        <v>10</v>
      </c>
      <c r="B515" s="149" t="inlineStr">
        <is>
          <t>Allowed HVAC modes</t>
        </is>
      </c>
      <c r="C515" s="149" t="n"/>
      <c r="D515" s="149" t="n"/>
      <c r="E515" s="149" t="n"/>
      <c r="F515" s="148" t="n"/>
      <c r="G515" s="148" t="n"/>
      <c r="H515" s="148" t="n"/>
      <c r="I515" s="148">
        <f>IF(AND(R512,R514),1,0)</f>
        <v/>
      </c>
      <c r="J515" s="148" t="n"/>
      <c r="K515" s="148" t="n"/>
      <c r="L515" s="148" t="n"/>
      <c r="M515" s="148" t="n"/>
      <c r="N515" s="148" t="n"/>
      <c r="O515" s="148" t="n"/>
      <c r="P515" s="148" t="n"/>
      <c r="Q515" s="148" t="n"/>
      <c r="R515" s="148">
        <f>IF(AND(F515:Q515),1,0)</f>
        <v/>
      </c>
    </row>
    <row r="520" ht="20.15" customHeight="1">
      <c r="A520" s="823" t="inlineStr">
        <is>
          <t xml:space="preserve">29.HVAC Startup </t>
        </is>
      </c>
      <c r="B520" s="869" t="n"/>
      <c r="C520" s="869" t="n"/>
      <c r="D520" s="869" t="n"/>
      <c r="E520" s="869" t="n"/>
      <c r="F520" s="869" t="n"/>
      <c r="G520" s="869" t="n"/>
      <c r="H520" s="869" t="n"/>
      <c r="I520" s="869" t="n"/>
      <c r="J520" s="869" t="n"/>
      <c r="K520" s="869" t="n"/>
      <c r="L520" s="869" t="n"/>
      <c r="M520" s="869" t="n"/>
      <c r="N520" s="869" t="n"/>
      <c r="O520" s="869" t="n"/>
      <c r="P520" s="869" t="n"/>
      <c r="Q520" s="869" t="n"/>
      <c r="R520" s="870" t="n"/>
    </row>
    <row r="522" ht="20.15" customHeight="1">
      <c r="A522" s="318" t="n">
        <v>1</v>
      </c>
      <c r="B522" s="72" t="inlineStr">
        <is>
          <t>APS_415_VAC_available</t>
        </is>
      </c>
      <c r="C522" s="72" t="n"/>
      <c r="D522" s="72" t="n"/>
      <c r="E522" s="72" t="n"/>
      <c r="F522" s="318">
        <f>HVAC_IOs!D14</f>
        <v/>
      </c>
      <c r="G522" s="318" t="n"/>
      <c r="H522" s="318" t="n"/>
      <c r="I522" s="318" t="n"/>
      <c r="J522" s="318" t="n"/>
      <c r="K522" s="318" t="n"/>
      <c r="L522" s="318" t="n"/>
      <c r="M522" s="318" t="n"/>
      <c r="N522" s="318" t="n"/>
      <c r="O522" s="318" t="n"/>
      <c r="P522" s="318" t="n"/>
      <c r="Q522" s="318" t="n"/>
      <c r="R522" s="318">
        <f>IF(AND(F522:Q522),1,0)</f>
        <v/>
      </c>
    </row>
    <row r="523" ht="20.15" customHeight="1">
      <c r="A523" s="318" t="n">
        <v>2</v>
      </c>
      <c r="B523" s="72" t="inlineStr">
        <is>
          <t>110_VDC_control available</t>
        </is>
      </c>
      <c r="C523" s="72" t="n"/>
      <c r="D523" s="72" t="n"/>
      <c r="E523" s="72" t="n"/>
      <c r="F523" s="318">
        <f>HVAC_IOs!D25</f>
        <v/>
      </c>
      <c r="G523" s="318" t="n"/>
      <c r="H523" s="318" t="n"/>
      <c r="I523" s="318" t="n"/>
      <c r="J523" s="318" t="n"/>
      <c r="K523" s="318" t="n"/>
      <c r="L523" s="318" t="n"/>
      <c r="M523" s="318" t="n"/>
      <c r="N523" s="318" t="n"/>
      <c r="O523" s="318" t="n"/>
      <c r="P523" s="318" t="n"/>
      <c r="Q523" s="318" t="n"/>
      <c r="R523" s="318">
        <f>IF(AND(F523:Q523),1,0)</f>
        <v/>
      </c>
    </row>
    <row r="524" ht="20.15" customHeight="1">
      <c r="A524" s="318" t="n">
        <v>3</v>
      </c>
      <c r="B524" s="72" t="inlineStr">
        <is>
          <t>110_VDC_FADR_available</t>
        </is>
      </c>
      <c r="C524" s="72" t="n"/>
      <c r="D524" s="72" t="n"/>
      <c r="E524" s="72" t="n"/>
      <c r="F524" s="318">
        <f>HVAC_IOs!D6</f>
        <v/>
      </c>
      <c r="G524" s="318" t="n"/>
      <c r="H524" s="318" t="n"/>
      <c r="I524" s="318" t="n"/>
      <c r="J524" s="318" t="n"/>
      <c r="K524" s="318" t="n"/>
      <c r="L524" s="318" t="n"/>
      <c r="M524" s="318" t="n"/>
      <c r="N524" s="318" t="n"/>
      <c r="O524" s="318" t="n"/>
      <c r="P524" s="318" t="n"/>
      <c r="Q524" s="318" t="n"/>
      <c r="R524" s="318">
        <f>IF(AND(F524:Q524),1,0)</f>
        <v/>
      </c>
    </row>
    <row r="525" ht="20.15" customHeight="1">
      <c r="A525" s="318" t="n">
        <v>4</v>
      </c>
      <c r="B525" s="72" t="inlineStr">
        <is>
          <t>110_VDC_SFC_OFF_relay_available</t>
        </is>
      </c>
      <c r="C525" s="72" t="n"/>
      <c r="D525" s="72" t="n"/>
      <c r="E525" s="72" t="n"/>
      <c r="F525" s="318">
        <f>HVAC_IOs!D7</f>
        <v/>
      </c>
      <c r="G525" s="318" t="n"/>
      <c r="H525" s="318" t="n"/>
      <c r="I525" s="318" t="n"/>
      <c r="J525" s="318" t="n"/>
      <c r="K525" s="318" t="n"/>
      <c r="L525" s="318" t="n"/>
      <c r="M525" s="318" t="n"/>
      <c r="N525" s="318" t="n"/>
      <c r="O525" s="318" t="n"/>
      <c r="P525" s="318" t="n"/>
      <c r="Q525" s="318" t="n"/>
      <c r="R525" s="318">
        <f>IF(AND(F525:Q525),1,0)</f>
        <v/>
      </c>
    </row>
    <row r="526" ht="20.15" customHeight="1">
      <c r="A526" s="318" t="n">
        <v>5</v>
      </c>
      <c r="B526" s="72" t="inlineStr">
        <is>
          <t>HVAC_unit_all_circuit_breaker_ON</t>
        </is>
      </c>
      <c r="C526" s="72" t="n"/>
      <c r="D526" s="72" t="n"/>
      <c r="E526" s="72" t="n"/>
      <c r="F526" s="318">
        <f>IF(AND(HVAC_IOs!D30=1,HVAC_IOs!D31=1,HVAC_IOs!D32=1,HVAC_IOs!D33=1,HVAC_IOs!D34=1,HVAC_IOs!D35=1,HVAC_IOs!D36=1,HVAC_IOs!D37=1,),1,0)</f>
        <v/>
      </c>
      <c r="G526" s="318" t="n"/>
      <c r="H526" s="318" t="n"/>
      <c r="I526" s="318" t="n"/>
      <c r="J526" s="318" t="n"/>
      <c r="K526" s="318" t="n"/>
      <c r="L526" s="318" t="n"/>
      <c r="M526" s="318" t="n"/>
      <c r="N526" s="318" t="n"/>
      <c r="O526" s="318" t="n"/>
      <c r="P526" s="318" t="n"/>
      <c r="Q526" s="318" t="n"/>
      <c r="R526" s="318">
        <f>IF(AND(F526:Q526),1,0)</f>
        <v/>
      </c>
    </row>
    <row r="527" ht="20.15" customHeight="1">
      <c r="A527" s="318" t="n">
        <v>6</v>
      </c>
      <c r="B527" s="72" t="inlineStr">
        <is>
          <t>Car_HVAC_circuit_breaker_ON</t>
        </is>
      </c>
      <c r="C527" s="72" t="n"/>
      <c r="D527" s="72" t="n"/>
      <c r="E527" s="72" t="n"/>
      <c r="F527" s="318">
        <f>IF(AND(HVAC_IOs!D39=1,HVAC_IOs!D40=1,HVAC_IOs!D41=1,HVAC_IOs!D42=1,HVAC_IOs!D43=1,HVAC_IOs!D44=1,HVAC_IOs!D45=1),1,0)</f>
        <v/>
      </c>
      <c r="G527" s="318" t="n"/>
      <c r="H527" s="318" t="n"/>
      <c r="I527" s="318" t="n"/>
      <c r="J527" s="318" t="n"/>
      <c r="K527" s="318" t="n"/>
      <c r="L527" s="318" t="n"/>
      <c r="M527" s="318" t="n"/>
      <c r="N527" s="318" t="n"/>
      <c r="O527" s="318" t="n"/>
      <c r="P527" s="318" t="n"/>
      <c r="Q527" s="318" t="n"/>
      <c r="R527" s="318">
        <f>IF(AND(F527:Q527),1,0)</f>
        <v/>
      </c>
    </row>
    <row r="528" ht="20.15" customHeight="1">
      <c r="A528" s="318" t="n">
        <v>7</v>
      </c>
      <c r="B528" s="72" t="inlineStr">
        <is>
          <t>Emergency_ventilation_mode</t>
        </is>
      </c>
      <c r="C528" s="72" t="n"/>
      <c r="D528" s="72" t="n"/>
      <c r="E528" s="72" t="n"/>
      <c r="F528" s="318">
        <f>IF(AND(D8=1, D9=1, R538&gt;=60, D20=1),1,0)</f>
        <v/>
      </c>
      <c r="G528" s="318" t="n"/>
      <c r="H528" s="318" t="n"/>
      <c r="I528" s="318" t="n"/>
      <c r="J528" s="318" t="n"/>
      <c r="K528" s="318" t="n"/>
      <c r="L528" s="318" t="n"/>
      <c r="M528" s="318" t="n"/>
      <c r="N528" s="318" t="n"/>
      <c r="O528" s="318" t="n"/>
      <c r="P528" s="318" t="n"/>
      <c r="Q528" s="318" t="n"/>
      <c r="R528" s="318">
        <f>IF(AND(F528:Q528),1,0)</f>
        <v/>
      </c>
    </row>
    <row r="529" ht="20.15" customHeight="1">
      <c r="A529" s="318" t="n">
        <v>8</v>
      </c>
      <c r="B529" s="72" t="inlineStr">
        <is>
          <t>TCMS_auto_mode</t>
        </is>
      </c>
      <c r="C529" s="72" t="n"/>
      <c r="D529" s="72" t="n"/>
      <c r="E529" s="72" t="n"/>
      <c r="F529" s="318">
        <f>HVAC_IOs!D20</f>
        <v/>
      </c>
      <c r="G529" s="318" t="n"/>
      <c r="H529" s="318" t="n"/>
      <c r="I529" s="318" t="n"/>
      <c r="J529" s="318" t="n"/>
      <c r="K529" s="318" t="n"/>
      <c r="L529" s="318" t="n"/>
      <c r="M529" s="318" t="n"/>
      <c r="N529" s="318" t="n"/>
      <c r="O529" s="318" t="n"/>
      <c r="P529" s="318" t="n"/>
      <c r="Q529" s="318" t="n"/>
      <c r="R529" s="318">
        <f>IF(AND(F529:Q529),1,0)</f>
        <v/>
      </c>
    </row>
    <row r="530" ht="20.15" customHeight="1">
      <c r="A530" s="318" t="n">
        <v>9</v>
      </c>
      <c r="B530" s="72" t="inlineStr">
        <is>
          <t>APS degraded</t>
        </is>
      </c>
      <c r="C530" s="72" t="n"/>
      <c r="D530" s="72" t="n"/>
      <c r="E530" s="72" t="n"/>
      <c r="F530" s="318">
        <f>IF(AND(HVAC_IOs!D15=1,HVAC_IOs!D26=1),1,0)</f>
        <v/>
      </c>
      <c r="G530" s="318">
        <f>IF(NOT(F530),1,0)</f>
        <v/>
      </c>
      <c r="H530" s="318" t="n"/>
      <c r="I530" s="318" t="n"/>
      <c r="J530" s="318" t="n"/>
      <c r="K530" s="318" t="n"/>
      <c r="L530" s="318" t="n"/>
      <c r="M530" s="318" t="n"/>
      <c r="N530" s="318" t="n"/>
      <c r="O530" s="318" t="n"/>
      <c r="P530" s="318" t="n"/>
      <c r="Q530" s="318" t="n"/>
      <c r="R530" s="318">
        <f>IF(AND(F530:Q530),1,0)</f>
        <v/>
      </c>
    </row>
    <row r="531" ht="20.15" customHeight="1">
      <c r="A531" s="328" t="n">
        <v>10</v>
      </c>
      <c r="B531" s="329" t="inlineStr">
        <is>
          <t>HVAC enable</t>
        </is>
      </c>
      <c r="C531" s="329" t="n"/>
      <c r="D531" s="329" t="n"/>
      <c r="E531" s="329" t="n"/>
      <c r="F531" s="328" t="n"/>
      <c r="G531" s="328">
        <f>IF(AND(R522:R529,R530),1,0)</f>
        <v/>
      </c>
      <c r="H531" s="328" t="n"/>
      <c r="I531" s="328" t="n"/>
      <c r="J531" s="328" t="n"/>
      <c r="K531" s="328" t="n"/>
      <c r="L531" s="328" t="n"/>
      <c r="M531" s="328" t="n"/>
      <c r="N531" s="328" t="n"/>
      <c r="O531" s="328" t="n"/>
      <c r="P531" s="328" t="n"/>
      <c r="Q531" s="328" t="n"/>
      <c r="R531" s="328">
        <f>IF(AND(F531:Q531),1,0)</f>
        <v/>
      </c>
    </row>
    <row r="532" ht="20.15" customHeight="1">
      <c r="A532" s="328" t="n">
        <v>11</v>
      </c>
      <c r="B532" s="329" t="inlineStr">
        <is>
          <t>Supply_ air fan</t>
        </is>
      </c>
      <c r="C532" s="329" t="n"/>
      <c r="D532" s="329" t="n"/>
      <c r="E532" s="329" t="n"/>
      <c r="F532" s="328" t="n"/>
      <c r="G532" s="328">
        <f>R531</f>
        <v/>
      </c>
      <c r="H532" s="328" t="n"/>
      <c r="I532" s="328" t="n"/>
      <c r="J532" s="328" t="n"/>
      <c r="K532" s="328" t="n"/>
      <c r="L532" s="328" t="n"/>
      <c r="M532" s="328" t="n"/>
      <c r="N532" s="328" t="n"/>
      <c r="O532" s="328" t="n"/>
      <c r="P532" s="328" t="n"/>
      <c r="Q532" s="328" t="n"/>
      <c r="R532" s="328">
        <f>IF(AND(F532:Q532),1,0)</f>
        <v/>
      </c>
    </row>
    <row r="533" ht="20.15" customHeight="1">
      <c r="A533" s="328" t="n">
        <v>12</v>
      </c>
      <c r="B533" s="329" t="inlineStr">
        <is>
          <t>SAF feedback</t>
        </is>
      </c>
      <c r="C533" s="329" t="n"/>
      <c r="D533" s="329" t="n"/>
      <c r="E533" s="329" t="n"/>
      <c r="F533" s="328" t="n"/>
      <c r="G533" s="328">
        <f>R532</f>
        <v/>
      </c>
      <c r="H533" s="328" t="n"/>
      <c r="I533" s="328" t="n"/>
      <c r="J533" s="328" t="n"/>
      <c r="K533" s="328" t="n"/>
      <c r="L533" s="328" t="n"/>
      <c r="M533" s="328" t="n"/>
      <c r="N533" s="328" t="n"/>
      <c r="O533" s="328" t="n"/>
      <c r="P533" s="328" t="n"/>
      <c r="Q533" s="328" t="n"/>
      <c r="R533" s="328">
        <f>IF(AND(F533:Q533),1,0)</f>
        <v/>
      </c>
    </row>
    <row r="534" ht="20.15" customHeight="1">
      <c r="A534" s="148" t="n">
        <v>13</v>
      </c>
      <c r="B534" s="149" t="inlineStr">
        <is>
          <t>Cooling_enable</t>
        </is>
      </c>
      <c r="C534" s="149" t="n"/>
      <c r="D534" s="149" t="n"/>
      <c r="E534" s="149" t="n"/>
      <c r="F534" s="148" t="n"/>
      <c r="G534" s="148">
        <f>R533</f>
        <v/>
      </c>
      <c r="H534" s="148" t="n"/>
      <c r="I534" s="148" t="n"/>
      <c r="J534" s="148" t="n"/>
      <c r="K534" s="148" t="n"/>
      <c r="L534" s="148" t="n"/>
      <c r="M534" s="148" t="n"/>
      <c r="N534" s="148" t="n"/>
      <c r="O534" s="148" t="n"/>
      <c r="P534" s="148" t="n"/>
      <c r="Q534" s="148" t="n"/>
      <c r="R534" s="148">
        <f>IF(AND(F534:Q534),1,0)</f>
        <v/>
      </c>
    </row>
    <row r="535" ht="20.15" customHeight="1">
      <c r="A535" s="148" t="n">
        <v>14</v>
      </c>
      <c r="B535" s="149" t="inlineStr">
        <is>
          <t>Heating_Enable</t>
        </is>
      </c>
      <c r="C535" s="149" t="n"/>
      <c r="D535" s="149" t="n"/>
      <c r="E535" s="149" t="n"/>
      <c r="F535" s="148" t="n"/>
      <c r="G535" s="148">
        <f>R534</f>
        <v/>
      </c>
      <c r="H535" s="148" t="n"/>
      <c r="I535" s="148" t="n"/>
      <c r="J535" s="148" t="n"/>
      <c r="K535" s="148" t="n"/>
      <c r="L535" s="148" t="n"/>
      <c r="M535" s="148" t="n"/>
      <c r="N535" s="148" t="n"/>
      <c r="O535" s="148" t="n"/>
      <c r="P535" s="148" t="n"/>
      <c r="Q535" s="148" t="n"/>
      <c r="R535" s="148">
        <f>IF(AND(F535:Q535),1,0)</f>
        <v/>
      </c>
    </row>
    <row r="536" ht="20.15" customHeight="1">
      <c r="A536" s="148" t="n">
        <v>15</v>
      </c>
      <c r="B536" s="149" t="inlineStr">
        <is>
          <t>Ventilation_enable</t>
        </is>
      </c>
      <c r="C536" s="149" t="n"/>
      <c r="D536" s="149" t="n"/>
      <c r="E536" s="149" t="n"/>
      <c r="F536" s="148" t="n"/>
      <c r="G536" s="148">
        <f>R535</f>
        <v/>
      </c>
      <c r="H536" s="148" t="n"/>
      <c r="I536" s="148" t="n"/>
      <c r="J536" s="148" t="n"/>
      <c r="K536" s="148" t="n"/>
      <c r="L536" s="148" t="n"/>
      <c r="M536" s="148" t="n"/>
      <c r="N536" s="148" t="n"/>
      <c r="O536" s="148" t="n"/>
      <c r="P536" s="148" t="n"/>
      <c r="Q536" s="148" t="n"/>
      <c r="R536" s="148">
        <f>IF(AND(F536:Q536),1,0)</f>
        <v/>
      </c>
    </row>
    <row r="538">
      <c r="A538" s="72" t="n"/>
      <c r="B538" s="72" t="inlineStr">
        <is>
          <t>(MV_Loss_Timer)</t>
        </is>
      </c>
      <c r="C538" s="72" t="n"/>
      <c r="D538" s="72" t="n"/>
      <c r="E538" s="72" t="n"/>
      <c r="F538" s="72" t="n"/>
      <c r="G538" s="72" t="n"/>
      <c r="H538" s="72" t="n"/>
      <c r="I538" s="72" t="n"/>
      <c r="J538" s="72" t="n"/>
      <c r="K538" s="72" t="n"/>
      <c r="L538" s="72" t="n"/>
      <c r="M538" s="72" t="n"/>
      <c r="N538" s="72" t="n"/>
      <c r="O538" s="72" t="n"/>
      <c r="P538" s="72" t="n"/>
      <c r="Q538" s="72" t="n"/>
      <c r="R538" s="72" t="n">
        <v>30</v>
      </c>
    </row>
    <row r="540" ht="20.15" customHeight="1">
      <c r="A540" s="823" t="inlineStr">
        <is>
          <t>30.Compressor Mnagement Conditions to start compressor</t>
        </is>
      </c>
      <c r="B540" s="869" t="n"/>
      <c r="C540" s="869" t="n"/>
      <c r="D540" s="869" t="n"/>
      <c r="E540" s="869" t="n"/>
      <c r="F540" s="869" t="n"/>
      <c r="G540" s="869" t="n"/>
      <c r="H540" s="869" t="n"/>
      <c r="I540" s="869" t="n"/>
      <c r="J540" s="869" t="n"/>
      <c r="K540" s="869" t="n"/>
      <c r="L540" s="869" t="n"/>
      <c r="M540" s="869" t="n"/>
      <c r="N540" s="869" t="n"/>
      <c r="O540" s="869" t="n"/>
      <c r="P540" s="869" t="n"/>
      <c r="Q540" s="869" t="n"/>
      <c r="R540" s="870" t="n"/>
    </row>
    <row r="542" ht="20.15" customHeight="1">
      <c r="A542" s="318" t="n">
        <v>1</v>
      </c>
      <c r="B542" s="72" t="inlineStr">
        <is>
          <t>HVAC_AUTO_mode_TCMS</t>
        </is>
      </c>
      <c r="C542" s="72" t="n"/>
      <c r="D542" s="72" t="n"/>
      <c r="E542" s="72" t="n"/>
      <c r="F542" s="318">
        <f>HVAC_IOs!D20</f>
        <v/>
      </c>
      <c r="G542" s="318" t="n"/>
      <c r="H542" s="318" t="n"/>
      <c r="I542" s="318" t="n"/>
      <c r="J542" s="318" t="n"/>
      <c r="K542" s="318" t="n"/>
      <c r="L542" s="318" t="n"/>
      <c r="M542" s="318" t="n"/>
      <c r="N542" s="318" t="n"/>
      <c r="O542" s="318" t="n"/>
      <c r="P542" s="318" t="n"/>
      <c r="Q542" s="318" t="n"/>
      <c r="R542" s="318">
        <f>IF(AND(F542:Q542),1,0)</f>
        <v/>
      </c>
    </row>
    <row r="543" ht="20.15" customHeight="1">
      <c r="A543" s="318" t="n">
        <v>2</v>
      </c>
      <c r="B543" s="72" t="inlineStr">
        <is>
          <t>PPR_high</t>
        </is>
      </c>
      <c r="C543" s="72" t="n"/>
      <c r="D543" s="72" t="n"/>
      <c r="E543" s="72" t="n"/>
      <c r="F543" s="318">
        <f>IF(AND(HVAC_IOs!D8=1,HVAC_IOs!D9=1),1,0)</f>
        <v/>
      </c>
      <c r="G543" s="318" t="n"/>
      <c r="H543" s="318" t="n"/>
      <c r="I543" s="318" t="n"/>
      <c r="J543" s="318" t="n"/>
      <c r="K543" s="318" t="n"/>
      <c r="L543" s="318" t="n"/>
      <c r="M543" s="318" t="n"/>
      <c r="N543" s="318" t="n"/>
      <c r="O543" s="318" t="n"/>
      <c r="P543" s="318" t="n"/>
      <c r="Q543" s="318" t="n"/>
      <c r="R543" s="318">
        <f>IF(AND(F543:Q543),1,0)</f>
        <v/>
      </c>
    </row>
    <row r="544" ht="20.15" customHeight="1">
      <c r="A544" s="318" t="n">
        <v>3</v>
      </c>
      <c r="B544" s="72" t="inlineStr">
        <is>
          <t>Fresh_air_temp_&gt;T4</t>
        </is>
      </c>
      <c r="C544" s="72" t="n"/>
      <c r="D544" s="72" t="n"/>
      <c r="E544" s="72" t="n"/>
      <c r="F544" s="318">
        <f>HVAC_IOs!R4</f>
        <v/>
      </c>
      <c r="G544" s="318" t="n"/>
      <c r="H544" s="318" t="n"/>
      <c r="I544" s="318" t="n"/>
      <c r="J544" s="318" t="n"/>
      <c r="K544" s="318" t="n"/>
      <c r="L544" s="318" t="n"/>
      <c r="M544" s="318" t="n"/>
      <c r="N544" s="318" t="n"/>
      <c r="O544" s="318" t="n"/>
      <c r="P544" s="318" t="n"/>
      <c r="Q544" s="318" t="n"/>
      <c r="R544" s="318">
        <f>IF(AND(F544:Q544),1,0)</f>
        <v/>
      </c>
    </row>
    <row r="545" ht="20.15" customHeight="1">
      <c r="A545" s="318" t="n">
        <v>4</v>
      </c>
      <c r="B545" s="72" t="inlineStr">
        <is>
          <t>Cooling domand_&gt;25%</t>
        </is>
      </c>
      <c r="C545" s="72" t="n"/>
      <c r="D545" s="72" t="n"/>
      <c r="E545" s="72" t="n"/>
      <c r="F545" s="324" t="n">
        <v>1</v>
      </c>
      <c r="G545" s="318" t="n"/>
      <c r="H545" s="318" t="n"/>
      <c r="I545" s="318" t="n"/>
      <c r="J545" s="318" t="n"/>
      <c r="K545" s="318" t="n"/>
      <c r="L545" s="318" t="n"/>
      <c r="M545" s="318" t="n"/>
      <c r="N545" s="318" t="n"/>
      <c r="O545" s="318" t="n"/>
      <c r="P545" s="318" t="n"/>
      <c r="Q545" s="318" t="n"/>
      <c r="R545" s="318">
        <f>IF(AND(F545:Q545),1,0)</f>
        <v/>
      </c>
    </row>
    <row r="546" ht="20.15" customHeight="1">
      <c r="A546" s="318" t="n">
        <v>5</v>
      </c>
      <c r="B546" s="72" t="inlineStr">
        <is>
          <t>Comp_min._OFF_timer_expired</t>
        </is>
      </c>
      <c r="C546" s="72" t="n"/>
      <c r="D546" s="72" t="n"/>
      <c r="E546" s="72" t="n"/>
      <c r="F546" s="324" t="n">
        <v>1</v>
      </c>
      <c r="G546" s="318" t="n"/>
      <c r="H546" s="318" t="n"/>
      <c r="I546" s="318" t="n"/>
      <c r="J546" s="318" t="n"/>
      <c r="K546" s="318" t="n"/>
      <c r="L546" s="318" t="n"/>
      <c r="M546" s="318" t="n"/>
      <c r="N546" s="318" t="n"/>
      <c r="O546" s="318" t="n"/>
      <c r="P546" s="318" t="n"/>
      <c r="Q546" s="318" t="n"/>
      <c r="R546" s="318">
        <f>IF(AND(F546:Q546),1,0)</f>
        <v/>
      </c>
    </row>
    <row r="547" ht="20.15" customHeight="1">
      <c r="A547" s="318" t="n">
        <v>6</v>
      </c>
      <c r="B547" s="72" t="inlineStr">
        <is>
          <t>No_condenser_fan_failure</t>
        </is>
      </c>
      <c r="C547" s="72" t="n"/>
      <c r="D547" s="72" t="n"/>
      <c r="E547" s="72" t="n"/>
      <c r="F547" s="318">
        <f>HVAC_IOs!D28</f>
        <v/>
      </c>
      <c r="G547" s="318" t="n"/>
      <c r="H547" s="318" t="n"/>
      <c r="I547" s="318" t="n"/>
      <c r="J547" s="318" t="n"/>
      <c r="K547" s="318" t="n"/>
      <c r="L547" s="318" t="n"/>
      <c r="M547" s="318" t="n"/>
      <c r="N547" s="318" t="n"/>
      <c r="O547" s="318" t="n"/>
      <c r="P547" s="318" t="n"/>
      <c r="Q547" s="318" t="n"/>
      <c r="R547" s="318">
        <f>IF(AND(F547:Q547),1,0)</f>
        <v/>
      </c>
    </row>
    <row r="548" ht="20.15" customHeight="1">
      <c r="A548" s="318" t="n">
        <v>7</v>
      </c>
      <c r="B548" s="330" t="inlineStr">
        <is>
          <t>No_condenser_fan_failure</t>
        </is>
      </c>
      <c r="C548" s="72" t="n"/>
      <c r="D548" s="72" t="n"/>
      <c r="E548" s="72" t="n"/>
      <c r="F548" s="318">
        <f>HVAC_IOs!D28</f>
        <v/>
      </c>
      <c r="G548" s="318" t="n"/>
      <c r="H548" s="318" t="n"/>
      <c r="I548" s="318" t="n"/>
      <c r="J548" s="318" t="n"/>
      <c r="K548" s="318" t="n"/>
      <c r="L548" s="318" t="n"/>
      <c r="M548" s="318" t="n"/>
      <c r="N548" s="318" t="n"/>
      <c r="O548" s="318" t="n"/>
      <c r="P548" s="318" t="n"/>
      <c r="Q548" s="318" t="n"/>
      <c r="R548" s="318">
        <f>IF(AND(F548:Q548),1,0)</f>
        <v/>
      </c>
    </row>
    <row r="549" ht="20.15" customHeight="1">
      <c r="A549" s="318" t="n">
        <v>8</v>
      </c>
      <c r="B549" s="72" t="inlineStr">
        <is>
          <t>Comp. set._enabled</t>
        </is>
      </c>
      <c r="C549" s="72" t="n"/>
      <c r="D549" s="72" t="n"/>
      <c r="E549" s="72" t="n"/>
      <c r="F549" s="324" t="n">
        <v>1</v>
      </c>
      <c r="G549" s="318" t="n"/>
      <c r="H549" s="318" t="n"/>
      <c r="I549" s="318" t="n"/>
      <c r="J549" s="318" t="n"/>
      <c r="K549" s="318" t="n"/>
      <c r="L549" s="318" t="n"/>
      <c r="M549" s="318" t="n"/>
      <c r="N549" s="318" t="n"/>
      <c r="O549" s="318" t="n"/>
      <c r="P549" s="318" t="n"/>
      <c r="Q549" s="318" t="n"/>
      <c r="R549" s="318">
        <f>IF(AND(F549:Q549),1,0)</f>
        <v/>
      </c>
    </row>
    <row r="550" ht="32.25" customHeight="1">
      <c r="A550" s="318" t="n">
        <v>9</v>
      </c>
      <c r="B550" s="330" t="inlineStr">
        <is>
          <t>Comp_start_not_inhibited-by_start_permission</t>
        </is>
      </c>
      <c r="C550" s="72" t="n"/>
      <c r="D550" s="72" t="n"/>
      <c r="E550" s="72" t="n"/>
      <c r="F550" s="318">
        <f>HVAC_IOs!D18</f>
        <v/>
      </c>
      <c r="G550" s="318" t="n"/>
      <c r="H550" s="318" t="n"/>
      <c r="I550" s="318" t="n"/>
      <c r="J550" s="318" t="n"/>
      <c r="K550" s="318" t="n"/>
      <c r="L550" s="318" t="n"/>
      <c r="M550" s="318" t="n"/>
      <c r="N550" s="318" t="n"/>
      <c r="O550" s="318" t="n"/>
      <c r="P550" s="318" t="n"/>
      <c r="Q550" s="318" t="n"/>
      <c r="R550" s="318">
        <f>IF(AND(F550:Q550),1,0)</f>
        <v/>
      </c>
    </row>
    <row r="551" ht="20.15" customHeight="1">
      <c r="A551" s="148" t="n">
        <v>10</v>
      </c>
      <c r="B551" s="149" t="inlineStr">
        <is>
          <t>Comp._START_allow_Sequence</t>
        </is>
      </c>
      <c r="C551" s="149" t="n"/>
      <c r="D551" s="149" t="n"/>
      <c r="E551" s="149" t="n"/>
      <c r="F551" s="148" t="n"/>
      <c r="G551" s="148">
        <f>IF(AND(R542:R550),1,0)</f>
        <v/>
      </c>
      <c r="H551" s="148" t="n"/>
      <c r="I551" s="148" t="n"/>
      <c r="J551" s="148" t="n"/>
      <c r="K551" s="148" t="n"/>
      <c r="L551" s="148" t="n"/>
      <c r="M551" s="148" t="n"/>
      <c r="N551" s="148" t="n"/>
      <c r="O551" s="148" t="n"/>
      <c r="P551" s="148" t="n"/>
      <c r="Q551" s="148" t="n"/>
      <c r="R551" s="148">
        <f>IF(AND(F551:Q551),1,0)</f>
        <v/>
      </c>
    </row>
    <row r="555" ht="20.15" customHeight="1">
      <c r="A555" s="823" t="inlineStr">
        <is>
          <t>31.Compressor Startup Sequence</t>
        </is>
      </c>
      <c r="B555" s="869" t="n"/>
      <c r="C555" s="869" t="n"/>
      <c r="D555" s="869" t="n"/>
      <c r="E555" s="869" t="n"/>
      <c r="F555" s="869" t="n"/>
      <c r="G555" s="869" t="n"/>
      <c r="H555" s="869" t="n"/>
      <c r="I555" s="869" t="n"/>
      <c r="J555" s="869" t="n"/>
      <c r="K555" s="869" t="n"/>
      <c r="L555" s="869" t="n"/>
      <c r="M555" s="869" t="n"/>
      <c r="N555" s="869" t="n"/>
      <c r="O555" s="869" t="n"/>
      <c r="P555" s="869" t="n"/>
      <c r="Q555" s="869" t="n"/>
      <c r="R555" s="870" t="n"/>
    </row>
    <row r="557" ht="20.15" customHeight="1">
      <c r="A557" s="331" t="n">
        <v>1</v>
      </c>
      <c r="B557" s="332" t="inlineStr">
        <is>
          <t xml:space="preserve">Comp_start_condition </t>
        </is>
      </c>
      <c r="C557" s="332" t="n"/>
      <c r="D557" s="332" t="n"/>
      <c r="E557" s="332" t="n"/>
      <c r="F557" s="331">
        <f>HVAC_IOs!D18</f>
        <v/>
      </c>
      <c r="G557" s="331" t="n"/>
      <c r="H557" s="331" t="n"/>
      <c r="I557" s="331" t="n"/>
      <c r="J557" s="331" t="n"/>
      <c r="K557" s="331" t="n"/>
      <c r="L557" s="331" t="n"/>
      <c r="M557" s="331" t="n"/>
      <c r="N557" s="331" t="n"/>
      <c r="O557" s="331" t="n"/>
      <c r="P557" s="331" t="n"/>
      <c r="Q557" s="331" t="n"/>
      <c r="R557" s="331">
        <f>IF(AND(F557:Q557),1,0)</f>
        <v/>
      </c>
    </row>
    <row r="558" ht="21" customHeight="1">
      <c r="A558" s="331" t="n">
        <v>2</v>
      </c>
      <c r="B558" s="333" t="inlineStr">
        <is>
          <t>CTMC_energized_condenser_fan_START</t>
        </is>
      </c>
      <c r="C558" s="332" t="n"/>
      <c r="D558" s="332" t="n"/>
      <c r="E558" s="332" t="n"/>
      <c r="F558" s="331">
        <f>HVAC_IOs!D28</f>
        <v/>
      </c>
      <c r="G558" s="331" t="n"/>
      <c r="H558" s="331" t="n"/>
      <c r="I558" s="331" t="n"/>
      <c r="J558" s="331" t="n"/>
      <c r="K558" s="331" t="n"/>
      <c r="L558" s="331" t="n"/>
      <c r="M558" s="331" t="n"/>
      <c r="N558" s="331" t="n"/>
      <c r="O558" s="331" t="n"/>
      <c r="P558" s="331" t="n"/>
      <c r="Q558" s="331" t="n"/>
      <c r="R558" s="331">
        <f>IF(AND(F558:Q558),1,0)</f>
        <v/>
      </c>
    </row>
    <row r="559" ht="20.15" customHeight="1">
      <c r="A559" s="331" t="n">
        <v>3</v>
      </c>
      <c r="B559" s="332" t="inlineStr">
        <is>
          <t>Liquid_line_solenoid_valve_open</t>
        </is>
      </c>
      <c r="C559" s="332" t="n"/>
      <c r="D559" s="332" t="n"/>
      <c r="E559" s="332" t="n"/>
      <c r="F559" s="331">
        <f>HVAC_IOs!K25</f>
        <v/>
      </c>
      <c r="G559" s="331" t="n"/>
      <c r="H559" s="331" t="n"/>
      <c r="I559" s="331" t="n"/>
      <c r="J559" s="331" t="n"/>
      <c r="K559" s="331" t="n"/>
      <c r="L559" s="331" t="n"/>
      <c r="M559" s="331" t="n"/>
      <c r="N559" s="331" t="n"/>
      <c r="O559" s="331" t="n"/>
      <c r="P559" s="331" t="n"/>
      <c r="Q559" s="331" t="n"/>
      <c r="R559" s="331">
        <f>IF(AND(F559:Q559),1,0)</f>
        <v/>
      </c>
    </row>
    <row r="560" ht="20.15" customHeight="1">
      <c r="A560" s="331" t="n">
        <v>4</v>
      </c>
      <c r="B560" s="332" t="inlineStr">
        <is>
          <t>CFMC_feedback_OK</t>
        </is>
      </c>
      <c r="C560" s="332" t="n"/>
      <c r="D560" s="332" t="n"/>
      <c r="E560" s="332" t="n"/>
      <c r="F560" s="324" t="n">
        <v>1</v>
      </c>
      <c r="G560" s="331" t="n"/>
      <c r="H560" s="331" t="n"/>
      <c r="I560" s="331" t="n"/>
      <c r="J560" s="331" t="n"/>
      <c r="K560" s="331" t="n"/>
      <c r="L560" s="331" t="n"/>
      <c r="M560" s="331" t="n"/>
      <c r="N560" s="331" t="n"/>
      <c r="O560" s="331" t="n"/>
      <c r="P560" s="331" t="n"/>
      <c r="Q560" s="331" t="n"/>
      <c r="R560" s="331">
        <f>IF(AND(F560:Q560),1,0)</f>
        <v/>
      </c>
    </row>
    <row r="561" ht="20.15" customHeight="1">
      <c r="A561" s="331" t="n">
        <v>5</v>
      </c>
      <c r="B561" s="332" t="inlineStr">
        <is>
          <t>CMC_energized</t>
        </is>
      </c>
      <c r="C561" s="332" t="n"/>
      <c r="D561" s="332" t="n"/>
      <c r="E561" s="332" t="n"/>
      <c r="F561" s="331">
        <f>HVAC_IOs!D49</f>
        <v/>
      </c>
      <c r="G561" s="331" t="n"/>
      <c r="H561" s="331" t="n"/>
      <c r="I561" s="331" t="n"/>
      <c r="J561" s="331" t="n"/>
      <c r="K561" s="331" t="n"/>
      <c r="L561" s="331" t="n"/>
      <c r="M561" s="331" t="n"/>
      <c r="N561" s="331" t="n"/>
      <c r="O561" s="331" t="n"/>
      <c r="P561" s="331" t="n"/>
      <c r="Q561" s="331" t="n"/>
      <c r="R561" s="331">
        <f>IF(AND(F561:Q561),1,0)</f>
        <v/>
      </c>
    </row>
    <row r="562" ht="20.15" customHeight="1">
      <c r="A562" s="331" t="n">
        <v>6</v>
      </c>
      <c r="B562" s="332" t="inlineStr">
        <is>
          <t>Cooling_demand_&gt;_2nd_comp._threshold</t>
        </is>
      </c>
      <c r="C562" s="332" t="n"/>
      <c r="D562" s="332" t="n"/>
      <c r="E562" s="332" t="n"/>
      <c r="F562" s="324" t="n">
        <v>1</v>
      </c>
      <c r="G562" s="331" t="n"/>
      <c r="H562" s="331" t="n"/>
      <c r="I562" s="331" t="n"/>
      <c r="J562" s="331" t="n"/>
      <c r="K562" s="331" t="n"/>
      <c r="L562" s="331" t="n"/>
      <c r="M562" s="331" t="n"/>
      <c r="N562" s="331" t="n"/>
      <c r="O562" s="331" t="n"/>
      <c r="P562" s="331" t="n"/>
      <c r="Q562" s="331" t="n"/>
      <c r="R562" s="331">
        <f>IF(AND(F562:Q562),1,0)</f>
        <v/>
      </c>
    </row>
    <row r="563" ht="20.15" customHeight="1">
      <c r="A563" s="331" t="n">
        <v>7</v>
      </c>
      <c r="B563" s="332" t="inlineStr">
        <is>
          <t xml:space="preserve">2nd_comp._required
</t>
        </is>
      </c>
      <c r="C563" s="332" t="n"/>
      <c r="D563" s="332" t="n"/>
      <c r="E563" s="332" t="n"/>
      <c r="F563" s="331">
        <f>F562</f>
        <v/>
      </c>
      <c r="G563" s="331" t="n"/>
      <c r="H563" s="331" t="n"/>
      <c r="I563" s="331" t="n"/>
      <c r="J563" s="331" t="n"/>
      <c r="K563" s="331" t="n"/>
      <c r="L563" s="331" t="n"/>
      <c r="M563" s="331" t="n"/>
      <c r="N563" s="331" t="n"/>
      <c r="O563" s="331" t="n"/>
      <c r="P563" s="331" t="n"/>
      <c r="Q563" s="331" t="n"/>
      <c r="R563" s="331">
        <f>IF(AND(F563:Q563),1,0)</f>
        <v/>
      </c>
    </row>
    <row r="564" ht="20.15" customHeight="1">
      <c r="A564" s="331" t="n">
        <v>8</v>
      </c>
      <c r="B564" s="332" t="inlineStr">
        <is>
          <t>Comp.start-_allowed</t>
        </is>
      </c>
      <c r="C564" s="332" t="n"/>
      <c r="D564" s="332" t="n"/>
      <c r="E564" s="332" t="n"/>
      <c r="F564" s="331" t="n">
        <v>1</v>
      </c>
      <c r="G564" s="331" t="n"/>
      <c r="H564" s="331" t="n"/>
      <c r="I564" s="331" t="n"/>
      <c r="J564" s="331" t="n"/>
      <c r="K564" s="331" t="n"/>
      <c r="L564" s="331" t="n"/>
      <c r="M564" s="331" t="n"/>
      <c r="N564" s="331" t="n"/>
      <c r="O564" s="331" t="n"/>
      <c r="P564" s="331" t="n"/>
      <c r="Q564" s="331" t="n"/>
      <c r="R564" s="331">
        <f>IF(AND(F564:Q564),1,0)</f>
        <v/>
      </c>
    </row>
    <row r="565" ht="20.15" customHeight="1">
      <c r="A565" s="331" t="n">
        <v>9</v>
      </c>
      <c r="B565" s="332" t="inlineStr">
        <is>
          <t>CFM fan OK</t>
        </is>
      </c>
      <c r="C565" s="332" t="n"/>
      <c r="D565" s="332" t="n"/>
      <c r="E565" s="332" t="n"/>
      <c r="F565" s="331">
        <f>HVAC_IOs!D28</f>
        <v/>
      </c>
      <c r="G565" s="331" t="n"/>
      <c r="H565" s="331" t="n"/>
      <c r="I565" s="331" t="n"/>
      <c r="J565" s="331" t="n"/>
      <c r="K565" s="331" t="n"/>
      <c r="L565" s="331" t="n"/>
      <c r="M565" s="331" t="n"/>
      <c r="N565" s="331" t="n"/>
      <c r="O565" s="331" t="n"/>
      <c r="P565" s="331" t="n"/>
      <c r="Q565" s="331" t="n"/>
      <c r="R565" s="331">
        <f>IF(AND(F565:Q565),1,0)</f>
        <v/>
      </c>
    </row>
    <row r="566" ht="20.15" customHeight="1">
      <c r="A566" s="148" t="n">
        <v>10</v>
      </c>
      <c r="B566" s="149" t="inlineStr">
        <is>
          <t>Comp_START_UP</t>
        </is>
      </c>
      <c r="C566" s="149" t="n"/>
      <c r="D566" s="149" t="n"/>
      <c r="E566" s="149" t="n"/>
      <c r="F566" s="148" t="n"/>
      <c r="G566" s="148">
        <f>IF(AND(R557:R565),1,0)</f>
        <v/>
      </c>
      <c r="H566" s="148" t="n"/>
      <c r="I566" s="148" t="n"/>
      <c r="J566" s="148" t="n"/>
      <c r="K566" s="148" t="n"/>
      <c r="L566" s="148" t="n"/>
      <c r="M566" s="148" t="n"/>
      <c r="N566" s="148" t="n"/>
      <c r="O566" s="148" t="n"/>
      <c r="P566" s="148" t="n"/>
      <c r="Q566" s="148" t="n"/>
      <c r="R566" s="148">
        <f>IF(AND(F566:Q566),1,0)</f>
        <v/>
      </c>
    </row>
    <row r="570" ht="20.15" customHeight="1">
      <c r="A570" s="823" t="inlineStr">
        <is>
          <t>32. Compressor Cooling Power Modulation</t>
        </is>
      </c>
      <c r="B570" s="869" t="n"/>
      <c r="C570" s="869" t="n"/>
      <c r="D570" s="869" t="n"/>
      <c r="E570" s="869" t="n"/>
      <c r="F570" s="869" t="n"/>
      <c r="G570" s="869" t="n"/>
      <c r="H570" s="869" t="n"/>
      <c r="I570" s="869" t="n"/>
      <c r="J570" s="869" t="n"/>
      <c r="K570" s="869" t="n"/>
      <c r="L570" s="869" t="n"/>
      <c r="M570" s="869" t="n"/>
      <c r="N570" s="869" t="n"/>
      <c r="O570" s="869" t="n"/>
      <c r="P570" s="869" t="n"/>
      <c r="Q570" s="869" t="n"/>
      <c r="R570" s="870" t="n"/>
    </row>
    <row r="572" ht="20.15" customHeight="1">
      <c r="A572" s="318" t="n">
        <v>1</v>
      </c>
      <c r="B572" s="72" t="inlineStr">
        <is>
          <t>Cooling demand</t>
        </is>
      </c>
      <c r="C572" s="72" t="n"/>
      <c r="D572" s="72" t="n"/>
      <c r="E572" s="72" t="n"/>
      <c r="F572" s="324" t="n">
        <v>1</v>
      </c>
      <c r="G572" s="318" t="n"/>
      <c r="H572" s="318" t="n"/>
      <c r="I572" s="318" t="n"/>
      <c r="J572" s="318" t="n"/>
      <c r="K572" s="318" t="n"/>
      <c r="L572" s="318" t="n"/>
      <c r="M572" s="318" t="n"/>
      <c r="N572" s="318" t="n"/>
      <c r="O572" s="318" t="n"/>
      <c r="P572" s="318" t="n"/>
      <c r="Q572" s="318" t="n"/>
      <c r="R572" s="318">
        <f>IF(AND(F572:Q572),1,0)</f>
        <v/>
      </c>
    </row>
    <row r="573" ht="20.15" customHeight="1">
      <c r="A573" s="318" t="n">
        <v>2</v>
      </c>
      <c r="B573" s="72" t="inlineStr">
        <is>
          <t>CD_&lt;_30%</t>
        </is>
      </c>
      <c r="C573" s="72" t="n"/>
      <c r="D573" s="72" t="n"/>
      <c r="E573" s="72" t="n"/>
      <c r="F573" s="318" t="n"/>
      <c r="G573" s="318">
        <f>F572</f>
        <v/>
      </c>
      <c r="H573" s="318" t="n"/>
      <c r="I573" s="318" t="n"/>
      <c r="J573" s="318" t="n"/>
      <c r="K573" s="318" t="n"/>
      <c r="L573" s="318" t="n"/>
      <c r="M573" s="318" t="n"/>
      <c r="N573" s="318" t="n"/>
      <c r="O573" s="318" t="n"/>
      <c r="P573" s="318" t="n"/>
      <c r="Q573" s="318" t="n"/>
      <c r="R573" s="318">
        <f>IF(AND(F573:Q573),1,0)</f>
        <v/>
      </c>
    </row>
    <row r="574" ht="20.15" customHeight="1">
      <c r="A574" s="318" t="n">
        <v>3</v>
      </c>
      <c r="B574" s="72" t="inlineStr">
        <is>
          <t>CD_&gt;_30%</t>
        </is>
      </c>
      <c r="C574" s="72" t="n"/>
      <c r="D574" s="72" t="n"/>
      <c r="E574" s="72" t="n"/>
      <c r="F574" s="318" t="n"/>
      <c r="G574" s="318">
        <f>F572</f>
        <v/>
      </c>
      <c r="H574" s="318" t="n"/>
      <c r="I574" s="318" t="n"/>
      <c r="J574" s="318" t="n"/>
      <c r="K574" s="318" t="n"/>
      <c r="L574" s="318" t="n"/>
      <c r="M574" s="318" t="n"/>
      <c r="N574" s="318" t="n"/>
      <c r="O574" s="318" t="n"/>
      <c r="P574" s="318" t="n"/>
      <c r="Q574" s="318" t="n"/>
      <c r="R574" s="318">
        <f>IF(AND(F574:Q574),1,0)</f>
        <v/>
      </c>
    </row>
    <row r="575" ht="20.15" customHeight="1">
      <c r="A575" s="318" t="n">
        <v>4</v>
      </c>
      <c r="B575" s="72" t="inlineStr">
        <is>
          <t>CM4_ON (VFD mode) 45_65_Hz Modulation</t>
        </is>
      </c>
      <c r="C575" s="72" t="n"/>
      <c r="D575" s="72" t="n"/>
      <c r="E575" s="72" t="n"/>
      <c r="F575" s="318" t="n"/>
      <c r="G575" s="318">
        <f>G573</f>
        <v/>
      </c>
      <c r="H575" s="318" t="n"/>
      <c r="I575" s="318" t="n"/>
      <c r="J575" s="318" t="n"/>
      <c r="K575" s="318" t="n"/>
      <c r="L575" s="318" t="n"/>
      <c r="M575" s="318" t="n"/>
      <c r="N575" s="318" t="n"/>
      <c r="O575" s="318" t="n"/>
      <c r="P575" s="318" t="n"/>
      <c r="Q575" s="318" t="n"/>
      <c r="R575" s="318">
        <f>IF(AND(F575:Q575),1,0)</f>
        <v/>
      </c>
    </row>
    <row r="576" ht="20.15" customHeight="1">
      <c r="A576" s="318" t="n">
        <v>5</v>
      </c>
      <c r="B576" s="72" t="inlineStr">
        <is>
          <t>CM4 (50Hz)</t>
        </is>
      </c>
      <c r="C576" s="72" t="n"/>
      <c r="D576" s="72" t="n"/>
      <c r="E576" s="72" t="n"/>
      <c r="F576" s="318" t="n"/>
      <c r="G576" s="318">
        <f>G575</f>
        <v/>
      </c>
      <c r="H576" s="318" t="n"/>
      <c r="I576" s="318" t="n"/>
      <c r="J576" s="318" t="n"/>
      <c r="K576" s="318" t="n"/>
      <c r="L576" s="318" t="n"/>
      <c r="M576" s="318" t="n"/>
      <c r="N576" s="318" t="n"/>
      <c r="O576" s="318" t="n"/>
      <c r="P576" s="318" t="n"/>
      <c r="Q576" s="318" t="n"/>
      <c r="R576" s="318">
        <f>IF(AND(F576:Q576),1,0)</f>
        <v/>
      </c>
    </row>
    <row r="577" ht="20.15" customHeight="1">
      <c r="A577" s="325" t="n">
        <v>6</v>
      </c>
      <c r="B577" s="326" t="inlineStr">
        <is>
          <t>CD_2_25%_CM1_ON</t>
        </is>
      </c>
      <c r="C577" s="326" t="n"/>
      <c r="D577" s="326" t="n"/>
      <c r="E577" s="326" t="n"/>
      <c r="F577" s="325" t="n"/>
      <c r="G577" s="325">
        <f>IF(OR(R575:R576),1,0)</f>
        <v/>
      </c>
      <c r="H577" s="325" t="n"/>
      <c r="I577" s="325" t="n"/>
      <c r="J577" s="325" t="n"/>
      <c r="K577" s="325" t="n"/>
      <c r="L577" s="325" t="n"/>
      <c r="M577" s="325" t="n"/>
      <c r="N577" s="325" t="n"/>
      <c r="O577" s="325" t="n"/>
      <c r="P577" s="325" t="n"/>
      <c r="Q577" s="325" t="n"/>
      <c r="R577" s="325">
        <f>IF(AND(F577:Q577),1,0)</f>
        <v/>
      </c>
    </row>
    <row r="578" ht="20.15" customHeight="1">
      <c r="A578" s="325" t="n">
        <v>7</v>
      </c>
      <c r="B578" s="326" t="inlineStr">
        <is>
          <t>CD_2_30%_CM2_ON</t>
        </is>
      </c>
      <c r="C578" s="326" t="n"/>
      <c r="D578" s="326" t="n"/>
      <c r="E578" s="326" t="n"/>
      <c r="F578" s="325" t="n"/>
      <c r="G578" s="325">
        <f>G577</f>
        <v/>
      </c>
      <c r="H578" s="325" t="n"/>
      <c r="I578" s="325" t="n"/>
      <c r="J578" s="325" t="n"/>
      <c r="K578" s="325" t="n"/>
      <c r="L578" s="325" t="n"/>
      <c r="M578" s="325" t="n"/>
      <c r="N578" s="325" t="n"/>
      <c r="O578" s="325" t="n"/>
      <c r="P578" s="325" t="n"/>
      <c r="Q578" s="325" t="n"/>
      <c r="R578" s="325">
        <f>IF(AND(F578:Q578),1,0)</f>
        <v/>
      </c>
    </row>
    <row r="579" ht="20.15" customHeight="1">
      <c r="A579" s="325" t="n">
        <v>8</v>
      </c>
      <c r="B579" s="326" t="inlineStr">
        <is>
          <t>CD_2_75%_CM3_ON</t>
        </is>
      </c>
      <c r="C579" s="326" t="n"/>
      <c r="D579" s="326" t="n"/>
      <c r="E579" s="326" t="n"/>
      <c r="F579" s="325" t="n"/>
      <c r="G579" s="325">
        <f>G578</f>
        <v/>
      </c>
      <c r="H579" s="325" t="n"/>
      <c r="I579" s="325" t="n"/>
      <c r="J579" s="325" t="n"/>
      <c r="K579" s="325" t="n"/>
      <c r="L579" s="325" t="n"/>
      <c r="M579" s="325" t="n"/>
      <c r="N579" s="325" t="n"/>
      <c r="O579" s="325" t="n"/>
      <c r="P579" s="325" t="n"/>
      <c r="Q579" s="325" t="n"/>
      <c r="R579" s="325">
        <f>IF(AND(F579:Q579),1,0)</f>
        <v/>
      </c>
    </row>
    <row r="580" ht="20.15" customHeight="1">
      <c r="A580" s="325" t="n">
        <v>9</v>
      </c>
      <c r="B580" s="326" t="inlineStr">
        <is>
          <t>CD_2_100%_CM_ON</t>
        </is>
      </c>
      <c r="C580" s="326" t="n"/>
      <c r="D580" s="326" t="n"/>
      <c r="E580" s="326" t="n"/>
      <c r="F580" s="325" t="n"/>
      <c r="G580" s="325">
        <f>G579</f>
        <v/>
      </c>
      <c r="H580" s="325" t="n"/>
      <c r="I580" s="325" t="n"/>
      <c r="J580" s="325" t="n"/>
      <c r="K580" s="325" t="n"/>
      <c r="L580" s="325" t="n"/>
      <c r="M580" s="325" t="n"/>
      <c r="N580" s="325" t="n"/>
      <c r="O580" s="325" t="n"/>
      <c r="P580" s="325" t="n"/>
      <c r="Q580" s="325" t="n"/>
      <c r="R580" s="325">
        <f>IF(AND(F580:Q580),1,0)</f>
        <v/>
      </c>
    </row>
    <row r="584" ht="20.15" customHeight="1">
      <c r="A584" s="823" t="inlineStr">
        <is>
          <t>33. Compressor start in case of shut down without pump Down(Bump- Start)</t>
        </is>
      </c>
      <c r="B584" s="869" t="n"/>
      <c r="C584" s="869" t="n"/>
      <c r="D584" s="869" t="n"/>
      <c r="E584" s="869" t="n"/>
      <c r="F584" s="869" t="n"/>
      <c r="G584" s="869" t="n"/>
      <c r="H584" s="869" t="n"/>
      <c r="I584" s="869" t="n"/>
      <c r="J584" s="869" t="n"/>
      <c r="K584" s="869" t="n"/>
      <c r="L584" s="869" t="n"/>
      <c r="M584" s="869" t="n"/>
      <c r="N584" s="869" t="n"/>
      <c r="O584" s="869" t="n"/>
      <c r="P584" s="869" t="n"/>
      <c r="Q584" s="869" t="n"/>
      <c r="R584" s="870" t="n"/>
    </row>
    <row r="586" ht="20.15" customHeight="1">
      <c r="A586" s="318" t="n">
        <v>1</v>
      </c>
      <c r="B586" s="72" t="inlineStr">
        <is>
          <t>Pump down shutdown</t>
        </is>
      </c>
      <c r="C586" s="72" t="n"/>
      <c r="D586" s="72" t="n"/>
      <c r="E586" s="72" t="n"/>
      <c r="F586" s="318">
        <f>HVAC_IOs!D20</f>
        <v/>
      </c>
      <c r="G586" s="318">
        <f>IF(NOT(F586),1,0)</f>
        <v/>
      </c>
      <c r="H586" s="318" t="n"/>
      <c r="I586" s="318" t="n"/>
      <c r="J586" s="318" t="n"/>
      <c r="K586" s="318" t="n"/>
      <c r="L586" s="318" t="n"/>
      <c r="M586" s="318" t="n"/>
      <c r="N586" s="318" t="n"/>
      <c r="O586" s="318" t="n"/>
      <c r="P586" s="318" t="n"/>
      <c r="Q586" s="318" t="n"/>
      <c r="R586" s="318">
        <f>IF(AND(F586:Q586),1,0)</f>
        <v/>
      </c>
    </row>
    <row r="587" ht="20.15" customHeight="1">
      <c r="A587" s="318" t="n">
        <v>2</v>
      </c>
      <c r="B587" s="72" t="inlineStr">
        <is>
          <t>Comp_Start_Allow</t>
        </is>
      </c>
      <c r="C587" s="72" t="n"/>
      <c r="D587" s="72" t="n"/>
      <c r="E587" s="72" t="n"/>
      <c r="F587" s="318">
        <f>HVAC_IOs!D18</f>
        <v/>
      </c>
      <c r="G587" s="318" t="n"/>
      <c r="H587" s="318" t="n"/>
      <c r="I587" s="318" t="n"/>
      <c r="J587" s="318" t="n"/>
      <c r="K587" s="318" t="n"/>
      <c r="L587" s="318" t="n"/>
      <c r="M587" s="318" t="n"/>
      <c r="N587" s="318" t="n"/>
      <c r="O587" s="318" t="n"/>
      <c r="P587" s="318" t="n"/>
      <c r="Q587" s="318" t="n"/>
      <c r="R587" s="318">
        <f>IF(AND(F587:Q587),1,0)</f>
        <v/>
      </c>
    </row>
    <row r="588" ht="20.15" customHeight="1">
      <c r="A588" s="148" t="n">
        <v>4</v>
      </c>
      <c r="B588" s="149" t="inlineStr">
        <is>
          <t>Bump START required</t>
        </is>
      </c>
      <c r="C588" s="149" t="n"/>
      <c r="D588" s="149" t="n"/>
      <c r="E588" s="149" t="n"/>
      <c r="F588" s="148" t="n"/>
      <c r="G588" s="148">
        <f>IF(AND(R586,R587),1,0)</f>
        <v/>
      </c>
      <c r="H588" s="148" t="n"/>
      <c r="I588" s="148" t="n"/>
      <c r="J588" s="148" t="n"/>
      <c r="K588" s="148" t="n"/>
      <c r="L588" s="148" t="n"/>
      <c r="M588" s="148" t="n"/>
      <c r="N588" s="148" t="n"/>
      <c r="O588" s="148" t="n"/>
      <c r="P588" s="148" t="n"/>
      <c r="Q588" s="148" t="n"/>
      <c r="R588" s="148">
        <f>IF(AND(G588:Q588),1,0)</f>
        <v/>
      </c>
    </row>
    <row r="589" ht="20.15" customHeight="1">
      <c r="A589" s="148" t="n">
        <v>5</v>
      </c>
      <c r="B589" s="149" t="inlineStr">
        <is>
          <t>1 sec._ON</t>
        </is>
      </c>
      <c r="C589" s="149" t="n"/>
      <c r="D589" s="149" t="n"/>
      <c r="E589" s="149" t="n"/>
      <c r="F589" s="148" t="n"/>
      <c r="G589" s="148">
        <f>G588</f>
        <v/>
      </c>
      <c r="H589" s="148" t="n"/>
      <c r="I589" s="148" t="n"/>
      <c r="J589" s="148" t="n"/>
      <c r="K589" s="148" t="n"/>
      <c r="L589" s="148" t="n"/>
      <c r="M589" s="148" t="n"/>
      <c r="N589" s="148" t="n"/>
      <c r="O589" s="148" t="n"/>
      <c r="P589" s="148" t="n"/>
      <c r="Q589" s="148" t="n"/>
      <c r="R589" s="148">
        <f>IF(AND(F589:Q589),1,0)</f>
        <v/>
      </c>
    </row>
    <row r="590" ht="20.15" customHeight="1">
      <c r="A590" s="148" t="n">
        <v>6</v>
      </c>
      <c r="B590" s="149" t="inlineStr">
        <is>
          <t>2 sec._OFF</t>
        </is>
      </c>
      <c r="C590" s="149" t="n"/>
      <c r="D590" s="149" t="n"/>
      <c r="E590" s="149" t="n"/>
      <c r="F590" s="148" t="n"/>
      <c r="G590" s="148">
        <f>F586</f>
        <v/>
      </c>
      <c r="H590" s="148" t="n"/>
      <c r="I590" s="148" t="n"/>
      <c r="J590" s="148" t="n"/>
      <c r="K590" s="148" t="n"/>
      <c r="L590" s="148" t="n"/>
      <c r="M590" s="148" t="n"/>
      <c r="N590" s="148" t="n"/>
      <c r="O590" s="148" t="n"/>
      <c r="P590" s="148" t="n"/>
      <c r="Q590" s="148" t="n"/>
      <c r="R590" s="148">
        <f>IF(AND(G590:Q590),1,0)</f>
        <v/>
      </c>
    </row>
    <row r="591" ht="20.15" customHeight="1">
      <c r="A591" s="148" t="n">
        <v>7</v>
      </c>
      <c r="B591" s="149" t="inlineStr">
        <is>
          <t>1 sec._ON</t>
        </is>
      </c>
      <c r="C591" s="149" t="n"/>
      <c r="D591" s="149" t="n"/>
      <c r="E591" s="149" t="n"/>
      <c r="F591" s="148" t="n"/>
      <c r="G591" s="148">
        <f>G589</f>
        <v/>
      </c>
      <c r="H591" s="148" t="n"/>
      <c r="I591" s="148" t="n"/>
      <c r="J591" s="148" t="n"/>
      <c r="K591" s="148" t="n"/>
      <c r="L591" s="148" t="n"/>
      <c r="M591" s="148" t="n"/>
      <c r="N591" s="148" t="n"/>
      <c r="O591" s="148" t="n"/>
      <c r="P591" s="148" t="n"/>
      <c r="Q591" s="148" t="n"/>
      <c r="R591" s="148">
        <f>IF(AND(F591:Q591),1,0)</f>
        <v/>
      </c>
    </row>
    <row r="592" ht="20.15" customHeight="1">
      <c r="A592" s="148" t="n">
        <v>8</v>
      </c>
      <c r="B592" s="149" t="inlineStr">
        <is>
          <t>2 sec._OFF</t>
        </is>
      </c>
      <c r="C592" s="149" t="n"/>
      <c r="D592" s="149" t="n"/>
      <c r="E592" s="149" t="n"/>
      <c r="F592" s="148" t="n"/>
      <c r="G592" s="148">
        <f>F586</f>
        <v/>
      </c>
      <c r="H592" s="148" t="n"/>
      <c r="I592" s="148" t="n"/>
      <c r="J592" s="148" t="n"/>
      <c r="K592" s="148" t="n"/>
      <c r="L592" s="148" t="n"/>
      <c r="M592" s="148" t="n"/>
      <c r="N592" s="148" t="n"/>
      <c r="O592" s="148" t="n"/>
      <c r="P592" s="148" t="n"/>
      <c r="Q592" s="148" t="n"/>
      <c r="R592" s="148">
        <f>IF(AND(G592:Q592),1,0)</f>
        <v/>
      </c>
    </row>
    <row r="593" ht="20.15" customHeight="1">
      <c r="A593" s="148" t="n">
        <v>9</v>
      </c>
      <c r="B593" s="149" t="inlineStr">
        <is>
          <t>1 sec._ON</t>
        </is>
      </c>
      <c r="C593" s="149" t="n"/>
      <c r="D593" s="149" t="n"/>
      <c r="E593" s="149" t="n"/>
      <c r="F593" s="148" t="n"/>
      <c r="G593" s="148">
        <f>G591</f>
        <v/>
      </c>
      <c r="H593" s="148" t="n"/>
      <c r="I593" s="148" t="n"/>
      <c r="J593" s="148" t="n"/>
      <c r="K593" s="148" t="n"/>
      <c r="L593" s="148" t="n"/>
      <c r="M593" s="148" t="n"/>
      <c r="N593" s="148" t="n"/>
      <c r="O593" s="148" t="n"/>
      <c r="P593" s="148" t="n"/>
      <c r="Q593" s="148" t="n"/>
      <c r="R593" s="148">
        <f>IF(AND(F593:Q593),1,0)</f>
        <v/>
      </c>
    </row>
    <row r="594" ht="20.15" customHeight="1">
      <c r="A594" s="148" t="n">
        <v>10</v>
      </c>
      <c r="B594" s="149" t="inlineStr">
        <is>
          <t>2 sec._OFF</t>
        </is>
      </c>
      <c r="C594" s="149" t="n"/>
      <c r="D594" s="149" t="n"/>
      <c r="E594" s="149" t="n"/>
      <c r="F594" s="148" t="n"/>
      <c r="G594" s="148">
        <f>F586</f>
        <v/>
      </c>
      <c r="H594" s="148" t="n"/>
      <c r="I594" s="148" t="n"/>
      <c r="J594" s="148" t="n"/>
      <c r="K594" s="148" t="n"/>
      <c r="L594" s="148" t="n"/>
      <c r="M594" s="148" t="n"/>
      <c r="N594" s="148" t="n"/>
      <c r="O594" s="148" t="n"/>
      <c r="P594" s="148" t="n"/>
      <c r="Q594" s="148" t="n"/>
      <c r="R594" s="148">
        <f>IF(AND(G594:Q594),1,0)</f>
        <v/>
      </c>
    </row>
    <row r="595" ht="20.15" customHeight="1">
      <c r="A595" s="148" t="n">
        <v>11</v>
      </c>
      <c r="B595" s="149" t="inlineStr">
        <is>
          <t>Comp_continuous_ON</t>
        </is>
      </c>
      <c r="C595" s="149" t="n"/>
      <c r="D595" s="149" t="n"/>
      <c r="E595" s="149" t="n"/>
      <c r="F595" s="148" t="n"/>
      <c r="G595" s="148">
        <f>G593</f>
        <v/>
      </c>
      <c r="H595" s="148" t="n"/>
      <c r="I595" s="148" t="n"/>
      <c r="J595" s="148" t="n"/>
      <c r="K595" s="148" t="n"/>
      <c r="L595" s="148" t="n"/>
      <c r="M595" s="148" t="n"/>
      <c r="N595" s="148" t="n"/>
      <c r="O595" s="148" t="n"/>
      <c r="P595" s="148" t="n"/>
      <c r="Q595" s="148" t="n"/>
      <c r="R595" s="148">
        <f>IF(AND(F595:Q595),1,0)</f>
        <v/>
      </c>
    </row>
    <row r="600" ht="20.15" customHeight="1">
      <c r="A600" s="823" t="inlineStr">
        <is>
          <t>34. Condenser fan Management</t>
        </is>
      </c>
      <c r="B600" s="869" t="n"/>
      <c r="C600" s="869" t="n"/>
      <c r="D600" s="869" t="n"/>
      <c r="E600" s="869" t="n"/>
      <c r="F600" s="869" t="n"/>
      <c r="G600" s="869" t="n"/>
      <c r="H600" s="869" t="n"/>
      <c r="I600" s="869" t="n"/>
      <c r="J600" s="869" t="n"/>
      <c r="K600" s="869" t="n"/>
      <c r="L600" s="869" t="n"/>
      <c r="M600" s="869" t="n"/>
      <c r="N600" s="869" t="n"/>
      <c r="O600" s="869" t="n"/>
      <c r="P600" s="869" t="n"/>
      <c r="Q600" s="869" t="n"/>
      <c r="R600" s="870" t="n"/>
    </row>
    <row r="602" ht="20.15" customHeight="1">
      <c r="A602" s="318" t="n">
        <v>1</v>
      </c>
      <c r="B602" s="72" t="inlineStr">
        <is>
          <t>Cooling_demand</t>
        </is>
      </c>
      <c r="C602" s="72" t="n"/>
      <c r="D602" s="72" t="n"/>
      <c r="E602" s="72" t="n"/>
      <c r="F602" s="324" t="n">
        <v>1</v>
      </c>
      <c r="G602" s="318" t="n"/>
      <c r="H602" s="318" t="n"/>
      <c r="I602" s="318" t="n"/>
      <c r="J602" s="318" t="n"/>
      <c r="K602" s="318" t="n"/>
      <c r="L602" s="318" t="n"/>
      <c r="M602" s="318" t="n"/>
      <c r="N602" s="318" t="n"/>
      <c r="O602" s="318" t="n"/>
      <c r="P602" s="318" t="n"/>
      <c r="Q602" s="318" t="n"/>
      <c r="R602" s="318">
        <f>IF(AND(F602:Q602),1,0)</f>
        <v/>
      </c>
    </row>
    <row r="603" ht="20.15" customHeight="1">
      <c r="A603" s="318" t="n">
        <v>2</v>
      </c>
      <c r="B603" s="72" t="inlineStr">
        <is>
          <t>HVAC_enable</t>
        </is>
      </c>
      <c r="C603" s="72" t="n"/>
      <c r="D603" s="72" t="n"/>
      <c r="E603" s="72" t="n"/>
      <c r="F603" s="318">
        <f>HVAC_IOs!D18</f>
        <v/>
      </c>
      <c r="G603" s="318" t="n"/>
      <c r="H603" s="318" t="n"/>
      <c r="I603" s="318" t="n"/>
      <c r="J603" s="318" t="n"/>
      <c r="K603" s="318" t="n"/>
      <c r="L603" s="318" t="n"/>
      <c r="M603" s="318" t="n"/>
      <c r="N603" s="318" t="n"/>
      <c r="O603" s="318" t="n"/>
      <c r="P603" s="318" t="n"/>
      <c r="Q603" s="318" t="n"/>
      <c r="R603" s="318">
        <f>IF(AND(F603:Q603),1,0)</f>
        <v/>
      </c>
    </row>
    <row r="604" ht="20.15" customHeight="1">
      <c r="A604" s="318" t="n">
        <v>3</v>
      </c>
      <c r="B604" s="72" t="inlineStr">
        <is>
          <t>Motor_01_OK</t>
        </is>
      </c>
      <c r="C604" s="72" t="n"/>
      <c r="D604" s="72" t="n"/>
      <c r="E604" s="72" t="n"/>
      <c r="F604" s="318">
        <f>IF(OR(HVAC_IOs!D16=1,HVAC_IOs!D17=1),1,0)</f>
        <v/>
      </c>
      <c r="G604" s="318" t="n"/>
      <c r="H604" s="318" t="n"/>
      <c r="I604" s="318" t="n"/>
      <c r="J604" s="318" t="n"/>
      <c r="K604" s="318" t="n"/>
      <c r="L604" s="318" t="n"/>
      <c r="M604" s="318" t="n"/>
      <c r="N604" s="318" t="n"/>
      <c r="O604" s="318" t="n"/>
      <c r="P604" s="318" t="n"/>
      <c r="Q604" s="318" t="n"/>
      <c r="R604" s="318">
        <f>IF(AND(F604:Q604),1,0)</f>
        <v/>
      </c>
    </row>
    <row r="605" ht="20.15" customHeight="1">
      <c r="A605" s="318" t="n">
        <v>4</v>
      </c>
      <c r="B605" s="72" t="inlineStr">
        <is>
          <t>CB_healthy</t>
        </is>
      </c>
      <c r="C605" s="72" t="n"/>
      <c r="D605" s="72" t="n"/>
      <c r="E605" s="72" t="n"/>
      <c r="F605" s="318">
        <f>HVAC_IOs!D14</f>
        <v/>
      </c>
      <c r="G605" s="318" t="n"/>
      <c r="H605" s="318" t="n"/>
      <c r="I605" s="318" t="n"/>
      <c r="J605" s="318" t="n"/>
      <c r="K605" s="318" t="n"/>
      <c r="L605" s="318" t="n"/>
      <c r="M605" s="318" t="n"/>
      <c r="N605" s="318" t="n"/>
      <c r="O605" s="318" t="n"/>
      <c r="P605" s="318" t="n"/>
      <c r="Q605" s="318" t="n"/>
      <c r="R605" s="318">
        <f>IF(AND(F605:Q605),1,0)</f>
        <v/>
      </c>
    </row>
    <row r="606" ht="20.15" customHeight="1">
      <c r="A606" s="318" t="n">
        <v>5</v>
      </c>
      <c r="B606" s="72" t="inlineStr">
        <is>
          <t>NOT_shut_down</t>
        </is>
      </c>
      <c r="C606" s="72" t="n"/>
      <c r="D606" s="72" t="n"/>
      <c r="E606" s="72" t="n"/>
      <c r="F606" s="318">
        <f>HVAC_IOs!K15</f>
        <v/>
      </c>
      <c r="G606" s="318" t="n"/>
      <c r="H606" s="318" t="n"/>
      <c r="I606" s="318" t="n"/>
      <c r="J606" s="318" t="n"/>
      <c r="K606" s="318" t="n"/>
      <c r="L606" s="318" t="n"/>
      <c r="M606" s="318" t="n"/>
      <c r="N606" s="318" t="n"/>
      <c r="O606" s="318" t="n"/>
      <c r="P606" s="318" t="n"/>
      <c r="Q606" s="318" t="n"/>
      <c r="R606" s="318">
        <f>IF(AND(F606:Q606),1,0)</f>
        <v/>
      </c>
    </row>
    <row r="607" ht="20.15" customHeight="1">
      <c r="A607" s="318" t="n">
        <v>6</v>
      </c>
      <c r="B607" s="72" t="inlineStr">
        <is>
          <t>Minimum_ON_timer_(60 sec)</t>
        </is>
      </c>
      <c r="C607" s="72" t="n"/>
      <c r="D607" s="72" t="n"/>
      <c r="E607" s="72" t="n"/>
      <c r="F607" s="318">
        <f>IF(AND(R608=1,R609&gt;=60),1,0)</f>
        <v/>
      </c>
      <c r="G607" s="318" t="n"/>
      <c r="H607" s="318" t="n"/>
      <c r="I607" s="318" t="n"/>
      <c r="J607" s="318" t="n"/>
      <c r="K607" s="318" t="n"/>
      <c r="L607" s="318" t="n"/>
      <c r="M607" s="318" t="n"/>
      <c r="N607" s="318" t="n"/>
      <c r="O607" s="318" t="n"/>
      <c r="P607" s="318" t="n"/>
      <c r="Q607" s="318" t="n"/>
      <c r="R607" s="318">
        <f>IF(AND(F607:Q607),1,0)</f>
        <v/>
      </c>
    </row>
    <row r="608" ht="20.15" customHeight="1">
      <c r="A608" s="148" t="n">
        <v>7</v>
      </c>
      <c r="B608" s="149" t="inlineStr">
        <is>
          <t>Fan_Start_Request</t>
        </is>
      </c>
      <c r="C608" s="149" t="inlineStr">
        <is>
          <t>LFC06</t>
        </is>
      </c>
      <c r="D608" s="149" t="n"/>
      <c r="E608" s="149" t="n"/>
      <c r="F608" s="148" t="n"/>
      <c r="G608" s="148">
        <f>IF(AND(R602:R606),1,0)</f>
        <v/>
      </c>
      <c r="H608" s="148" t="n"/>
      <c r="I608" s="148" t="n"/>
      <c r="J608" s="148" t="n"/>
      <c r="K608" s="148" t="n"/>
      <c r="L608" s="148" t="n"/>
      <c r="M608" s="148" t="n"/>
      <c r="N608" s="148" t="n"/>
      <c r="O608" s="148" t="n"/>
      <c r="P608" s="148" t="n"/>
      <c r="Q608" s="148" t="n"/>
      <c r="R608" s="148">
        <f>IF(AND(G608:Q608),1,0)</f>
        <v/>
      </c>
    </row>
    <row r="609" ht="20.15" customHeight="1">
      <c r="A609" s="318" t="n">
        <v>8</v>
      </c>
      <c r="B609" s="72" t="n"/>
      <c r="C609" s="72" t="n"/>
      <c r="D609" s="72" t="n"/>
      <c r="E609" s="72" t="n"/>
      <c r="F609" s="72" t="n"/>
      <c r="G609" s="72" t="n"/>
      <c r="H609" s="72" t="n"/>
      <c r="I609" s="72" t="n"/>
      <c r="J609" s="72" t="n"/>
      <c r="K609" s="72" t="n"/>
      <c r="L609" s="72" t="n"/>
      <c r="M609" s="72" t="n"/>
      <c r="N609" s="72" t="n"/>
      <c r="O609" s="72" t="n"/>
      <c r="P609" s="72" t="n"/>
      <c r="Q609" s="72" t="n"/>
      <c r="R609" s="318" t="n">
        <v>0</v>
      </c>
    </row>
    <row r="610">
      <c r="A610" s="148" t="n">
        <v>9</v>
      </c>
      <c r="B610" s="149" t="inlineStr">
        <is>
          <t>Fan_ON</t>
        </is>
      </c>
      <c r="C610" s="149" t="n"/>
      <c r="D610" s="149" t="n"/>
      <c r="E610" s="149" t="n"/>
      <c r="F610" s="148" t="n"/>
      <c r="G610" s="148" t="n"/>
      <c r="H610" s="148">
        <f>IF(OR(R608,R607),1,0)</f>
        <v/>
      </c>
      <c r="I610" s="148" t="n"/>
      <c r="J610" s="148" t="n"/>
      <c r="K610" s="148" t="n"/>
      <c r="L610" s="148" t="n"/>
      <c r="M610" s="148" t="n"/>
      <c r="N610" s="148" t="n"/>
      <c r="O610" s="148" t="n"/>
      <c r="P610" s="148" t="n"/>
      <c r="Q610" s="148" t="n"/>
      <c r="R610" s="148">
        <f>IF(AND(G610:Q610),1,0)</f>
        <v/>
      </c>
    </row>
    <row r="613" ht="20.15" customHeight="1"/>
    <row r="614" ht="20.5" customHeight="1">
      <c r="A614" s="823" t="inlineStr">
        <is>
          <t>35. System Pressure Management-Refrigerent Pressure Management-High Pressure</t>
        </is>
      </c>
      <c r="B614" s="869" t="n"/>
      <c r="C614" s="869" t="n"/>
      <c r="D614" s="869" t="n"/>
      <c r="E614" s="869" t="n"/>
      <c r="F614" s="869" t="n"/>
      <c r="G614" s="869" t="n"/>
      <c r="H614" s="869" t="n"/>
      <c r="I614" s="869" t="n"/>
      <c r="J614" s="869" t="n"/>
      <c r="K614" s="869" t="n"/>
      <c r="L614" s="869" t="n"/>
      <c r="M614" s="869" t="n"/>
      <c r="N614" s="869" t="n"/>
      <c r="O614" s="869" t="n"/>
      <c r="P614" s="869" t="n"/>
      <c r="Q614" s="869" t="n"/>
      <c r="R614" s="870" t="n"/>
    </row>
    <row r="615" ht="20.15" customHeight="1"/>
    <row r="616" ht="20.15" customHeight="1">
      <c r="A616" s="65" t="n">
        <v>1</v>
      </c>
      <c r="B616" s="66" t="inlineStr">
        <is>
          <t>Pressure_&gt;_Q(pressure_switch_trip)\</t>
        </is>
      </c>
      <c r="C616" s="66" t="n"/>
      <c r="D616" s="66" t="n"/>
      <c r="E616" s="66" t="n"/>
      <c r="F616" s="65">
        <f>IF(AND(HVAC_IOs!D10=1,HVAC_IOs!D12=1),1,0)</f>
        <v/>
      </c>
      <c r="G616" s="65" t="n"/>
      <c r="H616" s="65" t="n"/>
      <c r="I616" s="65" t="n"/>
      <c r="J616" s="65" t="n"/>
      <c r="K616" s="65" t="n"/>
      <c r="L616" s="65" t="n"/>
      <c r="M616" s="65" t="n"/>
      <c r="N616" s="65" t="n"/>
      <c r="O616" s="65" t="n"/>
      <c r="P616" s="65" t="n"/>
      <c r="Q616" s="65" t="n"/>
      <c r="R616" s="65">
        <f>IF(AND(F616:Q616),1,0)</f>
        <v/>
      </c>
    </row>
    <row r="617" ht="20.15" customHeight="1">
      <c r="A617" s="65" t="n">
        <v>2</v>
      </c>
      <c r="B617" s="66" t="inlineStr">
        <is>
          <t>Pressure_&gt;_P(pleasure_transducer_trip)</t>
        </is>
      </c>
      <c r="C617" s="66" t="n"/>
      <c r="D617" s="66" t="n"/>
      <c r="E617" s="66" t="n"/>
      <c r="F617" s="65">
        <f>IF(AND(HVAC_IOs!R6=1,HVAC_IOs!R9=1),1,0)</f>
        <v/>
      </c>
      <c r="G617" s="65" t="n"/>
      <c r="H617" s="65" t="n"/>
      <c r="I617" s="65" t="n"/>
      <c r="J617" s="65" t="n"/>
      <c r="K617" s="65" t="n"/>
      <c r="L617" s="65" t="n"/>
      <c r="M617" s="65" t="n"/>
      <c r="N617" s="65" t="n"/>
      <c r="O617" s="65" t="n"/>
      <c r="P617" s="65" t="n"/>
      <c r="Q617" s="65" t="n"/>
      <c r="R617" s="65">
        <f>IF(AND(F617:Q617),1,0)</f>
        <v/>
      </c>
    </row>
    <row r="618" ht="20.15" customHeight="1">
      <c r="A618" s="65" t="n"/>
      <c r="B618" s="66" t="inlineStr">
        <is>
          <t>LFC03</t>
        </is>
      </c>
      <c r="C618" s="66" t="n"/>
      <c r="D618" s="66" t="n"/>
      <c r="E618" s="66" t="n"/>
      <c r="F618" s="65" t="n"/>
      <c r="G618" s="65">
        <f>IF(OR(F616:F617),1,0)</f>
        <v/>
      </c>
      <c r="H618" s="65" t="n"/>
      <c r="I618" s="65" t="n"/>
      <c r="J618" s="65" t="n"/>
      <c r="K618" s="65" t="n"/>
      <c r="L618" s="65" t="n"/>
      <c r="M618" s="65" t="n"/>
      <c r="N618" s="65" t="n"/>
      <c r="O618" s="65" t="n"/>
      <c r="P618" s="65" t="n"/>
      <c r="Q618" s="65" t="n"/>
      <c r="R618" s="65">
        <f>IF(AND(F618:Q618),1,0)</f>
        <v/>
      </c>
    </row>
    <row r="619" ht="20.15" customHeight="1">
      <c r="A619" s="65" t="n">
        <v>3</v>
      </c>
      <c r="B619" s="66" t="inlineStr">
        <is>
          <t>Cooling_mode_ON</t>
        </is>
      </c>
      <c r="C619" s="66" t="n"/>
      <c r="D619" s="66" t="n"/>
      <c r="E619" s="66" t="n"/>
      <c r="F619" s="65">
        <f>HVAC_IOs!D20</f>
        <v/>
      </c>
      <c r="G619" s="65" t="n"/>
      <c r="H619" s="65" t="n"/>
      <c r="I619" s="65" t="n"/>
      <c r="J619" s="65" t="n"/>
      <c r="K619" s="65" t="n"/>
      <c r="L619" s="65" t="n"/>
      <c r="M619" s="65" t="n"/>
      <c r="N619" s="65" t="n"/>
      <c r="O619" s="65" t="n"/>
      <c r="P619" s="65" t="n"/>
      <c r="Q619" s="65" t="n"/>
      <c r="R619" s="65">
        <f>IF(AND(F619:Q619),1,0)</f>
        <v/>
      </c>
    </row>
    <row r="620" ht="20.15" customHeight="1">
      <c r="A620" s="65" t="n"/>
      <c r="B620" s="66" t="inlineStr">
        <is>
          <t>LFC05</t>
        </is>
      </c>
      <c r="C620" s="66" t="n"/>
      <c r="D620" s="66" t="n"/>
      <c r="E620" s="66" t="n"/>
      <c r="F620" s="65" t="n"/>
      <c r="G620" s="65">
        <f>IF(AND(G618,F619),1,0)</f>
        <v/>
      </c>
      <c r="H620" s="65" t="n"/>
      <c r="I620" s="65" t="n"/>
      <c r="J620" s="65" t="n"/>
      <c r="K620" s="65" t="n"/>
      <c r="L620" s="65" t="n"/>
      <c r="M620" s="65" t="n"/>
      <c r="N620" s="65" t="n"/>
      <c r="O620" s="65" t="n"/>
      <c r="P620" s="65" t="n"/>
      <c r="Q620" s="65" t="n"/>
      <c r="R620" s="65">
        <f>IF(AND(F620:Q620),1,0)</f>
        <v/>
      </c>
    </row>
    <row r="621" ht="20.15" customHeight="1">
      <c r="A621" s="65" t="n">
        <v>4</v>
      </c>
      <c r="B621" s="66" t="inlineStr">
        <is>
          <t>Pressure_&lt;_L</t>
        </is>
      </c>
      <c r="C621" s="66" t="n"/>
      <c r="D621" s="66" t="n"/>
      <c r="E621" s="66" t="n"/>
      <c r="F621" s="324">
        <f>IF(AND(R5&lt;15,R8&lt;15),1,0)</f>
        <v/>
      </c>
      <c r="G621" s="65" t="n"/>
      <c r="H621" s="65" t="n"/>
      <c r="I621" s="65" t="n"/>
      <c r="J621" s="65" t="n"/>
      <c r="K621" s="65" t="n"/>
      <c r="L621" s="65" t="n"/>
      <c r="M621" s="65" t="n"/>
      <c r="N621" s="65" t="n"/>
      <c r="O621" s="65" t="n"/>
      <c r="P621" s="65" t="n"/>
      <c r="Q621" s="65" t="n"/>
      <c r="R621" s="65">
        <f>IF(AND(F621:Q621),1,0)</f>
        <v/>
      </c>
    </row>
    <row r="622" ht="20.15" customHeight="1">
      <c r="A622" s="65" t="n"/>
      <c r="B622" s="66" t="inlineStr">
        <is>
          <t>LFC07</t>
        </is>
      </c>
      <c r="C622" s="66" t="n"/>
      <c r="D622" s="66" t="n"/>
      <c r="E622" s="66" t="n"/>
      <c r="F622" s="65" t="n"/>
      <c r="G622" s="65">
        <f>IF(AND(G620,F621),1,0)</f>
        <v/>
      </c>
      <c r="H622" s="65" t="n"/>
      <c r="I622" s="65" t="n"/>
      <c r="J622" s="65" t="n"/>
      <c r="K622" s="65" t="n"/>
      <c r="L622" s="65" t="n"/>
      <c r="M622" s="65" t="n"/>
      <c r="N622" s="65" t="n"/>
      <c r="O622" s="65" t="n"/>
      <c r="P622" s="65" t="n"/>
      <c r="Q622" s="65" t="n"/>
      <c r="R622" s="65">
        <f>IF(AND(F622:Q622),1,0)</f>
        <v/>
      </c>
    </row>
    <row r="623" ht="20.15" customHeight="1">
      <c r="A623" s="65" t="n">
        <v>5</v>
      </c>
      <c r="B623" s="66" t="inlineStr">
        <is>
          <t>Pressure_&lt;_M</t>
        </is>
      </c>
      <c r="C623" s="66" t="n"/>
      <c r="D623" s="66" t="n"/>
      <c r="E623" s="66" t="n"/>
      <c r="F623" s="324">
        <f>IF(AND(R5&lt;18,R8&lt;18),1,0)</f>
        <v/>
      </c>
      <c r="G623" s="65">
        <f>IF(NOT(F623),1,0)</f>
        <v/>
      </c>
      <c r="H623" s="65" t="n"/>
      <c r="I623" s="65" t="n"/>
      <c r="J623" s="65" t="n"/>
      <c r="K623" s="65" t="n"/>
      <c r="L623" s="65" t="n"/>
      <c r="M623" s="65" t="n"/>
      <c r="N623" s="65" t="n"/>
      <c r="O623" s="65" t="n"/>
      <c r="P623" s="65" t="n"/>
      <c r="Q623" s="65" t="n"/>
      <c r="R623" s="65">
        <f>IF(AND(F623:Q623),1,0)</f>
        <v/>
      </c>
    </row>
    <row r="624">
      <c r="A624" s="148" t="n">
        <v>9</v>
      </c>
      <c r="B624" s="149" t="inlineStr">
        <is>
          <t>Compressor_02</t>
        </is>
      </c>
      <c r="C624" s="149" t="n"/>
      <c r="D624" s="149" t="n"/>
      <c r="E624" s="149" t="n"/>
      <c r="F624" s="148" t="n"/>
      <c r="G624" s="148" t="n"/>
      <c r="H624" s="148">
        <f>IF(AND(R622,R623),1,0)</f>
        <v/>
      </c>
      <c r="I624" s="148" t="n"/>
      <c r="J624" s="148" t="n"/>
      <c r="K624" s="148" t="n"/>
      <c r="L624" s="148" t="n"/>
      <c r="M624" s="148" t="n"/>
      <c r="N624" s="148" t="n"/>
      <c r="O624" s="148" t="n"/>
      <c r="P624" s="148" t="n"/>
      <c r="Q624" s="148" t="n"/>
      <c r="R624" s="148">
        <f>IF(AND(F624:Q624),1,0)</f>
        <v/>
      </c>
    </row>
    <row r="627" ht="20.15" customHeight="1">
      <c r="A627" s="823" t="inlineStr">
        <is>
          <t>36. Heater Management</t>
        </is>
      </c>
      <c r="B627" s="869" t="n"/>
      <c r="C627" s="869" t="n"/>
      <c r="D627" s="869" t="n"/>
      <c r="E627" s="869" t="n"/>
      <c r="F627" s="869" t="n"/>
      <c r="G627" s="869" t="n"/>
      <c r="H627" s="869" t="n"/>
      <c r="I627" s="869" t="n"/>
      <c r="J627" s="869" t="n"/>
      <c r="K627" s="869" t="n"/>
      <c r="L627" s="869" t="n"/>
      <c r="M627" s="869" t="n"/>
      <c r="N627" s="869" t="n"/>
      <c r="O627" s="869" t="n"/>
      <c r="P627" s="869" t="n"/>
      <c r="Q627" s="869" t="n"/>
      <c r="R627" s="870" t="n"/>
    </row>
    <row r="629" ht="20.15" customHeight="1">
      <c r="A629" s="318" t="n">
        <v>1</v>
      </c>
      <c r="B629" s="72" t="inlineStr">
        <is>
          <t>HVAC_mode_auto</t>
        </is>
      </c>
      <c r="C629" s="72" t="n"/>
      <c r="D629" s="72" t="n"/>
      <c r="E629" s="72" t="n"/>
      <c r="F629" s="318">
        <f>HVAC_IOs!K22</f>
        <v/>
      </c>
      <c r="G629" s="318" t="n"/>
      <c r="H629" s="318" t="n"/>
      <c r="I629" s="318" t="n"/>
      <c r="J629" s="318" t="n"/>
      <c r="K629" s="318" t="n"/>
      <c r="L629" s="318" t="n"/>
      <c r="M629" s="318" t="n"/>
      <c r="N629" s="318" t="n"/>
      <c r="O629" s="318" t="n"/>
      <c r="P629" s="318" t="n"/>
      <c r="Q629" s="318" t="n"/>
      <c r="R629" s="318">
        <f>IF(AND(F629:Q629),1,0)</f>
        <v/>
      </c>
    </row>
    <row r="630" ht="20.15" customHeight="1">
      <c r="A630" s="318" t="n">
        <v>2</v>
      </c>
      <c r="B630" s="72" t="inlineStr">
        <is>
          <t>PPR1_hight</t>
        </is>
      </c>
      <c r="C630" s="72" t="n"/>
      <c r="D630" s="72" t="n"/>
      <c r="E630" s="72" t="n"/>
      <c r="F630" s="318">
        <f>HVAC_IOs!D8</f>
        <v/>
      </c>
      <c r="G630" s="318" t="n"/>
      <c r="H630" s="318" t="n"/>
      <c r="I630" s="318" t="n"/>
      <c r="J630" s="318" t="n"/>
      <c r="K630" s="318" t="n"/>
      <c r="L630" s="318" t="n"/>
      <c r="M630" s="318" t="n"/>
      <c r="N630" s="318" t="n"/>
      <c r="O630" s="318" t="n"/>
      <c r="P630" s="318" t="n"/>
      <c r="Q630" s="318" t="n"/>
      <c r="R630" s="318">
        <f>IF(AND(F630:Q630),1,0)</f>
        <v/>
      </c>
    </row>
    <row r="631" ht="20.15" customHeight="1">
      <c r="A631" s="318" t="n">
        <v>3</v>
      </c>
      <c r="B631" s="72" t="inlineStr">
        <is>
          <t>Heating_demand_&gt;_0</t>
        </is>
      </c>
      <c r="C631" s="72" t="n"/>
      <c r="D631" s="72" t="n"/>
      <c r="E631" s="72" t="n"/>
      <c r="F631" s="318">
        <f>HVAC_IOs!K10</f>
        <v/>
      </c>
      <c r="G631" s="318" t="n"/>
      <c r="H631" s="318" t="n"/>
      <c r="I631" s="318" t="n"/>
      <c r="J631" s="318" t="n"/>
      <c r="K631" s="318" t="n"/>
      <c r="L631" s="318" t="n"/>
      <c r="M631" s="318" t="n"/>
      <c r="N631" s="318" t="n"/>
      <c r="O631" s="318" t="n"/>
      <c r="P631" s="318" t="n"/>
      <c r="Q631" s="318" t="n"/>
      <c r="R631" s="318">
        <f>IF(AND(F631:Q631),1,0)</f>
        <v/>
      </c>
    </row>
    <row r="632" ht="20.15" customHeight="1">
      <c r="A632" s="318" t="n">
        <v>4</v>
      </c>
      <c r="B632" s="72" t="inlineStr">
        <is>
          <t>Overhead_heater_thermostate_trip</t>
        </is>
      </c>
      <c r="C632" s="72" t="n"/>
      <c r="D632" s="72" t="n"/>
      <c r="E632" s="72" t="n"/>
      <c r="F632" s="318">
        <f>HVAC_IOs!K16</f>
        <v/>
      </c>
      <c r="G632" s="318">
        <f>IF(NOT(F632),1,0)</f>
        <v/>
      </c>
      <c r="H632" s="318" t="n"/>
      <c r="I632" s="318" t="n"/>
      <c r="J632" s="318" t="n"/>
      <c r="K632" s="318" t="n"/>
      <c r="L632" s="318" t="n"/>
      <c r="M632" s="318" t="n"/>
      <c r="N632" s="318" t="n"/>
      <c r="O632" s="318" t="n"/>
      <c r="P632" s="318" t="n"/>
      <c r="Q632" s="318" t="n"/>
      <c r="R632" s="318">
        <f>IF(AND(F632:Q632),1,0)</f>
        <v/>
      </c>
    </row>
    <row r="633" ht="20.15" customHeight="1">
      <c r="A633" s="318" t="n">
        <v>5</v>
      </c>
      <c r="B633" s="72" t="inlineStr">
        <is>
          <t>Ambient_temp_Limit_ok</t>
        </is>
      </c>
      <c r="C633" s="72" t="n"/>
      <c r="D633" s="72" t="n"/>
      <c r="E633" s="72" t="n"/>
      <c r="F633" s="318">
        <f>IF(AND(HVAC_IOs!R2=1,HVAC_IOs!R4=1,HVAC_IOs!Q10=1),1,0)</f>
        <v/>
      </c>
      <c r="G633" s="318" t="n"/>
      <c r="H633" s="318" t="n"/>
      <c r="I633" s="318" t="n"/>
      <c r="J633" s="318" t="n"/>
      <c r="K633" s="318" t="n"/>
      <c r="L633" s="318" t="n"/>
      <c r="M633" s="318" t="n"/>
      <c r="N633" s="318" t="n"/>
      <c r="O633" s="318" t="n"/>
      <c r="P633" s="318" t="n"/>
      <c r="Q633" s="318" t="n"/>
      <c r="R633" s="318">
        <f>IF(AND(F633:Q633),1,0)</f>
        <v/>
      </c>
    </row>
    <row r="634" ht="20.15" customHeight="1">
      <c r="A634" s="148" t="n">
        <v>6</v>
      </c>
      <c r="B634" s="149" t="inlineStr">
        <is>
          <t>HVAC_enable</t>
        </is>
      </c>
      <c r="C634" s="149" t="n"/>
      <c r="D634" s="149" t="n"/>
      <c r="E634" s="149" t="n"/>
      <c r="F634" s="148" t="n"/>
      <c r="G634" s="148" t="n"/>
      <c r="H634" s="148">
        <f>IF(AND(R629:R631,R632,R633),1,0)</f>
        <v/>
      </c>
      <c r="I634" s="148" t="n"/>
      <c r="J634" s="148" t="n"/>
      <c r="K634" s="148" t="n"/>
      <c r="L634" s="148" t="n"/>
      <c r="M634" s="148" t="n"/>
      <c r="N634" s="148" t="n"/>
      <c r="O634" s="148" t="n"/>
      <c r="P634" s="148" t="n"/>
      <c r="Q634" s="148" t="n"/>
      <c r="R634" s="148">
        <f>IF(AND(F634:Q634),1,0)</f>
        <v/>
      </c>
    </row>
    <row r="636" ht="20.15" customHeight="1">
      <c r="A636" s="318" t="n">
        <v>1</v>
      </c>
      <c r="B636" s="72" t="inlineStr">
        <is>
          <t>PWM_output_active_for_0-50%</t>
        </is>
      </c>
      <c r="C636" s="72" t="n"/>
      <c r="D636" s="72" t="n"/>
      <c r="E636" s="72" t="n"/>
      <c r="F636" s="318">
        <f>IF(AND((R10-R2)&gt;0,(R10-R2)&lt;=2),1,0)</f>
        <v/>
      </c>
      <c r="G636" s="318" t="n"/>
      <c r="H636" s="318" t="n"/>
      <c r="I636" s="318" t="n"/>
      <c r="J636" s="318" t="n"/>
      <c r="K636" s="318" t="n"/>
      <c r="L636" s="318" t="n"/>
      <c r="M636" s="318" t="n"/>
      <c r="N636" s="318" t="n"/>
      <c r="O636" s="318" t="n"/>
      <c r="P636" s="318" t="n"/>
      <c r="Q636" s="318" t="n"/>
      <c r="R636" s="318">
        <f>IF(AND(F636:Q636),1,0)</f>
        <v/>
      </c>
    </row>
    <row r="637" ht="20.15" customHeight="1">
      <c r="A637" s="318" t="n">
        <v>2</v>
      </c>
      <c r="B637" s="72" t="inlineStr">
        <is>
          <t>Continuous_ON(50-100%)</t>
        </is>
      </c>
      <c r="C637" s="72" t="n"/>
      <c r="D637" s="72" t="n"/>
      <c r="E637" s="72" t="n"/>
      <c r="F637" s="318">
        <f>IF(AND((R10-R2)&gt;2,(R10-R2)&lt;=5),1,0)</f>
        <v/>
      </c>
      <c r="G637" s="318" t="n"/>
      <c r="H637" s="318" t="n"/>
      <c r="I637" s="318" t="n"/>
      <c r="J637" s="318" t="n"/>
      <c r="K637" s="318" t="n"/>
      <c r="L637" s="318" t="n"/>
      <c r="M637" s="318" t="n"/>
      <c r="N637" s="318" t="n"/>
      <c r="O637" s="318" t="n"/>
      <c r="P637" s="318" t="n"/>
      <c r="Q637" s="318" t="n"/>
      <c r="R637" s="318">
        <f>IF(AND(F637:Q637),1,0)</f>
        <v/>
      </c>
    </row>
    <row r="638" ht="20.15" customHeight="1">
      <c r="A638" s="318" t="n">
        <v>3</v>
      </c>
      <c r="B638" s="72" t="inlineStr">
        <is>
          <t>Continuous_ON(100%)</t>
        </is>
      </c>
      <c r="C638" s="72" t="n"/>
      <c r="D638" s="72" t="n"/>
      <c r="E638" s="72" t="n"/>
      <c r="F638" s="318">
        <f>IF((R10-R2)&gt;5,1,0)</f>
        <v/>
      </c>
      <c r="G638" s="318" t="n"/>
      <c r="H638" s="318" t="n"/>
      <c r="I638" s="318" t="n"/>
      <c r="J638" s="318" t="n"/>
      <c r="K638" s="318" t="n"/>
      <c r="L638" s="318" t="n"/>
      <c r="M638" s="318" t="n"/>
      <c r="N638" s="318" t="n"/>
      <c r="O638" s="318" t="n"/>
      <c r="P638" s="318" t="n"/>
      <c r="Q638" s="318" t="n"/>
      <c r="R638" s="318">
        <f>IF(AND(F638:Q638),1,0)</f>
        <v/>
      </c>
    </row>
    <row r="639" ht="20.15" customHeight="1">
      <c r="A639" s="318" t="n">
        <v>4</v>
      </c>
      <c r="B639" s="72" t="inlineStr">
        <is>
          <t>Heater_enable</t>
        </is>
      </c>
      <c r="C639" s="72" t="n"/>
      <c r="D639" s="72" t="n"/>
      <c r="E639" s="72" t="n"/>
      <c r="F639" s="318">
        <f>HVAC_IOs!K10</f>
        <v/>
      </c>
      <c r="G639" s="318" t="n"/>
      <c r="H639" s="318" t="n"/>
      <c r="I639" s="318" t="n"/>
      <c r="J639" s="318" t="n"/>
      <c r="K639" s="318" t="n"/>
      <c r="L639" s="318" t="n"/>
      <c r="M639" s="318" t="n"/>
      <c r="N639" s="318" t="n"/>
      <c r="O639" s="318" t="n"/>
      <c r="P639" s="318" t="n"/>
      <c r="Q639" s="318" t="n"/>
      <c r="R639" s="318">
        <f>IF(AND(F639:Q639),1,0)</f>
        <v/>
      </c>
    </row>
    <row r="640" ht="20.15" customHeight="1">
      <c r="A640" s="318" t="n">
        <v>5</v>
      </c>
      <c r="B640" s="72" t="inlineStr">
        <is>
          <t>LFC11</t>
        </is>
      </c>
      <c r="C640" s="72" t="n"/>
      <c r="D640" s="72" t="n"/>
      <c r="E640" s="72" t="n"/>
      <c r="F640" s="318" t="n"/>
      <c r="G640" s="318">
        <f>IF(OR(F636:F638),1,0)</f>
        <v/>
      </c>
      <c r="H640" s="318" t="n"/>
      <c r="I640" s="318" t="n"/>
      <c r="J640" s="318" t="n"/>
      <c r="K640" s="318" t="n"/>
      <c r="L640" s="318" t="n"/>
      <c r="M640" s="318" t="n"/>
      <c r="N640" s="318" t="n"/>
      <c r="O640" s="318" t="n"/>
      <c r="P640" s="318" t="n"/>
      <c r="Q640" s="318" t="n"/>
      <c r="R640" s="318">
        <f>IF(AND(F640:Q640),1,0)</f>
        <v/>
      </c>
    </row>
    <row r="641" ht="20.15" customHeight="1">
      <c r="A641" s="148" t="n">
        <v>6</v>
      </c>
      <c r="B641" s="149" t="inlineStr">
        <is>
          <t>OH1_CMD</t>
        </is>
      </c>
      <c r="C641" s="149" t="n"/>
      <c r="D641" s="149" t="n"/>
      <c r="E641" s="149" t="n"/>
      <c r="F641" s="148" t="n"/>
      <c r="G641" s="148" t="n"/>
      <c r="H641" s="148">
        <f>IF(AND(R640,R639),1,0)</f>
        <v/>
      </c>
      <c r="I641" s="148" t="n"/>
      <c r="J641" s="148" t="n"/>
      <c r="K641" s="148" t="n"/>
      <c r="L641" s="148" t="n"/>
      <c r="M641" s="148" t="n"/>
      <c r="N641" s="148" t="n"/>
      <c r="O641" s="148" t="n"/>
      <c r="P641" s="148" t="n"/>
      <c r="Q641" s="148" t="n"/>
      <c r="R641" s="148">
        <f>IF(AND(G641:Q641),1,0)</f>
        <v/>
      </c>
    </row>
    <row r="644" ht="20.15" customHeight="1">
      <c r="A644" s="318" t="n">
        <v>1</v>
      </c>
      <c r="B644" s="72" t="inlineStr">
        <is>
          <t>PWM_active_for_50-100%</t>
        </is>
      </c>
      <c r="C644" s="72" t="n"/>
      <c r="D644" s="72" t="n"/>
      <c r="E644" s="72" t="n"/>
      <c r="F644" s="318">
        <f>IF(AND((R10-R2)&gt;2,(R10-R2)&lt;=5),1,0)</f>
        <v/>
      </c>
      <c r="G644" s="318" t="n"/>
      <c r="H644" s="318" t="n"/>
      <c r="I644" s="318" t="n"/>
      <c r="J644" s="318" t="n"/>
      <c r="K644" s="318" t="n"/>
      <c r="L644" s="318" t="n"/>
      <c r="M644" s="318" t="n"/>
      <c r="N644" s="318" t="n"/>
      <c r="O644" s="318" t="n"/>
      <c r="P644" s="318" t="n"/>
      <c r="Q644" s="318" t="n"/>
      <c r="R644" s="318">
        <f>IF(AND(F644:Q644),1,0)</f>
        <v/>
      </c>
    </row>
    <row r="645" ht="20.15" customHeight="1">
      <c r="A645" s="318" t="n">
        <v>2</v>
      </c>
      <c r="B645" s="72" t="inlineStr">
        <is>
          <t>continuous_ON_at(100%)</t>
        </is>
      </c>
      <c r="C645" s="72" t="n"/>
      <c r="D645" s="72" t="n"/>
      <c r="E645" s="72" t="n"/>
      <c r="F645" s="318">
        <f>IF((R10-R2)&gt;5,1,0)</f>
        <v/>
      </c>
      <c r="G645" s="318" t="n"/>
      <c r="H645" s="318" t="n"/>
      <c r="I645" s="318" t="n"/>
      <c r="J645" s="318" t="n"/>
      <c r="K645" s="318" t="n"/>
      <c r="L645" s="318" t="n"/>
      <c r="M645" s="318" t="n"/>
      <c r="N645" s="318" t="n"/>
      <c r="O645" s="318" t="n"/>
      <c r="P645" s="318" t="n"/>
      <c r="Q645" s="318" t="n"/>
      <c r="R645" s="318">
        <f>IF(AND(F645:Q645),1,0)</f>
        <v/>
      </c>
    </row>
    <row r="646" ht="20.15" customHeight="1">
      <c r="A646" s="318" t="n"/>
      <c r="B646" s="72" t="inlineStr">
        <is>
          <t>LFC16</t>
        </is>
      </c>
      <c r="C646" s="72" t="n"/>
      <c r="D646" s="72" t="n"/>
      <c r="E646" s="72" t="n"/>
      <c r="F646" s="318" t="n"/>
      <c r="G646" s="318">
        <f>IF(OR(F644:F645),1,0)</f>
        <v/>
      </c>
      <c r="H646" s="318" t="n"/>
      <c r="I646" s="318" t="n"/>
      <c r="J646" s="318" t="n"/>
      <c r="K646" s="318" t="n"/>
      <c r="L646" s="318" t="n"/>
      <c r="M646" s="318" t="n"/>
      <c r="N646" s="318" t="n"/>
      <c r="O646" s="318" t="n"/>
      <c r="P646" s="318" t="n"/>
      <c r="Q646" s="318" t="n"/>
      <c r="R646" s="318">
        <f>IF(AND(F646:Q646),1,0)</f>
        <v/>
      </c>
    </row>
    <row r="647" ht="20.15" customHeight="1">
      <c r="A647" s="318" t="n">
        <v>3</v>
      </c>
      <c r="B647" s="72" t="inlineStr">
        <is>
          <t>Heater_enable</t>
        </is>
      </c>
      <c r="C647" s="72" t="n"/>
      <c r="D647" s="72" t="n"/>
      <c r="E647" s="72" t="n"/>
      <c r="F647" s="318">
        <f>HVAC_IOs!K10</f>
        <v/>
      </c>
      <c r="G647" s="318" t="n"/>
      <c r="H647" s="318" t="n"/>
      <c r="I647" s="318" t="n"/>
      <c r="J647" s="318" t="n"/>
      <c r="K647" s="318" t="n"/>
      <c r="L647" s="318" t="n"/>
      <c r="M647" s="318" t="n"/>
      <c r="N647" s="318" t="n"/>
      <c r="O647" s="318" t="n"/>
      <c r="P647" s="318" t="n"/>
      <c r="Q647" s="318" t="n"/>
      <c r="R647" s="318">
        <f>IF(AND(F647:Q647),1,0)</f>
        <v/>
      </c>
    </row>
    <row r="648" ht="20.15" customHeight="1">
      <c r="A648" s="148" t="n">
        <v>4</v>
      </c>
      <c r="B648" s="149" t="inlineStr">
        <is>
          <t>OH2_CMD</t>
        </is>
      </c>
      <c r="C648" s="149" t="n"/>
      <c r="D648" s="149" t="n"/>
      <c r="E648" s="149" t="n"/>
      <c r="F648" s="148" t="n"/>
      <c r="G648" s="148">
        <f>IF(AND(R646,R647),1,0)</f>
        <v/>
      </c>
      <c r="H648" s="148" t="n"/>
      <c r="I648" s="148" t="n"/>
      <c r="J648" s="148" t="n"/>
      <c r="K648" s="148" t="n"/>
      <c r="L648" s="148" t="n"/>
      <c r="M648" s="148" t="n"/>
      <c r="N648" s="148" t="n"/>
      <c r="O648" s="148" t="n"/>
      <c r="P648" s="148" t="n"/>
      <c r="Q648" s="148" t="n"/>
      <c r="R648" s="148">
        <f>IF(AND(F648:Q648),1,0)</f>
        <v/>
      </c>
    </row>
    <row r="652" ht="20.15" customHeight="1">
      <c r="A652" s="823" t="inlineStr">
        <is>
          <t>37. FAD Management</t>
        </is>
      </c>
      <c r="B652" s="869" t="n"/>
      <c r="C652" s="869" t="n"/>
      <c r="D652" s="869" t="n"/>
      <c r="E652" s="869" t="n"/>
      <c r="F652" s="869" t="n"/>
      <c r="G652" s="869" t="n"/>
      <c r="H652" s="869" t="n"/>
      <c r="I652" s="869" t="n"/>
      <c r="J652" s="869" t="n"/>
      <c r="K652" s="869" t="n"/>
      <c r="L652" s="869" t="n"/>
      <c r="M652" s="869" t="n"/>
      <c r="N652" s="869" t="n"/>
      <c r="O652" s="869" t="n"/>
      <c r="P652" s="869" t="n"/>
      <c r="Q652" s="869" t="n"/>
      <c r="R652" s="870" t="n"/>
    </row>
    <row r="654" ht="20.15" customHeight="1">
      <c r="A654" s="318" t="n">
        <v>1</v>
      </c>
      <c r="B654" s="72" t="inlineStr">
        <is>
          <t>110V_DC_Trainline</t>
        </is>
      </c>
      <c r="C654" s="72" t="n"/>
      <c r="D654" s="72" t="n"/>
      <c r="E654" s="72" t="n"/>
      <c r="F654" s="324" t="n">
        <v>1</v>
      </c>
      <c r="G654" s="318" t="n"/>
      <c r="H654" s="318" t="n"/>
      <c r="I654" s="318" t="n"/>
      <c r="J654" s="318" t="n"/>
      <c r="K654" s="318" t="n"/>
      <c r="L654" s="318" t="n"/>
      <c r="M654" s="318" t="n"/>
      <c r="N654" s="318" t="n"/>
      <c r="O654" s="318" t="n"/>
      <c r="P654" s="318" t="n"/>
      <c r="Q654" s="318" t="n"/>
      <c r="R654" s="318">
        <f>IF(AND(F654:Q654),1,0)</f>
        <v/>
      </c>
    </row>
    <row r="655" ht="20.15" customHeight="1">
      <c r="A655" s="318" t="n">
        <v>2</v>
      </c>
      <c r="B655" s="72" t="inlineStr">
        <is>
          <t>FADR_energized</t>
        </is>
      </c>
      <c r="C655" s="72" t="n"/>
      <c r="D655" s="72" t="n"/>
      <c r="E655" s="72" t="n"/>
      <c r="F655" s="318">
        <f>HVAC_IOs!D6</f>
        <v/>
      </c>
      <c r="G655" s="318" t="n"/>
      <c r="H655" s="318" t="n"/>
      <c r="I655" s="318" t="n"/>
      <c r="J655" s="318" t="n"/>
      <c r="K655" s="318" t="n"/>
      <c r="L655" s="318" t="n"/>
      <c r="M655" s="318" t="n"/>
      <c r="N655" s="318" t="n"/>
      <c r="O655" s="318" t="n"/>
      <c r="P655" s="318" t="n"/>
      <c r="Q655" s="318" t="n"/>
      <c r="R655" s="318">
        <f>IF(AND(F655:Q655),1,0)</f>
        <v/>
      </c>
    </row>
    <row r="656" ht="20.15" customHeight="1">
      <c r="A656" s="318" t="n">
        <v>3</v>
      </c>
      <c r="B656" s="72" t="inlineStr">
        <is>
          <t>TCMS_close_Command</t>
        </is>
      </c>
      <c r="C656" s="72" t="n"/>
      <c r="D656" s="72" t="n"/>
      <c r="E656" s="72" t="n"/>
      <c r="F656" s="318">
        <f>HVAC_IOs!D23</f>
        <v/>
      </c>
      <c r="G656" s="318" t="n"/>
      <c r="H656" s="318" t="n"/>
      <c r="I656" s="318" t="n"/>
      <c r="J656" s="318" t="n"/>
      <c r="K656" s="318" t="n"/>
      <c r="L656" s="318" t="n"/>
      <c r="M656" s="318" t="n"/>
      <c r="N656" s="318" t="n"/>
      <c r="O656" s="318" t="n"/>
      <c r="P656" s="318" t="n"/>
      <c r="Q656" s="318" t="n"/>
      <c r="R656" s="318">
        <f>IF(AND(F656:Q656),1,0)</f>
        <v/>
      </c>
    </row>
    <row r="657" ht="20.15" customHeight="1">
      <c r="A657" s="328" t="n">
        <v>4</v>
      </c>
      <c r="B657" s="329" t="inlineStr">
        <is>
          <t>Damper_open_enabled</t>
        </is>
      </c>
      <c r="C657" s="329" t="n"/>
      <c r="D657" s="329" t="n"/>
      <c r="E657" s="329" t="n"/>
      <c r="F657" s="328" t="n"/>
      <c r="G657" s="328">
        <f>IF(AND(F654:F656),1,0)</f>
        <v/>
      </c>
      <c r="H657" s="328" t="n"/>
      <c r="I657" s="328" t="n"/>
      <c r="J657" s="328" t="n"/>
      <c r="K657" s="328" t="n"/>
      <c r="L657" s="328" t="n"/>
      <c r="M657" s="328" t="n"/>
      <c r="N657" s="328" t="n"/>
      <c r="O657" s="328" t="n"/>
      <c r="P657" s="328" t="n"/>
      <c r="Q657" s="328" t="n"/>
      <c r="R657" s="328">
        <f>IF(AND(F657:Q657),1,0)</f>
        <v/>
      </c>
    </row>
    <row r="658" ht="20.15" customHeight="1">
      <c r="A658" s="148" t="n">
        <v>5</v>
      </c>
      <c r="B658" s="149" t="inlineStr">
        <is>
          <t>(passenger load)0.25%---(Damper Position)25</t>
        </is>
      </c>
      <c r="C658" s="149" t="n"/>
      <c r="D658" s="149" t="n"/>
      <c r="E658" s="149" t="n"/>
      <c r="F658" s="148" t="n"/>
      <c r="G658" s="148">
        <f>G657</f>
        <v/>
      </c>
      <c r="H658" s="148" t="n"/>
      <c r="I658" s="148" t="n"/>
      <c r="J658" s="148" t="n"/>
      <c r="K658" s="148" t="n"/>
      <c r="L658" s="148" t="n"/>
      <c r="M658" s="148" t="n"/>
      <c r="N658" s="148" t="n"/>
      <c r="O658" s="148" t="n"/>
      <c r="P658" s="148" t="n"/>
      <c r="Q658" s="148" t="n"/>
      <c r="R658" s="148">
        <f>IF(AND(F658:Q658),1,0)</f>
        <v/>
      </c>
    </row>
    <row r="659" ht="20.15" customHeight="1">
      <c r="A659" s="148" t="n">
        <v>6</v>
      </c>
      <c r="B659" s="149" t="inlineStr">
        <is>
          <t>(passenger load)25-50%---(Damper Position)50</t>
        </is>
      </c>
      <c r="C659" s="149" t="n"/>
      <c r="D659" s="149" t="n"/>
      <c r="E659" s="149" t="n"/>
      <c r="F659" s="148" t="n"/>
      <c r="G659" s="148">
        <f>G657</f>
        <v/>
      </c>
      <c r="H659" s="148" t="n"/>
      <c r="I659" s="148" t="n"/>
      <c r="J659" s="148" t="n"/>
      <c r="K659" s="148" t="n"/>
      <c r="L659" s="148" t="n"/>
      <c r="M659" s="148" t="n"/>
      <c r="N659" s="148" t="n"/>
      <c r="O659" s="148" t="n"/>
      <c r="P659" s="148" t="n"/>
      <c r="Q659" s="148" t="n"/>
      <c r="R659" s="148">
        <f>IF(AND(F659:Q659),1,0)</f>
        <v/>
      </c>
    </row>
    <row r="660" ht="20.15" customHeight="1">
      <c r="A660" s="148" t="n">
        <v>7</v>
      </c>
      <c r="B660" s="149" t="inlineStr">
        <is>
          <t>(passenger load)51-75%---(Damper Position)75</t>
        </is>
      </c>
      <c r="C660" s="149" t="n"/>
      <c r="D660" s="149" t="n"/>
      <c r="E660" s="149" t="n"/>
      <c r="F660" s="148" t="n"/>
      <c r="G660" s="148">
        <f>G657</f>
        <v/>
      </c>
      <c r="H660" s="148" t="n"/>
      <c r="I660" s="148" t="n"/>
      <c r="J660" s="148" t="n"/>
      <c r="K660" s="148" t="n"/>
      <c r="L660" s="148" t="n"/>
      <c r="M660" s="148" t="n"/>
      <c r="N660" s="148" t="n"/>
      <c r="O660" s="148" t="n"/>
      <c r="P660" s="148" t="n"/>
      <c r="Q660" s="148" t="n"/>
      <c r="R660" s="148">
        <f>IF(AND(F660:Q660),1,0)</f>
        <v/>
      </c>
    </row>
    <row r="661" ht="20.15" customHeight="1">
      <c r="A661" s="148" t="n">
        <v>8</v>
      </c>
      <c r="B661" s="149" t="inlineStr">
        <is>
          <t>(passenger load)75-100%---(Damper Position)100</t>
        </is>
      </c>
      <c r="C661" s="149" t="n"/>
      <c r="D661" s="149" t="n"/>
      <c r="E661" s="149" t="n"/>
      <c r="F661" s="148" t="n"/>
      <c r="G661" s="148">
        <f>G657</f>
        <v/>
      </c>
      <c r="H661" s="148" t="n"/>
      <c r="I661" s="148" t="n"/>
      <c r="J661" s="148" t="n"/>
      <c r="K661" s="148" t="n"/>
      <c r="L661" s="148" t="n"/>
      <c r="M661" s="148" t="n"/>
      <c r="N661" s="148" t="n"/>
      <c r="O661" s="148" t="n"/>
      <c r="P661" s="148" t="n"/>
      <c r="Q661" s="148" t="n"/>
      <c r="R661" s="148">
        <f>IF(AND(F661:Q661),1,0)</f>
        <v/>
      </c>
    </row>
    <row r="665" ht="20.15" customHeight="1">
      <c r="A665" s="823" t="inlineStr">
        <is>
          <t>38. System Shutdown</t>
        </is>
      </c>
      <c r="B665" s="869" t="n"/>
      <c r="C665" s="869" t="n"/>
      <c r="D665" s="869" t="n"/>
      <c r="E665" s="869" t="n"/>
      <c r="F665" s="869" t="n"/>
      <c r="G665" s="869" t="n"/>
      <c r="H665" s="869" t="n"/>
      <c r="I665" s="869" t="n"/>
      <c r="J665" s="869" t="n"/>
      <c r="K665" s="869" t="n"/>
      <c r="L665" s="869" t="n"/>
      <c r="M665" s="869" t="n"/>
      <c r="N665" s="869" t="n"/>
      <c r="O665" s="869" t="n"/>
      <c r="P665" s="869" t="n"/>
      <c r="Q665" s="869" t="n"/>
      <c r="R665" s="870" t="n"/>
    </row>
    <row r="667" ht="20.15" customHeight="1">
      <c r="A667" s="318" t="n">
        <v>1</v>
      </c>
      <c r="B667" s="72" t="inlineStr">
        <is>
          <t>TCMS_HVAC_mode_OFF</t>
        </is>
      </c>
      <c r="C667" s="72" t="n"/>
      <c r="D667" s="72" t="n"/>
      <c r="E667" s="72" t="n"/>
      <c r="F667" s="318">
        <f>HVAC_IOs!K22</f>
        <v/>
      </c>
      <c r="G667" s="318" t="n"/>
      <c r="H667" s="318" t="n"/>
      <c r="I667" s="318" t="n"/>
      <c r="J667" s="318" t="n"/>
      <c r="K667" s="318" t="n"/>
      <c r="L667" s="318" t="n"/>
      <c r="M667" s="318" t="n"/>
      <c r="N667" s="318" t="n"/>
      <c r="O667" s="318" t="n"/>
      <c r="P667" s="318" t="n"/>
      <c r="Q667" s="318" t="n"/>
      <c r="R667" s="318">
        <f>IF(AND(F667:Q667),1,0)</f>
        <v/>
      </c>
    </row>
    <row r="668" ht="20.15" customHeight="1">
      <c r="A668" s="318" t="n">
        <v>2</v>
      </c>
      <c r="B668" s="72" t="inlineStr">
        <is>
          <t>HVAC_Controller_power_healthy</t>
        </is>
      </c>
      <c r="C668" s="72" t="n"/>
      <c r="D668" s="72" t="n"/>
      <c r="E668" s="72" t="n"/>
      <c r="F668" s="318">
        <f>HVAC_IOs!D25</f>
        <v/>
      </c>
      <c r="G668" s="318" t="n"/>
      <c r="H668" s="318" t="n"/>
      <c r="I668" s="318" t="n"/>
      <c r="J668" s="318" t="n"/>
      <c r="K668" s="318" t="n"/>
      <c r="L668" s="318" t="n"/>
      <c r="M668" s="318" t="n"/>
      <c r="N668" s="318" t="n"/>
      <c r="O668" s="318" t="n"/>
      <c r="P668" s="318" t="n"/>
      <c r="Q668" s="318" t="n"/>
      <c r="R668" s="318">
        <f>IF(AND(F668:Q668),1,0)</f>
        <v/>
      </c>
    </row>
    <row r="669" ht="20.15" customHeight="1">
      <c r="A669" s="318" t="n">
        <v>3</v>
      </c>
      <c r="B669" s="72" t="inlineStr">
        <is>
          <t>VCB_open</t>
        </is>
      </c>
      <c r="C669" s="72" t="n"/>
      <c r="D669" s="72" t="n"/>
      <c r="E669" s="72" t="n"/>
      <c r="F669" s="318">
        <f>HVAC_IOs!D14</f>
        <v/>
      </c>
      <c r="G669" s="318">
        <f>IF(NOT(F669),1,0)</f>
        <v/>
      </c>
      <c r="H669" s="318" t="n"/>
      <c r="I669" s="318" t="n"/>
      <c r="J669" s="318" t="n"/>
      <c r="K669" s="318" t="n"/>
      <c r="L669" s="318" t="n"/>
      <c r="M669" s="318" t="n"/>
      <c r="N669" s="318" t="n"/>
      <c r="O669" s="318" t="n"/>
      <c r="P669" s="318" t="n"/>
      <c r="Q669" s="318" t="n"/>
      <c r="R669" s="318">
        <f>IF(AND(F669:Q669),1,0)</f>
        <v/>
      </c>
    </row>
    <row r="670" ht="20.15" customHeight="1">
      <c r="A670" s="318" t="n">
        <v>4</v>
      </c>
      <c r="B670" s="72" t="inlineStr">
        <is>
          <t>415_VAC_available</t>
        </is>
      </c>
      <c r="C670" s="72" t="n"/>
      <c r="D670" s="72" t="n"/>
      <c r="E670" s="72" t="n"/>
      <c r="F670" s="318">
        <f>IF(AND(HVAC_IOs!D8=1,HVAC_IOs!D9=1),1,0)</f>
        <v/>
      </c>
      <c r="G670" s="318">
        <f>IF(NOT(F670),1,0)</f>
        <v/>
      </c>
      <c r="H670" s="318" t="n"/>
      <c r="I670" s="318" t="n"/>
      <c r="J670" s="318" t="n"/>
      <c r="K670" s="318" t="n"/>
      <c r="L670" s="318" t="n"/>
      <c r="M670" s="318" t="n"/>
      <c r="N670" s="318" t="n"/>
      <c r="O670" s="318" t="n"/>
      <c r="P670" s="318" t="n"/>
      <c r="Q670" s="318" t="n"/>
      <c r="R670" s="318">
        <f>IF(AND(F670:Q670),1,0)</f>
        <v/>
      </c>
    </row>
    <row r="671" ht="20.15" customHeight="1">
      <c r="A671" s="318" t="n">
        <v>5</v>
      </c>
      <c r="B671" s="72" t="inlineStr">
        <is>
          <t>LVPS_load_shed(110 VDC)</t>
        </is>
      </c>
      <c r="C671" s="72" t="n"/>
      <c r="D671" s="72" t="n"/>
      <c r="E671" s="72" t="n"/>
      <c r="F671" s="324" t="n">
        <v>1</v>
      </c>
      <c r="G671" s="318" t="n"/>
      <c r="H671" s="318" t="n"/>
      <c r="I671" s="318" t="n"/>
      <c r="J671" s="318" t="n"/>
      <c r="K671" s="318" t="n"/>
      <c r="L671" s="318" t="n"/>
      <c r="M671" s="318" t="n"/>
      <c r="N671" s="318" t="n"/>
      <c r="O671" s="318" t="n"/>
      <c r="P671" s="318" t="n"/>
      <c r="Q671" s="318" t="n"/>
      <c r="R671" s="318">
        <f>IF(AND(F671:Q671),1,0)</f>
        <v/>
      </c>
    </row>
    <row r="672" ht="20.15" customHeight="1">
      <c r="A672" s="318" t="n">
        <v>6</v>
      </c>
      <c r="B672" s="72" t="inlineStr">
        <is>
          <t>HVAC_Controller_power_healthy</t>
        </is>
      </c>
      <c r="C672" s="72" t="n"/>
      <c r="D672" s="72" t="n"/>
      <c r="E672" s="72" t="n"/>
      <c r="F672" s="318">
        <f>HVAC_IOs!D25</f>
        <v/>
      </c>
      <c r="G672" s="318" t="n"/>
      <c r="H672" s="318" t="n"/>
      <c r="I672" s="318" t="n"/>
      <c r="J672" s="318" t="n"/>
      <c r="K672" s="318" t="n"/>
      <c r="L672" s="318" t="n"/>
      <c r="M672" s="318" t="n"/>
      <c r="N672" s="318" t="n"/>
      <c r="O672" s="318" t="n"/>
      <c r="P672" s="318" t="n"/>
      <c r="Q672" s="318" t="n"/>
      <c r="R672" s="318">
        <f>IF(AND(F672:Q672),1,0)</f>
        <v/>
      </c>
    </row>
    <row r="673" ht="20.15" customHeight="1">
      <c r="A673" s="318" t="n">
        <v>7</v>
      </c>
      <c r="B673" s="72" t="inlineStr">
        <is>
          <t>VCB_open</t>
        </is>
      </c>
      <c r="C673" s="72" t="n"/>
      <c r="D673" s="72" t="n"/>
      <c r="E673" s="72" t="n"/>
      <c r="F673" s="318">
        <f>HVAC_IOs!D14</f>
        <v/>
      </c>
      <c r="G673" s="318" t="n"/>
      <c r="H673" s="318" t="n"/>
      <c r="I673" s="318" t="n"/>
      <c r="J673" s="318" t="n"/>
      <c r="K673" s="318" t="n"/>
      <c r="L673" s="318" t="n"/>
      <c r="M673" s="318" t="n"/>
      <c r="N673" s="318" t="n"/>
      <c r="O673" s="318" t="n"/>
      <c r="P673" s="318" t="n"/>
      <c r="Q673" s="318" t="n"/>
      <c r="R673" s="318">
        <f>IF(AND(F673:Q673),1,0)</f>
        <v/>
      </c>
    </row>
    <row r="674" ht="20.15" customHeight="1">
      <c r="A674" s="318" t="n">
        <v>8</v>
      </c>
      <c r="B674" s="72" t="inlineStr">
        <is>
          <t>415_VAC_available</t>
        </is>
      </c>
      <c r="C674" s="72" t="n"/>
      <c r="D674" s="72" t="n"/>
      <c r="E674" s="72" t="n"/>
      <c r="F674" s="318">
        <f>IF(AND(HVAC_IOs!D8=1,HVAC_IOs!D9=1),1,0)</f>
        <v/>
      </c>
      <c r="G674" s="318">
        <f>IF(NOT(F674),1,0)</f>
        <v/>
      </c>
      <c r="H674" s="318" t="n"/>
      <c r="I674" s="318" t="n"/>
      <c r="J674" s="318" t="n"/>
      <c r="K674" s="318" t="n"/>
      <c r="L674" s="318" t="n"/>
      <c r="M674" s="318" t="n"/>
      <c r="N674" s="318" t="n"/>
      <c r="O674" s="318" t="n"/>
      <c r="P674" s="318" t="n"/>
      <c r="Q674" s="318" t="n"/>
      <c r="R674" s="318">
        <f>IF(AND(F674:Q674),1,0)</f>
        <v/>
      </c>
    </row>
    <row r="675" ht="20.15" customHeight="1">
      <c r="A675" s="328" t="n">
        <v>9</v>
      </c>
      <c r="B675" s="329" t="inlineStr">
        <is>
          <t>Managed-shutdown</t>
        </is>
      </c>
      <c r="C675" s="329" t="inlineStr">
        <is>
          <t>LFC 07</t>
        </is>
      </c>
      <c r="D675" s="329" t="n"/>
      <c r="E675" s="329" t="n"/>
      <c r="F675" s="328" t="n"/>
      <c r="G675" s="328">
        <f>IF(AND(R667:R668,R669:R670),1,0)</f>
        <v/>
      </c>
      <c r="H675" s="328" t="n"/>
      <c r="I675" s="328" t="n"/>
      <c r="J675" s="328" t="n"/>
      <c r="K675" s="328" t="n"/>
      <c r="L675" s="328" t="n"/>
      <c r="M675" s="328" t="n"/>
      <c r="N675" s="328" t="n"/>
      <c r="O675" s="328" t="n"/>
      <c r="P675" s="328" t="n"/>
      <c r="Q675" s="328" t="n"/>
      <c r="R675" s="328">
        <f>IF(AND(F675:Q675),1,0)</f>
        <v/>
      </c>
    </row>
    <row r="676" ht="20.15" customHeight="1">
      <c r="A676" s="328" t="n">
        <v>10</v>
      </c>
      <c r="B676" s="329" t="inlineStr">
        <is>
          <t>LVPS_shutdown</t>
        </is>
      </c>
      <c r="C676" s="329" t="inlineStr">
        <is>
          <t>LFC 10</t>
        </is>
      </c>
      <c r="D676" s="329" t="n"/>
      <c r="E676" s="329" t="n"/>
      <c r="F676" s="328" t="n"/>
      <c r="G676" s="328">
        <f>IF(AND(F671:F672),1,0)</f>
        <v/>
      </c>
      <c r="H676" s="328" t="n"/>
      <c r="I676" s="328" t="n"/>
      <c r="J676" s="328" t="n"/>
      <c r="K676" s="328" t="n"/>
      <c r="L676" s="328" t="n"/>
      <c r="M676" s="328" t="n"/>
      <c r="N676" s="328" t="n"/>
      <c r="O676" s="328" t="n"/>
      <c r="P676" s="328" t="n"/>
      <c r="Q676" s="328" t="n"/>
      <c r="R676" s="328">
        <f>IF(AND(F676:Q676),1,0)</f>
        <v/>
      </c>
    </row>
    <row r="677" ht="20.15" customHeight="1">
      <c r="A677" s="328" t="n">
        <v>11</v>
      </c>
      <c r="B677" s="329" t="inlineStr">
        <is>
          <t>Abrupt_shutdown</t>
        </is>
      </c>
      <c r="C677" s="329" t="inlineStr">
        <is>
          <t>LFC 14</t>
        </is>
      </c>
      <c r="D677" s="329" t="n"/>
      <c r="E677" s="329" t="n"/>
      <c r="F677" s="328" t="n"/>
      <c r="G677" s="328">
        <f>IF(OR(R673,R674),1,0)</f>
        <v/>
      </c>
      <c r="H677" s="328" t="n"/>
      <c r="I677" s="328" t="n"/>
      <c r="J677" s="328" t="n"/>
      <c r="K677" s="328" t="n"/>
      <c r="L677" s="328" t="n"/>
      <c r="M677" s="328" t="n"/>
      <c r="N677" s="328" t="n"/>
      <c r="O677" s="328" t="n"/>
      <c r="P677" s="328" t="n"/>
      <c r="Q677" s="328" t="n"/>
      <c r="R677" s="328">
        <f>IF(AND(F677:Q677),1,0)</f>
        <v/>
      </c>
    </row>
    <row r="678" ht="20.15" customHeight="1">
      <c r="A678" s="148" t="n">
        <v>12</v>
      </c>
      <c r="B678" s="149" t="inlineStr">
        <is>
          <t>System_Shoutdown</t>
        </is>
      </c>
      <c r="C678" s="149" t="n"/>
      <c r="D678" s="149" t="n"/>
      <c r="E678" s="149" t="n"/>
      <c r="F678" s="148" t="n"/>
      <c r="G678" s="148" t="n"/>
      <c r="H678" s="148">
        <f>IF(OR(G675:H677),1,0)</f>
        <v/>
      </c>
      <c r="I678" s="148" t="n"/>
      <c r="J678" s="148" t="n"/>
      <c r="K678" s="148" t="n"/>
      <c r="L678" s="148" t="n"/>
      <c r="M678" s="148" t="n"/>
      <c r="N678" s="148" t="n"/>
      <c r="O678" s="148" t="n"/>
      <c r="P678" s="148" t="n"/>
      <c r="Q678" s="148" t="n"/>
      <c r="R678" s="148">
        <f>IF(AND(F678:Q678),1,0)</f>
        <v/>
      </c>
    </row>
  </sheetData>
  <mergeCells count="46">
    <mergeCell ref="A162:R162"/>
    <mergeCell ref="A256:R256"/>
    <mergeCell ref="A271:R271"/>
    <mergeCell ref="A652:R652"/>
    <mergeCell ref="A345:R345"/>
    <mergeCell ref="A419:R419"/>
    <mergeCell ref="A364:R364"/>
    <mergeCell ref="A136:R136"/>
    <mergeCell ref="A487:R487"/>
    <mergeCell ref="A503:R503"/>
    <mergeCell ref="A434:R434"/>
    <mergeCell ref="AE1:AX2"/>
    <mergeCell ref="A101:R101"/>
    <mergeCell ref="A21:R21"/>
    <mergeCell ref="A223:R223"/>
    <mergeCell ref="A86:R86"/>
    <mergeCell ref="A194:R194"/>
    <mergeCell ref="A23:R23"/>
    <mergeCell ref="A290:R290"/>
    <mergeCell ref="A309:R309"/>
    <mergeCell ref="A206:R206"/>
    <mergeCell ref="A4:R4"/>
    <mergeCell ref="A240:R240"/>
    <mergeCell ref="A327:R327"/>
    <mergeCell ref="A180:R180"/>
    <mergeCell ref="A665:R665"/>
    <mergeCell ref="A600:R600"/>
    <mergeCell ref="AE8:AX8"/>
    <mergeCell ref="A382:R382"/>
    <mergeCell ref="A400:R400"/>
    <mergeCell ref="A475:R475"/>
    <mergeCell ref="A584:R584"/>
    <mergeCell ref="A34:R34"/>
    <mergeCell ref="A627:R627"/>
    <mergeCell ref="A48:R48"/>
    <mergeCell ref="A148:R148"/>
    <mergeCell ref="A555:R555"/>
    <mergeCell ref="A540:R540"/>
    <mergeCell ref="A520:R520"/>
    <mergeCell ref="G1:Q1"/>
    <mergeCell ref="A452:R452"/>
    <mergeCell ref="A614:R614"/>
    <mergeCell ref="A70:R70"/>
    <mergeCell ref="A570:R570"/>
    <mergeCell ref="A119:R119"/>
    <mergeCell ref="R1:R2"/>
  </mergeCell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59"/>
  <sheetViews>
    <sheetView zoomScale="170" zoomScaleNormal="170" workbookViewId="0">
      <selection activeCell="D3" sqref="D3"/>
    </sheetView>
  </sheetViews>
  <sheetFormatPr baseColWidth="8" defaultColWidth="8.7265625" defaultRowHeight="14.5"/>
  <cols>
    <col width="8.7265625" customWidth="1" style="309" min="1" max="1"/>
    <col width="45.453125" customWidth="1" style="309" min="2" max="2"/>
    <col width="14.26953125" customWidth="1" style="309" min="3" max="3"/>
    <col width="8.7265625" customWidth="1" style="263" min="4" max="4"/>
    <col width="8.7265625" customWidth="1" style="309" min="5" max="16384"/>
  </cols>
  <sheetData>
    <row r="1" customFormat="1" s="263">
      <c r="A1" s="800" t="inlineStr">
        <is>
          <t>SR No.</t>
        </is>
      </c>
      <c r="B1" s="800" t="inlineStr">
        <is>
          <t>INPUTS TO LFD</t>
        </is>
      </c>
      <c r="C1" s="800" t="inlineStr">
        <is>
          <t>SOURCE</t>
        </is>
      </c>
      <c r="D1" s="800" t="inlineStr">
        <is>
          <t>STATUS</t>
        </is>
      </c>
    </row>
    <row r="2">
      <c r="A2" s="263" t="n">
        <v>1</v>
      </c>
      <c r="B2" s="309" t="inlineStr">
        <is>
          <t>HVAC 1 ON</t>
        </is>
      </c>
      <c r="D2" s="263" t="n">
        <v>1</v>
      </c>
    </row>
    <row r="3">
      <c r="A3" s="263" t="n"/>
      <c r="B3" s="309" t="inlineStr">
        <is>
          <t>HVAC 2 ON</t>
        </is>
      </c>
      <c r="D3" s="263" t="n">
        <v>1</v>
      </c>
    </row>
    <row r="4">
      <c r="A4" s="263" t="n"/>
      <c r="J4" s="309">
        <f t="array" ref="J4">IF(OR('Mode Logic'!J6:J10=1),1,0)</f>
        <v/>
      </c>
    </row>
    <row r="5">
      <c r="A5" s="263" t="n"/>
    </row>
    <row r="6">
      <c r="A6" s="263" t="n">
        <v>2</v>
      </c>
      <c r="B6" s="309" t="inlineStr">
        <is>
          <t>APS1_healthy</t>
        </is>
      </c>
      <c r="D6" s="263" t="n">
        <v>0</v>
      </c>
    </row>
    <row r="7">
      <c r="A7" s="263" t="n">
        <v>3</v>
      </c>
      <c r="B7" s="309" t="inlineStr">
        <is>
          <t>APS2_Healthy</t>
        </is>
      </c>
      <c r="D7" s="263" t="n">
        <v>0</v>
      </c>
    </row>
    <row r="8">
      <c r="A8" s="263" t="n">
        <v>4</v>
      </c>
      <c r="B8" s="366" t="inlineStr">
        <is>
          <t>110V_Battery_supply</t>
        </is>
      </c>
      <c r="D8" s="263" t="n">
        <v>1</v>
      </c>
    </row>
    <row r="9">
      <c r="A9" s="263" t="n">
        <v>5</v>
      </c>
      <c r="B9" s="366" t="inlineStr">
        <is>
          <t>VDU command</t>
        </is>
      </c>
    </row>
    <row r="10">
      <c r="A10" s="263" t="n">
        <v>6</v>
      </c>
      <c r="B10" s="366" t="inlineStr">
        <is>
          <t>HVAC system status</t>
        </is>
      </c>
    </row>
    <row r="11">
      <c r="A11" s="263" t="n">
        <v>7</v>
      </c>
      <c r="B11" s="367" t="inlineStr">
        <is>
          <t>HVAC1_SMDR_de-energized</t>
        </is>
      </c>
    </row>
    <row r="12">
      <c r="A12" s="263" t="n">
        <v>8</v>
      </c>
      <c r="B12" s="367" t="inlineStr">
        <is>
          <t>HVAC2_SMDR_de-energized</t>
        </is>
      </c>
    </row>
    <row r="13">
      <c r="A13" s="263" t="n">
        <v>9</v>
      </c>
      <c r="B13" s="367" t="inlineStr">
        <is>
          <t>SMRR_relay_reset</t>
        </is>
      </c>
    </row>
    <row r="14">
      <c r="A14" s="263" t="n">
        <v>10</v>
      </c>
      <c r="B14" s="366" t="inlineStr">
        <is>
          <t>TCMS Start allow</t>
        </is>
      </c>
    </row>
    <row r="15">
      <c r="A15" s="263" t="n">
        <v>11</v>
      </c>
      <c r="B15" s="366" t="inlineStr">
        <is>
          <t>APS_1 failure</t>
        </is>
      </c>
      <c r="D15" s="263">
        <f>IF(NOT(D6),1,0)</f>
        <v/>
      </c>
    </row>
    <row r="16">
      <c r="A16" s="263" t="n">
        <v>12</v>
      </c>
      <c r="B16" s="366">
        <f>IF(Calculation!B35&gt;Calculation!B33,1,0)</f>
        <v/>
      </c>
      <c r="D16" s="263">
        <f>IF(NOT(D7),1,0)</f>
        <v/>
      </c>
    </row>
    <row r="17">
      <c r="A17" s="263" t="n">
        <v>13</v>
      </c>
      <c r="B17" s="309" t="inlineStr">
        <is>
          <t>HVAC_priority_Select</t>
        </is>
      </c>
    </row>
    <row r="18">
      <c r="B18" s="309" t="inlineStr">
        <is>
          <t>HVAC_AUTO_Mode_TCMS</t>
        </is>
      </c>
      <c r="D18" s="263" t="n">
        <v>1</v>
      </c>
    </row>
    <row r="19">
      <c r="B19" s="309" t="inlineStr">
        <is>
          <t>PPR_High</t>
        </is>
      </c>
      <c r="D19" s="263" t="n">
        <v>1</v>
      </c>
      <c r="O19" s="309">
        <f>IF(OR('Mode Logic'!J3:J4),1,0)</f>
        <v/>
      </c>
    </row>
    <row r="20">
      <c r="B20" s="309" t="inlineStr">
        <is>
          <t>Comp_min._OFF_timer_expired</t>
        </is>
      </c>
      <c r="D20" s="263" t="n">
        <v>1</v>
      </c>
    </row>
    <row r="21">
      <c r="B21" s="309" t="inlineStr">
        <is>
          <t>No_condenser_fan1_failure</t>
        </is>
      </c>
      <c r="C21" s="309">
        <f>IF(OR('Mode Logic'!J3,'Mode Logic'!J12),1,0)</f>
        <v/>
      </c>
      <c r="D21" s="263" t="n">
        <v>1</v>
      </c>
    </row>
    <row r="22">
      <c r="B22" s="309" t="inlineStr">
        <is>
          <t>No_condenser_fan2_failure</t>
        </is>
      </c>
      <c r="D22" s="263" t="n">
        <v>1</v>
      </c>
    </row>
    <row r="23">
      <c r="B23" s="309" t="inlineStr">
        <is>
          <t>Compressor Set Enabled</t>
        </is>
      </c>
      <c r="D23" s="263" t="n">
        <v>1</v>
      </c>
    </row>
    <row r="24">
      <c r="B24" s="309" t="inlineStr">
        <is>
          <t>Comp start not inhibited by start perm</t>
        </is>
      </c>
      <c r="D24" s="263" t="n">
        <v>1</v>
      </c>
    </row>
    <row r="25">
      <c r="B25" s="368" t="inlineStr">
        <is>
          <t>CTMC_energized_condenser_fan_START</t>
        </is>
      </c>
      <c r="D25" s="263" t="n">
        <v>1</v>
      </c>
    </row>
    <row r="26">
      <c r="B26" s="368" t="inlineStr">
        <is>
          <t>Liquid_line_solenoid_valve_open</t>
        </is>
      </c>
      <c r="D26" s="263" t="n">
        <v>1</v>
      </c>
    </row>
    <row r="27">
      <c r="B27" s="368" t="inlineStr">
        <is>
          <t>CFMC_feedback_OK</t>
        </is>
      </c>
      <c r="D27" s="263" t="n">
        <v>1</v>
      </c>
    </row>
    <row r="28">
      <c r="B28" s="368" t="inlineStr">
        <is>
          <t>CMC_energized</t>
        </is>
      </c>
      <c r="D28" s="263" t="n">
        <v>1</v>
      </c>
    </row>
    <row r="29">
      <c r="B29" s="368" t="inlineStr">
        <is>
          <t>Cooling_demand_&gt;_2nd_comp._threshold</t>
        </is>
      </c>
      <c r="D29" s="263">
        <f>IF(OR('Mode Logic'!J7:J10),1,0)</f>
        <v/>
      </c>
    </row>
    <row r="30">
      <c r="B30" s="368" t="inlineStr">
        <is>
          <t>2nd_comp._required</t>
        </is>
      </c>
      <c r="D30" s="263">
        <f>D29</f>
        <v/>
      </c>
    </row>
    <row r="31">
      <c r="B31" s="368" t="inlineStr">
        <is>
          <t>Comp.start-_allowed</t>
        </is>
      </c>
      <c r="D31" s="263" t="n">
        <v>1</v>
      </c>
    </row>
    <row r="32">
      <c r="B32" s="369" t="inlineStr">
        <is>
          <t>CFM fan OK</t>
        </is>
      </c>
      <c r="D32" s="263" t="n">
        <v>1</v>
      </c>
    </row>
    <row r="33">
      <c r="B33" s="368" t="inlineStr">
        <is>
          <t>HVAC_enable</t>
        </is>
      </c>
      <c r="D33" s="263" t="n">
        <v>1</v>
      </c>
    </row>
    <row r="34">
      <c r="B34" s="368" t="inlineStr">
        <is>
          <t>Motor_01_OK</t>
        </is>
      </c>
      <c r="D34" s="263" t="n">
        <v>1</v>
      </c>
    </row>
    <row r="35">
      <c r="B35" s="368" t="inlineStr">
        <is>
          <t>CB_healthy</t>
        </is>
      </c>
      <c r="D35" s="263" t="n">
        <v>1</v>
      </c>
    </row>
    <row r="36">
      <c r="B36" s="368" t="inlineStr">
        <is>
          <t>NOT_shut_down</t>
        </is>
      </c>
      <c r="D36" s="263" t="n">
        <v>1</v>
      </c>
    </row>
    <row r="37" ht="15" customHeight="1" thickBot="1">
      <c r="B37" s="369" t="inlineStr">
        <is>
          <t>Minimum_ON_timer_(60 sec)</t>
        </is>
      </c>
      <c r="D37" s="263" t="n">
        <v>0</v>
      </c>
    </row>
    <row r="38">
      <c r="A38" s="370" t="n"/>
      <c r="B38" s="377" t="inlineStr">
        <is>
          <t>Auto_mode_from_TCMS</t>
        </is>
      </c>
      <c r="C38" s="371" t="n"/>
      <c r="D38" s="372">
        <f t="array" ref="D38">IF(OR('Mode Logic'!J6:J10=1),1,0)</f>
        <v/>
      </c>
    </row>
    <row r="39">
      <c r="A39" s="373" t="n"/>
      <c r="B39" s="376" t="inlineStr">
        <is>
          <t>Stand_by_mode_ON</t>
        </is>
      </c>
      <c r="D39" s="299" t="n">
        <v>1</v>
      </c>
    </row>
    <row r="40">
      <c r="A40" s="373" t="n"/>
      <c r="B40" s="376" t="inlineStr">
        <is>
          <t>APS_load_reduction_ON</t>
        </is>
      </c>
      <c r="D40" s="299" t="n">
        <v>1</v>
      </c>
    </row>
    <row r="41">
      <c r="A41" s="373" t="n"/>
      <c r="B41" s="376" t="inlineStr">
        <is>
          <t>LVPS_load_shed_ON</t>
        </is>
      </c>
      <c r="D41" s="299" t="n">
        <v>1</v>
      </c>
    </row>
    <row r="42">
      <c r="A42" s="373" t="n"/>
      <c r="B42" s="376" t="inlineStr">
        <is>
          <t>No_fire_detected'</t>
        </is>
      </c>
      <c r="D42" s="299" t="n">
        <v>1</v>
      </c>
    </row>
    <row r="43">
      <c r="A43" s="373" t="n"/>
      <c r="B43" s="376" t="inlineStr">
        <is>
          <t>HP_OK</t>
        </is>
      </c>
      <c r="D43" s="299" t="n">
        <v>1</v>
      </c>
    </row>
    <row r="44">
      <c r="A44" s="373" t="n"/>
      <c r="B44" s="376" t="inlineStr">
        <is>
          <t>LP_OK</t>
        </is>
      </c>
      <c r="D44" s="299" t="n">
        <v>1</v>
      </c>
    </row>
    <row r="45">
      <c r="A45" s="373" t="n"/>
      <c r="B45" s="376" t="inlineStr">
        <is>
          <t>Breaker_ok</t>
        </is>
      </c>
      <c r="D45" s="299" t="n">
        <v>1</v>
      </c>
    </row>
    <row r="46" ht="15" customHeight="1" thickBot="1">
      <c r="A46" s="373" t="n"/>
      <c r="B46" s="369" t="inlineStr">
        <is>
          <t>Supply_fan_feedback_OK</t>
        </is>
      </c>
      <c r="D46" s="299" t="n">
        <v>1</v>
      </c>
    </row>
    <row r="47">
      <c r="A47" s="370" t="n"/>
      <c r="B47" s="380" t="inlineStr">
        <is>
          <t>Cooling_mode selected</t>
        </is>
      </c>
      <c r="C47" s="371" t="n"/>
      <c r="D47" s="372" t="n">
        <v>1</v>
      </c>
    </row>
    <row r="48">
      <c r="A48" s="373" t="n"/>
      <c r="B48" s="381" t="inlineStr">
        <is>
          <t>RAT&gt;Cooling_set_point</t>
        </is>
      </c>
      <c r="D48" s="299">
        <f>IF(Calculation!B35&gt;Calculation!B33,1,0)</f>
        <v/>
      </c>
    </row>
    <row r="49">
      <c r="A49" s="373" t="n"/>
      <c r="B49" s="381" t="inlineStr">
        <is>
          <t>HP_fault</t>
        </is>
      </c>
      <c r="D49" s="299" t="n">
        <v>0</v>
      </c>
    </row>
    <row r="50">
      <c r="A50" s="373" t="n"/>
      <c r="B50" s="381" t="inlineStr">
        <is>
          <t>LP_fault</t>
        </is>
      </c>
      <c r="D50" s="299" t="n">
        <v>0</v>
      </c>
    </row>
    <row r="51">
      <c r="A51" s="373" t="n"/>
      <c r="B51" s="381" t="inlineStr">
        <is>
          <t>CB_fault</t>
        </is>
      </c>
      <c r="D51" s="299" t="n">
        <v>0</v>
      </c>
    </row>
    <row r="52" ht="15" customHeight="1" thickBot="1">
      <c r="A52" s="374" t="n"/>
      <c r="B52" s="382" t="inlineStr">
        <is>
          <t>SAFAN_fault</t>
        </is>
      </c>
      <c r="C52" s="375" t="n"/>
      <c r="D52" s="302" t="n">
        <v>0</v>
      </c>
    </row>
    <row r="53">
      <c r="A53" s="370" t="n"/>
      <c r="B53" s="383" t="inlineStr">
        <is>
          <t>Command_emergency_mode</t>
        </is>
      </c>
      <c r="C53" s="371" t="n"/>
      <c r="D53" s="372" t="n">
        <v>0</v>
      </c>
    </row>
    <row r="54">
      <c r="A54" s="373" t="n"/>
      <c r="B54" s="368" t="inlineStr">
        <is>
          <t>APS1_file</t>
        </is>
      </c>
      <c r="D54" s="299" t="n">
        <v>0</v>
      </c>
    </row>
    <row r="55">
      <c r="A55" s="373" t="n"/>
      <c r="B55" s="368" t="inlineStr">
        <is>
          <t>APS2_file</t>
        </is>
      </c>
      <c r="D55" s="299" t="n">
        <v>0</v>
      </c>
    </row>
    <row r="56">
      <c r="A56" s="373" t="n"/>
      <c r="B56" s="368" t="inlineStr">
        <is>
          <t>PPR1_trip</t>
        </is>
      </c>
      <c r="D56" s="299" t="n">
        <v>0</v>
      </c>
    </row>
    <row r="57">
      <c r="A57" s="373" t="n"/>
      <c r="B57" s="368" t="inlineStr">
        <is>
          <t>PPR2_trip</t>
        </is>
      </c>
      <c r="D57" s="299" t="n">
        <v>0</v>
      </c>
    </row>
    <row r="58">
      <c r="A58" s="373" t="n"/>
      <c r="B58" s="368" t="inlineStr">
        <is>
          <t>SAFC1_closed</t>
        </is>
      </c>
      <c r="D58" s="299" t="n">
        <v>0</v>
      </c>
    </row>
    <row r="59">
      <c r="A59" s="373" t="n"/>
      <c r="B59" s="368" t="inlineStr">
        <is>
          <t>SAFC2_closed</t>
        </is>
      </c>
      <c r="D59" s="299" t="n">
        <v>0</v>
      </c>
    </row>
    <row r="60">
      <c r="A60" s="373" t="n"/>
      <c r="B60" s="368" t="inlineStr">
        <is>
          <t>EMR</t>
        </is>
      </c>
      <c r="D60" s="299" t="n">
        <v>1</v>
      </c>
    </row>
    <row r="61" ht="15" customHeight="1" thickBot="1">
      <c r="A61" s="374" t="n"/>
      <c r="B61" s="384" t="inlineStr">
        <is>
          <t>TMR1</t>
        </is>
      </c>
      <c r="C61" s="375" t="n"/>
      <c r="D61" s="302" t="n">
        <v>0</v>
      </c>
    </row>
    <row r="62">
      <c r="A62" s="370" t="n"/>
      <c r="B62" s="383" t="inlineStr">
        <is>
          <t>HEC_HEC communication status</t>
        </is>
      </c>
      <c r="C62" s="371" t="n"/>
      <c r="D62" s="372" t="n">
        <v>1</v>
      </c>
    </row>
    <row r="63">
      <c r="A63" s="373" t="n"/>
      <c r="B63" s="368" t="inlineStr">
        <is>
          <t>HVAC_ON</t>
        </is>
      </c>
      <c r="D63" s="299">
        <f>D2</f>
        <v/>
      </c>
    </row>
    <row r="64">
      <c r="A64" s="373" t="n"/>
      <c r="B64" s="368" t="inlineStr">
        <is>
          <t>Cooling enble</t>
        </is>
      </c>
      <c r="D64" s="299">
        <f>IF(OR('Mode Logic'!J4:J10),1,0)</f>
        <v/>
      </c>
    </row>
    <row r="65">
      <c r="A65" s="373" t="n"/>
      <c r="B65" s="368" t="inlineStr">
        <is>
          <t>Cooling enable</t>
        </is>
      </c>
      <c r="D65" s="299">
        <f>D64</f>
        <v/>
      </c>
    </row>
    <row r="66">
      <c r="A66" s="373" t="n"/>
      <c r="B66" s="368" t="inlineStr">
        <is>
          <t>Heating enable</t>
        </is>
      </c>
      <c r="D66" s="299">
        <f>IF(OR('Mode Logic'!J3:J4),1,0)</f>
        <v/>
      </c>
    </row>
    <row r="67">
      <c r="A67" s="373" t="n"/>
      <c r="B67" s="368" t="inlineStr">
        <is>
          <t>Reheat enable</t>
        </is>
      </c>
      <c r="D67" s="299">
        <f>D66</f>
        <v/>
      </c>
    </row>
    <row r="68" ht="15" customHeight="1" thickBot="1">
      <c r="A68" s="374" t="n"/>
      <c r="B68" s="384" t="inlineStr">
        <is>
          <t>ventilation enable</t>
        </is>
      </c>
      <c r="C68" s="375" t="n"/>
      <c r="D68" s="302">
        <f>'Mode Logic'!J11</f>
        <v/>
      </c>
    </row>
    <row r="69">
      <c r="A69" s="370" t="n"/>
      <c r="B69" s="383" t="inlineStr">
        <is>
          <t>110V_DC_Trainline</t>
        </is>
      </c>
      <c r="C69" s="371" t="n"/>
      <c r="D69" s="372" t="n">
        <v>1</v>
      </c>
    </row>
    <row r="70">
      <c r="A70" s="373" t="n"/>
      <c r="B70" s="368" t="inlineStr">
        <is>
          <t>FADR_energized</t>
        </is>
      </c>
      <c r="D70" s="299">
        <f>'Mode Logic'!P18</f>
        <v/>
      </c>
    </row>
    <row r="71" ht="15" customHeight="1" thickBot="1">
      <c r="A71" s="374" t="n"/>
      <c r="B71" s="384" t="inlineStr">
        <is>
          <t>TCMS_close_Command</t>
        </is>
      </c>
      <c r="C71" s="375" t="n"/>
      <c r="D71" s="302" t="n">
        <v>1</v>
      </c>
    </row>
    <row r="72">
      <c r="B72" s="368" t="inlineStr">
        <is>
          <t>Normal_operation_mode</t>
        </is>
      </c>
      <c r="D72" s="263">
        <f>IF(OR('Mode Logic'!J5:J12),1,0)</f>
        <v/>
      </c>
    </row>
    <row r="73" ht="15" customHeight="1" thickBot="1">
      <c r="B73" s="309" t="inlineStr">
        <is>
          <t>Passenger Load Modulation Available</t>
        </is>
      </c>
      <c r="D73" s="263" t="n">
        <v>1</v>
      </c>
    </row>
    <row r="74">
      <c r="A74" s="370" t="n"/>
      <c r="B74" s="383" t="inlineStr">
        <is>
          <t>PPR1_high</t>
        </is>
      </c>
      <c r="C74" s="371" t="n"/>
      <c r="D74" s="372" t="n">
        <v>1</v>
      </c>
    </row>
    <row r="75">
      <c r="A75" s="373" t="n"/>
      <c r="B75" s="368" t="inlineStr">
        <is>
          <t>Heating_demand_&gt;_0</t>
        </is>
      </c>
      <c r="D75" s="299">
        <f>D66</f>
        <v/>
      </c>
    </row>
    <row r="76">
      <c r="A76" s="373" t="n"/>
      <c r="B76" s="368" t="inlineStr">
        <is>
          <t>Overhead_heater_thermostate_trip</t>
        </is>
      </c>
      <c r="D76" s="299" t="n">
        <v>0</v>
      </c>
    </row>
    <row r="77">
      <c r="A77" s="373" t="n"/>
      <c r="B77" s="368" t="inlineStr">
        <is>
          <t>Ambient_temp_Limit_ok</t>
        </is>
      </c>
      <c r="D77" s="299" t="n">
        <v>1</v>
      </c>
    </row>
    <row r="78">
      <c r="A78" s="373" t="n"/>
      <c r="B78" s="368" t="inlineStr">
        <is>
          <t>PWM_output_active_for_0-50%</t>
        </is>
      </c>
      <c r="C78" s="263" t="n"/>
      <c r="D78" s="299" t="n">
        <v>0</v>
      </c>
    </row>
    <row r="79">
      <c r="A79" s="373" t="n"/>
      <c r="B79" s="368" t="inlineStr">
        <is>
          <t>Continuous_ON(50-100%)</t>
        </is>
      </c>
      <c r="D79" s="299" t="n">
        <v>0</v>
      </c>
    </row>
    <row r="80">
      <c r="A80" s="373" t="n"/>
      <c r="B80" s="368" t="inlineStr">
        <is>
          <t>Continuous_ON(100%)</t>
        </is>
      </c>
      <c r="D80" s="299" t="n">
        <v>1</v>
      </c>
    </row>
    <row r="81">
      <c r="A81" s="373" t="n"/>
      <c r="B81" s="368" t="inlineStr">
        <is>
          <t>Heater_enable</t>
        </is>
      </c>
      <c r="D81" s="299">
        <f>D75</f>
        <v/>
      </c>
    </row>
    <row r="82">
      <c r="A82" s="373" t="n"/>
      <c r="B82" s="368" t="inlineStr">
        <is>
          <t>PWM_active_for_50-100%</t>
        </is>
      </c>
      <c r="D82" s="299">
        <f>D78</f>
        <v/>
      </c>
    </row>
    <row r="83">
      <c r="A83" s="373" t="n"/>
      <c r="B83" s="368" t="inlineStr">
        <is>
          <t>continuous_ON_at(100%)</t>
        </is>
      </c>
      <c r="D83" s="299">
        <f>D80</f>
        <v/>
      </c>
    </row>
    <row r="84" ht="15" customHeight="1" thickBot="1">
      <c r="A84" s="374" t="n"/>
      <c r="B84" s="384" t="inlineStr">
        <is>
          <t>Heater_enable</t>
        </is>
      </c>
      <c r="C84" s="375" t="n"/>
      <c r="D84" s="302">
        <f>D81</f>
        <v/>
      </c>
    </row>
    <row r="85">
      <c r="A85" s="370" t="n"/>
      <c r="B85" s="383" t="inlineStr">
        <is>
          <t>No_standby_mode</t>
        </is>
      </c>
      <c r="C85" s="371" t="n"/>
      <c r="D85" s="372" t="n">
        <v>1</v>
      </c>
    </row>
    <row r="86">
      <c r="A86" s="373" t="n"/>
      <c r="B86" s="368" t="inlineStr">
        <is>
          <t>No_APS_Load_reduction</t>
        </is>
      </c>
      <c r="D86" s="299" t="n">
        <v>1</v>
      </c>
    </row>
    <row r="87">
      <c r="A87" s="373" t="n"/>
      <c r="B87" s="368" t="inlineStr">
        <is>
          <t>No_LVPS_Load_shed</t>
        </is>
      </c>
      <c r="D87" s="299" t="n">
        <v>1</v>
      </c>
    </row>
    <row r="88">
      <c r="A88" s="373" t="n"/>
      <c r="B88" s="368" t="inlineStr">
        <is>
          <t>No_fire_detected</t>
        </is>
      </c>
      <c r="D88" s="299" t="n">
        <v>1</v>
      </c>
    </row>
    <row r="89" ht="15" customHeight="1" thickBot="1">
      <c r="A89" s="374" t="n"/>
      <c r="B89" s="384" t="inlineStr">
        <is>
          <t>Interior_temp_&lt;_set_Point</t>
        </is>
      </c>
      <c r="C89" s="375" t="n"/>
      <c r="D89" s="302">
        <f>IF(OR('Mode Logic'!J3,'Mode Logic'!J12),1,0)</f>
        <v/>
      </c>
    </row>
    <row r="90">
      <c r="A90" s="370" t="n"/>
      <c r="B90" s="383" t="inlineStr">
        <is>
          <t>Fire_detected_on_board</t>
        </is>
      </c>
      <c r="C90" s="371" t="n"/>
      <c r="D90" s="372" t="n">
        <v>0</v>
      </c>
    </row>
    <row r="91">
      <c r="A91" s="373" t="n"/>
      <c r="B91" s="368" t="inlineStr">
        <is>
          <t>Driver_by_passs_fire_ventilation_OFF</t>
        </is>
      </c>
      <c r="D91" s="299" t="n">
        <v>1</v>
      </c>
    </row>
    <row r="92">
      <c r="A92" s="373" t="n"/>
      <c r="B92" s="368" t="inlineStr">
        <is>
          <t>External_detected_on_board</t>
        </is>
      </c>
      <c r="D92" s="299" t="n">
        <v>0</v>
      </c>
    </row>
    <row r="93" ht="15" customHeight="1" thickBot="1">
      <c r="A93" s="374" t="n"/>
      <c r="B93" s="384" t="inlineStr">
        <is>
          <t>Driver_by_pass-smoke_damper_close</t>
        </is>
      </c>
      <c r="C93" s="375" t="n"/>
      <c r="D93" s="302" t="n">
        <v>0</v>
      </c>
    </row>
    <row r="94">
      <c r="A94" s="370" t="n"/>
      <c r="B94" s="383" t="inlineStr">
        <is>
          <t>APS_415_VAC_available</t>
        </is>
      </c>
      <c r="C94" s="371" t="n"/>
      <c r="D94" s="372" t="n">
        <v>1</v>
      </c>
    </row>
    <row r="95">
      <c r="A95" s="373" t="n"/>
      <c r="B95" s="368" t="inlineStr">
        <is>
          <t>110_VDC_control available</t>
        </is>
      </c>
      <c r="D95" s="299" t="n">
        <v>1</v>
      </c>
    </row>
    <row r="96">
      <c r="A96" s="373" t="n"/>
      <c r="B96" s="368" t="inlineStr">
        <is>
          <t>110_VDC_FADR_available</t>
        </is>
      </c>
      <c r="D96" s="299" t="n">
        <v>1</v>
      </c>
    </row>
    <row r="97">
      <c r="A97" s="373" t="n"/>
      <c r="B97" s="368" t="inlineStr">
        <is>
          <t>110_VDC_SFC_OFF_relay_available</t>
        </is>
      </c>
      <c r="D97" s="299" t="n">
        <v>1</v>
      </c>
    </row>
    <row r="98">
      <c r="A98" s="373" t="n"/>
      <c r="B98" s="368" t="inlineStr">
        <is>
          <t>HVAC_unit_all_circuit_breaker_ON</t>
        </is>
      </c>
      <c r="D98" s="299" t="n">
        <v>1</v>
      </c>
    </row>
    <row r="99">
      <c r="A99" s="373" t="n"/>
      <c r="B99" s="368" t="inlineStr">
        <is>
          <t>Car_HVAC_circuit_breaker_ON</t>
        </is>
      </c>
      <c r="D99" s="299" t="n">
        <v>1</v>
      </c>
    </row>
    <row r="100">
      <c r="A100" s="373" t="n"/>
      <c r="B100" s="368" t="inlineStr">
        <is>
          <t>Emergency_ventilation_mode</t>
        </is>
      </c>
      <c r="D100" s="299" t="n">
        <v>0</v>
      </c>
    </row>
    <row r="101">
      <c r="A101" s="373" t="n"/>
      <c r="B101" s="368" t="inlineStr">
        <is>
          <t>TCMS_auto_mode</t>
        </is>
      </c>
      <c r="D101" s="299">
        <f>D38</f>
        <v/>
      </c>
    </row>
    <row r="102" ht="15" customHeight="1" thickBot="1">
      <c r="A102" s="374" t="n"/>
      <c r="B102" s="384" t="inlineStr">
        <is>
          <t>APS degraded</t>
        </is>
      </c>
      <c r="C102" s="375" t="n"/>
      <c r="D102" s="302" t="n">
        <v>0</v>
      </c>
    </row>
    <row r="103">
      <c r="A103" s="370" t="n"/>
      <c r="B103" s="383" t="inlineStr">
        <is>
          <t>HVAC_Controller_power_healthy</t>
        </is>
      </c>
      <c r="C103" s="371" t="n"/>
      <c r="D103" s="372" t="n">
        <v>1</v>
      </c>
    </row>
    <row r="104">
      <c r="A104" s="373" t="n"/>
      <c r="B104" s="368" t="inlineStr">
        <is>
          <t>VCB_open</t>
        </is>
      </c>
      <c r="D104" s="299" t="n">
        <v>0</v>
      </c>
    </row>
    <row r="105">
      <c r="A105" s="373" t="n"/>
      <c r="B105" s="368" t="inlineStr">
        <is>
          <t>415_VAC_available</t>
        </is>
      </c>
      <c r="D105" s="299">
        <f>D94</f>
        <v/>
      </c>
    </row>
    <row r="106">
      <c r="A106" s="373" t="n"/>
      <c r="B106" s="368" t="inlineStr">
        <is>
          <t>LVPS_load_shed(110 VDC)</t>
        </is>
      </c>
      <c r="D106" s="299" t="n">
        <v>0</v>
      </c>
    </row>
    <row r="107">
      <c r="A107" s="373" t="n"/>
      <c r="B107" s="368" t="inlineStr">
        <is>
          <t>HVAC_Controller_power_healthy</t>
        </is>
      </c>
      <c r="D107" s="299" t="n">
        <v>1</v>
      </c>
    </row>
    <row r="108">
      <c r="A108" s="373" t="n"/>
      <c r="B108" s="368" t="inlineStr">
        <is>
          <t>VCB_open</t>
        </is>
      </c>
      <c r="D108" s="299">
        <f>D104</f>
        <v/>
      </c>
    </row>
    <row r="109" ht="15" customHeight="1" thickBot="1">
      <c r="A109" s="374" t="n"/>
      <c r="B109" s="384" t="inlineStr">
        <is>
          <t>415_VAC_available</t>
        </is>
      </c>
      <c r="C109" s="375" t="n"/>
      <c r="D109" s="302">
        <f>D105</f>
        <v/>
      </c>
    </row>
    <row r="110">
      <c r="A110" s="370" t="n"/>
      <c r="B110" s="383" t="inlineStr">
        <is>
          <t>Pressure_&gt;_Q(pressure_switch_trip)\</t>
        </is>
      </c>
      <c r="C110" s="371" t="n"/>
      <c r="D110" s="372" t="n">
        <v>0</v>
      </c>
    </row>
    <row r="111">
      <c r="A111" s="373" t="n"/>
      <c r="B111" s="368" t="inlineStr">
        <is>
          <t>Pressure_&gt;_P(pleasure_transducer_trip)</t>
        </is>
      </c>
      <c r="D111" s="299" t="n">
        <v>0</v>
      </c>
    </row>
    <row r="112">
      <c r="A112" s="373" t="n"/>
      <c r="B112" s="368" t="inlineStr">
        <is>
          <t>Cooling_mode_ON</t>
        </is>
      </c>
      <c r="D112" s="299">
        <f>D65</f>
        <v/>
      </c>
    </row>
    <row r="113">
      <c r="A113" s="373" t="n"/>
      <c r="B113" s="368" t="inlineStr">
        <is>
          <t>Pressure_&lt;_L</t>
        </is>
      </c>
      <c r="D113" s="299" t="n">
        <v>0</v>
      </c>
    </row>
    <row r="114" ht="15" customHeight="1" thickBot="1">
      <c r="A114" s="374" t="n"/>
      <c r="B114" s="384" t="inlineStr">
        <is>
          <t>Pressure_&lt;_M</t>
        </is>
      </c>
      <c r="C114" s="375" t="n"/>
      <c r="D114" s="302" t="n">
        <v>0</v>
      </c>
    </row>
    <row r="115">
      <c r="A115" s="370" t="n"/>
      <c r="B115" s="383" t="inlineStr">
        <is>
          <t>APS_1Breaker_OK</t>
        </is>
      </c>
      <c r="C115" s="371" t="n"/>
      <c r="D115" s="372" t="n">
        <v>1</v>
      </c>
    </row>
    <row r="116">
      <c r="A116" s="373" t="n"/>
      <c r="B116" s="368" t="inlineStr">
        <is>
          <t>Emergency_OK</t>
        </is>
      </c>
      <c r="D116" s="299" t="n">
        <v>1</v>
      </c>
    </row>
    <row r="117">
      <c r="A117" s="373" t="n"/>
      <c r="B117" s="368" t="inlineStr">
        <is>
          <t>Cooling Satisfied</t>
        </is>
      </c>
      <c r="D117" s="299" t="n">
        <v>1</v>
      </c>
    </row>
    <row r="118">
      <c r="A118" s="373" t="n"/>
      <c r="B118" s="368" t="inlineStr">
        <is>
          <t>Heating Satisfied</t>
        </is>
      </c>
      <c r="D118" s="299" t="n">
        <v>1</v>
      </c>
    </row>
    <row r="119">
      <c r="A119" s="373" t="n"/>
      <c r="B119" s="368" t="inlineStr">
        <is>
          <t>Cooling/heating inhabited due to falut</t>
        </is>
      </c>
      <c r="D119" s="299" t="n">
        <v>0</v>
      </c>
    </row>
    <row r="120" ht="15" customHeight="1" thickBot="1">
      <c r="A120" s="374" t="n"/>
      <c r="B120" s="384" t="inlineStr">
        <is>
          <t>driver selects ventilation mode from VDU</t>
        </is>
      </c>
      <c r="C120" s="375" t="n"/>
      <c r="D120" s="302" t="n">
        <v>0</v>
      </c>
    </row>
    <row r="121">
      <c r="A121" s="370" t="n"/>
      <c r="B121" s="383" t="inlineStr">
        <is>
          <t>heating active</t>
        </is>
      </c>
      <c r="C121" s="371" t="n"/>
      <c r="D121" s="372">
        <f>D84</f>
        <v/>
      </c>
    </row>
    <row r="122">
      <c r="A122" s="373" t="n"/>
      <c r="B122" s="368" t="inlineStr">
        <is>
          <t>Relative humidity&gt;RH_Set</t>
        </is>
      </c>
      <c r="D122" s="299" t="n">
        <v>1</v>
      </c>
    </row>
    <row r="123">
      <c r="A123" s="373" t="n"/>
      <c r="B123" s="368" t="inlineStr">
        <is>
          <t>FAT&gt;=T4</t>
        </is>
      </c>
      <c r="D123" s="299">
        <f>IF('Mode Logic'!C18&gt;='Mode Logic'!G5,1,0)</f>
        <v/>
      </c>
    </row>
    <row r="124" ht="15" customHeight="1" thickBot="1">
      <c r="A124" s="374" t="n"/>
      <c r="B124" s="384" t="inlineStr">
        <is>
          <t>FAT&lt;=T7</t>
        </is>
      </c>
      <c r="C124" s="375" t="n"/>
      <c r="D124" s="302">
        <f>IF('Mode Logic'!C18&lt;='Mode Logic'!G8,1,0)</f>
        <v/>
      </c>
    </row>
    <row r="125">
      <c r="A125" s="370" t="n"/>
      <c r="B125" s="383" t="inlineStr">
        <is>
          <t>Heater_ok</t>
        </is>
      </c>
      <c r="C125" s="371" t="n"/>
      <c r="D125" s="372" t="n">
        <v>1</v>
      </c>
    </row>
    <row r="126">
      <c r="A126" s="373" t="n"/>
      <c r="B126" s="368" t="inlineStr">
        <is>
          <t>Fan_ok</t>
        </is>
      </c>
      <c r="D126" s="299" t="n">
        <v>1</v>
      </c>
    </row>
    <row r="127">
      <c r="A127" s="373" t="n"/>
      <c r="B127" s="368" t="inlineStr">
        <is>
          <t>Breaker_ok</t>
        </is>
      </c>
      <c r="D127" s="299" t="n">
        <v>1</v>
      </c>
    </row>
    <row r="128">
      <c r="A128" s="373" t="n"/>
      <c r="B128" s="368" t="inlineStr">
        <is>
          <t>No_Fire</t>
        </is>
      </c>
      <c r="D128" s="299" t="n">
        <v>1</v>
      </c>
    </row>
    <row r="129">
      <c r="A129" s="373" t="n"/>
      <c r="B129" s="368" t="inlineStr">
        <is>
          <t>FAT_&lt;_T5</t>
        </is>
      </c>
      <c r="D129" s="299">
        <f>IF('Mode Logic'!C18&lt;='Mode Logic'!G6,1,0)</f>
        <v/>
      </c>
    </row>
    <row r="130" ht="15" customHeight="1" thickBot="1">
      <c r="A130" s="374" t="n"/>
      <c r="B130" s="384" t="inlineStr">
        <is>
          <t>Fan_FB_OK</t>
        </is>
      </c>
      <c r="C130" s="375" t="n"/>
      <c r="D130" s="302" t="n">
        <v>1</v>
      </c>
    </row>
    <row r="131">
      <c r="A131" s="370" t="n"/>
      <c r="B131" s="383" t="inlineStr">
        <is>
          <t>FAT_&gt;=_T7</t>
        </is>
      </c>
      <c r="C131" s="371" t="n"/>
      <c r="D131" s="372">
        <f>IF('Mode Logic'!C18&gt;='Mode Logic'!G8,1,0)</f>
        <v/>
      </c>
    </row>
    <row r="132">
      <c r="A132" s="373" t="n"/>
      <c r="B132" s="17" t="inlineStr">
        <is>
          <t>Preconditioning Enable</t>
        </is>
      </c>
      <c r="D132" s="299">
        <f>IF(OR('Mode Logic'!J3:J4),1,0)</f>
        <v/>
      </c>
    </row>
    <row r="133" ht="15" customHeight="1" thickBot="1">
      <c r="A133" s="374" t="n"/>
      <c r="B133" s="363" t="inlineStr">
        <is>
          <t>RAT_SP&lt;=3K</t>
        </is>
      </c>
      <c r="C133" s="375" t="n"/>
      <c r="D133" s="302">
        <f>IF(Calculation!B35-Calculation!B33&gt;=3,1,0)</f>
        <v/>
      </c>
    </row>
    <row r="134">
      <c r="A134" s="370" t="n"/>
      <c r="B134" s="364" t="inlineStr">
        <is>
          <t>60 min timer Expire</t>
        </is>
      </c>
      <c r="C134" s="371" t="n"/>
      <c r="D134" s="372">
        <f>IF('Mode Logic'!C20&gt;60,1,0)</f>
        <v/>
      </c>
    </row>
    <row r="135">
      <c r="A135" s="373" t="n"/>
      <c r="B135" s="17" t="inlineStr">
        <is>
          <t>Precondition_command</t>
        </is>
      </c>
      <c r="D135" s="299">
        <f>IF(OR('Mode Logic'!J3:J4),1,0)</f>
        <v/>
      </c>
    </row>
    <row r="136" ht="15" customHeight="1" thickBot="1">
      <c r="A136" s="374" t="n"/>
      <c r="B136" s="363" t="inlineStr">
        <is>
          <t>passanger_&lt;=_10%</t>
        </is>
      </c>
      <c r="C136" s="375" t="n"/>
      <c r="D136" s="302">
        <f>IF(Calculation!B7&lt;10,1,0)</f>
        <v/>
      </c>
    </row>
    <row r="137">
      <c r="B137" s="17" t="inlineStr">
        <is>
          <t>RAT_&lt;=_SP+3K</t>
        </is>
      </c>
      <c r="D137" s="263">
        <f>IF(Calculation!B33-Calculation!B35&gt;=3,1,0)</f>
        <v/>
      </c>
    </row>
    <row r="138" ht="15" customHeight="1" thickBot="1">
      <c r="B138" s="362" t="inlineStr">
        <is>
          <t>RAT_&gt;SP+3</t>
        </is>
      </c>
      <c r="D138" s="263">
        <f>IF(Calculation!B35-Calculation!B33&gt;3,1,0)</f>
        <v/>
      </c>
    </row>
    <row r="139">
      <c r="A139" s="370" t="n"/>
      <c r="B139" s="364" t="inlineStr">
        <is>
          <t>N1_ON_HVAC_online_network_1</t>
        </is>
      </c>
      <c r="C139" s="371" t="n"/>
      <c r="D139" s="372" t="n">
        <v>1</v>
      </c>
    </row>
    <row r="140">
      <c r="A140" s="373" t="n"/>
      <c r="B140" s="17" t="inlineStr">
        <is>
          <t>N1_V1_HVAC1_Data_Valid</t>
        </is>
      </c>
      <c r="D140" s="299" t="n">
        <v>1</v>
      </c>
    </row>
    <row r="141">
      <c r="A141" s="373" t="n"/>
      <c r="B141" s="17" t="inlineStr">
        <is>
          <t>N1_V2_HVAC2_data_valid</t>
        </is>
      </c>
      <c r="D141" s="299" t="n">
        <v>1</v>
      </c>
    </row>
    <row r="142">
      <c r="A142" s="373" t="n"/>
      <c r="B142" s="17" t="inlineStr">
        <is>
          <t>N1_ON_HVAC_SD_online_network_2</t>
        </is>
      </c>
      <c r="D142" s="299" t="n">
        <v>1</v>
      </c>
    </row>
    <row r="143">
      <c r="A143" s="373" t="n"/>
      <c r="B143" s="17" t="inlineStr">
        <is>
          <t>N2_V2_No_HVAC2_data_valid</t>
        </is>
      </c>
      <c r="D143" s="299" t="n">
        <v>1</v>
      </c>
    </row>
    <row r="144" ht="15" customHeight="1" thickBot="1">
      <c r="A144" s="374" t="n"/>
      <c r="B144" s="363" t="inlineStr">
        <is>
          <t>N2_V2_HVAC2_data_valid</t>
        </is>
      </c>
      <c r="C144" s="375" t="n"/>
      <c r="D144" s="302" t="n">
        <v>1</v>
      </c>
    </row>
    <row r="145">
      <c r="B145" s="17" t="inlineStr">
        <is>
          <t>N1_ON_HVAC_SD_online_network</t>
        </is>
      </c>
      <c r="D145" s="263" t="n">
        <v>1</v>
      </c>
    </row>
    <row r="146">
      <c r="B146" s="17" t="inlineStr">
        <is>
          <t>N2_V1_HVAC1_data_valid</t>
        </is>
      </c>
      <c r="D146" s="263" t="n">
        <v>1</v>
      </c>
    </row>
    <row r="147" ht="15" customHeight="1" thickBot="1">
      <c r="B147" s="362" t="inlineStr">
        <is>
          <t>N2_V2_HVAC2_data_valid</t>
        </is>
      </c>
      <c r="D147" s="263" t="n">
        <v>1</v>
      </c>
    </row>
    <row r="148">
      <c r="A148" s="370" t="n"/>
      <c r="B148" s="379" t="inlineStr">
        <is>
          <t>HVAC1_SMDR_de-energized</t>
        </is>
      </c>
      <c r="C148" s="371" t="n"/>
      <c r="D148" s="372" t="n">
        <v>0</v>
      </c>
    </row>
    <row r="149">
      <c r="A149" s="373" t="n"/>
      <c r="B149" s="7" t="inlineStr">
        <is>
          <t>HVAC2_SMDR_de-energized</t>
        </is>
      </c>
      <c r="D149" s="299" t="n">
        <v>0</v>
      </c>
    </row>
    <row r="150" ht="15" customHeight="1" thickBot="1">
      <c r="A150" s="374" t="n"/>
      <c r="B150" s="365" t="inlineStr">
        <is>
          <t>SMRR_relay_reset</t>
        </is>
      </c>
      <c r="C150" s="375" t="n"/>
      <c r="D150" s="302" t="n">
        <v>0</v>
      </c>
    </row>
    <row r="151" ht="15" customHeight="1" thickBot="1">
      <c r="B151" s="378" t="inlineStr">
        <is>
          <t>VDP command</t>
        </is>
      </c>
      <c r="D151" s="263" t="n">
        <v>1</v>
      </c>
    </row>
    <row r="152">
      <c r="A152" s="370" t="n"/>
      <c r="B152" s="379" t="inlineStr">
        <is>
          <t>START_Command_TCMS</t>
        </is>
      </c>
      <c r="C152" s="371" t="n"/>
      <c r="D152" s="372" t="n">
        <v>1</v>
      </c>
    </row>
    <row r="153">
      <c r="A153" s="373" t="n"/>
      <c r="B153" s="7" t="inlineStr">
        <is>
          <t>START_allow</t>
        </is>
      </c>
      <c r="D153" s="299" t="n">
        <v>1</v>
      </c>
    </row>
    <row r="154">
      <c r="A154" s="373" t="n"/>
      <c r="B154" s="7" t="inlineStr">
        <is>
          <t>Comp_2_Start</t>
        </is>
      </c>
      <c r="D154" s="299">
        <f>'Mode Logic'!M18</f>
        <v/>
      </c>
    </row>
    <row r="155">
      <c r="A155" s="373" t="n"/>
      <c r="B155" s="7" t="inlineStr">
        <is>
          <t>Load_Cooling_Level_5</t>
        </is>
      </c>
      <c r="D155" s="299">
        <f>'Mode Logic'!L9</f>
        <v/>
      </c>
    </row>
    <row r="156">
      <c r="A156" s="373" t="n"/>
      <c r="B156" s="7" t="inlineStr">
        <is>
          <t>Comp_3_Start</t>
        </is>
      </c>
      <c r="D156" s="299">
        <f>'Mode Logic'!N18</f>
        <v/>
      </c>
    </row>
    <row r="157" ht="15" customHeight="1" thickBot="1">
      <c r="A157" s="374" t="n"/>
      <c r="B157" s="365" t="inlineStr">
        <is>
          <t>Load_Cooling_level_7</t>
        </is>
      </c>
      <c r="C157" s="375" t="n"/>
      <c r="D157" s="302">
        <f>'Mode Logic'!J10</f>
        <v/>
      </c>
    </row>
    <row r="158">
      <c r="A158" s="370" t="n"/>
      <c r="B158" s="379" t="inlineStr">
        <is>
          <t>Driver_Close_command</t>
        </is>
      </c>
      <c r="C158" s="371" t="n"/>
      <c r="D158" s="372" t="n">
        <v>0</v>
      </c>
    </row>
    <row r="159">
      <c r="A159" s="373" t="n"/>
      <c r="B159" s="7" t="inlineStr">
        <is>
          <t>Driver_by_pass_command</t>
        </is>
      </c>
      <c r="D159" s="299" t="n">
        <v>0</v>
      </c>
    </row>
    <row r="160" ht="15" customHeight="1" thickBot="1">
      <c r="A160" s="374" t="n"/>
      <c r="B160" s="365" t="inlineStr">
        <is>
          <t>FADR_closed</t>
        </is>
      </c>
      <c r="C160" s="375" t="n"/>
      <c r="D160" s="302">
        <f>'Mode Logic'!P18</f>
        <v/>
      </c>
    </row>
    <row r="284">
      <c r="F284" s="309">
        <f>IF('DATA TRANSFER'!AE18=1,1,0)</f>
        <v/>
      </c>
    </row>
    <row r="359">
      <c r="F359" s="309">
        <f>'DATA TRANSFER'!M285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Q1064"/>
  <sheetViews>
    <sheetView topLeftCell="V1" zoomScale="115" zoomScaleNormal="115" workbookViewId="0">
      <pane ySplit="1" topLeftCell="A113" activePane="bottomLeft" state="frozen"/>
      <selection pane="bottomLeft" activeCell="AK140" sqref="AK140"/>
    </sheetView>
  </sheetViews>
  <sheetFormatPr baseColWidth="8" defaultColWidth="9.1796875" defaultRowHeight="15.5"/>
  <cols>
    <col width="9.1796875" customWidth="1" style="840" min="1" max="1"/>
    <col width="16.26953125" customWidth="1" style="840" min="2" max="2"/>
    <col width="29.7265625" customWidth="1" style="840" min="3" max="3"/>
    <col width="17.7265625" customWidth="1" style="840" min="4" max="4"/>
    <col width="17.1796875" customWidth="1" style="840" min="5" max="5"/>
    <col width="15.453125" customWidth="1" style="273" min="6" max="6"/>
    <col width="14.7265625" customWidth="1" style="265" min="7" max="7"/>
    <col width="14.1796875" customWidth="1" style="840" min="8" max="8"/>
    <col width="23" customWidth="1" style="840" min="9" max="9"/>
    <col width="21.1796875" customWidth="1" style="840" min="10" max="10"/>
    <col width="18.453125" customWidth="1" style="840" min="11" max="11"/>
    <col width="18.81640625" customWidth="1" style="840" min="12" max="12"/>
    <col width="15.81640625" customWidth="1" style="840" min="13" max="13"/>
    <col width="13.26953125" customWidth="1" style="840" min="14" max="14"/>
    <col width="12.7265625" customWidth="1" style="840" min="15" max="15"/>
    <col width="14.26953125" customWidth="1" style="265" min="16" max="16"/>
    <col width="21.1796875" customWidth="1" style="265" min="17" max="17"/>
    <col width="21.26953125" customWidth="1" style="265" min="18" max="18"/>
    <col width="18.453125" customWidth="1" style="840" min="19" max="19"/>
    <col width="16.7265625" customWidth="1" style="840" min="20" max="20"/>
    <col width="18.26953125" customWidth="1" style="273" min="21" max="21"/>
    <col width="17.7265625" customWidth="1" style="840" min="22" max="22"/>
    <col width="14.81640625" customWidth="1" style="840" min="23" max="23"/>
    <col width="14.453125" customWidth="1" style="840" min="24" max="24"/>
    <col width="16.26953125" customWidth="1" style="840" min="25" max="25"/>
    <col width="15" customWidth="1" style="840" min="26" max="26"/>
    <col width="43.1796875" customWidth="1" style="265" min="27" max="27"/>
    <col width="15" customWidth="1" style="840" min="28" max="30"/>
    <col width="9.1796875" customWidth="1" style="840" min="31" max="31"/>
    <col width="20.453125" customWidth="1" style="265" min="32" max="32"/>
    <col width="16.453125" customWidth="1" style="840" min="33" max="33"/>
    <col width="27.7265625" customWidth="1" style="840" min="34" max="34"/>
    <col width="19" customWidth="1" style="840" min="35" max="35"/>
    <col width="24.453125" customWidth="1" style="840" min="36" max="36"/>
    <col width="21.7265625" customWidth="1" style="840" min="37" max="37"/>
    <col width="18.26953125" customWidth="1" style="840" min="38" max="38"/>
    <col width="15.7265625" customWidth="1" style="840" min="39" max="39"/>
    <col width="16.1796875" customWidth="1" style="840" min="40" max="40"/>
    <col width="17.1796875" customWidth="1" style="840" min="41" max="41"/>
    <col width="9.1796875" customWidth="1" style="840" min="42" max="42"/>
    <col width="17" customWidth="1" style="840" min="43" max="43"/>
    <col width="9.1796875" customWidth="1" style="840" min="44" max="44"/>
    <col width="14.26953125" customWidth="1" style="265" min="45" max="45"/>
    <col width="21.26953125" customWidth="1" style="840" min="46" max="46"/>
    <col width="18.81640625" customWidth="1" style="840" min="47" max="47"/>
    <col width="16.453125" customWidth="1" style="840" min="48" max="48"/>
    <col width="15.81640625" customWidth="1" style="840" min="49" max="49"/>
    <col width="19.7265625" customWidth="1" style="840" min="50" max="50"/>
    <col width="15.7265625" customWidth="1" style="840" min="51" max="51"/>
    <col width="16.1796875" customWidth="1" style="840" min="52" max="52"/>
    <col width="15" customWidth="1" style="840" min="53" max="53"/>
    <col width="15.1796875" customWidth="1" style="840" min="54" max="54"/>
    <col width="23.1796875" customWidth="1" style="840" min="55" max="55"/>
    <col width="21.7265625" customWidth="1" style="840" min="56" max="58"/>
    <col width="21.26953125" customWidth="1" style="840" min="59" max="59"/>
    <col width="28.1796875" customWidth="1" style="840" min="60" max="60"/>
    <col width="9.1796875" customWidth="1" style="840" min="61" max="61"/>
    <col width="21.453125" customWidth="1" style="840" min="62" max="62"/>
    <col width="16" customWidth="1" style="840" min="63" max="63"/>
    <col width="13.81640625" customWidth="1" style="840" min="64" max="64"/>
    <col width="18.81640625" customWidth="1" style="840" min="65" max="65"/>
    <col width="19.26953125" customWidth="1" style="265" min="66" max="66"/>
    <col width="14" customWidth="1" style="840" min="67" max="67"/>
    <col width="14.453125" customWidth="1" style="840" min="68" max="69"/>
    <col width="16.1796875" customWidth="1" style="840" min="70" max="70"/>
    <col width="16" customWidth="1" style="840" min="71" max="71"/>
    <col width="24.1796875" customWidth="1" style="840" min="72" max="72"/>
    <col width="32.1796875" customWidth="1" style="840" min="73" max="73"/>
    <col width="25.1796875" customWidth="1" style="840" min="74" max="74"/>
    <col width="24.453125" customWidth="1" style="840" min="75" max="75"/>
    <col width="11.453125" customWidth="1" style="840" min="76" max="76"/>
    <col width="17.7265625" customWidth="1" style="840" min="77" max="77"/>
    <col width="13.453125" customWidth="1" style="840" min="78" max="79"/>
    <col width="16.7265625" customWidth="1" style="840" min="80" max="80"/>
    <col width="20.1796875" customWidth="1" style="840" min="81" max="81"/>
    <col width="15.7265625" customWidth="1" style="840" min="82" max="82"/>
    <col width="14.7265625" customWidth="1" style="840" min="83" max="83"/>
    <col width="15.81640625" customWidth="1" style="840" min="84" max="84"/>
    <col width="15.7265625" customWidth="1" style="840" min="85" max="85"/>
    <col width="23.26953125" customWidth="1" style="840" min="86" max="88"/>
    <col width="15.453125" customWidth="1" style="840" min="89" max="89"/>
    <col width="14.453125" customWidth="1" style="840" min="90" max="90"/>
    <col width="16.453125" customWidth="1" style="840" min="91" max="91"/>
    <col width="17" customWidth="1" style="840" min="92" max="92"/>
    <col width="15.453125" customWidth="1" style="840" min="93" max="93"/>
    <col width="16.26953125" customWidth="1" style="840" min="94" max="94"/>
    <col width="15" customWidth="1" style="840" min="95" max="95"/>
    <col width="17.453125" customWidth="1" style="840" min="96" max="96"/>
    <col width="9.1796875" customWidth="1" style="840" min="97" max="97"/>
    <col width="30.1796875" customWidth="1" style="840" min="98" max="98"/>
    <col width="22" customWidth="1" style="840" min="99" max="99"/>
    <col width="30.54296875" customWidth="1" style="840" min="100" max="100"/>
    <col width="25.81640625" customWidth="1" style="840" min="101" max="101"/>
    <col width="9.1796875" customWidth="1" style="840" min="102" max="102"/>
    <col width="16.81640625" customWidth="1" style="840" min="103" max="103"/>
    <col width="21.453125" customWidth="1" style="840" min="104" max="104"/>
    <col width="25.81640625" customWidth="1" style="840" min="105" max="105"/>
    <col width="18.453125" customWidth="1" style="840" min="106" max="106"/>
    <col width="21" customWidth="1" style="840" min="107" max="107"/>
    <col width="21.453125" customWidth="1" style="840" min="108" max="108"/>
    <col width="16.1796875" customWidth="1" style="840" min="109" max="109"/>
    <col width="17.7265625" customWidth="1" style="840" min="110" max="110"/>
    <col width="25" customWidth="1" style="840" min="111" max="111"/>
    <col width="26.81640625" customWidth="1" style="840" min="112" max="112"/>
    <col width="9.1796875" customWidth="1" style="840" min="113" max="115"/>
    <col width="19" customWidth="1" style="840" min="116" max="116"/>
    <col width="28.1796875" customWidth="1" style="840" min="117" max="117"/>
    <col width="16.81640625" customWidth="1" style="840" min="118" max="118"/>
    <col width="18" customWidth="1" style="840" min="119" max="119"/>
    <col width="18.453125" customWidth="1" style="273" min="120" max="120"/>
    <col width="20" customWidth="1" style="840" min="121" max="121"/>
    <col width="20.54296875" customWidth="1" style="840" min="122" max="122"/>
    <col width="20.453125" customWidth="1" style="840" min="123" max="123"/>
    <col width="27.26953125" customWidth="1" style="840" min="124" max="124"/>
    <col width="9.1796875" customWidth="1" style="840" min="125" max="125"/>
    <col width="24.54296875" customWidth="1" style="840" min="126" max="129"/>
    <col width="12" customWidth="1" style="840" min="130" max="130"/>
    <col width="22.7265625" customWidth="1" style="840" min="131" max="131"/>
    <col width="39" customWidth="1" style="840" min="132" max="132"/>
    <col width="13.453125" customWidth="1" style="840" min="133" max="133"/>
    <col width="20.54296875" customWidth="1" style="840" min="134" max="135"/>
    <col width="17.7265625" customWidth="1" style="840" min="136" max="136"/>
    <col width="16.81640625" customWidth="1" style="840" min="137" max="137"/>
    <col width="21.81640625" customWidth="1" style="840" min="138" max="138"/>
    <col width="21.453125" customWidth="1" style="265" min="139" max="139"/>
    <col width="9.1796875" customWidth="1" style="840" min="140" max="140"/>
    <col width="27.54296875" customWidth="1" style="840" min="141" max="141"/>
    <col width="19.54296875" customWidth="1" style="840" min="142" max="143"/>
    <col width="9.1796875" customWidth="1" style="840" min="144" max="145"/>
    <col width="17.1796875" customWidth="1" style="840" min="146" max="146"/>
    <col width="22.26953125" customWidth="1" style="840" min="147" max="147"/>
    <col width="9.1796875" customWidth="1" style="840" min="148" max="148"/>
    <col width="19.81640625" customWidth="1" style="840" min="149" max="149"/>
    <col width="18.81640625" customWidth="1" style="840" min="150" max="150"/>
    <col width="20" customWidth="1" style="840" min="151" max="151"/>
    <col width="16.7265625" customWidth="1" style="840" min="152" max="152"/>
    <col width="17.453125" customWidth="1" style="840" min="153" max="153"/>
    <col width="18.453125" customWidth="1" style="840" min="154" max="154"/>
    <col width="9.1796875" customWidth="1" style="840" min="155" max="155"/>
    <col width="31" customWidth="1" style="840" min="156" max="156"/>
    <col width="18.453125" customWidth="1" style="840" min="157" max="159"/>
    <col width="9.1796875" customWidth="1" style="840" min="160" max="161"/>
    <col width="23.81640625" customWidth="1" style="840" min="162" max="162"/>
    <col width="19.1796875" customWidth="1" style="840" min="163" max="163"/>
    <col width="22.453125" customWidth="1" style="840" min="164" max="164"/>
    <col width="25.26953125" customWidth="1" style="840" min="165" max="165"/>
    <col width="18.54296875" customWidth="1" style="840" min="166" max="166"/>
    <col width="21.54296875" customWidth="1" style="840" min="167" max="167"/>
    <col width="23.26953125" customWidth="1" style="840" min="168" max="168"/>
    <col width="21.1796875" customWidth="1" style="840" min="169" max="169"/>
    <col width="20.1796875" customWidth="1" style="840" min="170" max="170"/>
    <col width="9.1796875" customWidth="1" style="840" min="171" max="171"/>
    <col width="21.7265625" customWidth="1" style="840" min="172" max="172"/>
    <col width="16.453125" customWidth="1" style="840" min="173" max="174"/>
    <col width="9.1796875" customWidth="1" style="840" min="175" max="175"/>
    <col width="10.7265625" customWidth="1" style="840" min="176" max="176"/>
    <col width="21.81640625" customWidth="1" style="840" min="177" max="177"/>
    <col width="26" customWidth="1" style="840" min="178" max="178"/>
    <col width="20.54296875" customWidth="1" style="840" min="179" max="179"/>
    <col width="21.54296875" customWidth="1" style="840" min="180" max="180"/>
    <col width="22" customWidth="1" style="840" min="181" max="181"/>
    <col width="19.1796875" customWidth="1" style="840" min="182" max="182"/>
    <col width="22.54296875" customWidth="1" style="840" min="183" max="183"/>
    <col width="20.1796875" customWidth="1" style="840" min="184" max="184"/>
    <col width="17.26953125" customWidth="1" style="840" min="185" max="185"/>
    <col width="9.1796875" customWidth="1" style="840" min="186" max="187"/>
    <col width="11" customWidth="1" style="840" min="188" max="188"/>
    <col width="20.453125" customWidth="1" style="840" min="189" max="189"/>
    <col width="20" customWidth="1" style="840" min="190" max="190"/>
    <col width="17.81640625" customWidth="1" style="840" min="191" max="191"/>
    <col width="23.54296875" customWidth="1" style="840" min="192" max="192"/>
    <col width="18.26953125" customWidth="1" style="265" min="193" max="193"/>
    <col width="20.453125" customWidth="1" style="840" min="194" max="194"/>
    <col width="21.7265625" customWidth="1" style="840" min="195" max="195"/>
    <col width="20.453125" customWidth="1" style="840" min="196" max="196"/>
    <col width="20.1796875" customWidth="1" style="840" min="197" max="197"/>
    <col width="9.1796875" customWidth="1" style="840" min="198" max="198"/>
    <col width="19.7265625" customWidth="1" style="840" min="199" max="201"/>
    <col width="9.1796875" customWidth="1" style="840" min="202" max="203"/>
    <col width="19.453125" customWidth="1" style="840" min="204" max="204"/>
    <col width="23" customWidth="1" style="840" min="205" max="205"/>
    <col width="19.7265625" customWidth="1" style="840" min="206" max="206"/>
    <col width="17.54296875" customWidth="1" style="840" min="207" max="207"/>
    <col width="18.453125" customWidth="1" style="273" min="208" max="208"/>
    <col width="18.26953125" customWidth="1" style="840" min="209" max="209"/>
    <col width="19.1796875" customWidth="1" style="840" min="210" max="210"/>
    <col width="20" customWidth="1" style="840" min="211" max="211"/>
    <col width="20.54296875" customWidth="1" style="265" min="212" max="212"/>
    <col width="9.1796875" customWidth="1" style="840" min="213" max="213"/>
    <col width="17.54296875" customWidth="1" style="840" min="214" max="214"/>
    <col width="15.26953125" customWidth="1" style="840" min="215" max="217"/>
    <col width="9.1796875" customWidth="1" style="840" min="218" max="219"/>
    <col width="19.1796875" customWidth="1" style="840" min="220" max="220"/>
    <col width="22.7265625" customWidth="1" style="840" min="221" max="221"/>
    <col width="21.54296875" customWidth="1" style="840" min="222" max="222"/>
    <col width="25.1796875" customWidth="1" style="840" min="223" max="223"/>
    <col width="22.54296875" customWidth="1" style="840" min="224" max="224"/>
    <col width="26.26953125" customWidth="1" style="840" min="225" max="225"/>
    <col width="23.7265625" customWidth="1" style="840" min="226" max="226"/>
    <col width="26" customWidth="1" style="840" min="227" max="227"/>
    <col width="25.54296875" customWidth="1" style="840" min="228" max="228"/>
    <col width="9.1796875" customWidth="1" style="840" min="229" max="229"/>
    <col width="15.7265625" customWidth="1" style="840" min="230" max="232"/>
    <col width="9.1796875" customWidth="1" style="840" min="233" max="234"/>
    <col width="19.54296875" customWidth="1" style="840" min="235" max="235"/>
    <col width="19.81640625" customWidth="1" style="840" min="236" max="236"/>
    <col width="22" customWidth="1" style="840" min="237" max="237"/>
    <col width="24.54296875" customWidth="1" style="840" min="238" max="238"/>
    <col width="25.81640625" customWidth="1" style="840" min="239" max="239"/>
    <col width="29.453125" customWidth="1" style="840" min="240" max="240"/>
    <col width="33.453125" customWidth="1" style="840" min="241" max="241"/>
    <col width="26.7265625" customWidth="1" style="840" min="242" max="242"/>
    <col width="27.453125" customWidth="1" style="840" min="243" max="243"/>
    <col width="9.1796875" customWidth="1" style="840" min="244" max="245"/>
    <col width="13.81640625" customWidth="1" style="840" min="246" max="246"/>
    <col width="19.1796875" customWidth="1" style="840" min="247" max="247"/>
    <col width="30.7265625" customWidth="1" style="840" min="248" max="248"/>
    <col width="18.7265625" customWidth="1" style="840" min="249" max="249"/>
    <col width="31.7265625" customWidth="1" style="840" min="250" max="250"/>
    <col width="21" customWidth="1" style="840" min="251" max="251"/>
    <col width="22" customWidth="1" style="840" min="252" max="252"/>
    <col width="21.54296875" customWidth="1" style="840" min="253" max="253"/>
    <col width="23.7265625" customWidth="1" style="840" min="254" max="254"/>
    <col width="19.453125" customWidth="1" style="840" min="255" max="255"/>
    <col width="9.1796875" customWidth="1" style="840" min="256" max="257"/>
    <col width="15.26953125" customWidth="1" style="840" min="258" max="258"/>
    <col width="16.54296875" customWidth="1" style="840" min="259" max="259"/>
    <col width="61.453125" customWidth="1" style="265" min="260" max="260"/>
    <col width="21.1796875" customWidth="1" style="840" min="261" max="261"/>
    <col width="26.7265625" customWidth="1" style="840" min="262" max="262"/>
    <col width="22.453125" customWidth="1" style="840" min="263" max="263"/>
    <col width="19.54296875" customWidth="1" style="840" min="264" max="264"/>
    <col width="18.1796875" customWidth="1" style="840" min="265" max="265"/>
    <col width="19" customWidth="1" style="840" min="266" max="266"/>
    <col width="19.26953125" customWidth="1" style="265" min="267" max="267"/>
    <col width="9.1796875" customWidth="1" style="840" min="268" max="268"/>
    <col width="23.26953125" customWidth="1" style="840" min="269" max="270"/>
    <col width="19.453125" customWidth="1" style="840" min="271" max="271"/>
    <col width="23.26953125" customWidth="1" style="840" min="272" max="272"/>
    <col width="9.1796875" customWidth="1" style="840" min="273" max="274"/>
    <col width="21.54296875" customWidth="1" style="840" min="275" max="275"/>
    <col width="24.1796875" customWidth="1" style="840" min="276" max="276"/>
    <col width="26.26953125" customWidth="1" style="840" min="277" max="277"/>
    <col width="28.81640625" customWidth="1" style="840" min="278" max="278"/>
    <col width="25.54296875" customWidth="1" style="840" min="279" max="279"/>
    <col width="23.81640625" customWidth="1" style="840" min="280" max="280"/>
    <col width="28.81640625" customWidth="1" style="840" min="281" max="281"/>
    <col width="22.7265625" customWidth="1" style="840" min="282" max="282"/>
    <col width="25.54296875" customWidth="1" style="840" min="283" max="283"/>
    <col width="9.1796875" customWidth="1" style="840" min="284" max="286"/>
    <col width="17" customWidth="1" style="840" min="287" max="287"/>
    <col width="29.453125" customWidth="1" style="840" min="288" max="288"/>
    <col width="19.1796875" customWidth="1" style="840" min="289" max="289"/>
    <col width="24.1796875" customWidth="1" style="840" min="290" max="290"/>
    <col width="23.26953125" customWidth="1" style="840" min="291" max="291"/>
    <col width="18.453125" customWidth="1" style="840" min="292" max="292"/>
    <col width="19.54296875" customWidth="1" style="840" min="293" max="293"/>
    <col width="18.7265625" customWidth="1" style="840" min="294" max="294"/>
    <col width="18.81640625" customWidth="1" style="840" min="295" max="295"/>
    <col width="9.1796875" customWidth="1" style="840" min="296" max="296"/>
    <col width="16.26953125" customWidth="1" style="840" min="297" max="300"/>
    <col width="9.1796875" customWidth="1" style="840" min="301" max="302"/>
    <col width="32.26953125" customWidth="1" style="840" min="303" max="303"/>
    <col width="26.26953125" customWidth="1" style="840" min="304" max="304"/>
    <col width="18.7265625" customWidth="1" style="840" min="305" max="305"/>
    <col width="18.54296875" customWidth="1" style="840" min="306" max="307"/>
    <col width="17.81640625" customWidth="1" style="840" min="308" max="308"/>
    <col width="18.54296875" customWidth="1" style="840" min="309" max="309"/>
    <col width="18.7265625" customWidth="1" style="840" min="310" max="310"/>
    <col width="20.1796875" customWidth="1" style="840" min="311" max="311"/>
    <col width="9.1796875" customWidth="1" style="840" min="312" max="314"/>
    <col width="21" customWidth="1" style="840" min="315" max="315"/>
    <col width="20.453125" customWidth="1" style="840" min="316" max="316"/>
    <col width="22.1796875" customWidth="1" style="840" min="317" max="317"/>
    <col width="23.453125" customWidth="1" style="840" min="318" max="318"/>
    <col width="18.26953125" customWidth="1" style="840" min="319" max="319"/>
    <col width="17.26953125" customWidth="1" style="840" min="320" max="320"/>
    <col width="21" customWidth="1" style="840" min="321" max="321"/>
    <col width="22.26953125" customWidth="1" style="840" min="322" max="322"/>
    <col width="18.26953125" customWidth="1" style="840" min="323" max="323"/>
    <col width="9.1796875" customWidth="1" style="840" min="324" max="324"/>
    <col width="29.54296875" customWidth="1" style="840" min="325" max="325"/>
    <col width="20.54296875" customWidth="1" style="840" min="326" max="328"/>
    <col width="9.1796875" customWidth="1" style="840" min="329" max="330"/>
    <col width="15.26953125" customWidth="1" style="840" min="331" max="331"/>
    <col width="17.81640625" customWidth="1" style="840" min="332" max="333"/>
    <col width="16.7265625" customWidth="1" style="840" min="334" max="334"/>
    <col width="19.54296875" customWidth="1" style="840" min="335" max="335"/>
    <col width="21.7265625" customWidth="1" style="840" min="336" max="336"/>
    <col width="15.81640625" customWidth="1" style="840" min="337" max="337"/>
    <col width="15.26953125" customWidth="1" style="840" min="338" max="338"/>
    <col width="20.54296875" customWidth="1" style="840" min="339" max="339"/>
    <col width="9.1796875" customWidth="1" style="840" min="340" max="340"/>
    <col width="25" customWidth="1" style="840" min="341" max="341"/>
    <col width="14.81640625" customWidth="1" style="840" min="342" max="344"/>
    <col width="9.1796875" customWidth="1" style="840" min="345" max="346"/>
    <col width="16.26953125" customWidth="1" style="840" min="347" max="347"/>
    <col width="43.26953125" customWidth="1" style="840" min="348" max="348"/>
    <col width="20.453125" customWidth="1" style="840" min="349" max="349"/>
    <col width="16.81640625" customWidth="1" style="840" min="350" max="351"/>
    <col width="17.1796875" customWidth="1" style="840" min="352" max="352"/>
    <col width="16.453125" customWidth="1" style="840" min="353" max="353"/>
    <col width="19.54296875" customWidth="1" style="840" min="354" max="354"/>
    <col width="17.54296875" customWidth="1" style="840" min="355" max="355"/>
    <col width="9.1796875" customWidth="1" style="840" min="356" max="356"/>
    <col width="42" customWidth="1" style="840" min="357" max="357"/>
    <col width="15.7265625" customWidth="1" style="840" min="358" max="359"/>
    <col width="9.1796875" customWidth="1" style="840" min="360" max="16384"/>
  </cols>
  <sheetData>
    <row r="1" ht="33" customFormat="1" customHeight="1" s="273">
      <c r="A1" s="542" t="inlineStr">
        <is>
          <t>Sr. No.</t>
        </is>
      </c>
      <c r="B1" s="543" t="inlineStr">
        <is>
          <t>Physical location</t>
        </is>
      </c>
      <c r="C1" s="543" t="inlineStr">
        <is>
          <t>Component Name</t>
        </is>
      </c>
      <c r="D1" s="905" t="inlineStr">
        <is>
          <t>Logical Condition</t>
        </is>
      </c>
      <c r="E1" s="906" t="n"/>
      <c r="F1" s="906" t="n"/>
      <c r="G1" s="906" t="n"/>
      <c r="H1" s="906" t="n"/>
      <c r="I1" s="907" t="n"/>
      <c r="J1" s="544" t="inlineStr">
        <is>
          <t>Condition 1</t>
        </is>
      </c>
      <c r="P1" s="542" t="inlineStr">
        <is>
          <t>Sr. No.</t>
        </is>
      </c>
      <c r="Q1" s="543" t="inlineStr">
        <is>
          <t>Physical location</t>
        </is>
      </c>
      <c r="R1" s="543" t="inlineStr">
        <is>
          <t>Component Name</t>
        </is>
      </c>
      <c r="S1" s="905" t="inlineStr">
        <is>
          <t>Logical Condition</t>
        </is>
      </c>
      <c r="T1" s="906" t="n"/>
      <c r="U1" s="906" t="n"/>
      <c r="V1" s="906" t="n"/>
      <c r="W1" s="906" t="n"/>
      <c r="X1" s="907" t="n"/>
      <c r="Y1" s="544" t="inlineStr">
        <is>
          <t>Condition 1</t>
        </is>
      </c>
      <c r="AF1" s="542" t="inlineStr">
        <is>
          <t>Sr. No.</t>
        </is>
      </c>
      <c r="AG1" s="543" t="inlineStr">
        <is>
          <t>Physical location</t>
        </is>
      </c>
      <c r="AH1" s="543" t="inlineStr">
        <is>
          <t>Component Name</t>
        </is>
      </c>
      <c r="AI1" s="905" t="inlineStr">
        <is>
          <t>Logical Condition</t>
        </is>
      </c>
      <c r="AJ1" s="906" t="n"/>
      <c r="AK1" s="906" t="n"/>
      <c r="AL1" s="906" t="n"/>
      <c r="AM1" s="906" t="n"/>
      <c r="AN1" s="907" t="n"/>
      <c r="AO1" s="544" t="inlineStr">
        <is>
          <t>Condition 1</t>
        </is>
      </c>
      <c r="AS1" s="542" t="inlineStr">
        <is>
          <t>Sr. No.</t>
        </is>
      </c>
      <c r="AT1" s="543" t="inlineStr">
        <is>
          <t>Physical location</t>
        </is>
      </c>
      <c r="AU1" s="543" t="inlineStr">
        <is>
          <t>Component Name</t>
        </is>
      </c>
      <c r="AV1" s="905" t="inlineStr">
        <is>
          <t>Logical Condition</t>
        </is>
      </c>
      <c r="AW1" s="906" t="n"/>
      <c r="AX1" s="906" t="n"/>
      <c r="AY1" s="906" t="n"/>
      <c r="AZ1" s="906" t="n"/>
      <c r="BA1" s="907" t="n"/>
      <c r="BB1" s="544" t="inlineStr">
        <is>
          <t>Condition 1</t>
        </is>
      </c>
      <c r="BI1" s="542" t="inlineStr">
        <is>
          <t>Sr. No.</t>
        </is>
      </c>
      <c r="BJ1" s="543" t="inlineStr">
        <is>
          <t>Physical location</t>
        </is>
      </c>
      <c r="BK1" s="543" t="inlineStr">
        <is>
          <t>Component Name</t>
        </is>
      </c>
      <c r="BL1" s="905" t="inlineStr">
        <is>
          <t>Logical Condition</t>
        </is>
      </c>
      <c r="BM1" s="906" t="n"/>
      <c r="BN1" s="906" t="n"/>
      <c r="BO1" s="906" t="n"/>
      <c r="BP1" s="906" t="n"/>
      <c r="BQ1" s="907" t="n"/>
      <c r="BR1" s="544" t="inlineStr">
        <is>
          <t>Condition 1</t>
        </is>
      </c>
      <c r="BX1" s="542" t="inlineStr">
        <is>
          <t>Sr. No.</t>
        </is>
      </c>
      <c r="BY1" s="543" t="inlineStr">
        <is>
          <t>Physical location</t>
        </is>
      </c>
      <c r="BZ1" s="543" t="inlineStr">
        <is>
          <t>Component Name</t>
        </is>
      </c>
      <c r="CA1" s="905" t="inlineStr">
        <is>
          <t>Logical Condition</t>
        </is>
      </c>
      <c r="CB1" s="906" t="n"/>
      <c r="CC1" s="906" t="n"/>
      <c r="CD1" s="906" t="n"/>
      <c r="CE1" s="906" t="n"/>
      <c r="CF1" s="907" t="n"/>
      <c r="CG1" s="544" t="inlineStr">
        <is>
          <t>Condition 1</t>
        </is>
      </c>
      <c r="CI1" s="542" t="inlineStr">
        <is>
          <t>Sr. No.</t>
        </is>
      </c>
      <c r="CJ1" s="543" t="inlineStr">
        <is>
          <t>Physical location</t>
        </is>
      </c>
      <c r="CK1" s="543" t="inlineStr">
        <is>
          <t>Component Name</t>
        </is>
      </c>
      <c r="CL1" s="905" t="inlineStr">
        <is>
          <t>Logical Condition</t>
        </is>
      </c>
      <c r="CM1" s="906" t="n"/>
      <c r="CN1" s="906" t="n"/>
      <c r="CO1" s="906" t="n"/>
      <c r="CP1" s="906" t="n"/>
      <c r="CQ1" s="907" t="n"/>
      <c r="CR1" s="544" t="inlineStr">
        <is>
          <t>Condition 1</t>
        </is>
      </c>
      <c r="CY1" s="542" t="inlineStr">
        <is>
          <t>Sr. No.</t>
        </is>
      </c>
      <c r="CZ1" s="543" t="inlineStr">
        <is>
          <t>Physical location</t>
        </is>
      </c>
      <c r="DA1" s="543" t="inlineStr">
        <is>
          <t>Component Name</t>
        </is>
      </c>
      <c r="DB1" s="905" t="inlineStr">
        <is>
          <t>Logical Condition - External circuit</t>
        </is>
      </c>
      <c r="DC1" s="906" t="n"/>
      <c r="DD1" s="906" t="n"/>
      <c r="DE1" s="906" t="n"/>
      <c r="DF1" s="906" t="n"/>
      <c r="DG1" s="907" t="n"/>
      <c r="DH1" s="544" t="inlineStr">
        <is>
          <t>Condition 1</t>
        </is>
      </c>
      <c r="DK1" s="542" t="inlineStr">
        <is>
          <t>Sr. No.</t>
        </is>
      </c>
      <c r="DL1" s="543" t="inlineStr">
        <is>
          <t>Physical location</t>
        </is>
      </c>
      <c r="DM1" s="543" t="inlineStr">
        <is>
          <t>Component Name</t>
        </is>
      </c>
      <c r="DN1" s="905" t="inlineStr">
        <is>
          <t>Logical Condition - Internal circuit</t>
        </is>
      </c>
      <c r="DO1" s="906" t="n"/>
      <c r="DP1" s="906" t="n"/>
      <c r="DQ1" s="906" t="n"/>
      <c r="DR1" s="906" t="n"/>
      <c r="DS1" s="907" t="n"/>
      <c r="DT1" s="544" t="inlineStr">
        <is>
          <t>Condition 1</t>
        </is>
      </c>
      <c r="DZ1" s="542" t="inlineStr">
        <is>
          <t>Sr. No.</t>
        </is>
      </c>
      <c r="EA1" s="543" t="inlineStr">
        <is>
          <t>Physical location</t>
        </is>
      </c>
      <c r="EB1" s="543" t="inlineStr">
        <is>
          <t>Component Name</t>
        </is>
      </c>
      <c r="EC1" s="905" t="inlineStr">
        <is>
          <t>Logical Condition - internal Circuit</t>
        </is>
      </c>
      <c r="ED1" s="906" t="n"/>
      <c r="EE1" s="906" t="n"/>
      <c r="EF1" s="906" t="n"/>
      <c r="EG1" s="906" t="n"/>
      <c r="EH1" s="907" t="n"/>
      <c r="EI1" s="544" t="inlineStr">
        <is>
          <t>Condition 1</t>
        </is>
      </c>
      <c r="EO1" s="542" t="inlineStr">
        <is>
          <t>Sr. No.</t>
        </is>
      </c>
      <c r="EP1" s="543" t="inlineStr">
        <is>
          <t>Physical location</t>
        </is>
      </c>
      <c r="EQ1" s="543" t="inlineStr">
        <is>
          <t>Component Name</t>
        </is>
      </c>
      <c r="ER1" s="905" t="inlineStr">
        <is>
          <t>Logical Condition - 14</t>
        </is>
      </c>
      <c r="ES1" s="906" t="n"/>
      <c r="ET1" s="906" t="n"/>
      <c r="EU1" s="906" t="n"/>
      <c r="EV1" s="906" t="n"/>
      <c r="EW1" s="907" t="n"/>
      <c r="EX1" s="544" t="inlineStr">
        <is>
          <t>Condition 1</t>
        </is>
      </c>
      <c r="FE1" s="542" t="inlineStr">
        <is>
          <t>Sr. No.</t>
        </is>
      </c>
      <c r="FF1" s="543" t="inlineStr">
        <is>
          <t>Physical location</t>
        </is>
      </c>
      <c r="FG1" s="543" t="inlineStr">
        <is>
          <t>Component Name</t>
        </is>
      </c>
      <c r="FH1" s="905" t="inlineStr">
        <is>
          <t>Logical Condition - External circuit</t>
        </is>
      </c>
      <c r="FI1" s="906" t="n"/>
      <c r="FJ1" s="906" t="n"/>
      <c r="FK1" s="906" t="n"/>
      <c r="FL1" s="906" t="n"/>
      <c r="FM1" s="907" t="n"/>
      <c r="FN1" s="544" t="inlineStr">
        <is>
          <t>Condition 1</t>
        </is>
      </c>
      <c r="FT1" s="542" t="inlineStr">
        <is>
          <t>Sr. No.</t>
        </is>
      </c>
      <c r="FU1" s="543" t="inlineStr">
        <is>
          <t>Physical location</t>
        </is>
      </c>
      <c r="FV1" s="543" t="inlineStr">
        <is>
          <t>Component Name</t>
        </is>
      </c>
      <c r="FW1" s="905" t="inlineStr">
        <is>
          <t xml:space="preserve">Logical Condition - NO </t>
        </is>
      </c>
      <c r="FX1" s="906" t="n"/>
      <c r="FY1" s="906" t="n"/>
      <c r="FZ1" s="906" t="n"/>
      <c r="GA1" s="906" t="n"/>
      <c r="GB1" s="907" t="n"/>
      <c r="GC1" s="544" t="inlineStr">
        <is>
          <t>Condition 1</t>
        </is>
      </c>
      <c r="GF1" s="542" t="inlineStr">
        <is>
          <t>Sr. No.</t>
        </is>
      </c>
      <c r="GG1" s="543" t="inlineStr">
        <is>
          <t>Physical location</t>
        </is>
      </c>
      <c r="GH1" s="543" t="inlineStr">
        <is>
          <t>Component Name</t>
        </is>
      </c>
      <c r="GI1" s="905" t="inlineStr">
        <is>
          <t>Logical Condition - External circuit</t>
        </is>
      </c>
      <c r="GJ1" s="906" t="n"/>
      <c r="GK1" s="906" t="n"/>
      <c r="GL1" s="906" t="n"/>
      <c r="GM1" s="906" t="n"/>
      <c r="GN1" s="907" t="n"/>
      <c r="GO1" s="544" t="inlineStr">
        <is>
          <t>Condition 1</t>
        </is>
      </c>
      <c r="GU1" s="542" t="inlineStr">
        <is>
          <t>Sr. No.</t>
        </is>
      </c>
      <c r="GV1" s="543" t="inlineStr">
        <is>
          <t>Physical location</t>
        </is>
      </c>
      <c r="GW1" s="543" t="inlineStr">
        <is>
          <t>Component Name</t>
        </is>
      </c>
      <c r="GX1" s="905" t="inlineStr">
        <is>
          <t>Logical Condition - INT NO 18</t>
        </is>
      </c>
      <c r="GY1" s="906" t="n"/>
      <c r="GZ1" s="906" t="n"/>
      <c r="HA1" s="906" t="n"/>
      <c r="HB1" s="906" t="n"/>
      <c r="HC1" s="907" t="n"/>
      <c r="HD1" s="544" t="inlineStr">
        <is>
          <t>Condition 1</t>
        </is>
      </c>
      <c r="HK1" s="542" t="inlineStr">
        <is>
          <t>Sr. No.</t>
        </is>
      </c>
      <c r="HL1" s="543" t="inlineStr">
        <is>
          <t>Physical location</t>
        </is>
      </c>
      <c r="HM1" s="543" t="inlineStr">
        <is>
          <t>Component Name</t>
        </is>
      </c>
      <c r="HN1" s="905" t="inlineStr">
        <is>
          <t>Logical Condition - External circuit</t>
        </is>
      </c>
      <c r="HO1" s="906" t="n"/>
      <c r="HP1" s="906" t="n"/>
      <c r="HQ1" s="906" t="n"/>
      <c r="HR1" s="906" t="n"/>
      <c r="HS1" s="907" t="n"/>
      <c r="HT1" s="544" t="n"/>
      <c r="HZ1" s="542" t="inlineStr">
        <is>
          <t>Sr. No.</t>
        </is>
      </c>
      <c r="IA1" s="543" t="inlineStr">
        <is>
          <t>Physical location</t>
        </is>
      </c>
      <c r="IB1" s="543" t="inlineStr">
        <is>
          <t>Component Name</t>
        </is>
      </c>
      <c r="IC1" s="905" t="inlineStr">
        <is>
          <t>Logical Condition - NO  20</t>
        </is>
      </c>
      <c r="ID1" s="906" t="n"/>
      <c r="IE1" s="906" t="n"/>
      <c r="IF1" s="906" t="n"/>
      <c r="IG1" s="906" t="n"/>
      <c r="IH1" s="907" t="n"/>
      <c r="II1" s="544" t="inlineStr">
        <is>
          <t>Condition 1</t>
        </is>
      </c>
      <c r="IL1" s="542" t="inlineStr">
        <is>
          <t>Sr. No.</t>
        </is>
      </c>
      <c r="IM1" s="543" t="inlineStr">
        <is>
          <t>Physical location</t>
        </is>
      </c>
      <c r="IN1" s="543" t="inlineStr">
        <is>
          <t>Component Name</t>
        </is>
      </c>
      <c r="IO1" s="905" t="inlineStr">
        <is>
          <t>Logical Condition - INT CKT  NO 21</t>
        </is>
      </c>
      <c r="IP1" s="906" t="n"/>
      <c r="IQ1" s="906" t="n"/>
      <c r="IR1" s="906" t="n"/>
      <c r="IS1" s="906" t="n"/>
      <c r="IT1" s="907" t="n"/>
      <c r="IU1" s="544" t="inlineStr">
        <is>
          <t>Condition 1</t>
        </is>
      </c>
      <c r="IX1" s="542" t="inlineStr">
        <is>
          <t>Sr. No.</t>
        </is>
      </c>
      <c r="IY1" s="543" t="inlineStr">
        <is>
          <t>Physical location</t>
        </is>
      </c>
      <c r="IZ1" s="543" t="inlineStr">
        <is>
          <t>Component Name</t>
        </is>
      </c>
      <c r="JA1" s="905" t="inlineStr">
        <is>
          <t>Logical Condition -INTERNAL CKT  FROM SOFTWARE NO 23</t>
        </is>
      </c>
      <c r="JB1" s="906" t="n"/>
      <c r="JC1" s="906" t="n"/>
      <c r="JD1" s="906" t="n"/>
      <c r="JE1" s="906" t="n"/>
      <c r="JF1" s="907" t="n"/>
      <c r="JG1" s="544" t="n"/>
      <c r="JN1" s="542" t="inlineStr">
        <is>
          <t>Sr. No.</t>
        </is>
      </c>
      <c r="JO1" s="543" t="inlineStr">
        <is>
          <t>Physical location</t>
        </is>
      </c>
      <c r="JP1" s="543" t="inlineStr">
        <is>
          <t>Component Name</t>
        </is>
      </c>
      <c r="JQ1" s="905" t="inlineStr">
        <is>
          <t>Logical Condition - INTERNAL CKT FROM  SOFTWARE NO 24</t>
        </is>
      </c>
      <c r="JR1" s="906" t="n"/>
      <c r="JS1" s="906" t="n"/>
      <c r="JT1" s="906" t="n"/>
      <c r="JU1" s="906" t="n"/>
      <c r="JV1" s="907" t="n"/>
      <c r="JW1" s="544" t="inlineStr">
        <is>
          <t>Condition 1</t>
        </is>
      </c>
      <c r="JZ1" s="542" t="inlineStr">
        <is>
          <t>Sr. No.</t>
        </is>
      </c>
      <c r="KA1" s="543" t="inlineStr">
        <is>
          <t>Physical location</t>
        </is>
      </c>
      <c r="KB1" s="543" t="inlineStr">
        <is>
          <t>Component Name</t>
        </is>
      </c>
      <c r="KC1" s="905" t="n"/>
      <c r="KD1" s="906" t="n"/>
      <c r="KE1" s="906" t="n"/>
      <c r="KF1" s="906" t="n"/>
      <c r="KG1" s="906" t="n"/>
      <c r="KH1" s="907" t="n"/>
      <c r="KI1" s="544" t="inlineStr">
        <is>
          <t>Condition 1</t>
        </is>
      </c>
      <c r="KP1" s="542" t="inlineStr">
        <is>
          <t>Sr. No.</t>
        </is>
      </c>
      <c r="KQ1" s="543" t="inlineStr">
        <is>
          <t>Physical location</t>
        </is>
      </c>
      <c r="KR1" s="543" t="inlineStr">
        <is>
          <t>Component Name</t>
        </is>
      </c>
      <c r="KS1" s="905" t="inlineStr">
        <is>
          <t>Logical Condition - External circuit</t>
        </is>
      </c>
      <c r="KT1" s="906" t="n"/>
      <c r="KU1" s="906" t="n"/>
      <c r="KV1" s="906" t="n"/>
      <c r="KW1" s="906" t="n"/>
      <c r="KX1" s="907" t="n"/>
      <c r="KY1" s="544" t="inlineStr">
        <is>
          <t>Condition 1</t>
        </is>
      </c>
      <c r="LB1" s="542" t="inlineStr">
        <is>
          <t>Sr. No.</t>
        </is>
      </c>
      <c r="LC1" s="543" t="inlineStr">
        <is>
          <t>Physical location</t>
        </is>
      </c>
      <c r="LD1" s="543" t="inlineStr">
        <is>
          <t>Component Name</t>
        </is>
      </c>
      <c r="LE1" s="905" t="inlineStr">
        <is>
          <t>Logical Condition - AS PER INTERNAL CKT NO 11</t>
        </is>
      </c>
      <c r="LF1" s="906" t="n"/>
      <c r="LG1" s="906" t="n"/>
      <c r="LH1" s="906" t="n"/>
      <c r="LI1" s="906" t="n"/>
      <c r="LJ1" s="907" t="n"/>
      <c r="LK1" s="544" t="inlineStr">
        <is>
          <t>Condition 1</t>
        </is>
      </c>
      <c r="LR1" s="542" t="inlineStr">
        <is>
          <t>Sr. No.</t>
        </is>
      </c>
      <c r="LS1" s="543" t="inlineStr">
        <is>
          <t>Physical location</t>
        </is>
      </c>
      <c r="LT1" s="543" t="inlineStr">
        <is>
          <t>Component Name</t>
        </is>
      </c>
      <c r="LU1" s="905" t="inlineStr">
        <is>
          <t>Logical Condition - NO 12</t>
        </is>
      </c>
      <c r="LV1" s="906" t="n"/>
      <c r="LW1" s="906" t="n"/>
      <c r="LX1" s="906" t="n"/>
      <c r="LY1" s="906" t="n"/>
      <c r="LZ1" s="907" t="n"/>
      <c r="MA1" s="544" t="inlineStr">
        <is>
          <t>Condition 1</t>
        </is>
      </c>
      <c r="MH1" s="542" t="inlineStr">
        <is>
          <t>Sr. No.</t>
        </is>
      </c>
      <c r="MI1" s="543" t="inlineStr">
        <is>
          <t>Physical location</t>
        </is>
      </c>
      <c r="MJ1" s="543" t="inlineStr">
        <is>
          <t>Component Name</t>
        </is>
      </c>
      <c r="MK1" s="905" t="inlineStr">
        <is>
          <t>INTER CKT : NO 13</t>
        </is>
      </c>
      <c r="ML1" s="906" t="n"/>
      <c r="MM1" s="906" t="n"/>
      <c r="MN1" s="906" t="n"/>
      <c r="MO1" s="906" t="n"/>
      <c r="MP1" s="907" t="n"/>
      <c r="MQ1" s="544" t="inlineStr">
        <is>
          <t>Condition 1</t>
        </is>
      </c>
    </row>
    <row r="2" ht="30.75" customHeight="1">
      <c r="A2" s="545" t="n"/>
      <c r="B2" s="546" t="n"/>
      <c r="C2" s="546" t="n"/>
      <c r="D2" s="547" t="inlineStr">
        <is>
          <t>lab view input</t>
        </is>
      </c>
      <c r="E2" s="548" t="inlineStr">
        <is>
          <t>Dependency on LABVIEW INPUT</t>
        </is>
      </c>
      <c r="F2" s="549" t="inlineStr">
        <is>
          <t>Dependency 1 previous wire</t>
        </is>
      </c>
      <c r="G2" s="548" t="inlineStr">
        <is>
          <t>Dependency 3</t>
        </is>
      </c>
      <c r="H2" s="549" t="inlineStr">
        <is>
          <t>Dependency 4</t>
        </is>
      </c>
      <c r="I2" s="549" t="inlineStr">
        <is>
          <t>Dependency 5</t>
        </is>
      </c>
      <c r="J2" s="550" t="n"/>
      <c r="P2" s="551" t="n"/>
      <c r="Q2" s="552" t="n"/>
      <c r="R2" s="552" t="n"/>
      <c r="S2" s="553" t="inlineStr">
        <is>
          <t>lab view input</t>
        </is>
      </c>
      <c r="T2" s="554" t="inlineStr">
        <is>
          <t>Dependency on LABVIEW INPUT</t>
        </is>
      </c>
      <c r="U2" s="555" t="inlineStr">
        <is>
          <t>Dependency 1 previous wire</t>
        </is>
      </c>
      <c r="V2" s="555" t="inlineStr">
        <is>
          <t>Dependency 3</t>
        </is>
      </c>
      <c r="W2" s="555" t="inlineStr">
        <is>
          <t>Dependency 4</t>
        </is>
      </c>
      <c r="X2" s="555" t="inlineStr">
        <is>
          <t>Dependency 5</t>
        </is>
      </c>
      <c r="Y2" s="556" t="n"/>
      <c r="AF2" s="551" t="n"/>
      <c r="AG2" s="552" t="n"/>
      <c r="AH2" s="552" t="n"/>
      <c r="AI2" s="553" t="inlineStr">
        <is>
          <t>lab view input</t>
        </is>
      </c>
      <c r="AJ2" s="554" t="inlineStr">
        <is>
          <t>Dependency on LABVIEW INPUT</t>
        </is>
      </c>
      <c r="AK2" s="554" t="inlineStr">
        <is>
          <t>Dependency 1 previous wire</t>
        </is>
      </c>
      <c r="AL2" s="555" t="inlineStr">
        <is>
          <t>Dependency 3</t>
        </is>
      </c>
      <c r="AM2" s="555" t="inlineStr">
        <is>
          <t>Dependency 4</t>
        </is>
      </c>
      <c r="AN2" s="555" t="inlineStr">
        <is>
          <t>Dependency 5</t>
        </is>
      </c>
      <c r="AO2" s="556" t="n"/>
      <c r="AS2" s="557" t="n"/>
      <c r="AT2" s="546" t="n"/>
      <c r="AU2" s="546" t="n"/>
      <c r="AV2" s="547" t="inlineStr">
        <is>
          <t>lab view input</t>
        </is>
      </c>
      <c r="AW2" s="548" t="inlineStr">
        <is>
          <t>Dependency on LABVIEW INPUT</t>
        </is>
      </c>
      <c r="AX2" s="548" t="inlineStr">
        <is>
          <t>Dependency 1 previous wire</t>
        </is>
      </c>
      <c r="AY2" s="549" t="inlineStr">
        <is>
          <t>Dependency 3</t>
        </is>
      </c>
      <c r="AZ2" s="549" t="inlineStr">
        <is>
          <t>Dependency 4</t>
        </is>
      </c>
      <c r="BA2" s="549" t="inlineStr">
        <is>
          <t>Dependency 5</t>
        </is>
      </c>
      <c r="BB2" s="550" t="n"/>
      <c r="BI2" s="557" t="n"/>
      <c r="BJ2" s="546" t="n"/>
      <c r="BK2" s="546" t="n"/>
      <c r="BL2" s="547" t="inlineStr">
        <is>
          <t>lab view input</t>
        </is>
      </c>
      <c r="BM2" s="548" t="inlineStr">
        <is>
          <t>Dependency on LABVIEW INPUT</t>
        </is>
      </c>
      <c r="BN2" s="548" t="inlineStr">
        <is>
          <t>Dependency 1 previous wire</t>
        </is>
      </c>
      <c r="BO2" s="549" t="inlineStr">
        <is>
          <t>Dependency 3</t>
        </is>
      </c>
      <c r="BP2" s="549" t="inlineStr">
        <is>
          <t>Dependency 4</t>
        </is>
      </c>
      <c r="BQ2" s="549" t="inlineStr">
        <is>
          <t>Dependency 5</t>
        </is>
      </c>
      <c r="BR2" s="550" t="n"/>
      <c r="BX2" s="557" t="n"/>
      <c r="BY2" s="546" t="n"/>
      <c r="BZ2" s="546" t="n"/>
      <c r="CA2" s="547" t="inlineStr">
        <is>
          <t>lab view input</t>
        </is>
      </c>
      <c r="CB2" s="548" t="inlineStr">
        <is>
          <t>Dependency on LABVIEW INPUT</t>
        </is>
      </c>
      <c r="CC2" s="548" t="inlineStr">
        <is>
          <t>Dependency 1 previous wire</t>
        </is>
      </c>
      <c r="CD2" s="549" t="inlineStr">
        <is>
          <t>Dependency 3</t>
        </is>
      </c>
      <c r="CE2" s="549" t="inlineStr">
        <is>
          <t>Dependency 4</t>
        </is>
      </c>
      <c r="CF2" s="549" t="inlineStr">
        <is>
          <t>Dependency 5</t>
        </is>
      </c>
      <c r="CG2" s="550" t="n"/>
      <c r="CI2" s="557" t="n"/>
      <c r="CJ2" s="546" t="n"/>
      <c r="CK2" s="546" t="n"/>
      <c r="CL2" s="547" t="inlineStr">
        <is>
          <t>lab view input</t>
        </is>
      </c>
      <c r="CM2" s="548" t="inlineStr">
        <is>
          <t>Dependency on LABVIEW INPUT</t>
        </is>
      </c>
      <c r="CN2" s="548" t="inlineStr">
        <is>
          <t>Dependency 1 previous wire</t>
        </is>
      </c>
      <c r="CO2" s="549" t="inlineStr">
        <is>
          <t>Dependency 3</t>
        </is>
      </c>
      <c r="CP2" s="549" t="inlineStr">
        <is>
          <t>Dependency 4</t>
        </is>
      </c>
      <c r="CQ2" s="549" t="inlineStr">
        <is>
          <t>Dependency 5</t>
        </is>
      </c>
      <c r="CR2" s="550" t="n"/>
      <c r="CY2" s="557" t="n"/>
      <c r="CZ2" s="546" t="n"/>
      <c r="DA2" s="546" t="n"/>
      <c r="DB2" s="547" t="inlineStr">
        <is>
          <t>lab view input</t>
        </is>
      </c>
      <c r="DC2" s="548" t="inlineStr">
        <is>
          <t>Dependency on LABVIEW INPUT</t>
        </is>
      </c>
      <c r="DD2" s="548" t="inlineStr">
        <is>
          <t>Dependency 1 previous wire</t>
        </is>
      </c>
      <c r="DE2" s="549" t="inlineStr">
        <is>
          <t>Dependency 3</t>
        </is>
      </c>
      <c r="DF2" s="549" t="inlineStr">
        <is>
          <t>Dependency 4</t>
        </is>
      </c>
      <c r="DG2" s="549" t="inlineStr">
        <is>
          <t>Dependency 5</t>
        </is>
      </c>
      <c r="DH2" s="550" t="n"/>
      <c r="DK2" s="557" t="n"/>
      <c r="DL2" s="546" t="n"/>
      <c r="DM2" s="546" t="n"/>
      <c r="DN2" s="547" t="inlineStr">
        <is>
          <t>lab view input</t>
        </is>
      </c>
      <c r="DO2" s="548" t="inlineStr">
        <is>
          <t>Dependency on LABVIEW INPUT</t>
        </is>
      </c>
      <c r="DP2" s="549" t="inlineStr">
        <is>
          <t>Dependency 1 previous wire</t>
        </is>
      </c>
      <c r="DQ2" s="549" t="inlineStr">
        <is>
          <t>Dependency 3</t>
        </is>
      </c>
      <c r="DR2" s="549" t="inlineStr">
        <is>
          <t>Dependency 4</t>
        </is>
      </c>
      <c r="DS2" s="549" t="inlineStr">
        <is>
          <t>Dependency 5</t>
        </is>
      </c>
      <c r="DT2" s="550" t="n"/>
      <c r="DZ2" s="557" t="n"/>
      <c r="EA2" s="546" t="n"/>
      <c r="EB2" s="546" t="n"/>
      <c r="EC2" s="547" t="inlineStr">
        <is>
          <t>lab view input</t>
        </is>
      </c>
      <c r="ED2" s="548" t="inlineStr">
        <is>
          <t>Dependency on LABVIEW INPUT</t>
        </is>
      </c>
      <c r="EE2" s="548" t="inlineStr">
        <is>
          <t>Dependency 1 previous wire</t>
        </is>
      </c>
      <c r="EF2" s="549" t="inlineStr">
        <is>
          <t>Dependency 3</t>
        </is>
      </c>
      <c r="EG2" s="549" t="inlineStr">
        <is>
          <t>Dependency 4</t>
        </is>
      </c>
      <c r="EH2" s="549" t="inlineStr">
        <is>
          <t>Dependency 5</t>
        </is>
      </c>
      <c r="EI2" s="558" t="n"/>
      <c r="EO2" s="551" t="n"/>
      <c r="EP2" s="552" t="n"/>
      <c r="EQ2" s="552" t="n"/>
      <c r="ER2" s="553" t="inlineStr">
        <is>
          <t>lab view input</t>
        </is>
      </c>
      <c r="ES2" s="554" t="inlineStr">
        <is>
          <t>Dependency on LABVIEW INPUT</t>
        </is>
      </c>
      <c r="ET2" s="554" t="inlineStr">
        <is>
          <t>Dependency 1 previous wire</t>
        </is>
      </c>
      <c r="EU2" s="555" t="inlineStr">
        <is>
          <t>Dependency 3</t>
        </is>
      </c>
      <c r="EV2" s="555" t="inlineStr">
        <is>
          <t>Dependency 4</t>
        </is>
      </c>
      <c r="EW2" s="555" t="inlineStr">
        <is>
          <t>Dependency 5</t>
        </is>
      </c>
      <c r="EX2" s="556" t="n"/>
      <c r="FE2" s="557" t="n"/>
      <c r="FF2" s="546" t="n"/>
      <c r="FG2" s="546" t="n"/>
      <c r="FH2" s="547" t="inlineStr">
        <is>
          <t>lab view input</t>
        </is>
      </c>
      <c r="FI2" s="548" t="inlineStr">
        <is>
          <t>Dependency on LABVIEW INPUT</t>
        </is>
      </c>
      <c r="FJ2" s="548" t="inlineStr">
        <is>
          <t>Dependency 1 previous wire</t>
        </is>
      </c>
      <c r="FK2" s="549" t="inlineStr">
        <is>
          <t>Dependency 3</t>
        </is>
      </c>
      <c r="FL2" s="549" t="inlineStr">
        <is>
          <t>Dependency 4</t>
        </is>
      </c>
      <c r="FM2" s="549" t="inlineStr">
        <is>
          <t>Dependency 5</t>
        </is>
      </c>
      <c r="FN2" s="550" t="n"/>
      <c r="FT2" s="557" t="n"/>
      <c r="FU2" s="546" t="n"/>
      <c r="FV2" s="546" t="n"/>
      <c r="FW2" s="547" t="inlineStr">
        <is>
          <t>lab view input</t>
        </is>
      </c>
      <c r="FX2" s="548" t="inlineStr">
        <is>
          <t>Dependency on LABVIEW INPUT</t>
        </is>
      </c>
      <c r="FY2" s="548" t="inlineStr">
        <is>
          <t>Dependency 1 previous wire</t>
        </is>
      </c>
      <c r="FZ2" s="549" t="inlineStr">
        <is>
          <t>Dependency 3</t>
        </is>
      </c>
      <c r="GA2" s="549" t="inlineStr">
        <is>
          <t>Dependency 4</t>
        </is>
      </c>
      <c r="GB2" s="549" t="inlineStr">
        <is>
          <t>Dependency 5</t>
        </is>
      </c>
      <c r="GC2" s="550" t="n"/>
      <c r="GF2" s="557" t="n"/>
      <c r="GG2" s="546" t="n"/>
      <c r="GH2" s="546" t="n"/>
      <c r="GI2" s="547" t="inlineStr">
        <is>
          <t>lab view input</t>
        </is>
      </c>
      <c r="GJ2" s="548" t="inlineStr">
        <is>
          <t>Dependency on LABVIEW INPUT</t>
        </is>
      </c>
      <c r="GK2" s="548" t="inlineStr">
        <is>
          <t>Dependency 1 previous wire</t>
        </is>
      </c>
      <c r="GL2" s="549" t="inlineStr">
        <is>
          <t>Dependency 3</t>
        </is>
      </c>
      <c r="GM2" s="549" t="n"/>
      <c r="GN2" s="549" t="inlineStr">
        <is>
          <t>Dependency 5</t>
        </is>
      </c>
      <c r="GO2" s="550" t="n"/>
      <c r="GU2" s="557" t="n"/>
      <c r="GV2" s="546" t="n"/>
      <c r="GW2" s="546" t="n"/>
      <c r="GX2" s="547" t="inlineStr">
        <is>
          <t>lab view input</t>
        </is>
      </c>
      <c r="GY2" s="548" t="inlineStr">
        <is>
          <t>Dependency on LABVIEW INPUT</t>
        </is>
      </c>
      <c r="GZ2" s="549" t="inlineStr">
        <is>
          <t>Dependency 1 previous wire</t>
        </is>
      </c>
      <c r="HA2" s="549" t="inlineStr">
        <is>
          <t>Dependency 3</t>
        </is>
      </c>
      <c r="HB2" s="549" t="inlineStr">
        <is>
          <t>Dependency 4</t>
        </is>
      </c>
      <c r="HC2" s="549" t="inlineStr">
        <is>
          <t>Dependency 5</t>
        </is>
      </c>
      <c r="HD2" s="558" t="n"/>
      <c r="HK2" s="557" t="n"/>
      <c r="HL2" s="546" t="n"/>
      <c r="HM2" s="546" t="n"/>
      <c r="HN2" s="547" t="inlineStr">
        <is>
          <t>lab view input</t>
        </is>
      </c>
      <c r="HO2" s="548" t="inlineStr">
        <is>
          <t>Dependency on LABVIEW INPUT</t>
        </is>
      </c>
      <c r="HP2" s="549" t="inlineStr">
        <is>
          <t>Dependency 1 previous wire</t>
        </is>
      </c>
      <c r="HQ2" s="549" t="inlineStr">
        <is>
          <t>Dependency 3</t>
        </is>
      </c>
      <c r="HR2" s="549" t="inlineStr">
        <is>
          <t>Dependency 4</t>
        </is>
      </c>
      <c r="HS2" s="549" t="inlineStr">
        <is>
          <t>Dependency 5</t>
        </is>
      </c>
      <c r="HT2" s="550" t="n"/>
      <c r="HZ2" s="557" t="n"/>
      <c r="IA2" s="546" t="n"/>
      <c r="IB2" s="546" t="n"/>
      <c r="IC2" s="547" t="inlineStr">
        <is>
          <t>lab view input</t>
        </is>
      </c>
      <c r="ID2" s="548" t="inlineStr">
        <is>
          <t>Dependency on LABVIEW INPUT</t>
        </is>
      </c>
      <c r="IE2" s="549" t="inlineStr">
        <is>
          <t>Dependency 1 previous wire</t>
        </is>
      </c>
      <c r="IF2" s="549" t="inlineStr">
        <is>
          <t>Dependency 3</t>
        </is>
      </c>
      <c r="IG2" s="549" t="inlineStr">
        <is>
          <t>Dependency 4</t>
        </is>
      </c>
      <c r="IH2" s="549" t="inlineStr">
        <is>
          <t>Dependency 5</t>
        </is>
      </c>
      <c r="II2" s="550" t="n"/>
      <c r="IL2" s="557" t="n"/>
      <c r="IM2" s="546" t="n"/>
      <c r="IN2" s="546" t="n"/>
      <c r="IO2" s="547" t="inlineStr">
        <is>
          <t>lab view input</t>
        </is>
      </c>
      <c r="IP2" s="548" t="inlineStr">
        <is>
          <t>Dependency on LABVIEW INPUT</t>
        </is>
      </c>
      <c r="IQ2" s="549" t="inlineStr">
        <is>
          <t>Dependency 1 previous wire</t>
        </is>
      </c>
      <c r="IR2" s="549" t="inlineStr">
        <is>
          <t>Dependency 3</t>
        </is>
      </c>
      <c r="IS2" s="549" t="inlineStr">
        <is>
          <t>Dependency 4</t>
        </is>
      </c>
      <c r="IT2" s="549" t="inlineStr">
        <is>
          <t>Dependency 5</t>
        </is>
      </c>
      <c r="IU2" s="550" t="n"/>
      <c r="IX2" s="557" t="n"/>
      <c r="IY2" s="546" t="n"/>
      <c r="IZ2" s="546" t="n"/>
      <c r="JA2" s="547" t="inlineStr">
        <is>
          <t>lab view input</t>
        </is>
      </c>
      <c r="JB2" s="548" t="inlineStr">
        <is>
          <t>Dependency on LABVIEW INPUT</t>
        </is>
      </c>
      <c r="JC2" s="549" t="inlineStr">
        <is>
          <t>Dependency 1 previous wire</t>
        </is>
      </c>
      <c r="JD2" s="549" t="inlineStr">
        <is>
          <t>Dependency 3</t>
        </is>
      </c>
      <c r="JE2" s="549" t="inlineStr">
        <is>
          <t>Dependency 4</t>
        </is>
      </c>
      <c r="JF2" s="549" t="inlineStr">
        <is>
          <t>Dependency 5</t>
        </is>
      </c>
      <c r="JG2" s="558" t="n"/>
      <c r="JN2" s="557" t="n"/>
      <c r="JO2" s="546" t="n"/>
      <c r="JP2" s="546" t="n"/>
      <c r="JQ2" s="547" t="inlineStr">
        <is>
          <t>lab view input</t>
        </is>
      </c>
      <c r="JR2" s="548" t="inlineStr">
        <is>
          <t>Dependency on LABVIEW INPUT</t>
        </is>
      </c>
      <c r="JS2" s="549" t="inlineStr">
        <is>
          <t>Dependency 1 previous wire</t>
        </is>
      </c>
      <c r="JT2" s="549" t="inlineStr">
        <is>
          <t>Dependency 3</t>
        </is>
      </c>
      <c r="JU2" s="549" t="inlineStr">
        <is>
          <t>Dependency 4</t>
        </is>
      </c>
      <c r="JV2" s="549" t="inlineStr">
        <is>
          <t>Dependency 5</t>
        </is>
      </c>
      <c r="JW2" s="550" t="n"/>
      <c r="JZ2" s="557" t="n"/>
      <c r="KA2" s="546" t="n"/>
      <c r="KB2" s="546" t="n"/>
      <c r="KC2" s="547" t="inlineStr">
        <is>
          <t>lab view input</t>
        </is>
      </c>
      <c r="KD2" s="548" t="inlineStr">
        <is>
          <t>Dependency on LABVIEW INPUT</t>
        </is>
      </c>
      <c r="KE2" s="549" t="inlineStr">
        <is>
          <t>Dependency 1 previous wire</t>
        </is>
      </c>
      <c r="KF2" s="549" t="inlineStr">
        <is>
          <t>Dependency 3</t>
        </is>
      </c>
      <c r="KG2" s="549" t="inlineStr">
        <is>
          <t>Dependency 4</t>
        </is>
      </c>
      <c r="KH2" s="549" t="inlineStr">
        <is>
          <t>Dependency 5</t>
        </is>
      </c>
      <c r="KI2" s="550" t="n"/>
      <c r="KP2" s="557" t="n"/>
      <c r="KQ2" s="546" t="n"/>
      <c r="KR2" s="546" t="n"/>
      <c r="KS2" s="547" t="inlineStr">
        <is>
          <t>lab view input</t>
        </is>
      </c>
      <c r="KT2" s="548" t="inlineStr">
        <is>
          <t>Dependency on LABVIEW INPUT</t>
        </is>
      </c>
      <c r="KU2" s="549" t="inlineStr">
        <is>
          <t>Dependency 1 previous wire</t>
        </is>
      </c>
      <c r="KV2" s="549" t="inlineStr">
        <is>
          <t>Dependency 3</t>
        </is>
      </c>
      <c r="KW2" s="549" t="inlineStr">
        <is>
          <t>Dependency 4</t>
        </is>
      </c>
      <c r="KX2" s="549" t="inlineStr">
        <is>
          <t>Dependency 5</t>
        </is>
      </c>
      <c r="KY2" s="550" t="n"/>
      <c r="LB2" s="557" t="n"/>
      <c r="LC2" s="546" t="n"/>
      <c r="LD2" s="546" t="n"/>
      <c r="LE2" s="547" t="inlineStr">
        <is>
          <t>lab view input</t>
        </is>
      </c>
      <c r="LF2" s="548" t="inlineStr">
        <is>
          <t>Dependency on LABVIEW INPUT</t>
        </is>
      </c>
      <c r="LG2" s="549" t="inlineStr">
        <is>
          <t>Dependency 1 previous wire</t>
        </is>
      </c>
      <c r="LH2" s="549" t="inlineStr">
        <is>
          <t>Dependency 3</t>
        </is>
      </c>
      <c r="LI2" s="549" t="inlineStr">
        <is>
          <t>Dependency 4</t>
        </is>
      </c>
      <c r="LJ2" s="549" t="inlineStr">
        <is>
          <t>Dependency 5</t>
        </is>
      </c>
      <c r="LK2" s="550" t="n"/>
      <c r="LR2" s="557" t="n"/>
      <c r="LS2" s="546" t="n"/>
      <c r="LT2" s="546" t="n"/>
      <c r="LU2" s="547" t="inlineStr">
        <is>
          <t>lab view input</t>
        </is>
      </c>
      <c r="LV2" s="548" t="inlineStr">
        <is>
          <t>Dependency on LABVIEW INPUT</t>
        </is>
      </c>
      <c r="LW2" s="549" t="inlineStr">
        <is>
          <t>Dependency 1 previous wire</t>
        </is>
      </c>
      <c r="LX2" s="549" t="inlineStr">
        <is>
          <t>Dependency 3</t>
        </is>
      </c>
      <c r="LY2" s="549" t="inlineStr">
        <is>
          <t>Dependency 4</t>
        </is>
      </c>
      <c r="LZ2" s="549" t="inlineStr">
        <is>
          <t>Dependency 5</t>
        </is>
      </c>
      <c r="MA2" s="550" t="n"/>
      <c r="MH2" s="557" t="n"/>
      <c r="MI2" s="546" t="n"/>
      <c r="MJ2" s="546" t="n"/>
      <c r="MK2" s="547" t="inlineStr">
        <is>
          <t>lab view input</t>
        </is>
      </c>
      <c r="ML2" s="548" t="inlineStr">
        <is>
          <t>Dependency on LABVIEW INPUT</t>
        </is>
      </c>
      <c r="MM2" s="549" t="inlineStr">
        <is>
          <t>Dependency 1 previous wire</t>
        </is>
      </c>
      <c r="MN2" s="549" t="inlineStr">
        <is>
          <t>Dependency 3</t>
        </is>
      </c>
      <c r="MO2" s="549" t="inlineStr">
        <is>
          <t>Dependency 4</t>
        </is>
      </c>
      <c r="MP2" s="549" t="inlineStr">
        <is>
          <t>Dependency 5</t>
        </is>
      </c>
      <c r="MQ2" s="550" t="n"/>
    </row>
    <row r="3" ht="29.25" customHeight="1">
      <c r="A3" s="850" t="inlineStr">
        <is>
          <t>1. Air conditioning VENTILATION CABIN</t>
        </is>
      </c>
      <c r="L3" s="840" t="inlineStr">
        <is>
          <t>CKT 1</t>
        </is>
      </c>
      <c r="P3" s="851" t="inlineStr">
        <is>
          <t>2. Air conditioning Power Supply  HVAC 1</t>
        </is>
      </c>
      <c r="Q3" s="869" t="n"/>
      <c r="R3" s="869" t="n"/>
      <c r="S3" s="869" t="n"/>
      <c r="T3" s="869" t="n"/>
      <c r="U3" s="869" t="n"/>
      <c r="V3" s="869" t="n"/>
      <c r="W3" s="869" t="n"/>
      <c r="X3" s="869" t="n"/>
      <c r="Y3" s="870" t="n"/>
      <c r="AA3" s="265" t="inlineStr">
        <is>
          <t>CKT 2,3</t>
        </is>
      </c>
      <c r="AF3" s="851" t="inlineStr">
        <is>
          <t>3. Air conditioning Power Supply  HVAC 1</t>
        </is>
      </c>
      <c r="AG3" s="869" t="n"/>
      <c r="AH3" s="869" t="n"/>
      <c r="AI3" s="869" t="n"/>
      <c r="AJ3" s="869" t="n"/>
      <c r="AK3" s="869" t="n"/>
      <c r="AL3" s="869" t="n"/>
      <c r="AM3" s="869" t="n"/>
      <c r="AN3" s="869" t="n"/>
      <c r="AO3" s="870" t="n"/>
      <c r="AS3" s="839" t="inlineStr">
        <is>
          <t>4. Air conditioning HVAC1/2 CONTROL</t>
        </is>
      </c>
      <c r="BI3" s="839" t="inlineStr">
        <is>
          <t>5. Air conditioning
HVAC 1 CONTROL panel</t>
        </is>
      </c>
      <c r="BX3" s="839" t="inlineStr">
        <is>
          <t>6. Air conditioning
HVAC 2 CONTROL panel</t>
        </is>
      </c>
      <c r="CI3" s="841" t="inlineStr">
        <is>
          <t>7. Air conditioning HVAC1/2 CONTROL</t>
        </is>
      </c>
      <c r="CT3" s="840" t="inlineStr">
        <is>
          <t>CKT  7</t>
        </is>
      </c>
      <c r="CY3" s="841" t="inlineStr">
        <is>
          <t xml:space="preserve"> 8. Air conditioning HVAC 1/2 Diagnostic</t>
        </is>
      </c>
      <c r="DK3" s="841" t="inlineStr">
        <is>
          <t xml:space="preserve"> 9. Air conditioning HVAC 1/2 Diagnostic</t>
        </is>
      </c>
      <c r="DZ3" s="841" t="inlineStr">
        <is>
          <t xml:space="preserve"> 10. MP0010409MW01_05_PUNE_HVAC  SYSTEM_25.VSDX ( HVAC 1-2 CONTROL PANEL )</t>
        </is>
      </c>
      <c r="EO3" s="851" t="inlineStr">
        <is>
          <t xml:space="preserve"> 11. De-Energized Condition</t>
        </is>
      </c>
      <c r="EP3" s="869" t="n"/>
      <c r="EQ3" s="869" t="n"/>
      <c r="ER3" s="869" t="n"/>
      <c r="ES3" s="869" t="n"/>
      <c r="ET3" s="869" t="n"/>
      <c r="EU3" s="869" t="n"/>
      <c r="EV3" s="869" t="n"/>
      <c r="EW3" s="869" t="n"/>
      <c r="EX3" s="870" t="n"/>
      <c r="EZ3" s="840" t="inlineStr">
        <is>
          <t>CKT 11</t>
        </is>
      </c>
      <c r="FE3" s="841" t="inlineStr">
        <is>
          <t>12. Normal Operating Condition</t>
        </is>
      </c>
      <c r="FP3" s="840" t="inlineStr">
        <is>
          <t>CKT 12, 13</t>
        </is>
      </c>
      <c r="FT3" s="841" t="inlineStr">
        <is>
          <t>13. When Smoke Is Detected</t>
        </is>
      </c>
      <c r="GF3" s="841" t="inlineStr">
        <is>
          <t>14. Car Side Scope Of Work</t>
        </is>
      </c>
      <c r="GU3" s="841" t="inlineStr">
        <is>
          <t xml:space="preserve"> 15. Meter Cable Length For Rad Will Be Provide With
Unit</t>
        </is>
      </c>
      <c r="HK3" s="841" t="inlineStr">
        <is>
          <t xml:space="preserve"> 16. SAF Power &amp; Control Circuit
Unit</t>
        </is>
      </c>
      <c r="HZ3" s="841" t="inlineStr">
        <is>
          <t xml:space="preserve"> 17. Phase Protection Relay (PPR) Monitoring Circuit
Unit</t>
        </is>
      </c>
      <c r="IL3" s="841" t="inlineStr">
        <is>
          <t>18. Emergency SAF &amp; Return Air Damper Circuit
Unit</t>
        </is>
      </c>
      <c r="IX3" s="841" t="inlineStr">
        <is>
          <t xml:space="preserve"> 19. FROM CAR SIDE 110V DC WILL BE DISCONNECTED WHEN EXT OR INT SMOKE DETECTED Unit</t>
        </is>
      </c>
      <c r="JI3" s="840" t="inlineStr">
        <is>
          <t>CKT 19</t>
        </is>
      </c>
      <c r="JN3" s="841" t="inlineStr">
        <is>
          <t>20.  CAR SIDE SCOPE OF WORK (WHEN SMOKE DETECTED IN BOTH CAR )</t>
        </is>
      </c>
      <c r="JZ3" s="841" t="inlineStr">
        <is>
          <t>21.  FROM CAR SIDE 110 V DC WILL BE DISCONNECTED TO SWITCH OFF THE SAFC IN CASE OF INTERNAL SMOKE DETECTION/ IN CASE OF F/B FROM SAFC PLC WILL SIWTCH OFF LOADS OF HVAC</t>
        </is>
      </c>
      <c r="KP3" s="841" t="inlineStr">
        <is>
          <t>22. HVAC CONTROL PANEL</t>
        </is>
      </c>
      <c r="LB3" s="841" t="inlineStr">
        <is>
          <t xml:space="preserve">23.  MP0010409MW01_05_PUNE_HVAC SYSTEM_25.VSDX </t>
        </is>
      </c>
      <c r="LM3" s="840" t="inlineStr">
        <is>
          <t>CKT 23</t>
        </is>
      </c>
      <c r="LR3" s="841" t="inlineStr">
        <is>
          <t>24. P0010409MW01_05_PUNE_HVAC SYSTEM_25.VSDX (HVAC 1-2) DMA/TA/DMB</t>
        </is>
      </c>
      <c r="MC3" s="840" t="inlineStr">
        <is>
          <t>CKT 24</t>
        </is>
      </c>
      <c r="MH3" s="841" t="inlineStr">
        <is>
          <t>25. MP0010409MW01_05_PUNE_HVAC SYSTEM_25.VSDX</t>
        </is>
      </c>
    </row>
    <row r="4" ht="37.5" customHeight="1">
      <c r="A4" s="559" t="n">
        <v>1</v>
      </c>
      <c r="B4" s="403" t="inlineStr">
        <is>
          <t>-HA/08.D6</t>
        </is>
      </c>
      <c r="C4" s="403" t="inlineStr">
        <is>
          <t>24HTC</t>
        </is>
      </c>
      <c r="D4" s="801">
        <f>'LFD New'!D2</f>
        <v/>
      </c>
      <c r="E4" s="471" t="n"/>
      <c r="F4" s="560">
        <f>M5</f>
        <v/>
      </c>
      <c r="G4" s="561" t="n"/>
      <c r="H4" s="471" t="n"/>
      <c r="I4" s="471" t="n"/>
      <c r="J4" s="562">
        <f>IF(AND(E4:I4),1,0)</f>
        <v/>
      </c>
      <c r="L4" s="563" t="inlineStr">
        <is>
          <t>COMPONENT</t>
        </is>
      </c>
      <c r="M4" s="563" t="n"/>
      <c r="N4" s="563" t="inlineStr">
        <is>
          <t>REMARK</t>
        </is>
      </c>
      <c r="P4" s="561" t="n">
        <v>1</v>
      </c>
      <c r="Q4" s="295" t="inlineStr">
        <is>
          <t>HA/24.E6</t>
        </is>
      </c>
      <c r="R4" s="561" t="n"/>
      <c r="S4" s="471" t="n"/>
      <c r="T4" s="471" t="n"/>
      <c r="U4" s="560">
        <f>IF(NOT('DATA TRANSFER'!F30),1,0)</f>
        <v/>
      </c>
      <c r="V4" s="471" t="n"/>
      <c r="W4" s="471" t="n"/>
      <c r="X4" s="471" t="n"/>
      <c r="Y4" s="562">
        <f>IF(OR(T4:X4),1,0)</f>
        <v/>
      </c>
      <c r="AA4" s="563" t="inlineStr">
        <is>
          <t>COMPONENT</t>
        </is>
      </c>
      <c r="AB4" s="563" t="n"/>
      <c r="AC4" s="563" t="inlineStr">
        <is>
          <t>REMARK</t>
        </is>
      </c>
      <c r="AF4" s="561" t="n">
        <v>1</v>
      </c>
      <c r="AG4" s="263" t="inlineStr">
        <is>
          <t>HA/24.E6</t>
        </is>
      </c>
      <c r="AH4" s="471" t="n"/>
      <c r="AI4" s="471" t="n"/>
      <c r="AJ4" s="471" t="n"/>
      <c r="AK4" s="560" t="n">
        <v>1</v>
      </c>
      <c r="AL4" s="471" t="n"/>
      <c r="AM4" s="471" t="n"/>
      <c r="AN4" s="471" t="n"/>
      <c r="AO4" s="562">
        <f>IF(OR(AJ4:AN4),1,0)</f>
        <v/>
      </c>
      <c r="AS4" s="561" t="n">
        <v>1</v>
      </c>
      <c r="AT4" s="564" t="inlineStr">
        <is>
          <t>-HA/10.D4</t>
        </is>
      </c>
      <c r="AU4" s="471" t="n"/>
      <c r="AV4" s="471" t="n"/>
      <c r="AW4" s="565" t="n">
        <v>1</v>
      </c>
      <c r="AX4" s="471" t="n"/>
      <c r="AY4" s="471" t="n"/>
      <c r="AZ4" s="471" t="n"/>
      <c r="BA4" s="471" t="n"/>
      <c r="BB4" s="562">
        <f>IF(AND(AW4:BA4),1,0)</f>
        <v/>
      </c>
      <c r="BD4" s="840" t="inlineStr">
        <is>
          <t>CKT 4</t>
        </is>
      </c>
      <c r="BI4" s="561" t="n">
        <v>1</v>
      </c>
      <c r="BJ4" s="273" t="inlineStr">
        <is>
          <t>HA/16.D7</t>
        </is>
      </c>
      <c r="BK4" s="566" t="n"/>
      <c r="BL4" s="471" t="n"/>
      <c r="BM4" s="471" t="n"/>
      <c r="BN4" s="567">
        <f>BU17</f>
        <v/>
      </c>
      <c r="BO4" s="471">
        <f>BU17</f>
        <v/>
      </c>
      <c r="BP4" s="471" t="n"/>
      <c r="BQ4" s="471" t="n"/>
      <c r="BR4" s="562">
        <f>IF(AND(BM4:BQ4),1,0)</f>
        <v/>
      </c>
      <c r="BT4" s="840" t="inlineStr">
        <is>
          <t>CKT 5</t>
        </is>
      </c>
      <c r="BX4" s="561" t="n">
        <v>1</v>
      </c>
      <c r="BY4" s="273" t="inlineStr">
        <is>
          <t>HA/16.D7</t>
        </is>
      </c>
      <c r="BZ4" s="566" t="n"/>
      <c r="CA4" s="471" t="n"/>
      <c r="CB4" s="471" t="n"/>
      <c r="CC4" s="567">
        <f>BU17</f>
        <v/>
      </c>
      <c r="CD4" s="471" t="n"/>
      <c r="CE4" s="471" t="n"/>
      <c r="CF4" s="471" t="n"/>
      <c r="CG4" s="562">
        <f>IF(AND(CB4:CF4),1,0)</f>
        <v/>
      </c>
      <c r="CI4" s="561" t="n">
        <v>1</v>
      </c>
      <c r="CJ4" s="568" t="n"/>
      <c r="CK4" s="566" t="n"/>
      <c r="CL4" s="471" t="n"/>
      <c r="CM4" s="471" t="n"/>
      <c r="CN4" s="565">
        <f>BE6</f>
        <v/>
      </c>
      <c r="CO4" s="471" t="n"/>
      <c r="CP4" s="471" t="n"/>
      <c r="CQ4" s="471" t="n"/>
      <c r="CR4" s="562">
        <f>IF(AND(CM4:CQ4),1,0)</f>
        <v/>
      </c>
      <c r="CT4" s="563" t="inlineStr">
        <is>
          <t>COMPONENT</t>
        </is>
      </c>
      <c r="CU4" s="563" t="n"/>
      <c r="CV4" s="563" t="inlineStr">
        <is>
          <t>REMARK</t>
        </is>
      </c>
      <c r="CY4" s="561" t="n">
        <v>1</v>
      </c>
      <c r="CZ4" s="568" t="n"/>
      <c r="DA4" s="566" t="n"/>
      <c r="DB4" s="471" t="n"/>
      <c r="DC4" s="471" t="n"/>
      <c r="DD4" s="565">
        <f>CU9</f>
        <v/>
      </c>
      <c r="DE4" s="471" t="n"/>
      <c r="DF4" s="471" t="n"/>
      <c r="DG4" s="471" t="n"/>
      <c r="DH4" s="562">
        <f>IF(AND(DC4:DG4),1,0)</f>
        <v/>
      </c>
      <c r="DK4" s="561" t="n">
        <v>1</v>
      </c>
      <c r="DL4" s="568" t="n"/>
      <c r="DM4" s="566" t="inlineStr">
        <is>
          <t>Batt 110 Vdc</t>
        </is>
      </c>
      <c r="DN4" s="471" t="n"/>
      <c r="DO4" s="471" t="n"/>
      <c r="DP4" s="569">
        <f>DW7</f>
        <v/>
      </c>
      <c r="DQ4" s="471" t="n"/>
      <c r="DR4" s="471" t="n"/>
      <c r="DS4" s="471" t="n"/>
      <c r="DT4" s="562">
        <f>IF(AND(DO4:DS4),1,0)</f>
        <v/>
      </c>
      <c r="DZ4" s="561" t="n">
        <v>1</v>
      </c>
      <c r="EA4" s="568" t="n"/>
      <c r="EB4" s="822" t="inlineStr">
        <is>
          <t>FROM APS 415 VAC</t>
        </is>
      </c>
      <c r="EC4" s="471" t="n"/>
      <c r="ED4" s="471" t="n"/>
      <c r="EE4" s="570">
        <f>EL6</f>
        <v/>
      </c>
      <c r="EF4" s="471" t="n"/>
      <c r="EG4" s="471" t="n"/>
      <c r="EH4" s="471" t="n"/>
      <c r="EI4" s="571">
        <f>IF(AND(ED4:EH4),1,0)</f>
        <v/>
      </c>
      <c r="EK4" s="840" t="inlineStr">
        <is>
          <t>CKT 10</t>
        </is>
      </c>
      <c r="EO4" s="561" t="n">
        <v>1</v>
      </c>
      <c r="EP4" s="568" t="n"/>
      <c r="EQ4" s="822" t="inlineStr">
        <is>
          <t>SMRR-110VDC</t>
        </is>
      </c>
      <c r="ER4" s="471" t="n"/>
      <c r="ES4" s="471" t="n"/>
      <c r="ET4" s="570">
        <f>FA5</f>
        <v/>
      </c>
      <c r="EU4" s="471" t="n"/>
      <c r="EV4" s="471" t="n"/>
      <c r="EW4" s="471" t="n"/>
      <c r="EX4" s="562">
        <f>IF(AND(ES4:EW4),1,0)</f>
        <v/>
      </c>
      <c r="EZ4" s="563" t="inlineStr">
        <is>
          <t>COMPONENT</t>
        </is>
      </c>
      <c r="FA4" s="563" t="n"/>
      <c r="FB4" s="563" t="inlineStr">
        <is>
          <t>REMARK</t>
        </is>
      </c>
      <c r="FE4" s="561" t="n">
        <v>1</v>
      </c>
      <c r="FF4" s="572" t="inlineStr">
        <is>
          <t>P</t>
        </is>
      </c>
      <c r="FG4" s="822" t="inlineStr">
        <is>
          <t>SMRR-110VDC</t>
        </is>
      </c>
      <c r="FH4" s="471" t="n"/>
      <c r="FI4" s="471" t="n"/>
      <c r="FJ4" s="570">
        <f>FA5</f>
        <v/>
      </c>
      <c r="FK4" s="471" t="n"/>
      <c r="FL4" s="471" t="n"/>
      <c r="FM4" s="471" t="n"/>
      <c r="FN4" s="562">
        <f>IF(AND(FI4:FM4),1,0)</f>
        <v/>
      </c>
      <c r="FP4" s="563" t="inlineStr">
        <is>
          <t>COMPONENT</t>
        </is>
      </c>
      <c r="FQ4" s="563" t="n"/>
      <c r="FR4" s="563" t="inlineStr">
        <is>
          <t>REMARK</t>
        </is>
      </c>
      <c r="FT4" s="561" t="n">
        <v>1</v>
      </c>
      <c r="FU4" s="568" t="n"/>
      <c r="FV4" s="822" t="inlineStr">
        <is>
          <t>SMRR-110VDC</t>
        </is>
      </c>
      <c r="FW4" s="471" t="n"/>
      <c r="FX4" s="471" t="n"/>
      <c r="FY4" s="569">
        <f>FQ5</f>
        <v/>
      </c>
      <c r="FZ4" s="471" t="n"/>
      <c r="GA4" s="471" t="n"/>
      <c r="GB4" s="471" t="n"/>
      <c r="GC4" s="562">
        <f>IF(AND(FX4:GB4),1,0)</f>
        <v/>
      </c>
      <c r="GF4" s="561" t="n">
        <v>1</v>
      </c>
      <c r="GG4" s="568" t="n"/>
      <c r="GH4" s="822" t="inlineStr">
        <is>
          <t>110VDC</t>
        </is>
      </c>
      <c r="GI4" s="471" t="n"/>
      <c r="GJ4" s="471" t="n"/>
      <c r="GK4" s="573">
        <f>GR7</f>
        <v/>
      </c>
      <c r="GL4" s="471" t="n"/>
      <c r="GM4" s="471" t="n"/>
      <c r="GN4" s="471" t="n"/>
      <c r="GO4" s="562">
        <f>IF(AND(GJ4:GN4),1,0)</f>
        <v/>
      </c>
      <c r="GU4" s="561" t="n">
        <v>1</v>
      </c>
      <c r="GV4" s="568" t="n"/>
      <c r="GW4" s="561" t="inlineStr">
        <is>
          <t>24 V DC /DC</t>
        </is>
      </c>
      <c r="GX4" s="471" t="n"/>
      <c r="GY4" s="471" t="n"/>
      <c r="GZ4" s="569">
        <f>HG8</f>
        <v/>
      </c>
      <c r="HA4" s="471" t="n"/>
      <c r="HB4" s="471" t="n"/>
      <c r="HC4" s="471" t="n"/>
      <c r="HD4" s="571">
        <f>IF(AND(GY4:HC4),1,0)</f>
        <v/>
      </c>
      <c r="HF4" s="840" t="inlineStr">
        <is>
          <t>CKT 15</t>
        </is>
      </c>
      <c r="HK4" s="561" t="n">
        <v>1</v>
      </c>
      <c r="HL4" s="568" t="n"/>
      <c r="HM4" s="566" t="inlineStr">
        <is>
          <t>APS 2</t>
        </is>
      </c>
      <c r="HN4" s="566" t="n"/>
      <c r="HO4" s="566" t="n"/>
      <c r="HP4" s="574">
        <f>HW7</f>
        <v/>
      </c>
      <c r="HQ4" s="566" t="n"/>
      <c r="HR4" s="471" t="n"/>
      <c r="HS4" s="471" t="n"/>
      <c r="HT4" s="562">
        <f>IF(AND(HO4:HS4),1,0)</f>
        <v/>
      </c>
      <c r="HV4" s="840" t="inlineStr">
        <is>
          <t>CKT 16,17 ,18</t>
        </is>
      </c>
      <c r="HZ4" s="561" t="n">
        <v>1</v>
      </c>
      <c r="IA4" s="568" t="n"/>
      <c r="IB4" s="822" t="inlineStr">
        <is>
          <t>APS 1 _R</t>
        </is>
      </c>
      <c r="IC4" s="566" t="n"/>
      <c r="ID4" s="566" t="n"/>
      <c r="IE4" s="575">
        <f>IF(NOT('DATA TRANSFER'!F30),1,0)</f>
        <v/>
      </c>
      <c r="IF4" s="566" t="n"/>
      <c r="IG4" s="471" t="n"/>
      <c r="IH4" s="471" t="n"/>
      <c r="II4" s="562">
        <f>IF(AND(ID4:IH4),1,0)</f>
        <v/>
      </c>
      <c r="IL4" s="561" t="n">
        <v>1</v>
      </c>
      <c r="IM4" s="568" t="n"/>
      <c r="IN4" s="822" t="inlineStr">
        <is>
          <t xml:space="preserve">From 110/24 vdc converter emergency saf 1 &amp; 2 </t>
        </is>
      </c>
      <c r="IO4" s="566" t="n"/>
      <c r="IP4" s="566" t="n"/>
      <c r="IQ4" s="572" t="n"/>
      <c r="IR4" s="566">
        <f>IF('DATA TRANSFER'!F30=1,1,0)</f>
        <v/>
      </c>
      <c r="IS4" s="471">
        <f>IF('DATA TRANSFER'!M12=1,1,0)</f>
        <v/>
      </c>
      <c r="IT4" s="471" t="n"/>
      <c r="IU4" s="562">
        <f>IF(OR(IP4:IT4),1,0)</f>
        <v/>
      </c>
      <c r="IX4" s="561" t="n">
        <v>1</v>
      </c>
      <c r="IY4" s="568" t="n"/>
      <c r="IZ4" s="822" t="n"/>
      <c r="JA4" s="566" t="n"/>
      <c r="JB4" s="566" t="n"/>
      <c r="JC4" s="574">
        <f>JJ5</f>
        <v/>
      </c>
      <c r="JD4" s="566" t="n"/>
      <c r="JE4" s="471" t="n"/>
      <c r="JF4" s="471" t="n"/>
      <c r="JG4" s="571">
        <f>IF(AND(JB4:JF4),1,0)</f>
        <v/>
      </c>
      <c r="JI4" s="563" t="inlineStr">
        <is>
          <t>COMPONENT</t>
        </is>
      </c>
      <c r="JJ4" s="563" t="n"/>
      <c r="JK4" s="563" t="inlineStr">
        <is>
          <t>REMARK</t>
        </is>
      </c>
      <c r="JN4" s="561" t="n">
        <v>1</v>
      </c>
      <c r="JO4" s="568" t="n"/>
      <c r="JP4" s="822" t="inlineStr">
        <is>
          <t xml:space="preserve">110 V DC </t>
        </is>
      </c>
      <c r="JQ4" s="566" t="n"/>
      <c r="JR4" s="566" t="n"/>
      <c r="JS4" s="574">
        <f>JJ18</f>
        <v/>
      </c>
      <c r="JT4" s="566" t="n"/>
      <c r="JU4" s="471" t="n"/>
      <c r="JV4" s="471" t="n"/>
      <c r="JW4" s="562">
        <f>IF(AND(JR4:JV4),1,0)</f>
        <v/>
      </c>
      <c r="JZ4" s="561" t="n">
        <v>1</v>
      </c>
      <c r="KA4" s="568" t="n"/>
      <c r="KB4" s="822" t="n"/>
      <c r="KC4" s="566" t="n"/>
      <c r="KD4" s="822" t="n"/>
      <c r="KE4" s="574">
        <f>KL10</f>
        <v/>
      </c>
      <c r="KF4" s="566">
        <f>KI5</f>
        <v/>
      </c>
      <c r="KG4" s="471" t="n"/>
      <c r="KH4" s="471" t="n"/>
      <c r="KI4" s="562">
        <f>IF(AND(KD4:KH4),1,0)</f>
        <v/>
      </c>
      <c r="KK4" s="840" t="inlineStr">
        <is>
          <t>CKT 21</t>
        </is>
      </c>
      <c r="KP4" s="561" t="n">
        <v>1</v>
      </c>
      <c r="KQ4" s="568" t="inlineStr">
        <is>
          <t xml:space="preserve">X1_ 4 PIN POWER CONNECTOR </t>
        </is>
      </c>
      <c r="KR4" s="822" t="inlineStr">
        <is>
          <t>APS 1 415 V AC R</t>
        </is>
      </c>
      <c r="KS4" s="566" t="n"/>
      <c r="KT4" s="822" t="n"/>
      <c r="KU4" s="574">
        <f>KL17</f>
        <v/>
      </c>
      <c r="KV4" s="566" t="n"/>
      <c r="KW4" s="471" t="n"/>
      <c r="KX4" s="471" t="n"/>
      <c r="KY4" s="562">
        <f>IF(AND(KT4:KX4),1,0)</f>
        <v/>
      </c>
      <c r="LB4" s="561" t="n">
        <v>1</v>
      </c>
      <c r="LC4" s="568" t="inlineStr">
        <is>
          <t>X2</t>
        </is>
      </c>
      <c r="LD4" s="822" t="inlineStr">
        <is>
          <t>415 VAC _U2</t>
        </is>
      </c>
      <c r="LE4" s="566" t="n"/>
      <c r="LF4" s="566" t="n"/>
      <c r="LG4" s="572">
        <f>LN36</f>
        <v/>
      </c>
      <c r="LH4" s="566" t="n"/>
      <c r="LI4" s="471" t="n"/>
      <c r="LJ4" s="471" t="n"/>
      <c r="LK4" s="562">
        <f>IF(AND(LF4:LJ4),1,0)</f>
        <v/>
      </c>
      <c r="LM4" s="563" t="inlineStr">
        <is>
          <t>COMPONENT</t>
        </is>
      </c>
      <c r="LN4" s="563" t="n"/>
      <c r="LO4" s="563" t="inlineStr">
        <is>
          <t>REMARK</t>
        </is>
      </c>
      <c r="LQ4" s="840" t="n">
        <v>1</v>
      </c>
      <c r="LR4" s="561" t="n">
        <v>1</v>
      </c>
      <c r="LS4" s="568" t="n"/>
      <c r="LT4" s="822" t="n"/>
      <c r="LU4" s="566" t="n"/>
      <c r="LV4" s="822" t="n"/>
      <c r="LW4" s="822" t="n">
        <v>1</v>
      </c>
      <c r="LX4" s="566" t="n"/>
      <c r="LY4" s="471" t="n"/>
      <c r="LZ4" s="471" t="n"/>
      <c r="MA4" s="562">
        <f>IF(AND(LV4:LZ4),1,0)</f>
        <v/>
      </c>
      <c r="MC4" s="563" t="inlineStr">
        <is>
          <t>COMPONENT</t>
        </is>
      </c>
      <c r="MD4" s="563" t="n"/>
      <c r="ME4" s="563" t="inlineStr">
        <is>
          <t>REMARK</t>
        </is>
      </c>
      <c r="MH4" s="561" t="n">
        <v>1</v>
      </c>
      <c r="MI4" s="568" t="n"/>
      <c r="MJ4" s="822" t="inlineStr">
        <is>
          <t xml:space="preserve">110 V DC </t>
        </is>
      </c>
      <c r="MK4" s="566" t="n"/>
      <c r="ML4" s="822" t="n"/>
      <c r="MM4" s="574">
        <f>MT6</f>
        <v/>
      </c>
      <c r="MN4" s="566" t="n"/>
      <c r="MO4" s="471" t="n"/>
      <c r="MP4" s="471" t="n"/>
      <c r="MQ4" s="562">
        <f>IF(AND(ML4:MP4),1,0)</f>
        <v/>
      </c>
      <c r="MS4" s="840" t="inlineStr">
        <is>
          <t>CKT 25</t>
        </is>
      </c>
    </row>
    <row r="5" ht="30.75" customHeight="1">
      <c r="A5" s="559" t="n">
        <v>2</v>
      </c>
      <c r="B5" s="471" t="n"/>
      <c r="C5" s="471" t="n"/>
      <c r="D5" s="263" t="inlineStr">
        <is>
          <t>110V</t>
        </is>
      </c>
      <c r="E5" s="471" t="n"/>
      <c r="F5" s="801">
        <f>J4</f>
        <v/>
      </c>
      <c r="G5" s="561" t="n"/>
      <c r="H5" s="471" t="n"/>
      <c r="I5" s="471" t="n"/>
      <c r="J5" s="562">
        <f>IF(AND(E5:I5),1,0)</f>
        <v/>
      </c>
      <c r="L5" s="566" t="inlineStr">
        <is>
          <t xml:space="preserve"> 24 HTC wire </t>
        </is>
      </c>
      <c r="M5" s="801">
        <f>'LFD New'!D2</f>
        <v/>
      </c>
      <c r="N5" s="471" t="n"/>
      <c r="P5" s="561" t="n">
        <v>2</v>
      </c>
      <c r="Q5" s="576" t="n"/>
      <c r="R5" s="561" t="n"/>
      <c r="S5" s="471" t="n"/>
      <c r="T5" s="471" t="n"/>
      <c r="U5" s="801">
        <f>Y4</f>
        <v/>
      </c>
      <c r="V5" s="471" t="n"/>
      <c r="W5" s="471" t="n"/>
      <c r="X5" s="471" t="n"/>
      <c r="Y5" s="562">
        <f>IF(AND(T5:X5),1,0)</f>
        <v/>
      </c>
      <c r="AA5" s="822" t="inlineStr">
        <is>
          <t>SAFB1 _9.5A</t>
        </is>
      </c>
      <c r="AB5" s="801">
        <f>'DATA TRANSFER'!DP146</f>
        <v/>
      </c>
      <c r="AC5" s="471" t="n"/>
      <c r="AF5" s="561" t="n">
        <v>2</v>
      </c>
      <c r="AG5" s="471" t="n"/>
      <c r="AH5" s="471" t="n"/>
      <c r="AI5" s="471" t="n"/>
      <c r="AJ5" s="471" t="n"/>
      <c r="AK5" s="801">
        <f>AO4</f>
        <v/>
      </c>
      <c r="AL5" s="471" t="n"/>
      <c r="AM5" s="471" t="n"/>
      <c r="AN5" s="471" t="n"/>
      <c r="AO5" s="562">
        <f>IF(AND(AJ5:AN5),1,0)</f>
        <v/>
      </c>
      <c r="AS5" s="561" t="n">
        <v>2</v>
      </c>
      <c r="AT5" s="471" t="n"/>
      <c r="AU5" s="822" t="inlineStr">
        <is>
          <t>HRC9-O</t>
        </is>
      </c>
      <c r="AV5" s="471" t="n"/>
      <c r="AW5" s="570">
        <f>BE7</f>
        <v/>
      </c>
      <c r="AX5" s="471">
        <f>BB4</f>
        <v/>
      </c>
      <c r="AY5" s="471" t="n"/>
      <c r="AZ5" s="471" t="n"/>
      <c r="BA5" s="471" t="n"/>
      <c r="BB5" s="562">
        <f>IF(AND(AW5:BA5),1,0)</f>
        <v/>
      </c>
      <c r="BD5" s="563" t="inlineStr">
        <is>
          <t>COMPONENT</t>
        </is>
      </c>
      <c r="BE5" s="563" t="n"/>
      <c r="BF5" s="563" t="inlineStr">
        <is>
          <t>REMARK</t>
        </is>
      </c>
      <c r="BI5" s="561" t="n">
        <v>2</v>
      </c>
      <c r="BJ5" s="577" t="n"/>
      <c r="BK5" s="566" t="n"/>
      <c r="BL5" s="471" t="n"/>
      <c r="BM5" s="471" t="n"/>
      <c r="BN5" s="561">
        <f>BR4</f>
        <v/>
      </c>
      <c r="BO5" s="471" t="n"/>
      <c r="BP5" s="471" t="n"/>
      <c r="BQ5" s="471" t="n"/>
      <c r="BR5" s="562">
        <f>IF(AND(BM5:BQ5),1,0)</f>
        <v/>
      </c>
      <c r="BT5" s="563" t="inlineStr">
        <is>
          <t>COMPONENT</t>
        </is>
      </c>
      <c r="BU5" s="563" t="n"/>
      <c r="BV5" s="563" t="inlineStr">
        <is>
          <t>REMARK</t>
        </is>
      </c>
      <c r="BX5" s="561" t="n">
        <v>2</v>
      </c>
      <c r="BY5" s="577" t="n"/>
      <c r="BZ5" s="566" t="n"/>
      <c r="CA5" s="471" t="n"/>
      <c r="CB5" s="471" t="n"/>
      <c r="CC5" s="561">
        <f>CG4</f>
        <v/>
      </c>
      <c r="CD5" s="471" t="n"/>
      <c r="CE5" s="471" t="n"/>
      <c r="CF5" s="471" t="n"/>
      <c r="CG5" s="562">
        <f>IF(AND(CB5:CF5),1,0)</f>
        <v/>
      </c>
      <c r="CI5" s="561" t="n">
        <v>2</v>
      </c>
      <c r="CJ5" s="822" t="inlineStr">
        <is>
          <t>UD .X14.05-F-A 8 +14.10</t>
        </is>
      </c>
      <c r="CK5" s="566" t="n"/>
      <c r="CL5" s="471" t="n"/>
      <c r="CM5" s="471" t="n"/>
      <c r="CN5" s="471">
        <f>CR4</f>
        <v/>
      </c>
      <c r="CO5" s="471" t="n"/>
      <c r="CP5" s="471" t="n"/>
      <c r="CQ5" s="471" t="n"/>
      <c r="CR5" s="562">
        <f>IF(AND(CM5:CQ5),1,0)</f>
        <v/>
      </c>
      <c r="CT5" s="822" t="inlineStr">
        <is>
          <t>TCR6 -E</t>
        </is>
      </c>
      <c r="CU5" s="801" t="n">
        <v>1</v>
      </c>
      <c r="CV5" s="471" t="n"/>
      <c r="CY5" s="561" t="n">
        <v>2</v>
      </c>
      <c r="CZ5" s="265" t="inlineStr">
        <is>
          <t>UD .X14.03-F</t>
        </is>
      </c>
      <c r="DA5" s="566" t="n"/>
      <c r="DB5" s="471" t="n"/>
      <c r="DC5" s="471" t="n"/>
      <c r="DD5" s="471">
        <f>DH4</f>
        <v/>
      </c>
      <c r="DE5" s="471" t="n"/>
      <c r="DF5" s="471" t="n"/>
      <c r="DG5" s="471" t="n"/>
      <c r="DH5" s="562">
        <f>IF(AND(DC5:DG5),1,0)</f>
        <v/>
      </c>
      <c r="DK5" s="561" t="n">
        <v>2</v>
      </c>
      <c r="DL5" s="265" t="n"/>
      <c r="DM5" s="566" t="n"/>
      <c r="DN5" s="471" t="n"/>
      <c r="DO5" s="471" t="n"/>
      <c r="DP5" s="801">
        <f>DT4</f>
        <v/>
      </c>
      <c r="DQ5" s="471" t="n"/>
      <c r="DR5" s="471" t="n"/>
      <c r="DS5" s="471" t="n"/>
      <c r="DT5" s="562">
        <f>IF(AND(DO5:DS5),1,0)</f>
        <v/>
      </c>
      <c r="DV5" s="840" t="inlineStr">
        <is>
          <t>CKT 9</t>
        </is>
      </c>
      <c r="DZ5" s="561" t="n">
        <v>2</v>
      </c>
      <c r="EA5" s="265" t="n"/>
      <c r="EB5" s="566" t="n"/>
      <c r="EC5" s="471" t="n"/>
      <c r="ED5" s="471" t="n"/>
      <c r="EE5" s="471">
        <f>EI4</f>
        <v/>
      </c>
      <c r="EF5" s="471" t="n"/>
      <c r="EG5" s="471" t="n"/>
      <c r="EH5" s="471" t="n"/>
      <c r="EI5" s="571">
        <f>IF(AND(ED5:EH5),1,0)</f>
        <v/>
      </c>
      <c r="EK5" s="563" t="inlineStr">
        <is>
          <t>COMPONENT</t>
        </is>
      </c>
      <c r="EL5" s="563" t="n"/>
      <c r="EM5" s="563" t="inlineStr">
        <is>
          <t>REMARK</t>
        </is>
      </c>
      <c r="EO5" s="561" t="n">
        <v>2</v>
      </c>
      <c r="EP5" s="265" t="n"/>
      <c r="EQ5" s="566" t="n"/>
      <c r="ER5" s="471" t="n"/>
      <c r="ES5" s="471" t="n"/>
      <c r="ET5" s="471">
        <f>EX4</f>
        <v/>
      </c>
      <c r="EU5" s="471" t="n"/>
      <c r="EV5" s="471" t="n"/>
      <c r="EW5" s="471" t="n"/>
      <c r="EX5" s="562">
        <f>IF(AND(ES5:EW5),1,0)</f>
        <v/>
      </c>
      <c r="EZ5" s="822" t="inlineStr">
        <is>
          <t>SMRR-110VDC</t>
        </is>
      </c>
      <c r="FA5" s="273">
        <f>'LFD New'!D2</f>
        <v/>
      </c>
      <c r="FB5" s="471" t="n"/>
      <c r="FE5" s="561" t="n">
        <v>2</v>
      </c>
      <c r="FF5" s="265" t="n"/>
      <c r="FG5" s="566" t="n"/>
      <c r="FH5" s="471" t="n"/>
      <c r="FI5" s="471" t="n"/>
      <c r="FJ5" s="471">
        <f>FN4</f>
        <v/>
      </c>
      <c r="FK5" s="471" t="n"/>
      <c r="FL5" s="471" t="n"/>
      <c r="FM5" s="471" t="n"/>
      <c r="FN5" s="562">
        <f>IF(AND(FI5:FM5),1,0)</f>
        <v/>
      </c>
      <c r="FP5" s="822" t="inlineStr">
        <is>
          <t>SMRR-110VDC</t>
        </is>
      </c>
      <c r="FQ5" s="561">
        <f>FA5</f>
        <v/>
      </c>
      <c r="FR5" s="471" t="n"/>
      <c r="FT5" s="561" t="n">
        <v>2</v>
      </c>
      <c r="FU5" s="265" t="n"/>
      <c r="FV5" s="566" t="n"/>
      <c r="FW5" s="471" t="n"/>
      <c r="FX5" s="471" t="n"/>
      <c r="FY5" s="561">
        <f>GC4</f>
        <v/>
      </c>
      <c r="FZ5" s="471" t="n"/>
      <c r="GA5" s="471" t="n"/>
      <c r="GB5" s="471" t="n"/>
      <c r="GC5" s="562">
        <f>IF(AND(FX5:GB5),1,0)</f>
        <v/>
      </c>
      <c r="GF5" s="561" t="n">
        <v>2</v>
      </c>
      <c r="GG5" s="265" t="n"/>
      <c r="GH5" s="566" t="n"/>
      <c r="GI5" s="471" t="n"/>
      <c r="GJ5" s="471" t="n"/>
      <c r="GK5" s="561">
        <f>GO4</f>
        <v/>
      </c>
      <c r="GL5" s="471" t="n"/>
      <c r="GM5" s="471" t="n"/>
      <c r="GN5" s="471" t="n"/>
      <c r="GO5" s="562">
        <f>IF(AND(GJ5:GN5),1,0)</f>
        <v/>
      </c>
      <c r="GQ5" s="840" t="inlineStr">
        <is>
          <t>CKT 14</t>
        </is>
      </c>
      <c r="GU5" s="561" t="n">
        <v>2</v>
      </c>
      <c r="GV5" s="265" t="n"/>
      <c r="GW5" s="566" t="inlineStr">
        <is>
          <t>SAFC2</t>
        </is>
      </c>
      <c r="GX5" s="471" t="n"/>
      <c r="GY5" s="471" t="n"/>
      <c r="GZ5" s="569">
        <f>GR15</f>
        <v/>
      </c>
      <c r="HA5" s="471">
        <f>HD4</f>
        <v/>
      </c>
      <c r="HB5" s="471" t="n"/>
      <c r="HC5" s="471" t="n"/>
      <c r="HD5" s="571">
        <f>IF(AND(GY5:HC5),1,0)</f>
        <v/>
      </c>
      <c r="HF5" s="563" t="inlineStr">
        <is>
          <t>COMPONENT</t>
        </is>
      </c>
      <c r="HG5" s="563" t="n"/>
      <c r="HH5" s="563" t="inlineStr">
        <is>
          <t>REMARK</t>
        </is>
      </c>
      <c r="HK5" s="561" t="n">
        <v>2</v>
      </c>
      <c r="HL5" s="265" t="n"/>
      <c r="HM5" s="566" t="n"/>
      <c r="HN5" s="566" t="n"/>
      <c r="HO5" s="566" t="n"/>
      <c r="HP5" s="566">
        <f>HT4</f>
        <v/>
      </c>
      <c r="HQ5" s="566" t="n"/>
      <c r="HR5" s="471" t="n"/>
      <c r="HS5" s="471" t="n"/>
      <c r="HT5" s="562">
        <f>IF(AND(HO5:HS5),1,0)</f>
        <v/>
      </c>
      <c r="HV5" s="563" t="inlineStr">
        <is>
          <t>COMPONENT</t>
        </is>
      </c>
      <c r="HW5" s="563" t="n"/>
      <c r="HX5" s="563" t="inlineStr">
        <is>
          <t>REMARK</t>
        </is>
      </c>
      <c r="HZ5" s="561" t="n">
        <v>2</v>
      </c>
      <c r="IA5" s="265" t="n"/>
      <c r="IB5" s="566" t="n"/>
      <c r="IC5" s="566" t="n"/>
      <c r="ID5" s="566" t="n"/>
      <c r="IE5" s="566">
        <f>II4</f>
        <v/>
      </c>
      <c r="IF5" s="566" t="n"/>
      <c r="IG5" s="471" t="n"/>
      <c r="IH5" s="471" t="n"/>
      <c r="II5" s="562">
        <f>IF(AND(ID5:IH5),1,0)</f>
        <v/>
      </c>
      <c r="IL5" s="561" t="n">
        <v>2</v>
      </c>
      <c r="IM5" s="265" t="n"/>
      <c r="IN5" s="822" t="inlineStr">
        <is>
          <t>TMR2_60 SEC</t>
        </is>
      </c>
      <c r="IO5" s="566" t="n"/>
      <c r="IP5" s="566" t="n"/>
      <c r="IQ5" s="574">
        <f>HW20</f>
        <v/>
      </c>
      <c r="IR5" s="566">
        <f>IU4</f>
        <v/>
      </c>
      <c r="IS5" s="471" t="n"/>
      <c r="IT5" s="471" t="n"/>
      <c r="IU5" s="562">
        <f>IF(AND(IP5:IT5),1,0)</f>
        <v/>
      </c>
      <c r="IX5" s="561" t="n">
        <v>2</v>
      </c>
      <c r="IY5" s="265" t="n"/>
      <c r="IZ5" s="822" t="inlineStr">
        <is>
          <t>SMDR</t>
        </is>
      </c>
      <c r="JA5" s="566" t="n"/>
      <c r="JB5" s="566" t="n"/>
      <c r="JC5" s="574">
        <f>JJ6</f>
        <v/>
      </c>
      <c r="JD5" s="566">
        <f>JG4</f>
        <v/>
      </c>
      <c r="JE5" s="471" t="n"/>
      <c r="JF5" s="471" t="n"/>
      <c r="JG5" s="571">
        <f>IF(AND(JB5:JF5),1,0)</f>
        <v/>
      </c>
      <c r="JI5" s="561" t="inlineStr">
        <is>
          <t xml:space="preserve">24 VDC </t>
        </is>
      </c>
      <c r="JJ5" s="801">
        <f>'LFD New'!D2</f>
        <v/>
      </c>
      <c r="JK5" s="471" t="n"/>
      <c r="JN5" s="561" t="n">
        <v>2</v>
      </c>
      <c r="JO5" s="265" t="n"/>
      <c r="JP5" s="822" t="inlineStr">
        <is>
          <t xml:space="preserve">2 WAY SWITCH </t>
        </is>
      </c>
      <c r="JQ5" s="566" t="n"/>
      <c r="JR5" s="566" t="n"/>
      <c r="JS5" s="822">
        <f>JW4</f>
        <v/>
      </c>
      <c r="JT5" s="566" t="n"/>
      <c r="JU5" s="471" t="n"/>
      <c r="JV5" s="471" t="n"/>
      <c r="JW5" s="562">
        <f>IF(AND(JR5:JV5),1,0)</f>
        <v/>
      </c>
      <c r="JZ5" s="561" t="n">
        <v>2</v>
      </c>
      <c r="KA5" s="265" t="n"/>
      <c r="KB5" s="822" t="n"/>
      <c r="KC5" s="566" t="n"/>
      <c r="KD5" s="822" t="n"/>
      <c r="KE5" s="822">
        <f>KI6</f>
        <v/>
      </c>
      <c r="KF5" s="566" t="n"/>
      <c r="KG5" s="471" t="n"/>
      <c r="KH5" s="471" t="n"/>
      <c r="KI5" s="562">
        <f>IF(AND(KD5:KH5),1,0)</f>
        <v/>
      </c>
      <c r="KK5" s="563" t="inlineStr">
        <is>
          <t>COMPONENT</t>
        </is>
      </c>
      <c r="KL5" s="563" t="n"/>
      <c r="KM5" s="563" t="inlineStr">
        <is>
          <t>REMARK</t>
        </is>
      </c>
      <c r="KP5" s="561" t="n">
        <v>2</v>
      </c>
      <c r="KQ5" s="265" t="n"/>
      <c r="KR5" s="822" t="n"/>
      <c r="KS5" s="566" t="n"/>
      <c r="KT5" s="822" t="n"/>
      <c r="KU5" s="822">
        <f>KY4</f>
        <v/>
      </c>
      <c r="KV5" s="822" t="n"/>
      <c r="KW5" s="471" t="n"/>
      <c r="KX5" s="471" t="n"/>
      <c r="KY5" s="562">
        <f>IF(AND(KT5:KX5),1,0)</f>
        <v/>
      </c>
      <c r="LB5" s="561" t="n">
        <v>2</v>
      </c>
      <c r="LC5" s="265" t="n"/>
      <c r="LD5" s="822" t="n"/>
      <c r="LE5" s="566" t="n"/>
      <c r="LF5" s="566" t="n"/>
      <c r="LG5" s="566">
        <f>LK4</f>
        <v/>
      </c>
      <c r="LH5" s="822" t="n"/>
      <c r="LI5" s="471" t="n"/>
      <c r="LJ5" s="471" t="n"/>
      <c r="LK5" s="562">
        <f>IF(AND(LF5:LJ5),1,0)</f>
        <v/>
      </c>
      <c r="LM5" s="822" t="inlineStr">
        <is>
          <t>SAFB1 _9.5A</t>
        </is>
      </c>
      <c r="LN5" s="801">
        <f>IF(OR('DATA TRANSFER'!DP146,LN15),1,0)</f>
        <v/>
      </c>
      <c r="LO5" s="471" t="n"/>
      <c r="LQ5" s="840">
        <f>LQ4+1</f>
        <v/>
      </c>
      <c r="LR5" s="561" t="n">
        <v>2</v>
      </c>
      <c r="LS5" s="265" t="n"/>
      <c r="LT5" s="822" t="n"/>
      <c r="LU5" s="566" t="n"/>
      <c r="LV5" s="822" t="n"/>
      <c r="LW5" s="822">
        <f>MA4</f>
        <v/>
      </c>
      <c r="LX5" s="822" t="n"/>
      <c r="LY5" s="471" t="n"/>
      <c r="LZ5" s="471" t="n"/>
      <c r="MA5" s="562">
        <f>IF(AND(LV5:LZ5),1,0)</f>
        <v/>
      </c>
      <c r="MC5" s="822" t="inlineStr">
        <is>
          <t>LUB</t>
        </is>
      </c>
      <c r="MD5" s="801">
        <f>'DATA TRANSFER'!DP166</f>
        <v/>
      </c>
      <c r="ME5" s="471" t="n"/>
      <c r="MH5" s="561" t="n">
        <v>2</v>
      </c>
      <c r="MI5" s="265" t="n"/>
      <c r="MJ5" s="822" t="n"/>
      <c r="MK5" s="566" t="n"/>
      <c r="ML5" s="822" t="n"/>
      <c r="MM5" s="822">
        <f>MQ4</f>
        <v/>
      </c>
      <c r="MN5" s="822" t="n"/>
      <c r="MO5" s="471" t="n"/>
      <c r="MP5" s="471" t="n"/>
      <c r="MQ5" s="562">
        <f>IF(AND(ML5:MP5),1,0)</f>
        <v/>
      </c>
      <c r="MS5" s="563" t="inlineStr">
        <is>
          <t>COMPONENT</t>
        </is>
      </c>
      <c r="MT5" s="563" t="n"/>
      <c r="MU5" s="563" t="inlineStr">
        <is>
          <t>REMARK</t>
        </is>
      </c>
    </row>
    <row r="6" ht="44.25" customHeight="1">
      <c r="A6" s="559" t="n">
        <v>3</v>
      </c>
      <c r="B6" s="471" t="n"/>
      <c r="C6" s="471" t="n"/>
      <c r="D6" s="471" t="n"/>
      <c r="E6" s="471" t="n"/>
      <c r="F6" s="801">
        <f>J5</f>
        <v/>
      </c>
      <c r="G6" s="561" t="n"/>
      <c r="H6" s="471" t="n"/>
      <c r="I6" s="471" t="n"/>
      <c r="J6" s="562">
        <f>IF(AND(E6:I6),1,0)</f>
        <v/>
      </c>
      <c r="L6" s="801" t="inlineStr">
        <is>
          <t>CACS 1</t>
        </is>
      </c>
      <c r="M6" s="801">
        <f>IF(OR('DATA TRANSFER'!DP135=1,'DATA TRANSFER'!DP135=2,'DATA TRANSFER'!DP135=3),1,0)</f>
        <v/>
      </c>
      <c r="N6" s="471" t="n"/>
      <c r="P6" s="561" t="n">
        <v>3</v>
      </c>
      <c r="Q6" s="576" t="n"/>
      <c r="R6" s="561" t="n"/>
      <c r="S6" s="471" t="n"/>
      <c r="T6" s="471" t="n"/>
      <c r="U6" s="801">
        <f>Y5</f>
        <v/>
      </c>
      <c r="V6" s="471" t="n"/>
      <c r="W6" s="471" t="n"/>
      <c r="X6" s="471" t="n"/>
      <c r="Y6" s="562">
        <f>IF(AND(T6:X6),1,0)</f>
        <v/>
      </c>
      <c r="AA6" s="822" t="inlineStr">
        <is>
          <t>SAFC1_12A</t>
        </is>
      </c>
      <c r="AB6" s="801">
        <f>'DATA TRANSFER'!DP147</f>
        <v/>
      </c>
      <c r="AC6" s="471" t="n"/>
      <c r="AF6" s="561" t="n">
        <v>3</v>
      </c>
      <c r="AG6" s="471" t="n"/>
      <c r="AH6" s="471" t="n"/>
      <c r="AI6" s="471" t="n"/>
      <c r="AJ6" s="471" t="n"/>
      <c r="AK6" s="801">
        <f>AO5</f>
        <v/>
      </c>
      <c r="AL6" s="471" t="n"/>
      <c r="AM6" s="471" t="n"/>
      <c r="AN6" s="471" t="n"/>
      <c r="AO6" s="562">
        <f>IF(AND(AJ6:AN6),1,0)</f>
        <v/>
      </c>
      <c r="AS6" s="561" t="n">
        <v>3</v>
      </c>
      <c r="AT6" s="471" t="n"/>
      <c r="AU6" s="471" t="n"/>
      <c r="AV6" s="471" t="n"/>
      <c r="AW6" s="471">
        <f>BB5</f>
        <v/>
      </c>
      <c r="AX6" s="471" t="n"/>
      <c r="AY6" s="471" t="n"/>
      <c r="AZ6" s="471" t="n"/>
      <c r="BA6" s="471" t="n"/>
      <c r="BB6" s="562">
        <f>IF(AND(AW6:BA6),1,0)</f>
        <v/>
      </c>
      <c r="BD6" s="822" t="inlineStr">
        <is>
          <t>SRRB</t>
        </is>
      </c>
      <c r="BE6" s="801">
        <f>'DATA TRANSFER'!DP31</f>
        <v/>
      </c>
      <c r="BF6" s="471" t="n"/>
      <c r="BI6" s="561" t="n">
        <v>3</v>
      </c>
      <c r="BJ6" s="566" t="n"/>
      <c r="BK6" s="566" t="n"/>
      <c r="BL6" s="471" t="n"/>
      <c r="BM6" s="471" t="n"/>
      <c r="BN6" s="578">
        <f>BR5</f>
        <v/>
      </c>
      <c r="BO6" s="471" t="n"/>
      <c r="BP6" s="471" t="n"/>
      <c r="BQ6" s="471" t="n"/>
      <c r="BR6" s="562">
        <f>IF(AND(BM6:BQ6),1,0)</f>
        <v/>
      </c>
      <c r="BT6" s="822" t="inlineStr">
        <is>
          <t>LUB</t>
        </is>
      </c>
      <c r="BU6" s="801">
        <f>'DATA TRANSFER'!DP166</f>
        <v/>
      </c>
      <c r="BV6" s="471" t="n"/>
      <c r="BX6" s="561" t="n">
        <v>3</v>
      </c>
      <c r="BY6" s="566" t="n"/>
      <c r="BZ6" s="566" t="n"/>
      <c r="CA6" s="471" t="n"/>
      <c r="CB6" s="471" t="n"/>
      <c r="CC6" s="578">
        <f>CG5</f>
        <v/>
      </c>
      <c r="CD6" s="471" t="n"/>
      <c r="CE6" s="471" t="n"/>
      <c r="CF6" s="471" t="n"/>
      <c r="CG6" s="562">
        <f>IF(AND(CB6:CF6),1,0)</f>
        <v/>
      </c>
      <c r="CI6" s="561" t="n">
        <v>3</v>
      </c>
      <c r="CJ6" s="566" t="n"/>
      <c r="CK6" s="566" t="n"/>
      <c r="CL6" s="471" t="n"/>
      <c r="CM6" s="471" t="n"/>
      <c r="CN6" s="471">
        <f>CR4</f>
        <v/>
      </c>
      <c r="CO6" s="471" t="n"/>
      <c r="CP6" s="471" t="n"/>
      <c r="CQ6" s="471" t="n"/>
      <c r="CR6" s="562">
        <f>IF(AND(CM6:CQ6),1,0)</f>
        <v/>
      </c>
      <c r="CT6" s="471" t="inlineStr">
        <is>
          <t>FADR</t>
        </is>
      </c>
      <c r="CU6" s="471">
        <f>IF(OR('DATA TRANSFER'!DP178,'Mode Logic'!P18),1,0)</f>
        <v/>
      </c>
      <c r="CV6" s="471" t="n"/>
      <c r="CY6" s="561" t="n">
        <v>3</v>
      </c>
      <c r="CZ6" s="566" t="n"/>
      <c r="DA6" s="566" t="n"/>
      <c r="DB6" s="471" t="n"/>
      <c r="DC6" s="471" t="n"/>
      <c r="DD6" s="471">
        <f>DH4</f>
        <v/>
      </c>
      <c r="DE6" s="471" t="n"/>
      <c r="DF6" s="471" t="n"/>
      <c r="DG6" s="471" t="n"/>
      <c r="DH6" s="562">
        <f>IF(AND(DC6:DG6),1,0)</f>
        <v/>
      </c>
      <c r="DK6" s="561" t="n">
        <v>3</v>
      </c>
      <c r="DL6" s="566" t="inlineStr">
        <is>
          <t>14.20 LA.F09</t>
        </is>
      </c>
      <c r="DM6" s="566" t="inlineStr">
        <is>
          <t>HTCN</t>
        </is>
      </c>
      <c r="DN6" s="471" t="n"/>
      <c r="DO6" s="471" t="n"/>
      <c r="DP6" s="569">
        <f>DW17</f>
        <v/>
      </c>
      <c r="DQ6" s="471">
        <f>DT5</f>
        <v/>
      </c>
      <c r="DR6" s="471" t="n"/>
      <c r="DS6" s="471" t="n"/>
      <c r="DT6" s="562">
        <f>IF(AND(DO6:DS6),1,0)</f>
        <v/>
      </c>
      <c r="DV6" s="563" t="inlineStr">
        <is>
          <t>COMPONENT</t>
        </is>
      </c>
      <c r="DW6" s="563" t="n"/>
      <c r="DX6" s="563" t="inlineStr">
        <is>
          <t>REMARK</t>
        </is>
      </c>
      <c r="DZ6" s="561" t="n">
        <v>3</v>
      </c>
      <c r="EA6" s="566" t="n"/>
      <c r="EB6" s="822" t="inlineStr">
        <is>
          <t>FROM APS 415 VAC</t>
        </is>
      </c>
      <c r="EC6" s="471" t="n"/>
      <c r="ED6" s="471" t="n"/>
      <c r="EE6" s="570">
        <f>EL6</f>
        <v/>
      </c>
      <c r="EF6" s="471" t="n"/>
      <c r="EG6" s="471" t="n"/>
      <c r="EH6" s="471" t="n"/>
      <c r="EI6" s="571">
        <f>IF(AND(ED6:EH6),1,0)</f>
        <v/>
      </c>
      <c r="EK6" s="471" t="inlineStr">
        <is>
          <t>From APS 415 Vac_1</t>
        </is>
      </c>
      <c r="EL6" s="801">
        <f>IF(NOT('DATA TRANSFER'!F30),1,0)</f>
        <v/>
      </c>
      <c r="EM6" s="471" t="n"/>
      <c r="EO6" s="561" t="n">
        <v>3</v>
      </c>
      <c r="EP6" s="566" t="n"/>
      <c r="EQ6" s="566" t="n"/>
      <c r="ER6" s="471" t="n"/>
      <c r="ES6" s="471" t="n"/>
      <c r="ET6" s="471">
        <f>EX5</f>
        <v/>
      </c>
      <c r="EU6" s="471" t="n"/>
      <c r="EV6" s="471" t="n"/>
      <c r="EW6" s="471" t="n"/>
      <c r="EX6" s="562">
        <f>IF(AND(ES6:EW6),1,0)</f>
        <v/>
      </c>
      <c r="EZ6" s="801" t="inlineStr">
        <is>
          <t>SMDR1-110VDC</t>
        </is>
      </c>
      <c r="FA6" s="273">
        <f>'LFD New'!D2</f>
        <v/>
      </c>
      <c r="FB6" s="471" t="n"/>
      <c r="FE6" s="561" t="n">
        <v>3</v>
      </c>
      <c r="FF6" s="566" t="n"/>
      <c r="FG6" s="566" t="n"/>
      <c r="FH6" s="471" t="n"/>
      <c r="FI6" s="471" t="n"/>
      <c r="FJ6" s="471">
        <f>FN5</f>
        <v/>
      </c>
      <c r="FK6" s="471" t="n"/>
      <c r="FL6" s="471" t="n"/>
      <c r="FM6" s="471" t="n"/>
      <c r="FN6" s="562">
        <f>IF(AND(FI6:FM6),1,0)</f>
        <v/>
      </c>
      <c r="FP6" s="801" t="inlineStr">
        <is>
          <t>SMDR1-110VDC</t>
        </is>
      </c>
      <c r="FQ6" s="561">
        <f>FA6</f>
        <v/>
      </c>
      <c r="FR6" s="471" t="n"/>
      <c r="FT6" s="561" t="n">
        <v>3</v>
      </c>
      <c r="FU6" s="566" t="n"/>
      <c r="FV6" s="566" t="n"/>
      <c r="FW6" s="471" t="n"/>
      <c r="FX6" s="471" t="n"/>
      <c r="FY6" s="801">
        <f>GC5</f>
        <v/>
      </c>
      <c r="FZ6" s="471" t="n"/>
      <c r="GA6" s="471" t="n"/>
      <c r="GB6" s="471" t="n"/>
      <c r="GC6" s="562">
        <f>IF(AND(FX6:GB6),1,0)</f>
        <v/>
      </c>
      <c r="GF6" s="561" t="n">
        <v>3</v>
      </c>
      <c r="GG6" s="566" t="n"/>
      <c r="GH6" s="566" t="n"/>
      <c r="GI6" s="471" t="n"/>
      <c r="GJ6" s="471" t="n"/>
      <c r="GK6" s="561">
        <f>GO5</f>
        <v/>
      </c>
      <c r="GL6" s="471" t="n"/>
      <c r="GM6" s="471" t="n"/>
      <c r="GN6" s="471" t="n"/>
      <c r="GO6" s="562">
        <f>IF(AND(GJ6:GN6),1,0)</f>
        <v/>
      </c>
      <c r="GQ6" s="563" t="inlineStr">
        <is>
          <t>COMPONENT</t>
        </is>
      </c>
      <c r="GR6" s="563" t="n"/>
      <c r="GS6" s="563" t="inlineStr">
        <is>
          <t>REMARK</t>
        </is>
      </c>
      <c r="GU6" s="561" t="n">
        <v>3</v>
      </c>
      <c r="GV6" s="566" t="n"/>
      <c r="GW6" s="566" t="n"/>
      <c r="GX6" s="471" t="n"/>
      <c r="GY6" s="471" t="n"/>
      <c r="GZ6" s="801">
        <f>HD5</f>
        <v/>
      </c>
      <c r="HA6" s="471" t="n"/>
      <c r="HB6" s="471" t="n"/>
      <c r="HC6" s="471" t="n"/>
      <c r="HD6" s="571">
        <f>IF(AND(GY6:HC6),1,0)</f>
        <v/>
      </c>
      <c r="HF6" s="822" t="inlineStr">
        <is>
          <t>110VDC</t>
        </is>
      </c>
      <c r="HG6" s="801">
        <f>'LFD New'!D2</f>
        <v/>
      </c>
      <c r="HH6" s="471" t="n"/>
      <c r="HK6" s="561" t="n">
        <v>3</v>
      </c>
      <c r="HL6" s="566" t="n"/>
      <c r="HM6" s="566" t="n"/>
      <c r="HN6" s="566" t="n"/>
      <c r="HO6" s="566" t="n"/>
      <c r="HP6" s="566">
        <f>HT5</f>
        <v/>
      </c>
      <c r="HQ6" s="566" t="n"/>
      <c r="HR6" s="471" t="n"/>
      <c r="HS6" s="471" t="n"/>
      <c r="HT6" s="562">
        <f>IF(AND(HO6:HS6),1,0)</f>
        <v/>
      </c>
      <c r="HV6" s="822" t="inlineStr">
        <is>
          <t>APS 1</t>
        </is>
      </c>
      <c r="HW6" s="801">
        <f>IF(NOT('DATA TRANSFER'!F30),1,0)</f>
        <v/>
      </c>
      <c r="HX6" s="471" t="n"/>
      <c r="HZ6" s="561" t="n">
        <v>3</v>
      </c>
      <c r="IA6" s="566" t="n"/>
      <c r="IB6" s="822" t="inlineStr">
        <is>
          <t>APS 1 _Y</t>
        </is>
      </c>
      <c r="IC6" s="566" t="n"/>
      <c r="ID6" s="566" t="n"/>
      <c r="IE6" s="575">
        <f>IF(NOT('DATA TRANSFER'!F30),1,0)</f>
        <v/>
      </c>
      <c r="IF6" s="566" t="n"/>
      <c r="IG6" s="471" t="n"/>
      <c r="IH6" s="471" t="n"/>
      <c r="II6" s="562">
        <f>IF(AND(ID6:IH6),1,0)</f>
        <v/>
      </c>
      <c r="IL6" s="561" t="n">
        <v>3</v>
      </c>
      <c r="IM6" s="566" t="n"/>
      <c r="IN6" s="822" t="n"/>
      <c r="IO6" s="566" t="n"/>
      <c r="IP6" s="566" t="n"/>
      <c r="IQ6" s="822">
        <f>IU5</f>
        <v/>
      </c>
      <c r="IR6" s="566" t="n"/>
      <c r="IS6" s="471" t="n"/>
      <c r="IT6" s="471" t="n"/>
      <c r="IU6" s="562">
        <f>IF(AND(IP6:IT6),1,0)</f>
        <v/>
      </c>
      <c r="IX6" s="561" t="n">
        <v>3</v>
      </c>
      <c r="IY6" s="566" t="n"/>
      <c r="IZ6" s="822" t="n"/>
      <c r="JA6" s="566" t="n"/>
      <c r="JB6" s="566" t="n"/>
      <c r="JC6" s="822">
        <f>JG5</f>
        <v/>
      </c>
      <c r="JD6" s="566" t="n"/>
      <c r="JE6" s="471" t="n"/>
      <c r="JF6" s="471" t="n"/>
      <c r="JG6" s="571">
        <f>IF(AND(JB6:JF6),1,0)</f>
        <v/>
      </c>
      <c r="JI6" s="822" t="inlineStr">
        <is>
          <t>SMDR</t>
        </is>
      </c>
      <c r="JJ6" s="801">
        <f>IF(OR('DATA TRANSFER'!M10,'DATA TRANSFER'!M12,'DATA TRANSFER'!DP173),1,0)</f>
        <v/>
      </c>
      <c r="JK6" s="471" t="n"/>
      <c r="JN6" s="561" t="n">
        <v>3</v>
      </c>
      <c r="JO6" s="566" t="n"/>
      <c r="JP6" s="822" t="inlineStr">
        <is>
          <t>HVAC1  SMDR 1</t>
        </is>
      </c>
      <c r="JQ6" s="566" t="n"/>
      <c r="JR6" s="566" t="n"/>
      <c r="JS6" s="575">
        <f>JJ19</f>
        <v/>
      </c>
      <c r="JT6" s="566">
        <f>JW5</f>
        <v/>
      </c>
      <c r="JU6" s="471" t="n"/>
      <c r="JV6" s="471" t="n"/>
      <c r="JW6" s="562">
        <f>IF(AND(JR6:JV6),1,0)</f>
        <v/>
      </c>
      <c r="JZ6" s="561" t="n">
        <v>3</v>
      </c>
      <c r="KA6" s="566" t="n"/>
      <c r="KB6" s="822" t="inlineStr">
        <is>
          <t>AUX MPCB</t>
        </is>
      </c>
      <c r="KC6" s="566" t="n"/>
      <c r="KD6" s="822" t="n"/>
      <c r="KE6" s="574">
        <f>KL9</f>
        <v/>
      </c>
      <c r="KF6" s="822">
        <f>KI7</f>
        <v/>
      </c>
      <c r="KG6" s="471" t="n"/>
      <c r="KH6" s="471" t="n"/>
      <c r="KI6" s="562">
        <f>IF(AND(KD6:KH6),1,0)</f>
        <v/>
      </c>
      <c r="KK6" s="561" t="inlineStr">
        <is>
          <t xml:space="preserve">24 VDC </t>
        </is>
      </c>
      <c r="KL6" s="801" t="n">
        <v>1</v>
      </c>
      <c r="KM6" s="471" t="n"/>
      <c r="KP6" s="561" t="n">
        <v>3</v>
      </c>
      <c r="KQ6" s="568" t="inlineStr">
        <is>
          <t xml:space="preserve">X1_ 4 PIN POWER CONNECTOR </t>
        </is>
      </c>
      <c r="KR6" s="822" t="inlineStr">
        <is>
          <t>APS 1 415 V AC Y</t>
        </is>
      </c>
      <c r="KS6" s="566" t="n"/>
      <c r="KT6" s="822" t="n"/>
      <c r="KU6" s="574">
        <f>KL17</f>
        <v/>
      </c>
      <c r="KV6" s="822" t="n"/>
      <c r="KW6" s="471" t="n"/>
      <c r="KX6" s="471" t="n"/>
      <c r="KY6" s="562">
        <f>IF(AND(KT6:KX6),1,0)</f>
        <v/>
      </c>
      <c r="LB6" s="561" t="n">
        <v>3</v>
      </c>
      <c r="LC6" s="568" t="n"/>
      <c r="LD6" s="822" t="n"/>
      <c r="LE6" s="566" t="n"/>
      <c r="LF6" s="566" t="n"/>
      <c r="LG6" s="566">
        <f>LK5</f>
        <v/>
      </c>
      <c r="LH6" s="822" t="n"/>
      <c r="LI6" s="471" t="n"/>
      <c r="LJ6" s="471" t="n"/>
      <c r="LK6" s="562">
        <f>IF(AND(LF6:LJ6),1,0)</f>
        <v/>
      </c>
      <c r="LM6" s="822" t="inlineStr">
        <is>
          <t>SAFC1_12A</t>
        </is>
      </c>
      <c r="LN6" s="801">
        <f>'DATA TRANSFER'!DP147</f>
        <v/>
      </c>
      <c r="LO6" s="471" t="n"/>
      <c r="LQ6" s="840">
        <f>LQ5+1</f>
        <v/>
      </c>
      <c r="LR6" s="561" t="n">
        <v>3</v>
      </c>
      <c r="LS6" s="568" t="n"/>
      <c r="LT6" s="822" t="n"/>
      <c r="LU6" s="566" t="n"/>
      <c r="LV6" s="822" t="n"/>
      <c r="LW6" s="822">
        <f>MA5</f>
        <v/>
      </c>
      <c r="LX6" s="822" t="n"/>
      <c r="LY6" s="471" t="n"/>
      <c r="LZ6" s="471" t="n"/>
      <c r="MA6" s="562">
        <f>IF(AND(LV6:LZ6),1,0)</f>
        <v/>
      </c>
      <c r="MC6" s="472" t="inlineStr">
        <is>
          <t>DC/DC CONVERTER 1</t>
        </is>
      </c>
      <c r="MD6" s="801" t="n">
        <v>1</v>
      </c>
      <c r="ME6" s="471" t="n"/>
      <c r="MH6" s="561" t="n">
        <v>3</v>
      </c>
      <c r="MI6" s="579" t="inlineStr">
        <is>
          <t>LA.FO1</t>
        </is>
      </c>
      <c r="MJ6" s="822" t="inlineStr">
        <is>
          <t>ACCP1N_6A</t>
        </is>
      </c>
      <c r="MK6" s="566" t="n"/>
      <c r="ML6" s="822" t="n"/>
      <c r="MM6" s="574">
        <f>MT7</f>
        <v/>
      </c>
      <c r="MN6" s="822">
        <f>MQ5</f>
        <v/>
      </c>
      <c r="MO6" s="471" t="n"/>
      <c r="MP6" s="471" t="n"/>
      <c r="MQ6" s="562">
        <f>IF(AND(ML6:MP6),1,0)</f>
        <v/>
      </c>
      <c r="MS6" s="822" t="inlineStr">
        <is>
          <t xml:space="preserve">110 V DC </t>
        </is>
      </c>
      <c r="MT6" s="801">
        <f>'LFD New'!D2</f>
        <v/>
      </c>
      <c r="MU6" s="471" t="n"/>
    </row>
    <row r="7">
      <c r="A7" s="559" t="n">
        <v>4</v>
      </c>
      <c r="B7" s="471" t="n"/>
      <c r="C7" s="471" t="n"/>
      <c r="D7" s="471" t="n"/>
      <c r="E7" s="471" t="n"/>
      <c r="F7" s="801">
        <f>J6</f>
        <v/>
      </c>
      <c r="H7" s="471" t="n"/>
      <c r="I7" s="471" t="n"/>
      <c r="J7" s="562">
        <f>IF(AND(E7:I7),1,0)</f>
        <v/>
      </c>
      <c r="L7" s="801" t="inlineStr">
        <is>
          <t>HFAN2 3A</t>
        </is>
      </c>
      <c r="M7" s="801">
        <f>'DATA TRANSFER'!DP141</f>
        <v/>
      </c>
      <c r="N7" s="471" t="n"/>
      <c r="P7" s="561" t="n">
        <v>4</v>
      </c>
      <c r="Q7" s="580" t="inlineStr">
        <is>
          <t>HA/24.E6</t>
        </is>
      </c>
      <c r="R7" s="561" t="n"/>
      <c r="S7" s="471" t="n"/>
      <c r="T7" s="471" t="n"/>
      <c r="U7" s="560">
        <f>IF(NOT('DATA TRANSFER'!F30),1,0)</f>
        <v/>
      </c>
      <c r="V7" s="471" t="n"/>
      <c r="W7" s="471" t="n"/>
      <c r="X7" s="471" t="n"/>
      <c r="Y7" s="562">
        <f>IF(AND(T7:X7),1,0)</f>
        <v/>
      </c>
      <c r="AA7" s="801" t="inlineStr">
        <is>
          <t>CMPB1 _13A</t>
        </is>
      </c>
      <c r="AB7" s="801">
        <f>'DATA TRANSFER'!DP148</f>
        <v/>
      </c>
      <c r="AC7" s="471" t="n"/>
      <c r="AF7" s="561" t="n">
        <v>4</v>
      </c>
      <c r="AG7" s="564" t="inlineStr">
        <is>
          <t>HA/24.E6</t>
        </is>
      </c>
      <c r="AH7" s="471" t="n"/>
      <c r="AI7" s="471" t="n"/>
      <c r="AJ7" s="471" t="n"/>
      <c r="AK7" s="560" t="n">
        <v>1</v>
      </c>
      <c r="AL7" s="471" t="n"/>
      <c r="AM7" s="471" t="n"/>
      <c r="AN7" s="471" t="n"/>
      <c r="AO7" s="562">
        <f>IF(AND(AJ7:AN7),1,0)</f>
        <v/>
      </c>
      <c r="AS7" s="561" t="n">
        <v>4</v>
      </c>
      <c r="AT7" s="471" t="n"/>
      <c r="AU7" s="822" t="inlineStr">
        <is>
          <t>SRRB</t>
        </is>
      </c>
      <c r="AV7" s="471" t="n"/>
      <c r="AW7" s="570">
        <f>BE6</f>
        <v/>
      </c>
      <c r="AX7" s="471">
        <f>BB6</f>
        <v/>
      </c>
      <c r="AY7" s="471" t="n"/>
      <c r="AZ7" s="471" t="n"/>
      <c r="BA7" s="471" t="n"/>
      <c r="BB7" s="562">
        <f>IF(AND(AW7:BA7),1,0)</f>
        <v/>
      </c>
      <c r="BD7" s="822" t="inlineStr">
        <is>
          <t>HRC9-O</t>
        </is>
      </c>
      <c r="BE7" s="801">
        <f>'DATA TRANSFER'!DP163</f>
        <v/>
      </c>
      <c r="BF7" s="471" t="n"/>
      <c r="BI7" s="561" t="n">
        <v>4</v>
      </c>
      <c r="BJ7" s="577" t="n"/>
      <c r="BK7" s="566" t="n"/>
      <c r="BL7" s="471" t="n"/>
      <c r="BM7" s="471" t="n"/>
      <c r="BN7" s="561">
        <f>BR6</f>
        <v/>
      </c>
      <c r="BO7" s="471" t="n"/>
      <c r="BP7" s="471" t="n"/>
      <c r="BQ7" s="471" t="n"/>
      <c r="BR7" s="562">
        <f>IF(AND(BM7:BQ7),1,0)</f>
        <v/>
      </c>
      <c r="BT7" s="472" t="inlineStr">
        <is>
          <t>DC/DC CONVERTER 1</t>
        </is>
      </c>
      <c r="BU7" s="801" t="n">
        <v>1</v>
      </c>
      <c r="BV7" s="471" t="n"/>
      <c r="BX7" s="561" t="n">
        <v>4</v>
      </c>
      <c r="BY7" s="577" t="n"/>
      <c r="BZ7" s="566" t="n"/>
      <c r="CA7" s="471" t="n"/>
      <c r="CB7" s="471" t="n"/>
      <c r="CC7" s="561">
        <f>CG6</f>
        <v/>
      </c>
      <c r="CD7" s="471" t="n"/>
      <c r="CE7" s="471" t="n"/>
      <c r="CF7" s="471" t="n"/>
      <c r="CG7" s="562">
        <f>IF(AND(CB7:CF7),1,0)</f>
        <v/>
      </c>
      <c r="CI7" s="561" t="n">
        <v>4</v>
      </c>
      <c r="CJ7" s="822" t="inlineStr">
        <is>
          <t>UD .X63.21-F 8 +63.20</t>
        </is>
      </c>
      <c r="CK7" s="566" t="n"/>
      <c r="CL7" s="471" t="n"/>
      <c r="CM7" s="471" t="n"/>
      <c r="CN7" s="471">
        <f>CR6</f>
        <v/>
      </c>
      <c r="CO7" s="471" t="n"/>
      <c r="CP7" s="471" t="n"/>
      <c r="CQ7" s="471" t="n"/>
      <c r="CR7" s="562">
        <f>IF(AND(CM7:CQ7),1,0)</f>
        <v/>
      </c>
      <c r="CT7" s="840" t="inlineStr">
        <is>
          <t>CKT 8</t>
        </is>
      </c>
      <c r="CY7" s="561" t="n">
        <v>4</v>
      </c>
      <c r="CZ7" s="566" t="n"/>
      <c r="DA7" s="566" t="n"/>
      <c r="DB7" s="471" t="n"/>
      <c r="DC7" s="471" t="n"/>
      <c r="DD7" s="471">
        <f>DH6</f>
        <v/>
      </c>
      <c r="DE7" s="471" t="n"/>
      <c r="DF7" s="471" t="n"/>
      <c r="DG7" s="471" t="n"/>
      <c r="DH7" s="562">
        <f>IF(AND(DC7:DG7),1,0)</f>
        <v/>
      </c>
      <c r="DK7" s="561" t="n">
        <v>4</v>
      </c>
      <c r="DL7" s="566" t="n"/>
      <c r="DM7" s="566" t="n"/>
      <c r="DN7" s="471" t="n"/>
      <c r="DO7" s="471" t="n"/>
      <c r="DP7" s="801">
        <f>DT6</f>
        <v/>
      </c>
      <c r="DQ7" s="471" t="n"/>
      <c r="DR7" s="471" t="n"/>
      <c r="DS7" s="471" t="n"/>
      <c r="DT7" s="562">
        <f>IF(AND(DO7:DS7),1,0)</f>
        <v/>
      </c>
      <c r="DV7" s="801" t="inlineStr">
        <is>
          <t>Batt 110Vdc</t>
        </is>
      </c>
      <c r="DW7" s="801">
        <f>IF(NOT('DATA TRANSFER'!F30),1,0)</f>
        <v/>
      </c>
      <c r="DX7" s="471" t="n"/>
      <c r="DZ7" s="561" t="n">
        <v>4</v>
      </c>
      <c r="EA7" s="566" t="n"/>
      <c r="EB7" s="566" t="n"/>
      <c r="EC7" s="471" t="n"/>
      <c r="ED7" s="471" t="n"/>
      <c r="EE7" s="471">
        <f>EI6</f>
        <v/>
      </c>
      <c r="EF7" s="471" t="n"/>
      <c r="EG7" s="471" t="n"/>
      <c r="EH7" s="471" t="n"/>
      <c r="EI7" s="571">
        <f>IF(AND(ED7:EH7),1,0)</f>
        <v/>
      </c>
      <c r="EK7" s="471" t="inlineStr">
        <is>
          <t>From APS 415 Vac_2</t>
        </is>
      </c>
      <c r="EL7" s="801">
        <f>'LFD New'!D3</f>
        <v/>
      </c>
      <c r="EM7" s="471" t="n"/>
      <c r="EO7" s="561" t="n">
        <v>4</v>
      </c>
      <c r="EP7" s="566" t="n"/>
      <c r="EQ7" s="566" t="inlineStr">
        <is>
          <t>SMRR</t>
        </is>
      </c>
      <c r="ER7" s="471" t="n"/>
      <c r="ES7" s="471" t="n"/>
      <c r="ET7" s="570">
        <f>FA15</f>
        <v/>
      </c>
      <c r="EU7" s="471">
        <f>EX6</f>
        <v/>
      </c>
      <c r="EV7" s="471" t="n"/>
      <c r="EW7" s="471" t="n"/>
      <c r="EX7" s="562">
        <f>IF(AND(ES7:EW7),1,0)</f>
        <v/>
      </c>
      <c r="EZ7" s="801" t="inlineStr">
        <is>
          <t>SMDR2-110VDC</t>
        </is>
      </c>
      <c r="FA7" s="273">
        <f>'LFD New'!D2</f>
        <v/>
      </c>
      <c r="FB7" s="471" t="n"/>
      <c r="FE7" s="561" t="n">
        <v>4</v>
      </c>
      <c r="FF7" s="566" t="n"/>
      <c r="FG7" s="566" t="inlineStr">
        <is>
          <t>SMRR</t>
        </is>
      </c>
      <c r="FH7" s="471" t="n"/>
      <c r="FI7" s="471" t="n"/>
      <c r="FJ7" s="570">
        <f>FA15</f>
        <v/>
      </c>
      <c r="FK7" s="471">
        <f>FN6</f>
        <v/>
      </c>
      <c r="FL7" s="471" t="n"/>
      <c r="FM7" s="471" t="n"/>
      <c r="FN7" s="562">
        <f>IF(AND(FI7:FM7),1,0)</f>
        <v/>
      </c>
      <c r="FP7" s="561" t="inlineStr">
        <is>
          <t>SMDR2-110VDC</t>
        </is>
      </c>
      <c r="FQ7" s="561">
        <f>FA7</f>
        <v/>
      </c>
      <c r="FR7" s="471" t="n"/>
      <c r="FT7" s="561" t="n">
        <v>4</v>
      </c>
      <c r="FU7" s="566" t="n"/>
      <c r="FV7" s="822" t="inlineStr">
        <is>
          <t>SMRR</t>
        </is>
      </c>
      <c r="FW7" s="471" t="n"/>
      <c r="FX7" s="471" t="n"/>
      <c r="FY7" s="569">
        <f>FQ15</f>
        <v/>
      </c>
      <c r="FZ7" s="471">
        <f>GC6</f>
        <v/>
      </c>
      <c r="GA7" s="471" t="n"/>
      <c r="GB7" s="471" t="n"/>
      <c r="GC7" s="562">
        <f>IF(AND(FX7:GB7),1,0)</f>
        <v/>
      </c>
      <c r="GF7" s="561" t="n">
        <v>4</v>
      </c>
      <c r="GG7" s="566" t="n"/>
      <c r="GH7" s="566" t="inlineStr">
        <is>
          <t xml:space="preserve">HVAC1  SMDR </t>
        </is>
      </c>
      <c r="GI7" s="471" t="n"/>
      <c r="GJ7" s="471" t="n"/>
      <c r="GK7" s="573">
        <f>GR8</f>
        <v/>
      </c>
      <c r="GL7" s="471">
        <f>GO6</f>
        <v/>
      </c>
      <c r="GM7" s="471" t="n"/>
      <c r="GN7" s="471" t="n"/>
      <c r="GO7" s="562">
        <f>IF(AND(GJ7:GN7),1,0)</f>
        <v/>
      </c>
      <c r="GQ7" s="822" t="inlineStr">
        <is>
          <t>110VDC</t>
        </is>
      </c>
      <c r="GR7" s="801">
        <f>IF(NOT('DATA TRANSFER'!F30),1,0)</f>
        <v/>
      </c>
      <c r="GS7" s="471" t="n"/>
      <c r="GU7" s="561" t="n">
        <v>4</v>
      </c>
      <c r="GV7" s="566" t="n"/>
      <c r="GW7" s="566" t="inlineStr">
        <is>
          <t>FADR</t>
        </is>
      </c>
      <c r="GX7" s="471" t="n"/>
      <c r="GY7" s="471" t="n"/>
      <c r="GZ7" s="569">
        <f>GR9</f>
        <v/>
      </c>
      <c r="HA7" s="471">
        <f>HD6</f>
        <v/>
      </c>
      <c r="HB7" s="471" t="n"/>
      <c r="HC7" s="471" t="n"/>
      <c r="HD7" s="571">
        <f>IF(AND(GY7:HC7),1,0)</f>
        <v/>
      </c>
      <c r="HF7" s="561" t="inlineStr">
        <is>
          <t>SMDR</t>
        </is>
      </c>
      <c r="HG7" s="801">
        <f>'DATA TRANSFER'!DP173</f>
        <v/>
      </c>
      <c r="HH7" s="471" t="n"/>
      <c r="HK7" s="561" t="n">
        <v>4</v>
      </c>
      <c r="HL7" s="566" t="n"/>
      <c r="HM7" s="566" t="inlineStr">
        <is>
          <t>MPCB</t>
        </is>
      </c>
      <c r="HN7" s="566" t="n"/>
      <c r="HO7" s="566" t="n"/>
      <c r="HP7" s="575">
        <f>HW8</f>
        <v/>
      </c>
      <c r="HQ7" s="566">
        <f>HT6</f>
        <v/>
      </c>
      <c r="HR7" s="471" t="n"/>
      <c r="HS7" s="471" t="n"/>
      <c r="HT7" s="562">
        <f>IF(AND(HO7:HS7),1,0)</f>
        <v/>
      </c>
      <c r="HV7" s="561" t="inlineStr">
        <is>
          <t>APS2</t>
        </is>
      </c>
      <c r="HW7" s="801">
        <f>'LFD New'!D3</f>
        <v/>
      </c>
      <c r="HX7" s="471" t="n"/>
      <c r="HZ7" s="561" t="n">
        <v>4</v>
      </c>
      <c r="IA7" s="566" t="n"/>
      <c r="IB7" s="566" t="n"/>
      <c r="IC7" s="566" t="n"/>
      <c r="ID7" s="566" t="n"/>
      <c r="IE7" s="566">
        <f>II6</f>
        <v/>
      </c>
      <c r="IF7" s="566" t="n"/>
      <c r="IG7" s="471" t="n"/>
      <c r="IH7" s="471" t="n"/>
      <c r="II7" s="562">
        <f>IF(AND(ID7:IH7),1,0)</f>
        <v/>
      </c>
      <c r="IL7" s="561" t="n">
        <v>4</v>
      </c>
      <c r="IM7" s="566" t="n"/>
      <c r="IN7" s="822" t="inlineStr">
        <is>
          <t>ESAFC</t>
        </is>
      </c>
      <c r="IO7" s="566" t="n"/>
      <c r="IP7" s="566" t="n"/>
      <c r="IQ7" s="574">
        <f>IF(OR('Mode Logic'!V18:W18),1,0)</f>
        <v/>
      </c>
      <c r="IR7" s="566">
        <f>IU6</f>
        <v/>
      </c>
      <c r="IS7" s="471" t="n"/>
      <c r="IT7" s="471" t="n"/>
      <c r="IU7" s="562">
        <f>IF(AND(IP7:IT7),1,0)</f>
        <v/>
      </c>
      <c r="IX7" s="561" t="n">
        <v>4</v>
      </c>
      <c r="IY7" s="566" t="n"/>
      <c r="IZ7" s="822" t="inlineStr">
        <is>
          <t>SMOKE DETECTPR OK</t>
        </is>
      </c>
      <c r="JA7" s="566" t="n"/>
      <c r="JB7" s="566" t="n"/>
      <c r="JC7" s="566">
        <f>JG6</f>
        <v/>
      </c>
      <c r="JD7" s="566" t="n"/>
      <c r="JE7" s="471" t="n"/>
      <c r="JF7" s="471" t="n"/>
      <c r="JG7" s="571">
        <f>IF(AND(JB7:JF7),1,0)</f>
        <v/>
      </c>
      <c r="JI7" s="822" t="inlineStr">
        <is>
          <t>SMOKE DETECTPR OK</t>
        </is>
      </c>
      <c r="JJ7" s="801" t="n">
        <v>1</v>
      </c>
      <c r="JK7" s="471" t="n"/>
      <c r="JN7" s="561" t="n">
        <v>4</v>
      </c>
      <c r="JO7" s="566" t="n"/>
      <c r="JP7" s="822" t="n"/>
      <c r="JQ7" s="566" t="n"/>
      <c r="JR7" s="566" t="n"/>
      <c r="JS7" s="566">
        <f>IF(OR(JW13,JW6),1,0)</f>
        <v/>
      </c>
      <c r="JT7" s="566" t="n"/>
      <c r="JU7" s="471" t="n"/>
      <c r="JV7" s="471" t="n"/>
      <c r="JW7" s="562">
        <f>IF(AND(JR7:JV7),1,0)</f>
        <v/>
      </c>
      <c r="JZ7" s="561" t="n">
        <v>4</v>
      </c>
      <c r="KA7" s="566" t="n"/>
      <c r="KB7" s="822" t="n"/>
      <c r="KC7" s="566" t="n"/>
      <c r="KD7" s="822" t="n"/>
      <c r="KE7" s="822">
        <f>KI8</f>
        <v/>
      </c>
      <c r="KF7" s="566" t="n"/>
      <c r="KG7" s="471" t="n"/>
      <c r="KH7" s="471" t="n"/>
      <c r="KI7" s="562">
        <f>IF(AND(KD7:KH7),1,0)</f>
        <v/>
      </c>
      <c r="KK7" s="561" t="inlineStr">
        <is>
          <t>110 V DC</t>
        </is>
      </c>
      <c r="KL7" s="801" t="n">
        <v>1</v>
      </c>
      <c r="KM7" s="471" t="n"/>
      <c r="KP7" s="561" t="n">
        <v>4</v>
      </c>
      <c r="KQ7" s="566" t="n"/>
      <c r="KR7" s="822" t="n"/>
      <c r="KS7" s="566" t="n"/>
      <c r="KT7" s="822" t="n"/>
      <c r="KU7" s="822">
        <f>KY6</f>
        <v/>
      </c>
      <c r="KV7" s="822" t="n"/>
      <c r="KW7" s="471" t="n"/>
      <c r="KX7" s="471" t="n"/>
      <c r="KY7" s="562">
        <f>IF(AND(KT7:KX7),1,0)</f>
        <v/>
      </c>
      <c r="LB7" s="561" t="n">
        <v>4</v>
      </c>
      <c r="LC7" s="568" t="inlineStr">
        <is>
          <t>X2</t>
        </is>
      </c>
      <c r="LD7" s="822" t="inlineStr">
        <is>
          <t>415 VAC _V2</t>
        </is>
      </c>
      <c r="LE7" s="566" t="n"/>
      <c r="LF7" s="566" t="n"/>
      <c r="LG7" s="581">
        <f>LN36</f>
        <v/>
      </c>
      <c r="LH7" s="822" t="n"/>
      <c r="LI7" s="471" t="n"/>
      <c r="LJ7" s="471" t="n"/>
      <c r="LK7" s="562">
        <f>IF(AND(LF7:LJ7),1,0)</f>
        <v/>
      </c>
      <c r="LM7" s="801" t="inlineStr">
        <is>
          <t>CMPB1 _13A</t>
        </is>
      </c>
      <c r="LN7" s="801">
        <f>'DATA TRANSFER'!DP148</f>
        <v/>
      </c>
      <c r="LO7" s="471" t="n"/>
      <c r="LQ7" s="840">
        <f>LQ6+1</f>
        <v/>
      </c>
      <c r="LR7" s="561" t="n">
        <v>4</v>
      </c>
      <c r="LS7" s="568" t="n"/>
      <c r="LT7" s="822" t="inlineStr">
        <is>
          <t>LUB</t>
        </is>
      </c>
      <c r="LU7" s="566" t="n"/>
      <c r="LV7" s="822" t="n"/>
      <c r="LW7" s="574">
        <f>MD5</f>
        <v/>
      </c>
      <c r="LX7" s="822">
        <f>MA6</f>
        <v/>
      </c>
      <c r="LY7" s="471">
        <f>MA45</f>
        <v/>
      </c>
      <c r="LZ7" s="471" t="n"/>
      <c r="MA7" s="562">
        <f>IF(AND(LV7:LZ7),1,0)</f>
        <v/>
      </c>
      <c r="MC7" s="822" t="inlineStr">
        <is>
          <t>EMR</t>
        </is>
      </c>
      <c r="MD7" s="801">
        <f>'DATA TRANSFER'!DP167</f>
        <v/>
      </c>
      <c r="ME7" s="471" t="n"/>
      <c r="MH7" s="561" t="n">
        <v>4</v>
      </c>
      <c r="MI7" s="568" t="n"/>
      <c r="MJ7" s="822" t="n"/>
      <c r="MK7" s="566" t="n"/>
      <c r="ML7" s="822" t="n"/>
      <c r="MM7" s="822">
        <f>MQ6</f>
        <v/>
      </c>
      <c r="MN7" s="822" t="n"/>
      <c r="MO7" s="471" t="n"/>
      <c r="MP7" s="471" t="n"/>
      <c r="MQ7" s="562">
        <f>IF(AND(ML7:MP7),1,0)</f>
        <v/>
      </c>
      <c r="MS7" s="822" t="inlineStr">
        <is>
          <t>ACCP1N_6A</t>
        </is>
      </c>
      <c r="MT7" s="801">
        <f>'DATA TRANSFER'!DP197</f>
        <v/>
      </c>
      <c r="MU7" s="471" t="n"/>
    </row>
    <row r="8" ht="63" customHeight="1">
      <c r="A8" s="559" t="n">
        <v>5</v>
      </c>
      <c r="B8" s="471" t="n"/>
      <c r="C8" s="471" t="n"/>
      <c r="D8" s="471" t="n"/>
      <c r="E8" s="471" t="n"/>
      <c r="F8" s="801">
        <f>J7</f>
        <v/>
      </c>
      <c r="G8" s="471" t="n"/>
      <c r="H8" s="471" t="n"/>
      <c r="I8" s="471" t="n"/>
      <c r="J8" s="562">
        <f>IF(AND(E8:I8),1,0)</f>
        <v/>
      </c>
      <c r="L8" s="801" t="inlineStr">
        <is>
          <t>HFAN1 3A</t>
        </is>
      </c>
      <c r="M8" s="801">
        <f>'DATA TRANSFER'!DP142</f>
        <v/>
      </c>
      <c r="N8" s="471" t="n"/>
      <c r="P8" s="561" t="n">
        <v>5</v>
      </c>
      <c r="Q8" s="576" t="n"/>
      <c r="R8" s="561" t="n"/>
      <c r="S8" s="471" t="n"/>
      <c r="T8" s="471" t="n"/>
      <c r="U8" s="801">
        <f>Y7</f>
        <v/>
      </c>
      <c r="V8" s="471" t="n"/>
      <c r="W8" s="471" t="n"/>
      <c r="X8" s="471" t="n"/>
      <c r="Y8" s="562">
        <f>IF(AND(T8:X8),1,0)</f>
        <v/>
      </c>
      <c r="AA8" s="801" t="inlineStr">
        <is>
          <t>CMPB2 _13A</t>
        </is>
      </c>
      <c r="AB8" s="801">
        <f>'DATA TRANSFER'!DP149</f>
        <v/>
      </c>
      <c r="AC8" s="471" t="n"/>
      <c r="AF8" s="561" t="n">
        <v>5</v>
      </c>
      <c r="AG8" s="471" t="n"/>
      <c r="AH8" s="471" t="n"/>
      <c r="AI8" s="471" t="n"/>
      <c r="AJ8" s="471" t="n"/>
      <c r="AK8" s="801">
        <f>AO7</f>
        <v/>
      </c>
      <c r="AL8" s="471" t="n"/>
      <c r="AM8" s="471" t="n"/>
      <c r="AN8" s="471" t="n"/>
      <c r="AO8" s="562">
        <f>IF(AND(AJ8:AN8),1,0)</f>
        <v/>
      </c>
      <c r="AS8" s="561" t="n">
        <v>5</v>
      </c>
      <c r="AT8" s="471" t="n"/>
      <c r="AU8" s="471" t="n"/>
      <c r="AV8" s="471" t="n"/>
      <c r="AW8" s="471">
        <f>BB7</f>
        <v/>
      </c>
      <c r="AX8" s="471" t="n"/>
      <c r="AY8" s="471" t="n"/>
      <c r="AZ8" s="471" t="n"/>
      <c r="BA8" s="471" t="n"/>
      <c r="BB8" s="562">
        <f>IF(AND(AW8:BA8),1,0)</f>
        <v/>
      </c>
      <c r="BD8" s="822" t="inlineStr">
        <is>
          <t>SMDRB</t>
        </is>
      </c>
      <c r="BE8" s="801">
        <f>IF(OR('DATA TRANSFER'!DP127=0,'DATA TRANSFER'!DP127=1),1,0)</f>
        <v/>
      </c>
      <c r="BF8" s="471" t="n"/>
      <c r="BI8" s="561" t="n">
        <v>5</v>
      </c>
      <c r="BJ8" s="471" t="n"/>
      <c r="BK8" s="471" t="n"/>
      <c r="BL8" s="471" t="n"/>
      <c r="BM8" s="471" t="n"/>
      <c r="BN8" s="578">
        <f>BR7</f>
        <v/>
      </c>
      <c r="BO8" s="471" t="n"/>
      <c r="BP8" s="471" t="n"/>
      <c r="BQ8" s="471" t="n"/>
      <c r="BR8" s="562">
        <f>IF(AND(BM8:BQ8),1,0)</f>
        <v/>
      </c>
      <c r="BT8" s="822" t="inlineStr">
        <is>
          <t>EMR</t>
        </is>
      </c>
      <c r="BU8" s="801">
        <f>'DATA TRANSFER'!DP167</f>
        <v/>
      </c>
      <c r="BV8" s="471" t="n"/>
      <c r="BX8" s="561" t="n">
        <v>5</v>
      </c>
      <c r="BY8" s="471" t="n"/>
      <c r="BZ8" s="471" t="n"/>
      <c r="CA8" s="471" t="n"/>
      <c r="CB8" s="471" t="n"/>
      <c r="CC8" s="578">
        <f>CG7</f>
        <v/>
      </c>
      <c r="CD8" s="471" t="n"/>
      <c r="CE8" s="471" t="n"/>
      <c r="CF8" s="471" t="n"/>
      <c r="CG8" s="562">
        <f>IF(AND(CB8:CF8),1,0)</f>
        <v/>
      </c>
      <c r="CI8" s="561" t="n">
        <v>5</v>
      </c>
      <c r="CJ8" s="471" t="n"/>
      <c r="CK8" s="471" t="n"/>
      <c r="CL8" s="471" t="n"/>
      <c r="CM8" s="471" t="n"/>
      <c r="CN8" s="471">
        <f>CR6</f>
        <v/>
      </c>
      <c r="CO8" s="471" t="n"/>
      <c r="CP8" s="471" t="n"/>
      <c r="CQ8" s="471" t="n"/>
      <c r="CR8" s="562">
        <f>IF(AND(CM8:CQ8),1,0)</f>
        <v/>
      </c>
      <c r="CT8" s="563" t="inlineStr">
        <is>
          <t>COMPONENT</t>
        </is>
      </c>
      <c r="CU8" s="563" t="n"/>
      <c r="CV8" s="563" t="inlineStr">
        <is>
          <t>REMARK</t>
        </is>
      </c>
      <c r="CY8" s="561" t="n">
        <v>5</v>
      </c>
      <c r="CZ8" s="822" t="inlineStr">
        <is>
          <t>JE .A01-X9 (15)
JE .A01 (+14.25)</t>
        </is>
      </c>
      <c r="DA8" s="822" t="inlineStr">
        <is>
          <t>RIO1
I_FADForcedCls</t>
        </is>
      </c>
      <c r="DB8" s="471" t="n"/>
      <c r="DC8" s="471" t="n"/>
      <c r="DD8" s="570">
        <f>CU9</f>
        <v/>
      </c>
      <c r="DE8" s="471">
        <f>DH7</f>
        <v/>
      </c>
      <c r="DF8" s="471" t="n"/>
      <c r="DG8" s="471" t="n"/>
      <c r="DH8" s="562">
        <f>IF(AND(DC8:DG8),1,0)</f>
        <v/>
      </c>
      <c r="DK8" s="561" t="n">
        <v>5</v>
      </c>
      <c r="DL8" s="822" t="inlineStr">
        <is>
          <t>LA.T01</t>
        </is>
      </c>
      <c r="DM8" s="822" t="inlineStr">
        <is>
          <t>24 HTC(200W)</t>
        </is>
      </c>
      <c r="DN8" s="471" t="n"/>
      <c r="DO8" s="471" t="n"/>
      <c r="DP8" s="569">
        <f>DW18</f>
        <v/>
      </c>
      <c r="DQ8" s="471">
        <f>DT7</f>
        <v/>
      </c>
      <c r="DR8" s="471" t="n"/>
      <c r="DS8" s="471" t="n"/>
      <c r="DT8" s="562">
        <f>IF(AND(DO8:DS8),1,0)</f>
        <v/>
      </c>
      <c r="DV8" s="801" t="inlineStr">
        <is>
          <t>CACS</t>
        </is>
      </c>
      <c r="DW8" s="801">
        <f>IF(OR('DATA TRANSFER'!DP135=1,'DATA TRANSFER'!DP135=2,'DATA TRANSFER'!DP135=3),1,0)</f>
        <v/>
      </c>
      <c r="DX8" s="471" t="n"/>
      <c r="DZ8" s="561" t="n">
        <v>5</v>
      </c>
      <c r="EA8" s="822" t="n"/>
      <c r="EB8" s="822" t="inlineStr">
        <is>
          <t>FROM APS 415 VAC</t>
        </is>
      </c>
      <c r="EC8" s="471" t="n"/>
      <c r="ED8" s="471" t="n"/>
      <c r="EE8" s="570">
        <f>EL6</f>
        <v/>
      </c>
      <c r="EF8" s="471" t="n"/>
      <c r="EG8" s="471" t="n"/>
      <c r="EH8" s="471" t="n"/>
      <c r="EI8" s="571">
        <f>IF(AND(ED8:EH8),1,0)</f>
        <v/>
      </c>
      <c r="EK8" s="471" t="inlineStr">
        <is>
          <t>110 Vdc</t>
        </is>
      </c>
      <c r="EL8" s="801" t="n">
        <v>1</v>
      </c>
      <c r="EM8" s="471" t="n"/>
      <c r="EO8" s="561" t="n">
        <v>5</v>
      </c>
      <c r="EP8" s="822" t="n"/>
      <c r="EQ8" s="822" t="n"/>
      <c r="ER8" s="471" t="n"/>
      <c r="ES8" s="471" t="n"/>
      <c r="ET8" s="471">
        <f>EX7</f>
        <v/>
      </c>
      <c r="EU8" s="471" t="n"/>
      <c r="EV8" s="471" t="n"/>
      <c r="EW8" s="471" t="n"/>
      <c r="EX8" s="562">
        <f>IF(AND(ES8:EW8),1,0)</f>
        <v/>
      </c>
      <c r="EZ8" s="801" t="inlineStr">
        <is>
          <t>FADR-110VDC</t>
        </is>
      </c>
      <c r="FA8" s="273">
        <f>'LFD New'!D2</f>
        <v/>
      </c>
      <c r="FB8" s="801" t="n"/>
      <c r="FE8" s="561" t="n">
        <v>5</v>
      </c>
      <c r="FF8" s="822" t="n"/>
      <c r="FG8" s="822" t="n"/>
      <c r="FH8" s="471" t="n"/>
      <c r="FI8" s="471" t="n"/>
      <c r="FJ8" s="471">
        <f>FN7</f>
        <v/>
      </c>
      <c r="FK8" s="471" t="n"/>
      <c r="FL8" s="471" t="n"/>
      <c r="FM8" s="471" t="n"/>
      <c r="FN8" s="562">
        <f>IF(AND(FI8:FM8),1,0)</f>
        <v/>
      </c>
      <c r="FP8" s="801" t="inlineStr">
        <is>
          <t>FADR-110VDC</t>
        </is>
      </c>
      <c r="FQ8" s="561">
        <f>FA8</f>
        <v/>
      </c>
      <c r="FR8" s="471" t="n"/>
      <c r="FT8" s="561" t="n">
        <v>5</v>
      </c>
      <c r="FU8" s="822" t="n"/>
      <c r="FV8" s="822" t="n"/>
      <c r="FW8" s="471" t="n"/>
      <c r="FX8" s="471" t="n"/>
      <c r="FY8" s="801">
        <f>GC7</f>
        <v/>
      </c>
      <c r="FZ8" s="471" t="n"/>
      <c r="GA8" s="471" t="n"/>
      <c r="GB8" s="471" t="n"/>
      <c r="GC8" s="562">
        <f>IF(AND(FX8:GB8),1,0)</f>
        <v/>
      </c>
      <c r="GF8" s="561" t="n">
        <v>5</v>
      </c>
      <c r="GG8" s="822" t="n"/>
      <c r="GH8" s="822" t="n"/>
      <c r="GI8" s="471" t="n"/>
      <c r="GJ8" s="471" t="n"/>
      <c r="GK8" s="561">
        <f>GO7</f>
        <v/>
      </c>
      <c r="GL8" s="471" t="n"/>
      <c r="GM8" s="471" t="n"/>
      <c r="GN8" s="471" t="n"/>
      <c r="GO8" s="562">
        <f>IF(AND(GJ8:GN8),1,0)</f>
        <v/>
      </c>
      <c r="GQ8" s="801" t="inlineStr">
        <is>
          <t>SMDR</t>
        </is>
      </c>
      <c r="GR8" s="801">
        <f>IF(OR('DATA TRANSFER'!DP173,'DATA TRANSFER'!M10,'DATA TRANSFER'!M12),1,0)</f>
        <v/>
      </c>
      <c r="GS8" s="471" t="n"/>
      <c r="GU8" s="561" t="n">
        <v>5</v>
      </c>
      <c r="GV8" s="822" t="n"/>
      <c r="GW8" s="822" t="n"/>
      <c r="GX8" s="471" t="n"/>
      <c r="GY8" s="471" t="n"/>
      <c r="GZ8" s="801">
        <f>HD7</f>
        <v/>
      </c>
      <c r="HA8" s="471" t="n"/>
      <c r="HB8" s="471" t="n"/>
      <c r="HC8" s="471" t="n"/>
      <c r="HD8" s="571">
        <f>IF(AND(GY8:HC8),1,0)</f>
        <v/>
      </c>
      <c r="HF8" s="561" t="inlineStr">
        <is>
          <t>24 V DC /DC</t>
        </is>
      </c>
      <c r="HG8" s="801">
        <f>'LFD New'!D2</f>
        <v/>
      </c>
      <c r="HH8" s="471" t="n"/>
      <c r="HK8" s="561" t="n">
        <v>5</v>
      </c>
      <c r="HL8" s="822" t="n"/>
      <c r="HM8" s="566" t="n"/>
      <c r="HN8" s="566" t="n"/>
      <c r="HO8" s="566" t="n"/>
      <c r="HP8" s="566">
        <f>HT7</f>
        <v/>
      </c>
      <c r="HQ8" s="566" t="n"/>
      <c r="HR8" s="471" t="n"/>
      <c r="HS8" s="471" t="n"/>
      <c r="HT8" s="562">
        <f>IF(AND(HO8:HS8),1,0)</f>
        <v/>
      </c>
      <c r="HV8" s="561" t="inlineStr">
        <is>
          <t>MPCB  1</t>
        </is>
      </c>
      <c r="HW8" s="801">
        <f>'DATA TRANSFER'!DP186</f>
        <v/>
      </c>
      <c r="HX8" s="471" t="n"/>
      <c r="HZ8" s="561" t="n">
        <v>5</v>
      </c>
      <c r="IA8" s="822" t="n"/>
      <c r="IB8" s="822" t="inlineStr">
        <is>
          <t>APS 1 _B</t>
        </is>
      </c>
      <c r="IC8" s="566" t="n"/>
      <c r="ID8" s="566" t="n"/>
      <c r="IE8" s="575">
        <f>IF(NOT('DATA TRANSFER'!F30),1,0)</f>
        <v/>
      </c>
      <c r="IF8" s="566" t="n"/>
      <c r="IG8" s="471" t="n"/>
      <c r="IH8" s="471" t="n"/>
      <c r="II8" s="562">
        <f>IF(AND(ID8:IH8),1,0)</f>
        <v/>
      </c>
      <c r="IL8" s="561" t="n">
        <v>5</v>
      </c>
      <c r="IM8" s="822" t="n"/>
      <c r="IN8" s="822" t="n"/>
      <c r="IO8" s="566" t="n"/>
      <c r="IP8" s="566" t="n"/>
      <c r="IQ8" s="822">
        <f>IU7</f>
        <v/>
      </c>
      <c r="IR8" s="566" t="n"/>
      <c r="IS8" s="471" t="n"/>
      <c r="IT8" s="471" t="n"/>
      <c r="IU8" s="562">
        <f>IF(AND(IP8:IT8),1,0)</f>
        <v/>
      </c>
      <c r="IX8" s="561" t="n">
        <v>5</v>
      </c>
      <c r="IY8" s="822" t="n"/>
      <c r="IZ8" s="822" t="inlineStr">
        <is>
          <t xml:space="preserve">FROM CAR SIDE 110 VDC </t>
        </is>
      </c>
      <c r="JA8" s="566" t="n"/>
      <c r="JB8" s="566" t="n"/>
      <c r="JC8" s="581">
        <f>JJ8</f>
        <v/>
      </c>
      <c r="JD8" s="566" t="n"/>
      <c r="JE8" s="471" t="n"/>
      <c r="JF8" s="471" t="n"/>
      <c r="JG8" s="571">
        <f>IF(AND(JB8:JF8),1,0)</f>
        <v/>
      </c>
      <c r="JI8" s="561" t="inlineStr">
        <is>
          <t>110 V DC</t>
        </is>
      </c>
      <c r="JJ8" s="801">
        <f>IF(NOT('DATA TRANSFER'!F30),1,0)</f>
        <v/>
      </c>
      <c r="JK8" s="471" t="n"/>
      <c r="JN8" s="561" t="n">
        <v>5</v>
      </c>
      <c r="JO8" s="822" t="n"/>
      <c r="JP8" s="822" t="inlineStr">
        <is>
          <t>HVAC1  SMDR 2</t>
        </is>
      </c>
      <c r="JQ8" s="566" t="n"/>
      <c r="JR8" s="566" t="n"/>
      <c r="JS8" s="575">
        <f>JJ19</f>
        <v/>
      </c>
      <c r="JT8" s="566">
        <f>JW7</f>
        <v/>
      </c>
      <c r="JU8" s="471" t="n"/>
      <c r="JV8" s="471" t="n"/>
      <c r="JW8" s="562">
        <f>IF(AND(JR8:JV8),1,0)</f>
        <v/>
      </c>
      <c r="JZ8" s="561" t="n">
        <v>5</v>
      </c>
      <c r="KA8" s="822" t="n"/>
      <c r="KB8" s="822" t="n"/>
      <c r="KC8" s="566" t="n"/>
      <c r="KD8" s="822" t="n"/>
      <c r="KE8" s="822">
        <f>HVAC_IOs!D7</f>
        <v/>
      </c>
      <c r="KF8" s="566" t="n"/>
      <c r="KG8" s="471" t="n"/>
      <c r="KH8" s="471" t="n"/>
      <c r="KI8" s="562">
        <f>IF(AND(KD8:KH8),1,0)</f>
        <v/>
      </c>
      <c r="KK8" s="822" t="inlineStr">
        <is>
          <t>SFC OFF</t>
        </is>
      </c>
      <c r="KL8" s="801">
        <f>IF(OR('Mode Logic'!V18:W18),1,0)</f>
        <v/>
      </c>
      <c r="KM8" s="471" t="n"/>
      <c r="KP8" s="561" t="n">
        <v>5</v>
      </c>
      <c r="KQ8" s="568" t="inlineStr">
        <is>
          <t xml:space="preserve">X1_ 4 PIN POWER CONNECTOR </t>
        </is>
      </c>
      <c r="KR8" s="822" t="inlineStr">
        <is>
          <t>APS 1 415 V AC B</t>
        </is>
      </c>
      <c r="KS8" s="566" t="n"/>
      <c r="KT8" s="822" t="n"/>
      <c r="KU8" s="574">
        <f>KL17</f>
        <v/>
      </c>
      <c r="KV8" s="822" t="n"/>
      <c r="KW8" s="471" t="n"/>
      <c r="KX8" s="471" t="n"/>
      <c r="KY8" s="562">
        <f>IF(AND(KT8:KX8),1,0)</f>
        <v/>
      </c>
      <c r="LB8" s="561" t="n">
        <v>5</v>
      </c>
      <c r="LC8" s="568" t="n"/>
      <c r="LD8" s="822" t="n"/>
      <c r="LE8" s="566" t="n"/>
      <c r="LF8" s="566" t="n"/>
      <c r="LG8" s="566">
        <f>LK7</f>
        <v/>
      </c>
      <c r="LH8" s="822" t="n"/>
      <c r="LI8" s="471" t="n"/>
      <c r="LJ8" s="471" t="n"/>
      <c r="LK8" s="562">
        <f>IF(AND(LF8:LJ8),1,0)</f>
        <v/>
      </c>
      <c r="LM8" s="801" t="inlineStr">
        <is>
          <t>CMPB2 _13A</t>
        </is>
      </c>
      <c r="LN8" s="801">
        <f>'DATA TRANSFER'!DP149</f>
        <v/>
      </c>
      <c r="LO8" s="471" t="n"/>
      <c r="LQ8" s="840">
        <f>LQ7+1</f>
        <v/>
      </c>
      <c r="LR8" s="561" t="n">
        <v>5</v>
      </c>
      <c r="LS8" s="568" t="n"/>
      <c r="LT8" s="822" t="n"/>
      <c r="LU8" s="566" t="n"/>
      <c r="LV8" s="822" t="n"/>
      <c r="LW8" s="822">
        <f>MA7</f>
        <v/>
      </c>
      <c r="LX8" s="822" t="n"/>
      <c r="LY8" s="471" t="n"/>
      <c r="LZ8" s="471" t="n"/>
      <c r="MA8" s="562">
        <f>IF(AND(LV8:LZ8),1,0)</f>
        <v/>
      </c>
      <c r="MC8" s="472" t="inlineStr">
        <is>
          <t>DC/DC CONVERTER 2</t>
        </is>
      </c>
      <c r="MD8" s="801" t="n">
        <v>1</v>
      </c>
      <c r="ME8" s="471" t="n"/>
      <c r="MH8" s="561" t="n">
        <v>5</v>
      </c>
      <c r="MI8" s="568" t="n"/>
      <c r="MJ8" s="822" t="n"/>
      <c r="MK8" s="566" t="n"/>
      <c r="ML8" s="822" t="n"/>
      <c r="MM8" s="822">
        <f>MQ7</f>
        <v/>
      </c>
      <c r="MN8" s="822" t="n"/>
      <c r="MO8" s="471" t="n"/>
      <c r="MP8" s="471" t="n"/>
      <c r="MQ8" s="562">
        <f>IF(AND(ML8:MP8),1,0)</f>
        <v/>
      </c>
      <c r="MS8" s="822" t="inlineStr">
        <is>
          <t>MCBTL</t>
        </is>
      </c>
      <c r="MT8" s="801">
        <f>'DATA TRANSFER'!DP203</f>
        <v/>
      </c>
      <c r="MU8" s="471" t="n"/>
    </row>
    <row r="9" ht="31" customHeight="1">
      <c r="A9" s="559" t="n">
        <v>6</v>
      </c>
      <c r="B9" s="471" t="n"/>
      <c r="C9" s="801" t="inlineStr">
        <is>
          <t>CACS</t>
        </is>
      </c>
      <c r="D9" s="471" t="n"/>
      <c r="E9" s="471" t="n"/>
      <c r="F9" s="582">
        <f>IF(OR(M6,M15,M16),1,0)</f>
        <v/>
      </c>
      <c r="G9" s="561">
        <f>J8</f>
        <v/>
      </c>
      <c r="H9" s="471" t="n"/>
      <c r="I9" s="471" t="n"/>
      <c r="J9" s="562">
        <f>IF(AND(E9:I9),1,0)</f>
        <v/>
      </c>
      <c r="L9" s="801" t="inlineStr">
        <is>
          <t>FAN1 P=60W</t>
        </is>
      </c>
      <c r="M9" s="801">
        <f>'Mode Logic'!V18</f>
        <v/>
      </c>
      <c r="N9" s="471" t="n"/>
      <c r="P9" s="561" t="n">
        <v>6</v>
      </c>
      <c r="Q9" s="576" t="n"/>
      <c r="R9" s="561" t="n"/>
      <c r="S9" s="471" t="n"/>
      <c r="T9" s="471" t="n"/>
      <c r="U9" s="801">
        <f>Y8</f>
        <v/>
      </c>
      <c r="V9" s="471" t="n"/>
      <c r="W9" s="471" t="n"/>
      <c r="X9" s="471" t="n"/>
      <c r="Y9" s="562">
        <f>IF(AND(T9:X9),1,0)</f>
        <v/>
      </c>
      <c r="AA9" s="801" t="inlineStr">
        <is>
          <t>CMPB3 _13A</t>
        </is>
      </c>
      <c r="AB9" s="801">
        <f>'DATA TRANSFER'!DP150</f>
        <v/>
      </c>
      <c r="AC9" s="471" t="n"/>
      <c r="AF9" s="561" t="n">
        <v>6</v>
      </c>
      <c r="AG9" s="471" t="n"/>
      <c r="AH9" s="471" t="n"/>
      <c r="AI9" s="471" t="n"/>
      <c r="AJ9" s="471" t="n"/>
      <c r="AK9" s="801">
        <f>AO8</f>
        <v/>
      </c>
      <c r="AL9" s="471" t="n"/>
      <c r="AM9" s="471" t="n"/>
      <c r="AN9" s="471" t="n"/>
      <c r="AO9" s="562">
        <f>IF(AND(AJ9:AN9),1,0)</f>
        <v/>
      </c>
      <c r="AS9" s="561" t="n">
        <v>6</v>
      </c>
      <c r="AT9" s="471" t="n"/>
      <c r="AU9" s="471" t="n"/>
      <c r="AV9" s="471" t="n"/>
      <c r="AW9" s="471">
        <f>BB5</f>
        <v/>
      </c>
      <c r="AX9" s="471" t="n"/>
      <c r="AY9" s="471" t="n"/>
      <c r="AZ9" s="471" t="n"/>
      <c r="BA9" s="471" t="n"/>
      <c r="BB9" s="562">
        <f>IF(AND(AW9:BA9),1,0)</f>
        <v/>
      </c>
      <c r="BE9" s="840">
        <f>IF('DATA TRANSFER'!DP127=0,1,0)</f>
        <v/>
      </c>
      <c r="BI9" s="561" t="n">
        <v>6</v>
      </c>
      <c r="BJ9" s="577" t="n"/>
      <c r="BK9" s="471" t="n"/>
      <c r="BL9" s="471" t="n"/>
      <c r="BM9" s="471" t="n"/>
      <c r="BN9" s="561">
        <f>BR8</f>
        <v/>
      </c>
      <c r="BO9" s="471" t="n"/>
      <c r="BP9" s="471" t="n"/>
      <c r="BQ9" s="471" t="n"/>
      <c r="BR9" s="562">
        <f>IF(AND(BM9:BQ9),1,0)</f>
        <v/>
      </c>
      <c r="BT9" s="472" t="inlineStr">
        <is>
          <t>DC/DC CONVERTER 2</t>
        </is>
      </c>
      <c r="BU9" s="801" t="n">
        <v>1</v>
      </c>
      <c r="BV9" s="471" t="n"/>
      <c r="BX9" s="561" t="n">
        <v>6</v>
      </c>
      <c r="BY9" s="577" t="n"/>
      <c r="BZ9" s="471" t="n"/>
      <c r="CA9" s="471" t="n"/>
      <c r="CB9" s="471" t="n"/>
      <c r="CC9" s="561">
        <f>CG8</f>
        <v/>
      </c>
      <c r="CD9" s="471" t="n"/>
      <c r="CE9" s="471" t="n"/>
      <c r="CF9" s="471" t="n"/>
      <c r="CG9" s="562">
        <f>IF(AND(CB9:CF9),1,0)</f>
        <v/>
      </c>
      <c r="CI9" s="561" t="n">
        <v>6</v>
      </c>
      <c r="CJ9" s="561" t="n"/>
      <c r="CK9" s="471" t="n"/>
      <c r="CL9" s="471" t="n"/>
      <c r="CM9" s="471" t="n"/>
      <c r="CN9" s="471">
        <f>CR8</f>
        <v/>
      </c>
      <c r="CO9" s="471" t="n"/>
      <c r="CP9" s="471" t="n"/>
      <c r="CQ9" s="471" t="n"/>
      <c r="CR9" s="562">
        <f>IF(AND(CM9:CQ9),1,0)</f>
        <v/>
      </c>
      <c r="CT9" s="472" t="inlineStr">
        <is>
          <t>I_FADForcedCls</t>
        </is>
      </c>
      <c r="CU9" s="801">
        <f>IF(NOT(CU10),1,0)</f>
        <v/>
      </c>
      <c r="CV9" s="471" t="n"/>
      <c r="CY9" s="561" t="n">
        <v>6</v>
      </c>
      <c r="CZ9" s="561" t="n"/>
      <c r="DA9" s="471" t="n"/>
      <c r="DB9" s="471" t="n"/>
      <c r="DC9" s="471" t="n"/>
      <c r="DD9" s="471">
        <f>DH6</f>
        <v/>
      </c>
      <c r="DE9" s="471" t="n"/>
      <c r="DF9" s="471" t="n"/>
      <c r="DG9" s="471" t="n"/>
      <c r="DH9" s="562">
        <f>IF(AND(DC9:DG9),1,0)</f>
        <v/>
      </c>
      <c r="DK9" s="561" t="n">
        <v>6</v>
      </c>
      <c r="DL9" s="561" t="n"/>
      <c r="DM9" s="471" t="inlineStr">
        <is>
          <t xml:space="preserve">110V </t>
        </is>
      </c>
      <c r="DN9" s="471" t="n"/>
      <c r="DO9" s="471" t="n"/>
      <c r="DP9" s="801">
        <f>DT8</f>
        <v/>
      </c>
      <c r="DQ9" s="471" t="n"/>
      <c r="DR9" s="471" t="n"/>
      <c r="DS9" s="471" t="n"/>
      <c r="DT9" s="562">
        <f>IF(AND(DO9:DS9),1,0)</f>
        <v/>
      </c>
      <c r="DV9" s="801" t="inlineStr">
        <is>
          <t>HFAN2 3A</t>
        </is>
      </c>
      <c r="DW9" s="801">
        <f>'DATA TRANSFER'!DP141</f>
        <v/>
      </c>
      <c r="DX9" s="471" t="n"/>
      <c r="DZ9" s="561" t="n">
        <v>6</v>
      </c>
      <c r="EA9" s="561" t="n"/>
      <c r="EB9" s="471" t="n"/>
      <c r="EC9" s="471" t="n"/>
      <c r="ED9" s="471" t="n"/>
      <c r="EE9" s="471">
        <f>EI8</f>
        <v/>
      </c>
      <c r="EF9" s="471" t="n"/>
      <c r="EG9" s="471" t="n"/>
      <c r="EH9" s="471" t="n"/>
      <c r="EI9" s="571">
        <f>IF(AND(ED9:EH9),1,0)</f>
        <v/>
      </c>
      <c r="EK9" s="471" t="inlineStr">
        <is>
          <t>SMRR</t>
        </is>
      </c>
      <c r="EL9" s="801">
        <f>IF(OR('DATA TRANSFER'!DP172,'DATA TRANSFER'!DP31),1,0)</f>
        <v/>
      </c>
      <c r="EM9" s="471" t="n"/>
      <c r="EO9" s="561" t="n">
        <v>6</v>
      </c>
      <c r="EP9" s="561" t="n"/>
      <c r="EQ9" s="801" t="inlineStr">
        <is>
          <t>SMDR1-110VDC</t>
        </is>
      </c>
      <c r="ER9" s="471" t="n"/>
      <c r="ES9" s="471" t="n"/>
      <c r="ET9" s="570">
        <f>FA6</f>
        <v/>
      </c>
      <c r="EU9" s="471" t="n"/>
      <c r="EV9" s="471" t="n"/>
      <c r="EW9" s="471" t="n"/>
      <c r="EX9" s="562">
        <f>IF(AND(ES9:EW9),1,0)</f>
        <v/>
      </c>
      <c r="EZ9" s="561" t="inlineStr">
        <is>
          <t>SFC OFF -110VDC</t>
        </is>
      </c>
      <c r="FA9" s="273">
        <f>'LFD New'!D2</f>
        <v/>
      </c>
      <c r="FB9" s="471" t="n"/>
      <c r="FE9" s="561" t="n">
        <v>6</v>
      </c>
      <c r="FF9" s="561" t="n"/>
      <c r="FG9" s="801" t="inlineStr">
        <is>
          <t>SMDR1-110VDC</t>
        </is>
      </c>
      <c r="FH9" s="471" t="n"/>
      <c r="FI9" s="471" t="n"/>
      <c r="FJ9" s="570">
        <f>FA6</f>
        <v/>
      </c>
      <c r="FK9" s="471" t="n"/>
      <c r="FL9" s="471" t="n"/>
      <c r="FM9" s="471" t="n"/>
      <c r="FN9" s="562">
        <f>IF(AND(FI9:FM9),1,0)</f>
        <v/>
      </c>
      <c r="FP9" s="561" t="inlineStr">
        <is>
          <t>SFC OFF -110VDC</t>
        </is>
      </c>
      <c r="FQ9" s="561">
        <f>FA9</f>
        <v/>
      </c>
      <c r="FR9" s="471" t="n"/>
      <c r="FT9" s="561" t="n">
        <v>6</v>
      </c>
      <c r="FU9" s="561" t="n"/>
      <c r="FV9" s="801" t="inlineStr">
        <is>
          <t>SMDR1-110VDC</t>
        </is>
      </c>
      <c r="FW9" s="471" t="n"/>
      <c r="FX9" s="471" t="n"/>
      <c r="FY9" s="569">
        <f>FQ6</f>
        <v/>
      </c>
      <c r="FZ9" s="471" t="n"/>
      <c r="GA9" s="471" t="n"/>
      <c r="GB9" s="471" t="n"/>
      <c r="GC9" s="562">
        <f>IF(AND(FX9:GB9),1,0)</f>
        <v/>
      </c>
      <c r="GF9" s="561" t="n">
        <v>6</v>
      </c>
      <c r="GG9" s="561" t="n"/>
      <c r="GH9" s="566" t="inlineStr">
        <is>
          <t xml:space="preserve">HVAC2  SMDR </t>
        </is>
      </c>
      <c r="GI9" s="471" t="n"/>
      <c r="GJ9" s="471" t="n"/>
      <c r="GK9" s="573">
        <f>GR8</f>
        <v/>
      </c>
      <c r="GL9" s="471">
        <f>GO6</f>
        <v/>
      </c>
      <c r="GM9" s="471" t="n"/>
      <c r="GN9" s="471" t="n"/>
      <c r="GO9" s="562">
        <f>IF(AND(GJ9:GN9),1,0)</f>
        <v/>
      </c>
      <c r="GQ9" s="561" t="inlineStr">
        <is>
          <t>FADR_1</t>
        </is>
      </c>
      <c r="GR9" s="801">
        <f>IF(OR('DATA TRANSFER'!DP147,'Mode Logic'!P18),1,0)</f>
        <v/>
      </c>
      <c r="GS9" s="471" t="n"/>
      <c r="GU9" s="561" t="n">
        <v>6</v>
      </c>
      <c r="GV9" s="561" t="n"/>
      <c r="GW9" s="471" t="n"/>
      <c r="GX9" s="471" t="n"/>
      <c r="GY9" s="471" t="n"/>
      <c r="GZ9" s="801">
        <f>HD8</f>
        <v/>
      </c>
      <c r="HA9" s="471" t="n"/>
      <c r="HB9" s="471" t="n"/>
      <c r="HC9" s="471" t="n"/>
      <c r="HD9" s="571">
        <f>IF(AND(GY9:HC9),1,0)</f>
        <v/>
      </c>
      <c r="HF9" s="561" t="inlineStr">
        <is>
          <t>SFAFC2</t>
        </is>
      </c>
      <c r="HG9" s="801">
        <f>'DATA TRANSFER'!DP185</f>
        <v/>
      </c>
      <c r="HH9" s="471" t="n"/>
      <c r="HK9" s="561" t="n">
        <v>6</v>
      </c>
      <c r="HL9" s="561" t="n"/>
      <c r="HM9" s="471" t="n"/>
      <c r="HN9" s="471" t="n"/>
      <c r="HO9" s="471" t="n"/>
      <c r="HP9" s="566">
        <f>HT8</f>
        <v/>
      </c>
      <c r="HQ9" s="471" t="n"/>
      <c r="HR9" s="471" t="n"/>
      <c r="HS9" s="471" t="n"/>
      <c r="HT9" s="562">
        <f>IF(AND(HO9:HS9),1,0)</f>
        <v/>
      </c>
      <c r="HV9" s="561" t="inlineStr">
        <is>
          <t>MPCB  2</t>
        </is>
      </c>
      <c r="HW9" s="801">
        <f>'DATA TRANSFER'!DP187</f>
        <v/>
      </c>
      <c r="HX9" s="471" t="n"/>
      <c r="HZ9" s="561" t="n">
        <v>6</v>
      </c>
      <c r="IA9" s="561" t="n"/>
      <c r="IB9" s="471" t="n"/>
      <c r="IC9" s="471" t="n"/>
      <c r="ID9" s="566" t="n"/>
      <c r="IE9" s="566">
        <f>II8</f>
        <v/>
      </c>
      <c r="IF9" s="471" t="n"/>
      <c r="IG9" s="471" t="n"/>
      <c r="IH9" s="471" t="n"/>
      <c r="II9" s="562">
        <f>IF(AND(ID9:IH9),1,0)</f>
        <v/>
      </c>
      <c r="IL9" s="561" t="n">
        <v>6</v>
      </c>
      <c r="IM9" s="561" t="n"/>
      <c r="IN9" s="471" t="n"/>
      <c r="IO9" s="471" t="n"/>
      <c r="IP9" s="566" t="n"/>
      <c r="IQ9" s="566">
        <f>IU7</f>
        <v/>
      </c>
      <c r="IR9" s="471" t="n"/>
      <c r="IS9" s="471" t="n"/>
      <c r="IT9" s="471" t="n"/>
      <c r="IU9" s="562">
        <f>IF(AND(IP9:IT9),1,0)</f>
        <v/>
      </c>
      <c r="IX9" s="561" t="n">
        <v>6</v>
      </c>
      <c r="IY9" s="561" t="n"/>
      <c r="IZ9" s="801" t="inlineStr">
        <is>
          <t>SMDR</t>
        </is>
      </c>
      <c r="JA9" s="471" t="n"/>
      <c r="JB9" s="566" t="n"/>
      <c r="JC9" s="575">
        <f>JJ6</f>
        <v/>
      </c>
      <c r="JD9" s="566">
        <f>JG8</f>
        <v/>
      </c>
      <c r="JE9" s="471" t="n"/>
      <c r="JF9" s="471" t="n"/>
      <c r="JG9" s="571">
        <f>IF(AND(JB9:JF9),1,0)</f>
        <v/>
      </c>
      <c r="JI9" s="822" t="inlineStr">
        <is>
          <t>SFC OFF</t>
        </is>
      </c>
      <c r="JJ9" s="801">
        <f>IF(OR('Mode Logic'!V18:W18),1,0)</f>
        <v/>
      </c>
      <c r="JK9" s="471" t="n"/>
      <c r="JN9" s="561" t="n">
        <v>6</v>
      </c>
      <c r="JO9" s="561" t="n"/>
      <c r="JP9" s="801" t="n"/>
      <c r="JQ9" s="471" t="n"/>
      <c r="JR9" s="566" t="n"/>
      <c r="JS9" s="566">
        <f>IF(OR(JW8,JW16),1,0)</f>
        <v/>
      </c>
      <c r="JT9" s="566" t="n"/>
      <c r="JU9" s="471" t="n"/>
      <c r="JV9" s="471" t="n"/>
      <c r="JW9" s="562">
        <f>IF(AND(JR9:JV9),1,0)</f>
        <v/>
      </c>
      <c r="JZ9" s="561" t="n">
        <v>6</v>
      </c>
      <c r="KA9" s="561" t="n"/>
      <c r="KB9" s="801" t="n"/>
      <c r="KC9" s="471" t="n"/>
      <c r="KD9" s="822" t="n"/>
      <c r="KE9" s="822">
        <f>KI10</f>
        <v/>
      </c>
      <c r="KF9" s="566">
        <f>KI12</f>
        <v/>
      </c>
      <c r="KG9" s="471" t="n"/>
      <c r="KH9" s="471" t="n"/>
      <c r="KI9" s="562">
        <f>IF(AND(KD9:KH9),1,0)</f>
        <v/>
      </c>
      <c r="KK9" s="561" t="inlineStr">
        <is>
          <t>AUX MPCB</t>
        </is>
      </c>
      <c r="KL9" s="801" t="n">
        <v>1</v>
      </c>
      <c r="KM9" s="471" t="n"/>
      <c r="KP9" s="561" t="n">
        <v>6</v>
      </c>
      <c r="KQ9" s="561" t="n"/>
      <c r="KR9" s="801" t="n"/>
      <c r="KS9" s="471" t="n"/>
      <c r="KT9" s="822" t="n"/>
      <c r="KU9" s="822">
        <f>KY8</f>
        <v/>
      </c>
      <c r="KV9" s="822" t="n"/>
      <c r="KW9" s="471" t="n"/>
      <c r="KX9" s="471" t="n"/>
      <c r="KY9" s="562">
        <f>IF(AND(KT9:KX9),1,0)</f>
        <v/>
      </c>
      <c r="LB9" s="561" t="n">
        <v>6</v>
      </c>
      <c r="LC9" s="568" t="inlineStr">
        <is>
          <t>X2</t>
        </is>
      </c>
      <c r="LD9" s="822" t="inlineStr">
        <is>
          <t>415 VAC _W2</t>
        </is>
      </c>
      <c r="LE9" s="471" t="n"/>
      <c r="LF9" s="566" t="n"/>
      <c r="LG9" s="583">
        <f>LN36</f>
        <v/>
      </c>
      <c r="LH9" s="822" t="n"/>
      <c r="LI9" s="471" t="n"/>
      <c r="LJ9" s="471" t="n"/>
      <c r="LK9" s="562">
        <f>IF(AND(LF9:LJ9),1,0)</f>
        <v/>
      </c>
      <c r="LM9" s="801" t="inlineStr">
        <is>
          <t>CMPB3 _13A</t>
        </is>
      </c>
      <c r="LN9" s="801">
        <f>'DATA TRANSFER'!DP150</f>
        <v/>
      </c>
      <c r="LO9" s="471" t="n"/>
      <c r="LQ9" s="840">
        <f>LQ8+1</f>
        <v/>
      </c>
      <c r="LR9" s="561" t="n">
        <v>6</v>
      </c>
      <c r="LS9" s="568" t="n"/>
      <c r="LT9" s="822" t="inlineStr">
        <is>
          <t>DC/DC CONVERTER 1</t>
        </is>
      </c>
      <c r="LU9" s="471" t="n"/>
      <c r="LV9" s="822" t="n"/>
      <c r="LW9" s="574">
        <f>MD6</f>
        <v/>
      </c>
      <c r="LX9" s="822">
        <f>MA8</f>
        <v/>
      </c>
      <c r="LY9" s="471">
        <f>MA46</f>
        <v/>
      </c>
      <c r="LZ9" s="471" t="n"/>
      <c r="MA9" s="562">
        <f>IF(AND(LV9:LZ9),1,0)</f>
        <v/>
      </c>
      <c r="MC9" s="472" t="inlineStr">
        <is>
          <t>ESAFC</t>
        </is>
      </c>
      <c r="MD9" s="801">
        <f>IF(OR('Mode Logic'!W18),1,0)</f>
        <v/>
      </c>
      <c r="ME9" s="471" t="n"/>
      <c r="MH9" s="561" t="n">
        <v>6</v>
      </c>
      <c r="MI9" s="568" t="n"/>
      <c r="MJ9" s="822" t="n"/>
      <c r="MK9" s="471" t="n"/>
      <c r="ML9" s="822" t="n"/>
      <c r="MM9" s="581" t="n">
        <v>1</v>
      </c>
      <c r="MN9" s="822" t="n"/>
      <c r="MO9" s="471" t="n"/>
      <c r="MP9" s="471" t="n"/>
      <c r="MQ9" s="562">
        <f>IF(AND(ML9:MP9),1,0)</f>
        <v/>
      </c>
      <c r="MS9" s="822" t="inlineStr">
        <is>
          <t>SRRB</t>
        </is>
      </c>
      <c r="MT9" s="801">
        <f>'DATA TRANSFER'!DP31</f>
        <v/>
      </c>
      <c r="MU9" s="471" t="n"/>
    </row>
    <row r="10" ht="48" customHeight="1">
      <c r="A10" s="559" t="n">
        <v>7</v>
      </c>
      <c r="B10" s="471" t="n"/>
      <c r="C10" s="471" t="n"/>
      <c r="D10" s="471" t="n"/>
      <c r="E10" s="471" t="n"/>
      <c r="F10" s="801">
        <f>J9</f>
        <v/>
      </c>
      <c r="G10" s="561" t="n"/>
      <c r="H10" s="471" t="n"/>
      <c r="I10" s="471" t="n"/>
      <c r="J10" s="562">
        <f>IF(AND(E10:I10),1,0)</f>
        <v/>
      </c>
      <c r="L10" s="801" t="inlineStr">
        <is>
          <t>FAN2 P=60W</t>
        </is>
      </c>
      <c r="M10" s="801">
        <f>'Mode Logic'!W18</f>
        <v/>
      </c>
      <c r="N10" s="471" t="n"/>
      <c r="P10" s="561" t="n">
        <v>7</v>
      </c>
      <c r="Q10" s="580" t="inlineStr">
        <is>
          <t>HA/24.E6</t>
        </is>
      </c>
      <c r="R10" s="561" t="n"/>
      <c r="S10" s="471" t="n"/>
      <c r="T10" s="471" t="n"/>
      <c r="U10" s="560">
        <f>IF(NOT('DATA TRANSFER'!F30),1,0)</f>
        <v/>
      </c>
      <c r="V10" s="471" t="n"/>
      <c r="W10" s="471" t="n"/>
      <c r="X10" s="471" t="n"/>
      <c r="Y10" s="562">
        <f>IF(AND(T10:X10),1,0)</f>
        <v/>
      </c>
      <c r="AA10" s="801" t="inlineStr">
        <is>
          <t>CMPB4 _13A</t>
        </is>
      </c>
      <c r="AB10" s="801">
        <f>'DATA TRANSFER'!DP151</f>
        <v/>
      </c>
      <c r="AC10" s="471" t="n"/>
      <c r="AF10" s="561" t="n">
        <v>7</v>
      </c>
      <c r="AG10" s="564" t="inlineStr">
        <is>
          <t>HA/24.E6</t>
        </is>
      </c>
      <c r="AH10" s="471" t="n"/>
      <c r="AI10" s="471" t="n"/>
      <c r="AJ10" s="471" t="n"/>
      <c r="AK10" s="560" t="n">
        <v>1</v>
      </c>
      <c r="AL10" s="471" t="n"/>
      <c r="AM10" s="471" t="n"/>
      <c r="AN10" s="471" t="n"/>
      <c r="AO10" s="562">
        <f>IF(AND(AJ10:AN10),1,0)</f>
        <v/>
      </c>
      <c r="AS10" s="561" t="n">
        <v>7</v>
      </c>
      <c r="AT10" s="471" t="n"/>
      <c r="AU10" s="471" t="n"/>
      <c r="AV10" s="471" t="n"/>
      <c r="AW10" s="471">
        <f>BB9</f>
        <v/>
      </c>
      <c r="AX10" s="471" t="n"/>
      <c r="AY10" s="471" t="n"/>
      <c r="AZ10" s="471" t="n"/>
      <c r="BA10" s="471" t="n"/>
      <c r="BB10" s="562">
        <f>IF(AND(AW10:BA10),1,0)</f>
        <v/>
      </c>
      <c r="BI10" s="561" t="n">
        <v>7</v>
      </c>
      <c r="BJ10" s="566" t="n"/>
      <c r="BK10" s="471" t="n"/>
      <c r="BL10" s="471" t="n"/>
      <c r="BM10" s="471" t="n"/>
      <c r="BN10" s="578">
        <f>BR9</f>
        <v/>
      </c>
      <c r="BO10" s="471" t="n"/>
      <c r="BP10" s="471" t="n"/>
      <c r="BQ10" s="471" t="n"/>
      <c r="BR10" s="562">
        <f>IF(AND(BM10:BQ10),1,0)</f>
        <v/>
      </c>
      <c r="BT10" s="472" t="inlineStr">
        <is>
          <t>ESAFC</t>
        </is>
      </c>
      <c r="BU10" s="801">
        <f>'DATA TRANSFER'!DP168</f>
        <v/>
      </c>
      <c r="BV10" s="471" t="n"/>
      <c r="BX10" s="561" t="n">
        <v>7</v>
      </c>
      <c r="BY10" s="566" t="n"/>
      <c r="BZ10" s="471" t="n"/>
      <c r="CA10" s="471" t="n"/>
      <c r="CB10" s="471" t="n"/>
      <c r="CC10" s="578">
        <f>CG9</f>
        <v/>
      </c>
      <c r="CD10" s="471" t="n"/>
      <c r="CE10" s="471" t="n"/>
      <c r="CF10" s="471" t="n"/>
      <c r="CG10" s="562">
        <f>IF(AND(CB10:CF10),1,0)</f>
        <v/>
      </c>
      <c r="CI10" s="561" t="n">
        <v>7</v>
      </c>
      <c r="CJ10" s="822" t="inlineStr">
        <is>
          <t>UD .X63.22-F 1 +63.20</t>
        </is>
      </c>
      <c r="CK10" s="471" t="n"/>
      <c r="CL10" s="471" t="n"/>
      <c r="CM10" s="471" t="n"/>
      <c r="CN10" s="471">
        <f>CR9</f>
        <v/>
      </c>
      <c r="CO10" s="471" t="n"/>
      <c r="CP10" s="471" t="n"/>
      <c r="CQ10" s="471" t="n"/>
      <c r="CR10" s="562">
        <f>IF(AND(CM10:CQ10),1,0)</f>
        <v/>
      </c>
      <c r="CT10" s="472" t="inlineStr">
        <is>
          <t>I_FADForcedOpn</t>
        </is>
      </c>
      <c r="CU10" s="801">
        <f>'DATA TRANSFER'!M16</f>
        <v/>
      </c>
      <c r="CV10" s="471" t="n"/>
      <c r="CY10" s="561" t="n">
        <v>7</v>
      </c>
      <c r="CZ10" s="566" t="inlineStr">
        <is>
          <t>JE .A01-X9 (15)
JE .A01 (+14.25)</t>
        </is>
      </c>
      <c r="DA10" s="822" t="inlineStr">
        <is>
          <t>RIO2
I_FADForcedCls</t>
        </is>
      </c>
      <c r="DB10" s="471" t="n"/>
      <c r="DC10" s="471" t="n"/>
      <c r="DD10" s="570">
        <f>CU9</f>
        <v/>
      </c>
      <c r="DE10" s="471">
        <f>DH9</f>
        <v/>
      </c>
      <c r="DF10" s="471" t="n"/>
      <c r="DG10" s="471" t="n"/>
      <c r="DH10" s="562">
        <f>IF(AND(DC10:DG10),1,0)</f>
        <v/>
      </c>
      <c r="DK10" s="561" t="n">
        <v>7</v>
      </c>
      <c r="DL10" s="822" t="inlineStr">
        <is>
          <t>LA.F09</t>
        </is>
      </c>
      <c r="DM10" s="822" t="inlineStr">
        <is>
          <t>HTCN</t>
        </is>
      </c>
      <c r="DN10" s="471" t="n"/>
      <c r="DO10" s="471" t="n"/>
      <c r="DP10" s="569">
        <f>DW17</f>
        <v/>
      </c>
      <c r="DQ10" s="471">
        <f>DT9</f>
        <v/>
      </c>
      <c r="DR10" s="471" t="n"/>
      <c r="DS10" s="471" t="n"/>
      <c r="DT10" s="562">
        <f>IF(AND(DO10:DS10),1,0)</f>
        <v/>
      </c>
      <c r="DV10" s="801" t="inlineStr">
        <is>
          <t>HFAN1 3A</t>
        </is>
      </c>
      <c r="DW10" s="801">
        <f>'DATA TRANSFER'!DP142</f>
        <v/>
      </c>
      <c r="DX10" s="471" t="n"/>
      <c r="DZ10" s="561" t="n">
        <v>7</v>
      </c>
      <c r="EA10" s="566" t="n"/>
      <c r="EB10" s="822" t="inlineStr">
        <is>
          <t>FROM APS 415 VAC</t>
        </is>
      </c>
      <c r="EC10" s="471" t="n"/>
      <c r="ED10" s="471" t="n"/>
      <c r="EE10" s="570">
        <f>EL6</f>
        <v/>
      </c>
      <c r="EF10" s="471" t="n"/>
      <c r="EG10" s="471" t="n"/>
      <c r="EH10" s="471" t="n"/>
      <c r="EI10" s="571">
        <f>IF(AND(ED10:EH10),1,0)</f>
        <v/>
      </c>
      <c r="EK10" s="471" t="inlineStr">
        <is>
          <t>SMDR1</t>
        </is>
      </c>
      <c r="EL10" s="801">
        <f>IF(OR('DATA TRANSFER'!M10,'DATA TRANSFER'!M12,'DATA TRANSFER'!DP173),1,0)</f>
        <v/>
      </c>
      <c r="EM10" s="471" t="n"/>
      <c r="EO10" s="561" t="n">
        <v>7</v>
      </c>
      <c r="EP10" s="566" t="n"/>
      <c r="EQ10" s="822" t="n"/>
      <c r="ER10" s="471" t="n"/>
      <c r="ES10" s="471" t="n"/>
      <c r="ET10" s="471">
        <f>EX9</f>
        <v/>
      </c>
      <c r="EU10" s="471" t="n"/>
      <c r="EV10" s="471" t="n"/>
      <c r="EW10" s="471" t="n"/>
      <c r="EX10" s="562">
        <f>IF(AND(ES10:EW10),1,0)</f>
        <v/>
      </c>
      <c r="EZ10" s="561" t="inlineStr">
        <is>
          <t>PPR1</t>
        </is>
      </c>
      <c r="FA10" s="801">
        <f>'DATA TRANSFER'!DP188</f>
        <v/>
      </c>
      <c r="FB10" s="471" t="n"/>
      <c r="FE10" s="561" t="n">
        <v>7</v>
      </c>
      <c r="FF10" s="566" t="n"/>
      <c r="FG10" s="822" t="n"/>
      <c r="FH10" s="471" t="n"/>
      <c r="FI10" s="471" t="n"/>
      <c r="FJ10" s="471">
        <f>FN9</f>
        <v/>
      </c>
      <c r="FK10" s="471" t="n"/>
      <c r="FL10" s="471" t="n"/>
      <c r="FM10" s="471" t="n"/>
      <c r="FN10" s="562">
        <f>IF(AND(FI10:FM10),1,0)</f>
        <v/>
      </c>
      <c r="FP10" s="561" t="inlineStr">
        <is>
          <t>PPR1</t>
        </is>
      </c>
      <c r="FQ10" s="561">
        <f>FA10</f>
        <v/>
      </c>
      <c r="FR10" s="471" t="n"/>
      <c r="FT10" s="561" t="n">
        <v>7</v>
      </c>
      <c r="FU10" s="566" t="n"/>
      <c r="FV10" s="822" t="n"/>
      <c r="FW10" s="471" t="n"/>
      <c r="FX10" s="471" t="n"/>
      <c r="FY10" s="801">
        <f>GC9</f>
        <v/>
      </c>
      <c r="FZ10" s="471" t="n"/>
      <c r="GA10" s="471" t="n"/>
      <c r="GB10" s="471" t="n"/>
      <c r="GC10" s="562">
        <f>IF(AND(FX10:GB10),1,0)</f>
        <v/>
      </c>
      <c r="GF10" s="561" t="n">
        <v>7</v>
      </c>
      <c r="GG10" s="566" t="n"/>
      <c r="GH10" s="822" t="n"/>
      <c r="GI10" s="471" t="n"/>
      <c r="GJ10" s="471" t="n"/>
      <c r="GK10" s="561">
        <f>GO9</f>
        <v/>
      </c>
      <c r="GL10" s="471" t="n"/>
      <c r="GM10" s="471" t="n"/>
      <c r="GN10" s="471" t="n"/>
      <c r="GO10" s="562">
        <f>IF(AND(GJ10:GN10),1,0)</f>
        <v/>
      </c>
      <c r="GQ10" s="561" t="inlineStr">
        <is>
          <t>FADR_2</t>
        </is>
      </c>
      <c r="GR10" s="801">
        <f>IF(OR('DATA TRANSFER'!DP148,'Mode Logic'!P18),1,0)</f>
        <v/>
      </c>
      <c r="GS10" s="471" t="n"/>
      <c r="GU10" s="561" t="n">
        <v>7</v>
      </c>
      <c r="GV10" s="566" t="n"/>
      <c r="GW10" s="822" t="n"/>
      <c r="GX10" s="471" t="n"/>
      <c r="GY10" s="471" t="n"/>
      <c r="GZ10" s="801">
        <f>HD9</f>
        <v/>
      </c>
      <c r="HA10" s="471" t="n"/>
      <c r="HB10" s="471" t="n"/>
      <c r="HC10" s="471" t="n"/>
      <c r="HD10" s="571">
        <f>IF(AND(GY10:HC10),1,0)</f>
        <v/>
      </c>
      <c r="HF10" s="561" t="inlineStr">
        <is>
          <t>EMR</t>
        </is>
      </c>
      <c r="HG10" s="801">
        <f>'DATA TRANSFER'!DP167</f>
        <v/>
      </c>
      <c r="HH10" s="471" t="n"/>
      <c r="HK10" s="561" t="n">
        <v>7</v>
      </c>
      <c r="HL10" s="566" t="n"/>
      <c r="HM10" s="822" t="n"/>
      <c r="HN10" s="471" t="n"/>
      <c r="HO10" s="471" t="n"/>
      <c r="HP10" s="566">
        <f>HT9</f>
        <v/>
      </c>
      <c r="HQ10" s="471" t="n"/>
      <c r="HR10" s="471" t="n"/>
      <c r="HS10" s="471" t="n"/>
      <c r="HT10" s="562">
        <f>IF(AND(HO10:HS10),1,0)</f>
        <v/>
      </c>
      <c r="HV10" s="561" t="inlineStr">
        <is>
          <t>SAFC2</t>
        </is>
      </c>
      <c r="HW10" s="801">
        <f>'DATA TRANSFER'!DP185</f>
        <v/>
      </c>
      <c r="HX10" s="471" t="n"/>
      <c r="HZ10" s="561" t="n">
        <v>7</v>
      </c>
      <c r="IA10" s="566" t="n"/>
      <c r="IB10" s="822" t="inlineStr">
        <is>
          <t>PPR1</t>
        </is>
      </c>
      <c r="IC10" s="471" t="n"/>
      <c r="ID10" s="566" t="n"/>
      <c r="IE10" s="575">
        <f>HW14</f>
        <v/>
      </c>
      <c r="IF10" s="471">
        <f>II5</f>
        <v/>
      </c>
      <c r="IG10" s="471">
        <f>II7</f>
        <v/>
      </c>
      <c r="IH10" s="471">
        <f>II9</f>
        <v/>
      </c>
      <c r="II10" s="562">
        <f>IF(AND(ID10:IH10),1,0)</f>
        <v/>
      </c>
      <c r="IL10" s="561" t="n">
        <v>7</v>
      </c>
      <c r="IM10" s="566" t="n"/>
      <c r="IN10" s="822" t="n"/>
      <c r="IO10" s="471" t="n"/>
      <c r="IP10" s="566" t="n"/>
      <c r="IQ10" s="566">
        <f>IU6</f>
        <v/>
      </c>
      <c r="IR10" s="471" t="n"/>
      <c r="IS10" s="471" t="n"/>
      <c r="IT10" s="471" t="n"/>
      <c r="IU10" s="562">
        <f>IF(AND(IP10:IT10),1,0)</f>
        <v/>
      </c>
      <c r="IX10" s="561" t="n">
        <v>7</v>
      </c>
      <c r="IY10" s="566" t="n"/>
      <c r="IZ10" s="822" t="inlineStr">
        <is>
          <t>TO CAR SIDE FOR SMOKE DETECTE F/B NO SIGNAL RECEIVED WHEN SMOKE DETECTED</t>
        </is>
      </c>
      <c r="JA10" s="471" t="n"/>
      <c r="JB10" s="566" t="n"/>
      <c r="JC10" s="574">
        <f>JJ7</f>
        <v/>
      </c>
      <c r="JD10" s="566">
        <f>JG9</f>
        <v/>
      </c>
      <c r="JE10" s="471" t="n"/>
      <c r="JF10" s="471" t="n"/>
      <c r="JG10" s="571">
        <f>IF(AND(JB10:JF10),1,0)</f>
        <v/>
      </c>
      <c r="JI10" s="561" t="inlineStr">
        <is>
          <t>SAFC2</t>
        </is>
      </c>
      <c r="JJ10" s="801">
        <f>IF(OR('Mode Logic'!W18,'DATA TRANSFER'!DP185),1,0)</f>
        <v/>
      </c>
      <c r="JK10" s="471" t="n"/>
      <c r="JN10" s="561" t="n">
        <v>7</v>
      </c>
      <c r="JO10" s="566" t="n"/>
      <c r="JP10" s="822" t="inlineStr">
        <is>
          <t>HVAC1  SMDR 3</t>
        </is>
      </c>
      <c r="JQ10" s="471" t="n"/>
      <c r="JR10" s="566" t="n"/>
      <c r="JS10" s="575">
        <f>JJ19</f>
        <v/>
      </c>
      <c r="JT10" s="566">
        <f>JW9</f>
        <v/>
      </c>
      <c r="JU10" s="471" t="n"/>
      <c r="JV10" s="471" t="n"/>
      <c r="JW10" s="562">
        <f>IF(AND(JR10:JV10),1,0)</f>
        <v/>
      </c>
      <c r="JZ10" s="561" t="n">
        <v>7</v>
      </c>
      <c r="KA10" s="566" t="n"/>
      <c r="KB10" s="822" t="inlineStr">
        <is>
          <t>SAFC</t>
        </is>
      </c>
      <c r="KC10" s="471" t="n"/>
      <c r="KD10" s="822" t="n"/>
      <c r="KE10" s="574">
        <f>KL10</f>
        <v/>
      </c>
      <c r="KF10" s="566">
        <f>KI11</f>
        <v/>
      </c>
      <c r="KG10" s="471" t="n"/>
      <c r="KH10" s="471" t="n"/>
      <c r="KI10" s="562">
        <f>IF(AND(KD10:KH10),1,0)</f>
        <v/>
      </c>
      <c r="KK10" s="561" t="inlineStr">
        <is>
          <t>SAFC</t>
        </is>
      </c>
      <c r="KL10" s="801">
        <f>IF(OR('Mode Logic'!V18:W18),1,0)</f>
        <v/>
      </c>
      <c r="KM10" s="471" t="n"/>
      <c r="KP10" s="561" t="n">
        <v>7</v>
      </c>
      <c r="KQ10" s="568" t="inlineStr">
        <is>
          <t xml:space="preserve">X1_ 4 PIN POWER CONNECTOR </t>
        </is>
      </c>
      <c r="KR10" s="822" t="inlineStr">
        <is>
          <t>APS 1 415 V AC PE</t>
        </is>
      </c>
      <c r="KS10" s="471" t="n"/>
      <c r="KT10" s="822" t="n"/>
      <c r="KU10" s="574">
        <f>KL17</f>
        <v/>
      </c>
      <c r="KV10" s="822" t="n"/>
      <c r="KW10" s="471" t="n"/>
      <c r="KX10" s="471" t="n"/>
      <c r="KY10" s="562">
        <f>IF(AND(KT10:KX10),1,0)</f>
        <v/>
      </c>
      <c r="LB10" s="561" t="n">
        <v>7</v>
      </c>
      <c r="LC10" s="568" t="n"/>
      <c r="LD10" s="822" t="n"/>
      <c r="LE10" s="471" t="n"/>
      <c r="LF10" s="566" t="n"/>
      <c r="LG10" s="566">
        <f>LK9</f>
        <v/>
      </c>
      <c r="LH10" s="822" t="n"/>
      <c r="LI10" s="471" t="n"/>
      <c r="LJ10" s="471" t="n"/>
      <c r="LK10" s="562">
        <f>IF(AND(LF10:LJ10),1,0)</f>
        <v/>
      </c>
      <c r="LM10" s="801" t="inlineStr">
        <is>
          <t>CMPB4 _13A</t>
        </is>
      </c>
      <c r="LN10" s="801">
        <f>'DATA TRANSFER'!DP151</f>
        <v/>
      </c>
      <c r="LO10" s="471" t="n"/>
      <c r="LQ10" s="840">
        <f>LQ9+1</f>
        <v/>
      </c>
      <c r="LR10" s="561" t="n">
        <v>7</v>
      </c>
      <c r="LS10" s="568" t="n"/>
      <c r="LT10" s="822" t="n"/>
      <c r="LU10" s="471" t="n"/>
      <c r="LV10" s="822" t="n"/>
      <c r="LW10" s="822">
        <f>MA9</f>
        <v/>
      </c>
      <c r="LX10" s="822" t="n"/>
      <c r="LY10" s="471" t="n"/>
      <c r="LZ10" s="471" t="n"/>
      <c r="MA10" s="562">
        <f>IF(AND(LV10:LZ10),1,0)</f>
        <v/>
      </c>
      <c r="MC10" s="472" t="inlineStr">
        <is>
          <t>RETURN AIR DAMPER</t>
        </is>
      </c>
      <c r="MD10" s="801">
        <f>'Mode Logic'!Q18</f>
        <v/>
      </c>
      <c r="ME10" s="471" t="n"/>
      <c r="MH10" s="561" t="n">
        <v>7</v>
      </c>
      <c r="MI10" s="568" t="n"/>
      <c r="MJ10" s="822" t="inlineStr">
        <is>
          <t>ACCP1N_6A</t>
        </is>
      </c>
      <c r="MK10" s="471" t="n"/>
      <c r="ML10" s="822" t="n"/>
      <c r="MM10" s="574">
        <f>MT7</f>
        <v/>
      </c>
      <c r="MN10" s="822">
        <f>MQ9</f>
        <v/>
      </c>
      <c r="MO10" s="471" t="n"/>
      <c r="MP10" s="471" t="n"/>
      <c r="MQ10" s="562">
        <f>IF(AND(ML10:MP10),1,0)</f>
        <v/>
      </c>
      <c r="MS10" s="822" t="inlineStr">
        <is>
          <t>HCR9</t>
        </is>
      </c>
      <c r="MT10" s="801">
        <f>'DATA TRANSFER'!DP200</f>
        <v/>
      </c>
      <c r="MU10" s="471" t="n"/>
    </row>
    <row r="11" ht="23.25" customHeight="1">
      <c r="A11" s="559" t="n">
        <v>8</v>
      </c>
      <c r="B11" s="471" t="n"/>
      <c r="C11" s="471" t="n"/>
      <c r="D11" s="471" t="n"/>
      <c r="E11" s="471" t="n"/>
      <c r="F11" s="801">
        <f>J10</f>
        <v/>
      </c>
      <c r="G11" s="561" t="n"/>
      <c r="H11" s="471" t="n"/>
      <c r="I11" s="471" t="n"/>
      <c r="J11" s="562">
        <f>IF(AND(E11:I11),1,0)</f>
        <v/>
      </c>
      <c r="L11" s="801" t="inlineStr">
        <is>
          <t>TERMOSTAT 1</t>
        </is>
      </c>
      <c r="M11" s="801">
        <f>'DATA TRANSFER'!DP143</f>
        <v/>
      </c>
      <c r="N11" s="471" t="n"/>
      <c r="P11" s="561" t="n">
        <v>8</v>
      </c>
      <c r="Q11" s="576" t="n"/>
      <c r="R11" s="561">
        <f>IF(OR('Mode Logic'!V18:W18),1,0)</f>
        <v/>
      </c>
      <c r="S11" s="471" t="n"/>
      <c r="T11" s="471" t="n"/>
      <c r="U11" s="801">
        <f>Y10</f>
        <v/>
      </c>
      <c r="V11" s="471" t="n"/>
      <c r="W11" s="471" t="n"/>
      <c r="X11" s="471" t="n"/>
      <c r="Y11" s="562">
        <f>IF(AND(T11:X11),1,0)</f>
        <v/>
      </c>
      <c r="AA11" s="801" t="inlineStr">
        <is>
          <t>CMPC1 16A</t>
        </is>
      </c>
      <c r="AB11" s="801">
        <f>'DATA TRANSFER'!DP152</f>
        <v/>
      </c>
      <c r="AC11" s="471" t="n"/>
      <c r="AF11" s="561" t="n">
        <v>8</v>
      </c>
      <c r="AG11" s="471" t="n"/>
      <c r="AH11" s="471" t="n"/>
      <c r="AI11" s="471" t="n"/>
      <c r="AJ11" s="471" t="n"/>
      <c r="AK11" s="801">
        <f>AO10</f>
        <v/>
      </c>
      <c r="AL11" s="471" t="n"/>
      <c r="AM11" s="471" t="n"/>
      <c r="AN11" s="471" t="n"/>
      <c r="AO11" s="562">
        <f>IF(AND(AJ11:AN11),1,0)</f>
        <v/>
      </c>
      <c r="AS11" s="561" t="n">
        <v>8</v>
      </c>
      <c r="AT11" s="471" t="n"/>
      <c r="AU11" s="471" t="n"/>
      <c r="AV11" s="471" t="n"/>
      <c r="AW11" s="471">
        <f>BB10</f>
        <v/>
      </c>
      <c r="AX11" s="471" t="n"/>
      <c r="AY11" s="471" t="n"/>
      <c r="AZ11" s="471" t="n"/>
      <c r="BA11" s="471" t="n"/>
      <c r="BB11" s="562">
        <f>IF(AND(AW11:BA11),1,0)</f>
        <v/>
      </c>
      <c r="BI11" s="561" t="n">
        <v>8</v>
      </c>
      <c r="BJ11" s="471" t="n"/>
      <c r="BK11" s="471" t="n"/>
      <c r="BL11" s="471" t="n"/>
      <c r="BM11" s="471" t="n"/>
      <c r="BN11" s="561">
        <f>BR10</f>
        <v/>
      </c>
      <c r="BO11" s="471" t="n"/>
      <c r="BP11" s="471" t="n"/>
      <c r="BQ11" s="471" t="n"/>
      <c r="BR11" s="562">
        <f>IF(AND(BM11:BQ11),1,0)</f>
        <v/>
      </c>
      <c r="BT11" s="472" t="inlineStr">
        <is>
          <t>RETURN AIR DAMPER</t>
        </is>
      </c>
      <c r="BU11" s="801">
        <f>'Mode Logic'!Q18</f>
        <v/>
      </c>
      <c r="BV11" s="471" t="n"/>
      <c r="BX11" s="561" t="n">
        <v>8</v>
      </c>
      <c r="BY11" s="471" t="n"/>
      <c r="BZ11" s="471" t="n"/>
      <c r="CA11" s="471" t="n"/>
      <c r="CB11" s="471" t="n"/>
      <c r="CC11" s="561">
        <f>CG10</f>
        <v/>
      </c>
      <c r="CD11" s="471" t="n"/>
      <c r="CE11" s="471" t="n"/>
      <c r="CF11" s="471" t="n"/>
      <c r="CG11" s="562">
        <f>IF(AND(CB11:CF11),1,0)</f>
        <v/>
      </c>
      <c r="CI11" s="561" t="n">
        <v>8</v>
      </c>
      <c r="CJ11" s="471" t="n"/>
      <c r="CK11" s="471" t="n"/>
      <c r="CL11" s="471" t="n"/>
      <c r="CM11" s="471" t="n"/>
      <c r="CN11" s="471">
        <f>CR9</f>
        <v/>
      </c>
      <c r="CO11" s="471" t="n"/>
      <c r="CP11" s="471" t="n"/>
      <c r="CQ11" s="471" t="n"/>
      <c r="CR11" s="562">
        <f>IF(AND(CM11:CQ11),1,0)</f>
        <v/>
      </c>
      <c r="CY11" s="561" t="n">
        <v>8</v>
      </c>
      <c r="CZ11" s="471" t="n"/>
      <c r="DA11" s="471" t="n"/>
      <c r="DB11" s="471" t="n"/>
      <c r="DC11" s="471" t="n"/>
      <c r="DD11" s="565">
        <f>CU10</f>
        <v/>
      </c>
      <c r="DE11" s="471" t="n"/>
      <c r="DF11" s="471" t="n"/>
      <c r="DG11" s="471" t="n"/>
      <c r="DH11" s="562">
        <f>IF(AND(DC11:DG11),1,0)</f>
        <v/>
      </c>
      <c r="DK11" s="561" t="n">
        <v>8</v>
      </c>
      <c r="DL11" s="471" t="n"/>
      <c r="DM11" s="471" t="inlineStr">
        <is>
          <t>24 VDC</t>
        </is>
      </c>
      <c r="DN11" s="471" t="n"/>
      <c r="DO11" s="471" t="n"/>
      <c r="DP11" s="801">
        <f>DT8</f>
        <v/>
      </c>
      <c r="DQ11" s="471" t="n"/>
      <c r="DR11" s="471" t="n"/>
      <c r="DS11" s="471" t="n"/>
      <c r="DT11" s="562">
        <f>IF(AND(DO11:DS11),1,0)</f>
        <v/>
      </c>
      <c r="DV11" s="801" t="inlineStr">
        <is>
          <t>FAN1 P=60W</t>
        </is>
      </c>
      <c r="DW11" s="801">
        <f>'DATA TRANSFER'!DP143</f>
        <v/>
      </c>
      <c r="DX11" s="471" t="n"/>
      <c r="DZ11" s="561" t="n">
        <v>8</v>
      </c>
      <c r="EA11" s="471" t="n"/>
      <c r="EB11" s="471" t="n"/>
      <c r="EC11" s="471" t="n"/>
      <c r="ED11" s="471" t="n"/>
      <c r="EE11" s="471">
        <f>EI10</f>
        <v/>
      </c>
      <c r="EF11" s="471" t="n"/>
      <c r="EG11" s="471" t="n"/>
      <c r="EH11" s="471" t="n"/>
      <c r="EI11" s="571">
        <f>IF(AND(ED11:EH11),1,0)</f>
        <v/>
      </c>
      <c r="EK11" s="471" t="inlineStr">
        <is>
          <t>SMDR2</t>
        </is>
      </c>
      <c r="EL11" s="801">
        <f>BU13</f>
        <v/>
      </c>
      <c r="EM11" s="471" t="n"/>
      <c r="EO11" s="561" t="n">
        <v>8</v>
      </c>
      <c r="EP11" s="471" t="n"/>
      <c r="EQ11" s="471" t="n"/>
      <c r="ER11" s="471" t="n"/>
      <c r="ES11" s="471" t="n"/>
      <c r="ET11" s="471">
        <f>EX10</f>
        <v/>
      </c>
      <c r="EU11" s="471" t="n"/>
      <c r="EV11" s="471" t="n"/>
      <c r="EW11" s="471" t="n"/>
      <c r="EX11" s="562">
        <f>IF(AND(ES11:EW11),1,0)</f>
        <v/>
      </c>
      <c r="EZ11" s="561" t="inlineStr">
        <is>
          <t>PPR2</t>
        </is>
      </c>
      <c r="FA11" s="801">
        <f>'DATA TRANSFER'!DP189</f>
        <v/>
      </c>
      <c r="FB11" s="471" t="n"/>
      <c r="FE11" s="561" t="n">
        <v>8</v>
      </c>
      <c r="FF11" s="471" t="n"/>
      <c r="FG11" s="471" t="n"/>
      <c r="FH11" s="471" t="n"/>
      <c r="FI11" s="471" t="n"/>
      <c r="FJ11" s="471">
        <f>FA20</f>
        <v/>
      </c>
      <c r="FK11" s="471" t="n"/>
      <c r="FL11" s="471" t="n"/>
      <c r="FM11" s="471" t="n"/>
      <c r="FN11" s="562">
        <f>IF(AND(FI11:FM11),1,0)</f>
        <v/>
      </c>
      <c r="FP11" s="561" t="inlineStr">
        <is>
          <t>PPR2</t>
        </is>
      </c>
      <c r="FQ11" s="561">
        <f>FA11</f>
        <v/>
      </c>
      <c r="FR11" s="471" t="n"/>
      <c r="FT11" s="561" t="n">
        <v>8</v>
      </c>
      <c r="FU11" s="471" t="n"/>
      <c r="FV11" s="471" t="n"/>
      <c r="FW11" s="471" t="n"/>
      <c r="FX11" s="471" t="n"/>
      <c r="FY11" s="561">
        <f>GC10</f>
        <v/>
      </c>
      <c r="FZ11" s="471" t="n"/>
      <c r="GA11" s="471" t="n"/>
      <c r="GB11" s="471" t="n"/>
      <c r="GC11" s="562">
        <f>IF(AND(FX11:GB11),1,0)</f>
        <v/>
      </c>
      <c r="GF11" s="561" t="n">
        <v>8</v>
      </c>
      <c r="GG11" s="471" t="n"/>
      <c r="GH11" s="566" t="inlineStr">
        <is>
          <t xml:space="preserve">HVAC1  SMDR </t>
        </is>
      </c>
      <c r="GI11" s="471" t="n"/>
      <c r="GJ11" s="471" t="n"/>
      <c r="GK11" s="573">
        <f>GR8</f>
        <v/>
      </c>
      <c r="GL11" s="471">
        <f>GO10</f>
        <v/>
      </c>
      <c r="GM11" s="471" t="n"/>
      <c r="GN11" s="471" t="n"/>
      <c r="GO11" s="562">
        <f>IF(AND(GJ11:GN11),1,0)</f>
        <v/>
      </c>
      <c r="GQ11" s="561" t="inlineStr">
        <is>
          <t>FADR_3</t>
        </is>
      </c>
      <c r="GR11" s="801">
        <f>IF(OR('DATA TRANSFER'!DP149,'Mode Logic'!P18),1,0)</f>
        <v/>
      </c>
      <c r="GS11" s="471" t="n"/>
      <c r="GU11" s="561" t="n">
        <v>8</v>
      </c>
      <c r="GV11" s="471" t="n"/>
      <c r="GW11" s="471" t="n"/>
      <c r="GX11" s="471" t="n"/>
      <c r="GY11" s="471" t="n"/>
      <c r="GZ11" s="801">
        <f>HD10</f>
        <v/>
      </c>
      <c r="HA11" s="471" t="n"/>
      <c r="HB11" s="471" t="n"/>
      <c r="HC11" s="471" t="n"/>
      <c r="HD11" s="571">
        <f>IF(AND(GY11:HC11),1,0)</f>
        <v/>
      </c>
      <c r="HF11" s="561" t="inlineStr">
        <is>
          <t>FADR</t>
        </is>
      </c>
      <c r="HG11" s="801">
        <f>IF(OR('DATA TRANSFER'!DP178,'Mode Logic'!P18),1,0)</f>
        <v/>
      </c>
      <c r="HH11" s="471" t="n"/>
      <c r="HK11" s="561" t="n">
        <v>8</v>
      </c>
      <c r="HL11" s="471" t="n"/>
      <c r="HM11" s="471" t="n"/>
      <c r="HN11" s="471" t="n"/>
      <c r="HO11" s="471" t="n"/>
      <c r="HP11" s="801">
        <f>HT10</f>
        <v/>
      </c>
      <c r="HQ11" s="471" t="n"/>
      <c r="HR11" s="471" t="n"/>
      <c r="HS11" s="471" t="n"/>
      <c r="HT11" s="562">
        <f>IF(AND(HO11:HS11),1,0)</f>
        <v/>
      </c>
      <c r="HV11" s="561" t="inlineStr">
        <is>
          <t>SAFC1</t>
        </is>
      </c>
      <c r="HW11" s="801">
        <f>'DATA TRANSFER'!DP147</f>
        <v/>
      </c>
      <c r="HX11" s="471" t="n"/>
      <c r="HZ11" s="561" t="n">
        <v>8</v>
      </c>
      <c r="IA11" s="471" t="n"/>
      <c r="IB11" s="822" t="inlineStr">
        <is>
          <t>APS 2 _R</t>
        </is>
      </c>
      <c r="IC11" s="471" t="n"/>
      <c r="ID11" s="566" t="n"/>
      <c r="IE11" s="575">
        <f>HW7</f>
        <v/>
      </c>
      <c r="IF11" s="471" t="n"/>
      <c r="IG11" s="471" t="n"/>
      <c r="IH11" s="471" t="n"/>
      <c r="II11" s="562">
        <f>IF(AND(ID11:IH11),1,0)</f>
        <v/>
      </c>
      <c r="IL11" s="561" t="n">
        <v>8</v>
      </c>
      <c r="IM11" s="471" t="n"/>
      <c r="IN11" s="822" t="inlineStr">
        <is>
          <t>EMR</t>
        </is>
      </c>
      <c r="IO11" s="471" t="n"/>
      <c r="IP11" s="566" t="n"/>
      <c r="IQ11" s="575">
        <f>HW13</f>
        <v/>
      </c>
      <c r="IR11" s="471">
        <f>IU10</f>
        <v/>
      </c>
      <c r="IS11" s="471" t="n"/>
      <c r="IT11" s="471" t="n"/>
      <c r="IU11" s="562">
        <f>IF(AND(IP11:IT11),1,0)</f>
        <v/>
      </c>
      <c r="IX11" s="561" t="n">
        <v>8</v>
      </c>
      <c r="IY11" s="471" t="n"/>
      <c r="IZ11" s="822" t="inlineStr">
        <is>
          <t>110 VDC ALWAYS ON</t>
        </is>
      </c>
      <c r="JA11" s="471" t="n"/>
      <c r="JB11" s="566" t="n"/>
      <c r="JC11" s="586">
        <f>JJ8</f>
        <v/>
      </c>
      <c r="JD11" s="566" t="n"/>
      <c r="JE11" s="471" t="n"/>
      <c r="JF11" s="471" t="n"/>
      <c r="JG11" s="571">
        <f>IF(AND(JB11:JF11),1,0)</f>
        <v/>
      </c>
      <c r="JI11" s="561" t="inlineStr">
        <is>
          <t>ESAFC</t>
        </is>
      </c>
      <c r="JJ11" s="801" t="n">
        <v>1</v>
      </c>
      <c r="JK11" s="471" t="n"/>
      <c r="JN11" s="561" t="n">
        <v>8</v>
      </c>
      <c r="JO11" s="471" t="n"/>
      <c r="JP11" s="822" t="n"/>
      <c r="JQ11" s="471" t="n"/>
      <c r="JR11" s="566" t="n"/>
      <c r="JS11" s="566">
        <f>JW5</f>
        <v/>
      </c>
      <c r="JT11" s="566" t="n"/>
      <c r="JU11" s="471" t="n"/>
      <c r="JV11" s="471" t="n"/>
      <c r="JW11" s="562">
        <f>IF(AND(JR11:JV11),1,0)</f>
        <v/>
      </c>
      <c r="JZ11" s="561" t="n">
        <v>8</v>
      </c>
      <c r="KA11" s="471" t="n"/>
      <c r="KB11" s="822" t="n"/>
      <c r="KC11" s="471" t="n"/>
      <c r="KD11" s="822" t="n"/>
      <c r="KE11" s="581" t="n">
        <v>1</v>
      </c>
      <c r="KF11" s="566" t="n"/>
      <c r="KG11" s="471" t="n"/>
      <c r="KH11" s="471" t="n"/>
      <c r="KI11" s="562">
        <f>IF(AND(KD11:KH11),1,0)</f>
        <v/>
      </c>
      <c r="KP11" s="561" t="n">
        <v>8</v>
      </c>
      <c r="KQ11" s="471" t="n"/>
      <c r="KR11" s="822" t="n"/>
      <c r="KS11" s="471" t="n"/>
      <c r="KT11" s="822" t="n"/>
      <c r="KU11" s="822">
        <f>KY10</f>
        <v/>
      </c>
      <c r="KV11" s="822" t="n"/>
      <c r="KW11" s="471" t="n"/>
      <c r="KX11" s="471" t="n"/>
      <c r="KY11" s="562">
        <f>IF(AND(KT11:KX11),1,0)</f>
        <v/>
      </c>
      <c r="LB11" s="561" t="n">
        <v>8</v>
      </c>
      <c r="LC11" s="568" t="inlineStr">
        <is>
          <t>X2</t>
        </is>
      </c>
      <c r="LD11" s="822" t="inlineStr">
        <is>
          <t>415 VAC _PE</t>
        </is>
      </c>
      <c r="LE11" s="471" t="n"/>
      <c r="LF11" s="566" t="n"/>
      <c r="LG11" s="584">
        <f>LN37</f>
        <v/>
      </c>
      <c r="LH11" s="822" t="n"/>
      <c r="LI11" s="471" t="n"/>
      <c r="LJ11" s="471" t="n"/>
      <c r="LK11" s="562">
        <f>IF(AND(LF11:LJ11),1,0)</f>
        <v/>
      </c>
      <c r="LM11" s="801" t="inlineStr">
        <is>
          <t>CMPC1 16A</t>
        </is>
      </c>
      <c r="LN11" s="801">
        <f>'DATA TRANSFER'!DP152</f>
        <v/>
      </c>
      <c r="LO11" s="471" t="n"/>
      <c r="LQ11" s="840">
        <f>LQ10+1</f>
        <v/>
      </c>
      <c r="LR11" s="561" t="n">
        <v>8</v>
      </c>
      <c r="LS11" s="568" t="n"/>
      <c r="LT11" s="822" t="n"/>
      <c r="LU11" s="471" t="n"/>
      <c r="LV11" s="822" t="n"/>
      <c r="LW11" s="822">
        <f>MA10</f>
        <v/>
      </c>
      <c r="LX11" s="822" t="n"/>
      <c r="LY11" s="471" t="n"/>
      <c r="LZ11" s="471" t="n"/>
      <c r="MA11" s="562">
        <f>IF(AND(LV11:LZ11),1,0)</f>
        <v/>
      </c>
      <c r="MC11" s="471" t="inlineStr">
        <is>
          <t>SMRR</t>
        </is>
      </c>
      <c r="MD11" s="801">
        <f>BU14</f>
        <v/>
      </c>
      <c r="ME11" s="471" t="n"/>
      <c r="MH11" s="561" t="n">
        <v>8</v>
      </c>
      <c r="MI11" s="568" t="n"/>
      <c r="MJ11" s="822" t="n"/>
      <c r="MK11" s="471" t="n"/>
      <c r="ML11" s="822" t="n"/>
      <c r="MM11" s="822">
        <f>MQ4</f>
        <v/>
      </c>
      <c r="MN11" s="822" t="n"/>
      <c r="MO11" s="471" t="n"/>
      <c r="MP11" s="471" t="n"/>
      <c r="MQ11" s="562">
        <f>IF(AND(ML11:MP11),1,0)</f>
        <v/>
      </c>
      <c r="MS11" s="822" t="inlineStr">
        <is>
          <t>SMDRB _AUTO</t>
        </is>
      </c>
      <c r="MT11" s="801">
        <f>IF('DATA TRANSFER'!DP127=1,1,0)</f>
        <v/>
      </c>
      <c r="MU11" s="471" t="n"/>
    </row>
    <row r="12" ht="42.75" customHeight="1">
      <c r="A12" s="559" t="n">
        <v>9</v>
      </c>
      <c r="B12" s="471" t="n"/>
      <c r="C12" s="801" t="inlineStr">
        <is>
          <t>HFAN2 3A</t>
        </is>
      </c>
      <c r="D12" s="471" t="n"/>
      <c r="E12" s="471" t="n"/>
      <c r="F12" s="582">
        <f>M10</f>
        <v/>
      </c>
      <c r="G12" s="561">
        <f>J11</f>
        <v/>
      </c>
      <c r="H12" s="471" t="n"/>
      <c r="I12" s="471" t="n"/>
      <c r="J12" s="562">
        <f>IF(AND(E12:I12),1,0)</f>
        <v/>
      </c>
      <c r="L12" s="801" t="inlineStr">
        <is>
          <t>TERMOSTAT 2</t>
        </is>
      </c>
      <c r="M12" s="801">
        <f>'DATA TRANSFER'!DP144</f>
        <v/>
      </c>
      <c r="N12" s="471" t="n"/>
      <c r="P12" s="561" t="n">
        <v>9</v>
      </c>
      <c r="Q12" s="576" t="n"/>
      <c r="R12" s="561" t="n"/>
      <c r="S12" s="471" t="n"/>
      <c r="T12" s="471" t="n"/>
      <c r="U12" s="801">
        <f>Y11</f>
        <v/>
      </c>
      <c r="V12" s="471" t="n"/>
      <c r="W12" s="471" t="n"/>
      <c r="X12" s="471" t="n"/>
      <c r="Y12" s="562">
        <f>IF(AND(T12:X12),1,0)</f>
        <v/>
      </c>
      <c r="AA12" s="801" t="inlineStr">
        <is>
          <t>CMPC2 16A</t>
        </is>
      </c>
      <c r="AB12" s="801">
        <f>'DATA TRANSFER'!DP153</f>
        <v/>
      </c>
      <c r="AC12" s="471" t="n"/>
      <c r="AF12" s="561" t="n">
        <v>9</v>
      </c>
      <c r="AG12" s="471" t="n"/>
      <c r="AH12" s="471" t="n"/>
      <c r="AI12" s="471" t="n"/>
      <c r="AJ12" s="471" t="n"/>
      <c r="AK12" s="801">
        <f>AO11</f>
        <v/>
      </c>
      <c r="AL12" s="471" t="n"/>
      <c r="AM12" s="471" t="n"/>
      <c r="AN12" s="471" t="n"/>
      <c r="AO12" s="562">
        <f>IF(AND(AJ12:AN12),1,0)</f>
        <v/>
      </c>
      <c r="AS12" s="561" t="n">
        <v>9</v>
      </c>
      <c r="AT12" s="471" t="n"/>
      <c r="AU12" s="471" t="n"/>
      <c r="AV12" s="471" t="n"/>
      <c r="AW12" s="471">
        <f>BB11</f>
        <v/>
      </c>
      <c r="AX12" s="471" t="n"/>
      <c r="AY12" s="471" t="n"/>
      <c r="AZ12" s="471" t="n"/>
      <c r="BA12" s="471" t="n"/>
      <c r="BB12" s="562">
        <f>IF(AND(AW12:BA12),1,0)</f>
        <v/>
      </c>
      <c r="BI12" s="561" t="n">
        <v>9</v>
      </c>
      <c r="BJ12" s="566" t="n"/>
      <c r="BK12" s="471" t="n"/>
      <c r="BL12" s="471" t="n"/>
      <c r="BM12" s="471" t="n"/>
      <c r="BN12" s="578">
        <f>BR11</f>
        <v/>
      </c>
      <c r="BO12" s="471" t="n"/>
      <c r="BP12" s="471" t="n"/>
      <c r="BQ12" s="471" t="n"/>
      <c r="BR12" s="562">
        <f>IF(AND(BM12:BQ12),1,0)</f>
        <v/>
      </c>
      <c r="BT12" s="471" t="inlineStr">
        <is>
          <t>SMDR 1</t>
        </is>
      </c>
      <c r="BU12" s="471">
        <f>IF(OR('DATA TRANSFER'!M10,'DATA TRANSFER'!M12,'DATA TRANSFER'!DP173),1,0)</f>
        <v/>
      </c>
      <c r="BV12" s="471" t="n"/>
      <c r="BX12" s="561" t="n">
        <v>9</v>
      </c>
      <c r="BY12" s="566" t="n"/>
      <c r="BZ12" s="471" t="n"/>
      <c r="CA12" s="471" t="n"/>
      <c r="CB12" s="471" t="n"/>
      <c r="CC12" s="578">
        <f>CG11</f>
        <v/>
      </c>
      <c r="CD12" s="471" t="n"/>
      <c r="CE12" s="471" t="n"/>
      <c r="CF12" s="471" t="n"/>
      <c r="CG12" s="562">
        <f>IF(AND(CB12:CF12),1,0)</f>
        <v/>
      </c>
      <c r="CI12" s="561" t="n">
        <v>9</v>
      </c>
      <c r="CJ12" s="566" t="n"/>
      <c r="CK12" s="471" t="n"/>
      <c r="CL12" s="471" t="n"/>
      <c r="CM12" s="471" t="n"/>
      <c r="CN12" s="471">
        <f>CR8</f>
        <v/>
      </c>
      <c r="CO12" s="471" t="n"/>
      <c r="CP12" s="471" t="n"/>
      <c r="CQ12" s="471" t="n"/>
      <c r="CR12" s="562">
        <f>IF(AND(CM12:CQ12),1,0)</f>
        <v/>
      </c>
      <c r="CY12" s="561" t="n">
        <v>9</v>
      </c>
      <c r="CZ12" s="265" t="inlineStr">
        <is>
          <t>-UD .X14.03-F</t>
        </is>
      </c>
      <c r="DA12" s="471" t="n"/>
      <c r="DB12" s="471" t="n"/>
      <c r="DC12" s="471" t="n"/>
      <c r="DD12" s="471">
        <f>DH11</f>
        <v/>
      </c>
      <c r="DE12" s="471" t="n"/>
      <c r="DF12" s="471" t="n"/>
      <c r="DG12" s="471" t="n"/>
      <c r="DH12" s="562">
        <f>IF(AND(DC12:DG12),1,0)</f>
        <v/>
      </c>
      <c r="DK12" s="561" t="n">
        <v>9</v>
      </c>
      <c r="DL12" s="265" t="n"/>
      <c r="DM12" s="471" t="n"/>
      <c r="DN12" s="471" t="n"/>
      <c r="DO12" s="471" t="n"/>
      <c r="DP12" s="801">
        <f>DT11</f>
        <v/>
      </c>
      <c r="DQ12" s="471" t="n"/>
      <c r="DR12" s="471" t="n"/>
      <c r="DS12" s="471" t="n"/>
      <c r="DT12" s="562">
        <f>IF(AND(DO12:DS12),1,0)</f>
        <v/>
      </c>
      <c r="DV12" s="801" t="inlineStr">
        <is>
          <t>FAN2 P=60W</t>
        </is>
      </c>
      <c r="DW12" s="801">
        <f>'DATA TRANSFER'!DP144</f>
        <v/>
      </c>
      <c r="DX12" s="471" t="n"/>
      <c r="DZ12" s="561" t="n">
        <v>9</v>
      </c>
      <c r="EA12" s="265" t="n"/>
      <c r="EB12" s="561" t="inlineStr">
        <is>
          <t>FROM APS 415 VAC</t>
        </is>
      </c>
      <c r="EC12" s="471" t="n"/>
      <c r="ED12" s="471" t="n"/>
      <c r="EE12" s="570">
        <f>EL7</f>
        <v/>
      </c>
      <c r="EF12" s="471" t="n"/>
      <c r="EG12" s="471" t="n"/>
      <c r="EH12" s="471" t="n"/>
      <c r="EI12" s="571">
        <f>IF(AND(ED12:EH12),1,0)</f>
        <v/>
      </c>
      <c r="EK12" s="471" t="inlineStr">
        <is>
          <t>FADR</t>
        </is>
      </c>
      <c r="EL12" s="801">
        <f>BU15</f>
        <v/>
      </c>
      <c r="EM12" s="471" t="n"/>
      <c r="EO12" s="561" t="n">
        <v>9</v>
      </c>
      <c r="EP12" s="265" t="n"/>
      <c r="EQ12" s="471" t="inlineStr">
        <is>
          <t>SMDR</t>
        </is>
      </c>
      <c r="ER12" s="471" t="n"/>
      <c r="ES12" s="471" t="n"/>
      <c r="ET12" s="570">
        <f>FA20</f>
        <v/>
      </c>
      <c r="EU12" s="471" t="n"/>
      <c r="EV12" s="471" t="n"/>
      <c r="EW12" s="471" t="n"/>
      <c r="EX12" s="562">
        <f>IF(AND(ES12:EW12),1,0)</f>
        <v/>
      </c>
      <c r="EZ12" s="561" t="inlineStr">
        <is>
          <t>TMR1</t>
        </is>
      </c>
      <c r="FA12" s="801">
        <f>'DATA TRANSFER'!DP175</f>
        <v/>
      </c>
      <c r="FB12" s="471" t="n"/>
      <c r="FE12" s="561" t="n">
        <v>9</v>
      </c>
      <c r="FF12" s="265" t="n"/>
      <c r="FG12" s="471" t="inlineStr">
        <is>
          <t>SMDR2-110VDC</t>
        </is>
      </c>
      <c r="FH12" s="471" t="n"/>
      <c r="FI12" s="471" t="n"/>
      <c r="FJ12" s="570">
        <f>FA7</f>
        <v/>
      </c>
      <c r="FK12" s="471" t="n"/>
      <c r="FL12" s="471" t="n"/>
      <c r="FM12" s="471" t="n"/>
      <c r="FN12" s="562">
        <f>IF(AND(FI12:FM12),1,0)</f>
        <v/>
      </c>
      <c r="FP12" s="561" t="inlineStr">
        <is>
          <t>TMR2</t>
        </is>
      </c>
      <c r="FQ12" s="561">
        <f>FA12</f>
        <v/>
      </c>
      <c r="FR12" s="471" t="n"/>
      <c r="FT12" s="561" t="n">
        <v>9</v>
      </c>
      <c r="FU12" s="265" t="n"/>
      <c r="FV12" s="801" t="inlineStr">
        <is>
          <t>SMDR</t>
        </is>
      </c>
      <c r="FW12" s="471" t="n"/>
      <c r="FX12" s="471" t="n"/>
      <c r="FY12" s="569">
        <f>FQ20</f>
        <v/>
      </c>
      <c r="FZ12" s="471">
        <f>GC11</f>
        <v/>
      </c>
      <c r="GA12" s="471" t="n"/>
      <c r="GB12" s="471" t="n"/>
      <c r="GC12" s="562">
        <f>IF(AND(FX12:GB12),1,0)</f>
        <v/>
      </c>
      <c r="GF12" s="561" t="n">
        <v>9</v>
      </c>
      <c r="GG12" s="265" t="n"/>
      <c r="GH12" s="471" t="n"/>
      <c r="GI12" s="471" t="n"/>
      <c r="GJ12" s="471" t="n"/>
      <c r="GK12" s="561">
        <f>GO11</f>
        <v/>
      </c>
      <c r="GL12" s="471" t="n"/>
      <c r="GM12" s="471" t="n"/>
      <c r="GN12" s="471" t="n"/>
      <c r="GO12" s="562">
        <f>IF(AND(GJ12:GN12),1,0)</f>
        <v/>
      </c>
      <c r="GQ12" s="561" t="inlineStr">
        <is>
          <t>FADR_4</t>
        </is>
      </c>
      <c r="GR12" s="801">
        <f>IF(OR('DATA TRANSFER'!DP150,'Mode Logic'!P18),1,0)</f>
        <v/>
      </c>
      <c r="GS12" s="471" t="n"/>
      <c r="GU12" s="561" t="n">
        <v>9</v>
      </c>
      <c r="GV12" s="265" t="n"/>
      <c r="GW12" s="471" t="n"/>
      <c r="GX12" s="471" t="n"/>
      <c r="GY12" s="471" t="n"/>
      <c r="GZ12" s="801">
        <f>HD32</f>
        <v/>
      </c>
      <c r="HA12" s="471" t="n"/>
      <c r="HB12" s="471" t="n"/>
      <c r="HC12" s="471" t="n"/>
      <c r="HD12" s="571">
        <f>IF(AND(GY12:HC12),1,0)</f>
        <v/>
      </c>
      <c r="HF12" s="561" t="inlineStr">
        <is>
          <t>SFC OFF</t>
        </is>
      </c>
      <c r="HG12" s="801">
        <f>IF(OR('Mode Logic'!V18:W18),1,0)</f>
        <v/>
      </c>
      <c r="HH12" s="471" t="n"/>
      <c r="HK12" s="561" t="n">
        <v>9</v>
      </c>
      <c r="HL12" s="265" t="n"/>
      <c r="HM12" s="801" t="inlineStr">
        <is>
          <t>SAFC2</t>
        </is>
      </c>
      <c r="HN12" s="471" t="n"/>
      <c r="HO12" s="471" t="n"/>
      <c r="HP12" s="569">
        <f>HW10</f>
        <v/>
      </c>
      <c r="HQ12" s="471">
        <f>HT11</f>
        <v/>
      </c>
      <c r="HR12" s="471">
        <f>HT16</f>
        <v/>
      </c>
      <c r="HS12" s="471">
        <f>HT21</f>
        <v/>
      </c>
      <c r="HT12" s="562">
        <f>IF(AND(HO12:HS12),1,0)</f>
        <v/>
      </c>
      <c r="HV12" s="561" t="inlineStr">
        <is>
          <t>ESAFC</t>
        </is>
      </c>
      <c r="HW12" s="801">
        <f>'DATA TRANSFER'!DP168</f>
        <v/>
      </c>
      <c r="HX12" s="471" t="n"/>
      <c r="HZ12" s="561" t="n">
        <v>9</v>
      </c>
      <c r="IA12" s="265" t="n"/>
      <c r="IB12" s="566" t="n"/>
      <c r="IC12" s="471" t="n"/>
      <c r="ID12" s="566" t="n"/>
      <c r="IE12" s="566">
        <f>II11</f>
        <v/>
      </c>
      <c r="IF12" s="471" t="n"/>
      <c r="IG12" s="471" t="n"/>
      <c r="IH12" s="471" t="n"/>
      <c r="II12" s="562">
        <f>IF(AND(ID12:IH12),1,0)</f>
        <v/>
      </c>
      <c r="IL12" s="561" t="n">
        <v>9</v>
      </c>
      <c r="IM12" s="265" t="n"/>
      <c r="IN12" s="566" t="n"/>
      <c r="IO12" s="471" t="n"/>
      <c r="IP12" s="566" t="n"/>
      <c r="IQ12" s="566">
        <f>IU11</f>
        <v/>
      </c>
      <c r="IR12" s="471" t="n"/>
      <c r="IS12" s="471" t="n"/>
      <c r="IT12" s="471" t="n"/>
      <c r="IU12" s="562">
        <f>IF(AND(IP12:IT12),1,0)</f>
        <v/>
      </c>
      <c r="IX12" s="561" t="n">
        <v>9</v>
      </c>
      <c r="IY12" s="265" t="n"/>
      <c r="IZ12" s="822" t="inlineStr">
        <is>
          <t>SFC OFF</t>
        </is>
      </c>
      <c r="JA12" s="471" t="n"/>
      <c r="JB12" s="566" t="n"/>
      <c r="JC12" s="575">
        <f>JJ9</f>
        <v/>
      </c>
      <c r="JD12" s="566">
        <f>JG11</f>
        <v/>
      </c>
      <c r="JE12" s="471" t="n"/>
      <c r="JF12" s="471" t="n"/>
      <c r="JG12" s="571">
        <f>IF(AND(JB12:JF12),1,0)</f>
        <v/>
      </c>
      <c r="JI12" s="822" t="inlineStr">
        <is>
          <t>FADR</t>
        </is>
      </c>
      <c r="JJ12" s="801">
        <f>IF(OR('Mode Logic'!P18,'DATA TRANSFER'!DP178),1,0)</f>
        <v/>
      </c>
      <c r="JK12" s="471" t="n"/>
      <c r="JN12" s="561" t="n">
        <v>9</v>
      </c>
      <c r="JO12" s="265" t="n"/>
      <c r="JP12" s="822" t="inlineStr">
        <is>
          <t>HVAC2  SMDR 1</t>
        </is>
      </c>
      <c r="JQ12" s="471" t="n"/>
      <c r="JR12" s="566" t="n"/>
      <c r="JS12" s="575">
        <f>JJ19</f>
        <v/>
      </c>
      <c r="JT12" s="566">
        <f>JW11</f>
        <v/>
      </c>
      <c r="JU12" s="471" t="n"/>
      <c r="JV12" s="471" t="n"/>
      <c r="JW12" s="562">
        <f>IF(AND(JR12:JV12),1,0)</f>
        <v/>
      </c>
      <c r="JZ12" s="561" t="n">
        <v>9</v>
      </c>
      <c r="KA12" s="265" t="n"/>
      <c r="KB12" s="822" t="n"/>
      <c r="KC12" s="471" t="n"/>
      <c r="KD12" s="822" t="n"/>
      <c r="KE12" s="822">
        <f>KI10</f>
        <v/>
      </c>
      <c r="KF12" s="566" t="n"/>
      <c r="KG12" s="471" t="n"/>
      <c r="KH12" s="471" t="n"/>
      <c r="KI12" s="562">
        <f>IF(AND(KD12:KH12),1,0)</f>
        <v/>
      </c>
      <c r="KP12" s="561" t="n">
        <v>9</v>
      </c>
      <c r="KQ12" s="265" t="inlineStr">
        <is>
          <t>X2</t>
        </is>
      </c>
      <c r="KR12" s="822" t="inlineStr">
        <is>
          <t>APS 2 415 V AC R</t>
        </is>
      </c>
      <c r="KS12" s="471" t="n"/>
      <c r="KT12" s="822" t="n"/>
      <c r="KU12" s="574">
        <f>KL18</f>
        <v/>
      </c>
      <c r="KV12" s="822" t="n"/>
      <c r="KW12" s="471" t="n"/>
      <c r="KX12" s="471" t="n"/>
      <c r="KY12" s="562">
        <f>IF(AND(KT12:KX12),1,0)</f>
        <v/>
      </c>
      <c r="LB12" s="561" t="n">
        <v>9</v>
      </c>
      <c r="LC12" s="265" t="n"/>
      <c r="LD12" s="822" t="n"/>
      <c r="LE12" s="471" t="n"/>
      <c r="LF12" s="566" t="n"/>
      <c r="LG12" s="566">
        <f>LK11</f>
        <v/>
      </c>
      <c r="LH12" s="822" t="n"/>
      <c r="LI12" s="471" t="n"/>
      <c r="LJ12" s="471" t="n"/>
      <c r="LK12" s="562">
        <f>IF(AND(LF12:LJ12),1,0)</f>
        <v/>
      </c>
      <c r="LM12" s="801" t="inlineStr">
        <is>
          <t>CMPC2 16A</t>
        </is>
      </c>
      <c r="LN12" s="801">
        <f>'DATA TRANSFER'!DP153</f>
        <v/>
      </c>
      <c r="LO12" s="471" t="n"/>
      <c r="LQ12" s="840">
        <f>LQ11+1</f>
        <v/>
      </c>
      <c r="LR12" s="561" t="n">
        <v>9</v>
      </c>
      <c r="LS12" s="265" t="n"/>
      <c r="LT12" s="822" t="n"/>
      <c r="LU12" s="471" t="n"/>
      <c r="LV12" s="822" t="n"/>
      <c r="LW12" s="822">
        <f>MA11</f>
        <v/>
      </c>
      <c r="LX12" s="822" t="n"/>
      <c r="LY12" s="471" t="n"/>
      <c r="LZ12" s="471" t="n"/>
      <c r="MA12" s="562">
        <f>IF(AND(LV12:LZ12),1,0)</f>
        <v/>
      </c>
      <c r="MC12" s="471" t="inlineStr">
        <is>
          <t>SMDR1</t>
        </is>
      </c>
      <c r="MD12" s="801">
        <f>BU12</f>
        <v/>
      </c>
      <c r="ME12" s="471" t="n"/>
      <c r="MH12" s="561" t="n">
        <v>9</v>
      </c>
      <c r="MI12" s="265" t="n"/>
      <c r="MJ12" s="822" t="inlineStr">
        <is>
          <t>MCBTL</t>
        </is>
      </c>
      <c r="MK12" s="471" t="n"/>
      <c r="ML12" s="822" t="n"/>
      <c r="MM12" s="574">
        <f>MT8</f>
        <v/>
      </c>
      <c r="MN12" s="822">
        <f>MQ11</f>
        <v/>
      </c>
      <c r="MO12" s="471" t="n"/>
      <c r="MP12" s="471" t="n"/>
      <c r="MQ12" s="562">
        <f>IF(AND(ML12:MP12),1,0)</f>
        <v/>
      </c>
      <c r="MS12" s="822" t="inlineStr">
        <is>
          <t>SMDRB _OPEN</t>
        </is>
      </c>
      <c r="MT12" s="801">
        <f>IF('DATA TRANSFER'!DP127=0,1,0)</f>
        <v/>
      </c>
      <c r="MU12" s="471" t="n"/>
    </row>
    <row r="13" ht="48" customHeight="1">
      <c r="A13" s="559" t="n">
        <v>10</v>
      </c>
      <c r="B13" s="471" t="n"/>
      <c r="C13" s="471" t="n"/>
      <c r="D13" s="471" t="n"/>
      <c r="E13" s="471" t="n"/>
      <c r="F13" s="801">
        <f>J12</f>
        <v/>
      </c>
      <c r="G13" s="561" t="n"/>
      <c r="H13" s="471" t="n"/>
      <c r="I13" s="471" t="n"/>
      <c r="J13" s="562">
        <f>IF(AND(E13:I13),1,0)</f>
        <v/>
      </c>
      <c r="L13" s="801" t="inlineStr">
        <is>
          <t>HTC</t>
        </is>
      </c>
      <c r="M13" s="801">
        <f>'DATA TRANSFER'!DP145</f>
        <v/>
      </c>
      <c r="N13" s="471" t="n"/>
      <c r="P13" s="561">
        <f>'DATA TRANSFER'!DP145</f>
        <v/>
      </c>
      <c r="Q13" s="580" t="inlineStr">
        <is>
          <t>HA/24.E6</t>
        </is>
      </c>
      <c r="R13" s="561" t="n"/>
      <c r="S13" s="471" t="n"/>
      <c r="T13" s="471" t="n"/>
      <c r="U13" s="560">
        <f>AB37</f>
        <v/>
      </c>
      <c r="V13" s="471" t="n"/>
      <c r="W13" s="471" t="n"/>
      <c r="X13" s="471" t="n"/>
      <c r="Y13" s="562">
        <f>IF(AND(T13:X13),1,0)</f>
        <v/>
      </c>
      <c r="AA13" s="801" t="inlineStr">
        <is>
          <t>CMPC3 16A</t>
        </is>
      </c>
      <c r="AB13" s="801">
        <f>'DATA TRANSFER'!DP154</f>
        <v/>
      </c>
      <c r="AC13" s="471" t="n"/>
      <c r="AF13" s="561" t="n">
        <v>10</v>
      </c>
      <c r="AG13" s="564" t="inlineStr">
        <is>
          <t>HA/24.E6</t>
        </is>
      </c>
      <c r="AH13" s="471" t="n"/>
      <c r="AI13" s="471" t="n"/>
      <c r="AJ13" s="471" t="n"/>
      <c r="AK13" s="560" t="n">
        <v>1</v>
      </c>
      <c r="AL13" s="471" t="n"/>
      <c r="AM13" s="471" t="n"/>
      <c r="AN13" s="471" t="n"/>
      <c r="AO13" s="562">
        <f>IF(AND(AJ13:AN13),1,0)</f>
        <v/>
      </c>
      <c r="AS13" s="561" t="n">
        <v>10</v>
      </c>
      <c r="AT13" s="471" t="n"/>
      <c r="AU13" s="471" t="n"/>
      <c r="AV13" s="471" t="n"/>
      <c r="AW13" s="471">
        <f>BB12</f>
        <v/>
      </c>
      <c r="AX13" s="471" t="n"/>
      <c r="AY13" s="471" t="n"/>
      <c r="AZ13" s="471" t="n"/>
      <c r="BA13" s="471" t="n"/>
      <c r="BB13" s="562">
        <f>IF(AND(AW13:BA13),1,0)</f>
        <v/>
      </c>
      <c r="BI13" s="561" t="n">
        <v>10</v>
      </c>
      <c r="BJ13" s="471" t="n"/>
      <c r="BK13" s="801" t="inlineStr">
        <is>
          <t>LUB</t>
        </is>
      </c>
      <c r="BL13" s="471" t="n"/>
      <c r="BM13" s="471" t="n"/>
      <c r="BN13" s="573">
        <f>BU6</f>
        <v/>
      </c>
      <c r="BO13" s="471">
        <f>BR12</f>
        <v/>
      </c>
      <c r="BP13" s="471" t="n"/>
      <c r="BQ13" s="471" t="n"/>
      <c r="BR13" s="562">
        <f>IF(AND(BM13:BQ13),1,0)</f>
        <v/>
      </c>
      <c r="BT13" s="471" t="inlineStr">
        <is>
          <t>SMDR 2</t>
        </is>
      </c>
      <c r="BU13" s="471">
        <f>IF(OR('DATA TRANSFER'!M10,'DATA TRANSFER'!M12,'DATA TRANSFER'!DP174),1,0)</f>
        <v/>
      </c>
      <c r="BV13" s="471" t="n"/>
      <c r="BX13" s="561" t="n">
        <v>10</v>
      </c>
      <c r="BY13" s="471" t="n"/>
      <c r="BZ13" s="801" t="inlineStr">
        <is>
          <t>LUB</t>
        </is>
      </c>
      <c r="CA13" s="471" t="n"/>
      <c r="CB13" s="471" t="n"/>
      <c r="CC13" s="573">
        <f>BU6</f>
        <v/>
      </c>
      <c r="CD13" s="471">
        <f>CG12</f>
        <v/>
      </c>
      <c r="CE13" s="471" t="n"/>
      <c r="CF13" s="471" t="n"/>
      <c r="CG13" s="562">
        <f>IF(AND(CB13:CF13),1,0)</f>
        <v/>
      </c>
      <c r="CI13" s="561" t="n">
        <v>10</v>
      </c>
      <c r="CJ13" s="822" t="inlineStr">
        <is>
          <t>UD .X63.22-F 1 +63.20</t>
        </is>
      </c>
      <c r="CK13" s="471" t="n"/>
      <c r="CL13" s="471" t="n"/>
      <c r="CM13" s="471" t="n"/>
      <c r="CN13" s="471">
        <f>CR12</f>
        <v/>
      </c>
      <c r="CO13" s="471" t="n"/>
      <c r="CP13" s="471" t="n"/>
      <c r="CQ13" s="471" t="n"/>
      <c r="CR13" s="562">
        <f>IF(AND(CM13:CQ13),1,0)</f>
        <v/>
      </c>
      <c r="CY13" s="561" t="n">
        <v>10</v>
      </c>
      <c r="CZ13" s="471" t="n"/>
      <c r="DA13" s="471" t="n"/>
      <c r="DB13" s="471" t="n"/>
      <c r="DC13" s="471" t="n"/>
      <c r="DD13" s="471">
        <f>DH12</f>
        <v/>
      </c>
      <c r="DE13" s="471" t="n"/>
      <c r="DF13" s="471" t="n"/>
      <c r="DG13" s="471" t="n"/>
      <c r="DH13" s="562">
        <f>IF(AND(DC13:DG13),1,0)</f>
        <v/>
      </c>
      <c r="DK13" s="561" t="n">
        <v>10</v>
      </c>
      <c r="DL13" s="471" t="n"/>
      <c r="DM13" s="471" t="n"/>
      <c r="DN13" s="471" t="n"/>
      <c r="DO13" s="471" t="n"/>
      <c r="DP13" s="801">
        <f>DT12</f>
        <v/>
      </c>
      <c r="DQ13" s="471" t="n"/>
      <c r="DR13" s="471" t="n"/>
      <c r="DS13" s="471" t="n"/>
      <c r="DT13" s="562">
        <f>IF(AND(DO13:DS13),1,0)</f>
        <v/>
      </c>
      <c r="DV13" s="801" t="inlineStr">
        <is>
          <t>TERMOSTAT 1</t>
        </is>
      </c>
      <c r="DW13" s="801">
        <f>'DATA TRANSFER'!DP143</f>
        <v/>
      </c>
      <c r="DX13" s="471" t="n"/>
      <c r="DZ13" s="561" t="n">
        <v>10</v>
      </c>
      <c r="EA13" s="471" t="n"/>
      <c r="EB13" s="561" t="n"/>
      <c r="EC13" s="471" t="n"/>
      <c r="ED13" s="471" t="n"/>
      <c r="EE13" s="471">
        <f>EI12</f>
        <v/>
      </c>
      <c r="EF13" s="471" t="n"/>
      <c r="EG13" s="471" t="n"/>
      <c r="EH13" s="471" t="n"/>
      <c r="EI13" s="571">
        <f>IF(AND(ED13:EH13),1,0)</f>
        <v/>
      </c>
      <c r="EK13" s="471" t="inlineStr">
        <is>
          <t>SFC OFF</t>
        </is>
      </c>
      <c r="EL13" s="801">
        <f>BU16</f>
        <v/>
      </c>
      <c r="EM13" s="471" t="n"/>
      <c r="EO13" s="561" t="n">
        <v>10</v>
      </c>
      <c r="EP13" s="471" t="n"/>
      <c r="EQ13" s="471" t="n"/>
      <c r="ER13" s="471" t="n"/>
      <c r="ES13" s="471" t="n"/>
      <c r="ET13" s="471">
        <f>EX12</f>
        <v/>
      </c>
      <c r="EU13" s="471" t="n"/>
      <c r="EV13" s="471" t="n"/>
      <c r="EW13" s="471" t="n"/>
      <c r="EX13" s="562">
        <f>IF(AND(ES13:EW13),1,0)</f>
        <v/>
      </c>
      <c r="EZ13" s="561" t="inlineStr">
        <is>
          <t>TMR2</t>
        </is>
      </c>
      <c r="FA13" s="801">
        <f>'DATA TRANSFER'!DP176</f>
        <v/>
      </c>
      <c r="FB13" s="471" t="n"/>
      <c r="FE13" s="561" t="n">
        <v>10</v>
      </c>
      <c r="FF13" s="471" t="n"/>
      <c r="FG13" s="471" t="n"/>
      <c r="FH13" s="471" t="n"/>
      <c r="FI13" s="471" t="n"/>
      <c r="FJ13" s="471">
        <f>FN12</f>
        <v/>
      </c>
      <c r="FK13" s="471" t="n"/>
      <c r="FL13" s="471" t="n"/>
      <c r="FM13" s="471" t="n"/>
      <c r="FN13" s="562">
        <f>IF(AND(FI13:FM13),1,0)</f>
        <v/>
      </c>
      <c r="FP13" s="561" t="inlineStr">
        <is>
          <t>TMR1</t>
        </is>
      </c>
      <c r="FQ13" s="561">
        <f>FA13</f>
        <v/>
      </c>
      <c r="FR13" s="471" t="n"/>
      <c r="FT13" s="561" t="n">
        <v>10</v>
      </c>
      <c r="FU13" s="471" t="n"/>
      <c r="FV13" s="471" t="n"/>
      <c r="FW13" s="471" t="n"/>
      <c r="FX13" s="471" t="n"/>
      <c r="FY13" s="801">
        <f>GC12</f>
        <v/>
      </c>
      <c r="FZ13" s="471" t="n"/>
      <c r="GA13" s="471" t="n"/>
      <c r="GB13" s="471" t="n"/>
      <c r="GC13" s="562">
        <f>IF(AND(FX13:GB13),1,0)</f>
        <v/>
      </c>
      <c r="GF13" s="561" t="n">
        <v>10</v>
      </c>
      <c r="GG13" s="471" t="n"/>
      <c r="GH13" s="566" t="inlineStr">
        <is>
          <t xml:space="preserve">HVAC2  SMDR </t>
        </is>
      </c>
      <c r="GI13" s="471" t="n"/>
      <c r="GJ13" s="471" t="n"/>
      <c r="GK13" s="573">
        <f>GR8</f>
        <v/>
      </c>
      <c r="GL13" s="471">
        <f>GO10</f>
        <v/>
      </c>
      <c r="GM13" s="471" t="n"/>
      <c r="GN13" s="471" t="n"/>
      <c r="GO13" s="562">
        <f>IF(AND(GJ13:GN13),1,0)</f>
        <v/>
      </c>
      <c r="GQ13" s="561" t="inlineStr">
        <is>
          <t>FADR_5</t>
        </is>
      </c>
      <c r="GR13" s="801">
        <f>IF(OR('DATA TRANSFER'!DP151,'Mode Logic'!P18),1,0)</f>
        <v/>
      </c>
      <c r="GS13" s="471" t="n"/>
      <c r="GU13" s="561" t="n">
        <v>10</v>
      </c>
      <c r="GV13" s="471" t="n"/>
      <c r="GW13" s="471" t="n"/>
      <c r="GX13" s="471" t="n"/>
      <c r="GY13" s="471" t="n"/>
      <c r="GZ13" s="801">
        <f>HD12</f>
        <v/>
      </c>
      <c r="HA13" s="471" t="n"/>
      <c r="HB13" s="471" t="n"/>
      <c r="HC13" s="471" t="n"/>
      <c r="HD13" s="571">
        <f>IF(AND(GY13:HC13),1,0)</f>
        <v/>
      </c>
      <c r="HF13" s="822" t="inlineStr">
        <is>
          <t>M DAMPER (FRESH AIR DAMPER 1 RAD 1)</t>
        </is>
      </c>
      <c r="HG13" s="801">
        <f>'Mode Logic'!P18</f>
        <v/>
      </c>
      <c r="HH13" s="471" t="n"/>
      <c r="HK13" s="561" t="n">
        <v>10</v>
      </c>
      <c r="HL13" s="471" t="n"/>
      <c r="HM13" s="471" t="n"/>
      <c r="HN13" s="471" t="n"/>
      <c r="HO13" s="471" t="n"/>
      <c r="HP13" s="801">
        <f>HT12</f>
        <v/>
      </c>
      <c r="HQ13" s="471" t="n"/>
      <c r="HR13" s="471" t="n"/>
      <c r="HS13" s="471" t="n"/>
      <c r="HT13" s="562">
        <f>IF(AND(HO13:HS13),1,0)</f>
        <v/>
      </c>
      <c r="HV13" s="561" t="inlineStr">
        <is>
          <t>EMR</t>
        </is>
      </c>
      <c r="HW13" s="801">
        <f>'DATA TRANSFER'!DP167</f>
        <v/>
      </c>
      <c r="HX13" s="471" t="n"/>
      <c r="HZ13" s="561" t="n">
        <v>10</v>
      </c>
      <c r="IA13" s="471" t="n"/>
      <c r="IB13" s="822" t="inlineStr">
        <is>
          <t>APS 2 _Y</t>
        </is>
      </c>
      <c r="IC13" s="471" t="n"/>
      <c r="ID13" s="471" t="n"/>
      <c r="IE13" s="569">
        <f>HW7</f>
        <v/>
      </c>
      <c r="IF13" s="471" t="n"/>
      <c r="IG13" s="471" t="n"/>
      <c r="IH13" s="471" t="n"/>
      <c r="II13" s="562">
        <f>IF(AND(ID13:IH13),1,0)</f>
        <v/>
      </c>
      <c r="IL13" s="561" t="n">
        <v>10</v>
      </c>
      <c r="IM13" s="471" t="n"/>
      <c r="IN13" s="822" t="n"/>
      <c r="IO13" s="471" t="n"/>
      <c r="IP13" s="566" t="n"/>
      <c r="IQ13" s="566">
        <f>IU11</f>
        <v/>
      </c>
      <c r="IR13" s="471" t="n"/>
      <c r="IS13" s="471" t="n"/>
      <c r="IT13" s="471" t="n"/>
      <c r="IU13" s="562">
        <f>IF(AND(IP13:IT13),1,0)</f>
        <v/>
      </c>
      <c r="IX13" s="561" t="n">
        <v>10</v>
      </c>
      <c r="IY13" s="471" t="n"/>
      <c r="IZ13" s="822" t="n"/>
      <c r="JA13" s="471" t="n"/>
      <c r="JB13" s="566" t="n"/>
      <c r="JC13" s="566">
        <f>JG12</f>
        <v/>
      </c>
      <c r="JD13" s="471" t="n"/>
      <c r="JE13" s="471" t="n"/>
      <c r="JF13" s="471" t="n"/>
      <c r="JG13" s="571">
        <f>IF(AND(JB13:JF13),1,0)</f>
        <v/>
      </c>
      <c r="JI13" s="561" t="inlineStr">
        <is>
          <t>EMR</t>
        </is>
      </c>
      <c r="JJ13" s="801" t="n">
        <v>1</v>
      </c>
      <c r="JK13" s="471" t="n"/>
      <c r="JN13" s="561" t="n">
        <v>10</v>
      </c>
      <c r="JO13" s="471" t="n"/>
      <c r="JP13" s="822" t="n"/>
      <c r="JQ13" s="471" t="n"/>
      <c r="JR13" s="566" t="n"/>
      <c r="JS13" s="566">
        <f>JW12</f>
        <v/>
      </c>
      <c r="JT13" s="566" t="n"/>
      <c r="JU13" s="471" t="n"/>
      <c r="JV13" s="471" t="n"/>
      <c r="JW13" s="562">
        <f>IF(AND(JR13:JV13),1,0)</f>
        <v/>
      </c>
      <c r="JZ13" s="561" t="n">
        <v>10</v>
      </c>
      <c r="KA13" s="471" t="n"/>
      <c r="KB13" s="822" t="inlineStr">
        <is>
          <t xml:space="preserve">110 V DC ALWAYS ON </t>
        </is>
      </c>
      <c r="KC13" s="471" t="n"/>
      <c r="KD13" s="822" t="n"/>
      <c r="KE13" s="574">
        <f>KL7</f>
        <v/>
      </c>
      <c r="KF13" s="566" t="n"/>
      <c r="KG13" s="471" t="n"/>
      <c r="KH13" s="471" t="n"/>
      <c r="KI13" s="562">
        <f>IF(AND(KD13:KH13),1,0)</f>
        <v/>
      </c>
      <c r="KK13" s="840" t="inlineStr">
        <is>
          <t>CKT 22</t>
        </is>
      </c>
      <c r="KP13" s="561" t="n">
        <v>10</v>
      </c>
      <c r="KQ13" s="471" t="n"/>
      <c r="KR13" s="822" t="n"/>
      <c r="KS13" s="471" t="n"/>
      <c r="KT13" s="822" t="n"/>
      <c r="KU13" s="822">
        <f>KY12</f>
        <v/>
      </c>
      <c r="KV13" s="822" t="n"/>
      <c r="KW13" s="471" t="n"/>
      <c r="KX13" s="471" t="n"/>
      <c r="KY13" s="562">
        <f>IF(AND(KT13:KX13),1,0)</f>
        <v/>
      </c>
      <c r="LB13" s="561" t="n">
        <v>10</v>
      </c>
      <c r="LC13" s="471" t="n"/>
      <c r="LD13" s="822" t="n"/>
      <c r="LE13" s="471" t="n"/>
      <c r="LF13" s="822" t="n"/>
      <c r="LG13" s="822">
        <f>LK12</f>
        <v/>
      </c>
      <c r="LH13" s="822" t="n"/>
      <c r="LI13" s="471" t="n"/>
      <c r="LJ13" s="471" t="n"/>
      <c r="LK13" s="562">
        <f>IF(AND(LF13:LJ13),1,0)</f>
        <v/>
      </c>
      <c r="LM13" s="801" t="inlineStr">
        <is>
          <t>CMPC3 16A</t>
        </is>
      </c>
      <c r="LN13" s="801">
        <f>'DATA TRANSFER'!DP154</f>
        <v/>
      </c>
      <c r="LO13" s="471" t="n"/>
      <c r="LQ13" s="840">
        <f>LQ12+1</f>
        <v/>
      </c>
      <c r="LR13" s="561" t="n">
        <v>10</v>
      </c>
      <c r="LS13" s="471" t="n"/>
      <c r="LT13" s="822" t="n"/>
      <c r="LU13" s="471" t="n"/>
      <c r="LV13" s="822" t="n"/>
      <c r="LW13" s="822">
        <f>MA12</f>
        <v/>
      </c>
      <c r="LX13" s="822" t="n"/>
      <c r="LY13" s="471" t="n"/>
      <c r="LZ13" s="471" t="n"/>
      <c r="MA13" s="562">
        <f>IF(AND(LV13:LZ13),1,0)</f>
        <v/>
      </c>
      <c r="MC13" s="471" t="inlineStr">
        <is>
          <t>SMDR2</t>
        </is>
      </c>
      <c r="MD13" s="801">
        <f>BU13</f>
        <v/>
      </c>
      <c r="ME13" s="471" t="n"/>
      <c r="MH13" s="561" t="n">
        <v>10</v>
      </c>
      <c r="MI13" s="471" t="n"/>
      <c r="MJ13" s="822" t="n"/>
      <c r="MK13" s="471" t="n"/>
      <c r="ML13" s="822" t="n"/>
      <c r="MM13" s="822">
        <f>MQ12</f>
        <v/>
      </c>
      <c r="MN13" s="822" t="n"/>
      <c r="MO13" s="471" t="n"/>
      <c r="MP13" s="471" t="n"/>
      <c r="MQ13" s="562">
        <f>IF(AND(ML13:MP13),1,0)</f>
        <v/>
      </c>
      <c r="MS13" s="822" t="inlineStr">
        <is>
          <t>FADR</t>
        </is>
      </c>
      <c r="MT13" s="801">
        <f>'Mode Logic'!P18</f>
        <v/>
      </c>
      <c r="MU13" s="471" t="n"/>
    </row>
    <row r="14" ht="46.5" customHeight="1">
      <c r="A14" s="559" t="n">
        <v>11</v>
      </c>
      <c r="B14" s="471" t="n"/>
      <c r="C14" s="471" t="n"/>
      <c r="D14" s="471" t="n"/>
      <c r="E14" s="471" t="n"/>
      <c r="F14" s="801">
        <f>J13</f>
        <v/>
      </c>
      <c r="G14" s="561" t="n"/>
      <c r="H14" s="471" t="n"/>
      <c r="I14" s="471" t="n"/>
      <c r="J14" s="562">
        <f>IF(AND(E14:I14),1,0)</f>
        <v/>
      </c>
      <c r="L14" s="566" t="inlineStr">
        <is>
          <t>ELECTRICAL HEATING P=1.5 KW</t>
        </is>
      </c>
      <c r="M14" s="801">
        <f>'DATA TRANSFER'!AT18</f>
        <v/>
      </c>
      <c r="N14" s="471" t="n"/>
      <c r="P14" s="561" t="n">
        <v>11</v>
      </c>
      <c r="Q14" s="471" t="n"/>
      <c r="R14" s="561" t="n"/>
      <c r="S14" s="471" t="n"/>
      <c r="T14" s="471" t="n"/>
      <c r="U14" s="801">
        <f>Y13</f>
        <v/>
      </c>
      <c r="V14" s="471" t="n"/>
      <c r="W14" s="471" t="n"/>
      <c r="X14" s="471" t="n"/>
      <c r="Y14" s="562">
        <f>IF(AND(T14:X14),1,0)</f>
        <v/>
      </c>
      <c r="AA14" s="801" t="inlineStr">
        <is>
          <t>CMPC4 16A</t>
        </is>
      </c>
      <c r="AB14" s="801">
        <f>'DATA TRANSFER'!DP155</f>
        <v/>
      </c>
      <c r="AC14" s="471" t="n"/>
      <c r="AF14" s="561" t="n">
        <v>11</v>
      </c>
      <c r="AG14" s="471" t="n"/>
      <c r="AH14" s="471" t="n"/>
      <c r="AI14" s="471" t="n"/>
      <c r="AJ14" s="471" t="n"/>
      <c r="AK14" s="801">
        <f>AO13</f>
        <v/>
      </c>
      <c r="AL14" s="471" t="n"/>
      <c r="AM14" s="471" t="n"/>
      <c r="AN14" s="471" t="n"/>
      <c r="AO14" s="562">
        <f>IF(AND(AJ14:AN14),1,0)</f>
        <v/>
      </c>
      <c r="AS14" s="561" t="n">
        <v>11</v>
      </c>
      <c r="AT14" s="471" t="n"/>
      <c r="AU14" s="471" t="n"/>
      <c r="AV14" s="471" t="n"/>
      <c r="AW14" s="471">
        <f>BB13</f>
        <v/>
      </c>
      <c r="AX14" s="471" t="n"/>
      <c r="AY14" s="471" t="n"/>
      <c r="AZ14" s="471" t="n"/>
      <c r="BA14" s="471" t="n"/>
      <c r="BB14" s="562">
        <f>IF(AND(AW14:BA14),1,0)</f>
        <v/>
      </c>
      <c r="BI14" s="561" t="n">
        <v>11</v>
      </c>
      <c r="BJ14" s="471" t="n"/>
      <c r="BK14" s="801" t="n"/>
      <c r="BL14" s="471" t="n"/>
      <c r="BM14" s="471" t="n"/>
      <c r="BN14" s="578">
        <f>BR13</f>
        <v/>
      </c>
      <c r="BO14" s="471" t="n"/>
      <c r="BP14" s="471" t="n"/>
      <c r="BQ14" s="471" t="n"/>
      <c r="BR14" s="562">
        <f>IF(AND(BM14:BQ14),1,0)</f>
        <v/>
      </c>
      <c r="BT14" s="471" t="inlineStr">
        <is>
          <t>SMRR</t>
        </is>
      </c>
      <c r="BU14" s="471">
        <f>IF(OR('DATA TRANSFER'!DP172,'DATA TRANSFER'!DP44),1,0)</f>
        <v/>
      </c>
      <c r="BV14" s="471" t="n"/>
      <c r="BX14" s="561" t="n">
        <v>11</v>
      </c>
      <c r="BY14" s="471" t="n"/>
      <c r="BZ14" s="801" t="n"/>
      <c r="CA14" s="471" t="n"/>
      <c r="CB14" s="471" t="n"/>
      <c r="CC14" s="578">
        <f>CG13</f>
        <v/>
      </c>
      <c r="CD14" s="471" t="n"/>
      <c r="CE14" s="471" t="n"/>
      <c r="CF14" s="471" t="n"/>
      <c r="CG14" s="562">
        <f>IF(AND(CB14:CF14),1,0)</f>
        <v/>
      </c>
      <c r="CI14" s="561" t="n">
        <v>11</v>
      </c>
      <c r="CJ14" s="471" t="n"/>
      <c r="CK14" s="471" t="n"/>
      <c r="CL14" s="471" t="n"/>
      <c r="CM14" s="471" t="n"/>
      <c r="CN14" s="471">
        <f>CR12</f>
        <v/>
      </c>
      <c r="CO14" s="471" t="n"/>
      <c r="CP14" s="471" t="n"/>
      <c r="CQ14" s="471" t="n"/>
      <c r="CR14" s="562">
        <f>IF(AND(CM14:CQ14),1,0)</f>
        <v/>
      </c>
      <c r="CY14" s="561" t="n">
        <v>11</v>
      </c>
      <c r="CZ14" s="471" t="n"/>
      <c r="DA14" s="471" t="n"/>
      <c r="DB14" s="471" t="n"/>
      <c r="DC14" s="471" t="n"/>
      <c r="DD14" s="471">
        <f>DH13</f>
        <v/>
      </c>
      <c r="DE14" s="471" t="n"/>
      <c r="DF14" s="471" t="n"/>
      <c r="DG14" s="471" t="n"/>
      <c r="DH14" s="562">
        <f>IF(AND(DC14:DG14),1,0)</f>
        <v/>
      </c>
      <c r="DK14" s="561" t="n">
        <v>11</v>
      </c>
      <c r="DL14" s="471" t="n"/>
      <c r="DM14" s="471" t="inlineStr">
        <is>
          <t>24 VDC</t>
        </is>
      </c>
      <c r="DN14" s="471" t="n"/>
      <c r="DO14" s="471" t="n"/>
      <c r="DP14" s="801">
        <f>DT8</f>
        <v/>
      </c>
      <c r="DQ14" s="471" t="n"/>
      <c r="DR14" s="471" t="n"/>
      <c r="DS14" s="471" t="n"/>
      <c r="DT14" s="562">
        <f>IF(AND(DO14:DS14),1,0)</f>
        <v/>
      </c>
      <c r="DV14" s="801" t="inlineStr">
        <is>
          <t>TERMOSTAT 2</t>
        </is>
      </c>
      <c r="DW14" s="801">
        <f>'DATA TRANSFER'!DP144</f>
        <v/>
      </c>
      <c r="DX14" s="471" t="n"/>
      <c r="DZ14" s="561" t="n">
        <v>11</v>
      </c>
      <c r="EA14" s="471" t="n"/>
      <c r="EB14" s="561" t="inlineStr">
        <is>
          <t>FROM APS 415 VAC</t>
        </is>
      </c>
      <c r="EC14" s="471" t="n"/>
      <c r="ED14" s="471" t="n"/>
      <c r="EE14" s="570">
        <f>EL7</f>
        <v/>
      </c>
      <c r="EF14" s="471" t="n"/>
      <c r="EG14" s="471" t="n"/>
      <c r="EH14" s="471" t="n"/>
      <c r="EI14" s="571">
        <f>IF(AND(ED14:EH14),1,0)</f>
        <v/>
      </c>
      <c r="EO14" s="561" t="n">
        <v>11</v>
      </c>
      <c r="EP14" s="471" t="n"/>
      <c r="EQ14" s="471" t="inlineStr">
        <is>
          <t>SMDR2-110VDC</t>
        </is>
      </c>
      <c r="ER14" s="471" t="n"/>
      <c r="ES14" s="471" t="n"/>
      <c r="ET14" s="570">
        <f>FA7</f>
        <v/>
      </c>
      <c r="EU14" s="471" t="n"/>
      <c r="EV14" s="471" t="n"/>
      <c r="EW14" s="471" t="n"/>
      <c r="EX14" s="562">
        <f>IF(AND(ES14:EW14),1,0)</f>
        <v/>
      </c>
      <c r="EZ14" s="561" t="inlineStr">
        <is>
          <t>SMTR</t>
        </is>
      </c>
      <c r="FA14" s="801">
        <f>'DATA TRANSFER'!DP177</f>
        <v/>
      </c>
      <c r="FB14" s="471" t="n"/>
      <c r="FE14" s="561" t="n">
        <v>11</v>
      </c>
      <c r="FF14" s="471" t="n"/>
      <c r="FH14" s="471" t="n"/>
      <c r="FI14" s="471" t="n"/>
      <c r="FJ14" s="471">
        <f>FA20</f>
        <v/>
      </c>
      <c r="FK14" s="471" t="n"/>
      <c r="FL14" s="471" t="n"/>
      <c r="FM14" s="471" t="n"/>
      <c r="FN14" s="562">
        <f>IF(AND(FI14:FM14),1,0)</f>
        <v/>
      </c>
      <c r="FP14" s="561" t="inlineStr">
        <is>
          <t>SMTR</t>
        </is>
      </c>
      <c r="FQ14" s="561">
        <f>FA14</f>
        <v/>
      </c>
      <c r="FR14" s="471" t="n"/>
      <c r="FT14" s="561" t="n">
        <v>11</v>
      </c>
      <c r="FU14" s="471" t="n"/>
      <c r="FV14" s="561" t="inlineStr">
        <is>
          <t>SMDR2 -110VDC</t>
        </is>
      </c>
      <c r="FW14" s="471" t="n"/>
      <c r="FX14" s="471" t="n"/>
      <c r="FY14" s="573">
        <f>FQ7</f>
        <v/>
      </c>
      <c r="FZ14" s="471" t="n"/>
      <c r="GA14" s="471" t="n"/>
      <c r="GB14" s="471" t="n"/>
      <c r="GC14" s="562">
        <f>IF(AND(FX14:GB14),1,0)</f>
        <v/>
      </c>
      <c r="GF14" s="561" t="n">
        <v>11</v>
      </c>
      <c r="GG14" s="471" t="n"/>
      <c r="GH14" s="471" t="n"/>
      <c r="GI14" s="471" t="n"/>
      <c r="GJ14" s="471" t="n"/>
      <c r="GK14" s="561">
        <f>GO13</f>
        <v/>
      </c>
      <c r="GL14" s="471" t="n"/>
      <c r="GM14" s="471" t="n"/>
      <c r="GN14" s="471" t="n"/>
      <c r="GO14" s="562">
        <f>IF(AND(GJ14:GN14),1,0)</f>
        <v/>
      </c>
      <c r="GQ14" s="561" t="inlineStr">
        <is>
          <t>FADR_6</t>
        </is>
      </c>
      <c r="GR14" s="801">
        <f>IF(OR('DATA TRANSFER'!DP152,'Mode Logic'!P18),1,0)</f>
        <v/>
      </c>
      <c r="GS14" s="471" t="n"/>
      <c r="GU14" s="561" t="n">
        <v>11</v>
      </c>
      <c r="GV14" s="471" t="n"/>
      <c r="GW14" s="471" t="n"/>
      <c r="GX14" s="471" t="n"/>
      <c r="GY14" s="471" t="n"/>
      <c r="GZ14" s="801">
        <f>HD15</f>
        <v/>
      </c>
      <c r="HA14" s="471" t="n"/>
      <c r="HB14" s="471" t="n"/>
      <c r="HC14" s="471" t="n"/>
      <c r="HD14" s="571">
        <f>IF(AND(GY14:HC14),1,0)</f>
        <v/>
      </c>
      <c r="HF14" s="822" t="inlineStr">
        <is>
          <t>M DAMPER (FRESH AIR DAMPER 2 RAD 2)</t>
        </is>
      </c>
      <c r="HG14" s="801">
        <f>'Mode Logic'!P18</f>
        <v/>
      </c>
      <c r="HH14" s="471" t="n"/>
      <c r="HK14" s="561" t="n">
        <v>11</v>
      </c>
      <c r="HL14" s="471" t="n"/>
      <c r="HM14" s="561" t="inlineStr">
        <is>
          <t>APS 2</t>
        </is>
      </c>
      <c r="HN14" s="471" t="n"/>
      <c r="HO14" s="471" t="n"/>
      <c r="HP14" s="569">
        <f>HW7</f>
        <v/>
      </c>
      <c r="HQ14" s="471" t="n"/>
      <c r="HR14" s="471" t="n"/>
      <c r="HS14" s="471" t="n"/>
      <c r="HT14" s="562">
        <f>IF(AND(HO14:HS14),1,0)</f>
        <v/>
      </c>
      <c r="HV14" s="561" t="inlineStr">
        <is>
          <t>PPR1</t>
        </is>
      </c>
      <c r="HW14" s="801">
        <f>'DATA TRANSFER'!DP188</f>
        <v/>
      </c>
      <c r="HX14" s="471" t="n"/>
      <c r="HZ14" s="561" t="n">
        <v>11</v>
      </c>
      <c r="IA14" s="471" t="n"/>
      <c r="IB14" s="566" t="n"/>
      <c r="IC14" s="471" t="n"/>
      <c r="ID14" s="471" t="n"/>
      <c r="IE14" s="801">
        <f>II13</f>
        <v/>
      </c>
      <c r="IF14" s="471" t="n"/>
      <c r="IG14" s="471" t="n"/>
      <c r="IH14" s="471" t="n"/>
      <c r="II14" s="562">
        <f>IF(AND(ID14:IH14),1,0)</f>
        <v/>
      </c>
      <c r="IL14" s="561" t="n">
        <v>11</v>
      </c>
      <c r="IM14" s="471" t="n"/>
      <c r="IN14" s="566" t="n"/>
      <c r="IO14" s="471" t="n"/>
      <c r="IP14" s="566" t="n"/>
      <c r="IQ14" s="566">
        <f>IF(OR(IU8,IU12),1,0)</f>
        <v/>
      </c>
      <c r="IR14" s="471" t="n"/>
      <c r="IS14" s="471" t="n"/>
      <c r="IT14" s="471" t="n"/>
      <c r="IU14" s="562">
        <f>IF(AND(IP14:IT14),1,0)</f>
        <v/>
      </c>
      <c r="IX14" s="561" t="n">
        <v>11</v>
      </c>
      <c r="IY14" s="471" t="n"/>
      <c r="IZ14" s="822" t="inlineStr">
        <is>
          <t>FADR</t>
        </is>
      </c>
      <c r="JA14" s="471" t="n"/>
      <c r="JB14" s="566" t="n"/>
      <c r="JC14" s="575">
        <f>JJ12</f>
        <v/>
      </c>
      <c r="JD14" s="471">
        <f>JG13</f>
        <v/>
      </c>
      <c r="JE14" s="471" t="n"/>
      <c r="JF14" s="471" t="n"/>
      <c r="JG14" s="571">
        <f>IF(AND(JB14:JF14),1,0)</f>
        <v/>
      </c>
      <c r="JN14" s="561" t="n">
        <v>11</v>
      </c>
      <c r="JO14" s="471" t="n"/>
      <c r="JQ14" s="471" t="n"/>
      <c r="JR14" s="566" t="n"/>
      <c r="JS14" s="566">
        <f>JW7</f>
        <v/>
      </c>
      <c r="JT14" s="566" t="n"/>
      <c r="JU14" s="471" t="n"/>
      <c r="JV14" s="471" t="n"/>
      <c r="JW14" s="562">
        <f>IF(AND(JR14:JV14),1,0)</f>
        <v/>
      </c>
      <c r="JZ14" s="561" t="n">
        <v>11</v>
      </c>
      <c r="KA14" s="471" t="n"/>
      <c r="KB14" s="822" t="n"/>
      <c r="KC14" s="471" t="n"/>
      <c r="KD14" s="822" t="n"/>
      <c r="KE14" s="822">
        <f>KI13</f>
        <v/>
      </c>
      <c r="KF14" s="566" t="n"/>
      <c r="KG14" s="471" t="n"/>
      <c r="KH14" s="471" t="n"/>
      <c r="KI14" s="562">
        <f>IF(AND(KD14:KH14),1,0)</f>
        <v/>
      </c>
      <c r="KK14" s="563" t="inlineStr">
        <is>
          <t>COMPONENT</t>
        </is>
      </c>
      <c r="KL14" s="563" t="n"/>
      <c r="KM14" s="563" t="inlineStr">
        <is>
          <t>REMARK</t>
        </is>
      </c>
      <c r="KP14" s="561" t="n">
        <v>11</v>
      </c>
      <c r="KQ14" s="265" t="inlineStr">
        <is>
          <t>X2</t>
        </is>
      </c>
      <c r="KR14" s="822" t="inlineStr">
        <is>
          <t>APS 2  415 V AC Y</t>
        </is>
      </c>
      <c r="KS14" s="471" t="n"/>
      <c r="KT14" s="822" t="n"/>
      <c r="KU14" s="574">
        <f>KL18</f>
        <v/>
      </c>
      <c r="KV14" s="822" t="n"/>
      <c r="KW14" s="471" t="n"/>
      <c r="KX14" s="471" t="n"/>
      <c r="KY14" s="562">
        <f>IF(AND(KT14:KX14),1,0)</f>
        <v/>
      </c>
      <c r="LB14" s="561" t="n">
        <v>11</v>
      </c>
      <c r="LC14" s="471" t="n"/>
      <c r="LD14" s="822" t="inlineStr">
        <is>
          <t xml:space="preserve">PHASE  PROTECTION RELAY 2 PPR2 </t>
        </is>
      </c>
      <c r="LE14" s="471" t="n"/>
      <c r="LF14" s="822" t="n"/>
      <c r="LG14" s="574">
        <f>LN34</f>
        <v/>
      </c>
      <c r="LH14" s="822">
        <f>LK10</f>
        <v/>
      </c>
      <c r="LI14" s="471">
        <f>LK8</f>
        <v/>
      </c>
      <c r="LJ14" s="471">
        <f>LK6</f>
        <v/>
      </c>
      <c r="LK14" s="562">
        <f>IF(AND(LF14:LJ14),1,0)</f>
        <v/>
      </c>
      <c r="LM14" s="801" t="inlineStr">
        <is>
          <t>CMPC4 16A</t>
        </is>
      </c>
      <c r="LN14" s="801">
        <f>'DATA TRANSFER'!DP155</f>
        <v/>
      </c>
      <c r="LO14" s="471" t="n"/>
      <c r="LQ14" s="840">
        <f>LQ13+1</f>
        <v/>
      </c>
      <c r="LR14" s="561" t="n">
        <v>11</v>
      </c>
      <c r="LS14" s="471" t="n"/>
      <c r="LT14" s="822" t="n"/>
      <c r="LU14" s="471" t="n"/>
      <c r="LV14" s="822" t="n"/>
      <c r="LW14" s="822">
        <f>MA13</f>
        <v/>
      </c>
      <c r="LX14" s="822" t="n"/>
      <c r="LY14" s="471" t="n"/>
      <c r="LZ14" s="471" t="n"/>
      <c r="MA14" s="562">
        <f>IF(AND(LV14:LZ14),1,0)</f>
        <v/>
      </c>
      <c r="MC14" s="471" t="inlineStr">
        <is>
          <t>FADR</t>
        </is>
      </c>
      <c r="MD14" s="801">
        <f>BU15</f>
        <v/>
      </c>
      <c r="ME14" s="471" t="n"/>
      <c r="MH14" s="561" t="n">
        <v>11</v>
      </c>
      <c r="MI14" s="471" t="n"/>
      <c r="MJ14" s="822" t="inlineStr">
        <is>
          <t>SRRB</t>
        </is>
      </c>
      <c r="MK14" s="471" t="n"/>
      <c r="ML14" s="822" t="n"/>
      <c r="MM14" s="574">
        <f>MT9</f>
        <v/>
      </c>
      <c r="MN14" s="822">
        <f>MQ13</f>
        <v/>
      </c>
      <c r="MO14" s="471" t="n"/>
      <c r="MP14" s="471" t="n"/>
      <c r="MQ14" s="562">
        <f>IF(AND(ML14:MP14),1,0)</f>
        <v/>
      </c>
      <c r="MS14" s="822" t="inlineStr">
        <is>
          <t>SMDR 1</t>
        </is>
      </c>
      <c r="MT14" s="801" t="n">
        <v>1</v>
      </c>
      <c r="MU14" s="471" t="n"/>
    </row>
    <row r="15" ht="58.5" customHeight="1">
      <c r="A15" s="559" t="n">
        <v>12</v>
      </c>
      <c r="B15" s="471" t="n"/>
      <c r="C15" s="471" t="n"/>
      <c r="D15" s="471" t="n"/>
      <c r="E15" s="471" t="n"/>
      <c r="F15" s="801">
        <f>J14</f>
        <v/>
      </c>
      <c r="G15" s="561" t="n"/>
      <c r="H15" s="471" t="n"/>
      <c r="I15" s="471" t="n"/>
      <c r="J15" s="562">
        <f>IF(AND(E15:I15),1,0)</f>
        <v/>
      </c>
      <c r="L15" s="801" t="inlineStr">
        <is>
          <t>CACS 2</t>
        </is>
      </c>
      <c r="M15" s="471">
        <f>IF(OR('DATA TRANSFER'!DP135=2,'DATA TRANSFER'!DP135=3),1,0)</f>
        <v/>
      </c>
      <c r="N15" s="471" t="n"/>
      <c r="P15" s="561" t="n">
        <v>12</v>
      </c>
      <c r="Q15" s="471" t="n"/>
      <c r="R15" s="561" t="n"/>
      <c r="S15" s="471" t="n"/>
      <c r="T15" s="471" t="n"/>
      <c r="U15" s="801">
        <f>Y14</f>
        <v/>
      </c>
      <c r="V15" s="471" t="n"/>
      <c r="W15" s="471" t="n"/>
      <c r="X15" s="471" t="n"/>
      <c r="Y15" s="562">
        <f>IF(AND(T15:X15),1,0)</f>
        <v/>
      </c>
      <c r="AA15" s="822" t="inlineStr">
        <is>
          <t>SUPPLY AIR FAN 1 Pa=1.25kW P.f=0.75</t>
        </is>
      </c>
      <c r="AB15" s="801">
        <f>'DATA TRANSFER'!AT19</f>
        <v/>
      </c>
      <c r="AC15" s="471" t="n"/>
      <c r="AF15" s="561" t="n">
        <v>12</v>
      </c>
      <c r="AG15" s="471" t="n"/>
      <c r="AH15" s="471" t="n"/>
      <c r="AI15" s="471" t="n"/>
      <c r="AJ15" s="471" t="n"/>
      <c r="AK15" s="801">
        <f>AO14</f>
        <v/>
      </c>
      <c r="AL15" s="471" t="n"/>
      <c r="AM15" s="471" t="n"/>
      <c r="AN15" s="471" t="n"/>
      <c r="AO15" s="562">
        <f>IF(AND(AJ15:AN15),1,0)</f>
        <v/>
      </c>
      <c r="AS15" s="561" t="n">
        <v>12</v>
      </c>
      <c r="AT15" s="471" t="n"/>
      <c r="AU15" s="822" t="inlineStr">
        <is>
          <t>SMDRB_OPEN FAD</t>
        </is>
      </c>
      <c r="AV15" s="471" t="n"/>
      <c r="AW15" s="570">
        <f>BE8</f>
        <v/>
      </c>
      <c r="AX15" s="471">
        <f>BB14</f>
        <v/>
      </c>
      <c r="AY15" s="471">
        <f>BE9</f>
        <v/>
      </c>
      <c r="AZ15" s="471" t="n"/>
      <c r="BA15" s="471" t="n"/>
      <c r="BB15" s="562">
        <f>IF(AND(AW15:BA15),1,0)</f>
        <v/>
      </c>
      <c r="BI15" s="561" t="n">
        <v>12</v>
      </c>
      <c r="BJ15" s="566" t="n"/>
      <c r="BK15" s="405" t="inlineStr">
        <is>
          <t>DC/DC CONVERTER 1</t>
        </is>
      </c>
      <c r="BL15" s="471" t="n"/>
      <c r="BM15" s="471" t="n"/>
      <c r="BN15" s="573">
        <f>BU7</f>
        <v/>
      </c>
      <c r="BO15" s="471">
        <f>BR14</f>
        <v/>
      </c>
      <c r="BP15" s="471" t="n"/>
      <c r="BQ15" s="471" t="n"/>
      <c r="BR15" s="562">
        <f>IF(AND(BM15:BQ15),1,0)</f>
        <v/>
      </c>
      <c r="BT15" s="471" t="inlineStr">
        <is>
          <t xml:space="preserve">FADR </t>
        </is>
      </c>
      <c r="BU15" s="471">
        <f>IF(OR('DATA TRANSFER'!DP178,'Mode Logic'!P18),1,0)</f>
        <v/>
      </c>
      <c r="BV15" s="471" t="n"/>
      <c r="BX15" s="561" t="n">
        <v>12</v>
      </c>
      <c r="BY15" s="566" t="n"/>
      <c r="BZ15" s="405" t="inlineStr">
        <is>
          <t>DC/DC CONVERTER 1</t>
        </is>
      </c>
      <c r="CA15" s="471" t="n"/>
      <c r="CB15" s="471" t="n"/>
      <c r="CC15" s="573">
        <f>BU7</f>
        <v/>
      </c>
      <c r="CD15" s="471">
        <f>CG14</f>
        <v/>
      </c>
      <c r="CE15" s="471" t="n"/>
      <c r="CF15" s="471" t="n"/>
      <c r="CG15" s="562">
        <f>IF(AND(CB15:CF15),1,0)</f>
        <v/>
      </c>
      <c r="CI15" s="561" t="n">
        <v>12</v>
      </c>
      <c r="CJ15" s="566" t="n"/>
      <c r="CK15" s="561" t="n"/>
      <c r="CL15" s="471" t="n"/>
      <c r="CM15" s="471" t="n"/>
      <c r="CN15" s="471">
        <f>CR8</f>
        <v/>
      </c>
      <c r="CO15" s="471" t="n"/>
      <c r="CP15" s="471" t="n"/>
      <c r="CQ15" s="471" t="n"/>
      <c r="CR15" s="562">
        <f>IF(AND(CM15:CQ15),1,0)</f>
        <v/>
      </c>
      <c r="CY15" s="561" t="n">
        <v>12</v>
      </c>
      <c r="CZ15" s="566" t="inlineStr">
        <is>
          <t>JE .A01-X9 (15)
JE .A01 (+14.25)</t>
        </is>
      </c>
      <c r="DA15" s="822" t="inlineStr">
        <is>
          <t>RIO1
I_FADForcedOpn</t>
        </is>
      </c>
      <c r="DB15" s="471" t="n"/>
      <c r="DC15" s="471" t="n"/>
      <c r="DD15" s="570">
        <f>CU10</f>
        <v/>
      </c>
      <c r="DE15" s="471">
        <f>DH14</f>
        <v/>
      </c>
      <c r="DF15" s="471" t="n"/>
      <c r="DG15" s="471" t="n"/>
      <c r="DH15" s="562">
        <f>IF(AND(DC15:DG15),1,0)</f>
        <v/>
      </c>
      <c r="DK15" s="561" t="n">
        <v>12</v>
      </c>
      <c r="DL15" s="566" t="n"/>
      <c r="DM15" s="822" t="n"/>
      <c r="DN15" s="471" t="n"/>
      <c r="DO15" s="471" t="n"/>
      <c r="DP15" s="801">
        <f>DT14</f>
        <v/>
      </c>
      <c r="DQ15" s="471" t="n"/>
      <c r="DR15" s="471" t="n"/>
      <c r="DS15" s="471" t="n"/>
      <c r="DT15" s="562">
        <f>IF(AND(DO15:DS15),1,0)</f>
        <v/>
      </c>
      <c r="DV15" s="801" t="inlineStr">
        <is>
          <t>HTC</t>
        </is>
      </c>
      <c r="DW15" s="801">
        <f>'DATA TRANSFER'!DP145</f>
        <v/>
      </c>
      <c r="DX15" s="471" t="n"/>
      <c r="DZ15" s="561" t="n">
        <v>12</v>
      </c>
      <c r="EA15" s="566" t="n"/>
      <c r="EB15" s="822" t="n"/>
      <c r="EC15" s="471" t="n"/>
      <c r="ED15" s="471" t="n"/>
      <c r="EE15" s="471">
        <f>EI14</f>
        <v/>
      </c>
      <c r="EF15" s="471" t="n"/>
      <c r="EG15" s="471" t="n"/>
      <c r="EH15" s="471" t="n"/>
      <c r="EI15" s="571">
        <f>IF(AND(ED15:EH15),1,0)</f>
        <v/>
      </c>
      <c r="EO15" s="561" t="n">
        <v>12</v>
      </c>
      <c r="EP15" s="566" t="n"/>
      <c r="EQ15" s="822" t="n"/>
      <c r="ER15" s="471" t="n"/>
      <c r="ES15" s="471" t="n"/>
      <c r="ET15" s="471">
        <f>EX14</f>
        <v/>
      </c>
      <c r="EU15" s="471" t="n"/>
      <c r="EV15" s="471" t="n"/>
      <c r="EW15" s="471" t="n"/>
      <c r="EX15" s="562">
        <f>IF(AND(ES15:EW15),1,0)</f>
        <v/>
      </c>
      <c r="EZ15" s="801" t="inlineStr">
        <is>
          <t>SMRR</t>
        </is>
      </c>
      <c r="FA15" s="801">
        <f>IF(OR('DATA TRANSFER'!DP31,'DATA TRANSFER'!DP172),1,0)</f>
        <v/>
      </c>
      <c r="FB15" s="471" t="n"/>
      <c r="FE15" s="561" t="n">
        <v>12</v>
      </c>
      <c r="FF15" s="566" t="n"/>
      <c r="FG15" s="801" t="inlineStr">
        <is>
          <t>FADR-110VDC</t>
        </is>
      </c>
      <c r="FH15" s="471" t="n"/>
      <c r="FI15" s="471" t="n"/>
      <c r="FJ15" s="570">
        <f>FA8</f>
        <v/>
      </c>
      <c r="FK15" s="471" t="n"/>
      <c r="FL15" s="471" t="n"/>
      <c r="FM15" s="471" t="n"/>
      <c r="FN15" s="562">
        <f>IF(AND(FI15:FM15),1,0)</f>
        <v/>
      </c>
      <c r="FP15" s="801" t="inlineStr">
        <is>
          <t>SMRR</t>
        </is>
      </c>
      <c r="FQ15" s="561">
        <f>FA15</f>
        <v/>
      </c>
      <c r="FR15" s="471" t="n"/>
      <c r="FT15" s="561" t="n">
        <v>12</v>
      </c>
      <c r="FU15" s="566" t="n"/>
      <c r="FV15" s="822" t="n"/>
      <c r="FW15" s="471" t="n"/>
      <c r="FX15" s="471" t="n"/>
      <c r="FY15" s="801">
        <f>GC14</f>
        <v/>
      </c>
      <c r="FZ15" s="471" t="n"/>
      <c r="GA15" s="471" t="n"/>
      <c r="GB15" s="471" t="n"/>
      <c r="GC15" s="562">
        <f>IF(AND(FX15:GB15),1,0)</f>
        <v/>
      </c>
      <c r="GF15" s="561" t="n">
        <v>12</v>
      </c>
      <c r="GG15" s="566" t="n"/>
      <c r="GH15" s="566" t="inlineStr">
        <is>
          <t xml:space="preserve">HVAC1  SMDR </t>
        </is>
      </c>
      <c r="GI15" s="471" t="n"/>
      <c r="GJ15" s="471" t="n"/>
      <c r="GK15" s="573">
        <f>GR8</f>
        <v/>
      </c>
      <c r="GL15" s="471">
        <f>GO14</f>
        <v/>
      </c>
      <c r="GM15" s="471" t="n"/>
      <c r="GN15" s="471" t="n"/>
      <c r="GO15" s="562">
        <f>IF(AND(GJ15:GN15),1,0)</f>
        <v/>
      </c>
      <c r="GQ15" s="561" t="inlineStr">
        <is>
          <t>SFC OFF</t>
        </is>
      </c>
      <c r="GR15" s="801">
        <f>IF(OR('Mode Logic'!W18),1,0)</f>
        <v/>
      </c>
      <c r="GS15" s="471" t="n"/>
      <c r="GU15" s="561" t="n">
        <v>12</v>
      </c>
      <c r="GV15" s="566" t="n"/>
      <c r="GW15" s="822" t="n"/>
      <c r="GX15" s="471" t="n"/>
      <c r="GY15" s="471" t="n"/>
      <c r="GZ15" s="560" t="n">
        <v>1</v>
      </c>
      <c r="HA15" s="471" t="n"/>
      <c r="HB15" s="471" t="n"/>
      <c r="HC15" s="471" t="n"/>
      <c r="HD15" s="571">
        <f>IF(AND(GY15:HC15),1,0)</f>
        <v/>
      </c>
      <c r="HF15" s="822" t="inlineStr">
        <is>
          <t>TMR2</t>
        </is>
      </c>
      <c r="HG15" s="801">
        <f>'DATA TRANSFER'!DP167</f>
        <v/>
      </c>
      <c r="HH15" s="471" t="n"/>
      <c r="HK15" s="561" t="n">
        <v>12</v>
      </c>
      <c r="HL15" s="471" t="n"/>
      <c r="HM15" s="471" t="n"/>
      <c r="HN15" s="471" t="n"/>
      <c r="HO15" s="471" t="n"/>
      <c r="HP15" s="801">
        <f>HT14</f>
        <v/>
      </c>
      <c r="HQ15" s="471" t="n"/>
      <c r="HR15" s="471" t="n"/>
      <c r="HS15" s="471" t="n"/>
      <c r="HT15" s="562">
        <f>IF(AND(HO15:HS15),1,0)</f>
        <v/>
      </c>
      <c r="HV15" s="561" t="inlineStr">
        <is>
          <t>PPR2</t>
        </is>
      </c>
      <c r="HW15" s="801">
        <f>'DATA TRANSFER'!DP189</f>
        <v/>
      </c>
      <c r="HX15" s="471" t="n"/>
      <c r="HZ15" s="561" t="n">
        <v>12</v>
      </c>
      <c r="IA15" s="471" t="n"/>
      <c r="IB15" s="822" t="inlineStr">
        <is>
          <t>APS2 _B</t>
        </is>
      </c>
      <c r="IC15" s="471" t="n"/>
      <c r="ID15" s="471" t="n"/>
      <c r="IE15" s="569">
        <f>HW7</f>
        <v/>
      </c>
      <c r="IF15" s="471" t="n"/>
      <c r="IG15" s="471" t="n"/>
      <c r="IH15" s="471" t="n"/>
      <c r="II15" s="562">
        <f>IF(AND(ID15:IH15),1,0)</f>
        <v/>
      </c>
      <c r="IL15" s="561" t="n">
        <v>12</v>
      </c>
      <c r="IM15" s="471" t="n"/>
      <c r="IN15" s="822" t="inlineStr">
        <is>
          <t>24 V DC</t>
        </is>
      </c>
      <c r="IO15" s="471" t="n"/>
      <c r="IP15" s="566" t="n"/>
      <c r="IQ15" s="574">
        <f>HW17</f>
        <v/>
      </c>
      <c r="IR15" s="471">
        <f>IU4</f>
        <v/>
      </c>
      <c r="IS15" s="471" t="n"/>
      <c r="IT15" s="471" t="n"/>
      <c r="IU15" s="562">
        <f>IF(AND(IP15:IT15),1,0)</f>
        <v/>
      </c>
      <c r="IX15" s="561" t="n">
        <v>12</v>
      </c>
      <c r="IY15" s="471" t="n"/>
      <c r="IZ15" s="822" t="n"/>
      <c r="JA15" s="471" t="n"/>
      <c r="JB15" s="566" t="n"/>
      <c r="JC15" s="566">
        <f>JG14</f>
        <v/>
      </c>
      <c r="JD15" s="471" t="n"/>
      <c r="JE15" s="471" t="n"/>
      <c r="JF15" s="471" t="n"/>
      <c r="JG15" s="571">
        <f>IF(AND(JB15:JF15),1,0)</f>
        <v/>
      </c>
      <c r="JI15" s="840" t="inlineStr">
        <is>
          <t>CKT 20</t>
        </is>
      </c>
      <c r="JN15" s="561" t="n">
        <v>12</v>
      </c>
      <c r="JO15" s="471" t="n"/>
      <c r="JP15" s="822" t="inlineStr">
        <is>
          <t>HVAC2  SMDR 2</t>
        </is>
      </c>
      <c r="JQ15" s="471" t="n"/>
      <c r="JR15" s="566" t="n"/>
      <c r="JS15" s="575">
        <f>JJ19</f>
        <v/>
      </c>
      <c r="JT15" s="566">
        <f>JW14</f>
        <v/>
      </c>
      <c r="JU15" s="471" t="n"/>
      <c r="JV15" s="471" t="n"/>
      <c r="JW15" s="562">
        <f>IF(AND(JR15:JV15),1,0)</f>
        <v/>
      </c>
      <c r="JZ15" s="561" t="n">
        <v>12</v>
      </c>
      <c r="KA15" s="471" t="n"/>
      <c r="KB15" s="822" t="inlineStr">
        <is>
          <t>SFC OFF</t>
        </is>
      </c>
      <c r="KC15" s="471" t="n"/>
      <c r="KD15" s="822" t="n"/>
      <c r="KE15" s="574">
        <f>KL8</f>
        <v/>
      </c>
      <c r="KF15" s="566">
        <f>KI14</f>
        <v/>
      </c>
      <c r="KG15" s="471" t="n"/>
      <c r="KH15" s="471" t="n"/>
      <c r="KI15" s="562">
        <f>IF(AND(KD15:KH15),1,0)</f>
        <v/>
      </c>
      <c r="KK15" s="561" t="inlineStr">
        <is>
          <t xml:space="preserve">24 VDC </t>
        </is>
      </c>
      <c r="KL15" s="801" t="n">
        <v>1</v>
      </c>
      <c r="KM15" s="471" t="n"/>
      <c r="KP15" s="561" t="n">
        <v>12</v>
      </c>
      <c r="KQ15" s="471" t="n"/>
      <c r="KR15" s="822" t="n"/>
      <c r="KS15" s="471" t="n"/>
      <c r="KT15" s="822" t="n"/>
      <c r="KU15" s="822">
        <f>KY14</f>
        <v/>
      </c>
      <c r="KV15" s="822" t="n"/>
      <c r="KW15" s="471" t="n"/>
      <c r="KX15" s="471" t="n"/>
      <c r="KY15" s="562">
        <f>IF(AND(KT15:KX15),1,0)</f>
        <v/>
      </c>
      <c r="LB15" s="561" t="n">
        <v>12</v>
      </c>
      <c r="LC15" s="471" t="n"/>
      <c r="LD15" s="822" t="n"/>
      <c r="LE15" s="471" t="n"/>
      <c r="LF15" s="822" t="n"/>
      <c r="LG15" s="822">
        <f>LK5</f>
        <v/>
      </c>
      <c r="LH15" s="822" t="n"/>
      <c r="LI15" s="471" t="n"/>
      <c r="LJ15" s="471" t="n"/>
      <c r="LK15" s="562">
        <f>IF(AND(LF15:LJ15),1,0)</f>
        <v/>
      </c>
      <c r="LM15" s="822" t="inlineStr">
        <is>
          <t>SUPPLY AIR FAN 1 Pa=1.25kW P.f=0.75</t>
        </is>
      </c>
      <c r="LN15" s="801">
        <f>'DATA TRANSFER'!AT19</f>
        <v/>
      </c>
      <c r="LO15" s="471" t="n"/>
      <c r="LQ15" s="840">
        <f>LQ14+1</f>
        <v/>
      </c>
      <c r="LR15" s="561" t="n">
        <v>12</v>
      </c>
      <c r="LS15" s="471" t="n"/>
      <c r="LT15" s="822" t="n"/>
      <c r="LU15" s="471" t="n"/>
      <c r="LV15" s="822" t="n"/>
      <c r="LW15" s="822">
        <f>MA14</f>
        <v/>
      </c>
      <c r="LX15" s="822" t="n"/>
      <c r="LY15" s="471" t="n"/>
      <c r="LZ15" s="471" t="n"/>
      <c r="MA15" s="562">
        <f>IF(AND(LV15:LZ15),1,0)</f>
        <v/>
      </c>
      <c r="MC15" s="471" t="inlineStr">
        <is>
          <t xml:space="preserve">SFC OFF </t>
        </is>
      </c>
      <c r="MD15" s="801">
        <f>BU16</f>
        <v/>
      </c>
      <c r="ME15" s="471" t="n"/>
      <c r="MH15" s="561" t="n">
        <v>12</v>
      </c>
      <c r="MI15" s="471" t="n"/>
      <c r="MJ15" s="822" t="inlineStr">
        <is>
          <t>SMRR</t>
        </is>
      </c>
      <c r="MK15" s="471" t="n"/>
      <c r="ML15" s="822" t="n"/>
      <c r="MM15" s="574">
        <f>MT16</f>
        <v/>
      </c>
      <c r="MN15" s="822" t="n"/>
      <c r="MO15" s="471" t="n"/>
      <c r="MP15" s="471" t="n"/>
      <c r="MQ15" s="562">
        <f>IF(AND(ML15:MP15),1,0)</f>
        <v/>
      </c>
      <c r="MS15" s="822" t="inlineStr">
        <is>
          <t>SFC OFF</t>
        </is>
      </c>
      <c r="MT15" s="801">
        <f>IF(OR('Mode Logic'!W18),1,0)</f>
        <v/>
      </c>
      <c r="MU15" s="471" t="n"/>
    </row>
    <row r="16" ht="31" customHeight="1">
      <c r="A16" s="559" t="n">
        <v>13</v>
      </c>
      <c r="B16" s="471" t="n"/>
      <c r="C16" s="471" t="n"/>
      <c r="D16" s="471" t="n"/>
      <c r="E16" s="471" t="n"/>
      <c r="F16" s="801">
        <f>J15</f>
        <v/>
      </c>
      <c r="G16" s="561" t="n"/>
      <c r="H16" s="471" t="n"/>
      <c r="I16" s="471" t="n"/>
      <c r="J16" s="562">
        <f>IF(AND(E16:I16),1,0)</f>
        <v/>
      </c>
      <c r="L16" s="801" t="inlineStr">
        <is>
          <t>CACS 3</t>
        </is>
      </c>
      <c r="M16" s="471">
        <f>IF('DATA TRANSFER'!DP135=3,1,0)</f>
        <v/>
      </c>
      <c r="N16" s="471" t="n"/>
      <c r="P16" s="561" t="n">
        <v>13</v>
      </c>
      <c r="Q16" s="471" t="n"/>
      <c r="R16" s="561" t="inlineStr">
        <is>
          <t>PPR1</t>
        </is>
      </c>
      <c r="S16" s="471" t="n"/>
      <c r="T16" s="471" t="n"/>
      <c r="U16" s="569">
        <f>AB34</f>
        <v/>
      </c>
      <c r="V16" s="801">
        <f>Y12</f>
        <v/>
      </c>
      <c r="W16" s="801">
        <f>Y9</f>
        <v/>
      </c>
      <c r="X16" s="801">
        <f>Y6</f>
        <v/>
      </c>
      <c r="Y16" s="562">
        <f>IF(AND(T16:X16),1,0)</f>
        <v/>
      </c>
      <c r="Z16" s="840">
        <f>'Mode Logic'!Q18</f>
        <v/>
      </c>
      <c r="AA16" s="822" t="inlineStr">
        <is>
          <t>SUPPLY AIR FAN 1 Pa=1.25kW P.f=0.76</t>
        </is>
      </c>
      <c r="AB16" s="801">
        <f>'DATA TRANSFER'!AT19</f>
        <v/>
      </c>
      <c r="AC16" s="471" t="n"/>
      <c r="AF16" s="561" t="n">
        <v>13</v>
      </c>
      <c r="AG16" s="471" t="n"/>
      <c r="AH16" s="471" t="inlineStr">
        <is>
          <t>PPR1</t>
        </is>
      </c>
      <c r="AI16" s="471" t="n"/>
      <c r="AJ16" s="471" t="n"/>
      <c r="AK16" s="569">
        <f>AB33</f>
        <v/>
      </c>
      <c r="AL16" s="801">
        <f>AO12</f>
        <v/>
      </c>
      <c r="AM16" s="801">
        <f>AO9</f>
        <v/>
      </c>
      <c r="AN16" s="801">
        <f>AO6</f>
        <v/>
      </c>
      <c r="AO16" s="562">
        <f>IF(AND(AJ16:AN16),1,0)</f>
        <v/>
      </c>
      <c r="AS16" s="561" t="n">
        <v>13</v>
      </c>
      <c r="AT16" s="471" t="n"/>
      <c r="AU16" s="471" t="n"/>
      <c r="AV16" s="471" t="n"/>
      <c r="AW16" s="471">
        <f>BB15</f>
        <v/>
      </c>
      <c r="AX16" s="471" t="n"/>
      <c r="AY16" s="471" t="n"/>
      <c r="AZ16" s="471" t="n"/>
      <c r="BA16" s="471" t="n"/>
      <c r="BB16" s="562">
        <f>IF(AND(AW16:BA16),1,0)</f>
        <v/>
      </c>
      <c r="BI16" s="561" t="n">
        <v>13</v>
      </c>
      <c r="BJ16" s="471" t="n"/>
      <c r="BK16" s="471" t="n"/>
      <c r="BL16" s="471" t="n"/>
      <c r="BM16" s="471" t="n"/>
      <c r="BN16" s="578">
        <f>BR15</f>
        <v/>
      </c>
      <c r="BO16" s="471" t="n"/>
      <c r="BP16" s="471" t="n"/>
      <c r="BQ16" s="471" t="n"/>
      <c r="BR16" s="562">
        <f>IF(AND(BM16:BQ16),1,0)</f>
        <v/>
      </c>
      <c r="BT16" s="471" t="inlineStr">
        <is>
          <t>SFC 0FF</t>
        </is>
      </c>
      <c r="BU16" s="471">
        <f>IF(OR('DATA TRANSFER'!DP147,'DATA TRANSFER'!DP185),1,0)</f>
        <v/>
      </c>
      <c r="BV16" s="471" t="n"/>
      <c r="BX16" s="561" t="n">
        <v>13</v>
      </c>
      <c r="BY16" s="471" t="n"/>
      <c r="BZ16" s="471" t="n"/>
      <c r="CA16" s="471" t="n"/>
      <c r="CB16" s="471" t="n"/>
      <c r="CC16" s="578">
        <f>CG15</f>
        <v/>
      </c>
      <c r="CD16" s="471" t="n"/>
      <c r="CE16" s="471" t="n"/>
      <c r="CF16" s="471" t="n"/>
      <c r="CG16" s="562">
        <f>IF(AND(CB16:CF16),1,0)</f>
        <v/>
      </c>
      <c r="CI16" s="561" t="n">
        <v>13</v>
      </c>
      <c r="CJ16" s="822" t="inlineStr">
        <is>
          <t>UD .X63.22-F 1 +63.20</t>
        </is>
      </c>
      <c r="CK16" s="561" t="n"/>
      <c r="CL16" s="471" t="n"/>
      <c r="CM16" s="471" t="n"/>
      <c r="CN16" s="471">
        <f>CR15</f>
        <v/>
      </c>
      <c r="CO16" s="471" t="n"/>
      <c r="CP16" s="471" t="n"/>
      <c r="CQ16" s="471" t="n"/>
      <c r="CR16" s="562">
        <f>IF(AND(CM16:CQ16),1,0)</f>
        <v/>
      </c>
      <c r="CY16" s="561" t="n">
        <v>13</v>
      </c>
      <c r="CZ16" s="561" t="n"/>
      <c r="DA16" s="471" t="n"/>
      <c r="DB16" s="471" t="n"/>
      <c r="DC16" s="471" t="n"/>
      <c r="DD16" s="471">
        <f>DH13</f>
        <v/>
      </c>
      <c r="DE16" s="471" t="n"/>
      <c r="DF16" s="471" t="n"/>
      <c r="DG16" s="471" t="n"/>
      <c r="DH16" s="562">
        <f>IF(AND(DC16:DG16),1,0)</f>
        <v/>
      </c>
      <c r="DK16" s="561" t="n">
        <v>13</v>
      </c>
      <c r="DL16" s="801" t="inlineStr">
        <is>
          <t>LAS03(14.30)</t>
        </is>
      </c>
      <c r="DM16" s="801" t="inlineStr">
        <is>
          <t>CACS</t>
        </is>
      </c>
      <c r="DN16" s="471" t="n"/>
      <c r="DO16" s="471" t="n"/>
      <c r="DP16" s="569">
        <f>DW8</f>
        <v/>
      </c>
      <c r="DQ16" s="471">
        <f>DT15</f>
        <v/>
      </c>
      <c r="DR16" s="471" t="n"/>
      <c r="DS16" s="471" t="n"/>
      <c r="DT16" s="562">
        <f>IF(AND(DO16:DS16),1,0)</f>
        <v/>
      </c>
      <c r="DV16" s="566" t="inlineStr">
        <is>
          <t>ELECTRICAL HEATING P=1.5 KW</t>
        </is>
      </c>
      <c r="DW16" s="801">
        <f>'DATA TRANSFER'!AT18</f>
        <v/>
      </c>
      <c r="DX16" s="471" t="n"/>
      <c r="DZ16" s="561" t="n">
        <v>13</v>
      </c>
      <c r="EA16" s="561" t="n"/>
      <c r="EB16" s="561" t="inlineStr">
        <is>
          <t>FROM APS 415 VAC</t>
        </is>
      </c>
      <c r="EC16" s="471" t="n"/>
      <c r="ED16" s="471" t="n"/>
      <c r="EE16" s="570">
        <f>EL7</f>
        <v/>
      </c>
      <c r="EF16" s="471" t="n"/>
      <c r="EG16" s="471" t="n"/>
      <c r="EH16" s="471" t="n"/>
      <c r="EI16" s="571">
        <f>IF(AND(ED16:EH16),1,0)</f>
        <v/>
      </c>
      <c r="EO16" s="561" t="n">
        <v>13</v>
      </c>
      <c r="EP16" s="561" t="n"/>
      <c r="EQ16" s="801" t="inlineStr">
        <is>
          <t>FADR-110VDC</t>
        </is>
      </c>
      <c r="ER16" s="471" t="n"/>
      <c r="ES16" s="471" t="n"/>
      <c r="ET16" s="565">
        <f>FA8</f>
        <v/>
      </c>
      <c r="EU16" s="471" t="n"/>
      <c r="EV16" s="471" t="n"/>
      <c r="EW16" s="471" t="n"/>
      <c r="EX16" s="562">
        <f>IF(AND(ES16:EW16),1,0)</f>
        <v/>
      </c>
      <c r="EZ16" s="561" t="inlineStr">
        <is>
          <t>SFC OFF</t>
        </is>
      </c>
      <c r="FA16" s="801">
        <f>IF(OR('Mode Logic'!W18),1,0)</f>
        <v/>
      </c>
      <c r="FB16" s="471" t="n"/>
      <c r="FE16" s="561" t="n">
        <v>13</v>
      </c>
      <c r="FF16" s="561" t="n"/>
      <c r="FJ16" s="840">
        <f>FN15</f>
        <v/>
      </c>
      <c r="FK16" s="471" t="n"/>
      <c r="FL16" s="471" t="n"/>
      <c r="FM16" s="471" t="n"/>
      <c r="FN16" s="562">
        <f>IF(AND(FI16:FM16),1,0)</f>
        <v/>
      </c>
      <c r="FP16" s="561" t="inlineStr">
        <is>
          <t>SFC OFF</t>
        </is>
      </c>
      <c r="FQ16" s="561">
        <f>FA16</f>
        <v/>
      </c>
      <c r="FR16" s="471" t="n"/>
      <c r="FT16" s="561" t="n">
        <v>13</v>
      </c>
      <c r="FU16" s="561" t="n"/>
      <c r="FV16" s="801" t="inlineStr">
        <is>
          <t xml:space="preserve">FADR -110VDC </t>
        </is>
      </c>
      <c r="FW16" s="471" t="n"/>
      <c r="FX16" s="471" t="n"/>
      <c r="FY16" s="569">
        <f>FQ8</f>
        <v/>
      </c>
      <c r="FZ16" s="471" t="n"/>
      <c r="GA16" s="471" t="n"/>
      <c r="GB16" s="471" t="n"/>
      <c r="GC16" s="562">
        <f>IF(AND(FX16:GB16),1,0)</f>
        <v/>
      </c>
      <c r="GF16" s="561" t="n">
        <v>13</v>
      </c>
      <c r="GG16" s="561" t="n"/>
      <c r="GH16" s="471" t="n"/>
      <c r="GI16" s="471" t="n"/>
      <c r="GJ16" s="471" t="n"/>
      <c r="GK16" s="561">
        <f>GO15</f>
        <v/>
      </c>
      <c r="GL16" s="471" t="n"/>
      <c r="GM16" s="471" t="n"/>
      <c r="GN16" s="471" t="n"/>
      <c r="GO16" s="562">
        <f>IF(AND(GJ16:GN16),1,0)</f>
        <v/>
      </c>
      <c r="GU16" s="561" t="n">
        <v>13</v>
      </c>
      <c r="GV16" s="561" t="n"/>
      <c r="GW16" s="471" t="n"/>
      <c r="GX16" s="471" t="n"/>
      <c r="GY16" s="471" t="n"/>
      <c r="GZ16" s="801">
        <f>HD52</f>
        <v/>
      </c>
      <c r="HA16" s="471" t="n"/>
      <c r="HB16" s="471" t="n"/>
      <c r="HC16" s="471" t="n"/>
      <c r="HD16" s="571">
        <f>IF(AND(GY16:HC16),1,0)</f>
        <v/>
      </c>
      <c r="HF16" s="561" t="inlineStr">
        <is>
          <t>24 V HEC</t>
        </is>
      </c>
      <c r="HG16" s="801">
        <f>'LFD New'!D2</f>
        <v/>
      </c>
      <c r="HH16" s="471" t="n"/>
      <c r="HK16" s="561" t="n">
        <v>13</v>
      </c>
      <c r="HL16" s="471" t="n"/>
      <c r="HM16" s="471" t="n"/>
      <c r="HN16" s="471" t="inlineStr">
        <is>
          <t> </t>
        </is>
      </c>
      <c r="HO16" s="471" t="n"/>
      <c r="HP16" s="801">
        <f>HT7</f>
        <v/>
      </c>
      <c r="HQ16" s="471" t="n"/>
      <c r="HR16" s="471" t="n"/>
      <c r="HS16" s="471" t="n"/>
      <c r="HT16" s="562">
        <f>IF(AND(HO16:HS16),1,0)</f>
        <v/>
      </c>
      <c r="HV16" s="561" t="inlineStr">
        <is>
          <t>TMR1</t>
        </is>
      </c>
      <c r="HW16" s="801">
        <f>'DATA TRANSFER'!DP175</f>
        <v/>
      </c>
      <c r="HX16" s="471" t="n"/>
      <c r="HZ16" s="561" t="n">
        <v>13</v>
      </c>
      <c r="IA16" s="471" t="n"/>
      <c r="IB16" s="471" t="n"/>
      <c r="IC16" s="471" t="n"/>
      <c r="ID16" s="471" t="n"/>
      <c r="IE16" s="801">
        <f>II15</f>
        <v/>
      </c>
      <c r="IF16" s="471" t="n"/>
      <c r="IG16" s="471" t="n"/>
      <c r="IH16" s="471" t="n"/>
      <c r="II16" s="562">
        <f>IF(AND(ID16:IH16),1,0)</f>
        <v/>
      </c>
      <c r="IL16" s="561" t="n">
        <v>13</v>
      </c>
      <c r="IM16" s="471" t="n"/>
      <c r="IN16" s="822" t="inlineStr">
        <is>
          <t>ESAFC</t>
        </is>
      </c>
      <c r="IO16" s="471" t="n"/>
      <c r="IP16" s="566" t="n"/>
      <c r="IQ16" s="574">
        <f>'DATA TRANSFER'!DP168</f>
        <v/>
      </c>
      <c r="IR16" s="471">
        <f>IU15</f>
        <v/>
      </c>
      <c r="IS16" s="471">
        <f>IU4</f>
        <v/>
      </c>
      <c r="IT16" s="471" t="n"/>
      <c r="IU16" s="562">
        <f>IF(AND(IP16:IT16),1,0)</f>
        <v/>
      </c>
      <c r="IX16" s="561" t="n">
        <v>13</v>
      </c>
      <c r="IY16" s="471" t="n"/>
      <c r="IZ16" s="822" t="n"/>
      <c r="JA16" s="471" t="n"/>
      <c r="JB16" s="566" t="n"/>
      <c r="JC16" s="566">
        <f>JG14</f>
        <v/>
      </c>
      <c r="JD16" s="471" t="n"/>
      <c r="JE16" s="471" t="n"/>
      <c r="JF16" s="471" t="n"/>
      <c r="JG16" s="571">
        <f>IF(AND(JB16:JF16),1,0)</f>
        <v/>
      </c>
      <c r="JI16" s="563" t="inlineStr">
        <is>
          <t>COMPONENT</t>
        </is>
      </c>
      <c r="JJ16" s="563" t="n"/>
      <c r="JK16" s="563" t="inlineStr">
        <is>
          <t>REMARK</t>
        </is>
      </c>
      <c r="JN16" s="561" t="n">
        <v>13</v>
      </c>
      <c r="JO16" s="471" t="n"/>
      <c r="JP16" s="801" t="n"/>
      <c r="JQ16" s="471" t="n"/>
      <c r="JR16" s="566" t="n"/>
      <c r="JS16" s="566">
        <f>JW15</f>
        <v/>
      </c>
      <c r="JT16" s="566" t="n"/>
      <c r="JU16" s="471" t="n"/>
      <c r="JV16" s="471" t="n"/>
      <c r="JW16" s="562">
        <f>IF(AND(JR16:JV16),1,0)</f>
        <v/>
      </c>
      <c r="JZ16" s="561" t="n">
        <v>13</v>
      </c>
      <c r="KA16" s="471" t="n"/>
      <c r="KB16" s="822" t="n"/>
      <c r="KC16" s="471" t="n"/>
      <c r="KD16" s="822" t="n"/>
      <c r="KE16" s="822">
        <f>KI15</f>
        <v/>
      </c>
      <c r="KF16" s="566" t="n"/>
      <c r="KG16" s="471" t="n"/>
      <c r="KH16" s="471" t="n"/>
      <c r="KI16" s="562">
        <f>IF(AND(KD16:KH16),1,0)</f>
        <v/>
      </c>
      <c r="KK16" s="561" t="inlineStr">
        <is>
          <t>110 V DC</t>
        </is>
      </c>
      <c r="KL16" s="801" t="n">
        <v>1</v>
      </c>
      <c r="KM16" s="471" t="n"/>
      <c r="KP16" s="561" t="n">
        <v>13</v>
      </c>
      <c r="KQ16" s="265" t="inlineStr">
        <is>
          <t>X2</t>
        </is>
      </c>
      <c r="KR16" s="822" t="inlineStr">
        <is>
          <t>APS 2 415 V AC B</t>
        </is>
      </c>
      <c r="KS16" s="471" t="n"/>
      <c r="KT16" s="822" t="n"/>
      <c r="KU16" s="574">
        <f>KL18</f>
        <v/>
      </c>
      <c r="KV16" s="822" t="n"/>
      <c r="KW16" s="471" t="n"/>
      <c r="KX16" s="471" t="n"/>
      <c r="KY16" s="562">
        <f>IF(AND(KT16:KX16),1,0)</f>
        <v/>
      </c>
      <c r="LB16" s="561" t="n">
        <v>13</v>
      </c>
      <c r="LC16" s="471" t="n"/>
      <c r="LD16" s="822" t="n"/>
      <c r="LE16" s="471" t="n"/>
      <c r="LF16" s="822" t="n"/>
      <c r="LG16" s="822">
        <f>LK24</f>
        <v/>
      </c>
      <c r="LH16" s="822">
        <f>LK15</f>
        <v/>
      </c>
      <c r="LI16" s="471" t="n"/>
      <c r="LJ16" s="471" t="n"/>
      <c r="LK16" s="562">
        <f>IF(AND(LF16:LJ16),1,0)</f>
        <v/>
      </c>
      <c r="LM16" s="822" t="inlineStr">
        <is>
          <t>SUPPLY AIR FAN 1 Pa=1.25kW P.f=0.76</t>
        </is>
      </c>
      <c r="LN16" s="801">
        <f>'DATA TRANSFER'!AT19</f>
        <v/>
      </c>
      <c r="LO16" s="471" t="n"/>
      <c r="LQ16" s="840">
        <f>LQ15+1</f>
        <v/>
      </c>
      <c r="LR16" s="561" t="n">
        <v>13</v>
      </c>
      <c r="LS16" s="471" t="n"/>
      <c r="LT16" s="822" t="n"/>
      <c r="LU16" s="471" t="n"/>
      <c r="LV16" s="822" t="n"/>
      <c r="LW16" s="822">
        <f>MA15</f>
        <v/>
      </c>
      <c r="LX16" s="822" t="n"/>
      <c r="LY16" s="471" t="n"/>
      <c r="LZ16" s="471" t="n"/>
      <c r="MA16" s="562">
        <f>IF(AND(LV16:LZ16),1,0)</f>
        <v/>
      </c>
      <c r="MC16" s="471" t="inlineStr">
        <is>
          <t>24 V DC</t>
        </is>
      </c>
      <c r="MD16" s="801" t="n">
        <v>1</v>
      </c>
      <c r="ME16" s="471" t="n"/>
      <c r="MH16" s="561" t="n">
        <v>13</v>
      </c>
      <c r="MI16" s="471" t="n"/>
      <c r="MJ16" s="471" t="n"/>
      <c r="MK16" s="471" t="n"/>
      <c r="ML16" s="471" t="n"/>
      <c r="MM16" s="567" t="n">
        <v>1</v>
      </c>
      <c r="MN16" s="471" t="n"/>
      <c r="MO16" s="471" t="n"/>
      <c r="MP16" s="471" t="n"/>
      <c r="MQ16" s="562">
        <f>IF(AND(ML16:MP16),1,0)</f>
        <v/>
      </c>
      <c r="MS16" s="822" t="inlineStr">
        <is>
          <t>SMRR</t>
        </is>
      </c>
      <c r="MT16" s="801">
        <f>'DATA TRANSFER'!DP172</f>
        <v/>
      </c>
      <c r="MU16" s="471" t="n"/>
    </row>
    <row r="17" ht="42.75" customHeight="1">
      <c r="A17" s="559" t="n">
        <v>14</v>
      </c>
      <c r="B17" s="471" t="n"/>
      <c r="C17" s="471" t="n"/>
      <c r="D17" s="471" t="n"/>
      <c r="E17" s="471" t="n"/>
      <c r="F17" s="801">
        <f>J16</f>
        <v/>
      </c>
      <c r="G17" s="561" t="n"/>
      <c r="H17" s="471" t="n"/>
      <c r="I17" s="471" t="n"/>
      <c r="J17" s="562">
        <f>IF(AND(E17:I17),1,0)</f>
        <v/>
      </c>
      <c r="P17" s="561" t="n">
        <v>14</v>
      </c>
      <c r="Q17" s="471" t="n"/>
      <c r="R17" s="561" t="n"/>
      <c r="S17" s="471" t="n"/>
      <c r="T17" s="471" t="n"/>
      <c r="U17" s="801">
        <f>Y6</f>
        <v/>
      </c>
      <c r="V17" s="471" t="n"/>
      <c r="W17" s="471" t="n"/>
      <c r="X17" s="471" t="n"/>
      <c r="Y17" s="562">
        <f>IF(AND(T17:X17),1,0)</f>
        <v/>
      </c>
      <c r="AA17" s="566" t="inlineStr">
        <is>
          <t>COMPRESSOR 1 (3A) Pa=7.5kW P.f=0.75</t>
        </is>
      </c>
      <c r="AB17" s="801">
        <f>'Mode Logic'!L18</f>
        <v/>
      </c>
      <c r="AC17" s="471" t="n"/>
      <c r="AF17" s="561" t="n">
        <v>14</v>
      </c>
      <c r="AG17" s="471" t="n"/>
      <c r="AH17" s="471" t="n"/>
      <c r="AI17" s="471" t="n"/>
      <c r="AJ17" s="471" t="n"/>
      <c r="AK17" s="801">
        <f>AO6</f>
        <v/>
      </c>
      <c r="AL17" s="471" t="n"/>
      <c r="AM17" s="471" t="n"/>
      <c r="AN17" s="471" t="n"/>
      <c r="AO17" s="562">
        <f>IF(AND(AJ17:AN17),1,0)</f>
        <v/>
      </c>
      <c r="AS17" s="561" t="n">
        <v>14</v>
      </c>
      <c r="AT17" s="471" t="n"/>
      <c r="AU17" s="471" t="n"/>
      <c r="AV17" s="471" t="n"/>
      <c r="AW17" s="471">
        <f>BB16</f>
        <v/>
      </c>
      <c r="AX17" s="471" t="n"/>
      <c r="AY17" s="471" t="n"/>
      <c r="AZ17" s="471" t="n"/>
      <c r="BA17" s="471" t="n"/>
      <c r="BB17" s="562">
        <f>IF(AND(AW17:BA17),1,0)</f>
        <v/>
      </c>
      <c r="BI17" s="561" t="n">
        <v>14</v>
      </c>
      <c r="BJ17" s="471" t="n"/>
      <c r="BK17" s="471" t="n"/>
      <c r="BL17" s="471" t="n"/>
      <c r="BM17" s="471" t="n"/>
      <c r="BN17" s="561">
        <f>BR16</f>
        <v/>
      </c>
      <c r="BO17" s="471" t="n"/>
      <c r="BP17" s="471" t="n"/>
      <c r="BQ17" s="471" t="n"/>
      <c r="BR17" s="562">
        <f>IF(AND(BM17:BQ17),1,0)</f>
        <v/>
      </c>
      <c r="BT17" s="840" t="inlineStr">
        <is>
          <t xml:space="preserve">HAVC ON </t>
        </is>
      </c>
      <c r="BU17" s="840">
        <f>'LFD New'!D2</f>
        <v/>
      </c>
      <c r="BX17" s="561" t="n">
        <v>14</v>
      </c>
      <c r="BY17" s="471" t="n"/>
      <c r="BZ17" s="471" t="n"/>
      <c r="CA17" s="471" t="n"/>
      <c r="CB17" s="471" t="n"/>
      <c r="CC17" s="561">
        <f>CG16</f>
        <v/>
      </c>
      <c r="CD17" s="471" t="n"/>
      <c r="CE17" s="471" t="n"/>
      <c r="CF17" s="471" t="n"/>
      <c r="CG17" s="562">
        <f>IF(AND(CB17:CF17),1,0)</f>
        <v/>
      </c>
      <c r="CI17" s="561" t="n">
        <v>14</v>
      </c>
      <c r="CJ17" s="471" t="n"/>
      <c r="CK17" s="471" t="n"/>
      <c r="CL17" s="471" t="n"/>
      <c r="CM17" s="471" t="n"/>
      <c r="CN17" s="471">
        <f>CR15</f>
        <v/>
      </c>
      <c r="CO17" s="471" t="n"/>
      <c r="CP17" s="471" t="n"/>
      <c r="CQ17" s="471" t="n"/>
      <c r="CR17" s="562">
        <f>IF(AND(CM17:CQ17),1,0)</f>
        <v/>
      </c>
      <c r="CY17" s="561" t="n">
        <v>14</v>
      </c>
      <c r="CZ17" s="566" t="inlineStr">
        <is>
          <t>JE .A01-X9 (15)
JE .A01 (+14.25)</t>
        </is>
      </c>
      <c r="DA17" s="822" t="inlineStr">
        <is>
          <t>RIO2
I_FADForcedOpn</t>
        </is>
      </c>
      <c r="DB17" s="471" t="n"/>
      <c r="DC17" s="471" t="n"/>
      <c r="DD17" s="570">
        <f>CU10</f>
        <v/>
      </c>
      <c r="DE17" s="471">
        <f>DH16</f>
        <v/>
      </c>
      <c r="DF17" s="471" t="n"/>
      <c r="DG17" s="471" t="n"/>
      <c r="DH17" s="562">
        <f>IF(AND(DC17:DG17),1,0)</f>
        <v/>
      </c>
      <c r="DK17" s="561" t="n">
        <v>14</v>
      </c>
      <c r="DL17" s="566" t="n"/>
      <c r="DM17" s="822" t="n"/>
      <c r="DN17" s="471" t="n"/>
      <c r="DO17" s="471" t="n"/>
      <c r="DP17" s="801">
        <f>DT16</f>
        <v/>
      </c>
      <c r="DQ17" s="471" t="n"/>
      <c r="DR17" s="471" t="n"/>
      <c r="DS17" s="471" t="n"/>
      <c r="DT17" s="562">
        <f>IF(AND(DO17:DS17),1,0)</f>
        <v/>
      </c>
      <c r="DV17" s="471" t="inlineStr">
        <is>
          <t>HTCN</t>
        </is>
      </c>
      <c r="DW17" s="801">
        <f>'DATA TRANSFER'!DP196</f>
        <v/>
      </c>
      <c r="DX17" s="471" t="n"/>
      <c r="DZ17" s="561" t="n">
        <v>14</v>
      </c>
      <c r="EA17" s="566" t="n"/>
      <c r="EB17" s="822" t="n"/>
      <c r="EC17" s="471" t="n"/>
      <c r="ED17" s="471" t="n"/>
      <c r="EE17" s="471">
        <f>EI16</f>
        <v/>
      </c>
      <c r="EF17" s="471" t="n"/>
      <c r="EG17" s="471" t="n"/>
      <c r="EH17" s="471" t="n"/>
      <c r="EI17" s="571">
        <f>IF(AND(ED17:EH17),1,0)</f>
        <v/>
      </c>
      <c r="EO17" s="561" t="n">
        <v>14</v>
      </c>
      <c r="EP17" s="566" t="n"/>
      <c r="EQ17" s="822" t="n"/>
      <c r="ER17" s="471" t="n"/>
      <c r="ES17" s="471" t="n"/>
      <c r="ET17" s="471">
        <f>EX16</f>
        <v/>
      </c>
      <c r="EU17" s="471" t="n"/>
      <c r="EV17" s="471" t="n"/>
      <c r="EW17" s="471" t="n"/>
      <c r="EX17" s="562">
        <f>IF(AND(ES17:EW17),1,0)</f>
        <v/>
      </c>
      <c r="EZ17" s="561" t="inlineStr">
        <is>
          <t>FADR</t>
        </is>
      </c>
      <c r="FA17" s="801">
        <f>'DATA TRANSFER'!DP178</f>
        <v/>
      </c>
      <c r="FB17" s="471" t="n"/>
      <c r="FE17" s="561" t="n">
        <v>14</v>
      </c>
      <c r="FF17" s="566" t="n"/>
      <c r="FG17" s="822" t="n"/>
      <c r="FH17" s="471" t="n"/>
      <c r="FI17" s="471" t="n"/>
      <c r="FJ17" s="471">
        <f>FN16</f>
        <v/>
      </c>
      <c r="FK17" s="471" t="n"/>
      <c r="FL17" s="471" t="n"/>
      <c r="FM17" s="471" t="n"/>
      <c r="FN17" s="562">
        <f>IF(AND(FI17:FM17),1,0)</f>
        <v/>
      </c>
      <c r="FP17" s="561" t="inlineStr">
        <is>
          <t>FADR</t>
        </is>
      </c>
      <c r="FQ17" s="561">
        <f>FA17</f>
        <v/>
      </c>
      <c r="FR17" s="471" t="n"/>
      <c r="FT17" s="561" t="n">
        <v>14</v>
      </c>
      <c r="FU17" s="566" t="n"/>
      <c r="FV17" s="822" t="n"/>
      <c r="FW17" s="471" t="n"/>
      <c r="FX17" s="471" t="n"/>
      <c r="FY17" s="801">
        <f>GC16</f>
        <v/>
      </c>
      <c r="FZ17" s="471" t="n"/>
      <c r="GA17" s="471" t="n"/>
      <c r="GB17" s="471" t="n"/>
      <c r="GC17" s="562">
        <f>IF(AND(FX17:GB17),1,0)</f>
        <v/>
      </c>
      <c r="GF17" s="561" t="n">
        <v>14</v>
      </c>
      <c r="GG17" s="566" t="n"/>
      <c r="GH17" s="566" t="inlineStr">
        <is>
          <t xml:space="preserve">HVAC2  SMDR </t>
        </is>
      </c>
      <c r="GI17" s="471" t="n"/>
      <c r="GJ17" s="471" t="n"/>
      <c r="GK17" s="573">
        <f>GR8</f>
        <v/>
      </c>
      <c r="GL17" s="471">
        <f>GO14</f>
        <v/>
      </c>
      <c r="GM17" s="471" t="n"/>
      <c r="GN17" s="471" t="n"/>
      <c r="GO17" s="562">
        <f>IF(AND(GJ17:GN17),1,0)</f>
        <v/>
      </c>
      <c r="GU17" s="561" t="n">
        <v>14</v>
      </c>
      <c r="GV17" s="566" t="n"/>
      <c r="GW17" s="822" t="n"/>
      <c r="GX17" s="471" t="n"/>
      <c r="GY17" s="471" t="n"/>
      <c r="GZ17" s="801">
        <f>HD18</f>
        <v/>
      </c>
      <c r="HA17" s="471" t="n"/>
      <c r="HB17" s="471" t="n"/>
      <c r="HC17" s="471" t="n"/>
      <c r="HD17" s="571">
        <f>IF(AND(GY17:HC17),1,0)</f>
        <v/>
      </c>
      <c r="HF17" s="471" t="inlineStr">
        <is>
          <t xml:space="preserve">RAD OPEN </t>
        </is>
      </c>
      <c r="HG17" s="801" t="n"/>
      <c r="HH17" s="471" t="n"/>
      <c r="HK17" s="561" t="n">
        <v>14</v>
      </c>
      <c r="HL17" s="471" t="n"/>
      <c r="HM17" s="471" t="n"/>
      <c r="HN17" s="471" t="n"/>
      <c r="HO17" s="471" t="n"/>
      <c r="HP17" s="801">
        <f>HT12</f>
        <v/>
      </c>
      <c r="HQ17" s="471" t="n"/>
      <c r="HR17" s="471" t="n"/>
      <c r="HS17" s="471" t="n"/>
      <c r="HT17" s="562">
        <f>IF(AND(HO17:HS17),1,0)</f>
        <v/>
      </c>
      <c r="HV17" s="561" t="inlineStr">
        <is>
          <t xml:space="preserve">24 VDC </t>
        </is>
      </c>
      <c r="HW17" s="801">
        <f>'LFD New'!D2</f>
        <v/>
      </c>
      <c r="HX17" s="471" t="n"/>
      <c r="HZ17" s="561" t="n">
        <v>14</v>
      </c>
      <c r="IA17" s="471" t="n"/>
      <c r="IB17" s="822" t="inlineStr">
        <is>
          <t>PPR2</t>
        </is>
      </c>
      <c r="IC17" s="471" t="n"/>
      <c r="ID17" s="471" t="n"/>
      <c r="IE17" s="801">
        <f>HW15</f>
        <v/>
      </c>
      <c r="IF17" s="471">
        <f>II12</f>
        <v/>
      </c>
      <c r="IG17" s="471">
        <f>II14</f>
        <v/>
      </c>
      <c r="IH17" s="471">
        <f>II16</f>
        <v/>
      </c>
      <c r="II17" s="562">
        <f>IF(AND(ID17:IH17),1,0)</f>
        <v/>
      </c>
      <c r="IL17" s="561" t="n">
        <v>14</v>
      </c>
      <c r="IM17" s="471" t="n"/>
      <c r="IN17" s="822" t="n"/>
      <c r="IO17" s="471" t="n"/>
      <c r="IP17" s="566" t="n"/>
      <c r="IQ17" s="566">
        <f>IU16</f>
        <v/>
      </c>
      <c r="IR17" s="471" t="n"/>
      <c r="IS17" s="471" t="n"/>
      <c r="IT17" s="471" t="n"/>
      <c r="IU17" s="562">
        <f>IF(AND(IP17:IT17),1,0)</f>
        <v/>
      </c>
      <c r="IX17" s="561" t="n">
        <v>14</v>
      </c>
      <c r="IY17" s="471" t="n"/>
      <c r="IZ17" s="822" t="inlineStr">
        <is>
          <t xml:space="preserve">24 VDC </t>
        </is>
      </c>
      <c r="JA17" s="471" t="n"/>
      <c r="JB17" s="566" t="n"/>
      <c r="JC17" s="586">
        <f>'LFD New'!D2</f>
        <v/>
      </c>
      <c r="JD17" s="471" t="n"/>
      <c r="JE17" s="471" t="n"/>
      <c r="JF17" s="471" t="n"/>
      <c r="JG17" s="571">
        <f>IF(AND(JB17:JF17),1,0)</f>
        <v/>
      </c>
      <c r="JI17" s="561" t="inlineStr">
        <is>
          <t xml:space="preserve">24 VDC </t>
        </is>
      </c>
      <c r="JJ17" s="801">
        <f>JJ5</f>
        <v/>
      </c>
      <c r="JK17" s="471" t="n"/>
      <c r="JN17" s="561" t="n">
        <v>14</v>
      </c>
      <c r="JO17" s="471" t="n"/>
      <c r="JQ17" s="471" t="n"/>
      <c r="JR17" s="566" t="n"/>
      <c r="JS17" s="566">
        <f>JW9</f>
        <v/>
      </c>
      <c r="JT17" s="566" t="n"/>
      <c r="JU17" s="471" t="n"/>
      <c r="JV17" s="471" t="n"/>
      <c r="JW17" s="562">
        <f>IF(AND(JR17:JV17),1,0)</f>
        <v/>
      </c>
      <c r="JZ17" s="561" t="n">
        <v>14</v>
      </c>
      <c r="KA17" s="471" t="n"/>
      <c r="KB17" s="822" t="n"/>
      <c r="KC17" s="471" t="n"/>
      <c r="KD17" s="822" t="n"/>
      <c r="KE17" s="822">
        <f>KI16</f>
        <v/>
      </c>
      <c r="KF17" s="566" t="n"/>
      <c r="KG17" s="471" t="n"/>
      <c r="KH17" s="471" t="n"/>
      <c r="KI17" s="562">
        <f>IF(AND(KD17:KH17),1,0)</f>
        <v/>
      </c>
      <c r="KK17" s="822" t="inlineStr">
        <is>
          <t>APS 1</t>
        </is>
      </c>
      <c r="KL17" s="801" t="n">
        <v>1</v>
      </c>
      <c r="KM17" s="471" t="n"/>
      <c r="KP17" s="561" t="n">
        <v>14</v>
      </c>
      <c r="KQ17" s="471" t="n"/>
      <c r="KR17" s="801" t="n"/>
      <c r="KS17" s="471" t="n"/>
      <c r="KT17" s="822" t="n"/>
      <c r="KU17" s="822">
        <f>KY16</f>
        <v/>
      </c>
      <c r="KV17" s="822" t="n"/>
      <c r="KW17" s="471" t="n"/>
      <c r="KX17" s="471" t="n"/>
      <c r="KY17" s="562">
        <f>IF(AND(KT17:KX17),1,0)</f>
        <v/>
      </c>
      <c r="LB17" s="561" t="n">
        <v>14</v>
      </c>
      <c r="LC17" s="471" t="n"/>
      <c r="LD17" s="822" t="n"/>
      <c r="LE17" s="471" t="n"/>
      <c r="LF17" s="822" t="n"/>
      <c r="LG17" s="822">
        <f>LK26</f>
        <v/>
      </c>
      <c r="LH17" s="822">
        <f>LK16</f>
        <v/>
      </c>
      <c r="LI17" s="471" t="n"/>
      <c r="LJ17" s="471" t="n"/>
      <c r="LK17" s="562">
        <f>IF(AND(LF17:LJ17),1,0)</f>
        <v/>
      </c>
      <c r="LM17" s="566" t="inlineStr">
        <is>
          <t>COMPRESSOR 1 (3A) Pa=7.5kW P.f=0.75</t>
        </is>
      </c>
      <c r="LN17" s="801">
        <f>'DATA TRANSFER'!AT15</f>
        <v/>
      </c>
      <c r="LO17" s="471" t="n"/>
      <c r="LQ17" s="840">
        <f>LQ16+1</f>
        <v/>
      </c>
      <c r="LR17" s="561" t="n">
        <v>14</v>
      </c>
      <c r="LS17" s="471" t="n"/>
      <c r="LT17" s="822" t="n"/>
      <c r="LU17" s="471" t="n"/>
      <c r="LV17" s="822" t="n"/>
      <c r="LW17" s="822">
        <f>MA16</f>
        <v/>
      </c>
      <c r="LX17" s="822" t="n"/>
      <c r="LY17" s="471" t="n"/>
      <c r="LZ17" s="471" t="n"/>
      <c r="MA17" s="562">
        <f>IF(AND(LV17:LZ17),1,0)</f>
        <v/>
      </c>
      <c r="MH17" s="561" t="n">
        <v>14</v>
      </c>
      <c r="MI17" s="471" t="n"/>
      <c r="MJ17" s="822" t="inlineStr">
        <is>
          <t>HCR</t>
        </is>
      </c>
      <c r="MK17" s="471" t="n"/>
      <c r="ML17" s="822" t="n"/>
      <c r="MM17" s="574">
        <f>MT10</f>
        <v/>
      </c>
      <c r="MN17" s="822">
        <f>MQ12</f>
        <v/>
      </c>
      <c r="MO17" s="471" t="n"/>
      <c r="MP17" s="471" t="n"/>
      <c r="MQ17" s="562">
        <f>IF(AND(ML17:MP17),1,0)</f>
        <v/>
      </c>
      <c r="MS17" s="822" t="inlineStr">
        <is>
          <t>TCR 6</t>
        </is>
      </c>
      <c r="MT17" s="801" t="n">
        <v>1</v>
      </c>
      <c r="MU17" s="471" t="n"/>
    </row>
    <row r="18" ht="57" customHeight="1">
      <c r="A18" s="559" t="n">
        <v>15</v>
      </c>
      <c r="B18" s="471" t="n"/>
      <c r="C18" s="801" t="inlineStr">
        <is>
          <t>FAN2 P=60W</t>
        </is>
      </c>
      <c r="D18" s="471" t="n"/>
      <c r="E18" s="471" t="n"/>
      <c r="F18" s="582">
        <f>M10</f>
        <v/>
      </c>
      <c r="G18" s="561">
        <f>J17</f>
        <v/>
      </c>
      <c r="H18" s="471" t="n"/>
      <c r="I18" s="471" t="n"/>
      <c r="J18" s="562">
        <f>IF(AND(E18:I18),1,0)</f>
        <v/>
      </c>
      <c r="P18" s="561">
        <f>'Mode Logic'!P18</f>
        <v/>
      </c>
      <c r="Q18" s="471" t="n"/>
      <c r="R18" s="822" t="inlineStr">
        <is>
          <t>SAFB1 _9.5A</t>
        </is>
      </c>
      <c r="S18" s="471" t="n"/>
      <c r="T18" s="471" t="n"/>
      <c r="U18" s="569">
        <f>AB15</f>
        <v/>
      </c>
      <c r="V18" s="801">
        <f>Y17</f>
        <v/>
      </c>
      <c r="W18" s="801">
        <f>Y22</f>
        <v/>
      </c>
      <c r="X18" s="801">
        <f>Y25</f>
        <v/>
      </c>
      <c r="Y18" s="562">
        <f>IF(AND(T18:X18),1,0)</f>
        <v/>
      </c>
      <c r="AA18" s="566" t="inlineStr">
        <is>
          <t>COMPRESSOR 2 (3A) Pa=7.5kW P.f=0.76</t>
        </is>
      </c>
      <c r="AB18" s="801">
        <f>'Mode Logic'!M18</f>
        <v/>
      </c>
      <c r="AC18" s="471" t="n"/>
      <c r="AF18" s="561" t="n">
        <v>15</v>
      </c>
      <c r="AG18" s="471" t="n"/>
      <c r="AH18" s="822" t="inlineStr">
        <is>
          <t>SAFB1 _9.5A</t>
        </is>
      </c>
      <c r="AI18" s="471" t="n"/>
      <c r="AJ18" s="471" t="n"/>
      <c r="AK18" s="569">
        <f>AB15</f>
        <v/>
      </c>
      <c r="AL18" s="801">
        <f>AO17</f>
        <v/>
      </c>
      <c r="AM18" s="471" t="n"/>
      <c r="AN18" s="471" t="n"/>
      <c r="AO18" s="562">
        <f>IF(AND(AJ18:AN18),1,0)</f>
        <v/>
      </c>
      <c r="AS18" s="561" t="n">
        <v>15</v>
      </c>
      <c r="AT18" s="471" t="n"/>
      <c r="AU18" s="471" t="n"/>
      <c r="AV18" s="471" t="n"/>
      <c r="AW18" s="471">
        <f>BB17</f>
        <v/>
      </c>
      <c r="AX18" s="471" t="n"/>
      <c r="AY18" s="471" t="n"/>
      <c r="AZ18" s="471" t="n"/>
      <c r="BA18" s="471" t="n"/>
      <c r="BB18" s="562">
        <f>IF(AND(AW18:BA18),1,0)</f>
        <v/>
      </c>
      <c r="BI18" s="561" t="n">
        <v>15</v>
      </c>
      <c r="BJ18" s="566" t="n"/>
      <c r="BK18" s="471" t="n"/>
      <c r="BL18" s="471" t="n"/>
      <c r="BM18" s="471" t="n"/>
      <c r="BN18" s="561">
        <f>BR17</f>
        <v/>
      </c>
      <c r="BO18" s="471" t="n"/>
      <c r="BP18" s="471" t="n"/>
      <c r="BQ18" s="471" t="n"/>
      <c r="BR18" s="562">
        <f>IF(AND(BM18:BQ18),1,0)</f>
        <v/>
      </c>
      <c r="BT18" s="840" t="inlineStr">
        <is>
          <t>APS 1</t>
        </is>
      </c>
      <c r="BU18" s="840">
        <f>IF('DATA TRANSFER'!F30=1,1,0)</f>
        <v/>
      </c>
      <c r="BX18" s="561" t="n">
        <v>15</v>
      </c>
      <c r="BY18" s="566" t="n"/>
      <c r="BZ18" s="471" t="n"/>
      <c r="CA18" s="471" t="n"/>
      <c r="CB18" s="471" t="n"/>
      <c r="CC18" s="561">
        <f>CG17</f>
        <v/>
      </c>
      <c r="CD18" s="471" t="n"/>
      <c r="CE18" s="471" t="n"/>
      <c r="CF18" s="471" t="n"/>
      <c r="CG18" s="562">
        <f>IF(AND(CB18:CF18),1,0)</f>
        <v/>
      </c>
      <c r="CI18" s="561" t="n">
        <v>15</v>
      </c>
      <c r="CJ18" s="585" t="n">
        <v>5000000</v>
      </c>
      <c r="CK18" s="561" t="n"/>
      <c r="CL18" s="471" t="n"/>
      <c r="CM18" s="471" t="n"/>
      <c r="CN18" s="565">
        <f>CU6</f>
        <v/>
      </c>
      <c r="CO18" s="471" t="n"/>
      <c r="CP18" s="471" t="n"/>
      <c r="CQ18" s="471" t="n"/>
      <c r="CR18" s="562">
        <f>IF(AND(CM18:CQ18),1,0)</f>
        <v/>
      </c>
      <c r="DK18" s="561" t="n">
        <v>15</v>
      </c>
      <c r="DL18" s="566" t="inlineStr">
        <is>
          <t>LAF11(14.20)</t>
        </is>
      </c>
      <c r="DM18" s="561" t="inlineStr">
        <is>
          <t>HFAN1</t>
        </is>
      </c>
      <c r="DN18" s="471" t="n"/>
      <c r="DO18" s="471" t="n"/>
      <c r="DP18" s="569">
        <f>DW11</f>
        <v/>
      </c>
      <c r="DQ18" s="471">
        <f>DT17</f>
        <v/>
      </c>
      <c r="DR18" s="471" t="n"/>
      <c r="DS18" s="471" t="n"/>
      <c r="DT18" s="562">
        <f>IF(AND(DO18:DS18),1,0)</f>
        <v/>
      </c>
      <c r="DV18" s="822" t="inlineStr">
        <is>
          <t>24 HTC(200W)</t>
        </is>
      </c>
      <c r="DW18" s="801" t="n">
        <v>1</v>
      </c>
      <c r="DX18" s="471" t="n"/>
      <c r="DZ18" s="561" t="n">
        <v>15</v>
      </c>
      <c r="EA18" s="566" t="n"/>
      <c r="EB18" s="561" t="inlineStr">
        <is>
          <t>FROM APS 415 VAC</t>
        </is>
      </c>
      <c r="EC18" s="471" t="n"/>
      <c r="ED18" s="471" t="n"/>
      <c r="EE18" s="570">
        <f>EL7</f>
        <v/>
      </c>
      <c r="EF18" s="471" t="n"/>
      <c r="EG18" s="471" t="n"/>
      <c r="EH18" s="471" t="n"/>
      <c r="EI18" s="571">
        <f>IF(AND(ED18:EH18),1,0)</f>
        <v/>
      </c>
      <c r="EO18" s="561" t="n">
        <v>15</v>
      </c>
      <c r="EP18" s="566" t="n"/>
      <c r="EQ18" s="561" t="n"/>
      <c r="ER18" s="471" t="n"/>
      <c r="ES18" s="471" t="n"/>
      <c r="ET18" s="471">
        <f>EX17</f>
        <v/>
      </c>
      <c r="EU18" s="471" t="n"/>
      <c r="EV18" s="471" t="n"/>
      <c r="EW18" s="471" t="n"/>
      <c r="EX18" s="562">
        <f>IF(AND(ES18:EW18),1,0)</f>
        <v/>
      </c>
      <c r="EZ18" s="471" t="inlineStr">
        <is>
          <t>24VDC/DC</t>
        </is>
      </c>
      <c r="FA18" s="801">
        <f>'LFD New'!D2</f>
        <v/>
      </c>
      <c r="FB18" s="471" t="n"/>
      <c r="FE18" s="561" t="n">
        <v>15</v>
      </c>
      <c r="FF18" s="566" t="n"/>
      <c r="FG18" s="561" t="n"/>
      <c r="FH18" s="471" t="n"/>
      <c r="FI18" s="471" t="n"/>
      <c r="FJ18" s="471">
        <f>FN17</f>
        <v/>
      </c>
      <c r="FK18" s="471" t="n"/>
      <c r="FL18" s="471" t="n"/>
      <c r="FM18" s="471" t="n"/>
      <c r="FN18" s="562">
        <f>IF(AND(FI18:FM18),1,0)</f>
        <v/>
      </c>
      <c r="FP18" s="561" t="inlineStr">
        <is>
          <t>24VDC/DC</t>
        </is>
      </c>
      <c r="FQ18" s="561">
        <f>FA18</f>
        <v/>
      </c>
      <c r="FR18" s="471" t="n"/>
      <c r="FT18" s="561" t="n">
        <v>15</v>
      </c>
      <c r="FU18" s="566" t="n"/>
      <c r="FV18" s="822" t="n"/>
      <c r="FW18" s="471" t="n"/>
      <c r="FX18" s="471" t="n"/>
      <c r="FY18" s="801">
        <f>GC17</f>
        <v/>
      </c>
      <c r="FZ18" s="471" t="n"/>
      <c r="GA18" s="471" t="n"/>
      <c r="GB18" s="471" t="n"/>
      <c r="GC18" s="562">
        <f>IF(AND(FX18:GB18),1,0)</f>
        <v/>
      </c>
      <c r="GF18" s="561" t="n">
        <v>15</v>
      </c>
      <c r="GG18" s="566" t="n"/>
      <c r="GH18" s="822" t="n"/>
      <c r="GI18" s="471" t="n"/>
      <c r="GJ18" s="471" t="n"/>
      <c r="GK18" s="561">
        <f>GO17</f>
        <v/>
      </c>
      <c r="GL18" s="471" t="n"/>
      <c r="GM18" s="471" t="n"/>
      <c r="GN18" s="471" t="n"/>
      <c r="GO18" s="562">
        <f>IF(AND(GJ18:GN18),1,0)</f>
        <v/>
      </c>
      <c r="GU18" s="561" t="n">
        <v>15</v>
      </c>
      <c r="GV18" s="566" t="n"/>
      <c r="GW18" s="822" t="n"/>
      <c r="GX18" s="471" t="n"/>
      <c r="GY18" s="471" t="n"/>
      <c r="GZ18" s="801">
        <f>HD54</f>
        <v/>
      </c>
      <c r="HA18" s="471" t="n"/>
      <c r="HB18" s="471" t="n"/>
      <c r="HC18" s="471" t="n"/>
      <c r="HD18" s="571">
        <f>IF(AND(GY18:HC18),1,0)</f>
        <v/>
      </c>
      <c r="HF18" s="471" t="inlineStr">
        <is>
          <t>RAD CLOSE</t>
        </is>
      </c>
      <c r="HG18" s="801">
        <f>'Mode Logic'!Q18</f>
        <v/>
      </c>
      <c r="HH18" s="471" t="n"/>
      <c r="HK18" s="561" t="n">
        <v>15</v>
      </c>
      <c r="HL18" s="471" t="n"/>
      <c r="HM18" s="561" t="inlineStr">
        <is>
          <t>APS2</t>
        </is>
      </c>
      <c r="HN18" s="471" t="n"/>
      <c r="HO18" s="471" t="n"/>
      <c r="HP18" s="569">
        <f>HW7</f>
        <v/>
      </c>
      <c r="HQ18" s="471" t="n"/>
      <c r="HR18" s="471" t="n"/>
      <c r="HS18" s="471" t="n"/>
      <c r="HT18" s="562">
        <f>IF(AND(HO18:HS18),1,0)</f>
        <v/>
      </c>
      <c r="HV18" s="561" t="inlineStr">
        <is>
          <t>110 V DC</t>
        </is>
      </c>
      <c r="HW18" s="801">
        <f>'LFD New'!D2</f>
        <v/>
      </c>
      <c r="HX18" s="471" t="n"/>
      <c r="HZ18" s="561" t="n">
        <v>15</v>
      </c>
      <c r="IA18" s="471" t="n"/>
      <c r="IB18" s="471" t="inlineStr">
        <is>
          <t xml:space="preserve">24 V DC </t>
        </is>
      </c>
      <c r="IC18" s="471" t="n"/>
      <c r="ID18" s="471" t="n"/>
      <c r="IE18" s="560">
        <f>'LFD New'!D2</f>
        <v/>
      </c>
      <c r="IF18" s="471" t="n"/>
      <c r="IG18" s="471" t="n"/>
      <c r="IH18" s="471" t="n"/>
      <c r="II18" s="562">
        <f>IF(AND(ID18:IH18),1,0)</f>
        <v/>
      </c>
      <c r="IL18" s="561" t="n">
        <v>15</v>
      </c>
      <c r="IM18" s="471" t="n"/>
      <c r="IN18" s="471" t="inlineStr">
        <is>
          <t>EMERGENCY SAF 1 &amp; 2</t>
        </is>
      </c>
      <c r="IO18" s="471" t="n"/>
      <c r="IP18" s="566" t="n"/>
      <c r="IQ18" s="566">
        <f>IF(OR('Mode Logic'!V18:W18),1,0)</f>
        <v/>
      </c>
      <c r="IR18" s="471" t="n"/>
      <c r="IS18" s="471" t="n"/>
      <c r="IT18" s="471" t="n"/>
      <c r="IU18" s="562">
        <f>IF(AND(IP18:IT18),1,0)</f>
        <v/>
      </c>
      <c r="IX18" s="561" t="n">
        <v>15</v>
      </c>
      <c r="IY18" s="471" t="n"/>
      <c r="IZ18" s="822" t="inlineStr">
        <is>
          <t>SAFC2</t>
        </is>
      </c>
      <c r="JA18" s="471" t="n"/>
      <c r="JB18" s="566" t="n"/>
      <c r="JC18" s="575">
        <f>JJ10</f>
        <v/>
      </c>
      <c r="JD18" s="471">
        <f>JG17</f>
        <v/>
      </c>
      <c r="JE18" s="471" t="n"/>
      <c r="JF18" s="471" t="n"/>
      <c r="JG18" s="571">
        <f>IF(AND(JB18:JF18),1,0)</f>
        <v/>
      </c>
      <c r="JI18" s="561" t="inlineStr">
        <is>
          <t>110 V DC</t>
        </is>
      </c>
      <c r="JJ18" s="801">
        <f>IF(NOT('DATA TRANSFER'!F30),1,0)</f>
        <v/>
      </c>
      <c r="JK18" s="471" t="n"/>
      <c r="JN18" s="561" t="n">
        <v>15</v>
      </c>
      <c r="JO18" s="471" t="n"/>
      <c r="JP18" s="822" t="inlineStr">
        <is>
          <t>HVAC2  SMDR 3</t>
        </is>
      </c>
      <c r="JQ18" s="471" t="n"/>
      <c r="JR18" s="566" t="n"/>
      <c r="JS18" s="575">
        <f>JJ19</f>
        <v/>
      </c>
      <c r="JT18" s="566">
        <f>JW16</f>
        <v/>
      </c>
      <c r="JU18" s="471" t="n"/>
      <c r="JV18" s="471" t="n"/>
      <c r="JW18" s="562">
        <f>IF(AND(JR18:JV18),1,0)</f>
        <v/>
      </c>
      <c r="JZ18" s="561" t="n">
        <v>15</v>
      </c>
      <c r="KA18" s="471" t="n"/>
      <c r="KB18" s="822" t="inlineStr">
        <is>
          <t xml:space="preserve">24 V DC </t>
        </is>
      </c>
      <c r="KC18" s="471" t="n"/>
      <c r="KD18" s="822" t="n"/>
      <c r="KE18" s="574">
        <f>KL6</f>
        <v/>
      </c>
      <c r="KF18" s="566" t="n"/>
      <c r="KG18" s="471" t="n"/>
      <c r="KH18" s="471" t="n"/>
      <c r="KI18" s="562">
        <f>IF(AND(KD18:KH18),1,0)</f>
        <v/>
      </c>
      <c r="KK18" s="801" t="inlineStr">
        <is>
          <t>APS 2</t>
        </is>
      </c>
      <c r="KL18" s="801" t="n">
        <v>1</v>
      </c>
      <c r="KM18" s="471" t="n"/>
      <c r="KP18" s="561" t="n">
        <v>15</v>
      </c>
      <c r="KQ18" s="265" t="inlineStr">
        <is>
          <t>X2</t>
        </is>
      </c>
      <c r="KR18" s="822" t="inlineStr">
        <is>
          <t>APS 2 415 V AC PE</t>
        </is>
      </c>
      <c r="KS18" s="471" t="n"/>
      <c r="KT18" s="822" t="n"/>
      <c r="KU18" s="574">
        <f>KL18</f>
        <v/>
      </c>
      <c r="KV18" s="822" t="n"/>
      <c r="KW18" s="471" t="n"/>
      <c r="KX18" s="471" t="n"/>
      <c r="KY18" s="562">
        <f>IF(AND(KT18:KX18),1,0)</f>
        <v/>
      </c>
      <c r="LB18" s="561" t="n">
        <v>15</v>
      </c>
      <c r="LC18" s="471" t="n"/>
      <c r="LD18" s="822" t="n"/>
      <c r="LE18" s="471" t="n"/>
      <c r="LF18" s="822" t="n"/>
      <c r="LG18" s="822">
        <f>LK17</f>
        <v/>
      </c>
      <c r="LH18" s="822" t="n"/>
      <c r="LI18" s="471" t="n"/>
      <c r="LJ18" s="471" t="n"/>
      <c r="LK18" s="562">
        <f>IF(AND(LF18:LJ18),1,0)</f>
        <v/>
      </c>
      <c r="LM18" s="566" t="inlineStr">
        <is>
          <t>COMPRESSOR 2 (3A) Pa=7.5kW P.f=0.76</t>
        </is>
      </c>
      <c r="LN18" s="801">
        <f>'DATA TRANSFER'!AT15</f>
        <v/>
      </c>
      <c r="LO18" s="471" t="n"/>
      <c r="LQ18" s="840">
        <f>LQ17+1</f>
        <v/>
      </c>
      <c r="LR18" s="561" t="n">
        <v>15</v>
      </c>
      <c r="LS18" s="471" t="n"/>
      <c r="LT18" s="822" t="n"/>
      <c r="LU18" s="471" t="n"/>
      <c r="LV18" s="822" t="n"/>
      <c r="LW18" s="822">
        <f>MA17</f>
        <v/>
      </c>
      <c r="LX18" s="822" t="n"/>
      <c r="LY18" s="471" t="n"/>
      <c r="LZ18" s="471" t="n"/>
      <c r="MA18" s="562">
        <f>IF(AND(LV18:LZ18),1,0)</f>
        <v/>
      </c>
      <c r="MH18" s="561" t="n">
        <v>15</v>
      </c>
      <c r="MI18" s="471" t="n"/>
      <c r="MJ18" s="822" t="n"/>
      <c r="MK18" s="471" t="n"/>
      <c r="ML18" s="822" t="n"/>
      <c r="MM18" s="822">
        <f>MQ22</f>
        <v/>
      </c>
      <c r="MN18" s="822" t="n"/>
      <c r="MO18" s="471" t="n"/>
      <c r="MP18" s="471" t="n"/>
      <c r="MQ18" s="562">
        <f>IF(AND(ML18:MP18),1,0)</f>
        <v/>
      </c>
      <c r="MS18" s="822" t="inlineStr">
        <is>
          <t>DI RIO2 PCB 9(24))_I_FADFORCED OPN</t>
        </is>
      </c>
      <c r="MT18" s="801">
        <f>'Mode Logic'!P18</f>
        <v/>
      </c>
      <c r="MU18" s="471" t="n"/>
    </row>
    <row r="19" ht="31" customHeight="1">
      <c r="A19" s="559" t="n">
        <v>16</v>
      </c>
      <c r="B19" s="471" t="n"/>
      <c r="C19" s="471" t="n"/>
      <c r="D19" s="471" t="n"/>
      <c r="E19" s="471" t="n"/>
      <c r="F19" s="801">
        <f>J18</f>
        <v/>
      </c>
      <c r="G19" s="561" t="n"/>
      <c r="H19" s="471" t="n"/>
      <c r="I19" s="471" t="n"/>
      <c r="J19" s="562">
        <f>IF(AND(E19:I19),1,0)</f>
        <v/>
      </c>
      <c r="P19" s="561">
        <f>IF(OR('DATA TRANSFER'!M10,'DATA TRANSFER'!M12),1,0)</f>
        <v/>
      </c>
      <c r="Q19" s="471" t="n"/>
      <c r="R19" s="561" t="n"/>
      <c r="S19" s="471" t="n"/>
      <c r="T19" s="471" t="n"/>
      <c r="U19" s="801">
        <f>Y18</f>
        <v/>
      </c>
      <c r="V19" s="471" t="n"/>
      <c r="W19" s="471" t="n"/>
      <c r="X19" s="471" t="n"/>
      <c r="Y19" s="562">
        <f>IF(AND(T19:X19),1,0)</f>
        <v/>
      </c>
      <c r="AA19" s="566" t="inlineStr">
        <is>
          <t>COMPRESSOR 3 (3A) Pa=7.5kW P.f=0.77</t>
        </is>
      </c>
      <c r="AB19" s="801">
        <f>'Mode Logic'!N18</f>
        <v/>
      </c>
      <c r="AC19" s="471" t="n"/>
      <c r="AF19" s="561" t="n">
        <v>16</v>
      </c>
      <c r="AG19" s="471" t="n"/>
      <c r="AH19" s="471" t="n"/>
      <c r="AI19" s="471" t="n"/>
      <c r="AJ19" s="471" t="n"/>
      <c r="AK19" s="801">
        <f>AO18</f>
        <v/>
      </c>
      <c r="AL19" s="471" t="n"/>
      <c r="AM19" s="471" t="n"/>
      <c r="AN19" s="471" t="n"/>
      <c r="AO19" s="562">
        <f>IF(AND(AJ19:AN19),1,0)</f>
        <v/>
      </c>
      <c r="AS19" s="561" t="n">
        <v>16</v>
      </c>
      <c r="AT19" s="471" t="n"/>
      <c r="AU19" s="471" t="n"/>
      <c r="AV19" s="471" t="n"/>
      <c r="AW19" s="471">
        <f>BB18</f>
        <v/>
      </c>
      <c r="AX19" s="471" t="n"/>
      <c r="AY19" s="471" t="n"/>
      <c r="AZ19" s="471" t="n"/>
      <c r="BA19" s="471" t="n"/>
      <c r="BB19" s="562">
        <f>IF(AND(AW19:BA19),1,0)</f>
        <v/>
      </c>
      <c r="BI19" s="561" t="n">
        <v>16</v>
      </c>
      <c r="BJ19" s="471" t="n"/>
      <c r="BK19" s="471" t="n"/>
      <c r="BL19" s="471" t="n"/>
      <c r="BM19" s="471" t="n"/>
      <c r="BN19" s="561">
        <f>BR18</f>
        <v/>
      </c>
      <c r="BO19" s="471" t="n"/>
      <c r="BP19" s="471" t="n"/>
      <c r="BQ19" s="471" t="n"/>
      <c r="BR19" s="562">
        <f>IF(AND(BM19:BQ19),1,0)</f>
        <v/>
      </c>
      <c r="BT19" s="840" t="inlineStr">
        <is>
          <t>APS 2</t>
        </is>
      </c>
      <c r="BX19" s="561" t="n">
        <v>16</v>
      </c>
      <c r="BY19" s="471" t="n"/>
      <c r="BZ19" s="471" t="n"/>
      <c r="CA19" s="471" t="n"/>
      <c r="CB19" s="471" t="n"/>
      <c r="CC19" s="561">
        <f>CG18</f>
        <v/>
      </c>
      <c r="CD19" s="471" t="n"/>
      <c r="CE19" s="471" t="n"/>
      <c r="CF19" s="471" t="n"/>
      <c r="CG19" s="562">
        <f>IF(AND(CB19:CF19),1,0)</f>
        <v/>
      </c>
      <c r="CI19" s="561" t="n">
        <v>16</v>
      </c>
      <c r="CJ19" s="471" t="n"/>
      <c r="CK19" s="471" t="n"/>
      <c r="CL19" s="471" t="n"/>
      <c r="CM19" s="471" t="n"/>
      <c r="CN19" s="471">
        <f>CR18</f>
        <v/>
      </c>
      <c r="CO19" s="471" t="n"/>
      <c r="CP19" s="471" t="n"/>
      <c r="CQ19" s="471" t="n"/>
      <c r="CR19" s="562">
        <f>IF(AND(CM19:CQ19),1,0)</f>
        <v/>
      </c>
      <c r="DK19" s="561" t="n">
        <v>16</v>
      </c>
      <c r="DL19" s="566" t="n"/>
      <c r="DM19" s="561" t="n"/>
      <c r="DN19" s="471" t="n"/>
      <c r="DO19" s="471" t="n"/>
      <c r="DP19" s="801">
        <f>DT18</f>
        <v/>
      </c>
      <c r="DQ19" s="471" t="n"/>
      <c r="DR19" s="471" t="n"/>
      <c r="DS19" s="471" t="n"/>
      <c r="DT19" s="562">
        <f>IF(AND(DO19:DS19),1,0)</f>
        <v/>
      </c>
      <c r="DV19" s="561" t="inlineStr">
        <is>
          <t>CACPN</t>
        </is>
      </c>
      <c r="DW19" s="801" t="n">
        <v>1</v>
      </c>
      <c r="DX19" s="471" t="n"/>
      <c r="DZ19" s="561" t="n">
        <v>16</v>
      </c>
      <c r="EA19" s="566" t="n"/>
      <c r="EB19" s="561" t="n"/>
      <c r="EC19" s="471" t="n"/>
      <c r="ED19" s="471" t="n"/>
      <c r="EE19" s="471">
        <f>EI18</f>
        <v/>
      </c>
      <c r="EF19" s="471" t="n"/>
      <c r="EG19" s="471" t="n"/>
      <c r="EH19" s="471" t="n"/>
      <c r="EI19" s="571">
        <f>IF(AND(ED19:EH19),1,0)</f>
        <v/>
      </c>
      <c r="EO19" s="561" t="n">
        <v>16</v>
      </c>
      <c r="EP19" s="566" t="n"/>
      <c r="EQ19" s="561" t="inlineStr">
        <is>
          <t>SFC OFF</t>
        </is>
      </c>
      <c r="ER19" s="471" t="n"/>
      <c r="ES19" s="471" t="n"/>
      <c r="ET19" s="570">
        <f>FA16</f>
        <v/>
      </c>
      <c r="EU19" s="471" t="n"/>
      <c r="EV19" s="471" t="n"/>
      <c r="EW19" s="471" t="n"/>
      <c r="EX19" s="562">
        <f>IF(AND(ES19:EW19),1,0)</f>
        <v/>
      </c>
      <c r="EZ19" s="471" t="inlineStr">
        <is>
          <t>24V HEC</t>
        </is>
      </c>
      <c r="FA19" s="801">
        <f>'LFD New'!D2</f>
        <v/>
      </c>
      <c r="FB19" s="471" t="n"/>
      <c r="FE19" s="561" t="n">
        <v>16</v>
      </c>
      <c r="FF19" s="566" t="n"/>
      <c r="FG19" s="561" t="inlineStr">
        <is>
          <t>SFC OFF</t>
        </is>
      </c>
      <c r="FH19" s="471" t="n"/>
      <c r="FI19" s="471" t="n"/>
      <c r="FJ19" s="570">
        <f>FA16</f>
        <v/>
      </c>
      <c r="FK19" s="471">
        <f>FN18</f>
        <v/>
      </c>
      <c r="FL19" s="471" t="n"/>
      <c r="FM19" s="471" t="n"/>
      <c r="FN19" s="562">
        <f>IF(AND(FI19:FM19),1,0)</f>
        <v/>
      </c>
      <c r="FP19" s="561" t="inlineStr">
        <is>
          <t>24V HEC</t>
        </is>
      </c>
      <c r="FQ19" s="561">
        <f>FA19</f>
        <v/>
      </c>
      <c r="FR19" s="471" t="n"/>
      <c r="FT19" s="561" t="n">
        <v>16</v>
      </c>
      <c r="FU19" s="566" t="n"/>
      <c r="FV19" s="822" t="inlineStr">
        <is>
          <t xml:space="preserve">SFC OFF </t>
        </is>
      </c>
      <c r="FW19" s="471" t="n"/>
      <c r="FX19" s="471" t="n"/>
      <c r="FY19" s="573">
        <f>FQ16</f>
        <v/>
      </c>
      <c r="FZ19" s="471">
        <f>GC18</f>
        <v/>
      </c>
      <c r="GA19" s="471" t="n"/>
      <c r="GB19" s="471" t="n"/>
      <c r="GC19" s="562">
        <f>IF(AND(FX19:GB19),1,0)</f>
        <v/>
      </c>
      <c r="GF19" s="561" t="n">
        <v>16</v>
      </c>
      <c r="GG19" s="566" t="n"/>
      <c r="GH19" s="822" t="n"/>
      <c r="GI19" s="471" t="n"/>
      <c r="GJ19" s="471" t="n"/>
      <c r="GK19" s="561">
        <f>GO5</f>
        <v/>
      </c>
      <c r="GL19" s="471" t="n"/>
      <c r="GM19" s="471" t="n"/>
      <c r="GN19" s="471" t="n"/>
      <c r="GO19" s="562">
        <f>IF(AND(GJ19:GN19),1,0)</f>
        <v/>
      </c>
      <c r="GU19" s="561" t="n">
        <v>16</v>
      </c>
      <c r="GV19" s="566" t="n"/>
      <c r="GW19" s="822" t="n"/>
      <c r="GX19" s="471" t="n"/>
      <c r="GY19" s="471" t="n"/>
      <c r="GZ19" s="801">
        <f>HD55</f>
        <v/>
      </c>
      <c r="HA19" s="471" t="n"/>
      <c r="HB19" s="471" t="n"/>
      <c r="HC19" s="471" t="n"/>
      <c r="HD19" s="571">
        <f>IF(AND(GY19:HC19),1,0)</f>
        <v/>
      </c>
      <c r="HK19" s="561" t="n">
        <v>16</v>
      </c>
      <c r="HL19" s="471" t="n"/>
      <c r="HM19" s="471" t="n"/>
      <c r="HN19" s="471" t="n"/>
      <c r="HO19" s="471" t="n"/>
      <c r="HP19" s="801">
        <f>HT18</f>
        <v/>
      </c>
      <c r="HQ19" s="471" t="n"/>
      <c r="HR19" s="471" t="inlineStr">
        <is>
          <t> </t>
        </is>
      </c>
      <c r="HS19" s="471" t="n"/>
      <c r="HT19" s="562">
        <f>IF(AND(HO19:HS19),1,0)</f>
        <v/>
      </c>
      <c r="HV19" s="471" t="inlineStr">
        <is>
          <t>SFC</t>
        </is>
      </c>
      <c r="HW19" s="471">
        <f>IF(OR('Mode Logic'!V18:W18),1,0)</f>
        <v/>
      </c>
      <c r="HX19" s="471" t="n"/>
      <c r="HZ19" s="561" t="n">
        <v>16</v>
      </c>
      <c r="IA19" s="471" t="n"/>
      <c r="IB19" s="471" t="inlineStr">
        <is>
          <t>PPR1</t>
        </is>
      </c>
      <c r="IC19" s="471" t="n"/>
      <c r="ID19" s="471" t="n"/>
      <c r="IE19" s="569">
        <f>HW14</f>
        <v/>
      </c>
      <c r="IF19" s="471">
        <f>II18</f>
        <v/>
      </c>
      <c r="IG19" s="471" t="n"/>
      <c r="IH19" s="471" t="n"/>
      <c r="II19" s="562">
        <f>IF(AND(ID19:IH19),1,0)</f>
        <v/>
      </c>
      <c r="IL19" s="561" t="n">
        <v>16</v>
      </c>
      <c r="IM19" s="471" t="n"/>
      <c r="IN19" s="561" t="inlineStr">
        <is>
          <t>24VDC</t>
        </is>
      </c>
      <c r="IO19" s="471" t="n"/>
      <c r="IP19" s="566" t="n"/>
      <c r="IQ19" s="575">
        <f>HW17</f>
        <v/>
      </c>
      <c r="IR19" s="471" t="n"/>
      <c r="IS19" s="471" t="n"/>
      <c r="IT19" s="471" t="n"/>
      <c r="IU19" s="562">
        <f>IF(AND(IP19:IT19),1,0)</f>
        <v/>
      </c>
      <c r="IX19" s="561" t="n">
        <v>16</v>
      </c>
      <c r="IY19" s="471" t="n"/>
      <c r="IZ19" s="822" t="n"/>
      <c r="JA19" s="471" t="n"/>
      <c r="JB19" s="566" t="n"/>
      <c r="JC19" s="566">
        <f>JG18</f>
        <v/>
      </c>
      <c r="JD19" s="471" t="n"/>
      <c r="JE19" s="471" t="n"/>
      <c r="JF19" s="471" t="n"/>
      <c r="JG19" s="571">
        <f>IF(AND(JB19:JF19),1,0)</f>
        <v/>
      </c>
      <c r="JI19" s="822" t="inlineStr">
        <is>
          <t xml:space="preserve">SMDR </t>
        </is>
      </c>
      <c r="JJ19" s="801">
        <f>IF(OR('DATA TRANSFER'!M10,'DATA TRANSFER'!M12,'DATA TRANSFER'!DP173),1,0)</f>
        <v/>
      </c>
      <c r="JK19" s="471" t="n"/>
      <c r="JN19" s="561" t="n">
        <v>16</v>
      </c>
      <c r="JO19" s="471" t="n"/>
      <c r="JP19" s="822" t="n"/>
      <c r="JQ19" s="471" t="n"/>
      <c r="JR19" s="566" t="n"/>
      <c r="JS19" s="566">
        <f>JW18</f>
        <v/>
      </c>
      <c r="JT19" s="566" t="n"/>
      <c r="JU19" s="471" t="n"/>
      <c r="JV19" s="471" t="n"/>
      <c r="JW19" s="562">
        <f>IF(AND(JR19:JV19),1,0)</f>
        <v/>
      </c>
      <c r="JZ19" s="561" t="n">
        <v>16</v>
      </c>
      <c r="KA19" s="471" t="n"/>
      <c r="KB19" s="822" t="n"/>
      <c r="KC19" s="471" t="n"/>
      <c r="KD19" s="822" t="n"/>
      <c r="KE19" s="574">
        <f>KL8</f>
        <v/>
      </c>
      <c r="KF19" s="566">
        <f>KI18</f>
        <v/>
      </c>
      <c r="KG19" s="471" t="n"/>
      <c r="KH19" s="471" t="n"/>
      <c r="KI19" s="562">
        <f>IF(AND(KD19:KH19),1,0)</f>
        <v/>
      </c>
      <c r="KK19" s="561" t="inlineStr">
        <is>
          <t>SMRR</t>
        </is>
      </c>
      <c r="KL19" s="801">
        <f>IF(OR('DATA TRANSFER'!M12),1,0)</f>
        <v/>
      </c>
      <c r="KM19" s="471" t="n"/>
      <c r="KP19" s="561" t="n">
        <v>16</v>
      </c>
      <c r="KQ19" s="471" t="n"/>
      <c r="KR19" s="822" t="n"/>
      <c r="KS19" s="471" t="n"/>
      <c r="KT19" s="822" t="n"/>
      <c r="KU19" s="822">
        <f>KY18</f>
        <v/>
      </c>
      <c r="KV19" s="822" t="n"/>
      <c r="KW19" s="471" t="n"/>
      <c r="KX19" s="471" t="n"/>
      <c r="KY19" s="562">
        <f>IF(AND(KT19:KX19),1,0)</f>
        <v/>
      </c>
      <c r="LB19" s="561" t="n">
        <v>16</v>
      </c>
      <c r="LC19" s="471" t="n"/>
      <c r="LD19" s="822" t="n"/>
      <c r="LE19" s="471" t="n"/>
      <c r="LF19" s="822" t="n"/>
      <c r="LG19" s="822">
        <f>LK7</f>
        <v/>
      </c>
      <c r="LH19" s="822" t="n"/>
      <c r="LI19" s="471" t="n"/>
      <c r="LJ19" s="471" t="n"/>
      <c r="LK19" s="562">
        <f>IF(AND(LF19:LJ19),1,0)</f>
        <v/>
      </c>
      <c r="LM19" s="566" t="inlineStr">
        <is>
          <t>COMPRESSOR 3 (3A) Pa=7.5kW P.f=0.77</t>
        </is>
      </c>
      <c r="LN19" s="801">
        <f>'DATA TRANSFER'!AT24</f>
        <v/>
      </c>
      <c r="LO19" s="471" t="n"/>
      <c r="LQ19" s="840">
        <f>LQ18+1</f>
        <v/>
      </c>
      <c r="LR19" s="561" t="n">
        <v>16</v>
      </c>
      <c r="LS19" s="471" t="n"/>
      <c r="LT19" s="822" t="n"/>
      <c r="LU19" s="471" t="n"/>
      <c r="LV19" s="822" t="n"/>
      <c r="LW19" s="822">
        <f>MA18</f>
        <v/>
      </c>
      <c r="LX19" s="822" t="n"/>
      <c r="LY19" s="471" t="n"/>
      <c r="LZ19" s="471" t="n"/>
      <c r="MA19" s="562">
        <f>IF(AND(LV19:LZ19),1,0)</f>
        <v/>
      </c>
      <c r="MH19" s="561" t="n">
        <v>16</v>
      </c>
      <c r="MI19" s="471" t="n"/>
      <c r="MJ19" s="822" t="inlineStr">
        <is>
          <t>SMDR</t>
        </is>
      </c>
      <c r="MK19" s="471" t="n"/>
      <c r="ML19" s="822" t="n"/>
      <c r="MM19" s="574">
        <f>IF(OR('DATA TRANSFER'!M12),1,0)</f>
        <v/>
      </c>
      <c r="MN19" s="822" t="n"/>
      <c r="MO19" s="471" t="n"/>
      <c r="MP19" s="471" t="n"/>
      <c r="MQ19" s="562">
        <f>IF(AND(ML19:MP19),1,0)</f>
        <v/>
      </c>
      <c r="MS19" s="822" t="inlineStr">
        <is>
          <t>DI RIO1 PCB 9(24)_I_FADFORCED OPN</t>
        </is>
      </c>
      <c r="MT19" s="801">
        <f>'Mode Logic'!P18</f>
        <v/>
      </c>
      <c r="MU19" s="471" t="n"/>
    </row>
    <row r="20" ht="31" customHeight="1">
      <c r="A20" s="559" t="n">
        <v>17</v>
      </c>
      <c r="B20" s="471" t="n"/>
      <c r="C20" s="471" t="n"/>
      <c r="D20" s="471" t="n"/>
      <c r="E20" s="471" t="n"/>
      <c r="F20" s="801">
        <f>J6</f>
        <v/>
      </c>
      <c r="G20" s="561" t="n"/>
      <c r="H20" s="471" t="n"/>
      <c r="I20" s="471" t="n"/>
      <c r="J20" s="562">
        <f>IF(AND(E20:I20),1,0)</f>
        <v/>
      </c>
      <c r="P20" s="561" t="n">
        <v>17</v>
      </c>
      <c r="Q20" s="471" t="n"/>
      <c r="R20" s="822" t="inlineStr">
        <is>
          <t>SAFC1_12A</t>
        </is>
      </c>
      <c r="S20" s="471" t="n"/>
      <c r="T20" s="471" t="n"/>
      <c r="U20" s="569">
        <f>AB15</f>
        <v/>
      </c>
      <c r="V20" s="801">
        <f>Y19</f>
        <v/>
      </c>
      <c r="W20" s="471">
        <f>Y23</f>
        <v/>
      </c>
      <c r="X20" s="471">
        <f>Y26</f>
        <v/>
      </c>
      <c r="Y20" s="562">
        <f>IF(AND(T20:X20),1,0)</f>
        <v/>
      </c>
      <c r="AA20" s="566" t="inlineStr">
        <is>
          <t>COMPRESSOR 4 (3A) Pa=7.5kW P.f=0.78</t>
        </is>
      </c>
      <c r="AB20" s="801">
        <f>'Mode Logic'!O18</f>
        <v/>
      </c>
      <c r="AC20" s="471" t="n"/>
      <c r="AF20" s="561" t="n">
        <v>17</v>
      </c>
      <c r="AG20" s="471" t="n"/>
      <c r="AH20" s="822" t="inlineStr">
        <is>
          <t>SAFC1_12A</t>
        </is>
      </c>
      <c r="AI20" s="471" t="n"/>
      <c r="AJ20" s="471" t="n"/>
      <c r="AK20" s="569">
        <f>AB16</f>
        <v/>
      </c>
      <c r="AL20" s="801">
        <f>AO19</f>
        <v/>
      </c>
      <c r="AM20" s="471" t="n"/>
      <c r="AN20" s="471" t="n"/>
      <c r="AO20" s="562">
        <f>IF(AND(AJ20:AN20),1,0)</f>
        <v/>
      </c>
      <c r="AS20" s="561" t="n">
        <v>17</v>
      </c>
      <c r="AT20" s="471" t="n"/>
      <c r="AU20" s="471" t="n"/>
      <c r="AV20" s="471" t="n"/>
      <c r="AW20" s="471">
        <f>BB16</f>
        <v/>
      </c>
      <c r="AX20" s="471" t="n"/>
      <c r="AY20" s="471" t="n"/>
      <c r="AZ20" s="471" t="n"/>
      <c r="BA20" s="471" t="n"/>
      <c r="BB20" s="562">
        <f>IF(AND(AW20:BA20),1,0)</f>
        <v/>
      </c>
      <c r="BI20" s="561" t="n">
        <v>17</v>
      </c>
      <c r="BJ20" s="561" t="n"/>
      <c r="BK20" s="471" t="n"/>
      <c r="BL20" s="471" t="n"/>
      <c r="BM20" s="471" t="n"/>
      <c r="BN20" s="561">
        <f>BR19</f>
        <v/>
      </c>
      <c r="BO20" s="471" t="n"/>
      <c r="BP20" s="471" t="n"/>
      <c r="BQ20" s="471" t="n"/>
      <c r="BR20" s="562">
        <f>IF(AND(BM20:BQ20),1,0)</f>
        <v/>
      </c>
      <c r="BX20" s="561" t="n">
        <v>17</v>
      </c>
      <c r="BY20" s="561" t="n"/>
      <c r="BZ20" s="471" t="n"/>
      <c r="CA20" s="471" t="n"/>
      <c r="CB20" s="471" t="n"/>
      <c r="CC20" s="561">
        <f>CG19</f>
        <v/>
      </c>
      <c r="CD20" s="471" t="n"/>
      <c r="CE20" s="471" t="n"/>
      <c r="CF20" s="471" t="n"/>
      <c r="CG20" s="562">
        <f>IF(AND(CB20:CF20),1,0)</f>
        <v/>
      </c>
      <c r="CI20" s="561" t="n">
        <v>17</v>
      </c>
      <c r="CJ20" s="561" t="n"/>
      <c r="CK20" s="471" t="n"/>
      <c r="CL20" s="471" t="n"/>
      <c r="CM20" s="471" t="n"/>
      <c r="CN20" s="471">
        <f>CR18</f>
        <v/>
      </c>
      <c r="CO20" s="471" t="n"/>
      <c r="CP20" s="471" t="n"/>
      <c r="CQ20" s="471" t="n"/>
      <c r="CR20" s="562">
        <f>IF(AND(CM20:CQ20),1,0)</f>
        <v/>
      </c>
      <c r="DK20" s="561" t="n">
        <v>17</v>
      </c>
      <c r="DL20" s="566" t="n"/>
      <c r="DM20" s="561" t="n"/>
      <c r="DN20" s="471" t="n"/>
      <c r="DO20" s="471" t="n"/>
      <c r="DP20" s="801">
        <f>DT19</f>
        <v/>
      </c>
      <c r="DQ20" s="471" t="n"/>
      <c r="DR20" s="471" t="n"/>
      <c r="DS20" s="471" t="n"/>
      <c r="DT20" s="562">
        <f>IF(AND(DO20:DS20),1,0)</f>
        <v/>
      </c>
      <c r="DV20" s="471" t="inlineStr">
        <is>
          <t>APS</t>
        </is>
      </c>
      <c r="DW20" s="801">
        <f>IF(NOT('DATA TRANSFER'!F30),1,0)</f>
        <v/>
      </c>
      <c r="DX20" s="471" t="n"/>
      <c r="DZ20" s="561" t="n">
        <v>17</v>
      </c>
      <c r="EA20" s="566" t="n"/>
      <c r="EB20" s="561" t="inlineStr">
        <is>
          <t>110VDC</t>
        </is>
      </c>
      <c r="EC20" s="471" t="n"/>
      <c r="ED20" s="471" t="n"/>
      <c r="EE20" s="570">
        <f>EL8</f>
        <v/>
      </c>
      <c r="EF20" s="471" t="n"/>
      <c r="EG20" s="471" t="n"/>
      <c r="EH20" s="471" t="n"/>
      <c r="EI20" s="571">
        <f>IF(AND(ED20:EH20),1,0)</f>
        <v/>
      </c>
      <c r="EO20" s="561" t="n">
        <v>17</v>
      </c>
      <c r="EP20" s="566" t="n"/>
      <c r="EQ20" s="561" t="inlineStr">
        <is>
          <t>FADR</t>
        </is>
      </c>
      <c r="ER20" s="471" t="n"/>
      <c r="ES20" s="471" t="n"/>
      <c r="ET20" s="570">
        <f>EL12</f>
        <v/>
      </c>
      <c r="EU20" s="471">
        <f>EX19</f>
        <v/>
      </c>
      <c r="EV20" s="471" t="n"/>
      <c r="EW20" s="471" t="n"/>
      <c r="EX20" s="562">
        <f>IF(AND(ES20:EW20),1,0)</f>
        <v/>
      </c>
      <c r="EZ20" s="561" t="inlineStr">
        <is>
          <t>SMOKE DETECTOR (SMDR)</t>
        </is>
      </c>
      <c r="FA20" s="561">
        <f>IF(OR('DATA TRANSFER'!M10,'DATA TRANSFER'!M12),1,0)</f>
        <v/>
      </c>
      <c r="FB20" s="561" t="n"/>
      <c r="FE20" s="561" t="n">
        <v>17</v>
      </c>
      <c r="FF20" s="566" t="n"/>
      <c r="FG20" s="561" t="inlineStr">
        <is>
          <t>FADR</t>
        </is>
      </c>
      <c r="FH20" s="471" t="n"/>
      <c r="FI20" s="471" t="n"/>
      <c r="FJ20" s="570">
        <f>FA17</f>
        <v/>
      </c>
      <c r="FK20" s="471">
        <f>FN19</f>
        <v/>
      </c>
      <c r="FL20" s="471" t="n"/>
      <c r="FM20" s="471" t="n"/>
      <c r="FN20" s="562">
        <f>IF(AND(FI20:FM20),1,0)</f>
        <v/>
      </c>
      <c r="FP20" s="561" t="inlineStr">
        <is>
          <t>SMDR</t>
        </is>
      </c>
      <c r="FQ20" s="561">
        <f>FA20</f>
        <v/>
      </c>
      <c r="FR20" s="561" t="n"/>
      <c r="FT20" s="561" t="n">
        <v>17</v>
      </c>
      <c r="FU20" s="566" t="n"/>
      <c r="FV20" s="822" t="n"/>
      <c r="FW20" s="471" t="n"/>
      <c r="FX20" s="471" t="n"/>
      <c r="FY20" s="561">
        <f>GC19</f>
        <v/>
      </c>
      <c r="FZ20" s="471" t="n"/>
      <c r="GA20" s="471" t="n"/>
      <c r="GB20" s="471" t="n"/>
      <c r="GC20" s="562">
        <f>IF(AND(FX20:GB20),1,0)</f>
        <v/>
      </c>
      <c r="GF20" s="561" t="n">
        <v>17</v>
      </c>
      <c r="GG20" s="566" t="n"/>
      <c r="GH20" s="822" t="n"/>
      <c r="GI20" s="471" t="n"/>
      <c r="GJ20" s="471" t="n"/>
      <c r="GK20" s="561">
        <f>IF(OR(GO18:GO19),1,0)</f>
        <v/>
      </c>
      <c r="GL20" s="471" t="n"/>
      <c r="GM20" s="471" t="n"/>
      <c r="GN20" s="471" t="n"/>
      <c r="GO20" s="562">
        <f>IF(AND(GJ20:GN20),1,0)</f>
        <v/>
      </c>
      <c r="GU20" s="561" t="n">
        <v>17</v>
      </c>
      <c r="GV20" s="566" t="n"/>
      <c r="GW20" s="822" t="n"/>
      <c r="GX20" s="471" t="n"/>
      <c r="GY20" s="471" t="n"/>
      <c r="GZ20" s="801">
        <f>HD19</f>
        <v/>
      </c>
      <c r="HA20" s="471" t="n"/>
      <c r="HB20" s="471" t="n"/>
      <c r="HC20" s="471" t="n"/>
      <c r="HD20" s="571">
        <f>IF(AND(GY20:HC20),1,0)</f>
        <v/>
      </c>
      <c r="HK20" s="561" t="n">
        <v>17</v>
      </c>
      <c r="HL20" s="471" t="n"/>
      <c r="HM20" s="471" t="n"/>
      <c r="HN20" s="471" t="n"/>
      <c r="HO20" s="471" t="n"/>
      <c r="HP20" s="801">
        <f>HT7</f>
        <v/>
      </c>
      <c r="HQ20" s="471" t="n"/>
      <c r="HR20" s="471" t="n"/>
      <c r="HS20" s="471" t="n"/>
      <c r="HT20" s="562">
        <f>IF(AND(HO20:HS20),1,0)</f>
        <v/>
      </c>
      <c r="HV20" s="561" t="inlineStr">
        <is>
          <t>TMR2</t>
        </is>
      </c>
      <c r="HW20" s="471">
        <f>'DATA TRANSFER'!DP176</f>
        <v/>
      </c>
      <c r="HX20" s="471" t="n"/>
      <c r="HZ20" s="561" t="n">
        <v>17</v>
      </c>
      <c r="IA20" s="471" t="n"/>
      <c r="IB20" s="471" t="n"/>
      <c r="IC20" s="471" t="n"/>
      <c r="ID20" s="471" t="n"/>
      <c r="IE20" s="801">
        <f>II19</f>
        <v/>
      </c>
      <c r="IF20" s="471" t="n"/>
      <c r="IG20" s="471" t="n"/>
      <c r="IH20" s="471" t="n"/>
      <c r="II20" s="562">
        <f>IF(AND(ID20:IH20),1,0)</f>
        <v/>
      </c>
      <c r="IL20" s="561" t="n">
        <v>17</v>
      </c>
      <c r="IM20" s="471" t="n"/>
      <c r="IN20" s="561" t="inlineStr">
        <is>
          <t>TMR2</t>
        </is>
      </c>
      <c r="IO20" s="471" t="n"/>
      <c r="IP20" s="566" t="n"/>
      <c r="IQ20" s="575">
        <f>HW20</f>
        <v/>
      </c>
      <c r="IR20" s="471">
        <f>IU19</f>
        <v/>
      </c>
      <c r="IS20" s="471" t="n"/>
      <c r="IT20" s="471" t="n"/>
      <c r="IU20" s="562">
        <f>IF(AND(IP20:IT20),1,0)</f>
        <v/>
      </c>
      <c r="IX20" s="561" t="n">
        <v>17</v>
      </c>
      <c r="IY20" s="471" t="n"/>
      <c r="IZ20" s="822" t="inlineStr">
        <is>
          <t>FADR</t>
        </is>
      </c>
      <c r="JA20" s="471" t="n"/>
      <c r="JB20" s="566" t="n"/>
      <c r="JC20" s="575">
        <f>JJ12</f>
        <v/>
      </c>
      <c r="JD20" s="471">
        <f>JG19</f>
        <v/>
      </c>
      <c r="JE20" s="471" t="n"/>
      <c r="JF20" s="471" t="n"/>
      <c r="JG20" s="571">
        <f>IF(AND(JB20:JF20),1,0)</f>
        <v/>
      </c>
      <c r="JI20" s="822" t="inlineStr">
        <is>
          <t>SFC OFF</t>
        </is>
      </c>
      <c r="JJ20" s="801">
        <f>IF(OR('Mode Logic'!V18:W18),1,0)</f>
        <v/>
      </c>
      <c r="JK20" s="471" t="n"/>
      <c r="JN20" s="561" t="n">
        <v>17</v>
      </c>
      <c r="JO20" s="471" t="n"/>
      <c r="JP20" s="822" t="n"/>
      <c r="JQ20" s="471" t="n"/>
      <c r="JR20" s="566" t="n"/>
      <c r="JS20" s="566">
        <f>IF(OR(JW19,JW10,JW42),1,0)</f>
        <v/>
      </c>
      <c r="JT20" s="566" t="n"/>
      <c r="JU20" s="471" t="n"/>
      <c r="JV20" s="471" t="n"/>
      <c r="JW20" s="562">
        <f>IF(AND(JR20:JV20),1,0)</f>
        <v/>
      </c>
      <c r="JZ20" s="561" t="n">
        <v>17</v>
      </c>
      <c r="KA20" s="471" t="n"/>
      <c r="KB20" s="822" t="n"/>
      <c r="KC20" s="471" t="n"/>
      <c r="KD20" s="822" t="n"/>
      <c r="KE20" s="822">
        <f>KI19</f>
        <v/>
      </c>
      <c r="KF20" s="566" t="n"/>
      <c r="KG20" s="471" t="n"/>
      <c r="KH20" s="471" t="n"/>
      <c r="KI20" s="562">
        <f>IF(AND(KD20:KH20),1,0)</f>
        <v/>
      </c>
      <c r="KK20" s="471" t="inlineStr">
        <is>
          <t>SMDR 1</t>
        </is>
      </c>
      <c r="KL20" s="801">
        <f>IF(OR('DATA TRANSFER'!M12),1,0)</f>
        <v/>
      </c>
      <c r="KM20" s="471" t="n"/>
      <c r="KP20" s="561" t="n">
        <v>17</v>
      </c>
      <c r="KQ20" s="561" t="inlineStr">
        <is>
          <t>X1</t>
        </is>
      </c>
      <c r="KR20" s="822" t="n"/>
      <c r="KS20" s="471" t="n"/>
      <c r="KT20" s="822" t="n"/>
      <c r="KU20" s="822">
        <f>IF(AND(KY5,KY7,KY9,KY11),1,0)</f>
        <v/>
      </c>
      <c r="KV20" s="822" t="n"/>
      <c r="KW20" s="471" t="n"/>
      <c r="KX20" s="471" t="n"/>
      <c r="KY20" s="562">
        <f>IF(AND(KT20:KX20),1,0)</f>
        <v/>
      </c>
      <c r="LB20" s="561" t="n">
        <v>17</v>
      </c>
      <c r="LC20" s="471" t="n"/>
      <c r="LD20" s="822" t="n"/>
      <c r="LE20" s="471" t="n"/>
      <c r="LF20" s="822" t="n"/>
      <c r="LG20" s="822">
        <f>LK26</f>
        <v/>
      </c>
      <c r="LH20" s="822">
        <f>LK19</f>
        <v/>
      </c>
      <c r="LI20" s="471" t="n"/>
      <c r="LJ20" s="471" t="n"/>
      <c r="LK20" s="562">
        <f>IF(AND(LF20:LJ20),1,0)</f>
        <v/>
      </c>
      <c r="LM20" s="566" t="inlineStr">
        <is>
          <t>COMPRESSOR 4 (3A) Pa=7.5kW P.f=0.78</t>
        </is>
      </c>
      <c r="LN20" s="801">
        <f>'DATA TRANSFER'!AT25</f>
        <v/>
      </c>
      <c r="LO20" s="471" t="n"/>
      <c r="LQ20" s="840">
        <f>LQ19+1</f>
        <v/>
      </c>
      <c r="LR20" s="561" t="n">
        <v>17</v>
      </c>
      <c r="LS20" s="471" t="n"/>
      <c r="LT20" s="822" t="n"/>
      <c r="LU20" s="471" t="n"/>
      <c r="LV20" s="822" t="n"/>
      <c r="LW20" s="822">
        <f>MA19</f>
        <v/>
      </c>
      <c r="LX20" s="822" t="n"/>
      <c r="LY20" s="471" t="n"/>
      <c r="LZ20" s="471" t="n"/>
      <c r="MA20" s="562">
        <f>IF(AND(LV20:LZ20),1,0)</f>
        <v/>
      </c>
      <c r="MH20" s="561" t="n">
        <v>17</v>
      </c>
      <c r="MI20" s="471" t="n"/>
      <c r="MJ20" s="822" t="n"/>
      <c r="MK20" s="471" t="n"/>
      <c r="ML20" s="822" t="n"/>
      <c r="MM20" s="581" t="n">
        <v>1</v>
      </c>
      <c r="MN20" s="822" t="n"/>
      <c r="MO20" s="471" t="n"/>
      <c r="MP20" s="471" t="n"/>
      <c r="MQ20" s="562">
        <f>IF(AND(ML20:MP20),1,0)</f>
        <v/>
      </c>
      <c r="MS20" s="822" t="inlineStr">
        <is>
          <t>ACCP2N</t>
        </is>
      </c>
      <c r="MT20" s="801">
        <f>'DATA TRANSFER'!DP198</f>
        <v/>
      </c>
      <c r="MU20" s="471" t="n"/>
    </row>
    <row r="21">
      <c r="A21" s="559" t="n">
        <v>18</v>
      </c>
      <c r="B21" s="471" t="n"/>
      <c r="C21" s="471" t="n"/>
      <c r="D21" s="471" t="n"/>
      <c r="E21" s="471" t="n"/>
      <c r="F21" s="582">
        <f>M6</f>
        <v/>
      </c>
      <c r="G21" s="561">
        <f>J20</f>
        <v/>
      </c>
      <c r="H21" s="471" t="n"/>
      <c r="I21" s="471" t="n"/>
      <c r="J21" s="562">
        <f>IF(AND(E21:I21),1,0)</f>
        <v/>
      </c>
      <c r="P21" s="561" t="n">
        <v>18</v>
      </c>
      <c r="Q21" s="471" t="n"/>
      <c r="R21" s="561" t="n"/>
      <c r="S21" s="471" t="n"/>
      <c r="T21" s="471" t="n"/>
      <c r="U21" s="801">
        <f>Y20</f>
        <v/>
      </c>
      <c r="V21" s="471" t="n"/>
      <c r="W21" s="471" t="n"/>
      <c r="X21" s="471" t="n"/>
      <c r="Y21" s="562">
        <f>IF(AND(T21:X21),1,0)</f>
        <v/>
      </c>
      <c r="AA21" s="566" t="n"/>
      <c r="AB21" s="801" t="n">
        <v>1</v>
      </c>
      <c r="AC21" s="471" t="n"/>
      <c r="AF21" s="561" t="n">
        <v>18</v>
      </c>
      <c r="AG21" s="471" t="n"/>
      <c r="AH21" s="471" t="n"/>
      <c r="AI21" s="471" t="n"/>
      <c r="AJ21" s="471" t="n"/>
      <c r="AK21" s="801">
        <f>AO20</f>
        <v/>
      </c>
      <c r="AL21" s="471" t="n"/>
      <c r="AM21" s="471" t="n"/>
      <c r="AN21" s="471" t="n"/>
      <c r="AO21" s="562">
        <f>IF(AND(AJ21:AN21),1,0)</f>
        <v/>
      </c>
      <c r="AS21" s="561" t="n">
        <v>18</v>
      </c>
      <c r="AT21" s="471" t="n"/>
      <c r="AU21" s="471" t="n"/>
      <c r="AV21" s="471" t="n"/>
      <c r="AW21" s="471">
        <f>BB20</f>
        <v/>
      </c>
      <c r="AX21" s="471" t="n"/>
      <c r="AY21" s="471" t="n"/>
      <c r="AZ21" s="471" t="n"/>
      <c r="BA21" s="471" t="n"/>
      <c r="BB21" s="562">
        <f>IF(AND(AW21:BA21),1,0)</f>
        <v/>
      </c>
      <c r="BI21" s="561" t="n">
        <v>18</v>
      </c>
      <c r="BJ21" s="471" t="n"/>
      <c r="BK21" s="471" t="n"/>
      <c r="BL21" s="471" t="n"/>
      <c r="BM21" s="471" t="n"/>
      <c r="BN21" s="561">
        <f>BR20</f>
        <v/>
      </c>
      <c r="BO21" s="471" t="n"/>
      <c r="BP21" s="471" t="n"/>
      <c r="BQ21" s="471" t="n"/>
      <c r="BR21" s="562">
        <f>IF(AND(BM21:BQ21),1,0)</f>
        <v/>
      </c>
      <c r="BX21" s="561" t="n">
        <v>18</v>
      </c>
      <c r="BY21" s="471" t="n"/>
      <c r="BZ21" s="471" t="n"/>
      <c r="CA21" s="471" t="n"/>
      <c r="CB21" s="471" t="n"/>
      <c r="CC21" s="561">
        <f>CG20</f>
        <v/>
      </c>
      <c r="CD21" s="471" t="n"/>
      <c r="CE21" s="471" t="n"/>
      <c r="CF21" s="471" t="n"/>
      <c r="CG21" s="562">
        <f>IF(AND(CB21:CF21),1,0)</f>
        <v/>
      </c>
      <c r="CI21" s="561" t="n">
        <v>18</v>
      </c>
      <c r="CJ21" s="471" t="n"/>
      <c r="CK21" s="471" t="n"/>
      <c r="CL21" s="471" t="n"/>
      <c r="CM21" s="471" t="n"/>
      <c r="CN21" s="471">
        <f>CR20</f>
        <v/>
      </c>
      <c r="CO21" s="471">
        <f>CR37</f>
        <v/>
      </c>
      <c r="CP21" s="471" t="n"/>
      <c r="CQ21" s="471" t="n"/>
      <c r="CR21" s="562">
        <f>IF(AND(CM21:CQ21),1,0)</f>
        <v/>
      </c>
      <c r="DK21" s="561" t="n">
        <v>18</v>
      </c>
      <c r="DL21" s="566" t="n"/>
      <c r="DM21" s="561" t="n"/>
      <c r="DN21" s="471" t="n"/>
      <c r="DO21" s="471" t="n"/>
      <c r="DP21" s="801">
        <f>DT20</f>
        <v/>
      </c>
      <c r="DQ21" s="471" t="n"/>
      <c r="DR21" s="471" t="n"/>
      <c r="DS21" s="471" t="n"/>
      <c r="DT21" s="562">
        <f>IF(AND(DO21:DS21),1,0)</f>
        <v/>
      </c>
      <c r="DV21" s="840" t="inlineStr">
        <is>
          <t>CACS</t>
        </is>
      </c>
      <c r="DW21" s="840">
        <f>IF(OR('DATA TRANSFER'!DP135=2,'DATA TRANSFER'!DP135=3),1,0)</f>
        <v/>
      </c>
      <c r="DZ21" s="561" t="n">
        <v>18</v>
      </c>
      <c r="EA21" s="566" t="n"/>
      <c r="EB21" s="561" t="n"/>
      <c r="EC21" s="471" t="n"/>
      <c r="ED21" s="471" t="n"/>
      <c r="EE21" s="471">
        <f>EI20</f>
        <v/>
      </c>
      <c r="EF21" s="471" t="n"/>
      <c r="EG21" s="471" t="n"/>
      <c r="EH21" s="471" t="n"/>
      <c r="EI21" s="571">
        <f>IF(AND(ED21:EH21),1,0)</f>
        <v/>
      </c>
      <c r="EO21" s="561" t="n">
        <v>18</v>
      </c>
      <c r="EP21" s="566" t="n"/>
      <c r="EQ21" s="561" t="n"/>
      <c r="ER21" s="471" t="n"/>
      <c r="ES21" s="471" t="n"/>
      <c r="ET21" s="471">
        <f>EX20</f>
        <v/>
      </c>
      <c r="EU21" s="471" t="n"/>
      <c r="EV21" s="471" t="n"/>
      <c r="EW21" s="471" t="n"/>
      <c r="EX21" s="562">
        <f>IF(AND(ES21:EW21),1,0)</f>
        <v/>
      </c>
      <c r="EZ21" s="840" t="inlineStr">
        <is>
          <t>SAFC1</t>
        </is>
      </c>
      <c r="FA21" s="840">
        <f>'DATA TRANSFER'!DP147</f>
        <v/>
      </c>
      <c r="FE21" s="561" t="n">
        <v>18</v>
      </c>
      <c r="FF21" s="566" t="n"/>
      <c r="FG21" s="561" t="n"/>
      <c r="FH21" s="471" t="n"/>
      <c r="FI21" s="471" t="n"/>
      <c r="FJ21" s="471">
        <f>FN20</f>
        <v/>
      </c>
      <c r="FK21" s="471" t="n"/>
      <c r="FL21" s="471" t="n"/>
      <c r="FM21" s="471" t="n"/>
      <c r="FN21" s="562">
        <f>IF(AND(FI21:FM21),1,0)</f>
        <v/>
      </c>
      <c r="FQ21" s="561">
        <f>FA21</f>
        <v/>
      </c>
      <c r="FT21" s="561" t="n">
        <v>18</v>
      </c>
      <c r="FU21" s="566" t="n"/>
      <c r="FV21" s="822" t="inlineStr">
        <is>
          <t>FADR</t>
        </is>
      </c>
      <c r="FW21" s="471" t="n"/>
      <c r="FX21" s="471" t="n"/>
      <c r="FY21" s="573">
        <f>FQ17</f>
        <v/>
      </c>
      <c r="FZ21" s="471">
        <f>GC20</f>
        <v/>
      </c>
      <c r="GA21" s="471" t="n"/>
      <c r="GB21" s="471" t="n"/>
      <c r="GC21" s="562">
        <f>IF(AND(FX21:GB21),1,0)</f>
        <v/>
      </c>
      <c r="GF21" s="561" t="n">
        <v>18</v>
      </c>
      <c r="GG21" s="566" t="n"/>
      <c r="GH21" s="822" t="n"/>
      <c r="GI21" s="471" t="n"/>
      <c r="GJ21" s="471" t="n"/>
      <c r="GK21" s="561">
        <f>GO20</f>
        <v/>
      </c>
      <c r="GL21" s="471" t="n"/>
      <c r="GM21" s="471" t="n"/>
      <c r="GN21" s="471" t="n"/>
      <c r="GO21" s="562">
        <f>IF(AND(GJ21:GN21),1,0)</f>
        <v/>
      </c>
      <c r="GU21" s="561" t="n">
        <v>18</v>
      </c>
      <c r="GV21" s="566" t="n"/>
      <c r="GW21" s="822" t="n"/>
      <c r="GX21" s="471" t="n"/>
      <c r="GY21" s="471" t="n"/>
      <c r="GZ21" s="801">
        <f>HD20</f>
        <v/>
      </c>
      <c r="HA21" s="471" t="n"/>
      <c r="HB21" s="471" t="n"/>
      <c r="HC21" s="471" t="n"/>
      <c r="HD21" s="571">
        <f>IF(AND(GY21:HC21),1,0)</f>
        <v/>
      </c>
      <c r="HK21" s="561" t="n">
        <v>18</v>
      </c>
      <c r="HL21" s="471" t="n"/>
      <c r="HM21" s="471" t="n"/>
      <c r="HN21" s="471" t="n"/>
      <c r="HO21" s="471" t="n"/>
      <c r="HP21" s="801">
        <f>HT20</f>
        <v/>
      </c>
      <c r="HQ21" s="471" t="n"/>
      <c r="HR21" s="471" t="n"/>
      <c r="HS21" s="471" t="n"/>
      <c r="HT21" s="562">
        <f>IF(AND(HO21:HS21),1,0)</f>
        <v/>
      </c>
      <c r="HV21" s="561" t="inlineStr">
        <is>
          <t xml:space="preserve">0 VDC </t>
        </is>
      </c>
      <c r="HW21" s="471" t="n">
        <v>1</v>
      </c>
      <c r="HX21" s="471" t="n"/>
      <c r="HZ21" s="561" t="n">
        <v>18</v>
      </c>
      <c r="IA21" s="471" t="n"/>
      <c r="IB21" s="471" t="n"/>
      <c r="IC21" s="471" t="n"/>
      <c r="ID21" s="471" t="n"/>
      <c r="IE21" s="801">
        <f>II4</f>
        <v/>
      </c>
      <c r="IF21" s="471" t="n"/>
      <c r="IG21" s="471" t="n"/>
      <c r="IH21" s="471" t="n"/>
      <c r="II21" s="562">
        <f>IF(AND(ID21:IH21),1,0)</f>
        <v/>
      </c>
      <c r="IL21" s="561" t="n">
        <v>18</v>
      </c>
      <c r="IM21" s="471" t="n"/>
      <c r="IN21" s="471" t="n"/>
      <c r="IO21" s="471" t="n"/>
      <c r="IP21" s="566" t="n"/>
      <c r="IQ21" s="566">
        <f>IU20</f>
        <v/>
      </c>
      <c r="IR21" s="471" t="n"/>
      <c r="IS21" s="471" t="n"/>
      <c r="IT21" s="471" t="n"/>
      <c r="IU21" s="562">
        <f>IF(AND(IP21:IT21),1,0)</f>
        <v/>
      </c>
      <c r="IX21" s="561" t="n">
        <v>18</v>
      </c>
      <c r="IY21" s="471" t="n"/>
      <c r="IZ21" s="822" t="n"/>
      <c r="JA21" s="471" t="n"/>
      <c r="JB21" s="566" t="n"/>
      <c r="JC21" s="566">
        <f>JG20</f>
        <v/>
      </c>
      <c r="JD21" s="471" t="n"/>
      <c r="JE21" s="471" t="n"/>
      <c r="JF21" s="471" t="n"/>
      <c r="JG21" s="571">
        <f>IF(AND(JB21:JF21),1,0)</f>
        <v/>
      </c>
      <c r="JI21" s="822" t="inlineStr">
        <is>
          <t>FADR1</t>
        </is>
      </c>
      <c r="JJ21" s="801">
        <f>IF(OR('Mode Logic'!P18,'DATA TRANSFER'!DP178),1,0)</f>
        <v/>
      </c>
      <c r="JK21" s="471" t="n"/>
      <c r="JN21" s="561" t="n">
        <v>18</v>
      </c>
      <c r="JO21" s="471" t="n"/>
      <c r="JP21" s="822" t="n"/>
      <c r="JQ21" s="471" t="n"/>
      <c r="JR21" s="566" t="n"/>
      <c r="JS21" s="566">
        <f>JW20</f>
        <v/>
      </c>
      <c r="JT21" s="566" t="n"/>
      <c r="JU21" s="471" t="n"/>
      <c r="JV21" s="471" t="n"/>
      <c r="JW21" s="562">
        <f>IF(AND(JR21:JV21),1,0)</f>
        <v/>
      </c>
      <c r="JZ21" s="561" t="n">
        <v>18</v>
      </c>
      <c r="KA21" s="471" t="n"/>
      <c r="KB21" s="822" t="inlineStr">
        <is>
          <t>DI SFC OFF</t>
        </is>
      </c>
      <c r="KC21" s="471" t="n"/>
      <c r="KD21" s="822" t="n"/>
      <c r="KE21" s="822">
        <f>KI20</f>
        <v/>
      </c>
      <c r="KF21" s="566">
        <f>KI19</f>
        <v/>
      </c>
      <c r="KG21" s="471" t="n"/>
      <c r="KH21" s="471" t="n"/>
      <c r="KI21" s="562">
        <f>IF(AND(KD21:KH21),1,0)</f>
        <v/>
      </c>
      <c r="KK21" s="471" t="inlineStr">
        <is>
          <t>SMDR 2</t>
        </is>
      </c>
      <c r="KL21" s="801">
        <f>IF(OR('DATA TRANSFER'!M12),1,0)</f>
        <v/>
      </c>
      <c r="KM21" s="471" t="n"/>
      <c r="KP21" s="561" t="n">
        <v>18</v>
      </c>
      <c r="KQ21" s="561" t="inlineStr">
        <is>
          <t>X2</t>
        </is>
      </c>
      <c r="KR21" s="822" t="n"/>
      <c r="KS21" s="471" t="n"/>
      <c r="KT21" s="822" t="n"/>
      <c r="KU21" s="822">
        <f>IF(OR(KY13,KY15,KY17,KY19),1,0)</f>
        <v/>
      </c>
      <c r="KV21" s="822" t="n"/>
      <c r="KW21" s="471" t="n"/>
      <c r="KX21" s="471" t="n"/>
      <c r="KY21" s="562">
        <f>IF(AND(KT21:KX21),1,0)</f>
        <v/>
      </c>
      <c r="LB21" s="561" t="n">
        <v>18</v>
      </c>
      <c r="LC21" s="471" t="n"/>
      <c r="LD21" s="822" t="n"/>
      <c r="LE21" s="471" t="n"/>
      <c r="LF21" s="822" t="n"/>
      <c r="LG21" s="822">
        <f>LK26</f>
        <v/>
      </c>
      <c r="LH21" s="822">
        <f>LK26</f>
        <v/>
      </c>
      <c r="LI21" s="471" t="n"/>
      <c r="LJ21" s="471" t="n"/>
      <c r="LK21" s="562">
        <f>IF(AND(LF21:LJ21),1,0)</f>
        <v/>
      </c>
      <c r="LM21" s="566" t="n"/>
      <c r="LN21" s="801" t="n">
        <v>1</v>
      </c>
      <c r="LO21" s="471" t="n"/>
      <c r="LQ21" s="840">
        <f>LQ20+1</f>
        <v/>
      </c>
      <c r="LR21" s="561" t="n">
        <v>18</v>
      </c>
      <c r="LS21" s="471" t="n"/>
      <c r="LT21" s="822" t="n"/>
      <c r="LU21" s="471" t="n"/>
      <c r="LV21" s="822" t="n"/>
      <c r="LW21" s="822">
        <f>MA20</f>
        <v/>
      </c>
      <c r="LX21" s="822" t="n"/>
      <c r="LY21" s="471" t="n"/>
      <c r="LZ21" s="471" t="n"/>
      <c r="MA21" s="562">
        <f>IF(AND(LV21:LZ21),1,0)</f>
        <v/>
      </c>
      <c r="MH21" s="561" t="n">
        <v>18</v>
      </c>
      <c r="MI21" s="471" t="n"/>
      <c r="MJ21" s="822" t="n"/>
      <c r="MK21" s="471" t="n"/>
      <c r="ML21" s="822" t="n"/>
      <c r="MM21" s="822">
        <f>MQ17</f>
        <v/>
      </c>
      <c r="MN21" s="822" t="n"/>
      <c r="MO21" s="471" t="n"/>
      <c r="MP21" s="471" t="n"/>
      <c r="MQ21" s="562">
        <f>IF(AND(ML21:MP21),1,0)</f>
        <v/>
      </c>
      <c r="MS21" s="822" t="inlineStr">
        <is>
          <t>DI RIO 2 PCB 9 (15)_I_FAD FORCED CLS</t>
        </is>
      </c>
      <c r="MT21" s="801">
        <f>IF(NOT('Mode Logic'!P18),1,0)</f>
        <v/>
      </c>
      <c r="MU21" s="471" t="n"/>
    </row>
    <row r="22" ht="31" customHeight="1">
      <c r="A22" s="559" t="n">
        <v>19</v>
      </c>
      <c r="B22" s="471" t="n"/>
      <c r="C22" s="471" t="n"/>
      <c r="D22" s="471" t="n"/>
      <c r="E22" s="471" t="n"/>
      <c r="F22" s="801">
        <f>J21</f>
        <v/>
      </c>
      <c r="G22" s="561" t="n"/>
      <c r="H22" s="471" t="n"/>
      <c r="I22" s="471" t="n"/>
      <c r="J22" s="562">
        <f>IF(AND(E22:I22),1,0)</f>
        <v/>
      </c>
      <c r="P22" s="561" t="n">
        <v>19</v>
      </c>
      <c r="Q22" s="471" t="n"/>
      <c r="R22" s="561" t="n"/>
      <c r="S22" s="471" t="n"/>
      <c r="T22" s="471" t="n"/>
      <c r="U22" s="801">
        <f>Y9</f>
        <v/>
      </c>
      <c r="V22" s="471" t="n"/>
      <c r="W22" s="471" t="n"/>
      <c r="X22" s="471" t="n"/>
      <c r="Y22" s="562">
        <f>IF(AND(T22:X22),1,0)</f>
        <v/>
      </c>
      <c r="AA22" s="822" t="inlineStr">
        <is>
          <t>CONDESER MOTOR 1 (3A) Pa=2.5kW P.f=0.74</t>
        </is>
      </c>
      <c r="AB22" s="801">
        <f>'DATA TRANSFER'!AT14</f>
        <v/>
      </c>
      <c r="AC22" s="471" t="n"/>
      <c r="AF22" s="561" t="n">
        <v>19</v>
      </c>
      <c r="AG22" s="471" t="n"/>
      <c r="AH22" s="471" t="n"/>
      <c r="AI22" s="471" t="n"/>
      <c r="AJ22" s="471" t="n"/>
      <c r="AK22" s="801">
        <f>AO9</f>
        <v/>
      </c>
      <c r="AL22" s="471" t="n"/>
      <c r="AM22" s="471" t="n"/>
      <c r="AN22" s="471" t="n"/>
      <c r="AO22" s="562">
        <f>IF(AND(AJ22:AN22),1,0)</f>
        <v/>
      </c>
      <c r="AS22" s="561" t="n">
        <v>19</v>
      </c>
      <c r="AT22" s="471" t="n"/>
      <c r="AU22" s="822" t="inlineStr">
        <is>
          <t>SMDRB</t>
        </is>
      </c>
      <c r="AV22" s="471" t="n"/>
      <c r="AW22" s="570">
        <f>BE8</f>
        <v/>
      </c>
      <c r="AX22" s="471">
        <f>BB21</f>
        <v/>
      </c>
      <c r="AY22" s="471" t="n"/>
      <c r="AZ22" s="471" t="n"/>
      <c r="BA22" s="471" t="n"/>
      <c r="BB22" s="562">
        <f>IF(AND(AW22:BA22),1,0)</f>
        <v/>
      </c>
      <c r="BI22" s="561" t="n">
        <v>19</v>
      </c>
      <c r="BJ22" s="566" t="n"/>
      <c r="BK22" s="471" t="n"/>
      <c r="BL22" s="471" t="n"/>
      <c r="BM22" s="471" t="n"/>
      <c r="BN22" s="561">
        <f>BR21</f>
        <v/>
      </c>
      <c r="BO22" s="471" t="n"/>
      <c r="BP22" s="471" t="n"/>
      <c r="BQ22" s="471" t="n"/>
      <c r="BR22" s="562">
        <f>IF(AND(BM22:BQ22),1,0)</f>
        <v/>
      </c>
      <c r="BX22" s="561" t="n">
        <v>19</v>
      </c>
      <c r="BY22" s="566" t="n"/>
      <c r="BZ22" s="471" t="n"/>
      <c r="CA22" s="471" t="n"/>
      <c r="CB22" s="471" t="n"/>
      <c r="CC22" s="561">
        <f>CG21</f>
        <v/>
      </c>
      <c r="CD22" s="471" t="n"/>
      <c r="CE22" s="471" t="n"/>
      <c r="CF22" s="471" t="n"/>
      <c r="CG22" s="562">
        <f>IF(AND(CB22:CF22),1,0)</f>
        <v/>
      </c>
      <c r="CI22" s="561" t="n">
        <v>19</v>
      </c>
      <c r="CJ22" s="566" t="n"/>
      <c r="CK22" s="561" t="n"/>
      <c r="CL22" s="471" t="n"/>
      <c r="CM22" s="471" t="n"/>
      <c r="CN22" s="471">
        <f>CR20</f>
        <v/>
      </c>
      <c r="CO22" s="471" t="n"/>
      <c r="CP22" s="471" t="n"/>
      <c r="CQ22" s="471" t="n"/>
      <c r="CR22" s="562">
        <f>IF(AND(CM22:CQ22),1,0)</f>
        <v/>
      </c>
      <c r="DK22" s="561" t="n">
        <v>19</v>
      </c>
      <c r="DL22" s="566" t="n"/>
      <c r="DM22" s="561" t="inlineStr">
        <is>
          <t>FAN1 P-60W</t>
        </is>
      </c>
      <c r="DN22" s="471" t="n"/>
      <c r="DO22" s="471" t="n"/>
      <c r="DP22" s="569">
        <f>DW11</f>
        <v/>
      </c>
      <c r="DQ22" s="471">
        <f>DT21</f>
        <v/>
      </c>
      <c r="DR22" s="471" t="n"/>
      <c r="DS22" s="471" t="n"/>
      <c r="DT22" s="562">
        <f>IF(AND(DO22:DS22),1,0)</f>
        <v/>
      </c>
      <c r="DV22" s="840" t="inlineStr">
        <is>
          <t>CACS</t>
        </is>
      </c>
      <c r="DW22" s="840">
        <f>IF(OR('DATA TRANSFER'!DP135=3),1,0)</f>
        <v/>
      </c>
      <c r="DZ22" s="561" t="n">
        <v>19</v>
      </c>
      <c r="EA22" s="566" t="n"/>
      <c r="EB22" s="561" t="inlineStr">
        <is>
          <t>0VDC</t>
        </is>
      </c>
      <c r="EC22" s="471" t="n"/>
      <c r="ED22" s="471" t="n"/>
      <c r="EE22" s="565" t="n">
        <v>1</v>
      </c>
      <c r="EF22" s="471" t="n"/>
      <c r="EG22" s="471" t="n"/>
      <c r="EH22" s="471" t="n"/>
      <c r="EI22" s="571">
        <f>IF(AND(ED22:EH22),1,0)</f>
        <v/>
      </c>
      <c r="EO22" s="561" t="n">
        <v>19</v>
      </c>
      <c r="EP22" s="566" t="n"/>
      <c r="EQ22" s="561" t="inlineStr">
        <is>
          <t>SFC OFF -110VDC</t>
        </is>
      </c>
      <c r="ER22" s="471" t="n"/>
      <c r="ES22" s="471" t="n"/>
      <c r="ET22" s="570">
        <f>FA9</f>
        <v/>
      </c>
      <c r="EU22" s="471" t="n"/>
      <c r="EV22" s="471" t="n"/>
      <c r="EW22" s="471" t="n"/>
      <c r="EX22" s="562">
        <f>IF(AND(ES22:EW22),1,0)</f>
        <v/>
      </c>
      <c r="FE22" s="561" t="n">
        <v>19</v>
      </c>
      <c r="FF22" s="566" t="n"/>
      <c r="FG22" s="561" t="inlineStr">
        <is>
          <t>SFC OFF -110VDC</t>
        </is>
      </c>
      <c r="FH22" s="471" t="n"/>
      <c r="FI22" s="471" t="n"/>
      <c r="FJ22" s="570">
        <f>FA9</f>
        <v/>
      </c>
      <c r="FK22" s="471" t="n"/>
      <c r="FL22" s="471" t="n"/>
      <c r="FM22" s="471" t="n"/>
      <c r="FN22" s="562">
        <f>IF(AND(FI22:FM22),1,0)</f>
        <v/>
      </c>
      <c r="FP22" s="840" t="inlineStr">
        <is>
          <t>SAFC1</t>
        </is>
      </c>
      <c r="FQ22" s="840">
        <f>'DATA TRANSFER'!DP147</f>
        <v/>
      </c>
      <c r="FT22" s="561" t="n">
        <v>19</v>
      </c>
      <c r="FU22" s="566" t="n"/>
      <c r="FV22" s="822" t="n"/>
      <c r="FW22" s="471" t="n"/>
      <c r="FX22" s="471" t="n"/>
      <c r="FY22" s="561">
        <f>GC21</f>
        <v/>
      </c>
      <c r="FZ22" s="471" t="n"/>
      <c r="GA22" s="471" t="n"/>
      <c r="GB22" s="471" t="n"/>
      <c r="GC22" s="562">
        <f>IF(AND(FX22:GB22),1,0)</f>
        <v/>
      </c>
      <c r="GF22" s="561" t="n">
        <v>19</v>
      </c>
      <c r="GG22" s="566" t="n"/>
      <c r="GH22" s="822" t="n"/>
      <c r="GI22" s="471" t="n"/>
      <c r="GJ22" s="471" t="n"/>
      <c r="GK22" s="561">
        <f>GO21</f>
        <v/>
      </c>
      <c r="GL22" s="471" t="n"/>
      <c r="GM22" s="471" t="n"/>
      <c r="GN22" s="471" t="n"/>
      <c r="GO22" s="562">
        <f>IF(AND(GJ22:GN22),1,0)</f>
        <v/>
      </c>
      <c r="GU22" s="561" t="n">
        <v>19</v>
      </c>
      <c r="GV22" s="566" t="n"/>
      <c r="GW22" s="822" t="n"/>
      <c r="GX22" s="471" t="n"/>
      <c r="GY22" s="471" t="n"/>
      <c r="GZ22" s="560" t="n">
        <v>1</v>
      </c>
      <c r="HA22" s="471" t="n"/>
      <c r="HB22" s="471" t="n"/>
      <c r="HC22" s="471" t="n"/>
      <c r="HD22" s="571">
        <f>IF(AND(GY22:HC22),1,0)</f>
        <v/>
      </c>
      <c r="HK22" s="561" t="n">
        <v>19</v>
      </c>
      <c r="HL22" s="471" t="n"/>
      <c r="HM22" s="471" t="n"/>
      <c r="HN22" s="471" t="n"/>
      <c r="HO22" s="471" t="n"/>
      <c r="HP22" s="801">
        <f>HT12</f>
        <v/>
      </c>
      <c r="HQ22" s="471" t="n"/>
      <c r="HR22" s="471" t="n"/>
      <c r="HS22" s="471" t="n"/>
      <c r="HT22" s="562">
        <f>IF(AND(HO22:HS22),1,0)</f>
        <v/>
      </c>
      <c r="HV22" s="471" t="inlineStr">
        <is>
          <t xml:space="preserve">RAD OPEN </t>
        </is>
      </c>
      <c r="HW22" s="471">
        <f>'Mode Logic'!Q18</f>
        <v/>
      </c>
      <c r="HX22" s="471" t="n"/>
      <c r="HZ22" s="561" t="n">
        <v>19</v>
      </c>
      <c r="IA22" s="471" t="n"/>
      <c r="IB22" s="471" t="n"/>
      <c r="IC22" s="471" t="n"/>
      <c r="ID22" s="471" t="n"/>
      <c r="IE22" s="560">
        <f>'LFD New'!D2</f>
        <v/>
      </c>
      <c r="IF22" s="471" t="n"/>
      <c r="IG22" s="471" t="n"/>
      <c r="IH22" s="471" t="n"/>
      <c r="II22" s="562">
        <f>IF(AND(ID22:IH22),1,0)</f>
        <v/>
      </c>
      <c r="IL22" s="561" t="n">
        <v>19</v>
      </c>
      <c r="IM22" s="471" t="n"/>
      <c r="IN22" s="471" t="n"/>
      <c r="IO22" s="471" t="n"/>
      <c r="IP22" s="566" t="n"/>
      <c r="IQ22" s="566">
        <f>IU21</f>
        <v/>
      </c>
      <c r="IR22" s="471" t="n"/>
      <c r="IS22" s="471" t="n"/>
      <c r="IT22" s="471" t="n"/>
      <c r="IU22" s="562">
        <f>IF(AND(IP22:IT22),1,0)</f>
        <v/>
      </c>
      <c r="IX22" s="561" t="n">
        <v>19</v>
      </c>
      <c r="IY22" s="471" t="n"/>
      <c r="IZ22" s="822" t="n"/>
      <c r="JA22" s="471" t="n"/>
      <c r="JB22" s="566" t="n"/>
      <c r="JC22" s="566">
        <f>JG21</f>
        <v/>
      </c>
      <c r="JD22" s="471" t="n"/>
      <c r="JE22" s="471" t="n"/>
      <c r="JF22" s="471" t="n"/>
      <c r="JG22" s="571">
        <f>IF(AND(JB22:JF22),1,0)</f>
        <v/>
      </c>
      <c r="JI22" s="822" t="inlineStr">
        <is>
          <t>FADR2</t>
        </is>
      </c>
      <c r="JJ22" s="801">
        <f>IF(OR('Mode Logic'!P18,'DATA TRANSFER'!DP179),1,0)</f>
        <v/>
      </c>
      <c r="JK22" s="471" t="n"/>
      <c r="JN22" s="561" t="n">
        <v>19</v>
      </c>
      <c r="JO22" s="471" t="n"/>
      <c r="JP22" s="822" t="inlineStr">
        <is>
          <t>SFC OFF</t>
        </is>
      </c>
      <c r="JQ22" s="471" t="n"/>
      <c r="JR22" s="566" t="n"/>
      <c r="JS22" s="575">
        <f>JJ20</f>
        <v/>
      </c>
      <c r="JT22" s="566">
        <f>JW21</f>
        <v/>
      </c>
      <c r="JU22" s="471" t="n"/>
      <c r="JV22" s="471" t="n"/>
      <c r="JW22" s="562">
        <f>IF(AND(JR22:JV22),1,0)</f>
        <v/>
      </c>
      <c r="JZ22" s="561" t="n">
        <v>19</v>
      </c>
      <c r="KA22" s="471" t="n"/>
      <c r="KB22" s="822" t="inlineStr">
        <is>
          <t xml:space="preserve">24 V DC </t>
        </is>
      </c>
      <c r="KC22" s="471" t="n"/>
      <c r="KD22" s="822" t="n"/>
      <c r="KE22" s="574">
        <f>KL6</f>
        <v/>
      </c>
      <c r="KF22" s="566" t="n"/>
      <c r="KG22" s="471" t="n"/>
      <c r="KH22" s="471" t="n"/>
      <c r="KI22" s="562">
        <f>IF(AND(KD22:KH22),1,0)</f>
        <v/>
      </c>
      <c r="KK22" s="471" t="inlineStr">
        <is>
          <t>FADR</t>
        </is>
      </c>
      <c r="KL22" s="801" t="n">
        <v>1</v>
      </c>
      <c r="KM22" s="471" t="n"/>
      <c r="KP22" s="561" t="n">
        <v>19</v>
      </c>
      <c r="KQ22" s="471" t="n"/>
      <c r="KR22" s="822" t="inlineStr">
        <is>
          <t>CONTROL PANEL</t>
        </is>
      </c>
      <c r="KS22" s="471" t="n"/>
      <c r="KT22" s="822" t="n"/>
      <c r="KU22" s="822">
        <f>KY20</f>
        <v/>
      </c>
      <c r="KV22" s="822">
        <f>KY21</f>
        <v/>
      </c>
      <c r="KW22" s="471" t="n"/>
      <c r="KX22" s="471" t="n"/>
      <c r="KY22" s="562">
        <f>IF(AND(KT22:KX22),1,0)</f>
        <v/>
      </c>
      <c r="LB22" s="561" t="n">
        <v>19</v>
      </c>
      <c r="LC22" s="471" t="n"/>
      <c r="LD22" s="822" t="n"/>
      <c r="LE22" s="471" t="n"/>
      <c r="LF22" s="822" t="n"/>
      <c r="LG22" s="822">
        <f>LK21</f>
        <v/>
      </c>
      <c r="LH22" s="822" t="n"/>
      <c r="LI22" s="471" t="n"/>
      <c r="LJ22" s="471" t="n"/>
      <c r="LK22" s="562">
        <f>IF(AND(LF22:LJ22),1,0)</f>
        <v/>
      </c>
      <c r="LM22" s="822" t="inlineStr">
        <is>
          <t>CONDESER MOTOR 1 (3A) Pa=2.5kW P.f=0.74</t>
        </is>
      </c>
      <c r="LN22" s="801">
        <f>'DATA TRANSFER'!AT14</f>
        <v/>
      </c>
      <c r="LO22" s="471" t="n"/>
      <c r="LQ22" s="840">
        <f>LQ21+1</f>
        <v/>
      </c>
      <c r="LR22" s="561" t="n">
        <v>19</v>
      </c>
      <c r="LS22" s="471" t="n"/>
      <c r="LT22" s="822" t="n"/>
      <c r="LU22" s="471" t="n"/>
      <c r="LV22" s="822" t="n"/>
      <c r="LW22" s="822">
        <f>MA21</f>
        <v/>
      </c>
      <c r="LX22" s="822" t="n"/>
      <c r="LY22" s="471" t="n"/>
      <c r="LZ22" s="471" t="n"/>
      <c r="MA22" s="562">
        <f>IF(AND(LV22:LZ22),1,0)</f>
        <v/>
      </c>
      <c r="MH22" s="561" t="n">
        <v>19</v>
      </c>
      <c r="MI22" s="471" t="n"/>
      <c r="MJ22" s="822" t="inlineStr">
        <is>
          <t>SMDRB</t>
        </is>
      </c>
      <c r="MK22" s="471" t="n"/>
      <c r="ML22" s="822" t="n"/>
      <c r="MM22" s="574">
        <f>MT24</f>
        <v/>
      </c>
      <c r="MN22" s="822">
        <f>MQ21</f>
        <v/>
      </c>
      <c r="MO22" s="471">
        <f>MQ17</f>
        <v/>
      </c>
      <c r="MP22" s="471" t="n"/>
      <c r="MQ22" s="562">
        <f>IF(AND(ML22:MP22),1,0)</f>
        <v/>
      </c>
      <c r="MS22" s="822" t="inlineStr">
        <is>
          <t>DI RIO 1 PCB 9 (15)_I_FAD FORCED CLS</t>
        </is>
      </c>
      <c r="MT22" s="801">
        <f>IF(NOT('Mode Logic'!P18),1,0)</f>
        <v/>
      </c>
      <c r="MU22" s="471" t="n"/>
    </row>
    <row r="23" ht="31" customHeight="1">
      <c r="A23" s="559" t="n">
        <v>20</v>
      </c>
      <c r="B23" s="471" t="n"/>
      <c r="C23" s="801" t="inlineStr">
        <is>
          <t>HFAN1 3A</t>
        </is>
      </c>
      <c r="D23" s="471" t="n"/>
      <c r="E23" s="471" t="n"/>
      <c r="F23" s="582">
        <f>M9</f>
        <v/>
      </c>
      <c r="G23" s="561">
        <f>J22</f>
        <v/>
      </c>
      <c r="H23" s="471" t="n"/>
      <c r="I23" s="471" t="n"/>
      <c r="J23" s="562">
        <f>IF(AND(E23:I23),1,0)</f>
        <v/>
      </c>
      <c r="P23" s="561" t="n">
        <v>20</v>
      </c>
      <c r="Q23" s="471" t="n"/>
      <c r="R23" s="561" t="n"/>
      <c r="S23" s="471" t="n"/>
      <c r="T23" s="471" t="n"/>
      <c r="U23" s="561">
        <f>Y18</f>
        <v/>
      </c>
      <c r="V23" s="471">
        <f>Y22</f>
        <v/>
      </c>
      <c r="W23" s="471" t="n"/>
      <c r="X23" s="471" t="n"/>
      <c r="Y23" s="562">
        <f>IF(AND(T23:X23),1,0)</f>
        <v/>
      </c>
      <c r="AA23" s="822" t="inlineStr">
        <is>
          <t>CONDESER MOTOR 2 (3A) Pa=2.5kW P.f=0.75</t>
        </is>
      </c>
      <c r="AB23" s="801">
        <f>'DATA TRANSFER'!AT22</f>
        <v/>
      </c>
      <c r="AC23" s="471" t="n"/>
      <c r="AF23" s="561" t="n">
        <v>20</v>
      </c>
      <c r="AG23" s="471" t="n"/>
      <c r="AH23" s="471" t="n"/>
      <c r="AI23" s="471" t="n"/>
      <c r="AJ23" s="471" t="n"/>
      <c r="AK23" s="569">
        <f>AO18</f>
        <v/>
      </c>
      <c r="AL23" s="471">
        <f>AO22</f>
        <v/>
      </c>
      <c r="AM23" s="471" t="n"/>
      <c r="AN23" s="471" t="n"/>
      <c r="AO23" s="562">
        <f>IF(AND(AJ23:AN23),1,0)</f>
        <v/>
      </c>
      <c r="AS23" s="561" t="n">
        <v>20</v>
      </c>
      <c r="AT23" s="471" t="n"/>
      <c r="AU23" s="471" t="n"/>
      <c r="AV23" s="471" t="n"/>
      <c r="AW23" s="471">
        <f>BB22</f>
        <v/>
      </c>
      <c r="AX23" s="471" t="n"/>
      <c r="AY23" s="471" t="n"/>
      <c r="AZ23" s="471" t="n"/>
      <c r="BA23" s="471" t="n"/>
      <c r="BB23" s="562">
        <f>IF(AND(AW23:BA23),1,0)</f>
        <v/>
      </c>
      <c r="BI23" s="561" t="n">
        <v>20</v>
      </c>
      <c r="BJ23" s="471" t="n"/>
      <c r="BK23" s="471" t="n"/>
      <c r="BL23" s="471" t="n"/>
      <c r="BM23" s="471" t="n"/>
      <c r="BN23" s="561">
        <f>BR22</f>
        <v/>
      </c>
      <c r="BO23" s="471" t="n"/>
      <c r="BP23" s="471" t="n"/>
      <c r="BQ23" s="471" t="n"/>
      <c r="BR23" s="562">
        <f>IF(AND(BM23:BQ23),1,0)</f>
        <v/>
      </c>
      <c r="BX23" s="561" t="n">
        <v>20</v>
      </c>
      <c r="BY23" s="471" t="n"/>
      <c r="BZ23" s="471" t="n"/>
      <c r="CA23" s="471" t="n"/>
      <c r="CB23" s="471" t="n"/>
      <c r="CC23" s="561">
        <f>CG22</f>
        <v/>
      </c>
      <c r="CD23" s="471" t="n"/>
      <c r="CE23" s="471" t="n"/>
      <c r="CF23" s="471" t="n"/>
      <c r="CG23" s="562">
        <f>IF(AND(CB23:CF23),1,0)</f>
        <v/>
      </c>
      <c r="CI23" s="561" t="n">
        <v>20</v>
      </c>
      <c r="CJ23" s="471" t="n"/>
      <c r="CK23" s="471" t="n"/>
      <c r="CL23" s="471" t="n"/>
      <c r="CM23" s="471" t="n"/>
      <c r="CN23" s="471">
        <f>CR22</f>
        <v/>
      </c>
      <c r="CO23" s="471" t="n"/>
      <c r="CP23" s="471" t="n"/>
      <c r="CQ23" s="471" t="n"/>
      <c r="CR23" s="562">
        <f>IF(AND(CM23:CQ23),1,0)</f>
        <v/>
      </c>
      <c r="DK23" s="561" t="n">
        <v>20</v>
      </c>
      <c r="DL23" s="566" t="n"/>
      <c r="DM23" s="561" t="n"/>
      <c r="DN23" s="471" t="n"/>
      <c r="DO23" s="471" t="n"/>
      <c r="DP23" s="801">
        <f>DT22</f>
        <v/>
      </c>
      <c r="DQ23" s="471" t="n"/>
      <c r="DR23" s="471" t="n"/>
      <c r="DS23" s="471" t="n"/>
      <c r="DT23" s="562">
        <f>IF(AND(DO23:DS23),1,0)</f>
        <v/>
      </c>
      <c r="DZ23" s="561" t="n">
        <v>20</v>
      </c>
      <c r="EA23" s="566" t="n"/>
      <c r="EB23" s="561" t="n"/>
      <c r="EC23" s="471" t="n"/>
      <c r="ED23" s="471" t="n"/>
      <c r="EE23" s="471">
        <f>EI22</f>
        <v/>
      </c>
      <c r="EF23" s="471" t="n"/>
      <c r="EG23" s="471" t="n"/>
      <c r="EH23" s="471" t="n"/>
      <c r="EI23" s="571">
        <f>IF(AND(ED23:EH23),1,0)</f>
        <v/>
      </c>
      <c r="EO23" s="561" t="n">
        <v>20</v>
      </c>
      <c r="EP23" s="566" t="n"/>
      <c r="EQ23" s="561" t="n"/>
      <c r="ER23" s="471" t="n"/>
      <c r="ES23" s="471" t="n"/>
      <c r="ET23" s="471">
        <f>EX22</f>
        <v/>
      </c>
      <c r="EU23" s="471" t="n"/>
      <c r="EV23" s="471" t="n"/>
      <c r="EW23" s="471" t="n"/>
      <c r="EX23" s="562">
        <f>IF(AND(ES23:EW23),1,0)</f>
        <v/>
      </c>
      <c r="FE23" s="561" t="n">
        <v>20</v>
      </c>
      <c r="FF23" s="566" t="n"/>
      <c r="FG23" s="561" t="n"/>
      <c r="FH23" s="471" t="n"/>
      <c r="FI23" s="471" t="n"/>
      <c r="FJ23" s="471">
        <f>FN22</f>
        <v/>
      </c>
      <c r="FK23" s="471" t="n"/>
      <c r="FL23" s="471" t="n"/>
      <c r="FM23" s="471" t="n"/>
      <c r="FN23" s="562">
        <f>IF(AND(FI23:FM23),1,0)</f>
        <v/>
      </c>
      <c r="FT23" s="561" t="n">
        <v>20</v>
      </c>
      <c r="FU23" s="566" t="n"/>
      <c r="FV23" s="822" t="inlineStr">
        <is>
          <t>SFC-OFF 110VDC</t>
        </is>
      </c>
      <c r="FW23" s="471" t="n"/>
      <c r="FX23" s="471" t="n"/>
      <c r="FY23" s="573">
        <f>FQ9</f>
        <v/>
      </c>
      <c r="FZ23" s="471" t="n"/>
      <c r="GA23" s="471" t="n"/>
      <c r="GB23" s="471" t="n"/>
      <c r="GC23" s="562">
        <f>IF(AND(FX23:GB23),1,0)</f>
        <v/>
      </c>
      <c r="GF23" s="561" t="n">
        <v>20</v>
      </c>
      <c r="GG23" s="566" t="n"/>
      <c r="GH23" s="822" t="inlineStr">
        <is>
          <t>SFC OFF</t>
        </is>
      </c>
      <c r="GI23" s="471" t="n"/>
      <c r="GJ23" s="471" t="n"/>
      <c r="GK23" s="573">
        <f>GR15</f>
        <v/>
      </c>
      <c r="GL23" s="471">
        <f>GO22</f>
        <v/>
      </c>
      <c r="GM23" s="471" t="n"/>
      <c r="GN23" s="471" t="n"/>
      <c r="GO23" s="562">
        <f>IF(AND(GJ23:GN23),1,0)</f>
        <v/>
      </c>
      <c r="GU23" s="561" t="n">
        <v>20</v>
      </c>
      <c r="GV23" s="566" t="n"/>
      <c r="GW23" s="822" t="n"/>
      <c r="GX23" s="471" t="n"/>
      <c r="GY23" s="471" t="n"/>
      <c r="GZ23" s="801">
        <f>HD22</f>
        <v/>
      </c>
      <c r="HA23" s="471" t="n"/>
      <c r="HB23" s="471" t="n"/>
      <c r="HC23" s="471" t="n"/>
      <c r="HD23" s="571">
        <f>IF(AND(GY23:HC23),1,0)</f>
        <v/>
      </c>
      <c r="HK23" s="561" t="n">
        <v>20</v>
      </c>
      <c r="HL23" s="471" t="n"/>
      <c r="HM23" s="471" t="n"/>
      <c r="HN23" s="471" t="n"/>
      <c r="HO23" s="471" t="n"/>
      <c r="HP23" s="801">
        <f>HT7</f>
        <v/>
      </c>
      <c r="HQ23" s="471" t="n"/>
      <c r="HR23" s="471" t="n"/>
      <c r="HS23" s="471" t="n"/>
      <c r="HT23" s="562">
        <f>IF(AND(HO23:HS23),1,0)</f>
        <v/>
      </c>
      <c r="HV23" s="471" t="inlineStr">
        <is>
          <t>RAD CLOSED</t>
        </is>
      </c>
      <c r="HW23" s="471">
        <f>IF(NOT(HW22),1,0)</f>
        <v/>
      </c>
      <c r="HX23" s="471" t="n"/>
      <c r="HZ23" s="561" t="n">
        <v>20</v>
      </c>
      <c r="IA23" s="471" t="n"/>
      <c r="IB23" s="471" t="inlineStr">
        <is>
          <t>PPR2</t>
        </is>
      </c>
      <c r="IC23" s="471" t="n"/>
      <c r="ID23" s="471" t="n"/>
      <c r="IE23" s="569">
        <f>HW15</f>
        <v/>
      </c>
      <c r="IF23" s="471">
        <f>II22</f>
        <v/>
      </c>
      <c r="IG23" s="471" t="n"/>
      <c r="IH23" s="471" t="n"/>
      <c r="II23" s="562">
        <f>IF(AND(ID23:IH23),1,0)</f>
        <v/>
      </c>
      <c r="IL23" s="561" t="n">
        <v>20</v>
      </c>
      <c r="IM23" s="471" t="n"/>
      <c r="IN23" s="471" t="n"/>
      <c r="IO23" s="471" t="n"/>
      <c r="IP23" s="566" t="n"/>
      <c r="IQ23" s="566">
        <f>IU22</f>
        <v/>
      </c>
      <c r="IR23" s="471" t="n"/>
      <c r="IS23" s="471" t="n"/>
      <c r="IT23" s="471" t="n"/>
      <c r="IU23" s="562">
        <f>IF(AND(IP23:IT23),1,0)</f>
        <v/>
      </c>
      <c r="IX23" s="561" t="n">
        <v>20</v>
      </c>
      <c r="IY23" s="471" t="n"/>
      <c r="IZ23" s="822" t="inlineStr">
        <is>
          <t xml:space="preserve">0 V DC </t>
        </is>
      </c>
      <c r="JA23" s="471" t="n"/>
      <c r="JB23" s="566" t="n"/>
      <c r="JC23" s="586" t="n">
        <v>1</v>
      </c>
      <c r="JD23" s="471" t="n"/>
      <c r="JE23" s="471" t="n"/>
      <c r="JF23" s="471" t="n"/>
      <c r="JG23" s="571">
        <f>IF(AND(JB23:JF23),1,0)</f>
        <v/>
      </c>
      <c r="JI23" s="822" t="inlineStr">
        <is>
          <t>FADR6</t>
        </is>
      </c>
      <c r="JJ23" s="801">
        <f>'Mode Logic'!P18</f>
        <v/>
      </c>
      <c r="JK23" s="471" t="n"/>
      <c r="JN23" s="561" t="n">
        <v>20</v>
      </c>
      <c r="JO23" s="471" t="n"/>
      <c r="JP23" s="822" t="n"/>
      <c r="JQ23" s="471" t="n"/>
      <c r="JR23" s="566" t="n"/>
      <c r="JS23" s="566">
        <f>JW22</f>
        <v/>
      </c>
      <c r="JT23" s="566" t="n"/>
      <c r="JU23" s="471" t="n"/>
      <c r="JV23" s="471" t="n"/>
      <c r="JW23" s="562">
        <f>IF(AND(JR23:JV23),1,0)</f>
        <v/>
      </c>
      <c r="JZ23" s="561" t="n">
        <v>20</v>
      </c>
      <c r="KA23" s="471" t="n"/>
      <c r="KB23" s="822" t="n"/>
      <c r="KC23" s="471" t="n"/>
      <c r="KD23" s="822" t="n"/>
      <c r="KE23" s="574">
        <f>KL10</f>
        <v/>
      </c>
      <c r="KF23" s="566">
        <f>KI22</f>
        <v/>
      </c>
      <c r="KG23" s="471" t="n"/>
      <c r="KH23" s="471" t="n"/>
      <c r="KI23" s="562">
        <f>IF(AND(KD23:KH23),1,0)</f>
        <v/>
      </c>
      <c r="KK23" s="471" t="inlineStr">
        <is>
          <t>SFC OFF</t>
        </is>
      </c>
      <c r="KL23" s="801">
        <f>IF(OR('Mode Logic'!V18:W18),1,0)</f>
        <v/>
      </c>
      <c r="KM23" s="471" t="n"/>
      <c r="KP23" s="561" t="n">
        <v>20</v>
      </c>
      <c r="KQ23" s="561" t="inlineStr">
        <is>
          <t>X5</t>
        </is>
      </c>
      <c r="KR23" s="822" t="n"/>
      <c r="KS23" s="471" t="n"/>
      <c r="KT23" s="822" t="n"/>
      <c r="KU23" s="822">
        <f>IF(AND(KY26,KY28,KY24),1,0)</f>
        <v/>
      </c>
      <c r="KV23" s="822" t="n"/>
      <c r="KW23" s="471" t="n"/>
      <c r="KX23" s="471" t="n"/>
      <c r="KY23" s="562">
        <f>IF(AND(KT23:KX23),1,0)</f>
        <v/>
      </c>
      <c r="LB23" s="561" t="n">
        <v>20</v>
      </c>
      <c r="LC23" s="471" t="n"/>
      <c r="LD23" s="822" t="n"/>
      <c r="LE23" s="471" t="n"/>
      <c r="LF23" s="822" t="n"/>
      <c r="LG23" s="822">
        <f>LK9</f>
        <v/>
      </c>
      <c r="LI23" s="471" t="n"/>
      <c r="LJ23" s="471" t="n"/>
      <c r="LK23" s="562">
        <f>IF(AND(LF23:LJ23),1,0)</f>
        <v/>
      </c>
      <c r="LM23" s="822" t="inlineStr">
        <is>
          <t>CONDESER MOTOR 2 (3A) Pa=2.5kW P.f=0.75</t>
        </is>
      </c>
      <c r="LN23" s="801">
        <f>'DATA TRANSFER'!AT22</f>
        <v/>
      </c>
      <c r="LO23" s="471" t="n"/>
      <c r="LQ23" s="840">
        <f>LQ22+1</f>
        <v/>
      </c>
      <c r="LR23" s="561" t="n">
        <v>20</v>
      </c>
      <c r="LS23" s="471" t="n"/>
      <c r="LT23" s="822" t="n"/>
      <c r="LU23" s="471" t="n"/>
      <c r="LV23" s="822" t="n"/>
      <c r="LW23" s="822">
        <f>MA22</f>
        <v/>
      </c>
      <c r="LX23" s="822" t="n"/>
      <c r="LY23" s="471" t="n"/>
      <c r="LZ23" s="471" t="n"/>
      <c r="MA23" s="562">
        <f>IF(AND(LV23:LZ23),1,0)</f>
        <v/>
      </c>
      <c r="MH23" s="561" t="n">
        <v>20</v>
      </c>
      <c r="MI23" s="471" t="n"/>
      <c r="MJ23" s="822" t="inlineStr">
        <is>
          <t>DI RIO 2 PCB 9(15)_I_FADFORCED CIS</t>
        </is>
      </c>
      <c r="MK23" s="471" t="n"/>
      <c r="ML23" s="822" t="n"/>
      <c r="MM23" s="574">
        <f>MQ22</f>
        <v/>
      </c>
      <c r="MN23" s="822">
        <f>MQ22</f>
        <v/>
      </c>
      <c r="MO23" s="471" t="n"/>
      <c r="MP23" s="471" t="n"/>
      <c r="MQ23" s="562">
        <f>IF(AND(ML23:MP23),1,0)</f>
        <v/>
      </c>
      <c r="MS23" s="822" t="inlineStr">
        <is>
          <t>SMDR 2</t>
        </is>
      </c>
      <c r="MT23" s="801">
        <f>IF(OR('DATA TRANSFER'!M10=1,'DATA TRANSFER'!M12=1,'DATA TRANSFER'!DP174=1),1,0)</f>
        <v/>
      </c>
    </row>
    <row r="24">
      <c r="A24" s="559" t="n">
        <v>21</v>
      </c>
      <c r="B24" s="471" t="n"/>
      <c r="C24" s="471" t="n"/>
      <c r="D24" s="471" t="n"/>
      <c r="E24" s="471" t="n"/>
      <c r="F24" s="801">
        <f>J23</f>
        <v/>
      </c>
      <c r="G24" s="561" t="n"/>
      <c r="H24" s="471" t="n"/>
      <c r="I24" s="471" t="n"/>
      <c r="J24" s="562">
        <f>IF(AND(E24:I24),1,0)</f>
        <v/>
      </c>
      <c r="P24" s="561" t="n">
        <v>21</v>
      </c>
      <c r="Q24" s="471" t="n"/>
      <c r="R24" s="561" t="n"/>
      <c r="S24" s="471" t="n"/>
      <c r="T24" s="471" t="n"/>
      <c r="U24" s="561">
        <f>Y20</f>
        <v/>
      </c>
      <c r="V24" s="471">
        <f>Y23</f>
        <v/>
      </c>
      <c r="W24" s="471" t="n"/>
      <c r="X24" s="471" t="n"/>
      <c r="Y24" s="562">
        <f>IF(AND(T24:X24),1,0)</f>
        <v/>
      </c>
      <c r="AA24" s="471" t="inlineStr">
        <is>
          <t>CDFB 4,63A</t>
        </is>
      </c>
      <c r="AB24" s="801">
        <f>'DATA TRANSFER'!DP156</f>
        <v/>
      </c>
      <c r="AC24" s="471" t="n"/>
      <c r="AF24" s="561" t="n">
        <v>21</v>
      </c>
      <c r="AG24" s="471" t="n"/>
      <c r="AH24" s="471" t="n"/>
      <c r="AI24" s="471" t="n"/>
      <c r="AJ24" s="471" t="n"/>
      <c r="AK24" s="569">
        <f>AO20</f>
        <v/>
      </c>
      <c r="AL24" s="471" t="n"/>
      <c r="AM24" s="471" t="n"/>
      <c r="AN24" s="471" t="n"/>
      <c r="AO24" s="562">
        <f>IF(AND(AJ24:AN24),1,0)</f>
        <v/>
      </c>
      <c r="AS24" s="561" t="n">
        <v>21</v>
      </c>
      <c r="AT24" s="471" t="n"/>
      <c r="AU24" s="471" t="n"/>
      <c r="AV24" s="471" t="n"/>
      <c r="AW24" s="471">
        <f>BB23</f>
        <v/>
      </c>
      <c r="AX24" s="471" t="n"/>
      <c r="AY24" s="471" t="n"/>
      <c r="AZ24" s="471" t="n"/>
      <c r="BA24" s="471" t="n"/>
      <c r="BB24" s="562">
        <f>IF(AND(AW24:BA24),1,0)</f>
        <v/>
      </c>
      <c r="BI24" s="561" t="n">
        <v>21</v>
      </c>
      <c r="BJ24" s="471" t="n"/>
      <c r="BK24" s="471" t="n"/>
      <c r="BL24" s="471" t="n"/>
      <c r="BM24" s="471" t="n"/>
      <c r="BN24" s="561">
        <f>BR23</f>
        <v/>
      </c>
      <c r="BO24" s="471" t="n"/>
      <c r="BP24" s="471" t="n"/>
      <c r="BQ24" s="471" t="n"/>
      <c r="BR24" s="562">
        <f>IF(AND(BM24:BQ24),1,0)</f>
        <v/>
      </c>
      <c r="BX24" s="561" t="n">
        <v>21</v>
      </c>
      <c r="BY24" s="471" t="n"/>
      <c r="BZ24" s="471" t="n"/>
      <c r="CA24" s="471" t="n"/>
      <c r="CB24" s="471" t="n"/>
      <c r="CC24" s="561">
        <f>CG23</f>
        <v/>
      </c>
      <c r="CD24" s="471" t="n"/>
      <c r="CE24" s="471" t="n"/>
      <c r="CF24" s="471" t="n"/>
      <c r="CG24" s="562">
        <f>IF(AND(CB24:CF24),1,0)</f>
        <v/>
      </c>
      <c r="CI24" s="561" t="n">
        <v>21</v>
      </c>
      <c r="CJ24" s="471" t="n"/>
      <c r="CK24" s="471" t="n"/>
      <c r="CL24" s="471" t="n"/>
      <c r="CM24" s="471" t="n"/>
      <c r="CN24" s="471">
        <f>CR22</f>
        <v/>
      </c>
      <c r="CO24" s="471" t="n"/>
      <c r="CP24" s="471" t="n"/>
      <c r="CQ24" s="471" t="n"/>
      <c r="CR24" s="562">
        <f>IF(AND(CM24:CQ24),1,0)</f>
        <v/>
      </c>
      <c r="DK24" s="561" t="n">
        <v>21</v>
      </c>
      <c r="DL24" s="566" t="n"/>
      <c r="DM24" s="561" t="n"/>
      <c r="DN24" s="471" t="n"/>
      <c r="DO24" s="471" t="n"/>
      <c r="DP24" s="801">
        <f>DT14</f>
        <v/>
      </c>
      <c r="DQ24" s="471" t="n"/>
      <c r="DR24" s="471" t="n"/>
      <c r="DS24" s="471" t="n"/>
      <c r="DT24" s="562">
        <f>IF(AND(DO24:DS24),1,0)</f>
        <v/>
      </c>
      <c r="DZ24" s="561" t="n">
        <v>21</v>
      </c>
      <c r="EA24" s="566" t="n"/>
      <c r="EB24" s="801" t="inlineStr">
        <is>
          <t>SMRR</t>
        </is>
      </c>
      <c r="EC24" s="471" t="n"/>
      <c r="ED24" s="471" t="n"/>
      <c r="EE24" s="570">
        <f>EL9</f>
        <v/>
      </c>
      <c r="EF24" s="471" t="n"/>
      <c r="EG24" s="471" t="n"/>
      <c r="EH24" s="471" t="n"/>
      <c r="EI24" s="571">
        <f>IF(AND(ED24:EH24),1,0)</f>
        <v/>
      </c>
      <c r="EO24" s="561" t="n">
        <v>21</v>
      </c>
      <c r="EP24" s="566" t="n"/>
      <c r="EQ24" s="561" t="n"/>
      <c r="ER24" s="471" t="n"/>
      <c r="ES24" s="471" t="n"/>
      <c r="ET24" s="471">
        <f>EX23</f>
        <v/>
      </c>
      <c r="EU24" s="471" t="n"/>
      <c r="EV24" s="471" t="n"/>
      <c r="EW24" s="471" t="n"/>
      <c r="EX24" s="562">
        <f>IF(AND(ES24:EW24),1,0)</f>
        <v/>
      </c>
      <c r="FE24" s="561" t="n">
        <v>21</v>
      </c>
      <c r="FF24" s="566" t="n"/>
      <c r="FG24" s="561" t="n"/>
      <c r="FH24" s="471" t="n"/>
      <c r="FI24" s="471" t="n"/>
      <c r="FJ24" s="471">
        <f>FN23</f>
        <v/>
      </c>
      <c r="FK24" s="471" t="n"/>
      <c r="FL24" s="471" t="n"/>
      <c r="FM24" s="471" t="n"/>
      <c r="FN24" s="562">
        <f>IF(AND(FI24:FM24),1,0)</f>
        <v/>
      </c>
      <c r="FT24" s="561" t="n">
        <v>21</v>
      </c>
      <c r="FU24" s="566" t="n"/>
      <c r="FV24" s="822" t="n"/>
      <c r="FW24" s="471" t="n"/>
      <c r="FX24" s="471" t="n"/>
      <c r="FY24" s="561">
        <f>GC23</f>
        <v/>
      </c>
      <c r="FZ24" s="471" t="n"/>
      <c r="GA24" s="471" t="n"/>
      <c r="GB24" s="471" t="n"/>
      <c r="GC24" s="562">
        <f>IF(AND(FX24:GB24),1,0)</f>
        <v/>
      </c>
      <c r="GF24" s="561" t="n">
        <v>21</v>
      </c>
      <c r="GG24" s="566" t="n"/>
      <c r="GH24" s="822" t="n"/>
      <c r="GI24" s="471" t="n"/>
      <c r="GJ24" s="471" t="n"/>
      <c r="GK24" s="561">
        <f>GO23</f>
        <v/>
      </c>
      <c r="GL24" s="471" t="n"/>
      <c r="GM24" s="471" t="n"/>
      <c r="GN24" s="471" t="n"/>
      <c r="GO24" s="562">
        <f>IF(AND(GJ24:GN24),1,0)</f>
        <v/>
      </c>
      <c r="GU24" s="561" t="n">
        <v>21</v>
      </c>
      <c r="GV24" s="566" t="n"/>
      <c r="GW24" s="822" t="n"/>
      <c r="GX24" s="471" t="n"/>
      <c r="GY24" s="471" t="n"/>
      <c r="GZ24" s="801">
        <f>HD23</f>
        <v/>
      </c>
      <c r="HA24" s="471" t="n"/>
      <c r="HB24" s="471" t="n"/>
      <c r="HC24" s="471" t="n"/>
      <c r="HD24" s="571">
        <f>IF(AND(GY24:HC24),1,0)</f>
        <v/>
      </c>
      <c r="HK24" s="561" t="n">
        <v>21</v>
      </c>
      <c r="HL24" s="471" t="n"/>
      <c r="HM24" s="561" t="inlineStr">
        <is>
          <t>APS1</t>
        </is>
      </c>
      <c r="HN24" s="471" t="n"/>
      <c r="HO24" s="471" t="n"/>
      <c r="HP24" s="569">
        <f>HW6</f>
        <v/>
      </c>
      <c r="HQ24" s="471" t="n"/>
      <c r="HR24" s="471" t="n"/>
      <c r="HS24" s="471" t="n"/>
      <c r="HT24" s="562">
        <f>IF(AND(HO24:HS24),1,0)</f>
        <v/>
      </c>
      <c r="HZ24" s="561" t="n">
        <v>21</v>
      </c>
      <c r="IA24" s="471" t="n"/>
      <c r="IB24" s="471" t="n"/>
      <c r="IC24" s="471" t="n"/>
      <c r="ID24" s="471" t="n"/>
      <c r="IE24" s="801">
        <f>II23</f>
        <v/>
      </c>
      <c r="IF24" s="471" t="n"/>
      <c r="IG24" s="471" t="n"/>
      <c r="IH24" s="471" t="n"/>
      <c r="II24" s="562">
        <f>IF(AND(ID24:IH24),1,0)</f>
        <v/>
      </c>
      <c r="IL24" s="561" t="n">
        <v>21</v>
      </c>
      <c r="IM24" s="471" t="n"/>
      <c r="IN24" s="801" t="inlineStr">
        <is>
          <t>0VDC</t>
        </is>
      </c>
      <c r="IO24" s="471" t="n"/>
      <c r="IP24" s="566" t="n"/>
      <c r="IQ24" s="574" t="n">
        <v>1</v>
      </c>
      <c r="IR24" s="471" t="n"/>
      <c r="IS24" s="471" t="n"/>
      <c r="IT24" s="471" t="n"/>
      <c r="IU24" s="562">
        <f>IF(AND(IP24:IT24),1,0)</f>
        <v/>
      </c>
      <c r="IX24" s="561" t="n">
        <v>21</v>
      </c>
      <c r="IY24" s="471" t="n"/>
      <c r="IZ24" s="822" t="n"/>
      <c r="JA24" s="471" t="n"/>
      <c r="JB24" s="566" t="n"/>
      <c r="JC24" s="566">
        <f>JG23</f>
        <v/>
      </c>
      <c r="JD24" s="471" t="n"/>
      <c r="JE24" s="471" t="n"/>
      <c r="JF24" s="471" t="n"/>
      <c r="JG24" s="571">
        <f>IF(AND(JB24:JF24),1,0)</f>
        <v/>
      </c>
      <c r="JN24" s="561" t="n">
        <v>21</v>
      </c>
      <c r="JO24" s="471" t="n"/>
      <c r="JP24" s="822" t="inlineStr">
        <is>
          <t>FADR1</t>
        </is>
      </c>
      <c r="JQ24" s="471" t="n"/>
      <c r="JR24" s="566" t="n"/>
      <c r="JS24" s="575">
        <f>JJ21</f>
        <v/>
      </c>
      <c r="JT24" s="566">
        <f>JW23</f>
        <v/>
      </c>
      <c r="JU24" s="471" t="n"/>
      <c r="JV24" s="471" t="n"/>
      <c r="JW24" s="562">
        <f>IF(AND(JR24:JV24),1,0)</f>
        <v/>
      </c>
      <c r="JZ24" s="561" t="n">
        <v>21</v>
      </c>
      <c r="KA24" s="471" t="n"/>
      <c r="KB24" s="822" t="n"/>
      <c r="KC24" s="471" t="n"/>
      <c r="KD24" s="822" t="n"/>
      <c r="KE24" s="822">
        <f>KI23</f>
        <v/>
      </c>
      <c r="KF24" s="566" t="n"/>
      <c r="KG24" s="471" t="n"/>
      <c r="KH24" s="471" t="n"/>
      <c r="KI24" s="562">
        <f>IF(AND(KD24:KH24),1,0)</f>
        <v/>
      </c>
      <c r="KK24" s="471" t="inlineStr">
        <is>
          <t>RS 485</t>
        </is>
      </c>
      <c r="KL24" s="471" t="n"/>
      <c r="KM24" s="471" t="n"/>
      <c r="KP24" s="561" t="n">
        <v>21</v>
      </c>
      <c r="KQ24" s="471" t="n"/>
      <c r="KR24" s="822" t="n"/>
      <c r="KS24" s="471" t="n"/>
      <c r="KT24" s="822" t="n"/>
      <c r="KU24" s="822">
        <f>KY25</f>
        <v/>
      </c>
      <c r="KV24" s="822" t="n"/>
      <c r="KW24" s="471" t="n"/>
      <c r="KX24" s="471" t="n"/>
      <c r="KY24" s="562">
        <f>IF(AND(KT24:KX24),1,0)</f>
        <v/>
      </c>
      <c r="LB24" s="561" t="n">
        <v>21</v>
      </c>
      <c r="LC24" s="471" t="n"/>
      <c r="LD24" s="822" t="inlineStr">
        <is>
          <t>SAFB2</t>
        </is>
      </c>
      <c r="LE24" s="471" t="n"/>
      <c r="LF24" s="822" t="n"/>
      <c r="LG24" s="574">
        <f>LN5</f>
        <v/>
      </c>
      <c r="LH24" s="822">
        <f>LK23</f>
        <v/>
      </c>
      <c r="LI24" s="471">
        <f>LK19</f>
        <v/>
      </c>
      <c r="LJ24" s="471">
        <f>LK15</f>
        <v/>
      </c>
      <c r="LK24" s="562">
        <f>IF(AND(LF24:LJ24),1,0)</f>
        <v/>
      </c>
      <c r="LM24" s="471" t="inlineStr">
        <is>
          <t>CDFB 4,63A</t>
        </is>
      </c>
      <c r="LN24" s="801">
        <f>IF(OR('DATA TRANSFER'!DP156,LN22:LN23),1,0)</f>
        <v/>
      </c>
      <c r="LO24" s="471" t="n"/>
      <c r="LQ24" s="840">
        <f>LQ23+1</f>
        <v/>
      </c>
      <c r="LR24" s="561" t="n">
        <v>21</v>
      </c>
      <c r="LS24" s="471" t="n"/>
      <c r="LT24" s="822" t="n"/>
      <c r="LU24" s="471" t="n"/>
      <c r="LV24" s="822" t="n"/>
      <c r="LW24" s="822">
        <f>MA23</f>
        <v/>
      </c>
      <c r="LX24" s="822" t="n"/>
      <c r="LY24" s="471" t="n"/>
      <c r="LZ24" s="471" t="n"/>
      <c r="MA24" s="562">
        <f>IF(AND(LV24:LZ24),1,0)</f>
        <v/>
      </c>
      <c r="MH24" s="561" t="n">
        <v>21</v>
      </c>
      <c r="MI24" s="471" t="n"/>
      <c r="MJ24" s="822" t="n"/>
      <c r="MK24" s="471" t="n"/>
      <c r="ML24" s="822" t="n"/>
      <c r="MM24" s="574">
        <f>MT22</f>
        <v/>
      </c>
      <c r="MN24" s="822">
        <f>MQ22</f>
        <v/>
      </c>
      <c r="MO24" s="471" t="n"/>
      <c r="MP24" s="471" t="n"/>
      <c r="MQ24" s="562">
        <f>IF(AND(ML24:MP24),1,0)</f>
        <v/>
      </c>
      <c r="MS24" s="822" t="inlineStr">
        <is>
          <t>SMDRB _close</t>
        </is>
      </c>
      <c r="MT24" s="840">
        <f>IF('DATA TRANSFER'!DP127=2,1,0)</f>
        <v/>
      </c>
    </row>
    <row r="25" ht="28.5" customHeight="1">
      <c r="A25" s="559" t="n">
        <v>22</v>
      </c>
      <c r="B25" s="471" t="n"/>
      <c r="C25" s="471" t="n"/>
      <c r="D25" s="471" t="n"/>
      <c r="E25" s="471" t="n"/>
      <c r="F25" s="801">
        <f>J24</f>
        <v/>
      </c>
      <c r="G25" s="561" t="n"/>
      <c r="H25" s="471" t="n"/>
      <c r="I25" s="471" t="n"/>
      <c r="J25" s="562">
        <f>IF(AND(E25:I25),1,0)</f>
        <v/>
      </c>
      <c r="P25" s="561" t="n">
        <v>22</v>
      </c>
      <c r="Q25" s="471" t="n"/>
      <c r="R25" s="561" t="n"/>
      <c r="S25" s="471" t="n"/>
      <c r="T25" s="471" t="n"/>
      <c r="U25" s="561">
        <f>Y12</f>
        <v/>
      </c>
      <c r="V25" s="471" t="n"/>
      <c r="W25" s="471" t="n"/>
      <c r="X25" s="471" t="n"/>
      <c r="Y25" s="562">
        <f>IF(AND(T25:X25),1,0)</f>
        <v/>
      </c>
      <c r="AA25" s="471" t="inlineStr">
        <is>
          <t>CDFC 9A</t>
        </is>
      </c>
      <c r="AB25" s="801">
        <f>'DATA TRANSFER'!DP157</f>
        <v/>
      </c>
      <c r="AC25" s="471" t="n"/>
      <c r="AF25" s="561" t="n">
        <v>22</v>
      </c>
      <c r="AG25" s="471" t="n"/>
      <c r="AH25" s="471" t="n"/>
      <c r="AI25" s="471" t="n"/>
      <c r="AJ25" s="471" t="n"/>
      <c r="AK25" s="801">
        <f>AO12</f>
        <v/>
      </c>
      <c r="AL25" s="471" t="n"/>
      <c r="AM25" s="471" t="n"/>
      <c r="AN25" s="471" t="n"/>
      <c r="AO25" s="562">
        <f>IF(AND(AJ25:AN25),1,0)</f>
        <v/>
      </c>
      <c r="AS25" s="561" t="n">
        <v>22</v>
      </c>
      <c r="AT25" s="471" t="n"/>
      <c r="AU25" s="471" t="n"/>
      <c r="AV25" s="471" t="n"/>
      <c r="AW25" s="471">
        <f>BB13</f>
        <v/>
      </c>
      <c r="AX25" s="471" t="n"/>
      <c r="AY25" s="471" t="n"/>
      <c r="AZ25" s="471" t="n"/>
      <c r="BA25" s="471" t="n"/>
      <c r="BB25" s="562">
        <f>IF(AND(AW25:BA25),1,0)</f>
        <v/>
      </c>
      <c r="BI25" s="561" t="n">
        <v>22</v>
      </c>
      <c r="BJ25" s="471" t="n"/>
      <c r="BK25" s="471" t="n"/>
      <c r="BL25" s="471" t="n"/>
      <c r="BM25" s="471" t="n"/>
      <c r="BN25" s="567">
        <f>BU17</f>
        <v/>
      </c>
      <c r="BO25" s="471" t="n"/>
      <c r="BP25" s="471" t="n"/>
      <c r="BQ25" s="471" t="n"/>
      <c r="BR25" s="562">
        <f>IF(AND(BM25:BQ25),1,0)</f>
        <v/>
      </c>
      <c r="BX25" s="561" t="n">
        <v>22</v>
      </c>
      <c r="BY25" s="471" t="n"/>
      <c r="BZ25" s="471" t="n"/>
      <c r="CA25" s="471" t="n"/>
      <c r="CB25" s="471" t="n"/>
      <c r="CC25" s="567">
        <f>BU17</f>
        <v/>
      </c>
      <c r="CD25" s="471" t="n"/>
      <c r="CE25" s="471" t="n"/>
      <c r="CF25" s="471" t="n"/>
      <c r="CG25" s="562">
        <f>IF(AND(CB25:CF25),1,0)</f>
        <v/>
      </c>
      <c r="CI25" s="561" t="n">
        <v>22</v>
      </c>
      <c r="CJ25" s="471" t="n"/>
      <c r="CK25" s="471" t="n"/>
      <c r="CL25" s="471" t="n"/>
      <c r="CM25" s="471" t="n"/>
      <c r="CN25" s="471">
        <f>CR24</f>
        <v/>
      </c>
      <c r="CO25" s="471" t="n"/>
      <c r="CP25" s="471" t="n"/>
      <c r="CQ25" s="471" t="n"/>
      <c r="CR25" s="562">
        <f>IF(AND(CM25:CQ25),1,0)</f>
        <v/>
      </c>
      <c r="DK25" s="561" t="n">
        <v>22</v>
      </c>
      <c r="DL25" s="566" t="n"/>
      <c r="DM25" s="561" t="n"/>
      <c r="DN25" s="471" t="n"/>
      <c r="DO25" s="471" t="n"/>
      <c r="DP25" s="801">
        <f>DT24</f>
        <v/>
      </c>
      <c r="DQ25" s="471" t="n"/>
      <c r="DR25" s="471" t="n"/>
      <c r="DS25" s="471" t="n"/>
      <c r="DT25" s="562">
        <f>IF(AND(DO25:DS25),1,0)</f>
        <v/>
      </c>
      <c r="DZ25" s="561" t="n">
        <v>22</v>
      </c>
      <c r="EA25" s="566" t="n"/>
      <c r="EB25" s="561" t="n"/>
      <c r="EC25" s="471" t="n"/>
      <c r="ED25" s="471" t="n"/>
      <c r="EE25" s="471">
        <f>EI24</f>
        <v/>
      </c>
      <c r="EF25" s="471" t="n"/>
      <c r="EG25" s="471" t="n"/>
      <c r="EH25" s="471" t="n"/>
      <c r="EI25" s="571">
        <f>IF(AND(ED25:EH25),1,0)</f>
        <v/>
      </c>
      <c r="EO25" s="561" t="n">
        <v>22</v>
      </c>
      <c r="EP25" s="566" t="n"/>
      <c r="EQ25" s="561" t="inlineStr">
        <is>
          <t>SFC OFF</t>
        </is>
      </c>
      <c r="ER25" s="471" t="n"/>
      <c r="ES25" s="471" t="n"/>
      <c r="ET25" s="570">
        <f>FA16</f>
        <v/>
      </c>
      <c r="EU25" s="471">
        <f>EX24</f>
        <v/>
      </c>
      <c r="EV25" s="471" t="n"/>
      <c r="EW25" s="471" t="n"/>
      <c r="EX25" s="562">
        <f>IF(AND(ES25:EW25),1,0)</f>
        <v/>
      </c>
      <c r="FE25" s="561" t="n">
        <v>22</v>
      </c>
      <c r="FF25" s="566" t="n"/>
      <c r="FG25" s="561" t="inlineStr">
        <is>
          <t>SFC OFF</t>
        </is>
      </c>
      <c r="FH25" s="471" t="n"/>
      <c r="FI25" s="471" t="n"/>
      <c r="FJ25" s="570">
        <f>FA16</f>
        <v/>
      </c>
      <c r="FK25" s="471">
        <f>FN24</f>
        <v/>
      </c>
      <c r="FL25" s="471" t="n"/>
      <c r="FM25" s="471" t="n"/>
      <c r="FN25" s="562">
        <f>IF(AND(FI25:FM25),1,0)</f>
        <v/>
      </c>
      <c r="FT25" s="561" t="n">
        <v>22</v>
      </c>
      <c r="FU25" s="566" t="n"/>
      <c r="FV25" s="822" t="n"/>
      <c r="FW25" s="471" t="n"/>
      <c r="FX25" s="471" t="n"/>
      <c r="FY25" s="561">
        <f>GC24</f>
        <v/>
      </c>
      <c r="FZ25" s="471" t="n"/>
      <c r="GA25" s="471" t="n"/>
      <c r="GB25" s="471" t="n"/>
      <c r="GC25" s="562">
        <f>IF(AND(FX25:GB25),1,0)</f>
        <v/>
      </c>
      <c r="GF25" s="561" t="n">
        <v>22</v>
      </c>
      <c r="GG25" s="566" t="n"/>
      <c r="GH25" s="822" t="inlineStr">
        <is>
          <t>FADR1</t>
        </is>
      </c>
      <c r="GI25" s="471" t="n"/>
      <c r="GJ25" s="471" t="n"/>
      <c r="GK25" s="573">
        <f>GR9</f>
        <v/>
      </c>
      <c r="GL25" s="471">
        <f>GO24</f>
        <v/>
      </c>
      <c r="GM25" s="471" t="n"/>
      <c r="GN25" s="471" t="n"/>
      <c r="GO25" s="562">
        <f>IF(AND(GJ25:GN25),1,0)</f>
        <v/>
      </c>
      <c r="GU25" s="561" t="n">
        <v>22</v>
      </c>
      <c r="GV25" s="566" t="n"/>
      <c r="GW25" s="822" t="n"/>
      <c r="GX25" s="471" t="n"/>
      <c r="GY25" s="471" t="n"/>
      <c r="GZ25" s="801">
        <f>HD24</f>
        <v/>
      </c>
      <c r="HA25" s="471" t="n"/>
      <c r="HB25" s="471" t="n"/>
      <c r="HC25" s="471" t="n"/>
      <c r="HD25" s="571">
        <f>IF(AND(GY25:HC25),1,0)</f>
        <v/>
      </c>
      <c r="HK25" s="561" t="n">
        <v>22</v>
      </c>
      <c r="HL25" s="471" t="n"/>
      <c r="HM25" s="471" t="n"/>
      <c r="HN25" s="471" t="n"/>
      <c r="HO25" s="471" t="n"/>
      <c r="HP25" s="801">
        <f>HT24</f>
        <v/>
      </c>
      <c r="HQ25" s="471" t="n"/>
      <c r="HR25" s="471" t="n"/>
      <c r="HS25" s="471" t="n"/>
      <c r="HT25" s="562">
        <f>IF(AND(HO25:HS25),1,0)</f>
        <v/>
      </c>
      <c r="HZ25" s="561" t="n">
        <v>22</v>
      </c>
      <c r="IA25" s="471" t="n"/>
      <c r="IB25" s="471" t="n"/>
      <c r="IC25" s="471" t="n"/>
      <c r="ID25" s="471" t="n"/>
      <c r="IE25" s="801">
        <f>II24</f>
        <v/>
      </c>
      <c r="IF25" s="471" t="n"/>
      <c r="IG25" s="471" t="n"/>
      <c r="IH25" s="471" t="n"/>
      <c r="II25" s="562">
        <f>IF(AND(ID25:IH25),1,0)</f>
        <v/>
      </c>
      <c r="IL25" s="561" t="n">
        <v>22</v>
      </c>
      <c r="IM25" s="471" t="n"/>
      <c r="IN25" s="471" t="n"/>
      <c r="IO25" s="471" t="n"/>
      <c r="IP25" s="566" t="n"/>
      <c r="IQ25" s="566">
        <f>IU24</f>
        <v/>
      </c>
      <c r="IR25" s="471" t="n"/>
      <c r="IS25" s="471" t="n"/>
      <c r="IT25" s="471" t="n"/>
      <c r="IU25" s="562">
        <f>IF(AND(IP25:IT25),1,0)</f>
        <v/>
      </c>
      <c r="IX25" s="561" t="n">
        <v>22</v>
      </c>
      <c r="IY25" s="471" t="n"/>
      <c r="IZ25" s="822" t="inlineStr">
        <is>
          <t xml:space="preserve">24 V DC </t>
        </is>
      </c>
      <c r="JA25" s="471" t="n"/>
      <c r="JB25" s="566" t="n"/>
      <c r="JC25" s="575">
        <f>'LFD New'!D2</f>
        <v/>
      </c>
      <c r="JD25" s="471" t="n"/>
      <c r="JE25" s="471" t="n"/>
      <c r="JF25" s="471" t="n"/>
      <c r="JG25" s="571">
        <f>IF(AND(JB25:JF25),1,0)</f>
        <v/>
      </c>
      <c r="JN25" s="561" t="n">
        <v>22</v>
      </c>
      <c r="JO25" s="471" t="n"/>
      <c r="JP25" s="822" t="n"/>
      <c r="JQ25" s="471" t="n"/>
      <c r="JR25" s="566" t="n"/>
      <c r="JS25" s="566">
        <f>JW24</f>
        <v/>
      </c>
      <c r="JT25" s="566" t="n"/>
      <c r="JU25" s="471" t="n"/>
      <c r="JV25" s="471" t="n"/>
      <c r="JW25" s="562">
        <f>IF(AND(JR25:JV25),1,0)</f>
        <v/>
      </c>
      <c r="JZ25" s="561" t="n">
        <v>22</v>
      </c>
      <c r="KA25" s="471" t="n"/>
      <c r="KB25" s="822" t="inlineStr">
        <is>
          <t>DI SAF 1 &amp; 2</t>
        </is>
      </c>
      <c r="KC25" s="471" t="n"/>
      <c r="KD25" s="822" t="n"/>
      <c r="KE25" s="822">
        <f>KI24</f>
        <v/>
      </c>
      <c r="KF25" s="566">
        <f>KI23</f>
        <v/>
      </c>
      <c r="KG25" s="471" t="n"/>
      <c r="KH25" s="471" t="n"/>
      <c r="KI25" s="562">
        <f>IF(AND(KD25:KH25),1,0)</f>
        <v/>
      </c>
      <c r="KP25" s="561" t="n">
        <v>22</v>
      </c>
      <c r="KQ25" s="561" t="inlineStr">
        <is>
          <t>X5</t>
        </is>
      </c>
      <c r="KR25" s="822" t="inlineStr">
        <is>
          <t>RS 485</t>
        </is>
      </c>
      <c r="KS25" s="471" t="n"/>
      <c r="KT25" s="822" t="n"/>
      <c r="KU25" s="574" t="n">
        <v>1</v>
      </c>
      <c r="KV25" s="822" t="n"/>
      <c r="KW25" s="471" t="n"/>
      <c r="KX25" s="471" t="n"/>
      <c r="KY25" s="562">
        <f>IF(AND(KT25:KX25),1,0)</f>
        <v/>
      </c>
      <c r="LB25" s="561" t="n">
        <v>22</v>
      </c>
      <c r="LC25" s="471" t="n"/>
      <c r="LD25" s="822" t="n"/>
      <c r="LE25" s="471" t="n"/>
      <c r="LF25" s="822" t="n"/>
      <c r="LG25" s="822">
        <f>LK24</f>
        <v/>
      </c>
      <c r="LH25" s="822" t="n"/>
      <c r="LI25" s="471" t="n"/>
      <c r="LJ25" s="471" t="n"/>
      <c r="LK25" s="562">
        <f>IF(AND(LF25:LJ25),1,0)</f>
        <v/>
      </c>
      <c r="LM25" s="471" t="inlineStr">
        <is>
          <t>CDFC 9A</t>
        </is>
      </c>
      <c r="LN25" s="801">
        <f>'DATA TRANSFER'!DP157</f>
        <v/>
      </c>
      <c r="LO25" s="471" t="n"/>
      <c r="LQ25" s="840">
        <f>LQ24+1</f>
        <v/>
      </c>
      <c r="LR25" s="561" t="n">
        <v>22</v>
      </c>
      <c r="LS25" s="471" t="n"/>
      <c r="LT25" s="822" t="n"/>
      <c r="LU25" s="471" t="n"/>
      <c r="LV25" s="822" t="n"/>
      <c r="LW25" s="822">
        <f>MA24</f>
        <v/>
      </c>
      <c r="LX25" s="822" t="n"/>
      <c r="LY25" s="471" t="n"/>
      <c r="LZ25" s="471" t="n"/>
      <c r="MA25" s="562">
        <f>IF(AND(LV25:LZ25),1,0)</f>
        <v/>
      </c>
      <c r="MH25" s="561" t="n">
        <v>22</v>
      </c>
      <c r="MI25" s="471" t="n"/>
      <c r="MJ25" s="822" t="n"/>
      <c r="MK25" s="471" t="n"/>
      <c r="ML25" s="822" t="n"/>
      <c r="MM25" s="822">
        <f>MQ18</f>
        <v/>
      </c>
      <c r="MN25" s="822" t="n"/>
      <c r="MO25" s="471" t="n"/>
      <c r="MP25" s="471" t="n"/>
      <c r="MQ25" s="562">
        <f>IF(AND(ML25:MP25),1,0)</f>
        <v/>
      </c>
    </row>
    <row r="26" ht="31" customHeight="1">
      <c r="A26" s="559" t="n">
        <v>23</v>
      </c>
      <c r="B26" s="471" t="n"/>
      <c r="C26" s="471" t="n"/>
      <c r="D26" s="471" t="n"/>
      <c r="E26" s="471" t="n"/>
      <c r="F26" s="801">
        <f>J25</f>
        <v/>
      </c>
      <c r="G26" s="561" t="n"/>
      <c r="H26" s="471" t="n"/>
      <c r="I26" s="471" t="n"/>
      <c r="J26" s="562">
        <f>IF(AND(E26:I26),1,0)</f>
        <v/>
      </c>
      <c r="P26" s="561" t="n">
        <v>23</v>
      </c>
      <c r="Q26" s="471" t="n"/>
      <c r="R26" s="561" t="n"/>
      <c r="S26" s="471" t="n"/>
      <c r="T26" s="471" t="n"/>
      <c r="U26" s="801">
        <f>Y18</f>
        <v/>
      </c>
      <c r="V26" s="471">
        <f>Y25</f>
        <v/>
      </c>
      <c r="W26" s="471" t="n"/>
      <c r="X26" s="471" t="n"/>
      <c r="Y26" s="562">
        <f>IF(AND(T26:X26),1,0)</f>
        <v/>
      </c>
      <c r="AA26" s="471" t="inlineStr">
        <is>
          <t>SAFB1 9.5A</t>
        </is>
      </c>
      <c r="AB26" s="801">
        <f>'DATA TRANSFER'!DP158</f>
        <v/>
      </c>
      <c r="AC26" s="471" t="n"/>
      <c r="AF26" s="561" t="n">
        <v>23</v>
      </c>
      <c r="AG26" s="471" t="n"/>
      <c r="AH26" s="471" t="n"/>
      <c r="AI26" s="471" t="n"/>
      <c r="AJ26" s="471" t="n"/>
      <c r="AK26" s="569">
        <f>AO18</f>
        <v/>
      </c>
      <c r="AL26" s="471" t="n"/>
      <c r="AM26" s="471" t="n"/>
      <c r="AN26" s="471" t="n"/>
      <c r="AO26" s="562">
        <f>IF(AND(AJ26:AN26),1,0)</f>
        <v/>
      </c>
      <c r="AS26" s="561" t="n">
        <v>23</v>
      </c>
      <c r="AT26" s="471" t="n"/>
      <c r="AU26" s="822" t="inlineStr">
        <is>
          <t>SMDRB OPEN FAD ND AUTO FAD</t>
        </is>
      </c>
      <c r="AV26" s="471" t="n"/>
      <c r="AW26" s="570">
        <f>BE8</f>
        <v/>
      </c>
      <c r="AX26" s="471">
        <f>BB25</f>
        <v/>
      </c>
      <c r="AY26" s="471">
        <f>BE9</f>
        <v/>
      </c>
      <c r="AZ26" s="471" t="n"/>
      <c r="BA26" s="471" t="n"/>
      <c r="BB26" s="562">
        <f>IF(AND(AW26:BA26),1,0)</f>
        <v/>
      </c>
      <c r="BI26" s="561" t="n">
        <v>23</v>
      </c>
      <c r="BJ26" s="566" t="n"/>
      <c r="BK26" s="561" t="n"/>
      <c r="BL26" s="471" t="n"/>
      <c r="BM26" s="471" t="n"/>
      <c r="BN26" s="578">
        <f>BR25</f>
        <v/>
      </c>
      <c r="BO26" s="471" t="n"/>
      <c r="BP26" s="471" t="n"/>
      <c r="BQ26" s="471" t="n"/>
      <c r="BR26" s="562">
        <f>IF(AND(BM26:BQ26),1,0)</f>
        <v/>
      </c>
      <c r="BX26" s="561" t="n">
        <v>23</v>
      </c>
      <c r="BY26" s="566" t="n"/>
      <c r="BZ26" s="561" t="n"/>
      <c r="CA26" s="471" t="n"/>
      <c r="CB26" s="471" t="n"/>
      <c r="CC26" s="578">
        <f>CG25</f>
        <v/>
      </c>
      <c r="CD26" s="471" t="n"/>
      <c r="CE26" s="471" t="n"/>
      <c r="CF26" s="471" t="n"/>
      <c r="CG26" s="562">
        <f>IF(AND(CB26:CF26),1,0)</f>
        <v/>
      </c>
      <c r="CI26" s="561" t="n">
        <v>23</v>
      </c>
      <c r="CJ26" s="822" t="inlineStr">
        <is>
          <t>UD .X63.22-F 1 +63.20</t>
        </is>
      </c>
      <c r="CK26" s="561" t="n"/>
      <c r="CL26" s="471" t="n"/>
      <c r="CM26" s="471" t="n"/>
      <c r="CN26" s="471">
        <f>CR25</f>
        <v/>
      </c>
      <c r="CO26" s="471" t="n"/>
      <c r="CP26" s="471" t="n"/>
      <c r="CQ26" s="471" t="n"/>
      <c r="CR26" s="562">
        <f>IF(AND(CM26:CQ26),1,0)</f>
        <v/>
      </c>
      <c r="DK26" s="561" t="n">
        <v>23</v>
      </c>
      <c r="DL26" s="566" t="n"/>
      <c r="DM26" s="561" t="n"/>
      <c r="DN26" s="471" t="n"/>
      <c r="DO26" s="471" t="n"/>
      <c r="DP26" s="801">
        <f>DT16</f>
        <v/>
      </c>
      <c r="DQ26" s="471">
        <f>DT25</f>
        <v/>
      </c>
      <c r="DR26" s="471" t="n"/>
      <c r="DS26" s="471" t="n"/>
      <c r="DT26" s="562">
        <f>IF(AND(DO26:DS26),1,0)</f>
        <v/>
      </c>
      <c r="DZ26" s="561" t="n">
        <v>23</v>
      </c>
      <c r="EA26" s="566" t="n"/>
      <c r="EB26" s="801">
        <f>'DATA TRANSFER'!DP203</f>
        <v/>
      </c>
      <c r="EC26" s="471" t="n"/>
      <c r="ED26" s="471" t="n"/>
      <c r="EE26" s="570">
        <f>EL10</f>
        <v/>
      </c>
      <c r="EF26" s="471" t="n"/>
      <c r="EG26" s="471" t="n"/>
      <c r="EH26" s="471" t="n"/>
      <c r="EI26" s="571">
        <f>IF(AND(ED26:EH26),1,0)</f>
        <v/>
      </c>
      <c r="EO26" s="561" t="n">
        <v>23</v>
      </c>
      <c r="EP26" s="566" t="n"/>
      <c r="EQ26" s="561" t="n"/>
      <c r="ER26" s="471" t="n"/>
      <c r="ES26" s="471" t="n"/>
      <c r="ET26" s="471">
        <f>EX25</f>
        <v/>
      </c>
      <c r="EU26" s="471" t="n"/>
      <c r="EV26" s="471" t="n"/>
      <c r="EW26" s="471" t="n"/>
      <c r="EX26" s="562">
        <f>IF(AND(ES26:EW26),1,0)</f>
        <v/>
      </c>
      <c r="FE26" s="561" t="n">
        <v>23</v>
      </c>
      <c r="FF26" s="566" t="n"/>
      <c r="FG26" s="561" t="n"/>
      <c r="FH26" s="471" t="n"/>
      <c r="FI26" s="471" t="n"/>
      <c r="FJ26" s="471">
        <f>FN25</f>
        <v/>
      </c>
      <c r="FK26" s="471" t="n"/>
      <c r="FL26" s="471" t="n"/>
      <c r="FM26" s="471" t="n"/>
      <c r="FN26" s="562">
        <f>IF(AND(FI26:FM26),1,0)</f>
        <v/>
      </c>
      <c r="FT26" s="561" t="n">
        <v>23</v>
      </c>
      <c r="FU26" s="566" t="n"/>
      <c r="FV26" s="822" t="inlineStr">
        <is>
          <t>SFC OFF</t>
        </is>
      </c>
      <c r="FW26" s="471" t="n"/>
      <c r="FX26" s="471" t="n"/>
      <c r="FY26" s="569">
        <f>FQ16</f>
        <v/>
      </c>
      <c r="FZ26" s="471" t="n"/>
      <c r="GA26" s="471" t="n"/>
      <c r="GB26" s="471" t="n"/>
      <c r="GC26" s="562">
        <f>IF(AND(FX26:GB26),1,0)</f>
        <v/>
      </c>
      <c r="GF26" s="561" t="n">
        <v>23</v>
      </c>
      <c r="GG26" s="566" t="n"/>
      <c r="GH26" s="822" t="n"/>
      <c r="GI26" s="471" t="n"/>
      <c r="GJ26" s="471" t="n"/>
      <c r="GK26" s="561">
        <f>GO64</f>
        <v/>
      </c>
      <c r="GL26" s="471" t="n"/>
      <c r="GM26" s="471" t="n"/>
      <c r="GN26" s="471" t="n"/>
      <c r="GO26" s="562">
        <f>IF(AND(GJ26:GN26),1,0)</f>
        <v/>
      </c>
      <c r="GU26" s="561" t="n">
        <v>23</v>
      </c>
      <c r="GV26" s="566" t="n"/>
      <c r="GW26" s="822" t="n"/>
      <c r="GX26" s="471" t="n"/>
      <c r="GY26" s="471" t="n"/>
      <c r="GZ26" s="801">
        <f>HD51</f>
        <v/>
      </c>
      <c r="HA26" s="471" t="n"/>
      <c r="HB26" s="471" t="n"/>
      <c r="HC26" s="471" t="n"/>
      <c r="HD26" s="571">
        <f>IF(AND(GY26:HC26),1,0)</f>
        <v/>
      </c>
      <c r="HK26" s="561" t="n">
        <v>23</v>
      </c>
      <c r="HL26" s="471" t="n"/>
      <c r="HM26" s="471" t="n"/>
      <c r="HN26" s="471" t="n"/>
      <c r="HO26" s="471" t="n"/>
      <c r="HP26" s="801">
        <f>HT25</f>
        <v/>
      </c>
      <c r="HQ26" s="471" t="n"/>
      <c r="HR26" s="471" t="n"/>
      <c r="HS26" s="471" t="n"/>
      <c r="HT26" s="562">
        <f>IF(AND(HO26:HS26),1,0)</f>
        <v/>
      </c>
      <c r="HZ26" s="561" t="n">
        <v>23</v>
      </c>
      <c r="IA26" s="471" t="n"/>
      <c r="IB26" s="471" t="inlineStr">
        <is>
          <t>24  V DC</t>
        </is>
      </c>
      <c r="IC26" s="471" t="n"/>
      <c r="ID26" s="471" t="n"/>
      <c r="IE26" s="560">
        <f>'LFD New'!D2</f>
        <v/>
      </c>
      <c r="IF26" s="471" t="n"/>
      <c r="IG26" s="471" t="n"/>
      <c r="IH26" s="471" t="n"/>
      <c r="II26" s="562">
        <f>IF(AND(ID26:IH26),1,0)</f>
        <v/>
      </c>
      <c r="IL26" s="561" t="n">
        <v>23</v>
      </c>
      <c r="IM26" s="471" t="n"/>
      <c r="IN26" s="471" t="n"/>
      <c r="IO26" s="471" t="n"/>
      <c r="IP26" s="566" t="n"/>
      <c r="IQ26" s="566">
        <f>IU25</f>
        <v/>
      </c>
      <c r="IR26" s="471" t="n"/>
      <c r="IS26" s="471" t="n"/>
      <c r="IT26" s="471" t="n"/>
      <c r="IU26" s="562">
        <f>IF(AND(IP26:IT26),1,0)</f>
        <v/>
      </c>
      <c r="IX26" s="561" t="n">
        <v>23</v>
      </c>
      <c r="IY26" s="471" t="n"/>
      <c r="IZ26" s="822" t="n">
        <v>1</v>
      </c>
      <c r="JA26" s="471" t="n"/>
      <c r="JB26" s="566" t="n"/>
      <c r="JC26" s="566">
        <f>JG25</f>
        <v/>
      </c>
      <c r="JD26" s="471" t="n"/>
      <c r="JE26" s="471" t="n"/>
      <c r="JF26" s="471" t="n"/>
      <c r="JG26" s="571">
        <f>IF(AND(JB26:JF26),1,0)</f>
        <v/>
      </c>
      <c r="JN26" s="561" t="n">
        <v>23</v>
      </c>
      <c r="JO26" s="471" t="n"/>
      <c r="JP26" s="822" t="n"/>
      <c r="JQ26" s="471" t="n"/>
      <c r="JR26" s="566" t="n"/>
      <c r="JS26" s="566">
        <f>JW24</f>
        <v/>
      </c>
      <c r="JT26" s="566" t="n"/>
      <c r="JU26" s="471" t="n"/>
      <c r="JV26" s="471" t="n"/>
      <c r="JW26" s="562">
        <f>IF(AND(JR26:JV26),1,0)</f>
        <v/>
      </c>
      <c r="KP26" s="561" t="n">
        <v>23</v>
      </c>
      <c r="KQ26" s="471" t="n"/>
      <c r="KR26" s="471" t="n"/>
      <c r="KS26" s="471" t="n"/>
      <c r="KT26" s="471" t="n"/>
      <c r="KU26" s="561">
        <f>KY27</f>
        <v/>
      </c>
      <c r="KV26" s="566" t="n"/>
      <c r="KW26" s="471" t="n"/>
      <c r="KX26" s="471" t="n"/>
      <c r="KY26" s="562">
        <f>IF(AND(KT26:KX26),1,0)</f>
        <v/>
      </c>
      <c r="LB26" s="561" t="n">
        <v>23</v>
      </c>
      <c r="LC26" s="471" t="n"/>
      <c r="LD26" s="822" t="inlineStr">
        <is>
          <t>SAFC2</t>
        </is>
      </c>
      <c r="LE26" s="471" t="n"/>
      <c r="LF26" s="822" t="n"/>
      <c r="LG26" s="574">
        <f>LN6</f>
        <v/>
      </c>
      <c r="LH26" s="822">
        <f>LK25</f>
        <v/>
      </c>
      <c r="LI26" s="471" t="n"/>
      <c r="LJ26" s="471">
        <f>LK16</f>
        <v/>
      </c>
      <c r="LK26" s="562">
        <f>IF(AND(LF26:LJ26),1,0)</f>
        <v/>
      </c>
      <c r="LM26" s="471" t="inlineStr">
        <is>
          <t>SAFB1 9.5A</t>
        </is>
      </c>
      <c r="LN26" s="801">
        <f>'DATA TRANSFER'!DP146</f>
        <v/>
      </c>
      <c r="LO26" s="471" t="n"/>
      <c r="LQ26" s="840">
        <f>LQ25+1</f>
        <v/>
      </c>
      <c r="LR26" s="561" t="n">
        <v>23</v>
      </c>
      <c r="LS26" s="471" t="n"/>
      <c r="LT26" s="822" t="n"/>
      <c r="LU26" s="471" t="n"/>
      <c r="LV26" s="822" t="n"/>
      <c r="LW26" s="822">
        <f>MA25</f>
        <v/>
      </c>
      <c r="LX26" s="822" t="n"/>
      <c r="LY26" s="471" t="n"/>
      <c r="LZ26" s="471" t="n"/>
      <c r="MA26" s="562">
        <f>IF(AND(LV26:LZ26),1,0)</f>
        <v/>
      </c>
      <c r="MH26" s="561" t="n">
        <v>23</v>
      </c>
      <c r="MI26" s="471" t="n"/>
      <c r="MJ26" s="822" t="inlineStr">
        <is>
          <t>SMDRB</t>
        </is>
      </c>
      <c r="MK26" s="471" t="n"/>
      <c r="ML26" s="822" t="n"/>
      <c r="MM26" s="574">
        <f>IF(OR(MT12,MT11),1,0)</f>
        <v/>
      </c>
      <c r="MN26" s="822" t="n"/>
      <c r="MO26" s="471" t="n"/>
      <c r="MP26" s="471" t="n"/>
      <c r="MQ26" s="562">
        <f>IF(AND(ML26:MP26),1,0)</f>
        <v/>
      </c>
    </row>
    <row r="27">
      <c r="A27" s="559" t="n">
        <v>24</v>
      </c>
      <c r="B27" s="471">
        <f>IF(OR('Mode Logic'!V18:W18),1,0)</f>
        <v/>
      </c>
      <c r="C27" s="471" t="n"/>
      <c r="D27" s="471" t="n"/>
      <c r="E27" s="471" t="n"/>
      <c r="F27" s="801">
        <f>J26</f>
        <v/>
      </c>
      <c r="G27" s="561" t="n"/>
      <c r="H27" s="471" t="n"/>
      <c r="I27" s="471" t="n"/>
      <c r="J27" s="562">
        <f>IF(AND(E27:I27),1,0)</f>
        <v/>
      </c>
      <c r="P27" s="561" t="n">
        <v>24</v>
      </c>
      <c r="Q27" s="471" t="n"/>
      <c r="R27" s="561" t="n"/>
      <c r="S27" s="471" t="n"/>
      <c r="T27" s="471" t="n"/>
      <c r="U27" s="801">
        <f>Y20</f>
        <v/>
      </c>
      <c r="V27" s="471">
        <f>Y26</f>
        <v/>
      </c>
      <c r="W27" s="471" t="n"/>
      <c r="X27" s="471" t="n"/>
      <c r="Y27" s="562">
        <f>IF(AND(T27:X27),1,0)</f>
        <v/>
      </c>
      <c r="AA27" s="471" t="inlineStr">
        <is>
          <t>SAFC1 12A</t>
        </is>
      </c>
      <c r="AB27" s="801">
        <f>'DATA TRANSFER'!DP159</f>
        <v/>
      </c>
      <c r="AC27" s="471" t="n"/>
      <c r="AF27" s="561" t="n">
        <v>24</v>
      </c>
      <c r="AG27" s="471" t="n"/>
      <c r="AH27" s="471" t="n"/>
      <c r="AI27" s="471" t="n"/>
      <c r="AJ27" s="471" t="n"/>
      <c r="AK27" s="569">
        <f>AO20</f>
        <v/>
      </c>
      <c r="AL27" s="471" t="n"/>
      <c r="AM27" s="471" t="n"/>
      <c r="AN27" s="471" t="n"/>
      <c r="AO27" s="562">
        <f>IF(AND(AJ27:AN27),1,0)</f>
        <v/>
      </c>
      <c r="AS27" s="561" t="n">
        <v>24</v>
      </c>
      <c r="AT27" s="471" t="n"/>
      <c r="AU27" s="471" t="n"/>
      <c r="AV27" s="471" t="n"/>
      <c r="AW27" s="471">
        <f>BB26</f>
        <v/>
      </c>
      <c r="AX27" s="471" t="n"/>
      <c r="AY27" s="471" t="n"/>
      <c r="AZ27" s="471" t="n"/>
      <c r="BA27" s="471" t="n"/>
      <c r="BB27" s="562">
        <f>IF(AND(AW27:BA27),1,0)</f>
        <v/>
      </c>
      <c r="BI27" s="561" t="n">
        <v>24</v>
      </c>
      <c r="BJ27" s="471" t="n"/>
      <c r="BK27" s="471" t="n"/>
      <c r="BL27" s="471" t="n"/>
      <c r="BM27" s="471" t="n"/>
      <c r="BN27" s="561">
        <f>BR26</f>
        <v/>
      </c>
      <c r="BO27" s="471" t="n"/>
      <c r="BP27" s="471" t="n"/>
      <c r="BQ27" s="471" t="n"/>
      <c r="BR27" s="562">
        <f>IF(AND(BM27:BQ27),1,0)</f>
        <v/>
      </c>
      <c r="BX27" s="561" t="n">
        <v>24</v>
      </c>
      <c r="BY27" s="471" t="n"/>
      <c r="BZ27" s="471" t="n"/>
      <c r="CA27" s="471" t="n"/>
      <c r="CB27" s="471" t="n"/>
      <c r="CC27" s="561">
        <f>CG26</f>
        <v/>
      </c>
      <c r="CD27" s="471" t="n"/>
      <c r="CE27" s="471" t="n"/>
      <c r="CF27" s="471" t="n"/>
      <c r="CG27" s="562">
        <f>IF(AND(CB27:CF27),1,0)</f>
        <v/>
      </c>
      <c r="CI27" s="561" t="n">
        <v>24</v>
      </c>
      <c r="CJ27" s="471" t="n"/>
      <c r="CK27" s="471" t="n"/>
      <c r="CL27" s="471" t="n"/>
      <c r="CM27" s="471" t="n"/>
      <c r="CN27" s="471">
        <f>CR26</f>
        <v/>
      </c>
      <c r="CO27" s="471" t="n"/>
      <c r="CP27" s="471" t="n"/>
      <c r="CQ27" s="471" t="n"/>
      <c r="CR27" s="562">
        <f>IF(AND(CM27:CQ27),1,0)</f>
        <v/>
      </c>
      <c r="DK27" s="561" t="n">
        <v>24</v>
      </c>
      <c r="DL27" s="566" t="inlineStr">
        <is>
          <t>LAF12(14.20)</t>
        </is>
      </c>
      <c r="DM27" s="561" t="inlineStr">
        <is>
          <t>HFAN2</t>
        </is>
      </c>
      <c r="DN27" s="471" t="n"/>
      <c r="DO27" s="471" t="n"/>
      <c r="DP27" s="569">
        <f>DW12</f>
        <v/>
      </c>
      <c r="DQ27" s="471">
        <f>DT26</f>
        <v/>
      </c>
      <c r="DR27" s="471" t="n"/>
      <c r="DS27" s="471" t="n"/>
      <c r="DT27" s="562">
        <f>IF(AND(DO27:DS27),1,0)</f>
        <v/>
      </c>
      <c r="DZ27" s="561" t="n">
        <v>24</v>
      </c>
      <c r="EA27" s="566" t="n"/>
      <c r="EB27" s="561" t="n"/>
      <c r="EC27" s="471" t="n"/>
      <c r="ED27" s="471" t="n"/>
      <c r="EE27" s="471">
        <f>EI26</f>
        <v/>
      </c>
      <c r="EF27" s="471" t="n"/>
      <c r="EG27" s="471" t="n"/>
      <c r="EH27" s="471" t="n"/>
      <c r="EI27" s="571">
        <f>IF(AND(ED27:EH27),1,0)</f>
        <v/>
      </c>
      <c r="EO27" s="561" t="n">
        <v>24</v>
      </c>
      <c r="EP27" s="566" t="n"/>
      <c r="EQ27" s="561" t="n"/>
      <c r="ER27" s="471" t="n"/>
      <c r="ES27" s="471" t="n"/>
      <c r="ET27" s="565" t="n">
        <v>1</v>
      </c>
      <c r="EU27" s="471" t="n"/>
      <c r="EV27" s="471" t="n"/>
      <c r="EW27" s="471" t="n"/>
      <c r="EX27" s="562">
        <f>IF(AND(ES27:EW27),1,0)</f>
        <v/>
      </c>
      <c r="FE27" s="561" t="n">
        <v>24</v>
      </c>
      <c r="FF27" s="566" t="n"/>
      <c r="FG27" s="561" t="n"/>
      <c r="FH27" s="471" t="n"/>
      <c r="FI27" s="471" t="n"/>
      <c r="FJ27" s="565" t="n">
        <v>1</v>
      </c>
      <c r="FK27" s="471" t="n"/>
      <c r="FL27" s="471" t="n"/>
      <c r="FM27" s="471" t="n"/>
      <c r="FN27" s="562">
        <f>IF(AND(FI27:FM27),1,0)</f>
        <v/>
      </c>
      <c r="FT27" s="561" t="n">
        <v>24</v>
      </c>
      <c r="FU27" s="566" t="n"/>
      <c r="FV27" s="822" t="n"/>
      <c r="FW27" s="471" t="n"/>
      <c r="FX27" s="471" t="n"/>
      <c r="FY27" s="561">
        <f>GC26</f>
        <v/>
      </c>
      <c r="FZ27" s="471" t="n"/>
      <c r="GA27" s="471" t="n"/>
      <c r="GB27" s="471" t="n"/>
      <c r="GC27" s="562">
        <f>IF(AND(FX27:GB27),1,0)</f>
        <v/>
      </c>
      <c r="GF27" s="561" t="n">
        <v>24</v>
      </c>
      <c r="GG27" s="566" t="n"/>
      <c r="GH27" s="822" t="n"/>
      <c r="GI27" s="471" t="n"/>
      <c r="GJ27" s="471" t="n"/>
      <c r="GK27" s="561">
        <f>GO25</f>
        <v/>
      </c>
      <c r="GL27" s="471" t="n"/>
      <c r="GM27" s="471" t="n"/>
      <c r="GN27" s="471" t="n"/>
      <c r="GO27" s="562">
        <f>IF(AND(GJ27:GN27),1,0)</f>
        <v/>
      </c>
      <c r="GU27" s="561" t="n">
        <v>24</v>
      </c>
      <c r="GV27" s="566" t="n"/>
      <c r="GW27" s="822" t="n"/>
      <c r="GX27" s="471" t="n"/>
      <c r="GY27" s="471" t="n"/>
      <c r="GZ27" s="801">
        <f>HD26</f>
        <v/>
      </c>
      <c r="HA27" s="471" t="n"/>
      <c r="HB27" s="471" t="n"/>
      <c r="HC27" s="471" t="n"/>
      <c r="HD27" s="571">
        <f>IF(AND(GY27:HC27),1,0)</f>
        <v/>
      </c>
      <c r="HK27" s="561" t="n">
        <v>24</v>
      </c>
      <c r="HL27" s="471" t="n"/>
      <c r="HM27" s="561" t="inlineStr">
        <is>
          <t>MPCB 2</t>
        </is>
      </c>
      <c r="HN27" s="471" t="n"/>
      <c r="HO27" s="471" t="n"/>
      <c r="HP27" s="569">
        <f>HW9</f>
        <v/>
      </c>
      <c r="HQ27" s="471" t="n">
        <v>0</v>
      </c>
      <c r="HR27" s="471" t="n"/>
      <c r="HS27" s="471" t="n"/>
      <c r="HT27" s="562">
        <f>IF(AND(HO27:HS27),1,0)</f>
        <v/>
      </c>
      <c r="HZ27" s="561" t="n">
        <v>24</v>
      </c>
      <c r="IA27" s="471" t="n"/>
      <c r="IB27" s="471" t="inlineStr">
        <is>
          <t>PPR1</t>
        </is>
      </c>
      <c r="IC27" s="471" t="n"/>
      <c r="ID27" s="471" t="n"/>
      <c r="IE27" s="569">
        <f>HW14</f>
        <v/>
      </c>
      <c r="IF27" s="471">
        <f>II26</f>
        <v/>
      </c>
      <c r="IG27" s="471" t="n"/>
      <c r="IH27" s="471" t="n"/>
      <c r="II27" s="562">
        <f>IF(AND(ID27:IH27),1,0)</f>
        <v/>
      </c>
      <c r="IL27" s="561" t="n">
        <v>24</v>
      </c>
      <c r="IM27" s="471" t="n"/>
      <c r="IN27" s="471" t="n"/>
      <c r="IO27" s="471" t="n"/>
      <c r="IP27" s="566" t="n"/>
      <c r="IQ27" s="566">
        <f>IU26</f>
        <v/>
      </c>
      <c r="IR27" s="471" t="n"/>
      <c r="IS27" s="471" t="n"/>
      <c r="IT27" s="471" t="n"/>
      <c r="IU27" s="562">
        <f>IF(AND(IP27:IT27),1,0)</f>
        <v/>
      </c>
      <c r="IX27" s="561" t="n">
        <v>24</v>
      </c>
      <c r="IY27" s="471" t="n"/>
      <c r="IZ27" s="822" t="inlineStr">
        <is>
          <t>OPENING OF FAD AS PER AW LEVEL (A0)</t>
        </is>
      </c>
      <c r="JA27" s="471" t="n"/>
      <c r="JB27" s="566" t="n"/>
      <c r="JC27" s="566">
        <f>JG26</f>
        <v/>
      </c>
      <c r="JD27" s="471">
        <f>JG30</f>
        <v/>
      </c>
      <c r="JE27" s="471" t="n"/>
      <c r="JF27" s="471" t="n"/>
      <c r="JG27" s="571">
        <f>IF(AND(JB27:JF27),1,0)</f>
        <v/>
      </c>
      <c r="JN27" s="561" t="n">
        <v>24</v>
      </c>
      <c r="JO27" s="471" t="n"/>
      <c r="JP27" s="822" t="n"/>
      <c r="JQ27" s="471" t="n"/>
      <c r="JR27" s="566" t="n"/>
      <c r="JS27" s="566">
        <f>JW20</f>
        <v/>
      </c>
      <c r="JT27" s="566" t="n"/>
      <c r="JU27" s="471" t="n"/>
      <c r="JV27" s="471" t="n"/>
      <c r="JW27" s="562">
        <f>IF(AND(JR27:JV27),1,0)</f>
        <v/>
      </c>
      <c r="KP27" s="561" t="n">
        <v>24</v>
      </c>
      <c r="KQ27" s="561" t="inlineStr">
        <is>
          <t>X5</t>
        </is>
      </c>
      <c r="KR27" s="822" t="inlineStr">
        <is>
          <t>RS 485</t>
        </is>
      </c>
      <c r="KS27" s="471" t="n"/>
      <c r="KT27" s="822" t="n"/>
      <c r="KU27" s="574" t="n">
        <v>1</v>
      </c>
      <c r="KV27" s="566" t="n"/>
      <c r="KW27" s="471" t="n"/>
      <c r="KX27" s="471" t="n"/>
      <c r="KY27" s="562">
        <f>IF(AND(KT27:KX27),1,0)</f>
        <v/>
      </c>
      <c r="LB27" s="561" t="n">
        <v>24</v>
      </c>
      <c r="LC27" s="471" t="n"/>
      <c r="LD27" s="822" t="n"/>
      <c r="LE27" s="471" t="n"/>
      <c r="LF27" s="822" t="n"/>
      <c r="LG27" s="822">
        <f>LK26</f>
        <v/>
      </c>
      <c r="LH27" s="822" t="n"/>
      <c r="LI27" s="471" t="n"/>
      <c r="LJ27" s="471" t="n"/>
      <c r="LK27" s="562">
        <f>IF(AND(LF27:LJ27),1,0)</f>
        <v/>
      </c>
      <c r="LM27" s="471" t="inlineStr">
        <is>
          <t>SAFC1 12A</t>
        </is>
      </c>
      <c r="LN27" s="801">
        <f>'DATA TRANSFER'!DP147</f>
        <v/>
      </c>
      <c r="LO27" s="471" t="n"/>
      <c r="LQ27" s="840">
        <f>LQ26+1</f>
        <v/>
      </c>
      <c r="LR27" s="561" t="n">
        <v>24</v>
      </c>
      <c r="LS27" s="471" t="n"/>
      <c r="LT27" s="822" t="n"/>
      <c r="LU27" s="471" t="n"/>
      <c r="LV27" s="822" t="n"/>
      <c r="LW27" s="822">
        <f>MA26</f>
        <v/>
      </c>
      <c r="LX27" s="822" t="n"/>
      <c r="LY27" s="471" t="n"/>
      <c r="LZ27" s="471" t="n"/>
      <c r="MA27" s="562">
        <f>IF(AND(LV27:LZ27),1,0)</f>
        <v/>
      </c>
      <c r="MH27" s="561" t="n">
        <v>24</v>
      </c>
      <c r="MI27" s="471" t="n"/>
      <c r="MJ27" s="822" t="n"/>
      <c r="MK27" s="471" t="n"/>
      <c r="ML27" s="822" t="n"/>
      <c r="MM27" s="822">
        <f>MQ26</f>
        <v/>
      </c>
      <c r="MN27" s="822" t="n"/>
      <c r="MO27" s="471" t="n"/>
      <c r="MP27" s="471" t="n"/>
      <c r="MQ27" s="562">
        <f>IF(AND(ML27:MP27),1,0)</f>
        <v/>
      </c>
    </row>
    <row r="28" ht="45.75" customHeight="1">
      <c r="A28" s="559" t="n">
        <v>25</v>
      </c>
      <c r="B28" s="471" t="n"/>
      <c r="C28" s="471" t="n"/>
      <c r="D28" s="471" t="n"/>
      <c r="E28" s="471" t="n"/>
      <c r="F28" s="801">
        <f>J27</f>
        <v/>
      </c>
      <c r="G28" s="561" t="n"/>
      <c r="H28" s="471" t="n"/>
      <c r="I28" s="471" t="n"/>
      <c r="J28" s="562">
        <f>IF(AND(E28:I28),1,0)</f>
        <v/>
      </c>
      <c r="P28" s="561" t="n">
        <v>25</v>
      </c>
      <c r="Q28" s="471" t="n"/>
      <c r="R28" s="822" t="inlineStr">
        <is>
          <t>SUPPLY AIR FAN 1 Pa=1.25kW P.f=0.75</t>
        </is>
      </c>
      <c r="S28" s="471" t="n"/>
      <c r="T28" s="471" t="n"/>
      <c r="U28" s="569">
        <f>AB15</f>
        <v/>
      </c>
      <c r="V28" s="471">
        <f>Y21</f>
        <v/>
      </c>
      <c r="W28" s="471">
        <f>Y24</f>
        <v/>
      </c>
      <c r="X28" s="471">
        <f>Y27</f>
        <v/>
      </c>
      <c r="Y28" s="562">
        <f>IF(AND(T28:X28),1,0)</f>
        <v/>
      </c>
      <c r="AA28" s="471" t="inlineStr">
        <is>
          <t>EMR DRIVE</t>
        </is>
      </c>
      <c r="AB28" s="801">
        <f>'DATA TRANSFER'!DP158</f>
        <v/>
      </c>
      <c r="AC28" s="471" t="n"/>
      <c r="AF28" s="561" t="n">
        <v>25</v>
      </c>
      <c r="AG28" s="471" t="n"/>
      <c r="AH28" s="822" t="inlineStr">
        <is>
          <t>SUPPLY AIR FAN 1 Pa=1.25kW P.f=0.75</t>
        </is>
      </c>
      <c r="AI28" s="471" t="n"/>
      <c r="AJ28" s="471" t="n"/>
      <c r="AK28" s="569">
        <f>AB15</f>
        <v/>
      </c>
      <c r="AL28" s="561">
        <f>AO21</f>
        <v/>
      </c>
      <c r="AM28" s="561">
        <f>AO24</f>
        <v/>
      </c>
      <c r="AN28" s="561">
        <f>AO27</f>
        <v/>
      </c>
      <c r="AO28" s="562">
        <f>IF(AND(AJ28:AN28),1,0)</f>
        <v/>
      </c>
      <c r="AS28" s="561" t="n">
        <v>25</v>
      </c>
      <c r="AT28" s="471" t="n"/>
      <c r="AU28" s="471" t="n"/>
      <c r="AV28" s="471" t="n"/>
      <c r="AW28" s="471">
        <f>BB27</f>
        <v/>
      </c>
      <c r="AX28" s="471" t="n"/>
      <c r="AY28" s="471" t="n"/>
      <c r="AZ28" s="471" t="n"/>
      <c r="BA28" s="471" t="n"/>
      <c r="BB28" s="562">
        <f>IF(AND(AW28:BA28),1,0)</f>
        <v/>
      </c>
      <c r="BI28" s="561" t="n">
        <v>25</v>
      </c>
      <c r="BJ28" s="561" t="n"/>
      <c r="BK28" s="471" t="n"/>
      <c r="BL28" s="471" t="n"/>
      <c r="BM28" s="471" t="n"/>
      <c r="BN28" s="578">
        <f>BR27</f>
        <v/>
      </c>
      <c r="BO28" s="471" t="n"/>
      <c r="BP28" s="471" t="n"/>
      <c r="BQ28" s="471" t="n"/>
      <c r="BR28" s="562">
        <f>IF(AND(BM28:BQ28),1,0)</f>
        <v/>
      </c>
      <c r="BX28" s="561" t="n">
        <v>25</v>
      </c>
      <c r="BY28" s="561" t="n"/>
      <c r="BZ28" s="471" t="n"/>
      <c r="CA28" s="471" t="n"/>
      <c r="CB28" s="471" t="n"/>
      <c r="CC28" s="578">
        <f>CG27</f>
        <v/>
      </c>
      <c r="CD28" s="471" t="n"/>
      <c r="CE28" s="471" t="n"/>
      <c r="CF28" s="471" t="n"/>
      <c r="CG28" s="562">
        <f>IF(AND(CB28:CF28),1,0)</f>
        <v/>
      </c>
      <c r="CI28" s="561" t="n">
        <v>25</v>
      </c>
      <c r="CJ28" s="561" t="n"/>
      <c r="CK28" s="471" t="n"/>
      <c r="CL28" s="471" t="n"/>
      <c r="CM28" s="471" t="n"/>
      <c r="CN28" s="471">
        <f>CR27</f>
        <v/>
      </c>
      <c r="CO28" s="471" t="n"/>
      <c r="CP28" s="471" t="n"/>
      <c r="CQ28" s="471" t="n"/>
      <c r="CR28" s="562">
        <f>IF(AND(CM28:CQ28),1,0)</f>
        <v/>
      </c>
      <c r="DK28" s="561" t="n">
        <v>25</v>
      </c>
      <c r="DL28" s="566" t="n"/>
      <c r="DM28" s="561" t="n"/>
      <c r="DN28" s="471" t="n"/>
      <c r="DO28" s="471" t="n"/>
      <c r="DP28" s="801">
        <f>DT27</f>
        <v/>
      </c>
      <c r="DQ28" s="471" t="n"/>
      <c r="DR28" s="471" t="n"/>
      <c r="DS28" s="471" t="n"/>
      <c r="DT28" s="562">
        <f>IF(AND(DO28:DS28),1,0)</f>
        <v/>
      </c>
      <c r="DZ28" s="561" t="n">
        <v>25</v>
      </c>
      <c r="EA28" s="566" t="n"/>
      <c r="EB28" s="801" t="inlineStr">
        <is>
          <t>SMDR2</t>
        </is>
      </c>
      <c r="EC28" s="471" t="n"/>
      <c r="ED28" s="471" t="n"/>
      <c r="EE28" s="570">
        <f>EL11</f>
        <v/>
      </c>
      <c r="EF28" s="471" t="n"/>
      <c r="EG28" s="471" t="n"/>
      <c r="EH28" s="471" t="n"/>
      <c r="EI28" s="571">
        <f>IF(AND(ED28:EH28),1,0)</f>
        <v/>
      </c>
      <c r="EO28" s="561" t="n">
        <v>25</v>
      </c>
      <c r="EP28" s="566" t="n"/>
      <c r="EQ28" s="561" t="n"/>
      <c r="ER28" s="471" t="n"/>
      <c r="ES28" s="471" t="n"/>
      <c r="ET28" s="471">
        <f>EX27</f>
        <v/>
      </c>
      <c r="EU28" s="471" t="n"/>
      <c r="EV28" s="471" t="n"/>
      <c r="EW28" s="471" t="n"/>
      <c r="EX28" s="562">
        <f>IF(AND(ES28:EW28),1,0)</f>
        <v/>
      </c>
      <c r="FE28" s="561" t="n">
        <v>25</v>
      </c>
      <c r="FF28" s="566" t="n"/>
      <c r="FG28" s="561" t="n"/>
      <c r="FH28" s="471" t="n"/>
      <c r="FI28" s="471" t="n"/>
      <c r="FJ28" s="471">
        <f>FN27</f>
        <v/>
      </c>
      <c r="FK28" s="471" t="n"/>
      <c r="FL28" s="471" t="n"/>
      <c r="FM28" s="471" t="n"/>
      <c r="FN28" s="562">
        <f>IF(AND(FI28:FM28),1,0)</f>
        <v/>
      </c>
      <c r="FT28" s="561" t="n">
        <v>25</v>
      </c>
      <c r="FU28" s="566" t="n"/>
      <c r="FV28" s="822" t="n"/>
      <c r="FW28" s="471" t="n"/>
      <c r="FX28" s="471" t="n"/>
      <c r="FY28" s="567" t="n">
        <v>1</v>
      </c>
      <c r="FZ28" s="471" t="n"/>
      <c r="GA28" s="471" t="n"/>
      <c r="GB28" s="471" t="n"/>
      <c r="GC28" s="562">
        <f>IF(AND(FX28:GB28),1,0)</f>
        <v/>
      </c>
      <c r="GF28" s="561" t="n">
        <v>25</v>
      </c>
      <c r="GG28" s="566" t="n"/>
      <c r="GH28" s="822" t="n"/>
      <c r="GI28" s="471" t="n"/>
      <c r="GJ28" s="471" t="n"/>
      <c r="GK28" s="561">
        <f>GO20</f>
        <v/>
      </c>
      <c r="GL28" s="471" t="n"/>
      <c r="GM28" s="471" t="n"/>
      <c r="GN28" s="471" t="n"/>
      <c r="GO28" s="562">
        <f>IF(AND(GJ28:GN28),1,0)</f>
        <v/>
      </c>
      <c r="GU28" s="561" t="n">
        <v>25</v>
      </c>
      <c r="GV28" s="566" t="n"/>
      <c r="GW28" s="822" t="n"/>
      <c r="GX28" s="471" t="n"/>
      <c r="GY28" s="471" t="n"/>
      <c r="GZ28" s="801">
        <f>HD27</f>
        <v/>
      </c>
      <c r="HA28" s="471" t="n"/>
      <c r="HB28" s="471" t="n"/>
      <c r="HC28" s="471" t="n"/>
      <c r="HD28" s="571">
        <f>IF(AND(GY28:HC28),1,0)</f>
        <v/>
      </c>
      <c r="HK28" s="561" t="n">
        <v>25</v>
      </c>
      <c r="HL28" s="471" t="n"/>
      <c r="HM28" s="471" t="n"/>
      <c r="HN28" s="471" t="n"/>
      <c r="HO28" s="471" t="n"/>
      <c r="HP28" s="801">
        <f>HT27</f>
        <v/>
      </c>
      <c r="HQ28" s="471" t="n"/>
      <c r="HR28" s="471" t="n"/>
      <c r="HS28" s="471" t="n"/>
      <c r="HT28" s="562">
        <f>IF(AND(HO28:HS28),1,0)</f>
        <v/>
      </c>
      <c r="HZ28" s="561" t="n">
        <v>25</v>
      </c>
      <c r="IA28" s="471" t="n"/>
      <c r="IB28" s="471" t="n"/>
      <c r="IC28" s="471" t="n"/>
      <c r="ID28" s="471" t="n"/>
      <c r="IE28" s="801">
        <f>II27</f>
        <v/>
      </c>
      <c r="IF28" s="471" t="n"/>
      <c r="IG28" s="471" t="n"/>
      <c r="IH28" s="471" t="n"/>
      <c r="II28" s="562">
        <f>IF(AND(ID28:IH28),1,0)</f>
        <v/>
      </c>
      <c r="IL28" s="561" t="n">
        <v>25</v>
      </c>
      <c r="IM28" s="471" t="n"/>
      <c r="IN28" s="471" t="n"/>
      <c r="IO28" s="471" t="n"/>
      <c r="IP28" s="566" t="n"/>
      <c r="IQ28" s="566">
        <f>IU27</f>
        <v/>
      </c>
      <c r="IR28" s="471" t="n"/>
      <c r="IS28" s="471" t="n"/>
      <c r="IT28" s="471" t="n"/>
      <c r="IU28" s="562">
        <f>IF(AND(IP28:IT28),1,0)</f>
        <v/>
      </c>
      <c r="IX28" s="561" t="n">
        <v>25</v>
      </c>
      <c r="IY28" s="471" t="n"/>
      <c r="IZ28" s="822" t="n"/>
      <c r="JA28" s="471" t="n"/>
      <c r="JB28" s="566" t="n"/>
      <c r="JC28" s="584">
        <f>'Mode Logic'!P18</f>
        <v/>
      </c>
      <c r="JD28" s="471" t="n"/>
      <c r="JE28" s="471" t="n"/>
      <c r="JF28" s="471" t="n"/>
      <c r="JG28" s="571">
        <f>IF(AND(JB28:JF28),1,0)</f>
        <v/>
      </c>
      <c r="JN28" s="561" t="n">
        <v>25</v>
      </c>
      <c r="JO28" s="471" t="n"/>
      <c r="JP28" s="822" t="inlineStr">
        <is>
          <t>SFC OFF</t>
        </is>
      </c>
      <c r="JQ28" s="471" t="n"/>
      <c r="JR28" s="566" t="n"/>
      <c r="JS28" s="575">
        <f>JJ20</f>
        <v/>
      </c>
      <c r="JT28" s="566">
        <f>JW27</f>
        <v/>
      </c>
      <c r="JU28" s="471" t="n"/>
      <c r="JV28" s="471" t="n"/>
      <c r="JW28" s="562">
        <f>IF(AND(JR28:JV28),1,0)</f>
        <v/>
      </c>
      <c r="KP28" s="561" t="n">
        <v>25</v>
      </c>
      <c r="KQ28" s="471" t="n"/>
      <c r="KR28" s="822" t="n"/>
      <c r="KS28" s="471" t="n"/>
      <c r="KT28" s="822" t="n"/>
      <c r="KU28" s="822">
        <f>KY29</f>
        <v/>
      </c>
      <c r="KV28" s="566" t="n"/>
      <c r="KW28" s="471" t="n"/>
      <c r="KX28" s="471" t="n"/>
      <c r="KY28" s="562">
        <f>IF(AND(KT28:KX28),1,0)</f>
        <v/>
      </c>
      <c r="LB28" s="561" t="n">
        <v>25</v>
      </c>
      <c r="LC28" s="471" t="n"/>
      <c r="LD28" s="822" t="n"/>
      <c r="LE28" s="471" t="n"/>
      <c r="LF28" s="822" t="n"/>
      <c r="LG28" s="822">
        <f>LK27</f>
        <v/>
      </c>
      <c r="LH28" s="822" t="n"/>
      <c r="LI28" s="471" t="n"/>
      <c r="LJ28" s="471" t="n"/>
      <c r="LK28" s="562">
        <f>IF(AND(LF28:LJ28),1,0)</f>
        <v/>
      </c>
      <c r="LM28" s="471" t="inlineStr">
        <is>
          <t>EMR DRIVE</t>
        </is>
      </c>
      <c r="LN28" s="801" t="n">
        <v>1</v>
      </c>
      <c r="LO28" s="471" t="n"/>
      <c r="LQ28" s="840">
        <f>LQ27+1</f>
        <v/>
      </c>
      <c r="LR28" s="561" t="n">
        <v>25</v>
      </c>
      <c r="LS28" s="471" t="n"/>
      <c r="LT28" s="822" t="n"/>
      <c r="LU28" s="471" t="n"/>
      <c r="LV28" s="822" t="n"/>
      <c r="LW28" s="822">
        <f>MA27</f>
        <v/>
      </c>
      <c r="LX28" s="822" t="n"/>
      <c r="LY28" s="471" t="n"/>
      <c r="LZ28" s="471" t="n"/>
      <c r="MA28" s="562">
        <f>IF(AND(LV28:LZ28),1,0)</f>
        <v/>
      </c>
      <c r="MH28" s="561" t="n">
        <v>25</v>
      </c>
      <c r="MI28" s="471" t="n"/>
      <c r="MJ28" s="822" t="inlineStr">
        <is>
          <t>SMDR</t>
        </is>
      </c>
      <c r="MK28" s="471" t="n"/>
      <c r="ML28" s="822" t="n"/>
      <c r="MM28" s="574">
        <f>MT23</f>
        <v/>
      </c>
      <c r="MN28" s="822" t="n"/>
      <c r="MO28" s="471" t="n"/>
      <c r="MP28" s="471" t="n"/>
      <c r="MQ28" s="562">
        <f>IF(AND(ML28:MP28),1,0)</f>
        <v/>
      </c>
    </row>
    <row r="29" ht="31" customHeight="1">
      <c r="A29" s="559" t="n">
        <v>26</v>
      </c>
      <c r="B29" s="471" t="n"/>
      <c r="C29" s="471" t="n"/>
      <c r="D29" s="471" t="n"/>
      <c r="E29" s="471" t="n"/>
      <c r="F29" s="801">
        <f>J28</f>
        <v/>
      </c>
      <c r="G29" s="561" t="n"/>
      <c r="H29" s="471" t="n"/>
      <c r="I29" s="471" t="n"/>
      <c r="J29" s="562">
        <f>IF(AND(E29:I29),1,0)</f>
        <v/>
      </c>
      <c r="P29" s="561" t="n">
        <v>26</v>
      </c>
      <c r="Q29" s="471" t="n"/>
      <c r="R29" s="561" t="n"/>
      <c r="S29" s="471" t="n"/>
      <c r="T29" s="471" t="n"/>
      <c r="U29" s="801">
        <f>Y28</f>
        <v/>
      </c>
      <c r="V29" s="471" t="n"/>
      <c r="W29" s="471" t="n"/>
      <c r="X29" s="471" t="n"/>
      <c r="Y29" s="562">
        <f>IF(AND(T29:X29),1,0)</f>
        <v/>
      </c>
      <c r="AA29" s="471" t="inlineStr">
        <is>
          <t>HTRB 13.2A</t>
        </is>
      </c>
      <c r="AB29" s="801">
        <f>'DATA TRANSFER'!DP159</f>
        <v/>
      </c>
      <c r="AC29" s="471" t="n"/>
      <c r="AF29" s="561" t="n">
        <v>26</v>
      </c>
      <c r="AG29" s="568" t="n"/>
      <c r="AH29" s="566" t="n"/>
      <c r="AI29" s="471" t="n"/>
      <c r="AJ29" s="471" t="n"/>
      <c r="AK29" s="578">
        <f>AO28</f>
        <v/>
      </c>
      <c r="AL29" s="561">
        <f>AO30</f>
        <v/>
      </c>
      <c r="AM29" s="561">
        <f>AO31</f>
        <v/>
      </c>
      <c r="AN29" s="561" t="n"/>
      <c r="AO29" s="562">
        <f>IF(AND(AJ29:AN29),1,0)</f>
        <v/>
      </c>
      <c r="AS29" s="561" t="n">
        <v>26</v>
      </c>
      <c r="AT29" s="471" t="n"/>
      <c r="AU29" s="471" t="n"/>
      <c r="AV29" s="471" t="n"/>
      <c r="AW29" s="471">
        <f>BB28</f>
        <v/>
      </c>
      <c r="AX29" s="471" t="n"/>
      <c r="AY29" s="471" t="n"/>
      <c r="AZ29" s="471" t="n"/>
      <c r="BA29" s="471" t="n"/>
      <c r="BB29" s="562">
        <f>IF(AND(AW29:BA29),1,0)</f>
        <v/>
      </c>
      <c r="BI29" s="561" t="n">
        <v>26</v>
      </c>
      <c r="BJ29" s="471" t="n"/>
      <c r="BK29" s="471" t="n"/>
      <c r="BL29" s="471" t="n"/>
      <c r="BM29" s="471" t="n"/>
      <c r="BN29" s="561">
        <f>BR28</f>
        <v/>
      </c>
      <c r="BO29" s="471" t="n"/>
      <c r="BP29" s="471" t="n"/>
      <c r="BQ29" s="471" t="n"/>
      <c r="BR29" s="562">
        <f>IF(AND(BM29:BQ29),1,0)</f>
        <v/>
      </c>
      <c r="BX29" s="561" t="n">
        <v>26</v>
      </c>
      <c r="BY29" s="471" t="n"/>
      <c r="BZ29" s="471" t="n"/>
      <c r="CA29" s="471" t="n"/>
      <c r="CB29" s="471" t="n"/>
      <c r="CC29" s="561">
        <f>CG28</f>
        <v/>
      </c>
      <c r="CD29" s="471" t="n"/>
      <c r="CE29" s="471" t="n"/>
      <c r="CF29" s="471" t="n"/>
      <c r="CG29" s="562">
        <f>IF(AND(CB29:CF29),1,0)</f>
        <v/>
      </c>
      <c r="CI29" s="561" t="n">
        <v>26</v>
      </c>
      <c r="CJ29" s="822" t="inlineStr">
        <is>
          <t>UD .X63.22-F 1 +63.20</t>
        </is>
      </c>
      <c r="CK29" s="471" t="n"/>
      <c r="CL29" s="471" t="n"/>
      <c r="CM29" s="471" t="n"/>
      <c r="CN29" s="471">
        <f>CR28</f>
        <v/>
      </c>
      <c r="CO29" s="471" t="n"/>
      <c r="CP29" s="471" t="n"/>
      <c r="CQ29" s="471" t="n"/>
      <c r="CR29" s="562">
        <f>IF(AND(CM29:CQ29),1,0)</f>
        <v/>
      </c>
      <c r="DK29" s="561" t="n">
        <v>26</v>
      </c>
      <c r="DL29" s="566" t="n"/>
      <c r="DM29" s="561" t="n"/>
      <c r="DN29" s="471" t="n"/>
      <c r="DO29" s="471" t="n"/>
      <c r="DP29" s="801">
        <f>DT27</f>
        <v/>
      </c>
      <c r="DQ29" s="471">
        <f>DT28</f>
        <v/>
      </c>
      <c r="DR29" s="471" t="n"/>
      <c r="DS29" s="471" t="n"/>
      <c r="DT29" s="562">
        <f>IF(AND(DO29:DS29),1,0)</f>
        <v/>
      </c>
      <c r="DZ29" s="561" t="n">
        <v>26</v>
      </c>
      <c r="EA29" s="566" t="n"/>
      <c r="EB29" s="561" t="n"/>
      <c r="EC29" s="471" t="n"/>
      <c r="ED29" s="471" t="n"/>
      <c r="EE29" s="471">
        <f>EI28</f>
        <v/>
      </c>
      <c r="EF29" s="471" t="n"/>
      <c r="EG29" s="471" t="n"/>
      <c r="EH29" s="471" t="n"/>
      <c r="EI29" s="571">
        <f>IF(AND(ED29:EH29),1,0)</f>
        <v/>
      </c>
      <c r="EO29" s="561" t="n">
        <v>26</v>
      </c>
      <c r="EP29" s="566" t="n"/>
      <c r="EQ29" s="471" t="inlineStr">
        <is>
          <t>24V HEC</t>
        </is>
      </c>
      <c r="ER29" s="471" t="n"/>
      <c r="ES29" s="471" t="n"/>
      <c r="ET29" s="570">
        <f>FA19</f>
        <v/>
      </c>
      <c r="EU29" s="471" t="n"/>
      <c r="EV29" s="471" t="n"/>
      <c r="EW29" s="471" t="n"/>
      <c r="EX29" s="562">
        <f>IF(AND(ES29:EW29),1,0)</f>
        <v/>
      </c>
      <c r="FE29" s="561" t="n">
        <v>26</v>
      </c>
      <c r="FF29" s="566" t="n"/>
      <c r="FG29" s="561" t="n"/>
      <c r="FH29" s="471" t="n"/>
      <c r="FI29" s="471" t="n"/>
      <c r="FJ29" s="565" t="n">
        <v>1</v>
      </c>
      <c r="FK29" s="471" t="n"/>
      <c r="FL29" s="471" t="n"/>
      <c r="FM29" s="471" t="n"/>
      <c r="FN29" s="562">
        <f>IF(AND(FI29:FM29),1,0)</f>
        <v/>
      </c>
      <c r="FT29" s="561" t="n">
        <v>26</v>
      </c>
      <c r="FU29" s="566" t="n"/>
      <c r="FV29" s="822" t="n"/>
      <c r="FW29" s="471" t="n"/>
      <c r="FX29" s="471" t="n"/>
      <c r="FY29" s="801">
        <f>GC28</f>
        <v/>
      </c>
      <c r="FZ29" s="471" t="n"/>
      <c r="GA29" s="471" t="n"/>
      <c r="GB29" s="471" t="n"/>
      <c r="GC29" s="562">
        <f>IF(AND(FX29:GB29),1,0)</f>
        <v/>
      </c>
      <c r="GF29" s="561" t="n">
        <v>26</v>
      </c>
      <c r="GG29" s="566" t="n"/>
      <c r="GH29" s="822" t="n"/>
      <c r="GI29" s="471" t="n"/>
      <c r="GJ29" s="471" t="n"/>
      <c r="GK29" s="561">
        <f>GO28</f>
        <v/>
      </c>
      <c r="GL29" s="471" t="n"/>
      <c r="GM29" s="471" t="n"/>
      <c r="GN29" s="471" t="n"/>
      <c r="GO29" s="562">
        <f>IF(AND(GJ29:GN29),1,0)</f>
        <v/>
      </c>
      <c r="GU29" s="561" t="n">
        <v>26</v>
      </c>
      <c r="GV29" s="566" t="n"/>
      <c r="GW29" s="822" t="n"/>
      <c r="GX29" s="471" t="n"/>
      <c r="GY29" s="471" t="n"/>
      <c r="GZ29" s="801">
        <f>HD28</f>
        <v/>
      </c>
      <c r="HA29" s="471" t="n"/>
      <c r="HB29" s="471" t="n"/>
      <c r="HC29" s="471" t="n"/>
      <c r="HD29" s="571">
        <f>IF(AND(GY29:HC29),1,0)</f>
        <v/>
      </c>
      <c r="HK29" s="561" t="n">
        <v>26</v>
      </c>
      <c r="HL29" s="471" t="n"/>
      <c r="HM29" s="471" t="n"/>
      <c r="HN29" s="471" t="n"/>
      <c r="HO29" s="471" t="n"/>
      <c r="HP29" s="801">
        <f>HT28</f>
        <v/>
      </c>
      <c r="HQ29" s="471" t="n"/>
      <c r="HR29" s="471" t="n"/>
      <c r="HS29" s="471" t="n"/>
      <c r="HT29" s="562">
        <f>IF(AND(HO29:HS29),1,0)</f>
        <v/>
      </c>
      <c r="HZ29" s="561" t="n">
        <v>26</v>
      </c>
      <c r="IA29" s="471" t="n"/>
      <c r="IB29" s="471" t="inlineStr">
        <is>
          <t>PPR2</t>
        </is>
      </c>
      <c r="IC29" s="471" t="n"/>
      <c r="ID29" s="471" t="n"/>
      <c r="IE29" s="569">
        <f>HW15</f>
        <v/>
      </c>
      <c r="IF29" s="471">
        <f>II28</f>
        <v/>
      </c>
      <c r="IG29" s="471" t="n"/>
      <c r="IH29" s="471" t="n"/>
      <c r="II29" s="562">
        <f>IF(AND(ID29:IH29),1,0)</f>
        <v/>
      </c>
      <c r="IL29" s="561" t="n">
        <v>26</v>
      </c>
      <c r="IM29" s="471" t="n"/>
      <c r="IN29" s="471" t="n"/>
      <c r="IO29" s="471" t="n"/>
      <c r="IP29" s="566" t="n"/>
      <c r="IQ29" s="566">
        <f>IU28</f>
        <v/>
      </c>
      <c r="IR29" s="471" t="n"/>
      <c r="IS29" s="471" t="n"/>
      <c r="IT29" s="471" t="n"/>
      <c r="IU29" s="562">
        <f>IF(AND(IP29:IT29),1,0)</f>
        <v/>
      </c>
      <c r="IX29" s="561" t="n">
        <v>26</v>
      </c>
      <c r="IY29" s="471" t="n"/>
      <c r="IZ29" s="822" t="n"/>
      <c r="JA29" s="471" t="n"/>
      <c r="JB29" s="566" t="n"/>
      <c r="JC29" s="566">
        <f>JG28</f>
        <v/>
      </c>
      <c r="JD29" s="471">
        <f>JG30</f>
        <v/>
      </c>
      <c r="JE29" s="471" t="n"/>
      <c r="JF29" s="471" t="n"/>
      <c r="JG29" s="571">
        <f>IF(AND(JB29:JF29),1,0)</f>
        <v/>
      </c>
      <c r="JN29" s="561" t="n">
        <v>26</v>
      </c>
      <c r="JO29" s="471" t="n"/>
      <c r="JP29" s="822" t="n"/>
      <c r="JQ29" s="471" t="n"/>
      <c r="JR29" s="566" t="n"/>
      <c r="JS29" s="566">
        <f>JW28</f>
        <v/>
      </c>
      <c r="JT29" s="566" t="n"/>
      <c r="JU29" s="471" t="n"/>
      <c r="JV29" s="471" t="n"/>
      <c r="JW29" s="562">
        <f>IF(AND(JR29:JV29),1,0)</f>
        <v/>
      </c>
      <c r="KP29" s="561" t="n">
        <v>26</v>
      </c>
      <c r="KQ29" s="561" t="inlineStr">
        <is>
          <t>X5</t>
        </is>
      </c>
      <c r="KR29" s="822" t="inlineStr">
        <is>
          <t>GND</t>
        </is>
      </c>
      <c r="KS29" s="471" t="n"/>
      <c r="KT29" s="822" t="n"/>
      <c r="KU29" s="581" t="n">
        <v>1</v>
      </c>
      <c r="KV29" s="566" t="n"/>
      <c r="KW29" s="471" t="n"/>
      <c r="KX29" s="471" t="n"/>
      <c r="KY29" s="562">
        <f>IF(AND(KT29:KX29),1,0)</f>
        <v/>
      </c>
      <c r="LB29" s="561" t="n">
        <v>26</v>
      </c>
      <c r="LC29" s="471" t="n"/>
      <c r="LD29" s="822" t="inlineStr">
        <is>
          <t>SUPPLY  AIR FAN 1 PA = 1.25 KW ,P.F = 0.75</t>
        </is>
      </c>
      <c r="LE29" s="471" t="n"/>
      <c r="LF29" s="822" t="n"/>
      <c r="LG29" s="574">
        <f>LN15</f>
        <v/>
      </c>
      <c r="LH29" s="822">
        <f>LK18</f>
        <v/>
      </c>
      <c r="LI29" s="852">
        <f>LK23</f>
        <v/>
      </c>
      <c r="LJ29" s="852">
        <f>LK28</f>
        <v/>
      </c>
      <c r="LK29" s="562">
        <f>IF(AND(LF29:LJ29),1,0)</f>
        <v/>
      </c>
      <c r="LM29" s="471" t="inlineStr">
        <is>
          <t>HTRB 13.2A</t>
        </is>
      </c>
      <c r="LN29" s="801">
        <f>'DATA TRANSFER'!DP159</f>
        <v/>
      </c>
      <c r="LO29" s="471" t="n"/>
      <c r="LQ29" s="840">
        <f>LQ28+1</f>
        <v/>
      </c>
      <c r="LW29" s="822">
        <f>MA28</f>
        <v/>
      </c>
      <c r="MA29" s="562">
        <f>IF(AND(LV29:LZ29),1,0)</f>
        <v/>
      </c>
      <c r="MH29" s="561" t="n">
        <v>26</v>
      </c>
      <c r="MI29" s="471" t="n"/>
      <c r="MJ29" s="822" t="n"/>
      <c r="ML29" s="822" t="n"/>
      <c r="MM29" s="574">
        <f>MQ28</f>
        <v/>
      </c>
      <c r="MN29" s="822" t="n"/>
      <c r="MO29" s="471" t="n"/>
      <c r="MP29" s="471" t="n"/>
      <c r="MQ29" s="562">
        <f>IF(AND(ML29:MP29),1,0)</f>
        <v/>
      </c>
    </row>
    <row r="30" ht="21" customHeight="1">
      <c r="A30" s="559" t="n">
        <v>27</v>
      </c>
      <c r="B30" s="471" t="n"/>
      <c r="C30" s="801">
        <f>'DATA TRANSFER'!DP175</f>
        <v/>
      </c>
      <c r="D30" s="471" t="n"/>
      <c r="E30" s="471" t="n"/>
      <c r="F30" s="582">
        <f>M9</f>
        <v/>
      </c>
      <c r="G30" s="561">
        <f>J29</f>
        <v/>
      </c>
      <c r="H30" s="471" t="n"/>
      <c r="I30" s="471" t="n"/>
      <c r="J30" s="562">
        <f>IF(AND(E30:I30),1,0)</f>
        <v/>
      </c>
      <c r="O30" s="840">
        <f>IF(OR('Mode Logic'!V18:W18),1,0)</f>
        <v/>
      </c>
      <c r="P30" s="561" t="n">
        <v>27</v>
      </c>
      <c r="Q30" s="471" t="n"/>
      <c r="R30" s="561" t="n"/>
      <c r="S30" s="471" t="n"/>
      <c r="T30" s="471" t="n"/>
      <c r="U30" s="801">
        <f>Y28</f>
        <v/>
      </c>
      <c r="V30" s="471" t="n"/>
      <c r="W30" s="471" t="n"/>
      <c r="X30" s="471" t="n"/>
      <c r="Y30" s="562">
        <f>IF(AND(T30:X30),1,0)</f>
        <v/>
      </c>
      <c r="AA30" s="471" t="inlineStr">
        <is>
          <t>HTRC1 9A</t>
        </is>
      </c>
      <c r="AB30" s="801">
        <f>'DATA TRANSFER'!DP160</f>
        <v/>
      </c>
      <c r="AC30" s="471" t="n"/>
      <c r="AF30" s="561" t="n">
        <v>27</v>
      </c>
      <c r="AG30" s="568" t="n"/>
      <c r="AH30" s="566" t="n"/>
      <c r="AI30" s="471" t="n"/>
      <c r="AJ30" s="471" t="n"/>
      <c r="AK30" s="578">
        <f>AO28</f>
        <v/>
      </c>
      <c r="AL30" s="561" t="n"/>
      <c r="AM30" s="561" t="n"/>
      <c r="AN30" s="561" t="n"/>
      <c r="AO30" s="562">
        <f>IF(AND(AJ30:AN30),1,0)</f>
        <v/>
      </c>
      <c r="AS30" s="561" t="n">
        <v>27</v>
      </c>
      <c r="AT30" s="471" t="n"/>
      <c r="AU30" s="471" t="n"/>
      <c r="AV30" s="471" t="n"/>
      <c r="AW30" s="471">
        <f>BB13</f>
        <v/>
      </c>
      <c r="AX30" s="471" t="n"/>
      <c r="AY30" s="471" t="n"/>
      <c r="AZ30" s="471" t="n"/>
      <c r="BA30" s="471" t="n"/>
      <c r="BB30" s="562">
        <f>IF(AND(AW30:BA30),1,0)</f>
        <v/>
      </c>
      <c r="BI30" s="561" t="n">
        <v>27</v>
      </c>
      <c r="BJ30" s="471" t="n"/>
      <c r="BK30" s="471" t="n"/>
      <c r="BL30" s="471" t="n"/>
      <c r="BM30" s="471" t="n"/>
      <c r="BN30" s="578">
        <f>BR29</f>
        <v/>
      </c>
      <c r="BO30" s="471" t="n"/>
      <c r="BP30" s="471" t="n"/>
      <c r="BQ30" s="471" t="n"/>
      <c r="BR30" s="562">
        <f>IF(AND(BM30:BQ30),1,0)</f>
        <v/>
      </c>
      <c r="BX30" s="561" t="n">
        <v>27</v>
      </c>
      <c r="BY30" s="471" t="n"/>
      <c r="BZ30" s="471" t="n"/>
      <c r="CA30" s="471" t="n"/>
      <c r="CB30" s="471" t="n"/>
      <c r="CC30" s="578">
        <f>CG29</f>
        <v/>
      </c>
      <c r="CD30" s="471" t="n"/>
      <c r="CE30" s="471" t="n"/>
      <c r="CF30" s="471" t="n"/>
      <c r="CG30" s="562">
        <f>IF(AND(CB30:CF30),1,0)</f>
        <v/>
      </c>
      <c r="CI30" s="561" t="n">
        <v>27</v>
      </c>
      <c r="CJ30" s="471" t="n"/>
      <c r="CK30" s="471" t="n"/>
      <c r="CL30" s="471" t="n"/>
      <c r="CM30" s="471" t="n"/>
      <c r="CN30" s="471">
        <f>CR29</f>
        <v/>
      </c>
      <c r="CO30" s="471" t="n"/>
      <c r="CP30" s="471" t="n"/>
      <c r="CQ30" s="471" t="n"/>
      <c r="CR30" s="562">
        <f>IF(AND(CM30:CQ30),1,0)</f>
        <v/>
      </c>
      <c r="DK30" s="561" t="n">
        <v>27</v>
      </c>
      <c r="DL30" s="566" t="n"/>
      <c r="DM30" s="561" t="inlineStr">
        <is>
          <t>FAN1 P-60W</t>
        </is>
      </c>
      <c r="DN30" s="471" t="n"/>
      <c r="DO30" s="471" t="n"/>
      <c r="DP30" s="569">
        <f>DW11</f>
        <v/>
      </c>
      <c r="DQ30" s="471">
        <f>DT29</f>
        <v/>
      </c>
      <c r="DR30" s="471" t="n"/>
      <c r="DS30" s="471" t="n"/>
      <c r="DT30" s="562">
        <f>IF(AND(DO30:DS30),1,0)</f>
        <v/>
      </c>
      <c r="DZ30" s="561" t="n">
        <v>27</v>
      </c>
      <c r="EA30" s="566" t="n"/>
      <c r="EB30" s="561" t="inlineStr">
        <is>
          <t>FADR</t>
        </is>
      </c>
      <c r="EC30" s="471" t="n"/>
      <c r="ED30" s="471" t="n"/>
      <c r="EE30" s="570">
        <f>EL12</f>
        <v/>
      </c>
      <c r="EF30" s="471" t="n"/>
      <c r="EG30" s="471" t="n"/>
      <c r="EH30" s="471" t="n"/>
      <c r="EI30" s="571">
        <f>IF(AND(ED30:EH30),1,0)</f>
        <v/>
      </c>
      <c r="EO30" s="561" t="n">
        <v>27</v>
      </c>
      <c r="EP30" s="566" t="n"/>
      <c r="EQ30" s="561" t="n"/>
      <c r="ER30" s="471" t="n"/>
      <c r="ES30" s="471" t="n"/>
      <c r="ET30" s="471">
        <f>EX29</f>
        <v/>
      </c>
      <c r="EU30" s="471" t="n"/>
      <c r="EV30" s="471" t="n"/>
      <c r="EW30" s="471" t="n"/>
      <c r="EX30" s="562">
        <f>IF(AND(ES30:EW30),1,0)</f>
        <v/>
      </c>
      <c r="FE30" s="561" t="n">
        <v>27</v>
      </c>
      <c r="FF30" s="566" t="n"/>
      <c r="FG30" s="561" t="n"/>
      <c r="FH30" s="471" t="n"/>
      <c r="FI30" s="471" t="n"/>
      <c r="FJ30" s="471">
        <f>FN29</f>
        <v/>
      </c>
      <c r="FK30" s="471" t="n"/>
      <c r="FL30" s="471" t="n"/>
      <c r="FM30" s="471" t="n"/>
      <c r="FN30" s="562">
        <f>IF(AND(FI30:FM30),1,0)</f>
        <v/>
      </c>
      <c r="FT30" s="561" t="n">
        <v>27</v>
      </c>
      <c r="FU30" s="566" t="n"/>
      <c r="FV30" s="822" t="n"/>
      <c r="FW30" s="471" t="n"/>
      <c r="FX30" s="471" t="n"/>
      <c r="FY30" s="567" t="n">
        <v>1</v>
      </c>
      <c r="FZ30" s="471" t="n"/>
      <c r="GA30" s="471" t="n"/>
      <c r="GB30" s="471" t="n"/>
      <c r="GC30" s="562">
        <f>IF(AND(FX30:GB30),1,0)</f>
        <v/>
      </c>
      <c r="GF30" s="561" t="n">
        <v>27</v>
      </c>
      <c r="GG30" s="566" t="n"/>
      <c r="GK30" s="265">
        <f>GO29</f>
        <v/>
      </c>
      <c r="GL30" s="471" t="n"/>
      <c r="GM30" s="471" t="n"/>
      <c r="GN30" s="471" t="n"/>
      <c r="GO30" s="562">
        <f>IF(AND(GJ30:GN30),1,0)</f>
        <v/>
      </c>
      <c r="GU30" s="561" t="n">
        <v>27</v>
      </c>
      <c r="GV30" s="566" t="n"/>
      <c r="GW30" s="822" t="n"/>
      <c r="GX30" s="471" t="n"/>
      <c r="GY30" s="471" t="n"/>
      <c r="GZ30" s="801">
        <f>IF(OR(HD29,HD48),1,0)</f>
        <v/>
      </c>
      <c r="HA30" s="471" t="n"/>
      <c r="HB30" s="471" t="n"/>
      <c r="HC30" s="471" t="n"/>
      <c r="HD30" s="571">
        <f>IF(AND(GY30:HC30),1,0)</f>
        <v/>
      </c>
      <c r="HK30" s="561" t="n">
        <v>27</v>
      </c>
      <c r="HL30" s="471" t="n"/>
      <c r="HM30" s="471" t="n"/>
      <c r="HN30" s="471" t="n"/>
      <c r="HO30" s="471" t="n"/>
      <c r="HP30" s="801">
        <f>HT29</f>
        <v/>
      </c>
      <c r="HQ30" s="471" t="n"/>
      <c r="HR30" s="471" t="n"/>
      <c r="HS30" s="471" t="n"/>
      <c r="HT30" s="562">
        <f>IF(AND(HO30:HS30),1,0)</f>
        <v/>
      </c>
      <c r="HZ30" s="561" t="n">
        <v>27</v>
      </c>
      <c r="IA30" s="471" t="n"/>
      <c r="IB30" s="471" t="n"/>
      <c r="IC30" s="471" t="n"/>
      <c r="ID30" s="471" t="n"/>
      <c r="IE30" s="801">
        <f>II29</f>
        <v/>
      </c>
      <c r="IF30" s="471" t="n"/>
      <c r="IG30" s="471" t="n"/>
      <c r="IH30" s="471" t="n"/>
      <c r="II30" s="562">
        <f>IF(AND(ID30:IH30),1,0)</f>
        <v/>
      </c>
      <c r="IL30" s="561" t="n">
        <v>27</v>
      </c>
      <c r="IM30" s="471" t="n"/>
      <c r="IN30" s="471" t="n"/>
      <c r="IO30" s="471" t="n"/>
      <c r="IP30" s="566" t="n"/>
      <c r="IQ30" s="566">
        <f>IF(AND(IU29,IU23),1,0)</f>
        <v/>
      </c>
      <c r="IR30" s="471" t="n"/>
      <c r="IS30" s="471" t="n"/>
      <c r="IT30" s="471" t="n"/>
      <c r="IU30" s="562">
        <f>IF(AND(IP30:IT30),1,0)</f>
        <v/>
      </c>
      <c r="IX30" s="561" t="n">
        <v>27</v>
      </c>
      <c r="IY30" s="471" t="n"/>
      <c r="IZ30" s="822" t="inlineStr">
        <is>
          <t xml:space="preserve">EMR </t>
        </is>
      </c>
      <c r="JA30" s="471" t="n"/>
      <c r="JB30" s="566" t="n"/>
      <c r="JC30" s="575">
        <f>JJ13</f>
        <v/>
      </c>
      <c r="JD30" s="471" t="n"/>
      <c r="JE30" s="471" t="n"/>
      <c r="JF30" s="471" t="n"/>
      <c r="JG30" s="571">
        <f>IF(OR(JB30:JF30),1,0)</f>
        <v/>
      </c>
      <c r="JN30" s="561" t="n">
        <v>27</v>
      </c>
      <c r="JO30" s="471" t="n"/>
      <c r="JP30" s="822" t="inlineStr">
        <is>
          <t xml:space="preserve">FADR2 </t>
        </is>
      </c>
      <c r="JQ30" s="471" t="n"/>
      <c r="JR30" s="566" t="n"/>
      <c r="JS30" s="575">
        <f>JJ22</f>
        <v/>
      </c>
      <c r="JT30" s="566">
        <f>JW29</f>
        <v/>
      </c>
      <c r="JU30" s="471" t="n"/>
      <c r="JV30" s="471" t="n"/>
      <c r="JW30" s="562">
        <f>IF(AND(JR30:JV30),1,0)</f>
        <v/>
      </c>
      <c r="KP30" s="561" t="n">
        <v>27</v>
      </c>
      <c r="KQ30" s="471" t="inlineStr">
        <is>
          <t>X4</t>
        </is>
      </c>
      <c r="KR30" s="822" t="n"/>
      <c r="KS30" s="471" t="n"/>
      <c r="KT30" s="822" t="n"/>
      <c r="KU30" s="822">
        <f>IF(AND(KY31,KY33,KY35,KY37),1,0)</f>
        <v/>
      </c>
      <c r="KV30" s="566" t="n"/>
      <c r="KW30" s="471" t="n"/>
      <c r="KX30" s="471" t="n"/>
      <c r="KY30" s="562">
        <f>IF(AND(KT30:KX30),1,0)</f>
        <v/>
      </c>
      <c r="LB30" s="561" t="n">
        <v>27</v>
      </c>
      <c r="LC30" s="471" t="n"/>
      <c r="LD30" s="822" t="n"/>
      <c r="LE30" s="471" t="n"/>
      <c r="LF30" s="822" t="n"/>
      <c r="LG30" s="822">
        <f>LK29</f>
        <v/>
      </c>
      <c r="LH30" s="822" t="n"/>
      <c r="LI30" s="471" t="n"/>
      <c r="LJ30" s="471" t="n"/>
      <c r="LK30" s="562">
        <f>IF(AND(LF30:LJ30),1,0)</f>
        <v/>
      </c>
      <c r="LM30" s="471" t="inlineStr">
        <is>
          <t>HTRC1 9A</t>
        </is>
      </c>
      <c r="LN30" s="801">
        <f>'DATA TRANSFER'!DP160</f>
        <v/>
      </c>
      <c r="LO30" s="471" t="n"/>
      <c r="LQ30" s="840">
        <f>LQ29+1</f>
        <v/>
      </c>
      <c r="LW30" s="822">
        <f>MA29</f>
        <v/>
      </c>
      <c r="MA30" s="562">
        <f>IF(AND(LV30:LZ30),1,0)</f>
        <v/>
      </c>
      <c r="MH30" s="561" t="n">
        <v>27</v>
      </c>
      <c r="MI30" s="471" t="n"/>
      <c r="MJ30" s="822" t="n"/>
      <c r="MK30" s="471" t="n"/>
      <c r="ML30" s="822" t="n"/>
      <c r="MM30" s="581" t="n">
        <v>1</v>
      </c>
      <c r="MN30" s="822" t="n"/>
      <c r="MO30" s="471" t="n"/>
      <c r="MP30" s="471" t="n"/>
      <c r="MQ30" s="562">
        <f>IF(AND(ML30:MP30),1,0)</f>
        <v/>
      </c>
    </row>
    <row r="31" ht="21" customHeight="1">
      <c r="A31" s="559" t="n">
        <v>28</v>
      </c>
      <c r="B31" s="471" t="n"/>
      <c r="C31" s="471" t="n"/>
      <c r="D31" s="471" t="n"/>
      <c r="E31" s="471" t="n"/>
      <c r="F31" s="801">
        <f>J30</f>
        <v/>
      </c>
      <c r="G31" s="561" t="n"/>
      <c r="H31" s="471" t="n"/>
      <c r="I31" s="471" t="n"/>
      <c r="J31" s="562">
        <f>IF(AND(E31:I31),1,0)</f>
        <v/>
      </c>
      <c r="P31" s="561" t="n">
        <v>28</v>
      </c>
      <c r="Q31" s="471" t="n"/>
      <c r="R31" s="561" t="inlineStr">
        <is>
          <t>GROUND</t>
        </is>
      </c>
      <c r="S31" s="471" t="n"/>
      <c r="T31" s="471" t="n"/>
      <c r="U31" s="569" t="n">
        <v>1</v>
      </c>
      <c r="V31" s="471" t="n"/>
      <c r="W31" s="471" t="n"/>
      <c r="X31" s="471" t="n"/>
      <c r="Y31" s="562">
        <f>IF(AND(T31:X31),1,0)</f>
        <v/>
      </c>
      <c r="AA31" s="471" t="inlineStr">
        <is>
          <t>HTRC2 9A</t>
        </is>
      </c>
      <c r="AB31" s="801">
        <f>'DATA TRANSFER'!DP161</f>
        <v/>
      </c>
      <c r="AC31" s="471" t="n"/>
      <c r="AF31" s="561" t="n">
        <v>28</v>
      </c>
      <c r="AG31" s="568" t="n"/>
      <c r="AH31" s="566" t="n"/>
      <c r="AI31" s="471" t="n"/>
      <c r="AJ31" s="471" t="n"/>
      <c r="AK31" s="578">
        <f>AO28</f>
        <v/>
      </c>
      <c r="AL31" s="561" t="n"/>
      <c r="AM31" s="561" t="n"/>
      <c r="AN31" s="561" t="n"/>
      <c r="AO31" s="562">
        <f>IF(AND(AJ31:AN31),1,0)</f>
        <v/>
      </c>
      <c r="AS31" s="561" t="n">
        <v>28</v>
      </c>
      <c r="AT31" s="471" t="n"/>
      <c r="AU31" s="822" t="inlineStr">
        <is>
          <t>SMDRB</t>
        </is>
      </c>
      <c r="AV31" s="471" t="n"/>
      <c r="AW31" s="570">
        <f>BE8</f>
        <v/>
      </c>
      <c r="AX31" s="471">
        <f>BB30</f>
        <v/>
      </c>
      <c r="AY31" s="471" t="n"/>
      <c r="AZ31" s="471" t="n"/>
      <c r="BA31" s="471" t="n"/>
      <c r="BB31" s="562">
        <f>IF(AND(AW31:BA31),1,0)</f>
        <v/>
      </c>
      <c r="BI31" s="561" t="n">
        <v>28</v>
      </c>
      <c r="BJ31" s="566" t="n"/>
      <c r="BK31" s="561" t="n"/>
      <c r="BL31" s="471" t="n"/>
      <c r="BM31" s="471" t="n"/>
      <c r="BN31" s="561">
        <f>BR30</f>
        <v/>
      </c>
      <c r="BO31" s="471" t="n"/>
      <c r="BP31" s="471" t="n"/>
      <c r="BQ31" s="471" t="n"/>
      <c r="BR31" s="562">
        <f>IF(AND(BM31:BQ31),1,0)</f>
        <v/>
      </c>
      <c r="BX31" s="561" t="n">
        <v>28</v>
      </c>
      <c r="BY31" s="566" t="n"/>
      <c r="BZ31" s="561" t="n"/>
      <c r="CA31" s="471" t="n"/>
      <c r="CB31" s="471" t="n"/>
      <c r="CC31" s="561">
        <f>CG30</f>
        <v/>
      </c>
      <c r="CD31" s="471" t="n"/>
      <c r="CE31" s="471" t="n"/>
      <c r="CF31" s="471" t="n"/>
      <c r="CG31" s="562">
        <f>IF(AND(CB31:CF31),1,0)</f>
        <v/>
      </c>
      <c r="CI31" s="561" t="n">
        <v>28</v>
      </c>
      <c r="CJ31" s="566" t="n"/>
      <c r="CK31" s="561" t="n"/>
      <c r="CL31" s="471" t="n"/>
      <c r="CM31" s="471" t="n"/>
      <c r="CN31" s="471">
        <f>CR30</f>
        <v/>
      </c>
      <c r="CO31" s="471" t="n"/>
      <c r="CP31" s="471" t="n"/>
      <c r="CQ31" s="471" t="n"/>
      <c r="CR31" s="562">
        <f>IF(AND(CM31:CQ31),1,0)</f>
        <v/>
      </c>
      <c r="DK31" s="561" t="n">
        <v>28</v>
      </c>
      <c r="DL31" s="566">
        <f>'DATA TRANSFER'!DP172</f>
        <v/>
      </c>
      <c r="DM31" s="561" t="n"/>
      <c r="DN31" s="471" t="n"/>
      <c r="DO31" s="471" t="n"/>
      <c r="DP31" s="801">
        <f>DT30</f>
        <v/>
      </c>
      <c r="DQ31" s="471" t="n"/>
      <c r="DR31" s="471" t="n"/>
      <c r="DS31" s="471" t="n"/>
      <c r="DT31" s="562">
        <f>IF(AND(DO31:DS31),1,0)</f>
        <v/>
      </c>
      <c r="DZ31" s="561" t="n">
        <v>28</v>
      </c>
      <c r="EA31" s="566" t="n"/>
      <c r="EB31" s="561" t="n"/>
      <c r="EC31" s="471" t="n"/>
      <c r="ED31" s="471" t="n"/>
      <c r="EE31" s="471">
        <f>EI30</f>
        <v/>
      </c>
      <c r="EF31" s="471" t="n"/>
      <c r="EG31" s="471" t="n"/>
      <c r="EH31" s="471" t="n"/>
      <c r="EI31" s="571">
        <f>IF(AND(ED31:EH31),1,0)</f>
        <v/>
      </c>
      <c r="EO31" s="561" t="n">
        <v>28</v>
      </c>
      <c r="EP31" s="566" t="n"/>
      <c r="EQ31" s="561" t="n"/>
      <c r="ER31" s="471" t="n"/>
      <c r="ES31" s="471" t="n"/>
      <c r="ET31" s="471">
        <f>EX30</f>
        <v/>
      </c>
      <c r="EU31" s="471" t="n"/>
      <c r="EV31" s="471" t="n"/>
      <c r="EW31" s="471" t="n"/>
      <c r="EX31" s="562">
        <f>IF(AND(ES31:EW31),1,0)</f>
        <v/>
      </c>
      <c r="FE31" s="561" t="n">
        <v>28</v>
      </c>
      <c r="FF31" s="566" t="n"/>
      <c r="FG31" s="561" t="n"/>
      <c r="FH31" s="471" t="n"/>
      <c r="FI31" s="471" t="n"/>
      <c r="FJ31" s="471">
        <f>FN30</f>
        <v/>
      </c>
      <c r="FK31" s="471" t="n"/>
      <c r="FL31" s="471" t="n"/>
      <c r="FM31" s="471" t="n"/>
      <c r="FN31" s="562">
        <f>IF(AND(FI31:FM31),1,0)</f>
        <v/>
      </c>
      <c r="FT31" s="561" t="n">
        <v>28</v>
      </c>
      <c r="FU31" s="566" t="n"/>
      <c r="FV31" s="822" t="n"/>
      <c r="FW31" s="471" t="n"/>
      <c r="FX31" s="471" t="n"/>
      <c r="FY31" s="561">
        <f>GC30</f>
        <v/>
      </c>
      <c r="FZ31" s="471" t="n"/>
      <c r="GA31" s="471" t="n"/>
      <c r="GB31" s="471" t="n"/>
      <c r="GC31" s="562">
        <f>IF(AND(FX31:GB31),1,0)</f>
        <v/>
      </c>
      <c r="GF31" s="561" t="n">
        <v>28</v>
      </c>
      <c r="GG31" s="566" t="n"/>
      <c r="GH31" s="822" t="inlineStr">
        <is>
          <t>SFC OFF</t>
        </is>
      </c>
      <c r="GI31" s="471" t="n"/>
      <c r="GJ31" s="471" t="n"/>
      <c r="GK31" s="573">
        <f>GR15</f>
        <v/>
      </c>
      <c r="GL31" s="471">
        <f>GO30</f>
        <v/>
      </c>
      <c r="GM31" s="471" t="n"/>
      <c r="GN31" s="471" t="n"/>
      <c r="GO31" s="562">
        <f>IF(AND(GJ31:GN31),1,0)</f>
        <v/>
      </c>
      <c r="GU31" s="561" t="n">
        <v>28</v>
      </c>
      <c r="GV31" s="566" t="n"/>
      <c r="GW31" s="822" t="n"/>
      <c r="GX31" s="471" t="n"/>
      <c r="GY31" s="471" t="n"/>
      <c r="GZ31" s="801">
        <f>HD30</f>
        <v/>
      </c>
      <c r="HA31" s="471" t="n"/>
      <c r="HB31" s="471" t="n"/>
      <c r="HC31" s="471" t="n"/>
      <c r="HD31" s="571">
        <f>IF(AND(GY31:HC31),1,0)</f>
        <v/>
      </c>
      <c r="HK31" s="561" t="n">
        <v>28</v>
      </c>
      <c r="HL31" s="471" t="n"/>
      <c r="HM31" s="471" t="n"/>
      <c r="HN31" s="471" t="n"/>
      <c r="HO31" s="471" t="n"/>
      <c r="HP31" s="801">
        <f>HT30</f>
        <v/>
      </c>
      <c r="HQ31" s="471" t="n"/>
      <c r="HR31" s="471" t="n"/>
      <c r="HS31" s="471" t="n"/>
      <c r="HT31" s="562">
        <f>IF(AND(HO31:HS31),1,0)</f>
        <v/>
      </c>
      <c r="HZ31" s="561" t="n">
        <v>28</v>
      </c>
      <c r="IA31" s="471" t="n"/>
      <c r="IB31" s="471" t="inlineStr">
        <is>
          <t>TMR1</t>
        </is>
      </c>
      <c r="IC31" s="471" t="n"/>
      <c r="ID31" s="471" t="n"/>
      <c r="IE31" s="569">
        <f>HW16</f>
        <v/>
      </c>
      <c r="IF31" s="471">
        <f>II30</f>
        <v/>
      </c>
      <c r="IG31" s="471" t="n"/>
      <c r="IH31" s="471" t="n"/>
      <c r="II31" s="562">
        <f>IF(AND(ID31:IH31),1,0)</f>
        <v/>
      </c>
      <c r="IL31" s="561" t="n">
        <v>28</v>
      </c>
      <c r="IM31" s="471" t="n"/>
      <c r="IN31" s="561" t="inlineStr">
        <is>
          <t>RAD/S3</t>
        </is>
      </c>
      <c r="IO31" s="471" t="n"/>
      <c r="IP31" s="566" t="n"/>
      <c r="IQ31" s="575">
        <f>'Mode Logic'!Q18</f>
        <v/>
      </c>
      <c r="IR31" s="471" t="n"/>
      <c r="IS31" s="471" t="n"/>
      <c r="IT31" s="471" t="n"/>
      <c r="IU31" s="562">
        <f>IF(AND(IP31:IT31),1,0)</f>
        <v/>
      </c>
      <c r="IX31" s="561" t="n">
        <v>28</v>
      </c>
      <c r="IY31" s="471" t="n"/>
      <c r="IZ31" s="822" t="n"/>
      <c r="JA31" s="471" t="n"/>
      <c r="JB31" s="566" t="n"/>
      <c r="JC31" s="566">
        <f>JG30</f>
        <v/>
      </c>
      <c r="JD31" s="471" t="n"/>
      <c r="JE31" s="471" t="n"/>
      <c r="JF31" s="471" t="n"/>
      <c r="JG31" s="571">
        <f>IF(AND(JB31:JF31),1,0)</f>
        <v/>
      </c>
      <c r="JN31" s="561" t="n">
        <v>28</v>
      </c>
      <c r="JO31" s="471" t="n"/>
      <c r="JP31" s="822" t="n"/>
      <c r="JQ31" s="471" t="n"/>
      <c r="JR31" s="566" t="n"/>
      <c r="JS31" s="566">
        <f>JW30</f>
        <v/>
      </c>
      <c r="JT31" s="566" t="n"/>
      <c r="JU31" s="471" t="n"/>
      <c r="JV31" s="471" t="n"/>
      <c r="JW31" s="562">
        <f>IF(AND(JR31:JV31),1,0)</f>
        <v/>
      </c>
      <c r="KP31" s="561" t="n">
        <v>28</v>
      </c>
      <c r="KQ31" s="471" t="n"/>
      <c r="KR31" s="822" t="n"/>
      <c r="KS31" s="471" t="n"/>
      <c r="KT31" s="822" t="n"/>
      <c r="KU31" s="822">
        <f>KY32</f>
        <v/>
      </c>
      <c r="KV31" s="566" t="n"/>
      <c r="KW31" s="471" t="n"/>
      <c r="KX31" s="471" t="n"/>
      <c r="KY31" s="562">
        <f>IF(AND(KT31:KX31),1,0)</f>
        <v/>
      </c>
      <c r="LB31" s="561" t="n">
        <v>28</v>
      </c>
      <c r="LC31" s="471" t="n"/>
      <c r="LD31" s="822" t="n"/>
      <c r="LE31" s="471" t="n"/>
      <c r="LF31" s="822" t="n"/>
      <c r="LG31" s="822">
        <f>LK30</f>
        <v/>
      </c>
      <c r="LH31" s="822" t="n"/>
      <c r="LI31" s="471" t="n"/>
      <c r="LJ31" s="471" t="n"/>
      <c r="LK31" s="562">
        <f>IF(AND(LF31:LJ31),1,0)</f>
        <v/>
      </c>
      <c r="LM31" s="471" t="inlineStr">
        <is>
          <t>HTRC2 9A</t>
        </is>
      </c>
      <c r="LN31" s="801">
        <f>'DATA TRANSFER'!DP161</f>
        <v/>
      </c>
      <c r="LO31" s="471" t="n"/>
      <c r="LQ31" s="840">
        <f>LQ30+1</f>
        <v/>
      </c>
      <c r="LR31" s="534" t="n">
        <v>26</v>
      </c>
      <c r="LS31" s="471" t="n"/>
      <c r="LT31" s="822" t="n"/>
      <c r="LU31" s="471" t="n"/>
      <c r="LV31" s="822" t="n"/>
      <c r="LW31" s="822">
        <f>MA30</f>
        <v/>
      </c>
      <c r="LX31" s="822" t="n"/>
      <c r="LY31" s="471" t="n"/>
      <c r="LZ31" s="471" t="n"/>
      <c r="MA31" s="562">
        <f>IF(AND(LV31:LZ31),1,0)</f>
        <v/>
      </c>
      <c r="MH31" s="561" t="n">
        <v>28</v>
      </c>
      <c r="MI31" s="471" t="n"/>
      <c r="MJ31" s="822" t="inlineStr">
        <is>
          <t>FADR</t>
        </is>
      </c>
      <c r="MK31" s="471" t="n"/>
      <c r="ML31" s="822" t="n"/>
      <c r="MM31" s="574">
        <f>MT13</f>
        <v/>
      </c>
      <c r="MN31" s="822" t="n"/>
      <c r="MO31" s="471" t="n"/>
      <c r="MP31" s="471" t="n"/>
      <c r="MQ31" s="562">
        <f>IF(AND(ML31:MP31),1,0)</f>
        <v/>
      </c>
    </row>
    <row r="32" ht="21" customHeight="1">
      <c r="A32" s="559" t="n">
        <v>29</v>
      </c>
      <c r="B32" s="471" t="n"/>
      <c r="C32" s="471" t="n"/>
      <c r="D32" s="471" t="n"/>
      <c r="E32" s="471" t="n"/>
      <c r="F32" s="801">
        <f>J6</f>
        <v/>
      </c>
      <c r="G32" s="561" t="n"/>
      <c r="H32" s="471" t="n"/>
      <c r="I32" s="471" t="n"/>
      <c r="J32" s="562">
        <f>IF(AND(E32:I32),1,0)</f>
        <v/>
      </c>
      <c r="P32" s="561" t="n">
        <v>29</v>
      </c>
      <c r="Q32" s="263" t="inlineStr">
        <is>
          <t>HA/24.E4</t>
        </is>
      </c>
      <c r="R32" s="561" t="n"/>
      <c r="S32" s="471" t="n"/>
      <c r="T32" s="471" t="n"/>
      <c r="U32" s="560">
        <f>IF(NOT('DATA TRANSFER'!F30),1,0)</f>
        <v/>
      </c>
      <c r="V32" s="471" t="n"/>
      <c r="W32" s="471" t="n"/>
      <c r="X32" s="471" t="n"/>
      <c r="Y32" s="562">
        <f>IF(AND(T32:X32),1,0)</f>
        <v/>
      </c>
      <c r="AA32" s="587" t="inlineStr">
        <is>
          <t>HEATER 1 4.5kW</t>
        </is>
      </c>
      <c r="AB32" s="801">
        <f>'DATA TRANSFER'!AT18</f>
        <v/>
      </c>
      <c r="AC32" s="471" t="n"/>
      <c r="AF32" s="561" t="n">
        <v>29</v>
      </c>
      <c r="AG32" s="568" t="n"/>
      <c r="AH32" s="566" t="inlineStr">
        <is>
          <t>GROUND</t>
        </is>
      </c>
      <c r="AI32" s="471" t="n"/>
      <c r="AJ32" s="471" t="n"/>
      <c r="AK32" s="578" t="n">
        <v>1</v>
      </c>
      <c r="AL32" s="561" t="n"/>
      <c r="AM32" s="561" t="n"/>
      <c r="AN32" s="561" t="n"/>
      <c r="AO32" s="562">
        <f>IF(AND(AJ32:AN32),1,0)</f>
        <v/>
      </c>
      <c r="AS32" s="561" t="n">
        <v>29</v>
      </c>
      <c r="AT32" s="561" t="n"/>
      <c r="AU32" s="471" t="n"/>
      <c r="AV32" s="471" t="n"/>
      <c r="AW32" s="471">
        <f>BB31</f>
        <v/>
      </c>
      <c r="AX32" s="471" t="n"/>
      <c r="AY32" s="471" t="n"/>
      <c r="AZ32" s="471" t="n"/>
      <c r="BA32" s="471" t="n"/>
      <c r="BB32" s="562">
        <f>IF(AND(AW32:BA32),1,0)</f>
        <v/>
      </c>
      <c r="BI32" s="561" t="n">
        <v>29</v>
      </c>
      <c r="BJ32" s="561" t="n"/>
      <c r="BK32" s="471" t="n"/>
      <c r="BL32" s="471" t="n"/>
      <c r="BM32" s="471" t="n"/>
      <c r="BN32" s="578">
        <f>BR31</f>
        <v/>
      </c>
      <c r="BO32" s="471" t="n"/>
      <c r="BP32" s="471" t="n"/>
      <c r="BQ32" s="471" t="n"/>
      <c r="BR32" s="562">
        <f>IF(AND(BM32:BQ32),1,0)</f>
        <v/>
      </c>
      <c r="BX32" s="561" t="n">
        <v>29</v>
      </c>
      <c r="BY32" s="561" t="n"/>
      <c r="BZ32" s="471" t="n"/>
      <c r="CA32" s="471" t="n"/>
      <c r="CB32" s="471" t="n"/>
      <c r="CC32" s="578">
        <f>CG31</f>
        <v/>
      </c>
      <c r="CD32" s="471" t="n"/>
      <c r="CE32" s="471" t="n"/>
      <c r="CF32" s="471" t="n"/>
      <c r="CG32" s="562">
        <f>IF(AND(CB32:CF32),1,0)</f>
        <v/>
      </c>
      <c r="CI32" s="561" t="n">
        <v>29</v>
      </c>
      <c r="CJ32" s="822" t="inlineStr">
        <is>
          <t>UD .X63.22-F 1 +63.20</t>
        </is>
      </c>
      <c r="CK32" s="471" t="n"/>
      <c r="CL32" s="471" t="n"/>
      <c r="CM32" s="471" t="n"/>
      <c r="CN32" s="471">
        <f>CR31</f>
        <v/>
      </c>
      <c r="CO32" s="471" t="n"/>
      <c r="CP32" s="471" t="n"/>
      <c r="CQ32" s="471" t="n"/>
      <c r="CR32" s="562">
        <f>IF(AND(CM32:CQ32),1,0)</f>
        <v/>
      </c>
      <c r="DK32" s="561" t="n">
        <v>29</v>
      </c>
      <c r="DL32" s="566" t="n"/>
      <c r="DM32" s="561" t="n"/>
      <c r="DN32" s="471" t="n"/>
      <c r="DO32" s="471" t="n"/>
      <c r="DP32" s="801">
        <f>DT24</f>
        <v/>
      </c>
      <c r="DQ32" s="471" t="n"/>
      <c r="DR32" s="471" t="n"/>
      <c r="DS32" s="471" t="n"/>
      <c r="DT32" s="562">
        <f>IF(AND(DO32:DS32),1,0)</f>
        <v/>
      </c>
      <c r="DZ32" s="561" t="n">
        <v>29</v>
      </c>
      <c r="EA32" s="566" t="n"/>
      <c r="EB32" s="801" t="inlineStr">
        <is>
          <t>SFC OFF</t>
        </is>
      </c>
      <c r="EC32" s="471" t="n"/>
      <c r="ED32" s="471" t="n"/>
      <c r="EE32" s="570">
        <f>EL13</f>
        <v/>
      </c>
      <c r="EF32" s="471" t="n"/>
      <c r="EG32" s="471" t="n"/>
      <c r="EH32" s="471" t="n"/>
      <c r="EI32" s="571">
        <f>IF(AND(ED32:EH32),1,0)</f>
        <v/>
      </c>
      <c r="EO32" s="561" t="n">
        <v>29</v>
      </c>
      <c r="EP32" s="566" t="n"/>
      <c r="EQ32" s="561" t="n"/>
      <c r="ER32" s="471" t="n"/>
      <c r="ES32" s="471" t="n"/>
      <c r="ET32" s="471">
        <f>EX29</f>
        <v/>
      </c>
      <c r="EU32" s="471" t="n"/>
      <c r="EV32" s="471" t="n"/>
      <c r="EW32" s="471" t="n"/>
      <c r="EX32" s="562">
        <f>IF(AND(ES32:EW32),1,0)</f>
        <v/>
      </c>
      <c r="FE32" s="561" t="n">
        <v>29</v>
      </c>
      <c r="FF32" s="566" t="n"/>
      <c r="FG32" s="561" t="inlineStr">
        <is>
          <t>24V HEC</t>
        </is>
      </c>
      <c r="FH32" s="471" t="n"/>
      <c r="FI32" s="471" t="n"/>
      <c r="FJ32" s="570">
        <f>FN29</f>
        <v/>
      </c>
      <c r="FK32" s="471" t="n"/>
      <c r="FL32" s="471" t="n"/>
      <c r="FM32" s="471" t="n"/>
      <c r="FN32" s="562">
        <f>IF(AND(FI32:FM32),1,0)</f>
        <v/>
      </c>
      <c r="FT32" s="561" t="n">
        <v>29</v>
      </c>
      <c r="FU32" s="566" t="n"/>
      <c r="FV32" s="822" t="n"/>
      <c r="FW32" s="471" t="n"/>
      <c r="FX32" s="471" t="n"/>
      <c r="FY32" s="801">
        <f>GC31</f>
        <v/>
      </c>
      <c r="FZ32" s="471" t="n"/>
      <c r="GA32" s="471" t="n"/>
      <c r="GB32" s="471" t="n"/>
      <c r="GC32" s="562">
        <f>IF(AND(FX32:GB32),1,0)</f>
        <v/>
      </c>
      <c r="GF32" s="561" t="n">
        <v>29</v>
      </c>
      <c r="GG32" s="566" t="n"/>
      <c r="GH32" s="822" t="n"/>
      <c r="GI32" s="471" t="n"/>
      <c r="GJ32" s="471" t="n"/>
      <c r="GK32" s="561">
        <f>GO31</f>
        <v/>
      </c>
      <c r="GL32" s="471" t="n"/>
      <c r="GM32" s="471" t="n"/>
      <c r="GN32" s="471" t="n"/>
      <c r="GO32" s="562">
        <f>IF(AND(GJ32:GN32),1,0)</f>
        <v/>
      </c>
      <c r="GU32" s="561" t="n">
        <v>29</v>
      </c>
      <c r="GV32" s="566" t="n"/>
      <c r="GW32" s="822" t="inlineStr">
        <is>
          <t xml:space="preserve">0/24 v dc </t>
        </is>
      </c>
      <c r="GX32" s="471" t="n"/>
      <c r="GY32" s="471" t="n"/>
      <c r="GZ32" s="569">
        <f>HG8</f>
        <v/>
      </c>
      <c r="HA32" s="471" t="n"/>
      <c r="HB32" s="471" t="n"/>
      <c r="HC32" s="471" t="n"/>
      <c r="HD32" s="571">
        <f>IF(AND(GY32:HC32),1,0)</f>
        <v/>
      </c>
      <c r="HK32" s="561" t="n">
        <v>29</v>
      </c>
      <c r="HL32" s="471" t="n"/>
      <c r="HM32" s="561" t="inlineStr">
        <is>
          <t>SAFC1</t>
        </is>
      </c>
      <c r="HN32" s="471" t="n"/>
      <c r="HO32" s="471" t="n"/>
      <c r="HP32" s="569">
        <f>HW11</f>
        <v/>
      </c>
      <c r="HQ32" s="471">
        <f>HT31</f>
        <v/>
      </c>
      <c r="HR32" s="471">
        <f>HT42</f>
        <v/>
      </c>
      <c r="HS32" s="471" t="n"/>
      <c r="HT32" s="562">
        <f>IF(AND(HO32:HS32),1,0)</f>
        <v/>
      </c>
      <c r="HZ32" s="561" t="n">
        <v>29</v>
      </c>
      <c r="IA32" s="471" t="n"/>
      <c r="IB32" s="471" t="n"/>
      <c r="IC32" s="471" t="n"/>
      <c r="ID32" s="471" t="n"/>
      <c r="IE32" s="801">
        <f>II31</f>
        <v/>
      </c>
      <c r="IF32" s="471" t="n"/>
      <c r="IG32" s="471" t="n"/>
      <c r="IH32" s="471" t="n"/>
      <c r="II32" s="562">
        <f>IF(AND(ID32:IH32),1,0)</f>
        <v/>
      </c>
      <c r="IL32" s="561" t="n">
        <v>29</v>
      </c>
      <c r="IM32" s="471" t="n"/>
      <c r="IN32" s="471" t="n"/>
      <c r="IO32" s="471" t="n"/>
      <c r="IP32" s="566" t="n"/>
      <c r="IQ32" s="566">
        <f>IU31</f>
        <v/>
      </c>
      <c r="IR32" s="471" t="n"/>
      <c r="IS32" s="471" t="n"/>
      <c r="IT32" s="471" t="n"/>
      <c r="IU32" s="562">
        <f>IF(AND(IP32:IT32),1,0)</f>
        <v/>
      </c>
      <c r="IX32" s="561" t="n">
        <v>29</v>
      </c>
      <c r="IY32" s="471" t="n"/>
      <c r="IZ32" s="822" t="n"/>
      <c r="JA32" s="471" t="n"/>
      <c r="JB32" s="566" t="n"/>
      <c r="JC32" s="566">
        <f>JG31</f>
        <v/>
      </c>
      <c r="JD32" s="471" t="n"/>
      <c r="JE32" s="471" t="n"/>
      <c r="JF32" s="471" t="n"/>
      <c r="JG32" s="571">
        <f>IF(AND(JB32:JF32),1,0)</f>
        <v/>
      </c>
      <c r="JN32" s="561" t="n">
        <v>29</v>
      </c>
      <c r="JO32" s="471" t="n"/>
      <c r="JP32" s="822" t="n"/>
      <c r="JQ32" s="471" t="n"/>
      <c r="JR32" s="566" t="n"/>
      <c r="JS32" s="566">
        <f>JW30</f>
        <v/>
      </c>
      <c r="JT32" s="566" t="n"/>
      <c r="JU32" s="471" t="n"/>
      <c r="JV32" s="471" t="n"/>
      <c r="JW32" s="562">
        <f>IF(AND(JR32:JV32),1,0)</f>
        <v/>
      </c>
      <c r="KP32" s="561" t="n">
        <v>29</v>
      </c>
      <c r="KQ32" s="471" t="n"/>
      <c r="KR32" s="822" t="n"/>
      <c r="KS32" s="471" t="n"/>
      <c r="KT32" s="822" t="n"/>
      <c r="KU32" s="581" t="n">
        <v>1</v>
      </c>
      <c r="KV32" s="566" t="n"/>
      <c r="KW32" s="471" t="n"/>
      <c r="KX32" s="471" t="n"/>
      <c r="KY32" s="562">
        <f>IF(AND(KT32:KX32),1,0)</f>
        <v/>
      </c>
      <c r="LB32" s="561" t="n">
        <v>29</v>
      </c>
      <c r="LC32" s="471" t="n"/>
      <c r="LD32" s="471" t="n"/>
      <c r="LE32" s="471" t="n"/>
      <c r="LF32" s="471" t="n"/>
      <c r="LG32" s="561">
        <f>LK29</f>
        <v/>
      </c>
      <c r="LH32" s="471" t="n"/>
      <c r="LI32" s="471" t="n"/>
      <c r="LJ32" s="471" t="n"/>
      <c r="LK32" s="562">
        <f>IF(AND(LF32:LJ32),1,0)</f>
        <v/>
      </c>
      <c r="LM32" s="587" t="inlineStr">
        <is>
          <t>HEATER 1 4.5kW</t>
        </is>
      </c>
      <c r="LN32" s="801">
        <f>'DATA TRANSFER'!AT18</f>
        <v/>
      </c>
      <c r="LO32" s="471" t="n"/>
      <c r="LQ32" s="840">
        <f>LQ31+1</f>
        <v/>
      </c>
      <c r="LR32" s="534" t="n">
        <v>28</v>
      </c>
      <c r="LS32" s="471" t="n"/>
      <c r="LT32" s="822" t="n"/>
      <c r="LU32" s="471" t="n"/>
      <c r="LV32" s="822" t="n"/>
      <c r="LW32" s="822">
        <f>MA31</f>
        <v/>
      </c>
      <c r="LX32" s="822" t="n"/>
      <c r="LY32" s="471" t="n"/>
      <c r="LZ32" s="471" t="n"/>
      <c r="MA32" s="562">
        <f>IF(AND(LV32:LZ32),1,0)</f>
        <v/>
      </c>
      <c r="MH32" s="561" t="n">
        <v>29</v>
      </c>
      <c r="MI32" s="471" t="n"/>
      <c r="MJ32" s="822" t="inlineStr">
        <is>
          <t>SFC OFF</t>
        </is>
      </c>
      <c r="MK32" s="471" t="n"/>
      <c r="ML32" s="822" t="n"/>
      <c r="MM32" s="581" t="n">
        <v>1</v>
      </c>
      <c r="MN32" s="822" t="n"/>
      <c r="MO32" s="471" t="n"/>
      <c r="MP32" s="471" t="n"/>
      <c r="MQ32" s="562">
        <f>IF(AND(ML32:MP32),1,0)</f>
        <v/>
      </c>
    </row>
    <row r="33" ht="21" customHeight="1">
      <c r="A33" s="559" t="n">
        <v>30</v>
      </c>
      <c r="B33" s="471" t="n"/>
      <c r="C33" s="471">
        <f>IF(OR('DATA TRANSFER'!DP178,'Mode Logic'!P18),1,0)</f>
        <v/>
      </c>
      <c r="D33" s="471" t="n"/>
      <c r="E33" s="471" t="n"/>
      <c r="F33" s="801">
        <f>J32</f>
        <v/>
      </c>
      <c r="G33" s="561" t="n"/>
      <c r="H33" s="471" t="n"/>
      <c r="I33" s="471" t="n"/>
      <c r="J33" s="562">
        <f>IF(AND(E33:I33),1,0)</f>
        <v/>
      </c>
      <c r="P33" s="561" t="n">
        <v>30</v>
      </c>
      <c r="Q33" s="471" t="n"/>
      <c r="R33" s="561" t="n"/>
      <c r="S33" s="471" t="n"/>
      <c r="T33" s="471" t="n"/>
      <c r="U33" s="801">
        <f>Y32</f>
        <v/>
      </c>
      <c r="V33" s="471" t="n"/>
      <c r="W33" s="471" t="n"/>
      <c r="X33" s="471" t="n"/>
      <c r="Y33" s="562">
        <f>IF(AND(T33:X33),1,0)</f>
        <v/>
      </c>
      <c r="AA33" s="471" t="inlineStr">
        <is>
          <t>PPR1</t>
        </is>
      </c>
      <c r="AB33" s="801" t="n">
        <v>1</v>
      </c>
      <c r="AC33" s="471" t="n"/>
      <c r="AF33" s="561" t="n">
        <v>30</v>
      </c>
      <c r="AG33" s="564" t="inlineStr">
        <is>
          <t>HA/24.E5</t>
        </is>
      </c>
      <c r="AH33" s="566" t="n"/>
      <c r="AI33" s="471" t="n"/>
      <c r="AJ33" s="471" t="n"/>
      <c r="AK33" s="567" t="n">
        <v>1</v>
      </c>
      <c r="AL33" s="561" t="n"/>
      <c r="AM33" s="561" t="n"/>
      <c r="AN33" s="561" t="n"/>
      <c r="AO33" s="562">
        <f>IF(AND(AJ33:AN33),1,0)</f>
        <v/>
      </c>
      <c r="AS33" s="561" t="n">
        <v>30</v>
      </c>
      <c r="AT33" s="471" t="n"/>
      <c r="AU33" s="561" t="n"/>
      <c r="AV33" s="471" t="n"/>
      <c r="AW33" s="471">
        <f>BB32</f>
        <v/>
      </c>
      <c r="AX33" s="471" t="n"/>
      <c r="AY33" s="471" t="n"/>
      <c r="AZ33" s="471" t="n"/>
      <c r="BA33" s="471" t="n"/>
      <c r="BB33" s="562">
        <f>IF(AND(AW33:BA33),1,0)</f>
        <v/>
      </c>
      <c r="BI33" s="561" t="n">
        <v>30</v>
      </c>
      <c r="BJ33" s="471" t="n"/>
      <c r="BK33" s="561" t="n"/>
      <c r="BL33" s="471" t="n"/>
      <c r="BM33" s="471" t="n"/>
      <c r="BN33" s="561">
        <f>BR32</f>
        <v/>
      </c>
      <c r="BO33" s="471" t="n"/>
      <c r="BP33" s="471" t="n"/>
      <c r="BQ33" s="471" t="n"/>
      <c r="BR33" s="562">
        <f>IF(AND(BM33:BQ33),1,0)</f>
        <v/>
      </c>
      <c r="BX33" s="561" t="n">
        <v>30</v>
      </c>
      <c r="BY33" s="471" t="n"/>
      <c r="BZ33" s="561" t="n"/>
      <c r="CA33" s="471" t="n"/>
      <c r="CB33" s="471" t="n"/>
      <c r="CC33" s="561">
        <f>CG32</f>
        <v/>
      </c>
      <c r="CD33" s="471" t="n"/>
      <c r="CE33" s="471" t="n"/>
      <c r="CF33" s="471" t="n"/>
      <c r="CG33" s="562">
        <f>IF(AND(CB33:CF33),1,0)</f>
        <v/>
      </c>
      <c r="CI33" s="561" t="n">
        <v>30</v>
      </c>
      <c r="CJ33" s="471" t="n"/>
      <c r="CK33" s="561" t="n"/>
      <c r="CL33" s="471" t="n"/>
      <c r="CM33" s="471" t="n"/>
      <c r="CN33" s="471">
        <f>CR32</f>
        <v/>
      </c>
      <c r="CO33" s="471" t="n"/>
      <c r="CP33" s="471" t="n"/>
      <c r="CQ33" s="471" t="n"/>
      <c r="CR33" s="562">
        <f>IF(AND(CM33:CQ33),1,0)</f>
        <v/>
      </c>
      <c r="DK33" s="561" t="n">
        <v>30</v>
      </c>
      <c r="DL33" s="566" t="n"/>
      <c r="DM33" s="561" t="n"/>
      <c r="DN33" s="471" t="n"/>
      <c r="DO33" s="471" t="n"/>
      <c r="DP33" s="801">
        <f>DT16</f>
        <v/>
      </c>
      <c r="DQ33" s="471">
        <f>DT32</f>
        <v/>
      </c>
      <c r="DR33" s="471" t="n"/>
      <c r="DS33" s="471" t="n"/>
      <c r="DT33" s="562">
        <f>IF(AND(DO33:DS33),1,0)</f>
        <v/>
      </c>
      <c r="DZ33" s="561" t="n">
        <v>30</v>
      </c>
      <c r="EA33" s="566" t="n"/>
      <c r="EB33" s="561" t="n"/>
      <c r="EC33" s="471" t="n"/>
      <c r="ED33" s="471" t="n"/>
      <c r="EE33" s="471">
        <f>EI32</f>
        <v/>
      </c>
      <c r="EF33" s="471" t="n"/>
      <c r="EG33" s="471" t="n"/>
      <c r="EH33" s="471" t="n"/>
      <c r="EI33" s="571">
        <f>IF(AND(ED33:EH33),1,0)</f>
        <v/>
      </c>
      <c r="EO33" s="561" t="n">
        <v>30</v>
      </c>
      <c r="EP33" s="566" t="n"/>
      <c r="EQ33" s="561" t="n"/>
      <c r="ER33" s="471" t="n"/>
      <c r="ES33" s="471" t="n"/>
      <c r="ET33" s="471">
        <f>EX31</f>
        <v/>
      </c>
      <c r="EU33" s="471" t="n"/>
      <c r="EV33" s="471" t="n"/>
      <c r="EW33" s="471" t="n"/>
      <c r="EX33" s="562">
        <f>IF(AND(ES33:EW33),1,0)</f>
        <v/>
      </c>
      <c r="FE33" s="561" t="n">
        <v>30</v>
      </c>
      <c r="FF33" s="566" t="n"/>
      <c r="FG33" s="561" t="n"/>
      <c r="FH33" s="471" t="n"/>
      <c r="FI33" s="471" t="n"/>
      <c r="FJ33" s="471">
        <f>FN31</f>
        <v/>
      </c>
      <c r="FK33" s="471" t="n"/>
      <c r="FL33" s="471" t="n"/>
      <c r="FM33" s="471" t="n"/>
      <c r="FN33" s="562">
        <f>IF(AND(FI33:FM33),1,0)</f>
        <v/>
      </c>
      <c r="FT33" s="561" t="n">
        <v>30</v>
      </c>
      <c r="FU33" s="566" t="n"/>
      <c r="FV33" s="822" t="n"/>
      <c r="FW33" s="471" t="n"/>
      <c r="FX33" s="471" t="n"/>
      <c r="FY33" s="801">
        <f>GC30</f>
        <v/>
      </c>
      <c r="FZ33" s="471" t="n"/>
      <c r="GA33" s="471" t="n"/>
      <c r="GB33" s="471" t="n"/>
      <c r="GC33" s="562">
        <f>IF(AND(FX33:GB33),1,0)</f>
        <v/>
      </c>
      <c r="GF33" s="561" t="n">
        <v>30</v>
      </c>
      <c r="GG33" s="566" t="n"/>
      <c r="GH33" s="822" t="inlineStr">
        <is>
          <t>FADR2</t>
        </is>
      </c>
      <c r="GI33" s="471" t="n"/>
      <c r="GJ33" s="471" t="n"/>
      <c r="GK33" s="573">
        <f>GR10</f>
        <v/>
      </c>
      <c r="GL33" s="471">
        <f>GO32</f>
        <v/>
      </c>
      <c r="GM33" s="471" t="n"/>
      <c r="GN33" s="471" t="n"/>
      <c r="GO33" s="562">
        <f>IF(AND(GJ33:GN33),1,0)</f>
        <v/>
      </c>
      <c r="GU33" s="561" t="n">
        <v>30</v>
      </c>
      <c r="GV33" s="566" t="n"/>
      <c r="GW33" s="822" t="n"/>
      <c r="GX33" s="471" t="n"/>
      <c r="GY33" s="471" t="n"/>
      <c r="GZ33" s="801">
        <f>HD34</f>
        <v/>
      </c>
      <c r="HA33" s="471" t="n"/>
      <c r="HB33" s="471" t="n"/>
      <c r="HC33" s="471" t="n"/>
      <c r="HD33" s="571">
        <f>IF(AND(GY33:HC33),1,0)</f>
        <v/>
      </c>
      <c r="HK33" s="561" t="n">
        <v>30</v>
      </c>
      <c r="HL33" s="471" t="n"/>
      <c r="HM33" s="471" t="n"/>
      <c r="HN33" s="471" t="n"/>
      <c r="HO33" s="471" t="n"/>
      <c r="HP33" s="801">
        <f>HT32</f>
        <v/>
      </c>
      <c r="HQ33" s="471" t="n"/>
      <c r="HR33" s="471" t="n"/>
      <c r="HS33" s="471" t="n"/>
      <c r="HT33" s="562">
        <f>IF(AND(HO33:HS33),1,0)</f>
        <v/>
      </c>
      <c r="HZ33" s="561" t="n">
        <v>30</v>
      </c>
      <c r="IA33" s="471" t="n"/>
      <c r="IB33" s="471" t="n"/>
      <c r="IC33" s="471" t="n"/>
      <c r="ID33" s="471" t="n"/>
      <c r="IE33" s="801">
        <f>II31</f>
        <v/>
      </c>
      <c r="IF33" s="471" t="n"/>
      <c r="IG33" s="471" t="n"/>
      <c r="IH33" s="471" t="n"/>
      <c r="II33" s="562">
        <f>IF(AND(ID33:IH33),1,0)</f>
        <v/>
      </c>
      <c r="IL33" s="561" t="n">
        <v>30</v>
      </c>
      <c r="IM33" s="471" t="n"/>
      <c r="IN33" s="471" t="n"/>
      <c r="IO33" s="471" t="n"/>
      <c r="IP33" s="566" t="n"/>
      <c r="IQ33" s="566">
        <f>IU32</f>
        <v/>
      </c>
      <c r="IR33" s="471" t="n"/>
      <c r="IS33" s="471" t="n"/>
      <c r="IT33" s="471" t="n"/>
      <c r="IU33" s="562">
        <f>IF(AND(IP33:IT33),1,0)</f>
        <v/>
      </c>
      <c r="IX33" s="561" t="n">
        <v>30</v>
      </c>
      <c r="IY33" s="471" t="n"/>
      <c r="IZ33" s="822" t="n"/>
      <c r="JA33" s="471" t="n"/>
      <c r="JB33" s="566" t="n"/>
      <c r="JC33" s="581">
        <f>JG36</f>
        <v/>
      </c>
      <c r="JD33" s="471" t="n"/>
      <c r="JE33" s="471" t="n"/>
      <c r="JF33" s="471" t="n"/>
      <c r="JG33" s="571">
        <f>IF(AND(JB33:JF33),1,0)</f>
        <v/>
      </c>
      <c r="JN33" s="561" t="n">
        <v>30</v>
      </c>
      <c r="JO33" s="471" t="n"/>
      <c r="JP33" s="822" t="n"/>
      <c r="JQ33" s="471" t="n"/>
      <c r="JR33" s="566" t="n"/>
      <c r="JS33" s="566">
        <f>JW20</f>
        <v/>
      </c>
      <c r="JT33" s="566" t="n"/>
      <c r="JU33" s="471" t="n"/>
      <c r="JV33" s="471" t="n"/>
      <c r="JW33" s="562">
        <f>IF(AND(JR33:JV33),1,0)</f>
        <v/>
      </c>
      <c r="KP33" s="561" t="n">
        <v>30</v>
      </c>
      <c r="KQ33" s="471" t="n"/>
      <c r="KR33" s="822" t="n"/>
      <c r="KS33" s="471" t="n"/>
      <c r="KT33" s="822" t="n"/>
      <c r="KU33" s="822">
        <f>KY34</f>
        <v/>
      </c>
      <c r="KV33" s="566" t="n"/>
      <c r="KW33" s="471" t="n"/>
      <c r="KX33" s="471" t="n"/>
      <c r="KY33" s="562">
        <f>IF(AND(KT33:KX33),1,0)</f>
        <v/>
      </c>
      <c r="LB33" s="561" t="n">
        <v>30</v>
      </c>
      <c r="LC33" s="471" t="n"/>
      <c r="LD33" s="822" t="n"/>
      <c r="LE33" s="471" t="n"/>
      <c r="LF33" s="822" t="n"/>
      <c r="LG33" s="822" t="n">
        <v>1</v>
      </c>
      <c r="LH33" s="822" t="n"/>
      <c r="LI33" s="471" t="n"/>
      <c r="LJ33" s="471" t="n"/>
      <c r="LK33" s="562">
        <f>IF(AND(LF33:LJ33),1,0)</f>
        <v/>
      </c>
      <c r="LM33" s="471" t="inlineStr">
        <is>
          <t>PPR1</t>
        </is>
      </c>
      <c r="LN33" s="801" t="n">
        <v>1</v>
      </c>
      <c r="LO33" s="471" t="n"/>
      <c r="LQ33" s="840">
        <f>LQ32+1</f>
        <v/>
      </c>
      <c r="LR33" s="534" t="n">
        <v>29</v>
      </c>
      <c r="LS33" s="471" t="n"/>
      <c r="LT33" s="822" t="n"/>
      <c r="LU33" s="471" t="n"/>
      <c r="LV33" s="822" t="n"/>
      <c r="LW33" s="822">
        <f>MA32</f>
        <v/>
      </c>
      <c r="LX33" s="822" t="n"/>
      <c r="LY33" s="471" t="n"/>
      <c r="LZ33" s="471" t="n"/>
      <c r="MA33" s="562">
        <f>IF(AND(LV33:LZ33),1,0)</f>
        <v/>
      </c>
      <c r="MH33" s="561" t="n">
        <v>30</v>
      </c>
      <c r="MI33" s="471" t="n"/>
      <c r="MJ33" s="822" t="n"/>
      <c r="MK33" s="471" t="n"/>
      <c r="ML33" s="822" t="n"/>
      <c r="MM33" s="822">
        <f>MQ4</f>
        <v/>
      </c>
      <c r="MN33" s="822" t="n"/>
      <c r="MO33" s="471" t="n"/>
      <c r="MP33" s="471" t="n"/>
      <c r="MQ33" s="562">
        <f>IF(AND(ML33:MP33),1,0)</f>
        <v/>
      </c>
    </row>
    <row r="34" ht="21" customHeight="1">
      <c r="A34" s="559" t="n">
        <v>31</v>
      </c>
      <c r="B34" s="471" t="n"/>
      <c r="C34" s="801" t="inlineStr">
        <is>
          <t>CACS</t>
        </is>
      </c>
      <c r="D34" s="471" t="n"/>
      <c r="E34" s="471" t="n"/>
      <c r="F34" s="582">
        <f>M6</f>
        <v/>
      </c>
      <c r="G34" s="561">
        <f>J33</f>
        <v/>
      </c>
      <c r="H34" s="471" t="n"/>
      <c r="I34" s="471" t="n"/>
      <c r="J34" s="562">
        <f>IF(AND(E34:I34),1,0)</f>
        <v/>
      </c>
      <c r="P34" s="561" t="n">
        <v>31</v>
      </c>
      <c r="Q34" s="471" t="n"/>
      <c r="R34" s="561" t="n"/>
      <c r="S34" s="471" t="n"/>
      <c r="T34" s="471" t="n"/>
      <c r="U34" s="801">
        <f>Y33</f>
        <v/>
      </c>
      <c r="V34" s="471" t="n"/>
      <c r="W34" s="471" t="n"/>
      <c r="X34" s="471" t="n"/>
      <c r="Y34" s="562">
        <f>IF(AND(T34:X34),1,0)</f>
        <v/>
      </c>
      <c r="AA34" s="471" t="inlineStr">
        <is>
          <t>PPR2</t>
        </is>
      </c>
      <c r="AB34" s="561" t="n">
        <v>1</v>
      </c>
      <c r="AC34" s="471" t="n"/>
      <c r="AF34" s="561" t="n">
        <v>31</v>
      </c>
      <c r="AG34" s="568" t="n"/>
      <c r="AH34" s="566" t="n"/>
      <c r="AI34" s="471" t="n"/>
      <c r="AJ34" s="471" t="n"/>
      <c r="AK34" s="578">
        <f>AO33</f>
        <v/>
      </c>
      <c r="AL34" s="471" t="n"/>
      <c r="AM34" s="471" t="n"/>
      <c r="AN34" s="471" t="n"/>
      <c r="AO34" s="562">
        <f>IF(AND(AJ34:AN34),1,0)</f>
        <v/>
      </c>
      <c r="AS34" s="561" t="n">
        <v>31</v>
      </c>
      <c r="AT34" s="471" t="n"/>
      <c r="AU34" s="471" t="n"/>
      <c r="AV34" s="471" t="n"/>
      <c r="AW34" s="471">
        <f>BB33</f>
        <v/>
      </c>
      <c r="AX34" s="471" t="n"/>
      <c r="AY34" s="471" t="n"/>
      <c r="AZ34" s="471" t="n"/>
      <c r="BA34" s="471" t="n"/>
      <c r="BB34" s="562">
        <f>IF(AND(AW34:BA34),1,0)</f>
        <v/>
      </c>
      <c r="BI34" s="561" t="n">
        <v>31</v>
      </c>
      <c r="BJ34" s="471" t="n"/>
      <c r="BK34" s="801" t="inlineStr">
        <is>
          <t>LUB</t>
        </is>
      </c>
      <c r="BL34" s="471" t="n"/>
      <c r="BM34" s="471" t="n"/>
      <c r="BN34" s="573">
        <f>BU6</f>
        <v/>
      </c>
      <c r="BO34" s="471">
        <f>BR33</f>
        <v/>
      </c>
      <c r="BP34" s="471" t="n"/>
      <c r="BQ34" s="471" t="n"/>
      <c r="BR34" s="562">
        <f>IF(AND(BM34:BQ34),1,0)</f>
        <v/>
      </c>
      <c r="BX34" s="561" t="n">
        <v>31</v>
      </c>
      <c r="BY34" s="471" t="n"/>
      <c r="BZ34" s="801" t="inlineStr">
        <is>
          <t>LUB</t>
        </is>
      </c>
      <c r="CA34" s="471" t="n"/>
      <c r="CB34" s="471" t="n"/>
      <c r="CC34" s="573">
        <f>BU6</f>
        <v/>
      </c>
      <c r="CD34" s="471">
        <f>CG33</f>
        <v/>
      </c>
      <c r="CE34" s="471" t="n"/>
      <c r="CF34" s="471" t="n"/>
      <c r="CG34" s="562">
        <f>IF(AND(CB34:CF34),1,0)</f>
        <v/>
      </c>
      <c r="CI34" s="561" t="n">
        <v>31</v>
      </c>
      <c r="CJ34" s="471" t="n"/>
      <c r="CK34" s="561" t="n"/>
      <c r="CL34" s="471" t="n"/>
      <c r="CM34" s="471" t="n"/>
      <c r="CN34" s="565">
        <f>IF(OR('DATA TRANSFER'!M10,'DATA TRANSFER'!M12),1,0)</f>
        <v/>
      </c>
      <c r="CO34" s="471" t="n"/>
      <c r="CP34" s="471" t="n"/>
      <c r="CQ34" s="471" t="n"/>
      <c r="CR34" s="562">
        <f>IF(AND(CM34:CQ34),1,0)</f>
        <v/>
      </c>
      <c r="DK34" s="561" t="n">
        <v>31</v>
      </c>
      <c r="DL34" s="566" t="n"/>
      <c r="DM34" s="561" t="n"/>
      <c r="DN34" s="471" t="n"/>
      <c r="DO34" s="471" t="n"/>
      <c r="DP34" s="801">
        <f>DT33</f>
        <v/>
      </c>
      <c r="DQ34" s="471" t="n"/>
      <c r="DR34" s="471" t="n"/>
      <c r="DS34" s="471" t="n"/>
      <c r="DT34" s="562">
        <f>IF(AND(DO34:DS34),1,0)</f>
        <v/>
      </c>
      <c r="DZ34" s="561" t="n">
        <v>31</v>
      </c>
      <c r="EA34" s="566" t="n"/>
      <c r="EB34" s="561" t="n"/>
      <c r="EC34" s="471" t="n"/>
      <c r="ED34" s="471" t="n"/>
      <c r="EE34" s="565" t="n">
        <v>1</v>
      </c>
      <c r="EF34" s="471" t="n"/>
      <c r="EG34" s="471" t="n"/>
      <c r="EH34" s="471" t="n"/>
      <c r="EI34" s="571">
        <f>IF(AND(ED34:EH34),1,0)</f>
        <v/>
      </c>
      <c r="EO34" s="561" t="n">
        <v>31</v>
      </c>
      <c r="EP34" s="566" t="n"/>
      <c r="EQ34" s="561" t="n"/>
      <c r="ER34" s="471" t="n"/>
      <c r="ES34" s="471" t="n"/>
      <c r="ET34" s="570">
        <f>FA18</f>
        <v/>
      </c>
      <c r="EU34" s="471" t="n"/>
      <c r="EV34" s="471" t="n"/>
      <c r="EW34" s="471" t="n"/>
      <c r="EX34" s="562">
        <f>IF(AND(ES34:EW34),1,0)</f>
        <v/>
      </c>
      <c r="FE34" s="561" t="n">
        <v>31</v>
      </c>
      <c r="FF34" s="566" t="n"/>
      <c r="FG34" s="561" t="inlineStr">
        <is>
          <t>24VDC/DC</t>
        </is>
      </c>
      <c r="FH34" s="471" t="n"/>
      <c r="FI34" s="471" t="n"/>
      <c r="FJ34" s="570" t="n">
        <v>1</v>
      </c>
      <c r="FK34" s="471" t="n"/>
      <c r="FL34" s="471" t="n"/>
      <c r="FM34" s="471" t="n"/>
      <c r="FN34" s="562">
        <f>IF(AND(FI34:FM34),1,0)</f>
        <v/>
      </c>
      <c r="FT34" s="561" t="n">
        <v>31</v>
      </c>
      <c r="FU34" s="566" t="n"/>
      <c r="FV34" s="822" t="n"/>
      <c r="FW34" s="471" t="n"/>
      <c r="FX34" s="471" t="n"/>
      <c r="FY34" s="801">
        <f>GC32</f>
        <v/>
      </c>
      <c r="FZ34" s="471" t="n"/>
      <c r="GA34" s="471" t="n"/>
      <c r="GB34" s="471" t="n"/>
      <c r="GC34" s="562">
        <f>IF(AND(FX34:GB34),1,0)</f>
        <v/>
      </c>
      <c r="GF34" s="561" t="n">
        <v>31</v>
      </c>
      <c r="GG34" s="566" t="n"/>
      <c r="GH34" s="822" t="n"/>
      <c r="GI34" s="471" t="n"/>
      <c r="GJ34" s="471" t="n"/>
      <c r="GK34" s="561">
        <f>GO64</f>
        <v/>
      </c>
      <c r="GL34" s="471" t="n"/>
      <c r="GM34" s="471" t="n"/>
      <c r="GN34" s="471" t="n"/>
      <c r="GO34" s="562">
        <f>IF(AND(GJ34:GN34),1,0)</f>
        <v/>
      </c>
      <c r="GU34" s="561" t="n">
        <v>31</v>
      </c>
      <c r="GV34" s="566" t="n"/>
      <c r="GW34" s="822" t="n"/>
      <c r="GX34" s="471" t="n"/>
      <c r="GY34" s="471" t="n"/>
      <c r="GZ34" s="560" t="n">
        <v>1</v>
      </c>
      <c r="HA34" s="471" t="n"/>
      <c r="HB34" s="471" t="n"/>
      <c r="HC34" s="471" t="n"/>
      <c r="HD34" s="571">
        <f>IF(AND(GY34:HC34),1,0)</f>
        <v/>
      </c>
      <c r="HK34" s="561" t="n">
        <v>31</v>
      </c>
      <c r="HL34" s="471" t="n"/>
      <c r="HM34" s="801" t="inlineStr">
        <is>
          <t>ESAFC</t>
        </is>
      </c>
      <c r="HN34" s="471" t="n"/>
      <c r="HO34" s="471" t="n"/>
      <c r="HP34" s="573">
        <f>HW12</f>
        <v/>
      </c>
      <c r="HQ34" s="471">
        <f>HT35</f>
        <v/>
      </c>
      <c r="HR34" s="471">
        <f>IF(NOT(HW6),1,0)</f>
        <v/>
      </c>
      <c r="HS34" s="471" t="n"/>
      <c r="HT34" s="562">
        <f>IF(AND(HO34:HS34),1,0)</f>
        <v/>
      </c>
      <c r="IL34" s="561" t="n">
        <v>31</v>
      </c>
      <c r="IM34" s="471" t="n"/>
      <c r="IN34" s="471" t="n"/>
      <c r="IO34" s="471" t="n"/>
      <c r="IP34" s="566" t="n"/>
      <c r="IQ34" s="566">
        <f>IU33</f>
        <v/>
      </c>
      <c r="IR34" s="471" t="n"/>
      <c r="IS34" s="471" t="n"/>
      <c r="IT34" s="471" t="n"/>
      <c r="IU34" s="562">
        <f>IF(AND(IP34:IT34),1,0)</f>
        <v/>
      </c>
      <c r="IX34" s="561" t="n">
        <v>31</v>
      </c>
      <c r="IY34" s="471" t="n"/>
      <c r="IZ34" s="822" t="n"/>
      <c r="JA34" s="471" t="n"/>
      <c r="JB34" s="566" t="n"/>
      <c r="JC34" s="566">
        <f>JG33</f>
        <v/>
      </c>
      <c r="JD34" s="471" t="n"/>
      <c r="JE34" s="471" t="n"/>
      <c r="JF34" s="471" t="n"/>
      <c r="JG34" s="571">
        <f>IF(AND(JB34:JF34),1,0)</f>
        <v/>
      </c>
      <c r="JN34" s="561" t="n">
        <v>31</v>
      </c>
      <c r="JO34" s="471" t="n"/>
      <c r="JP34" s="822" t="inlineStr">
        <is>
          <t>SFC OFF</t>
        </is>
      </c>
      <c r="JQ34" s="471" t="n"/>
      <c r="JR34" s="566" t="n"/>
      <c r="JS34" s="575">
        <f>JJ20</f>
        <v/>
      </c>
      <c r="JT34" s="566">
        <f>JW33</f>
        <v/>
      </c>
      <c r="JU34" s="471" t="n"/>
      <c r="JV34" s="471" t="n"/>
      <c r="JW34" s="562">
        <f>IF(AND(JR34:JV34),1,0)</f>
        <v/>
      </c>
      <c r="KP34" s="561" t="n">
        <v>31</v>
      </c>
      <c r="KQ34" s="471" t="n"/>
      <c r="KR34" s="822" t="n"/>
      <c r="KS34" s="471" t="n"/>
      <c r="KT34" s="822" t="n"/>
      <c r="KU34" s="581" t="n">
        <v>1</v>
      </c>
      <c r="KV34" s="566" t="n"/>
      <c r="KW34" s="471" t="n"/>
      <c r="KX34" s="471" t="n"/>
      <c r="KY34" s="562">
        <f>IF(AND(KT34:KX34),1,0)</f>
        <v/>
      </c>
      <c r="LB34" s="561" t="n">
        <v>31</v>
      </c>
      <c r="LC34" s="471" t="n"/>
      <c r="LD34" s="822" t="n"/>
      <c r="LE34" s="471" t="n"/>
      <c r="LF34" s="822" t="n"/>
      <c r="LG34" s="572">
        <f>LN36</f>
        <v/>
      </c>
      <c r="LH34" s="822" t="n"/>
      <c r="LI34" s="471" t="n"/>
      <c r="LJ34" s="471" t="n"/>
      <c r="LK34" s="562">
        <f>IF(AND(LF34:LJ34),1,0)</f>
        <v/>
      </c>
      <c r="LM34" s="471" t="inlineStr">
        <is>
          <t>PPR2</t>
        </is>
      </c>
      <c r="LN34" s="561" t="n">
        <v>1</v>
      </c>
      <c r="LO34" s="471" t="n"/>
      <c r="LQ34" s="840">
        <f>LQ33+1</f>
        <v/>
      </c>
      <c r="LR34" s="534" t="n">
        <v>30</v>
      </c>
      <c r="LS34" s="471" t="n"/>
      <c r="LT34" s="822" t="n"/>
      <c r="LU34" s="471" t="n"/>
      <c r="LV34" s="822" t="n"/>
      <c r="LW34" s="822">
        <f>MA33</f>
        <v/>
      </c>
      <c r="LX34" s="822" t="n"/>
      <c r="LY34" s="471" t="n"/>
      <c r="LZ34" s="471" t="n"/>
      <c r="MA34" s="562">
        <f>IF(AND(LV34:LZ34),1,0)</f>
        <v/>
      </c>
      <c r="MH34" s="561" t="n">
        <v>31</v>
      </c>
      <c r="MI34" s="471" t="n"/>
      <c r="MJ34" s="822" t="inlineStr">
        <is>
          <t>ACCP1N_6A</t>
        </is>
      </c>
      <c r="MK34" s="471" t="n"/>
      <c r="ML34" s="822" t="n"/>
      <c r="MM34" s="574">
        <f>MT7</f>
        <v/>
      </c>
      <c r="MN34" s="822">
        <f>MQ33</f>
        <v/>
      </c>
      <c r="MO34" s="471" t="n"/>
      <c r="MP34" s="471" t="n"/>
      <c r="MQ34" s="562">
        <f>IF(AND(ML34:MP34),1,0)</f>
        <v/>
      </c>
    </row>
    <row r="35" ht="27.75" customHeight="1">
      <c r="A35" s="559" t="n">
        <v>32</v>
      </c>
      <c r="B35" s="471" t="n"/>
      <c r="C35" s="471" t="n"/>
      <c r="D35" s="471" t="n"/>
      <c r="E35" s="471" t="n"/>
      <c r="F35" s="801">
        <f>J34</f>
        <v/>
      </c>
      <c r="H35" s="471" t="n"/>
      <c r="I35" s="471" t="n"/>
      <c r="J35" s="562">
        <f>IF(AND(E35:I35),1,0)</f>
        <v/>
      </c>
      <c r="P35" s="561" t="n">
        <v>32</v>
      </c>
      <c r="Q35" s="263" t="inlineStr">
        <is>
          <t>HA/24.E4</t>
        </is>
      </c>
      <c r="R35" s="561" t="n"/>
      <c r="S35" s="471" t="n"/>
      <c r="T35" s="471" t="n"/>
      <c r="U35" s="560">
        <f>IF(NOT('DATA TRANSFER'!F30),1,0)</f>
        <v/>
      </c>
      <c r="V35" s="471" t="n"/>
      <c r="W35" s="471" t="n"/>
      <c r="X35" s="471" t="n"/>
      <c r="Y35" s="562">
        <f>IF(AND(T35:X35),1,0)</f>
        <v/>
      </c>
      <c r="AA35" s="587" t="inlineStr">
        <is>
          <t>HEATER 2 4.5kW</t>
        </is>
      </c>
      <c r="AB35" s="561">
        <f>'DATA TRANSFER'!AT18</f>
        <v/>
      </c>
      <c r="AC35" s="471" t="n"/>
      <c r="AF35" s="561" t="n">
        <v>32</v>
      </c>
      <c r="AG35" s="568" t="n"/>
      <c r="AH35" s="566" t="n"/>
      <c r="AI35" s="471" t="n"/>
      <c r="AJ35" s="471" t="n"/>
      <c r="AK35" s="588">
        <f>AO34</f>
        <v/>
      </c>
      <c r="AL35" s="471" t="n"/>
      <c r="AM35" s="471" t="n"/>
      <c r="AN35" s="471" t="n"/>
      <c r="AO35" s="562">
        <f>IF(AND(AJ35:AN35),1,0)</f>
        <v/>
      </c>
      <c r="AS35" s="840" t="n"/>
      <c r="BI35" s="561" t="n">
        <v>32</v>
      </c>
      <c r="BJ35" s="471" t="n"/>
      <c r="BK35" s="471" t="n"/>
      <c r="BL35" s="471" t="n"/>
      <c r="BM35" s="471" t="n"/>
      <c r="BN35" s="561">
        <f>BR34</f>
        <v/>
      </c>
      <c r="BO35" s="471" t="n"/>
      <c r="BP35" s="471" t="n"/>
      <c r="BQ35" s="471" t="n"/>
      <c r="BR35" s="562">
        <f>IF(AND(BM35:BQ35),1,0)</f>
        <v/>
      </c>
      <c r="BX35" s="561" t="n">
        <v>32</v>
      </c>
      <c r="BY35" s="471" t="n"/>
      <c r="BZ35" s="471" t="n"/>
      <c r="CA35" s="471" t="n"/>
      <c r="CB35" s="471" t="n"/>
      <c r="CC35" s="561">
        <f>CG34</f>
        <v/>
      </c>
      <c r="CD35" s="471" t="n"/>
      <c r="CE35" s="471" t="n"/>
      <c r="CF35" s="471" t="n"/>
      <c r="CG35" s="562">
        <f>IF(AND(CB35:CF35),1,0)</f>
        <v/>
      </c>
      <c r="CI35" s="561" t="n">
        <v>32</v>
      </c>
      <c r="CJ35" s="471" t="n"/>
      <c r="CK35" s="561" t="n"/>
      <c r="CL35" s="471" t="n"/>
      <c r="CM35" s="471" t="n"/>
      <c r="CN35" s="471">
        <f>CR34</f>
        <v/>
      </c>
      <c r="CO35" s="471" t="n"/>
      <c r="CP35" s="471" t="n"/>
      <c r="CQ35" s="471" t="n"/>
      <c r="CR35" s="562">
        <f>IF(AND(CM35:CQ35),1,0)</f>
        <v/>
      </c>
      <c r="DK35" s="561" t="n">
        <v>32</v>
      </c>
      <c r="DL35" s="566" t="n"/>
      <c r="DM35" s="561" t="n"/>
      <c r="DN35" s="471" t="n"/>
      <c r="DO35" s="471" t="n"/>
      <c r="DP35" s="801">
        <f>DT34</f>
        <v/>
      </c>
      <c r="DQ35" s="471" t="n"/>
      <c r="DR35" s="471" t="n"/>
      <c r="DS35" s="471" t="n"/>
      <c r="DT35" s="562">
        <f>IF(AND(DO35:DS35),1,0)</f>
        <v/>
      </c>
      <c r="DZ35" s="561" t="n">
        <v>32</v>
      </c>
      <c r="EA35" s="566" t="n"/>
      <c r="EB35" s="561" t="n"/>
      <c r="EC35" s="471" t="n"/>
      <c r="ED35" s="471" t="n"/>
      <c r="EE35" s="565" t="n">
        <v>1</v>
      </c>
      <c r="EF35" s="471" t="n"/>
      <c r="EG35" s="471" t="n"/>
      <c r="EH35" s="471" t="n"/>
      <c r="EI35" s="571">
        <f>IF(AND(ED35:EH35),1,0)</f>
        <v/>
      </c>
      <c r="EO35" s="561" t="n">
        <v>32</v>
      </c>
      <c r="EP35" s="566" t="n"/>
      <c r="EQ35" s="561" t="n"/>
      <c r="ER35" s="471" t="n"/>
      <c r="ES35" s="471" t="n"/>
      <c r="ET35" s="471">
        <f>EX34</f>
        <v/>
      </c>
      <c r="EU35" s="471" t="n"/>
      <c r="EV35" s="471" t="n"/>
      <c r="EW35" s="471" t="n"/>
      <c r="EX35" s="562">
        <f>IF(AND(ES35:EW35),1,0)</f>
        <v/>
      </c>
      <c r="FE35" s="561" t="n">
        <v>32</v>
      </c>
      <c r="FF35" s="566" t="n"/>
      <c r="FG35" s="561" t="n"/>
      <c r="FH35" s="471" t="n"/>
      <c r="FI35" s="471" t="n"/>
      <c r="FJ35" s="471">
        <f>FN34</f>
        <v/>
      </c>
      <c r="FK35" s="471" t="n"/>
      <c r="FL35" s="471" t="n"/>
      <c r="FM35" s="471" t="n"/>
      <c r="FN35" s="562">
        <f>IF(AND(FI35:FM35),1,0)</f>
        <v/>
      </c>
      <c r="FT35" s="561" t="n">
        <v>32</v>
      </c>
      <c r="FU35" s="566" t="n"/>
      <c r="FV35" s="822" t="inlineStr">
        <is>
          <t>24VDC(DC/DC)</t>
        </is>
      </c>
      <c r="FW35" s="471" t="n"/>
      <c r="FX35" s="471" t="n"/>
      <c r="FY35" s="573">
        <f>FQ18</f>
        <v/>
      </c>
      <c r="FZ35" s="471" t="n"/>
      <c r="GA35" s="471" t="n"/>
      <c r="GB35" s="471" t="n"/>
      <c r="GC35" s="562">
        <f>IF(AND(FX35:GB35),1,0)</f>
        <v/>
      </c>
      <c r="GF35" s="561" t="n">
        <v>32</v>
      </c>
      <c r="GG35" s="566" t="n"/>
      <c r="GH35" s="822" t="n"/>
      <c r="GI35" s="471" t="n"/>
      <c r="GJ35" s="471" t="n"/>
      <c r="GK35" s="561">
        <f>GO33</f>
        <v/>
      </c>
      <c r="GL35" s="471" t="n"/>
      <c r="GM35" s="471" t="n"/>
      <c r="GN35" s="471" t="n"/>
      <c r="GO35" s="562">
        <f>IF(AND(GJ35:GN35),1,0)</f>
        <v/>
      </c>
      <c r="GU35" s="561" t="n">
        <v>32</v>
      </c>
      <c r="GV35" s="566" t="n"/>
      <c r="GW35" s="822" t="n"/>
      <c r="GX35" s="471" t="n"/>
      <c r="GY35" s="471" t="n"/>
      <c r="GZ35" s="801">
        <f>HD32</f>
        <v/>
      </c>
      <c r="HA35" s="471" t="n"/>
      <c r="HB35" s="471" t="n"/>
      <c r="HC35" s="471" t="n"/>
      <c r="HD35" s="571">
        <f>IF(AND(GY35:HC35),1,0)</f>
        <v/>
      </c>
      <c r="HK35" s="561" t="n">
        <v>32</v>
      </c>
      <c r="HL35" s="471" t="n"/>
      <c r="HM35" s="471" t="n"/>
      <c r="HN35" s="471" t="n"/>
      <c r="HO35" s="471" t="n"/>
      <c r="HP35" s="561">
        <f>HT36</f>
        <v/>
      </c>
      <c r="HQ35" s="471" t="n"/>
      <c r="HR35" s="471" t="n"/>
      <c r="HS35" s="471" t="n"/>
      <c r="HT35" s="562">
        <f>IF(AND(HO35:HS35),1,0)</f>
        <v/>
      </c>
      <c r="IL35" s="561" t="n">
        <v>32</v>
      </c>
      <c r="IM35" s="471" t="n"/>
      <c r="IN35" s="561" t="inlineStr">
        <is>
          <t>S3</t>
        </is>
      </c>
      <c r="IO35" s="471" t="n"/>
      <c r="IP35" s="566" t="n"/>
      <c r="IQ35" s="566">
        <f>IU34</f>
        <v/>
      </c>
      <c r="IR35" s="471" t="n"/>
      <c r="IS35" s="471" t="n"/>
      <c r="IT35" s="471" t="n"/>
      <c r="IU35" s="562">
        <f>IF(AND(IP35:IT35),1,0)</f>
        <v/>
      </c>
      <c r="IX35" s="561" t="n">
        <v>32</v>
      </c>
      <c r="IY35" s="471" t="n"/>
      <c r="IZ35" s="822" t="n"/>
      <c r="JA35" s="471" t="n"/>
      <c r="JB35" s="566" t="n"/>
      <c r="JC35" s="566">
        <f>JJ12</f>
        <v/>
      </c>
      <c r="JD35" s="471" t="n"/>
      <c r="JE35" s="471" t="n"/>
      <c r="JF35" s="471" t="n"/>
      <c r="JG35" s="571">
        <f>IF(AND(JB35:JF35),1,0)</f>
        <v/>
      </c>
      <c r="JN35" s="561" t="n">
        <v>32</v>
      </c>
      <c r="JO35" s="471" t="n"/>
      <c r="JP35" s="822" t="n"/>
      <c r="JQ35" s="471" t="n"/>
      <c r="JR35" s="566" t="n"/>
      <c r="JS35" s="566">
        <f>JW34</f>
        <v/>
      </c>
      <c r="JT35" s="566" t="n"/>
      <c r="JU35" s="471" t="n"/>
      <c r="JV35" s="471" t="n"/>
      <c r="JW35" s="562">
        <f>IF(AND(JR35:JV35),1,0)</f>
        <v/>
      </c>
      <c r="KP35" s="561" t="n">
        <v>32</v>
      </c>
      <c r="KQ35" s="471" t="n"/>
      <c r="KR35" s="822" t="n"/>
      <c r="KS35" s="471" t="n"/>
      <c r="KT35" s="822" t="n"/>
      <c r="KU35" s="822">
        <f>KY36</f>
        <v/>
      </c>
      <c r="KV35" s="566" t="n"/>
      <c r="KW35" s="471" t="n"/>
      <c r="KX35" s="471" t="n"/>
      <c r="KY35" s="562">
        <f>IF(AND(KT35:KX35),1,0)</f>
        <v/>
      </c>
      <c r="LB35" s="561" t="n">
        <v>32</v>
      </c>
      <c r="LC35" s="471" t="n"/>
      <c r="LD35" s="822" t="n"/>
      <c r="LE35" s="471" t="n"/>
      <c r="LF35" s="822" t="n"/>
      <c r="LG35" s="822">
        <f>LK34</f>
        <v/>
      </c>
      <c r="LH35" s="822" t="n"/>
      <c r="LI35" s="471" t="n"/>
      <c r="LJ35" s="471" t="n"/>
      <c r="LK35" s="562">
        <f>IF(AND(LF35:LJ35),1,0)</f>
        <v/>
      </c>
      <c r="LM35" s="587" t="inlineStr">
        <is>
          <t>HEATER 2 4.5kW</t>
        </is>
      </c>
      <c r="LN35" s="561">
        <f>'DATA TRANSFER'!AT18</f>
        <v/>
      </c>
      <c r="LO35" s="471" t="n"/>
      <c r="LQ35" s="840">
        <f>LQ34+1</f>
        <v/>
      </c>
      <c r="LR35" s="534" t="n">
        <v>31</v>
      </c>
      <c r="LS35" s="471" t="n"/>
      <c r="LT35" s="822" t="n"/>
      <c r="LU35" s="471" t="n"/>
      <c r="LV35" s="822" t="n"/>
      <c r="LW35" s="822">
        <f>MA34</f>
        <v/>
      </c>
      <c r="LX35" s="822" t="n"/>
      <c r="LY35" s="471" t="n"/>
      <c r="LZ35" s="471" t="n"/>
      <c r="MA35" s="562">
        <f>IF(AND(LV35:LZ35),1,0)</f>
        <v/>
      </c>
      <c r="MH35" s="561" t="n">
        <v>32</v>
      </c>
      <c r="MI35" s="471" t="n"/>
      <c r="MJ35" s="822" t="n"/>
      <c r="MK35" s="471" t="n"/>
      <c r="ML35" s="822" t="n"/>
      <c r="MM35" s="822">
        <f>MQ34</f>
        <v/>
      </c>
      <c r="MN35" s="822" t="n"/>
      <c r="MO35" s="471" t="n"/>
      <c r="MP35" s="471" t="n"/>
      <c r="MQ35" s="562">
        <f>IF(AND(ML35:MP35),1,0)</f>
        <v/>
      </c>
    </row>
    <row r="36" ht="24" customHeight="1">
      <c r="A36" s="559" t="n">
        <v>33</v>
      </c>
      <c r="B36" s="471" t="n"/>
      <c r="C36" s="471" t="n"/>
      <c r="D36" s="471" t="n"/>
      <c r="E36" s="471" t="n"/>
      <c r="F36" s="801">
        <f>J35</f>
        <v/>
      </c>
      <c r="G36" s="561" t="n"/>
      <c r="H36" s="471" t="n"/>
      <c r="I36" s="471" t="n"/>
      <c r="J36" s="562">
        <f>IF(AND(E36:I36),1,0)</f>
        <v/>
      </c>
      <c r="P36" s="561" t="n">
        <v>33</v>
      </c>
      <c r="Q36" s="471" t="n"/>
      <c r="R36" s="561" t="n"/>
      <c r="S36" s="471" t="n"/>
      <c r="T36" s="471" t="n"/>
      <c r="U36" s="801">
        <f>Y35</f>
        <v/>
      </c>
      <c r="V36" s="471" t="n"/>
      <c r="W36" s="471" t="n"/>
      <c r="X36" s="471" t="n"/>
      <c r="Y36" s="562">
        <f>IF(AND(T36:X36),1,0)</f>
        <v/>
      </c>
      <c r="AA36" s="561" t="inlineStr">
        <is>
          <t>APS 1</t>
        </is>
      </c>
      <c r="AB36" s="561">
        <f>'DATA TRANSFER'!F30</f>
        <v/>
      </c>
      <c r="AC36" s="471" t="n"/>
      <c r="AF36" s="561" t="n">
        <v>33</v>
      </c>
      <c r="AG36" s="564" t="inlineStr">
        <is>
          <t>HA/24.E5</t>
        </is>
      </c>
      <c r="AH36" s="566" t="n"/>
      <c r="AI36" s="471" t="n"/>
      <c r="AJ36" s="471" t="n"/>
      <c r="AK36" s="560" t="n">
        <v>1</v>
      </c>
      <c r="AL36" s="471" t="n"/>
      <c r="AM36" s="471" t="n"/>
      <c r="AN36" s="471" t="n"/>
      <c r="AO36" s="562">
        <f>IF(AND(AJ36:AN36),1,0)</f>
        <v/>
      </c>
      <c r="AS36" s="840" t="n"/>
      <c r="BI36" s="561" t="n">
        <v>33</v>
      </c>
      <c r="BJ36" s="471" t="n"/>
      <c r="BK36" s="471" t="n"/>
      <c r="BL36" s="471" t="n"/>
      <c r="BM36" s="471" t="n"/>
      <c r="BN36" s="578">
        <f>BR15</f>
        <v/>
      </c>
      <c r="BO36" s="471">
        <f>BR35</f>
        <v/>
      </c>
      <c r="BP36" s="471" t="n"/>
      <c r="BQ36" s="471" t="n"/>
      <c r="BR36" s="562">
        <f>IF(AND(BM36:BQ36),1,0)</f>
        <v/>
      </c>
      <c r="BX36" s="561" t="n">
        <v>33</v>
      </c>
      <c r="BY36" s="471" t="n"/>
      <c r="BZ36" s="471" t="n"/>
      <c r="CA36" s="471" t="n"/>
      <c r="CB36" s="471" t="n"/>
      <c r="CC36" s="578">
        <f>CG15</f>
        <v/>
      </c>
      <c r="CD36" s="471">
        <f>CG35</f>
        <v/>
      </c>
      <c r="CE36" s="471" t="n"/>
      <c r="CF36" s="471" t="n"/>
      <c r="CG36" s="562">
        <f>IF(AND(CB36:CF36),1,0)</f>
        <v/>
      </c>
      <c r="CI36" s="561" t="n">
        <v>33</v>
      </c>
      <c r="CJ36" s="471" t="n"/>
      <c r="CK36" s="561" t="n"/>
      <c r="CL36" s="471" t="n"/>
      <c r="CM36" s="471" t="n"/>
      <c r="CN36" s="471">
        <f>CR34</f>
        <v/>
      </c>
      <c r="CO36" s="471" t="n"/>
      <c r="CP36" s="471" t="n"/>
      <c r="CQ36" s="471" t="n"/>
      <c r="CR36" s="562">
        <f>IF(AND(CM36:CQ36),1,0)</f>
        <v/>
      </c>
      <c r="DK36" s="561" t="n">
        <v>33</v>
      </c>
      <c r="DL36" s="566" t="n"/>
      <c r="DM36" s="561" t="inlineStr">
        <is>
          <t>THR1</t>
        </is>
      </c>
      <c r="DN36" s="471" t="n"/>
      <c r="DO36" s="471" t="n"/>
      <c r="DP36" s="569">
        <f>DW13</f>
        <v/>
      </c>
      <c r="DQ36" s="471">
        <f>DT35</f>
        <v/>
      </c>
      <c r="DR36" s="471" t="n"/>
      <c r="DS36" s="471" t="n"/>
      <c r="DT36" s="562">
        <f>IF(AND(DO36:DS36),1,0)</f>
        <v/>
      </c>
      <c r="DZ36" s="561" t="n">
        <v>33</v>
      </c>
      <c r="EA36" s="566" t="n"/>
      <c r="EB36" s="561" t="inlineStr">
        <is>
          <t>ONLY FOR HVAC 2</t>
        </is>
      </c>
      <c r="EC36" s="471" t="n"/>
      <c r="ED36" s="471" t="n"/>
      <c r="EE36" s="471">
        <f>EI35</f>
        <v/>
      </c>
      <c r="EF36" s="471" t="n"/>
      <c r="EG36" s="471" t="n"/>
      <c r="EH36" s="471" t="n"/>
      <c r="EI36" s="571">
        <f>IF(AND(ED36:EH36),1,0)</f>
        <v/>
      </c>
      <c r="EO36" s="561" t="n">
        <v>33</v>
      </c>
      <c r="EP36" s="566" t="n"/>
      <c r="EQ36" s="561" t="inlineStr">
        <is>
          <t>PPR1</t>
        </is>
      </c>
      <c r="ER36" s="471" t="n"/>
      <c r="ES36" s="471" t="n"/>
      <c r="ET36" s="570">
        <f>FA10</f>
        <v/>
      </c>
      <c r="EU36" s="471">
        <f>EX35</f>
        <v/>
      </c>
      <c r="EV36" s="471" t="n"/>
      <c r="EW36" s="471" t="n"/>
      <c r="EX36" s="562">
        <f>IF(AND(ES36:EW36),1,0)</f>
        <v/>
      </c>
      <c r="FE36" s="561" t="n">
        <v>33</v>
      </c>
      <c r="FF36" s="566" t="n"/>
      <c r="FG36" s="561" t="inlineStr">
        <is>
          <t>PPR1</t>
        </is>
      </c>
      <c r="FH36" s="471" t="n"/>
      <c r="FI36" s="471" t="n"/>
      <c r="FJ36" s="570">
        <f>FA10</f>
        <v/>
      </c>
      <c r="FK36" s="471">
        <f>FN35</f>
        <v/>
      </c>
      <c r="FL36" s="471" t="n"/>
      <c r="FM36" s="471" t="n"/>
      <c r="FN36" s="562">
        <f>IF(AND(FI36:FM36),1,0)</f>
        <v/>
      </c>
      <c r="FT36" s="561" t="n">
        <v>33</v>
      </c>
      <c r="FU36" s="566" t="n"/>
      <c r="FV36" s="822" t="n"/>
      <c r="FW36" s="471" t="n"/>
      <c r="FX36" s="471" t="n"/>
      <c r="FY36" s="561">
        <f>GC35</f>
        <v/>
      </c>
      <c r="FZ36" s="471" t="n"/>
      <c r="GA36" s="471" t="n"/>
      <c r="GB36" s="471" t="n"/>
      <c r="GC36" s="562">
        <f>IF(AND(FX36:GB36),1,0)</f>
        <v/>
      </c>
      <c r="GF36" s="561" t="n">
        <v>33</v>
      </c>
      <c r="GG36" s="566" t="n"/>
      <c r="GH36" s="822" t="n"/>
      <c r="GI36" s="471" t="n"/>
      <c r="GJ36" s="471" t="n"/>
      <c r="GK36" s="561">
        <f>GO20</f>
        <v/>
      </c>
      <c r="GL36" s="471" t="n"/>
      <c r="GM36" s="471" t="n"/>
      <c r="GN36" s="471" t="n"/>
      <c r="GO36" s="562">
        <f>IF(AND(GJ36:GN36),1,0)</f>
        <v/>
      </c>
      <c r="GU36" s="561" t="n">
        <v>33</v>
      </c>
      <c r="GV36" s="566" t="n"/>
      <c r="GW36" s="822" t="n"/>
      <c r="GX36" s="471" t="n"/>
      <c r="GY36" s="471" t="n"/>
      <c r="GZ36" s="801">
        <f>HD35</f>
        <v/>
      </c>
      <c r="HA36" s="471" t="n"/>
      <c r="HB36" s="471" t="n"/>
      <c r="HC36" s="471" t="n"/>
      <c r="HD36" s="571">
        <f>IF(AND(GY36:HC36),1,0)</f>
        <v/>
      </c>
      <c r="HK36" s="561" t="n">
        <v>33</v>
      </c>
      <c r="HL36" s="471" t="n"/>
      <c r="HM36" s="471" t="n"/>
      <c r="HN36" s="471" t="n"/>
      <c r="HO36" s="471" t="n"/>
      <c r="HP36" s="561">
        <f>HT37</f>
        <v/>
      </c>
      <c r="HQ36" s="471" t="n"/>
      <c r="HR36" s="471" t="n"/>
      <c r="HS36" s="471" t="n"/>
      <c r="HT36" s="562">
        <f>IF(AND(HO36:HS36),1,0)</f>
        <v/>
      </c>
      <c r="IL36" s="561" t="n">
        <v>33</v>
      </c>
      <c r="IM36" s="471" t="n"/>
      <c r="IN36" s="561" t="inlineStr">
        <is>
          <t>RAD/ S2</t>
        </is>
      </c>
      <c r="IO36" s="471" t="n"/>
      <c r="IP36" s="566" t="n"/>
      <c r="IQ36" s="574">
        <f>'Mode Logic'!Q18</f>
        <v/>
      </c>
      <c r="IR36" s="471" t="n"/>
      <c r="IS36" s="471" t="n"/>
      <c r="IT36" s="471" t="n"/>
      <c r="IU36" s="562">
        <f>IF(AND(IP36:IT36),1,0)</f>
        <v/>
      </c>
      <c r="IX36" s="561" t="n">
        <v>33</v>
      </c>
      <c r="IY36" s="471" t="n"/>
      <c r="IZ36" s="561" t="inlineStr">
        <is>
          <t>FAD M</t>
        </is>
      </c>
      <c r="JA36" s="471" t="n"/>
      <c r="JB36" s="471" t="n"/>
      <c r="JC36" s="561">
        <f>JJ12</f>
        <v/>
      </c>
      <c r="JD36" s="471" t="n"/>
      <c r="JE36" s="471" t="n"/>
      <c r="JF36" s="471" t="n"/>
      <c r="JG36" s="571">
        <f>IF(AND(JB36:JF36),1,0)</f>
        <v/>
      </c>
      <c r="JN36" s="561" t="n">
        <v>33</v>
      </c>
      <c r="JO36" s="471" t="n"/>
      <c r="JP36" s="822" t="inlineStr">
        <is>
          <t>FADR6</t>
        </is>
      </c>
      <c r="JQ36" s="471" t="n"/>
      <c r="JR36" s="566" t="n"/>
      <c r="JS36" s="575">
        <f>JJ23</f>
        <v/>
      </c>
      <c r="JT36" s="566">
        <f>JW35</f>
        <v/>
      </c>
      <c r="JU36" s="471" t="n"/>
      <c r="JV36" s="471" t="n"/>
      <c r="JW36" s="562">
        <f>IF(AND(JR36:JV36),1,0)</f>
        <v/>
      </c>
      <c r="KP36" s="561" t="n">
        <v>33</v>
      </c>
      <c r="KQ36" s="471" t="n"/>
      <c r="KR36" s="822" t="n"/>
      <c r="KS36" s="471" t="n"/>
      <c r="KT36" s="822" t="n"/>
      <c r="KU36" s="581" t="n">
        <v>1</v>
      </c>
      <c r="KV36" s="566" t="n"/>
      <c r="KW36" s="471" t="n"/>
      <c r="KX36" s="471" t="n"/>
      <c r="KY36" s="562">
        <f>IF(AND(KT36:KX36),1,0)</f>
        <v/>
      </c>
      <c r="LB36" s="561" t="n">
        <v>33</v>
      </c>
      <c r="LC36" s="471" t="n"/>
      <c r="LD36" s="822" t="n"/>
      <c r="LE36" s="471" t="n"/>
      <c r="LF36" s="822" t="n"/>
      <c r="LG36" s="822">
        <f>LK35</f>
        <v/>
      </c>
      <c r="LH36" s="822" t="n"/>
      <c r="LI36" s="471" t="n"/>
      <c r="LJ36" s="471" t="n"/>
      <c r="LK36" s="562">
        <f>IF(AND(LF36:LJ36),1,0)</f>
        <v/>
      </c>
      <c r="LM36" s="561" t="inlineStr">
        <is>
          <t>APS 1</t>
        </is>
      </c>
      <c r="LN36" s="561">
        <f>IF(NOT('DATA TRANSFER'!F30),1,0)</f>
        <v/>
      </c>
      <c r="LO36" s="471" t="n"/>
      <c r="LQ36" s="840">
        <f>LQ35+1</f>
        <v/>
      </c>
      <c r="LR36" s="534" t="n">
        <v>32</v>
      </c>
      <c r="LS36" s="471" t="n"/>
      <c r="LT36" s="822" t="n"/>
      <c r="LU36" s="471" t="n"/>
      <c r="LV36" s="822" t="n"/>
      <c r="LW36" s="822">
        <f>MA35</f>
        <v/>
      </c>
      <c r="LX36" s="822" t="n"/>
      <c r="LY36" s="471" t="n"/>
      <c r="LZ36" s="471" t="n"/>
      <c r="MA36" s="562">
        <f>IF(AND(LV36:LZ36),1,0)</f>
        <v/>
      </c>
      <c r="MH36" s="561" t="n">
        <v>33</v>
      </c>
      <c r="MI36" s="471" t="n"/>
      <c r="MJ36" s="822" t="n"/>
      <c r="MK36" s="471" t="n"/>
      <c r="ML36" s="822" t="n"/>
      <c r="MM36" s="822">
        <f>MQ35</f>
        <v/>
      </c>
      <c r="MN36" s="822" t="n"/>
      <c r="MO36" s="471" t="n"/>
      <c r="MP36" s="471" t="n"/>
      <c r="MQ36" s="562">
        <f>IF(AND(ML36:MP36),1,0)</f>
        <v/>
      </c>
    </row>
    <row r="37" ht="63" customHeight="1">
      <c r="A37" s="559" t="n">
        <v>34</v>
      </c>
      <c r="B37" s="471" t="n"/>
      <c r="C37" s="471" t="n"/>
      <c r="D37" s="471" t="n"/>
      <c r="E37" s="471" t="n"/>
      <c r="F37" s="801">
        <f>J36</f>
        <v/>
      </c>
      <c r="G37" s="561" t="n"/>
      <c r="H37" s="471" t="n"/>
      <c r="I37" s="471" t="n"/>
      <c r="J37" s="562">
        <f>IF(AND(E37:I37),1,0)</f>
        <v/>
      </c>
      <c r="P37" s="561" t="n">
        <v>34</v>
      </c>
      <c r="Q37" s="471" t="n"/>
      <c r="R37" s="561" t="n"/>
      <c r="S37" s="471" t="n"/>
      <c r="T37" s="471" t="n"/>
      <c r="U37" s="801">
        <f>Y36</f>
        <v/>
      </c>
      <c r="V37" s="471" t="n"/>
      <c r="W37" s="471" t="n"/>
      <c r="X37" s="471" t="n"/>
      <c r="Y37" s="562">
        <f>IF(AND(T37:X37),1,0)</f>
        <v/>
      </c>
      <c r="AA37" s="561" t="inlineStr">
        <is>
          <t>APS 2</t>
        </is>
      </c>
      <c r="AB37" s="561">
        <f>'LFD New'!D3</f>
        <v/>
      </c>
      <c r="AC37" s="471" t="n"/>
      <c r="AF37" s="561" t="n">
        <v>34</v>
      </c>
      <c r="AG37" s="568" t="n"/>
      <c r="AH37" s="566" t="n"/>
      <c r="AI37" s="471" t="n"/>
      <c r="AJ37" s="471" t="n"/>
      <c r="AK37" s="588">
        <f>AO36</f>
        <v/>
      </c>
      <c r="AL37" s="471" t="n"/>
      <c r="AM37" s="471" t="n"/>
      <c r="AN37" s="471" t="n"/>
      <c r="AO37" s="562">
        <f>IF(AND(AJ37:AN37),1,0)</f>
        <v/>
      </c>
      <c r="AS37" s="840" t="n"/>
      <c r="BI37" s="561" t="n">
        <v>34</v>
      </c>
      <c r="BJ37" s="471" t="n"/>
      <c r="BK37" s="471" t="n"/>
      <c r="BL37" s="471" t="n"/>
      <c r="BM37" s="471" t="n"/>
      <c r="BN37" s="561">
        <f>BR36</f>
        <v/>
      </c>
      <c r="BO37" s="471" t="n"/>
      <c r="BP37" s="471" t="n"/>
      <c r="BQ37" s="471" t="n"/>
      <c r="BR37" s="562">
        <f>IF(AND(BM37:BQ37),1,0)</f>
        <v/>
      </c>
      <c r="BX37" s="561" t="n">
        <v>34</v>
      </c>
      <c r="BY37" s="471" t="n"/>
      <c r="BZ37" s="471" t="n"/>
      <c r="CA37" s="471" t="n"/>
      <c r="CB37" s="471" t="n"/>
      <c r="CC37" s="561">
        <f>CG36</f>
        <v/>
      </c>
      <c r="CD37" s="471" t="n"/>
      <c r="CE37" s="471" t="n"/>
      <c r="CF37" s="471" t="n"/>
      <c r="CG37" s="562">
        <f>IF(AND(CB37:CF37),1,0)</f>
        <v/>
      </c>
      <c r="CI37" s="561" t="n">
        <v>34</v>
      </c>
      <c r="CJ37" s="822" t="n"/>
      <c r="CK37" s="801" t="inlineStr">
        <is>
          <t>TCR6-E</t>
        </is>
      </c>
      <c r="CL37" s="471" t="n"/>
      <c r="CM37" s="471" t="n"/>
      <c r="CN37" s="589">
        <f>CU5</f>
        <v/>
      </c>
      <c r="CO37" s="471" t="n"/>
      <c r="CP37" s="471" t="n"/>
      <c r="CQ37" s="471" t="n"/>
      <c r="CR37" s="562">
        <f>IF(AND(CM37:CQ37),1,0)</f>
        <v/>
      </c>
      <c r="DK37" s="561" t="n">
        <v>34</v>
      </c>
      <c r="DL37" s="566" t="n"/>
      <c r="DM37" s="801" t="inlineStr">
        <is>
          <t>HTC</t>
        </is>
      </c>
      <c r="DN37" s="471" t="n"/>
      <c r="DO37" s="471" t="n"/>
      <c r="DP37" s="569">
        <f>DW15</f>
        <v/>
      </c>
      <c r="DQ37" s="471">
        <f>DT36</f>
        <v/>
      </c>
      <c r="DR37" s="471" t="n"/>
      <c r="DS37" s="471" t="n"/>
      <c r="DT37" s="562">
        <f>IF(AND(DO37:DS37),1,0)</f>
        <v/>
      </c>
      <c r="DZ37" s="561" t="n">
        <v>34</v>
      </c>
      <c r="EA37" s="566" t="n"/>
      <c r="EB37" s="561" t="n"/>
      <c r="EC37" s="471" t="n"/>
      <c r="ED37" s="471" t="n"/>
      <c r="EE37" s="471">
        <f>EI36</f>
        <v/>
      </c>
      <c r="EF37" s="471" t="n"/>
      <c r="EG37" s="471" t="n"/>
      <c r="EH37" s="471" t="n"/>
      <c r="EI37" s="571">
        <f>IF(AND(ED37:EH37),1,0)</f>
        <v/>
      </c>
      <c r="EO37" s="561" t="n">
        <v>34</v>
      </c>
      <c r="EP37" s="566" t="n"/>
      <c r="EQ37" s="561" t="n"/>
      <c r="ER37" s="471" t="n"/>
      <c r="ES37" s="471" t="n"/>
      <c r="ET37" s="471">
        <f>EX36</f>
        <v/>
      </c>
      <c r="EU37" s="471" t="n"/>
      <c r="EV37" s="471" t="n"/>
      <c r="EW37" s="471" t="n"/>
      <c r="EX37" s="562">
        <f>IF(AND(ES37:EW37),1,0)</f>
        <v/>
      </c>
      <c r="FE37" s="561" t="n">
        <v>34</v>
      </c>
      <c r="FF37" s="566" t="n"/>
      <c r="FG37" s="561" t="n"/>
      <c r="FH37" s="471" t="n"/>
      <c r="FI37" s="471" t="n"/>
      <c r="FJ37" s="471">
        <f>FN36</f>
        <v/>
      </c>
      <c r="FK37" s="471" t="n"/>
      <c r="FL37" s="471" t="n"/>
      <c r="FM37" s="471" t="n"/>
      <c r="FN37" s="562">
        <f>IF(AND(FI37:FM37),1,0)</f>
        <v/>
      </c>
      <c r="FT37" s="561" t="n">
        <v>34</v>
      </c>
      <c r="FU37" s="566" t="n"/>
      <c r="FV37" s="822" t="inlineStr">
        <is>
          <t>PPR1</t>
        </is>
      </c>
      <c r="FW37" s="471" t="n"/>
      <c r="FX37" s="471" t="n"/>
      <c r="FY37" s="569">
        <f>FQ10</f>
        <v/>
      </c>
      <c r="FZ37" s="801">
        <f>GC36</f>
        <v/>
      </c>
      <c r="GA37" s="471" t="n"/>
      <c r="GB37" s="471" t="n"/>
      <c r="GC37" s="562">
        <f>IF(AND(FX37:GB37),1,0)</f>
        <v/>
      </c>
      <c r="GF37" s="561" t="n">
        <v>34</v>
      </c>
      <c r="GG37" s="566" t="n"/>
      <c r="GH37" s="822" t="n"/>
      <c r="GI37" s="471" t="n"/>
      <c r="GJ37" s="471" t="n"/>
      <c r="GK37" s="561">
        <f>GO36</f>
        <v/>
      </c>
      <c r="GL37" s="471" t="n"/>
      <c r="GM37" s="471" t="n"/>
      <c r="GN37" s="471" t="n"/>
      <c r="GO37" s="562">
        <f>IF(AND(GJ37:GN37),1,0)</f>
        <v/>
      </c>
      <c r="GU37" s="561" t="n">
        <v>34</v>
      </c>
      <c r="GV37" s="566" t="n"/>
      <c r="GW37" s="822" t="n"/>
      <c r="GX37" s="471" t="n"/>
      <c r="GY37" s="471" t="n"/>
      <c r="GZ37" s="801">
        <f>HD8</f>
        <v/>
      </c>
      <c r="HA37" s="471" t="n"/>
      <c r="HB37" s="471" t="n"/>
      <c r="HC37" s="471" t="n"/>
      <c r="HD37" s="571">
        <f>IF(AND(GY37:HC37),1,0)</f>
        <v/>
      </c>
      <c r="HK37" s="561" t="n">
        <v>34</v>
      </c>
      <c r="HL37" s="471" t="n"/>
      <c r="HM37" s="471" t="n"/>
      <c r="HN37" s="471" t="n"/>
      <c r="HO37" s="471" t="n"/>
      <c r="HP37" s="561">
        <f>HT38</f>
        <v/>
      </c>
      <c r="HQ37" s="471" t="n"/>
      <c r="HR37" s="471" t="n"/>
      <c r="HS37" s="471" t="n"/>
      <c r="HT37" s="562">
        <f>IF(AND(HO37:HS37),1,0)</f>
        <v/>
      </c>
      <c r="IL37" s="561" t="n">
        <v>34</v>
      </c>
      <c r="IM37" s="471" t="n"/>
      <c r="IN37" s="471" t="inlineStr">
        <is>
          <t>24VDC</t>
        </is>
      </c>
      <c r="IO37" s="471" t="n"/>
      <c r="IP37" s="566" t="n"/>
      <c r="IQ37" s="575">
        <f>'LFD New'!D2</f>
        <v/>
      </c>
      <c r="IR37" s="471" t="n"/>
      <c r="IS37" s="471" t="n"/>
      <c r="IT37" s="471" t="n"/>
      <c r="IU37" s="562">
        <f>IF(AND(IP37:IT37),1,0)</f>
        <v/>
      </c>
      <c r="IX37" s="561" t="n">
        <v>34</v>
      </c>
      <c r="IY37" s="471" t="n"/>
      <c r="IZ37" s="561" t="inlineStr">
        <is>
          <t xml:space="preserve">FRESH AIR DAMPER </t>
        </is>
      </c>
      <c r="JA37" s="471" t="n"/>
      <c r="JB37" s="471" t="n"/>
      <c r="JC37" s="561">
        <f>JJ12</f>
        <v/>
      </c>
      <c r="JD37" s="471" t="n"/>
      <c r="JE37" s="471" t="n"/>
      <c r="JF37" s="471" t="n"/>
      <c r="JG37" s="571">
        <f>IF(AND(JB37:JF37),1,0)</f>
        <v/>
      </c>
      <c r="JN37" s="561" t="n">
        <v>34</v>
      </c>
      <c r="JO37" s="471" t="n"/>
      <c r="JP37" s="822" t="n"/>
      <c r="JQ37" s="471" t="n"/>
      <c r="JR37" s="566" t="n"/>
      <c r="JS37" s="566">
        <f>JW36</f>
        <v/>
      </c>
      <c r="JT37" s="566" t="n"/>
      <c r="JU37" s="471" t="n"/>
      <c r="JV37" s="471" t="n"/>
      <c r="JW37" s="562">
        <f>IF(AND(JR37:JV37),1,0)</f>
        <v/>
      </c>
      <c r="KP37" s="561" t="n">
        <v>34</v>
      </c>
      <c r="KQ37" s="471" t="n"/>
      <c r="KR37" s="822" t="n"/>
      <c r="KS37" s="471" t="n"/>
      <c r="KT37" s="822" t="n"/>
      <c r="KU37" s="822">
        <f>KY38</f>
        <v/>
      </c>
      <c r="KV37" s="566" t="n"/>
      <c r="KW37" s="471" t="n"/>
      <c r="KX37" s="471" t="n"/>
      <c r="KY37" s="562">
        <f>IF(AND(KT37:KX37),1,0)</f>
        <v/>
      </c>
      <c r="LB37" s="561" t="n">
        <v>34</v>
      </c>
      <c r="LC37" s="471" t="n"/>
      <c r="LD37" s="471" t="n"/>
      <c r="LE37" s="471" t="n"/>
      <c r="LF37" s="471" t="n"/>
      <c r="LG37" s="561">
        <f>LK101</f>
        <v/>
      </c>
      <c r="LH37" s="471" t="n"/>
      <c r="LI37" s="471" t="n"/>
      <c r="LJ37" s="471" t="n"/>
      <c r="LK37" s="562">
        <f>IF(AND(LF37:LJ37),1,0)</f>
        <v/>
      </c>
      <c r="LM37" s="561" t="inlineStr">
        <is>
          <t>APS 2</t>
        </is>
      </c>
      <c r="LN37" s="561">
        <f>'LFD New'!D3</f>
        <v/>
      </c>
      <c r="LO37" s="471" t="n"/>
      <c r="LQ37" s="840">
        <f>LQ36+1</f>
        <v/>
      </c>
      <c r="LR37" s="534" t="n">
        <v>33</v>
      </c>
      <c r="LS37" s="471" t="n"/>
      <c r="LT37" s="822" t="n"/>
      <c r="LU37" s="471" t="n"/>
      <c r="LV37" s="822" t="n"/>
      <c r="LW37" s="822">
        <f>MA36</f>
        <v/>
      </c>
      <c r="LX37" s="822" t="n"/>
      <c r="LY37" s="471" t="n"/>
      <c r="LZ37" s="471" t="n"/>
      <c r="MA37" s="562">
        <f>IF(AND(LV37:LZ37),1,0)</f>
        <v/>
      </c>
      <c r="MH37" s="561" t="n">
        <v>34</v>
      </c>
      <c r="MI37" s="471" t="n"/>
      <c r="MJ37" s="822" t="n"/>
      <c r="MK37" s="471" t="n"/>
      <c r="ML37" s="822" t="n"/>
      <c r="MM37" s="581">
        <f>MT20</f>
        <v/>
      </c>
      <c r="MN37" s="822" t="n"/>
      <c r="MO37" s="471" t="n"/>
      <c r="MP37" s="471" t="n"/>
      <c r="MQ37" s="562">
        <f>IF(AND(ML37:MP37),1,0)</f>
        <v/>
      </c>
    </row>
    <row r="38" ht="29.25" customHeight="1">
      <c r="A38" s="559" t="n">
        <v>35</v>
      </c>
      <c r="B38" s="471" t="n"/>
      <c r="C38" s="471" t="n"/>
      <c r="D38" s="471" t="n"/>
      <c r="E38" s="471" t="n"/>
      <c r="F38" s="801">
        <f>J37</f>
        <v/>
      </c>
      <c r="G38" s="561" t="n"/>
      <c r="H38" s="471" t="n"/>
      <c r="I38" s="471" t="n"/>
      <c r="J38" s="562">
        <f>IF(AND(E38:I38),1,0)</f>
        <v/>
      </c>
      <c r="P38" s="561" t="n">
        <v>35</v>
      </c>
      <c r="Q38" s="263" t="inlineStr">
        <is>
          <t>HA/24.E5</t>
        </is>
      </c>
      <c r="R38" s="561" t="n"/>
      <c r="S38" s="471" t="n"/>
      <c r="T38" s="471" t="n"/>
      <c r="U38" s="560">
        <f>IF(NOT('DATA TRANSFER'!F30),1,0)</f>
        <v/>
      </c>
      <c r="V38" s="471" t="n"/>
      <c r="W38" s="471" t="n"/>
      <c r="X38" s="471" t="n"/>
      <c r="Y38" s="562">
        <f>IF(AND(T38:X38),1,0)</f>
        <v/>
      </c>
      <c r="AF38" s="561" t="n">
        <v>35</v>
      </c>
      <c r="AG38" s="568" t="n"/>
      <c r="AH38" s="566" t="n"/>
      <c r="AI38" s="471" t="n"/>
      <c r="AJ38" s="471" t="n"/>
      <c r="AK38" s="588">
        <f>AO37</f>
        <v/>
      </c>
      <c r="AL38" s="471" t="n"/>
      <c r="AM38" s="471" t="n"/>
      <c r="AN38" s="471" t="n"/>
      <c r="AO38" s="562">
        <f>IF(AND(AJ38:AN38),1,0)</f>
        <v/>
      </c>
      <c r="AS38" s="840" t="n"/>
      <c r="BI38" s="561" t="n">
        <v>35</v>
      </c>
      <c r="BJ38" s="471" t="n"/>
      <c r="BK38" s="471" t="n"/>
      <c r="BL38" s="471" t="n"/>
      <c r="BM38" s="471" t="n"/>
      <c r="BN38" s="578">
        <f>BR37</f>
        <v/>
      </c>
      <c r="BO38" s="471" t="n"/>
      <c r="BP38" s="471" t="n"/>
      <c r="BQ38" s="471" t="n"/>
      <c r="BR38" s="562">
        <f>IF(AND(BM38:BQ38),1,0)</f>
        <v/>
      </c>
      <c r="BX38" s="561" t="n">
        <v>35</v>
      </c>
      <c r="BY38" s="471" t="n"/>
      <c r="BZ38" s="471" t="n"/>
      <c r="CA38" s="471" t="n"/>
      <c r="CB38" s="471" t="n"/>
      <c r="CC38" s="578">
        <f>CG37</f>
        <v/>
      </c>
      <c r="CD38" s="471" t="n"/>
      <c r="CE38" s="471" t="n"/>
      <c r="CF38" s="471" t="n"/>
      <c r="CG38" s="562">
        <f>IF(AND(CB38:CF38),1,0)</f>
        <v/>
      </c>
      <c r="CI38" s="561" t="n">
        <v>35</v>
      </c>
      <c r="CJ38" s="822" t="n"/>
      <c r="CK38" s="561" t="n"/>
      <c r="CL38" s="471" t="n"/>
      <c r="CM38" s="471" t="n"/>
      <c r="CN38" s="471">
        <f>CR36</f>
        <v/>
      </c>
      <c r="CO38" s="471">
        <f>CR37</f>
        <v/>
      </c>
      <c r="CP38" s="471" t="n"/>
      <c r="CQ38" s="471" t="n"/>
      <c r="CR38" s="562">
        <f>IF(AND(CM38:CQ38),1,0)</f>
        <v/>
      </c>
      <c r="DK38" s="561" t="n">
        <v>35</v>
      </c>
      <c r="DL38" s="566" t="n"/>
      <c r="DM38" s="561" t="n"/>
      <c r="DN38" s="471" t="n"/>
      <c r="DO38" s="471" t="n"/>
      <c r="DP38" s="801">
        <f>DT37</f>
        <v/>
      </c>
      <c r="DQ38" s="471" t="n"/>
      <c r="DR38" s="471" t="n"/>
      <c r="DS38" s="471" t="n"/>
      <c r="DT38" s="562">
        <f>IF(AND(DO38:DS38),1,0)</f>
        <v/>
      </c>
      <c r="DZ38" s="561" t="n">
        <v>35</v>
      </c>
      <c r="EA38" s="566" t="inlineStr">
        <is>
          <t>X4</t>
        </is>
      </c>
      <c r="EB38" s="561" t="inlineStr">
        <is>
          <t>TX+</t>
        </is>
      </c>
      <c r="EC38" s="471" t="n"/>
      <c r="ED38" s="471" t="n"/>
      <c r="EE38" s="565" t="n">
        <v>1</v>
      </c>
      <c r="EF38" s="471" t="n"/>
      <c r="EG38" s="471" t="n"/>
      <c r="EH38" s="471" t="n"/>
      <c r="EI38" s="571">
        <f>IF(AND(ED38:EH38),1,0)</f>
        <v/>
      </c>
      <c r="EO38" s="561" t="n">
        <v>35</v>
      </c>
      <c r="EP38" s="566" t="n"/>
      <c r="EQ38" s="561" t="inlineStr">
        <is>
          <t>PPR2</t>
        </is>
      </c>
      <c r="ER38" s="471" t="n"/>
      <c r="ES38" s="471" t="n"/>
      <c r="ET38" s="570">
        <f>FA11</f>
        <v/>
      </c>
      <c r="EU38" s="471">
        <f>EX37</f>
        <v/>
      </c>
      <c r="EV38" s="471" t="n"/>
      <c r="EW38" s="471" t="n"/>
      <c r="EX38" s="562">
        <f>IF(AND(ES38:EW38),1,0)</f>
        <v/>
      </c>
      <c r="FE38" s="561" t="n">
        <v>35</v>
      </c>
      <c r="FF38" s="566" t="n"/>
      <c r="FG38" s="561" t="inlineStr">
        <is>
          <t>PPR2</t>
        </is>
      </c>
      <c r="FH38" s="471" t="n"/>
      <c r="FI38" s="471" t="n"/>
      <c r="FJ38" s="570">
        <f>FA11</f>
        <v/>
      </c>
      <c r="FK38" s="471">
        <f>FN37</f>
        <v/>
      </c>
      <c r="FL38" s="471" t="n"/>
      <c r="FM38" s="471" t="n"/>
      <c r="FN38" s="562">
        <f>IF(AND(FI38:FM38),1,0)</f>
        <v/>
      </c>
      <c r="FT38" s="561" t="n">
        <v>35</v>
      </c>
      <c r="FU38" s="566" t="n"/>
      <c r="FV38" s="822" t="n"/>
      <c r="FW38" s="471" t="n"/>
      <c r="FX38" s="471" t="n"/>
      <c r="FY38" s="561">
        <f>GC37</f>
        <v/>
      </c>
      <c r="FZ38" s="801" t="n"/>
      <c r="GA38" s="471" t="n"/>
      <c r="GB38" s="471" t="n"/>
      <c r="GC38" s="562">
        <f>IF(AND(FX38:GB38),1,0)</f>
        <v/>
      </c>
      <c r="GF38" s="561" t="n">
        <v>35</v>
      </c>
      <c r="GG38" s="566" t="n"/>
      <c r="GH38" s="822" t="inlineStr">
        <is>
          <t>SFC OFF</t>
        </is>
      </c>
      <c r="GI38" s="471" t="n"/>
      <c r="GJ38" s="471" t="n"/>
      <c r="GK38" s="573">
        <f>GR15</f>
        <v/>
      </c>
      <c r="GL38" s="471">
        <f>GO37</f>
        <v/>
      </c>
      <c r="GM38" s="471" t="n"/>
      <c r="GN38" s="471" t="n"/>
      <c r="GO38" s="562">
        <f>IF(AND(GJ38:GN38),1,0)</f>
        <v/>
      </c>
      <c r="GU38" s="561" t="n">
        <v>35</v>
      </c>
      <c r="GV38" s="566" t="n"/>
      <c r="GW38" s="822" t="n"/>
      <c r="GX38" s="471" t="n"/>
      <c r="GY38" s="471" t="n"/>
      <c r="GZ38" s="801">
        <f>HD37</f>
        <v/>
      </c>
      <c r="HA38" s="471" t="n"/>
      <c r="HB38" s="471" t="n"/>
      <c r="HC38" s="471" t="n"/>
      <c r="HD38" s="571">
        <f>IF(AND(GY38:HC38),1,0)</f>
        <v/>
      </c>
      <c r="HK38" s="561" t="n">
        <v>35</v>
      </c>
      <c r="HL38" s="471" t="n"/>
      <c r="HM38" s="561" t="inlineStr">
        <is>
          <t>EMR</t>
        </is>
      </c>
      <c r="HN38" s="471" t="n"/>
      <c r="HO38" s="471" t="n"/>
      <c r="HP38" s="573">
        <f>HW13</f>
        <v/>
      </c>
      <c r="HQ38" s="471" t="n"/>
      <c r="HR38" s="471" t="n"/>
      <c r="HS38" s="471" t="n"/>
      <c r="HT38" s="562">
        <f>IF(AND(HO38:HS38),1,0)</f>
        <v/>
      </c>
      <c r="IL38" s="561" t="n">
        <v>35</v>
      </c>
      <c r="IM38" s="471" t="n"/>
      <c r="IN38" s="471" t="n"/>
      <c r="IO38" s="471" t="n"/>
      <c r="IP38" s="566" t="n"/>
      <c r="IQ38" s="566">
        <f>IU37</f>
        <v/>
      </c>
      <c r="IR38" s="471" t="n"/>
      <c r="IS38" s="471" t="n"/>
      <c r="IT38" s="471" t="n"/>
      <c r="IU38" s="562">
        <f>IF(AND(IP38:IT38),1,0)</f>
        <v/>
      </c>
      <c r="JN38" s="561" t="n">
        <v>35</v>
      </c>
      <c r="JO38" s="471" t="n"/>
      <c r="JP38" s="822" t="n"/>
      <c r="JQ38" s="471" t="n"/>
      <c r="JR38" s="566" t="n"/>
      <c r="JS38" s="566">
        <f>JW36</f>
        <v/>
      </c>
      <c r="JT38" s="566" t="n"/>
      <c r="JU38" s="471" t="n"/>
      <c r="JV38" s="471" t="n"/>
      <c r="JW38" s="562">
        <f>IF(AND(JR38:JV38),1,0)</f>
        <v/>
      </c>
      <c r="KP38" s="561" t="n">
        <v>35</v>
      </c>
      <c r="KQ38" s="471" t="n"/>
      <c r="KR38" s="822" t="n"/>
      <c r="KS38" s="471" t="n"/>
      <c r="KT38" s="822" t="n"/>
      <c r="KU38" s="581" t="n">
        <v>1</v>
      </c>
      <c r="KV38" s="566" t="n"/>
      <c r="KW38" s="471" t="n"/>
      <c r="KX38" s="471" t="n"/>
      <c r="KY38" s="562">
        <f>IF(AND(KT38:KX38),1,0)</f>
        <v/>
      </c>
      <c r="LB38" s="561" t="n">
        <v>35</v>
      </c>
      <c r="LC38" s="471" t="n"/>
      <c r="LD38" s="822" t="n"/>
      <c r="LE38" s="471" t="n"/>
      <c r="LF38" s="822" t="n"/>
      <c r="LG38" s="822">
        <f>LK103</f>
        <v/>
      </c>
      <c r="LH38" s="822" t="n"/>
      <c r="LI38" s="471" t="n"/>
      <c r="LJ38" s="471" t="n"/>
      <c r="LK38" s="562">
        <f>IF(AND(LF38:LJ38),1,0)</f>
        <v/>
      </c>
      <c r="LQ38" s="840">
        <f>LQ37+1</f>
        <v/>
      </c>
      <c r="LR38" s="534" t="n">
        <v>34</v>
      </c>
      <c r="LS38" s="471" t="n"/>
      <c r="LT38" s="822" t="n"/>
      <c r="LU38" s="471" t="n"/>
      <c r="LV38" s="822" t="n"/>
      <c r="LW38" s="822">
        <f>MA37</f>
        <v/>
      </c>
      <c r="LX38" s="822" t="n"/>
      <c r="LY38" s="471" t="n"/>
      <c r="LZ38" s="471" t="n"/>
      <c r="MA38" s="562">
        <f>IF(AND(LV38:LZ38),1,0)</f>
        <v/>
      </c>
      <c r="MH38" s="561" t="n">
        <v>35</v>
      </c>
      <c r="MI38" s="471" t="n"/>
      <c r="MJ38" s="822" t="n"/>
      <c r="MK38" s="471" t="n"/>
      <c r="ML38" s="822" t="n"/>
      <c r="MM38" s="822">
        <f>HVAC_IOs!D43</f>
        <v/>
      </c>
      <c r="MN38" s="822" t="n"/>
      <c r="MO38" s="471" t="n"/>
      <c r="MP38" s="471" t="n"/>
      <c r="MQ38" s="562">
        <f>IF(AND(ML38:MP38),1,0)</f>
        <v/>
      </c>
    </row>
    <row r="39" ht="31" customHeight="1">
      <c r="A39" s="559" t="n">
        <v>36</v>
      </c>
      <c r="B39" s="471" t="n"/>
      <c r="C39" s="471" t="n"/>
      <c r="D39" s="471" t="n"/>
      <c r="E39" s="471" t="n"/>
      <c r="F39" s="801">
        <f>J38</f>
        <v/>
      </c>
      <c r="G39" s="561" t="n"/>
      <c r="H39" s="471" t="n"/>
      <c r="I39" s="471" t="n"/>
      <c r="J39" s="562">
        <f>IF(AND(E39:I39),1,0)</f>
        <v/>
      </c>
      <c r="P39" s="561" t="n">
        <v>36</v>
      </c>
      <c r="Q39" s="471" t="n"/>
      <c r="R39" s="561" t="n"/>
      <c r="S39" s="471" t="n"/>
      <c r="T39" s="471" t="n"/>
      <c r="U39" s="801">
        <f>Y38</f>
        <v/>
      </c>
      <c r="V39" s="471" t="n"/>
      <c r="W39" s="471" t="n"/>
      <c r="X39" s="471" t="n"/>
      <c r="Y39" s="562">
        <f>IF(AND(T39:X39),1,0)</f>
        <v/>
      </c>
      <c r="AF39" s="561" t="n">
        <v>36</v>
      </c>
      <c r="AG39" s="564" t="inlineStr">
        <is>
          <t>-HA/24.E5</t>
        </is>
      </c>
      <c r="AH39" s="566" t="n"/>
      <c r="AI39" s="471" t="n"/>
      <c r="AJ39" s="471" t="n"/>
      <c r="AK39" s="560" t="n">
        <v>1</v>
      </c>
      <c r="AL39" s="471" t="n"/>
      <c r="AM39" s="471" t="n"/>
      <c r="AN39" s="471" t="n"/>
      <c r="AO39" s="562">
        <f>IF(AND(AJ39:AN39),1,0)</f>
        <v/>
      </c>
      <c r="AS39" s="840" t="n"/>
      <c r="BI39" s="561" t="n">
        <v>36</v>
      </c>
      <c r="BJ39" s="471" t="n"/>
      <c r="BK39" s="471" t="n"/>
      <c r="BL39" s="471" t="n"/>
      <c r="BM39" s="471" t="n"/>
      <c r="BN39" s="561">
        <f>BR35</f>
        <v/>
      </c>
      <c r="BO39" s="471" t="n"/>
      <c r="BP39" s="471" t="n"/>
      <c r="BQ39" s="471" t="n"/>
      <c r="BR39" s="562">
        <f>IF(AND(BM39:BQ39),1,0)</f>
        <v/>
      </c>
      <c r="BX39" s="561" t="n">
        <v>36</v>
      </c>
      <c r="BY39" s="471" t="n"/>
      <c r="BZ39" s="471" t="n"/>
      <c r="CA39" s="471" t="n"/>
      <c r="CB39" s="471" t="n"/>
      <c r="CC39" s="561">
        <f>CG35</f>
        <v/>
      </c>
      <c r="CD39" s="471" t="n"/>
      <c r="CE39" s="471" t="n"/>
      <c r="CF39" s="471" t="n"/>
      <c r="CG39" s="562">
        <f>IF(AND(CB39:CF39),1,0)</f>
        <v/>
      </c>
      <c r="CI39" s="561" t="n">
        <v>36</v>
      </c>
      <c r="CJ39" s="822" t="inlineStr">
        <is>
          <t>UD .X14.05-F-A 9 +14.10</t>
        </is>
      </c>
      <c r="CK39" s="561" t="n"/>
      <c r="CL39" s="471" t="n"/>
      <c r="CM39" s="471" t="n"/>
      <c r="CN39" s="471">
        <f>CR38</f>
        <v/>
      </c>
      <c r="CO39" s="471" t="n"/>
      <c r="CP39" s="471" t="n"/>
      <c r="CQ39" s="471" t="n"/>
      <c r="CR39" s="562">
        <f>IF(AND(CM39:CQ39),1,0)</f>
        <v/>
      </c>
      <c r="DK39" s="561" t="n">
        <v>36</v>
      </c>
      <c r="DL39" s="566" t="n"/>
      <c r="DM39" s="561" t="inlineStr">
        <is>
          <t xml:space="preserve"> FROM APS 415 VAC(PE)</t>
        </is>
      </c>
      <c r="DN39" s="471" t="n"/>
      <c r="DO39" s="471" t="n"/>
      <c r="DP39" s="560" t="n">
        <v>1</v>
      </c>
      <c r="DQ39" s="471" t="n"/>
      <c r="DR39" s="471" t="n"/>
      <c r="DS39" s="471" t="n"/>
      <c r="DT39" s="562">
        <f>IF(AND(DO39:DS39),1,0)</f>
        <v/>
      </c>
      <c r="DZ39" s="561" t="n">
        <v>36</v>
      </c>
      <c r="EA39" s="566" t="n"/>
      <c r="EB39" s="561" t="n"/>
      <c r="EC39" s="471" t="n"/>
      <c r="ED39" s="471" t="n"/>
      <c r="EE39" s="471">
        <f>EI38</f>
        <v/>
      </c>
      <c r="EF39" s="471" t="n"/>
      <c r="EG39" s="471" t="n"/>
      <c r="EH39" s="471" t="n"/>
      <c r="EI39" s="571">
        <f>IF(AND(ED39:EH39),1,0)</f>
        <v/>
      </c>
      <c r="EO39" s="561" t="n">
        <v>36</v>
      </c>
      <c r="EP39" s="566" t="n"/>
      <c r="EQ39" s="561" t="n"/>
      <c r="ER39" s="471" t="n"/>
      <c r="ES39" s="471" t="n"/>
      <c r="ET39" s="471">
        <f>EX38</f>
        <v/>
      </c>
      <c r="EU39" s="471" t="n"/>
      <c r="EV39" s="471" t="n"/>
      <c r="EW39" s="471" t="n"/>
      <c r="EX39" s="562">
        <f>IF(AND(ES39:EW39),1,0)</f>
        <v/>
      </c>
      <c r="FE39" s="561" t="n">
        <v>36</v>
      </c>
      <c r="FF39" s="566" t="n"/>
      <c r="FG39" s="561" t="n"/>
      <c r="FH39" s="471" t="n"/>
      <c r="FI39" s="471" t="n"/>
      <c r="FJ39" s="471">
        <f>FN38</f>
        <v/>
      </c>
      <c r="FK39" s="471" t="n"/>
      <c r="FL39" s="471" t="n"/>
      <c r="FM39" s="471" t="n"/>
      <c r="FN39" s="562">
        <f>IF(AND(FI39:FM39),1,0)</f>
        <v/>
      </c>
      <c r="FT39" s="561" t="n">
        <v>36</v>
      </c>
      <c r="FU39" s="566" t="n"/>
      <c r="FV39" s="822" t="inlineStr">
        <is>
          <t>PPR2</t>
        </is>
      </c>
      <c r="FW39" s="471" t="n"/>
      <c r="FX39" s="471" t="n"/>
      <c r="FY39" s="569">
        <f>FQ11</f>
        <v/>
      </c>
      <c r="FZ39" s="801">
        <f>GC38</f>
        <v/>
      </c>
      <c r="GA39" s="471" t="n"/>
      <c r="GB39" s="471" t="n"/>
      <c r="GC39" s="562">
        <f>IF(AND(FX39:GB39),1,0)</f>
        <v/>
      </c>
      <c r="GF39" s="561" t="n">
        <v>36</v>
      </c>
      <c r="GG39" s="566" t="n"/>
      <c r="GH39" s="822" t="n"/>
      <c r="GI39" s="471" t="n"/>
      <c r="GJ39" s="471" t="n"/>
      <c r="GK39" s="561">
        <f>GO38</f>
        <v/>
      </c>
      <c r="GL39" s="471" t="n"/>
      <c r="GM39" s="471" t="n"/>
      <c r="GN39" s="471" t="n"/>
      <c r="GO39" s="562">
        <f>IF(AND(GJ39:GN39),1,0)</f>
        <v/>
      </c>
      <c r="GU39" s="561" t="n">
        <v>36</v>
      </c>
      <c r="GV39" s="566" t="n"/>
      <c r="GW39" s="822" t="n"/>
      <c r="GX39" s="471" t="n"/>
      <c r="GY39" s="471" t="n"/>
      <c r="GZ39" s="801">
        <f>HD38</f>
        <v/>
      </c>
      <c r="HA39" s="471" t="n"/>
      <c r="HB39" s="471" t="n"/>
      <c r="HC39" s="471" t="n"/>
      <c r="HD39" s="571">
        <f>IF(AND(GY39:HC39),1,0)</f>
        <v/>
      </c>
      <c r="HK39" s="561" t="n">
        <v>36</v>
      </c>
      <c r="HL39" s="471" t="n"/>
      <c r="HM39" s="801" t="inlineStr">
        <is>
          <t>110V DC</t>
        </is>
      </c>
      <c r="HN39" s="471" t="n"/>
      <c r="HO39" s="471" t="n"/>
      <c r="HP39" s="569">
        <f>HW18</f>
        <v/>
      </c>
      <c r="HQ39" s="471" t="n"/>
      <c r="HR39" s="471" t="n"/>
      <c r="HS39" s="471" t="n"/>
      <c r="HT39" s="562">
        <f>IF(AND(HO39:HS39),1,0)</f>
        <v/>
      </c>
      <c r="IL39" s="561" t="n">
        <v>36</v>
      </c>
      <c r="IM39" s="471" t="n"/>
      <c r="IN39" s="471" t="n"/>
      <c r="IO39" s="471" t="n"/>
      <c r="IP39" s="566" t="n"/>
      <c r="IQ39" s="566">
        <f>IU38</f>
        <v/>
      </c>
      <c r="IR39" s="471" t="n"/>
      <c r="IS39" s="471" t="n"/>
      <c r="IT39" s="471" t="n"/>
      <c r="IU39" s="562">
        <f>IF(AND(IP39:IT39),1,0)</f>
        <v/>
      </c>
      <c r="JN39" s="561" t="n">
        <v>36</v>
      </c>
      <c r="JO39" s="471" t="n"/>
      <c r="JP39" s="822" t="inlineStr">
        <is>
          <t>HVAC CAR 1</t>
        </is>
      </c>
      <c r="JQ39" s="471" t="n"/>
      <c r="JR39" s="566" t="n"/>
      <c r="JS39" s="566">
        <f>JW12</f>
        <v/>
      </c>
      <c r="JT39" s="566" t="n"/>
      <c r="JU39" s="471" t="n"/>
      <c r="JV39" s="471" t="n"/>
      <c r="JW39" s="562">
        <f>IF(AND(JR39:JV39),1,0)</f>
        <v/>
      </c>
      <c r="KP39" s="561" t="n">
        <v>36</v>
      </c>
      <c r="KQ39" s="471" t="n"/>
      <c r="KR39" s="822" t="n"/>
      <c r="KS39" s="471" t="n"/>
      <c r="KT39" s="822" t="n"/>
      <c r="KU39" s="822">
        <f>IF(OR(KY40,KY42,KY44,KY46,KY48,KY50,KY52,KY54,KY56),1,0)</f>
        <v/>
      </c>
      <c r="KV39" s="566" t="n"/>
      <c r="KW39" s="471" t="n"/>
      <c r="KX39" s="471" t="n"/>
      <c r="KY39" s="562">
        <f>IF(AND(KT39:KX39),1,0)</f>
        <v/>
      </c>
      <c r="LB39" s="561" t="n">
        <v>36</v>
      </c>
      <c r="LC39" s="471" t="n"/>
      <c r="LD39" s="822" t="inlineStr">
        <is>
          <t>COMPRESSOR 1 Pa=7,5kW p.f.=0,75</t>
        </is>
      </c>
      <c r="LE39" s="471" t="n"/>
      <c r="LF39" s="822" t="n"/>
      <c r="LG39" s="574">
        <f>'DATA TRANSFER'!AT15</f>
        <v/>
      </c>
      <c r="LH39" s="822">
        <f>LK38</f>
        <v/>
      </c>
      <c r="LI39" s="801">
        <f>LK77</f>
        <v/>
      </c>
      <c r="LJ39" s="801">
        <f>LK104</f>
        <v/>
      </c>
      <c r="LK39" s="562">
        <f>IF(AND(LF39:LJ39),1,0)</f>
        <v/>
      </c>
      <c r="LQ39" s="840">
        <f>LQ38+1</f>
        <v/>
      </c>
      <c r="LR39" s="534" t="n">
        <v>35</v>
      </c>
      <c r="LS39" s="471" t="n"/>
      <c r="LT39" s="822" t="n"/>
      <c r="LU39" s="471" t="n"/>
      <c r="LV39" s="822" t="n"/>
      <c r="LW39" s="822">
        <f>MA38</f>
        <v/>
      </c>
      <c r="LX39" s="822" t="n"/>
      <c r="LY39" s="471" t="n"/>
      <c r="LZ39" s="471" t="n"/>
      <c r="MA39" s="562">
        <f>IF(AND(LV39:LZ39),1,0)</f>
        <v/>
      </c>
      <c r="MH39" s="561" t="n">
        <v>36</v>
      </c>
      <c r="MI39" s="471" t="n"/>
      <c r="MJ39" s="822" t="n"/>
      <c r="MK39" s="471" t="n"/>
      <c r="ML39" s="822" t="n"/>
      <c r="MM39" s="822">
        <f>MQ15</f>
        <v/>
      </c>
      <c r="MN39" s="822" t="n"/>
      <c r="MO39" s="471" t="n"/>
      <c r="MP39" s="471" t="n"/>
      <c r="MQ39" s="562">
        <f>IF(AND(ML39:MP39),1,0)</f>
        <v/>
      </c>
    </row>
    <row r="40" ht="28.5" customHeight="1">
      <c r="A40" s="559" t="n">
        <v>37</v>
      </c>
      <c r="B40" s="471" t="n"/>
      <c r="C40" s="801" t="inlineStr">
        <is>
          <t>TERMOSTAT 1</t>
        </is>
      </c>
      <c r="D40" s="471" t="n"/>
      <c r="E40" s="471" t="n"/>
      <c r="F40" s="582">
        <f>M11</f>
        <v/>
      </c>
      <c r="G40" s="801">
        <f>J39</f>
        <v/>
      </c>
      <c r="H40" s="471" t="n"/>
      <c r="I40" s="471" t="n"/>
      <c r="J40" s="562">
        <f>IF(AND(E40:I40),1,0)</f>
        <v/>
      </c>
      <c r="P40" s="561" t="n">
        <v>37</v>
      </c>
      <c r="Q40" s="471" t="n"/>
      <c r="R40" s="561" t="n"/>
      <c r="S40" s="471" t="n"/>
      <c r="T40" s="471" t="n"/>
      <c r="U40" s="801">
        <f>Y39</f>
        <v/>
      </c>
      <c r="V40" s="471" t="n"/>
      <c r="W40" s="471" t="n"/>
      <c r="X40" s="471" t="n"/>
      <c r="Y40" s="562">
        <f>IF(AND(T40:X40),1,0)</f>
        <v/>
      </c>
      <c r="AF40" s="561" t="n">
        <v>37</v>
      </c>
      <c r="AG40" s="568" t="n"/>
      <c r="AH40" s="566" t="n"/>
      <c r="AI40" s="471" t="n"/>
      <c r="AJ40" s="471" t="n"/>
      <c r="AK40" s="588">
        <f>AO39</f>
        <v/>
      </c>
      <c r="AL40" s="471" t="n"/>
      <c r="AM40" s="471" t="n"/>
      <c r="AN40" s="471" t="n"/>
      <c r="AO40" s="562">
        <f>IF(AND(AJ40:AN40),1,0)</f>
        <v/>
      </c>
      <c r="AS40" s="840" t="n"/>
      <c r="BI40" s="561" t="n">
        <v>37</v>
      </c>
      <c r="BJ40" s="471" t="n"/>
      <c r="BK40" s="471" t="n"/>
      <c r="BL40" s="471" t="n"/>
      <c r="BM40" s="471" t="n"/>
      <c r="BN40" s="578">
        <f>BR39</f>
        <v/>
      </c>
      <c r="BO40" s="471" t="n"/>
      <c r="BP40" s="471" t="n"/>
      <c r="BQ40" s="471" t="n"/>
      <c r="BR40" s="562">
        <f>IF(AND(BM40:BQ40),1,0)</f>
        <v/>
      </c>
      <c r="BX40" s="561" t="n">
        <v>37</v>
      </c>
      <c r="BY40" s="471" t="n"/>
      <c r="BZ40" s="471" t="n"/>
      <c r="CA40" s="471" t="n"/>
      <c r="CB40" s="471" t="n"/>
      <c r="CC40" s="578">
        <f>CG39</f>
        <v/>
      </c>
      <c r="CD40" s="471" t="n"/>
      <c r="CE40" s="471" t="n"/>
      <c r="CF40" s="471" t="n"/>
      <c r="CG40" s="562">
        <f>IF(AND(CB40:CF40),1,0)</f>
        <v/>
      </c>
      <c r="CI40" s="561" t="n">
        <v>37</v>
      </c>
      <c r="CJ40" s="822" t="n"/>
      <c r="CK40" s="561" t="n"/>
      <c r="CL40" s="471" t="n"/>
      <c r="CM40" s="471" t="n"/>
      <c r="CN40" s="471">
        <f>CR38</f>
        <v/>
      </c>
      <c r="CO40" s="471" t="n"/>
      <c r="CP40" s="471" t="n"/>
      <c r="CQ40" s="471" t="n"/>
      <c r="CR40" s="562">
        <f>IF(AND(CM40:CQ40),1,0)</f>
        <v/>
      </c>
      <c r="DK40" s="561" t="n">
        <v>37</v>
      </c>
      <c r="DL40" s="566" t="n"/>
      <c r="DM40" s="561" t="n"/>
      <c r="DN40" s="471" t="n"/>
      <c r="DO40" s="471" t="n"/>
      <c r="DP40" s="801">
        <f>DT39</f>
        <v/>
      </c>
      <c r="DQ40" s="471" t="n"/>
      <c r="DR40" s="471" t="n"/>
      <c r="DS40" s="471" t="n"/>
      <c r="DT40" s="562">
        <f>IF(AND(DO40:DS40),1,0)</f>
        <v/>
      </c>
      <c r="DZ40" s="561" t="n">
        <v>37</v>
      </c>
      <c r="EA40" s="566" t="inlineStr">
        <is>
          <t>X4</t>
        </is>
      </c>
      <c r="EB40" s="561" t="inlineStr">
        <is>
          <t>RX+</t>
        </is>
      </c>
      <c r="EC40" s="471" t="n"/>
      <c r="ED40" s="471" t="n"/>
      <c r="EE40" s="565" t="n">
        <v>1</v>
      </c>
      <c r="EF40" s="471" t="n"/>
      <c r="EG40" s="471" t="n"/>
      <c r="EH40" s="471" t="n"/>
      <c r="EI40" s="571">
        <f>IF(AND(ED40:EH40),1,0)</f>
        <v/>
      </c>
      <c r="EO40" s="561" t="n">
        <v>37</v>
      </c>
      <c r="EP40" s="566" t="n"/>
      <c r="EQ40" s="561" t="inlineStr">
        <is>
          <t>TMR2</t>
        </is>
      </c>
      <c r="ER40" s="471" t="n"/>
      <c r="ES40" s="471" t="n"/>
      <c r="ET40" s="570">
        <f>FA12</f>
        <v/>
      </c>
      <c r="EU40" s="471">
        <f>EX39</f>
        <v/>
      </c>
      <c r="EV40" s="471" t="n"/>
      <c r="EW40" s="471" t="n"/>
      <c r="EX40" s="562">
        <f>IF(AND(ES40:EW40),1,0)</f>
        <v/>
      </c>
      <c r="FE40" s="561" t="n">
        <v>37</v>
      </c>
      <c r="FF40" s="566" t="n"/>
      <c r="FG40" s="561" t="inlineStr">
        <is>
          <t>TMR2</t>
        </is>
      </c>
      <c r="FH40" s="471" t="n"/>
      <c r="FI40" s="471" t="n"/>
      <c r="FJ40" s="570">
        <f>FA12</f>
        <v/>
      </c>
      <c r="FK40" s="471">
        <f>FN39</f>
        <v/>
      </c>
      <c r="FL40" s="471" t="n"/>
      <c r="FM40" s="471" t="n"/>
      <c r="FN40" s="562">
        <f>IF(AND(FI40:FM40),1,0)</f>
        <v/>
      </c>
      <c r="FT40" s="561" t="n">
        <v>37</v>
      </c>
      <c r="FU40" s="566" t="n"/>
      <c r="FV40" s="822" t="n"/>
      <c r="FW40" s="471" t="n"/>
      <c r="FX40" s="471" t="n"/>
      <c r="FY40" s="561">
        <f>GC39</f>
        <v/>
      </c>
      <c r="FZ40" s="471" t="n"/>
      <c r="GA40" s="471" t="n"/>
      <c r="GB40" s="471" t="n"/>
      <c r="GC40" s="562">
        <f>IF(AND(FX40:GB40),1,0)</f>
        <v/>
      </c>
      <c r="GF40" s="561" t="n">
        <v>37</v>
      </c>
      <c r="GG40" s="566" t="n"/>
      <c r="GH40" s="822" t="inlineStr">
        <is>
          <t>FADR3</t>
        </is>
      </c>
      <c r="GI40" s="471" t="n"/>
      <c r="GJ40" s="471" t="n"/>
      <c r="GK40" s="573">
        <f>GR11</f>
        <v/>
      </c>
      <c r="GL40" s="471">
        <f>GO39</f>
        <v/>
      </c>
      <c r="GM40" s="471" t="n"/>
      <c r="GN40" s="471" t="n"/>
      <c r="GO40" s="562">
        <f>IF(AND(GJ40:GN40),1,0)</f>
        <v/>
      </c>
      <c r="GU40" s="561" t="n">
        <v>37</v>
      </c>
      <c r="GV40" s="566" t="n"/>
      <c r="GW40" s="822" t="n"/>
      <c r="GX40" s="471" t="n"/>
      <c r="GY40" s="471" t="n"/>
      <c r="GZ40" s="560" t="n">
        <v>1</v>
      </c>
      <c r="HA40" s="471" t="n"/>
      <c r="HB40" s="471" t="n"/>
      <c r="HC40" s="471" t="n"/>
      <c r="HD40" s="571">
        <f>IF(AND(GY40:HC40),1,0)</f>
        <v/>
      </c>
      <c r="HK40" s="561" t="n">
        <v>37</v>
      </c>
      <c r="HL40" s="471" t="n"/>
      <c r="HM40" s="561" t="inlineStr">
        <is>
          <t>APS1</t>
        </is>
      </c>
      <c r="HN40" s="471" t="n"/>
      <c r="HO40" s="471" t="n"/>
      <c r="HP40" s="573">
        <f>HW6</f>
        <v/>
      </c>
      <c r="HQ40" s="471" t="n"/>
      <c r="HR40" s="471" t="n"/>
      <c r="HS40" s="471" t="n"/>
      <c r="HT40" s="562">
        <f>IF(AND(HO40:HS40),1,0)</f>
        <v/>
      </c>
      <c r="IL40" s="561" t="n">
        <v>37</v>
      </c>
      <c r="IM40" s="471" t="n"/>
      <c r="IN40" s="471" t="n"/>
      <c r="IO40" s="471" t="n"/>
      <c r="IP40" s="566" t="n"/>
      <c r="IQ40" s="566">
        <f>IU39</f>
        <v/>
      </c>
      <c r="IR40" s="471" t="n"/>
      <c r="IS40" s="471" t="n"/>
      <c r="IT40" s="471" t="n"/>
      <c r="IU40" s="562">
        <f>IF(AND(IP40:IT40),1,0)</f>
        <v/>
      </c>
      <c r="JN40" s="561" t="n">
        <v>37</v>
      </c>
      <c r="JO40" s="471" t="n"/>
      <c r="JP40" s="822" t="inlineStr">
        <is>
          <t>HVAC CAR 2</t>
        </is>
      </c>
      <c r="JQ40" s="471" t="n"/>
      <c r="JR40" s="566" t="n"/>
      <c r="JS40" s="566">
        <f>IF(OR(JW8,JW15),1,0)</f>
        <v/>
      </c>
      <c r="JT40" s="566" t="n"/>
      <c r="JU40" s="471" t="n"/>
      <c r="JV40" s="471" t="n"/>
      <c r="JW40" s="562">
        <f>IF(AND(JR40:JV40),1,0)</f>
        <v/>
      </c>
      <c r="KP40" s="561" t="n">
        <v>37</v>
      </c>
      <c r="KQ40" s="471" t="n"/>
      <c r="KR40" s="822" t="n"/>
      <c r="KS40" s="471" t="n"/>
      <c r="KT40" s="822" t="n"/>
      <c r="KU40" s="822">
        <f>KY42</f>
        <v/>
      </c>
      <c r="KV40" s="566" t="n"/>
      <c r="KW40" s="471" t="n"/>
      <c r="KX40" s="471" t="n"/>
      <c r="KY40" s="562">
        <f>IF(AND(KT40:KX40),1,0)</f>
        <v/>
      </c>
      <c r="LB40" s="561" t="n">
        <v>37</v>
      </c>
      <c r="LC40" s="471" t="n"/>
      <c r="LD40" s="822" t="n"/>
      <c r="LE40" s="471" t="n"/>
      <c r="LF40" s="822" t="n"/>
      <c r="LG40" s="822" t="n">
        <v>1</v>
      </c>
      <c r="LH40" s="822" t="n"/>
      <c r="LI40" s="471" t="n"/>
      <c r="LJ40" s="471" t="n"/>
      <c r="LK40" s="562">
        <f>IF(AND(LF40:LJ40),1,0)</f>
        <v/>
      </c>
      <c r="LQ40" s="840">
        <f>LQ39+1</f>
        <v/>
      </c>
      <c r="LR40" s="534" t="n">
        <v>36</v>
      </c>
      <c r="LS40" s="471" t="n"/>
      <c r="LT40" s="822" t="n"/>
      <c r="LU40" s="471" t="n"/>
      <c r="LV40" s="822" t="n"/>
      <c r="LW40" s="822">
        <f>MA39</f>
        <v/>
      </c>
      <c r="LX40" s="822" t="n"/>
      <c r="LY40" s="471" t="n"/>
      <c r="LZ40" s="471" t="n"/>
      <c r="MA40" s="562">
        <f>IF(AND(LV40:LZ40),1,0)</f>
        <v/>
      </c>
      <c r="MH40" s="561" t="n">
        <v>37</v>
      </c>
      <c r="MI40" s="471" t="n"/>
      <c r="MJ40" s="822" t="inlineStr">
        <is>
          <t>SMRR</t>
        </is>
      </c>
      <c r="MK40" s="471" t="n"/>
      <c r="ML40" s="822" t="n"/>
      <c r="MM40" s="574">
        <f>IF(OR(MT11=1,MT12=1),0,1)</f>
        <v/>
      </c>
      <c r="MN40" s="822" t="n"/>
      <c r="MO40" s="471" t="n"/>
      <c r="MP40" s="471" t="n"/>
      <c r="MQ40" s="562">
        <f>IF(AND(ML40:MP40),1,0)</f>
        <v/>
      </c>
    </row>
    <row r="41">
      <c r="A41" s="559" t="n">
        <v>38</v>
      </c>
      <c r="B41" s="471" t="n"/>
      <c r="C41" s="801" t="inlineStr">
        <is>
          <t>HTC</t>
        </is>
      </c>
      <c r="D41" s="471" t="n"/>
      <c r="E41" s="471" t="n"/>
      <c r="F41" s="582">
        <f>M13</f>
        <v/>
      </c>
      <c r="G41" s="561">
        <f>J40</f>
        <v/>
      </c>
      <c r="H41" s="471" t="n"/>
      <c r="I41" s="471" t="n"/>
      <c r="J41" s="562">
        <f>IF(AND(E41:I41),1,0)</f>
        <v/>
      </c>
      <c r="P41" s="561" t="n">
        <v>38</v>
      </c>
      <c r="Q41" s="263" t="inlineStr">
        <is>
          <t>-HA/24.E5</t>
        </is>
      </c>
      <c r="R41" s="561" t="n"/>
      <c r="S41" s="471" t="n"/>
      <c r="T41" s="471" t="n"/>
      <c r="U41" s="560" t="n">
        <v>1</v>
      </c>
      <c r="V41" s="471" t="n"/>
      <c r="W41" s="471" t="n"/>
      <c r="X41" s="471" t="n"/>
      <c r="Y41" s="562">
        <f>IF(AND(T41:X41),1,0)</f>
        <v/>
      </c>
      <c r="AF41" s="561" t="n">
        <v>38</v>
      </c>
      <c r="AG41" s="568" t="n"/>
      <c r="AH41" s="566" t="n"/>
      <c r="AI41" s="471" t="n"/>
      <c r="AJ41" s="471" t="n"/>
      <c r="AK41" s="588">
        <f>AO40</f>
        <v/>
      </c>
      <c r="AL41" s="471" t="n"/>
      <c r="AM41" s="471" t="n"/>
      <c r="AN41" s="471" t="n"/>
      <c r="AO41" s="562">
        <f>IF(AND(AJ41:AN41),1,0)</f>
        <v/>
      </c>
      <c r="AS41" s="840" t="n"/>
      <c r="BI41" s="561" t="n">
        <v>38</v>
      </c>
      <c r="BJ41" s="471" t="n"/>
      <c r="BK41" s="471" t="n"/>
      <c r="BL41" s="471" t="n"/>
      <c r="BM41" s="471" t="n"/>
      <c r="BN41" s="561">
        <f>BR40</f>
        <v/>
      </c>
      <c r="BO41" s="471" t="n"/>
      <c r="BP41" s="471" t="n"/>
      <c r="BQ41" s="471" t="n"/>
      <c r="BR41" s="562">
        <f>IF(AND(BM41:BQ41),1,0)</f>
        <v/>
      </c>
      <c r="BX41" s="561" t="n">
        <v>38</v>
      </c>
      <c r="BY41" s="471" t="n"/>
      <c r="BZ41" s="471" t="n"/>
      <c r="CA41" s="471" t="n"/>
      <c r="CB41" s="471" t="n"/>
      <c r="CC41" s="561">
        <f>CG40</f>
        <v/>
      </c>
      <c r="CD41" s="471" t="n"/>
      <c r="CE41" s="471" t="n"/>
      <c r="CF41" s="471" t="n"/>
      <c r="CG41" s="562">
        <f>IF(AND(CB41:CF41),1,0)</f>
        <v/>
      </c>
      <c r="CI41" s="561" t="n">
        <v>38</v>
      </c>
      <c r="CJ41" s="822" t="inlineStr">
        <is>
          <t>-UD .X63.21-F 9 +63.20</t>
        </is>
      </c>
      <c r="CK41" s="561" t="n"/>
      <c r="CL41" s="471" t="n"/>
      <c r="CM41" s="471" t="n"/>
      <c r="CN41" s="471">
        <f>CR40</f>
        <v/>
      </c>
      <c r="CO41" s="471" t="n"/>
      <c r="CP41" s="471" t="n"/>
      <c r="CQ41" s="471" t="n"/>
      <c r="CR41" s="562">
        <f>IF(AND(CM41:CQ41),1,0)</f>
        <v/>
      </c>
      <c r="DK41" s="561" t="n">
        <v>38</v>
      </c>
      <c r="DL41" s="566" t="n"/>
      <c r="DM41" s="561" t="n"/>
      <c r="DN41" s="471" t="n"/>
      <c r="DO41" s="471" t="n"/>
      <c r="DP41" s="801">
        <f>DT40</f>
        <v/>
      </c>
      <c r="DQ41" s="471" t="n"/>
      <c r="DR41" s="471" t="n"/>
      <c r="DS41" s="471" t="n"/>
      <c r="DT41" s="562">
        <f>IF(AND(DO41:DS41),1,0)</f>
        <v/>
      </c>
      <c r="DZ41" s="561" t="n">
        <v>38</v>
      </c>
      <c r="EA41" s="566" t="n"/>
      <c r="EB41" s="561" t="n"/>
      <c r="EC41" s="471" t="n"/>
      <c r="ED41" s="471" t="n"/>
      <c r="EE41" s="471">
        <f>EI40</f>
        <v/>
      </c>
      <c r="EF41" s="471" t="n"/>
      <c r="EG41" s="471" t="n"/>
      <c r="EH41" s="471" t="n"/>
      <c r="EI41" s="571">
        <f>IF(AND(ED41:EH41),1,0)</f>
        <v/>
      </c>
      <c r="EO41" s="561" t="n">
        <v>38</v>
      </c>
      <c r="EP41" s="566" t="n"/>
      <c r="EQ41" s="561" t="n"/>
      <c r="ER41" s="471" t="n"/>
      <c r="ES41" s="471" t="n"/>
      <c r="ET41" s="471">
        <f>EX40</f>
        <v/>
      </c>
      <c r="EU41" s="471" t="n"/>
      <c r="EV41" s="471" t="n"/>
      <c r="EW41" s="471" t="n"/>
      <c r="EX41" s="562">
        <f>IF(AND(ES41:EW41),1,0)</f>
        <v/>
      </c>
      <c r="FE41" s="561" t="n">
        <v>38</v>
      </c>
      <c r="FF41" s="566" t="n"/>
      <c r="FG41" s="561" t="n"/>
      <c r="FH41" s="471" t="n"/>
      <c r="FI41" s="471" t="n"/>
      <c r="FJ41" s="471">
        <f>FN40</f>
        <v/>
      </c>
      <c r="FK41" s="471" t="n"/>
      <c r="FL41" s="471" t="n"/>
      <c r="FM41" s="471" t="n"/>
      <c r="FN41" s="562">
        <f>IF(AND(FI41:FM41),1,0)</f>
        <v/>
      </c>
      <c r="FT41" s="561" t="n">
        <v>38</v>
      </c>
      <c r="FU41" s="566" t="n"/>
      <c r="FV41" s="822" t="inlineStr">
        <is>
          <t>TMR2</t>
        </is>
      </c>
      <c r="FW41" s="471" t="n"/>
      <c r="FX41" s="471" t="n"/>
      <c r="FY41" s="573">
        <f>FQ12</f>
        <v/>
      </c>
      <c r="FZ41" s="471">
        <f>GC40</f>
        <v/>
      </c>
      <c r="GA41" s="471" t="n"/>
      <c r="GB41" s="471" t="n"/>
      <c r="GC41" s="562">
        <f>IF(AND(FX41:GB41),1,0)</f>
        <v/>
      </c>
      <c r="GF41" s="561" t="n">
        <v>38</v>
      </c>
      <c r="GG41" s="566" t="n"/>
      <c r="GH41" s="822" t="n"/>
      <c r="GI41" s="471" t="n"/>
      <c r="GJ41" s="471" t="n"/>
      <c r="GK41" s="561">
        <f>GO64</f>
        <v/>
      </c>
      <c r="GL41" s="471" t="n"/>
      <c r="GM41" s="471" t="n"/>
      <c r="GN41" s="471" t="n"/>
      <c r="GO41" s="562">
        <f>IF(AND(GJ41:GN41),1,0)</f>
        <v/>
      </c>
      <c r="GU41" s="561" t="n">
        <v>38</v>
      </c>
      <c r="GV41" s="566" t="n"/>
      <c r="GW41" s="822" t="n"/>
      <c r="GX41" s="471" t="n"/>
      <c r="GY41" s="471" t="n"/>
      <c r="GZ41" s="801">
        <f>HD40</f>
        <v/>
      </c>
      <c r="HA41" s="471" t="n"/>
      <c r="HB41" s="471" t="n"/>
      <c r="HC41" s="471" t="n"/>
      <c r="HD41" s="571">
        <f>IF(AND(GY41:HC41),1,0)</f>
        <v/>
      </c>
      <c r="HK41" s="561" t="n">
        <v>38</v>
      </c>
      <c r="HL41" s="471" t="n"/>
      <c r="HM41" s="471" t="n"/>
      <c r="HN41" s="471" t="n"/>
      <c r="HO41" s="471" t="n"/>
      <c r="HP41" s="561">
        <f>HT40</f>
        <v/>
      </c>
      <c r="HQ41" s="471" t="n"/>
      <c r="HR41" s="471" t="n"/>
      <c r="HS41" s="471" t="n"/>
      <c r="HT41" s="562">
        <f>IF(AND(HO41:HS41),1,0)</f>
        <v/>
      </c>
      <c r="IL41" s="561" t="n">
        <v>38</v>
      </c>
      <c r="IM41" s="471" t="n"/>
      <c r="IN41" s="471" t="n"/>
      <c r="IO41" s="471" t="n"/>
      <c r="IP41" s="566" t="n"/>
      <c r="IQ41" s="566">
        <f>IU40</f>
        <v/>
      </c>
      <c r="IR41" s="471" t="n"/>
      <c r="IS41" s="471" t="n"/>
      <c r="IT41" s="471" t="n"/>
      <c r="IU41" s="562">
        <f>IF(AND(IP41:IT41),1,0)</f>
        <v/>
      </c>
      <c r="JN41" s="561" t="n">
        <v>38</v>
      </c>
      <c r="JO41" s="471" t="n"/>
      <c r="JP41" s="822" t="inlineStr">
        <is>
          <t>HVAC CAR 3</t>
        </is>
      </c>
      <c r="JQ41" s="471" t="n"/>
      <c r="JR41" s="566" t="n"/>
      <c r="JS41" s="566">
        <f>IF(OR(JW10,JW18),1,0)</f>
        <v/>
      </c>
      <c r="JT41" s="566" t="n"/>
      <c r="JU41" s="471" t="n"/>
      <c r="JV41" s="471" t="n"/>
      <c r="JW41" s="562">
        <f>IF(AND(JR41:JV41),1,0)</f>
        <v/>
      </c>
      <c r="KP41" s="561" t="n">
        <v>38</v>
      </c>
      <c r="KQ41" s="471" t="n"/>
      <c r="KR41" s="822" t="inlineStr">
        <is>
          <t xml:space="preserve">110 VDC </t>
        </is>
      </c>
      <c r="KS41" s="471" t="n"/>
      <c r="KT41" s="822" t="n"/>
      <c r="KU41" s="574">
        <f>KL16</f>
        <v/>
      </c>
      <c r="KV41" s="566" t="n"/>
      <c r="KW41" s="471" t="n"/>
      <c r="KX41" s="471" t="n"/>
      <c r="KY41" s="562">
        <f>IF(AND(KT41:KX41),1,0)</f>
        <v/>
      </c>
      <c r="LB41" s="561" t="n">
        <v>38</v>
      </c>
      <c r="LC41" s="471" t="n"/>
      <c r="LD41" s="822" t="n"/>
      <c r="LE41" s="471" t="n"/>
      <c r="LF41" s="822" t="n"/>
      <c r="LG41" s="822">
        <f>LK35</f>
        <v/>
      </c>
      <c r="LH41" s="822" t="n"/>
      <c r="LI41" s="471" t="n"/>
      <c r="LJ41" s="471" t="n"/>
      <c r="LK41" s="562">
        <f>IF(AND(LF41:LJ41),1,0)</f>
        <v/>
      </c>
      <c r="LQ41" s="840">
        <f>LQ40+1</f>
        <v/>
      </c>
      <c r="LR41" s="534" t="n">
        <v>37</v>
      </c>
      <c r="LS41" s="471" t="n"/>
      <c r="LT41" s="822" t="n"/>
      <c r="LU41" s="471" t="n"/>
      <c r="LV41" s="822" t="n"/>
      <c r="LW41" s="822">
        <f>MA40</f>
        <v/>
      </c>
      <c r="LX41" s="822" t="n"/>
      <c r="LY41" s="471" t="n"/>
      <c r="LZ41" s="471" t="n"/>
      <c r="MA41" s="562">
        <f>IF(AND(LV41:LZ41),1,0)</f>
        <v/>
      </c>
      <c r="MH41" s="561" t="n">
        <v>38</v>
      </c>
      <c r="MI41" s="471" t="n"/>
      <c r="MJ41" s="822" t="n"/>
      <c r="MK41" s="471" t="n"/>
      <c r="ML41" s="822" t="n"/>
      <c r="MM41" s="822">
        <f>MQ25</f>
        <v/>
      </c>
      <c r="MN41" s="822" t="n"/>
      <c r="MO41" s="471" t="n"/>
      <c r="MP41" s="471" t="n"/>
      <c r="MQ41" s="562">
        <f>IF(AND(ML41:MP41),1,0)</f>
        <v/>
      </c>
    </row>
    <row r="42" ht="24.75" customHeight="1">
      <c r="A42" s="559" t="n">
        <v>39</v>
      </c>
      <c r="B42" s="471" t="n"/>
      <c r="C42" s="471" t="n"/>
      <c r="D42" s="471" t="n"/>
      <c r="E42" s="471" t="n"/>
      <c r="F42" s="801">
        <f>J41</f>
        <v/>
      </c>
      <c r="G42" s="561" t="n"/>
      <c r="H42" s="471" t="n"/>
      <c r="I42" s="471" t="n"/>
      <c r="J42" s="562">
        <f>IF(AND(E42:I42),1,0)</f>
        <v/>
      </c>
      <c r="P42" s="561" t="n">
        <v>39</v>
      </c>
      <c r="Q42" s="471" t="n"/>
      <c r="R42" s="561" t="n"/>
      <c r="S42" s="471" t="n"/>
      <c r="T42" s="471" t="n"/>
      <c r="U42" s="801">
        <f>Y41</f>
        <v/>
      </c>
      <c r="V42" s="471" t="n"/>
      <c r="W42" s="471" t="n"/>
      <c r="X42" s="471" t="n"/>
      <c r="Y42" s="562">
        <f>IF(AND(T42:X42),1,0)</f>
        <v/>
      </c>
      <c r="AF42" s="561" t="n">
        <v>39</v>
      </c>
      <c r="AG42" s="564" t="inlineStr">
        <is>
          <t>HA/24.E5</t>
        </is>
      </c>
      <c r="AH42" s="566" t="n"/>
      <c r="AI42" s="471" t="n"/>
      <c r="AJ42" s="471" t="n"/>
      <c r="AK42" s="560" t="n">
        <v>1</v>
      </c>
      <c r="AL42" s="471" t="n"/>
      <c r="AM42" s="471" t="n"/>
      <c r="AN42" s="471" t="n"/>
      <c r="AO42" s="562">
        <f>IF(AND(AJ42:AN42),1,0)</f>
        <v/>
      </c>
      <c r="AS42" s="840" t="n"/>
      <c r="BI42" s="561" t="n">
        <v>39</v>
      </c>
      <c r="BJ42" s="471" t="n"/>
      <c r="BK42" s="471" t="n"/>
      <c r="BL42" s="471" t="n"/>
      <c r="BM42" s="471" t="n"/>
      <c r="BN42" s="578">
        <f>BR33</f>
        <v/>
      </c>
      <c r="BO42" s="471" t="n"/>
      <c r="BP42" s="471" t="n"/>
      <c r="BQ42" s="471" t="n"/>
      <c r="BR42" s="562">
        <f>IF(AND(BM42:BQ42),1,0)</f>
        <v/>
      </c>
      <c r="BX42" s="561" t="n">
        <v>39</v>
      </c>
      <c r="BY42" s="471" t="n"/>
      <c r="BZ42" s="471" t="n"/>
      <c r="CA42" s="471" t="n"/>
      <c r="CB42" s="471" t="n"/>
      <c r="CC42" s="578">
        <f>CG33</f>
        <v/>
      </c>
      <c r="CD42" s="471" t="n"/>
      <c r="CE42" s="471" t="n"/>
      <c r="CF42" s="471" t="n"/>
      <c r="CG42" s="562">
        <f>IF(AND(CB42:CF42),1,0)</f>
        <v/>
      </c>
      <c r="CI42" s="561" t="n">
        <v>39</v>
      </c>
      <c r="CJ42" s="471" t="n"/>
      <c r="CK42" s="561" t="n"/>
      <c r="CL42" s="471" t="n"/>
      <c r="CM42" s="471" t="n"/>
      <c r="CN42" s="471">
        <f>CR40</f>
        <v/>
      </c>
      <c r="CO42" s="471" t="n"/>
      <c r="CP42" s="471" t="n"/>
      <c r="CQ42" s="471" t="n"/>
      <c r="CR42" s="562">
        <f>IF(AND(CM42:CQ42),1,0)</f>
        <v/>
      </c>
      <c r="DK42" s="561" t="n">
        <v>39</v>
      </c>
      <c r="DL42" s="566" t="n"/>
      <c r="DM42" s="561" t="inlineStr">
        <is>
          <t>FROM APS 415 VAC(L1)</t>
        </is>
      </c>
      <c r="DN42" s="471" t="n"/>
      <c r="DO42" s="471" t="n"/>
      <c r="DP42" s="560">
        <f>DW20</f>
        <v/>
      </c>
      <c r="DQ42" s="471" t="n"/>
      <c r="DR42" s="471" t="n"/>
      <c r="DS42" s="471" t="n"/>
      <c r="DT42" s="562">
        <f>IF(AND(DO42:DS42),1,0)</f>
        <v/>
      </c>
      <c r="DZ42" s="561" t="n">
        <v>39</v>
      </c>
      <c r="EA42" s="566" t="inlineStr">
        <is>
          <t>X4</t>
        </is>
      </c>
      <c r="EB42" s="561" t="inlineStr">
        <is>
          <t>TX-</t>
        </is>
      </c>
      <c r="EC42" s="471" t="n"/>
      <c r="ED42" s="471" t="n"/>
      <c r="EE42" s="565" t="n">
        <v>1</v>
      </c>
      <c r="EF42" s="471" t="n"/>
      <c r="EG42" s="471" t="n"/>
      <c r="EH42" s="471" t="n"/>
      <c r="EI42" s="571">
        <f>IF(AND(ED42:EH42),1,0)</f>
        <v/>
      </c>
      <c r="EO42" s="561" t="n">
        <v>39</v>
      </c>
      <c r="EP42" s="566" t="n"/>
      <c r="EQ42" s="561" t="n"/>
      <c r="ER42" s="471" t="n"/>
      <c r="ES42" s="471" t="n"/>
      <c r="ET42" s="471">
        <f>EX41</f>
        <v/>
      </c>
      <c r="EU42" s="471" t="n"/>
      <c r="EV42" s="471" t="n"/>
      <c r="EW42" s="471" t="n"/>
      <c r="EX42" s="562">
        <f>IF(AND(ES42:EW42),1,0)</f>
        <v/>
      </c>
      <c r="FE42" s="561" t="n">
        <v>39</v>
      </c>
      <c r="FF42" s="566" t="n"/>
      <c r="FG42" s="561" t="n"/>
      <c r="FH42" s="471" t="n"/>
      <c r="FI42" s="471" t="n"/>
      <c r="FJ42" s="471">
        <f>FN38</f>
        <v/>
      </c>
      <c r="FK42" s="471" t="n"/>
      <c r="FL42" s="471" t="n"/>
      <c r="FM42" s="471" t="n"/>
      <c r="FN42" s="562">
        <f>IF(AND(FI42:FM42),1,0)</f>
        <v/>
      </c>
      <c r="FT42" s="561" t="n">
        <v>39</v>
      </c>
      <c r="FU42" s="566" t="n"/>
      <c r="FV42" s="822" t="n"/>
      <c r="FW42" s="471" t="n"/>
      <c r="FX42" s="471" t="n"/>
      <c r="FY42" s="561">
        <f>GC41</f>
        <v/>
      </c>
      <c r="FZ42" s="471" t="n"/>
      <c r="GA42" s="471" t="n"/>
      <c r="GB42" s="471" t="n"/>
      <c r="GC42" s="562">
        <f>IF(AND(FX42:GB42),1,0)</f>
        <v/>
      </c>
      <c r="GF42" s="561" t="n">
        <v>39</v>
      </c>
      <c r="GG42" s="566" t="n"/>
      <c r="GH42" s="822" t="n"/>
      <c r="GI42" s="471" t="n"/>
      <c r="GJ42" s="471" t="n"/>
      <c r="GK42" s="561">
        <f>GO40</f>
        <v/>
      </c>
      <c r="GL42" s="471" t="n"/>
      <c r="GM42" s="471" t="n"/>
      <c r="GN42" s="471" t="n"/>
      <c r="GO42" s="562">
        <f>IF(AND(GJ42:GN42),1,0)</f>
        <v/>
      </c>
      <c r="GU42" s="561" t="n">
        <v>39</v>
      </c>
      <c r="GV42" s="566" t="n"/>
      <c r="GW42" s="822" t="n"/>
      <c r="GX42" s="471" t="n"/>
      <c r="GY42" s="471" t="n"/>
      <c r="GZ42" s="801">
        <f>HD41</f>
        <v/>
      </c>
      <c r="HA42" s="471" t="n"/>
      <c r="HB42" s="471" t="n"/>
      <c r="HC42" s="471" t="n"/>
      <c r="HD42" s="571">
        <f>IF(AND(GY42:HC42),1,0)</f>
        <v/>
      </c>
      <c r="HK42" s="561" t="n">
        <v>39</v>
      </c>
      <c r="HL42" s="471" t="n"/>
      <c r="HM42" s="471" t="n"/>
      <c r="HN42" s="471" t="n"/>
      <c r="HO42" s="471" t="n"/>
      <c r="HP42" s="561">
        <f>HT27</f>
        <v/>
      </c>
      <c r="HQ42" s="471" t="n"/>
      <c r="HR42" s="471" t="n"/>
      <c r="HS42" s="471" t="n"/>
      <c r="HT42" s="562">
        <f>IF(AND(HO42:HS42),1,0)</f>
        <v/>
      </c>
      <c r="IL42" s="561" t="n">
        <v>39</v>
      </c>
      <c r="IM42" s="471" t="n"/>
      <c r="IN42" s="471" t="n"/>
      <c r="IO42" s="471" t="n"/>
      <c r="IP42" s="566" t="n"/>
      <c r="IQ42" s="566">
        <f>IF(OR(IU41,IU36),1,0)</f>
        <v/>
      </c>
      <c r="IR42" s="471" t="n"/>
      <c r="IS42" s="471" t="n"/>
      <c r="IT42" s="471" t="n"/>
      <c r="IU42" s="562">
        <f>IF(AND(IP42:IT42),1,0)</f>
        <v/>
      </c>
      <c r="JN42" s="561" t="n">
        <v>39</v>
      </c>
      <c r="JP42" s="822" t="n"/>
      <c r="JQ42" s="471" t="n"/>
      <c r="JR42" s="566" t="n"/>
      <c r="JS42" s="566">
        <f>JW5</f>
        <v/>
      </c>
      <c r="JT42" s="566" t="n"/>
      <c r="JU42" s="471" t="n"/>
      <c r="JV42" s="471" t="n"/>
      <c r="JW42" s="562">
        <f>IF(AND(JR42:JV42),1,0)</f>
        <v/>
      </c>
      <c r="KP42" s="561" t="n">
        <v>39</v>
      </c>
      <c r="KQ42" s="471" t="n"/>
      <c r="KR42" s="822" t="n"/>
      <c r="KS42" s="471" t="n"/>
      <c r="KT42" s="822" t="n"/>
      <c r="KU42" s="822">
        <f>KY43</f>
        <v/>
      </c>
      <c r="KV42" s="566" t="n"/>
      <c r="KW42" s="471" t="n"/>
      <c r="KX42" s="471" t="n"/>
      <c r="KY42" s="562">
        <f>IF(AND(KT42:KX42),1,0)</f>
        <v/>
      </c>
      <c r="LB42" s="561" t="n">
        <v>39</v>
      </c>
      <c r="LC42" s="471" t="n"/>
      <c r="LD42" s="822" t="n"/>
      <c r="LE42" s="471" t="n"/>
      <c r="LF42" s="822" t="n"/>
      <c r="LG42" s="822">
        <f>LK106</f>
        <v/>
      </c>
      <c r="LH42" s="822" t="n"/>
      <c r="LI42" s="471" t="n"/>
      <c r="LJ42" s="471" t="n"/>
      <c r="LK42" s="562">
        <f>IF(AND(LF42:LJ42),1,0)</f>
        <v/>
      </c>
      <c r="LQ42" s="840">
        <f>LQ41+1</f>
        <v/>
      </c>
      <c r="LR42" s="534" t="n">
        <v>38</v>
      </c>
      <c r="LS42" s="471" t="n"/>
      <c r="LT42" s="822" t="n"/>
      <c r="LU42" s="471" t="n"/>
      <c r="LV42" s="822" t="n"/>
      <c r="LW42" s="822">
        <f>MA41</f>
        <v/>
      </c>
      <c r="LX42" s="822" t="n"/>
      <c r="LY42" s="471" t="n"/>
      <c r="LZ42" s="471" t="n"/>
      <c r="MA42" s="562">
        <f>IF(AND(LV42:LZ42),1,0)</f>
        <v/>
      </c>
      <c r="MH42" s="561" t="n">
        <v>39</v>
      </c>
      <c r="MI42" s="471" t="n"/>
      <c r="MJ42" s="822" t="inlineStr">
        <is>
          <t>SMDR</t>
        </is>
      </c>
      <c r="MK42" s="471" t="n"/>
      <c r="ML42" s="822" t="n"/>
      <c r="MM42" s="574">
        <f>IF(OR('DATA TRANSFER'!M12),1,0)</f>
        <v/>
      </c>
      <c r="MN42" s="822" t="n"/>
      <c r="MO42" s="471" t="n"/>
      <c r="MP42" s="471" t="n"/>
      <c r="MQ42" s="562">
        <f>IF(AND(ML42:MP42),1,0)</f>
        <v/>
      </c>
    </row>
    <row r="43" ht="25.5" customHeight="1">
      <c r="A43" s="559" t="n">
        <v>40</v>
      </c>
      <c r="B43" s="273" t="inlineStr">
        <is>
          <t>HA/08.D6</t>
        </is>
      </c>
      <c r="C43" s="471" t="n"/>
      <c r="D43" s="471" t="n"/>
      <c r="E43" s="471" t="n"/>
      <c r="F43" s="560">
        <f>M5</f>
        <v/>
      </c>
      <c r="G43" s="561" t="n"/>
      <c r="H43" s="471" t="n"/>
      <c r="I43" s="471" t="n"/>
      <c r="J43" s="562">
        <f>IF(AND(E43:I43),1,0)</f>
        <v/>
      </c>
      <c r="P43" s="561" t="n">
        <v>40</v>
      </c>
      <c r="Q43" s="471" t="n"/>
      <c r="R43" s="561" t="n"/>
      <c r="S43" s="471" t="n"/>
      <c r="T43" s="471" t="n"/>
      <c r="U43" s="801">
        <f>Y42</f>
        <v/>
      </c>
      <c r="V43" s="471" t="n"/>
      <c r="W43" s="471" t="n"/>
      <c r="X43" s="471" t="n"/>
      <c r="Y43" s="562">
        <f>IF(AND(T43:X43),1,0)</f>
        <v/>
      </c>
      <c r="AF43" s="561" t="n">
        <v>40</v>
      </c>
      <c r="AG43" s="568" t="n"/>
      <c r="AH43" s="566" t="n"/>
      <c r="AI43" s="471" t="n"/>
      <c r="AJ43" s="471" t="n"/>
      <c r="AK43" s="588">
        <f>AO42</f>
        <v/>
      </c>
      <c r="AL43" s="471" t="n"/>
      <c r="AM43" s="471" t="n"/>
      <c r="AN43" s="471" t="n"/>
      <c r="AO43" s="562">
        <f>IF(AND(AJ43:AN43),1,0)</f>
        <v/>
      </c>
      <c r="AS43" s="840" t="n"/>
      <c r="BI43" s="561" t="n">
        <v>40</v>
      </c>
      <c r="BJ43" s="471" t="n"/>
      <c r="BK43" s="471" t="inlineStr">
        <is>
          <t>EMR</t>
        </is>
      </c>
      <c r="BL43" s="471" t="n"/>
      <c r="BM43" s="471" t="n"/>
      <c r="BN43" s="573">
        <f>BU8</f>
        <v/>
      </c>
      <c r="BO43" s="471">
        <f>BR42</f>
        <v/>
      </c>
      <c r="BP43" s="471">
        <f>BU18</f>
        <v/>
      </c>
      <c r="BQ43" s="471" t="n"/>
      <c r="BR43" s="562">
        <f>IF(AND(BM43:BQ43),1,0)</f>
        <v/>
      </c>
      <c r="BX43" s="561" t="n">
        <v>40</v>
      </c>
      <c r="BY43" s="471" t="n"/>
      <c r="BZ43" s="471" t="inlineStr">
        <is>
          <t>EMR</t>
        </is>
      </c>
      <c r="CA43" s="471" t="n"/>
      <c r="CB43" s="471" t="n"/>
      <c r="CC43" s="573">
        <f>BU8</f>
        <v/>
      </c>
      <c r="CD43" s="471">
        <f>CG42</f>
        <v/>
      </c>
      <c r="CE43" s="471">
        <f>BU18</f>
        <v/>
      </c>
      <c r="CF43" s="471" t="n"/>
      <c r="CG43" s="562">
        <f>IF(AND(CB43:CF43),1,0)</f>
        <v/>
      </c>
      <c r="CI43" s="561" t="n">
        <v>40</v>
      </c>
      <c r="CJ43" s="471" t="n"/>
      <c r="CK43" s="561" t="n"/>
      <c r="CL43" s="471" t="n"/>
      <c r="CM43" s="471" t="n"/>
      <c r="CN43" s="471">
        <f>CR42</f>
        <v/>
      </c>
      <c r="CO43" s="471" t="n"/>
      <c r="CP43" s="471" t="n"/>
      <c r="CQ43" s="471" t="n"/>
      <c r="CR43" s="562">
        <f>IF(AND(CM43:CQ43),1,0)</f>
        <v/>
      </c>
      <c r="DK43" s="561" t="n">
        <v>40</v>
      </c>
      <c r="DL43" s="566" t="n"/>
      <c r="DM43" s="561" t="n"/>
      <c r="DN43" s="471" t="n"/>
      <c r="DO43" s="471" t="n"/>
      <c r="DP43" s="801">
        <f>DT42</f>
        <v/>
      </c>
      <c r="DQ43" s="471" t="n"/>
      <c r="DR43" s="471" t="n"/>
      <c r="DS43" s="471" t="n"/>
      <c r="DT43" s="562">
        <f>IF(AND(DO43:DS43),1,0)</f>
        <v/>
      </c>
      <c r="DZ43" s="561" t="n">
        <v>40</v>
      </c>
      <c r="EA43" s="566" t="n"/>
      <c r="EB43" s="561" t="n"/>
      <c r="EC43" s="471" t="n"/>
      <c r="ED43" s="471" t="n"/>
      <c r="EE43" s="471">
        <f>EI42</f>
        <v/>
      </c>
      <c r="EF43" s="471" t="n"/>
      <c r="EG43" s="471" t="n"/>
      <c r="EH43" s="471" t="n"/>
      <c r="EI43" s="571">
        <f>IF(AND(ED43:EH43),1,0)</f>
        <v/>
      </c>
      <c r="EO43" s="561" t="n">
        <v>40</v>
      </c>
      <c r="EP43" s="566" t="n"/>
      <c r="EQ43" s="561" t="n"/>
      <c r="ER43" s="471" t="n"/>
      <c r="ES43" s="471" t="n"/>
      <c r="ET43" s="471">
        <f>EX42</f>
        <v/>
      </c>
      <c r="EU43" s="471" t="n"/>
      <c r="EV43" s="471" t="n"/>
      <c r="EW43" s="471" t="n"/>
      <c r="EX43" s="562">
        <f>IF(AND(ES43:EW43),1,0)</f>
        <v/>
      </c>
      <c r="FE43" s="561" t="n">
        <v>40</v>
      </c>
      <c r="FF43" s="566" t="n"/>
      <c r="FG43" s="561" t="n"/>
      <c r="FH43" s="471" t="n"/>
      <c r="FI43" s="471" t="n"/>
      <c r="FJ43" s="471">
        <f>FN42</f>
        <v/>
      </c>
      <c r="FK43" s="471" t="n"/>
      <c r="FL43" s="471" t="n"/>
      <c r="FM43" s="471" t="n"/>
      <c r="FN43" s="562">
        <f>IF(AND(FI43:FM43),1,0)</f>
        <v/>
      </c>
      <c r="FT43" s="561" t="n">
        <v>40</v>
      </c>
      <c r="FU43" s="566" t="n"/>
      <c r="FV43" s="822" t="n"/>
      <c r="FW43" s="471" t="n"/>
      <c r="FX43" s="471" t="n"/>
      <c r="FY43" s="561">
        <f>GC39</f>
        <v/>
      </c>
      <c r="FZ43" s="471" t="n"/>
      <c r="GA43" s="471" t="n"/>
      <c r="GB43" s="471" t="n"/>
      <c r="GC43" s="562">
        <f>IF(AND(FX43:GB43),1,0)</f>
        <v/>
      </c>
      <c r="GF43" s="561" t="n">
        <v>40</v>
      </c>
      <c r="GG43" s="566" t="n"/>
      <c r="GH43" s="822" t="n"/>
      <c r="GI43" s="471" t="n"/>
      <c r="GJ43" s="471" t="n"/>
      <c r="GK43" s="561">
        <f>GO20</f>
        <v/>
      </c>
      <c r="GL43" s="471" t="n"/>
      <c r="GM43" s="471" t="n"/>
      <c r="GN43" s="471" t="n"/>
      <c r="GO43" s="562">
        <f>IF(AND(GJ43:GN43),1,0)</f>
        <v/>
      </c>
      <c r="GU43" s="561" t="n">
        <v>40</v>
      </c>
      <c r="GV43" s="566" t="n"/>
      <c r="GW43" s="822" t="n"/>
      <c r="GX43" s="471" t="n"/>
      <c r="GY43" s="471" t="n"/>
      <c r="GZ43" s="801">
        <f>HD42</f>
        <v/>
      </c>
      <c r="HA43" s="471" t="n"/>
      <c r="HB43" s="471" t="n"/>
      <c r="HC43" s="471" t="n"/>
      <c r="HD43" s="571">
        <f>IF(AND(GY43:HC43),1,0)</f>
        <v/>
      </c>
      <c r="HK43" s="561" t="n">
        <v>40</v>
      </c>
      <c r="HL43" s="471" t="n"/>
      <c r="HM43" s="471" t="n"/>
      <c r="HN43" s="471" t="n"/>
      <c r="HO43" s="471" t="n"/>
      <c r="HP43" s="561">
        <f>HT32</f>
        <v/>
      </c>
      <c r="HQ43" s="471" t="n"/>
      <c r="HR43" s="471" t="n"/>
      <c r="HS43" s="471" t="n"/>
      <c r="HT43" s="562">
        <f>IF(AND(HO43:HS43),1,0)</f>
        <v/>
      </c>
      <c r="IL43" s="561" t="n">
        <v>40</v>
      </c>
      <c r="IM43" s="471" t="n"/>
      <c r="IN43" s="471" t="n"/>
      <c r="IO43" s="471" t="n"/>
      <c r="IP43" s="566" t="n"/>
      <c r="IQ43" s="566">
        <f>IF(OR(IU42,IU41,IU35,IU29,IU23),1,0)</f>
        <v/>
      </c>
      <c r="IR43" s="471" t="n"/>
      <c r="IS43" s="471" t="n"/>
      <c r="IT43" s="471" t="n"/>
      <c r="IU43" s="562">
        <f>IF(AND(IP43:IT43),1,0)</f>
        <v/>
      </c>
      <c r="KP43" s="561" t="n">
        <v>40</v>
      </c>
      <c r="KQ43" s="471" t="n"/>
      <c r="KR43" s="822" t="inlineStr">
        <is>
          <t xml:space="preserve">0 VDC </t>
        </is>
      </c>
      <c r="KS43" s="471" t="n"/>
      <c r="KT43" s="471" t="n"/>
      <c r="KU43" s="565" t="n">
        <v>1</v>
      </c>
      <c r="KV43" s="566" t="n"/>
      <c r="KW43" s="471" t="n"/>
      <c r="KX43" s="471" t="n"/>
      <c r="KY43" s="562">
        <f>IF(AND(KT43:KX43),1,0)</f>
        <v/>
      </c>
      <c r="LB43" s="561" t="n">
        <v>40</v>
      </c>
      <c r="LC43" s="471" t="n"/>
      <c r="LD43" s="822" t="n"/>
      <c r="LE43" s="471" t="n"/>
      <c r="LF43" s="822" t="n"/>
      <c r="LG43" s="822">
        <f>LK108</f>
        <v/>
      </c>
      <c r="LH43" s="822" t="n"/>
      <c r="LI43" s="471" t="n"/>
      <c r="LJ43" s="471" t="n"/>
      <c r="LK43" s="562">
        <f>IF(AND(LF43:LJ43),1,0)</f>
        <v/>
      </c>
      <c r="LQ43" s="840">
        <f>LQ42+1</f>
        <v/>
      </c>
      <c r="LR43" s="534" t="n">
        <v>39</v>
      </c>
      <c r="LS43" s="471" t="n"/>
      <c r="LT43" s="822" t="n"/>
      <c r="LU43" s="471" t="n"/>
      <c r="LV43" s="822" t="n"/>
      <c r="LW43" s="581" t="n">
        <v>1</v>
      </c>
      <c r="LX43" s="822" t="n"/>
      <c r="LY43" s="471" t="n"/>
      <c r="LZ43" s="471" t="n"/>
      <c r="MA43" s="562">
        <f>IF(AND(LV43:LZ43),1,0)</f>
        <v/>
      </c>
      <c r="MH43" s="561" t="n">
        <v>40</v>
      </c>
      <c r="MI43" s="471" t="n"/>
      <c r="MJ43" s="822" t="n"/>
      <c r="MK43" s="471" t="n"/>
      <c r="ML43" s="822" t="n"/>
      <c r="MM43" s="822">
        <f>MQ29</f>
        <v/>
      </c>
      <c r="MN43" s="822" t="n"/>
      <c r="MO43" s="471" t="n"/>
      <c r="MP43" s="471" t="n"/>
      <c r="MQ43" s="562">
        <f>IF(AND(ML43:MP43),1,0)</f>
        <v/>
      </c>
    </row>
    <row r="44" ht="42" customHeight="1">
      <c r="A44" s="559" t="n">
        <v>41</v>
      </c>
      <c r="B44" s="471" t="n"/>
      <c r="C44" s="471" t="n"/>
      <c r="D44" s="471" t="n"/>
      <c r="E44" s="471" t="n"/>
      <c r="F44" s="801">
        <f>J5</f>
        <v/>
      </c>
      <c r="G44" s="561" t="n"/>
      <c r="H44" s="471" t="n"/>
      <c r="I44" s="471" t="n"/>
      <c r="J44" s="562">
        <f>IF(AND(E44:I44),1,0)</f>
        <v/>
      </c>
      <c r="P44" s="561" t="n">
        <v>41</v>
      </c>
      <c r="Q44" s="471" t="n"/>
      <c r="R44" s="801" t="inlineStr">
        <is>
          <t>PPR2</t>
        </is>
      </c>
      <c r="S44" s="471" t="n"/>
      <c r="T44" s="471" t="n"/>
      <c r="U44" s="582">
        <f>AB34</f>
        <v/>
      </c>
      <c r="V44" s="801">
        <f>Y34</f>
        <v/>
      </c>
      <c r="W44" s="801">
        <f>Y37</f>
        <v/>
      </c>
      <c r="X44" s="801">
        <f>Y40</f>
        <v/>
      </c>
      <c r="Y44" s="562">
        <f>IF(AND(T44:X44),1,0)</f>
        <v/>
      </c>
      <c r="AF44" s="561" t="n">
        <v>41</v>
      </c>
      <c r="AG44" s="568" t="n"/>
      <c r="AH44" s="566" t="n"/>
      <c r="AI44" s="471" t="n"/>
      <c r="AJ44" s="471" t="n"/>
      <c r="AK44" s="588">
        <f>AO43</f>
        <v/>
      </c>
      <c r="AL44" s="471" t="n"/>
      <c r="AM44" s="471" t="n"/>
      <c r="AN44" s="471" t="n"/>
      <c r="AO44" s="562">
        <f>IF(AND(AJ44:AN44),1,0)</f>
        <v/>
      </c>
      <c r="AS44" s="840" t="n"/>
      <c r="BI44" s="561" t="n">
        <v>41</v>
      </c>
      <c r="BJ44" s="471" t="n"/>
      <c r="BK44" s="471" t="n"/>
      <c r="BL44" s="471" t="n"/>
      <c r="BM44" s="471" t="n"/>
      <c r="BN44" s="578">
        <f>BR43</f>
        <v/>
      </c>
      <c r="BO44" s="471" t="n"/>
      <c r="BP44" s="471" t="n"/>
      <c r="BQ44" s="471" t="n"/>
      <c r="BR44" s="562">
        <f>IF(AND(BM44:BQ44),1,0)</f>
        <v/>
      </c>
      <c r="BX44" s="561" t="n">
        <v>41</v>
      </c>
      <c r="BY44" s="471" t="n"/>
      <c r="BZ44" s="471" t="n"/>
      <c r="CA44" s="471" t="n"/>
      <c r="CB44" s="471" t="n"/>
      <c r="CC44" s="578">
        <f>CG43</f>
        <v/>
      </c>
      <c r="CD44" s="471" t="n"/>
      <c r="CE44" s="471" t="n"/>
      <c r="CF44" s="471" t="n"/>
      <c r="CG44" s="562">
        <f>IF(AND(CB44:CF44),1,0)</f>
        <v/>
      </c>
      <c r="CI44" s="561" t="n">
        <v>41</v>
      </c>
      <c r="CJ44" s="822" t="inlineStr">
        <is>
          <t>UD .X63.22-F 1 +63.20</t>
        </is>
      </c>
      <c r="CK44" s="561" t="n"/>
      <c r="CL44" s="471" t="n"/>
      <c r="CM44" s="471" t="n"/>
      <c r="CN44" s="471">
        <f>CR43</f>
        <v/>
      </c>
      <c r="CO44" s="471" t="n"/>
      <c r="CP44" s="471" t="n"/>
      <c r="CQ44" s="471" t="n"/>
      <c r="CR44" s="562">
        <f>IF(AND(CM44:CQ44),1,0)</f>
        <v/>
      </c>
      <c r="DK44" s="561" t="n">
        <v>41</v>
      </c>
      <c r="DL44" s="566" t="inlineStr">
        <is>
          <t>LA.F08(49.10)</t>
        </is>
      </c>
      <c r="DM44" s="561" t="inlineStr">
        <is>
          <t>CACPN</t>
        </is>
      </c>
      <c r="DN44" s="471" t="n"/>
      <c r="DO44" s="471" t="n"/>
      <c r="DP44" s="569">
        <f>DW19</f>
        <v/>
      </c>
      <c r="DQ44" s="471">
        <f>DT43</f>
        <v/>
      </c>
      <c r="DR44" s="471" t="n"/>
      <c r="DS44" s="471" t="n"/>
      <c r="DT44" s="562">
        <f>IF(AND(DO44:DS44),1,0)</f>
        <v/>
      </c>
      <c r="DZ44" s="561" t="n">
        <v>41</v>
      </c>
      <c r="EA44" s="566" t="inlineStr">
        <is>
          <t>X4</t>
        </is>
      </c>
      <c r="EB44" s="561" t="inlineStr">
        <is>
          <t>RX-</t>
        </is>
      </c>
      <c r="EC44" s="471" t="n"/>
      <c r="ED44" s="471" t="n"/>
      <c r="EE44" s="565" t="n">
        <v>1</v>
      </c>
      <c r="EF44" s="471" t="n"/>
      <c r="EG44" s="471" t="n"/>
      <c r="EH44" s="471" t="n"/>
      <c r="EI44" s="571">
        <f>IF(AND(ED44:EH44),1,0)</f>
        <v/>
      </c>
      <c r="EO44" s="561" t="n">
        <v>41</v>
      </c>
      <c r="EP44" s="566" t="n"/>
      <c r="EQ44" s="561" t="n"/>
      <c r="ER44" s="471" t="n"/>
      <c r="ES44" s="471" t="n"/>
      <c r="ET44" s="471">
        <f>EX43</f>
        <v/>
      </c>
      <c r="EU44" s="471" t="n"/>
      <c r="EV44" s="471" t="n"/>
      <c r="EW44" s="471" t="n"/>
      <c r="EX44" s="562">
        <f>IF(AND(ES44:EW44),1,0)</f>
        <v/>
      </c>
      <c r="FE44" s="561" t="n">
        <v>41</v>
      </c>
      <c r="FF44" s="566" t="n"/>
      <c r="FG44" s="561" t="n"/>
      <c r="FH44" s="471" t="n"/>
      <c r="FI44" s="471" t="n"/>
      <c r="FJ44" s="471">
        <f>FN43</f>
        <v/>
      </c>
      <c r="FK44" s="471" t="n"/>
      <c r="FL44" s="471" t="n"/>
      <c r="FM44" s="471" t="n"/>
      <c r="FN44" s="562">
        <f>IF(AND(FI44:FM44),1,0)</f>
        <v/>
      </c>
      <c r="FT44" s="561" t="n">
        <v>41</v>
      </c>
      <c r="FU44" s="566" t="n"/>
      <c r="FV44" s="822" t="inlineStr">
        <is>
          <t>SAFC1</t>
        </is>
      </c>
      <c r="FW44" s="471" t="n"/>
      <c r="FX44" s="471" t="n"/>
      <c r="FY44" s="573">
        <f>FQ22</f>
        <v/>
      </c>
      <c r="FZ44" s="471">
        <f>GC43</f>
        <v/>
      </c>
      <c r="GA44" s="471" t="n"/>
      <c r="GB44" s="471" t="n"/>
      <c r="GC44" s="562">
        <f>IF(AND(FX44:GB44),1,0)</f>
        <v/>
      </c>
      <c r="GF44" s="561" t="n">
        <v>41</v>
      </c>
      <c r="GG44" s="566" t="n"/>
      <c r="GH44" s="822" t="n"/>
      <c r="GI44" s="471" t="n"/>
      <c r="GJ44" s="471" t="n"/>
      <c r="GK44" s="561">
        <f>GO43</f>
        <v/>
      </c>
      <c r="GL44" s="471" t="n"/>
      <c r="GM44" s="471" t="n"/>
      <c r="GN44" s="471" t="n"/>
      <c r="GO44" s="562">
        <f>IF(AND(GJ44:GN44),1,0)</f>
        <v/>
      </c>
      <c r="GU44" s="561" t="n">
        <v>41</v>
      </c>
      <c r="GV44" s="566" t="n"/>
      <c r="GW44" s="822" t="n"/>
      <c r="GX44" s="471" t="n"/>
      <c r="GY44" s="471" t="n"/>
      <c r="GZ44" s="801">
        <f>HD54</f>
        <v/>
      </c>
      <c r="HA44" s="471" t="n"/>
      <c r="HB44" s="471" t="n"/>
      <c r="HC44" s="471" t="n"/>
      <c r="HD44" s="571">
        <f>IF(AND(GY44:HC44),1,0)</f>
        <v/>
      </c>
      <c r="HK44" s="561" t="n">
        <v>41</v>
      </c>
      <c r="HL44" s="471" t="n"/>
      <c r="HM44" s="471" t="n"/>
      <c r="HN44" s="471" t="n"/>
      <c r="HO44" s="471" t="n"/>
      <c r="HP44" s="561">
        <f>HT45</f>
        <v/>
      </c>
      <c r="HQ44" s="471" t="n"/>
      <c r="HR44" s="471" t="n"/>
      <c r="HS44" s="471" t="n"/>
      <c r="HT44" s="562">
        <f>IF(AND(HO44:HS44),1,0)</f>
        <v/>
      </c>
      <c r="IL44" s="561" t="n">
        <v>41</v>
      </c>
      <c r="IM44" s="471" t="n"/>
      <c r="IN44" s="471" t="n"/>
      <c r="IO44" s="471" t="n"/>
      <c r="IP44" s="566" t="n"/>
      <c r="IQ44" s="566" t="n"/>
      <c r="IR44" s="471" t="n"/>
      <c r="IS44" s="471" t="n"/>
      <c r="IT44" s="471" t="n"/>
      <c r="IU44" s="562" t="n">
        <v>0</v>
      </c>
      <c r="KP44" s="561" t="n">
        <v>41</v>
      </c>
      <c r="KQ44" s="471" t="n"/>
      <c r="KR44" s="822" t="n"/>
      <c r="KS44" s="471" t="n"/>
      <c r="KT44" s="822" t="n"/>
      <c r="KU44" s="822">
        <f>KY45</f>
        <v/>
      </c>
      <c r="KV44" s="566" t="n"/>
      <c r="KW44" s="471" t="n"/>
      <c r="KX44" s="471" t="n"/>
      <c r="KY44" s="562">
        <f>IF(AND(KT44:KX44),1,0)</f>
        <v/>
      </c>
      <c r="LB44" s="561" t="n">
        <v>41</v>
      </c>
      <c r="LC44" s="471" t="n"/>
      <c r="LD44" s="822" t="inlineStr">
        <is>
          <t>COMPRESSOR 2 Pa=7,5kW p.f.=0,75</t>
        </is>
      </c>
      <c r="LE44" s="471" t="n"/>
      <c r="LF44" s="822" t="n"/>
      <c r="LG44" s="574">
        <f>LN18</f>
        <v/>
      </c>
      <c r="LH44" s="822">
        <f>LK43</f>
        <v/>
      </c>
      <c r="LI44" s="801">
        <f>LK81</f>
        <v/>
      </c>
      <c r="LJ44" s="801">
        <f>LK109</f>
        <v/>
      </c>
      <c r="LK44" s="562">
        <f>IF(AND(LF44:LJ44),1,0)</f>
        <v/>
      </c>
      <c r="LQ44" s="840">
        <f>LQ43+1</f>
        <v/>
      </c>
      <c r="LR44" s="534" t="n">
        <v>40</v>
      </c>
      <c r="LS44" s="471" t="n"/>
      <c r="LT44" s="822" t="n"/>
      <c r="LU44" s="471" t="n"/>
      <c r="LV44" s="822" t="n"/>
      <c r="LW44" s="822">
        <f>MA43</f>
        <v/>
      </c>
      <c r="LX44" s="822" t="n"/>
      <c r="LY44" s="471" t="n"/>
      <c r="LZ44" s="471" t="n"/>
      <c r="MA44" s="562">
        <f>IF(AND(LV44:LZ44),1,0)</f>
        <v/>
      </c>
      <c r="MH44" s="561" t="n">
        <v>41</v>
      </c>
      <c r="MI44" s="471" t="n"/>
      <c r="MJ44" s="822" t="n"/>
      <c r="MK44" s="471" t="n"/>
      <c r="ML44" s="822" t="n"/>
      <c r="MM44" s="574">
        <f>MT23</f>
        <v/>
      </c>
      <c r="MN44" s="822" t="n"/>
      <c r="MO44" s="471" t="n"/>
      <c r="MP44" s="471" t="n"/>
      <c r="MQ44" s="562">
        <f>IF(AND(ML44:MP44),1,0)</f>
        <v/>
      </c>
    </row>
    <row r="45">
      <c r="A45" s="559" t="n">
        <v>42</v>
      </c>
      <c r="B45" s="471" t="n"/>
      <c r="C45" s="471" t="n"/>
      <c r="D45" s="471" t="n"/>
      <c r="E45" s="471" t="n"/>
      <c r="F45" s="801">
        <f>J44</f>
        <v/>
      </c>
      <c r="G45" s="561" t="n"/>
      <c r="H45" s="471" t="n"/>
      <c r="I45" s="471" t="n"/>
      <c r="J45" s="562">
        <f>IF(AND(E45:I45),1,0)</f>
        <v/>
      </c>
      <c r="P45" s="561" t="n">
        <v>42</v>
      </c>
      <c r="Q45" s="471" t="n"/>
      <c r="R45" s="561" t="n"/>
      <c r="S45" s="471" t="n"/>
      <c r="T45" s="471" t="n"/>
      <c r="U45" s="801">
        <f>Y34</f>
        <v/>
      </c>
      <c r="V45" s="561" t="n"/>
      <c r="W45" s="561" t="n"/>
      <c r="X45" s="561" t="n"/>
      <c r="Y45" s="562">
        <f>IF(AND(T45:X45),1,0)</f>
        <v/>
      </c>
      <c r="AF45" s="561" t="n">
        <v>42</v>
      </c>
      <c r="AG45" s="568" t="n"/>
      <c r="AH45" s="566" t="inlineStr">
        <is>
          <t>PPR 1</t>
        </is>
      </c>
      <c r="AI45" s="471" t="n"/>
      <c r="AJ45" s="471" t="n"/>
      <c r="AK45" s="569">
        <f>AB33</f>
        <v/>
      </c>
      <c r="AL45" s="561">
        <f>AO35</f>
        <v/>
      </c>
      <c r="AM45" s="561">
        <f>AO38</f>
        <v/>
      </c>
      <c r="AN45" s="561">
        <f>AO41</f>
        <v/>
      </c>
      <c r="AO45" s="562">
        <f>IF(AND(AJ45:AN45),1,0)</f>
        <v/>
      </c>
      <c r="AS45" s="840" t="n"/>
      <c r="BI45" s="561" t="n">
        <v>42</v>
      </c>
      <c r="BJ45" s="471" t="n"/>
      <c r="BK45" s="471" t="n"/>
      <c r="BL45" s="471" t="n"/>
      <c r="BM45" s="471" t="n"/>
      <c r="BN45" s="561">
        <f>BR44</f>
        <v/>
      </c>
      <c r="BO45" s="471" t="n"/>
      <c r="BP45" s="471" t="n"/>
      <c r="BQ45" s="471" t="n"/>
      <c r="BR45" s="562">
        <f>IF(AND(BM45:BQ45),1,0)</f>
        <v/>
      </c>
      <c r="BX45" s="561" t="n">
        <v>42</v>
      </c>
      <c r="BY45" s="471" t="n"/>
      <c r="BZ45" s="471" t="n"/>
      <c r="CA45" s="471" t="n"/>
      <c r="CB45" s="471" t="n"/>
      <c r="CC45" s="561">
        <f>CG44</f>
        <v/>
      </c>
      <c r="CD45" s="471" t="n"/>
      <c r="CE45" s="471" t="n"/>
      <c r="CF45" s="471" t="n"/>
      <c r="CG45" s="562">
        <f>IF(AND(CB45:CF45),1,0)</f>
        <v/>
      </c>
      <c r="CI45" s="561" t="n">
        <v>42</v>
      </c>
      <c r="CJ45" s="471" t="n"/>
      <c r="CK45" s="561" t="n"/>
      <c r="CL45" s="471" t="n"/>
      <c r="CM45" s="471" t="n"/>
      <c r="CN45" s="471">
        <f>CR43</f>
        <v/>
      </c>
      <c r="CO45" s="471" t="n"/>
      <c r="CP45" s="471" t="n"/>
      <c r="CQ45" s="471" t="n"/>
      <c r="CR45" s="562">
        <f>IF(AND(CM45:CQ45),1,0)</f>
        <v/>
      </c>
      <c r="DK45" s="561" t="n">
        <v>42</v>
      </c>
      <c r="DL45" s="566" t="n"/>
      <c r="DM45" s="561" t="n"/>
      <c r="DN45" s="471" t="n"/>
      <c r="DO45" s="471" t="n"/>
      <c r="DP45" s="801">
        <f>DT44</f>
        <v/>
      </c>
      <c r="DQ45" s="471" t="n"/>
      <c r="DR45" s="471" t="n"/>
      <c r="DS45" s="471" t="n"/>
      <c r="DT45" s="562">
        <f>IF(AND(DO45:DS45),1,0)</f>
        <v/>
      </c>
      <c r="DZ45" s="561" t="n">
        <v>42</v>
      </c>
      <c r="EA45" s="566" t="n"/>
      <c r="EB45" s="561" t="n"/>
      <c r="EC45" s="471" t="n"/>
      <c r="ED45" s="471" t="n"/>
      <c r="EE45" s="471">
        <f>EI44</f>
        <v/>
      </c>
      <c r="EF45" s="471" t="n"/>
      <c r="EG45" s="471" t="n"/>
      <c r="EH45" s="471" t="n"/>
      <c r="EI45" s="571">
        <f>IF(AND(ED45:EH45),1,0)</f>
        <v/>
      </c>
      <c r="EO45" s="561" t="n">
        <v>42</v>
      </c>
      <c r="EP45" s="566" t="n"/>
      <c r="EQ45" s="561" t="inlineStr">
        <is>
          <t>TMR1</t>
        </is>
      </c>
      <c r="ER45" s="471" t="n"/>
      <c r="ES45" s="471" t="n"/>
      <c r="ET45" s="570">
        <f>FA13</f>
        <v/>
      </c>
      <c r="EU45" s="471" t="n"/>
      <c r="EV45" s="471" t="n"/>
      <c r="EW45" s="471" t="n"/>
      <c r="EX45" s="562">
        <f>IF(AND(ES45:EW45),1,0)</f>
        <v/>
      </c>
      <c r="FE45" s="561" t="n">
        <v>42</v>
      </c>
      <c r="FF45" s="566" t="n"/>
      <c r="FG45" s="561" t="inlineStr">
        <is>
          <t>TMR1</t>
        </is>
      </c>
      <c r="FH45" s="471" t="n"/>
      <c r="FI45" s="471" t="n"/>
      <c r="FJ45" s="570">
        <f>FA13</f>
        <v/>
      </c>
      <c r="FK45" s="471">
        <f>FN44</f>
        <v/>
      </c>
      <c r="FL45" s="471" t="n"/>
      <c r="FM45" s="471" t="n"/>
      <c r="FN45" s="562">
        <f>IF(AND(FI45:FM45),1,0)</f>
        <v/>
      </c>
      <c r="FT45" s="561" t="n">
        <v>42</v>
      </c>
      <c r="FU45" s="566" t="n"/>
      <c r="FV45" s="822" t="n"/>
      <c r="FW45" s="471" t="n"/>
      <c r="FX45" s="471" t="n"/>
      <c r="FY45" s="801">
        <f>GC44</f>
        <v/>
      </c>
      <c r="FZ45" s="471" t="n"/>
      <c r="GA45" s="471" t="n"/>
      <c r="GB45" s="471" t="n"/>
      <c r="GC45" s="562">
        <f>IF(AND(FX45:GB45),1,0)</f>
        <v/>
      </c>
      <c r="GF45" s="561" t="n">
        <v>42</v>
      </c>
      <c r="GG45" s="566" t="n"/>
      <c r="GH45" s="822" t="inlineStr">
        <is>
          <t>SFC OFF</t>
        </is>
      </c>
      <c r="GI45" s="471" t="n"/>
      <c r="GJ45" s="471" t="n"/>
      <c r="GK45" s="573">
        <f>GR15</f>
        <v/>
      </c>
      <c r="GL45" s="471">
        <f>GO44</f>
        <v/>
      </c>
      <c r="GM45" s="471" t="n"/>
      <c r="GN45" s="471" t="n"/>
      <c r="GO45" s="562">
        <f>IF(AND(GJ45:GN45),1,0)</f>
        <v/>
      </c>
      <c r="GU45" s="561" t="n">
        <v>42</v>
      </c>
      <c r="GV45" s="566" t="n"/>
      <c r="GW45" s="822" t="n"/>
      <c r="GX45" s="471" t="n"/>
      <c r="GY45" s="471" t="n"/>
      <c r="GZ45" s="801">
        <f>HD44</f>
        <v/>
      </c>
      <c r="HA45" s="471" t="n"/>
      <c r="HB45" s="471" t="n"/>
      <c r="HC45" s="471" t="n"/>
      <c r="HD45" s="571">
        <f>IF(AND(GY45:HC45),1,0)</f>
        <v/>
      </c>
      <c r="HK45" s="561" t="n">
        <v>42</v>
      </c>
      <c r="HL45" s="471" t="n"/>
      <c r="HM45" s="471" t="inlineStr">
        <is>
          <t>EMR</t>
        </is>
      </c>
      <c r="HN45" s="471" t="n"/>
      <c r="HO45" s="471" t="n"/>
      <c r="HP45" s="573">
        <f>HW13</f>
        <v/>
      </c>
      <c r="HQ45" s="471">
        <f>HT46</f>
        <v/>
      </c>
      <c r="HR45" s="471">
        <f>HT39</f>
        <v/>
      </c>
      <c r="HS45" s="471" t="n"/>
      <c r="HT45" s="562">
        <f>IF(AND(HO45:HS45),1,0)</f>
        <v/>
      </c>
      <c r="KP45" s="561" t="n">
        <v>42</v>
      </c>
      <c r="KQ45" s="471" t="n"/>
      <c r="KR45" s="822" t="inlineStr">
        <is>
          <t xml:space="preserve">SMRR 110 V DC </t>
        </is>
      </c>
      <c r="KS45" s="471" t="n"/>
      <c r="KT45" s="822" t="n"/>
      <c r="KU45" s="574">
        <f>KL19</f>
        <v/>
      </c>
      <c r="KV45" s="566" t="n"/>
      <c r="KW45" s="471" t="n"/>
      <c r="KX45" s="471" t="n"/>
      <c r="KY45" s="562">
        <f>IF(AND(KT45:KX45),1,0)</f>
        <v/>
      </c>
      <c r="LB45" s="561" t="n">
        <v>42</v>
      </c>
      <c r="LC45" s="471" t="n"/>
      <c r="LD45" s="822" t="n"/>
      <c r="LE45" s="471" t="n"/>
      <c r="LF45" s="822" t="n"/>
      <c r="LG45" s="822" t="n">
        <v>1</v>
      </c>
      <c r="LH45" s="822" t="n"/>
      <c r="LI45" s="471" t="n"/>
      <c r="LJ45" s="471" t="n"/>
      <c r="LK45" s="562">
        <f>IF(AND(LF45:LJ45),1,0)</f>
        <v/>
      </c>
      <c r="LQ45" s="840">
        <f>LQ44+1</f>
        <v/>
      </c>
      <c r="LR45" s="534" t="n">
        <v>41</v>
      </c>
      <c r="LS45" s="471" t="n"/>
      <c r="LT45" s="822" t="n"/>
      <c r="LU45" s="471" t="n"/>
      <c r="LV45" s="822" t="n"/>
      <c r="LW45" s="822">
        <f>MA44</f>
        <v/>
      </c>
      <c r="LX45" s="822" t="n"/>
      <c r="LY45" s="471" t="n"/>
      <c r="LZ45" s="471" t="n"/>
      <c r="MA45" s="562">
        <f>IF(AND(LV45:LZ45),1,0)</f>
        <v/>
      </c>
      <c r="MH45" s="561" t="n">
        <v>42</v>
      </c>
      <c r="MI45" s="471" t="n"/>
      <c r="MJ45" s="822" t="n"/>
      <c r="MK45" s="471" t="n"/>
      <c r="ML45" s="822" t="n"/>
      <c r="MM45" s="822">
        <f>MQ25</f>
        <v/>
      </c>
      <c r="MN45" s="822" t="n"/>
      <c r="MO45" s="471" t="n"/>
      <c r="MP45" s="471" t="n"/>
      <c r="MQ45" s="562">
        <f>IF(AND(ML45:MP45),1,0)</f>
        <v/>
      </c>
    </row>
    <row r="46" ht="24" customHeight="1">
      <c r="A46" s="559" t="n">
        <v>43</v>
      </c>
      <c r="B46" s="471" t="n"/>
      <c r="C46" s="471" t="n"/>
      <c r="D46" s="471" t="n"/>
      <c r="E46" s="471" t="n"/>
      <c r="F46" s="801">
        <f>J45</f>
        <v/>
      </c>
      <c r="G46" s="561" t="n"/>
      <c r="H46" s="471" t="n"/>
      <c r="I46" s="471" t="n"/>
      <c r="J46" s="562">
        <f>IF(AND(E46:I46),1,0)</f>
        <v/>
      </c>
      <c r="P46" s="561" t="n">
        <v>43</v>
      </c>
      <c r="Q46" s="471" t="n"/>
      <c r="R46" s="801" t="inlineStr">
        <is>
          <t>CMPB1 _13A</t>
        </is>
      </c>
      <c r="S46" s="471" t="n"/>
      <c r="T46" s="471" t="n"/>
      <c r="U46" s="582">
        <f>AB17</f>
        <v/>
      </c>
      <c r="V46" s="561">
        <f>Y45</f>
        <v/>
      </c>
      <c r="W46" s="561">
        <f>Y50</f>
        <v/>
      </c>
      <c r="X46" s="561">
        <f>Y53</f>
        <v/>
      </c>
      <c r="Y46" s="562">
        <f>IF(AND(T46:X46),1,0)</f>
        <v/>
      </c>
      <c r="AF46" s="561" t="n">
        <v>43</v>
      </c>
      <c r="AG46" s="568" t="n"/>
      <c r="AH46" s="566" t="n"/>
      <c r="AI46" s="471" t="n"/>
      <c r="AJ46" s="471" t="n"/>
      <c r="AK46" s="578">
        <f>AO35</f>
        <v/>
      </c>
      <c r="AL46" s="561" t="n"/>
      <c r="AM46" s="561" t="n"/>
      <c r="AN46" s="561" t="n"/>
      <c r="AO46" s="562">
        <f>IF(AND(AJ46:AN46),1,0)</f>
        <v/>
      </c>
      <c r="AS46" s="840" t="n"/>
      <c r="BI46" s="561" t="n">
        <v>43</v>
      </c>
      <c r="BJ46" s="471" t="n"/>
      <c r="BK46" s="471" t="n"/>
      <c r="BL46" s="471" t="n"/>
      <c r="BM46" s="471" t="n"/>
      <c r="BN46" s="578">
        <f>BR54</f>
        <v/>
      </c>
      <c r="BO46" s="471">
        <f>BR45</f>
        <v/>
      </c>
      <c r="BP46" s="471" t="n"/>
      <c r="BQ46" s="471" t="n"/>
      <c r="BR46" s="562">
        <f>IF(AND(BM46:BQ46),1,0)</f>
        <v/>
      </c>
      <c r="BX46" s="561" t="n">
        <v>43</v>
      </c>
      <c r="BY46" s="471" t="n"/>
      <c r="BZ46" s="471" t="n"/>
      <c r="CA46" s="471" t="n"/>
      <c r="CB46" s="471" t="n"/>
      <c r="CC46" s="578">
        <f>CG54</f>
        <v/>
      </c>
      <c r="CD46" s="471">
        <f>CG45</f>
        <v/>
      </c>
      <c r="CE46" s="471" t="n"/>
      <c r="CF46" s="471" t="n"/>
      <c r="CG46" s="562">
        <f>IF(AND(CB46:CF46),1,0)</f>
        <v/>
      </c>
      <c r="CI46" s="561" t="n">
        <v>43</v>
      </c>
      <c r="CJ46" s="471" t="n"/>
      <c r="CK46" s="561" t="n"/>
      <c r="CL46" s="471" t="n"/>
      <c r="CM46" s="471" t="n"/>
      <c r="CN46" s="471">
        <f>CR42</f>
        <v/>
      </c>
      <c r="CO46" s="471" t="n"/>
      <c r="CP46" s="471" t="n"/>
      <c r="CQ46" s="471" t="n"/>
      <c r="CR46" s="562">
        <f>IF(AND(CM46:CQ46),1,0)</f>
        <v/>
      </c>
      <c r="DK46" s="561" t="n">
        <v>43</v>
      </c>
      <c r="DL46" s="566" t="n"/>
      <c r="DM46" s="561" t="n"/>
      <c r="DN46" s="471" t="n"/>
      <c r="DO46" s="471" t="n"/>
      <c r="DP46" s="801">
        <f>DT45</f>
        <v/>
      </c>
      <c r="DQ46" s="471" t="n"/>
      <c r="DR46" s="471" t="n"/>
      <c r="DS46" s="471" t="n"/>
      <c r="DT46" s="562">
        <f>IF(AND(DO46:DS46),1,0)</f>
        <v/>
      </c>
      <c r="DZ46" s="561" t="n">
        <v>43</v>
      </c>
      <c r="EA46" s="566" t="inlineStr">
        <is>
          <t>X4</t>
        </is>
      </c>
      <c r="EB46" s="265" t="inlineStr">
        <is>
          <t>GND</t>
        </is>
      </c>
      <c r="EC46" s="471" t="n"/>
      <c r="ED46" s="471" t="n"/>
      <c r="EE46" s="565" t="n">
        <v>1</v>
      </c>
      <c r="EF46" s="471" t="n"/>
      <c r="EG46" s="471" t="n"/>
      <c r="EH46" s="471" t="n"/>
      <c r="EI46" s="571">
        <f>IF(AND(ED46:EH46),1,0)</f>
        <v/>
      </c>
      <c r="EO46" s="561" t="n">
        <v>43</v>
      </c>
      <c r="EP46" s="566" t="n"/>
      <c r="EQ46" s="561" t="n"/>
      <c r="ER46" s="471" t="n"/>
      <c r="ES46" s="471" t="n"/>
      <c r="ET46" s="471">
        <f>EX68</f>
        <v/>
      </c>
      <c r="EU46" s="471" t="n"/>
      <c r="EV46" s="471" t="n"/>
      <c r="EW46" s="471" t="n"/>
      <c r="EX46" s="562">
        <f>IF(AND(ES46:EW46),1,0)</f>
        <v/>
      </c>
      <c r="FE46" s="561" t="n">
        <v>43</v>
      </c>
      <c r="FF46" s="566" t="n"/>
      <c r="FG46" s="561" t="n"/>
      <c r="FH46" s="471" t="n"/>
      <c r="FI46" s="471" t="n"/>
      <c r="FJ46" s="471">
        <f>FN45</f>
        <v/>
      </c>
      <c r="FK46" s="471" t="n"/>
      <c r="FL46" s="471" t="n"/>
      <c r="FM46" s="471" t="n"/>
      <c r="FN46" s="562">
        <f>IF(AND(FI46:FM46),1,0)</f>
        <v/>
      </c>
      <c r="FT46" s="561" t="n">
        <v>43</v>
      </c>
      <c r="FU46" s="566" t="n"/>
      <c r="FV46" s="822" t="inlineStr">
        <is>
          <t>TMR1</t>
        </is>
      </c>
      <c r="FW46" s="471" t="n"/>
      <c r="FX46" s="471" t="n"/>
      <c r="FY46" s="573">
        <f>FQ13</f>
        <v/>
      </c>
      <c r="FZ46" s="471">
        <f>GC45</f>
        <v/>
      </c>
      <c r="GA46" s="471" t="n"/>
      <c r="GB46" s="471" t="n"/>
      <c r="GC46" s="562">
        <f>IF(AND(FX46:GB46),1,0)</f>
        <v/>
      </c>
      <c r="GF46" s="561" t="n">
        <v>43</v>
      </c>
      <c r="GG46" s="566" t="n"/>
      <c r="GH46" s="822" t="n"/>
      <c r="GI46" s="471" t="n"/>
      <c r="GJ46" s="471" t="n"/>
      <c r="GK46" s="561">
        <f>GO45</f>
        <v/>
      </c>
      <c r="GL46" s="471" t="n"/>
      <c r="GM46" s="471" t="n"/>
      <c r="GN46" s="471" t="n"/>
      <c r="GO46" s="562">
        <f>IF(AND(GJ46:GN46),1,0)</f>
        <v/>
      </c>
      <c r="GU46" s="561" t="n">
        <v>43</v>
      </c>
      <c r="GV46" s="566" t="n"/>
      <c r="GW46" s="822" t="n"/>
      <c r="GX46" s="471" t="n"/>
      <c r="GY46" s="471" t="n"/>
      <c r="GZ46" s="801">
        <f>HD45</f>
        <v/>
      </c>
      <c r="HA46" s="471" t="n"/>
      <c r="HB46" s="471" t="n"/>
      <c r="HC46" s="471" t="n"/>
      <c r="HD46" s="571">
        <f>IF(AND(GY46:HC46),1,0)</f>
        <v/>
      </c>
      <c r="HK46" s="561" t="n">
        <v>43</v>
      </c>
      <c r="HL46" s="471" t="n"/>
      <c r="HM46" s="471" t="inlineStr">
        <is>
          <t>110 V DC</t>
        </is>
      </c>
      <c r="HN46" s="471" t="n"/>
      <c r="HO46" s="471" t="n"/>
      <c r="HP46" s="569">
        <f>HW18</f>
        <v/>
      </c>
      <c r="HQ46" s="471" t="n"/>
      <c r="HR46" s="471" t="n"/>
      <c r="HS46" s="471" t="n"/>
      <c r="HT46" s="562">
        <f>IF(AND(HO46:HS46),1,0)</f>
        <v/>
      </c>
      <c r="KP46" s="561" t="n">
        <v>43</v>
      </c>
      <c r="KQ46" s="471" t="n"/>
      <c r="KS46" s="471" t="n"/>
      <c r="KT46" s="822" t="n"/>
      <c r="KU46" s="822">
        <f>KY47</f>
        <v/>
      </c>
      <c r="KV46" s="566" t="n"/>
      <c r="KW46" s="471" t="n"/>
      <c r="KX46" s="471" t="n"/>
      <c r="KY46" s="562">
        <f>IF(AND(KT46:KX46),1,0)</f>
        <v/>
      </c>
      <c r="LB46" s="561" t="n">
        <v>43</v>
      </c>
      <c r="LC46" s="471" t="n"/>
      <c r="LD46" s="822" t="n"/>
      <c r="LE46" s="471" t="n"/>
      <c r="LF46" s="822" t="n"/>
      <c r="LG46" s="822">
        <f>LK35</f>
        <v/>
      </c>
      <c r="LH46" s="822" t="n"/>
      <c r="LI46" s="471" t="n"/>
      <c r="LJ46" s="471" t="n"/>
      <c r="LK46" s="562">
        <f>IF(AND(LF46:LJ46),1,0)</f>
        <v/>
      </c>
      <c r="LQ46" s="840">
        <f>LQ45+1</f>
        <v/>
      </c>
      <c r="LR46" s="534" t="n">
        <v>42</v>
      </c>
      <c r="LS46" s="471" t="n"/>
      <c r="LT46" s="822" t="n"/>
      <c r="LU46" s="471" t="n"/>
      <c r="LV46" s="822" t="n"/>
      <c r="LW46" s="822">
        <f>MA7</f>
        <v/>
      </c>
      <c r="LX46" s="822" t="n"/>
      <c r="LY46" s="471" t="n"/>
      <c r="LZ46" s="471" t="n"/>
      <c r="MA46" s="562">
        <f>IF(AND(LV46:LZ46),1,0)</f>
        <v/>
      </c>
      <c r="MH46" s="561" t="n">
        <v>43</v>
      </c>
      <c r="MI46" s="471" t="n"/>
      <c r="MJ46" s="822" t="inlineStr">
        <is>
          <t>TCR 6</t>
        </is>
      </c>
      <c r="MK46" s="471" t="n"/>
      <c r="ML46" s="822" t="n"/>
      <c r="MM46" s="574">
        <f>MT17</f>
        <v/>
      </c>
      <c r="MN46" s="822" t="n"/>
      <c r="MO46" s="471" t="n"/>
      <c r="MP46" s="471" t="n"/>
      <c r="MQ46" s="562">
        <f>IF(AND(ML46:MP46),1,0)</f>
        <v/>
      </c>
    </row>
    <row r="47">
      <c r="A47" s="559" t="n">
        <v>44</v>
      </c>
      <c r="B47" s="471" t="n"/>
      <c r="C47" s="471" t="n"/>
      <c r="D47" s="471" t="n"/>
      <c r="E47" s="471" t="n"/>
      <c r="F47" s="801">
        <f>J46</f>
        <v/>
      </c>
      <c r="G47" s="561" t="n"/>
      <c r="H47" s="471" t="n"/>
      <c r="I47" s="471" t="n"/>
      <c r="J47" s="562">
        <f>IF(AND(E47:I47),1,0)</f>
        <v/>
      </c>
      <c r="P47" s="561" t="n">
        <v>44</v>
      </c>
      <c r="Q47" s="471" t="n"/>
      <c r="R47" s="561" t="n"/>
      <c r="S47" s="471" t="n"/>
      <c r="T47" s="471" t="n"/>
      <c r="U47" s="801">
        <f>Y46</f>
        <v/>
      </c>
      <c r="V47" s="561" t="n"/>
      <c r="W47" s="561" t="n"/>
      <c r="X47" s="561" t="n"/>
      <c r="Y47" s="562">
        <f>IF(AND(T47:X47),1,0)</f>
        <v/>
      </c>
      <c r="AF47" s="561" t="n">
        <v>44</v>
      </c>
      <c r="AG47" s="568" t="n"/>
      <c r="AH47" s="801" t="inlineStr">
        <is>
          <t>CMPB1 _13A</t>
        </is>
      </c>
      <c r="AI47" s="471" t="n"/>
      <c r="AJ47" s="471" t="n"/>
      <c r="AK47" s="573">
        <f>AB17</f>
        <v/>
      </c>
      <c r="AL47" s="561">
        <f>AO46</f>
        <v/>
      </c>
      <c r="AM47" s="561" t="n"/>
      <c r="AN47" s="561" t="n"/>
      <c r="AO47" s="562">
        <f>IF(AND(AJ47:AN47),1,0)</f>
        <v/>
      </c>
      <c r="AS47" s="840" t="n"/>
      <c r="BI47" s="561" t="n">
        <v>44</v>
      </c>
      <c r="BJ47" s="471" t="n"/>
      <c r="BK47" s="472" t="inlineStr">
        <is>
          <t>ESAFC</t>
        </is>
      </c>
      <c r="BL47" s="471" t="n"/>
      <c r="BM47" s="471" t="n"/>
      <c r="BN47" s="573">
        <f>BU10</f>
        <v/>
      </c>
      <c r="BO47" s="471">
        <f>BR46</f>
        <v/>
      </c>
      <c r="BP47" s="471" t="n"/>
      <c r="BQ47" s="471" t="n"/>
      <c r="BR47" s="562">
        <f>IF(AND(BM47:BQ47),1,0)</f>
        <v/>
      </c>
      <c r="BX47" s="561" t="n">
        <v>44</v>
      </c>
      <c r="BY47" s="471" t="n"/>
      <c r="BZ47" s="472" t="inlineStr">
        <is>
          <t>ESAFC</t>
        </is>
      </c>
      <c r="CA47" s="471" t="n"/>
      <c r="CB47" s="471" t="n"/>
      <c r="CC47" s="573">
        <f>BU10</f>
        <v/>
      </c>
      <c r="CD47" s="471">
        <f>CG46</f>
        <v/>
      </c>
      <c r="CE47" s="471" t="n"/>
      <c r="CF47" s="471" t="n"/>
      <c r="CG47" s="562">
        <f>IF(AND(CB47:CF47),1,0)</f>
        <v/>
      </c>
      <c r="CI47" s="561" t="n">
        <v>44</v>
      </c>
      <c r="CJ47" s="822" t="inlineStr">
        <is>
          <t>UD .X63.22-F 1 +63.20</t>
        </is>
      </c>
      <c r="CK47" s="561" t="n"/>
      <c r="CL47" s="471" t="n"/>
      <c r="CM47" s="471" t="n"/>
      <c r="CN47" s="471">
        <f>CR46</f>
        <v/>
      </c>
      <c r="CO47" s="471" t="n"/>
      <c r="CP47" s="471" t="n"/>
      <c r="CQ47" s="471" t="n"/>
      <c r="CR47" s="562">
        <f>IF(AND(CM47:CQ47),1,0)</f>
        <v/>
      </c>
      <c r="DK47" s="561" t="n">
        <v>44</v>
      </c>
      <c r="DL47" s="566" t="n"/>
      <c r="DM47" s="561" t="n"/>
      <c r="DN47" s="471" t="n"/>
      <c r="DO47" s="471" t="n"/>
      <c r="DP47" s="801">
        <f>DT45</f>
        <v/>
      </c>
      <c r="DQ47" s="471">
        <f>DT46</f>
        <v/>
      </c>
      <c r="DR47" s="471" t="n"/>
      <c r="DS47" s="471" t="n"/>
      <c r="DT47" s="562">
        <f>IF(AND(DO47:DS47),1,0)</f>
        <v/>
      </c>
      <c r="DZ47" s="561" t="n">
        <v>44</v>
      </c>
      <c r="EA47" s="566" t="n"/>
      <c r="EB47" s="561" t="n"/>
      <c r="EC47" s="471" t="n"/>
      <c r="ED47" s="471" t="n"/>
      <c r="EE47" s="471">
        <f>EI46</f>
        <v/>
      </c>
      <c r="EF47" s="471" t="n"/>
      <c r="EG47" s="471" t="n"/>
      <c r="EH47" s="471" t="n"/>
      <c r="EI47" s="571">
        <f>IF(AND(ED47:EH47),1,0)</f>
        <v/>
      </c>
      <c r="EO47" s="561" t="n">
        <v>44</v>
      </c>
      <c r="EP47" s="566" t="n"/>
      <c r="EQ47" s="561" t="n"/>
      <c r="ER47" s="471" t="n"/>
      <c r="ES47" s="471" t="n"/>
      <c r="ET47" s="471">
        <f>EX34</f>
        <v/>
      </c>
      <c r="EU47" s="471" t="n"/>
      <c r="EV47" s="471" t="n"/>
      <c r="EW47" s="471" t="n"/>
      <c r="EX47" s="562">
        <f>IF(AND(ES47:EW47),1,0)</f>
        <v/>
      </c>
      <c r="FE47" s="561" t="n">
        <v>44</v>
      </c>
      <c r="FF47" s="566" t="n"/>
      <c r="FG47" s="561" t="n"/>
      <c r="FH47" s="471" t="n"/>
      <c r="FI47" s="471" t="n"/>
      <c r="FJ47" s="471">
        <f>FN34</f>
        <v/>
      </c>
      <c r="FK47" s="471" t="n"/>
      <c r="FL47" s="471" t="n"/>
      <c r="FM47" s="471" t="n"/>
      <c r="FN47" s="562">
        <f>IF(AND(FI47:FM47),1,0)</f>
        <v/>
      </c>
      <c r="FT47" s="561" t="n">
        <v>44</v>
      </c>
      <c r="FU47" s="566" t="n"/>
      <c r="FV47" s="822" t="n"/>
      <c r="FW47" s="471" t="n"/>
      <c r="FX47" s="471" t="n"/>
      <c r="FY47" s="561">
        <f>GC46</f>
        <v/>
      </c>
      <c r="FZ47" s="471" t="n"/>
      <c r="GA47" s="471" t="n"/>
      <c r="GB47" s="471" t="n"/>
      <c r="GC47" s="562">
        <f>IF(AND(FX47:GB47),1,0)</f>
        <v/>
      </c>
      <c r="GF47" s="561" t="n">
        <v>44</v>
      </c>
      <c r="GG47" s="566" t="n"/>
      <c r="GH47" s="822" t="inlineStr">
        <is>
          <t>FADR4</t>
        </is>
      </c>
      <c r="GI47" s="471" t="n"/>
      <c r="GJ47" s="471" t="n"/>
      <c r="GK47" s="573">
        <f>GR12</f>
        <v/>
      </c>
      <c r="GL47" s="471">
        <f>GO46</f>
        <v/>
      </c>
      <c r="GM47" s="471" t="n"/>
      <c r="GN47" s="471" t="n"/>
      <c r="GO47" s="562">
        <f>IF(AND(GJ47:GN47),1,0)</f>
        <v/>
      </c>
      <c r="GU47" s="561" t="n">
        <v>44</v>
      </c>
      <c r="GV47" s="566" t="n"/>
      <c r="GW47" s="822" t="n"/>
      <c r="GX47" s="471" t="n"/>
      <c r="GY47" s="471" t="n"/>
      <c r="GZ47" s="801">
        <f>HD46</f>
        <v/>
      </c>
      <c r="HA47" s="471" t="n"/>
      <c r="HB47" s="471" t="n"/>
      <c r="HC47" s="471" t="n"/>
      <c r="HD47" s="571">
        <f>IF(AND(GY47:HC47),1,0)</f>
        <v/>
      </c>
      <c r="HK47" s="561" t="n">
        <v>44</v>
      </c>
      <c r="HL47" s="471" t="n"/>
      <c r="HM47" s="471" t="inlineStr">
        <is>
          <t>APS 1</t>
        </is>
      </c>
      <c r="HN47" s="471" t="n"/>
      <c r="HO47" s="471" t="n"/>
      <c r="HP47" s="569">
        <f>HW6</f>
        <v/>
      </c>
      <c r="HQ47" s="471" t="n"/>
      <c r="HR47" s="471" t="n"/>
      <c r="HS47" s="471" t="n"/>
      <c r="HT47" s="562">
        <f>IF(AND(HO47:HS47),1,0)</f>
        <v/>
      </c>
      <c r="KP47" s="561" t="n">
        <v>44</v>
      </c>
      <c r="KQ47" s="471" t="n"/>
      <c r="KR47" s="822" t="inlineStr">
        <is>
          <t xml:space="preserve">SMDR 110 V DC </t>
        </is>
      </c>
      <c r="KS47" s="471" t="n"/>
      <c r="KT47" s="822" t="n"/>
      <c r="KU47" s="574">
        <f>KL20</f>
        <v/>
      </c>
      <c r="KV47" s="566" t="n"/>
      <c r="KW47" s="471" t="n"/>
      <c r="KX47" s="471" t="n"/>
      <c r="KY47" s="562">
        <f>IF(AND(KT47:KX47),1,0)</f>
        <v/>
      </c>
      <c r="LB47" s="561" t="n">
        <v>44</v>
      </c>
      <c r="LC47" s="471" t="n"/>
      <c r="LD47" s="822" t="n"/>
      <c r="LE47" s="471" t="n"/>
      <c r="LF47" s="822" t="n"/>
      <c r="LG47" s="822">
        <f>LK111</f>
        <v/>
      </c>
      <c r="LH47" s="822" t="n"/>
      <c r="LI47" s="471" t="n"/>
      <c r="LJ47" s="471" t="n"/>
      <c r="LK47" s="562">
        <f>IF(AND(LF47:LJ47),1,0)</f>
        <v/>
      </c>
      <c r="LQ47" s="840">
        <f>LQ46+1</f>
        <v/>
      </c>
      <c r="LR47" s="534" t="n">
        <v>43</v>
      </c>
      <c r="LS47" s="471" t="n"/>
      <c r="LT47" s="822" t="n"/>
      <c r="LU47" s="471" t="n"/>
      <c r="LV47" s="822" t="n"/>
      <c r="LW47" s="822">
        <f>MA46</f>
        <v/>
      </c>
      <c r="LX47" s="822" t="n"/>
      <c r="LY47" s="471" t="n"/>
      <c r="LZ47" s="471" t="n"/>
      <c r="MA47" s="562">
        <f>IF(AND(LV47:LZ47),1,0)</f>
        <v/>
      </c>
      <c r="MH47" s="561" t="n">
        <v>44</v>
      </c>
      <c r="MI47" s="471" t="n"/>
      <c r="MJ47" s="822" t="n"/>
      <c r="MK47" s="471" t="n"/>
      <c r="ML47" s="822" t="n"/>
      <c r="MM47" s="822">
        <f>MQ46</f>
        <v/>
      </c>
      <c r="MN47" s="822" t="n"/>
      <c r="MO47" s="471" t="n"/>
      <c r="MP47" s="471" t="n"/>
      <c r="MQ47" s="562">
        <f>IF(AND(ML47:MP47),1,0)</f>
        <v/>
      </c>
    </row>
    <row r="48" ht="25.5" customHeight="1">
      <c r="A48" s="559" t="n">
        <v>45</v>
      </c>
      <c r="B48" s="471" t="n"/>
      <c r="C48" s="471" t="n"/>
      <c r="D48" s="471" t="n"/>
      <c r="E48" s="471" t="n"/>
      <c r="F48" s="801">
        <f>J47</f>
        <v/>
      </c>
      <c r="G48" s="561" t="n"/>
      <c r="H48" s="471" t="n"/>
      <c r="I48" s="471" t="n"/>
      <c r="J48" s="562">
        <f>IF(AND(E48:I48),1,0)</f>
        <v/>
      </c>
      <c r="P48" s="561" t="n">
        <v>45</v>
      </c>
      <c r="Q48" s="471" t="n"/>
      <c r="R48" s="801" t="inlineStr">
        <is>
          <t>CMPC1 16A</t>
        </is>
      </c>
      <c r="S48" s="471" t="n"/>
      <c r="T48" s="471" t="n"/>
      <c r="U48" s="582">
        <f>AB17</f>
        <v/>
      </c>
      <c r="V48" s="561">
        <f>Y47</f>
        <v/>
      </c>
      <c r="W48" s="561">
        <f>Y51</f>
        <v/>
      </c>
      <c r="X48" s="561">
        <f>Y54</f>
        <v/>
      </c>
      <c r="Y48" s="562">
        <f>IF(AND(T48:X48),1,0)</f>
        <v/>
      </c>
      <c r="AF48" s="561" t="n">
        <v>45</v>
      </c>
      <c r="AG48" s="568" t="n"/>
      <c r="AH48" s="566" t="n"/>
      <c r="AI48" s="471" t="n"/>
      <c r="AJ48" s="471" t="n"/>
      <c r="AK48" s="578">
        <f>AO47</f>
        <v/>
      </c>
      <c r="AL48" s="561" t="n"/>
      <c r="AM48" s="561" t="n"/>
      <c r="AN48" s="561" t="n"/>
      <c r="AO48" s="562">
        <f>IF(AND(AJ48:AN48),1,0)</f>
        <v/>
      </c>
      <c r="AS48" s="840" t="n"/>
      <c r="BI48" s="561" t="n">
        <v>45</v>
      </c>
      <c r="BJ48" s="471" t="n"/>
      <c r="BK48" s="472" t="inlineStr">
        <is>
          <t>EMO1-</t>
        </is>
      </c>
      <c r="BL48" s="471" t="n"/>
      <c r="BM48" s="471" t="n"/>
      <c r="BN48" s="578">
        <f>BR47</f>
        <v/>
      </c>
      <c r="BO48" s="471" t="n"/>
      <c r="BP48" s="471" t="n"/>
      <c r="BQ48" s="471" t="n"/>
      <c r="BR48" s="562">
        <f>IF(AND(BM48:BQ48),1,0)</f>
        <v/>
      </c>
      <c r="BX48" s="561" t="n">
        <v>45</v>
      </c>
      <c r="BY48" s="471" t="n"/>
      <c r="BZ48" s="472" t="inlineStr">
        <is>
          <t>EMO1-</t>
        </is>
      </c>
      <c r="CA48" s="471" t="n"/>
      <c r="CB48" s="471" t="n"/>
      <c r="CC48" s="578">
        <f>CG47</f>
        <v/>
      </c>
      <c r="CD48" s="471" t="n"/>
      <c r="CE48" s="471" t="n"/>
      <c r="CF48" s="471" t="n"/>
      <c r="CG48" s="562">
        <f>IF(AND(CB48:CF48),1,0)</f>
        <v/>
      </c>
      <c r="CI48" s="561" t="n">
        <v>45</v>
      </c>
      <c r="CJ48" s="471" t="n"/>
      <c r="CK48" s="561" t="n"/>
      <c r="CL48" s="471" t="n"/>
      <c r="CM48" s="471" t="n"/>
      <c r="CN48" s="471">
        <f>CR46</f>
        <v/>
      </c>
      <c r="CO48" s="471" t="n"/>
      <c r="CP48" s="471" t="n"/>
      <c r="CQ48" s="471" t="n"/>
      <c r="CR48" s="562">
        <f>IF(AND(CM48:CQ48),1,0)</f>
        <v/>
      </c>
      <c r="DK48" s="561" t="n">
        <v>45</v>
      </c>
      <c r="DL48" s="566" t="n"/>
      <c r="DM48" s="561" t="n"/>
      <c r="DN48" s="471" t="n"/>
      <c r="DO48" s="471" t="n"/>
      <c r="DP48" s="801">
        <f>DT63</f>
        <v/>
      </c>
      <c r="DQ48" s="471">
        <f>DT47</f>
        <v/>
      </c>
      <c r="DR48" s="471" t="n"/>
      <c r="DS48" s="471" t="n"/>
      <c r="DT48" s="562">
        <f>IF(AND(DO48:DS48),1,0)</f>
        <v/>
      </c>
      <c r="DZ48" s="561" t="n">
        <v>45</v>
      </c>
      <c r="EA48" s="566" t="n"/>
      <c r="EB48" s="561" t="n"/>
      <c r="EC48" s="471" t="n"/>
      <c r="ED48" s="471" t="n"/>
      <c r="EE48" s="471">
        <f>EI47</f>
        <v/>
      </c>
      <c r="EF48" s="471" t="n"/>
      <c r="EG48" s="471" t="n"/>
      <c r="EH48" s="471" t="n"/>
      <c r="EI48" s="571">
        <f>IF(AND(ED48:EH48),1,0)</f>
        <v/>
      </c>
      <c r="EO48" s="561" t="n">
        <v>45</v>
      </c>
      <c r="EP48" s="566" t="n"/>
      <c r="EQ48" s="561" t="inlineStr">
        <is>
          <t>TMR1_60 SEC</t>
        </is>
      </c>
      <c r="ER48" s="471" t="n"/>
      <c r="ES48" s="471" t="n"/>
      <c r="ET48" s="570">
        <f>FA13</f>
        <v/>
      </c>
      <c r="EU48" s="471">
        <f>EX47</f>
        <v/>
      </c>
      <c r="EV48" s="471" t="n"/>
      <c r="EW48" s="471" t="n"/>
      <c r="EX48" s="562">
        <f>IF(AND(ES48:EW48),1,0)</f>
        <v/>
      </c>
      <c r="FE48" s="561" t="n">
        <v>45</v>
      </c>
      <c r="FF48" s="566" t="n"/>
      <c r="FG48" s="561" t="n"/>
      <c r="FH48" s="471" t="n"/>
      <c r="FI48" s="471" t="n"/>
      <c r="FJ48" s="471">
        <f>FN47</f>
        <v/>
      </c>
      <c r="FK48" s="471" t="n"/>
      <c r="FL48" s="471" t="n"/>
      <c r="FM48" s="471" t="n"/>
      <c r="FN48" s="562">
        <f>IF(AND(FI48:FM48),1,0)</f>
        <v/>
      </c>
      <c r="FT48" s="561" t="n">
        <v>45</v>
      </c>
      <c r="FU48" s="566" t="n"/>
      <c r="FV48" s="822" t="n"/>
      <c r="FW48" s="471" t="n"/>
      <c r="FX48" s="471" t="n"/>
      <c r="FY48" s="561">
        <f>GC47</f>
        <v/>
      </c>
      <c r="FZ48" s="471" t="n"/>
      <c r="GA48" s="471" t="n"/>
      <c r="GB48" s="471" t="n"/>
      <c r="GC48" s="562">
        <f>IF(AND(FX48:GB48),1,0)</f>
        <v/>
      </c>
      <c r="GF48" s="561" t="n">
        <v>45</v>
      </c>
      <c r="GG48" s="566" t="n"/>
      <c r="GH48" s="822" t="n"/>
      <c r="GI48" s="471" t="n"/>
      <c r="GJ48" s="471" t="n"/>
      <c r="GK48" s="561">
        <f>GO64</f>
        <v/>
      </c>
      <c r="GL48" s="471" t="n"/>
      <c r="GM48" s="471" t="n"/>
      <c r="GN48" s="471" t="n"/>
      <c r="GO48" s="562">
        <f>IF(AND(GJ48:GN48),1,0)</f>
        <v/>
      </c>
      <c r="GU48" s="561" t="n">
        <v>45</v>
      </c>
      <c r="GV48" s="566" t="n"/>
      <c r="GW48" s="822" t="n"/>
      <c r="GX48" s="471" t="n"/>
      <c r="GY48" s="471" t="n"/>
      <c r="GZ48" s="801">
        <f>HD47</f>
        <v/>
      </c>
      <c r="HA48" s="471" t="n"/>
      <c r="HB48" s="471" t="n"/>
      <c r="HC48" s="471" t="n"/>
      <c r="HD48" s="571">
        <f>IF(AND(GY48:HC48),1,0)</f>
        <v/>
      </c>
      <c r="HK48" s="561" t="n">
        <v>45</v>
      </c>
      <c r="HL48" s="471" t="n"/>
      <c r="HM48" s="471" t="n"/>
      <c r="HN48" s="471" t="n"/>
      <c r="HO48" s="471" t="n"/>
      <c r="HP48" s="801">
        <f>HT47</f>
        <v/>
      </c>
      <c r="HQ48" s="471" t="n"/>
      <c r="HR48" s="471" t="n"/>
      <c r="HS48" s="471" t="n"/>
      <c r="HT48" s="562">
        <f>IF(AND(HO48:HS48),1,0)</f>
        <v/>
      </c>
      <c r="KP48" s="561" t="n">
        <v>45</v>
      </c>
      <c r="KQ48" s="471" t="n"/>
      <c r="KR48" s="822" t="n"/>
      <c r="KS48" s="471" t="n"/>
      <c r="KT48" s="822" t="n"/>
      <c r="KU48" s="822">
        <f>KY49</f>
        <v/>
      </c>
      <c r="KV48" s="566" t="n"/>
      <c r="KW48" s="471" t="n"/>
      <c r="KX48" s="471" t="n"/>
      <c r="KY48" s="562">
        <f>IF(AND(KT48:KX48),1,0)</f>
        <v/>
      </c>
      <c r="LB48" s="561" t="n">
        <v>45</v>
      </c>
      <c r="LC48" s="471" t="n"/>
      <c r="LD48" s="822" t="n"/>
      <c r="LE48" s="471" t="n"/>
      <c r="LF48" s="822" t="n"/>
      <c r="LG48" s="822">
        <f>LK47</f>
        <v/>
      </c>
      <c r="LH48" s="822" t="n"/>
      <c r="LI48" s="471" t="n"/>
      <c r="LJ48" s="471" t="n"/>
      <c r="LK48" s="562">
        <f>IF(AND(LF48:LJ48),1,0)</f>
        <v/>
      </c>
      <c r="LQ48" s="840">
        <f>LQ47+1</f>
        <v/>
      </c>
      <c r="LR48" s="534" t="n">
        <v>44</v>
      </c>
      <c r="LS48" s="471" t="n"/>
      <c r="LT48" s="822" t="n"/>
      <c r="LU48" s="471" t="n"/>
      <c r="LV48" s="822" t="n"/>
      <c r="LW48" s="822">
        <f>MA47</f>
        <v/>
      </c>
      <c r="LX48" s="822" t="n"/>
      <c r="LY48" s="471" t="n"/>
      <c r="LZ48" s="471" t="n"/>
      <c r="MA48" s="562">
        <f>IF(AND(LV48:LZ48),1,0)</f>
        <v/>
      </c>
      <c r="MH48" s="561" t="n">
        <v>45</v>
      </c>
      <c r="MI48" s="471" t="n"/>
      <c r="MJ48" s="822" t="inlineStr">
        <is>
          <t>FADR</t>
        </is>
      </c>
      <c r="MK48" s="471" t="n"/>
      <c r="ML48" s="822" t="n"/>
      <c r="MM48" s="574">
        <f>MT13</f>
        <v/>
      </c>
      <c r="MN48" s="822" t="n"/>
      <c r="MO48" s="471" t="n"/>
      <c r="MP48" s="471" t="n"/>
      <c r="MQ48" s="562">
        <f>IF(AND(ML48:MP48),1,0)</f>
        <v/>
      </c>
    </row>
    <row r="49" ht="46.5" customFormat="1" customHeight="1" s="559">
      <c r="A49" s="559" t="n">
        <v>46</v>
      </c>
      <c r="C49" s="801" t="inlineStr">
        <is>
          <t>PE</t>
        </is>
      </c>
      <c r="F49" s="590" t="n">
        <v>1</v>
      </c>
      <c r="G49" s="561" t="n"/>
      <c r="H49" s="471" t="n"/>
      <c r="J49" s="562">
        <f>IF(AND(E49:I49),1,0)</f>
        <v/>
      </c>
      <c r="K49" s="840" t="n"/>
      <c r="L49" s="840" t="n"/>
      <c r="M49" s="840" t="n"/>
      <c r="N49" s="840" t="n"/>
      <c r="O49" s="840" t="n"/>
      <c r="P49" s="561" t="n">
        <v>46</v>
      </c>
      <c r="Q49" s="471" t="n"/>
      <c r="R49" s="561" t="n"/>
      <c r="S49" s="471" t="n"/>
      <c r="T49" s="471" t="n"/>
      <c r="U49" s="801">
        <f>Y48</f>
        <v/>
      </c>
      <c r="V49" s="561">
        <f>Y48</f>
        <v/>
      </c>
      <c r="W49" s="561" t="n"/>
      <c r="X49" s="561" t="n"/>
      <c r="Y49" s="562">
        <f>IF(AND(T49:X49),1,0)</f>
        <v/>
      </c>
      <c r="Z49" s="265" t="n"/>
      <c r="AA49" s="265" t="n"/>
      <c r="AD49" s="265" t="n"/>
      <c r="AE49" s="265" t="n"/>
      <c r="AF49" s="561" t="n">
        <v>46</v>
      </c>
      <c r="AG49" s="568" t="n"/>
      <c r="AH49" s="801" t="inlineStr">
        <is>
          <t>CMPC1 16A</t>
        </is>
      </c>
      <c r="AJ49" s="471" t="n"/>
      <c r="AK49" s="573">
        <f>AB17</f>
        <v/>
      </c>
      <c r="AL49" s="561">
        <f>AO48</f>
        <v/>
      </c>
      <c r="AM49" s="561" t="n"/>
      <c r="AN49" s="561" t="n"/>
      <c r="AO49" s="562">
        <f>IF(AND(AJ49:AN49),1,0)</f>
        <v/>
      </c>
      <c r="AQ49" s="591" t="n"/>
      <c r="AR49" s="840" t="n"/>
      <c r="AS49" s="840" t="n"/>
      <c r="AT49" s="840" t="n"/>
      <c r="AU49" s="840" t="n"/>
      <c r="AV49" s="840" t="n"/>
      <c r="AW49" s="840" t="n"/>
      <c r="AX49" s="840" t="n"/>
      <c r="AY49" s="840" t="n"/>
      <c r="AZ49" s="840" t="n"/>
      <c r="BA49" s="840" t="n"/>
      <c r="BB49" s="840" t="n"/>
      <c r="BC49" s="840" t="n"/>
      <c r="BD49" s="840" t="n"/>
      <c r="BE49" s="840" t="n"/>
      <c r="BF49" s="840" t="n"/>
      <c r="BG49" s="840" t="n"/>
      <c r="BH49" s="840" t="n"/>
      <c r="BI49" s="561" t="n">
        <v>46</v>
      </c>
      <c r="BJ49" s="471" t="n"/>
      <c r="BK49" s="472" t="inlineStr">
        <is>
          <t>EMO2-</t>
        </is>
      </c>
      <c r="BL49" s="471" t="n"/>
      <c r="BM49" s="471" t="n"/>
      <c r="BN49" s="561">
        <f>BR48</f>
        <v/>
      </c>
      <c r="BO49" s="471" t="n"/>
      <c r="BP49" s="471" t="n"/>
      <c r="BQ49" s="471" t="n"/>
      <c r="BR49" s="562">
        <f>IF(AND(BM49:BQ49),1,0)</f>
        <v/>
      </c>
      <c r="BS49" s="840" t="n"/>
      <c r="BT49" s="840" t="n"/>
      <c r="BU49" s="840" t="n"/>
      <c r="BV49" s="840" t="n"/>
      <c r="BW49" s="840" t="n"/>
      <c r="BX49" s="561" t="n">
        <v>46</v>
      </c>
      <c r="BY49" s="471" t="n"/>
      <c r="BZ49" s="472" t="inlineStr">
        <is>
          <t>EMO2-</t>
        </is>
      </c>
      <c r="CA49" s="471" t="n"/>
      <c r="CB49" s="471" t="n"/>
      <c r="CC49" s="561">
        <f>CG48</f>
        <v/>
      </c>
      <c r="CD49" s="471" t="n"/>
      <c r="CE49" s="471" t="n"/>
      <c r="CF49" s="471" t="n"/>
      <c r="CG49" s="562">
        <f>IF(AND(CB49:CF49),1,0)</f>
        <v/>
      </c>
      <c r="CH49" s="840" t="n"/>
      <c r="CI49" s="561" t="n">
        <v>46</v>
      </c>
      <c r="CJ49" s="471" t="n"/>
      <c r="CK49" s="561" t="n"/>
      <c r="CL49" s="471" t="n"/>
      <c r="CM49" s="471" t="n"/>
      <c r="CN49" s="565">
        <f>'DATA TRANSFER'!DP128</f>
        <v/>
      </c>
      <c r="CO49" s="471" t="n"/>
      <c r="CP49" s="471" t="n"/>
      <c r="CQ49" s="471" t="n"/>
      <c r="CR49" s="562">
        <f>IF(AND(CM49:CQ49),1,0)</f>
        <v/>
      </c>
      <c r="CS49" s="840" t="n"/>
      <c r="CT49" s="840" t="n"/>
      <c r="CU49" s="840" t="n"/>
      <c r="CV49" s="840" t="n"/>
      <c r="CW49" s="840" t="n"/>
      <c r="CX49" s="840" t="n"/>
      <c r="CY49" s="840" t="n"/>
      <c r="CZ49" s="840" t="n"/>
      <c r="DA49" s="840" t="n"/>
      <c r="DB49" s="840" t="n"/>
      <c r="DC49" s="840" t="n"/>
      <c r="DD49" s="840" t="n"/>
      <c r="DE49" s="840" t="n"/>
      <c r="DF49" s="840" t="n"/>
      <c r="DG49" s="840" t="n"/>
      <c r="DH49" s="840" t="n"/>
      <c r="DI49" s="840" t="n"/>
      <c r="DJ49" s="840" t="n"/>
      <c r="DK49" s="561" t="n">
        <v>46</v>
      </c>
      <c r="DL49" s="566" t="n"/>
      <c r="DM49" s="561" t="n"/>
      <c r="DN49" s="471" t="n"/>
      <c r="DO49" s="471" t="n"/>
      <c r="DP49" s="801">
        <f>DT48</f>
        <v/>
      </c>
      <c r="DQ49" s="471" t="n"/>
      <c r="DR49" s="471" t="n"/>
      <c r="DS49" s="471" t="n"/>
      <c r="DT49" s="562">
        <f>IF(AND(DO49:DS49),1,0)</f>
        <v/>
      </c>
      <c r="DU49" s="840" t="n"/>
      <c r="DV49" s="840" t="n"/>
      <c r="DW49" s="840" t="n"/>
      <c r="DX49" s="840" t="n"/>
      <c r="DY49" s="840" t="n"/>
      <c r="DZ49" s="561" t="n">
        <v>46</v>
      </c>
      <c r="EA49" s="566" t="inlineStr">
        <is>
          <t>X5</t>
        </is>
      </c>
      <c r="EB49" s="561" t="inlineStr">
        <is>
          <t>RS 485+</t>
        </is>
      </c>
      <c r="EC49" s="471" t="n"/>
      <c r="ED49" s="471" t="n"/>
      <c r="EE49" s="565" t="n">
        <v>1</v>
      </c>
      <c r="EF49" s="471" t="n"/>
      <c r="EG49" s="471" t="n"/>
      <c r="EH49" s="471" t="n"/>
      <c r="EI49" s="571">
        <f>IF(AND(ED49:EH49),1,0)</f>
        <v/>
      </c>
      <c r="EJ49" s="840" t="n"/>
      <c r="EK49" s="840" t="n"/>
      <c r="EL49" s="840" t="n"/>
      <c r="EM49" s="840" t="n"/>
      <c r="EN49" s="840" t="n"/>
      <c r="EO49" s="561" t="n">
        <v>46</v>
      </c>
      <c r="EP49" s="566" t="n"/>
      <c r="EQ49" s="561" t="n"/>
      <c r="ER49" s="471" t="n"/>
      <c r="ES49" s="471" t="n"/>
      <c r="ET49" s="471">
        <f>EX48</f>
        <v/>
      </c>
      <c r="EU49" s="471" t="n"/>
      <c r="EV49" s="471" t="n"/>
      <c r="EW49" s="471" t="n"/>
      <c r="EX49" s="562">
        <f>IF(AND(ES49:EW49),1,0)</f>
        <v/>
      </c>
      <c r="EY49" s="840" t="n"/>
      <c r="EZ49" s="840" t="n"/>
      <c r="FA49" s="840" t="n"/>
      <c r="FB49" s="840" t="n"/>
      <c r="FC49" s="840" t="n"/>
      <c r="FD49" s="840" t="n"/>
      <c r="FE49" s="561" t="n">
        <v>46</v>
      </c>
      <c r="FF49" s="566" t="n"/>
      <c r="FG49" s="561" t="n"/>
      <c r="FH49" s="471" t="n"/>
      <c r="FI49" s="471" t="n"/>
      <c r="FJ49" s="471">
        <f>FN48</f>
        <v/>
      </c>
      <c r="FK49" s="471" t="n"/>
      <c r="FL49" s="471" t="n"/>
      <c r="FM49" s="471" t="n"/>
      <c r="FN49" s="562">
        <f>IF(AND(FI49:FM49),1,0)</f>
        <v/>
      </c>
      <c r="FO49" s="840" t="n"/>
      <c r="FP49" s="840" t="n"/>
      <c r="FQ49" s="840" t="n"/>
      <c r="FR49" s="840" t="n"/>
      <c r="FS49" s="840" t="n"/>
      <c r="FT49" s="561" t="n">
        <v>46</v>
      </c>
      <c r="FU49" s="566" t="n"/>
      <c r="FV49" s="822" t="inlineStr">
        <is>
          <t>TMR1</t>
        </is>
      </c>
      <c r="FW49" s="471" t="n"/>
      <c r="FX49" s="471" t="n"/>
      <c r="FY49" s="573">
        <f>FQ13</f>
        <v/>
      </c>
      <c r="FZ49" s="471">
        <f>GC48</f>
        <v/>
      </c>
      <c r="GA49" s="471" t="n"/>
      <c r="GB49" s="471" t="n"/>
      <c r="GC49" s="562">
        <f>IF(AND(FX49:GB49),1,0)</f>
        <v/>
      </c>
      <c r="GD49" s="840" t="n"/>
      <c r="GE49" s="840" t="n"/>
      <c r="GF49" s="561" t="n">
        <v>46</v>
      </c>
      <c r="GG49" s="566" t="n"/>
      <c r="GH49" s="822" t="n"/>
      <c r="GI49" s="471" t="n"/>
      <c r="GJ49" s="471" t="n"/>
      <c r="GK49" s="561">
        <f>GO47</f>
        <v/>
      </c>
      <c r="GL49" s="471" t="n"/>
      <c r="GM49" s="471" t="n"/>
      <c r="GN49" s="471" t="n"/>
      <c r="GO49" s="562">
        <f>IF(AND(GJ49:GN49),1,0)</f>
        <v/>
      </c>
      <c r="GP49" s="840" t="n"/>
      <c r="GQ49" s="840" t="n"/>
      <c r="GR49" s="840" t="n"/>
      <c r="GS49" s="840" t="n"/>
      <c r="GT49" s="840" t="n"/>
      <c r="GU49" s="561" t="n">
        <v>46</v>
      </c>
      <c r="GV49" s="566" t="n"/>
      <c r="GW49" s="822" t="n"/>
      <c r="GX49" s="471" t="n"/>
      <c r="GY49" s="471" t="n"/>
      <c r="GZ49" s="801">
        <f>IF(OR(HD11,HD16,HD25,HD26),1,0)</f>
        <v/>
      </c>
      <c r="HA49" s="471" t="n"/>
      <c r="HB49" s="471" t="n"/>
      <c r="HC49" s="471" t="n"/>
      <c r="HD49" s="571">
        <f>IF(AND(GY49:HC49),1,0)</f>
        <v/>
      </c>
      <c r="HE49" s="840" t="n"/>
      <c r="HF49" s="840" t="n"/>
      <c r="HG49" s="840" t="n"/>
      <c r="HH49" s="840" t="n"/>
      <c r="HI49" s="840" t="n"/>
      <c r="HJ49" s="840" t="n"/>
      <c r="HK49" s="561" t="n">
        <v>46</v>
      </c>
      <c r="HL49" s="471" t="n"/>
      <c r="HM49" s="471" t="n"/>
      <c r="HN49" s="471" t="n"/>
      <c r="HO49" s="471" t="n"/>
      <c r="HP49" s="801">
        <f>HT27</f>
        <v/>
      </c>
      <c r="HQ49" s="471" t="n"/>
      <c r="HR49" s="471" t="n"/>
      <c r="HS49" s="471" t="n"/>
      <c r="HT49" s="562">
        <f>IF(AND(HO49:HS49),1,0)</f>
        <v/>
      </c>
      <c r="HU49" s="840" t="n"/>
      <c r="HV49" s="840" t="n"/>
      <c r="HW49" s="840" t="n"/>
      <c r="HX49" s="840" t="n"/>
      <c r="HY49" s="840" t="n"/>
      <c r="HZ49" s="840" t="n"/>
      <c r="IA49" s="840" t="n"/>
      <c r="IB49" s="840" t="n"/>
      <c r="IC49" s="840" t="n"/>
      <c r="ID49" s="840" t="n"/>
      <c r="IE49" s="840" t="n"/>
      <c r="IF49" s="840" t="n"/>
      <c r="IG49" s="840" t="n"/>
      <c r="IH49" s="840" t="n"/>
      <c r="II49" s="840" t="n"/>
      <c r="IJ49" s="840" t="n"/>
      <c r="IK49" s="840" t="n"/>
      <c r="IL49" s="840" t="n"/>
      <c r="IM49" s="840" t="n"/>
      <c r="IN49" s="840" t="n"/>
      <c r="IO49" s="840" t="n"/>
      <c r="IP49" s="840" t="n"/>
      <c r="IQ49" s="840" t="n"/>
      <c r="IR49" s="840" t="n"/>
      <c r="IS49" s="840" t="n"/>
      <c r="IT49" s="840" t="n"/>
      <c r="IU49" s="840" t="n"/>
      <c r="IV49" s="840" t="n"/>
      <c r="IW49" s="840" t="n"/>
      <c r="IX49" s="840" t="n"/>
      <c r="IY49" s="840" t="n"/>
      <c r="IZ49" s="265" t="n"/>
      <c r="JA49" s="840" t="n"/>
      <c r="JB49" s="840" t="n"/>
      <c r="JC49" s="840" t="n"/>
      <c r="JD49" s="840" t="n"/>
      <c r="JE49" s="840" t="n"/>
      <c r="JF49" s="840" t="n"/>
      <c r="JG49" s="265" t="n"/>
      <c r="JH49" s="840" t="n"/>
      <c r="JI49" s="840" t="n"/>
      <c r="JJ49" s="840" t="n"/>
      <c r="JK49" s="840" t="n"/>
      <c r="JL49" s="840" t="n"/>
      <c r="JM49" s="840" t="n"/>
      <c r="JN49" s="840" t="n"/>
      <c r="JO49" s="840" t="n"/>
      <c r="JP49" s="840" t="n"/>
      <c r="JQ49" s="840" t="n"/>
      <c r="JR49" s="840" t="n"/>
      <c r="JS49" s="840" t="n"/>
      <c r="JT49" s="840" t="n"/>
      <c r="JU49" s="840" t="n"/>
      <c r="JV49" s="840" t="n"/>
      <c r="JW49" s="840" t="n"/>
      <c r="JX49" s="840" t="n"/>
      <c r="JY49" s="840" t="n"/>
      <c r="JZ49" s="840" t="n"/>
      <c r="KA49" s="840" t="n"/>
      <c r="KB49" s="840" t="n"/>
      <c r="KC49" s="840" t="n"/>
      <c r="KD49" s="840" t="n"/>
      <c r="KE49" s="840" t="n"/>
      <c r="KF49" s="840" t="n"/>
      <c r="KG49" s="840" t="n"/>
      <c r="KH49" s="840" t="n"/>
      <c r="KI49" s="840" t="n"/>
      <c r="KJ49" s="840" t="n"/>
      <c r="KK49" s="840" t="n"/>
      <c r="KL49" s="840" t="n"/>
      <c r="KM49" s="840" t="n"/>
      <c r="KN49" s="840" t="n"/>
      <c r="KO49" s="840" t="n"/>
      <c r="KP49" s="561" t="n">
        <v>46</v>
      </c>
      <c r="KQ49" s="471" t="n"/>
      <c r="KR49" s="822" t="inlineStr">
        <is>
          <t xml:space="preserve">SMDR 110 V DC </t>
        </is>
      </c>
      <c r="KS49" s="471" t="n"/>
      <c r="KT49" s="822" t="n"/>
      <c r="KU49" s="574">
        <f>KL21</f>
        <v/>
      </c>
      <c r="KV49" s="566" t="n"/>
      <c r="KW49" s="471" t="n"/>
      <c r="KX49" s="471" t="n"/>
      <c r="KY49" s="562">
        <f>IF(AND(KT49:KX49),1,0)</f>
        <v/>
      </c>
      <c r="KZ49" s="840" t="n"/>
      <c r="LA49" s="840" t="n"/>
      <c r="LB49" s="561" t="n">
        <v>46</v>
      </c>
      <c r="LC49" s="471" t="n"/>
      <c r="LD49" s="822" t="inlineStr">
        <is>
          <t>COMPRESSOR 3
Pa=7,5kW
p.f.=0,75</t>
        </is>
      </c>
      <c r="LE49" s="471" t="n"/>
      <c r="LF49" s="822" t="n"/>
      <c r="LG49" s="574">
        <f>LN19</f>
        <v/>
      </c>
      <c r="LH49" s="822">
        <f>LK48</f>
        <v/>
      </c>
      <c r="LI49" s="801">
        <f>LK83</f>
        <v/>
      </c>
      <c r="LJ49" s="801">
        <f>LK114</f>
        <v/>
      </c>
      <c r="LK49" s="562">
        <f>IF(AND(LF49:LJ49),1,0)</f>
        <v/>
      </c>
      <c r="LL49" s="840" t="n"/>
      <c r="LM49" s="840" t="n"/>
      <c r="LN49" s="840" t="n"/>
      <c r="LO49" s="840" t="n"/>
      <c r="LP49" s="840" t="n"/>
      <c r="LQ49" s="840">
        <f>LQ48+1</f>
        <v/>
      </c>
      <c r="LR49" s="534" t="n">
        <v>45</v>
      </c>
      <c r="LS49" s="471" t="n"/>
      <c r="LT49" s="822" t="n"/>
      <c r="LU49" s="471" t="n"/>
      <c r="LV49" s="822" t="n"/>
      <c r="LW49" s="822">
        <f>MA48</f>
        <v/>
      </c>
      <c r="LX49" s="822" t="n"/>
      <c r="LY49" s="471" t="n"/>
      <c r="LZ49" s="471" t="n"/>
      <c r="MA49" s="562">
        <f>IF(AND(LV49:LZ49),1,0)</f>
        <v/>
      </c>
      <c r="MB49" s="840" t="n"/>
      <c r="MC49" s="840" t="n"/>
      <c r="MD49" s="840" t="n"/>
      <c r="ME49" s="840" t="n"/>
      <c r="MF49" s="840" t="n"/>
      <c r="MG49" s="840" t="n"/>
      <c r="MH49" s="561" t="n">
        <v>46</v>
      </c>
      <c r="MI49" s="471" t="n"/>
      <c r="MJ49" s="822" t="inlineStr">
        <is>
          <t>SFC OFF</t>
        </is>
      </c>
      <c r="MK49" s="471" t="n"/>
      <c r="ML49" s="822" t="n"/>
      <c r="MM49" s="574">
        <f>MT15</f>
        <v/>
      </c>
      <c r="MN49" s="822" t="n"/>
      <c r="MO49" s="471" t="n"/>
      <c r="MP49" s="471" t="n"/>
      <c r="MQ49" s="562">
        <f>IF(AND(ML49:MP49),1,0)</f>
        <v/>
      </c>
      <c r="MR49" s="840" t="n"/>
      <c r="MS49" s="840" t="n"/>
      <c r="MT49" s="840" t="n"/>
      <c r="MU49" s="840" t="n"/>
      <c r="MV49" s="840" t="n"/>
      <c r="MW49" s="840" t="n"/>
      <c r="MX49" s="840" t="n"/>
      <c r="MY49" s="840" t="n"/>
      <c r="MZ49" s="840" t="n"/>
      <c r="NA49" s="840" t="n"/>
      <c r="NB49" s="840" t="n"/>
      <c r="NC49" s="840" t="n"/>
      <c r="ND49" s="840" t="n"/>
      <c r="NE49" s="840" t="n"/>
      <c r="NF49" s="840" t="n"/>
      <c r="NG49" s="840" t="n"/>
      <c r="NH49" s="840" t="n"/>
      <c r="NI49" s="840" t="n"/>
      <c r="NJ49" s="840" t="n"/>
      <c r="NK49" s="840" t="n"/>
      <c r="NL49" s="840" t="n"/>
      <c r="NM49" s="840" t="n"/>
      <c r="NN49" s="840" t="n"/>
      <c r="NO49" s="840" t="n"/>
      <c r="NP49" s="840" t="n"/>
      <c r="NQ49" s="840" t="n"/>
    </row>
    <row r="50" ht="31" customHeight="1">
      <c r="A50" s="559" t="n">
        <v>47</v>
      </c>
      <c r="B50" s="471" t="n"/>
      <c r="C50" s="801" t="inlineStr">
        <is>
          <t>GROUND</t>
        </is>
      </c>
      <c r="D50" s="471" t="n"/>
      <c r="E50" s="471" t="n"/>
      <c r="F50" s="590" t="n">
        <v>1</v>
      </c>
      <c r="G50" s="561" t="n"/>
      <c r="H50" s="471" t="n"/>
      <c r="I50" s="471" t="n"/>
      <c r="J50" s="562">
        <f>IF(AND(E50:I50),1,0)</f>
        <v/>
      </c>
      <c r="P50" s="561" t="n">
        <v>47</v>
      </c>
      <c r="Q50" s="471" t="n"/>
      <c r="R50" s="561" t="n"/>
      <c r="S50" s="471" t="n"/>
      <c r="T50" s="471" t="n"/>
      <c r="U50" s="801">
        <f>Y37</f>
        <v/>
      </c>
      <c r="V50" s="561" t="n"/>
      <c r="W50" s="561" t="n"/>
      <c r="X50" s="561" t="n"/>
      <c r="Y50" s="562">
        <f>IF(AND(T50:X50),1,0)</f>
        <v/>
      </c>
      <c r="AF50" s="561" t="n">
        <v>47</v>
      </c>
      <c r="AG50" s="568" t="n"/>
      <c r="AH50" s="566" t="n"/>
      <c r="AI50" s="471" t="n"/>
      <c r="AJ50" s="471" t="n"/>
      <c r="AK50" s="588">
        <f>AO49</f>
        <v/>
      </c>
      <c r="AL50" s="561" t="n"/>
      <c r="AM50" s="561" t="n"/>
      <c r="AN50" s="561" t="n"/>
      <c r="AO50" s="562">
        <f>IF(AND(AJ50:AN50),1,0)</f>
        <v/>
      </c>
      <c r="AS50" s="840" t="n"/>
      <c r="BI50" s="561" t="n">
        <v>47</v>
      </c>
      <c r="BJ50" s="471" t="n"/>
      <c r="BK50" s="471" t="n"/>
      <c r="BL50" s="471" t="n"/>
      <c r="BM50" s="471" t="n"/>
      <c r="BN50" s="578">
        <f>BR12</f>
        <v/>
      </c>
      <c r="BO50" s="471" t="n"/>
      <c r="BP50" s="471" t="n"/>
      <c r="BQ50" s="471" t="n"/>
      <c r="BR50" s="562">
        <f>IF(AND(BM50:BQ50),1,0)</f>
        <v/>
      </c>
      <c r="BX50" s="561" t="n">
        <v>47</v>
      </c>
      <c r="BY50" s="471" t="n"/>
      <c r="BZ50" s="471" t="n"/>
      <c r="CA50" s="471" t="n"/>
      <c r="CB50" s="471" t="n"/>
      <c r="CC50" s="578">
        <f>CG12</f>
        <v/>
      </c>
      <c r="CD50" s="471" t="n"/>
      <c r="CE50" s="471" t="n"/>
      <c r="CF50" s="471" t="n"/>
      <c r="CG50" s="562">
        <f>IF(AND(CB50:CF50),1,0)</f>
        <v/>
      </c>
      <c r="CI50" s="561" t="n">
        <v>47</v>
      </c>
      <c r="CJ50" s="471" t="n"/>
      <c r="CK50" s="561" t="n"/>
      <c r="CL50" s="471" t="n"/>
      <c r="CM50" s="471" t="n"/>
      <c r="CN50" s="471">
        <f>CR49</f>
        <v/>
      </c>
      <c r="CO50" s="471" t="n"/>
      <c r="CP50" s="471" t="n"/>
      <c r="CQ50" s="471" t="n"/>
      <c r="CR50" s="562">
        <f>IF(AND(CM50:CQ50),1,0)</f>
        <v/>
      </c>
      <c r="DK50" s="561" t="n">
        <v>47</v>
      </c>
      <c r="DL50" s="566" t="n"/>
      <c r="DM50" s="801" t="inlineStr">
        <is>
          <t>HEATING P=1.5W</t>
        </is>
      </c>
      <c r="DN50" s="471" t="n"/>
      <c r="DO50" s="471" t="n"/>
      <c r="DP50" s="569">
        <f>DT49</f>
        <v/>
      </c>
      <c r="DQ50" s="471" t="n"/>
      <c r="DR50" s="471" t="n"/>
      <c r="DS50" s="471" t="n"/>
      <c r="DT50" s="562">
        <f>IF(AND(DO50:DS50),1,0)</f>
        <v/>
      </c>
      <c r="DZ50" s="561" t="n">
        <v>47</v>
      </c>
      <c r="EA50" s="566" t="n"/>
      <c r="EC50" s="471" t="n"/>
      <c r="ED50" s="471" t="n"/>
      <c r="EE50" s="471">
        <f>EI49</f>
        <v/>
      </c>
      <c r="EF50" s="471" t="n"/>
      <c r="EG50" s="471" t="n"/>
      <c r="EH50" s="471" t="n"/>
      <c r="EI50" s="571">
        <f>IF(AND(ED50:EH50),1,0)</f>
        <v/>
      </c>
      <c r="EO50" s="561" t="n">
        <v>47</v>
      </c>
      <c r="EP50" s="566" t="n"/>
      <c r="EQ50" s="561" t="n"/>
      <c r="ER50" s="471" t="n"/>
      <c r="ES50" s="471" t="n"/>
      <c r="ET50" s="471">
        <f>EX34</f>
        <v/>
      </c>
      <c r="EU50" s="471" t="n"/>
      <c r="EV50" s="471" t="n"/>
      <c r="EW50" s="471" t="n"/>
      <c r="EX50" s="562">
        <f>IF(AND(ES50:EW50),1,0)</f>
        <v/>
      </c>
      <c r="FE50" s="561" t="n">
        <v>47</v>
      </c>
      <c r="FF50" s="566" t="n"/>
      <c r="FG50" s="561" t="n"/>
      <c r="FH50" s="471" t="n"/>
      <c r="FI50" s="471" t="n"/>
      <c r="FJ50" s="471">
        <f>FN34</f>
        <v/>
      </c>
      <c r="FK50" s="471" t="n"/>
      <c r="FL50" s="471" t="n"/>
      <c r="FM50" s="471" t="n"/>
      <c r="FN50" s="562">
        <f>IF(AND(FI50:FM50),1,0)</f>
        <v/>
      </c>
      <c r="FT50" s="561" t="n">
        <v>47</v>
      </c>
      <c r="FU50" s="566" t="n"/>
      <c r="FV50" s="822" t="n"/>
      <c r="FW50" s="471" t="n"/>
      <c r="FX50" s="471" t="n"/>
      <c r="FY50" s="471">
        <f>GC49</f>
        <v/>
      </c>
      <c r="FZ50" s="471" t="n"/>
      <c r="GA50" s="471" t="n"/>
      <c r="GB50" s="471" t="n"/>
      <c r="GC50" s="562">
        <f>IF(AND(FX50:GB50),1,0)</f>
        <v/>
      </c>
      <c r="GF50" s="561" t="n">
        <v>47</v>
      </c>
      <c r="GG50" s="566" t="n"/>
      <c r="GH50" s="822" t="n"/>
      <c r="GI50" s="471" t="n"/>
      <c r="GJ50" s="471" t="n"/>
      <c r="GK50" s="561">
        <f>GO20</f>
        <v/>
      </c>
      <c r="GL50" s="471" t="n"/>
      <c r="GM50" s="471" t="n"/>
      <c r="GN50" s="471" t="n"/>
      <c r="GO50" s="562">
        <f>IF(AND(GJ50:GN50),1,0)</f>
        <v/>
      </c>
      <c r="GU50" s="561" t="n">
        <v>47</v>
      </c>
      <c r="GV50" s="566" t="n"/>
      <c r="GW50" s="822" t="inlineStr">
        <is>
          <t>M DAMPER (FRESH AIR DAMPER 1 RAD 1)</t>
        </is>
      </c>
      <c r="GX50" s="471" t="n"/>
      <c r="GY50" s="471" t="n"/>
      <c r="GZ50" s="569">
        <f>HG13</f>
        <v/>
      </c>
      <c r="HA50" s="471">
        <f>HD13</f>
        <v/>
      </c>
      <c r="HB50" s="471">
        <f>HD11</f>
        <v/>
      </c>
      <c r="HC50" s="471" t="n"/>
      <c r="HD50" s="571">
        <f>IF(AND(GY50:HC50),1,0)</f>
        <v/>
      </c>
      <c r="HK50" s="561" t="n">
        <v>47</v>
      </c>
      <c r="HL50" s="471" t="n"/>
      <c r="HM50" s="471" t="n"/>
      <c r="HN50" s="471" t="n"/>
      <c r="HO50" s="471" t="n"/>
      <c r="HP50" s="801">
        <f>HT49</f>
        <v/>
      </c>
      <c r="HQ50" s="471" t="n"/>
      <c r="HR50" s="471" t="n"/>
      <c r="HS50" s="471" t="n"/>
      <c r="HT50" s="562">
        <f>IF(AND(HO50:HS50),1,0)</f>
        <v/>
      </c>
      <c r="KP50" s="561" t="n">
        <v>47</v>
      </c>
      <c r="KQ50" s="471" t="n"/>
      <c r="KR50" s="822" t="n"/>
      <c r="KS50" s="471" t="n"/>
      <c r="KT50" s="822" t="n"/>
      <c r="KU50" s="822">
        <f>KY51</f>
        <v/>
      </c>
      <c r="KV50" s="566" t="n"/>
      <c r="KW50" s="471" t="n"/>
      <c r="KX50" s="471" t="n"/>
      <c r="KY50" s="562">
        <f>IF(AND(KT50:KX50),1,0)</f>
        <v/>
      </c>
      <c r="LB50" s="561" t="n">
        <v>47</v>
      </c>
      <c r="LC50" s="471" t="n"/>
      <c r="LD50" s="822" t="n"/>
      <c r="LE50" s="471" t="n"/>
      <c r="LF50" s="822" t="n"/>
      <c r="LG50" s="265" t="n">
        <v>1</v>
      </c>
      <c r="LH50" s="822" t="n"/>
      <c r="LI50" s="471" t="n"/>
      <c r="LJ50" s="471" t="n"/>
      <c r="LK50" s="562">
        <f>IF(AND(LF50:LJ50),1,0)</f>
        <v/>
      </c>
      <c r="LQ50" s="840">
        <f>LQ49+1</f>
        <v/>
      </c>
      <c r="LR50" s="534" t="n">
        <v>46</v>
      </c>
      <c r="LS50" s="471" t="n"/>
      <c r="LT50" s="822" t="n"/>
      <c r="LU50" s="471" t="n"/>
      <c r="LV50" s="822" t="n"/>
      <c r="LW50" s="822">
        <f>MA49</f>
        <v/>
      </c>
      <c r="LX50" s="822" t="n"/>
      <c r="LY50" s="471" t="n"/>
      <c r="LZ50" s="471" t="n"/>
      <c r="MA50" s="562">
        <f>IF(AND(LV50:LZ50),1,0)</f>
        <v/>
      </c>
      <c r="MH50" s="561" t="n">
        <v>47</v>
      </c>
      <c r="MI50" s="471" t="n"/>
      <c r="MJ50" s="822" t="n"/>
      <c r="MK50" s="471" t="n"/>
      <c r="ML50" s="822" t="n"/>
      <c r="MM50" s="581" t="n">
        <v>1</v>
      </c>
      <c r="MN50" s="822" t="n"/>
      <c r="MO50" s="471" t="n"/>
      <c r="MP50" s="471" t="n"/>
      <c r="MQ50" s="562">
        <f>IF(AND(ML50:MP50),1,0)</f>
        <v/>
      </c>
    </row>
    <row r="51" ht="29.25" customHeight="1">
      <c r="A51" s="559" t="n">
        <v>48</v>
      </c>
      <c r="B51" s="471" t="n"/>
      <c r="C51" s="471" t="n"/>
      <c r="D51" s="471" t="n"/>
      <c r="E51" s="471" t="n"/>
      <c r="F51" s="560" t="n">
        <v>1</v>
      </c>
      <c r="G51" s="561" t="n"/>
      <c r="H51" s="471" t="n"/>
      <c r="I51" s="471" t="n"/>
      <c r="J51" s="562">
        <f>IF(AND(E51:I51),1,0)</f>
        <v/>
      </c>
      <c r="P51" s="561" t="n">
        <v>48</v>
      </c>
      <c r="Q51" s="471" t="n"/>
      <c r="R51" s="561" t="n"/>
      <c r="S51" s="471" t="n"/>
      <c r="T51" s="471" t="n"/>
      <c r="U51" s="801">
        <f>Y46</f>
        <v/>
      </c>
      <c r="V51" s="561" t="n"/>
      <c r="W51" s="561" t="n"/>
      <c r="X51" s="561" t="n"/>
      <c r="Y51" s="562">
        <f>IF(AND(T51:X51),1,0)</f>
        <v/>
      </c>
      <c r="AF51" s="561" t="n">
        <v>48</v>
      </c>
      <c r="AG51" s="568" t="n"/>
      <c r="AH51" s="566" t="n"/>
      <c r="AI51" s="471" t="n"/>
      <c r="AJ51" s="471" t="n"/>
      <c r="AK51" s="588">
        <f>AO38</f>
        <v/>
      </c>
      <c r="AL51" s="471" t="n"/>
      <c r="AM51" s="471" t="n"/>
      <c r="AN51" s="471" t="n"/>
      <c r="AO51" s="562">
        <f>IF(AND(AJ51:AN51),1,0)</f>
        <v/>
      </c>
      <c r="AS51" s="840" t="n"/>
      <c r="BI51" s="561" t="n">
        <v>48</v>
      </c>
      <c r="BJ51" s="471" t="n"/>
      <c r="BK51" s="471" t="inlineStr">
        <is>
          <t>EMR</t>
        </is>
      </c>
      <c r="BL51" s="471" t="n"/>
      <c r="BM51" s="471" t="n"/>
      <c r="BN51" s="573">
        <f>BU8</f>
        <v/>
      </c>
      <c r="BO51" s="471">
        <f>BR50</f>
        <v/>
      </c>
      <c r="BP51" s="471">
        <f>BU18</f>
        <v/>
      </c>
      <c r="BQ51" s="471" t="n"/>
      <c r="BR51" s="562">
        <f>IF(AND(BM51:BQ51),1,0)</f>
        <v/>
      </c>
      <c r="BX51" s="561" t="n">
        <v>48</v>
      </c>
      <c r="BY51" s="471" t="n"/>
      <c r="BZ51" s="471" t="inlineStr">
        <is>
          <t>EMR</t>
        </is>
      </c>
      <c r="CA51" s="471" t="n"/>
      <c r="CB51" s="471" t="n"/>
      <c r="CC51" s="573">
        <f>BU8</f>
        <v/>
      </c>
      <c r="CD51" s="471">
        <f>CG50</f>
        <v/>
      </c>
      <c r="CE51" s="471">
        <f>BU18</f>
        <v/>
      </c>
      <c r="CF51" s="471" t="n"/>
      <c r="CG51" s="562">
        <f>IF(AND(CB51:CF51),1,0)</f>
        <v/>
      </c>
      <c r="CI51" s="561" t="n">
        <v>48</v>
      </c>
      <c r="CJ51" s="471" t="n"/>
      <c r="CK51" s="561" t="n"/>
      <c r="CL51" s="471" t="n"/>
      <c r="CM51" s="471" t="n"/>
      <c r="CN51" s="471">
        <f>CR49</f>
        <v/>
      </c>
      <c r="CO51" s="471" t="n"/>
      <c r="CP51" s="471" t="n"/>
      <c r="CQ51" s="471" t="n"/>
      <c r="CR51" s="562">
        <f>IF(AND(CM51:CQ51),1,0)</f>
        <v/>
      </c>
      <c r="DK51" s="561" t="n">
        <v>48</v>
      </c>
      <c r="DL51" s="566" t="n"/>
      <c r="DM51" s="801" t="inlineStr">
        <is>
          <t>HEATING P=1.5W</t>
        </is>
      </c>
      <c r="DN51" s="471" t="n"/>
      <c r="DO51" s="471" t="n"/>
      <c r="DP51" s="569">
        <f>DW16</f>
        <v/>
      </c>
      <c r="DQ51" s="471" t="n"/>
      <c r="DR51" s="471" t="n"/>
      <c r="DS51" s="471" t="n"/>
      <c r="DT51" s="562">
        <f>IF(AND(DO51:DS51),1,0)</f>
        <v/>
      </c>
      <c r="DZ51" s="561" t="n">
        <v>48</v>
      </c>
      <c r="EA51" s="566" t="inlineStr">
        <is>
          <t>X5</t>
        </is>
      </c>
      <c r="EB51" s="561" t="inlineStr">
        <is>
          <t>RS 485-</t>
        </is>
      </c>
      <c r="EC51" s="471" t="n"/>
      <c r="ED51" s="471" t="n"/>
      <c r="EE51" s="565" t="n">
        <v>1</v>
      </c>
      <c r="EF51" s="471" t="n"/>
      <c r="EG51" s="471" t="n"/>
      <c r="EH51" s="471" t="n"/>
      <c r="EI51" s="571">
        <f>IF(AND(ED51:EH51),1,0)</f>
        <v/>
      </c>
      <c r="EO51" s="561" t="n">
        <v>48</v>
      </c>
      <c r="EP51" s="566" t="n"/>
      <c r="EQ51" s="561" t="n"/>
      <c r="ER51" s="471" t="n"/>
      <c r="ES51" s="471" t="n"/>
      <c r="ET51" s="471">
        <f>EX50</f>
        <v/>
      </c>
      <c r="EU51" s="471" t="n"/>
      <c r="EV51" s="471" t="n"/>
      <c r="EW51" s="471" t="n"/>
      <c r="EX51" s="562">
        <f>IF(AND(ES51:EW51),1,0)</f>
        <v/>
      </c>
      <c r="FE51" s="561" t="n">
        <v>48</v>
      </c>
      <c r="FF51" s="566" t="n"/>
      <c r="FG51" s="561" t="n"/>
      <c r="FH51" s="471" t="n"/>
      <c r="FI51" s="471" t="n"/>
      <c r="FJ51" s="471">
        <f>FN50</f>
        <v/>
      </c>
      <c r="FK51" s="471" t="n"/>
      <c r="FL51" s="471" t="n"/>
      <c r="FM51" s="471" t="n"/>
      <c r="FN51" s="562">
        <f>IF(AND(FI51:FM51),1,0)</f>
        <v/>
      </c>
      <c r="FT51" s="561" t="n">
        <v>48</v>
      </c>
      <c r="FU51" s="566" t="n"/>
      <c r="FV51" s="822" t="n"/>
      <c r="FW51" s="471" t="n"/>
      <c r="FX51" s="471" t="n"/>
      <c r="FY51" s="471">
        <f>GC35</f>
        <v/>
      </c>
      <c r="FZ51" s="471" t="n"/>
      <c r="GA51" s="471" t="n"/>
      <c r="GB51" s="471" t="n"/>
      <c r="GC51" s="562">
        <f>IF(AND(FX51:GB51),1,0)</f>
        <v/>
      </c>
      <c r="GF51" s="561" t="n">
        <v>48</v>
      </c>
      <c r="GG51" s="566" t="n"/>
      <c r="GH51" s="822" t="n"/>
      <c r="GI51" s="471" t="n"/>
      <c r="GJ51" s="471" t="n"/>
      <c r="GK51" s="561">
        <f>GO50</f>
        <v/>
      </c>
      <c r="GL51" s="471" t="n"/>
      <c r="GM51" s="471" t="n"/>
      <c r="GN51" s="471" t="n"/>
      <c r="GO51" s="562">
        <f>IF(AND(GJ51:GN51),1,0)</f>
        <v/>
      </c>
      <c r="GU51" s="561" t="n">
        <v>48</v>
      </c>
      <c r="GV51" s="566" t="n"/>
      <c r="GW51" s="822" t="n"/>
      <c r="GX51" s="471" t="n"/>
      <c r="GY51" s="471" t="n"/>
      <c r="GZ51" s="801">
        <f>HD25</f>
        <v/>
      </c>
      <c r="HA51" s="471" t="n"/>
      <c r="HB51" s="471" t="n"/>
      <c r="HC51" s="471" t="n"/>
      <c r="HD51" s="571">
        <f>IF(AND(GY51:HC51),1,0)</f>
        <v/>
      </c>
      <c r="HK51" s="561" t="n">
        <v>48</v>
      </c>
      <c r="HL51" s="471" t="n"/>
      <c r="HM51" s="471" t="n"/>
      <c r="HN51" s="471" t="n"/>
      <c r="HO51" s="471" t="n"/>
      <c r="HP51" s="569">
        <f>IF(OR(HW10:HW11),1,0)</f>
        <v/>
      </c>
      <c r="HQ51" s="471" t="n"/>
      <c r="HR51" s="471" t="n"/>
      <c r="HS51" s="471" t="n"/>
      <c r="HT51" s="562">
        <f>IF(AND(HO51:HS51),1,0)</f>
        <v/>
      </c>
      <c r="KP51" s="561" t="n">
        <v>48</v>
      </c>
      <c r="KQ51" s="471" t="n"/>
      <c r="KR51" s="822" t="inlineStr">
        <is>
          <t>FADR 110 V DC</t>
        </is>
      </c>
      <c r="KS51" s="471" t="n"/>
      <c r="KT51" s="822" t="n"/>
      <c r="KU51" s="574">
        <f>KL22</f>
        <v/>
      </c>
      <c r="KV51" s="566" t="n"/>
      <c r="KW51" s="471" t="n"/>
      <c r="KX51" s="471" t="n"/>
      <c r="KY51" s="562">
        <f>IF(AND(KT51:KX51),1,0)</f>
        <v/>
      </c>
      <c r="LB51" s="561" t="n">
        <v>48</v>
      </c>
      <c r="LC51" s="471" t="n"/>
      <c r="LD51" s="822" t="n"/>
      <c r="LE51" s="471" t="n"/>
      <c r="LF51" s="822" t="n"/>
      <c r="LG51" s="265">
        <f>LK35</f>
        <v/>
      </c>
      <c r="LH51" s="822" t="n"/>
      <c r="LI51" s="471" t="n"/>
      <c r="LJ51" s="471" t="n"/>
      <c r="LK51" s="562">
        <f>IF(AND(LF51:LJ51),1,0)</f>
        <v/>
      </c>
      <c r="LQ51" s="840">
        <f>LQ50+1</f>
        <v/>
      </c>
      <c r="LR51" s="534" t="n">
        <v>47</v>
      </c>
      <c r="LS51" s="471" t="n"/>
      <c r="LT51" s="822" t="inlineStr">
        <is>
          <t>SMRR</t>
        </is>
      </c>
      <c r="LU51" s="471" t="n"/>
      <c r="LV51" s="822" t="n"/>
      <c r="LW51" s="574">
        <f>MD11</f>
        <v/>
      </c>
      <c r="LX51" s="822" t="n"/>
      <c r="LY51" s="471" t="n"/>
      <c r="LZ51" s="471" t="n"/>
      <c r="MA51" s="562">
        <f>IF(AND(LV51:LZ51),1,0)</f>
        <v/>
      </c>
      <c r="MH51" s="561" t="n">
        <v>48</v>
      </c>
      <c r="MI51" s="471" t="n"/>
      <c r="MJ51" s="822" t="n"/>
      <c r="MK51" s="471" t="n"/>
      <c r="ML51" s="822" t="n"/>
      <c r="MM51" s="822">
        <f>MQ50</f>
        <v/>
      </c>
      <c r="MN51" s="822" t="n"/>
      <c r="MO51" s="471" t="n"/>
      <c r="MP51" s="471" t="n"/>
      <c r="MQ51" s="562">
        <f>IF(AND(ML51:MP51),1,0)</f>
        <v/>
      </c>
    </row>
    <row r="52" ht="35.25" customHeight="1">
      <c r="A52" s="559" t="n">
        <v>49</v>
      </c>
      <c r="B52" s="471" t="n"/>
      <c r="C52" s="471" t="n"/>
      <c r="D52" s="471" t="n"/>
      <c r="E52" s="471" t="n"/>
      <c r="F52" s="801">
        <f>J51</f>
        <v/>
      </c>
      <c r="G52" s="561" t="n"/>
      <c r="H52" s="471" t="n"/>
      <c r="I52" s="471" t="n"/>
      <c r="J52" s="562">
        <f>IF(AND(E52:I52),1,0)</f>
        <v/>
      </c>
      <c r="P52" s="561" t="n">
        <v>49</v>
      </c>
      <c r="Q52" s="471" t="n"/>
      <c r="R52" s="561" t="n"/>
      <c r="S52" s="471" t="n"/>
      <c r="T52" s="471" t="n"/>
      <c r="U52" s="801">
        <f>Y48</f>
        <v/>
      </c>
      <c r="V52" s="561">
        <f>Y51</f>
        <v/>
      </c>
      <c r="W52" s="561" t="n"/>
      <c r="X52" s="561" t="n"/>
      <c r="Y52" s="562">
        <f>IF(AND(T52:X52),1,0)</f>
        <v/>
      </c>
      <c r="AF52" s="561" t="n">
        <v>49</v>
      </c>
      <c r="AG52" s="568" t="n"/>
      <c r="AH52" s="566" t="n"/>
      <c r="AI52" s="471" t="n"/>
      <c r="AJ52" s="471" t="n"/>
      <c r="AK52" s="578">
        <f>AO47</f>
        <v/>
      </c>
      <c r="AL52" s="471">
        <f>AO51</f>
        <v/>
      </c>
      <c r="AM52" s="471" t="n"/>
      <c r="AN52" s="471" t="n"/>
      <c r="AO52" s="562">
        <f>IF(AND(AJ52:AN52),1,0)</f>
        <v/>
      </c>
      <c r="AS52" s="840" t="n"/>
      <c r="BI52" s="561" t="n">
        <v>49</v>
      </c>
      <c r="BJ52" s="471" t="n"/>
      <c r="BK52" s="471" t="n"/>
      <c r="BL52" s="471" t="n"/>
      <c r="BM52" s="471" t="n"/>
      <c r="BN52" s="578">
        <f>BR51</f>
        <v/>
      </c>
      <c r="BO52" s="471" t="n"/>
      <c r="BP52" s="471" t="n"/>
      <c r="BQ52" s="471" t="n"/>
      <c r="BR52" s="562">
        <f>IF(AND(BM52:BQ52),1,0)</f>
        <v/>
      </c>
      <c r="BX52" s="561" t="n">
        <v>49</v>
      </c>
      <c r="BY52" s="471" t="n"/>
      <c r="BZ52" s="471" t="n"/>
      <c r="CA52" s="471" t="n"/>
      <c r="CB52" s="471" t="n"/>
      <c r="CC52" s="578">
        <f>CG51</f>
        <v/>
      </c>
      <c r="CD52" s="471" t="n"/>
      <c r="CE52" s="471" t="n"/>
      <c r="CF52" s="471" t="n"/>
      <c r="CG52" s="562">
        <f>IF(AND(CB52:CF52),1,0)</f>
        <v/>
      </c>
      <c r="CI52" s="561" t="n">
        <v>49</v>
      </c>
      <c r="CJ52" s="471" t="n"/>
      <c r="CK52" s="561" t="n"/>
      <c r="CL52" s="471" t="n"/>
      <c r="CM52" s="471" t="n"/>
      <c r="CN52" s="471">
        <f>CR51</f>
        <v/>
      </c>
      <c r="CO52" s="471" t="n"/>
      <c r="CP52" s="471" t="n"/>
      <c r="CQ52" s="471" t="n"/>
      <c r="CR52" s="562">
        <f>IF(AND(CM52:CQ52),1,0)</f>
        <v/>
      </c>
      <c r="DK52" s="561" t="n">
        <v>49</v>
      </c>
      <c r="DL52" s="566" t="n"/>
      <c r="DM52" s="561" t="inlineStr">
        <is>
          <t>FROM APS 415 VAC(L2)</t>
        </is>
      </c>
      <c r="DN52" s="471" t="n"/>
      <c r="DO52" s="471" t="n"/>
      <c r="DP52" s="560">
        <f>DW20</f>
        <v/>
      </c>
      <c r="DQ52" s="471" t="n"/>
      <c r="DR52" s="471" t="n"/>
      <c r="DS52" s="471" t="n"/>
      <c r="DT52" s="562">
        <f>IF(AND(DO52:DS52),1,0)</f>
        <v/>
      </c>
      <c r="DZ52" s="561" t="n">
        <v>49</v>
      </c>
      <c r="EA52" s="566" t="n"/>
      <c r="EB52" s="561" t="n"/>
      <c r="EC52" s="471" t="n"/>
      <c r="ED52" s="471" t="n"/>
      <c r="EE52" s="471">
        <f>EI51</f>
        <v/>
      </c>
      <c r="EF52" s="471" t="n"/>
      <c r="EG52" s="471" t="n"/>
      <c r="EH52" s="471" t="n"/>
      <c r="EI52" s="571">
        <f>IF(AND(ED52:EH52),1,0)</f>
        <v/>
      </c>
      <c r="EO52" s="561" t="n">
        <v>49</v>
      </c>
      <c r="EP52" s="566" t="n"/>
      <c r="EQ52" s="561" t="inlineStr">
        <is>
          <t xml:space="preserve">SMOKE DETECTOR </t>
        </is>
      </c>
      <c r="ER52" s="471" t="n"/>
      <c r="ES52" s="471" t="n"/>
      <c r="ET52" s="570">
        <f>FA20</f>
        <v/>
      </c>
      <c r="EU52" s="471" t="n"/>
      <c r="EV52" s="471" t="n"/>
      <c r="EW52" s="471" t="n"/>
      <c r="EX52" s="562">
        <f>IF(AND(ES52:EW52),1,0)</f>
        <v/>
      </c>
      <c r="FE52" s="561" t="n">
        <v>49</v>
      </c>
      <c r="FF52" s="566" t="n"/>
      <c r="FG52" s="561" t="inlineStr">
        <is>
          <t>SMDR</t>
        </is>
      </c>
      <c r="FH52" s="471" t="n"/>
      <c r="FI52" s="471" t="n"/>
      <c r="FJ52" s="471">
        <f>FA20</f>
        <v/>
      </c>
      <c r="FK52" s="471" t="n"/>
      <c r="FL52" s="471" t="n"/>
      <c r="FM52" s="471" t="n"/>
      <c r="FN52" s="562">
        <f>IF(AND(FI52:FM52),1,0)</f>
        <v/>
      </c>
      <c r="FT52" s="561" t="n">
        <v>49</v>
      </c>
      <c r="FU52" s="566" t="n"/>
      <c r="FV52" s="822" t="n"/>
      <c r="FW52" s="471" t="n"/>
      <c r="FX52" s="471" t="n"/>
      <c r="FY52" s="471">
        <f>GC51</f>
        <v/>
      </c>
      <c r="FZ52" s="471" t="n"/>
      <c r="GA52" s="471" t="n"/>
      <c r="GB52" s="471" t="n"/>
      <c r="GC52" s="562">
        <f>IF(AND(FX52:GB52),1,0)</f>
        <v/>
      </c>
      <c r="GF52" s="561" t="n">
        <v>49</v>
      </c>
      <c r="GG52" s="566" t="n"/>
      <c r="GH52" s="822" t="inlineStr">
        <is>
          <t>SFC OFF</t>
        </is>
      </c>
      <c r="GI52" s="471" t="n"/>
      <c r="GJ52" s="471" t="n"/>
      <c r="GK52" s="573">
        <f>GR15</f>
        <v/>
      </c>
      <c r="GL52" s="471">
        <f>GO51</f>
        <v/>
      </c>
      <c r="GM52" s="471" t="n"/>
      <c r="GN52" s="471" t="n"/>
      <c r="GO52" s="562">
        <f>IF(AND(GJ52:GN52),1,0)</f>
        <v/>
      </c>
      <c r="GU52" s="561" t="n">
        <v>49</v>
      </c>
      <c r="GV52" s="566" t="n"/>
      <c r="GW52" s="822" t="n"/>
      <c r="GX52" s="471" t="n"/>
      <c r="GY52" s="471" t="n"/>
      <c r="GZ52" s="801">
        <f>IF(OR(HD36,HD39,HD21,HD43,HD44),1,0)</f>
        <v/>
      </c>
      <c r="HA52" s="471" t="n"/>
      <c r="HB52" s="471" t="n"/>
      <c r="HC52" s="471" t="n"/>
      <c r="HD52" s="571">
        <f>IF(AND(GY52:HC52),1,0)</f>
        <v/>
      </c>
      <c r="HK52" s="561" t="n">
        <v>49</v>
      </c>
      <c r="HL52" s="471" t="n"/>
      <c r="HM52" s="471" t="n"/>
      <c r="HN52" s="471" t="n"/>
      <c r="HO52" s="471" t="n"/>
      <c r="HP52" s="801">
        <f>HT27</f>
        <v/>
      </c>
      <c r="HQ52" s="471" t="n"/>
      <c r="HR52" s="471" t="n"/>
      <c r="HS52" s="471" t="n"/>
      <c r="HT52" s="562">
        <f>IF(AND(HO52:HS52),1,0)</f>
        <v/>
      </c>
      <c r="KP52" s="561" t="n">
        <v>49</v>
      </c>
      <c r="KQ52" s="471" t="n"/>
      <c r="KR52" s="822" t="n"/>
      <c r="KS52" s="471" t="n"/>
      <c r="KT52" s="822" t="n"/>
      <c r="KU52" s="822">
        <f>KY51</f>
        <v/>
      </c>
      <c r="KV52" s="566" t="n"/>
      <c r="KW52" s="471" t="n"/>
      <c r="KX52" s="471" t="n"/>
      <c r="KY52" s="562">
        <f>IF(AND(KT52:KX52),1,0)</f>
        <v/>
      </c>
      <c r="LB52" s="561" t="n">
        <v>49</v>
      </c>
      <c r="LC52" s="471" t="n"/>
      <c r="LD52" s="822" t="n"/>
      <c r="LE52" s="471" t="n"/>
      <c r="LF52" s="822" t="n"/>
      <c r="LG52" s="265">
        <f>LK116</f>
        <v/>
      </c>
      <c r="LH52" s="822" t="n"/>
      <c r="LI52" s="471" t="n"/>
      <c r="LJ52" s="471" t="n"/>
      <c r="LK52" s="562">
        <f>IF(AND(LF52:LJ52),1,0)</f>
        <v/>
      </c>
      <c r="LQ52" s="840">
        <f>LQ51+1</f>
        <v/>
      </c>
      <c r="LR52" s="534" t="n">
        <v>48</v>
      </c>
      <c r="LS52" s="471" t="n"/>
      <c r="LT52" s="822" t="inlineStr">
        <is>
          <t>SMDR 1</t>
        </is>
      </c>
      <c r="LU52" s="471" t="n"/>
      <c r="LV52" s="822" t="n"/>
      <c r="LW52" s="574">
        <f>MD12</f>
        <v/>
      </c>
      <c r="LX52" s="822" t="n"/>
      <c r="LY52" s="471" t="n"/>
      <c r="LZ52" s="471" t="n"/>
      <c r="MA52" s="562">
        <f>IF(AND(LV52:LZ52),1,0)</f>
        <v/>
      </c>
      <c r="MH52" s="561" t="n">
        <v>49</v>
      </c>
      <c r="MI52" s="471" t="n"/>
      <c r="MJ52" s="822" t="n"/>
      <c r="MK52" s="471" t="n"/>
      <c r="ML52" s="822" t="n"/>
      <c r="MM52" s="822">
        <f>MQ51</f>
        <v/>
      </c>
      <c r="MN52" s="822" t="n"/>
      <c r="MO52" s="471" t="n"/>
      <c r="MP52" s="471" t="n"/>
      <c r="MQ52" s="562">
        <f>IF(AND(ML52:MP52),1,0)</f>
        <v/>
      </c>
    </row>
    <row r="53" ht="62.25" customHeight="1">
      <c r="A53" s="559" t="n">
        <v>50</v>
      </c>
      <c r="B53" s="471" t="n"/>
      <c r="C53" s="801" t="inlineStr">
        <is>
          <t>GROUND</t>
        </is>
      </c>
      <c r="D53" s="471" t="n"/>
      <c r="E53" s="471" t="n"/>
      <c r="F53" s="590">
        <f>J52</f>
        <v/>
      </c>
      <c r="G53" s="561" t="n"/>
      <c r="H53" s="471" t="n"/>
      <c r="I53" s="471" t="n"/>
      <c r="J53" s="562">
        <f>IF(AND(E53:I53),1,0)</f>
        <v/>
      </c>
      <c r="P53" s="561" t="n">
        <v>50</v>
      </c>
      <c r="Q53" s="471" t="n"/>
      <c r="R53" s="561" t="n"/>
      <c r="S53" s="471" t="n"/>
      <c r="T53" s="471" t="n"/>
      <c r="U53" s="801">
        <f>Y40</f>
        <v/>
      </c>
      <c r="V53" s="471" t="n"/>
      <c r="W53" s="471" t="n"/>
      <c r="X53" s="471" t="n"/>
      <c r="Y53" s="562">
        <f>IF(AND(T53:X53),1,0)</f>
        <v/>
      </c>
      <c r="AF53" s="561" t="n">
        <v>50</v>
      </c>
      <c r="AG53" s="568" t="n"/>
      <c r="AH53" s="566" t="n"/>
      <c r="AI53" s="471" t="n"/>
      <c r="AJ53" s="471" t="n"/>
      <c r="AK53" s="578">
        <f>AO49</f>
        <v/>
      </c>
      <c r="AL53" s="471">
        <f>AO52</f>
        <v/>
      </c>
      <c r="AM53" s="471" t="n"/>
      <c r="AN53" s="471" t="n"/>
      <c r="AO53" s="562">
        <f>IF(AND(AJ53:AN53),1,0)</f>
        <v/>
      </c>
      <c r="AS53" s="840" t="n"/>
      <c r="BI53" s="561" t="n">
        <v>50</v>
      </c>
      <c r="BJ53" s="471" t="n"/>
      <c r="BK53" s="471" t="n"/>
      <c r="BL53" s="471" t="n"/>
      <c r="BM53" s="471" t="n"/>
      <c r="BN53" s="561">
        <f>BR52</f>
        <v/>
      </c>
      <c r="BO53" s="471" t="n"/>
      <c r="BP53" s="471" t="n"/>
      <c r="BQ53" s="471" t="n"/>
      <c r="BR53" s="562">
        <f>IF(AND(BM53:BQ53),1,0)</f>
        <v/>
      </c>
      <c r="BX53" s="561" t="n">
        <v>50</v>
      </c>
      <c r="BY53" s="471" t="n"/>
      <c r="BZ53" s="471" t="n"/>
      <c r="CA53" s="471" t="n"/>
      <c r="CB53" s="471" t="n"/>
      <c r="CC53" s="561">
        <f>CG52</f>
        <v/>
      </c>
      <c r="CD53" s="471" t="n"/>
      <c r="CE53" s="471" t="n"/>
      <c r="CF53" s="471" t="n"/>
      <c r="CG53" s="562">
        <f>IF(AND(CB53:CF53),1,0)</f>
        <v/>
      </c>
      <c r="CI53" s="561" t="n">
        <v>50</v>
      </c>
      <c r="CJ53" s="471" t="n"/>
      <c r="CK53" s="561" t="n"/>
      <c r="CL53" s="471" t="n"/>
      <c r="CM53" s="471" t="n"/>
      <c r="CN53" s="471">
        <f>CR51</f>
        <v/>
      </c>
      <c r="CO53" s="471" t="n"/>
      <c r="CP53" s="471" t="n"/>
      <c r="CQ53" s="471" t="n"/>
      <c r="CR53" s="562">
        <f>IF(AND(CM53:CQ53),1,0)</f>
        <v/>
      </c>
      <c r="DK53" s="561" t="n">
        <v>50</v>
      </c>
      <c r="DL53" s="566" t="n"/>
      <c r="DM53" s="561" t="n"/>
      <c r="DN53" s="471" t="n"/>
      <c r="DO53" s="471" t="n"/>
      <c r="DP53" s="801">
        <f>DT52</f>
        <v/>
      </c>
      <c r="DQ53" s="471" t="n"/>
      <c r="DR53" s="471" t="n"/>
      <c r="DS53" s="471" t="n"/>
      <c r="DT53" s="562">
        <f>IF(AND(DO53:DS53),1,0)</f>
        <v/>
      </c>
      <c r="DZ53" s="561" t="n">
        <v>50</v>
      </c>
      <c r="EA53" s="566" t="inlineStr">
        <is>
          <t>X5</t>
        </is>
      </c>
      <c r="EB53" s="561" t="inlineStr">
        <is>
          <t>GND</t>
        </is>
      </c>
      <c r="EC53" s="471" t="n"/>
      <c r="ED53" s="471" t="n"/>
      <c r="EE53" s="565" t="n">
        <v>1</v>
      </c>
      <c r="EF53" s="471" t="n"/>
      <c r="EG53" s="471" t="n"/>
      <c r="EH53" s="471" t="n"/>
      <c r="EI53" s="571">
        <f>IF(AND(ED53:EH53),1,0)</f>
        <v/>
      </c>
      <c r="EO53" s="561" t="n">
        <v>50</v>
      </c>
      <c r="EP53" s="566" t="n"/>
      <c r="EQ53" s="561" t="n"/>
      <c r="ER53" s="471" t="n"/>
      <c r="ES53" s="471" t="n"/>
      <c r="ET53" s="471">
        <f>EX52</f>
        <v/>
      </c>
      <c r="EU53" s="471" t="n"/>
      <c r="EV53" s="471" t="n"/>
      <c r="EW53" s="471" t="n"/>
      <c r="EX53" s="562">
        <f>IF(AND(ES53:EW53),1,0)</f>
        <v/>
      </c>
      <c r="FE53" s="561" t="n">
        <v>50</v>
      </c>
      <c r="FF53" s="566" t="n"/>
      <c r="FG53" s="561" t="n"/>
      <c r="FH53" s="471" t="n"/>
      <c r="FI53" s="471" t="n"/>
      <c r="FJ53" s="471">
        <f>FN52</f>
        <v/>
      </c>
      <c r="FK53" s="471" t="n"/>
      <c r="FL53" s="471" t="n"/>
      <c r="FM53" s="471" t="n"/>
      <c r="FN53" s="562">
        <f>IF(AND(FI53:FM53),1,0)</f>
        <v/>
      </c>
      <c r="FT53" s="561" t="n">
        <v>50</v>
      </c>
      <c r="FU53" s="566" t="n"/>
      <c r="FV53" s="822" t="inlineStr">
        <is>
          <t>SMOKE DETECTOR</t>
        </is>
      </c>
      <c r="FW53" s="471" t="n"/>
      <c r="FX53" s="471" t="n"/>
      <c r="FY53" s="471">
        <f>FQ20</f>
        <v/>
      </c>
      <c r="FZ53" s="471" t="n"/>
      <c r="GA53" s="471" t="n"/>
      <c r="GB53" s="471" t="n"/>
      <c r="GC53" s="562">
        <f>IF(AND(FX53:GB53),1,0)</f>
        <v/>
      </c>
      <c r="GF53" s="561" t="n">
        <v>50</v>
      </c>
      <c r="GG53" s="566" t="n"/>
      <c r="GH53" s="822" t="n"/>
      <c r="GI53" s="471" t="n"/>
      <c r="GJ53" s="471" t="n"/>
      <c r="GK53" s="561">
        <f>GO52</f>
        <v/>
      </c>
      <c r="GL53" s="471" t="n"/>
      <c r="GM53" s="471" t="n"/>
      <c r="GN53" s="471" t="n"/>
      <c r="GO53" s="562">
        <f>IF(AND(GJ53:GN53),1,0)</f>
        <v/>
      </c>
      <c r="GU53" s="561" t="n">
        <v>50</v>
      </c>
      <c r="GV53" s="566" t="n"/>
      <c r="GW53" s="822" t="inlineStr">
        <is>
          <t>M DAMPER (FRESH AIR DAMPER 2 RAD 2)</t>
        </is>
      </c>
      <c r="GX53" s="471" t="n"/>
      <c r="GY53" s="471" t="n"/>
      <c r="GZ53" s="569">
        <f>HG14</f>
        <v/>
      </c>
      <c r="HA53" s="471">
        <f>HD36</f>
        <v/>
      </c>
      <c r="HB53" s="471">
        <f>HD39</f>
        <v/>
      </c>
      <c r="HC53" s="471" t="n"/>
      <c r="HD53" s="571">
        <f>IF(AND(GY53:HC53),1,0)</f>
        <v/>
      </c>
      <c r="HK53" s="561" t="n">
        <v>50</v>
      </c>
      <c r="HL53" s="471" t="n"/>
      <c r="HM53" s="471" t="inlineStr">
        <is>
          <t>110 V DC</t>
        </is>
      </c>
      <c r="HN53" s="471" t="n"/>
      <c r="HO53" s="471" t="n"/>
      <c r="HP53" s="569">
        <f>HW18</f>
        <v/>
      </c>
      <c r="HQ53" s="471" t="n"/>
      <c r="HR53" s="471" t="n"/>
      <c r="HS53" s="471" t="n"/>
      <c r="HT53" s="562">
        <f>IF(AND(HO53:HS53),1,0)</f>
        <v/>
      </c>
      <c r="KP53" s="561" t="n">
        <v>50</v>
      </c>
      <c r="KQ53" s="471" t="n"/>
      <c r="KR53" s="822" t="inlineStr">
        <is>
          <t xml:space="preserve">SFC OFF 110 VDC </t>
        </is>
      </c>
      <c r="KS53" s="471" t="n"/>
      <c r="KT53" s="822" t="n"/>
      <c r="KU53" s="574" t="n">
        <v>1</v>
      </c>
      <c r="KV53" s="566" t="n"/>
      <c r="KW53" s="471" t="n"/>
      <c r="KX53" s="471" t="n"/>
      <c r="KY53" s="562">
        <f>IF(AND(KT53:KX53),1,0)</f>
        <v/>
      </c>
      <c r="LB53" s="561" t="n">
        <v>50</v>
      </c>
      <c r="LC53" s="471" t="n"/>
      <c r="LD53" s="822" t="n"/>
      <c r="LE53" s="471" t="n"/>
      <c r="LF53" s="822" t="n"/>
      <c r="LG53" s="265">
        <f>LK52</f>
        <v/>
      </c>
      <c r="LH53" s="822" t="n"/>
      <c r="LI53" s="471" t="n"/>
      <c r="LJ53" s="471" t="n"/>
      <c r="LK53" s="562">
        <f>IF(AND(LF53:LJ53),1,0)</f>
        <v/>
      </c>
      <c r="LQ53" s="840">
        <f>LQ52+1</f>
        <v/>
      </c>
      <c r="LR53" s="534" t="n">
        <v>49</v>
      </c>
      <c r="LS53" s="471" t="n"/>
      <c r="LT53" s="822" t="inlineStr">
        <is>
          <t>SMDR 2</t>
        </is>
      </c>
      <c r="LU53" s="471" t="n"/>
      <c r="LV53" s="822" t="n"/>
      <c r="LW53" s="574">
        <f>MD13</f>
        <v/>
      </c>
      <c r="LX53" s="822" t="n"/>
      <c r="LY53" s="471" t="n"/>
      <c r="LZ53" s="471" t="n"/>
      <c r="MA53" s="562">
        <f>IF(AND(LV53:LZ53),1,0)</f>
        <v/>
      </c>
      <c r="MH53" s="561" t="n">
        <v>50</v>
      </c>
      <c r="MI53" s="471" t="n"/>
      <c r="MJ53" s="822" t="n"/>
      <c r="MK53" s="471" t="n"/>
      <c r="ML53" s="822" t="n"/>
      <c r="MM53" s="581" t="n">
        <v>1</v>
      </c>
      <c r="MN53" s="822" t="n"/>
      <c r="MO53" s="471" t="n"/>
      <c r="MP53" s="471" t="n"/>
      <c r="MQ53" s="562">
        <f>IF(AND(ML53:MP53),1,0)</f>
        <v/>
      </c>
    </row>
    <row r="54">
      <c r="A54" s="559" t="n">
        <v>51</v>
      </c>
      <c r="B54" s="471" t="n"/>
      <c r="C54" s="471" t="n"/>
      <c r="D54" s="471" t="n"/>
      <c r="E54" s="471" t="n"/>
      <c r="F54" s="560" t="n">
        <v>1</v>
      </c>
      <c r="G54" s="561" t="n"/>
      <c r="H54" s="471" t="n"/>
      <c r="I54" s="471" t="n"/>
      <c r="J54" s="562">
        <f>IF(AND(E54:I54),1,0)</f>
        <v/>
      </c>
      <c r="P54" s="561" t="n">
        <v>51</v>
      </c>
      <c r="Q54" s="471" t="n"/>
      <c r="R54" s="561" t="n"/>
      <c r="S54" s="471" t="n"/>
      <c r="T54" s="471" t="n"/>
      <c r="U54" s="801">
        <f>Y46</f>
        <v/>
      </c>
      <c r="V54" s="471" t="n"/>
      <c r="W54" s="471" t="n"/>
      <c r="X54" s="471" t="n"/>
      <c r="Y54" s="562">
        <f>IF(AND(T54:X54),1,0)</f>
        <v/>
      </c>
      <c r="AF54" s="561" t="n">
        <v>51</v>
      </c>
      <c r="AG54" s="568" t="n"/>
      <c r="AH54" s="566" t="n"/>
      <c r="AI54" s="471" t="n"/>
      <c r="AJ54" s="471" t="n"/>
      <c r="AK54" s="588">
        <f>AO41</f>
        <v/>
      </c>
      <c r="AL54" s="471" t="n"/>
      <c r="AM54" s="471" t="n"/>
      <c r="AN54" s="471" t="n"/>
      <c r="AO54" s="562">
        <f>IF(AND(AJ54:AN54),1,0)</f>
        <v/>
      </c>
      <c r="AS54" s="840" t="n"/>
      <c r="BI54" s="561" t="n">
        <v>51</v>
      </c>
      <c r="BJ54" s="471" t="n"/>
      <c r="BL54" s="471" t="n"/>
      <c r="BM54" s="471" t="n"/>
      <c r="BN54" s="569">
        <f>BU9</f>
        <v/>
      </c>
      <c r="BO54" s="471">
        <f>BR45</f>
        <v/>
      </c>
      <c r="BP54" s="471" t="n"/>
      <c r="BQ54" s="471" t="n"/>
      <c r="BR54" s="562">
        <f>IF(AND(BM54:BQ54),1,0)</f>
        <v/>
      </c>
      <c r="BX54" s="561" t="n">
        <v>51</v>
      </c>
      <c r="BY54" s="471" t="n"/>
      <c r="CA54" s="471" t="n"/>
      <c r="CB54" s="471" t="n"/>
      <c r="CC54" s="569">
        <f>BU9</f>
        <v/>
      </c>
      <c r="CD54" s="471">
        <f>CG45</f>
        <v/>
      </c>
      <c r="CE54" s="471" t="n"/>
      <c r="CF54" s="471" t="n"/>
      <c r="CG54" s="562">
        <f>IF(AND(CB54:CF54),1,0)</f>
        <v/>
      </c>
      <c r="CI54" s="561" t="n">
        <v>51</v>
      </c>
      <c r="CJ54" s="471" t="n"/>
      <c r="CK54" s="561" t="n"/>
      <c r="CL54" s="471" t="n"/>
      <c r="CM54" s="471" t="n"/>
      <c r="CN54" s="471">
        <f>CR53</f>
        <v/>
      </c>
      <c r="CO54" s="471" t="n"/>
      <c r="CP54" s="471" t="n"/>
      <c r="CQ54" s="471" t="n"/>
      <c r="CR54" s="562">
        <f>IF(AND(CM54:CQ54),1,0)</f>
        <v/>
      </c>
      <c r="DK54" s="561" t="n">
        <v>51</v>
      </c>
      <c r="DL54" s="566" t="n"/>
      <c r="DM54" s="561" t="n"/>
      <c r="DN54" s="471" t="n"/>
      <c r="DO54" s="471" t="n"/>
      <c r="DP54" s="801">
        <f>DT44</f>
        <v/>
      </c>
      <c r="DQ54" s="471">
        <f>DT53</f>
        <v/>
      </c>
      <c r="DR54" s="471" t="n"/>
      <c r="DS54" s="471" t="n"/>
      <c r="DT54" s="562">
        <f>IF(AND(DO54:DS54),1,0)</f>
        <v/>
      </c>
      <c r="DZ54" s="561" t="n">
        <v>51</v>
      </c>
      <c r="EA54" s="566" t="n"/>
      <c r="EB54" s="561" t="n"/>
      <c r="EC54" s="471" t="n"/>
      <c r="ED54" s="471" t="n"/>
      <c r="EE54" s="471">
        <f>EI53</f>
        <v/>
      </c>
      <c r="EF54" s="471" t="n"/>
      <c r="EG54" s="471" t="n"/>
      <c r="EH54" s="471" t="n"/>
      <c r="EI54" s="571">
        <f>IF(AND(ED54:EH54),1,0)</f>
        <v/>
      </c>
      <c r="EO54" s="561" t="n">
        <v>51</v>
      </c>
      <c r="EP54" s="566" t="n"/>
      <c r="EQ54" s="801" t="inlineStr">
        <is>
          <t>SMDR</t>
        </is>
      </c>
      <c r="ER54" s="471" t="n"/>
      <c r="ES54" s="471" t="n"/>
      <c r="ET54" s="570">
        <f>IF(OR(FA6,FA7),1,0)</f>
        <v/>
      </c>
      <c r="EU54" s="471">
        <f>EX53</f>
        <v/>
      </c>
      <c r="EV54" s="471" t="n"/>
      <c r="EW54" s="471" t="n"/>
      <c r="EX54" s="562">
        <f>IF(AND(ES54:EW54),1,0)</f>
        <v/>
      </c>
      <c r="FE54" s="561" t="n">
        <v>51</v>
      </c>
      <c r="FF54" s="566" t="n"/>
      <c r="FG54" s="801" t="inlineStr">
        <is>
          <t>SMDR</t>
        </is>
      </c>
      <c r="FH54" s="471" t="n"/>
      <c r="FI54" s="471" t="n"/>
      <c r="FJ54" s="570" t="n">
        <v>1</v>
      </c>
      <c r="FK54" s="471">
        <f>FN53</f>
        <v/>
      </c>
      <c r="FL54" s="471" t="n"/>
      <c r="FM54" s="471" t="n"/>
      <c r="FN54" s="562">
        <f>IF(AND(FI54:FM54),1,0)</f>
        <v/>
      </c>
      <c r="FT54" s="561" t="n">
        <v>51</v>
      </c>
      <c r="FU54" s="566" t="n"/>
      <c r="FV54" s="822" t="n"/>
      <c r="FW54" s="471" t="n"/>
      <c r="FX54" s="471" t="n"/>
      <c r="FY54" s="471">
        <f>GC53</f>
        <v/>
      </c>
      <c r="FZ54" s="471" t="n"/>
      <c r="GA54" s="471" t="n"/>
      <c r="GB54" s="471" t="n"/>
      <c r="GC54" s="562">
        <f>IF(AND(FX54:GB54),1,0)</f>
        <v/>
      </c>
      <c r="GF54" s="561" t="n">
        <v>51</v>
      </c>
      <c r="GG54" s="566" t="n"/>
      <c r="GH54" s="822" t="inlineStr">
        <is>
          <t>FADR5</t>
        </is>
      </c>
      <c r="GI54" s="471" t="n"/>
      <c r="GJ54" s="471" t="n"/>
      <c r="GK54" s="573">
        <f>GR13</f>
        <v/>
      </c>
      <c r="GL54" s="471">
        <f>GO53</f>
        <v/>
      </c>
      <c r="GM54" s="471" t="n"/>
      <c r="GN54" s="471" t="n"/>
      <c r="GO54" s="562">
        <f>IF(AND(GJ54:GN54),1,0)</f>
        <v/>
      </c>
      <c r="GU54" s="561" t="n">
        <v>51</v>
      </c>
      <c r="GV54" s="566" t="n"/>
      <c r="GW54" s="822" t="n"/>
      <c r="GX54" s="471" t="n"/>
      <c r="GY54" s="471" t="n"/>
      <c r="GZ54" s="801">
        <f>HD43</f>
        <v/>
      </c>
      <c r="HA54" s="471" t="n"/>
      <c r="HB54" s="471" t="n"/>
      <c r="HC54" s="471" t="n"/>
      <c r="HD54" s="571">
        <f>IF(AND(GY54:HC54),1,0)</f>
        <v/>
      </c>
      <c r="HK54" s="561" t="n">
        <v>51</v>
      </c>
      <c r="HL54" s="471" t="n"/>
      <c r="HM54" s="471" t="inlineStr">
        <is>
          <t>PPR1</t>
        </is>
      </c>
      <c r="HN54" s="471" t="n"/>
      <c r="HO54" s="471" t="n"/>
      <c r="HP54" s="569">
        <f>HW14</f>
        <v/>
      </c>
      <c r="HQ54" s="471">
        <f>HT53</f>
        <v/>
      </c>
      <c r="HR54" s="471" t="n"/>
      <c r="HS54" s="471" t="n"/>
      <c r="HT54" s="562">
        <f>IF(AND(HO54:HS54),1,0)</f>
        <v/>
      </c>
      <c r="KP54" s="561" t="n">
        <v>51</v>
      </c>
      <c r="KQ54" s="471" t="n"/>
      <c r="KR54" s="822" t="n"/>
      <c r="KS54" s="471" t="n"/>
      <c r="KT54" s="822" t="n"/>
      <c r="KU54" s="822">
        <f>KY55</f>
        <v/>
      </c>
      <c r="KV54" s="566" t="n"/>
      <c r="KW54" s="471" t="n"/>
      <c r="KX54" s="471" t="n"/>
      <c r="KY54" s="562">
        <f>IF(AND(KT54:KX54),1,0)</f>
        <v/>
      </c>
      <c r="LB54" s="561" t="n">
        <v>51</v>
      </c>
      <c r="LC54" s="471" t="n"/>
      <c r="LD54" s="822" t="n"/>
      <c r="LE54" s="471" t="n"/>
      <c r="LF54" s="822" t="n"/>
      <c r="LG54" s="265">
        <f>LK53</f>
        <v/>
      </c>
      <c r="LH54" s="822" t="n"/>
      <c r="LI54" s="471" t="n"/>
      <c r="LJ54" s="471" t="n"/>
      <c r="LK54" s="562">
        <f>IF(AND(LF54:LJ54),1,0)</f>
        <v/>
      </c>
      <c r="LQ54" s="840">
        <f>LQ53+1</f>
        <v/>
      </c>
      <c r="LR54" s="534" t="n">
        <v>50</v>
      </c>
      <c r="LS54" s="471" t="n"/>
      <c r="LT54" s="822" t="inlineStr">
        <is>
          <t>FADR</t>
        </is>
      </c>
      <c r="LU54" s="471" t="n"/>
      <c r="LV54" s="822" t="n"/>
      <c r="LW54" s="574">
        <f>MD14</f>
        <v/>
      </c>
      <c r="LX54" s="822" t="n"/>
      <c r="LY54" s="471" t="n"/>
      <c r="LZ54" s="471" t="n"/>
      <c r="MA54" s="562">
        <f>IF(AND(LV54:LZ54),1,0)</f>
        <v/>
      </c>
      <c r="MH54" s="561" t="n">
        <v>51</v>
      </c>
      <c r="MI54" s="471" t="n"/>
      <c r="MJ54" s="822" t="n"/>
      <c r="MK54" s="471" t="n"/>
      <c r="ML54" s="822" t="n"/>
      <c r="MM54" s="822">
        <f>MQ17</f>
        <v/>
      </c>
      <c r="MN54" s="822" t="n"/>
      <c r="MO54" s="471" t="n"/>
      <c r="MP54" s="471" t="n"/>
      <c r="MQ54" s="562">
        <f>IF(AND(ML54:MP54),1,0)</f>
        <v/>
      </c>
    </row>
    <row r="55" ht="46.5" customHeight="1">
      <c r="A55" s="559" t="n">
        <v>52</v>
      </c>
      <c r="B55" s="471" t="n"/>
      <c r="C55" s="471" t="n"/>
      <c r="D55" s="471" t="n"/>
      <c r="E55" s="471" t="n"/>
      <c r="F55" s="801">
        <f>J54</f>
        <v/>
      </c>
      <c r="G55" s="561" t="n"/>
      <c r="H55" s="471" t="n"/>
      <c r="I55" s="471" t="n"/>
      <c r="J55" s="562">
        <f>IF(AND(E55:I55),1,0)</f>
        <v/>
      </c>
      <c r="P55" s="561" t="n">
        <v>52</v>
      </c>
      <c r="Q55" s="471" t="n"/>
      <c r="R55" s="561" t="n"/>
      <c r="S55" s="471" t="n"/>
      <c r="T55" s="471" t="n"/>
      <c r="U55" s="801">
        <f>Y48</f>
        <v/>
      </c>
      <c r="V55" s="471">
        <f>Y54</f>
        <v/>
      </c>
      <c r="W55" s="471" t="n"/>
      <c r="X55" s="471" t="n"/>
      <c r="Y55" s="562">
        <f>IF(AND(T55:X55),1,0)</f>
        <v/>
      </c>
      <c r="AF55" s="561" t="n">
        <v>52</v>
      </c>
      <c r="AG55" s="568" t="n"/>
      <c r="AH55" s="566" t="n"/>
      <c r="AI55" s="471" t="n"/>
      <c r="AJ55" s="471" t="n"/>
      <c r="AK55" s="588">
        <f>AO47</f>
        <v/>
      </c>
      <c r="AL55" s="471">
        <f>AO54</f>
        <v/>
      </c>
      <c r="AM55" s="471" t="n"/>
      <c r="AN55" s="471" t="n"/>
      <c r="AO55" s="562">
        <f>IF(AND(AJ55:AN55),1,0)</f>
        <v/>
      </c>
      <c r="AS55" s="840" t="n"/>
      <c r="BI55" s="561" t="n">
        <v>52</v>
      </c>
      <c r="BJ55" s="471" t="n"/>
      <c r="BK55" s="471" t="n"/>
      <c r="BL55" s="471" t="n"/>
      <c r="BM55" s="471" t="n"/>
      <c r="BN55" s="561">
        <f>BR54</f>
        <v/>
      </c>
      <c r="BO55" s="471" t="n"/>
      <c r="BP55" s="471" t="n"/>
      <c r="BQ55" s="471" t="n"/>
      <c r="BR55" s="562">
        <f>IF(AND(BM55:BQ55),1,0)</f>
        <v/>
      </c>
      <c r="BX55" s="561" t="n">
        <v>52</v>
      </c>
      <c r="BY55" s="471" t="n"/>
      <c r="BZ55" s="471" t="n"/>
      <c r="CA55" s="471" t="n"/>
      <c r="CB55" s="471" t="n"/>
      <c r="CC55" s="561">
        <f>CG54</f>
        <v/>
      </c>
      <c r="CD55" s="471" t="n"/>
      <c r="CE55" s="471" t="n"/>
      <c r="CF55" s="471" t="n"/>
      <c r="CG55" s="562">
        <f>IF(AND(CB55:CF55),1,0)</f>
        <v/>
      </c>
      <c r="CI55" s="561" t="n">
        <v>52</v>
      </c>
      <c r="CJ55" s="471" t="n"/>
      <c r="CK55" s="561" t="n"/>
      <c r="CL55" s="471" t="n"/>
      <c r="CM55" s="471" t="n"/>
      <c r="CN55" s="471">
        <f>CR54</f>
        <v/>
      </c>
      <c r="CO55" s="471" t="n"/>
      <c r="CP55" s="471" t="n"/>
      <c r="CQ55" s="471" t="n"/>
      <c r="CR55" s="562">
        <f>IF(AND(CM55:CQ55),1,0)</f>
        <v/>
      </c>
      <c r="DK55" s="561" t="n">
        <v>52</v>
      </c>
      <c r="DL55" s="566" t="n"/>
      <c r="DM55" s="561" t="n"/>
      <c r="DN55" s="471" t="n"/>
      <c r="DO55" s="471" t="n"/>
      <c r="DP55" s="801">
        <f>DT54</f>
        <v/>
      </c>
      <c r="DQ55" s="471" t="n"/>
      <c r="DR55" s="471" t="n"/>
      <c r="DS55" s="471" t="n"/>
      <c r="DT55" s="562">
        <f>IF(AND(DO55:DS55),1,0)</f>
        <v/>
      </c>
      <c r="DZ55" s="561" t="n">
        <v>52</v>
      </c>
      <c r="EA55" s="566" t="n"/>
      <c r="EB55" s="561" t="n"/>
      <c r="EC55" s="471" t="n"/>
      <c r="ED55" s="471" t="n"/>
      <c r="EE55" s="471">
        <f>EI54</f>
        <v/>
      </c>
      <c r="EF55" s="471" t="n"/>
      <c r="EG55" s="471" t="n"/>
      <c r="EH55" s="471" t="n"/>
      <c r="EI55" s="571">
        <f>IF(AND(ED55:EH55),1,0)</f>
        <v/>
      </c>
      <c r="EO55" s="561" t="n">
        <v>52</v>
      </c>
      <c r="EP55" s="566" t="n"/>
      <c r="EQ55" s="561" t="n"/>
      <c r="ER55" s="471" t="n"/>
      <c r="ES55" s="471" t="n"/>
      <c r="ET55" s="471">
        <f>EX68</f>
        <v/>
      </c>
      <c r="EU55" s="471" t="n"/>
      <c r="EV55" s="471" t="n"/>
      <c r="EW55" s="471" t="n"/>
      <c r="EX55" s="562">
        <f>IF(AND(ES55:EW55),1,0)</f>
        <v/>
      </c>
      <c r="FE55" s="561" t="n">
        <v>52</v>
      </c>
      <c r="FF55" s="566" t="n"/>
      <c r="FG55" s="561" t="n"/>
      <c r="FH55" s="471" t="n"/>
      <c r="FI55" s="471" t="n"/>
      <c r="FJ55" s="471">
        <f>FN67</f>
        <v/>
      </c>
      <c r="FK55" s="471" t="n"/>
      <c r="FL55" s="471" t="n"/>
      <c r="FM55" s="471" t="n"/>
      <c r="FN55" s="562">
        <f>IF(AND(FI55:FM55),1,0)</f>
        <v/>
      </c>
      <c r="FT55" s="561" t="n">
        <v>52</v>
      </c>
      <c r="FU55" s="566" t="n"/>
      <c r="FV55" s="822" t="inlineStr">
        <is>
          <t>SMDR</t>
        </is>
      </c>
      <c r="FW55" s="471" t="n"/>
      <c r="FX55" s="471" t="n"/>
      <c r="FY55" s="570">
        <f>FQ20</f>
        <v/>
      </c>
      <c r="FZ55" s="471">
        <f>GC54</f>
        <v/>
      </c>
      <c r="GA55" s="471" t="n"/>
      <c r="GB55" s="471" t="n"/>
      <c r="GC55" s="562">
        <f>IF(AND(FX55:GB55),1,0)</f>
        <v/>
      </c>
      <c r="GF55" s="561" t="n">
        <v>52</v>
      </c>
      <c r="GG55" s="566" t="n"/>
      <c r="GH55" s="822" t="n"/>
      <c r="GI55" s="471" t="n"/>
      <c r="GJ55" s="471" t="n"/>
      <c r="GK55" s="561">
        <f>GO64</f>
        <v/>
      </c>
      <c r="GL55" s="471" t="n"/>
      <c r="GM55" s="471" t="n"/>
      <c r="GN55" s="471" t="n"/>
      <c r="GO55" s="562">
        <f>IF(AND(GJ55:GN55),1,0)</f>
        <v/>
      </c>
      <c r="GU55" s="561" t="n">
        <v>52</v>
      </c>
      <c r="GV55" s="566" t="n"/>
      <c r="GW55" s="822" t="n"/>
      <c r="GX55" s="471" t="n"/>
      <c r="GY55" s="471" t="n"/>
      <c r="GZ55" s="801">
        <f>HD56</f>
        <v/>
      </c>
      <c r="HA55" s="471">
        <f>HD57</f>
        <v/>
      </c>
      <c r="HB55" s="471" t="n"/>
      <c r="HC55" s="471" t="n"/>
      <c r="HD55" s="571">
        <f>IF(AND(GY55:HC55),1,0)</f>
        <v/>
      </c>
      <c r="HK55" s="561" t="n">
        <v>52</v>
      </c>
      <c r="HL55" s="471" t="n"/>
      <c r="HM55" s="471" t="n"/>
      <c r="HN55" s="471" t="n"/>
      <c r="HO55" s="471" t="n"/>
      <c r="HP55" s="801">
        <f>HT54</f>
        <v/>
      </c>
      <c r="HQ55" s="471" t="n"/>
      <c r="HR55" s="471" t="n"/>
      <c r="HS55" s="471" t="n"/>
      <c r="HT55" s="562">
        <f>IF(AND(HO55:HS55),1,0)</f>
        <v/>
      </c>
      <c r="KP55" s="561" t="n">
        <v>52</v>
      </c>
      <c r="KQ55" s="471" t="n"/>
      <c r="KR55" s="822" t="n"/>
      <c r="KS55" s="471" t="n"/>
      <c r="KT55" s="822" t="n"/>
      <c r="KU55" s="581" t="n">
        <v>1</v>
      </c>
      <c r="KV55" s="566" t="n"/>
      <c r="KW55" s="471" t="n"/>
      <c r="KX55" s="471" t="n"/>
      <c r="KY55" s="562">
        <f>IF(AND(KT55:KX55),1,0)</f>
        <v/>
      </c>
      <c r="LB55" s="561" t="n">
        <v>52</v>
      </c>
      <c r="LC55" s="471" t="n"/>
      <c r="LD55" s="822" t="inlineStr">
        <is>
          <t>COMPRESSOR 4
Pa=7,5kW
p.f.=0,75</t>
        </is>
      </c>
      <c r="LE55" s="471" t="n"/>
      <c r="LF55" s="822" t="n"/>
      <c r="LG55" s="574">
        <f>LN20</f>
        <v/>
      </c>
      <c r="LH55" s="822">
        <f>LK54</f>
        <v/>
      </c>
      <c r="LI55" s="801">
        <f>LK87</f>
        <v/>
      </c>
      <c r="LJ55" s="801">
        <f>LK121</f>
        <v/>
      </c>
      <c r="LK55" s="562">
        <f>IF(AND(LF55:LJ55),1,0)</f>
        <v/>
      </c>
      <c r="LQ55" s="840">
        <f>LQ54+1</f>
        <v/>
      </c>
      <c r="LR55" s="534" t="n">
        <v>51</v>
      </c>
      <c r="LS55" s="471" t="n"/>
      <c r="LT55" s="822" t="inlineStr">
        <is>
          <t>SFC OFF</t>
        </is>
      </c>
      <c r="LU55" s="471" t="n"/>
      <c r="LV55" s="822" t="n"/>
      <c r="LW55" s="574">
        <f>MD15</f>
        <v/>
      </c>
      <c r="LX55" s="822" t="n"/>
      <c r="LY55" s="471" t="n"/>
      <c r="LZ55" s="471" t="n"/>
      <c r="MA55" s="562">
        <f>IF(AND(LV55:LZ55),1,0)</f>
        <v/>
      </c>
      <c r="MH55" s="561" t="n">
        <v>52</v>
      </c>
      <c r="MI55" s="471" t="n"/>
      <c r="MK55" s="471" t="n"/>
      <c r="ML55" s="822" t="n"/>
      <c r="MM55" s="574">
        <f>MQ54</f>
        <v/>
      </c>
      <c r="MN55" s="822">
        <f>MQ54</f>
        <v/>
      </c>
      <c r="MO55" s="471" t="n"/>
      <c r="MP55" s="471" t="n"/>
      <c r="MQ55" s="562">
        <f>IF(AND(ML55:MP55),1,0)</f>
        <v/>
      </c>
    </row>
    <row r="56" ht="31" customHeight="1">
      <c r="A56" s="559" t="n">
        <v>53</v>
      </c>
      <c r="B56" s="471" t="n"/>
      <c r="C56" s="471" t="n"/>
      <c r="D56" s="471" t="n"/>
      <c r="E56" s="471" t="n"/>
      <c r="F56" s="801">
        <f>J55</f>
        <v/>
      </c>
      <c r="G56" s="561" t="n"/>
      <c r="H56" s="471" t="n"/>
      <c r="I56" s="471" t="n"/>
      <c r="J56" s="562">
        <f>IF(AND(E56:I56),1,0)</f>
        <v/>
      </c>
      <c r="P56" s="561" t="n">
        <v>53</v>
      </c>
      <c r="Q56" s="471" t="n"/>
      <c r="R56" s="566" t="inlineStr">
        <is>
          <t>COMPRESSOR 1 (3A) Pa=7.5kW P.f=0.75</t>
        </is>
      </c>
      <c r="S56" s="471" t="n"/>
      <c r="T56" s="471" t="n"/>
      <c r="U56" s="582">
        <f>AB17</f>
        <v/>
      </c>
      <c r="V56" s="801">
        <f>Y49</f>
        <v/>
      </c>
      <c r="W56" s="801">
        <f>Y52</f>
        <v/>
      </c>
      <c r="X56" s="801">
        <f>Y55</f>
        <v/>
      </c>
      <c r="Y56" s="562">
        <f>IF(AND(T56:X56),1,0)</f>
        <v/>
      </c>
      <c r="AF56" s="561" t="n">
        <v>53</v>
      </c>
      <c r="AG56" s="568" t="n"/>
      <c r="AH56" s="566" t="n"/>
      <c r="AI56" s="471" t="n"/>
      <c r="AJ56" s="471" t="n"/>
      <c r="AK56" s="588">
        <f>AO49</f>
        <v/>
      </c>
      <c r="AL56" s="471">
        <f>AO55</f>
        <v/>
      </c>
      <c r="AM56" s="471" t="n"/>
      <c r="AN56" s="471" t="n"/>
      <c r="AO56" s="562">
        <f>IF(AND(AJ56:AN56),1,0)</f>
        <v/>
      </c>
      <c r="AS56" s="840" t="n"/>
      <c r="BI56" s="561" t="n">
        <v>53</v>
      </c>
      <c r="BJ56" s="471" t="n"/>
      <c r="BK56" s="472" t="inlineStr">
        <is>
          <t>ESAFC</t>
        </is>
      </c>
      <c r="BL56" s="471" t="n"/>
      <c r="BM56" s="471" t="n"/>
      <c r="BN56" s="573">
        <f>BU10</f>
        <v/>
      </c>
      <c r="BO56" s="471">
        <f>BR55</f>
        <v/>
      </c>
      <c r="BP56" s="471" t="n"/>
      <c r="BQ56" s="471" t="n"/>
      <c r="BR56" s="562">
        <f>IF(AND(BM56:BQ56),1,0)</f>
        <v/>
      </c>
      <c r="BX56" s="561" t="n">
        <v>53</v>
      </c>
      <c r="BY56" s="471" t="n"/>
      <c r="BZ56" s="472" t="inlineStr">
        <is>
          <t>ESAFC</t>
        </is>
      </c>
      <c r="CA56" s="471" t="n"/>
      <c r="CB56" s="471" t="n"/>
      <c r="CC56" s="573">
        <f>BU10</f>
        <v/>
      </c>
      <c r="CD56" s="471">
        <f>CG55</f>
        <v/>
      </c>
      <c r="CE56" s="471" t="n"/>
      <c r="CF56" s="471" t="n"/>
      <c r="CG56" s="562">
        <f>IF(AND(CB56:CF56),1,0)</f>
        <v/>
      </c>
      <c r="CI56" s="561" t="n">
        <v>53</v>
      </c>
      <c r="CJ56" s="471" t="n"/>
      <c r="CK56" s="561" t="n"/>
      <c r="CL56" s="471" t="n"/>
      <c r="CM56" s="471" t="n"/>
      <c r="CN56" s="471">
        <f>CR54</f>
        <v/>
      </c>
      <c r="CO56" s="471">
        <f>CR55</f>
        <v/>
      </c>
      <c r="CP56" s="471" t="n"/>
      <c r="CQ56" s="471" t="n"/>
      <c r="CR56" s="562">
        <f>IF(AND(CM56:CQ56),1,0)</f>
        <v/>
      </c>
      <c r="DK56" s="561" t="n">
        <v>53</v>
      </c>
      <c r="DL56" s="566" t="n"/>
      <c r="DM56" s="561" t="n"/>
      <c r="DN56" s="471" t="n"/>
      <c r="DO56" s="471" t="n"/>
      <c r="DP56" s="801">
        <f>DT63</f>
        <v/>
      </c>
      <c r="DQ56" s="471" t="n"/>
      <c r="DR56" s="471" t="n"/>
      <c r="DS56" s="471" t="n"/>
      <c r="DT56" s="562">
        <f>IF(AND(DO56:DS56),1,0)</f>
        <v/>
      </c>
      <c r="DZ56" s="561" t="n">
        <v>53</v>
      </c>
      <c r="EA56" s="566" t="n"/>
      <c r="EB56" s="561" t="n"/>
      <c r="EC56" s="471" t="n"/>
      <c r="ED56" s="471" t="n"/>
      <c r="EE56" s="471">
        <f>IF(OR(EI5,EI7,EI9,EI11),1,0)</f>
        <v/>
      </c>
      <c r="EF56" s="471" t="n"/>
      <c r="EG56" s="471" t="n"/>
      <c r="EH56" s="471" t="n"/>
      <c r="EI56" s="571">
        <f>IF(AND(ED56:EH56),1,0)</f>
        <v/>
      </c>
      <c r="EO56" s="561" t="n">
        <v>53</v>
      </c>
      <c r="EP56" s="566" t="n"/>
      <c r="EQ56" s="561" t="n"/>
      <c r="ER56" s="471" t="n"/>
      <c r="ES56" s="471" t="n"/>
      <c r="ET56" s="471">
        <f>EX34</f>
        <v/>
      </c>
      <c r="EU56" s="471" t="n"/>
      <c r="EV56" s="471" t="n"/>
      <c r="EW56" s="471" t="n"/>
      <c r="EX56" s="562">
        <f>IF(AND(ES56:EW56),1,0)</f>
        <v/>
      </c>
      <c r="FE56" s="561" t="n">
        <v>53</v>
      </c>
      <c r="FF56" s="566" t="n"/>
      <c r="FG56" s="561" t="n"/>
      <c r="FH56" s="471" t="n"/>
      <c r="FI56" s="471" t="n"/>
      <c r="FJ56" s="471">
        <f>FN34</f>
        <v/>
      </c>
      <c r="FK56" s="471" t="n"/>
      <c r="FL56" s="471" t="n"/>
      <c r="FM56" s="471" t="n"/>
      <c r="FN56" s="562">
        <f>IF(AND(FI56:FM56),1,0)</f>
        <v/>
      </c>
      <c r="FT56" s="561" t="n">
        <v>53</v>
      </c>
      <c r="FU56" s="566" t="n"/>
      <c r="FV56" s="822" t="n"/>
      <c r="FW56" s="471" t="n"/>
      <c r="FX56" s="471" t="n"/>
      <c r="FY56" s="471">
        <f>GC69</f>
        <v/>
      </c>
      <c r="FZ56" s="471" t="n"/>
      <c r="GA56" s="471" t="n"/>
      <c r="GB56" s="471" t="n"/>
      <c r="GC56" s="562">
        <f>IF(AND(FX56:GB56),1,0)</f>
        <v/>
      </c>
      <c r="GF56" s="561" t="n">
        <v>53</v>
      </c>
      <c r="GG56" s="566" t="n"/>
      <c r="GH56" s="822" t="n"/>
      <c r="GI56" s="471" t="n"/>
      <c r="GJ56" s="471" t="n"/>
      <c r="GK56" s="561">
        <f>GO54</f>
        <v/>
      </c>
      <c r="GL56" s="471" t="n"/>
      <c r="GM56" s="471" t="n"/>
      <c r="GN56" s="471" t="n"/>
      <c r="GO56" s="562">
        <f>IF(AND(GJ56:GN56),1,0)</f>
        <v/>
      </c>
      <c r="GU56" s="561" t="n">
        <v>53</v>
      </c>
      <c r="GV56" s="566" t="n"/>
      <c r="GW56" s="822" t="inlineStr">
        <is>
          <t>EMR</t>
        </is>
      </c>
      <c r="GX56" s="471" t="n"/>
      <c r="GY56" s="471" t="n"/>
      <c r="GZ56" s="569">
        <f>HG10</f>
        <v/>
      </c>
      <c r="HA56" s="471">
        <f>HD57</f>
        <v/>
      </c>
      <c r="HB56" s="471" t="n"/>
      <c r="HC56" s="471" t="n"/>
      <c r="HD56" s="571">
        <f>IF(AND(GY56:HC56),1,0)</f>
        <v/>
      </c>
      <c r="HK56" s="561" t="n">
        <v>53</v>
      </c>
      <c r="HL56" s="471" t="n"/>
      <c r="HM56" s="471" t="inlineStr">
        <is>
          <t>PPR2</t>
        </is>
      </c>
      <c r="HN56" s="471" t="n"/>
      <c r="HO56" s="471" t="n"/>
      <c r="HP56" s="569">
        <f>HW15</f>
        <v/>
      </c>
      <c r="HQ56" s="471">
        <f>HT55</f>
        <v/>
      </c>
      <c r="HR56" s="471" t="n"/>
      <c r="HS56" s="471" t="n"/>
      <c r="HT56" s="562">
        <f>IF(AND(HO56:HS56),1,0)</f>
        <v/>
      </c>
      <c r="KP56" s="561" t="n">
        <v>53</v>
      </c>
      <c r="KQ56" s="471" t="n"/>
      <c r="KR56" s="822" t="n"/>
      <c r="KS56" s="471" t="n"/>
      <c r="KT56" s="822" t="n"/>
      <c r="KU56" s="581" t="n">
        <v>1</v>
      </c>
      <c r="KV56" s="566" t="n"/>
      <c r="KW56" s="471" t="n"/>
      <c r="KX56" s="471" t="n"/>
      <c r="KY56" s="562">
        <f>IF(AND(KT56:KX56),1,0)</f>
        <v/>
      </c>
      <c r="LB56" s="561" t="n">
        <v>53</v>
      </c>
      <c r="LC56" s="471" t="n"/>
      <c r="LD56" s="822" t="n"/>
      <c r="LE56" s="471" t="n"/>
      <c r="LF56" s="822" t="n"/>
      <c r="LG56" s="822" t="n">
        <v>1</v>
      </c>
      <c r="LH56" s="822" t="n"/>
      <c r="LI56" s="471" t="n"/>
      <c r="LJ56" s="471" t="n"/>
      <c r="LK56" s="562">
        <f>IF(AND(LF56:LJ56),1,0)</f>
        <v/>
      </c>
      <c r="LQ56" s="840">
        <f>LQ55+1</f>
        <v/>
      </c>
      <c r="LR56" s="534" t="n">
        <v>52</v>
      </c>
      <c r="LS56" s="471" t="n"/>
      <c r="LT56" s="822" t="n"/>
      <c r="LU56" s="471" t="n"/>
      <c r="LV56" s="822" t="n"/>
      <c r="LW56" s="581" t="n">
        <v>1</v>
      </c>
      <c r="LX56" s="822" t="n"/>
      <c r="LY56" s="471" t="n"/>
      <c r="LZ56" s="471" t="n"/>
      <c r="MA56" s="562">
        <f>IF(AND(LV56:LZ56),1,0)</f>
        <v/>
      </c>
      <c r="MH56" s="561" t="n">
        <v>53</v>
      </c>
      <c r="MI56" s="471" t="n"/>
      <c r="MJ56" s="822" t="inlineStr">
        <is>
          <t>SMDRB</t>
        </is>
      </c>
      <c r="MK56" s="471" t="n"/>
      <c r="ML56" s="822" t="n"/>
      <c r="MM56" s="822">
        <f>MQ27</f>
        <v/>
      </c>
      <c r="MN56" s="822" t="n"/>
      <c r="MO56" s="471" t="n"/>
      <c r="MP56" s="471" t="n"/>
      <c r="MQ56" s="562">
        <f>IF(AND(ML56:MP56),1,0)</f>
        <v/>
      </c>
    </row>
    <row r="57" ht="31" customHeight="1">
      <c r="A57" s="559" t="n">
        <v>54</v>
      </c>
      <c r="B57" s="471" t="n"/>
      <c r="C57" s="801" t="inlineStr">
        <is>
          <t>HTC</t>
        </is>
      </c>
      <c r="D57" s="471" t="n"/>
      <c r="E57" s="471" t="n"/>
      <c r="F57" s="582">
        <f>M13</f>
        <v/>
      </c>
      <c r="G57" s="561">
        <f>J56</f>
        <v/>
      </c>
      <c r="H57" s="471" t="n"/>
      <c r="I57" s="471" t="n"/>
      <c r="J57" s="562">
        <f>IF(AND(E57:I57),1,0)</f>
        <v/>
      </c>
      <c r="P57" s="561" t="n">
        <v>54</v>
      </c>
      <c r="Q57" s="471" t="n"/>
      <c r="R57" s="561" t="inlineStr">
        <is>
          <t>GROUND</t>
        </is>
      </c>
      <c r="S57" s="471" t="n"/>
      <c r="T57" s="471" t="n"/>
      <c r="U57" s="801" t="n">
        <v>1</v>
      </c>
      <c r="V57" s="471" t="n"/>
      <c r="W57" s="471" t="n"/>
      <c r="X57" s="471" t="n"/>
      <c r="Y57" s="562">
        <f>IF(AND(T57:X57),1,0)</f>
        <v/>
      </c>
      <c r="AF57" s="561" t="n">
        <v>54</v>
      </c>
      <c r="AG57" s="568" t="n"/>
      <c r="AH57" s="566" t="inlineStr">
        <is>
          <t>COMPRESSOR 1 (3A) Pa=7.5kW P.f=0.75</t>
        </is>
      </c>
      <c r="AI57" s="471" t="n"/>
      <c r="AJ57" s="471" t="n"/>
      <c r="AK57" s="573">
        <f>AB17</f>
        <v/>
      </c>
      <c r="AL57" s="471">
        <f>AO56</f>
        <v/>
      </c>
      <c r="AM57" s="471" t="n"/>
      <c r="AN57" s="471" t="n"/>
      <c r="AO57" s="562">
        <f>IF(AND(AJ57:AN57),1,0)</f>
        <v/>
      </c>
      <c r="AS57" s="840" t="n"/>
      <c r="BI57" s="561" t="n">
        <v>54</v>
      </c>
      <c r="BJ57" s="471" t="n"/>
      <c r="BK57" s="472" t="inlineStr">
        <is>
          <t>EMO2+</t>
        </is>
      </c>
      <c r="BL57" s="471" t="n"/>
      <c r="BM57" s="471" t="n"/>
      <c r="BN57" s="561">
        <f>BR56</f>
        <v/>
      </c>
      <c r="BO57" s="471" t="n"/>
      <c r="BP57" s="471" t="n"/>
      <c r="BQ57" s="471" t="n"/>
      <c r="BR57" s="562">
        <f>IF(AND(BM57:BQ57),1,0)</f>
        <v/>
      </c>
      <c r="BX57" s="561" t="n">
        <v>54</v>
      </c>
      <c r="BY57" s="471" t="n"/>
      <c r="BZ57" s="472" t="inlineStr">
        <is>
          <t>EMO2+</t>
        </is>
      </c>
      <c r="CA57" s="471" t="n"/>
      <c r="CB57" s="471" t="n"/>
      <c r="CC57" s="561">
        <f>CG56</f>
        <v/>
      </c>
      <c r="CD57" s="471" t="n"/>
      <c r="CE57" s="471" t="n"/>
      <c r="CF57" s="471" t="n"/>
      <c r="CG57" s="562">
        <f>IF(AND(CB57:CF57),1,0)</f>
        <v/>
      </c>
      <c r="CI57" s="561" t="n">
        <v>54</v>
      </c>
      <c r="CJ57" s="471" t="n"/>
      <c r="CK57" s="561" t="n"/>
      <c r="CL57" s="471" t="n"/>
      <c r="CM57" s="471" t="n"/>
      <c r="CN57" s="471">
        <f>CR53</f>
        <v/>
      </c>
      <c r="CO57" s="471" t="n"/>
      <c r="CP57" s="471" t="n"/>
      <c r="CQ57" s="471" t="n"/>
      <c r="CR57" s="562">
        <f>IF(AND(CM57:CQ57),1,0)</f>
        <v/>
      </c>
      <c r="DK57" s="561" t="n">
        <v>54</v>
      </c>
      <c r="DL57" s="566" t="n"/>
      <c r="DM57" s="801" t="inlineStr">
        <is>
          <t>HEATING P=1.5W</t>
        </is>
      </c>
      <c r="DN57" s="471" t="n"/>
      <c r="DO57" s="471" t="n"/>
      <c r="DP57" s="569">
        <f>DW16</f>
        <v/>
      </c>
      <c r="DQ57" s="471" t="n"/>
      <c r="DR57" s="471" t="n"/>
      <c r="DS57" s="471" t="n"/>
      <c r="DT57" s="562">
        <f>IF(AND(DO57:DS57),1,0)</f>
        <v/>
      </c>
      <c r="DZ57" s="561" t="n">
        <v>54</v>
      </c>
      <c r="EA57" s="566" t="n"/>
      <c r="EB57" s="561" t="n"/>
      <c r="EC57" s="471" t="n"/>
      <c r="ED57" s="471" t="n"/>
      <c r="EE57" s="471">
        <f>IF(OR(EI13,EI15,EI17,EI19),1,0)</f>
        <v/>
      </c>
      <c r="EF57" s="471" t="n"/>
      <c r="EG57" s="471" t="n"/>
      <c r="EH57" s="471" t="n"/>
      <c r="EI57" s="571">
        <f>IF(AND(ED57:EH57),1,0)</f>
        <v/>
      </c>
      <c r="EO57" s="561" t="n">
        <v>54</v>
      </c>
      <c r="EP57" s="566" t="n"/>
      <c r="EQ57" s="561" t="inlineStr">
        <is>
          <t>SMTR</t>
        </is>
      </c>
      <c r="ER57" s="471" t="n"/>
      <c r="ES57" s="471" t="n"/>
      <c r="ET57" s="570">
        <f>FA14</f>
        <v/>
      </c>
      <c r="EU57" s="592">
        <f>EX56</f>
        <v/>
      </c>
      <c r="EV57" s="471" t="n"/>
      <c r="EW57" s="471" t="n"/>
      <c r="EX57" s="562">
        <f>IF(AND(ES57:EW57),1,0)</f>
        <v/>
      </c>
      <c r="FE57" s="561" t="n">
        <v>54</v>
      </c>
      <c r="FF57" s="566" t="n"/>
      <c r="FG57" s="561" t="inlineStr">
        <is>
          <t>SMTR</t>
        </is>
      </c>
      <c r="FH57" s="471" t="n"/>
      <c r="FI57" s="471" t="n"/>
      <c r="FJ57" s="570">
        <f>FA14</f>
        <v/>
      </c>
      <c r="FK57" s="471">
        <f>FN56</f>
        <v/>
      </c>
      <c r="FL57" s="471" t="n"/>
      <c r="FM57" s="471" t="n"/>
      <c r="FN57" s="562">
        <f>IF(AND(FI57:FM57),1,0)</f>
        <v/>
      </c>
      <c r="FT57" s="561" t="n">
        <v>54</v>
      </c>
      <c r="FU57" s="566" t="n"/>
      <c r="FV57" s="822" t="n"/>
      <c r="FW57" s="471" t="n"/>
      <c r="FX57" s="471" t="n"/>
      <c r="FY57" s="471">
        <f>GC35</f>
        <v/>
      </c>
      <c r="FZ57" s="471" t="n"/>
      <c r="GA57" s="471" t="n"/>
      <c r="GB57" s="471" t="n"/>
      <c r="GC57" s="562">
        <f>IF(AND(FX57:GB57),1,0)</f>
        <v/>
      </c>
      <c r="GF57" s="561" t="n">
        <v>54</v>
      </c>
      <c r="GG57" s="566" t="n"/>
      <c r="GH57" s="822" t="n"/>
      <c r="GI57" s="471" t="n"/>
      <c r="GJ57" s="471" t="n"/>
      <c r="GK57" s="561">
        <f>IF(OR(GO18:GO19),1,0)</f>
        <v/>
      </c>
      <c r="GL57" s="471" t="n"/>
      <c r="GM57" s="471" t="n"/>
      <c r="GN57" s="471" t="n"/>
      <c r="GO57" s="562">
        <f>IF(AND(GJ57:GN57),1,0)</f>
        <v/>
      </c>
      <c r="GU57" s="561" t="n">
        <v>54</v>
      </c>
      <c r="GV57" s="566" t="n"/>
      <c r="GW57" s="822" t="n"/>
      <c r="GX57" s="471" t="n"/>
      <c r="GY57" s="471" t="n"/>
      <c r="GZ57" s="801">
        <f>HD58</f>
        <v/>
      </c>
      <c r="HA57" s="471" t="n"/>
      <c r="HB57" s="471" t="n"/>
      <c r="HC57" s="471" t="n"/>
      <c r="HD57" s="571">
        <f>IF(AND(GY57:HC57),1,0)</f>
        <v/>
      </c>
      <c r="HK57" s="561" t="n">
        <v>54</v>
      </c>
      <c r="HL57" s="471" t="n"/>
      <c r="HM57" s="471" t="n"/>
      <c r="HN57" s="471" t="n"/>
      <c r="HO57" s="471" t="n"/>
      <c r="HP57" s="801">
        <f>HT56</f>
        <v/>
      </c>
      <c r="HQ57" s="471" t="n"/>
      <c r="HR57" s="471" t="n"/>
      <c r="HS57" s="471" t="n"/>
      <c r="HT57" s="562">
        <f>IF(AND(HO57:HS57),1,0)</f>
        <v/>
      </c>
      <c r="KP57" s="561" t="n">
        <v>54</v>
      </c>
      <c r="KQ57" s="471" t="n"/>
      <c r="KR57" s="822" t="n"/>
      <c r="KS57" s="471" t="n"/>
      <c r="KT57" s="822" t="n"/>
      <c r="KU57" s="822">
        <f>KY56</f>
        <v/>
      </c>
      <c r="KV57" s="566" t="n"/>
      <c r="KW57" s="471" t="n"/>
      <c r="KX57" s="471" t="n"/>
      <c r="KY57" s="562">
        <f>IF(AND(KT57:KX57),1,0)</f>
        <v/>
      </c>
      <c r="LB57" s="561" t="n">
        <v>54</v>
      </c>
      <c r="LC57" s="471" t="n"/>
      <c r="LD57" s="822" t="n"/>
      <c r="LE57" s="471" t="n"/>
      <c r="LF57" s="822" t="n"/>
      <c r="LG57" s="822">
        <f>LK35</f>
        <v/>
      </c>
      <c r="LH57" s="822" t="n"/>
      <c r="LI57" s="471" t="n"/>
      <c r="LJ57" s="471" t="n"/>
      <c r="LK57" s="562">
        <f>IF(AND(LF57:LJ57),1,0)</f>
        <v/>
      </c>
      <c r="LQ57" s="840">
        <f>LQ56+1</f>
        <v/>
      </c>
      <c r="LR57" s="534" t="n">
        <v>53</v>
      </c>
      <c r="LS57" s="471" t="n"/>
      <c r="LT57" s="822" t="inlineStr">
        <is>
          <t xml:space="preserve">ONLY FOR HVAC 2_24 V DC </t>
        </is>
      </c>
      <c r="LU57" s="471" t="n"/>
      <c r="LV57" s="822" t="n"/>
      <c r="LW57" s="574">
        <f>MD16</f>
        <v/>
      </c>
      <c r="LX57" s="822" t="n"/>
      <c r="LY57" s="471" t="n"/>
      <c r="LZ57" s="471" t="n"/>
      <c r="MA57" s="562">
        <f>IF(AND(LV57:LZ57),1,0)</f>
        <v/>
      </c>
      <c r="MH57" s="561" t="n">
        <v>54</v>
      </c>
      <c r="MI57" s="471" t="n"/>
      <c r="MJ57" s="822" t="inlineStr">
        <is>
          <t>DI RIO2 PCB 9(24))_I_FADFORCED OPN</t>
        </is>
      </c>
      <c r="MK57" s="471" t="n"/>
      <c r="ML57" s="822" t="n"/>
      <c r="MM57" s="574">
        <f>MT18</f>
        <v/>
      </c>
      <c r="MN57" s="822">
        <f>MQ56</f>
        <v/>
      </c>
      <c r="MO57" s="471" t="n"/>
      <c r="MP57" s="471" t="n"/>
      <c r="MQ57" s="562">
        <f>IF(AND(ML57:MP57),1,0)</f>
        <v/>
      </c>
    </row>
    <row r="58">
      <c r="A58" s="559" t="n">
        <v>55</v>
      </c>
      <c r="B58" s="471" t="n"/>
      <c r="C58" s="471" t="n"/>
      <c r="D58" s="471" t="n"/>
      <c r="E58" s="471" t="n"/>
      <c r="F58" s="801">
        <f>J57</f>
        <v/>
      </c>
      <c r="G58" s="561" t="n"/>
      <c r="H58" s="471" t="n"/>
      <c r="I58" s="471" t="n"/>
      <c r="J58" s="562">
        <f>IF(AND(E58:I58),1,0)</f>
        <v/>
      </c>
      <c r="P58" s="561" t="n">
        <v>55</v>
      </c>
      <c r="Q58" s="471" t="n"/>
      <c r="R58" s="561" t="n"/>
      <c r="S58" s="471" t="n"/>
      <c r="T58" s="471" t="n"/>
      <c r="U58" s="801">
        <f>Y34</f>
        <v/>
      </c>
      <c r="V58" s="471" t="n"/>
      <c r="W58" s="471" t="n"/>
      <c r="X58" s="471" t="n"/>
      <c r="Y58" s="562">
        <f>IF(AND(T58:X58),1,0)</f>
        <v/>
      </c>
      <c r="AF58" s="561" t="n">
        <v>55</v>
      </c>
      <c r="AG58" s="568" t="n"/>
      <c r="AH58" s="566" t="inlineStr">
        <is>
          <t>GROUND</t>
        </is>
      </c>
      <c r="AI58" s="471" t="n"/>
      <c r="AJ58" s="471" t="n"/>
      <c r="AK58" s="588" t="n">
        <v>1</v>
      </c>
      <c r="AL58" s="471" t="n"/>
      <c r="AM58" s="471" t="n"/>
      <c r="AN58" s="471" t="n"/>
      <c r="AO58" s="562">
        <f>IF(AND(AJ58:AN58),1,0)</f>
        <v/>
      </c>
      <c r="AS58" s="840" t="n"/>
      <c r="BI58" s="561" t="n">
        <v>55</v>
      </c>
      <c r="BJ58" s="471" t="n"/>
      <c r="BK58" s="472" t="inlineStr">
        <is>
          <t>EMO1+</t>
        </is>
      </c>
      <c r="BL58" s="471" t="n"/>
      <c r="BM58" s="471" t="n"/>
      <c r="BN58" s="578">
        <f>BR57</f>
        <v/>
      </c>
      <c r="BO58" s="471" t="n"/>
      <c r="BP58" s="471" t="n"/>
      <c r="BQ58" s="471" t="n"/>
      <c r="BR58" s="562">
        <f>IF(AND(BM58:BQ58),1,0)</f>
        <v/>
      </c>
      <c r="BX58" s="561" t="n">
        <v>55</v>
      </c>
      <c r="BY58" s="471" t="n"/>
      <c r="BZ58" s="472" t="inlineStr">
        <is>
          <t>EMO1+</t>
        </is>
      </c>
      <c r="CA58" s="471" t="n"/>
      <c r="CB58" s="471" t="n"/>
      <c r="CC58" s="578">
        <f>CG57</f>
        <v/>
      </c>
      <c r="CD58" s="471" t="n"/>
      <c r="CE58" s="471" t="n"/>
      <c r="CF58" s="471" t="n"/>
      <c r="CG58" s="562">
        <f>IF(AND(CB58:CF58),1,0)</f>
        <v/>
      </c>
      <c r="CI58" s="561" t="n">
        <v>55</v>
      </c>
      <c r="CJ58" s="471" t="n"/>
      <c r="CK58" s="561" t="n"/>
      <c r="CL58" s="471" t="n"/>
      <c r="CM58" s="471" t="n"/>
      <c r="CN58" s="471">
        <f>CR57</f>
        <v/>
      </c>
      <c r="CO58" s="471" t="n"/>
      <c r="CP58" s="471" t="n"/>
      <c r="CQ58" s="471" t="n"/>
      <c r="CR58" s="562">
        <f>IF(AND(CM58:CQ58),1,0)</f>
        <v/>
      </c>
      <c r="DK58" s="561" t="n">
        <v>55</v>
      </c>
      <c r="DL58" s="566" t="n"/>
      <c r="DM58" s="561" t="inlineStr">
        <is>
          <t>FROM APS 415 VAC(L3)</t>
        </is>
      </c>
      <c r="DN58" s="471" t="n"/>
      <c r="DO58" s="471" t="n"/>
      <c r="DP58" s="560">
        <f>DW20</f>
        <v/>
      </c>
      <c r="DQ58" s="471" t="n"/>
      <c r="DR58" s="471" t="n"/>
      <c r="DS58" s="471" t="n"/>
      <c r="DT58" s="562">
        <f>IF(AND(DO58:DS58),1,0)</f>
        <v/>
      </c>
      <c r="DZ58" s="561" t="n">
        <v>55</v>
      </c>
      <c r="EA58" s="566" t="n"/>
      <c r="EB58" s="561" t="n"/>
      <c r="EC58" s="471" t="n"/>
      <c r="ED58" s="471" t="n"/>
      <c r="EE58" s="471">
        <f>IF(OR(EI21,EI23,EI25,EI27,EI29,EI31,EI33,EI34,EI35,EI37,),1,0)</f>
        <v/>
      </c>
      <c r="EF58" s="471" t="n"/>
      <c r="EG58" s="471" t="n"/>
      <c r="EH58" s="471" t="n"/>
      <c r="EI58" s="571">
        <f>IF(AND(ED58:EH58),1,0)</f>
        <v/>
      </c>
      <c r="EO58" s="561" t="n">
        <v>55</v>
      </c>
      <c r="EP58" s="566" t="n"/>
      <c r="EQ58" s="561" t="n"/>
      <c r="ER58" s="471" t="n"/>
      <c r="ES58" s="471" t="n"/>
      <c r="ET58" s="471">
        <f>EX57</f>
        <v/>
      </c>
      <c r="EU58" s="471" t="n"/>
      <c r="EV58" s="471" t="n"/>
      <c r="EW58" s="471" t="n"/>
      <c r="EX58" s="562">
        <f>IF(AND(ES58:EW58),1,0)</f>
        <v/>
      </c>
      <c r="FE58" s="561" t="n">
        <v>55</v>
      </c>
      <c r="FF58" s="566" t="n"/>
      <c r="FG58" s="561" t="n"/>
      <c r="FH58" s="471" t="n"/>
      <c r="FI58" s="471" t="n"/>
      <c r="FJ58" s="471">
        <f>FN57</f>
        <v/>
      </c>
      <c r="FK58" s="471" t="n"/>
      <c r="FL58" s="471" t="n"/>
      <c r="FM58" s="471" t="n"/>
      <c r="FN58" s="562">
        <f>IF(AND(FI58:FM58),1,0)</f>
        <v/>
      </c>
      <c r="FT58" s="561" t="n">
        <v>55</v>
      </c>
      <c r="FU58" s="566" t="n"/>
      <c r="FV58" s="822" t="inlineStr">
        <is>
          <t>SMTR</t>
        </is>
      </c>
      <c r="FW58" s="471" t="n"/>
      <c r="FX58" s="471" t="n"/>
      <c r="FY58" s="570">
        <f>FQ14</f>
        <v/>
      </c>
      <c r="FZ58" s="471">
        <f>GC57</f>
        <v/>
      </c>
      <c r="GA58" s="471" t="n"/>
      <c r="GB58" s="471" t="n"/>
      <c r="GC58" s="562">
        <f>IF(AND(FX58:GB58),1,0)</f>
        <v/>
      </c>
      <c r="GF58" s="561" t="n">
        <v>55</v>
      </c>
      <c r="GG58" s="566" t="n"/>
      <c r="GH58" s="822" t="n"/>
      <c r="GI58" s="471" t="n"/>
      <c r="GJ58" s="471" t="n"/>
      <c r="GK58" s="561">
        <f>GO57</f>
        <v/>
      </c>
      <c r="GL58" s="471" t="n"/>
      <c r="GM58" s="471" t="n"/>
      <c r="GN58" s="471" t="n"/>
      <c r="GO58" s="562">
        <f>IF(AND(GJ58:GN58),1,0)</f>
        <v/>
      </c>
      <c r="GU58" s="561" t="n">
        <v>55</v>
      </c>
      <c r="GV58" s="566" t="n"/>
      <c r="GW58" s="822" t="inlineStr">
        <is>
          <t>TX/RX</t>
        </is>
      </c>
      <c r="GX58" s="471" t="n"/>
      <c r="GY58" s="471" t="n"/>
      <c r="GZ58" s="801" t="n">
        <v>1</v>
      </c>
      <c r="HA58" s="471" t="n"/>
      <c r="HB58" s="471" t="n"/>
      <c r="HC58" s="471" t="n"/>
      <c r="HD58" s="571">
        <f>IF(AND(GY58:HC58),1,0)</f>
        <v/>
      </c>
      <c r="HK58" s="561" t="n">
        <v>55</v>
      </c>
      <c r="HL58" s="471" t="n"/>
      <c r="HM58" s="471" t="inlineStr">
        <is>
          <t>SAFC1</t>
        </is>
      </c>
      <c r="HN58" s="471" t="n"/>
      <c r="HO58" s="471" t="n"/>
      <c r="HP58" s="569">
        <f>HW11</f>
        <v/>
      </c>
      <c r="HQ58" s="471">
        <f>HT57</f>
        <v/>
      </c>
      <c r="HR58" s="471" t="n"/>
      <c r="HS58" s="471" t="n"/>
      <c r="HT58" s="562">
        <f>IF(AND(HO58:HS58),1,0)</f>
        <v/>
      </c>
      <c r="KP58" s="561" t="n">
        <v>55</v>
      </c>
      <c r="KQ58" s="471" t="n"/>
      <c r="KR58" s="822" t="n"/>
      <c r="KS58" s="471" t="n"/>
      <c r="KT58" s="822" t="n"/>
      <c r="KU58" s="822">
        <f>KY57</f>
        <v/>
      </c>
      <c r="KV58" s="566" t="n"/>
      <c r="KW58" s="471" t="n"/>
      <c r="KX58" s="471" t="n"/>
      <c r="KY58" s="562">
        <f>IF(AND(KT58:KX58),1,0)</f>
        <v/>
      </c>
      <c r="LB58" s="561" t="n">
        <v>55</v>
      </c>
      <c r="LC58" s="471" t="n"/>
      <c r="LD58" s="822" t="n"/>
      <c r="LE58" s="471" t="n"/>
      <c r="LF58" s="822" t="n"/>
      <c r="LG58" s="822">
        <f>LK123</f>
        <v/>
      </c>
      <c r="LH58" s="822" t="n"/>
      <c r="LI58" s="471" t="n"/>
      <c r="LJ58" s="471" t="n"/>
      <c r="LK58" s="562">
        <f>IF(AND(LF58:LJ58),1,0)</f>
        <v/>
      </c>
      <c r="LQ58" s="840">
        <f>LQ57+1</f>
        <v/>
      </c>
      <c r="LR58" s="534" t="n">
        <v>54</v>
      </c>
      <c r="LS58" s="471" t="n"/>
      <c r="LT58" s="822" t="n"/>
      <c r="LU58" s="471" t="n"/>
      <c r="LV58" s="822" t="n"/>
      <c r="LW58" s="822">
        <f>MA57</f>
        <v/>
      </c>
      <c r="LX58" s="822" t="n"/>
      <c r="LY58" s="471" t="n"/>
      <c r="LZ58" s="471" t="n"/>
      <c r="MA58" s="562">
        <f>IF(AND(LV58:LZ58),1,0)</f>
        <v/>
      </c>
      <c r="MH58" s="561" t="n">
        <v>55</v>
      </c>
      <c r="MI58" s="471" t="n"/>
      <c r="MJ58" s="822" t="inlineStr">
        <is>
          <t>DI RIO1 PCB 9(24)_I_FADFORCED OPN</t>
        </is>
      </c>
      <c r="MK58" s="471" t="n"/>
      <c r="ML58" s="822" t="n"/>
      <c r="MM58" s="574">
        <f>MT19</f>
        <v/>
      </c>
      <c r="MN58" s="822">
        <f>MQ56</f>
        <v/>
      </c>
      <c r="MO58" s="471" t="n"/>
      <c r="MP58" s="471" t="n"/>
      <c r="MQ58" s="562">
        <f>IF(AND(ML58:MP58),1,0)</f>
        <v/>
      </c>
    </row>
    <row r="59" ht="62.25" customHeight="1">
      <c r="A59" s="559" t="n">
        <v>56</v>
      </c>
      <c r="B59" s="471" t="n"/>
      <c r="C59" s="471" t="n"/>
      <c r="D59" s="471" t="n"/>
      <c r="E59" s="471" t="n"/>
      <c r="F59" s="801">
        <f>J58</f>
        <v/>
      </c>
      <c r="G59" s="561" t="n"/>
      <c r="H59" s="471" t="n"/>
      <c r="I59" s="471" t="n"/>
      <c r="J59" s="562">
        <f>IF(AND(E59:I59),1,0)</f>
        <v/>
      </c>
      <c r="P59" s="561" t="n">
        <v>56</v>
      </c>
      <c r="Q59" s="471" t="n"/>
      <c r="R59" s="801" t="inlineStr">
        <is>
          <t>CMPB2 _13A</t>
        </is>
      </c>
      <c r="S59" s="471" t="n"/>
      <c r="T59" s="471" t="n"/>
      <c r="U59" s="582">
        <f>AB18</f>
        <v/>
      </c>
      <c r="V59" s="471">
        <f>Y58</f>
        <v/>
      </c>
      <c r="W59" s="471">
        <f>Y63</f>
        <v/>
      </c>
      <c r="X59" s="471">
        <f>Y66</f>
        <v/>
      </c>
      <c r="Y59" s="562">
        <f>IF(AND(T59:X59),1,0)</f>
        <v/>
      </c>
      <c r="AF59" s="561" t="n">
        <v>56</v>
      </c>
      <c r="AG59" s="568" t="n"/>
      <c r="AH59" s="566" t="n"/>
      <c r="AI59" s="471" t="n"/>
      <c r="AJ59" s="471" t="n"/>
      <c r="AK59" s="578">
        <f>AO35</f>
        <v/>
      </c>
      <c r="AL59" s="471" t="n"/>
      <c r="AM59" s="471" t="n"/>
      <c r="AN59" s="471" t="n"/>
      <c r="AO59" s="562">
        <f>IF(AND(AJ59:AN59),1,0)</f>
        <v/>
      </c>
      <c r="AS59" s="840" t="n"/>
      <c r="BI59" s="561" t="n">
        <v>56</v>
      </c>
      <c r="BJ59" s="471" t="n"/>
      <c r="BK59" s="471" t="inlineStr">
        <is>
          <t>GROUND</t>
        </is>
      </c>
      <c r="BL59" s="471" t="n"/>
      <c r="BM59" s="471" t="n"/>
      <c r="BN59" s="561" t="n">
        <v>1</v>
      </c>
      <c r="BO59" s="471" t="n"/>
      <c r="BP59" s="471" t="n"/>
      <c r="BQ59" s="471" t="n"/>
      <c r="BR59" s="562">
        <f>IF(AND(BM59:BQ59),1,0)</f>
        <v/>
      </c>
      <c r="BX59" s="561" t="n">
        <v>56</v>
      </c>
      <c r="BY59" s="471" t="n"/>
      <c r="BZ59" s="471" t="inlineStr">
        <is>
          <t>GROUND</t>
        </is>
      </c>
      <c r="CA59" s="471" t="n"/>
      <c r="CB59" s="471" t="n"/>
      <c r="CC59" s="561" t="n">
        <v>1</v>
      </c>
      <c r="CD59" s="471" t="n"/>
      <c r="CE59" s="471" t="n"/>
      <c r="CF59" s="471" t="n"/>
      <c r="CG59" s="562">
        <f>IF(AND(CB59:CF59),1,0)</f>
        <v/>
      </c>
      <c r="CI59" s="561" t="n">
        <v>56</v>
      </c>
      <c r="CJ59" s="471" t="n"/>
      <c r="CK59" s="561" t="n"/>
      <c r="CL59" s="471" t="n"/>
      <c r="CM59" s="471" t="n"/>
      <c r="CN59" s="471">
        <f>CR57</f>
        <v/>
      </c>
      <c r="CO59" s="471">
        <f>CR58</f>
        <v/>
      </c>
      <c r="CP59" s="471" t="n"/>
      <c r="CQ59" s="471" t="n"/>
      <c r="CR59" s="562">
        <f>IF(AND(CM59:CQ59),1,0)</f>
        <v/>
      </c>
      <c r="DK59" s="561" t="n">
        <v>56</v>
      </c>
      <c r="DL59" s="566" t="n"/>
      <c r="DM59" s="561" t="n"/>
      <c r="DN59" s="471" t="n"/>
      <c r="DO59" s="471" t="n"/>
      <c r="DP59" s="801">
        <f>DT58</f>
        <v/>
      </c>
      <c r="DQ59" s="471" t="n"/>
      <c r="DR59" s="471" t="n"/>
      <c r="DS59" s="471" t="n"/>
      <c r="DT59" s="562">
        <f>IF(AND(DO59:DS59),1,0)</f>
        <v/>
      </c>
      <c r="DZ59" s="561" t="n">
        <v>56</v>
      </c>
      <c r="EA59" s="566" t="n"/>
      <c r="EB59" s="561" t="n"/>
      <c r="EC59" s="471" t="n"/>
      <c r="ED59" s="471" t="n"/>
      <c r="EE59" s="471">
        <f>IF(OR(EI39,EI41,EI43,EI45,EI48),1,0)</f>
        <v/>
      </c>
      <c r="EF59" s="471" t="n"/>
      <c r="EG59" s="471" t="n"/>
      <c r="EH59" s="471" t="n"/>
      <c r="EI59" s="571">
        <f>IF(AND(ED59:EH59),1,0)</f>
        <v/>
      </c>
      <c r="EO59" s="561" t="n">
        <v>56</v>
      </c>
      <c r="EP59" s="566" t="n"/>
      <c r="EQ59" s="561" t="n"/>
      <c r="ER59" s="471" t="n"/>
      <c r="ES59" s="471" t="n"/>
      <c r="ET59" s="471">
        <f>EX58</f>
        <v/>
      </c>
      <c r="EU59" s="471" t="n"/>
      <c r="EV59" s="471" t="n"/>
      <c r="EW59" s="471" t="n"/>
      <c r="EX59" s="562">
        <f>IF(AND(ES59:EW59),1,0)</f>
        <v/>
      </c>
      <c r="FE59" s="561" t="n">
        <v>56</v>
      </c>
      <c r="FF59" s="566" t="n"/>
      <c r="FG59" s="561" t="n"/>
      <c r="FH59" s="471" t="n"/>
      <c r="FI59" s="471" t="n"/>
      <c r="FJ59" s="471">
        <f>FN58</f>
        <v/>
      </c>
      <c r="FK59" s="471" t="n"/>
      <c r="FL59" s="471" t="n"/>
      <c r="FM59" s="471" t="n"/>
      <c r="FN59" s="562">
        <f>IF(AND(FI59:FM59),1,0)</f>
        <v/>
      </c>
      <c r="FT59" s="561" t="n">
        <v>56</v>
      </c>
      <c r="FU59" s="566" t="n"/>
      <c r="FV59" s="822" t="n"/>
      <c r="FW59" s="471" t="n"/>
      <c r="FX59" s="471" t="n"/>
      <c r="FY59" s="471">
        <f>GC58</f>
        <v/>
      </c>
      <c r="FZ59" s="471" t="n"/>
      <c r="GA59" s="471" t="n"/>
      <c r="GB59" s="471" t="n"/>
      <c r="GC59" s="562">
        <f>IF(AND(FX59:GB59),1,0)</f>
        <v/>
      </c>
      <c r="GF59" s="561" t="n">
        <v>56</v>
      </c>
      <c r="GG59" s="566" t="n"/>
      <c r="GH59" s="822" t="inlineStr">
        <is>
          <t>SFC OFF</t>
        </is>
      </c>
      <c r="GI59" s="471" t="n"/>
      <c r="GJ59" s="471" t="n"/>
      <c r="GK59" s="573">
        <f>GR15</f>
        <v/>
      </c>
      <c r="GL59" s="471">
        <f>GO58</f>
        <v/>
      </c>
      <c r="GM59" s="471" t="n"/>
      <c r="GN59" s="471" t="n"/>
      <c r="GO59" s="562">
        <f>IF(AND(GJ59:GN59),1,0)</f>
        <v/>
      </c>
      <c r="GU59" s="561" t="n">
        <v>56</v>
      </c>
      <c r="GV59" s="566" t="n"/>
      <c r="GW59" s="822" t="inlineStr">
        <is>
          <t>24V</t>
        </is>
      </c>
      <c r="GX59" s="471" t="n"/>
      <c r="GY59" s="471" t="n"/>
      <c r="GZ59" s="560" t="n">
        <v>1</v>
      </c>
      <c r="HA59" s="471" t="n"/>
      <c r="HB59" s="471" t="n"/>
      <c r="HC59" s="471" t="n"/>
      <c r="HD59" s="571">
        <f>IF(AND(GY59:HC59),1,0)</f>
        <v/>
      </c>
      <c r="HK59" s="561" t="n">
        <v>56</v>
      </c>
      <c r="HL59" s="471" t="n"/>
      <c r="HM59" s="801" t="inlineStr">
        <is>
          <t>TMR1</t>
        </is>
      </c>
      <c r="HN59" s="471" t="n"/>
      <c r="HO59" s="471" t="n"/>
      <c r="HP59" s="569">
        <f>HW16</f>
        <v/>
      </c>
      <c r="HQ59" s="471">
        <f>HT58</f>
        <v/>
      </c>
      <c r="HR59" s="471" t="n"/>
      <c r="HS59" s="471" t="n"/>
      <c r="HT59" s="562">
        <f>IF(AND(HO59:HS59),1,0)</f>
        <v/>
      </c>
      <c r="KP59" s="561" t="n">
        <v>56</v>
      </c>
      <c r="KQ59" s="471" t="n"/>
      <c r="KR59" s="822" t="n"/>
      <c r="KS59" s="471" t="n"/>
      <c r="KT59" s="822" t="n"/>
      <c r="KU59" s="822">
        <f>IF(AND(KY39,KY31,KY23,KY21,KY20),1,0)</f>
        <v/>
      </c>
      <c r="KV59" s="566" t="n"/>
      <c r="KW59" s="471" t="n"/>
      <c r="KX59" s="471" t="n"/>
      <c r="KY59" s="562">
        <f>IF(AND(KT59:KX59),1,0)</f>
        <v/>
      </c>
      <c r="LB59" s="561" t="n">
        <v>56</v>
      </c>
      <c r="LC59" s="471" t="n"/>
      <c r="LD59" s="822" t="n"/>
      <c r="LE59" s="471" t="n"/>
      <c r="LF59" s="822" t="n"/>
      <c r="LG59" s="822">
        <f>LK58</f>
        <v/>
      </c>
      <c r="LH59" s="822" t="n"/>
      <c r="LI59" s="471" t="n"/>
      <c r="LJ59" s="471" t="n"/>
      <c r="LK59" s="562">
        <f>IF(AND(LF59:LJ59),1,0)</f>
        <v/>
      </c>
      <c r="LQ59" s="840">
        <f>LQ58+1</f>
        <v/>
      </c>
      <c r="LR59" s="534" t="n">
        <v>55</v>
      </c>
      <c r="LS59" s="471" t="n"/>
      <c r="LT59" s="822" t="n"/>
      <c r="LU59" s="471" t="n"/>
      <c r="LV59" s="822" t="n"/>
      <c r="LW59" s="822">
        <f>MA57</f>
        <v/>
      </c>
      <c r="LX59" s="822" t="n"/>
      <c r="LY59" s="471" t="n"/>
      <c r="LZ59" s="471" t="n"/>
      <c r="MA59" s="562">
        <f>IF(AND(LV59:LZ59),1,0)</f>
        <v/>
      </c>
      <c r="MH59" s="561" t="n">
        <v>56</v>
      </c>
      <c r="MI59" s="471" t="n"/>
      <c r="MJ59" s="822" t="n"/>
      <c r="MK59" s="471" t="n"/>
      <c r="ML59" s="822" t="n"/>
      <c r="MM59" s="822">
        <f>MQ28</f>
        <v/>
      </c>
      <c r="MN59" s="822" t="n"/>
      <c r="MO59" s="471" t="n"/>
      <c r="MP59" s="471" t="n"/>
      <c r="MQ59" s="562">
        <f>IF(AND(ML59:MP59),1,0)</f>
        <v/>
      </c>
    </row>
    <row r="60" ht="31" customHeight="1">
      <c r="A60" s="559" t="n">
        <v>57</v>
      </c>
      <c r="B60" s="471" t="n"/>
      <c r="C60" s="471" t="inlineStr">
        <is>
          <t>ELECTRICAL HEATING P=1.5 KW</t>
        </is>
      </c>
      <c r="D60" s="471" t="n"/>
      <c r="E60" s="471" t="n"/>
      <c r="F60" s="637">
        <f>M14</f>
        <v/>
      </c>
      <c r="G60" s="561" t="n"/>
      <c r="H60" s="471" t="n"/>
      <c r="I60" s="471" t="n"/>
      <c r="J60" s="562">
        <f>IF(AND(E60:I60),1,0)</f>
        <v/>
      </c>
      <c r="P60" s="561" t="n">
        <v>57</v>
      </c>
      <c r="Q60" s="471" t="n"/>
      <c r="R60" s="561" t="n"/>
      <c r="S60" s="471" t="n"/>
      <c r="T60" s="471" t="n"/>
      <c r="U60" s="801">
        <f>Y59</f>
        <v/>
      </c>
      <c r="V60" s="471">
        <f>Y59</f>
        <v/>
      </c>
      <c r="W60" s="471" t="n"/>
      <c r="X60" s="471" t="n"/>
      <c r="Y60" s="562">
        <f>IF(AND(T60:X60),1,0)</f>
        <v/>
      </c>
      <c r="AF60" s="561" t="n">
        <v>57</v>
      </c>
      <c r="AG60" s="568" t="n"/>
      <c r="AH60" s="801" t="inlineStr">
        <is>
          <t>CMPB2 _13A</t>
        </is>
      </c>
      <c r="AI60" s="471" t="n"/>
      <c r="AJ60" s="471" t="n"/>
      <c r="AK60" s="573">
        <f>AB19</f>
        <v/>
      </c>
      <c r="AL60" s="471">
        <f>AO59</f>
        <v/>
      </c>
      <c r="AM60" s="471" t="n"/>
      <c r="AN60" s="471" t="n"/>
      <c r="AO60" s="562">
        <f>IF(AND(AJ60:AN60),1,0)</f>
        <v/>
      </c>
      <c r="AS60" s="840" t="n"/>
      <c r="BI60" s="561" t="n">
        <v>57</v>
      </c>
      <c r="BJ60" s="840" t="inlineStr">
        <is>
          <t>/06.F2</t>
        </is>
      </c>
      <c r="BK60" s="471" t="inlineStr">
        <is>
          <t>SMRR</t>
        </is>
      </c>
      <c r="BL60" s="471" t="n"/>
      <c r="BM60" s="471" t="n"/>
      <c r="BN60" s="567">
        <f>BU14</f>
        <v/>
      </c>
      <c r="BO60" s="471" t="n"/>
      <c r="BP60" s="471" t="n"/>
      <c r="BQ60" s="471" t="n"/>
      <c r="BR60" s="562">
        <f>IF(AND(BM60:BQ60),1,0)</f>
        <v/>
      </c>
      <c r="BX60" s="561" t="n">
        <v>57</v>
      </c>
      <c r="BY60" s="840" t="inlineStr">
        <is>
          <t>/06.F2</t>
        </is>
      </c>
      <c r="BZ60" s="471" t="n"/>
      <c r="CA60" s="471" t="n"/>
      <c r="CB60" s="471" t="n"/>
      <c r="CC60" s="567">
        <f>BU14</f>
        <v/>
      </c>
      <c r="CD60" s="471" t="n"/>
      <c r="CE60" s="471" t="n"/>
      <c r="CF60" s="471" t="n"/>
      <c r="CG60" s="562">
        <f>IF(AND(CB60:CF60),1,0)</f>
        <v/>
      </c>
      <c r="CI60" s="561" t="n">
        <v>57</v>
      </c>
      <c r="CJ60" s="471" t="n"/>
      <c r="CK60" s="561" t="n"/>
      <c r="CL60" s="471" t="n"/>
      <c r="CM60" s="471" t="n"/>
      <c r="CN60" s="471">
        <f>CR53</f>
        <v/>
      </c>
      <c r="CO60" s="471" t="n"/>
      <c r="CP60" s="471" t="n"/>
      <c r="CQ60" s="471" t="n"/>
      <c r="CR60" s="562">
        <f>IF(AND(CM60:CQ60),1,0)</f>
        <v/>
      </c>
      <c r="DK60" s="561" t="n">
        <v>57</v>
      </c>
      <c r="DL60" s="566" t="n"/>
      <c r="DM60" s="561" t="n"/>
      <c r="DN60" s="471" t="n"/>
      <c r="DO60" s="471" t="n"/>
      <c r="DP60" s="801">
        <f>DT44</f>
        <v/>
      </c>
      <c r="DQ60" s="471" t="n"/>
      <c r="DR60" s="471" t="n"/>
      <c r="DS60" s="471" t="n"/>
      <c r="DT60" s="562">
        <f>IF(AND(DO60:DS60),1,0)</f>
        <v/>
      </c>
      <c r="DZ60" s="561" t="n">
        <v>57</v>
      </c>
      <c r="EA60" s="566" t="n"/>
      <c r="EB60" s="561" t="n"/>
      <c r="EC60" s="471" t="n"/>
      <c r="ED60" s="471" t="n"/>
      <c r="EE60" s="471">
        <f>IF(OR(EI50,EI52,EI55),1,0)</f>
        <v/>
      </c>
      <c r="EF60" s="471" t="n"/>
      <c r="EG60" s="471" t="n"/>
      <c r="EH60" s="471" t="n"/>
      <c r="EI60" s="571">
        <f>IF(AND(ED60:EH60),1,0)</f>
        <v/>
      </c>
      <c r="EO60" s="561" t="n">
        <v>57</v>
      </c>
      <c r="EP60" s="566" t="n"/>
      <c r="EQ60" s="561" t="n"/>
      <c r="ER60" s="471" t="n"/>
      <c r="ES60" s="471" t="n"/>
      <c r="ET60" s="471">
        <f>EX34</f>
        <v/>
      </c>
      <c r="EU60" s="471" t="n"/>
      <c r="EV60" s="471" t="n"/>
      <c r="EW60" s="471" t="n"/>
      <c r="EX60" s="562">
        <f>IF(AND(ES60:EW60),1,0)</f>
        <v/>
      </c>
      <c r="FE60" s="561" t="n">
        <v>57</v>
      </c>
      <c r="FF60" s="566" t="n"/>
      <c r="FG60" s="561" t="n"/>
      <c r="FH60" s="471" t="n"/>
      <c r="FI60" s="471" t="n"/>
      <c r="FJ60" s="471">
        <f>FN34</f>
        <v/>
      </c>
      <c r="FK60" s="471" t="n"/>
      <c r="FL60" s="471" t="n"/>
      <c r="FM60" s="471" t="n"/>
      <c r="FN60" s="562">
        <f>IF(AND(FI60:FM60),1,0)</f>
        <v/>
      </c>
      <c r="FT60" s="561" t="n">
        <v>57</v>
      </c>
      <c r="FU60" s="566" t="n"/>
      <c r="FV60" s="822" t="n"/>
      <c r="FW60" s="471" t="n"/>
      <c r="FX60" s="471" t="n"/>
      <c r="FY60" s="471">
        <f>GC59</f>
        <v/>
      </c>
      <c r="FZ60" s="471" t="n"/>
      <c r="GA60" s="471" t="n"/>
      <c r="GB60" s="471" t="n"/>
      <c r="GC60" s="562">
        <f>IF(AND(FX60:GB60),1,0)</f>
        <v/>
      </c>
      <c r="GF60" s="561" t="n">
        <v>57</v>
      </c>
      <c r="GG60" s="566" t="n"/>
      <c r="GH60" s="822" t="n"/>
      <c r="GI60" s="471" t="n"/>
      <c r="GJ60" s="471" t="n"/>
      <c r="GK60" s="561">
        <f>GO59</f>
        <v/>
      </c>
      <c r="GL60" s="471" t="n"/>
      <c r="GM60" s="471" t="n"/>
      <c r="GN60" s="471" t="n"/>
      <c r="GO60" s="562">
        <f>IF(AND(GJ60:GN60),1,0)</f>
        <v/>
      </c>
      <c r="GU60" s="561" t="n">
        <v>57</v>
      </c>
      <c r="GV60" s="566" t="n"/>
      <c r="GW60" s="273" t="inlineStr">
        <is>
          <t>0V</t>
        </is>
      </c>
      <c r="GX60" s="471" t="n"/>
      <c r="GY60" s="471" t="n"/>
      <c r="GZ60" s="560" t="n">
        <v>1</v>
      </c>
      <c r="HA60" s="471" t="n"/>
      <c r="HB60" s="471" t="n"/>
      <c r="HC60" s="471" t="n"/>
      <c r="HD60" s="571">
        <f>IF(AND(GY60:HC60),1,0)</f>
        <v/>
      </c>
      <c r="HK60" s="561" t="n">
        <v>57</v>
      </c>
      <c r="HL60" s="471" t="n"/>
      <c r="HM60" s="471" t="n"/>
      <c r="HN60" s="471" t="n"/>
      <c r="HO60" s="471" t="n"/>
      <c r="HP60" s="801">
        <f>HT59</f>
        <v/>
      </c>
      <c r="HQ60" s="471" t="n"/>
      <c r="HR60" s="471" t="n"/>
      <c r="HS60" s="471" t="n"/>
      <c r="HT60" s="562">
        <f>IF(AND(HO60:HS60),1,0)</f>
        <v/>
      </c>
      <c r="LB60" s="561" t="n">
        <v>57</v>
      </c>
      <c r="LC60" s="471" t="n"/>
      <c r="LD60" s="822" t="inlineStr">
        <is>
          <t>CONDENSER MOTOR 1 Pa=2,5kW p.f.=0,75</t>
        </is>
      </c>
      <c r="LE60" s="471" t="n"/>
      <c r="LF60" s="822" t="n"/>
      <c r="LG60" s="574">
        <f>LN22</f>
        <v/>
      </c>
      <c r="LH60" s="822">
        <f>LK59</f>
        <v/>
      </c>
      <c r="LI60" s="801">
        <f>LK90</f>
        <v/>
      </c>
      <c r="LJ60" s="801">
        <f>LK126</f>
        <v/>
      </c>
      <c r="LK60" s="562">
        <f>IF(AND(LF60:LJ60),1,0)</f>
        <v/>
      </c>
      <c r="LQ60" s="840">
        <f>LQ59+1</f>
        <v/>
      </c>
      <c r="LR60" s="534" t="n">
        <v>56</v>
      </c>
      <c r="LS60" s="471" t="n"/>
      <c r="LT60" s="822" t="n"/>
      <c r="LU60" s="471" t="n"/>
      <c r="LV60" s="822" t="n"/>
      <c r="LW60" s="822">
        <f>MA58</f>
        <v/>
      </c>
      <c r="LX60" s="822" t="n"/>
      <c r="LY60" s="471" t="n"/>
      <c r="LZ60" s="471" t="n"/>
      <c r="MA60" s="562">
        <f>IF(AND(LV60:LZ60),1,0)</f>
        <v/>
      </c>
      <c r="MH60" s="561" t="n">
        <v>57</v>
      </c>
      <c r="MI60" s="471" t="n"/>
      <c r="MJ60" s="822" t="n"/>
      <c r="MK60" s="471" t="n"/>
      <c r="ML60" s="822" t="n"/>
      <c r="MM60" s="822">
        <f>MQ59</f>
        <v/>
      </c>
      <c r="MN60" s="822" t="n"/>
      <c r="MO60" s="471" t="n"/>
      <c r="MP60" s="471" t="n"/>
      <c r="MQ60" s="562">
        <f>IF(AND(ML60:MP60),1,0)</f>
        <v/>
      </c>
    </row>
    <row r="61">
      <c r="A61" s="559" t="n">
        <v>58</v>
      </c>
      <c r="B61" s="471" t="n"/>
      <c r="C61" s="471" t="n"/>
      <c r="D61" s="471" t="n"/>
      <c r="E61" s="471" t="n"/>
      <c r="F61" s="801">
        <f>J60</f>
        <v/>
      </c>
      <c r="G61" s="561" t="n"/>
      <c r="H61" s="471" t="n"/>
      <c r="I61" s="471" t="n"/>
      <c r="J61" s="562">
        <f>IF(AND(E61:I61),1,0)</f>
        <v/>
      </c>
      <c r="P61" s="561" t="n">
        <v>58</v>
      </c>
      <c r="Q61" s="471" t="n"/>
      <c r="R61" s="801" t="inlineStr">
        <is>
          <t>CMPC2 16A</t>
        </is>
      </c>
      <c r="S61" s="471" t="n"/>
      <c r="T61" s="471" t="n"/>
      <c r="U61" s="582">
        <f>AB18</f>
        <v/>
      </c>
      <c r="V61" s="471">
        <f>Y60</f>
        <v/>
      </c>
      <c r="W61" s="471">
        <f>Y64</f>
        <v/>
      </c>
      <c r="X61" s="471">
        <f>Y67</f>
        <v/>
      </c>
      <c r="Y61" s="562">
        <f>IF(AND(T61:X61),1,0)</f>
        <v/>
      </c>
      <c r="AF61" s="561" t="n">
        <v>58</v>
      </c>
      <c r="AG61" s="568" t="n"/>
      <c r="AH61" s="566" t="n"/>
      <c r="AI61" s="471" t="n"/>
      <c r="AJ61" s="471" t="n"/>
      <c r="AK61" s="578">
        <f>AO60</f>
        <v/>
      </c>
      <c r="AL61" s="471" t="n"/>
      <c r="AM61" s="471" t="n"/>
      <c r="AN61" s="471" t="n"/>
      <c r="AO61" s="562">
        <f>IF(AND(AJ61:AN61),1,0)</f>
        <v/>
      </c>
      <c r="AS61" s="840" t="n"/>
      <c r="BI61" s="561" t="n">
        <v>58</v>
      </c>
      <c r="BJ61" s="471" t="n"/>
      <c r="BK61" s="593" t="n"/>
      <c r="BL61" s="471" t="n"/>
      <c r="BM61" s="471" t="n"/>
      <c r="BN61" s="561">
        <f>BR60</f>
        <v/>
      </c>
      <c r="BO61" s="471" t="n"/>
      <c r="BP61" s="471" t="n"/>
      <c r="BQ61" s="471" t="n"/>
      <c r="BR61" s="562">
        <f>IF(AND(BM61:BQ61),1,0)</f>
        <v/>
      </c>
      <c r="BX61" s="561" t="n">
        <v>58</v>
      </c>
      <c r="BY61" s="471" t="n"/>
      <c r="BZ61" s="593" t="n"/>
      <c r="CA61" s="471" t="n"/>
      <c r="CB61" s="471" t="n"/>
      <c r="CC61" s="561">
        <f>CG60</f>
        <v/>
      </c>
      <c r="CD61" s="471" t="n"/>
      <c r="CE61" s="471" t="n"/>
      <c r="CF61" s="471" t="n"/>
      <c r="CG61" s="562">
        <f>IF(AND(CB61:CF61),1,0)</f>
        <v/>
      </c>
      <c r="CI61" s="561" t="n">
        <v>58</v>
      </c>
      <c r="CJ61" s="471" t="n"/>
      <c r="CK61" s="561" t="n"/>
      <c r="CL61" s="471" t="n"/>
      <c r="CM61" s="471" t="n"/>
      <c r="CN61" s="471">
        <f>CR60</f>
        <v/>
      </c>
      <c r="CO61" s="471" t="n"/>
      <c r="CP61" s="471" t="n"/>
      <c r="CQ61" s="471" t="n"/>
      <c r="CR61" s="562">
        <f>IF(AND(CM61:CQ61),1,0)</f>
        <v/>
      </c>
      <c r="DK61" s="561" t="n">
        <v>58</v>
      </c>
      <c r="DL61" s="566" t="n"/>
      <c r="DM61" s="561" t="n"/>
      <c r="DN61" s="471" t="n"/>
      <c r="DO61" s="471" t="n"/>
      <c r="DP61" s="801">
        <f>DT60</f>
        <v/>
      </c>
      <c r="DQ61" s="471" t="n"/>
      <c r="DR61" s="471" t="n"/>
      <c r="DS61" s="471" t="n"/>
      <c r="DT61" s="562">
        <f>IF(AND(DO61:DS61),1,0)</f>
        <v/>
      </c>
      <c r="DZ61" s="561" t="n">
        <v>58</v>
      </c>
      <c r="EA61" s="566" t="n"/>
      <c r="EB61" s="561" t="inlineStr">
        <is>
          <t>HVAC 1-2 CONTROL PANEL</t>
        </is>
      </c>
      <c r="EC61" s="471" t="n"/>
      <c r="ED61" s="471" t="n"/>
      <c r="EE61" s="471">
        <f>IF(OR(EI54:EI60),1,0)</f>
        <v/>
      </c>
      <c r="EF61" s="471" t="n"/>
      <c r="EG61" s="471" t="n"/>
      <c r="EH61" s="471" t="n"/>
      <c r="EI61" s="571">
        <f>IF(AND(ED61:EH61),1,0)</f>
        <v/>
      </c>
      <c r="EO61" s="561" t="n">
        <v>58</v>
      </c>
      <c r="EP61" s="566" t="n"/>
      <c r="EQ61" s="561" t="inlineStr">
        <is>
          <t>SMRR</t>
        </is>
      </c>
      <c r="ER61" s="471" t="n"/>
      <c r="ES61" s="471" t="n"/>
      <c r="ET61" s="570">
        <f>FA15</f>
        <v/>
      </c>
      <c r="EU61" s="471">
        <f>EX60</f>
        <v/>
      </c>
      <c r="EV61" s="471" t="n"/>
      <c r="EW61" s="471" t="n"/>
      <c r="EX61" s="562">
        <f>IF(AND(ES61:EW61),1,0)</f>
        <v/>
      </c>
      <c r="FE61" s="561" t="n">
        <v>58</v>
      </c>
      <c r="FF61" s="566" t="n"/>
      <c r="FG61" s="561" t="inlineStr">
        <is>
          <t>SMRR</t>
        </is>
      </c>
      <c r="FH61" s="471" t="n"/>
      <c r="FI61" s="471" t="n"/>
      <c r="FJ61" s="570">
        <f>FA15</f>
        <v/>
      </c>
      <c r="FK61" s="471">
        <f>FN60</f>
        <v/>
      </c>
      <c r="FL61" s="471" t="n"/>
      <c r="FM61" s="471" t="n"/>
      <c r="FN61" s="562">
        <f>IF(AND(FI61:FM61),1,0)</f>
        <v/>
      </c>
      <c r="FT61" s="561" t="n">
        <v>58</v>
      </c>
      <c r="FU61" s="566" t="n"/>
      <c r="FV61" s="822" t="n"/>
      <c r="FW61" s="471" t="n"/>
      <c r="FX61" s="471" t="n"/>
      <c r="FY61" s="471">
        <f>GC35</f>
        <v/>
      </c>
      <c r="FZ61" s="471" t="n"/>
      <c r="GA61" s="471" t="n"/>
      <c r="GB61" s="471" t="n"/>
      <c r="GC61" s="562">
        <f>IF(AND(FX61:GB61),1,0)</f>
        <v/>
      </c>
      <c r="GF61" s="561" t="n">
        <v>58</v>
      </c>
      <c r="GG61" s="566" t="n"/>
      <c r="GH61" s="822" t="inlineStr">
        <is>
          <t>FADR 6</t>
        </is>
      </c>
      <c r="GI61" s="471" t="n"/>
      <c r="GJ61" s="471" t="n"/>
      <c r="GK61" s="573">
        <f>GR14</f>
        <v/>
      </c>
      <c r="GL61" s="471">
        <f>GO60</f>
        <v/>
      </c>
      <c r="GM61" s="471" t="n"/>
      <c r="GN61" s="471" t="n"/>
      <c r="GO61" s="562">
        <f>IF(AND(GJ61:GN61),1,0)</f>
        <v/>
      </c>
      <c r="GU61" s="561" t="n">
        <v>58</v>
      </c>
      <c r="GV61" s="566" t="n"/>
      <c r="GW61" s="822" t="n"/>
      <c r="GX61" s="471" t="n"/>
      <c r="GY61" s="471" t="n"/>
      <c r="GZ61" s="560" t="n">
        <v>1</v>
      </c>
      <c r="HA61" s="471" t="n"/>
      <c r="HB61" s="471" t="n"/>
      <c r="HC61" s="471" t="n"/>
      <c r="HD61" s="571">
        <f>IF(AND(GY61:HC61),1,0)</f>
        <v/>
      </c>
      <c r="HK61" s="561" t="n">
        <v>58</v>
      </c>
      <c r="HL61" s="471" t="n"/>
      <c r="HM61" s="471" t="n"/>
      <c r="HN61" s="471" t="n"/>
      <c r="HO61" s="471" t="n"/>
      <c r="HP61" s="801">
        <f>HT59</f>
        <v/>
      </c>
      <c r="HQ61" s="471" t="n"/>
      <c r="HR61" s="471" t="n"/>
      <c r="HS61" s="471" t="n"/>
      <c r="HT61" s="562">
        <f>IF(AND(HO61:HS61),1,0)</f>
        <v/>
      </c>
      <c r="LB61" s="561" t="n">
        <v>58</v>
      </c>
      <c r="LC61" s="471" t="n"/>
      <c r="LD61" s="801" t="n"/>
      <c r="LE61" s="471" t="n"/>
      <c r="LF61" s="822" t="n"/>
      <c r="LG61" s="822" t="n">
        <v>1</v>
      </c>
      <c r="LH61" s="822" t="n"/>
      <c r="LI61" s="471" t="n"/>
      <c r="LJ61" s="471" t="n"/>
      <c r="LK61" s="562">
        <f>IF(AND(LF61:LJ61),1,0)</f>
        <v/>
      </c>
      <c r="LQ61" s="840">
        <f>LQ60+1</f>
        <v/>
      </c>
      <c r="LR61" s="534" t="n">
        <v>57</v>
      </c>
      <c r="LS61" s="471" t="n"/>
      <c r="LT61" s="822" t="n"/>
      <c r="LU61" s="471" t="n"/>
      <c r="LV61" s="822" t="n"/>
      <c r="LW61" s="822">
        <f>MA5</f>
        <v/>
      </c>
      <c r="LX61" s="822" t="n"/>
      <c r="LY61" s="471" t="n"/>
      <c r="LZ61" s="471" t="n"/>
      <c r="MA61" s="562">
        <f>IF(AND(LV61:LZ61),1,0)</f>
        <v/>
      </c>
      <c r="MH61" s="561" t="n">
        <v>58</v>
      </c>
      <c r="MI61" s="471" t="n"/>
      <c r="MJ61" s="822" t="n"/>
      <c r="MK61" s="471" t="n"/>
      <c r="ML61" s="822" t="n"/>
      <c r="MM61" s="822">
        <f>MQ28</f>
        <v/>
      </c>
      <c r="MN61" s="822" t="n"/>
      <c r="MO61" s="471" t="n"/>
      <c r="MP61" s="471" t="n"/>
      <c r="MQ61" s="562">
        <f>IF(AND(ML61:MP61),1,0)</f>
        <v/>
      </c>
    </row>
    <row r="62">
      <c r="A62" s="559" t="n">
        <v>59</v>
      </c>
      <c r="B62" s="471" t="n"/>
      <c r="C62" s="471" t="n"/>
      <c r="D62" s="471" t="n"/>
      <c r="E62" s="471" t="n"/>
      <c r="F62" s="560">
        <f>M5</f>
        <v/>
      </c>
      <c r="G62" s="561" t="n"/>
      <c r="H62" s="471" t="n"/>
      <c r="I62" s="471" t="n"/>
      <c r="J62" s="562">
        <f>IF(AND(E62:I62),1,0)</f>
        <v/>
      </c>
      <c r="P62" s="561" t="n">
        <v>59</v>
      </c>
      <c r="Q62" s="471" t="n"/>
      <c r="R62" s="561" t="n"/>
      <c r="S62" s="471" t="n"/>
      <c r="T62" s="471" t="n"/>
      <c r="U62" s="801">
        <f>Y61</f>
        <v/>
      </c>
      <c r="V62" s="471" t="n"/>
      <c r="W62" s="471" t="n"/>
      <c r="X62" s="471" t="n"/>
      <c r="Y62" s="562">
        <f>IF(AND(T62:X62),1,0)</f>
        <v/>
      </c>
      <c r="AF62" s="561" t="n">
        <v>59</v>
      </c>
      <c r="AG62" s="568" t="n"/>
      <c r="AH62" s="801" t="inlineStr">
        <is>
          <t>CMPC2 16A</t>
        </is>
      </c>
      <c r="AI62" s="471" t="n"/>
      <c r="AJ62" s="471" t="n"/>
      <c r="AK62" s="573">
        <f>AB19</f>
        <v/>
      </c>
      <c r="AL62" s="471">
        <f>AO61</f>
        <v/>
      </c>
      <c r="AM62" s="471" t="n"/>
      <c r="AN62" s="471" t="n"/>
      <c r="AO62" s="562">
        <f>IF(AND(AJ62:AN62),1,0)</f>
        <v/>
      </c>
      <c r="AS62" s="840" t="n"/>
      <c r="BI62" s="561" t="n">
        <v>59</v>
      </c>
      <c r="BJ62" s="840" t="inlineStr">
        <is>
          <t>/06.F3</t>
        </is>
      </c>
      <c r="BK62" s="471" t="inlineStr">
        <is>
          <t>SMDR</t>
        </is>
      </c>
      <c r="BL62" s="471" t="n"/>
      <c r="BM62" s="471" t="n"/>
      <c r="BN62" s="567">
        <f>BU12</f>
        <v/>
      </c>
      <c r="BO62" s="471">
        <f>BU13</f>
        <v/>
      </c>
      <c r="BP62" s="471" t="n"/>
      <c r="BQ62" s="471" t="n"/>
      <c r="BR62" s="562">
        <f>IF(AND(BM62:BQ62),1,0)</f>
        <v/>
      </c>
      <c r="BX62" s="561" t="n">
        <v>59</v>
      </c>
      <c r="BY62" s="840" t="inlineStr">
        <is>
          <t>/06.F3</t>
        </is>
      </c>
      <c r="BZ62" s="471" t="n"/>
      <c r="CA62" s="471" t="n"/>
      <c r="CB62" s="471" t="n"/>
      <c r="CC62" s="567">
        <f>BU12</f>
        <v/>
      </c>
      <c r="CD62" s="471" t="n"/>
      <c r="CE62" s="471" t="n"/>
      <c r="CF62" s="471" t="n"/>
      <c r="CG62" s="562">
        <f>IF(AND(CB62:CF62),1,0)</f>
        <v/>
      </c>
      <c r="CI62" s="561" t="n">
        <v>59</v>
      </c>
      <c r="CJ62" s="471" t="n"/>
      <c r="CK62" s="561" t="n"/>
      <c r="CL62" s="471" t="n"/>
      <c r="CM62" s="471" t="n"/>
      <c r="CN62" s="471">
        <f>CR60</f>
        <v/>
      </c>
      <c r="CO62" s="471">
        <f>CR61</f>
        <v/>
      </c>
      <c r="CP62" s="471" t="n"/>
      <c r="CQ62" s="471" t="n"/>
      <c r="CR62" s="562">
        <f>IF(AND(CM62:CQ62),1,0)</f>
        <v/>
      </c>
      <c r="DK62" s="561" t="n">
        <v>59</v>
      </c>
      <c r="DL62" s="566" t="n"/>
      <c r="DM62" s="561" t="n"/>
      <c r="DN62" s="471" t="n"/>
      <c r="DO62" s="471" t="n"/>
      <c r="DP62" s="801">
        <f>DT72</f>
        <v/>
      </c>
      <c r="DQ62" s="471">
        <f>DT61</f>
        <v/>
      </c>
      <c r="DR62" s="471" t="n"/>
      <c r="DS62" s="471" t="n"/>
      <c r="DT62" s="562">
        <f>IF(AND(DO62:DS62),1,0)</f>
        <v/>
      </c>
      <c r="EI62" s="840" t="n"/>
      <c r="EO62" s="561" t="n">
        <v>59</v>
      </c>
      <c r="EP62" s="566" t="n"/>
      <c r="EQ62" s="561" t="n"/>
      <c r="ER62" s="471" t="n"/>
      <c r="ES62" s="471" t="n"/>
      <c r="ET62" s="471">
        <f>EX61</f>
        <v/>
      </c>
      <c r="EU62" s="471" t="n"/>
      <c r="EV62" s="471" t="n"/>
      <c r="EW62" s="471" t="n"/>
      <c r="EX62" s="562">
        <f>IF(AND(ES62:EW62),1,0)</f>
        <v/>
      </c>
      <c r="FE62" s="561" t="n">
        <v>59</v>
      </c>
      <c r="FF62" s="566" t="n"/>
      <c r="FG62" s="561" t="n"/>
      <c r="FH62" s="471" t="n"/>
      <c r="FI62" s="471" t="n"/>
      <c r="FJ62" s="471">
        <f>FN61</f>
        <v/>
      </c>
      <c r="FK62" s="471" t="n"/>
      <c r="FL62" s="471" t="n"/>
      <c r="FM62" s="471" t="n"/>
      <c r="FN62" s="562">
        <f>IF(AND(FI62:FM62),1,0)</f>
        <v/>
      </c>
      <c r="FT62" s="561" t="n">
        <v>59</v>
      </c>
      <c r="FU62" s="566" t="n"/>
      <c r="FV62" s="822" t="inlineStr">
        <is>
          <t>SMRR</t>
        </is>
      </c>
      <c r="FW62" s="471" t="n"/>
      <c r="FX62" s="471" t="n"/>
      <c r="FY62" s="570">
        <f>FQ15</f>
        <v/>
      </c>
      <c r="FZ62" s="471">
        <f>GC61</f>
        <v/>
      </c>
      <c r="GA62" s="471" t="n"/>
      <c r="GB62" s="471" t="n"/>
      <c r="GC62" s="562">
        <f>IF(AND(FX62:GB62),1,0)</f>
        <v/>
      </c>
      <c r="GF62" s="561" t="n">
        <v>59</v>
      </c>
      <c r="GG62" s="566" t="n"/>
      <c r="GH62" s="822" t="n"/>
      <c r="GI62" s="471" t="n"/>
      <c r="GJ62" s="471" t="n"/>
      <c r="GK62" s="561">
        <f>GO64</f>
        <v/>
      </c>
      <c r="GL62" s="471" t="n"/>
      <c r="GM62" s="471" t="n"/>
      <c r="GN62" s="471" t="n"/>
      <c r="GO62" s="562">
        <f>IF(AND(GJ62:GN62),1,0)</f>
        <v/>
      </c>
      <c r="GU62" s="561" t="n">
        <v>59</v>
      </c>
      <c r="GV62" s="566" t="n"/>
      <c r="GW62" s="822" t="inlineStr">
        <is>
          <t xml:space="preserve">FADR STATUS </t>
        </is>
      </c>
      <c r="GX62" s="471" t="n"/>
      <c r="GY62" s="471" t="n"/>
      <c r="GZ62" s="569">
        <f>'Mode Logic'!P18</f>
        <v/>
      </c>
      <c r="HA62" s="471">
        <f>HD61</f>
        <v/>
      </c>
      <c r="HB62" s="471" t="n"/>
      <c r="HC62" s="471" t="n"/>
      <c r="HD62" s="571">
        <f>IF(AND(GY62:HC62),1,0)</f>
        <v/>
      </c>
      <c r="HK62" s="561" t="n">
        <v>59</v>
      </c>
      <c r="HL62" s="471" t="n"/>
      <c r="HM62" s="471" t="inlineStr">
        <is>
          <t>24 V DC</t>
        </is>
      </c>
      <c r="HN62" s="471" t="n"/>
      <c r="HO62" s="471" t="n"/>
      <c r="HP62" s="569">
        <f>HW17</f>
        <v/>
      </c>
      <c r="HQ62" s="471" t="n"/>
      <c r="HR62" s="471" t="n"/>
      <c r="HS62" s="471" t="n"/>
      <c r="HT62" s="562">
        <f>IF(AND(HO62:HS62),1,0)</f>
        <v/>
      </c>
      <c r="LB62" s="561" t="n">
        <v>59</v>
      </c>
      <c r="LC62" s="471" t="n"/>
      <c r="LD62" s="822" t="n"/>
      <c r="LE62" s="471" t="n"/>
      <c r="LF62" s="822" t="n"/>
      <c r="LG62" s="822">
        <f>LK35</f>
        <v/>
      </c>
      <c r="LH62" s="822" t="n"/>
      <c r="LI62" s="471" t="n"/>
      <c r="LJ62" s="471" t="n"/>
      <c r="LK62" s="562">
        <f>IF(AND(LF62:LJ62),1,0)</f>
        <v/>
      </c>
      <c r="LQ62" s="840">
        <f>LQ61+1</f>
        <v/>
      </c>
      <c r="LR62" s="534" t="n">
        <v>58</v>
      </c>
      <c r="LS62" s="471" t="n"/>
      <c r="LT62" s="822" t="inlineStr">
        <is>
          <t>EMR</t>
        </is>
      </c>
      <c r="LU62" s="471" t="n"/>
      <c r="LV62" s="822" t="n"/>
      <c r="LW62" s="574">
        <f>MD7</f>
        <v/>
      </c>
      <c r="LX62" s="822">
        <f>MA61</f>
        <v/>
      </c>
      <c r="LY62" s="471" t="n"/>
      <c r="LZ62" s="471" t="n"/>
      <c r="MA62" s="562">
        <f>IF(AND(LV62:LZ62),1,0)</f>
        <v/>
      </c>
      <c r="MH62" s="561" t="n">
        <v>59</v>
      </c>
      <c r="MI62" s="471" t="n"/>
      <c r="MJ62" s="822" t="n"/>
      <c r="MK62" s="471" t="n"/>
      <c r="ML62" s="822" t="n"/>
      <c r="MM62" s="822">
        <f>MQ61</f>
        <v/>
      </c>
      <c r="MN62" s="822" t="n"/>
      <c r="MO62" s="471" t="n"/>
      <c r="MP62" s="471" t="n"/>
      <c r="MQ62" s="562">
        <f>IF(AND(ML62:MP62),1,0)</f>
        <v/>
      </c>
    </row>
    <row r="63">
      <c r="A63" s="559" t="n">
        <v>60</v>
      </c>
      <c r="B63" s="471" t="n"/>
      <c r="C63" s="471" t="n"/>
      <c r="D63" s="471" t="n"/>
      <c r="E63" s="471" t="n"/>
      <c r="F63" s="801">
        <f>J62</f>
        <v/>
      </c>
      <c r="G63" s="561" t="n"/>
      <c r="H63" s="471" t="n"/>
      <c r="I63" s="471" t="n"/>
      <c r="J63" s="562">
        <f>IF(AND(E63:I63),1,0)</f>
        <v/>
      </c>
      <c r="P63" s="561" t="n">
        <v>60</v>
      </c>
      <c r="Q63" s="471" t="n"/>
      <c r="S63" s="471" t="n"/>
      <c r="T63" s="471" t="n"/>
      <c r="U63" s="801">
        <f>Y37</f>
        <v/>
      </c>
      <c r="V63" s="471" t="n"/>
      <c r="W63" s="471" t="n"/>
      <c r="X63" s="471" t="n"/>
      <c r="Y63" s="562">
        <f>IF(AND(T63:X63),1,0)</f>
        <v/>
      </c>
      <c r="AF63" s="561" t="n">
        <v>60</v>
      </c>
      <c r="AG63" s="568" t="n"/>
      <c r="AH63" s="566" t="n"/>
      <c r="AI63" s="471" t="n"/>
      <c r="AJ63" s="471" t="n"/>
      <c r="AK63" s="578">
        <f>AO62</f>
        <v/>
      </c>
      <c r="AL63" s="471" t="n"/>
      <c r="AM63" s="471" t="n"/>
      <c r="AN63" s="471" t="n"/>
      <c r="AO63" s="562">
        <f>IF(AND(AJ63:AN63),1,0)</f>
        <v/>
      </c>
      <c r="AS63" s="840" t="n"/>
      <c r="BI63" s="561" t="n">
        <v>60</v>
      </c>
      <c r="BJ63" s="471" t="n"/>
      <c r="BK63" s="265" t="n"/>
      <c r="BL63" s="471" t="n"/>
      <c r="BM63" s="471" t="n"/>
      <c r="BN63" s="561">
        <f>BR62</f>
        <v/>
      </c>
      <c r="BO63" s="471" t="n"/>
      <c r="BP63" s="471" t="n"/>
      <c r="BQ63" s="471" t="n"/>
      <c r="BR63" s="562">
        <f>IF(AND(BM63:BQ63),1,0)</f>
        <v/>
      </c>
      <c r="BX63" s="561" t="n">
        <v>60</v>
      </c>
      <c r="BY63" s="471" t="n"/>
      <c r="BZ63" s="265" t="n"/>
      <c r="CA63" s="471" t="n"/>
      <c r="CB63" s="471" t="n"/>
      <c r="CC63" s="561">
        <f>CG62</f>
        <v/>
      </c>
      <c r="CD63" s="471" t="n"/>
      <c r="CE63" s="471" t="n"/>
      <c r="CF63" s="471" t="n"/>
      <c r="CG63" s="562">
        <f>IF(AND(CB63:CF63),1,0)</f>
        <v/>
      </c>
      <c r="CI63" s="561" t="n">
        <v>60</v>
      </c>
      <c r="CJ63" s="471" t="n"/>
      <c r="CK63" s="561" t="n"/>
      <c r="CL63" s="471" t="n"/>
      <c r="CM63" s="471" t="n"/>
      <c r="CN63" s="565">
        <f>IF(OR('DATA TRANSFER'!M10,'DATA TRANSFER'!M12),1,0)</f>
        <v/>
      </c>
      <c r="CO63" s="471" t="n"/>
      <c r="CP63" s="471" t="n"/>
      <c r="CQ63" s="471" t="n"/>
      <c r="CR63" s="562">
        <f>IF(AND(CM63:CQ63),1,0)</f>
        <v/>
      </c>
      <c r="DK63" s="561" t="n">
        <v>60</v>
      </c>
      <c r="DL63" s="566" t="n"/>
      <c r="DM63" s="561" t="inlineStr">
        <is>
          <t>HTC</t>
        </is>
      </c>
      <c r="DN63" s="471" t="n"/>
      <c r="DO63" s="471" t="n"/>
      <c r="DP63" s="569">
        <f>DW15</f>
        <v/>
      </c>
      <c r="DQ63" s="471" t="n"/>
      <c r="DR63" s="471" t="n"/>
      <c r="DS63" s="471" t="n"/>
      <c r="DT63" s="562">
        <f>IF(AND(DO63:DS63),1,0)</f>
        <v/>
      </c>
      <c r="EI63" s="840" t="n"/>
      <c r="EO63" s="561" t="n">
        <v>60</v>
      </c>
      <c r="EP63" s="566" t="n"/>
      <c r="EQ63" s="561" t="n"/>
      <c r="ER63" s="471" t="n"/>
      <c r="ES63" s="471" t="n"/>
      <c r="ET63" s="471">
        <f>EX62</f>
        <v/>
      </c>
      <c r="EU63" s="471" t="n"/>
      <c r="EV63" s="471" t="n"/>
      <c r="EW63" s="471" t="n"/>
      <c r="EX63" s="562">
        <f>IF(AND(ES63:EW63),1,0)</f>
        <v/>
      </c>
      <c r="FE63" s="561" t="n">
        <v>60</v>
      </c>
      <c r="FF63" s="566" t="n"/>
      <c r="FG63" s="561" t="n"/>
      <c r="FH63" s="471" t="n"/>
      <c r="FI63" s="471" t="n"/>
      <c r="FJ63" s="471">
        <f>FN62</f>
        <v/>
      </c>
      <c r="FK63" s="471" t="n"/>
      <c r="FL63" s="471" t="n"/>
      <c r="FM63" s="471" t="n"/>
      <c r="FN63" s="562">
        <f>IF(AND(FI63:FM63),1,0)</f>
        <v/>
      </c>
      <c r="FT63" s="561" t="n">
        <v>60</v>
      </c>
      <c r="FU63" s="566" t="n"/>
      <c r="FV63" s="822" t="n"/>
      <c r="FW63" s="471" t="n"/>
      <c r="FX63" s="471" t="n"/>
      <c r="FY63" s="471">
        <f>GC62</f>
        <v/>
      </c>
      <c r="FZ63" s="471" t="n"/>
      <c r="GA63" s="471" t="n"/>
      <c r="GB63" s="471" t="n"/>
      <c r="GC63" s="562">
        <f>IF(AND(FX63:GB63),1,0)</f>
        <v/>
      </c>
      <c r="GF63" s="561" t="n">
        <v>60</v>
      </c>
      <c r="GG63" s="566" t="n"/>
      <c r="GH63" s="822" t="n"/>
      <c r="GI63" s="471" t="n"/>
      <c r="GJ63" s="471" t="n"/>
      <c r="GK63" s="561">
        <f>GO61</f>
        <v/>
      </c>
      <c r="GL63" s="471" t="n"/>
      <c r="GM63" s="471" t="n"/>
      <c r="GN63" s="471" t="n"/>
      <c r="GO63" s="562">
        <f>IF(AND(GJ63:GN63),1,0)</f>
        <v/>
      </c>
      <c r="GU63" s="561" t="n">
        <v>60</v>
      </c>
      <c r="GV63" s="566" t="n"/>
      <c r="GW63" s="822" t="n"/>
      <c r="GX63" s="471" t="n"/>
      <c r="GY63" s="471" t="n"/>
      <c r="GZ63" s="801">
        <f>HD62</f>
        <v/>
      </c>
      <c r="HA63" s="471" t="n"/>
      <c r="HB63" s="471" t="n"/>
      <c r="HC63" s="471" t="n"/>
      <c r="HD63" s="571">
        <f>IF(AND(GY63:HC63),1,0)</f>
        <v/>
      </c>
      <c r="HK63" s="561" t="n">
        <v>60</v>
      </c>
      <c r="HL63" s="471" t="n"/>
      <c r="HM63" s="471" t="inlineStr">
        <is>
          <t>TMR1</t>
        </is>
      </c>
      <c r="HN63" s="471" t="n"/>
      <c r="HO63" s="471" t="n"/>
      <c r="HP63" s="569">
        <f>HW16</f>
        <v/>
      </c>
      <c r="HQ63" s="471">
        <f>HT62</f>
        <v/>
      </c>
      <c r="HR63" s="471" t="n"/>
      <c r="HS63" s="471" t="n"/>
      <c r="HT63" s="562">
        <f>IF(AND(HO63:HS63),1,0)</f>
        <v/>
      </c>
      <c r="LB63" s="561" t="n">
        <v>60</v>
      </c>
      <c r="LC63" s="471" t="n"/>
      <c r="LD63" s="822" t="n"/>
      <c r="LE63" s="471" t="n"/>
      <c r="LF63" s="822" t="n"/>
      <c r="LG63" s="822">
        <f>LK62</f>
        <v/>
      </c>
      <c r="LH63" s="822" t="n"/>
      <c r="LI63" s="471" t="n"/>
      <c r="LJ63" s="471" t="n"/>
      <c r="LK63" s="562">
        <f>IF(AND(LF63:LJ63),1,0)</f>
        <v/>
      </c>
      <c r="LQ63" s="840">
        <f>LQ62+1</f>
        <v/>
      </c>
      <c r="LR63" s="534" t="n">
        <v>59</v>
      </c>
      <c r="LS63" s="471" t="n"/>
      <c r="LT63" s="822" t="n"/>
      <c r="LU63" s="471" t="n"/>
      <c r="LV63" s="822" t="n"/>
      <c r="LW63" s="822">
        <f>MA62</f>
        <v/>
      </c>
      <c r="LX63" s="822" t="n"/>
      <c r="LY63" s="471" t="n"/>
      <c r="LZ63" s="471" t="n"/>
      <c r="MA63" s="562">
        <f>IF(AND(LV63:LZ63),1,0)</f>
        <v/>
      </c>
      <c r="MH63" s="561" t="n">
        <v>60</v>
      </c>
      <c r="MI63" s="471" t="n"/>
      <c r="MJ63" s="822" t="n"/>
      <c r="MK63" s="471" t="n"/>
      <c r="ML63" s="822" t="n"/>
      <c r="MM63" s="822">
        <f>MQ31</f>
        <v/>
      </c>
      <c r="MN63" s="822" t="n"/>
      <c r="MO63" s="471" t="n"/>
      <c r="MP63" s="471" t="n"/>
      <c r="MQ63" s="562">
        <f>IF(AND(ML63:MP63),1,0)</f>
        <v/>
      </c>
    </row>
    <row r="64">
      <c r="A64" s="559" t="n">
        <v>61</v>
      </c>
      <c r="B64" s="471" t="n"/>
      <c r="C64" s="471" t="n"/>
      <c r="D64" s="471" t="n"/>
      <c r="E64" s="471" t="n"/>
      <c r="F64" s="801">
        <f>J63</f>
        <v/>
      </c>
      <c r="G64" s="561" t="n"/>
      <c r="H64" s="471" t="n"/>
      <c r="I64" s="471" t="n"/>
      <c r="J64" s="562">
        <f>IF(AND(E64:I64),1,0)</f>
        <v/>
      </c>
      <c r="P64" s="561" t="n">
        <v>61</v>
      </c>
      <c r="Q64" s="471" t="n"/>
      <c r="R64" s="561" t="n"/>
      <c r="S64" s="471" t="n"/>
      <c r="T64" s="471" t="n"/>
      <c r="U64" s="801">
        <f>Y59</f>
        <v/>
      </c>
      <c r="V64" s="471">
        <f>Y63</f>
        <v/>
      </c>
      <c r="W64" s="471" t="n"/>
      <c r="X64" s="471" t="n"/>
      <c r="Y64" s="562">
        <f>IF(AND(T64:X64),1,0)</f>
        <v/>
      </c>
      <c r="AF64" s="561" t="n">
        <v>61</v>
      </c>
      <c r="AG64" s="568" t="n"/>
      <c r="AH64" s="566" t="n"/>
      <c r="AI64" s="471" t="n"/>
      <c r="AJ64" s="471" t="n"/>
      <c r="AK64" s="578">
        <f>AO38</f>
        <v/>
      </c>
      <c r="AL64" s="471" t="n"/>
      <c r="AM64" s="471" t="n"/>
      <c r="AN64" s="471" t="n"/>
      <c r="AO64" s="562">
        <f>IF(AND(AJ64:AN64),1,0)</f>
        <v/>
      </c>
      <c r="AS64" s="840" t="n"/>
      <c r="BI64" s="561" t="n">
        <v>61</v>
      </c>
      <c r="BJ64" s="840" t="inlineStr">
        <is>
          <t>/06.F6</t>
        </is>
      </c>
      <c r="BK64" s="471" t="inlineStr">
        <is>
          <t>SMDR</t>
        </is>
      </c>
      <c r="BL64" s="471" t="n"/>
      <c r="BM64" s="471" t="n"/>
      <c r="BN64" s="567">
        <f>BU12</f>
        <v/>
      </c>
      <c r="BO64" s="471">
        <f>BU13</f>
        <v/>
      </c>
      <c r="BP64" s="471" t="n"/>
      <c r="BQ64" s="471" t="n"/>
      <c r="BR64" s="562">
        <f>IF(AND(BM64:BQ64),1,0)</f>
        <v/>
      </c>
      <c r="BX64" s="561" t="n">
        <v>61</v>
      </c>
      <c r="BY64" s="840" t="inlineStr">
        <is>
          <t>/06.F6</t>
        </is>
      </c>
      <c r="BZ64" s="471" t="n"/>
      <c r="CA64" s="471" t="n"/>
      <c r="CB64" s="471" t="n"/>
      <c r="CC64" s="567">
        <f>BU13</f>
        <v/>
      </c>
      <c r="CD64" s="471" t="n"/>
      <c r="CE64" s="471" t="n"/>
      <c r="CF64" s="471" t="n"/>
      <c r="CG64" s="562">
        <f>IF(AND(CB64:CF64),1,0)</f>
        <v/>
      </c>
      <c r="CI64" s="561" t="n">
        <v>61</v>
      </c>
      <c r="CJ64" s="471" t="n"/>
      <c r="CK64" s="561" t="n"/>
      <c r="CL64" s="471" t="n"/>
      <c r="CM64" s="471" t="n"/>
      <c r="CN64" s="471">
        <f>CR63</f>
        <v/>
      </c>
      <c r="CO64" s="471" t="n"/>
      <c r="CP64" s="471" t="n"/>
      <c r="CQ64" s="471" t="n"/>
      <c r="CR64" s="562">
        <f>IF(AND(CM64:CQ64),1,0)</f>
        <v/>
      </c>
      <c r="DK64" s="561" t="n">
        <v>61</v>
      </c>
      <c r="DL64" s="566" t="n"/>
      <c r="DM64" s="561" t="n"/>
      <c r="DN64" s="471" t="n"/>
      <c r="DO64" s="471" t="n"/>
      <c r="DP64" s="801">
        <f>DT63</f>
        <v/>
      </c>
      <c r="DQ64" s="471" t="n"/>
      <c r="DR64" s="471" t="n"/>
      <c r="DS64" s="471" t="n"/>
      <c r="DT64" s="562">
        <f>IF(AND(DO64:DS64),1,0)</f>
        <v/>
      </c>
      <c r="EI64" s="840" t="n"/>
      <c r="EO64" s="561" t="n">
        <v>61</v>
      </c>
      <c r="EP64" s="566" t="n"/>
      <c r="EQ64" s="561" t="n"/>
      <c r="ER64" s="471" t="n"/>
      <c r="ES64" s="471" t="n"/>
      <c r="ET64" s="471">
        <f>EX63</f>
        <v/>
      </c>
      <c r="EU64" s="471" t="n"/>
      <c r="EV64" s="471" t="n"/>
      <c r="EW64" s="471" t="n"/>
      <c r="EX64" s="562">
        <f>IF(AND(ES64:EW64),1,0)</f>
        <v/>
      </c>
      <c r="FE64" s="561" t="n">
        <v>61</v>
      </c>
      <c r="FF64" s="566" t="n"/>
      <c r="FG64" s="561" t="n"/>
      <c r="FH64" s="471" t="n"/>
      <c r="FI64" s="471" t="n"/>
      <c r="FJ64" s="471">
        <f>FN63</f>
        <v/>
      </c>
      <c r="FK64" s="471" t="n"/>
      <c r="FL64" s="471" t="n"/>
      <c r="FM64" s="471" t="n"/>
      <c r="FN64" s="562">
        <f>IF(AND(FI64:FM64),1,0)</f>
        <v/>
      </c>
      <c r="FT64" s="561" t="n">
        <v>61</v>
      </c>
      <c r="FU64" s="566" t="n"/>
      <c r="FV64" s="822" t="n"/>
      <c r="FW64" s="471" t="n"/>
      <c r="FX64" s="471" t="n"/>
      <c r="FY64" s="471">
        <f>GC63</f>
        <v/>
      </c>
      <c r="FZ64" s="471" t="n"/>
      <c r="GA64" s="471" t="n"/>
      <c r="GB64" s="471" t="n"/>
      <c r="GC64" s="562">
        <f>IF(AND(FX64:GB64),1,0)</f>
        <v/>
      </c>
      <c r="GF64" s="561" t="n">
        <v>61</v>
      </c>
      <c r="GG64" s="566" t="n"/>
      <c r="GH64" s="822" t="n"/>
      <c r="GI64" s="471" t="n"/>
      <c r="GJ64" s="471" t="n"/>
      <c r="GK64" s="561" t="n"/>
      <c r="GL64" s="570">
        <f>GR7</f>
        <v/>
      </c>
      <c r="GM64" s="471" t="n"/>
      <c r="GN64" s="471" t="n"/>
      <c r="GO64" s="562">
        <f>IF(AND(GJ64:GN64),1,0)</f>
        <v/>
      </c>
      <c r="GU64" s="561" t="n">
        <v>61</v>
      </c>
      <c r="GV64" s="566" t="n"/>
      <c r="GW64" s="822" t="n"/>
      <c r="GX64" s="471" t="n"/>
      <c r="GY64" s="471" t="n"/>
      <c r="GZ64" s="801">
        <f>HD63</f>
        <v/>
      </c>
      <c r="HA64" s="471" t="n"/>
      <c r="HB64" s="471" t="n"/>
      <c r="HC64" s="471" t="n"/>
      <c r="HD64" s="571">
        <f>IF(AND(GY64:HC64),1,0)</f>
        <v/>
      </c>
      <c r="HK64" s="561" t="n">
        <v>61</v>
      </c>
      <c r="HL64" s="471" t="n"/>
      <c r="HM64" s="471" t="n"/>
      <c r="HN64" s="471" t="n"/>
      <c r="HO64" s="471" t="n"/>
      <c r="HP64" s="801">
        <f>HT63</f>
        <v/>
      </c>
      <c r="HQ64" s="471" t="n"/>
      <c r="HR64" s="471" t="n"/>
      <c r="HS64" s="471" t="n"/>
      <c r="HT64" s="562">
        <f>IF(AND(HO64:HS64),1,0)</f>
        <v/>
      </c>
      <c r="LB64" s="561" t="n">
        <v>61</v>
      </c>
      <c r="LC64" s="471" t="n"/>
      <c r="LD64" s="822" t="n"/>
      <c r="LE64" s="471" t="n"/>
      <c r="LF64" s="822" t="n"/>
      <c r="LG64" s="822">
        <f>LK63</f>
        <v/>
      </c>
      <c r="LH64" s="822" t="n"/>
      <c r="LI64" s="471" t="n"/>
      <c r="LJ64" s="471" t="n"/>
      <c r="LK64" s="562">
        <f>IF(AND(LF64:LJ64),1,0)</f>
        <v/>
      </c>
      <c r="LQ64" s="840">
        <f>LQ63+1</f>
        <v/>
      </c>
      <c r="LR64" s="534" t="n">
        <v>60</v>
      </c>
      <c r="LS64" s="471" t="n"/>
      <c r="LT64" s="822" t="n"/>
      <c r="LU64" s="471" t="n"/>
      <c r="LV64" s="822" t="n"/>
      <c r="LW64" s="822">
        <f>MA63</f>
        <v/>
      </c>
      <c r="LX64" s="822" t="n"/>
      <c r="LY64" s="471" t="n"/>
      <c r="LZ64" s="471" t="n"/>
      <c r="MA64" s="562">
        <f>IF(AND(LV64:LZ64),1,0)</f>
        <v/>
      </c>
      <c r="MH64" s="561" t="n">
        <v>61</v>
      </c>
      <c r="MI64" s="471" t="n"/>
      <c r="MJ64" s="822" t="n"/>
      <c r="MK64" s="471" t="n"/>
      <c r="ML64" s="822" t="n"/>
      <c r="MM64" s="822">
        <f>MQ63</f>
        <v/>
      </c>
      <c r="MN64" s="822" t="n"/>
      <c r="MO64" s="471" t="n"/>
      <c r="MP64" s="471" t="n"/>
      <c r="MQ64" s="562">
        <f>IF(AND(ML64:MP64),1,0)</f>
        <v/>
      </c>
    </row>
    <row r="65" ht="31" customHeight="1">
      <c r="A65" s="559" t="n">
        <v>62</v>
      </c>
      <c r="B65" s="471" t="n"/>
      <c r="C65" s="801" t="inlineStr">
        <is>
          <t>HTC</t>
        </is>
      </c>
      <c r="D65" s="471" t="n"/>
      <c r="E65" s="471" t="n"/>
      <c r="F65" s="594">
        <f>M13</f>
        <v/>
      </c>
      <c r="G65" s="801">
        <f>J64</f>
        <v/>
      </c>
      <c r="H65" s="471" t="n"/>
      <c r="I65" s="471" t="n"/>
      <c r="J65" s="562">
        <f>IF(AND(E65:I65),1,0)</f>
        <v/>
      </c>
      <c r="P65" s="561" t="n">
        <v>62</v>
      </c>
      <c r="Q65" s="471" t="n"/>
      <c r="R65" s="561" t="n"/>
      <c r="S65" s="471" t="n"/>
      <c r="T65" s="471" t="n"/>
      <c r="U65" s="801">
        <f>Y61</f>
        <v/>
      </c>
      <c r="V65" s="471" t="n"/>
      <c r="W65" s="471" t="n"/>
      <c r="X65" s="471" t="n"/>
      <c r="Y65" s="562">
        <f>IF(AND(T65:X65),1,0)</f>
        <v/>
      </c>
      <c r="AF65" s="561" t="n">
        <v>62</v>
      </c>
      <c r="AG65" s="568" t="n"/>
      <c r="AH65" s="566" t="n"/>
      <c r="AI65" s="471" t="n"/>
      <c r="AJ65" s="471" t="n"/>
      <c r="AK65" s="578">
        <f>AO60</f>
        <v/>
      </c>
      <c r="AL65" s="471">
        <f>AO64</f>
        <v/>
      </c>
      <c r="AM65" s="471" t="n"/>
      <c r="AN65" s="471" t="n"/>
      <c r="AO65" s="562">
        <f>IF(AND(AJ65:AN65),1,0)</f>
        <v/>
      </c>
      <c r="BI65" s="561" t="n">
        <v>62</v>
      </c>
      <c r="BJ65" s="471" t="n"/>
      <c r="BK65" s="471" t="n"/>
      <c r="BL65" s="471" t="n"/>
      <c r="BM65" s="471" t="n"/>
      <c r="BN65" s="561">
        <f>BR64</f>
        <v/>
      </c>
      <c r="BO65" s="471" t="n"/>
      <c r="BP65" s="471" t="n"/>
      <c r="BQ65" s="471" t="n"/>
      <c r="BR65" s="562">
        <f>IF(AND(BM65:BQ65),1,0)</f>
        <v/>
      </c>
      <c r="BX65" s="561" t="n">
        <v>62</v>
      </c>
      <c r="BY65" s="471" t="n"/>
      <c r="BZ65" s="471" t="n"/>
      <c r="CA65" s="471" t="n"/>
      <c r="CB65" s="471" t="n"/>
      <c r="CC65" s="561">
        <f>CG64</f>
        <v/>
      </c>
      <c r="CD65" s="471" t="n"/>
      <c r="CE65" s="471" t="n"/>
      <c r="CF65" s="471" t="n"/>
      <c r="CG65" s="562">
        <f>IF(AND(CB65:CF65),1,0)</f>
        <v/>
      </c>
      <c r="CI65" s="561" t="n">
        <v>62</v>
      </c>
      <c r="CJ65" s="471" t="n"/>
      <c r="CK65" s="561" t="n"/>
      <c r="CL65" s="471" t="n"/>
      <c r="CM65" s="471" t="n"/>
      <c r="CN65" s="471">
        <f>CR63</f>
        <v/>
      </c>
      <c r="CO65" s="471">
        <f>CR64</f>
        <v/>
      </c>
      <c r="CP65" s="471" t="n"/>
      <c r="CQ65" s="471" t="n"/>
      <c r="CR65" s="562">
        <f>IF(AND(CM65:CQ65),1,0)</f>
        <v/>
      </c>
      <c r="DK65" s="561" t="n">
        <v>62</v>
      </c>
      <c r="DL65" s="566" t="n"/>
      <c r="DM65" s="561" t="n"/>
      <c r="DN65" s="471" t="n"/>
      <c r="DO65" s="471" t="n"/>
      <c r="DP65" s="801">
        <f>IF(OR(DT64,DT57),1,0)</f>
        <v/>
      </c>
      <c r="DQ65" s="471" t="n"/>
      <c r="DR65" s="471" t="n"/>
      <c r="DS65" s="471" t="n"/>
      <c r="DT65" s="562">
        <f>IF(AND(DO65:DS65),1,0)</f>
        <v/>
      </c>
      <c r="EI65" s="840" t="n"/>
      <c r="EO65" s="561" t="n">
        <v>62</v>
      </c>
      <c r="EP65" s="566" t="n"/>
      <c r="EQ65" s="561" t="n"/>
      <c r="ER65" s="471" t="n"/>
      <c r="ES65" s="471" t="n"/>
      <c r="ET65" s="471">
        <f>EX64</f>
        <v/>
      </c>
      <c r="EU65" s="471" t="n"/>
      <c r="EV65" s="471" t="n"/>
      <c r="EW65" s="471" t="n"/>
      <c r="EX65" s="562">
        <f>IF(AND(ES65:EW65),1,0)</f>
        <v/>
      </c>
      <c r="FE65" s="561" t="n">
        <v>62</v>
      </c>
      <c r="FF65" s="566" t="n"/>
      <c r="FG65" s="561" t="n"/>
      <c r="FH65" s="471" t="n"/>
      <c r="FI65" s="471" t="n"/>
      <c r="FJ65" s="471">
        <f>FN64</f>
        <v/>
      </c>
      <c r="FK65" s="471" t="n"/>
      <c r="FL65" s="471" t="n"/>
      <c r="FM65" s="471" t="n"/>
      <c r="FN65" s="562">
        <f>IF(AND(FI65:FM65),1,0)</f>
        <v/>
      </c>
      <c r="FT65" s="561" t="n">
        <v>62</v>
      </c>
      <c r="FU65" s="566" t="n"/>
      <c r="FV65" s="822" t="n"/>
      <c r="FW65" s="471" t="n"/>
      <c r="FX65" s="471" t="n"/>
      <c r="FY65" s="471">
        <f>GC64</f>
        <v/>
      </c>
      <c r="FZ65" s="471" t="n"/>
      <c r="GA65" s="471" t="n"/>
      <c r="GB65" s="471" t="n"/>
      <c r="GC65" s="562">
        <f>IF(AND(FX65:GB65),1,0)</f>
        <v/>
      </c>
      <c r="GF65" s="561" t="n">
        <v>62</v>
      </c>
      <c r="GG65" s="566" t="n"/>
      <c r="GH65" s="822" t="n"/>
      <c r="GI65" s="471" t="n"/>
      <c r="GJ65" s="471" t="n"/>
      <c r="GK65" s="561">
        <f>GO21</f>
        <v/>
      </c>
      <c r="GL65" s="471" t="n"/>
      <c r="GM65" s="471" t="n"/>
      <c r="GN65" s="471" t="n"/>
      <c r="GO65" s="562">
        <f>IF(AND(GJ65:GN65),1,0)</f>
        <v/>
      </c>
      <c r="GU65" s="561" t="n">
        <v>62</v>
      </c>
      <c r="GV65" s="566" t="n"/>
      <c r="GW65" s="822" t="n"/>
      <c r="GX65" s="471" t="n"/>
      <c r="GY65" s="471" t="n"/>
      <c r="GZ65" s="801">
        <f>HD64</f>
        <v/>
      </c>
      <c r="HA65" s="471" t="n"/>
      <c r="HB65" s="471" t="n"/>
      <c r="HC65" s="471" t="n"/>
      <c r="HD65" s="571">
        <f>IF(AND(GY65:HC65),1,0)</f>
        <v/>
      </c>
      <c r="HK65" s="561" t="n">
        <v>62</v>
      </c>
      <c r="HL65" s="471" t="n"/>
      <c r="HM65" s="471" t="inlineStr">
        <is>
          <t>SAFC2</t>
        </is>
      </c>
      <c r="HN65" s="471" t="n"/>
      <c r="HO65" s="471" t="n"/>
      <c r="HP65" s="569">
        <f>HW10</f>
        <v/>
      </c>
      <c r="HQ65" s="471">
        <f>HT64</f>
        <v/>
      </c>
      <c r="HR65" s="471" t="n"/>
      <c r="HS65" s="471" t="n"/>
      <c r="HT65" s="562">
        <f>IF(AND(HO65:HS65),1,0)</f>
        <v/>
      </c>
      <c r="LB65" s="561" t="n">
        <v>62</v>
      </c>
      <c r="LC65" s="471" t="n"/>
      <c r="LD65" s="822" t="inlineStr">
        <is>
          <t>SUPPLY AIR FAN 1 Pa=1,25kW p.f.=0,75</t>
        </is>
      </c>
      <c r="LE65" s="471" t="n"/>
      <c r="LF65" s="822" t="n"/>
      <c r="LG65" s="574">
        <f>LN16</f>
        <v/>
      </c>
      <c r="LH65" s="822">
        <f>LK64</f>
        <v/>
      </c>
      <c r="LI65" s="801">
        <f>LK93</f>
        <v/>
      </c>
      <c r="LJ65" s="801">
        <f>LK136</f>
        <v/>
      </c>
      <c r="LK65" s="562">
        <f>IF(AND(LF65:LJ65),1,0)</f>
        <v/>
      </c>
      <c r="LQ65" s="840">
        <f>LQ64+1</f>
        <v/>
      </c>
      <c r="LR65" s="534" t="n">
        <v>61</v>
      </c>
      <c r="LS65" s="471" t="n"/>
      <c r="LT65" s="822" t="n"/>
      <c r="LU65" s="471" t="n"/>
      <c r="LV65" s="822" t="n"/>
      <c r="LW65" s="822" t="n">
        <v>1</v>
      </c>
      <c r="LX65" s="822" t="n"/>
      <c r="LY65" s="471" t="n"/>
      <c r="LZ65" s="471" t="n"/>
      <c r="MA65" s="562">
        <f>IF(AND(LV65:LZ65),1,0)</f>
        <v/>
      </c>
      <c r="MH65" s="561" t="n">
        <v>62</v>
      </c>
      <c r="MI65" s="471" t="n"/>
      <c r="MJ65" s="822" t="inlineStr">
        <is>
          <t xml:space="preserve">110 V DC </t>
        </is>
      </c>
      <c r="MK65" s="471" t="n"/>
      <c r="ML65" s="822" t="n"/>
      <c r="MM65" s="574">
        <f>MT6</f>
        <v/>
      </c>
      <c r="MN65" s="822" t="n"/>
      <c r="MO65" s="471" t="n"/>
      <c r="MP65" s="471" t="n"/>
      <c r="MQ65" s="562">
        <f>IF(AND(ML65:MP65),1,0)</f>
        <v/>
      </c>
    </row>
    <row r="66">
      <c r="A66" s="559" t="n">
        <v>63</v>
      </c>
      <c r="B66" s="471" t="n"/>
      <c r="C66" s="471" t="n"/>
      <c r="D66" s="471" t="n"/>
      <c r="E66" s="471" t="n"/>
      <c r="F66" s="801">
        <f>J65</f>
        <v/>
      </c>
      <c r="G66" s="561" t="n"/>
      <c r="H66" s="471" t="n"/>
      <c r="I66" s="471" t="n"/>
      <c r="J66" s="562">
        <f>IF(AND(E66:I66),1,0)</f>
        <v/>
      </c>
      <c r="P66" s="561" t="n">
        <v>63</v>
      </c>
      <c r="Q66" s="471" t="n"/>
      <c r="R66" s="561" t="n"/>
      <c r="S66" s="471" t="n"/>
      <c r="T66" s="471" t="n"/>
      <c r="U66" s="801">
        <f>Y40</f>
        <v/>
      </c>
      <c r="V66" s="471" t="n"/>
      <c r="W66" s="471" t="n"/>
      <c r="X66" s="471" t="n"/>
      <c r="Y66" s="562">
        <f>IF(AND(T66:X66),1,0)</f>
        <v/>
      </c>
      <c r="AF66" s="561" t="n">
        <v>63</v>
      </c>
      <c r="AG66" s="568" t="n"/>
      <c r="AH66" s="566" t="n"/>
      <c r="AI66" s="471" t="n"/>
      <c r="AJ66" s="471" t="n"/>
      <c r="AK66" s="578">
        <f>AO62</f>
        <v/>
      </c>
      <c r="AL66" s="471">
        <f>AO65</f>
        <v/>
      </c>
      <c r="AM66" s="471" t="n"/>
      <c r="AN66" s="471" t="n"/>
      <c r="AO66" s="562">
        <f>IF(AND(AJ66:AN66),1,0)</f>
        <v/>
      </c>
      <c r="BI66" s="561" t="n">
        <v>63</v>
      </c>
      <c r="BJ66" s="840" t="inlineStr">
        <is>
          <t>/06.F4</t>
        </is>
      </c>
      <c r="BK66" s="471" t="n"/>
      <c r="BL66" s="471" t="n"/>
      <c r="BM66" s="471" t="n"/>
      <c r="BN66" s="567">
        <f>'Mode Logic'!P18</f>
        <v/>
      </c>
      <c r="BO66" s="471" t="n"/>
      <c r="BP66" s="471" t="n"/>
      <c r="BQ66" s="471" t="n"/>
      <c r="BR66" s="562">
        <f>IF(AND(BM66:BQ66),1,0)</f>
        <v/>
      </c>
      <c r="BX66" s="561" t="n">
        <v>63</v>
      </c>
      <c r="BY66" s="840" t="inlineStr">
        <is>
          <t>/06.F4</t>
        </is>
      </c>
      <c r="BZ66" s="471" t="n"/>
      <c r="CA66" s="471" t="n"/>
      <c r="CB66" s="471" t="n"/>
      <c r="CC66" s="567" t="n">
        <v>1</v>
      </c>
      <c r="CD66" s="471" t="n"/>
      <c r="CE66" s="471" t="n"/>
      <c r="CF66" s="471" t="n"/>
      <c r="CG66" s="562">
        <f>IF(AND(CB66:CF66),1,0)</f>
        <v/>
      </c>
      <c r="CI66" s="561" t="n">
        <v>63</v>
      </c>
      <c r="CJ66" s="471" t="n"/>
      <c r="CK66" s="561" t="n"/>
      <c r="CL66" s="471" t="n"/>
      <c r="CM66" s="471" t="n"/>
      <c r="CN66" s="565">
        <f>IF(OR('DATA TRANSFER'!M10,'DATA TRANSFER'!M12),1,0)</f>
        <v/>
      </c>
      <c r="CO66" s="471" t="n"/>
      <c r="CP66" s="471" t="n"/>
      <c r="CQ66" s="471" t="n"/>
      <c r="CR66" s="562">
        <f>IF(AND(CM66:CQ66),1,0)</f>
        <v/>
      </c>
      <c r="DK66" s="561" t="n">
        <v>63</v>
      </c>
      <c r="DL66" s="566" t="n"/>
      <c r="DM66" s="801" t="inlineStr">
        <is>
          <t>HEATING P=1.5W</t>
        </is>
      </c>
      <c r="DN66" s="471" t="n"/>
      <c r="DO66" s="471" t="n"/>
      <c r="DP66" s="569">
        <f>DW16</f>
        <v/>
      </c>
      <c r="DQ66" s="471" t="n"/>
      <c r="DR66" s="471" t="n"/>
      <c r="DS66" s="471" t="n"/>
      <c r="DT66" s="562">
        <f>IF(AND(DO66:DS66),1,0)</f>
        <v/>
      </c>
      <c r="EI66" s="840" t="n"/>
      <c r="EO66" s="561" t="n">
        <v>63</v>
      </c>
      <c r="EP66" s="566" t="n"/>
      <c r="EQ66" s="561" t="n"/>
      <c r="ER66" s="471" t="n"/>
      <c r="ES66" s="471" t="n"/>
      <c r="ET66" s="471">
        <f>EX65</f>
        <v/>
      </c>
      <c r="EU66" s="471" t="n"/>
      <c r="EV66" s="471" t="n"/>
      <c r="EW66" s="471" t="n"/>
      <c r="EX66" s="562">
        <f>IF(AND(ES66:EW66),1,0)</f>
        <v/>
      </c>
      <c r="FE66" s="561" t="n">
        <v>63</v>
      </c>
      <c r="FF66" s="566" t="n"/>
      <c r="FG66" s="561" t="n"/>
      <c r="FH66" s="471" t="n"/>
      <c r="FI66" s="471" t="n"/>
      <c r="FJ66" s="471">
        <f>FN65</f>
        <v/>
      </c>
      <c r="FK66" s="471" t="n"/>
      <c r="FL66" s="471" t="n"/>
      <c r="FM66" s="471" t="n"/>
      <c r="FN66" s="562">
        <f>IF(AND(FI66:FM66),1,0)</f>
        <v/>
      </c>
      <c r="FT66" s="561" t="n">
        <v>63</v>
      </c>
      <c r="FU66" s="566" t="n"/>
      <c r="FV66" s="822" t="n"/>
      <c r="FW66" s="471" t="n"/>
      <c r="FX66" s="471" t="n"/>
      <c r="FY66" s="471">
        <f>GC65</f>
        <v/>
      </c>
      <c r="FZ66" s="471" t="n"/>
      <c r="GA66" s="471" t="n"/>
      <c r="GB66" s="471" t="n"/>
      <c r="GC66" s="562">
        <f>IF(AND(FX66:GB66),1,0)</f>
        <v/>
      </c>
      <c r="GF66" s="561" t="n">
        <v>63</v>
      </c>
      <c r="GG66" s="566" t="n"/>
      <c r="GH66" s="822" t="n"/>
      <c r="GI66" s="471" t="n"/>
      <c r="GJ66" s="471" t="n"/>
      <c r="GK66" s="561">
        <f>GO28</f>
        <v/>
      </c>
      <c r="GL66" s="471" t="n"/>
      <c r="GM66" s="471" t="n"/>
      <c r="GN66" s="471" t="n"/>
      <c r="GO66" s="562">
        <f>IF(AND(GJ66:GN66),1,0)</f>
        <v/>
      </c>
      <c r="GU66" s="561" t="n">
        <v>63</v>
      </c>
      <c r="GV66" s="566" t="n"/>
      <c r="GW66" s="822" t="n"/>
      <c r="GX66" s="471" t="n"/>
      <c r="GY66" s="471" t="n"/>
      <c r="GZ66" s="801">
        <f>IF(OR(HD58,HD63,HD30),1,0)</f>
        <v/>
      </c>
      <c r="HA66" s="471" t="n"/>
      <c r="HB66" s="471" t="n"/>
      <c r="HC66" s="471" t="n"/>
      <c r="HD66" s="571">
        <f>IF(AND(GY66:HC66),1,0)</f>
        <v/>
      </c>
      <c r="HK66" s="561" t="n">
        <v>63</v>
      </c>
      <c r="HL66" s="471" t="n"/>
      <c r="HM66" s="471" t="n"/>
      <c r="HN66" s="471" t="n"/>
      <c r="HO66" s="471" t="n"/>
      <c r="HP66" s="801">
        <f>HT65</f>
        <v/>
      </c>
      <c r="HQ66" s="471" t="n"/>
      <c r="HR66" s="471" t="n"/>
      <c r="HS66" s="471" t="n"/>
      <c r="HT66" s="562">
        <f>IF(AND(HO66:HS66),1,0)</f>
        <v/>
      </c>
      <c r="LB66" s="561" t="n">
        <v>63</v>
      </c>
      <c r="LC66" s="471" t="n"/>
      <c r="LD66" s="822" t="n"/>
      <c r="LE66" s="471" t="n"/>
      <c r="LF66" s="822" t="n"/>
      <c r="LG66" s="822">
        <f>LK65</f>
        <v/>
      </c>
      <c r="LH66" s="822" t="n"/>
      <c r="LI66" s="471" t="n"/>
      <c r="LJ66" s="471" t="n"/>
      <c r="LK66" s="562">
        <f>IF(AND(LF66:LJ66),1,0)</f>
        <v/>
      </c>
      <c r="LQ66" s="840">
        <f>LQ65+1</f>
        <v/>
      </c>
      <c r="LR66" s="534" t="n">
        <v>62</v>
      </c>
      <c r="LS66" s="471" t="n"/>
      <c r="LT66" s="822" t="n"/>
      <c r="LU66" s="471" t="n"/>
      <c r="LV66" s="822" t="n"/>
      <c r="LW66" s="822">
        <f>MA64</f>
        <v/>
      </c>
      <c r="LX66" s="822" t="n"/>
      <c r="LY66" s="471" t="n"/>
      <c r="LZ66" s="471" t="n"/>
      <c r="MA66" s="562">
        <f>IF(AND(LV66:LZ66),1,0)</f>
        <v/>
      </c>
      <c r="MH66" s="561" t="n">
        <v>63</v>
      </c>
      <c r="MI66" s="471" t="n"/>
      <c r="MJ66" s="822" t="n"/>
      <c r="MK66" s="471" t="n"/>
      <c r="ML66" s="822" t="n"/>
      <c r="MM66" s="822">
        <f>MQ65</f>
        <v/>
      </c>
      <c r="MN66" s="822" t="n"/>
      <c r="MO66" s="471" t="n"/>
      <c r="MP66" s="471" t="n"/>
      <c r="MQ66" s="562">
        <f>IF(AND(ML66:MP66),1,0)</f>
        <v/>
      </c>
    </row>
    <row r="67">
      <c r="A67" s="559" t="n">
        <v>64</v>
      </c>
      <c r="B67" s="471" t="n"/>
      <c r="C67" s="471" t="inlineStr">
        <is>
          <t>ELECTRICAL HEATING P=1.5 KW</t>
        </is>
      </c>
      <c r="D67" s="471" t="n"/>
      <c r="E67" s="471" t="n"/>
      <c r="F67" s="638">
        <f>M14</f>
        <v/>
      </c>
      <c r="G67" s="561" t="n"/>
      <c r="H67" s="471" t="n"/>
      <c r="I67" s="471" t="n"/>
      <c r="J67" s="562">
        <f>IF(AND(E67:I67),1,0)</f>
        <v/>
      </c>
      <c r="P67" s="561" t="n">
        <v>64</v>
      </c>
      <c r="Q67" s="471" t="n"/>
      <c r="R67" s="561" t="n"/>
      <c r="S67" s="471" t="n"/>
      <c r="T67" s="471" t="n"/>
      <c r="U67" s="801">
        <f>Y59</f>
        <v/>
      </c>
      <c r="V67" s="471">
        <f>Y66</f>
        <v/>
      </c>
      <c r="W67" s="471" t="n"/>
      <c r="X67" s="471" t="n"/>
      <c r="Y67" s="562">
        <f>IF(AND(T67:X67),1,0)</f>
        <v/>
      </c>
      <c r="AF67" s="561" t="n">
        <v>64</v>
      </c>
      <c r="AG67" s="568" t="n"/>
      <c r="AH67" s="566" t="n"/>
      <c r="AI67" s="471" t="n"/>
      <c r="AJ67" s="471" t="n"/>
      <c r="AK67" s="578">
        <f>AO41</f>
        <v/>
      </c>
      <c r="AL67" s="471" t="n"/>
      <c r="AM67" s="471" t="n"/>
      <c r="AN67" s="471" t="n"/>
      <c r="AO67" s="562">
        <f>IF(AND(AJ67:AN67),1,0)</f>
        <v/>
      </c>
      <c r="BI67" s="561" t="n">
        <v>64</v>
      </c>
      <c r="BJ67" s="471" t="n"/>
      <c r="BK67" s="265" t="n"/>
      <c r="BL67" s="471" t="n"/>
      <c r="BM67" s="471" t="n"/>
      <c r="BN67" s="561">
        <f>BR66</f>
        <v/>
      </c>
      <c r="BO67" s="471" t="n"/>
      <c r="BP67" s="471" t="n"/>
      <c r="BQ67" s="471" t="n"/>
      <c r="BR67" s="562">
        <f>IF(AND(BM67:BQ67),1,0)</f>
        <v/>
      </c>
      <c r="BX67" s="561" t="n">
        <v>64</v>
      </c>
      <c r="BY67" s="471" t="n"/>
      <c r="BZ67" s="265" t="n"/>
      <c r="CA67" s="471" t="n"/>
      <c r="CB67" s="471" t="n"/>
      <c r="CC67" s="561">
        <f>CG66</f>
        <v/>
      </c>
      <c r="CD67" s="471" t="n"/>
      <c r="CE67" s="471" t="n"/>
      <c r="CF67" s="471" t="n"/>
      <c r="CG67" s="562">
        <f>IF(AND(CB67:CF67),1,0)</f>
        <v/>
      </c>
      <c r="CI67" s="561" t="n">
        <v>64</v>
      </c>
      <c r="CJ67" s="471" t="n"/>
      <c r="CK67" s="561" t="n"/>
      <c r="CL67" s="471" t="n"/>
      <c r="CM67" s="471" t="n"/>
      <c r="CN67" s="471">
        <f>CR66</f>
        <v/>
      </c>
      <c r="CO67" s="471" t="n"/>
      <c r="CP67" s="471" t="n"/>
      <c r="CQ67" s="471" t="n"/>
      <c r="CR67" s="562">
        <f>IF(AND(CM67:CQ67),1,0)</f>
        <v/>
      </c>
      <c r="DK67" s="561" t="n">
        <v>64</v>
      </c>
      <c r="DL67" s="566" t="n"/>
      <c r="DM67" s="561" t="n"/>
      <c r="DN67" s="471" t="n"/>
      <c r="DO67" s="471" t="n"/>
      <c r="DP67" s="801">
        <f>DT43</f>
        <v/>
      </c>
      <c r="DQ67" s="471" t="n"/>
      <c r="DR67" s="471" t="n"/>
      <c r="DS67" s="471" t="n"/>
      <c r="DT67" s="562">
        <f>IF(AND(DO67:DS67),1,0)</f>
        <v/>
      </c>
      <c r="EI67" s="840" t="n"/>
      <c r="EO67" s="561" t="n">
        <v>64</v>
      </c>
      <c r="EP67" s="566" t="n"/>
      <c r="EQ67" s="561" t="n"/>
      <c r="ER67" s="471" t="n"/>
      <c r="ES67" s="471" t="n"/>
      <c r="ET67" s="471">
        <f>EX68</f>
        <v/>
      </c>
      <c r="EU67" s="471" t="n"/>
      <c r="EV67" s="471" t="n"/>
      <c r="EW67" s="471" t="n"/>
      <c r="EX67" s="562">
        <f>IF(AND(ES67:EW67),1,0)</f>
        <v/>
      </c>
      <c r="FE67" s="641" t="n">
        <v>64</v>
      </c>
      <c r="FF67" s="642" t="n"/>
      <c r="FG67" s="641" t="n"/>
      <c r="FH67" s="643" t="n"/>
      <c r="FI67" s="643" t="n"/>
      <c r="FJ67" s="643" t="n">
        <v>1</v>
      </c>
      <c r="FK67" s="643" t="n"/>
      <c r="FL67" s="643" t="n"/>
      <c r="FM67" s="643" t="n"/>
      <c r="FN67" s="562">
        <f>IF(AND(FI67:FM67),1,0)</f>
        <v/>
      </c>
      <c r="FT67" s="561" t="n">
        <v>64</v>
      </c>
      <c r="FU67" s="566" t="n"/>
      <c r="FV67" s="822" t="n"/>
      <c r="FW67" s="471" t="n"/>
      <c r="FX67" s="471" t="n"/>
      <c r="FY67" s="471">
        <f>GC66</f>
        <v/>
      </c>
      <c r="FZ67" s="471" t="n"/>
      <c r="GA67" s="471" t="n"/>
      <c r="GB67" s="471" t="n"/>
      <c r="GC67" s="562">
        <f>IF(AND(FX67:GB67),1,0)</f>
        <v/>
      </c>
      <c r="GF67" s="561" t="n">
        <v>64</v>
      </c>
      <c r="GG67" s="566" t="n"/>
      <c r="GH67" s="822" t="n"/>
      <c r="GI67" s="471" t="n"/>
      <c r="GJ67" s="471" t="n"/>
      <c r="GK67" s="561">
        <f>GO36</f>
        <v/>
      </c>
      <c r="GL67" s="471" t="n"/>
      <c r="GM67" s="471" t="n"/>
      <c r="GN67" s="471" t="n"/>
      <c r="GO67" s="562">
        <f>IF(AND(GJ67:GN67),1,0)</f>
        <v/>
      </c>
      <c r="GU67" s="561" t="n">
        <v>64</v>
      </c>
      <c r="GV67" s="566" t="n"/>
      <c r="GW67" s="822" t="inlineStr">
        <is>
          <t xml:space="preserve">24 v dc </t>
        </is>
      </c>
      <c r="GX67" s="471" t="n"/>
      <c r="GY67" s="471" t="n"/>
      <c r="GZ67" s="569">
        <f>HG8</f>
        <v/>
      </c>
      <c r="HA67" s="471" t="n"/>
      <c r="HB67" s="471" t="n"/>
      <c r="HC67" s="471" t="n"/>
      <c r="HD67" s="571">
        <f>IF(AND(GY67:HC67),1,0)</f>
        <v/>
      </c>
      <c r="HK67" s="561" t="n">
        <v>64</v>
      </c>
      <c r="HL67" s="471" t="n"/>
      <c r="HM67" s="471" t="n"/>
      <c r="HN67" s="471" t="n"/>
      <c r="HO67" s="471" t="n"/>
      <c r="HP67" s="801">
        <f>HT66</f>
        <v/>
      </c>
      <c r="HQ67" s="471" t="n"/>
      <c r="HR67" s="471" t="n"/>
      <c r="HS67" s="471" t="n"/>
      <c r="HT67" s="562">
        <f>IF(AND(HO67:HS67),1,0)</f>
        <v/>
      </c>
      <c r="LB67" s="561" t="n">
        <v>64</v>
      </c>
      <c r="LC67" s="471" t="n"/>
      <c r="LD67" s="822" t="n"/>
      <c r="LE67" s="471" t="n"/>
      <c r="LF67" s="822" t="n"/>
      <c r="LG67" s="822">
        <f>LK65</f>
        <v/>
      </c>
      <c r="LH67" s="822" t="n"/>
      <c r="LI67" s="471" t="n"/>
      <c r="LJ67" s="471" t="n"/>
      <c r="LK67" s="562">
        <f>IF(AND(LF67:LJ67),1,0)</f>
        <v/>
      </c>
      <c r="LQ67" s="840">
        <f>LQ66+1</f>
        <v/>
      </c>
      <c r="LR67" s="534" t="n">
        <v>63</v>
      </c>
      <c r="LS67" s="471" t="n"/>
      <c r="LT67" s="822" t="n"/>
      <c r="LU67" s="471" t="n"/>
      <c r="LV67" s="822" t="n"/>
      <c r="LW67" s="822">
        <f>MA75</f>
        <v/>
      </c>
      <c r="LX67" s="822" t="n"/>
      <c r="LY67" s="471" t="n"/>
      <c r="LZ67" s="471" t="n"/>
      <c r="MA67" s="562">
        <f>IF(AND(LV67:LZ67),1,0)</f>
        <v/>
      </c>
      <c r="MH67" s="561" t="n">
        <v>64</v>
      </c>
      <c r="MI67" s="471" t="n"/>
      <c r="MJ67" s="822" t="inlineStr">
        <is>
          <t>ACCP1N</t>
        </is>
      </c>
      <c r="MK67" s="471" t="n"/>
      <c r="ML67" s="822" t="n"/>
      <c r="MM67" s="574">
        <f>MT7</f>
        <v/>
      </c>
      <c r="MN67" s="822">
        <f>MQ66</f>
        <v/>
      </c>
      <c r="MO67" s="471" t="n"/>
      <c r="MP67" s="471" t="n"/>
      <c r="MQ67" s="562">
        <f>IF(AND(ML67:MP67),1,0)</f>
        <v/>
      </c>
    </row>
    <row r="68" ht="31.5" customHeight="1">
      <c r="A68" s="559" t="n">
        <v>65</v>
      </c>
      <c r="B68" s="471" t="n"/>
      <c r="C68" s="471" t="n"/>
      <c r="D68" s="471" t="n"/>
      <c r="E68" s="471" t="n"/>
      <c r="F68" s="801">
        <f>J67</f>
        <v/>
      </c>
      <c r="G68" s="561" t="n"/>
      <c r="H68" s="471" t="n"/>
      <c r="I68" s="471" t="n"/>
      <c r="J68" s="562">
        <f>IF(AND(E68:I68),1,0)</f>
        <v/>
      </c>
      <c r="P68" s="561" t="n">
        <v>65</v>
      </c>
      <c r="Q68" s="471" t="n"/>
      <c r="R68" s="561" t="n"/>
      <c r="S68" s="471" t="n"/>
      <c r="T68" s="471" t="n"/>
      <c r="U68" s="801">
        <f>Y61</f>
        <v/>
      </c>
      <c r="V68" s="471" t="n"/>
      <c r="W68" s="471" t="n"/>
      <c r="X68" s="471" t="n"/>
      <c r="Y68" s="562">
        <f>IF(AND(T68:X68),1,0)</f>
        <v/>
      </c>
      <c r="AF68" s="561" t="n">
        <v>65</v>
      </c>
      <c r="AG68" s="568" t="n"/>
      <c r="AH68" s="566" t="n"/>
      <c r="AI68" s="471" t="n"/>
      <c r="AJ68" s="471" t="n"/>
      <c r="AK68" s="578">
        <f>AO60</f>
        <v/>
      </c>
      <c r="AL68" s="471">
        <f>AO67</f>
        <v/>
      </c>
      <c r="AM68" s="471" t="n"/>
      <c r="AN68" s="471" t="n"/>
      <c r="AO68" s="562">
        <f>IF(AND(AJ68:AN68),1,0)</f>
        <v/>
      </c>
      <c r="BI68" s="561" t="n">
        <v>65</v>
      </c>
      <c r="BJ68" s="840" t="inlineStr">
        <is>
          <t>/06.F7</t>
        </is>
      </c>
      <c r="BK68" s="471" t="n"/>
      <c r="BL68" s="471" t="n"/>
      <c r="BM68" s="471" t="n"/>
      <c r="BN68" s="567">
        <f>IF(OR('Mode Logic'!V18:W18),1,0)</f>
        <v/>
      </c>
      <c r="BO68" s="471" t="n"/>
      <c r="BP68" s="471" t="n"/>
      <c r="BQ68" s="471" t="n"/>
      <c r="BR68" s="562">
        <f>IF(AND(BM68:BQ68),1,0)</f>
        <v/>
      </c>
      <c r="BX68" s="561" t="n">
        <v>65</v>
      </c>
      <c r="BY68" s="840" t="inlineStr">
        <is>
          <t>/06.F7</t>
        </is>
      </c>
      <c r="BZ68" s="471" t="n"/>
      <c r="CA68" s="471" t="n"/>
      <c r="CB68" s="471" t="n"/>
      <c r="CC68" s="567">
        <f>BU15</f>
        <v/>
      </c>
      <c r="CD68" s="471" t="n"/>
      <c r="CE68" s="471" t="n"/>
      <c r="CF68" s="471" t="n"/>
      <c r="CG68" s="562">
        <f>IF(AND(CB68:CF68),1,0)</f>
        <v/>
      </c>
      <c r="CI68" s="561" t="n">
        <v>65</v>
      </c>
      <c r="CJ68" s="471" t="n"/>
      <c r="CK68" s="561" t="n"/>
      <c r="CL68" s="471" t="n"/>
      <c r="CM68" s="471" t="n"/>
      <c r="CN68" s="471">
        <f>CR66</f>
        <v/>
      </c>
      <c r="CO68" s="471">
        <f>CR67</f>
        <v/>
      </c>
      <c r="CP68" s="471" t="n"/>
      <c r="CQ68" s="471" t="n"/>
      <c r="CR68" s="562">
        <f>IF(AND(CM68:CQ68),1,0)</f>
        <v/>
      </c>
      <c r="DK68" s="561" t="n">
        <v>65</v>
      </c>
      <c r="DL68" s="566" t="n"/>
      <c r="DM68" s="561" t="n"/>
      <c r="DN68" s="471" t="n"/>
      <c r="DO68" s="471" t="n"/>
      <c r="DP68" s="801">
        <f>DT67</f>
        <v/>
      </c>
      <c r="DQ68" s="471" t="n"/>
      <c r="DR68" s="471" t="n"/>
      <c r="DS68" s="471" t="n"/>
      <c r="DT68" s="562">
        <f>IF(AND(DO68:DS68),1,0)</f>
        <v/>
      </c>
      <c r="EI68" s="840" t="n"/>
      <c r="EO68" s="561" t="n">
        <v>65</v>
      </c>
      <c r="EP68" s="566" t="n"/>
      <c r="EQ68" s="561" t="n"/>
      <c r="ER68" s="471" t="n"/>
      <c r="ES68" s="471" t="n"/>
      <c r="ET68" s="471">
        <f>FA18</f>
        <v/>
      </c>
      <c r="EU68" s="471" t="n"/>
      <c r="EV68" s="471" t="n"/>
      <c r="EW68" s="471" t="n"/>
      <c r="EX68" s="562">
        <f>IF(AND(ES68:EW68),1,0)</f>
        <v/>
      </c>
      <c r="FE68" s="641" t="n">
        <v>65</v>
      </c>
      <c r="FF68" s="642" t="n"/>
      <c r="FG68" s="641" t="n"/>
      <c r="FH68" s="643" t="n"/>
      <c r="FI68" s="643" t="n"/>
      <c r="FJ68" s="643" t="n">
        <v>1</v>
      </c>
      <c r="FK68" s="643" t="n"/>
      <c r="FL68" s="643" t="n"/>
      <c r="FM68" s="643" t="n"/>
      <c r="FN68" s="562">
        <f>IF(AND(FI68:FM68),1,0)</f>
        <v/>
      </c>
      <c r="FT68" s="561" t="n">
        <v>65</v>
      </c>
      <c r="FU68" s="566" t="n"/>
      <c r="FV68" s="822" t="n"/>
      <c r="FW68" s="471" t="n"/>
      <c r="FX68" s="471" t="n"/>
      <c r="FY68" s="471">
        <f>GC69</f>
        <v/>
      </c>
      <c r="FZ68" s="471" t="n"/>
      <c r="GA68" s="471" t="n"/>
      <c r="GB68" s="471" t="n"/>
      <c r="GC68" s="562">
        <f>IF(AND(FX68:GB68),1,0)</f>
        <v/>
      </c>
      <c r="GF68" s="561" t="n">
        <v>65</v>
      </c>
      <c r="GG68" s="566" t="n"/>
      <c r="GH68" s="822" t="n"/>
      <c r="GI68" s="471" t="n"/>
      <c r="GJ68" s="471" t="n"/>
      <c r="GK68" s="561">
        <f>GO43</f>
        <v/>
      </c>
      <c r="GL68" s="471" t="n"/>
      <c r="GM68" s="471" t="n"/>
      <c r="GN68" s="471" t="n"/>
      <c r="GO68" s="562">
        <f>IF(AND(GJ68:GN68),1,0)</f>
        <v/>
      </c>
      <c r="GU68" s="561" t="n">
        <v>65</v>
      </c>
      <c r="GV68" s="566" t="n"/>
      <c r="GW68" s="822" t="n"/>
      <c r="GX68" s="471" t="n"/>
      <c r="GY68" s="471" t="n"/>
      <c r="GZ68" s="801">
        <f>HD67</f>
        <v/>
      </c>
      <c r="HA68" s="471" t="n"/>
      <c r="HB68" s="471" t="n"/>
      <c r="HC68" s="471" t="n"/>
      <c r="HD68" s="571">
        <f>IF(AND(GY68:HC68),1,0)</f>
        <v/>
      </c>
      <c r="HK68" s="561" t="n">
        <v>65</v>
      </c>
      <c r="HL68" s="471" t="n"/>
      <c r="HM68" s="471" t="inlineStr">
        <is>
          <t>SAFC2</t>
        </is>
      </c>
      <c r="HN68" s="471" t="n"/>
      <c r="HO68" s="471" t="n"/>
      <c r="HP68" s="569">
        <f>HW10</f>
        <v/>
      </c>
      <c r="HQ68" s="471">
        <f>HT67</f>
        <v/>
      </c>
      <c r="HR68" s="471" t="n"/>
      <c r="HS68" s="471" t="n"/>
      <c r="HT68" s="562">
        <f>IF(AND(HO68:HS68),1,0)</f>
        <v/>
      </c>
      <c r="LB68" s="561" t="n">
        <v>65</v>
      </c>
      <c r="LC68" s="471" t="n"/>
      <c r="LD68" s="822" t="n"/>
      <c r="LE68" s="471" t="n"/>
      <c r="LF68" s="822" t="n"/>
      <c r="LG68" s="822" t="n">
        <v>1</v>
      </c>
      <c r="LH68" s="822" t="n"/>
      <c r="LI68" s="471" t="n"/>
      <c r="LJ68" s="471" t="n"/>
      <c r="LK68" s="562">
        <f>IF(AND(LF68:LJ68),1,0)</f>
        <v/>
      </c>
      <c r="LQ68" s="840">
        <f>LQ67+1</f>
        <v/>
      </c>
      <c r="LR68" s="534" t="n">
        <v>64</v>
      </c>
      <c r="LS68" s="471" t="n"/>
      <c r="LT68" s="822" t="n"/>
      <c r="LU68" s="471" t="n"/>
      <c r="LV68" s="822" t="n"/>
      <c r="LW68" s="822">
        <f>MA75</f>
        <v/>
      </c>
      <c r="LX68" s="822" t="n"/>
      <c r="LY68" s="471" t="n"/>
      <c r="LZ68" s="471" t="n"/>
      <c r="MA68" s="562">
        <f>IF(AND(LV68:LZ68),1,0)</f>
        <v/>
      </c>
      <c r="MH68" s="561" t="n">
        <v>65</v>
      </c>
      <c r="MI68" s="471" t="n"/>
      <c r="MJ68" s="822" t="n"/>
      <c r="MK68" s="471" t="n"/>
      <c r="ML68" s="822" t="n"/>
      <c r="MM68" s="822">
        <f>MQ67</f>
        <v/>
      </c>
      <c r="MN68" s="822" t="n"/>
      <c r="MO68" s="471" t="n"/>
      <c r="MP68" s="471" t="n"/>
      <c r="MQ68" s="562">
        <f>IF(AND(ML68:MP68),1,0)</f>
        <v/>
      </c>
    </row>
    <row r="69" ht="31" customHeight="1">
      <c r="A69" s="559" t="n">
        <v>66</v>
      </c>
      <c r="B69" s="471" t="n"/>
      <c r="C69" s="471" t="n"/>
      <c r="D69" s="471" t="n"/>
      <c r="E69" s="471" t="n"/>
      <c r="F69" s="560">
        <f>M5</f>
        <v/>
      </c>
      <c r="G69" s="561" t="n"/>
      <c r="H69" s="471" t="n"/>
      <c r="I69" s="471" t="n"/>
      <c r="J69" s="562">
        <f>IF(AND(E69:I69),1,0)</f>
        <v/>
      </c>
      <c r="P69" s="561" t="n">
        <v>66</v>
      </c>
      <c r="Q69" s="471" t="n"/>
      <c r="R69" s="566" t="inlineStr">
        <is>
          <t>COMPRESSOR 2 (3A) Pa=7.5kW P.f=0.77</t>
        </is>
      </c>
      <c r="S69" s="471" t="n"/>
      <c r="T69" s="471" t="n"/>
      <c r="U69" s="582">
        <f>AB18</f>
        <v/>
      </c>
      <c r="V69" s="801">
        <f>Y62</f>
        <v/>
      </c>
      <c r="W69" s="801">
        <f>Y65</f>
        <v/>
      </c>
      <c r="X69" s="801">
        <f>Y68</f>
        <v/>
      </c>
      <c r="Y69" s="562">
        <f>IF(AND(T69:X69),1,0)</f>
        <v/>
      </c>
      <c r="AF69" s="561" t="n">
        <v>66</v>
      </c>
      <c r="AG69" s="568" t="n"/>
      <c r="AH69" s="566" t="n"/>
      <c r="AI69" s="471" t="n"/>
      <c r="AJ69" s="471" t="n"/>
      <c r="AK69" s="578">
        <f>AO62</f>
        <v/>
      </c>
      <c r="AL69" s="561">
        <f>AO68</f>
        <v/>
      </c>
      <c r="AM69" s="471" t="n"/>
      <c r="AN69" s="471" t="n"/>
      <c r="AO69" s="562">
        <f>IF(AND(AJ69:AN69),1,0)</f>
        <v/>
      </c>
      <c r="BI69" s="561" t="n">
        <v>66</v>
      </c>
      <c r="BJ69" s="471" t="n"/>
      <c r="BK69" s="471" t="n"/>
      <c r="BL69" s="471" t="n"/>
      <c r="BM69" s="471" t="n"/>
      <c r="BN69" s="561">
        <f>BR68</f>
        <v/>
      </c>
      <c r="BO69" s="471" t="n"/>
      <c r="BP69" s="471" t="n"/>
      <c r="BQ69" s="471" t="n"/>
      <c r="BR69" s="562">
        <f>IF(AND(BM69:BQ69),1,0)</f>
        <v/>
      </c>
      <c r="BX69" s="561" t="n">
        <v>66</v>
      </c>
      <c r="BY69" s="471" t="n"/>
      <c r="BZ69" s="471" t="n"/>
      <c r="CA69" s="471" t="n"/>
      <c r="CB69" s="471" t="n"/>
      <c r="CC69" s="561">
        <f>CG68</f>
        <v/>
      </c>
      <c r="CD69" s="471" t="n"/>
      <c r="CE69" s="471" t="n"/>
      <c r="CF69" s="471" t="n"/>
      <c r="CG69" s="562">
        <f>IF(AND(CB69:CF69),1,0)</f>
        <v/>
      </c>
      <c r="CI69" s="561" t="n">
        <v>66</v>
      </c>
      <c r="CJ69" s="471" t="n"/>
      <c r="CK69" s="561" t="n"/>
      <c r="CL69" s="471" t="n"/>
      <c r="CM69" s="471" t="n"/>
      <c r="CN69" s="565">
        <f>IF(OR('DATA TRANSFER'!M10,'DATA TRANSFER'!M12),1,0)</f>
        <v/>
      </c>
      <c r="CO69" s="471" t="n"/>
      <c r="CP69" s="471" t="n"/>
      <c r="CQ69" s="471" t="n"/>
      <c r="CR69" s="562">
        <f>IF(AND(CM69:CQ69),1,0)</f>
        <v/>
      </c>
      <c r="DK69" s="561" t="n">
        <v>66</v>
      </c>
      <c r="DL69" s="566" t="n"/>
      <c r="DM69" s="561" t="n"/>
      <c r="DN69" s="471" t="n"/>
      <c r="DO69" s="471" t="n"/>
      <c r="DP69" s="801">
        <f>DT68</f>
        <v/>
      </c>
      <c r="DQ69" s="471" t="n"/>
      <c r="DR69" s="471" t="n"/>
      <c r="DS69" s="471" t="n"/>
      <c r="DT69" s="562">
        <f>IF(AND(DO69:DS69),1,0)</f>
        <v/>
      </c>
      <c r="EI69" s="840" t="n"/>
      <c r="EO69" s="561" t="n">
        <v>66</v>
      </c>
      <c r="EP69" s="566" t="n"/>
      <c r="EQ69" s="561" t="n"/>
      <c r="ER69" s="471" t="n"/>
      <c r="ES69" s="471" t="n"/>
      <c r="ET69" s="471">
        <f>IF(OR(EX26,EX21,EX8),1,0)</f>
        <v/>
      </c>
      <c r="EU69" s="471" t="n"/>
      <c r="EV69" s="471" t="n"/>
      <c r="EW69" s="471" t="n"/>
      <c r="EX69" s="562">
        <f>IF(AND(ES69:EW69),1,0)</f>
        <v/>
      </c>
      <c r="FE69" s="561" t="n">
        <v>66</v>
      </c>
      <c r="FF69" s="566" t="n"/>
      <c r="FG69" s="561" t="n"/>
      <c r="FH69" s="471" t="n"/>
      <c r="FI69" s="471" t="n"/>
      <c r="FJ69" s="471">
        <f>IF(OR(FN26,FN21,FN8),1,0)</f>
        <v/>
      </c>
      <c r="FK69" s="471" t="n"/>
      <c r="FL69" s="471" t="n"/>
      <c r="FM69" s="471" t="n"/>
      <c r="FN69" s="562">
        <f>IF(AND(FI69:FM69),1,0)</f>
        <v/>
      </c>
      <c r="FT69" s="561" t="n">
        <v>66</v>
      </c>
      <c r="FU69" s="566" t="n"/>
      <c r="FV69" s="822" t="n"/>
      <c r="FW69" s="471" t="n"/>
      <c r="FX69" s="471" t="n"/>
      <c r="FY69" s="471">
        <f>FA18</f>
        <v/>
      </c>
      <c r="FZ69" s="471" t="n"/>
      <c r="GA69" s="471" t="n"/>
      <c r="GB69" s="471" t="n"/>
      <c r="GC69" s="562">
        <f>IF(AND(FX69:GB69),1,0)</f>
        <v/>
      </c>
      <c r="GF69" s="561" t="n">
        <v>66</v>
      </c>
      <c r="GG69" s="566" t="n"/>
      <c r="GH69" s="822" t="n"/>
      <c r="GI69" s="471" t="n"/>
      <c r="GJ69" s="471" t="n"/>
      <c r="GK69" s="561">
        <f>GO50</f>
        <v/>
      </c>
      <c r="GL69" s="471" t="n"/>
      <c r="GM69" s="471" t="n"/>
      <c r="GN69" s="471" t="n"/>
      <c r="GO69" s="562">
        <f>IF(AND(GJ69:GN69),1,0)</f>
        <v/>
      </c>
      <c r="GU69" s="561" t="n">
        <v>66</v>
      </c>
      <c r="GV69" s="566" t="n"/>
      <c r="GW69" s="822" t="n"/>
      <c r="GX69" s="471" t="n"/>
      <c r="GY69" s="471" t="n"/>
      <c r="GZ69" s="801">
        <f>HD67</f>
        <v/>
      </c>
      <c r="HA69" s="471" t="n"/>
      <c r="HB69" s="471" t="n"/>
      <c r="HC69" s="471" t="n"/>
      <c r="HD69" s="571">
        <f>IF(AND(GY69:HC69),1,0)</f>
        <v/>
      </c>
      <c r="HK69" s="561" t="n">
        <v>66</v>
      </c>
      <c r="HL69" s="471" t="n"/>
      <c r="HM69" s="471" t="n"/>
      <c r="HN69" s="471" t="n"/>
      <c r="HO69" s="471" t="n"/>
      <c r="HP69" s="801">
        <f>HT68</f>
        <v/>
      </c>
      <c r="HQ69" s="471" t="n"/>
      <c r="HR69" s="471" t="n"/>
      <c r="HS69" s="471" t="n"/>
      <c r="HT69" s="562">
        <f>IF(AND(HO69:HS69),1,0)</f>
        <v/>
      </c>
      <c r="LB69" s="561" t="n">
        <v>66</v>
      </c>
      <c r="LC69" s="471" t="n"/>
      <c r="LD69" s="822" t="n"/>
      <c r="LE69" s="471" t="n"/>
      <c r="LF69" s="822" t="n"/>
      <c r="LG69" s="822">
        <f>LK35</f>
        <v/>
      </c>
      <c r="LH69" s="822" t="n"/>
      <c r="LI69" s="471" t="n"/>
      <c r="LJ69" s="471" t="n"/>
      <c r="LK69" s="562">
        <f>IF(AND(LF69:LJ69),1,0)</f>
        <v/>
      </c>
      <c r="LQ69" s="840">
        <f>LQ68+1</f>
        <v/>
      </c>
      <c r="LR69" s="534" t="n">
        <v>65</v>
      </c>
      <c r="LS69" s="471" t="n"/>
      <c r="LT69" s="822" t="n"/>
      <c r="LU69" s="471" t="n"/>
      <c r="LV69" s="822" t="n"/>
      <c r="LW69" s="822">
        <f>MA75</f>
        <v/>
      </c>
      <c r="LX69" s="822" t="n"/>
      <c r="LY69" s="471" t="n"/>
      <c r="LZ69" s="471" t="n"/>
      <c r="MA69" s="562">
        <f>IF(AND(LV69:LZ69),1,0)</f>
        <v/>
      </c>
      <c r="MH69" s="561" t="n">
        <v>66</v>
      </c>
      <c r="MI69" s="471" t="n"/>
      <c r="MJ69" s="822" t="n"/>
      <c r="MK69" s="471" t="n"/>
      <c r="ML69" s="822" t="n"/>
      <c r="MM69" s="822">
        <f>MQ68</f>
        <v/>
      </c>
      <c r="MN69" s="822" t="n"/>
      <c r="MO69" s="471" t="n"/>
      <c r="MP69" s="471" t="n"/>
      <c r="MQ69" s="562">
        <f>IF(AND(ML69:MP69),1,0)</f>
        <v/>
      </c>
    </row>
    <row r="70" ht="31" customHeight="1">
      <c r="A70" s="559" t="n">
        <v>67</v>
      </c>
      <c r="B70" s="471" t="n"/>
      <c r="C70" s="471" t="n"/>
      <c r="D70" s="471" t="n"/>
      <c r="E70" s="471" t="n"/>
      <c r="F70" s="801">
        <f>J69</f>
        <v/>
      </c>
      <c r="G70" s="561" t="n"/>
      <c r="H70" s="471" t="n"/>
      <c r="I70" s="471" t="n"/>
      <c r="J70" s="562">
        <f>IF(AND(E70:I70),1,0)</f>
        <v/>
      </c>
      <c r="P70" s="561" t="n">
        <v>67</v>
      </c>
      <c r="Q70" s="471" t="n"/>
      <c r="R70" s="801" t="inlineStr">
        <is>
          <t>GROUND</t>
        </is>
      </c>
      <c r="S70" s="471" t="n"/>
      <c r="T70" s="471" t="n"/>
      <c r="U70" s="801" t="n">
        <v>1</v>
      </c>
      <c r="V70" s="471" t="n"/>
      <c r="W70" s="471" t="n"/>
      <c r="X70" s="471" t="n"/>
      <c r="Y70" s="562">
        <f>IF(AND(T70:X70),1,0)</f>
        <v/>
      </c>
      <c r="AF70" s="561" t="n">
        <v>67</v>
      </c>
      <c r="AG70" s="568" t="n"/>
      <c r="AH70" s="566" t="inlineStr">
        <is>
          <t>COMPRESSOR 2 (3A) Pa=7.5kW P.f=0.75</t>
        </is>
      </c>
      <c r="AI70" s="471" t="n"/>
      <c r="AJ70" s="471" t="n"/>
      <c r="AK70" s="573">
        <f>AB19</f>
        <v/>
      </c>
      <c r="AL70" s="561">
        <f>AO63</f>
        <v/>
      </c>
      <c r="AM70" s="561">
        <f>AO66</f>
        <v/>
      </c>
      <c r="AN70" s="561">
        <f>AO69</f>
        <v/>
      </c>
      <c r="AO70" s="562">
        <f>IF(AND(AJ70:AN70),1,0)</f>
        <v/>
      </c>
      <c r="BI70" s="561" t="n">
        <v>67</v>
      </c>
      <c r="BK70" s="471" t="n"/>
      <c r="BL70" s="471" t="n"/>
      <c r="BM70" s="471" t="n"/>
      <c r="BN70" s="567" t="n">
        <v>1</v>
      </c>
      <c r="BO70" s="471" t="n"/>
      <c r="BP70" s="471" t="n"/>
      <c r="BQ70" s="471" t="n"/>
      <c r="BR70" s="562">
        <f>IF(AND(BM70:BQ70),1,0)</f>
        <v/>
      </c>
      <c r="BX70" s="561" t="n">
        <v>67</v>
      </c>
      <c r="BZ70" s="471" t="n"/>
      <c r="CA70" s="471" t="n"/>
      <c r="CB70" s="471" t="n"/>
      <c r="CC70" s="567" t="n">
        <v>1</v>
      </c>
      <c r="CD70" s="471" t="n"/>
      <c r="CE70" s="471" t="n"/>
      <c r="CF70" s="471" t="n"/>
      <c r="CG70" s="562">
        <f>IF(AND(CB70:CF70),1,0)</f>
        <v/>
      </c>
      <c r="CI70" s="561" t="n">
        <v>67</v>
      </c>
      <c r="CJ70" s="471" t="n"/>
      <c r="CK70" s="561" t="n"/>
      <c r="CL70" s="471" t="n"/>
      <c r="CM70" s="471" t="n"/>
      <c r="CN70" s="471">
        <f>CR69</f>
        <v/>
      </c>
      <c r="CO70" s="471" t="n"/>
      <c r="CP70" s="471" t="n"/>
      <c r="CQ70" s="471" t="n"/>
      <c r="CR70" s="562">
        <f>IF(AND(CM70:CQ70),1,0)</f>
        <v/>
      </c>
      <c r="DK70" s="561" t="n">
        <v>67</v>
      </c>
      <c r="DL70" s="566" t="n"/>
      <c r="DM70" s="561" t="n"/>
      <c r="DN70" s="471" t="n"/>
      <c r="DO70" s="471" t="n"/>
      <c r="DP70" s="801">
        <f>DT69</f>
        <v/>
      </c>
      <c r="DQ70" s="471" t="n"/>
      <c r="DR70" s="471" t="n"/>
      <c r="DS70" s="471" t="n"/>
      <c r="DT70" s="562">
        <f>IF(AND(DO70:DS70),1,0)</f>
        <v/>
      </c>
      <c r="FT70" s="561" t="n">
        <v>67</v>
      </c>
      <c r="FU70" s="566" t="n"/>
      <c r="FV70" s="822" t="n"/>
      <c r="FW70" s="471" t="n"/>
      <c r="FX70" s="471" t="n"/>
      <c r="FY70" s="471">
        <f>IF(OR(GC22,GC8,GC27),1,0)</f>
        <v/>
      </c>
      <c r="FZ70" s="471" t="n"/>
      <c r="GA70" s="471" t="n"/>
      <c r="GB70" s="471" t="n"/>
      <c r="GC70" s="562">
        <f>IF(AND(FX70:GB70),1,0)</f>
        <v/>
      </c>
      <c r="GF70" s="561" t="n">
        <v>67</v>
      </c>
      <c r="GG70" s="566" t="n"/>
      <c r="GH70" s="822" t="n"/>
      <c r="GI70" s="471" t="n"/>
      <c r="GJ70" s="471" t="n"/>
      <c r="GK70" s="561">
        <f>GO57</f>
        <v/>
      </c>
      <c r="GL70" s="471" t="n"/>
      <c r="GM70" s="471" t="n"/>
      <c r="GN70" s="471" t="n"/>
      <c r="GO70" s="562">
        <f>IF(AND(GJ70:GN70),1,0)</f>
        <v/>
      </c>
      <c r="GU70" s="561" t="n">
        <v>67</v>
      </c>
      <c r="GV70" s="566" t="n"/>
      <c r="GW70" s="822" t="n"/>
      <c r="GX70" s="471" t="n"/>
      <c r="GY70" s="471" t="n"/>
      <c r="GZ70" s="801">
        <f>HD69</f>
        <v/>
      </c>
      <c r="HA70" s="471" t="n"/>
      <c r="HB70" s="471" t="n"/>
      <c r="HC70" s="471" t="n"/>
      <c r="HD70" s="571">
        <f>IF(AND(GY70:HC70),1,0)</f>
        <v/>
      </c>
      <c r="HK70" s="561" t="n">
        <v>67</v>
      </c>
      <c r="HL70" s="471" t="n"/>
      <c r="HM70" s="471" t="n"/>
      <c r="HN70" s="471" t="n"/>
      <c r="HO70" s="471" t="n"/>
      <c r="HP70" s="801">
        <f>HT69</f>
        <v/>
      </c>
      <c r="HQ70" s="471" t="n"/>
      <c r="HR70" s="471" t="n"/>
      <c r="HS70" s="471" t="n"/>
      <c r="HT70" s="562">
        <f>IF(AND(HO70:HS70),1,0)</f>
        <v/>
      </c>
      <c r="LB70" s="561" t="n">
        <v>67</v>
      </c>
      <c r="LC70" s="471" t="n"/>
      <c r="LD70" s="822" t="n"/>
      <c r="LE70" s="471" t="n"/>
      <c r="LF70" s="822" t="n"/>
      <c r="LG70" s="822">
        <f>LK141</f>
        <v/>
      </c>
      <c r="LH70" s="822" t="n"/>
      <c r="LI70" s="471" t="n"/>
      <c r="LJ70" s="471" t="n"/>
      <c r="LK70" s="562">
        <f>IF(AND(LF70:LJ70),1,0)</f>
        <v/>
      </c>
      <c r="LQ70" s="840">
        <f>LQ69+1</f>
        <v/>
      </c>
      <c r="LR70" s="534" t="n">
        <v>66</v>
      </c>
      <c r="LS70" s="471" t="n"/>
      <c r="LT70" s="822" t="n"/>
      <c r="LU70" s="471" t="n"/>
      <c r="LV70" s="822" t="n"/>
      <c r="LW70" s="822">
        <f>MA75</f>
        <v/>
      </c>
      <c r="LX70" s="822" t="n"/>
      <c r="LY70" s="471" t="n"/>
      <c r="LZ70" s="471" t="n"/>
      <c r="MA70" s="562">
        <f>IF(AND(LV70:LZ70),1,0)</f>
        <v/>
      </c>
      <c r="MH70" s="561" t="n">
        <v>67</v>
      </c>
      <c r="MI70" s="471" t="n"/>
      <c r="MJ70" s="822" t="n"/>
      <c r="MK70" s="471" t="n"/>
      <c r="ML70" s="822" t="n"/>
      <c r="MM70" s="581">
        <f>MQ71</f>
        <v/>
      </c>
      <c r="MN70" s="822" t="n"/>
      <c r="MO70" s="471" t="n"/>
      <c r="MP70" s="471" t="n"/>
      <c r="MQ70" s="562">
        <f>IF(AND(ML70:MP70),1,0)</f>
        <v/>
      </c>
    </row>
    <row r="71">
      <c r="A71" s="559" t="n">
        <v>68</v>
      </c>
      <c r="B71" s="471" t="n"/>
      <c r="C71" s="471" t="n"/>
      <c r="D71" s="471" t="n"/>
      <c r="E71" s="471" t="n"/>
      <c r="F71" s="801">
        <f>J70</f>
        <v/>
      </c>
      <c r="G71" s="561">
        <f>J80</f>
        <v/>
      </c>
      <c r="H71" s="471" t="n"/>
      <c r="I71" s="471" t="n"/>
      <c r="J71" s="562">
        <f>IF(AND(E71:I71),1,0)</f>
        <v/>
      </c>
      <c r="P71" s="561" t="n">
        <v>68</v>
      </c>
      <c r="Q71" s="471" t="n"/>
      <c r="R71" s="561" t="n"/>
      <c r="S71" s="471" t="n"/>
      <c r="T71" s="471" t="n"/>
      <c r="U71" s="801">
        <f>Y34</f>
        <v/>
      </c>
      <c r="V71" s="471" t="n"/>
      <c r="W71" s="471" t="n"/>
      <c r="X71" s="471" t="n"/>
      <c r="Y71" s="562">
        <f>IF(AND(T71:X71),1,0)</f>
        <v/>
      </c>
      <c r="AF71" s="561" t="n">
        <v>68</v>
      </c>
      <c r="AG71" s="568" t="n"/>
      <c r="AH71" s="566" t="inlineStr">
        <is>
          <t>GROUND</t>
        </is>
      </c>
      <c r="AI71" s="471" t="n"/>
      <c r="AJ71" s="471" t="n"/>
      <c r="AK71" s="578" t="n">
        <v>1</v>
      </c>
      <c r="AL71" s="471" t="n"/>
      <c r="AM71" s="471" t="n"/>
      <c r="AN71" s="471" t="n"/>
      <c r="AO71" s="562">
        <f>IF(AND(AJ71:AN71),1,0)</f>
        <v/>
      </c>
      <c r="BI71" s="561" t="n">
        <v>68</v>
      </c>
      <c r="BJ71" s="471" t="n"/>
      <c r="BK71" s="265" t="n"/>
      <c r="BL71" s="471" t="n"/>
      <c r="BM71" s="471" t="n"/>
      <c r="BN71" s="567" t="n">
        <v>1</v>
      </c>
      <c r="BO71" s="471" t="n"/>
      <c r="BP71" s="471" t="n"/>
      <c r="BQ71" s="471" t="n"/>
      <c r="BR71" s="562">
        <f>IF(AND(BM71:BQ71),1,0)</f>
        <v/>
      </c>
      <c r="BX71" s="561" t="n">
        <v>68</v>
      </c>
      <c r="BY71" s="471" t="n"/>
      <c r="BZ71" s="265" t="n"/>
      <c r="CA71" s="471" t="n"/>
      <c r="CB71" s="471" t="n"/>
      <c r="CC71" s="567" t="n">
        <v>1</v>
      </c>
      <c r="CD71" s="471" t="n"/>
      <c r="CE71" s="471" t="n"/>
      <c r="CF71" s="471" t="n"/>
      <c r="CG71" s="562">
        <f>IF(AND(CB71:CF71),1,0)</f>
        <v/>
      </c>
      <c r="CI71" s="561" t="n">
        <v>68</v>
      </c>
      <c r="CJ71" s="471" t="n"/>
      <c r="CK71" s="561" t="n"/>
      <c r="CL71" s="471" t="n"/>
      <c r="CM71" s="471" t="n"/>
      <c r="CN71" s="471">
        <f>CR69</f>
        <v/>
      </c>
      <c r="CO71" s="471">
        <f>CR70</f>
        <v/>
      </c>
      <c r="CP71" s="471" t="n"/>
      <c r="CQ71" s="471" t="n"/>
      <c r="CR71" s="562">
        <f>IF(AND(CM71:CQ71),1,0)</f>
        <v/>
      </c>
      <c r="DK71" s="561" t="n">
        <v>68</v>
      </c>
      <c r="DL71" s="566" t="n"/>
      <c r="DM71" s="561" t="inlineStr">
        <is>
          <t>THR2</t>
        </is>
      </c>
      <c r="DN71" s="471" t="n"/>
      <c r="DO71" s="471" t="n"/>
      <c r="DP71" s="569">
        <f>DW14</f>
        <v/>
      </c>
      <c r="DQ71" s="471">
        <f>DT70</f>
        <v/>
      </c>
      <c r="DR71" s="471" t="n"/>
      <c r="DS71" s="471" t="n"/>
      <c r="DT71" s="562">
        <f>IF(AND(DO71:DS71),1,0)</f>
        <v/>
      </c>
      <c r="GF71" s="561" t="n">
        <v>68</v>
      </c>
      <c r="GG71" s="561" t="n"/>
      <c r="GH71" s="561" t="n"/>
      <c r="GI71" s="561" t="n"/>
      <c r="GJ71" s="561" t="n"/>
      <c r="GK71" s="561">
        <f>GO6</f>
        <v/>
      </c>
      <c r="GL71" s="561" t="n"/>
      <c r="GM71" s="561" t="n"/>
      <c r="GN71" s="561" t="n"/>
      <c r="GO71" s="562">
        <f>IF(AND(GJ71:GN71),1,0)</f>
        <v/>
      </c>
      <c r="GU71" s="561" t="n">
        <v>68</v>
      </c>
      <c r="GV71" s="566" t="n"/>
      <c r="GW71" s="822" t="inlineStr">
        <is>
          <t xml:space="preserve">24 v dc </t>
        </is>
      </c>
      <c r="GX71" s="471" t="n"/>
      <c r="GY71" s="471" t="n"/>
      <c r="GZ71" s="569">
        <f>HG8</f>
        <v/>
      </c>
      <c r="HA71" s="471" t="n"/>
      <c r="HB71" s="471" t="n"/>
      <c r="HC71" s="471" t="n"/>
      <c r="HD71" s="571">
        <f>IF(AND(GY71:HC71),1,0)</f>
        <v/>
      </c>
      <c r="LB71" s="561" t="n">
        <v>68</v>
      </c>
      <c r="LC71" s="471" t="n"/>
      <c r="LD71" s="822" t="n"/>
      <c r="LE71" s="471" t="n"/>
      <c r="LF71" s="822" t="n"/>
      <c r="LG71" s="822">
        <f>LK143</f>
        <v/>
      </c>
      <c r="LH71" s="822" t="n"/>
      <c r="LI71" s="471" t="n"/>
      <c r="LJ71" s="471" t="n"/>
      <c r="LK71" s="562">
        <f>IF(AND(LF71:LJ71),1,0)</f>
        <v/>
      </c>
      <c r="LQ71" s="840">
        <f>LQ70+1</f>
        <v/>
      </c>
      <c r="LR71" s="534" t="n">
        <v>67</v>
      </c>
      <c r="LS71" s="471" t="n"/>
      <c r="LT71" s="822" t="n"/>
      <c r="LU71" s="471" t="n"/>
      <c r="LV71" s="822" t="n"/>
      <c r="LW71" s="822">
        <f>MA44</f>
        <v/>
      </c>
      <c r="LX71" s="822" t="n"/>
      <c r="LY71" s="471" t="n"/>
      <c r="LZ71" s="471" t="n"/>
      <c r="MA71" s="562">
        <f>IF(AND(LV71:LZ71),1,0)</f>
        <v/>
      </c>
      <c r="MH71" s="561" t="n">
        <v>68</v>
      </c>
      <c r="MI71" s="471" t="n"/>
      <c r="MJ71" s="822" t="inlineStr">
        <is>
          <t>ACCP1N</t>
        </is>
      </c>
      <c r="MK71" s="471" t="n"/>
      <c r="ML71" s="822" t="n"/>
      <c r="MM71" s="574">
        <f>MT7</f>
        <v/>
      </c>
      <c r="MN71" s="822" t="n"/>
      <c r="MO71" s="471" t="n"/>
      <c r="MP71" s="471" t="n"/>
      <c r="MQ71" s="562">
        <f>IF(AND(ML71:MP71),1,0)</f>
        <v/>
      </c>
    </row>
    <row r="72">
      <c r="A72" s="559" t="n">
        <v>69</v>
      </c>
      <c r="B72" s="471" t="n"/>
      <c r="C72" s="801" t="inlineStr">
        <is>
          <t>HTC</t>
        </is>
      </c>
      <c r="D72" s="471" t="n"/>
      <c r="E72" s="471" t="n"/>
      <c r="F72" s="582">
        <f>M13</f>
        <v/>
      </c>
      <c r="G72" s="561">
        <f>J71</f>
        <v/>
      </c>
      <c r="H72" s="471" t="n"/>
      <c r="I72" s="471" t="n"/>
      <c r="J72" s="562">
        <f>IF(AND(E72:I72),1,0)</f>
        <v/>
      </c>
      <c r="P72" s="561" t="n">
        <v>69</v>
      </c>
      <c r="Q72" s="471" t="n"/>
      <c r="R72" s="801" t="inlineStr">
        <is>
          <t>CMPB3 _13A</t>
        </is>
      </c>
      <c r="S72" s="471" t="n"/>
      <c r="T72" s="471" t="n"/>
      <c r="U72" s="582">
        <f>AB19</f>
        <v/>
      </c>
      <c r="V72" s="471">
        <f>Y71</f>
        <v/>
      </c>
      <c r="W72" s="471">
        <f>Y76</f>
        <v/>
      </c>
      <c r="X72" s="471">
        <f>Y79</f>
        <v/>
      </c>
      <c r="Y72" s="562">
        <f>IF(AND(T72:X72),1,0)</f>
        <v/>
      </c>
      <c r="AF72" s="561" t="n">
        <v>69</v>
      </c>
      <c r="AG72" s="568" t="n"/>
      <c r="AH72" s="566" t="n"/>
      <c r="AI72" s="471" t="n"/>
      <c r="AJ72" s="471" t="n"/>
      <c r="AK72" s="578">
        <f>AO35</f>
        <v/>
      </c>
      <c r="AL72" s="471" t="n"/>
      <c r="AM72" s="471" t="n"/>
      <c r="AN72" s="471" t="n"/>
      <c r="AO72" s="562">
        <f>IF(AND(AJ72:AN72),1,0)</f>
        <v/>
      </c>
      <c r="BI72" s="561" t="n">
        <v>69</v>
      </c>
      <c r="BJ72" s="471" t="n"/>
      <c r="BK72" s="471" t="n"/>
      <c r="BL72" s="471" t="n"/>
      <c r="BM72" s="471" t="n"/>
      <c r="BN72" s="578">
        <f>BR71</f>
        <v/>
      </c>
      <c r="BO72" s="471" t="n"/>
      <c r="BP72" s="471" t="n"/>
      <c r="BQ72" s="471" t="n"/>
      <c r="BR72" s="562">
        <f>IF(AND(BM72:BQ72),1,0)</f>
        <v/>
      </c>
      <c r="BX72" s="561" t="n">
        <v>69</v>
      </c>
      <c r="BY72" s="471" t="n"/>
      <c r="BZ72" s="471" t="n"/>
      <c r="CA72" s="471" t="n"/>
      <c r="CB72" s="471" t="n"/>
      <c r="CC72" s="578">
        <f>CG71</f>
        <v/>
      </c>
      <c r="CD72" s="471" t="n"/>
      <c r="CE72" s="471" t="n"/>
      <c r="CF72" s="471" t="n"/>
      <c r="CG72" s="562">
        <f>IF(AND(CB72:CF72),1,0)</f>
        <v/>
      </c>
      <c r="CI72" s="561" t="n">
        <v>69</v>
      </c>
      <c r="CJ72" s="471" t="n"/>
      <c r="CK72" s="561" t="n"/>
      <c r="CL72" s="471" t="n"/>
      <c r="CM72" s="471" t="n"/>
      <c r="CN72" s="471" t="n"/>
      <c r="CO72" s="471" t="n"/>
      <c r="CP72" s="471" t="n"/>
      <c r="CQ72" s="471" t="n"/>
      <c r="CR72" s="562" t="n"/>
      <c r="DK72" s="561" t="n">
        <v>69</v>
      </c>
      <c r="DL72" s="566" t="n"/>
      <c r="DM72" s="561" t="n"/>
      <c r="DN72" s="471" t="n"/>
      <c r="DO72" s="471" t="n"/>
      <c r="DP72" s="801">
        <f>DT71</f>
        <v/>
      </c>
      <c r="DQ72" s="471" t="n"/>
      <c r="DR72" s="471" t="n"/>
      <c r="DS72" s="471" t="n"/>
      <c r="DT72" s="562">
        <f>IF(AND(DO72:DS72),1,0)</f>
        <v/>
      </c>
      <c r="GF72" s="561" t="n">
        <v>69</v>
      </c>
      <c r="GG72" s="561" t="n"/>
      <c r="GH72" s="561" t="n"/>
      <c r="GI72" s="561" t="n"/>
      <c r="GJ72" s="561" t="n"/>
      <c r="GK72" s="561">
        <f>GO10</f>
        <v/>
      </c>
      <c r="GL72" s="561" t="n"/>
      <c r="GM72" s="561" t="n"/>
      <c r="GN72" s="561" t="n"/>
      <c r="GO72" s="562">
        <f>IF(AND(GJ72:GN72),1,0)</f>
        <v/>
      </c>
      <c r="GU72" s="561" t="n">
        <v>69</v>
      </c>
      <c r="GV72" s="566" t="n"/>
      <c r="GW72" s="822" t="inlineStr">
        <is>
          <t>TMR2</t>
        </is>
      </c>
      <c r="GX72" s="471" t="n"/>
      <c r="GY72" s="471" t="n"/>
      <c r="GZ72" s="569">
        <f>HG15</f>
        <v/>
      </c>
      <c r="HA72" s="471">
        <f>HD71</f>
        <v/>
      </c>
      <c r="HB72" s="471" t="n"/>
      <c r="HC72" s="471" t="n"/>
      <c r="HD72" s="571">
        <f>IF(AND(GY72:HC72),1,0)</f>
        <v/>
      </c>
      <c r="LB72" s="561" t="n">
        <v>69</v>
      </c>
      <c r="LC72" s="471" t="n"/>
      <c r="LD72" s="822" t="n"/>
      <c r="LE72" s="471" t="n"/>
      <c r="LF72" s="822" t="n"/>
      <c r="LG72" s="574">
        <f>LN32</f>
        <v/>
      </c>
      <c r="LH72" s="822">
        <f>LK71</f>
        <v/>
      </c>
      <c r="LI72" s="471" t="n"/>
      <c r="LJ72" s="471" t="n"/>
      <c r="LK72" s="562">
        <f>IF(AND(LF72:LJ72),1,0)</f>
        <v/>
      </c>
      <c r="LQ72" s="840">
        <f>LQ71+1</f>
        <v/>
      </c>
      <c r="LR72" s="534" t="n">
        <v>68</v>
      </c>
      <c r="LS72" s="471" t="n"/>
      <c r="LT72" s="822" t="n"/>
      <c r="LU72" s="471" t="n"/>
      <c r="LV72" s="822" t="n"/>
      <c r="LW72" s="822">
        <f>MA71</f>
        <v/>
      </c>
      <c r="LX72" s="822" t="n"/>
      <c r="LY72" s="471" t="n"/>
      <c r="LZ72" s="471" t="n"/>
      <c r="MA72" s="562">
        <f>IF(AND(LV72:LZ72),1,0)</f>
        <v/>
      </c>
      <c r="MH72" s="561" t="n">
        <v>69</v>
      </c>
      <c r="MI72" s="471" t="n"/>
      <c r="MJ72" s="822" t="n"/>
      <c r="MK72" s="471" t="n"/>
      <c r="ML72" s="822" t="n"/>
      <c r="MM72" s="822" t="n">
        <v>1</v>
      </c>
      <c r="MN72" s="822" t="n"/>
      <c r="MO72" s="471" t="n"/>
      <c r="MP72" s="471" t="n"/>
      <c r="MQ72" s="562">
        <f>IF(AND(ML72:MP72),1,0)</f>
        <v/>
      </c>
    </row>
    <row r="73">
      <c r="A73" s="559" t="n">
        <v>70</v>
      </c>
      <c r="B73" s="471" t="n"/>
      <c r="C73" s="471" t="n"/>
      <c r="D73" s="471" t="n"/>
      <c r="E73" s="471" t="n"/>
      <c r="F73" s="801">
        <f>J72</f>
        <v/>
      </c>
      <c r="G73" s="561" t="n"/>
      <c r="H73" s="471" t="n"/>
      <c r="I73" s="471" t="n"/>
      <c r="J73" s="562">
        <f>IF(AND(E73:I73),1,0)</f>
        <v/>
      </c>
      <c r="P73" s="561" t="n">
        <v>70</v>
      </c>
      <c r="Q73" s="471" t="n"/>
      <c r="R73" s="561" t="n"/>
      <c r="S73" s="471" t="n"/>
      <c r="T73" s="471" t="n"/>
      <c r="U73" s="801">
        <f>Y72</f>
        <v/>
      </c>
      <c r="V73" s="471">
        <f>Y72</f>
        <v/>
      </c>
      <c r="W73" s="471" t="n"/>
      <c r="X73" s="471" t="n"/>
      <c r="Y73" s="562">
        <f>IF(AND(T73:X73),1,0)</f>
        <v/>
      </c>
      <c r="AF73" s="561" t="n">
        <v>70</v>
      </c>
      <c r="AG73" s="568" t="n"/>
      <c r="AH73" s="801" t="inlineStr">
        <is>
          <t>CMPB3 _13A</t>
        </is>
      </c>
      <c r="AI73" s="471" t="n"/>
      <c r="AJ73" s="471" t="n"/>
      <c r="AK73" s="573">
        <f>AB20</f>
        <v/>
      </c>
      <c r="AL73" s="471">
        <f>AO72</f>
        <v/>
      </c>
      <c r="AM73" s="471" t="n"/>
      <c r="AN73" s="471" t="n"/>
      <c r="AO73" s="562">
        <f>IF(AND(AJ73:AN73),1,0)</f>
        <v/>
      </c>
      <c r="BI73" s="561" t="n">
        <v>70</v>
      </c>
      <c r="BJ73" s="265" t="n"/>
      <c r="BK73" s="471" t="n"/>
      <c r="BL73" s="471" t="n"/>
      <c r="BM73" s="471" t="n"/>
      <c r="BN73" s="561">
        <f>BR72</f>
        <v/>
      </c>
      <c r="BO73" s="471" t="n"/>
      <c r="BP73" s="471" t="n"/>
      <c r="BQ73" s="471" t="n"/>
      <c r="BR73" s="562">
        <f>IF(AND(BM73:BQ73),1,0)</f>
        <v/>
      </c>
      <c r="BX73" s="561" t="n">
        <v>70</v>
      </c>
      <c r="BY73" s="265" t="n"/>
      <c r="BZ73" s="471" t="n"/>
      <c r="CA73" s="471" t="n"/>
      <c r="CB73" s="471" t="n"/>
      <c r="CC73" s="561">
        <f>CG72</f>
        <v/>
      </c>
      <c r="CD73" s="471" t="n"/>
      <c r="CE73" s="471" t="n"/>
      <c r="CF73" s="471" t="n"/>
      <c r="CG73" s="562">
        <f>IF(AND(CB73:CF73),1,0)</f>
        <v/>
      </c>
      <c r="CI73" s="561" t="n">
        <v>70</v>
      </c>
      <c r="CJ73" s="471" t="n"/>
      <c r="CK73" s="561" t="n"/>
      <c r="CL73" s="471" t="n"/>
      <c r="CM73" s="471" t="n"/>
      <c r="CN73" s="471" t="n"/>
      <c r="CO73" s="471" t="n"/>
      <c r="CP73" s="471" t="n"/>
      <c r="CQ73" s="471" t="n"/>
      <c r="CR73" s="562" t="n"/>
      <c r="DK73" s="561" t="n">
        <v>70</v>
      </c>
      <c r="DL73" s="566" t="n"/>
      <c r="DM73" s="561" t="n"/>
      <c r="DN73" s="471" t="n"/>
      <c r="DO73" s="471" t="n"/>
      <c r="DP73" s="801">
        <f>IF(OR(DT68,DT44),1,0)</f>
        <v/>
      </c>
      <c r="DQ73" s="471" t="n"/>
      <c r="DR73" s="471" t="n"/>
      <c r="DS73" s="471" t="n"/>
      <c r="DT73" s="562">
        <f>IF(AND(DO73:DS73),1,0)</f>
        <v/>
      </c>
      <c r="GF73" s="561" t="n">
        <v>70</v>
      </c>
      <c r="GG73" s="561" t="n"/>
      <c r="GH73" s="561" t="n"/>
      <c r="GI73" s="561" t="n"/>
      <c r="GJ73" s="561" t="n"/>
      <c r="GK73" s="561">
        <f>GO14</f>
        <v/>
      </c>
      <c r="GL73" s="561" t="n"/>
      <c r="GM73" s="561" t="n"/>
      <c r="GN73" s="561" t="n"/>
      <c r="GO73" s="562">
        <f>IF(AND(GJ73:GN73),1,0)</f>
        <v/>
      </c>
      <c r="GU73" s="561" t="n">
        <v>70</v>
      </c>
      <c r="GV73" s="566" t="n"/>
      <c r="GW73" s="822" t="n"/>
      <c r="GX73" s="471" t="n"/>
      <c r="GY73" s="471" t="n"/>
      <c r="GZ73" s="801">
        <f>HD72</f>
        <v/>
      </c>
      <c r="HA73" s="471" t="n"/>
      <c r="HB73" s="471" t="n"/>
      <c r="HC73" s="471" t="n"/>
      <c r="HD73" s="571">
        <f>IF(AND(GY73:HC73),1,0)</f>
        <v/>
      </c>
      <c r="LB73" s="561" t="n">
        <v>70</v>
      </c>
      <c r="LC73" s="801" t="inlineStr">
        <is>
          <t>X1</t>
        </is>
      </c>
      <c r="LD73" s="822" t="inlineStr">
        <is>
          <t>APS 1_415 VAC _V2</t>
        </is>
      </c>
      <c r="LE73" s="471" t="n"/>
      <c r="LF73" s="822" t="n"/>
      <c r="LG73" s="581">
        <f>LN36</f>
        <v/>
      </c>
      <c r="LH73" s="822" t="n"/>
      <c r="LI73" s="471" t="n"/>
      <c r="LJ73" s="471" t="n"/>
      <c r="LK73" s="562">
        <f>IF(AND(LF73:LJ73),1,0)</f>
        <v/>
      </c>
      <c r="LQ73" s="840">
        <f>LQ72+1</f>
        <v/>
      </c>
      <c r="LR73" s="534" t="n">
        <v>69</v>
      </c>
      <c r="LS73" s="471" t="n"/>
      <c r="LT73" s="822" t="n"/>
      <c r="LU73" s="471" t="n"/>
      <c r="LV73" s="822" t="n"/>
      <c r="LW73" s="822">
        <f>MA63</f>
        <v/>
      </c>
      <c r="LX73" s="822" t="n"/>
      <c r="LY73" s="471" t="n"/>
      <c r="LZ73" s="471" t="n"/>
      <c r="MA73" s="562">
        <f>IF(AND(LV73:LZ73),1,0)</f>
        <v/>
      </c>
      <c r="MH73" s="561" t="n">
        <v>70</v>
      </c>
      <c r="MI73" s="471" t="n"/>
      <c r="MJ73" s="822" t="inlineStr">
        <is>
          <t>SMRR</t>
        </is>
      </c>
      <c r="MK73" s="471" t="n"/>
      <c r="ML73" s="822" t="n"/>
      <c r="MM73" s="574">
        <f>MQ135</f>
        <v/>
      </c>
      <c r="MN73" s="822" t="n"/>
      <c r="MO73" s="471" t="n"/>
      <c r="MP73" s="471" t="n"/>
      <c r="MQ73" s="562">
        <f>IF(AND(ML73:MP73),1,0)</f>
        <v/>
      </c>
    </row>
    <row r="74" ht="21" customHeight="1">
      <c r="A74" s="559" t="n">
        <v>71</v>
      </c>
      <c r="B74" s="471" t="n"/>
      <c r="C74" s="471" t="inlineStr">
        <is>
          <t>ELECTRICAL HEATING P=1.5 KW</t>
        </is>
      </c>
      <c r="D74" s="471" t="n"/>
      <c r="E74" s="471" t="n"/>
      <c r="F74" s="638">
        <f>M14</f>
        <v/>
      </c>
      <c r="G74" s="561" t="n"/>
      <c r="H74" s="471" t="n"/>
      <c r="I74" s="471" t="n"/>
      <c r="J74" s="562">
        <f>IF(AND(E74:I74),1,0)</f>
        <v/>
      </c>
      <c r="P74" s="561" t="n">
        <v>71</v>
      </c>
      <c r="Q74" s="471" t="n"/>
      <c r="R74" s="801" t="inlineStr">
        <is>
          <t>CMPC3 16A</t>
        </is>
      </c>
      <c r="S74" s="471" t="n"/>
      <c r="T74" s="471" t="n"/>
      <c r="U74" s="582">
        <f>AB22</f>
        <v/>
      </c>
      <c r="V74" s="471">
        <f>Y73</f>
        <v/>
      </c>
      <c r="W74" s="471">
        <f>Y77</f>
        <v/>
      </c>
      <c r="X74" s="471">
        <f>Y80</f>
        <v/>
      </c>
      <c r="Y74" s="562">
        <f>IF(AND(T74:X74),1,0)</f>
        <v/>
      </c>
      <c r="AF74" s="561" t="n">
        <v>71</v>
      </c>
      <c r="AG74" s="568" t="n"/>
      <c r="AH74" s="566" t="n"/>
      <c r="AI74" s="471" t="n"/>
      <c r="AJ74" s="471" t="n"/>
      <c r="AK74" s="578">
        <f>AO73</f>
        <v/>
      </c>
      <c r="AL74" s="471" t="n"/>
      <c r="AM74" s="471" t="n"/>
      <c r="AN74" s="471" t="n"/>
      <c r="AO74" s="562">
        <f>IF(AND(AJ74:AN74),1,0)</f>
        <v/>
      </c>
      <c r="BI74" s="561" t="n">
        <v>71</v>
      </c>
      <c r="BJ74" s="471" t="n"/>
      <c r="BK74" s="471" t="n"/>
      <c r="BL74" s="471" t="n"/>
      <c r="BM74" s="471" t="n"/>
      <c r="BN74" s="567">
        <f>BU11</f>
        <v/>
      </c>
      <c r="BO74" s="471" t="n"/>
      <c r="BP74" s="471" t="n"/>
      <c r="BQ74" s="471" t="n"/>
      <c r="BR74" s="562">
        <f>IF(AND(BM74:BQ74),1,0)</f>
        <v/>
      </c>
      <c r="BX74" s="561" t="n">
        <v>71</v>
      </c>
      <c r="BY74" s="471" t="n"/>
      <c r="BZ74" s="471" t="n"/>
      <c r="CA74" s="471" t="n"/>
      <c r="CB74" s="471" t="n"/>
      <c r="CC74" s="567">
        <f>BU11</f>
        <v/>
      </c>
      <c r="CD74" s="471" t="n"/>
      <c r="CE74" s="471" t="n"/>
      <c r="CF74" s="471" t="n"/>
      <c r="CG74" s="562">
        <f>IF(AND(CB74:CF74),1,0)</f>
        <v/>
      </c>
      <c r="DK74" s="561" t="n">
        <v>71</v>
      </c>
      <c r="DL74" s="595" t="inlineStr">
        <is>
          <t>X6</t>
        </is>
      </c>
      <c r="DM74" s="561" t="n"/>
      <c r="DN74" s="471" t="n"/>
      <c r="DO74" s="471" t="n"/>
      <c r="DP74" s="801">
        <f>IF(OR(DT12,DT20,DT28,DT34),1,0)</f>
        <v/>
      </c>
      <c r="DQ74" s="471" t="n"/>
      <c r="DR74" s="471" t="n"/>
      <c r="DS74" s="471" t="n"/>
      <c r="DT74" s="562">
        <f>IF(AND(DO74:DS74),1,0)</f>
        <v/>
      </c>
      <c r="GF74" s="265" t="n"/>
      <c r="GG74" s="265" t="n"/>
      <c r="GH74" s="265" t="n"/>
      <c r="GI74" s="265" t="n"/>
      <c r="GJ74" s="265" t="n"/>
      <c r="GL74" s="265" t="n"/>
      <c r="GM74" s="265" t="n"/>
      <c r="GN74" s="265" t="n"/>
      <c r="GO74" s="265" t="n"/>
      <c r="GU74" s="561" t="n">
        <v>71</v>
      </c>
      <c r="GV74" s="566" t="n"/>
      <c r="GW74" s="822" t="n"/>
      <c r="GX74" s="471" t="n"/>
      <c r="GY74" s="471" t="n"/>
      <c r="GZ74" s="801">
        <f>HD73</f>
        <v/>
      </c>
      <c r="HA74" s="471" t="n"/>
      <c r="HB74" s="471" t="n"/>
      <c r="HC74" s="471" t="n"/>
      <c r="HD74" s="571">
        <f>IF(AND(GY74:HC74),1,0)</f>
        <v/>
      </c>
      <c r="LB74" s="561" t="n">
        <v>71</v>
      </c>
      <c r="LC74" s="471" t="n"/>
      <c r="LD74" s="822" t="n"/>
      <c r="LE74" s="471" t="n"/>
      <c r="LF74" s="822" t="n"/>
      <c r="LG74" s="822">
        <f>LK73</f>
        <v/>
      </c>
      <c r="LH74" s="822" t="n"/>
      <c r="LI74" s="471" t="n"/>
      <c r="LJ74" s="471" t="n"/>
      <c r="LK74" s="562">
        <f>IF(AND(LF74:LJ74),1,0)</f>
        <v/>
      </c>
      <c r="LQ74" s="840">
        <f>LQ73+1</f>
        <v/>
      </c>
      <c r="LR74" s="534" t="n">
        <v>70</v>
      </c>
      <c r="LS74" s="471" t="n"/>
      <c r="LT74" s="822" t="n"/>
      <c r="LU74" s="471" t="n"/>
      <c r="LV74" s="822" t="n"/>
      <c r="LW74" s="822">
        <f>MA72</f>
        <v/>
      </c>
      <c r="LX74" s="822" t="n"/>
      <c r="LY74" s="471" t="n"/>
      <c r="LZ74" s="471" t="n"/>
      <c r="MA74" s="562">
        <f>IF(AND(LV74:LZ74),1,0)</f>
        <v/>
      </c>
      <c r="MH74" s="561" t="n">
        <v>71</v>
      </c>
      <c r="MI74" s="471" t="n"/>
      <c r="MJ74" s="822" t="n"/>
      <c r="MK74" s="471" t="n"/>
      <c r="ML74" s="822" t="n"/>
      <c r="MM74" s="581" t="n">
        <v>1</v>
      </c>
      <c r="MN74" s="822" t="n"/>
      <c r="MO74" s="471" t="n"/>
      <c r="MP74" s="471" t="n"/>
      <c r="MQ74" s="562">
        <f>IF(AND(ML74:MP74),1,0)</f>
        <v/>
      </c>
    </row>
    <row r="75" ht="51.75" customHeight="1">
      <c r="A75" s="559" t="n">
        <v>72</v>
      </c>
      <c r="B75" s="471" t="n"/>
      <c r="C75" s="471" t="n"/>
      <c r="D75" s="471" t="n"/>
      <c r="E75" s="471" t="n"/>
      <c r="F75" s="801">
        <f>J74</f>
        <v/>
      </c>
      <c r="G75" s="561" t="n"/>
      <c r="H75" s="471" t="n"/>
      <c r="I75" s="471" t="n"/>
      <c r="J75" s="562">
        <f>IF(AND(E75:I75),1,0)</f>
        <v/>
      </c>
      <c r="P75" s="561" t="n">
        <v>72</v>
      </c>
      <c r="Q75" s="471" t="n"/>
      <c r="R75" s="561" t="n"/>
      <c r="S75" s="471" t="n"/>
      <c r="T75" s="471" t="n"/>
      <c r="U75" s="801">
        <f>Y74</f>
        <v/>
      </c>
      <c r="V75" s="471" t="n"/>
      <c r="W75" s="471" t="n"/>
      <c r="X75" s="471" t="n"/>
      <c r="Y75" s="562">
        <f>IF(AND(T75:X75),1,0)</f>
        <v/>
      </c>
      <c r="AF75" s="561" t="n">
        <v>72</v>
      </c>
      <c r="AG75" s="568" t="n"/>
      <c r="AH75" s="801" t="inlineStr">
        <is>
          <t>CMPC3 16A</t>
        </is>
      </c>
      <c r="AI75" s="471" t="n"/>
      <c r="AJ75" s="471" t="n"/>
      <c r="AK75" s="573">
        <f>AB20</f>
        <v/>
      </c>
      <c r="AL75" s="471">
        <f>AO74</f>
        <v/>
      </c>
      <c r="AM75" s="471" t="n"/>
      <c r="AN75" s="471" t="n"/>
      <c r="AO75" s="562">
        <f>IF(AND(AJ75:AN75),1,0)</f>
        <v/>
      </c>
      <c r="BI75" s="561" t="n">
        <v>72</v>
      </c>
      <c r="BJ75" s="471" t="n"/>
      <c r="BK75" s="471" t="n"/>
      <c r="BL75" s="471" t="n"/>
      <c r="BM75" s="471" t="n"/>
      <c r="BN75" s="561">
        <f>BR74</f>
        <v/>
      </c>
      <c r="BO75" s="471" t="n"/>
      <c r="BP75" s="471" t="n"/>
      <c r="BQ75" s="471" t="n"/>
      <c r="BR75" s="562">
        <f>IF(AND(BM75:BQ75),1,0)</f>
        <v/>
      </c>
      <c r="BX75" s="561" t="n">
        <v>72</v>
      </c>
      <c r="BY75" s="471" t="n"/>
      <c r="BZ75" s="471" t="n"/>
      <c r="CA75" s="471" t="n"/>
      <c r="CB75" s="471" t="n"/>
      <c r="CC75" s="561">
        <f>CG74</f>
        <v/>
      </c>
      <c r="CD75" s="471" t="n"/>
      <c r="CE75" s="471" t="n"/>
      <c r="CF75" s="471" t="n"/>
      <c r="CG75" s="562">
        <f>IF(AND(CB75:CF75),1,0)</f>
        <v/>
      </c>
      <c r="DK75" s="561" t="n">
        <v>72</v>
      </c>
      <c r="DL75" s="596" t="inlineStr">
        <is>
          <t>X7</t>
        </is>
      </c>
      <c r="DM75" s="561" t="n"/>
      <c r="DN75" s="471" t="n"/>
      <c r="DO75" s="471" t="n"/>
      <c r="DP75" s="801">
        <f>IF(OR(DT41,DT46,DT54,DT60,DT69),1,0)</f>
        <v/>
      </c>
      <c r="DQ75" s="471" t="n"/>
      <c r="DR75" s="471" t="n"/>
      <c r="DS75" s="471" t="n"/>
      <c r="DT75" s="562">
        <f>IF(AND(DO75:DS75),1,0)</f>
        <v/>
      </c>
      <c r="GF75" s="265" t="n"/>
      <c r="GG75" s="265" t="n"/>
      <c r="GH75" s="265" t="n"/>
      <c r="GI75" s="265" t="n"/>
      <c r="GJ75" s="265" t="n"/>
      <c r="GL75" s="265" t="n"/>
      <c r="GM75" s="265" t="n"/>
      <c r="GN75" s="265" t="n"/>
      <c r="GO75" s="265" t="n"/>
      <c r="GU75" s="561" t="n">
        <v>72</v>
      </c>
      <c r="GV75" s="566" t="n"/>
      <c r="GW75" s="822" t="n"/>
      <c r="GX75" s="471" t="n"/>
      <c r="GY75" s="471" t="n"/>
      <c r="GZ75" s="801">
        <f>HD74</f>
        <v/>
      </c>
      <c r="HA75" s="471" t="n"/>
      <c r="HB75" s="471" t="n"/>
      <c r="HC75" s="471" t="n"/>
      <c r="HD75" s="571">
        <f>IF(AND(GY75:HC75),1,0)</f>
        <v/>
      </c>
      <c r="LB75" s="561" t="n">
        <v>72</v>
      </c>
      <c r="LC75" s="471" t="n"/>
      <c r="LD75" s="822" t="n"/>
      <c r="LE75" s="471" t="n"/>
      <c r="LF75" s="822" t="n"/>
      <c r="LG75" s="822">
        <f>LK74</f>
        <v/>
      </c>
      <c r="LH75" s="822" t="n"/>
      <c r="LI75" s="471" t="n"/>
      <c r="LJ75" s="471" t="n"/>
      <c r="LK75" s="562">
        <f>IF(AND(LF75:LJ75),1,0)</f>
        <v/>
      </c>
      <c r="LQ75" s="840">
        <f>LQ74+1</f>
        <v/>
      </c>
      <c r="LR75" s="534" t="n">
        <v>71</v>
      </c>
      <c r="LS75" s="471" t="n"/>
      <c r="LT75" s="822" t="inlineStr">
        <is>
          <t>ESAFC</t>
        </is>
      </c>
      <c r="LU75" s="471" t="n"/>
      <c r="LV75" s="822" t="n"/>
      <c r="LW75" s="574">
        <f>MD9</f>
        <v/>
      </c>
      <c r="LX75" s="822">
        <f>MA66</f>
        <v/>
      </c>
      <c r="LY75" s="471">
        <f>MA74</f>
        <v/>
      </c>
      <c r="LZ75" s="471" t="n"/>
      <c r="MA75" s="562">
        <f>IF(AND(LV75:LZ75),1,0)</f>
        <v/>
      </c>
      <c r="MH75" s="561" t="n">
        <v>72</v>
      </c>
      <c r="MI75" s="471" t="n"/>
      <c r="MJ75" s="822" t="n"/>
      <c r="MK75" s="471" t="n"/>
      <c r="ML75" s="822" t="n"/>
      <c r="MM75" s="822">
        <f>MQ62</f>
        <v/>
      </c>
      <c r="MN75" s="822">
        <f>MQ60</f>
        <v/>
      </c>
      <c r="MO75" s="471" t="n"/>
      <c r="MP75" s="471" t="n"/>
      <c r="MQ75" s="562">
        <f>IF(AND(ML75:MP75),1,0)</f>
        <v/>
      </c>
    </row>
    <row r="76">
      <c r="A76" s="559" t="n">
        <v>73</v>
      </c>
      <c r="B76" s="471" t="n"/>
      <c r="C76" s="471" t="n"/>
      <c r="D76" s="471" t="n"/>
      <c r="E76" s="471" t="n"/>
      <c r="F76" s="560">
        <f>M5</f>
        <v/>
      </c>
      <c r="G76" s="561" t="n"/>
      <c r="H76" s="471" t="n"/>
      <c r="I76" s="471" t="n"/>
      <c r="J76" s="562">
        <f>IF(AND(E76:I76),1,0)</f>
        <v/>
      </c>
      <c r="P76" s="561" t="n">
        <v>73</v>
      </c>
      <c r="Q76" s="471" t="n"/>
      <c r="R76" s="561" t="n"/>
      <c r="S76" s="471" t="n"/>
      <c r="T76" s="471" t="n"/>
      <c r="U76" s="801">
        <f>Y37</f>
        <v/>
      </c>
      <c r="V76" s="471" t="n"/>
      <c r="W76" s="471" t="n"/>
      <c r="X76" s="471" t="n"/>
      <c r="Y76" s="562">
        <f>IF(AND(T76:X76),1,0)</f>
        <v/>
      </c>
      <c r="AF76" s="561" t="n">
        <v>73</v>
      </c>
      <c r="AG76" s="568" t="n"/>
      <c r="AH76" s="566" t="n"/>
      <c r="AI76" s="471" t="n"/>
      <c r="AJ76" s="471" t="n"/>
      <c r="AK76" s="578">
        <f>AO75</f>
        <v/>
      </c>
      <c r="AL76" s="471" t="n"/>
      <c r="AM76" s="471" t="n"/>
      <c r="AN76" s="471" t="n"/>
      <c r="AO76" s="562">
        <f>IF(AND(AJ76:AN76),1,0)</f>
        <v/>
      </c>
      <c r="BI76" s="561" t="n">
        <v>73</v>
      </c>
      <c r="BJ76" s="471" t="n"/>
      <c r="BK76" s="471" t="n"/>
      <c r="BL76" s="471" t="n"/>
      <c r="BM76" s="471" t="n"/>
      <c r="BN76" s="578">
        <f>BR75</f>
        <v/>
      </c>
      <c r="BO76" s="471" t="n"/>
      <c r="BP76" s="471" t="n"/>
      <c r="BQ76" s="471" t="n"/>
      <c r="BR76" s="562">
        <f>IF(AND(BM76:BQ76),1,0)</f>
        <v/>
      </c>
      <c r="BX76" s="561" t="n">
        <v>73</v>
      </c>
      <c r="BY76" s="471" t="n"/>
      <c r="BZ76" s="471" t="n"/>
      <c r="CA76" s="471" t="n"/>
      <c r="CB76" s="471" t="n"/>
      <c r="CC76" s="578">
        <f>CG75</f>
        <v/>
      </c>
      <c r="CD76" s="471" t="n"/>
      <c r="CE76" s="471" t="n"/>
      <c r="CF76" s="471" t="n"/>
      <c r="CG76" s="562">
        <f>IF(AND(CB76:CF76),1,0)</f>
        <v/>
      </c>
      <c r="DP76" s="840" t="n"/>
      <c r="GU76" s="561" t="n">
        <v>73</v>
      </c>
      <c r="GV76" s="566" t="n"/>
      <c r="GW76" s="822" t="inlineStr">
        <is>
          <t>24 V (HEC)</t>
        </is>
      </c>
      <c r="GX76" s="471" t="n"/>
      <c r="GY76" s="471" t="n"/>
      <c r="GZ76" s="569">
        <f>HG8</f>
        <v/>
      </c>
      <c r="HA76" s="471" t="n"/>
      <c r="HB76" s="471" t="n"/>
      <c r="HC76" s="471" t="n"/>
      <c r="HD76" s="571">
        <f>IF(AND(GY76:HC76),1,0)</f>
        <v/>
      </c>
      <c r="LB76" s="561" t="n">
        <v>73</v>
      </c>
      <c r="LC76" s="471" t="n"/>
      <c r="LD76" s="822" t="n"/>
      <c r="LE76" s="471" t="n"/>
      <c r="LF76" s="822" t="n"/>
      <c r="LG76" s="822">
        <f>LK101</f>
        <v/>
      </c>
      <c r="LH76" s="822" t="n"/>
      <c r="LI76" s="471" t="n"/>
      <c r="LJ76" s="471" t="n"/>
      <c r="LK76" s="562">
        <f>IF(AND(LF76:LJ76),1,0)</f>
        <v/>
      </c>
      <c r="LQ76" s="840">
        <f>LQ75+1</f>
        <v/>
      </c>
      <c r="LR76" s="534" t="n">
        <v>72</v>
      </c>
      <c r="LS76" s="471" t="n"/>
      <c r="LT76" s="822" t="n"/>
      <c r="LU76" s="822" t="n"/>
      <c r="LV76" s="822" t="n"/>
      <c r="LW76" s="581">
        <f>MD10</f>
        <v/>
      </c>
      <c r="LX76" s="822" t="n"/>
      <c r="LY76" s="471" t="n"/>
      <c r="LZ76" s="471" t="n"/>
      <c r="MA76" s="562">
        <f>IF(AND(LV76:LZ76),1,0)</f>
        <v/>
      </c>
      <c r="MH76" s="561" t="n">
        <v>73</v>
      </c>
      <c r="MI76" s="471" t="n"/>
      <c r="MJ76" s="822" t="inlineStr">
        <is>
          <t>SMDR</t>
        </is>
      </c>
      <c r="MK76" s="471" t="n"/>
      <c r="ML76" s="822" t="n"/>
      <c r="MM76" s="574">
        <f>MQ75</f>
        <v/>
      </c>
      <c r="MN76" s="822" t="n"/>
      <c r="MO76" s="471" t="n"/>
      <c r="MP76" s="471" t="n"/>
      <c r="MQ76" s="562">
        <f>IF(AND(ML76:MP76),1,0)</f>
        <v/>
      </c>
    </row>
    <row r="77">
      <c r="A77" s="559" t="n">
        <v>74</v>
      </c>
      <c r="B77" s="471" t="n"/>
      <c r="C77" s="471" t="n"/>
      <c r="D77" s="471" t="n"/>
      <c r="E77" s="471" t="n"/>
      <c r="F77" s="801">
        <f>J76</f>
        <v/>
      </c>
      <c r="G77" s="561" t="n"/>
      <c r="H77" s="471" t="n"/>
      <c r="I77" s="471" t="n"/>
      <c r="J77" s="562">
        <f>IF(AND(E77:I77),1,0)</f>
        <v/>
      </c>
      <c r="P77" s="561" t="n">
        <v>74</v>
      </c>
      <c r="Q77" s="471" t="n"/>
      <c r="R77" s="561" t="n"/>
      <c r="S77" s="471" t="n"/>
      <c r="T77" s="471" t="n"/>
      <c r="U77" s="801">
        <f>Y72</f>
        <v/>
      </c>
      <c r="V77" s="471">
        <f>Y76</f>
        <v/>
      </c>
      <c r="W77" s="471" t="n"/>
      <c r="X77" s="471" t="n"/>
      <c r="Y77" s="562">
        <f>IF(AND(T77:X77),1,0)</f>
        <v/>
      </c>
      <c r="AF77" s="561" t="n">
        <v>74</v>
      </c>
      <c r="AG77" s="568" t="n"/>
      <c r="AH77" s="566" t="n"/>
      <c r="AI77" s="471" t="n"/>
      <c r="AJ77" s="471" t="n"/>
      <c r="AK77" s="578">
        <f>AO38</f>
        <v/>
      </c>
      <c r="AL77" s="471" t="n"/>
      <c r="AM77" s="471" t="n"/>
      <c r="AN77" s="471" t="n"/>
      <c r="AO77" s="562">
        <f>IF(AND(AJ77:AN77),1,0)</f>
        <v/>
      </c>
      <c r="BI77" s="561" t="n">
        <v>74</v>
      </c>
      <c r="BJ77" s="471" t="n"/>
      <c r="BK77" s="471" t="n"/>
      <c r="BL77" s="471" t="n"/>
      <c r="BM77" s="471" t="n"/>
      <c r="BN77" s="561">
        <f>BR76</f>
        <v/>
      </c>
      <c r="BO77" s="471" t="n"/>
      <c r="BP77" s="471" t="n"/>
      <c r="BQ77" s="471" t="n"/>
      <c r="BR77" s="562">
        <f>IF(AND(BM77:BQ77),1,0)</f>
        <v/>
      </c>
      <c r="BX77" s="561" t="n">
        <v>74</v>
      </c>
      <c r="BY77" s="471" t="n"/>
      <c r="BZ77" s="471" t="n"/>
      <c r="CA77" s="471" t="n"/>
      <c r="CB77" s="471" t="n"/>
      <c r="CC77" s="561">
        <f>CG76</f>
        <v/>
      </c>
      <c r="CD77" s="471" t="n"/>
      <c r="CE77" s="471" t="n"/>
      <c r="CF77" s="471" t="n"/>
      <c r="CG77" s="562">
        <f>IF(AND(CB77:CF77),1,0)</f>
        <v/>
      </c>
      <c r="DP77" s="840" t="n"/>
      <c r="GU77" s="561" t="n">
        <v>74</v>
      </c>
      <c r="GV77" s="566" t="n"/>
      <c r="GW77" s="822" t="n"/>
      <c r="GX77" s="471" t="n"/>
      <c r="GY77" s="471" t="n"/>
      <c r="GZ77" s="801">
        <f>HD76</f>
        <v/>
      </c>
      <c r="HA77" s="471" t="n"/>
      <c r="HB77" s="471" t="n"/>
      <c r="HC77" s="471" t="n"/>
      <c r="HD77" s="571">
        <f>IF(AND(GY77:HC77),1,0)</f>
        <v/>
      </c>
      <c r="LB77" s="561" t="n">
        <v>74</v>
      </c>
      <c r="LC77" s="471" t="n"/>
      <c r="LD77" s="822" t="n"/>
      <c r="LE77" s="471" t="n"/>
      <c r="LF77" s="822" t="n"/>
      <c r="LG77" s="822">
        <f>LK103</f>
        <v/>
      </c>
      <c r="LH77" s="822" t="n"/>
      <c r="LI77" s="471" t="n"/>
      <c r="LJ77" s="471" t="n"/>
      <c r="LK77" s="562">
        <f>IF(AND(LF77:LJ77),1,0)</f>
        <v/>
      </c>
      <c r="LQ77" s="840">
        <f>LQ76+1</f>
        <v/>
      </c>
      <c r="LR77" s="534" t="n">
        <v>73</v>
      </c>
      <c r="LS77" s="471" t="n"/>
      <c r="LT77" s="822" t="n"/>
      <c r="LU77" s="822" t="n"/>
      <c r="LV77" s="822" t="n"/>
      <c r="LW77" s="581">
        <f>MA76</f>
        <v/>
      </c>
      <c r="LX77" s="822" t="n"/>
      <c r="LY77" s="471" t="n"/>
      <c r="LZ77" s="471" t="n"/>
      <c r="MA77" s="562">
        <f>IF(AND(LV77:LZ77),1,0)</f>
        <v/>
      </c>
      <c r="MH77" s="561" t="n">
        <v>74</v>
      </c>
      <c r="MI77" s="471" t="n"/>
      <c r="MJ77" s="822" t="n"/>
      <c r="MK77" s="471" t="n"/>
      <c r="ML77" s="822" t="n"/>
      <c r="MM77" s="581" t="n">
        <v>1</v>
      </c>
      <c r="MN77" s="822" t="n"/>
      <c r="MO77" s="471" t="n"/>
      <c r="MP77" s="471" t="n"/>
      <c r="MQ77" s="562">
        <f>IF(AND(ML77:MP77),1,0)</f>
        <v/>
      </c>
    </row>
    <row r="78">
      <c r="A78" s="559" t="n">
        <v>75</v>
      </c>
      <c r="B78" s="471" t="n"/>
      <c r="C78" s="471" t="n"/>
      <c r="D78" s="471" t="n"/>
      <c r="E78" s="471" t="n"/>
      <c r="F78" s="801">
        <f>J77</f>
        <v/>
      </c>
      <c r="G78" s="561" t="n"/>
      <c r="H78" s="471" t="n"/>
      <c r="I78" s="471" t="n"/>
      <c r="J78" s="562">
        <f>IF(AND(E78:I78),1,0)</f>
        <v/>
      </c>
      <c r="P78" s="561" t="n">
        <v>75</v>
      </c>
      <c r="Q78" s="471" t="n"/>
      <c r="R78" s="561" t="n"/>
      <c r="S78" s="471" t="n"/>
      <c r="T78" s="471" t="n"/>
      <c r="U78" s="801">
        <f>Y74</f>
        <v/>
      </c>
      <c r="V78" s="471" t="n"/>
      <c r="W78" s="471" t="n"/>
      <c r="X78" s="471" t="n"/>
      <c r="Y78" s="562">
        <f>IF(AND(T78:X78),1,0)</f>
        <v/>
      </c>
      <c r="AF78" s="561" t="n">
        <v>75</v>
      </c>
      <c r="AG78" s="568" t="n"/>
      <c r="AH78" s="566" t="n"/>
      <c r="AI78" s="471" t="n"/>
      <c r="AJ78" s="471" t="n"/>
      <c r="AK78" s="578">
        <f>AO73</f>
        <v/>
      </c>
      <c r="AL78" s="471">
        <f>AO77</f>
        <v/>
      </c>
      <c r="AM78" s="471" t="n"/>
      <c r="AN78" s="471" t="n"/>
      <c r="AO78" s="562">
        <f>IF(AND(AJ78:AN78),1,0)</f>
        <v/>
      </c>
      <c r="BI78" s="561" t="n">
        <v>75</v>
      </c>
      <c r="BJ78" s="471" t="n"/>
      <c r="BK78" s="471" t="n"/>
      <c r="BL78" s="471" t="n"/>
      <c r="BM78" s="471" t="n"/>
      <c r="BN78" s="567">
        <f>BU11</f>
        <v/>
      </c>
      <c r="BO78" s="471" t="n"/>
      <c r="BP78" s="471" t="n"/>
      <c r="BQ78" s="471" t="n"/>
      <c r="BR78" s="562">
        <f>IF(AND(BM78:BQ78),1,0)</f>
        <v/>
      </c>
      <c r="BX78" s="561" t="n">
        <v>75</v>
      </c>
      <c r="BY78" s="471" t="n"/>
      <c r="BZ78" s="471" t="n"/>
      <c r="CA78" s="471" t="n"/>
      <c r="CB78" s="471" t="n"/>
      <c r="CC78" s="567">
        <f>BU11</f>
        <v/>
      </c>
      <c r="CD78" s="471" t="n"/>
      <c r="CE78" s="471" t="n"/>
      <c r="CF78" s="471" t="n"/>
      <c r="CG78" s="562">
        <f>IF(AND(CB78:CF78),1,0)</f>
        <v/>
      </c>
      <c r="DP78" s="840" t="n"/>
      <c r="GU78" s="561" t="n">
        <v>75</v>
      </c>
      <c r="GV78" s="566" t="n"/>
      <c r="GW78" s="822" t="n"/>
      <c r="GX78" s="471" t="n"/>
      <c r="GY78" s="471" t="n"/>
      <c r="GZ78" s="801">
        <f>HD77</f>
        <v/>
      </c>
      <c r="HA78" s="471" t="n"/>
      <c r="HB78" s="471" t="n"/>
      <c r="HC78" s="471" t="n"/>
      <c r="HD78" s="571">
        <f>IF(AND(GY78:HC78),1,0)</f>
        <v/>
      </c>
      <c r="LB78" s="561" t="n">
        <v>75</v>
      </c>
      <c r="LC78" s="471" t="n"/>
      <c r="LD78" s="822" t="n"/>
      <c r="LE78" s="471" t="n"/>
      <c r="LF78" s="822" t="n"/>
      <c r="LG78" s="822">
        <f>LK74</f>
        <v/>
      </c>
      <c r="LH78" s="822" t="n"/>
      <c r="LI78" s="471" t="n"/>
      <c r="LJ78" s="471" t="n"/>
      <c r="LK78" s="562">
        <f>IF(AND(LF78:LJ78),1,0)</f>
        <v/>
      </c>
      <c r="LQ78" s="840">
        <f>LQ77+1</f>
        <v/>
      </c>
      <c r="LR78" s="534" t="n">
        <v>74</v>
      </c>
      <c r="LS78" s="471" t="n"/>
      <c r="LT78" s="822" t="n"/>
      <c r="LU78" s="822" t="n"/>
      <c r="LV78" s="822" t="n"/>
      <c r="LW78" s="581">
        <f>MA77</f>
        <v/>
      </c>
      <c r="LX78" s="822" t="n"/>
      <c r="LY78" s="471" t="n"/>
      <c r="LZ78" s="471" t="n"/>
      <c r="MA78" s="562">
        <f>IF(AND(LV78:LZ78),1,0)</f>
        <v/>
      </c>
      <c r="MH78" s="561" t="n">
        <v>75</v>
      </c>
      <c r="MI78" s="471" t="n"/>
      <c r="MJ78" s="822" t="inlineStr">
        <is>
          <t>SMDR</t>
        </is>
      </c>
      <c r="MK78" s="471" t="n"/>
      <c r="ML78" s="822" t="n"/>
      <c r="MM78" s="574">
        <f>MQ75</f>
        <v/>
      </c>
      <c r="MN78" s="822" t="n"/>
      <c r="MO78" s="471" t="n"/>
      <c r="MP78" s="471" t="n"/>
      <c r="MQ78" s="562">
        <f>IF(AND(ML78:MP78),1,0)</f>
        <v/>
      </c>
    </row>
    <row r="79">
      <c r="A79" s="559" t="n">
        <v>76</v>
      </c>
      <c r="B79" s="471" t="n"/>
      <c r="C79" s="801" t="inlineStr">
        <is>
          <t>TERMOSTAT 2</t>
        </is>
      </c>
      <c r="D79" s="471" t="n"/>
      <c r="E79" s="471" t="n"/>
      <c r="F79" s="582">
        <f>M12</f>
        <v/>
      </c>
      <c r="G79" s="561">
        <f>J78</f>
        <v/>
      </c>
      <c r="H79" s="471" t="n"/>
      <c r="I79" s="471" t="n"/>
      <c r="J79" s="562">
        <f>IF(AND(E79:I79),1,0)</f>
        <v/>
      </c>
      <c r="P79" s="561" t="n">
        <v>76</v>
      </c>
      <c r="Q79" s="471" t="n"/>
      <c r="R79" s="561" t="n"/>
      <c r="S79" s="471" t="n"/>
      <c r="T79" s="471" t="n"/>
      <c r="U79" s="801">
        <f>Y40</f>
        <v/>
      </c>
      <c r="V79" s="471" t="n"/>
      <c r="W79" s="471" t="n"/>
      <c r="X79" s="471" t="n"/>
      <c r="Y79" s="562">
        <f>IF(AND(T79:X79),1,0)</f>
        <v/>
      </c>
      <c r="AF79" s="561" t="n">
        <v>76</v>
      </c>
      <c r="AG79" s="568" t="n"/>
      <c r="AH79" s="566" t="n"/>
      <c r="AI79" s="471" t="n"/>
      <c r="AJ79" s="471" t="n"/>
      <c r="AK79" s="578">
        <f>AO75</f>
        <v/>
      </c>
      <c r="AL79" s="471">
        <f>AO78</f>
        <v/>
      </c>
      <c r="AM79" s="471" t="n"/>
      <c r="AN79" s="471" t="n"/>
      <c r="AO79" s="562">
        <f>IF(AND(AJ79:AN79),1,0)</f>
        <v/>
      </c>
      <c r="BI79" s="561" t="n">
        <v>76</v>
      </c>
      <c r="BJ79" s="471" t="n"/>
      <c r="BK79" s="471" t="n"/>
      <c r="BL79" s="471" t="n"/>
      <c r="BM79" s="471" t="n"/>
      <c r="BN79" s="561">
        <f>BR78</f>
        <v/>
      </c>
      <c r="BO79" s="471" t="n"/>
      <c r="BP79" s="471" t="n"/>
      <c r="BQ79" s="471" t="n"/>
      <c r="BR79" s="562">
        <f>IF(AND(BM79:BQ79),1,0)</f>
        <v/>
      </c>
      <c r="BX79" s="561" t="n">
        <v>76</v>
      </c>
      <c r="BY79" s="471" t="n"/>
      <c r="BZ79" s="471" t="n"/>
      <c r="CA79" s="471" t="n"/>
      <c r="CB79" s="471" t="n"/>
      <c r="CC79" s="561">
        <f>CG78</f>
        <v/>
      </c>
      <c r="CD79" s="471" t="n"/>
      <c r="CE79" s="471" t="n"/>
      <c r="CF79" s="471" t="n"/>
      <c r="CG79" s="562">
        <f>IF(AND(CB79:CF79),1,0)</f>
        <v/>
      </c>
      <c r="DP79" s="840" t="n"/>
      <c r="GU79" s="561" t="n">
        <v>76</v>
      </c>
      <c r="GV79" s="566" t="n"/>
      <c r="GW79" s="822" t="n"/>
      <c r="GX79" s="471" t="n"/>
      <c r="GY79" s="471" t="n"/>
      <c r="GZ79" s="801">
        <f>HD78</f>
        <v/>
      </c>
      <c r="HA79" s="471" t="n"/>
      <c r="HB79" s="471" t="n"/>
      <c r="HC79" s="471" t="n"/>
      <c r="HD79" s="571">
        <f>IF(AND(GY79:HC79),1,0)</f>
        <v/>
      </c>
      <c r="LB79" s="561" t="n">
        <v>76</v>
      </c>
      <c r="LC79" s="471" t="n"/>
      <c r="LD79" s="822" t="n"/>
      <c r="LE79" s="471" t="n"/>
      <c r="LF79" s="822" t="n"/>
      <c r="LG79" s="822">
        <f>LK106</f>
        <v/>
      </c>
      <c r="LH79" s="822" t="n"/>
      <c r="LI79" s="471" t="n"/>
      <c r="LJ79" s="471" t="n"/>
      <c r="LK79" s="562">
        <f>IF(AND(LF79:LJ79),1,0)</f>
        <v/>
      </c>
      <c r="LQ79" s="840">
        <f>LQ78+1</f>
        <v/>
      </c>
      <c r="LR79" s="534" t="n">
        <v>75</v>
      </c>
      <c r="LS79" s="471" t="n"/>
      <c r="LT79" s="822" t="n"/>
      <c r="LU79" s="822" t="n"/>
      <c r="LV79" s="822" t="n"/>
      <c r="LW79" s="581">
        <f>MA78</f>
        <v/>
      </c>
      <c r="LX79" s="822" t="n"/>
      <c r="LY79" s="471" t="n"/>
      <c r="LZ79" s="471" t="n"/>
      <c r="MA79" s="562">
        <f>IF(AND(LV79:LZ79),1,0)</f>
        <v/>
      </c>
      <c r="MH79" s="561" t="n">
        <v>76</v>
      </c>
      <c r="MI79" s="471" t="n"/>
      <c r="MJ79" s="822" t="n"/>
      <c r="MK79" s="471" t="n"/>
      <c r="ML79" s="822" t="n"/>
      <c r="MM79" s="822">
        <f>MQ78</f>
        <v/>
      </c>
      <c r="MN79" s="822" t="n"/>
      <c r="MO79" s="471" t="n"/>
      <c r="MP79" s="471" t="n"/>
      <c r="MQ79" s="562">
        <f>IF(AND(ML79:MP79),1,0)</f>
        <v/>
      </c>
    </row>
    <row r="80">
      <c r="A80" s="559" t="n">
        <v>77</v>
      </c>
      <c r="B80" s="471" t="n"/>
      <c r="C80" s="471" t="n"/>
      <c r="D80" s="471" t="n"/>
      <c r="E80" s="471" t="n"/>
      <c r="F80" s="801">
        <f>J79</f>
        <v/>
      </c>
      <c r="G80" s="561" t="n"/>
      <c r="H80" s="471" t="n"/>
      <c r="I80" s="471" t="n"/>
      <c r="J80" s="562">
        <f>IF(AND(E80:I80),1,0)</f>
        <v/>
      </c>
      <c r="P80" s="561" t="n">
        <v>77</v>
      </c>
      <c r="Q80" s="471" t="n"/>
      <c r="R80" s="561" t="n"/>
      <c r="S80" s="471" t="n"/>
      <c r="T80" s="471" t="n"/>
      <c r="U80" s="801">
        <f>Y72</f>
        <v/>
      </c>
      <c r="V80" s="471">
        <f>Y79</f>
        <v/>
      </c>
      <c r="W80" s="471" t="n"/>
      <c r="X80" s="471" t="n"/>
      <c r="Y80" s="562">
        <f>IF(AND(T80:X80),1,0)</f>
        <v/>
      </c>
      <c r="AF80" s="561" t="n">
        <v>77</v>
      </c>
      <c r="AG80" s="568" t="n"/>
      <c r="AH80" s="566" t="n"/>
      <c r="AI80" s="471" t="n"/>
      <c r="AJ80" s="471" t="n"/>
      <c r="AK80" s="578">
        <f>AO41</f>
        <v/>
      </c>
      <c r="AL80" s="471" t="n"/>
      <c r="AM80" s="471" t="n"/>
      <c r="AN80" s="471" t="n"/>
      <c r="AO80" s="562">
        <f>IF(AND(AJ80:AN80),1,0)</f>
        <v/>
      </c>
      <c r="BI80" s="561" t="n">
        <v>77</v>
      </c>
      <c r="BJ80" s="471" t="n"/>
      <c r="BK80" s="471" t="n"/>
      <c r="BL80" s="471" t="n"/>
      <c r="BM80" s="471" t="n"/>
      <c r="BN80" s="578">
        <f>BR79</f>
        <v/>
      </c>
      <c r="BO80" s="471" t="n"/>
      <c r="BP80" s="471" t="n"/>
      <c r="BQ80" s="471" t="n"/>
      <c r="BR80" s="562">
        <f>IF(AND(BM80:BQ80),1,0)</f>
        <v/>
      </c>
      <c r="BX80" s="561" t="n">
        <v>77</v>
      </c>
      <c r="BY80" s="471" t="n"/>
      <c r="BZ80" s="471" t="n"/>
      <c r="CA80" s="471" t="n"/>
      <c r="CB80" s="471" t="n"/>
      <c r="CC80" s="578">
        <f>CG79</f>
        <v/>
      </c>
      <c r="CD80" s="471" t="n"/>
      <c r="CE80" s="471" t="n"/>
      <c r="CF80" s="471" t="n"/>
      <c r="CG80" s="562">
        <f>IF(AND(CB80:CF80),1,0)</f>
        <v/>
      </c>
      <c r="DP80" s="840" t="n"/>
      <c r="GU80" s="561" t="n">
        <v>77</v>
      </c>
      <c r="GV80" s="566" t="n"/>
      <c r="GW80" s="822" t="n"/>
      <c r="GX80" s="471" t="n"/>
      <c r="GY80" s="471" t="n"/>
      <c r="GZ80" s="801">
        <f>'Mode Logic'!Q18</f>
        <v/>
      </c>
      <c r="HA80" s="471">
        <f>HD79</f>
        <v/>
      </c>
      <c r="HB80" s="471" t="n"/>
      <c r="HC80" s="471" t="n"/>
      <c r="HD80" s="571">
        <f>IF(AND(GY80:HC80),1,0)</f>
        <v/>
      </c>
      <c r="LB80" s="561" t="n">
        <v>77</v>
      </c>
      <c r="LC80" s="471" t="n"/>
      <c r="LD80" s="822" t="n"/>
      <c r="LE80" s="471" t="n"/>
      <c r="LF80" s="822" t="n"/>
      <c r="LG80" s="822">
        <f>LK106</f>
        <v/>
      </c>
      <c r="LH80" s="822" t="n"/>
      <c r="LI80" s="471" t="n"/>
      <c r="LJ80" s="471" t="n"/>
      <c r="LK80" s="562">
        <f>IF(AND(LF80:LJ80),1,0)</f>
        <v/>
      </c>
      <c r="LQ80" s="840">
        <f>LQ79+1</f>
        <v/>
      </c>
      <c r="LR80" s="534" t="n">
        <v>76</v>
      </c>
      <c r="LS80" s="471" t="n"/>
      <c r="LT80" s="822" t="n"/>
      <c r="LU80" s="822" t="n"/>
      <c r="LV80" s="822" t="n"/>
      <c r="LW80" s="581">
        <f>MA79</f>
        <v/>
      </c>
      <c r="LX80" s="822" t="n"/>
      <c r="LY80" s="471" t="n"/>
      <c r="LZ80" s="471" t="n"/>
      <c r="MA80" s="562">
        <f>IF(AND(LV80:LZ80),1,0)</f>
        <v/>
      </c>
      <c r="MH80" s="561" t="n">
        <v>77</v>
      </c>
      <c r="MI80" s="471" t="n"/>
      <c r="MJ80" s="822" t="inlineStr">
        <is>
          <t>FADR</t>
        </is>
      </c>
      <c r="MK80" s="471" t="n"/>
      <c r="ML80" s="822" t="n"/>
      <c r="MM80" s="574">
        <f>MT13</f>
        <v/>
      </c>
      <c r="MN80" s="822" t="n"/>
      <c r="MO80" s="471" t="n"/>
      <c r="MP80" s="471" t="n"/>
      <c r="MQ80" s="562">
        <f>IF(AND(ML80:MP80),1,0)</f>
        <v/>
      </c>
    </row>
    <row r="81" ht="15" customHeight="1">
      <c r="F81" s="840" t="n"/>
      <c r="G81" s="840" t="n"/>
      <c r="P81" s="561" t="n">
        <v>78</v>
      </c>
      <c r="Q81" s="471" t="n"/>
      <c r="R81" s="561" t="n"/>
      <c r="S81" s="471" t="n"/>
      <c r="T81" s="471" t="n"/>
      <c r="U81" s="801">
        <f>Y74</f>
        <v/>
      </c>
      <c r="V81" s="471" t="n"/>
      <c r="W81" s="471" t="n"/>
      <c r="X81" s="471" t="n"/>
      <c r="Y81" s="562">
        <f>IF(AND(T81:X81),1,0)</f>
        <v/>
      </c>
      <c r="AF81" s="561" t="n">
        <v>78</v>
      </c>
      <c r="AG81" s="568" t="n"/>
      <c r="AH81" s="566" t="n"/>
      <c r="AI81" s="471" t="n"/>
      <c r="AJ81" s="471" t="n"/>
      <c r="AK81" s="578">
        <f>AO73</f>
        <v/>
      </c>
      <c r="AL81" s="561">
        <f>AO80</f>
        <v/>
      </c>
      <c r="AM81" s="471" t="n"/>
      <c r="AN81" s="471" t="n"/>
      <c r="AO81" s="562">
        <f>IF(AND(AJ81:AN81),1,0)</f>
        <v/>
      </c>
      <c r="BI81" s="561" t="n">
        <v>78</v>
      </c>
      <c r="BJ81" s="471" t="n"/>
      <c r="BK81" s="471" t="n"/>
      <c r="BL81" s="471" t="n"/>
      <c r="BM81" s="471" t="n"/>
      <c r="BN81" s="561">
        <f>BR80</f>
        <v/>
      </c>
      <c r="BO81" s="471" t="n"/>
      <c r="BP81" s="471" t="n"/>
      <c r="BQ81" s="471" t="n"/>
      <c r="BR81" s="562">
        <f>IF(AND(BM81:BQ81),1,0)</f>
        <v/>
      </c>
      <c r="BX81" s="561" t="n">
        <v>78</v>
      </c>
      <c r="BY81" s="471" t="n"/>
      <c r="BZ81" s="471" t="n"/>
      <c r="CA81" s="471" t="n"/>
      <c r="CB81" s="471" t="n"/>
      <c r="CC81" s="561">
        <f>CG80</f>
        <v/>
      </c>
      <c r="CD81" s="471" t="n"/>
      <c r="CE81" s="471" t="n"/>
      <c r="CF81" s="471" t="n"/>
      <c r="CG81" s="562">
        <f>IF(AND(CB81:CF81),1,0)</f>
        <v/>
      </c>
      <c r="DP81" s="840" t="n"/>
      <c r="GU81" s="561" t="n">
        <v>78</v>
      </c>
      <c r="GV81" s="566" t="n"/>
      <c r="GW81" s="822" t="n"/>
      <c r="GX81" s="471" t="n"/>
      <c r="GY81" s="471" t="n"/>
      <c r="GZ81" s="801">
        <f>IF(NOT(HD80),1,0)</f>
        <v/>
      </c>
      <c r="HA81" s="471" t="n"/>
      <c r="HB81" s="471" t="n"/>
      <c r="HC81" s="471" t="n"/>
      <c r="HD81" s="571">
        <f>IF(AND(GY81:HC81),1,0)</f>
        <v/>
      </c>
      <c r="LB81" s="561" t="n">
        <v>78</v>
      </c>
      <c r="LC81" s="471" t="n"/>
      <c r="LD81" s="822" t="n"/>
      <c r="LE81" s="471" t="n"/>
      <c r="LF81" s="822" t="n"/>
      <c r="LG81" s="840">
        <f>LK74</f>
        <v/>
      </c>
      <c r="LH81" s="822" t="n"/>
      <c r="LI81" s="471" t="n"/>
      <c r="LJ81" s="471" t="n"/>
      <c r="LK81" s="562">
        <f>IF(AND(LF81:LJ81),1,0)</f>
        <v/>
      </c>
      <c r="LQ81" s="840">
        <f>LQ80+1</f>
        <v/>
      </c>
      <c r="LR81" s="534" t="n">
        <v>77</v>
      </c>
      <c r="LS81" s="471" t="n"/>
      <c r="LT81" s="822" t="n"/>
      <c r="LU81" s="822" t="n"/>
      <c r="LV81" s="822" t="n"/>
      <c r="LW81" s="581">
        <f>MA80</f>
        <v/>
      </c>
      <c r="LX81" s="822" t="n"/>
      <c r="LY81" s="471" t="n"/>
      <c r="LZ81" s="471" t="n"/>
      <c r="MA81" s="562">
        <f>IF(AND(LV81:LZ81),1,0)</f>
        <v/>
      </c>
      <c r="MH81" s="561" t="n">
        <v>78</v>
      </c>
      <c r="MI81" s="471" t="n"/>
      <c r="MJ81" s="822" t="inlineStr">
        <is>
          <t>SFC OFF</t>
        </is>
      </c>
      <c r="MK81" s="471" t="n"/>
      <c r="ML81" s="822" t="n"/>
      <c r="MM81" s="574">
        <f>MT15</f>
        <v/>
      </c>
      <c r="MN81" s="822" t="n"/>
      <c r="MO81" s="471" t="n"/>
      <c r="MP81" s="471" t="n"/>
      <c r="MQ81" s="562">
        <f>IF(AND(ML81:MP81),1,0)</f>
        <v/>
      </c>
    </row>
    <row r="82" ht="15.75" customHeight="1">
      <c r="F82" s="840" t="n"/>
      <c r="G82" s="840" t="n"/>
      <c r="P82" s="561" t="n">
        <v>79</v>
      </c>
      <c r="Q82" s="471" t="n"/>
      <c r="R82" s="566" t="inlineStr">
        <is>
          <t>COMPRESSOR 3 (3A) Pa=7.5kW P.f=0.77</t>
        </is>
      </c>
      <c r="S82" s="471" t="n"/>
      <c r="T82" s="471" t="n"/>
      <c r="U82" s="582">
        <f>AB22</f>
        <v/>
      </c>
      <c r="V82" s="561">
        <f>Y75</f>
        <v/>
      </c>
      <c r="W82" s="561">
        <f>Y78</f>
        <v/>
      </c>
      <c r="X82" s="561">
        <f>Y81</f>
        <v/>
      </c>
      <c r="Y82" s="562">
        <f>IF(AND(T82:X82),1,0)</f>
        <v/>
      </c>
      <c r="AF82" s="561" t="n">
        <v>79</v>
      </c>
      <c r="AG82" s="568" t="n"/>
      <c r="AH82" s="566" t="n"/>
      <c r="AI82" s="471" t="n"/>
      <c r="AJ82" s="471" t="n"/>
      <c r="AK82" s="578">
        <f>AO75</f>
        <v/>
      </c>
      <c r="AL82" s="561">
        <f>AO81</f>
        <v/>
      </c>
      <c r="AM82" s="471" t="n"/>
      <c r="AN82" s="471" t="n"/>
      <c r="AO82" s="562">
        <f>IF(AND(AJ82:AN82),1,0)</f>
        <v/>
      </c>
      <c r="BI82" s="561" t="n">
        <v>79</v>
      </c>
      <c r="BJ82" s="471" t="n"/>
      <c r="BK82" s="471" t="n"/>
      <c r="BL82" s="471" t="n"/>
      <c r="BM82" s="471" t="n"/>
      <c r="BN82" s="578">
        <f>BR80</f>
        <v/>
      </c>
      <c r="BO82" s="471" t="n"/>
      <c r="BP82" s="471" t="n"/>
      <c r="BQ82" s="471" t="n"/>
      <c r="BR82" s="562">
        <f>IF(AND(BM82:BQ82),1,0)</f>
        <v/>
      </c>
      <c r="BX82" s="561" t="n">
        <v>79</v>
      </c>
      <c r="BY82" s="471" t="n"/>
      <c r="BZ82" s="471" t="n"/>
      <c r="CA82" s="471" t="n"/>
      <c r="CB82" s="471" t="n"/>
      <c r="CC82" s="578">
        <f>CG80</f>
        <v/>
      </c>
      <c r="CD82" s="471" t="n"/>
      <c r="CE82" s="471" t="n"/>
      <c r="CF82" s="471" t="n"/>
      <c r="CG82" s="562">
        <f>IF(AND(CB82:CF82),1,0)</f>
        <v/>
      </c>
      <c r="DP82" s="840" t="n"/>
      <c r="GU82" s="561" t="n">
        <v>79</v>
      </c>
      <c r="GV82" s="566" t="n"/>
      <c r="GW82" s="822" t="n"/>
      <c r="GX82" s="471" t="n"/>
      <c r="GY82" s="471" t="n"/>
      <c r="GZ82" s="801">
        <f>HD81</f>
        <v/>
      </c>
      <c r="HA82" s="471" t="n"/>
      <c r="HB82" s="471" t="n"/>
      <c r="HC82" s="471" t="n"/>
      <c r="HD82" s="571">
        <f>IF(AND(GY82:HC82),1,0)</f>
        <v/>
      </c>
      <c r="LB82" s="561" t="n">
        <v>79</v>
      </c>
      <c r="LC82" s="471" t="n"/>
      <c r="LD82" s="822" t="n"/>
      <c r="LE82" s="471" t="n"/>
      <c r="LF82" s="822" t="n"/>
      <c r="LG82" s="822">
        <f>LK111</f>
        <v/>
      </c>
      <c r="LH82" s="822" t="n"/>
      <c r="LI82" s="471" t="n"/>
      <c r="LJ82" s="471" t="n"/>
      <c r="LK82" s="562">
        <f>IF(AND(LF82:LJ82),1,0)</f>
        <v/>
      </c>
      <c r="LQ82" s="840">
        <f>LQ81+1</f>
        <v/>
      </c>
      <c r="LR82" s="534" t="n">
        <v>78</v>
      </c>
      <c r="LS82" s="471" t="n"/>
      <c r="LT82" s="822" t="n"/>
      <c r="LU82" s="822" t="n"/>
      <c r="LV82" s="822" t="n"/>
      <c r="LW82" s="822">
        <f>MA81</f>
        <v/>
      </c>
      <c r="LX82" s="822" t="n"/>
      <c r="LY82" s="471" t="n"/>
      <c r="LZ82" s="471" t="n"/>
      <c r="MA82" s="562">
        <f>IF(AND(LV82:LZ82),1,0)</f>
        <v/>
      </c>
      <c r="MH82" s="561" t="n">
        <v>79</v>
      </c>
      <c r="MI82" s="471" t="n"/>
      <c r="MJ82" s="822" t="n"/>
      <c r="MK82" s="471" t="n"/>
      <c r="ML82" s="822" t="n"/>
      <c r="MM82" s="581" t="n">
        <v>1</v>
      </c>
      <c r="MN82" s="822" t="n"/>
      <c r="MO82" s="471" t="n"/>
      <c r="MP82" s="471" t="n"/>
      <c r="MQ82" s="562">
        <f>IF(AND(ML82:MP82),1,0)</f>
        <v/>
      </c>
    </row>
    <row r="83" ht="31" customHeight="1">
      <c r="A83" s="568" t="n"/>
      <c r="B83" s="566" t="n"/>
      <c r="F83" s="840" t="n"/>
      <c r="G83" s="840" t="n"/>
      <c r="P83" s="561" t="n">
        <v>80</v>
      </c>
      <c r="Q83" s="471" t="n"/>
      <c r="R83" s="561" t="inlineStr">
        <is>
          <t>GROUND</t>
        </is>
      </c>
      <c r="S83" s="471" t="n"/>
      <c r="T83" s="471" t="n"/>
      <c r="U83" s="801" t="n">
        <v>1</v>
      </c>
      <c r="V83" s="471" t="n"/>
      <c r="W83" s="471" t="n"/>
      <c r="X83" s="471" t="n"/>
      <c r="Y83" s="562">
        <f>IF(AND(T83:X83),1,0)</f>
        <v/>
      </c>
      <c r="AF83" s="561" t="n">
        <v>80</v>
      </c>
      <c r="AG83" s="568" t="n"/>
      <c r="AH83" s="566" t="inlineStr">
        <is>
          <t>COMPRESSOR 3 (3A) Pa=7.5kW P.f=0.75</t>
        </is>
      </c>
      <c r="AI83" s="471" t="n"/>
      <c r="AJ83" s="471" t="n"/>
      <c r="AK83" s="573">
        <f>AB20</f>
        <v/>
      </c>
      <c r="AL83" s="561">
        <f>AO76</f>
        <v/>
      </c>
      <c r="AM83" s="561">
        <f>AO79</f>
        <v/>
      </c>
      <c r="AN83" s="561">
        <f>AO82</f>
        <v/>
      </c>
      <c r="AO83" s="562">
        <f>IF(AND(AJ83:AN83),1,0)</f>
        <v/>
      </c>
      <c r="BI83" s="561" t="n">
        <v>80</v>
      </c>
      <c r="BJ83" s="471" t="n"/>
      <c r="BK83" s="471" t="n"/>
      <c r="BL83" s="471" t="n"/>
      <c r="BM83" s="471" t="n"/>
      <c r="BN83" s="561">
        <f>BR82</f>
        <v/>
      </c>
      <c r="BO83" s="471" t="n"/>
      <c r="BP83" s="471" t="n"/>
      <c r="BQ83" s="471" t="n"/>
      <c r="BR83" s="562">
        <f>IF(AND(BM83:BQ83),1,0)</f>
        <v/>
      </c>
      <c r="BX83" s="561" t="n">
        <v>80</v>
      </c>
      <c r="BY83" s="471" t="n"/>
      <c r="BZ83" s="471" t="n"/>
      <c r="CA83" s="471" t="n"/>
      <c r="CB83" s="471" t="n"/>
      <c r="CC83" s="561">
        <f>CG82</f>
        <v/>
      </c>
      <c r="CD83" s="471" t="n"/>
      <c r="CE83" s="471" t="n"/>
      <c r="CF83" s="471" t="n"/>
      <c r="CG83" s="562">
        <f>IF(AND(CB83:CF83),1,0)</f>
        <v/>
      </c>
      <c r="DP83" s="840" t="n"/>
      <c r="GU83" s="561" t="n">
        <v>80</v>
      </c>
      <c r="GV83" s="566" t="n"/>
      <c r="GW83" s="822" t="n"/>
      <c r="GX83" s="471" t="n"/>
      <c r="GY83" s="471" t="n"/>
      <c r="GZ83" s="801">
        <f>HD82</f>
        <v/>
      </c>
      <c r="HA83" s="471" t="n"/>
      <c r="HB83" s="471" t="n"/>
      <c r="HC83" s="471" t="n"/>
      <c r="HD83" s="571">
        <f>IF(AND(GY83:HC83),1,0)</f>
        <v/>
      </c>
      <c r="LB83" s="561" t="n">
        <v>80</v>
      </c>
      <c r="LC83" s="471" t="n"/>
      <c r="LD83" s="822" t="n"/>
      <c r="LE83" s="471" t="n"/>
      <c r="LF83" s="822" t="n"/>
      <c r="LG83" s="822">
        <f>LK113</f>
        <v/>
      </c>
      <c r="LH83" s="822" t="n"/>
      <c r="LI83" s="471" t="n"/>
      <c r="LJ83" s="471" t="n"/>
      <c r="LK83" s="562">
        <f>IF(AND(LF83:LJ83),1,0)</f>
        <v/>
      </c>
      <c r="LQ83" s="840">
        <f>LQ82+1</f>
        <v/>
      </c>
      <c r="LR83" s="561" t="n">
        <v>78</v>
      </c>
      <c r="LS83" s="471" t="n"/>
      <c r="LT83" s="822" t="inlineStr">
        <is>
          <t xml:space="preserve">RETURN AIR DAMPER </t>
        </is>
      </c>
      <c r="LU83" s="822" t="n"/>
      <c r="LV83" s="822" t="n"/>
      <c r="LW83" s="574">
        <f>MD10</f>
        <v/>
      </c>
      <c r="LX83" s="822">
        <f>MA77</f>
        <v/>
      </c>
      <c r="LY83" s="471">
        <f>MA78</f>
        <v/>
      </c>
      <c r="LZ83" s="471">
        <f>MA79</f>
        <v/>
      </c>
      <c r="MA83" s="562">
        <f>IF(AND(LV83:LZ83),1,0)</f>
        <v/>
      </c>
      <c r="MH83" s="561" t="n">
        <v>80</v>
      </c>
      <c r="MI83" s="471" t="n"/>
      <c r="MJ83" s="822" t="n"/>
      <c r="MK83" s="471" t="n"/>
      <c r="ML83" s="822" t="n"/>
      <c r="MM83" s="822">
        <f>MQ65</f>
        <v/>
      </c>
      <c r="MN83" s="822" t="n"/>
      <c r="MO83" s="471" t="n"/>
      <c r="MP83" s="471" t="n"/>
      <c r="MQ83" s="562">
        <f>IF(AND(ML83:MP83),1,0)</f>
        <v/>
      </c>
    </row>
    <row r="84" ht="31" customHeight="1">
      <c r="A84" s="566" t="inlineStr">
        <is>
          <t>LA.T01_ +14.10</t>
        </is>
      </c>
      <c r="F84" s="840" t="n"/>
      <c r="G84" s="840" t="n"/>
      <c r="P84" s="561" t="n">
        <v>81</v>
      </c>
      <c r="Q84" s="471" t="n"/>
      <c r="R84" s="561" t="n"/>
      <c r="S84" s="471" t="n"/>
      <c r="T84" s="471" t="n"/>
      <c r="U84" s="801">
        <f>Y34</f>
        <v/>
      </c>
      <c r="V84" s="471" t="n"/>
      <c r="W84" s="471" t="n"/>
      <c r="X84" s="471" t="n"/>
      <c r="Y84" s="562">
        <f>IF(AND(T84:X84),1,0)</f>
        <v/>
      </c>
      <c r="AF84" s="561" t="n">
        <v>81</v>
      </c>
      <c r="AG84" s="568" t="n"/>
      <c r="AH84" s="822" t="inlineStr">
        <is>
          <t>GROUND</t>
        </is>
      </c>
      <c r="AI84" s="471" t="n"/>
      <c r="AJ84" s="471" t="n"/>
      <c r="AK84" s="588" t="n">
        <v>1</v>
      </c>
      <c r="AL84" s="471" t="n"/>
      <c r="AM84" s="471" t="n"/>
      <c r="AN84" s="471" t="n"/>
      <c r="AO84" s="562">
        <f>IF(AND(AJ84:AN84),1,0)</f>
        <v/>
      </c>
      <c r="BI84" s="561" t="n">
        <v>81</v>
      </c>
      <c r="BJ84" s="471" t="n"/>
      <c r="BK84" s="471" t="n"/>
      <c r="BL84" s="471" t="n"/>
      <c r="BM84" s="471" t="n"/>
      <c r="BN84" s="567">
        <f>BU11</f>
        <v/>
      </c>
      <c r="BO84" s="471" t="n"/>
      <c r="BP84" s="471" t="n"/>
      <c r="BQ84" s="471" t="n"/>
      <c r="BR84" s="562">
        <f>IF(AND(BM84:BQ84),1,0)</f>
        <v/>
      </c>
      <c r="BX84" s="561" t="n">
        <v>81</v>
      </c>
      <c r="BY84" s="471" t="n"/>
      <c r="BZ84" s="471" t="n"/>
      <c r="CA84" s="471" t="n"/>
      <c r="CB84" s="471" t="n"/>
      <c r="CC84" s="567">
        <f>BU11</f>
        <v/>
      </c>
      <c r="CD84" s="471" t="n"/>
      <c r="CE84" s="471" t="n"/>
      <c r="CF84" s="471" t="n"/>
      <c r="CG84" s="562">
        <f>IF(AND(CB84:CF84),1,0)</f>
        <v/>
      </c>
      <c r="DP84" s="840" t="n"/>
      <c r="GU84" s="561" t="n">
        <v>81</v>
      </c>
      <c r="GV84" s="566" t="n"/>
      <c r="GW84" s="822" t="n"/>
      <c r="GX84" s="471" t="n"/>
      <c r="GY84" s="471" t="n"/>
      <c r="GZ84" s="801">
        <f>HD83</f>
        <v/>
      </c>
      <c r="HA84" s="471" t="n"/>
      <c r="HB84" s="471" t="n"/>
      <c r="HC84" s="471" t="n"/>
      <c r="HD84" s="571">
        <f>IF(AND(GY84:HC84),1,0)</f>
        <v/>
      </c>
      <c r="LB84" s="561" t="n">
        <v>81</v>
      </c>
      <c r="LC84" s="471" t="n"/>
      <c r="LD84" s="822" t="n"/>
      <c r="LE84" s="471" t="n"/>
      <c r="LF84" s="822" t="n"/>
      <c r="LG84" s="822">
        <f>LK74</f>
        <v/>
      </c>
      <c r="LH84" s="822" t="n"/>
      <c r="LI84" s="471" t="n"/>
      <c r="LJ84" s="471" t="n"/>
      <c r="LK84" s="562">
        <f>IF(AND(LF84:LJ84),1,0)</f>
        <v/>
      </c>
      <c r="LQ84" s="840">
        <f>LQ83+1</f>
        <v/>
      </c>
      <c r="MH84" s="561" t="n">
        <v>81</v>
      </c>
      <c r="MI84" s="471" t="n"/>
      <c r="MJ84" s="822" t="n"/>
      <c r="MK84" s="471" t="n"/>
      <c r="ML84" s="822" t="n"/>
      <c r="MM84" s="822">
        <f>MQ83</f>
        <v/>
      </c>
      <c r="MN84" s="822" t="n"/>
      <c r="MO84" s="471" t="n"/>
      <c r="MP84" s="471" t="n"/>
      <c r="MQ84" s="562">
        <f>IF(AND(ML84:MP84),1,0)</f>
        <v/>
      </c>
    </row>
    <row r="85" ht="31" customHeight="1">
      <c r="A85" s="566" t="inlineStr">
        <is>
          <t>UD.XT14.01</t>
        </is>
      </c>
      <c r="B85" s="566" t="n"/>
      <c r="F85" s="840" t="n"/>
      <c r="G85" s="840" t="n"/>
      <c r="P85" s="561" t="n">
        <v>82</v>
      </c>
      <c r="Q85" s="471" t="n"/>
      <c r="R85" s="597" t="inlineStr">
        <is>
          <t>CMPB4 20A</t>
        </is>
      </c>
      <c r="S85" s="471" t="n"/>
      <c r="T85" s="471" t="n"/>
      <c r="U85" s="582">
        <f>AB20</f>
        <v/>
      </c>
      <c r="V85" s="561">
        <f>Y84</f>
        <v/>
      </c>
      <c r="W85" s="471">
        <f>Y91</f>
        <v/>
      </c>
      <c r="X85" s="471">
        <f>Y95</f>
        <v/>
      </c>
      <c r="Y85" s="562">
        <f>IF(AND(T85:X85),1,0)</f>
        <v/>
      </c>
      <c r="AF85" s="561" t="n">
        <v>82</v>
      </c>
      <c r="AG85" s="568" t="n"/>
      <c r="AH85" s="566" t="n"/>
      <c r="AI85" s="471" t="n"/>
      <c r="AJ85" s="471" t="n"/>
      <c r="AK85" s="588">
        <f>AO35</f>
        <v/>
      </c>
      <c r="AL85" s="471" t="n"/>
      <c r="AM85" s="471" t="n"/>
      <c r="AN85" s="471" t="n"/>
      <c r="AO85" s="562">
        <f>IF(AND(AJ85:AN85),1,0)</f>
        <v/>
      </c>
      <c r="BI85" s="561" t="n">
        <v>82</v>
      </c>
      <c r="BJ85" s="471" t="n"/>
      <c r="BK85" s="471" t="n"/>
      <c r="BL85" s="471" t="n"/>
      <c r="BM85" s="471" t="n"/>
      <c r="BN85" s="561">
        <f>BR84</f>
        <v/>
      </c>
      <c r="BO85" s="471" t="n"/>
      <c r="BP85" s="471" t="n"/>
      <c r="BQ85" s="471" t="n"/>
      <c r="BR85" s="562">
        <f>IF(AND(BM85:BQ85),1,0)</f>
        <v/>
      </c>
      <c r="BX85" s="561" t="n">
        <v>82</v>
      </c>
      <c r="BY85" s="471" t="n"/>
      <c r="BZ85" s="471" t="n"/>
      <c r="CA85" s="471" t="n"/>
      <c r="CB85" s="471" t="n"/>
      <c r="CC85" s="561">
        <f>CG84</f>
        <v/>
      </c>
      <c r="CD85" s="471" t="n"/>
      <c r="CE85" s="471" t="n"/>
      <c r="CF85" s="471" t="n"/>
      <c r="CG85" s="562">
        <f>IF(AND(CB85:CF85),1,0)</f>
        <v/>
      </c>
      <c r="DP85" s="840" t="n"/>
      <c r="GU85" s="561" t="n">
        <v>82</v>
      </c>
      <c r="GV85" s="566" t="n"/>
      <c r="GW85" s="822" t="n"/>
      <c r="GX85" s="471" t="n"/>
      <c r="GY85" s="471" t="n"/>
      <c r="GZ85" s="801">
        <f>IF(NOT(HD92),1,0)</f>
        <v/>
      </c>
      <c r="HA85" s="471" t="n"/>
      <c r="HB85" s="471" t="n"/>
      <c r="HC85" s="471" t="n"/>
      <c r="HD85" s="571">
        <f>IF(AND(GY85:HC85),1,0)</f>
        <v/>
      </c>
      <c r="LB85" s="561" t="n">
        <v>82</v>
      </c>
      <c r="LC85" s="471" t="n"/>
      <c r="LD85" s="822" t="n"/>
      <c r="LE85" s="471" t="n"/>
      <c r="LF85" s="822" t="n"/>
      <c r="LG85" s="822">
        <f>LK116</f>
        <v/>
      </c>
      <c r="LH85" s="822" t="n"/>
      <c r="LI85" s="471" t="n"/>
      <c r="LJ85" s="471" t="n"/>
      <c r="LK85" s="562">
        <f>IF(AND(LF85:LJ85),1,0)</f>
        <v/>
      </c>
      <c r="LQ85" s="840">
        <f>LQ84+1</f>
        <v/>
      </c>
      <c r="MH85" s="561" t="n">
        <v>82</v>
      </c>
      <c r="MI85" s="471" t="n"/>
      <c r="MJ85" s="822" t="inlineStr">
        <is>
          <t>ACCP2N</t>
        </is>
      </c>
      <c r="MK85" s="471" t="n"/>
      <c r="ML85" s="822" t="n"/>
      <c r="MM85" s="574">
        <f>MT20</f>
        <v/>
      </c>
      <c r="MN85" s="822" t="n"/>
      <c r="MO85" s="471" t="n"/>
      <c r="MP85" s="471" t="n"/>
      <c r="MQ85" s="562">
        <f>IF(AND(ML85:MP85),1,0)</f>
        <v/>
      </c>
    </row>
    <row r="86">
      <c r="A86" s="566" t="n"/>
      <c r="B86" s="566" t="n"/>
      <c r="F86" s="840" t="n"/>
      <c r="G86" s="840" t="n"/>
      <c r="P86" s="561" t="n">
        <v>83</v>
      </c>
      <c r="Q86" s="471" t="n"/>
      <c r="R86" s="561" t="n"/>
      <c r="S86" s="471" t="n"/>
      <c r="T86" s="471" t="n"/>
      <c r="U86" s="801">
        <f>Y85</f>
        <v/>
      </c>
      <c r="V86" s="471" t="n"/>
      <c r="W86" s="471" t="n"/>
      <c r="X86" s="471" t="n"/>
      <c r="Y86" s="562">
        <f>IF(AND(T86:X86),1,0)</f>
        <v/>
      </c>
      <c r="AF86" s="561" t="n">
        <v>83</v>
      </c>
      <c r="AG86" s="568" t="n"/>
      <c r="AH86" s="801" t="inlineStr">
        <is>
          <t>CMPB4 _13A</t>
        </is>
      </c>
      <c r="AI86" s="471" t="n"/>
      <c r="AJ86" s="471" t="n"/>
      <c r="AK86" s="569">
        <f>AB20</f>
        <v/>
      </c>
      <c r="AL86" s="471">
        <f>AO85</f>
        <v/>
      </c>
      <c r="AM86" s="471" t="n"/>
      <c r="AN86" s="471" t="n"/>
      <c r="AO86" s="562">
        <f>IF(AND(AJ86:AN86),1,0)</f>
        <v/>
      </c>
      <c r="BI86" s="561" t="n">
        <v>83</v>
      </c>
      <c r="BJ86" s="471" t="n"/>
      <c r="BK86" s="471" t="n"/>
      <c r="BL86" s="471" t="n"/>
      <c r="BM86" s="471" t="n"/>
      <c r="BN86" s="578">
        <f>BR85</f>
        <v/>
      </c>
      <c r="BO86" s="471" t="n"/>
      <c r="BP86" s="471" t="n"/>
      <c r="BQ86" s="471" t="n"/>
      <c r="BR86" s="562">
        <f>IF(AND(BM86:BQ86),1,0)</f>
        <v/>
      </c>
      <c r="BX86" s="561" t="n">
        <v>83</v>
      </c>
      <c r="BY86" s="471" t="n"/>
      <c r="BZ86" s="471" t="n"/>
      <c r="CA86" s="471" t="n"/>
      <c r="CB86" s="471" t="n"/>
      <c r="CC86" s="578">
        <f>CG85</f>
        <v/>
      </c>
      <c r="CD86" s="471" t="n"/>
      <c r="CE86" s="471" t="n"/>
      <c r="CF86" s="471" t="n"/>
      <c r="CG86" s="562">
        <f>IF(AND(CB86:CF86),1,0)</f>
        <v/>
      </c>
      <c r="GU86" s="561" t="n">
        <v>83</v>
      </c>
      <c r="GV86" s="566" t="n"/>
      <c r="GW86" s="822" t="inlineStr">
        <is>
          <t>RAD CLOSE</t>
        </is>
      </c>
      <c r="GX86" s="471" t="n"/>
      <c r="GY86" s="471" t="n"/>
      <c r="GZ86" s="569">
        <f>IF(NOT(HD92),1,0)</f>
        <v/>
      </c>
      <c r="HA86" s="471">
        <f>HD85</f>
        <v/>
      </c>
      <c r="HB86" s="471" t="n"/>
      <c r="HC86" s="471" t="n"/>
      <c r="HD86" s="571">
        <f>IF(AND(GY86:HC86),1,0)</f>
        <v/>
      </c>
      <c r="LB86" s="561" t="n">
        <v>83</v>
      </c>
      <c r="LC86" s="471" t="n"/>
      <c r="LD86" s="822" t="n"/>
      <c r="LE86" s="471" t="n"/>
      <c r="LF86" s="822" t="n"/>
      <c r="LG86" s="822">
        <f>LK118</f>
        <v/>
      </c>
      <c r="LH86" s="822" t="n"/>
      <c r="LI86" s="471" t="n"/>
      <c r="LJ86" s="471" t="n"/>
      <c r="LK86" s="562">
        <f>IF(AND(LF86:LJ86),1,0)</f>
        <v/>
      </c>
      <c r="LQ86" s="840">
        <f>LQ85+1</f>
        <v/>
      </c>
      <c r="MH86" s="561" t="n">
        <v>83</v>
      </c>
      <c r="MI86" s="471" t="n"/>
      <c r="MJ86" s="822" t="n"/>
      <c r="MK86" s="471" t="n"/>
      <c r="ML86" s="822" t="n"/>
      <c r="MM86" s="822">
        <f>MQ85</f>
        <v/>
      </c>
      <c r="MN86" s="822" t="n"/>
      <c r="MO86" s="471" t="n"/>
      <c r="MP86" s="471" t="n"/>
      <c r="MQ86" s="562">
        <f>IF(AND(ML86:MP86),1,0)</f>
        <v/>
      </c>
    </row>
    <row r="87">
      <c r="A87" s="471" t="n"/>
      <c r="B87" s="471" t="n"/>
      <c r="F87" s="840" t="n"/>
      <c r="G87" s="840" t="n"/>
      <c r="P87" s="561" t="n">
        <v>84</v>
      </c>
      <c r="Q87" s="471" t="n"/>
      <c r="R87" s="597" t="inlineStr">
        <is>
          <t>CMPC4 26A</t>
        </is>
      </c>
      <c r="S87" s="471" t="n"/>
      <c r="T87" s="471" t="n"/>
      <c r="U87" s="582">
        <f>AB20</f>
        <v/>
      </c>
      <c r="V87" s="471">
        <f>Y86</f>
        <v/>
      </c>
      <c r="W87" s="471">
        <f>Y92</f>
        <v/>
      </c>
      <c r="X87" s="471">
        <f>Y96</f>
        <v/>
      </c>
      <c r="Y87" s="562">
        <f>IF(AND(T87:X87),1,0)</f>
        <v/>
      </c>
      <c r="AF87" s="561" t="n">
        <v>84</v>
      </c>
      <c r="AG87" s="568" t="n"/>
      <c r="AH87" s="566" t="n"/>
      <c r="AI87" s="471" t="n"/>
      <c r="AJ87" s="471" t="n"/>
      <c r="AK87" s="588">
        <f>AO86</f>
        <v/>
      </c>
      <c r="AL87" s="471" t="n"/>
      <c r="AM87" s="471" t="n"/>
      <c r="AN87" s="471" t="n"/>
      <c r="AO87" s="562">
        <f>IF(AND(AJ87:AN87),1,0)</f>
        <v/>
      </c>
      <c r="BI87" s="561" t="n">
        <v>84</v>
      </c>
      <c r="BJ87" s="471" t="n"/>
      <c r="BK87" s="471" t="n"/>
      <c r="BL87" s="471" t="n"/>
      <c r="BM87" s="471" t="n"/>
      <c r="BN87" s="561">
        <f>BR86</f>
        <v/>
      </c>
      <c r="BO87" s="471" t="n"/>
      <c r="BP87" s="471" t="n"/>
      <c r="BQ87" s="471" t="n"/>
      <c r="BR87" s="562">
        <f>IF(AND(BM87:BQ87),1,0)</f>
        <v/>
      </c>
      <c r="BX87" s="561" t="n">
        <v>84</v>
      </c>
      <c r="BY87" s="471" t="n"/>
      <c r="BZ87" s="471" t="n"/>
      <c r="CA87" s="471" t="n"/>
      <c r="CB87" s="471" t="n"/>
      <c r="CC87" s="561">
        <f>CG86</f>
        <v/>
      </c>
      <c r="CD87" s="471" t="n"/>
      <c r="CE87" s="471" t="n"/>
      <c r="CF87" s="471" t="n"/>
      <c r="CG87" s="562">
        <f>IF(AND(CB87:CF87),1,0)</f>
        <v/>
      </c>
      <c r="GU87" s="561" t="n">
        <v>84</v>
      </c>
      <c r="GV87" s="566" t="n"/>
      <c r="GW87" s="822" t="n"/>
      <c r="GX87" s="471" t="n"/>
      <c r="GY87" s="471" t="n"/>
      <c r="GZ87" s="801" t="n">
        <v>1</v>
      </c>
      <c r="HA87" s="471">
        <f>HD80</f>
        <v/>
      </c>
      <c r="HB87" s="471" t="n"/>
      <c r="HC87" s="471" t="n"/>
      <c r="HD87" s="571">
        <f>IF(AND(GY87:HC87),1,0)</f>
        <v/>
      </c>
      <c r="LB87" s="561" t="n">
        <v>84</v>
      </c>
      <c r="LC87" s="471" t="n"/>
      <c r="LD87" s="822" t="n"/>
      <c r="LE87" s="471" t="n"/>
      <c r="LF87" s="822" t="n"/>
      <c r="LG87" s="822">
        <f>LK86</f>
        <v/>
      </c>
      <c r="LH87" s="822" t="n"/>
      <c r="LI87" s="471" t="n"/>
      <c r="LJ87" s="471" t="n"/>
      <c r="LK87" s="562">
        <f>IF(AND(LF87:LJ87),1,0)</f>
        <v/>
      </c>
      <c r="LQ87" s="840">
        <f>LQ86+1</f>
        <v/>
      </c>
      <c r="MH87" s="561" t="n">
        <v>84</v>
      </c>
      <c r="MI87" s="471" t="n"/>
      <c r="MJ87" s="822" t="n"/>
      <c r="MK87" s="471" t="n"/>
      <c r="ML87" s="822" t="n"/>
      <c r="MM87" s="581">
        <f>MQ88</f>
        <v/>
      </c>
      <c r="MN87" s="822" t="n"/>
      <c r="MO87" s="471" t="n"/>
      <c r="MP87" s="471" t="n"/>
      <c r="MQ87" s="562">
        <f>IF(AND(ML87:MP87),1,0)</f>
        <v/>
      </c>
    </row>
    <row r="88" ht="31" customHeight="1">
      <c r="A88" s="566" t="inlineStr">
        <is>
          <t>LA .S03_ +14.30</t>
        </is>
      </c>
      <c r="B88" s="801" t="inlineStr">
        <is>
          <t>CACS</t>
        </is>
      </c>
      <c r="P88" s="561" t="n">
        <v>85</v>
      </c>
      <c r="Q88" s="471" t="n"/>
      <c r="R88" s="561" t="n"/>
      <c r="S88" s="471" t="n"/>
      <c r="T88" s="471" t="n"/>
      <c r="U88" s="801">
        <f>Y87</f>
        <v/>
      </c>
      <c r="V88" s="471">
        <f>Y87</f>
        <v/>
      </c>
      <c r="W88" s="471" t="n"/>
      <c r="X88" s="471" t="n"/>
      <c r="Y88" s="562">
        <f>IF(AND(T88:X88),1,0)</f>
        <v/>
      </c>
      <c r="AF88" s="561" t="n">
        <v>85</v>
      </c>
      <c r="AG88" s="568" t="n"/>
      <c r="AH88" s="801" t="inlineStr">
        <is>
          <t>CMPC4 16A</t>
        </is>
      </c>
      <c r="AI88" s="471" t="n"/>
      <c r="AJ88" s="471" t="n"/>
      <c r="AK88" s="569">
        <f>AB20</f>
        <v/>
      </c>
      <c r="AL88" s="471">
        <f>AO87</f>
        <v/>
      </c>
      <c r="AM88" s="471" t="n"/>
      <c r="AN88" s="471" t="n"/>
      <c r="AO88" s="562">
        <f>IF(AND(AJ88:AN88),1,0)</f>
        <v/>
      </c>
      <c r="BI88" s="561" t="n">
        <v>85</v>
      </c>
      <c r="BJ88" s="471" t="n"/>
      <c r="BK88" s="471" t="n"/>
      <c r="BL88" s="471" t="n"/>
      <c r="BM88" s="471" t="n"/>
      <c r="BN88" s="567">
        <f>BU11</f>
        <v/>
      </c>
      <c r="BO88" s="471" t="n"/>
      <c r="BP88" s="471" t="n"/>
      <c r="BQ88" s="471" t="n"/>
      <c r="BR88" s="562">
        <f>IF(AND(BM88:BQ88),1,0)</f>
        <v/>
      </c>
      <c r="BX88" s="561" t="n">
        <v>85</v>
      </c>
      <c r="BY88" s="471" t="n"/>
      <c r="BZ88" s="471" t="n"/>
      <c r="CA88" s="471" t="n"/>
      <c r="CB88" s="471" t="n"/>
      <c r="CC88" s="567">
        <f>BU11</f>
        <v/>
      </c>
      <c r="CD88" s="471" t="n"/>
      <c r="CE88" s="471" t="n"/>
      <c r="CF88" s="471" t="n"/>
      <c r="CG88" s="562">
        <f>IF(AND(CB88:CF88),1,0)</f>
        <v/>
      </c>
      <c r="GU88" s="561" t="n">
        <v>85</v>
      </c>
      <c r="GV88" s="566" t="n"/>
      <c r="GW88" s="822" t="n"/>
      <c r="GX88" s="471" t="n"/>
      <c r="GY88" s="471" t="n"/>
      <c r="GZ88" s="801">
        <f>HD87</f>
        <v/>
      </c>
      <c r="HA88" s="471" t="n"/>
      <c r="HB88" s="471" t="n"/>
      <c r="HC88" s="471" t="n"/>
      <c r="HD88" s="571">
        <f>IF(AND(GY88:HC88),1,0)</f>
        <v/>
      </c>
      <c r="LB88" s="561" t="n">
        <v>85</v>
      </c>
      <c r="LC88" s="471" t="n"/>
      <c r="LD88" s="822" t="n"/>
      <c r="LE88" s="471" t="n"/>
      <c r="LF88" s="822" t="n"/>
      <c r="LG88" s="822">
        <f>LK74</f>
        <v/>
      </c>
      <c r="LH88" s="822" t="n"/>
      <c r="LI88" s="471" t="n"/>
      <c r="LJ88" s="471" t="n"/>
      <c r="LK88" s="562">
        <f>IF(AND(LF88:LJ88),1,0)</f>
        <v/>
      </c>
      <c r="LQ88" s="840">
        <f>LQ87+1</f>
        <v/>
      </c>
      <c r="MH88" s="561" t="n">
        <v>85</v>
      </c>
      <c r="MI88" s="471" t="n"/>
      <c r="MJ88" s="822" t="inlineStr">
        <is>
          <t>ACCP2N</t>
        </is>
      </c>
      <c r="MK88" s="471" t="n"/>
      <c r="ML88" s="822" t="n"/>
      <c r="MM88" s="574">
        <f>MT20</f>
        <v/>
      </c>
      <c r="MN88" s="822" t="n"/>
      <c r="MO88" s="471" t="n"/>
      <c r="MP88" s="471" t="n"/>
      <c r="MQ88" s="562">
        <f>IF(AND(ML88:MP88),1,0)</f>
        <v/>
      </c>
    </row>
    <row r="89">
      <c r="A89" s="471" t="n"/>
      <c r="B89" s="471" t="n"/>
      <c r="P89" s="561" t="n">
        <v>86</v>
      </c>
      <c r="Q89" s="471" t="n"/>
      <c r="R89" s="597" t="inlineStr">
        <is>
          <t>EMR DRIVE</t>
        </is>
      </c>
      <c r="S89" s="471" t="n"/>
      <c r="T89" s="471" t="n"/>
      <c r="U89" s="582">
        <f>AB20</f>
        <v/>
      </c>
      <c r="V89" s="471">
        <f>Y88</f>
        <v/>
      </c>
      <c r="W89" s="471">
        <f>Y93</f>
        <v/>
      </c>
      <c r="X89" s="471">
        <f>Y97</f>
        <v/>
      </c>
      <c r="Y89" s="562">
        <f>IF(AND(T89:X89),1,0)</f>
        <v/>
      </c>
      <c r="AF89" s="561" t="n">
        <v>86</v>
      </c>
      <c r="AG89" s="568" t="n"/>
      <c r="AH89" s="566" t="n"/>
      <c r="AI89" s="471" t="n"/>
      <c r="AJ89" s="471" t="n"/>
      <c r="AK89" s="588">
        <f>AO88</f>
        <v/>
      </c>
      <c r="AL89" s="471" t="n"/>
      <c r="AM89" s="471" t="n"/>
      <c r="AN89" s="471" t="n"/>
      <c r="AO89" s="562">
        <f>IF(AND(AJ89:AN89),1,0)</f>
        <v/>
      </c>
      <c r="BI89" s="561" t="n">
        <v>86</v>
      </c>
      <c r="BJ89" s="471" t="n"/>
      <c r="BK89" s="471" t="n"/>
      <c r="BL89" s="471" t="n"/>
      <c r="BM89" s="471" t="n"/>
      <c r="BN89" s="561">
        <f>BR88</f>
        <v/>
      </c>
      <c r="BO89" s="471" t="n"/>
      <c r="BP89" s="471" t="n"/>
      <c r="BQ89" s="471" t="n"/>
      <c r="BR89" s="562">
        <f>IF(AND(BM89:BQ89),1,0)</f>
        <v/>
      </c>
      <c r="BX89" s="561" t="n">
        <v>86</v>
      </c>
      <c r="BY89" s="471" t="n"/>
      <c r="BZ89" s="471" t="n"/>
      <c r="CA89" s="471" t="n"/>
      <c r="CB89" s="471" t="n"/>
      <c r="CC89" s="561">
        <f>CG88</f>
        <v/>
      </c>
      <c r="CD89" s="471" t="n"/>
      <c r="CE89" s="471" t="n"/>
      <c r="CF89" s="471" t="n"/>
      <c r="CG89" s="562">
        <f>IF(AND(CB89:CF89),1,0)</f>
        <v/>
      </c>
      <c r="GU89" s="561" t="n">
        <v>86</v>
      </c>
      <c r="GV89" s="566" t="n"/>
      <c r="GW89" s="822" t="n"/>
      <c r="GX89" s="471" t="n"/>
      <c r="GY89" s="471" t="n"/>
      <c r="GZ89" s="801">
        <f>HD88</f>
        <v/>
      </c>
      <c r="HA89" s="471" t="n"/>
      <c r="HB89" s="471" t="n"/>
      <c r="HC89" s="471" t="n"/>
      <c r="HD89" s="571">
        <f>IF(AND(GY89:HC89),1,0)</f>
        <v/>
      </c>
      <c r="LB89" s="561" t="n">
        <v>86</v>
      </c>
      <c r="LC89" s="471" t="n"/>
      <c r="LD89" s="822" t="n"/>
      <c r="LE89" s="471" t="n"/>
      <c r="LF89" s="822" t="n"/>
      <c r="LG89" s="822">
        <f>LK123</f>
        <v/>
      </c>
      <c r="LH89" s="822" t="n"/>
      <c r="LI89" s="471" t="n"/>
      <c r="LJ89" s="471" t="n"/>
      <c r="LK89" s="562">
        <f>IF(AND(LF89:LJ89),1,0)</f>
        <v/>
      </c>
      <c r="LQ89" s="840">
        <f>LQ88+1</f>
        <v/>
      </c>
      <c r="MH89" s="561" t="n">
        <v>86</v>
      </c>
      <c r="MI89" s="471" t="n"/>
      <c r="MJ89" s="822" t="n"/>
      <c r="MK89" s="471" t="n"/>
      <c r="ML89" s="822" t="n"/>
      <c r="MM89" s="822">
        <f>MQ136</f>
        <v/>
      </c>
      <c r="MN89" s="822" t="n"/>
      <c r="MO89" s="471" t="n"/>
      <c r="MP89" s="471" t="n"/>
      <c r="MQ89" s="562">
        <f>IF(AND(ML89:MP89),1,0)</f>
        <v/>
      </c>
    </row>
    <row r="90">
      <c r="A90" s="471" t="n"/>
      <c r="B90" s="471" t="n"/>
      <c r="P90" s="561" t="n">
        <v>87</v>
      </c>
      <c r="Q90" s="471" t="n"/>
      <c r="R90" s="561" t="n"/>
      <c r="S90" s="471" t="n"/>
      <c r="T90" s="471" t="n"/>
      <c r="U90" s="801">
        <f>Y89</f>
        <v/>
      </c>
      <c r="V90" s="471">
        <f>Y88</f>
        <v/>
      </c>
      <c r="W90" s="471" t="n"/>
      <c r="X90" s="471" t="n"/>
      <c r="Y90" s="562">
        <f>IF(AND(T90:X90),1,0)</f>
        <v/>
      </c>
      <c r="AF90" s="561" t="n">
        <v>87</v>
      </c>
      <c r="AG90" s="568" t="n"/>
      <c r="AH90" s="566" t="n"/>
      <c r="AI90" s="471" t="n"/>
      <c r="AJ90" s="471" t="n"/>
      <c r="AK90" s="569">
        <f>AB20</f>
        <v/>
      </c>
      <c r="AL90" s="471">
        <f>AO89</f>
        <v/>
      </c>
      <c r="AM90" s="471">
        <f>AO94</f>
        <v/>
      </c>
      <c r="AN90" s="471">
        <f>AO98</f>
        <v/>
      </c>
      <c r="AO90" s="562">
        <f>IF(AND(AJ90:AN90),1,0)</f>
        <v/>
      </c>
      <c r="BI90" s="561" t="n">
        <v>87</v>
      </c>
      <c r="BJ90" s="471" t="n"/>
      <c r="BK90" s="471" t="n"/>
      <c r="BL90" s="471" t="n"/>
      <c r="BM90" s="471" t="n"/>
      <c r="BN90" s="578">
        <f>BR89</f>
        <v/>
      </c>
      <c r="BO90" s="471" t="n"/>
      <c r="BP90" s="471" t="n"/>
      <c r="BQ90" s="471" t="n"/>
      <c r="BR90" s="562">
        <f>IF(AND(BM90:BQ90),1,0)</f>
        <v/>
      </c>
      <c r="BX90" s="561" t="n">
        <v>87</v>
      </c>
      <c r="BY90" s="471" t="n"/>
      <c r="BZ90" s="471" t="n"/>
      <c r="CA90" s="471" t="n"/>
      <c r="CB90" s="471" t="n"/>
      <c r="CC90" s="578">
        <f>CG89</f>
        <v/>
      </c>
      <c r="CD90" s="471" t="n"/>
      <c r="CE90" s="471" t="n"/>
      <c r="CF90" s="471" t="n"/>
      <c r="CG90" s="562">
        <f>IF(AND(CB90:CF90),1,0)</f>
        <v/>
      </c>
      <c r="GU90" s="561" t="n">
        <v>87</v>
      </c>
      <c r="GV90" s="566" t="n"/>
      <c r="GW90" s="822" t="n"/>
      <c r="GX90" s="471" t="n"/>
      <c r="GY90" s="471" t="n"/>
      <c r="GZ90" s="801">
        <f>HD89</f>
        <v/>
      </c>
      <c r="HA90" s="471" t="n"/>
      <c r="HB90" s="471" t="n"/>
      <c r="HC90" s="471" t="n"/>
      <c r="HD90" s="571">
        <f>IF(AND(GY90:HC90),1,0)</f>
        <v/>
      </c>
      <c r="LB90" s="561" t="n">
        <v>87</v>
      </c>
      <c r="LC90" s="471" t="n"/>
      <c r="LD90" s="822" t="n"/>
      <c r="LE90" s="471" t="n"/>
      <c r="LF90" s="822" t="n"/>
      <c r="LG90" s="822">
        <f>LK125</f>
        <v/>
      </c>
      <c r="LH90" s="822" t="n"/>
      <c r="LI90" s="471" t="n"/>
      <c r="LJ90" s="471" t="n"/>
      <c r="LK90" s="562">
        <f>IF(AND(LF90:LJ90),1,0)</f>
        <v/>
      </c>
      <c r="LQ90" s="840">
        <f>LQ89+1</f>
        <v/>
      </c>
      <c r="MH90" s="561" t="n">
        <v>87</v>
      </c>
      <c r="MI90" s="471" t="n"/>
      <c r="MJ90" s="822" t="inlineStr">
        <is>
          <t>SMRR</t>
        </is>
      </c>
      <c r="MK90" s="471" t="n"/>
      <c r="ML90" s="822" t="n"/>
      <c r="MM90" s="574">
        <f>IF(OR(MT11=1,MT12=1),0,1)</f>
        <v/>
      </c>
      <c r="MN90" s="822" t="n"/>
      <c r="MO90" s="471" t="n"/>
      <c r="MP90" s="471" t="n"/>
      <c r="MQ90" s="562">
        <f>IF(AND(ML90:MP90),1,0)</f>
        <v/>
      </c>
    </row>
    <row r="91" ht="46.5" customHeight="1">
      <c r="A91" s="566" t="inlineStr">
        <is>
          <t>LA .F11__ +14.20</t>
        </is>
      </c>
      <c r="P91" s="561" t="n">
        <v>88</v>
      </c>
      <c r="Q91" s="471" t="n"/>
      <c r="S91" s="471" t="n"/>
      <c r="T91" s="471" t="n"/>
      <c r="U91" s="801">
        <f>Y37</f>
        <v/>
      </c>
      <c r="V91" s="471" t="n"/>
      <c r="W91" s="471" t="n"/>
      <c r="X91" s="471" t="n"/>
      <c r="Y91" s="562">
        <f>IF(AND(T91:X91),1,0)</f>
        <v/>
      </c>
      <c r="AF91" s="561" t="n">
        <v>88</v>
      </c>
      <c r="AG91" s="568" t="n"/>
      <c r="AH91" s="566" t="n"/>
      <c r="AI91" s="471" t="n"/>
      <c r="AJ91" s="471" t="n"/>
      <c r="AK91" s="588">
        <f>AO90</f>
        <v/>
      </c>
      <c r="AL91" s="471" t="n"/>
      <c r="AM91" s="471" t="n"/>
      <c r="AN91" s="471" t="n"/>
      <c r="AO91" s="562">
        <f>IF(AND(AJ91:AN91),1,0)</f>
        <v/>
      </c>
      <c r="BI91" s="561" t="n">
        <v>88</v>
      </c>
      <c r="BJ91" s="471" t="n"/>
      <c r="BK91" s="471" t="n"/>
      <c r="BL91" s="471" t="n"/>
      <c r="BM91" s="471" t="n"/>
      <c r="BN91" s="561">
        <f>BR90</f>
        <v/>
      </c>
      <c r="BO91" s="471" t="n"/>
      <c r="BP91" s="471" t="n"/>
      <c r="BQ91" s="471" t="n"/>
      <c r="BR91" s="562">
        <f>IF(AND(BM91:BQ91),1,0)</f>
        <v/>
      </c>
      <c r="BX91" s="561" t="n">
        <v>88</v>
      </c>
      <c r="BY91" s="471" t="n"/>
      <c r="BZ91" s="471" t="n"/>
      <c r="CA91" s="471" t="n"/>
      <c r="CB91" s="471" t="n"/>
      <c r="CC91" s="561">
        <f>CG90</f>
        <v/>
      </c>
      <c r="CD91" s="471" t="n"/>
      <c r="CE91" s="471" t="n"/>
      <c r="CF91" s="471" t="n"/>
      <c r="CG91" s="562">
        <f>IF(AND(CB91:CF91),1,0)</f>
        <v/>
      </c>
      <c r="GU91" s="561" t="n">
        <v>88</v>
      </c>
      <c r="GV91" s="566" t="n"/>
      <c r="GW91" s="822" t="n"/>
      <c r="GX91" s="471" t="n"/>
      <c r="GY91" s="471" t="n"/>
      <c r="GZ91" s="801">
        <f>HG18</f>
        <v/>
      </c>
      <c r="HA91" s="471" t="n"/>
      <c r="HB91" s="471" t="n"/>
      <c r="HC91" s="471" t="n"/>
      <c r="HD91" s="571">
        <f>IF(AND(GY91:HC91),1,0)</f>
        <v/>
      </c>
      <c r="LB91" s="561" t="n">
        <v>88</v>
      </c>
      <c r="LC91" s="471" t="n"/>
      <c r="LD91" s="822" t="n"/>
      <c r="LE91" s="471" t="n"/>
      <c r="LF91" s="822" t="n"/>
      <c r="LG91" s="822">
        <f>LK74</f>
        <v/>
      </c>
      <c r="LH91" s="822" t="n"/>
      <c r="LI91" s="471" t="n"/>
      <c r="LJ91" s="471" t="n"/>
      <c r="LK91" s="562">
        <f>IF(AND(LF91:LJ91),1,0)</f>
        <v/>
      </c>
      <c r="LQ91" s="840">
        <f>LQ90+1</f>
        <v/>
      </c>
      <c r="MH91" s="561" t="n">
        <v>88</v>
      </c>
      <c r="MI91" s="471" t="n"/>
      <c r="MJ91" s="822" t="n"/>
      <c r="MK91" s="471" t="n"/>
      <c r="ML91" s="822" t="n"/>
      <c r="MM91" s="581" t="n">
        <v>1</v>
      </c>
      <c r="MN91" s="822" t="n"/>
      <c r="MO91" s="471" t="n"/>
      <c r="MP91" s="471" t="n"/>
      <c r="MQ91" s="562">
        <f>IF(AND(ML91:MP91),1,0)</f>
        <v/>
      </c>
    </row>
    <row r="92">
      <c r="A92" s="471" t="n"/>
      <c r="B92" s="471" t="n"/>
      <c r="P92" s="561" t="n">
        <v>89</v>
      </c>
      <c r="Q92" s="471" t="n"/>
      <c r="R92" s="561" t="n"/>
      <c r="S92" s="471" t="n"/>
      <c r="T92" s="471" t="n"/>
      <c r="U92" s="801">
        <f>Y85</f>
        <v/>
      </c>
      <c r="V92" s="471">
        <f>Y91</f>
        <v/>
      </c>
      <c r="W92" s="471" t="n"/>
      <c r="X92" s="471" t="n"/>
      <c r="Y92" s="562">
        <f>IF(AND(T92:X92),1,0)</f>
        <v/>
      </c>
      <c r="AF92" s="561" t="n">
        <v>89</v>
      </c>
      <c r="AG92" s="568" t="n"/>
      <c r="AH92" s="566" t="n"/>
      <c r="AI92" s="471" t="n"/>
      <c r="AJ92" s="471" t="n"/>
      <c r="AK92" s="588">
        <f>AO38</f>
        <v/>
      </c>
      <c r="AL92" s="471" t="n"/>
      <c r="AM92" s="471" t="n"/>
      <c r="AN92" s="471" t="n"/>
      <c r="AO92" s="562">
        <f>IF(AND(AJ92:AN92),1,0)</f>
        <v/>
      </c>
      <c r="BI92" s="561" t="n">
        <v>89</v>
      </c>
      <c r="BJ92" s="471" t="n"/>
      <c r="BK92" s="471" t="n"/>
      <c r="BL92" s="471" t="n"/>
      <c r="BM92" s="471" t="n"/>
      <c r="BN92" s="567">
        <f>BU11</f>
        <v/>
      </c>
      <c r="BO92" s="471" t="n"/>
      <c r="BP92" s="471" t="n"/>
      <c r="BQ92" s="471" t="n"/>
      <c r="BR92" s="562">
        <f>IF(AND(BM92:BQ92),1,0)</f>
        <v/>
      </c>
      <c r="BX92" s="561" t="n">
        <v>89</v>
      </c>
      <c r="BY92" s="471" t="n"/>
      <c r="BZ92" s="471" t="n"/>
      <c r="CA92" s="471" t="n"/>
      <c r="CB92" s="471" t="n"/>
      <c r="CC92" s="567">
        <f>BU11</f>
        <v/>
      </c>
      <c r="CD92" s="471" t="n"/>
      <c r="CE92" s="471" t="n"/>
      <c r="CF92" s="471" t="n"/>
      <c r="CG92" s="562">
        <f>IF(AND(CB92:CF92),1,0)</f>
        <v/>
      </c>
      <c r="GU92" s="561" t="n">
        <v>89</v>
      </c>
      <c r="GV92" s="566" t="n"/>
      <c r="GW92" s="822" t="inlineStr">
        <is>
          <t>RAD OPEN</t>
        </is>
      </c>
      <c r="GX92" s="471" t="n"/>
      <c r="GY92" s="471" t="n"/>
      <c r="GZ92" s="569">
        <f>HG18</f>
        <v/>
      </c>
      <c r="HA92" s="471">
        <f>HD91</f>
        <v/>
      </c>
      <c r="HB92" s="471" t="n"/>
      <c r="HC92" s="471" t="n"/>
      <c r="HD92" s="571">
        <f>IF(AND(GY92:HC92),1,0)</f>
        <v/>
      </c>
      <c r="LB92" s="561" t="n">
        <v>89</v>
      </c>
      <c r="LC92" s="471" t="n"/>
      <c r="LD92" s="822" t="n"/>
      <c r="LE92" s="471" t="n"/>
      <c r="LF92" s="822" t="n"/>
      <c r="LG92" s="822">
        <f>LK133</f>
        <v/>
      </c>
      <c r="LH92" s="822" t="n"/>
      <c r="LI92" s="471" t="n"/>
      <c r="LJ92" s="471" t="n"/>
      <c r="LK92" s="562">
        <f>IF(AND(LF92:LJ92),1,0)</f>
        <v/>
      </c>
      <c r="LQ92" s="840">
        <f>LQ91+1</f>
        <v/>
      </c>
      <c r="MH92" s="561" t="n">
        <v>89</v>
      </c>
      <c r="MI92" s="471" t="n"/>
      <c r="MJ92" s="822" t="n"/>
      <c r="MK92" s="471" t="n"/>
      <c r="ML92" s="822" t="n"/>
      <c r="MM92" s="822">
        <f>MQ91</f>
        <v/>
      </c>
      <c r="MN92" s="822" t="n"/>
      <c r="MO92" s="471" t="n"/>
      <c r="MP92" s="471" t="n"/>
      <c r="MQ92" s="562">
        <f>IF(AND(ML92:MP92),1,0)</f>
        <v/>
      </c>
    </row>
    <row r="93">
      <c r="A93" s="471" t="n"/>
      <c r="B93" s="471" t="n"/>
      <c r="P93" s="561" t="n">
        <v>90</v>
      </c>
      <c r="Q93" s="471" t="n"/>
      <c r="R93" s="561" t="n"/>
      <c r="S93" s="471" t="n"/>
      <c r="T93" s="471" t="n"/>
      <c r="U93" s="801">
        <f>Y87</f>
        <v/>
      </c>
      <c r="V93" s="471" t="n"/>
      <c r="W93" s="471" t="n"/>
      <c r="X93" s="471" t="n"/>
      <c r="Y93" s="562">
        <f>IF(AND(T93:X93),1,0)</f>
        <v/>
      </c>
      <c r="AF93" s="561" t="n">
        <v>90</v>
      </c>
      <c r="AG93" s="568" t="n"/>
      <c r="AH93" s="566" t="n"/>
      <c r="AI93" s="471" t="n"/>
      <c r="AJ93" s="471" t="n"/>
      <c r="AK93" s="588">
        <f>AO86</f>
        <v/>
      </c>
      <c r="AL93" s="471">
        <f>AO92</f>
        <v/>
      </c>
      <c r="AM93" s="471" t="n"/>
      <c r="AN93" s="471" t="n"/>
      <c r="AO93" s="562">
        <f>IF(AND(AJ93:AN93),1,0)</f>
        <v/>
      </c>
      <c r="BI93" s="561" t="n">
        <v>90</v>
      </c>
      <c r="BJ93" s="471" t="n"/>
      <c r="BK93" s="471" t="n"/>
      <c r="BL93" s="471" t="n"/>
      <c r="BM93" s="471" t="n"/>
      <c r="BN93" s="561">
        <f>BR92</f>
        <v/>
      </c>
      <c r="BO93" s="471" t="n"/>
      <c r="BP93" s="471" t="n"/>
      <c r="BQ93" s="471" t="n"/>
      <c r="BR93" s="562">
        <f>IF(AND(BM93:BQ93),1,0)</f>
        <v/>
      </c>
      <c r="BX93" s="561" t="n">
        <v>90</v>
      </c>
      <c r="BY93" s="471" t="n"/>
      <c r="BZ93" s="471" t="n"/>
      <c r="CA93" s="471" t="n"/>
      <c r="CB93" s="471" t="n"/>
      <c r="CC93" s="561">
        <f>CG92</f>
        <v/>
      </c>
      <c r="CD93" s="471" t="n"/>
      <c r="CE93" s="471" t="n"/>
      <c r="CF93" s="471" t="n"/>
      <c r="CG93" s="562">
        <f>IF(AND(CB93:CF93),1,0)</f>
        <v/>
      </c>
      <c r="GU93" s="561" t="n">
        <v>90</v>
      </c>
      <c r="GV93" s="566" t="n"/>
      <c r="GW93" s="822" t="n"/>
      <c r="GX93" s="471" t="n"/>
      <c r="GY93" s="471" t="n"/>
      <c r="GZ93" s="801">
        <f>HD92</f>
        <v/>
      </c>
      <c r="HA93" s="471" t="n"/>
      <c r="HB93" s="471" t="n"/>
      <c r="HC93" s="471" t="n"/>
      <c r="HD93" s="571">
        <f>IF(AND(GY93:HC93),1,0)</f>
        <v/>
      </c>
      <c r="LB93" s="561" t="n">
        <v>90</v>
      </c>
      <c r="LC93" s="471" t="n"/>
      <c r="LD93" s="822" t="n"/>
      <c r="LE93" s="471" t="n"/>
      <c r="LF93" s="822" t="n"/>
      <c r="LG93" s="822">
        <f>LK135</f>
        <v/>
      </c>
      <c r="LH93" s="822" t="n"/>
      <c r="LI93" s="471" t="n"/>
      <c r="LJ93" s="471" t="n"/>
      <c r="LK93" s="562">
        <f>IF(AND(LF93:LJ93),1,0)</f>
        <v/>
      </c>
      <c r="MH93" s="561" t="n">
        <v>90</v>
      </c>
      <c r="MI93" s="471" t="n"/>
      <c r="MJ93" s="822" t="n"/>
      <c r="MK93" s="471" t="n"/>
      <c r="ML93" s="822" t="n"/>
      <c r="MM93" s="822">
        <f>MQ62</f>
        <v/>
      </c>
      <c r="MN93" s="822" t="n"/>
      <c r="MO93" s="471" t="n"/>
      <c r="MP93" s="471" t="n"/>
      <c r="MQ93" s="562">
        <f>IF(AND(ML93:MP93),1,0)</f>
        <v/>
      </c>
    </row>
    <row r="94">
      <c r="A94" s="471" t="n"/>
      <c r="B94" s="471" t="n"/>
      <c r="P94" s="561" t="n">
        <v>91</v>
      </c>
      <c r="Q94" s="471" t="n"/>
      <c r="R94" s="561" t="n"/>
      <c r="S94" s="471" t="n"/>
      <c r="T94" s="471" t="n"/>
      <c r="U94" s="801">
        <f>Y89</f>
        <v/>
      </c>
      <c r="V94" s="471">
        <f>Y93</f>
        <v/>
      </c>
      <c r="W94" s="471" t="n"/>
      <c r="X94" s="471" t="n"/>
      <c r="Y94" s="562">
        <f>IF(AND(T94:X94),1,0)</f>
        <v/>
      </c>
      <c r="AF94" s="561" t="n">
        <v>91</v>
      </c>
      <c r="AG94" s="568" t="n"/>
      <c r="AH94" s="566" t="n"/>
      <c r="AI94" s="471" t="n"/>
      <c r="AJ94" s="471" t="n"/>
      <c r="AK94" s="588">
        <f>AO88</f>
        <v/>
      </c>
      <c r="AL94" s="471">
        <f>AO93</f>
        <v/>
      </c>
      <c r="AM94" s="471" t="n"/>
      <c r="AN94" s="471" t="n"/>
      <c r="AO94" s="562">
        <f>IF(AND(AJ94:AN94),1,0)</f>
        <v/>
      </c>
      <c r="BI94" s="561" t="n">
        <v>91</v>
      </c>
      <c r="BJ94" s="471" t="n"/>
      <c r="BK94" s="471" t="n"/>
      <c r="BL94" s="471" t="n"/>
      <c r="BM94" s="471" t="n"/>
      <c r="BN94" s="578">
        <f>BR93</f>
        <v/>
      </c>
      <c r="BO94" s="471" t="n"/>
      <c r="BP94" s="471" t="n"/>
      <c r="BQ94" s="471" t="n"/>
      <c r="BR94" s="562">
        <f>IF(AND(BM94:BQ94),1,0)</f>
        <v/>
      </c>
      <c r="BX94" s="561" t="n">
        <v>91</v>
      </c>
      <c r="BY94" s="471" t="n"/>
      <c r="BZ94" s="471" t="n"/>
      <c r="CA94" s="471" t="n"/>
      <c r="CB94" s="471" t="n"/>
      <c r="CC94" s="578">
        <f>CG93</f>
        <v/>
      </c>
      <c r="CD94" s="471" t="n"/>
      <c r="CE94" s="471" t="n"/>
      <c r="CF94" s="471" t="n"/>
      <c r="CG94" s="562">
        <f>IF(AND(CB94:CF94),1,0)</f>
        <v/>
      </c>
      <c r="GZ94" s="840" t="n"/>
      <c r="HD94" s="840" t="n"/>
      <c r="LB94" s="561" t="n">
        <v>91</v>
      </c>
      <c r="LC94" s="471" t="n"/>
      <c r="LD94" s="822" t="n"/>
      <c r="LE94" s="471" t="n"/>
      <c r="LF94" s="822" t="n"/>
      <c r="LG94" s="822">
        <f>LK74</f>
        <v/>
      </c>
      <c r="LH94" s="822" t="n"/>
      <c r="LI94" s="471" t="n"/>
      <c r="LJ94" s="471" t="n"/>
      <c r="LK94" s="562">
        <f>IF(AND(LF94:LJ94),1,0)</f>
        <v/>
      </c>
      <c r="MH94" s="561" t="n">
        <v>91</v>
      </c>
      <c r="MI94" s="471" t="n"/>
      <c r="MJ94" s="822" t="inlineStr">
        <is>
          <t>SMDR</t>
        </is>
      </c>
      <c r="MK94" s="471" t="n"/>
      <c r="ML94" s="822" t="n"/>
      <c r="MM94" s="574">
        <f>MQ93</f>
        <v/>
      </c>
      <c r="MN94" s="822" t="n"/>
      <c r="MO94" s="471" t="n"/>
      <c r="MP94" s="471" t="n"/>
      <c r="MQ94" s="562">
        <f>IF(AND(ML94:MP94),1,0)</f>
        <v/>
      </c>
    </row>
    <row r="95" ht="31" customHeight="1">
      <c r="A95" s="566" t="inlineStr">
        <is>
          <t>LA .A03-X06</t>
        </is>
      </c>
      <c r="B95" s="561" t="n"/>
      <c r="P95" s="561" t="n">
        <v>92</v>
      </c>
      <c r="Q95" s="471" t="n"/>
      <c r="R95" s="561" t="n"/>
      <c r="S95" s="471" t="n"/>
      <c r="T95" s="471" t="n"/>
      <c r="U95" s="801">
        <f>Y40</f>
        <v/>
      </c>
      <c r="V95" s="471" t="n"/>
      <c r="W95" s="471" t="n"/>
      <c r="X95" s="471" t="n"/>
      <c r="Y95" s="562">
        <f>IF(AND(T95:X95),1,0)</f>
        <v/>
      </c>
      <c r="AF95" s="561" t="n">
        <v>92</v>
      </c>
      <c r="AG95" s="568" t="n"/>
      <c r="AH95" s="566" t="n"/>
      <c r="AI95" s="471" t="n"/>
      <c r="AJ95" s="471" t="n"/>
      <c r="AK95" s="588">
        <f>AO90</f>
        <v/>
      </c>
      <c r="AL95" s="471">
        <f>AO94</f>
        <v/>
      </c>
      <c r="AM95" s="471" t="n"/>
      <c r="AN95" s="471" t="n"/>
      <c r="AO95" s="562">
        <f>IF(AND(AJ95:AN95),1,0)</f>
        <v/>
      </c>
      <c r="BI95" s="561" t="n">
        <v>92</v>
      </c>
      <c r="BJ95" s="471" t="n"/>
      <c r="BK95" s="471" t="n"/>
      <c r="BL95" s="471" t="n"/>
      <c r="BM95" s="471" t="n"/>
      <c r="BN95" s="561">
        <f>BR94</f>
        <v/>
      </c>
      <c r="BO95" s="471" t="n"/>
      <c r="BP95" s="471" t="n"/>
      <c r="BQ95" s="471" t="n"/>
      <c r="BR95" s="562">
        <f>IF(AND(BM95:BQ95),1,0)</f>
        <v/>
      </c>
      <c r="BX95" s="561" t="n">
        <v>92</v>
      </c>
      <c r="BY95" s="471" t="n"/>
      <c r="BZ95" s="471" t="n"/>
      <c r="CA95" s="471" t="n"/>
      <c r="CB95" s="471" t="n"/>
      <c r="CC95" s="561">
        <f>CG94</f>
        <v/>
      </c>
      <c r="CD95" s="471" t="n"/>
      <c r="CE95" s="471" t="n"/>
      <c r="CF95" s="471" t="n"/>
      <c r="CG95" s="562">
        <f>IF(AND(CB95:CF95),1,0)</f>
        <v/>
      </c>
      <c r="GZ95" s="840" t="n"/>
      <c r="HD95" s="840" t="n"/>
      <c r="LB95" s="561" t="n">
        <v>92</v>
      </c>
      <c r="LC95" s="471" t="n"/>
      <c r="LD95" s="822" t="n"/>
      <c r="LE95" s="471" t="n"/>
      <c r="LF95" s="822" t="n"/>
      <c r="LG95" s="822">
        <f>LK141</f>
        <v/>
      </c>
      <c r="LH95" s="822" t="n"/>
      <c r="LI95" s="471" t="n"/>
      <c r="LJ95" s="471" t="n"/>
      <c r="LK95" s="562">
        <f>IF(AND(LF95:LJ95),1,0)</f>
        <v/>
      </c>
      <c r="MH95" s="561" t="n">
        <v>92</v>
      </c>
      <c r="MI95" s="471" t="n"/>
      <c r="MJ95" s="822" t="n"/>
      <c r="MK95" s="471" t="n"/>
      <c r="ML95" s="822" t="n"/>
      <c r="MM95" s="822">
        <f>MQ96</f>
        <v/>
      </c>
      <c r="MN95" s="822" t="n"/>
      <c r="MO95" s="471" t="n"/>
      <c r="MP95" s="471" t="n"/>
      <c r="MQ95" s="562">
        <f>IF(AND(ML95:MP95),1,0)</f>
        <v/>
      </c>
    </row>
    <row r="96" ht="57.75" customHeight="1">
      <c r="A96" s="471" t="n"/>
      <c r="B96" s="471" t="n"/>
      <c r="P96" s="561" t="n">
        <v>93</v>
      </c>
      <c r="Q96" s="471" t="n"/>
      <c r="R96" s="561" t="n"/>
      <c r="S96" s="471" t="n"/>
      <c r="T96" s="471" t="n"/>
      <c r="U96" s="801">
        <f>Y85</f>
        <v/>
      </c>
      <c r="V96" s="471">
        <f>Y95</f>
        <v/>
      </c>
      <c r="W96" s="471" t="n"/>
      <c r="X96" s="471" t="n"/>
      <c r="Y96" s="562">
        <f>IF(AND(T96:X96),1,0)</f>
        <v/>
      </c>
      <c r="AF96" s="561" t="n">
        <v>93</v>
      </c>
      <c r="AG96" s="568" t="n"/>
      <c r="AH96" s="566" t="n"/>
      <c r="AI96" s="471" t="n"/>
      <c r="AJ96" s="471" t="n"/>
      <c r="AK96" s="588">
        <f>AO41</f>
        <v/>
      </c>
      <c r="AL96" s="471" t="n"/>
      <c r="AM96" s="471" t="n"/>
      <c r="AN96" s="471" t="n"/>
      <c r="AO96" s="562">
        <f>IF(AND(AJ96:AN96),1,0)</f>
        <v/>
      </c>
      <c r="BI96" s="561" t="n">
        <v>93</v>
      </c>
      <c r="BJ96" s="471" t="n"/>
      <c r="BK96" s="598" t="inlineStr">
        <is>
          <t>RETURN AIR DAMPER</t>
        </is>
      </c>
      <c r="BL96" s="471" t="n"/>
      <c r="BM96" s="471" t="n"/>
      <c r="BN96" s="573">
        <f>BU11</f>
        <v/>
      </c>
      <c r="BO96" s="471">
        <f>BR77</f>
        <v/>
      </c>
      <c r="BP96" s="471">
        <f>BR81</f>
        <v/>
      </c>
      <c r="BQ96" s="471">
        <f>BR83</f>
        <v/>
      </c>
      <c r="BR96" s="562">
        <f>IF(AND(BM96:BQ96),1,0)</f>
        <v/>
      </c>
      <c r="BX96" s="561" t="n">
        <v>93</v>
      </c>
      <c r="BY96" s="471" t="n"/>
      <c r="BZ96" s="598" t="inlineStr">
        <is>
          <t>RETURN AIR DAMPER</t>
        </is>
      </c>
      <c r="CA96" s="471" t="n"/>
      <c r="CB96" s="471" t="n"/>
      <c r="CC96" s="573">
        <f>BU11</f>
        <v/>
      </c>
      <c r="CD96" s="471">
        <f>CG77</f>
        <v/>
      </c>
      <c r="CE96" s="471">
        <f>CG81</f>
        <v/>
      </c>
      <c r="CF96" s="471">
        <f>CG83</f>
        <v/>
      </c>
      <c r="CG96" s="562">
        <f>IF(AND(CB96:CF96),1,0)</f>
        <v/>
      </c>
      <c r="GZ96" s="840" t="n"/>
      <c r="HD96" s="840" t="n"/>
      <c r="LB96" s="561" t="n">
        <v>93</v>
      </c>
      <c r="LC96" s="471" t="n"/>
      <c r="LD96" s="822" t="n"/>
      <c r="LE96" s="471" t="n"/>
      <c r="LF96" s="822" t="n"/>
      <c r="LG96" s="822">
        <f>LK143</f>
        <v/>
      </c>
      <c r="LH96" s="822" t="n"/>
      <c r="LI96" s="471" t="n"/>
      <c r="LJ96" s="471" t="n"/>
      <c r="LK96" s="562">
        <f>IF(AND(LF96:LJ96),1,0)</f>
        <v/>
      </c>
      <c r="MH96" s="561" t="n">
        <v>93</v>
      </c>
      <c r="MI96" s="471" t="n"/>
      <c r="MJ96" s="822" t="inlineStr">
        <is>
          <t>SMDR</t>
        </is>
      </c>
      <c r="MK96" s="471" t="n"/>
      <c r="ML96" s="822" t="n"/>
      <c r="MM96" s="574">
        <f>IF(OR('DATA TRANSFER'!M12),1,0)</f>
        <v/>
      </c>
      <c r="MN96" s="822" t="n"/>
      <c r="MO96" s="471" t="n"/>
      <c r="MP96" s="471" t="n"/>
      <c r="MQ96" s="562">
        <f>IF(AND(ML96:MP96),1,0)</f>
        <v/>
      </c>
    </row>
    <row r="97">
      <c r="A97" s="561" t="n"/>
      <c r="P97" s="561" t="n">
        <v>94</v>
      </c>
      <c r="Q97" s="471" t="n"/>
      <c r="R97" s="561" t="n"/>
      <c r="S97" s="471" t="n"/>
      <c r="T97" s="471" t="n"/>
      <c r="U97" s="801">
        <f>Y87</f>
        <v/>
      </c>
      <c r="V97" s="471">
        <f>Y96</f>
        <v/>
      </c>
      <c r="W97" s="471" t="n"/>
      <c r="X97" s="471" t="n"/>
      <c r="Y97" s="562">
        <f>IF(AND(T97:X97),1,0)</f>
        <v/>
      </c>
      <c r="AF97" s="561" t="n">
        <v>94</v>
      </c>
      <c r="AG97" s="568" t="n"/>
      <c r="AH97" s="566" t="n"/>
      <c r="AI97" s="471" t="n"/>
      <c r="AJ97" s="471" t="n"/>
      <c r="AK97" s="578">
        <f>AO86</f>
        <v/>
      </c>
      <c r="AL97" s="471">
        <f>AO96</f>
        <v/>
      </c>
      <c r="AM97" s="471" t="n"/>
      <c r="AN97" s="471" t="n"/>
      <c r="AO97" s="562">
        <f>IF(AND(AJ97:AN97),1,0)</f>
        <v/>
      </c>
      <c r="BI97" s="561" t="n">
        <v>94</v>
      </c>
      <c r="BJ97" s="471" t="n"/>
      <c r="BK97" s="561" t="n"/>
      <c r="BL97" s="471" t="n"/>
      <c r="BM97" s="471" t="n"/>
      <c r="BN97" s="561">
        <f>BR96</f>
        <v/>
      </c>
      <c r="BO97" s="471" t="n"/>
      <c r="BP97" s="471" t="n"/>
      <c r="BQ97" s="471" t="n"/>
      <c r="BR97" s="562">
        <f>IF(AND(BM97:BQ97),1,0)</f>
        <v/>
      </c>
      <c r="BX97" s="561" t="n">
        <v>94</v>
      </c>
      <c r="BY97" s="471" t="n"/>
      <c r="BZ97" s="561" t="n"/>
      <c r="CA97" s="471" t="n"/>
      <c r="CB97" s="471" t="n"/>
      <c r="CC97" s="561">
        <f>CG96</f>
        <v/>
      </c>
      <c r="CD97" s="471" t="n"/>
      <c r="CE97" s="471" t="n"/>
      <c r="CF97" s="471" t="n"/>
      <c r="CG97" s="562">
        <f>IF(AND(CB97:CF97),1,0)</f>
        <v/>
      </c>
      <c r="GZ97" s="840" t="n"/>
      <c r="HD97" s="840" t="n"/>
      <c r="LB97" s="561" t="n">
        <v>94</v>
      </c>
      <c r="LC97" s="471" t="n"/>
      <c r="LD97" s="822" t="n"/>
      <c r="LE97" s="471" t="n"/>
      <c r="LF97" s="822" t="n"/>
      <c r="LG97" s="574">
        <f>LN32</f>
        <v/>
      </c>
      <c r="LH97" s="822">
        <f>LK96</f>
        <v/>
      </c>
      <c r="LI97" s="471" t="n"/>
      <c r="LJ97" s="471" t="n"/>
      <c r="LK97" s="562">
        <f>IF(AND(LF97:LJ97),1,0)</f>
        <v/>
      </c>
      <c r="MH97" s="561" t="n">
        <v>94</v>
      </c>
      <c r="MI97" s="471" t="n"/>
      <c r="MJ97" s="822" t="n"/>
      <c r="MK97" s="471" t="n"/>
      <c r="ML97" s="822" t="n"/>
      <c r="MM97" s="581" t="n">
        <v>1</v>
      </c>
      <c r="MN97" s="822" t="n"/>
      <c r="MO97" s="471" t="n"/>
      <c r="MP97" s="471" t="n"/>
      <c r="MQ97" s="562">
        <f>IF(AND(ML97:MP97),1,0)</f>
        <v/>
      </c>
    </row>
    <row r="98">
      <c r="A98" s="471" t="n"/>
      <c r="B98" s="471" t="n"/>
      <c r="P98" s="561" t="n">
        <v>95</v>
      </c>
      <c r="Q98" s="471" t="n"/>
      <c r="R98" s="561" t="n"/>
      <c r="S98" s="471" t="n"/>
      <c r="T98" s="471" t="n"/>
      <c r="U98" s="801">
        <f>Y89</f>
        <v/>
      </c>
      <c r="V98" s="471">
        <f>Y97</f>
        <v/>
      </c>
      <c r="W98" s="471" t="n"/>
      <c r="X98" s="471" t="n"/>
      <c r="Y98" s="562">
        <f>IF(AND(T98:X98),1,0)</f>
        <v/>
      </c>
      <c r="AF98" s="561" t="n">
        <v>95</v>
      </c>
      <c r="AG98" s="568" t="n"/>
      <c r="AH98" s="566" t="n"/>
      <c r="AI98" s="471" t="n"/>
      <c r="AJ98" s="471" t="n"/>
      <c r="AK98" s="578">
        <f>AO88</f>
        <v/>
      </c>
      <c r="AL98" s="561">
        <f>AO97</f>
        <v/>
      </c>
      <c r="AM98" s="471" t="n"/>
      <c r="AN98" s="471" t="n"/>
      <c r="AO98" s="562">
        <f>IF(AND(AJ98:AN98),1,0)</f>
        <v/>
      </c>
      <c r="CC98" s="840" t="n">
        <v>1</v>
      </c>
      <c r="CG98" s="562">
        <f>IF(AND(CB98:CF98),1,0)</f>
        <v/>
      </c>
      <c r="GZ98" s="840" t="n"/>
      <c r="HD98" s="840" t="n"/>
      <c r="LB98" s="561" t="n">
        <v>95</v>
      </c>
      <c r="LC98" s="471" t="n"/>
      <c r="LD98" s="822" t="n"/>
      <c r="LE98" s="471" t="n"/>
      <c r="LF98" s="822" t="n"/>
      <c r="LG98" s="583">
        <f>LN36</f>
        <v/>
      </c>
      <c r="LH98" s="822" t="n"/>
      <c r="LI98" s="471" t="n"/>
      <c r="LJ98" s="471" t="n"/>
      <c r="LK98" s="562">
        <f>IF(AND(LF98:LJ98),1,0)</f>
        <v/>
      </c>
      <c r="MH98" s="561" t="n">
        <v>95</v>
      </c>
      <c r="MI98" s="471" t="n"/>
      <c r="MJ98" s="822" t="inlineStr">
        <is>
          <t>FADR</t>
        </is>
      </c>
      <c r="MK98" s="471" t="n"/>
      <c r="ML98" s="822" t="n"/>
      <c r="MM98" s="574">
        <f>MT13</f>
        <v/>
      </c>
      <c r="MN98" s="822" t="n"/>
      <c r="MO98" s="471" t="n"/>
      <c r="MP98" s="471" t="n"/>
      <c r="MQ98" s="562">
        <f>IF(AND(ML98:MP98),1,0)</f>
        <v/>
      </c>
    </row>
    <row r="99" ht="20.25" customHeight="1">
      <c r="A99" s="561" t="n"/>
      <c r="B99" s="471" t="n"/>
      <c r="P99" s="561" t="n">
        <v>96</v>
      </c>
      <c r="Q99" s="471" t="n"/>
      <c r="R99" s="566" t="inlineStr">
        <is>
          <t>COMPRESSOR 4 (3A) Pa=7.5kW P.f=0.77</t>
        </is>
      </c>
      <c r="S99" s="471" t="n"/>
      <c r="T99" s="471" t="n"/>
      <c r="U99" s="582">
        <f>AB20</f>
        <v/>
      </c>
      <c r="V99" s="471">
        <f>Y90</f>
        <v/>
      </c>
      <c r="W99" s="471">
        <f>Y94</f>
        <v/>
      </c>
      <c r="X99" s="471">
        <f>Y98</f>
        <v/>
      </c>
      <c r="Y99" s="562">
        <f>IF(AND(T99:X99),1,0)</f>
        <v/>
      </c>
      <c r="AF99" s="561" t="n">
        <v>96</v>
      </c>
      <c r="AG99" s="568" t="n"/>
      <c r="AH99" s="566" t="n"/>
      <c r="AI99" s="471" t="n"/>
      <c r="AJ99" s="471" t="n"/>
      <c r="AK99" s="599">
        <f>AO90</f>
        <v/>
      </c>
      <c r="AL99" s="471">
        <f>AO98</f>
        <v/>
      </c>
      <c r="AM99" s="471" t="n"/>
      <c r="AN99" s="471" t="n"/>
      <c r="AO99" s="562">
        <f>IF(AND(AJ99:AN99),1,0)</f>
        <v/>
      </c>
      <c r="GZ99" s="840" t="n"/>
      <c r="HD99" s="840" t="n"/>
      <c r="LB99" s="561" t="n">
        <v>96</v>
      </c>
      <c r="LC99" s="471" t="n"/>
      <c r="LD99" s="822" t="n"/>
      <c r="LE99" s="471" t="n"/>
      <c r="LF99" s="822" t="n"/>
      <c r="LG99" s="822">
        <f>LK98</f>
        <v/>
      </c>
      <c r="LH99" s="822" t="n"/>
      <c r="LI99" s="471" t="n"/>
      <c r="LJ99" s="471" t="n"/>
      <c r="LK99" s="562">
        <f>IF(AND(LF99:LJ99),1,0)</f>
        <v/>
      </c>
      <c r="MH99" s="561" t="n">
        <v>96</v>
      </c>
      <c r="MI99" s="471" t="n"/>
      <c r="MJ99" s="822" t="inlineStr">
        <is>
          <t>SFC OFF</t>
        </is>
      </c>
      <c r="MK99" s="471" t="n"/>
      <c r="ML99" s="822" t="n"/>
      <c r="MM99" s="574">
        <f>MT15</f>
        <v/>
      </c>
      <c r="MN99" s="822" t="n"/>
      <c r="MO99" s="471" t="n"/>
      <c r="MP99" s="471" t="n"/>
      <c r="MQ99" s="562">
        <f>IF(AND(ML99:MP99),1,0)</f>
        <v/>
      </c>
    </row>
    <row r="100" ht="31" customHeight="1">
      <c r="A100" s="566" t="inlineStr">
        <is>
          <t>LA .S03_ +14.30</t>
        </is>
      </c>
      <c r="B100" s="801" t="inlineStr">
        <is>
          <t>CACS</t>
        </is>
      </c>
      <c r="P100" s="561" t="n">
        <v>97</v>
      </c>
      <c r="Q100" s="471" t="n"/>
      <c r="R100" s="561" t="inlineStr">
        <is>
          <t>GROUND</t>
        </is>
      </c>
      <c r="S100" s="471" t="n"/>
      <c r="T100" s="471" t="n"/>
      <c r="U100" s="801" t="n">
        <v>1</v>
      </c>
      <c r="V100" s="471" t="n"/>
      <c r="W100" s="471" t="n"/>
      <c r="X100" s="471" t="n"/>
      <c r="Y100" s="562">
        <f>IF(AND(T100:X100),1,0)</f>
        <v/>
      </c>
      <c r="AF100" s="561" t="n">
        <v>97</v>
      </c>
      <c r="AG100" s="568" t="n"/>
      <c r="AH100" s="566" t="inlineStr">
        <is>
          <t>COMPRESSOR 4 (3A) Pa=7.5kW P.f=0.75</t>
        </is>
      </c>
      <c r="AI100" s="471" t="n"/>
      <c r="AJ100" s="471" t="n"/>
      <c r="AK100" s="573">
        <f>AB20</f>
        <v/>
      </c>
      <c r="AL100" s="471" t="n"/>
      <c r="AM100" s="471" t="n"/>
      <c r="AN100" s="471" t="n"/>
      <c r="AO100" s="562">
        <f>IF(AND(AJ100:AN100),1,0)</f>
        <v/>
      </c>
      <c r="GZ100" s="840" t="n"/>
      <c r="HD100" s="840" t="n"/>
      <c r="LB100" s="561" t="n">
        <v>97</v>
      </c>
      <c r="LC100" s="471" t="n"/>
      <c r="LD100" s="822" t="n"/>
      <c r="LE100" s="471" t="n"/>
      <c r="LF100" s="822" t="n"/>
      <c r="LG100" s="822">
        <f>LK99</f>
        <v/>
      </c>
      <c r="LH100" s="822" t="n"/>
      <c r="LI100" s="471" t="n"/>
      <c r="LJ100" s="471" t="n"/>
      <c r="LK100" s="562">
        <f>IF(AND(LF100:LJ100),1,0)</f>
        <v/>
      </c>
      <c r="MH100" s="561" t="n">
        <v>97</v>
      </c>
      <c r="MI100" s="471" t="n"/>
      <c r="MJ100" s="822" t="n"/>
      <c r="MK100" s="471" t="n"/>
      <c r="ML100" s="822" t="n"/>
      <c r="MM100" s="822">
        <f>MQ101</f>
        <v/>
      </c>
      <c r="MN100" s="822" t="n"/>
      <c r="MO100" s="471" t="n"/>
      <c r="MP100" s="471" t="n"/>
      <c r="MQ100" s="562">
        <f>IF(AND(ML100:MP100),1,0)</f>
        <v/>
      </c>
    </row>
    <row r="101">
      <c r="A101" s="471" t="n"/>
      <c r="B101" s="471" t="n"/>
      <c r="P101" s="561" t="n">
        <v>98</v>
      </c>
      <c r="Q101" s="471" t="n"/>
      <c r="R101" s="561" t="n"/>
      <c r="S101" s="471" t="n"/>
      <c r="T101" s="471" t="n"/>
      <c r="U101" s="801">
        <f>Y34</f>
        <v/>
      </c>
      <c r="V101" s="471" t="n"/>
      <c r="W101" s="471" t="n"/>
      <c r="X101" s="471" t="n"/>
      <c r="Y101" s="562">
        <f>IF(AND(T101:X101),1,0)</f>
        <v/>
      </c>
      <c r="AF101" s="561" t="n">
        <v>98</v>
      </c>
      <c r="AG101" s="568" t="n"/>
      <c r="AH101" s="566" t="inlineStr">
        <is>
          <t>GROUND</t>
        </is>
      </c>
      <c r="AI101" s="471" t="n"/>
      <c r="AJ101" s="471" t="n"/>
      <c r="AK101" s="588" t="n">
        <v>1</v>
      </c>
      <c r="AL101" s="471" t="n"/>
      <c r="AM101" s="471" t="n"/>
      <c r="AN101" s="471" t="n"/>
      <c r="AO101" s="562">
        <f>IF(AND(AJ101:AN101),1,0)</f>
        <v/>
      </c>
      <c r="GZ101" s="840" t="n"/>
      <c r="HD101" s="840" t="n"/>
      <c r="LB101" s="561" t="n">
        <v>98</v>
      </c>
      <c r="LC101" s="471" t="n"/>
      <c r="LD101" s="822" t="inlineStr">
        <is>
          <t>CMPB1 13 A</t>
        </is>
      </c>
      <c r="LE101" s="471" t="n"/>
      <c r="LF101" s="822" t="n"/>
      <c r="LG101" s="574">
        <f>LN7</f>
        <v/>
      </c>
      <c r="LH101" s="822">
        <f>LK36</f>
        <v/>
      </c>
      <c r="LI101" s="471">
        <f>LK75</f>
        <v/>
      </c>
      <c r="LJ101" s="471">
        <f>LK100</f>
        <v/>
      </c>
      <c r="LK101" s="562">
        <f>IF(AND(LF101:LJ101),1,0)</f>
        <v/>
      </c>
      <c r="MH101" s="561" t="n">
        <v>98</v>
      </c>
      <c r="MI101" s="471" t="n"/>
      <c r="MJ101" s="822" t="inlineStr">
        <is>
          <t>110 V DC</t>
        </is>
      </c>
      <c r="MK101" s="471" t="n"/>
      <c r="ML101" s="822" t="n"/>
      <c r="MM101" s="574">
        <f>MT6</f>
        <v/>
      </c>
      <c r="MN101" s="822" t="n"/>
      <c r="MO101" s="471" t="n"/>
      <c r="MP101" s="471" t="n"/>
      <c r="MQ101" s="562">
        <f>IF(AND(ML101:MP101),1,0)</f>
        <v/>
      </c>
    </row>
    <row r="102">
      <c r="A102" s="471" t="n"/>
      <c r="B102" s="471" t="n"/>
      <c r="P102" s="561" t="n">
        <v>99</v>
      </c>
      <c r="Q102" s="471" t="n"/>
      <c r="R102" s="561" t="inlineStr">
        <is>
          <t>CDFB 4,63A</t>
        </is>
      </c>
      <c r="S102" s="471" t="n"/>
      <c r="T102" s="471" t="n"/>
      <c r="U102" s="582">
        <f>AB22</f>
        <v/>
      </c>
      <c r="V102" s="471">
        <f>Y101</f>
        <v/>
      </c>
      <c r="W102" s="471">
        <f>Y106</f>
        <v/>
      </c>
      <c r="X102" s="471">
        <f>Y109</f>
        <v/>
      </c>
      <c r="Y102" s="562">
        <f>IF(AND(T102:X102),1,0)</f>
        <v/>
      </c>
      <c r="AF102" s="561" t="n">
        <v>99</v>
      </c>
      <c r="AG102" s="568" t="n"/>
      <c r="AH102" s="566" t="n"/>
      <c r="AI102" s="471" t="n"/>
      <c r="AJ102" s="471" t="n"/>
      <c r="AK102" s="578">
        <f>AO35</f>
        <v/>
      </c>
      <c r="AL102" s="471" t="n"/>
      <c r="AM102" s="471" t="n"/>
      <c r="AN102" s="471" t="n"/>
      <c r="AO102" s="562">
        <f>IF(AND(AJ102:AN102),1,0)</f>
        <v/>
      </c>
      <c r="GZ102" s="840" t="n"/>
      <c r="HD102" s="840" t="n"/>
      <c r="LB102" s="561" t="n">
        <v>99</v>
      </c>
      <c r="LC102" s="471" t="n"/>
      <c r="LD102" s="822" t="n"/>
      <c r="LE102" s="471" t="n"/>
      <c r="LF102" s="822" t="n"/>
      <c r="LG102" s="822">
        <f>LK101</f>
        <v/>
      </c>
      <c r="LH102" s="822" t="n"/>
      <c r="LI102" s="471" t="n"/>
      <c r="LJ102" s="471" t="n"/>
      <c r="LK102" s="562">
        <f>IF(AND(LF102:LJ102),1,0)</f>
        <v/>
      </c>
      <c r="MH102" s="561" t="n">
        <v>99</v>
      </c>
      <c r="MI102" s="471" t="n"/>
      <c r="MJ102" s="822" t="n"/>
      <c r="MK102" s="471" t="n"/>
      <c r="ML102" s="822" t="n"/>
      <c r="MM102" s="822">
        <f>MQ101</f>
        <v/>
      </c>
      <c r="MN102" s="822" t="n"/>
      <c r="MO102" s="471" t="n"/>
      <c r="MP102" s="471" t="n"/>
      <c r="MQ102" s="562">
        <f>IF(AND(ML102:MP102),1,0)</f>
        <v/>
      </c>
    </row>
    <row r="103" ht="46.5" customHeight="1">
      <c r="A103" s="566" t="inlineStr">
        <is>
          <t>LA .F11__ +14.20</t>
        </is>
      </c>
      <c r="B103" s="801" t="n"/>
      <c r="P103" s="561" t="n">
        <v>100</v>
      </c>
      <c r="Q103" s="471" t="n"/>
      <c r="R103" s="561" t="n"/>
      <c r="S103" s="471" t="n"/>
      <c r="T103" s="471" t="n"/>
      <c r="U103" s="801">
        <f>Y102</f>
        <v/>
      </c>
      <c r="V103" s="471">
        <f>Y102</f>
        <v/>
      </c>
      <c r="W103" s="471" t="n"/>
      <c r="X103" s="471" t="n"/>
      <c r="Y103" s="562">
        <f>IF(AND(T103:X103),1,0)</f>
        <v/>
      </c>
      <c r="AF103" s="561" t="n">
        <v>100</v>
      </c>
      <c r="AG103" s="568" t="n"/>
      <c r="AH103" s="471" t="inlineStr">
        <is>
          <t>CDFB 4,63A</t>
        </is>
      </c>
      <c r="AI103" s="471" t="n"/>
      <c r="AJ103" s="471" t="n"/>
      <c r="AK103" s="573">
        <f>AB22</f>
        <v/>
      </c>
      <c r="AL103" s="471">
        <f>AO102</f>
        <v/>
      </c>
      <c r="AM103" s="471" t="n"/>
      <c r="AN103" s="471" t="n"/>
      <c r="AO103" s="562">
        <f>IF(AND(AJ103:AN103),1,0)</f>
        <v/>
      </c>
      <c r="GZ103" s="840" t="n"/>
      <c r="HD103" s="840" t="n"/>
      <c r="LB103" s="561" t="n">
        <v>100</v>
      </c>
      <c r="LC103" s="471" t="n"/>
      <c r="LD103" s="822" t="inlineStr">
        <is>
          <t>CMPC1 16 A</t>
        </is>
      </c>
      <c r="LE103" s="471" t="n"/>
      <c r="LF103" s="822" t="n"/>
      <c r="LG103" s="574">
        <f>LN11</f>
        <v/>
      </c>
      <c r="LH103" s="822">
        <f>LK102</f>
        <v/>
      </c>
      <c r="LI103" s="471">
        <f>LK76</f>
        <v/>
      </c>
      <c r="LJ103" s="471">
        <f>LK37</f>
        <v/>
      </c>
      <c r="LK103" s="562">
        <f>IF(AND(LF103:LJ103),1,0)</f>
        <v/>
      </c>
      <c r="MH103" s="561" t="n">
        <v>100</v>
      </c>
      <c r="MI103" s="471" t="n"/>
      <c r="MJ103" s="822" t="inlineStr">
        <is>
          <t>ACCP1N</t>
        </is>
      </c>
      <c r="MK103" s="471" t="n"/>
      <c r="ML103" s="822" t="n"/>
      <c r="MM103" s="574">
        <f>MT7</f>
        <v/>
      </c>
      <c r="MN103" s="822">
        <f>MQ102</f>
        <v/>
      </c>
      <c r="MO103" s="471" t="n"/>
      <c r="MP103" s="471" t="n"/>
      <c r="MQ103" s="562">
        <f>IF(AND(ML103:MP103),1,0)</f>
        <v/>
      </c>
    </row>
    <row r="104">
      <c r="A104" s="471" t="n"/>
      <c r="B104" s="471" t="n"/>
      <c r="P104" s="561" t="n">
        <v>101</v>
      </c>
      <c r="Q104" s="471" t="n"/>
      <c r="R104" s="561" t="inlineStr">
        <is>
          <t>CDFC 9A</t>
        </is>
      </c>
      <c r="S104" s="471" t="n"/>
      <c r="T104" s="471" t="n"/>
      <c r="U104" s="582">
        <f>AB22</f>
        <v/>
      </c>
      <c r="V104" s="471">
        <f>Y103</f>
        <v/>
      </c>
      <c r="W104" s="471">
        <f>Y107</f>
        <v/>
      </c>
      <c r="X104" s="471">
        <f>Y109</f>
        <v/>
      </c>
      <c r="Y104" s="562">
        <f>IF(AND(T104:X104),1,0)</f>
        <v/>
      </c>
      <c r="AF104" s="561" t="n">
        <v>101</v>
      </c>
      <c r="AG104" s="568" t="n"/>
      <c r="AH104" s="566" t="n"/>
      <c r="AI104" s="471" t="n"/>
      <c r="AJ104" s="471" t="n"/>
      <c r="AK104" s="578">
        <f>AO103</f>
        <v/>
      </c>
      <c r="AL104" s="471" t="n"/>
      <c r="AM104" s="471" t="n"/>
      <c r="AN104" s="471" t="n"/>
      <c r="AO104" s="562">
        <f>IF(AND(AJ104:AN104),1,0)</f>
        <v/>
      </c>
      <c r="GZ104" s="840" t="n"/>
      <c r="HD104" s="840" t="n"/>
      <c r="LB104" s="561" t="n">
        <v>101</v>
      </c>
      <c r="LC104" s="471" t="n"/>
      <c r="LD104" s="822" t="n"/>
      <c r="LE104" s="471" t="n"/>
      <c r="LF104" s="822" t="n"/>
      <c r="LG104" s="822">
        <f>LK103</f>
        <v/>
      </c>
      <c r="LH104" s="822" t="n"/>
      <c r="LI104" s="471" t="n"/>
      <c r="LJ104" s="471" t="n"/>
      <c r="LK104" s="562">
        <f>IF(AND(LF104:LJ104),1,0)</f>
        <v/>
      </c>
      <c r="MH104" s="561" t="n">
        <v>101</v>
      </c>
      <c r="MI104" s="471" t="n"/>
      <c r="MJ104" s="822" t="n"/>
      <c r="MK104" s="471" t="n"/>
      <c r="ML104" s="822" t="n"/>
      <c r="MM104" s="822">
        <f>MQ103</f>
        <v/>
      </c>
      <c r="MN104" s="822" t="n"/>
      <c r="MO104" s="471" t="n"/>
      <c r="MP104" s="471" t="n"/>
      <c r="MQ104" s="562">
        <f>IF(AND(ML104:MP104),1,0)</f>
        <v/>
      </c>
    </row>
    <row r="105">
      <c r="A105" s="471" t="n"/>
      <c r="B105" s="561" t="n"/>
      <c r="P105" s="561" t="n">
        <v>102</v>
      </c>
      <c r="Q105" s="471" t="n"/>
      <c r="R105" s="561" t="n"/>
      <c r="S105" s="471" t="n"/>
      <c r="T105" s="471" t="n"/>
      <c r="U105" s="801">
        <f>Y104</f>
        <v/>
      </c>
      <c r="V105" s="471" t="n"/>
      <c r="W105" s="471" t="n"/>
      <c r="X105" s="471" t="n"/>
      <c r="Y105" s="562">
        <f>IF(AND(T105:X105),1,0)</f>
        <v/>
      </c>
      <c r="AF105" s="561" t="n">
        <v>102</v>
      </c>
      <c r="AG105" s="568" t="n"/>
      <c r="AH105" s="471" t="inlineStr">
        <is>
          <t>CDFC 9A</t>
        </is>
      </c>
      <c r="AI105" s="471" t="n"/>
      <c r="AJ105" s="471" t="n"/>
      <c r="AK105" s="573">
        <f>AB22</f>
        <v/>
      </c>
      <c r="AL105" s="471">
        <f>AO104</f>
        <v/>
      </c>
      <c r="AM105" s="471" t="n"/>
      <c r="AN105" s="471" t="n"/>
      <c r="AO105" s="562">
        <f>IF(AND(AJ105:AN105),1,0)</f>
        <v/>
      </c>
      <c r="GZ105" s="840" t="n"/>
      <c r="HD105" s="840" t="n"/>
      <c r="LB105" s="561" t="n">
        <v>102</v>
      </c>
      <c r="LC105" s="471" t="n"/>
      <c r="LD105" s="822" t="n"/>
      <c r="LE105" s="471" t="n"/>
      <c r="LF105" s="822" t="n"/>
      <c r="LG105" s="822">
        <f>LK99</f>
        <v/>
      </c>
      <c r="LH105" s="822" t="n"/>
      <c r="LI105" s="471" t="n"/>
      <c r="LJ105" s="471" t="n"/>
      <c r="LK105" s="562">
        <f>IF(AND(LF105:LJ105),1,0)</f>
        <v/>
      </c>
      <c r="MH105" s="561" t="n">
        <v>102</v>
      </c>
      <c r="MI105" s="471" t="n"/>
      <c r="MJ105" s="822" t="n"/>
      <c r="MK105" s="471" t="n"/>
      <c r="ML105" s="822" t="n"/>
      <c r="MM105" s="822">
        <f>MQ104</f>
        <v/>
      </c>
      <c r="MN105" s="822" t="n"/>
      <c r="MO105" s="471" t="n"/>
      <c r="MP105" s="471" t="n"/>
      <c r="MQ105" s="562">
        <f>IF(AND(ML105:MP105),1,0)</f>
        <v/>
      </c>
    </row>
    <row r="106">
      <c r="A106" s="471" t="n"/>
      <c r="B106" s="471" t="n"/>
      <c r="P106" s="561" t="n">
        <v>103</v>
      </c>
      <c r="Q106" s="471" t="n"/>
      <c r="R106" s="561" t="n"/>
      <c r="S106" s="471" t="n"/>
      <c r="T106" s="471" t="n"/>
      <c r="U106" s="801">
        <f>Y37</f>
        <v/>
      </c>
      <c r="V106" s="471" t="n"/>
      <c r="W106" s="471" t="n"/>
      <c r="X106" s="471" t="n"/>
      <c r="Y106" s="562">
        <f>IF(AND(T106:X106),1,0)</f>
        <v/>
      </c>
      <c r="AF106" s="561" t="n">
        <v>103</v>
      </c>
      <c r="AG106" s="568" t="n"/>
      <c r="AH106" s="566" t="n"/>
      <c r="AI106" s="471" t="n"/>
      <c r="AJ106" s="471" t="n"/>
      <c r="AK106" s="578">
        <f>AO105</f>
        <v/>
      </c>
      <c r="AL106" s="471" t="n"/>
      <c r="AM106" s="471" t="n"/>
      <c r="AN106" s="471" t="n"/>
      <c r="AO106" s="562">
        <f>IF(AND(AJ106:AN106),1,0)</f>
        <v/>
      </c>
      <c r="GZ106" s="840" t="n"/>
      <c r="HD106" s="840" t="n"/>
      <c r="LB106" s="561" t="n">
        <v>103</v>
      </c>
      <c r="LC106" s="471" t="n"/>
      <c r="LD106" s="822" t="inlineStr">
        <is>
          <t xml:space="preserve">CMPB2 13 A </t>
        </is>
      </c>
      <c r="LE106" s="471" t="n"/>
      <c r="LF106" s="822" t="n"/>
      <c r="LG106" s="574">
        <f>LN8</f>
        <v/>
      </c>
      <c r="LH106" s="822">
        <f>LK105</f>
        <v/>
      </c>
      <c r="LI106" s="471">
        <f>LK78</f>
        <v/>
      </c>
      <c r="LJ106" s="471">
        <f>LK41</f>
        <v/>
      </c>
      <c r="LK106" s="562">
        <f>IF(AND(LF106:LJ106),1,0)</f>
        <v/>
      </c>
      <c r="MH106" s="561" t="n">
        <v>103</v>
      </c>
      <c r="MI106" s="471" t="n"/>
      <c r="MJ106" s="822" t="n"/>
      <c r="MK106" s="471" t="n"/>
      <c r="ML106" s="822" t="n"/>
      <c r="MM106" s="581" t="n">
        <v>1</v>
      </c>
      <c r="MN106" s="822" t="n"/>
      <c r="MO106" s="471" t="n"/>
      <c r="MP106" s="471" t="n"/>
      <c r="MQ106" s="562">
        <f>IF(AND(ML106:MP106),1,0)</f>
        <v/>
      </c>
    </row>
    <row r="107" ht="31" customHeight="1">
      <c r="A107" s="566" t="inlineStr">
        <is>
          <t>LA .A03-X06</t>
        </is>
      </c>
      <c r="B107" s="471" t="n"/>
      <c r="P107" s="561" t="n">
        <v>104</v>
      </c>
      <c r="Q107" s="471" t="n"/>
      <c r="R107" s="561" t="n"/>
      <c r="S107" s="471" t="n"/>
      <c r="T107" s="471" t="n"/>
      <c r="U107" s="801">
        <f>Y102</f>
        <v/>
      </c>
      <c r="V107" s="471">
        <f>Y106</f>
        <v/>
      </c>
      <c r="W107" s="471" t="n"/>
      <c r="X107" s="471" t="n"/>
      <c r="Y107" s="562">
        <f>IF(AND(T107:X107),1,0)</f>
        <v/>
      </c>
      <c r="AF107" s="561" t="n">
        <v>104</v>
      </c>
      <c r="AG107" s="568" t="n"/>
      <c r="AH107" s="566" t="n"/>
      <c r="AI107" s="471" t="n"/>
      <c r="AJ107" s="471" t="n"/>
      <c r="AK107" s="578">
        <f>AO38</f>
        <v/>
      </c>
      <c r="AL107" s="471" t="n"/>
      <c r="AM107" s="471" t="n"/>
      <c r="AN107" s="471" t="n"/>
      <c r="AO107" s="562">
        <f>IF(AND(AJ107:AN107),1,0)</f>
        <v/>
      </c>
      <c r="GZ107" s="840" t="n"/>
      <c r="HD107" s="840" t="n"/>
      <c r="LB107" s="561" t="n">
        <v>104</v>
      </c>
      <c r="LC107" s="471" t="n"/>
      <c r="LD107" s="822" t="n"/>
      <c r="LE107" s="471" t="n"/>
      <c r="LF107" s="822" t="n"/>
      <c r="LG107" s="822">
        <f>LK106</f>
        <v/>
      </c>
      <c r="LH107" s="822" t="n"/>
      <c r="LI107" s="471" t="n"/>
      <c r="LJ107" s="471" t="n"/>
      <c r="LK107" s="562">
        <f>IF(AND(LF107:LJ107),1,0)</f>
        <v/>
      </c>
      <c r="MH107" s="561" t="n">
        <v>104</v>
      </c>
      <c r="MI107" s="471" t="n"/>
      <c r="MJ107" s="822" t="n"/>
      <c r="MK107" s="471" t="n"/>
      <c r="ML107" s="822" t="n"/>
      <c r="MM107" s="822">
        <f>MQ108</f>
        <v/>
      </c>
      <c r="MN107" s="822" t="n"/>
      <c r="MO107" s="471" t="n"/>
      <c r="MP107" s="471" t="n"/>
      <c r="MQ107" s="562">
        <f>IF(AND(ML107:MP107),1,0)</f>
        <v/>
      </c>
    </row>
    <row r="108">
      <c r="A108" s="471" t="n"/>
      <c r="B108" s="471" t="n"/>
      <c r="P108" s="561" t="n">
        <v>105</v>
      </c>
      <c r="Q108" s="471" t="n"/>
      <c r="R108" s="561" t="n"/>
      <c r="S108" s="471" t="n"/>
      <c r="T108" s="471" t="n"/>
      <c r="U108" s="801">
        <f>Y104</f>
        <v/>
      </c>
      <c r="V108" s="471">
        <f>Y107</f>
        <v/>
      </c>
      <c r="W108" s="471" t="n"/>
      <c r="X108" s="471" t="n"/>
      <c r="Y108" s="562">
        <f>IF(AND(T108:X108),1,0)</f>
        <v/>
      </c>
      <c r="AF108" s="561" t="n">
        <v>105</v>
      </c>
      <c r="AG108" s="568" t="n"/>
      <c r="AH108" s="566" t="n"/>
      <c r="AI108" s="471" t="n"/>
      <c r="AJ108" s="471" t="n"/>
      <c r="AK108" s="578">
        <f>AO103</f>
        <v/>
      </c>
      <c r="AL108" s="471">
        <f>AO107</f>
        <v/>
      </c>
      <c r="AM108" s="471" t="n"/>
      <c r="AN108" s="471" t="n"/>
      <c r="AO108" s="562">
        <f>IF(AND(AJ108:AN108),1,0)</f>
        <v/>
      </c>
      <c r="GZ108" s="840" t="n"/>
      <c r="HD108" s="840" t="n"/>
      <c r="LB108" s="561" t="n">
        <v>105</v>
      </c>
      <c r="LC108" s="471" t="n"/>
      <c r="LD108" s="822" t="inlineStr">
        <is>
          <t>CMPC2 16 A</t>
        </is>
      </c>
      <c r="LE108" s="471" t="n"/>
      <c r="LF108" s="822" t="n"/>
      <c r="LG108" s="574">
        <f>LN12</f>
        <v/>
      </c>
      <c r="LH108" s="822">
        <f>LK42</f>
        <v/>
      </c>
      <c r="LI108" s="471">
        <f>LK79</f>
        <v/>
      </c>
      <c r="LJ108" s="471">
        <f>LK42</f>
        <v/>
      </c>
      <c r="LK108" s="562">
        <f>IF(AND(LF108:LJ108),1,0)</f>
        <v/>
      </c>
      <c r="MH108" s="561" t="n">
        <v>105</v>
      </c>
      <c r="MI108" s="471" t="n"/>
      <c r="MJ108" s="822" t="inlineStr">
        <is>
          <t>ACCP1N</t>
        </is>
      </c>
      <c r="MK108" s="471" t="n"/>
      <c r="ML108" s="822" t="n"/>
      <c r="MM108" s="574">
        <f>MT7</f>
        <v/>
      </c>
      <c r="MN108" s="822" t="n"/>
      <c r="MO108" s="471" t="n"/>
      <c r="MP108" s="471" t="n"/>
      <c r="MQ108" s="562">
        <f>IF(AND(ML108:MP108),1,0)</f>
        <v/>
      </c>
    </row>
    <row r="109">
      <c r="A109" s="471" t="n"/>
      <c r="B109" s="471" t="n"/>
      <c r="P109" s="561" t="n">
        <v>106</v>
      </c>
      <c r="Q109" s="471" t="n"/>
      <c r="R109" s="561" t="n"/>
      <c r="S109" s="471" t="n"/>
      <c r="T109" s="471" t="n"/>
      <c r="U109" s="801">
        <f>Y40</f>
        <v/>
      </c>
      <c r="V109" s="471" t="n"/>
      <c r="W109" s="471" t="n"/>
      <c r="X109" s="471" t="n"/>
      <c r="Y109" s="562">
        <f>IF(AND(T109:X109),1,0)</f>
        <v/>
      </c>
      <c r="AF109" s="561" t="n">
        <v>106</v>
      </c>
      <c r="AG109" s="568" t="n"/>
      <c r="AH109" s="566" t="n"/>
      <c r="AI109" s="471" t="n"/>
      <c r="AJ109" s="471" t="n"/>
      <c r="AK109" s="578">
        <f>AO105</f>
        <v/>
      </c>
      <c r="AL109" s="471">
        <f>AO108</f>
        <v/>
      </c>
      <c r="AM109" s="471" t="n"/>
      <c r="AN109" s="471" t="n"/>
      <c r="AO109" s="562">
        <f>IF(AND(AJ109:AN109),1,0)</f>
        <v/>
      </c>
      <c r="GZ109" s="840" t="n"/>
      <c r="HD109" s="840" t="n"/>
      <c r="LB109" s="561" t="n">
        <v>106</v>
      </c>
      <c r="LC109" s="471" t="n"/>
      <c r="LD109" s="822" t="n"/>
      <c r="LE109" s="471" t="n"/>
      <c r="LF109" s="822" t="n"/>
      <c r="LG109" s="822">
        <f>LK108</f>
        <v/>
      </c>
      <c r="LH109" s="822" t="n"/>
      <c r="LI109" s="471" t="n"/>
      <c r="LJ109" s="471" t="n"/>
      <c r="LK109" s="562">
        <f>IF(AND(LF109:LJ109),1,0)</f>
        <v/>
      </c>
      <c r="MH109" s="561" t="n">
        <v>106</v>
      </c>
      <c r="MI109" s="471" t="n"/>
      <c r="MJ109" s="822" t="n"/>
      <c r="MK109" s="471" t="n"/>
      <c r="ML109" s="822" t="n"/>
      <c r="MM109" s="822">
        <f>MQ101</f>
        <v/>
      </c>
      <c r="MN109" s="822" t="n"/>
      <c r="MO109" s="471" t="n"/>
      <c r="MP109" s="471" t="n"/>
      <c r="MQ109" s="562">
        <f>IF(AND(ML109:MP109),1,0)</f>
        <v/>
      </c>
    </row>
    <row r="110">
      <c r="A110" s="471" t="n"/>
      <c r="P110" s="561" t="n">
        <v>107</v>
      </c>
      <c r="Q110" s="471" t="n"/>
      <c r="R110" s="561" t="n"/>
      <c r="S110" s="471" t="n"/>
      <c r="T110" s="471" t="n"/>
      <c r="U110" s="801">
        <f>Y102</f>
        <v/>
      </c>
      <c r="V110" s="471">
        <f>Y109</f>
        <v/>
      </c>
      <c r="W110" s="471" t="n"/>
      <c r="X110" s="471" t="n"/>
      <c r="Y110" s="562">
        <f>IF(AND(T110:X110),1,0)</f>
        <v/>
      </c>
      <c r="AF110" s="561" t="n">
        <v>107</v>
      </c>
      <c r="AG110" s="568" t="n"/>
      <c r="AH110" s="566" t="n"/>
      <c r="AI110" s="471" t="n"/>
      <c r="AJ110" s="471" t="n"/>
      <c r="AK110" s="578">
        <f>AO41</f>
        <v/>
      </c>
      <c r="AL110" s="471" t="n"/>
      <c r="AM110" s="471" t="n"/>
      <c r="AN110" s="471" t="n"/>
      <c r="AO110" s="562">
        <f>IF(AND(AJ110:AN110),1,0)</f>
        <v/>
      </c>
      <c r="GZ110" s="840" t="n"/>
      <c r="HD110" s="840" t="n"/>
      <c r="LB110" s="561" t="n">
        <v>107</v>
      </c>
      <c r="LC110" s="471" t="n"/>
      <c r="LD110" s="822" t="n"/>
      <c r="LE110" s="471" t="n"/>
      <c r="LF110" s="822" t="n"/>
      <c r="LG110" s="822">
        <f>LK99</f>
        <v/>
      </c>
      <c r="LH110" s="822" t="n"/>
      <c r="LI110" s="471" t="n"/>
      <c r="LJ110" s="471" t="n"/>
      <c r="LK110" s="562">
        <f>IF(AND(LF110:LJ110),1,0)</f>
        <v/>
      </c>
      <c r="MH110" s="561" t="n">
        <v>107</v>
      </c>
      <c r="MI110" s="471" t="n"/>
      <c r="MJ110" s="822" t="inlineStr">
        <is>
          <t>MCBTL</t>
        </is>
      </c>
      <c r="MK110" s="471" t="n"/>
      <c r="ML110" s="822" t="n"/>
      <c r="MM110" s="574">
        <f>MT8</f>
        <v/>
      </c>
      <c r="MN110" s="822">
        <f>MQ109</f>
        <v/>
      </c>
      <c r="MO110" s="471" t="n"/>
      <c r="MP110" s="471" t="n"/>
      <c r="MQ110" s="562">
        <f>IF(AND(ML110:MP110),1,0)</f>
        <v/>
      </c>
    </row>
    <row r="111">
      <c r="A111" s="561" t="n"/>
      <c r="B111" s="471" t="n"/>
      <c r="P111" s="561" t="n">
        <v>108</v>
      </c>
      <c r="Q111" s="471" t="n"/>
      <c r="R111" s="561" t="n"/>
      <c r="S111" s="471" t="n"/>
      <c r="T111" s="471" t="n"/>
      <c r="U111" s="801">
        <f>Y104</f>
        <v/>
      </c>
      <c r="V111" s="471">
        <f>Y110</f>
        <v/>
      </c>
      <c r="W111" s="471" t="n"/>
      <c r="X111" s="471" t="n"/>
      <c r="Y111" s="562">
        <f>IF(AND(T111:X111),1,0)</f>
        <v/>
      </c>
      <c r="AF111" s="561" t="n">
        <v>108</v>
      </c>
      <c r="AG111" s="568" t="n"/>
      <c r="AH111" s="566" t="n"/>
      <c r="AI111" s="471" t="n"/>
      <c r="AJ111" s="471" t="n"/>
      <c r="AK111" s="578">
        <f>AO103</f>
        <v/>
      </c>
      <c r="AL111" s="561">
        <f>AO110</f>
        <v/>
      </c>
      <c r="AM111" s="471" t="n"/>
      <c r="AN111" s="471" t="n"/>
      <c r="AO111" s="562">
        <f>IF(AND(AJ111:AN111),1,0)</f>
        <v/>
      </c>
      <c r="GZ111" s="840" t="n"/>
      <c r="HD111" s="840" t="n"/>
      <c r="LB111" s="561" t="n">
        <v>108</v>
      </c>
      <c r="LC111" s="471" t="n"/>
      <c r="LD111" s="822" t="inlineStr">
        <is>
          <t xml:space="preserve">CMPB3 13 A </t>
        </is>
      </c>
      <c r="LE111" s="471" t="n"/>
      <c r="LF111" s="822" t="n"/>
      <c r="LG111" s="574">
        <f>LN19</f>
        <v/>
      </c>
      <c r="LH111" s="822">
        <f>LK46</f>
        <v/>
      </c>
      <c r="LI111" s="471">
        <f>LK81</f>
        <v/>
      </c>
      <c r="LJ111" s="471">
        <f>LK110</f>
        <v/>
      </c>
      <c r="LK111" s="562">
        <f>IF(AND(LF111:LJ111),1,0)</f>
        <v/>
      </c>
      <c r="MH111" s="561" t="n">
        <v>108</v>
      </c>
      <c r="MI111" s="471" t="n"/>
      <c r="MJ111" s="822" t="n"/>
      <c r="MK111" s="471" t="n"/>
      <c r="ML111" s="822" t="n"/>
      <c r="MM111" s="822">
        <f>MQ110</f>
        <v/>
      </c>
      <c r="MN111" s="822" t="n"/>
      <c r="MO111" s="471" t="n"/>
      <c r="MP111" s="471" t="n"/>
      <c r="MQ111" s="562">
        <f>IF(AND(ML111:MP111),1,0)</f>
        <v/>
      </c>
    </row>
    <row r="112" ht="86.25" customHeight="1">
      <c r="A112" s="471" t="n"/>
      <c r="B112" s="561" t="n"/>
      <c r="P112" s="561" t="n">
        <v>109</v>
      </c>
      <c r="Q112" s="471" t="n"/>
      <c r="R112" s="822" t="inlineStr">
        <is>
          <t>CONDESER MOTOR 1 (3A) Pa=2.5kW P.f=0.74</t>
        </is>
      </c>
      <c r="S112" s="471" t="n"/>
      <c r="T112" s="471" t="n"/>
      <c r="U112" s="582">
        <f>AB22</f>
        <v/>
      </c>
      <c r="V112" s="471">
        <f>Y105</f>
        <v/>
      </c>
      <c r="W112" s="471">
        <f>Y108</f>
        <v/>
      </c>
      <c r="X112" s="471">
        <f>Y111</f>
        <v/>
      </c>
      <c r="Y112" s="562">
        <f>IF(AND(T112:X112),1,0)</f>
        <v/>
      </c>
      <c r="AF112" s="561" t="n">
        <v>109</v>
      </c>
      <c r="AG112" s="568" t="n"/>
      <c r="AH112" s="566" t="n"/>
      <c r="AI112" s="471" t="n"/>
      <c r="AJ112" s="471" t="n"/>
      <c r="AK112" s="578">
        <f>AO105</f>
        <v/>
      </c>
      <c r="AL112" s="561">
        <f>AO111</f>
        <v/>
      </c>
      <c r="AM112" s="471" t="n"/>
      <c r="AN112" s="471" t="n"/>
      <c r="AO112" s="562">
        <f>IF(AND(AJ112:AN112),1,0)</f>
        <v/>
      </c>
      <c r="GZ112" s="840" t="n"/>
      <c r="HD112" s="840" t="n"/>
      <c r="LB112" s="561" t="n">
        <v>109</v>
      </c>
      <c r="LC112" s="471" t="n"/>
      <c r="LD112" s="822" t="n"/>
      <c r="LE112" s="471" t="n"/>
      <c r="LF112" s="822" t="n"/>
      <c r="LG112" s="822">
        <f>LK111</f>
        <v/>
      </c>
      <c r="LH112" s="822" t="n"/>
      <c r="LI112" s="471" t="n"/>
      <c r="LJ112" s="471" t="n"/>
      <c r="LK112" s="562">
        <f>IF(AND(LF112:LJ112),1,0)</f>
        <v/>
      </c>
      <c r="MH112" s="561" t="n">
        <v>109</v>
      </c>
      <c r="MI112" s="471" t="n"/>
      <c r="MJ112" s="822" t="inlineStr">
        <is>
          <t>SRRB</t>
        </is>
      </c>
      <c r="MK112" s="471" t="n"/>
      <c r="ML112" s="822" t="n"/>
      <c r="MM112" s="574">
        <f>MT9</f>
        <v/>
      </c>
      <c r="MN112" s="822" t="n"/>
      <c r="MO112" s="471" t="n"/>
      <c r="MP112" s="471" t="n"/>
      <c r="MQ112" s="562">
        <f>IF(AND(ML112:MP112),1,0)</f>
        <v/>
      </c>
    </row>
    <row r="113" ht="31" customHeight="1">
      <c r="A113" s="566" t="inlineStr">
        <is>
          <t>LA .S03_ +14.30</t>
        </is>
      </c>
      <c r="B113" s="801" t="inlineStr">
        <is>
          <t>CACS</t>
        </is>
      </c>
      <c r="P113" s="561" t="n">
        <v>110</v>
      </c>
      <c r="Q113" s="471" t="n"/>
      <c r="R113" s="801" t="inlineStr">
        <is>
          <t>GROUND</t>
        </is>
      </c>
      <c r="S113" s="471" t="n"/>
      <c r="T113" s="471" t="n"/>
      <c r="U113" s="801" t="n">
        <v>1</v>
      </c>
      <c r="V113" s="471" t="n"/>
      <c r="W113" s="471" t="n"/>
      <c r="X113" s="471" t="n"/>
      <c r="Y113" s="562">
        <f>IF(AND(T113:X113),1,0)</f>
        <v/>
      </c>
      <c r="AF113" s="561" t="n">
        <v>110</v>
      </c>
      <c r="AG113" s="568" t="n"/>
      <c r="AH113" s="822" t="inlineStr">
        <is>
          <t>CONDESER MOTOR 1 (3A) Pa=2.5kW P.f=0.74</t>
        </is>
      </c>
      <c r="AI113" s="471" t="n"/>
      <c r="AJ113" s="471" t="n"/>
      <c r="AK113" s="570">
        <f>AB22</f>
        <v/>
      </c>
      <c r="AL113" s="471">
        <f>AO112</f>
        <v/>
      </c>
      <c r="AM113" s="471" t="n"/>
      <c r="AN113" s="471" t="n"/>
      <c r="AO113" s="562">
        <f>IF(AND(AJ113:AN113),1,0)</f>
        <v/>
      </c>
      <c r="GZ113" s="840" t="n"/>
      <c r="HD113" s="840" t="n"/>
      <c r="LB113" s="561" t="n">
        <v>110</v>
      </c>
      <c r="LC113" s="471" t="n"/>
      <c r="LD113" s="822" t="inlineStr">
        <is>
          <t>CMPC3 16 A</t>
        </is>
      </c>
      <c r="LE113" s="471" t="n"/>
      <c r="LF113" s="822" t="n"/>
      <c r="LG113" s="574">
        <f>LN13</f>
        <v/>
      </c>
      <c r="LH113" s="822">
        <f>LK47</f>
        <v/>
      </c>
      <c r="LI113" s="471">
        <f>LK82</f>
        <v/>
      </c>
      <c r="LJ113" s="471">
        <f>LK112</f>
        <v/>
      </c>
      <c r="LK113" s="562">
        <f>IF(AND(LF113:LJ113),1,0)</f>
        <v/>
      </c>
      <c r="MH113" s="561" t="n">
        <v>110</v>
      </c>
      <c r="MI113" s="471" t="n"/>
      <c r="MJ113" s="822" t="n"/>
      <c r="MK113" s="471" t="n"/>
      <c r="ML113" s="822" t="n"/>
      <c r="MM113" s="822">
        <f>MQ112</f>
        <v/>
      </c>
      <c r="MN113" s="822" t="n"/>
      <c r="MO113" s="471" t="n"/>
      <c r="MP113" s="471" t="n"/>
      <c r="MQ113" s="562">
        <f>IF(AND(ML113:MP113),1,0)</f>
        <v/>
      </c>
    </row>
    <row r="114">
      <c r="A114" s="561" t="n"/>
      <c r="B114" s="561" t="n"/>
      <c r="P114" s="561" t="n">
        <v>111</v>
      </c>
      <c r="Q114" s="471" t="n"/>
      <c r="R114" s="561" t="n"/>
      <c r="S114" s="471" t="n"/>
      <c r="T114" s="471" t="n"/>
      <c r="U114" s="801">
        <f>Y105</f>
        <v/>
      </c>
      <c r="V114" s="471" t="n"/>
      <c r="W114" s="471" t="n"/>
      <c r="X114" s="471" t="n"/>
      <c r="Y114" s="562">
        <f>IF(AND(T114:X114),1,0)</f>
        <v/>
      </c>
      <c r="AF114" s="561" t="n">
        <v>111</v>
      </c>
      <c r="AG114" s="568" t="n"/>
      <c r="AH114" s="566" t="inlineStr">
        <is>
          <t>GROUND</t>
        </is>
      </c>
      <c r="AI114" s="471" t="n"/>
      <c r="AJ114" s="471" t="n"/>
      <c r="AK114" s="599" t="n">
        <v>1</v>
      </c>
      <c r="AL114" s="471" t="n"/>
      <c r="AM114" s="471" t="n"/>
      <c r="AN114" s="471" t="n"/>
      <c r="AO114" s="562">
        <f>IF(AND(AJ114:AN114),1,0)</f>
        <v/>
      </c>
      <c r="GZ114" s="840" t="n"/>
      <c r="HD114" s="840" t="n"/>
      <c r="LB114" s="561" t="n">
        <v>111</v>
      </c>
      <c r="LC114" s="471" t="n"/>
      <c r="LD114" s="822" t="n"/>
      <c r="LE114" s="471" t="n"/>
      <c r="LF114" s="822" t="n"/>
      <c r="LG114" s="822">
        <f>LK112</f>
        <v/>
      </c>
      <c r="LH114" s="822" t="n"/>
      <c r="LI114" s="471" t="n"/>
      <c r="LJ114" s="471" t="n"/>
      <c r="LK114" s="562">
        <f>IF(AND(LF114:LJ114),1,0)</f>
        <v/>
      </c>
      <c r="MH114" s="561" t="n">
        <v>111</v>
      </c>
      <c r="MI114" s="471" t="n"/>
      <c r="MJ114" s="822" t="inlineStr">
        <is>
          <t>SMRR</t>
        </is>
      </c>
      <c r="MK114" s="471" t="n"/>
      <c r="ML114" s="822" t="n"/>
      <c r="MM114" s="574">
        <f>IF(OR(MT11=1,MT12=1),0,1)</f>
        <v/>
      </c>
      <c r="MN114" s="822" t="n"/>
      <c r="MO114" s="471" t="n"/>
      <c r="MP114" s="471" t="n"/>
      <c r="MQ114" s="562">
        <f>IF(AND(ML114:MP114),1,0)</f>
        <v/>
      </c>
    </row>
    <row r="115">
      <c r="A115" s="471" t="n"/>
      <c r="B115" s="471" t="n"/>
      <c r="P115" s="561" t="n">
        <v>112</v>
      </c>
      <c r="Q115" s="471" t="n"/>
      <c r="R115" s="561" t="n"/>
      <c r="S115" s="471" t="n"/>
      <c r="T115" s="471" t="n"/>
      <c r="U115" s="801">
        <f>Y108</f>
        <v/>
      </c>
      <c r="V115" s="471" t="n"/>
      <c r="W115" s="471" t="n"/>
      <c r="X115" s="471" t="n"/>
      <c r="Y115" s="562">
        <f>IF(AND(T115:X115),1,0)</f>
        <v/>
      </c>
      <c r="AF115" s="561" t="n">
        <v>112</v>
      </c>
      <c r="AG115" s="568" t="n"/>
      <c r="AH115" s="566" t="n"/>
      <c r="AI115" s="471" t="n"/>
      <c r="AJ115" s="471" t="n"/>
      <c r="AK115" s="599">
        <f>AO106</f>
        <v/>
      </c>
      <c r="AL115" s="471" t="n"/>
      <c r="AM115" s="471" t="n"/>
      <c r="AN115" s="471" t="n"/>
      <c r="AO115" s="562">
        <f>IF(AND(AJ115:AN115),1,0)</f>
        <v/>
      </c>
      <c r="GZ115" s="840" t="n"/>
      <c r="HD115" s="840" t="n"/>
      <c r="LB115" s="561" t="n">
        <v>112</v>
      </c>
      <c r="LC115" s="471" t="n"/>
      <c r="LD115" s="822" t="n"/>
      <c r="LE115" s="471" t="n"/>
      <c r="LF115" s="822" t="n"/>
      <c r="LG115" s="822">
        <f>LK99</f>
        <v/>
      </c>
      <c r="LH115" s="822" t="n"/>
      <c r="LI115" s="471" t="n"/>
      <c r="LJ115" s="471" t="n"/>
      <c r="LK115" s="562">
        <f>IF(AND(LF115:LJ115),1,0)</f>
        <v/>
      </c>
      <c r="MH115" s="561" t="n">
        <v>112</v>
      </c>
      <c r="MI115" s="471" t="n"/>
      <c r="MJ115" s="822" t="n"/>
      <c r="MK115" s="471" t="n"/>
      <c r="ML115" s="822" t="n"/>
      <c r="MM115" s="581" t="n">
        <v>1</v>
      </c>
      <c r="MN115" s="822" t="n"/>
      <c r="MO115" s="471" t="n"/>
      <c r="MP115" s="471" t="n"/>
      <c r="MQ115" s="562">
        <f>IF(AND(ML115:MP115),1,0)</f>
        <v/>
      </c>
    </row>
    <row r="116">
      <c r="A116" s="471" t="n"/>
      <c r="B116" s="471" t="n"/>
      <c r="F116" s="273">
        <f>'DATA TRANSFER'!DP185</f>
        <v/>
      </c>
      <c r="P116" s="561" t="n">
        <v>113</v>
      </c>
      <c r="Q116" s="471" t="n"/>
      <c r="R116" s="561" t="n"/>
      <c r="S116" s="471" t="n"/>
      <c r="T116" s="471" t="n"/>
      <c r="U116" s="801">
        <f>Y111</f>
        <v/>
      </c>
      <c r="V116" s="471" t="n"/>
      <c r="W116" s="471" t="n"/>
      <c r="X116" s="471" t="n"/>
      <c r="Y116" s="562">
        <f>IF(AND(T116:X116),1,0)</f>
        <v/>
      </c>
      <c r="AF116" s="561" t="n">
        <v>113</v>
      </c>
      <c r="AG116" s="568" t="n"/>
      <c r="AH116" s="566" t="n"/>
      <c r="AI116" s="471" t="n"/>
      <c r="AJ116" s="471" t="n"/>
      <c r="AK116" s="599">
        <f>AO109</f>
        <v/>
      </c>
      <c r="AL116" s="471" t="n"/>
      <c r="AM116" s="471" t="n"/>
      <c r="AN116" s="471" t="n"/>
      <c r="AO116" s="562">
        <f>IF(AND(AJ116:AN116),1,0)</f>
        <v/>
      </c>
      <c r="GZ116" s="840" t="n"/>
      <c r="HD116" s="840" t="n"/>
      <c r="LB116" s="561" t="n">
        <v>113</v>
      </c>
      <c r="LC116" s="471" t="n"/>
      <c r="LD116" s="822" t="inlineStr">
        <is>
          <t>CMPB4 13 A</t>
        </is>
      </c>
      <c r="LE116" s="471" t="n"/>
      <c r="LF116" s="822" t="n"/>
      <c r="LG116" s="574">
        <f>LN10</f>
        <v/>
      </c>
      <c r="LH116" s="822">
        <f>LK51</f>
        <v/>
      </c>
      <c r="LI116" s="471">
        <f>LK84</f>
        <v/>
      </c>
      <c r="LJ116" s="471">
        <f>LK115</f>
        <v/>
      </c>
      <c r="LK116" s="562">
        <f>IF(AND(LF116:LJ116),1,0)</f>
        <v/>
      </c>
      <c r="MH116" s="561" t="n">
        <v>113</v>
      </c>
      <c r="MI116" s="471" t="n"/>
      <c r="MJ116" s="822" t="inlineStr">
        <is>
          <t>HCR 9</t>
        </is>
      </c>
      <c r="MK116" s="471" t="n"/>
      <c r="ML116" s="822" t="n"/>
      <c r="MM116" s="574">
        <f>MT10</f>
        <v/>
      </c>
      <c r="MN116" s="822">
        <f>MQ115</f>
        <v/>
      </c>
      <c r="MO116" s="471" t="n"/>
      <c r="MP116" s="471" t="n"/>
      <c r="MQ116" s="562">
        <f>IF(AND(ML116:MP116),1,0)</f>
        <v/>
      </c>
    </row>
    <row r="117" ht="46.5" customHeight="1">
      <c r="A117" s="566" t="inlineStr">
        <is>
          <t>LA .A03-X06</t>
        </is>
      </c>
      <c r="B117" s="471" t="n"/>
      <c r="P117" s="561" t="n">
        <v>114</v>
      </c>
      <c r="Q117" s="471" t="n"/>
      <c r="R117" s="822" t="inlineStr">
        <is>
          <t>CONDESER MOTOR 2 (3A) Pa=2.5kW P.f=0.75</t>
        </is>
      </c>
      <c r="S117" s="471" t="n"/>
      <c r="T117" s="471" t="n"/>
      <c r="U117" s="582">
        <f>AB23</f>
        <v/>
      </c>
      <c r="V117" s="801">
        <f>Y114</f>
        <v/>
      </c>
      <c r="W117" s="801">
        <f>Y115</f>
        <v/>
      </c>
      <c r="X117" s="801">
        <f>Y116</f>
        <v/>
      </c>
      <c r="Y117" s="562">
        <f>IF(AND(T117:X117),1,0)</f>
        <v/>
      </c>
      <c r="AF117" s="561" t="n">
        <v>114</v>
      </c>
      <c r="AG117" s="568" t="n"/>
      <c r="AH117" s="566" t="n"/>
      <c r="AI117" s="471" t="n"/>
      <c r="AJ117" s="471" t="n"/>
      <c r="AK117" s="599">
        <f>AO112</f>
        <v/>
      </c>
      <c r="AL117" s="471" t="n"/>
      <c r="AM117" s="471" t="n"/>
      <c r="AN117" s="471" t="n"/>
      <c r="AO117" s="562">
        <f>IF(AND(AJ117:AN117),1,0)</f>
        <v/>
      </c>
      <c r="GZ117" s="840" t="n"/>
      <c r="HD117" s="840" t="n"/>
      <c r="LB117" s="561" t="n">
        <v>114</v>
      </c>
      <c r="LC117" s="471" t="n"/>
      <c r="LD117" s="822" t="n"/>
      <c r="LE117" s="471" t="n"/>
      <c r="LF117" s="822" t="n"/>
      <c r="LG117" s="822">
        <f>LK116</f>
        <v/>
      </c>
      <c r="LH117" s="822" t="n"/>
      <c r="LI117" s="471" t="n"/>
      <c r="LJ117" s="471" t="n"/>
      <c r="LK117" s="562">
        <f>IF(AND(LF117:LJ117),1,0)</f>
        <v/>
      </c>
      <c r="MH117" s="561" t="n">
        <v>114</v>
      </c>
      <c r="MI117" s="471" t="n"/>
      <c r="MJ117" s="822" t="n"/>
      <c r="MK117" s="471" t="n"/>
      <c r="ML117" s="822" t="n"/>
      <c r="MM117" s="822">
        <f>MQ116</f>
        <v/>
      </c>
      <c r="MO117" s="471" t="n"/>
      <c r="MP117" s="471" t="n"/>
      <c r="MQ117" s="562">
        <f>IF(AND(ML117:MP117),1,0)</f>
        <v/>
      </c>
    </row>
    <row r="118" ht="31" customHeight="1">
      <c r="A118" s="561" t="n"/>
      <c r="B118" s="471" t="n"/>
      <c r="P118" s="561" t="n">
        <v>115</v>
      </c>
      <c r="Q118" s="471" t="n"/>
      <c r="R118" s="561" t="inlineStr">
        <is>
          <t>GROUND</t>
        </is>
      </c>
      <c r="S118" s="471" t="n"/>
      <c r="T118" s="471" t="n"/>
      <c r="U118" s="801" t="n">
        <v>1</v>
      </c>
      <c r="V118" s="471" t="n"/>
      <c r="W118" s="471" t="n"/>
      <c r="X118" s="471" t="n"/>
      <c r="Y118" s="562">
        <f>IF(AND(T118:X118),1,0)</f>
        <v/>
      </c>
      <c r="AF118" s="561" t="n">
        <v>115</v>
      </c>
      <c r="AG118" s="568" t="n"/>
      <c r="AH118" s="822" t="inlineStr">
        <is>
          <t>CONDESER MOTOR 2 (3A) Pa=2.5kW P.f=0.74</t>
        </is>
      </c>
      <c r="AI118" s="471" t="n"/>
      <c r="AJ118" s="471" t="n"/>
      <c r="AK118" s="570">
        <f>AB23</f>
        <v/>
      </c>
      <c r="AL118" s="471">
        <f>AO117</f>
        <v/>
      </c>
      <c r="AM118" s="471" t="n"/>
      <c r="AN118" s="471" t="n"/>
      <c r="AO118" s="562">
        <f>IF(AND(AJ118:AN118),1,0)</f>
        <v/>
      </c>
      <c r="GZ118" s="840" t="n"/>
      <c r="HD118" s="840" t="n"/>
      <c r="LB118" s="561" t="n">
        <v>115</v>
      </c>
      <c r="LC118" s="471" t="n"/>
      <c r="LD118" s="822" t="inlineStr">
        <is>
          <t>CMPC4 16 A</t>
        </is>
      </c>
      <c r="LE118" s="471" t="n"/>
      <c r="LF118" s="822" t="n"/>
      <c r="LG118" s="574">
        <f>LN14</f>
        <v/>
      </c>
      <c r="LH118" s="822">
        <f>LK52</f>
        <v/>
      </c>
      <c r="LI118" s="471">
        <f>LK85</f>
        <v/>
      </c>
      <c r="LJ118" s="471">
        <f>LK117</f>
        <v/>
      </c>
      <c r="LK118" s="562">
        <f>IF(AND(LF118:LJ118),1,0)</f>
        <v/>
      </c>
      <c r="MH118" s="561" t="n">
        <v>115</v>
      </c>
      <c r="MI118" s="471" t="n"/>
      <c r="MJ118" s="822" t="inlineStr">
        <is>
          <t>SMDRB</t>
        </is>
      </c>
      <c r="MK118" s="471" t="n"/>
      <c r="ML118" s="822" t="n"/>
      <c r="MM118" s="574">
        <f>MT24</f>
        <v/>
      </c>
      <c r="MN118" s="822">
        <f>MQ117</f>
        <v/>
      </c>
      <c r="MO118" s="471" t="n"/>
      <c r="MP118" s="471" t="n"/>
      <c r="MQ118" s="562">
        <f>IF(AND(ML118:MP118),1,0)</f>
        <v/>
      </c>
    </row>
    <row r="119">
      <c r="A119" s="471" t="n"/>
      <c r="P119" s="561" t="n">
        <v>116</v>
      </c>
      <c r="Q119" s="471" t="n"/>
      <c r="R119" s="561" t="n"/>
      <c r="S119" s="471" t="n"/>
      <c r="T119" s="471" t="n"/>
      <c r="U119" s="801">
        <f>Y34</f>
        <v/>
      </c>
      <c r="V119" s="471" t="n"/>
      <c r="W119" s="471" t="n"/>
      <c r="X119" s="471" t="n"/>
      <c r="Y119" s="562">
        <f>IF(AND(T119:X119),1,0)</f>
        <v/>
      </c>
      <c r="AF119" s="561" t="n">
        <v>116</v>
      </c>
      <c r="AG119" s="568" t="n"/>
      <c r="AH119" s="566" t="inlineStr">
        <is>
          <t>GROUND</t>
        </is>
      </c>
      <c r="AI119" s="471" t="n"/>
      <c r="AJ119" s="471" t="n"/>
      <c r="AK119" s="599" t="n">
        <v>1</v>
      </c>
      <c r="AL119" s="471" t="n"/>
      <c r="AM119" s="471" t="n"/>
      <c r="AN119" s="471" t="n"/>
      <c r="AO119" s="562">
        <f>IF(AND(AJ119:AN119),1,0)</f>
        <v/>
      </c>
      <c r="GZ119" s="840" t="n"/>
      <c r="HD119" s="840" t="n"/>
      <c r="LB119" s="561" t="n">
        <v>116</v>
      </c>
      <c r="LC119" s="471" t="n"/>
      <c r="LD119" s="822" t="n"/>
      <c r="LF119" s="822" t="n"/>
      <c r="LG119" s="822">
        <f>LK117</f>
        <v/>
      </c>
      <c r="LH119" s="822" t="n"/>
      <c r="LI119" s="471" t="n"/>
      <c r="LJ119" s="471" t="n"/>
      <c r="LK119" s="562">
        <f>IF(AND(LF119:LJ119),1,0)</f>
        <v/>
      </c>
      <c r="MH119" s="561" t="n">
        <v>116</v>
      </c>
      <c r="MI119" s="471" t="n"/>
      <c r="MJ119" s="822" t="n"/>
      <c r="MK119" s="471" t="n"/>
      <c r="ML119" s="822" t="n"/>
      <c r="MM119" s="822">
        <f>MQ118</f>
        <v/>
      </c>
      <c r="MN119" s="822" t="n"/>
      <c r="MO119" s="471" t="n"/>
      <c r="MP119" s="471" t="n"/>
      <c r="MQ119" s="562">
        <f>IF(AND(ML119:MP119),1,0)</f>
        <v/>
      </c>
    </row>
    <row r="120">
      <c r="A120" s="561" t="n"/>
      <c r="P120" s="561" t="n">
        <v>117</v>
      </c>
      <c r="Q120" s="471" t="n"/>
      <c r="R120" s="561" t="inlineStr">
        <is>
          <t>SAFB1 9.5A</t>
        </is>
      </c>
      <c r="S120" s="471" t="n"/>
      <c r="T120" s="471" t="n"/>
      <c r="U120" s="582">
        <f>AB16</f>
        <v/>
      </c>
      <c r="V120" s="471">
        <f>Y119</f>
        <v/>
      </c>
      <c r="W120" s="471">
        <f>Y124</f>
        <v/>
      </c>
      <c r="X120" s="471">
        <f>Y127</f>
        <v/>
      </c>
      <c r="Y120" s="562">
        <f>IF(AND(T120:X120),1,0)</f>
        <v/>
      </c>
      <c r="AF120" s="561" t="n">
        <v>117</v>
      </c>
      <c r="AG120" s="568" t="n"/>
      <c r="AH120" s="566" t="n"/>
      <c r="AI120" s="471" t="n"/>
      <c r="AJ120" s="471" t="n"/>
      <c r="AK120" s="599">
        <f>AO35</f>
        <v/>
      </c>
      <c r="AL120" s="471" t="n"/>
      <c r="AM120" s="471" t="n"/>
      <c r="AN120" s="471" t="n"/>
      <c r="AO120" s="562">
        <f>IF(AND(AJ120:AN120),1,0)</f>
        <v/>
      </c>
      <c r="GZ120" s="840" t="n"/>
      <c r="HD120" s="840" t="n"/>
      <c r="LB120" s="561" t="n">
        <v>117</v>
      </c>
      <c r="LC120" s="471" t="n"/>
      <c r="LD120" s="822" t="inlineStr">
        <is>
          <t xml:space="preserve">VFD DRIVE </t>
        </is>
      </c>
      <c r="LE120" s="471" t="n"/>
      <c r="LF120" s="822" t="n"/>
      <c r="LG120" s="574">
        <f>LN28</f>
        <v/>
      </c>
      <c r="LH120" s="822">
        <f>LK53</f>
        <v/>
      </c>
      <c r="LI120" s="471">
        <f>LK86</f>
        <v/>
      </c>
      <c r="LJ120" s="471">
        <f>LK119</f>
        <v/>
      </c>
      <c r="LK120" s="562">
        <f>IF(AND(LF120:LJ120),1,0)</f>
        <v/>
      </c>
      <c r="MH120" s="561" t="n">
        <v>117</v>
      </c>
      <c r="MI120" s="471" t="n"/>
      <c r="MJ120" s="822" t="inlineStr">
        <is>
          <t>SMDR</t>
        </is>
      </c>
      <c r="MK120" s="471" t="n"/>
      <c r="ML120" s="822" t="n"/>
      <c r="MM120" s="574">
        <f>MQ143</f>
        <v/>
      </c>
      <c r="MN120" s="822" t="n"/>
      <c r="MO120" s="471" t="n"/>
      <c r="MP120" s="471" t="n"/>
      <c r="MQ120" s="562">
        <f>IF(AND(ML120:MP120),1,0)</f>
        <v/>
      </c>
    </row>
    <row r="121">
      <c r="A121" s="561" t="n"/>
      <c r="B121" s="471" t="n"/>
      <c r="P121" s="561" t="n">
        <v>118</v>
      </c>
      <c r="Q121" s="471" t="n"/>
      <c r="R121" s="561" t="n"/>
      <c r="S121" s="471" t="n"/>
      <c r="T121" s="471" t="n"/>
      <c r="U121" s="801">
        <f>Y120</f>
        <v/>
      </c>
      <c r="V121" s="471" t="n"/>
      <c r="W121" s="471" t="n"/>
      <c r="X121" s="471" t="n"/>
      <c r="Y121" s="562">
        <f>IF(AND(T121:X121),1,0)</f>
        <v/>
      </c>
      <c r="AF121" s="561" t="n">
        <v>118</v>
      </c>
      <c r="AG121" s="568" t="n"/>
      <c r="AH121" s="471" t="inlineStr">
        <is>
          <t>SAFB1 9.5A</t>
        </is>
      </c>
      <c r="AI121" s="471" t="n"/>
      <c r="AJ121" s="471" t="n"/>
      <c r="AK121" s="570">
        <f>AB15</f>
        <v/>
      </c>
      <c r="AL121" s="471">
        <f>AO120</f>
        <v/>
      </c>
      <c r="AM121" s="471" t="n"/>
      <c r="AN121" s="471" t="n"/>
      <c r="AO121" s="562">
        <f>IF(AND(AJ121:AN121),1,0)</f>
        <v/>
      </c>
      <c r="GZ121" s="840" t="n"/>
      <c r="HD121" s="840" t="n"/>
      <c r="LB121" s="561" t="n">
        <v>118</v>
      </c>
      <c r="LC121" s="471" t="n"/>
      <c r="LD121" s="822" t="n"/>
      <c r="LE121" s="471" t="n"/>
      <c r="LF121" s="822" t="n"/>
      <c r="LG121" s="822">
        <f>LK120</f>
        <v/>
      </c>
      <c r="LH121" s="822" t="n"/>
      <c r="LI121" s="471" t="n"/>
      <c r="LJ121" s="471" t="n"/>
      <c r="LK121" s="562">
        <f>IF(AND(LF121:LJ121),1,0)</f>
        <v/>
      </c>
      <c r="MH121" s="561" t="n">
        <v>118</v>
      </c>
      <c r="MI121" s="471" t="n"/>
      <c r="MJ121" s="822" t="n"/>
      <c r="MK121" s="471" t="n"/>
      <c r="ML121" s="822" t="n"/>
      <c r="MM121" s="581" t="n">
        <v>1</v>
      </c>
      <c r="MN121" s="822" t="n"/>
      <c r="MO121" s="471" t="n"/>
      <c r="MP121" s="471" t="n"/>
      <c r="MQ121" s="562">
        <f>IF(AND(ML121:MP121),1,0)</f>
        <v/>
      </c>
    </row>
    <row r="122">
      <c r="A122" s="471" t="n"/>
      <c r="B122" s="471" t="n"/>
      <c r="P122" s="561" t="n">
        <v>119</v>
      </c>
      <c r="Q122" s="471" t="n"/>
      <c r="R122" s="561" t="inlineStr">
        <is>
          <t>SAFC1 12A</t>
        </is>
      </c>
      <c r="S122" s="471" t="n"/>
      <c r="T122" s="471" t="n"/>
      <c r="U122" s="582">
        <f>AB16</f>
        <v/>
      </c>
      <c r="V122" s="471">
        <f>Y121</f>
        <v/>
      </c>
      <c r="W122" s="471">
        <f>Y125</f>
        <v/>
      </c>
      <c r="X122" s="471">
        <f>Y128</f>
        <v/>
      </c>
      <c r="Y122" s="562">
        <f>IF(AND(T122:X122),1,0)</f>
        <v/>
      </c>
      <c r="AF122" s="561" t="n">
        <v>119</v>
      </c>
      <c r="AG122" s="568" t="n"/>
      <c r="AH122" s="566" t="n"/>
      <c r="AI122" s="471" t="n"/>
      <c r="AJ122" s="471" t="n"/>
      <c r="AK122" s="599">
        <f>AO121</f>
        <v/>
      </c>
      <c r="AL122" s="471" t="n"/>
      <c r="AM122" s="471" t="n"/>
      <c r="AN122" s="471" t="n"/>
      <c r="AO122" s="562">
        <f>IF(AND(AJ122:AN122),1,0)</f>
        <v/>
      </c>
      <c r="GZ122" s="840" t="n"/>
      <c r="HD122" s="840" t="n"/>
      <c r="LB122" s="561" t="n">
        <v>119</v>
      </c>
      <c r="LC122" s="471" t="n"/>
      <c r="LD122" s="822" t="n"/>
      <c r="LE122" s="471" t="n"/>
      <c r="LF122" s="822" t="n"/>
      <c r="LG122" s="822">
        <f>LK99</f>
        <v/>
      </c>
      <c r="LH122" s="822" t="n"/>
      <c r="LI122" s="471" t="n"/>
      <c r="LJ122" s="471" t="n"/>
      <c r="LK122" s="562">
        <f>IF(AND(LF122:LJ122),1,0)</f>
        <v/>
      </c>
      <c r="MH122" s="561" t="n">
        <v>119</v>
      </c>
      <c r="MI122" s="471" t="n"/>
      <c r="MJ122" s="822" t="n"/>
      <c r="MK122" s="471" t="n"/>
      <c r="ML122" s="822" t="n"/>
      <c r="MM122" s="822">
        <f>MQ123</f>
        <v/>
      </c>
      <c r="MN122" s="822" t="n"/>
      <c r="MO122" s="471" t="n"/>
      <c r="MP122" s="471" t="n"/>
      <c r="MQ122" s="562">
        <f>IF(AND(ML122:MP122),1,0)</f>
        <v/>
      </c>
    </row>
    <row r="123">
      <c r="A123" s="471" t="n"/>
      <c r="B123" s="471" t="n"/>
      <c r="P123" s="561" t="n">
        <v>120</v>
      </c>
      <c r="Q123" s="471" t="n"/>
      <c r="R123" s="561" t="n"/>
      <c r="S123" s="471" t="n"/>
      <c r="T123" s="471" t="n"/>
      <c r="U123" s="801">
        <f>Y122</f>
        <v/>
      </c>
      <c r="V123" s="471" t="n"/>
      <c r="W123" s="471" t="n"/>
      <c r="X123" s="471" t="n"/>
      <c r="Y123" s="562">
        <f>IF(AND(T123:X123),1,0)</f>
        <v/>
      </c>
      <c r="AF123" s="561" t="n">
        <v>120</v>
      </c>
      <c r="AG123" s="568" t="n"/>
      <c r="AH123" s="471" t="inlineStr">
        <is>
          <t>SAFC1 12A</t>
        </is>
      </c>
      <c r="AI123" s="471" t="n"/>
      <c r="AJ123" s="471" t="n"/>
      <c r="AK123" s="570">
        <f>AB15</f>
        <v/>
      </c>
      <c r="AL123" s="471">
        <f>AO122</f>
        <v/>
      </c>
      <c r="AM123" s="471" t="n"/>
      <c r="AN123" s="471" t="n"/>
      <c r="AO123" s="562">
        <f>IF(AND(AJ123:AN123),1,0)</f>
        <v/>
      </c>
      <c r="GZ123" s="840" t="n"/>
      <c r="HD123" s="840" t="n"/>
      <c r="LB123" s="561" t="n">
        <v>120</v>
      </c>
      <c r="LC123" s="471" t="n"/>
      <c r="LD123" s="822" t="inlineStr">
        <is>
          <t>CDFB 4,63 A</t>
        </is>
      </c>
      <c r="LE123" s="471" t="n"/>
      <c r="LF123" s="822" t="n"/>
      <c r="LG123" s="574">
        <f>LN24</f>
        <v/>
      </c>
      <c r="LH123" s="822">
        <f>LK57</f>
        <v/>
      </c>
      <c r="LI123" s="471">
        <f>LK88</f>
        <v/>
      </c>
      <c r="LJ123" s="471">
        <f>LK122</f>
        <v/>
      </c>
      <c r="LK123" s="562">
        <f>IF(AND(LF123:LJ123),1,0)</f>
        <v/>
      </c>
      <c r="MH123" s="561" t="n">
        <v>120</v>
      </c>
      <c r="MI123" s="471" t="n"/>
      <c r="MJ123" s="822" t="inlineStr">
        <is>
          <t>SMDR</t>
        </is>
      </c>
      <c r="MK123" s="471" t="n"/>
      <c r="ML123" s="822" t="n"/>
      <c r="MM123" s="574">
        <f>MQ120</f>
        <v/>
      </c>
      <c r="MN123" s="822" t="n"/>
      <c r="MO123" s="471" t="n"/>
      <c r="MP123" s="471" t="n"/>
      <c r="MQ123" s="562">
        <f>IF(AND(ML123:MP123),1,0)</f>
        <v/>
      </c>
    </row>
    <row r="124">
      <c r="A124" s="471" t="n"/>
      <c r="B124" s="471" t="n"/>
      <c r="P124" s="561" t="n">
        <v>121</v>
      </c>
      <c r="Q124" s="471" t="n"/>
      <c r="R124" s="561" t="n"/>
      <c r="S124" s="471" t="n"/>
      <c r="T124" s="471" t="n"/>
      <c r="U124" s="801">
        <f>Y37</f>
        <v/>
      </c>
      <c r="V124" s="471" t="n"/>
      <c r="W124" s="471" t="n"/>
      <c r="X124" s="471" t="n"/>
      <c r="Y124" s="562">
        <f>IF(AND(T124:X124),1,0)</f>
        <v/>
      </c>
      <c r="AF124" s="561" t="n">
        <v>121</v>
      </c>
      <c r="AG124" s="568" t="n"/>
      <c r="AH124" s="566" t="n"/>
      <c r="AI124" s="471" t="n"/>
      <c r="AJ124" s="471" t="n"/>
      <c r="AK124" s="599">
        <f>AO123</f>
        <v/>
      </c>
      <c r="AL124" s="471" t="n"/>
      <c r="AM124" s="471" t="n"/>
      <c r="AN124" s="471" t="n"/>
      <c r="AO124" s="562">
        <f>IF(AND(AJ124:AN124),1,0)</f>
        <v/>
      </c>
      <c r="GZ124" s="840" t="n"/>
      <c r="HD124" s="840" t="n"/>
      <c r="LB124" s="561" t="n">
        <v>121</v>
      </c>
      <c r="LC124" s="471" t="n"/>
      <c r="LD124" s="822" t="n"/>
      <c r="LE124" s="471" t="n"/>
      <c r="LF124" s="822" t="n"/>
      <c r="LG124" s="822">
        <f>LK123</f>
        <v/>
      </c>
      <c r="LH124" s="822" t="n"/>
      <c r="LI124" s="471" t="n"/>
      <c r="LJ124" s="471" t="n"/>
      <c r="LK124" s="562">
        <f>IF(AND(LF124:LJ124),1,0)</f>
        <v/>
      </c>
      <c r="MH124" s="561" t="n">
        <v>121</v>
      </c>
      <c r="MI124" s="471" t="n"/>
      <c r="MJ124" s="822" t="n"/>
      <c r="MK124" s="471" t="n"/>
      <c r="ML124" s="822" t="n"/>
      <c r="MM124" s="581" t="n">
        <v>1</v>
      </c>
      <c r="MN124" s="822" t="n"/>
      <c r="MO124" s="471" t="n"/>
      <c r="MP124" s="471" t="n"/>
      <c r="MQ124" s="562">
        <f>IF(AND(ML124:MP124),1,0)</f>
        <v/>
      </c>
    </row>
    <row r="125">
      <c r="A125" s="471" t="n"/>
      <c r="B125" s="471" t="n"/>
      <c r="P125" s="561" t="n">
        <v>122</v>
      </c>
      <c r="Q125" s="471" t="n"/>
      <c r="R125" s="561" t="n"/>
      <c r="S125" s="471" t="n"/>
      <c r="T125" s="471" t="n"/>
      <c r="U125" s="801">
        <f>Y120</f>
        <v/>
      </c>
      <c r="V125" s="471">
        <f>Y124</f>
        <v/>
      </c>
      <c r="W125" s="471" t="n"/>
      <c r="X125" s="471" t="n"/>
      <c r="Y125" s="562">
        <f>IF(AND(T125:X125),1,0)</f>
        <v/>
      </c>
      <c r="AF125" s="561" t="n">
        <v>122</v>
      </c>
      <c r="AG125" s="568" t="n"/>
      <c r="AH125" s="566" t="n"/>
      <c r="AI125" s="471" t="n"/>
      <c r="AJ125" s="471" t="n"/>
      <c r="AK125" s="599">
        <f>AO38</f>
        <v/>
      </c>
      <c r="AL125" s="471" t="n"/>
      <c r="AM125" s="471" t="n"/>
      <c r="AN125" s="471" t="n"/>
      <c r="AO125" s="562">
        <f>IF(AND(AJ125:AN125),1,0)</f>
        <v/>
      </c>
      <c r="GZ125" s="840" t="n"/>
      <c r="HD125" s="840" t="n"/>
      <c r="LB125" s="561" t="n">
        <v>122</v>
      </c>
      <c r="LC125" s="471" t="n"/>
      <c r="LD125" s="822" t="inlineStr">
        <is>
          <t>CDFC 9 A</t>
        </is>
      </c>
      <c r="LE125" s="471" t="n"/>
      <c r="LF125" s="822" t="n"/>
      <c r="LG125" s="574">
        <f>LN22</f>
        <v/>
      </c>
      <c r="LH125" s="822">
        <f>LK58</f>
        <v/>
      </c>
      <c r="LI125" s="471">
        <f>LK89</f>
        <v/>
      </c>
      <c r="LJ125" s="471">
        <f>LK124</f>
        <v/>
      </c>
      <c r="LK125" s="562">
        <f>IF(AND(LF125:LJ125),1,0)</f>
        <v/>
      </c>
      <c r="MH125" s="561" t="n">
        <v>122</v>
      </c>
      <c r="MI125" s="471" t="n"/>
      <c r="MJ125" s="822" t="n"/>
      <c r="MK125" s="471" t="n"/>
      <c r="ML125" s="822" t="n"/>
      <c r="MM125" s="822">
        <f>MQ126</f>
        <v/>
      </c>
      <c r="MN125" s="822" t="n"/>
      <c r="MO125" s="471" t="n"/>
      <c r="MP125" s="471" t="n"/>
      <c r="MQ125" s="562">
        <f>IF(AND(ML125:MP125),1,0)</f>
        <v/>
      </c>
    </row>
    <row r="126" ht="31" customHeight="1">
      <c r="A126" s="566" t="inlineStr">
        <is>
          <t>LA .A03-X06</t>
        </is>
      </c>
      <c r="B126" s="471" t="n"/>
      <c r="P126" s="561" t="n">
        <v>123</v>
      </c>
      <c r="Q126" s="471" t="n"/>
      <c r="R126" s="561" t="n"/>
      <c r="S126" s="471" t="n"/>
      <c r="T126" s="471" t="n"/>
      <c r="U126" s="801">
        <f>Y122</f>
        <v/>
      </c>
      <c r="V126" s="471">
        <f>Y125</f>
        <v/>
      </c>
      <c r="W126" s="471" t="n"/>
      <c r="X126" s="471" t="n"/>
      <c r="Y126" s="562">
        <f>IF(AND(T126:X126),1,0)</f>
        <v/>
      </c>
      <c r="AF126" s="561" t="n">
        <v>123</v>
      </c>
      <c r="AG126" s="568" t="n"/>
      <c r="AH126" s="566" t="n"/>
      <c r="AI126" s="471" t="n"/>
      <c r="AJ126" s="471" t="n"/>
      <c r="AK126" s="599">
        <f>AO121</f>
        <v/>
      </c>
      <c r="AL126" s="471">
        <f>AO125</f>
        <v/>
      </c>
      <c r="AM126" s="471" t="n"/>
      <c r="AN126" s="471" t="n"/>
      <c r="AO126" s="562">
        <f>IF(AND(AJ126:AN126),1,0)</f>
        <v/>
      </c>
      <c r="GZ126" s="840" t="n"/>
      <c r="HD126" s="840" t="n"/>
      <c r="LB126" s="561" t="n">
        <v>123</v>
      </c>
      <c r="LC126" s="471" t="n"/>
      <c r="LD126" s="822" t="n"/>
      <c r="LE126" s="471" t="n"/>
      <c r="LF126" s="822" t="n"/>
      <c r="LG126" s="822">
        <f>LK125</f>
        <v/>
      </c>
      <c r="LH126" s="822" t="n"/>
      <c r="LI126" s="471" t="n"/>
      <c r="LJ126" s="471" t="n"/>
      <c r="LK126" s="562">
        <f>IF(AND(LF126:LJ126),1,0)</f>
        <v/>
      </c>
      <c r="MH126" s="561" t="n">
        <v>123</v>
      </c>
      <c r="MI126" s="471" t="n"/>
      <c r="MJ126" s="822" t="inlineStr">
        <is>
          <t>FADR</t>
        </is>
      </c>
      <c r="MK126" s="471" t="n"/>
      <c r="ML126" s="822" t="n"/>
      <c r="MM126" s="574">
        <f>MT13</f>
        <v/>
      </c>
      <c r="MN126" s="822" t="n"/>
      <c r="MO126" s="471" t="n"/>
      <c r="MP126" s="471" t="n"/>
      <c r="MQ126" s="562">
        <f>IF(AND(ML126:MP126),1,0)</f>
        <v/>
      </c>
    </row>
    <row r="127">
      <c r="A127" s="471" t="n"/>
      <c r="B127" s="471" t="n"/>
      <c r="P127" s="561" t="n">
        <v>124</v>
      </c>
      <c r="Q127" s="471" t="n"/>
      <c r="R127" s="561" t="n"/>
      <c r="S127" s="471" t="n"/>
      <c r="T127" s="471" t="n"/>
      <c r="U127" s="801">
        <f>Y40</f>
        <v/>
      </c>
      <c r="V127" s="471" t="n"/>
      <c r="W127" s="471" t="n"/>
      <c r="X127" s="471" t="n"/>
      <c r="Y127" s="562">
        <f>IF(AND(T127:X127),1,0)</f>
        <v/>
      </c>
      <c r="AF127" s="561" t="n">
        <v>124</v>
      </c>
      <c r="AG127" s="568" t="n"/>
      <c r="AH127" s="566" t="n"/>
      <c r="AI127" s="471" t="n"/>
      <c r="AJ127" s="471" t="n"/>
      <c r="AK127" s="599">
        <f>AO123</f>
        <v/>
      </c>
      <c r="AL127" s="471">
        <f>AO126</f>
        <v/>
      </c>
      <c r="AM127" s="471" t="n"/>
      <c r="AN127" s="471" t="n"/>
      <c r="AO127" s="562">
        <f>IF(AND(AJ127:AN127),1,0)</f>
        <v/>
      </c>
      <c r="GZ127" s="840" t="n"/>
      <c r="HD127" s="840" t="n"/>
      <c r="LB127" s="561" t="n">
        <v>124</v>
      </c>
      <c r="LC127" s="471" t="n"/>
      <c r="LD127" s="822" t="n"/>
      <c r="LE127" s="471" t="n"/>
      <c r="LF127" s="822" t="n"/>
      <c r="LG127" s="822">
        <f>LK126</f>
        <v/>
      </c>
      <c r="LH127" s="822" t="n"/>
      <c r="LI127" s="471" t="n"/>
      <c r="LJ127" s="471" t="n"/>
      <c r="LK127" s="562">
        <f>IF(AND(LF127:LJ127),1,0)</f>
        <v/>
      </c>
      <c r="MH127" s="561" t="n">
        <v>124</v>
      </c>
      <c r="MI127" s="471" t="n"/>
      <c r="MJ127" s="822" t="n"/>
      <c r="MK127" s="471" t="n"/>
      <c r="ML127" s="822" t="n"/>
      <c r="MM127" s="574">
        <f>MT15</f>
        <v/>
      </c>
      <c r="MN127" s="822" t="n"/>
      <c r="MO127" s="471" t="n"/>
      <c r="MP127" s="471" t="n"/>
      <c r="MQ127" s="562">
        <f>IF(AND(ML127:MP127),1,0)</f>
        <v/>
      </c>
    </row>
    <row r="128">
      <c r="A128" s="559" t="n"/>
      <c r="B128" s="559" t="n"/>
      <c r="P128" s="561" t="n">
        <v>125</v>
      </c>
      <c r="Q128" s="471" t="n"/>
      <c r="R128" s="561" t="n"/>
      <c r="S128" s="471" t="n"/>
      <c r="T128" s="471" t="n"/>
      <c r="U128" s="801">
        <f>Y120</f>
        <v/>
      </c>
      <c r="V128" s="471">
        <f>Y127</f>
        <v/>
      </c>
      <c r="W128" s="471" t="n"/>
      <c r="X128" s="471" t="n"/>
      <c r="Y128" s="562">
        <f>IF(AND(T128:X128),1,0)</f>
        <v/>
      </c>
      <c r="AF128" s="561" t="n">
        <v>125</v>
      </c>
      <c r="AG128" s="568" t="n"/>
      <c r="AH128" s="566" t="n"/>
      <c r="AI128" s="471" t="n"/>
      <c r="AJ128" s="471" t="n"/>
      <c r="AK128" s="599">
        <f>AO41</f>
        <v/>
      </c>
      <c r="AL128" s="471" t="n"/>
      <c r="AM128" s="471" t="n"/>
      <c r="AN128" s="471" t="n"/>
      <c r="AO128" s="562">
        <f>IF(AND(AJ128:AN128),1,0)</f>
        <v/>
      </c>
      <c r="GZ128" s="840" t="n"/>
      <c r="HD128" s="840" t="n"/>
      <c r="LB128" s="561" t="n">
        <v>125</v>
      </c>
      <c r="LC128" s="471" t="n"/>
      <c r="LD128" s="822" t="n"/>
      <c r="LE128" s="471" t="n"/>
      <c r="LF128" s="822" t="n"/>
      <c r="LG128" s="822">
        <f>LK90</f>
        <v/>
      </c>
      <c r="LH128" s="822" t="n"/>
      <c r="LI128" s="471" t="n"/>
      <c r="LJ128" s="471" t="n"/>
      <c r="LK128" s="562">
        <f>IF(AND(LF128:LJ128),1,0)</f>
        <v/>
      </c>
      <c r="MH128" s="561" t="n">
        <v>125</v>
      </c>
      <c r="MI128" s="471" t="n"/>
      <c r="MJ128" s="822" t="n"/>
      <c r="MK128" s="471" t="n"/>
      <c r="ML128" s="822" t="n"/>
      <c r="MM128" s="822">
        <f>MQ127</f>
        <v/>
      </c>
      <c r="MN128" s="822" t="n"/>
      <c r="MO128" s="471" t="n"/>
      <c r="MP128" s="471" t="n"/>
      <c r="MQ128" s="562">
        <f>IF(AND(ML128:MP128),1,0)</f>
        <v/>
      </c>
    </row>
    <row r="129" ht="46.5" customHeight="1">
      <c r="A129" s="566" t="inlineStr">
        <is>
          <t>UB .XE01.01_+01.10</t>
        </is>
      </c>
      <c r="B129" s="471" t="n"/>
      <c r="P129" s="561" t="n">
        <v>126</v>
      </c>
      <c r="Q129" s="471" t="n"/>
      <c r="R129" s="561" t="n"/>
      <c r="S129" s="471" t="n"/>
      <c r="T129" s="471" t="n"/>
      <c r="U129" s="801">
        <f>Y122</f>
        <v/>
      </c>
      <c r="V129" s="471">
        <f>Y128</f>
        <v/>
      </c>
      <c r="W129" s="471" t="n"/>
      <c r="X129" s="471" t="n"/>
      <c r="Y129" s="562">
        <f>IF(AND(T129:X129),1,0)</f>
        <v/>
      </c>
      <c r="AF129" s="561" t="n">
        <v>126</v>
      </c>
      <c r="AG129" s="568" t="n"/>
      <c r="AH129" s="566" t="n"/>
      <c r="AI129" s="471" t="n"/>
      <c r="AJ129" s="471" t="n"/>
      <c r="AK129" s="599">
        <f>AO121</f>
        <v/>
      </c>
      <c r="AL129" s="471">
        <f>AO128</f>
        <v/>
      </c>
      <c r="AM129" s="471" t="n"/>
      <c r="AN129" s="471" t="n"/>
      <c r="AO129" s="562">
        <f>IF(AND(AJ129:AN129),1,0)</f>
        <v/>
      </c>
      <c r="GZ129" s="840" t="n"/>
      <c r="HD129" s="840" t="n"/>
      <c r="LB129" s="561" t="n">
        <v>126</v>
      </c>
      <c r="LC129" s="471" t="n"/>
      <c r="LD129" s="822" t="n"/>
      <c r="LE129" s="471" t="n"/>
      <c r="LF129" s="822" t="n"/>
      <c r="LG129" s="822">
        <f>LK59</f>
        <v/>
      </c>
      <c r="LH129" s="822" t="n"/>
      <c r="LI129" s="471" t="n"/>
      <c r="LJ129" s="471" t="n"/>
      <c r="LK129" s="562">
        <f>IF(AND(LF129:LJ129),1,0)</f>
        <v/>
      </c>
      <c r="MH129" s="561" t="n">
        <v>126</v>
      </c>
      <c r="MI129" s="471" t="n"/>
      <c r="MJ129" s="822" t="n"/>
      <c r="MK129" s="471" t="n"/>
      <c r="ML129" s="822" t="n"/>
      <c r="MM129" s="822">
        <f>MQ101</f>
        <v/>
      </c>
      <c r="MN129" s="822" t="n"/>
      <c r="MO129" s="471" t="n"/>
      <c r="MP129" s="471" t="n"/>
      <c r="MQ129" s="562">
        <f>IF(AND(ML129:MP129),1,0)</f>
        <v/>
      </c>
    </row>
    <row r="130" ht="58.5" customHeight="1">
      <c r="A130" s="471" t="n"/>
      <c r="B130" s="471" t="n"/>
      <c r="P130" s="561" t="n">
        <v>127</v>
      </c>
      <c r="Q130" s="471" t="n"/>
      <c r="R130" s="822" t="inlineStr">
        <is>
          <t>SUPPLY AIR FAN 2 Pa=1.25kW P.f=0.76</t>
        </is>
      </c>
      <c r="S130" s="471" t="n"/>
      <c r="T130" s="471" t="n"/>
      <c r="U130" s="582">
        <f>AB16</f>
        <v/>
      </c>
      <c r="V130" s="471">
        <f>Y123</f>
        <v/>
      </c>
      <c r="W130" s="471">
        <f>Y126</f>
        <v/>
      </c>
      <c r="X130" s="471">
        <f>Y129</f>
        <v/>
      </c>
      <c r="Y130" s="562">
        <f>IF(AND(T130:X130),1,0)</f>
        <v/>
      </c>
      <c r="AF130" s="561" t="n">
        <v>127</v>
      </c>
      <c r="AG130" s="568" t="n"/>
      <c r="AH130" s="566" t="n"/>
      <c r="AI130" s="471" t="n"/>
      <c r="AJ130" s="471" t="n"/>
      <c r="AK130" s="599">
        <f>AO123</f>
        <v/>
      </c>
      <c r="AL130" s="471">
        <f>AO129</f>
        <v/>
      </c>
      <c r="AM130" s="471" t="n"/>
      <c r="AN130" s="471" t="n"/>
      <c r="AO130" s="562">
        <f>IF(AND(AJ130:AN130),1,0)</f>
        <v/>
      </c>
      <c r="GZ130" s="840" t="n"/>
      <c r="HD130" s="840" t="n"/>
      <c r="LB130" s="561" t="n">
        <v>127</v>
      </c>
      <c r="LC130" s="471" t="n"/>
      <c r="LD130" s="822" t="inlineStr">
        <is>
          <t>CONDENSER MOTOR 2 Pa=2,5kW p.f.=0,75</t>
        </is>
      </c>
      <c r="LE130" s="471" t="n"/>
      <c r="LF130" s="822" t="n"/>
      <c r="LG130" s="574">
        <f>LN23</f>
        <v/>
      </c>
      <c r="LH130" s="822">
        <f>LK129</f>
        <v/>
      </c>
      <c r="LI130" s="471">
        <f>LK128</f>
        <v/>
      </c>
      <c r="LJ130" s="471">
        <f>LK127</f>
        <v/>
      </c>
      <c r="LK130" s="562">
        <f>IF(AND(LF130:LJ130),1,0)</f>
        <v/>
      </c>
      <c r="MH130" s="561" t="n">
        <v>127</v>
      </c>
      <c r="MI130" s="471" t="n"/>
      <c r="MJ130" s="822" t="inlineStr">
        <is>
          <t>ACCP2N</t>
        </is>
      </c>
      <c r="MK130" s="471" t="n"/>
      <c r="ML130" s="822" t="n"/>
      <c r="MM130" s="574">
        <f>MT20</f>
        <v/>
      </c>
      <c r="MN130" s="822">
        <f>MQ129</f>
        <v/>
      </c>
      <c r="MO130" s="471" t="n"/>
      <c r="MP130" s="471" t="n"/>
      <c r="MQ130" s="562">
        <f>IF(AND(ML130:MP130),1,0)</f>
        <v/>
      </c>
    </row>
    <row r="131" ht="31" customHeight="1">
      <c r="A131" s="566" t="inlineStr">
        <is>
          <t>LA .A03-X07</t>
        </is>
      </c>
      <c r="B131" s="471" t="n"/>
      <c r="P131" s="561" t="n">
        <v>128</v>
      </c>
      <c r="Q131" s="471" t="n"/>
      <c r="R131" s="561" t="n"/>
      <c r="S131" s="471" t="n"/>
      <c r="T131" s="471" t="n"/>
      <c r="U131" s="801">
        <f>Y130</f>
        <v/>
      </c>
      <c r="V131" s="471" t="n"/>
      <c r="W131" s="471" t="n"/>
      <c r="X131" s="471" t="n"/>
      <c r="Y131" s="562">
        <f>IF(AND(T131:X131),1,0)</f>
        <v/>
      </c>
      <c r="AF131" s="561" t="n">
        <v>128</v>
      </c>
      <c r="AG131" s="568" t="n"/>
      <c r="AH131" s="822" t="inlineStr">
        <is>
          <t>SUPPLY AIR FAN 1 Pa=1.25kW P.f=0.75</t>
        </is>
      </c>
      <c r="AI131" s="471" t="n"/>
      <c r="AJ131" s="471" t="n"/>
      <c r="AK131" s="570">
        <f>AB15</f>
        <v/>
      </c>
      <c r="AL131" s="471">
        <f>AO124</f>
        <v/>
      </c>
      <c r="AM131" s="471">
        <f>AO127</f>
        <v/>
      </c>
      <c r="AN131" s="471">
        <f>AO130</f>
        <v/>
      </c>
      <c r="AO131" s="562">
        <f>IF(AND(AJ131:AN131),1,0)</f>
        <v/>
      </c>
      <c r="GZ131" s="840" t="n"/>
      <c r="HD131" s="840" t="n"/>
      <c r="LB131" s="561" t="n">
        <v>128</v>
      </c>
      <c r="LC131" s="471" t="n"/>
      <c r="LD131" s="822" t="n"/>
      <c r="LE131" s="471" t="n"/>
      <c r="LF131" s="822" t="n"/>
      <c r="LG131" s="822" t="n">
        <v>1</v>
      </c>
      <c r="LH131" s="822" t="n"/>
      <c r="LI131" s="471" t="n"/>
      <c r="LJ131" s="471" t="n"/>
      <c r="LK131" s="562">
        <f>IF(AND(LF131:LJ131),1,0)</f>
        <v/>
      </c>
      <c r="MH131" s="561" t="n">
        <v>128</v>
      </c>
      <c r="MI131" s="471" t="n"/>
      <c r="MJ131" s="822" t="n"/>
      <c r="MK131" s="471" t="n"/>
      <c r="ML131" s="822" t="n"/>
      <c r="MM131" s="822">
        <f>MQ130</f>
        <v/>
      </c>
      <c r="MN131" s="822" t="n"/>
      <c r="MO131" s="471" t="n"/>
      <c r="MP131" s="471" t="n"/>
      <c r="MQ131" s="562">
        <f>IF(AND(ML131:MP131),1,0)</f>
        <v/>
      </c>
    </row>
    <row r="132">
      <c r="A132" s="471" t="n"/>
      <c r="B132" s="471" t="n"/>
      <c r="P132" s="561" t="n">
        <v>129</v>
      </c>
      <c r="Q132" s="471" t="n"/>
      <c r="R132" s="561" t="n"/>
      <c r="S132" s="471" t="n"/>
      <c r="T132" s="471" t="n"/>
      <c r="U132" s="273">
        <f>Y130</f>
        <v/>
      </c>
      <c r="V132" s="471" t="n"/>
      <c r="W132" s="471" t="n"/>
      <c r="X132" s="471" t="n"/>
      <c r="Y132" s="562">
        <f>IF(AND(T132:X132),1,0)</f>
        <v/>
      </c>
      <c r="AF132" s="561" t="n">
        <v>129</v>
      </c>
      <c r="AG132" s="568" t="n"/>
      <c r="AH132" s="566" t="n"/>
      <c r="AI132" s="471" t="n"/>
      <c r="AJ132" s="471" t="n"/>
      <c r="AK132" s="599">
        <f>AO131</f>
        <v/>
      </c>
      <c r="AL132" s="471" t="n"/>
      <c r="AM132" s="471" t="n"/>
      <c r="AN132" s="471" t="n"/>
      <c r="AO132" s="562">
        <f>IF(AND(AJ132:AN132),1,0)</f>
        <v/>
      </c>
      <c r="GZ132" s="840" t="n"/>
      <c r="HD132" s="840" t="n"/>
      <c r="LB132" s="561" t="n">
        <v>129</v>
      </c>
      <c r="LC132" s="471" t="n"/>
      <c r="LD132" s="822" t="n"/>
      <c r="LE132" s="471" t="n"/>
      <c r="LF132" s="822" t="n"/>
      <c r="LG132" s="822">
        <f>LK99</f>
        <v/>
      </c>
      <c r="LH132" s="822" t="n"/>
      <c r="LI132" s="471" t="n"/>
      <c r="LJ132" s="471" t="n"/>
      <c r="LK132" s="562">
        <f>IF(AND(LF132:LJ132),1,0)</f>
        <v/>
      </c>
      <c r="MH132" s="561" t="n">
        <v>129</v>
      </c>
      <c r="MI132" s="471" t="n"/>
      <c r="MJ132" s="822" t="n"/>
      <c r="MK132" s="471" t="n"/>
      <c r="ML132" s="822" t="n"/>
      <c r="MM132" s="822">
        <f>MQ131</f>
        <v/>
      </c>
      <c r="MN132" s="822" t="n"/>
      <c r="MO132" s="471" t="n"/>
      <c r="MP132" s="471" t="n"/>
      <c r="MQ132" s="562">
        <f>IF(AND(ML132:MP132),1,0)</f>
        <v/>
      </c>
    </row>
    <row r="133">
      <c r="A133" s="471" t="n"/>
      <c r="B133" s="471" t="n"/>
      <c r="P133" s="561" t="n">
        <v>130</v>
      </c>
      <c r="Q133" s="471" t="n"/>
      <c r="R133" s="561" t="inlineStr">
        <is>
          <t>GROUND</t>
        </is>
      </c>
      <c r="S133" s="471" t="n"/>
      <c r="T133" s="471" t="n"/>
      <c r="U133" s="801" t="n">
        <v>1</v>
      </c>
      <c r="V133" s="471" t="n"/>
      <c r="W133" s="471" t="n"/>
      <c r="X133" s="471" t="n"/>
      <c r="Y133" s="562">
        <f>IF(AND(T133:X133),1,0)</f>
        <v/>
      </c>
      <c r="AF133" s="561" t="n">
        <v>130</v>
      </c>
      <c r="AG133" s="568" t="n"/>
      <c r="AH133" s="566" t="n"/>
      <c r="AI133" s="471" t="n"/>
      <c r="AJ133" s="471" t="n"/>
      <c r="AK133" s="599">
        <f>AO131</f>
        <v/>
      </c>
      <c r="AL133" s="471" t="n"/>
      <c r="AM133" s="471" t="n"/>
      <c r="AN133" s="471" t="n"/>
      <c r="AO133" s="562">
        <f>IF(AND(AJ133:AN133),1,0)</f>
        <v/>
      </c>
      <c r="GZ133" s="840" t="n"/>
      <c r="HD133" s="840" t="n"/>
      <c r="LB133" s="561" t="n">
        <v>130</v>
      </c>
      <c r="LC133" s="471" t="n"/>
      <c r="LD133" s="822" t="inlineStr">
        <is>
          <t>SFFB 9,5 A</t>
        </is>
      </c>
      <c r="LE133" s="471" t="n"/>
      <c r="LF133" s="822" t="n"/>
      <c r="LG133" s="574">
        <f>LN16</f>
        <v/>
      </c>
      <c r="LH133" s="822">
        <f>LK132</f>
        <v/>
      </c>
      <c r="LI133" s="471">
        <f>LK91</f>
        <v/>
      </c>
      <c r="LJ133" s="471">
        <f>LK62</f>
        <v/>
      </c>
      <c r="LK133" s="562">
        <f>IF(AND(LF133:LJ133),1,0)</f>
        <v/>
      </c>
      <c r="MH133" s="561" t="n">
        <v>130</v>
      </c>
      <c r="MI133" s="471" t="n"/>
      <c r="MJ133" s="822" t="n"/>
      <c r="MK133" s="471" t="n"/>
      <c r="ML133" s="822" t="n"/>
      <c r="MM133" s="822">
        <f>IF(OR(MQ39,MQ14),1,0)</f>
        <v/>
      </c>
      <c r="MN133" s="822" t="n"/>
      <c r="MO133" s="471" t="n"/>
      <c r="MP133" s="471" t="n"/>
      <c r="MQ133" s="562">
        <f>IF(AND(ML133:MP133),1,0)</f>
        <v/>
      </c>
    </row>
    <row r="134" ht="31" customHeight="1">
      <c r="A134" s="566" t="inlineStr">
        <is>
          <t>LA .A03-X07</t>
        </is>
      </c>
      <c r="B134" s="471" t="n"/>
      <c r="P134" s="561" t="n">
        <v>131</v>
      </c>
      <c r="Q134" s="471" t="n"/>
      <c r="R134" s="561" t="n"/>
      <c r="S134" s="471" t="n"/>
      <c r="T134" s="471" t="n"/>
      <c r="U134" s="801">
        <f>Y132</f>
        <v/>
      </c>
      <c r="V134" s="801">
        <f>Y133</f>
        <v/>
      </c>
      <c r="W134" s="471" t="n"/>
      <c r="X134" s="471" t="n"/>
      <c r="Y134" s="562">
        <f>IF(AND(T134:X134),1,0)</f>
        <v/>
      </c>
      <c r="AF134" s="561" t="n">
        <v>131</v>
      </c>
      <c r="AG134" s="568" t="n"/>
      <c r="AH134" s="566" t="inlineStr">
        <is>
          <t>GROUND</t>
        </is>
      </c>
      <c r="AI134" s="471" t="n"/>
      <c r="AJ134" s="471" t="n"/>
      <c r="AK134" s="599" t="n">
        <v>1</v>
      </c>
      <c r="AL134" s="471" t="n"/>
      <c r="AM134" s="471" t="n"/>
      <c r="AN134" s="471" t="n"/>
      <c r="AO134" s="562">
        <f>IF(AND(AJ134:AN134),1,0)</f>
        <v/>
      </c>
      <c r="GZ134" s="840" t="n"/>
      <c r="HD134" s="840" t="n"/>
      <c r="LB134" s="561" t="n">
        <v>131</v>
      </c>
      <c r="LC134" s="471" t="n"/>
      <c r="LE134" s="471" t="n"/>
      <c r="LF134" s="822" t="n"/>
      <c r="LG134" s="822">
        <f>LK133</f>
        <v/>
      </c>
      <c r="LH134" s="822" t="n"/>
      <c r="LI134" s="471" t="n"/>
      <c r="LJ134" s="471" t="n"/>
      <c r="LK134" s="562">
        <f>IF(AND(LF134:LJ134),1,0)</f>
        <v/>
      </c>
      <c r="MH134" s="561" t="n">
        <v>131</v>
      </c>
      <c r="MI134" s="471" t="n"/>
      <c r="MJ134" s="822" t="n"/>
      <c r="MK134" s="471" t="n"/>
      <c r="ML134" s="822" t="n"/>
      <c r="MM134" s="822">
        <f>MQ133</f>
        <v/>
      </c>
      <c r="MN134" s="822" t="n"/>
      <c r="MO134" s="471" t="n"/>
      <c r="MP134" s="471" t="n"/>
      <c r="MQ134" s="562">
        <f>IF(AND(ML134:MP134),1,0)</f>
        <v/>
      </c>
    </row>
    <row r="135">
      <c r="A135" s="471" t="n"/>
      <c r="B135" s="471" t="n"/>
      <c r="P135" s="561" t="n">
        <v>131</v>
      </c>
      <c r="Q135" s="471" t="n"/>
      <c r="R135" s="561" t="n"/>
      <c r="S135" s="471" t="n"/>
      <c r="T135" s="471" t="n"/>
      <c r="U135" s="801">
        <f>Y34</f>
        <v/>
      </c>
      <c r="V135" s="471" t="n"/>
      <c r="W135" s="471" t="n"/>
      <c r="X135" s="471" t="n"/>
      <c r="Y135" s="562">
        <f>IF(AND(T135:X135),1,0)</f>
        <v/>
      </c>
      <c r="AF135" s="561" t="n">
        <v>132</v>
      </c>
      <c r="AG135" s="568" t="n"/>
      <c r="AH135" s="566" t="n"/>
      <c r="AI135" s="471" t="n"/>
      <c r="AJ135" s="471" t="n"/>
      <c r="AK135" s="599">
        <f>AO132</f>
        <v/>
      </c>
      <c r="AL135" s="471">
        <f>AO133</f>
        <v/>
      </c>
      <c r="AM135" s="471" t="n"/>
      <c r="AN135" s="471" t="n"/>
      <c r="AO135" s="562">
        <f>IF(AND(AJ135:AN135),1,0)</f>
        <v/>
      </c>
      <c r="DK135" s="840">
        <f>'DATA TRANSFER'!DP156</f>
        <v/>
      </c>
      <c r="GZ135" s="840" t="n"/>
      <c r="HD135" s="840" t="n"/>
      <c r="LB135" s="561" t="n">
        <v>132</v>
      </c>
      <c r="LC135" s="471" t="n"/>
      <c r="LD135" s="822" t="inlineStr">
        <is>
          <t>SAFC 12 A</t>
        </is>
      </c>
      <c r="LE135" s="471" t="n"/>
      <c r="LF135" s="822" t="n"/>
      <c r="LG135" s="574">
        <f>LN16</f>
        <v/>
      </c>
      <c r="LH135" s="822">
        <f>LK134</f>
        <v/>
      </c>
      <c r="LI135" s="471">
        <f>LK92</f>
        <v/>
      </c>
      <c r="LJ135" s="471">
        <f>LK63</f>
        <v/>
      </c>
      <c r="LK135" s="562">
        <f>IF(AND(LF135:LJ135),1,0)</f>
        <v/>
      </c>
      <c r="MH135" s="561" t="n">
        <v>132</v>
      </c>
      <c r="MI135" s="471" t="n"/>
      <c r="MJ135" s="822" t="n"/>
      <c r="MK135" s="471" t="n"/>
      <c r="ML135" s="822" t="n"/>
      <c r="MM135" s="822">
        <f>MQ134</f>
        <v/>
      </c>
      <c r="MN135" s="822" t="n"/>
      <c r="MO135" s="471" t="n"/>
      <c r="MP135" s="471" t="n"/>
      <c r="MQ135" s="562">
        <f>IF(AND(ML135:MP135),1,0)</f>
        <v/>
      </c>
    </row>
    <row r="136">
      <c r="A136" s="471" t="n"/>
      <c r="B136" s="801" t="inlineStr">
        <is>
          <t>HTC</t>
        </is>
      </c>
      <c r="P136" s="561" t="n">
        <v>132</v>
      </c>
      <c r="Q136" s="471" t="n"/>
      <c r="R136" s="561" t="inlineStr">
        <is>
          <t>HTRB 13.2A</t>
        </is>
      </c>
      <c r="S136" s="471" t="n"/>
      <c r="T136" s="471" t="n"/>
      <c r="U136" s="582">
        <f>IF(OR(AB29,AB35),1,0)</f>
        <v/>
      </c>
      <c r="V136" s="471">
        <f>Y135</f>
        <v/>
      </c>
      <c r="W136" s="471">
        <f>Y143</f>
        <v/>
      </c>
      <c r="X136" s="471">
        <f>Y149</f>
        <v/>
      </c>
      <c r="Y136" s="562">
        <f>IF(AND(T136:X136),1,0)</f>
        <v/>
      </c>
      <c r="AF136" s="561" t="n">
        <v>133</v>
      </c>
      <c r="AG136" s="568" t="n"/>
      <c r="AH136" s="566" t="n"/>
      <c r="AI136" s="471" t="n"/>
      <c r="AJ136" s="471" t="n"/>
      <c r="AK136" s="599">
        <f>AO35</f>
        <v/>
      </c>
      <c r="AL136" s="471" t="n"/>
      <c r="AM136" s="471" t="n"/>
      <c r="AN136" s="471" t="n"/>
      <c r="AO136" s="562">
        <f>IF(AND(AJ136:AN136),1,0)</f>
        <v/>
      </c>
      <c r="GZ136" s="840" t="n"/>
      <c r="HD136" s="840" t="n"/>
      <c r="LB136" s="561" t="n">
        <v>133</v>
      </c>
      <c r="LC136" s="471" t="n"/>
      <c r="LD136" s="822" t="n"/>
      <c r="LE136" s="471" t="n"/>
      <c r="LF136" s="822" t="n"/>
      <c r="LG136" s="822">
        <f>LK135</f>
        <v/>
      </c>
      <c r="LH136" s="822" t="n"/>
      <c r="LI136" s="471" t="n"/>
      <c r="LJ136" s="471" t="n"/>
      <c r="LK136" s="562">
        <f>IF(AND(LF136:LJ136),1,0)</f>
        <v/>
      </c>
      <c r="MH136" s="561" t="n">
        <v>133</v>
      </c>
      <c r="MI136" s="471" t="n"/>
      <c r="MJ136" s="822" t="n"/>
      <c r="MK136" s="471" t="n"/>
      <c r="ML136" s="822" t="n"/>
      <c r="MM136" s="822">
        <f>MQ135</f>
        <v/>
      </c>
      <c r="MN136" s="822" t="n"/>
      <c r="MO136" s="471" t="n"/>
      <c r="MP136" s="471" t="n"/>
      <c r="MQ136" s="562">
        <f>IF(AND(ML136:MP136),1,0)</f>
        <v/>
      </c>
    </row>
    <row r="137">
      <c r="A137" s="471" t="n"/>
      <c r="B137" s="471" t="n"/>
      <c r="P137" s="561" t="n">
        <v>133</v>
      </c>
      <c r="Q137" s="471" t="n"/>
      <c r="R137" s="561" t="n"/>
      <c r="S137" s="471" t="n"/>
      <c r="T137" s="471" t="n"/>
      <c r="U137" s="801">
        <f>Y136</f>
        <v/>
      </c>
      <c r="V137" s="471" t="n"/>
      <c r="W137" s="471" t="n"/>
      <c r="X137" s="471" t="n"/>
      <c r="Y137" s="562">
        <f>IF(AND(T137:X137),1,0)</f>
        <v/>
      </c>
      <c r="AF137" s="561" t="n">
        <v>134</v>
      </c>
      <c r="AG137" s="568" t="n"/>
      <c r="AH137" s="471" t="inlineStr">
        <is>
          <t>HTRB 13.2A</t>
        </is>
      </c>
      <c r="AI137" s="471" t="n"/>
      <c r="AJ137" s="471" t="n"/>
      <c r="AK137" s="570">
        <f>IF(OR(AB32,AB29),1,0)</f>
        <v/>
      </c>
      <c r="AL137" s="471">
        <f>AO136</f>
        <v/>
      </c>
      <c r="AM137" s="471" t="n"/>
      <c r="AN137" s="471" t="n"/>
      <c r="AO137" s="562">
        <f>IF(AND(AJ137:AN137),1,0)</f>
        <v/>
      </c>
      <c r="GZ137" s="840" t="n"/>
      <c r="HD137" s="840" t="n"/>
      <c r="LB137" s="561" t="n">
        <v>134</v>
      </c>
      <c r="LC137" s="471" t="n"/>
      <c r="LD137" s="822" t="n"/>
      <c r="LE137" s="471" t="n"/>
      <c r="LF137" s="822" t="n"/>
      <c r="LG137" s="822">
        <f>LK136</f>
        <v/>
      </c>
      <c r="LH137" s="822" t="n"/>
      <c r="LI137" s="471" t="n"/>
      <c r="LJ137" s="471" t="n"/>
      <c r="LK137" s="562">
        <f>IF(AND(LF137:LJ137),1,0)</f>
        <v/>
      </c>
      <c r="MH137" s="561" t="n">
        <v>134</v>
      </c>
      <c r="MI137" s="471" t="n"/>
      <c r="MJ137" s="822" t="n"/>
      <c r="MK137" s="471" t="n"/>
      <c r="ML137" s="822" t="n"/>
      <c r="MM137" s="822">
        <f>MQ136</f>
        <v/>
      </c>
      <c r="MN137" s="822" t="n"/>
      <c r="MO137" s="471" t="n"/>
      <c r="MP137" s="471" t="n"/>
      <c r="MQ137" s="562">
        <f>IF(AND(ML137:MP137),1,0)</f>
        <v/>
      </c>
    </row>
    <row r="138">
      <c r="A138" s="471" t="n"/>
      <c r="B138" s="471" t="n"/>
      <c r="P138" s="561" t="n">
        <v>134</v>
      </c>
      <c r="Q138" s="471" t="n"/>
      <c r="R138" s="561" t="inlineStr">
        <is>
          <t>HTRC1  9A</t>
        </is>
      </c>
      <c r="S138" s="471" t="n"/>
      <c r="T138" s="471" t="n"/>
      <c r="U138" s="582">
        <f>IF(OR(AB30,AB35),1,0)</f>
        <v/>
      </c>
      <c r="V138" s="471">
        <f>Y137</f>
        <v/>
      </c>
      <c r="W138" s="471">
        <f>Y144</f>
        <v/>
      </c>
      <c r="X138" s="471">
        <f>Y150</f>
        <v/>
      </c>
      <c r="Y138" s="562">
        <f>IF(AND(T138:X138),1,0)</f>
        <v/>
      </c>
      <c r="AF138" s="561" t="n">
        <v>135</v>
      </c>
      <c r="AG138" s="568" t="n"/>
      <c r="AH138" s="566" t="n"/>
      <c r="AI138" s="471" t="n"/>
      <c r="AJ138" s="471" t="n"/>
      <c r="AK138" s="599">
        <f>AO137</f>
        <v/>
      </c>
      <c r="AL138" s="471" t="n"/>
      <c r="AM138" s="471" t="n"/>
      <c r="AN138" s="471" t="n"/>
      <c r="AO138" s="562">
        <f>IF(AND(AJ138:AN138),1,0)</f>
        <v/>
      </c>
      <c r="GZ138" s="840" t="n"/>
      <c r="HD138" s="840" t="n"/>
      <c r="LB138" s="561" t="n">
        <v>135</v>
      </c>
      <c r="LC138" s="471" t="n"/>
      <c r="LD138" s="822" t="n"/>
      <c r="LE138" s="471" t="n"/>
      <c r="LF138" s="822" t="n"/>
      <c r="LG138" s="822">
        <f>LK93</f>
        <v/>
      </c>
      <c r="LH138" s="822" t="n"/>
      <c r="LI138" s="471" t="n"/>
      <c r="LJ138" s="471" t="n"/>
      <c r="LK138" s="562">
        <f>IF(AND(LF138:LJ138),1,0)</f>
        <v/>
      </c>
      <c r="MH138" s="561" t="n">
        <v>135</v>
      </c>
      <c r="MI138" s="471" t="n"/>
      <c r="MJ138" s="822" t="n"/>
      <c r="MK138" s="471" t="n"/>
      <c r="ML138" s="822" t="n"/>
      <c r="MM138" s="822">
        <f>MQ137</f>
        <v/>
      </c>
      <c r="MN138" s="822" t="n"/>
      <c r="MO138" s="471" t="n"/>
      <c r="MP138" s="471" t="n"/>
      <c r="MQ138" s="562">
        <f>IF(AND(ML138:MP138),1,0)</f>
        <v/>
      </c>
    </row>
    <row r="139">
      <c r="A139" s="566" t="n"/>
      <c r="P139" s="561" t="n">
        <v>135</v>
      </c>
      <c r="Q139" s="471" t="n"/>
      <c r="R139" s="561" t="n"/>
      <c r="S139" s="471" t="n"/>
      <c r="T139" s="471" t="n"/>
      <c r="U139" s="801">
        <f>Y138</f>
        <v/>
      </c>
      <c r="V139" s="471" t="n"/>
      <c r="W139" s="471" t="n"/>
      <c r="X139" s="471" t="n"/>
      <c r="Y139" s="562">
        <f>IF(AND(T139:X139),1,0)</f>
        <v/>
      </c>
      <c r="AF139" s="561" t="n">
        <v>136</v>
      </c>
      <c r="AG139" s="568" t="n"/>
      <c r="AH139" s="471" t="inlineStr">
        <is>
          <t>HTRC1 9A</t>
        </is>
      </c>
      <c r="AI139" s="471" t="n"/>
      <c r="AJ139" s="471" t="n"/>
      <c r="AK139" s="570">
        <f>IF(OR(AB32,AB30),1,0)</f>
        <v/>
      </c>
      <c r="AL139" s="471">
        <f>AO138</f>
        <v/>
      </c>
      <c r="AM139" s="471" t="n"/>
      <c r="AN139" s="471" t="n"/>
      <c r="AO139" s="562">
        <f>IF(AND(AJ139:AN139),1,0)</f>
        <v/>
      </c>
      <c r="GZ139" s="840" t="n"/>
      <c r="HD139" s="840" t="n"/>
      <c r="LB139" s="561" t="n">
        <v>136</v>
      </c>
      <c r="LC139" s="471" t="n"/>
      <c r="LD139" s="822" t="n"/>
      <c r="LE139" s="471" t="n"/>
      <c r="LF139" s="822" t="n"/>
      <c r="LG139" s="822">
        <f>LK64</f>
        <v/>
      </c>
      <c r="LH139" s="822" t="n"/>
      <c r="LI139" s="471" t="n"/>
      <c r="LJ139" s="471" t="n"/>
      <c r="LK139" s="562">
        <f>IF(AND(LF139:LJ139),1,0)</f>
        <v/>
      </c>
      <c r="MH139" s="561" t="n">
        <v>136</v>
      </c>
      <c r="MI139" s="471" t="n"/>
      <c r="MJ139" s="822" t="inlineStr">
        <is>
          <t>SMRR</t>
        </is>
      </c>
      <c r="MK139" s="471" t="n"/>
      <c r="ML139" s="822" t="n"/>
      <c r="MM139" s="574">
        <f>IF(OR(MT11=1,MT12=1),0,1)</f>
        <v/>
      </c>
      <c r="MN139" s="822" t="n"/>
      <c r="MO139" s="471" t="n"/>
      <c r="MP139" s="471" t="n"/>
      <c r="MQ139" s="562">
        <f>IF(AND(ML139:MP139),1,0)</f>
        <v/>
      </c>
    </row>
    <row r="140">
      <c r="A140" s="471" t="n"/>
      <c r="B140" s="471" t="n"/>
      <c r="P140" s="561" t="n">
        <v>136</v>
      </c>
      <c r="Q140" s="471" t="n"/>
      <c r="R140" s="561" t="n"/>
      <c r="S140" s="471" t="n"/>
      <c r="T140" s="471" t="n"/>
      <c r="U140" s="801">
        <f>Y139</f>
        <v/>
      </c>
      <c r="V140" s="471" t="n"/>
      <c r="W140" s="471" t="n"/>
      <c r="X140" s="471" t="n"/>
      <c r="Y140" s="562">
        <f>IF(AND(T140:X140),1,0)</f>
        <v/>
      </c>
      <c r="AF140" s="561" t="n">
        <v>137</v>
      </c>
      <c r="AG140" s="568" t="n"/>
      <c r="AH140" s="566" t="n"/>
      <c r="AI140" s="471" t="n"/>
      <c r="AJ140" s="471" t="n"/>
      <c r="AK140" s="599">
        <f>AO139</f>
        <v/>
      </c>
      <c r="AL140" s="471" t="n"/>
      <c r="AM140" s="471" t="n"/>
      <c r="AN140" s="471" t="n"/>
      <c r="AO140" s="562">
        <f>IF(AND(AJ140:AN140),1,0)</f>
        <v/>
      </c>
      <c r="GZ140" s="840" t="n"/>
      <c r="HD140" s="840" t="n"/>
      <c r="LB140" s="561" t="n">
        <v>137</v>
      </c>
      <c r="LC140" s="471" t="n"/>
      <c r="LD140" s="822" t="n"/>
      <c r="LE140" s="471" t="n"/>
      <c r="LF140" s="822" t="n"/>
      <c r="LG140" s="822">
        <f>LK99</f>
        <v/>
      </c>
      <c r="LH140" s="822" t="n"/>
      <c r="LI140" s="471" t="n"/>
      <c r="LJ140" s="471" t="n"/>
      <c r="LK140" s="562">
        <f>IF(AND(LF140:LJ140),1,0)</f>
        <v/>
      </c>
      <c r="MH140" s="561" t="n">
        <v>137</v>
      </c>
      <c r="MI140" s="471" t="n"/>
      <c r="MJ140" s="822" t="n"/>
      <c r="MK140" s="471" t="n"/>
      <c r="ML140" s="822" t="n"/>
      <c r="MM140" s="822">
        <f>MQ141</f>
        <v/>
      </c>
      <c r="MN140" s="822" t="n"/>
      <c r="MO140" s="471" t="n"/>
      <c r="MP140" s="471" t="n"/>
      <c r="MQ140" s="562">
        <f>IF(AND(ML140:MP140),1,0)</f>
        <v/>
      </c>
    </row>
    <row r="141">
      <c r="A141" s="471" t="n"/>
      <c r="B141" s="561" t="n"/>
      <c r="P141" s="561" t="n">
        <v>137</v>
      </c>
      <c r="Q141" s="471" t="n"/>
      <c r="R141" s="566" t="inlineStr">
        <is>
          <t>HEATER 1 4.5kW</t>
        </is>
      </c>
      <c r="S141" s="471" t="n"/>
      <c r="T141" s="471" t="n"/>
      <c r="U141" s="582">
        <f>AB32</f>
        <v/>
      </c>
      <c r="V141" s="471">
        <f>Y140</f>
        <v/>
      </c>
      <c r="W141" s="471" t="n"/>
      <c r="X141" s="471" t="n"/>
      <c r="Y141" s="562">
        <f>IF(AND(T141:X141),1,0)</f>
        <v/>
      </c>
      <c r="AF141" s="561" t="n">
        <v>138</v>
      </c>
      <c r="AG141" s="568" t="n"/>
      <c r="AH141" s="566" t="n"/>
      <c r="AI141" s="471" t="n"/>
      <c r="AJ141" s="471" t="n"/>
      <c r="AK141" s="840">
        <f>AO140</f>
        <v/>
      </c>
      <c r="AL141" s="471" t="n"/>
      <c r="AM141" s="471" t="n"/>
      <c r="AN141" s="471" t="n"/>
      <c r="AO141" s="562">
        <f>IF(AND(AJ141:AN141),1,0)</f>
        <v/>
      </c>
      <c r="DP141" s="273">
        <f>'DATA TRANSFER'!DP141</f>
        <v/>
      </c>
      <c r="GZ141" s="840" t="n"/>
      <c r="HD141" s="840" t="n"/>
      <c r="LB141" s="561" t="n">
        <v>138</v>
      </c>
      <c r="LC141" s="471" t="n"/>
      <c r="LD141" s="822" t="inlineStr">
        <is>
          <t>HTRB 13,2 A</t>
        </is>
      </c>
      <c r="LE141" s="471" t="n"/>
      <c r="LF141" s="822" t="n"/>
      <c r="LG141" s="574">
        <f>LN29</f>
        <v/>
      </c>
      <c r="LH141" s="822">
        <f>LK69</f>
        <v/>
      </c>
      <c r="LI141" s="471">
        <f>LK94</f>
        <v/>
      </c>
      <c r="LJ141" s="471">
        <f>LK140</f>
        <v/>
      </c>
      <c r="LK141" s="562">
        <f>IF(AND(LF141:LJ141),1,0)</f>
        <v/>
      </c>
      <c r="MH141" s="561" t="n">
        <v>138</v>
      </c>
      <c r="MI141" s="471" t="n"/>
      <c r="MJ141" s="822" t="inlineStr">
        <is>
          <t>SMDR</t>
        </is>
      </c>
      <c r="MK141" s="471" t="n"/>
      <c r="ML141" s="822" t="n"/>
      <c r="MM141" s="574">
        <f>IF(OR('DATA TRANSFER'!M12),1,0)</f>
        <v/>
      </c>
      <c r="MN141" s="822" t="n"/>
      <c r="MO141" s="471" t="n"/>
      <c r="MP141" s="471" t="n"/>
      <c r="MQ141" s="562">
        <f>IF(AND(ML141:MP141),1,0)</f>
        <v/>
      </c>
    </row>
    <row r="142" ht="31" customHeight="1">
      <c r="A142" s="566" t="inlineStr">
        <is>
          <t>LA .A03-X07</t>
        </is>
      </c>
      <c r="B142" s="471" t="n"/>
      <c r="P142" s="561" t="n">
        <v>138</v>
      </c>
      <c r="Q142" s="471" t="n"/>
      <c r="R142" s="561" t="n"/>
      <c r="S142" s="471" t="n"/>
      <c r="T142" s="471" t="n"/>
      <c r="U142" s="801">
        <f>Y141</f>
        <v/>
      </c>
      <c r="V142" s="471" t="n"/>
      <c r="W142" s="471" t="n"/>
      <c r="X142" s="471" t="n"/>
      <c r="Y142" s="562">
        <f>IF(AND(T142:X142),1,0)</f>
        <v/>
      </c>
      <c r="AF142" s="561" t="n">
        <v>139</v>
      </c>
      <c r="AG142" s="568" t="n"/>
      <c r="AH142" s="587" t="inlineStr">
        <is>
          <t>HEATER 1 4.5kW</t>
        </is>
      </c>
      <c r="AI142" s="471" t="n"/>
      <c r="AJ142" s="471" t="n"/>
      <c r="AK142" s="570">
        <f>AB32</f>
        <v/>
      </c>
      <c r="AL142" s="471">
        <f>AO141</f>
        <v/>
      </c>
      <c r="AM142" s="471" t="n"/>
      <c r="AN142" s="471" t="n"/>
      <c r="AO142" s="562">
        <f>IF(AND(AJ142:AN142),1,0)</f>
        <v/>
      </c>
      <c r="GZ142" s="840" t="n"/>
      <c r="HD142" s="840" t="n"/>
      <c r="LB142" s="561" t="n">
        <v>139</v>
      </c>
      <c r="LC142" s="471" t="n"/>
      <c r="LD142" s="822" t="n"/>
      <c r="LE142" s="471" t="n"/>
      <c r="LF142" s="822" t="n"/>
      <c r="LG142" s="822">
        <f>LK141</f>
        <v/>
      </c>
      <c r="LH142" s="822" t="n"/>
      <c r="LI142" s="471" t="n"/>
      <c r="LJ142" s="471" t="n"/>
      <c r="LK142" s="562">
        <f>IF(AND(LF142:LJ142),1,0)</f>
        <v/>
      </c>
      <c r="MH142" s="561" t="n">
        <v>139</v>
      </c>
      <c r="MI142" s="471" t="n"/>
      <c r="MJ142" s="822" t="n"/>
      <c r="MK142" s="471" t="n"/>
      <c r="ML142" s="822" t="n"/>
      <c r="MM142" s="822">
        <f>IF(OR(MQ96,MQ76,MQ79),1,0)</f>
        <v/>
      </c>
      <c r="MN142" s="822" t="n"/>
      <c r="MO142" s="471" t="n"/>
      <c r="MP142" s="471" t="n"/>
      <c r="MQ142" s="562">
        <f>IF(AND(ML142:MP142),1,0)</f>
        <v/>
      </c>
    </row>
    <row r="143">
      <c r="A143" s="471" t="n"/>
      <c r="B143" s="471" t="n"/>
      <c r="P143" s="561" t="n">
        <v>139</v>
      </c>
      <c r="Q143" s="471" t="n"/>
      <c r="R143" s="561" t="n"/>
      <c r="S143" s="471" t="n"/>
      <c r="T143" s="471" t="n"/>
      <c r="U143" s="801">
        <f>Y37</f>
        <v/>
      </c>
      <c r="V143" s="471" t="n"/>
      <c r="W143" s="471" t="n"/>
      <c r="X143" s="471" t="n"/>
      <c r="Y143" s="562">
        <f>IF(AND(T143:X143),1,0)</f>
        <v/>
      </c>
      <c r="AF143" s="561" t="n">
        <v>140</v>
      </c>
      <c r="AG143" s="568" t="n"/>
      <c r="AH143" s="566" t="n"/>
      <c r="AI143" s="471" t="n"/>
      <c r="AJ143" s="471" t="n"/>
      <c r="AK143" s="599">
        <f>AO142</f>
        <v/>
      </c>
      <c r="AL143" s="471" t="n"/>
      <c r="AM143" s="471" t="n"/>
      <c r="AN143" s="471" t="n"/>
      <c r="AO143" s="562">
        <f>IF(AND(AJ143:AN143),1,0)</f>
        <v/>
      </c>
      <c r="GZ143" s="840" t="n"/>
      <c r="HD143" s="840" t="n"/>
      <c r="LB143" s="561" t="n">
        <v>140</v>
      </c>
      <c r="LC143" s="471" t="n"/>
      <c r="LD143" s="822" t="inlineStr">
        <is>
          <t>HTRC1</t>
        </is>
      </c>
      <c r="LE143" s="471" t="n"/>
      <c r="LF143" s="822" t="n"/>
      <c r="LG143" s="574">
        <f>LN30</f>
        <v/>
      </c>
      <c r="LH143" s="822">
        <f>LK70</f>
        <v/>
      </c>
      <c r="LI143" s="471">
        <f>LK95</f>
        <v/>
      </c>
      <c r="LJ143" s="471">
        <f>LK142</f>
        <v/>
      </c>
      <c r="LK143" s="562">
        <f>IF(AND(LF143:LJ143),1,0)</f>
        <v/>
      </c>
      <c r="MH143" s="561" t="n">
        <v>140</v>
      </c>
      <c r="MI143" s="471" t="n"/>
      <c r="MJ143" s="822" t="n"/>
      <c r="MK143" s="471" t="n"/>
      <c r="ML143" s="822" t="n"/>
      <c r="MM143" s="822">
        <f>MQ142</f>
        <v/>
      </c>
      <c r="MN143" s="822" t="n"/>
      <c r="MO143" s="471" t="n"/>
      <c r="MP143" s="471" t="n"/>
      <c r="MQ143" s="562">
        <f>IF(AND(ML143:MP143),1,0)</f>
        <v/>
      </c>
    </row>
    <row r="144">
      <c r="A144" s="471" t="n"/>
      <c r="B144" s="471" t="n"/>
      <c r="P144" s="561" t="n">
        <v>140</v>
      </c>
      <c r="Q144" s="471" t="n"/>
      <c r="R144" s="561" t="n"/>
      <c r="S144" s="471" t="n"/>
      <c r="T144" s="471" t="n"/>
      <c r="U144" s="801">
        <f>Y136</f>
        <v/>
      </c>
      <c r="V144" s="471">
        <f>Y143</f>
        <v/>
      </c>
      <c r="W144" s="471" t="n"/>
      <c r="X144" s="471" t="n"/>
      <c r="Y144" s="562">
        <f>IF(AND(T144:X144),1,0)</f>
        <v/>
      </c>
      <c r="AF144" s="561" t="n">
        <v>141</v>
      </c>
      <c r="AG144" s="568" t="n"/>
      <c r="AH144" s="566" t="n"/>
      <c r="AI144" s="471" t="n"/>
      <c r="AJ144" s="471" t="n"/>
      <c r="AK144" s="599">
        <f>AO38</f>
        <v/>
      </c>
      <c r="AL144" s="471" t="n"/>
      <c r="AM144" s="471" t="n"/>
      <c r="AN144" s="471" t="n"/>
      <c r="AO144" s="562">
        <f>IF(AND(AJ144:AN144),1,0)</f>
        <v/>
      </c>
      <c r="GZ144" s="840" t="n"/>
      <c r="HD144" s="840" t="n"/>
      <c r="LB144" s="561" t="n">
        <v>141</v>
      </c>
      <c r="LC144" s="471" t="n"/>
      <c r="LD144" s="822" t="n"/>
      <c r="LE144" s="471" t="n"/>
      <c r="LF144" s="822" t="n"/>
      <c r="LG144" s="574">
        <f>LN32</f>
        <v/>
      </c>
      <c r="LH144" s="822">
        <f>LK143</f>
        <v/>
      </c>
      <c r="LI144" s="471" t="n"/>
      <c r="LJ144" s="471" t="n"/>
      <c r="LK144" s="562">
        <f>IF(AND(LF144:LJ144),1,0)</f>
        <v/>
      </c>
      <c r="MH144" s="561" t="n">
        <v>141</v>
      </c>
      <c r="MI144" s="471" t="n"/>
      <c r="MJ144" s="822" t="n"/>
      <c r="MK144" s="471" t="n"/>
      <c r="ML144" s="822" t="n"/>
      <c r="MM144" s="822">
        <f>IF(OR(MQ96,MQ76,MQ79),1,0)</f>
        <v/>
      </c>
      <c r="MN144" s="822" t="n"/>
      <c r="MO144" s="471" t="n"/>
      <c r="MP144" s="471" t="n"/>
      <c r="MQ144" s="562">
        <f>IF(AND(ML144:MP144),1,0)</f>
        <v/>
      </c>
    </row>
    <row r="145">
      <c r="A145" s="471" t="n"/>
      <c r="B145" s="471" t="n"/>
      <c r="P145" s="561" t="n">
        <v>141</v>
      </c>
      <c r="Q145" s="471" t="n"/>
      <c r="R145" s="561" t="n"/>
      <c r="S145" s="471" t="n"/>
      <c r="T145" s="471" t="n"/>
      <c r="U145" s="801">
        <f>Y138</f>
        <v/>
      </c>
      <c r="V145" s="471">
        <f>Y144</f>
        <v/>
      </c>
      <c r="W145" s="471" t="n"/>
      <c r="X145" s="471" t="n"/>
      <c r="Y145" s="562">
        <f>IF(AND(T145:X145),1,0)</f>
        <v/>
      </c>
      <c r="AF145" s="561" t="n">
        <v>142</v>
      </c>
      <c r="AG145" s="568" t="n"/>
      <c r="AH145" s="566" t="n"/>
      <c r="AI145" s="471" t="n"/>
      <c r="AJ145" s="471" t="n"/>
      <c r="AK145" s="599">
        <f>AO137</f>
        <v/>
      </c>
      <c r="AL145" s="471">
        <f>AO144</f>
        <v/>
      </c>
      <c r="AM145" s="471" t="n"/>
      <c r="AN145" s="471" t="n"/>
      <c r="AO145" s="562">
        <f>IF(AND(AJ145:AN145),1,0)</f>
        <v/>
      </c>
      <c r="DP145" s="273">
        <f>'DATA TRANSFER'!DP168</f>
        <v/>
      </c>
      <c r="GZ145" s="840" t="n"/>
      <c r="HD145" s="840" t="n"/>
      <c r="LB145" s="561" t="n">
        <v>142</v>
      </c>
      <c r="LC145" s="471" t="n"/>
      <c r="LD145" s="822" t="n"/>
      <c r="LE145" s="471" t="n"/>
      <c r="LF145" s="822" t="n"/>
      <c r="LG145" s="822">
        <f>LK142</f>
        <v/>
      </c>
      <c r="LH145" s="822" t="n"/>
      <c r="LI145" s="471" t="n"/>
      <c r="LJ145" s="471" t="n"/>
      <c r="LK145" s="562">
        <f>IF(AND(LF145:LJ145),1,0)</f>
        <v/>
      </c>
      <c r="MH145" s="561" t="n">
        <v>142</v>
      </c>
      <c r="MI145" s="471" t="n"/>
      <c r="MJ145" s="822" t="n"/>
      <c r="MK145" s="471" t="n"/>
      <c r="ML145" s="822" t="n"/>
      <c r="MM145" s="822">
        <f>IF(OR(MQ123,MQ146),1,0)</f>
        <v/>
      </c>
      <c r="MN145" s="822" t="n"/>
      <c r="MO145" s="471" t="n"/>
      <c r="MP145" s="471" t="n"/>
      <c r="MQ145" s="562">
        <f>IF(AND(ML145:MP145),1,0)</f>
        <v/>
      </c>
    </row>
    <row r="146" ht="46.5" customHeight="1">
      <c r="A146" s="566" t="n"/>
      <c r="B146" s="566" t="inlineStr">
        <is>
          <t>ELECTRICAL HEATING P=1.5 KW</t>
        </is>
      </c>
      <c r="P146" s="561" t="n">
        <v>142</v>
      </c>
      <c r="Q146" s="471" t="n"/>
      <c r="R146" s="561" t="n"/>
      <c r="S146" s="471" t="n"/>
      <c r="T146" s="471" t="n"/>
      <c r="U146" s="801">
        <f>Y145</f>
        <v/>
      </c>
      <c r="V146" s="471" t="n"/>
      <c r="W146" s="471" t="n"/>
      <c r="X146" s="471" t="n"/>
      <c r="Y146" s="562">
        <f>IF(AND(T146:X146),1,0)</f>
        <v/>
      </c>
      <c r="AF146" s="561" t="n">
        <v>143</v>
      </c>
      <c r="AG146" s="568" t="n"/>
      <c r="AH146" s="566" t="n"/>
      <c r="AI146" s="471" t="n"/>
      <c r="AJ146" s="471" t="n"/>
      <c r="AK146" s="599">
        <f>AO139</f>
        <v/>
      </c>
      <c r="AL146" s="471">
        <f>AO145</f>
        <v/>
      </c>
      <c r="AM146" s="471" t="n"/>
      <c r="AN146" s="471" t="n"/>
      <c r="AO146" s="562">
        <f>IF(AND(AJ146:AN146),1,0)</f>
        <v/>
      </c>
      <c r="GZ146" s="840" t="n"/>
      <c r="HD146" s="840" t="n"/>
      <c r="LB146" s="561" t="n">
        <v>143</v>
      </c>
      <c r="LC146" s="471" t="n"/>
      <c r="LD146" s="822" t="n"/>
      <c r="LE146" s="471" t="n"/>
      <c r="LF146" s="822" t="n"/>
      <c r="LG146" s="574">
        <f>LN35</f>
        <v/>
      </c>
      <c r="LH146" s="822">
        <f>LK151</f>
        <v/>
      </c>
      <c r="LI146" s="471" t="n"/>
      <c r="LJ146" s="471" t="n"/>
      <c r="LK146" s="562">
        <f>IF(AND(LF146:LJ146),1,0)</f>
        <v/>
      </c>
      <c r="MH146" s="561" t="n">
        <v>143</v>
      </c>
      <c r="MI146" s="471" t="n"/>
      <c r="MJ146" s="822" t="inlineStr">
        <is>
          <t>SMDR</t>
        </is>
      </c>
      <c r="MK146" s="471" t="n"/>
      <c r="ML146" s="822" t="n"/>
      <c r="MM146" s="574">
        <f>IF(OR('DATA TRANSFER'!M12),1,0)</f>
        <v/>
      </c>
      <c r="MN146" s="822" t="n"/>
      <c r="MO146" s="471" t="n"/>
      <c r="MP146" s="471" t="n"/>
      <c r="MQ146" s="562">
        <f>IF(AND(ML146:MP146),1,0)</f>
        <v/>
      </c>
    </row>
    <row r="147">
      <c r="A147" s="471" t="n"/>
      <c r="B147" s="471" t="n"/>
      <c r="P147" s="561" t="n">
        <v>143</v>
      </c>
      <c r="Q147" s="471" t="n"/>
      <c r="R147" s="566" t="inlineStr">
        <is>
          <t>HEATER 1 4.5kW</t>
        </is>
      </c>
      <c r="S147" s="471" t="n"/>
      <c r="T147" s="471" t="n"/>
      <c r="U147" s="582">
        <f>AB32</f>
        <v/>
      </c>
      <c r="V147" s="471">
        <f>Y146</f>
        <v/>
      </c>
      <c r="W147" s="471" t="n"/>
      <c r="X147" s="471" t="n"/>
      <c r="Y147" s="562">
        <f>IF(AND(T147:X147),1,0)</f>
        <v/>
      </c>
      <c r="AF147" s="561" t="n">
        <v>144</v>
      </c>
      <c r="AG147" s="568" t="n"/>
      <c r="AH147" s="566" t="n"/>
      <c r="AI147" s="471" t="n"/>
      <c r="AJ147" s="471" t="n"/>
      <c r="AK147" s="599">
        <f>AO146</f>
        <v/>
      </c>
      <c r="AL147" s="471" t="n"/>
      <c r="AM147" s="471" t="n"/>
      <c r="AN147" s="471" t="n"/>
      <c r="AO147" s="562">
        <f>IF(AND(AJ147:AN147),1,0)</f>
        <v/>
      </c>
      <c r="DP147" s="273">
        <f>'DATA TRANSFER'!DP145</f>
        <v/>
      </c>
      <c r="GZ147" s="840" t="n"/>
      <c r="HD147" s="840" t="n"/>
      <c r="LB147" s="561" t="n">
        <v>144</v>
      </c>
      <c r="LC147" s="471" t="n"/>
      <c r="LD147" s="822" t="n"/>
      <c r="LE147" s="471" t="n"/>
      <c r="LF147" s="822" t="n"/>
      <c r="LG147" s="822">
        <f>LK95</f>
        <v/>
      </c>
      <c r="LH147" s="822" t="n"/>
      <c r="LI147" s="471" t="n"/>
      <c r="LJ147" s="471" t="n"/>
      <c r="LK147" s="562">
        <f>IF(AND(LF147:LJ147),1,0)</f>
        <v/>
      </c>
      <c r="MH147" s="561" t="n">
        <v>144</v>
      </c>
      <c r="MI147" s="471" t="n"/>
      <c r="MJ147" s="822" t="n"/>
      <c r="MK147" s="471" t="n"/>
      <c r="ML147" s="822" t="n"/>
      <c r="MM147" s="822">
        <f>MQ113</f>
        <v/>
      </c>
      <c r="MN147" s="822" t="n"/>
      <c r="MO147" s="471" t="n"/>
      <c r="MP147" s="471" t="n"/>
      <c r="MQ147" s="562">
        <f>IF(AND(ML147:MP147),1,0)</f>
        <v/>
      </c>
    </row>
    <row r="148">
      <c r="A148" s="471" t="n"/>
      <c r="B148" s="471" t="n"/>
      <c r="P148" s="561" t="n">
        <v>144</v>
      </c>
      <c r="Q148" s="471" t="n"/>
      <c r="R148" s="561" t="n"/>
      <c r="S148" s="471" t="n"/>
      <c r="T148" s="471" t="n"/>
      <c r="U148" s="801">
        <f>Y147</f>
        <v/>
      </c>
      <c r="V148" s="471" t="n"/>
      <c r="W148" s="471" t="n"/>
      <c r="X148" s="471" t="n"/>
      <c r="Y148" s="562">
        <f>IF(AND(T148:X148),1,0)</f>
        <v/>
      </c>
      <c r="AF148" s="561" t="n">
        <v>145</v>
      </c>
      <c r="AG148" s="568" t="n"/>
      <c r="AH148" s="587" t="inlineStr">
        <is>
          <t>HEATER 1 4.5kW</t>
        </is>
      </c>
      <c r="AI148" s="471" t="n"/>
      <c r="AJ148" s="471" t="n"/>
      <c r="AK148" s="570">
        <f>AB32</f>
        <v/>
      </c>
      <c r="AL148" s="471" t="n"/>
      <c r="AM148" s="471" t="n"/>
      <c r="AN148" s="471" t="n"/>
      <c r="AO148" s="562">
        <f>IF(AND(AJ148:AN148),1,0)</f>
        <v/>
      </c>
      <c r="GZ148" s="840" t="n"/>
      <c r="HD148" s="840" t="n"/>
      <c r="LB148" s="561" t="n">
        <v>145</v>
      </c>
      <c r="LC148" s="471" t="n"/>
      <c r="LD148" s="822" t="n"/>
      <c r="LE148" s="471" t="n"/>
      <c r="LF148" s="822" t="n"/>
      <c r="LG148" s="574">
        <f>LN35</f>
        <v/>
      </c>
      <c r="LH148" s="822">
        <f>LK151</f>
        <v/>
      </c>
      <c r="LI148" s="471" t="n"/>
      <c r="LJ148" s="471" t="n"/>
      <c r="LK148" s="562">
        <f>IF(AND(LF148:LJ148),1,0)</f>
        <v/>
      </c>
      <c r="MH148" s="561" t="n">
        <v>145</v>
      </c>
      <c r="MI148" s="471" t="n"/>
      <c r="MJ148" s="822" t="inlineStr">
        <is>
          <t>TCR6</t>
        </is>
      </c>
      <c r="MK148" s="471" t="n"/>
      <c r="ML148" s="822" t="n"/>
      <c r="MM148" s="574">
        <f>MT17</f>
        <v/>
      </c>
      <c r="MN148" s="822">
        <f>MQ147</f>
        <v/>
      </c>
      <c r="MO148" s="471" t="n"/>
      <c r="MP148" s="471" t="n"/>
      <c r="MQ148" s="562">
        <f>IF(AND(ML148:MP148),1,0)</f>
        <v/>
      </c>
    </row>
    <row r="149" ht="31" customHeight="1">
      <c r="A149" s="566" t="inlineStr">
        <is>
          <t>LA .A03-X07</t>
        </is>
      </c>
      <c r="B149" s="471" t="n"/>
      <c r="P149" s="561" t="n">
        <v>145</v>
      </c>
      <c r="Q149" s="471" t="n"/>
      <c r="R149" s="561" t="n"/>
      <c r="S149" s="471" t="n"/>
      <c r="T149" s="471" t="n"/>
      <c r="U149" s="801">
        <f>Y40</f>
        <v/>
      </c>
      <c r="V149" s="471" t="n"/>
      <c r="W149" s="471" t="n"/>
      <c r="X149" s="471" t="n"/>
      <c r="Y149" s="562">
        <f>IF(AND(T149:X149),1,0)</f>
        <v/>
      </c>
      <c r="AF149" s="561" t="n">
        <v>146</v>
      </c>
      <c r="AG149" s="568" t="n"/>
      <c r="AH149" s="566" t="n"/>
      <c r="AI149" s="471" t="n"/>
      <c r="AJ149" s="471" t="n"/>
      <c r="AK149" s="599">
        <f>AO148</f>
        <v/>
      </c>
      <c r="AL149" s="471" t="n"/>
      <c r="AM149" s="471" t="n"/>
      <c r="AN149" s="471" t="n"/>
      <c r="AO149" s="562">
        <f>IF(AND(AJ149:AN149),1,0)</f>
        <v/>
      </c>
      <c r="GZ149" s="840" t="n"/>
      <c r="HD149" s="840" t="n"/>
      <c r="LB149" s="561" t="n">
        <v>146</v>
      </c>
      <c r="LC149" s="471" t="n"/>
      <c r="LD149" s="822" t="n"/>
      <c r="LE149" s="471" t="n"/>
      <c r="LF149" s="822" t="n"/>
      <c r="LG149" s="822">
        <f>LK70</f>
        <v/>
      </c>
      <c r="LH149" s="822" t="n"/>
      <c r="LI149" s="471" t="n"/>
      <c r="LJ149" s="471" t="n"/>
      <c r="LK149" s="562">
        <f>IF(AND(LF149:LJ149),1,0)</f>
        <v/>
      </c>
      <c r="MH149" s="561" t="n">
        <v>146</v>
      </c>
      <c r="MI149" s="471" t="n"/>
      <c r="MJ149" s="822" t="inlineStr">
        <is>
          <t>FADR</t>
        </is>
      </c>
      <c r="MK149" s="471" t="n"/>
      <c r="ML149" s="822" t="n"/>
      <c r="MM149" s="574">
        <f>MT13</f>
        <v/>
      </c>
      <c r="MN149" s="822" t="n"/>
      <c r="MO149" s="471" t="n"/>
      <c r="MP149" s="471" t="n"/>
      <c r="MQ149" s="562">
        <f>IF(AND(ML149:MP149),1,0)</f>
        <v/>
      </c>
    </row>
    <row r="150">
      <c r="A150" s="471" t="n"/>
      <c r="B150" s="471" t="n"/>
      <c r="P150" s="561" t="n">
        <v>146</v>
      </c>
      <c r="Q150" s="471" t="n"/>
      <c r="R150" s="561" t="n"/>
      <c r="S150" s="471" t="n"/>
      <c r="T150" s="471" t="n"/>
      <c r="U150" s="801">
        <f>Y136</f>
        <v/>
      </c>
      <c r="V150" s="471">
        <f>Y149</f>
        <v/>
      </c>
      <c r="W150" s="471" t="n"/>
      <c r="X150" s="471" t="n"/>
      <c r="Y150" s="562">
        <f>IF(AND(T150:X150),1,0)</f>
        <v/>
      </c>
      <c r="AF150" s="561" t="n">
        <v>147</v>
      </c>
      <c r="AG150" s="568" t="n"/>
      <c r="AH150" s="566" t="n"/>
      <c r="AI150" s="471" t="n"/>
      <c r="AJ150" s="471" t="n"/>
      <c r="AK150" s="599">
        <f>AO41</f>
        <v/>
      </c>
      <c r="AL150" s="471" t="n"/>
      <c r="AM150" s="471" t="n"/>
      <c r="AN150" s="471" t="n"/>
      <c r="AO150" s="562">
        <f>IF(AND(AJ150:AN150),1,0)</f>
        <v/>
      </c>
      <c r="DL150" s="840">
        <f>'DATA TRANSFER'!DP146</f>
        <v/>
      </c>
      <c r="GZ150" s="840" t="n"/>
      <c r="HD150" s="840" t="n"/>
      <c r="LB150" s="561" t="n">
        <v>147</v>
      </c>
      <c r="LC150" s="471" t="n"/>
      <c r="LD150" s="822" t="n"/>
      <c r="LE150" s="471" t="n"/>
      <c r="LF150" s="822" t="n"/>
      <c r="LG150" s="574">
        <f>LN35</f>
        <v/>
      </c>
      <c r="LH150" s="822">
        <f>LK151</f>
        <v/>
      </c>
      <c r="LI150" s="471" t="n"/>
      <c r="LJ150" s="471" t="n"/>
      <c r="LK150" s="562">
        <f>IF(AND(LF150:LJ150),1,0)</f>
        <v/>
      </c>
      <c r="MH150" s="561" t="n">
        <v>147</v>
      </c>
      <c r="MI150" s="471" t="n"/>
      <c r="MJ150" s="822" t="inlineStr">
        <is>
          <t xml:space="preserve">SFC OFF </t>
        </is>
      </c>
      <c r="MK150" s="471" t="n"/>
      <c r="ML150" s="822" t="n"/>
      <c r="MM150" s="574">
        <f>MT15</f>
        <v/>
      </c>
      <c r="MN150" s="822" t="n"/>
      <c r="MO150" s="471" t="n"/>
      <c r="MP150" s="471" t="n"/>
      <c r="MQ150" s="562">
        <f>IF(AND(ML150:MP150),1,0)</f>
        <v/>
      </c>
    </row>
    <row r="151">
      <c r="A151" s="471" t="n"/>
      <c r="B151" s="471" t="n"/>
      <c r="P151" s="561" t="n">
        <v>147</v>
      </c>
      <c r="Q151" s="471" t="n"/>
      <c r="R151" s="561" t="n"/>
      <c r="S151" s="471" t="n"/>
      <c r="T151" s="471" t="n"/>
      <c r="U151" s="801">
        <f>Y138</f>
        <v/>
      </c>
      <c r="V151" s="471">
        <f>Y150</f>
        <v/>
      </c>
      <c r="W151" s="471" t="n"/>
      <c r="X151" s="471" t="n"/>
      <c r="Y151" s="562">
        <f>IF(AND(T151:X151),1,0)</f>
        <v/>
      </c>
      <c r="AF151" s="561" t="n">
        <v>148</v>
      </c>
      <c r="AG151" s="568" t="n"/>
      <c r="AH151" s="566" t="n"/>
      <c r="AI151" s="471" t="n"/>
      <c r="AJ151" s="471" t="n"/>
      <c r="AK151" s="599">
        <f>AO137</f>
        <v/>
      </c>
      <c r="AL151" s="471">
        <f>AO150</f>
        <v/>
      </c>
      <c r="AM151" s="471" t="n"/>
      <c r="AN151" s="471" t="n"/>
      <c r="AO151" s="562">
        <f>IF(AND(AJ151:AN151),1,0)</f>
        <v/>
      </c>
      <c r="GZ151" s="840" t="n"/>
      <c r="HD151" s="840" t="n"/>
      <c r="LB151" s="561" t="n">
        <v>148</v>
      </c>
      <c r="LC151" s="471" t="n"/>
      <c r="LD151" s="822" t="inlineStr">
        <is>
          <t>HTRC2</t>
        </is>
      </c>
      <c r="LE151" s="471" t="n"/>
      <c r="LF151" s="822" t="n"/>
      <c r="LG151" s="574">
        <f>LN31</f>
        <v/>
      </c>
      <c r="LH151" s="822">
        <f>LK149</f>
        <v/>
      </c>
      <c r="LI151" s="471">
        <f>LK147</f>
        <v/>
      </c>
      <c r="LJ151" s="471">
        <f>LK145</f>
        <v/>
      </c>
      <c r="LK151" s="562">
        <f>IF(AND(LF151:LJ151),1,0)</f>
        <v/>
      </c>
      <c r="MH151" s="561" t="n">
        <v>148</v>
      </c>
      <c r="MI151" s="471" t="n"/>
      <c r="MJ151" s="822" t="n"/>
      <c r="MK151" s="471" t="n"/>
      <c r="ML151" s="822" t="n"/>
      <c r="MM151" s="822">
        <f>MQ150</f>
        <v/>
      </c>
      <c r="MN151" s="822" t="n"/>
      <c r="MO151" s="471" t="n"/>
      <c r="MP151" s="471" t="n"/>
      <c r="MQ151" s="562">
        <f>IF(AND(ML151:MP151),1,0)</f>
        <v/>
      </c>
    </row>
    <row r="152">
      <c r="A152" s="471" t="n"/>
      <c r="B152" s="471" t="n"/>
      <c r="P152" s="561" t="n">
        <v>148</v>
      </c>
      <c r="Q152" s="471" t="n"/>
      <c r="R152" s="561" t="n"/>
      <c r="S152" s="471" t="n"/>
      <c r="T152" s="471" t="n"/>
      <c r="U152" s="801">
        <f>Y151</f>
        <v/>
      </c>
      <c r="V152" s="471" t="n"/>
      <c r="W152" s="471" t="n"/>
      <c r="X152" s="471" t="n"/>
      <c r="Y152" s="562">
        <f>IF(AND(T152:X152),1,0)</f>
        <v/>
      </c>
      <c r="AF152" s="561" t="n">
        <v>149</v>
      </c>
      <c r="AG152" s="568" t="n"/>
      <c r="AH152" s="566" t="n"/>
      <c r="AI152" s="471" t="n"/>
      <c r="AJ152" s="471" t="n"/>
      <c r="AK152" s="599">
        <f>AO139</f>
        <v/>
      </c>
      <c r="AL152" s="471">
        <f>AO151</f>
        <v/>
      </c>
      <c r="AM152" s="471" t="n"/>
      <c r="AN152" s="471" t="n"/>
      <c r="AO152" s="562">
        <f>IF(AND(AJ152:AN152),1,0)</f>
        <v/>
      </c>
      <c r="GZ152" s="840" t="n"/>
      <c r="HD152" s="840" t="n"/>
      <c r="LB152" s="561" t="n">
        <v>149</v>
      </c>
      <c r="LC152" s="471" t="n"/>
      <c r="LD152" s="822" t="n"/>
      <c r="LE152" s="471" t="n"/>
      <c r="LF152" s="822" t="n"/>
      <c r="LG152" s="822" t="n">
        <v>1</v>
      </c>
      <c r="LH152" s="822" t="n"/>
      <c r="LI152" s="471" t="n"/>
      <c r="LJ152" s="471" t="n"/>
      <c r="LK152" s="562">
        <f>IF(AND(LF152:LJ152),1,0)</f>
        <v/>
      </c>
      <c r="MH152" s="561" t="n">
        <v>149</v>
      </c>
      <c r="MI152" s="471" t="n"/>
      <c r="MJ152" s="822" t="n"/>
      <c r="MK152" s="471" t="n"/>
      <c r="ML152" s="822" t="n"/>
      <c r="MM152" s="822">
        <f>IF(OR(MQ98,MQ80,MQ64),1,0)</f>
        <v/>
      </c>
      <c r="MN152" s="822" t="n"/>
      <c r="MO152" s="471" t="n"/>
      <c r="MP152" s="471" t="n"/>
      <c r="MQ152" s="562">
        <f>IF(AND(ML152:MP152),1,0)</f>
        <v/>
      </c>
    </row>
    <row r="153" ht="46.5" customHeight="1">
      <c r="A153" s="566" t="n"/>
      <c r="B153" s="566" t="inlineStr">
        <is>
          <t>ELECTRICAL HEATING P=1.5 KW</t>
        </is>
      </c>
      <c r="P153" s="561" t="n">
        <v>149</v>
      </c>
      <c r="Q153" s="471" t="n"/>
      <c r="R153" s="566" t="inlineStr">
        <is>
          <t>HEATER 1 4.5kW</t>
        </is>
      </c>
      <c r="S153" s="471" t="n"/>
      <c r="T153" s="471" t="n"/>
      <c r="U153" s="582">
        <f>AB32</f>
        <v/>
      </c>
      <c r="V153" s="471">
        <f>Y152</f>
        <v/>
      </c>
      <c r="W153" s="471" t="n"/>
      <c r="X153" s="471" t="n"/>
      <c r="Y153" s="562">
        <f>IF(AND(T153:X153),1,0)</f>
        <v/>
      </c>
      <c r="AF153" s="561" t="n">
        <v>150</v>
      </c>
      <c r="AG153" s="568" t="n"/>
      <c r="AH153" s="566" t="n"/>
      <c r="AI153" s="471" t="n"/>
      <c r="AJ153" s="471" t="n"/>
      <c r="AK153" s="599">
        <f>AO152</f>
        <v/>
      </c>
      <c r="AL153" s="471" t="n"/>
      <c r="AM153" s="471" t="n"/>
      <c r="AN153" s="471" t="n"/>
      <c r="AO153" s="562">
        <f>IF(AND(AJ153:AN153),1,0)</f>
        <v/>
      </c>
      <c r="GZ153" s="840" t="n"/>
      <c r="HD153" s="840" t="n"/>
      <c r="LB153" s="561" t="n">
        <v>150</v>
      </c>
      <c r="LC153" s="471" t="n"/>
      <c r="LE153" s="471" t="n"/>
      <c r="LF153" s="822" t="n"/>
      <c r="LG153" s="574">
        <f>LN33</f>
        <v/>
      </c>
      <c r="LH153" s="822">
        <f>LK99</f>
        <v/>
      </c>
      <c r="LI153" s="471">
        <f>LK74</f>
        <v/>
      </c>
      <c r="LJ153" s="471">
        <f>LK99</f>
        <v/>
      </c>
      <c r="LK153" s="562">
        <f>IF(AND(LF153:LJ153),1,0)</f>
        <v/>
      </c>
      <c r="MH153" s="561" t="n">
        <v>150</v>
      </c>
      <c r="MI153" s="471" t="n"/>
      <c r="MJ153" s="822" t="n"/>
      <c r="MK153" s="471" t="n"/>
      <c r="ML153" s="822" t="n"/>
      <c r="MM153" s="822">
        <f>IF(OR(MQ126,MQ149),1,0)</f>
        <v/>
      </c>
      <c r="MN153" s="822" t="n"/>
      <c r="MO153" s="471" t="n"/>
      <c r="MP153" s="471" t="n"/>
      <c r="MQ153" s="562">
        <f>IF(AND(ML153:MP153),1,0)</f>
        <v/>
      </c>
    </row>
    <row r="154">
      <c r="A154" s="471" t="n"/>
      <c r="B154" s="471" t="n"/>
      <c r="P154" s="561" t="n">
        <v>150</v>
      </c>
      <c r="Q154" s="471" t="n"/>
      <c r="R154" s="561" t="n"/>
      <c r="S154" s="471" t="n"/>
      <c r="T154" s="471" t="n"/>
      <c r="U154" s="801">
        <f>Y153</f>
        <v/>
      </c>
      <c r="V154" s="471" t="n"/>
      <c r="W154" s="471" t="n"/>
      <c r="X154" s="471" t="n"/>
      <c r="Y154" s="562">
        <f>IF(AND(T154:X154),1,0)</f>
        <v/>
      </c>
      <c r="AF154" s="561" t="n">
        <v>151</v>
      </c>
      <c r="AG154" s="568" t="n"/>
      <c r="AH154" s="587" t="inlineStr">
        <is>
          <t>HEATER 1 4.5kW</t>
        </is>
      </c>
      <c r="AI154" s="471" t="n"/>
      <c r="AJ154" s="471" t="n"/>
      <c r="AK154" s="570">
        <f>AB32</f>
        <v/>
      </c>
      <c r="AL154" s="471">
        <f>AO153</f>
        <v/>
      </c>
      <c r="AM154" s="471" t="n"/>
      <c r="AN154" s="471" t="n"/>
      <c r="AO154" s="562">
        <f>IF(AND(AJ154:AN154),1,0)</f>
        <v/>
      </c>
      <c r="GZ154" s="840" t="n"/>
      <c r="HD154" s="840" t="n"/>
      <c r="LB154" s="561" t="n">
        <v>151</v>
      </c>
      <c r="LC154" s="471" t="n"/>
      <c r="LD154" s="471" t="n"/>
      <c r="LE154" s="471" t="n"/>
      <c r="LF154" s="471" t="n"/>
      <c r="LG154" s="561" t="n">
        <v>1</v>
      </c>
      <c r="LH154" s="471" t="n"/>
      <c r="LI154" s="471" t="n"/>
      <c r="LJ154" s="471" t="n"/>
      <c r="LK154" s="562">
        <f>IF(AND(LF154:LJ154),1,0)</f>
        <v/>
      </c>
      <c r="MH154" s="561" t="n">
        <v>151</v>
      </c>
      <c r="MI154" s="471" t="n"/>
      <c r="MJ154" s="822" t="n"/>
      <c r="MK154" s="471" t="n"/>
      <c r="ML154" s="822" t="n"/>
      <c r="MM154" s="581" t="n">
        <v>1</v>
      </c>
      <c r="MN154" s="822" t="n"/>
      <c r="MO154" s="471" t="n"/>
      <c r="MP154" s="471" t="n"/>
      <c r="MQ154" s="562">
        <f>IF(AND(ML154:MP154),1,0)</f>
        <v/>
      </c>
    </row>
    <row r="155">
      <c r="A155" s="471" t="n"/>
      <c r="B155" s="471" t="n"/>
      <c r="P155" s="561" t="n">
        <v>151</v>
      </c>
      <c r="Q155" s="471" t="n"/>
      <c r="R155" s="561" t="n"/>
      <c r="S155" s="471" t="n"/>
      <c r="T155" s="471" t="n"/>
      <c r="U155" s="801">
        <f>Y150</f>
        <v/>
      </c>
      <c r="V155" s="471" t="n"/>
      <c r="W155" s="471" t="n"/>
      <c r="X155" s="471" t="n"/>
      <c r="Y155" s="562">
        <f>IF(AND(T155:X155),1,0)</f>
        <v/>
      </c>
      <c r="AF155" s="561" t="n">
        <v>152</v>
      </c>
      <c r="AG155" s="568" t="n"/>
      <c r="AH155" s="566" t="n"/>
      <c r="AI155" s="471" t="n"/>
      <c r="AJ155" s="471" t="n"/>
      <c r="AK155" s="599">
        <f>AO154</f>
        <v/>
      </c>
      <c r="AL155" s="471" t="n"/>
      <c r="AM155" s="471" t="n"/>
      <c r="AN155" s="471" t="n"/>
      <c r="AO155" s="562">
        <f>IF(AND(AJ155:AN155),1,0)</f>
        <v/>
      </c>
      <c r="GZ155" s="840" t="n"/>
      <c r="HD155" s="840" t="n"/>
      <c r="LB155" s="561" t="n">
        <v>152</v>
      </c>
      <c r="LC155" s="471" t="n"/>
      <c r="LD155" s="471" t="n"/>
      <c r="LE155" s="471" t="n"/>
      <c r="LF155" s="471" t="n"/>
      <c r="LG155" s="561" t="n">
        <v>1</v>
      </c>
      <c r="LH155" s="471" t="n"/>
      <c r="LI155" s="471" t="n"/>
      <c r="LJ155" s="471" t="n"/>
      <c r="LK155" s="562">
        <f>IF(AND(LF155:LJ155),1,0)</f>
        <v/>
      </c>
      <c r="MH155" s="561" t="n">
        <v>152</v>
      </c>
      <c r="MI155" s="471" t="n"/>
      <c r="MJ155" s="822" t="n"/>
      <c r="MK155" s="471" t="n"/>
      <c r="ML155" s="822" t="n"/>
      <c r="MM155" s="822">
        <f>MQ156</f>
        <v/>
      </c>
      <c r="MN155" s="822" t="n"/>
      <c r="MO155" s="471" t="n"/>
      <c r="MP155" s="471" t="n"/>
      <c r="MQ155" s="562">
        <f>IF(AND(ML155:MP155),1,0)</f>
        <v/>
      </c>
    </row>
    <row r="156" ht="31" customHeight="1">
      <c r="A156" s="566" t="inlineStr">
        <is>
          <t>LA .A03-X07</t>
        </is>
      </c>
      <c r="B156" s="471" t="n"/>
      <c r="P156" s="561" t="n">
        <v>152</v>
      </c>
      <c r="Q156" s="471" t="n"/>
      <c r="R156" s="561" t="inlineStr">
        <is>
          <t>HTRC2 9A</t>
        </is>
      </c>
      <c r="S156" s="471" t="n"/>
      <c r="T156" s="471" t="n"/>
      <c r="U156" s="582">
        <f>IF(OR(AB31,AB35),1,0)</f>
        <v/>
      </c>
      <c r="V156" s="471">
        <f>Y155</f>
        <v/>
      </c>
      <c r="W156" s="471">
        <f>Y161</f>
        <v/>
      </c>
      <c r="X156" s="471">
        <f>Y166</f>
        <v/>
      </c>
      <c r="Y156" s="562">
        <f>IF(AND(T156:X156),1,0)</f>
        <v/>
      </c>
      <c r="AF156" s="561" t="n">
        <v>153</v>
      </c>
      <c r="AG156" s="568" t="n"/>
      <c r="AH156" s="566" t="n"/>
      <c r="AI156" s="471" t="n"/>
      <c r="AJ156" s="471" t="n"/>
      <c r="AK156" s="599">
        <f>AO151</f>
        <v/>
      </c>
      <c r="AL156" s="471" t="n"/>
      <c r="AM156" s="471" t="n"/>
      <c r="AN156" s="471" t="n"/>
      <c r="AO156" s="562">
        <f>IF(AND(AJ156:AN156),1,0)</f>
        <v/>
      </c>
      <c r="GZ156" s="840" t="n"/>
      <c r="HD156" s="840" t="n"/>
      <c r="LB156" s="561" t="n">
        <v>153</v>
      </c>
      <c r="LC156" s="471" t="n"/>
      <c r="LD156" s="822" t="inlineStr">
        <is>
          <t>PHASE PROTECTION REALY PPR 1</t>
        </is>
      </c>
      <c r="LE156" s="471" t="n"/>
      <c r="LF156" s="471" t="n"/>
      <c r="LG156" s="573" t="n">
        <v>1</v>
      </c>
      <c r="LH156" s="471" t="n"/>
      <c r="LI156" s="471" t="n"/>
      <c r="LJ156" s="471" t="n"/>
      <c r="LK156" s="562">
        <f>IF(AND(LF156:LJ156),1,0)</f>
        <v/>
      </c>
      <c r="MH156" s="561" t="n">
        <v>153</v>
      </c>
      <c r="MI156" s="471" t="n"/>
      <c r="MJ156" s="822" t="inlineStr">
        <is>
          <t>ACCP2N</t>
        </is>
      </c>
      <c r="MK156" s="471" t="n"/>
      <c r="ML156" s="822" t="n"/>
      <c r="MM156" s="574">
        <f>MT20</f>
        <v/>
      </c>
      <c r="MN156" s="822" t="n"/>
      <c r="MO156" s="471" t="n"/>
      <c r="MP156" s="471" t="n"/>
      <c r="MQ156" s="562">
        <f>IF(AND(ML156:MP156),1,0)</f>
        <v/>
      </c>
    </row>
    <row r="157">
      <c r="A157" s="471" t="n"/>
      <c r="B157" s="471" t="n"/>
      <c r="P157" s="561" t="n">
        <v>153</v>
      </c>
      <c r="Q157" s="471" t="n"/>
      <c r="R157" s="561" t="n"/>
      <c r="S157" s="471" t="n"/>
      <c r="T157" s="471" t="n"/>
      <c r="U157" s="801">
        <f>Y156</f>
        <v/>
      </c>
      <c r="V157" s="471" t="n"/>
      <c r="W157" s="471" t="n"/>
      <c r="X157" s="471" t="n"/>
      <c r="Y157" s="562">
        <f>IF(AND(T157:X157),1,0)</f>
        <v/>
      </c>
      <c r="AF157" s="561" t="n">
        <v>154</v>
      </c>
      <c r="AG157" s="568" t="n"/>
      <c r="AH157" s="471" t="inlineStr">
        <is>
          <t>HTRC2 9A</t>
        </is>
      </c>
      <c r="AI157" s="471" t="n"/>
      <c r="AJ157" s="471" t="n"/>
      <c r="AK157" s="570">
        <f>AB31</f>
        <v/>
      </c>
      <c r="AL157" s="471">
        <f>AO156</f>
        <v/>
      </c>
      <c r="AM157" s="471" t="n"/>
      <c r="AN157" s="471" t="n"/>
      <c r="AO157" s="562">
        <f>IF(AND(AJ157:AN157),1,0)</f>
        <v/>
      </c>
      <c r="GZ157" s="840" t="n"/>
      <c r="HD157" s="840" t="n"/>
      <c r="LB157" s="561" t="n">
        <v>154</v>
      </c>
      <c r="LC157" s="471" t="n"/>
      <c r="LD157" s="471" t="n"/>
      <c r="LE157" s="471" t="n"/>
      <c r="LF157" s="471" t="n"/>
      <c r="LG157" s="561" t="n">
        <v>1</v>
      </c>
      <c r="LH157" s="471" t="n"/>
      <c r="LI157" s="471" t="n"/>
      <c r="LJ157" s="471" t="n"/>
      <c r="LK157" s="562">
        <f>IF(AND(LF157:LJ157),1,0)</f>
        <v/>
      </c>
      <c r="MH157" s="561" t="n">
        <v>154</v>
      </c>
      <c r="MI157" s="471" t="n"/>
      <c r="MJ157" s="822" t="n"/>
      <c r="MK157" s="471" t="n"/>
      <c r="ML157" s="822" t="n"/>
      <c r="MM157" s="822">
        <f>MQ156</f>
        <v/>
      </c>
      <c r="MN157" s="822" t="n"/>
      <c r="MO157" s="471" t="n"/>
      <c r="MP157" s="471" t="n"/>
      <c r="MQ157" s="562">
        <f>IF(AND(ML157:MP157),1,0)</f>
        <v/>
      </c>
    </row>
    <row r="158">
      <c r="A158" s="471" t="n"/>
      <c r="P158" s="561" t="n">
        <v>154</v>
      </c>
      <c r="Q158" s="471" t="n"/>
      <c r="R158" s="561" t="n"/>
      <c r="S158" s="471" t="n"/>
      <c r="T158" s="471" t="n"/>
      <c r="U158" s="801">
        <f>Y157</f>
        <v/>
      </c>
      <c r="V158" s="471" t="n"/>
      <c r="W158" s="471" t="n"/>
      <c r="X158" s="471" t="n"/>
      <c r="Y158" s="562">
        <f>IF(AND(T158:X158),1,0)</f>
        <v/>
      </c>
      <c r="AF158" s="561" t="n">
        <v>155</v>
      </c>
      <c r="AG158" s="568" t="n"/>
      <c r="AH158" s="566" t="n"/>
      <c r="AI158" s="471" t="n"/>
      <c r="AJ158" s="471" t="n"/>
      <c r="AK158" s="599">
        <f>AO157</f>
        <v/>
      </c>
      <c r="AL158" s="471" t="n"/>
      <c r="AM158" s="471" t="n"/>
      <c r="AN158" s="471" t="n"/>
      <c r="AO158" s="562">
        <f>IF(AND(AJ158:AN158),1,0)</f>
        <v/>
      </c>
      <c r="GZ158" s="840" t="n"/>
      <c r="HD158" s="840" t="n"/>
      <c r="LB158" s="561" t="n">
        <v>155</v>
      </c>
      <c r="LC158" s="471" t="n"/>
      <c r="LD158" s="471" t="n"/>
      <c r="LE158" s="471" t="n"/>
      <c r="LF158" s="471" t="n"/>
      <c r="LG158" s="561" t="n">
        <v>1</v>
      </c>
      <c r="LH158" s="471" t="n"/>
      <c r="LI158" s="471" t="n"/>
      <c r="LJ158" s="471" t="n"/>
      <c r="LK158" s="562">
        <f>IF(AND(LF158:LJ158),1,0)</f>
        <v/>
      </c>
      <c r="MH158" s="561" t="n">
        <v>155</v>
      </c>
      <c r="MI158" s="471" t="n"/>
      <c r="MJ158" s="822" t="n"/>
      <c r="MK158" s="471" t="n"/>
      <c r="ML158" s="822" t="n"/>
      <c r="MM158" s="822" t="n">
        <v>1</v>
      </c>
      <c r="MN158" s="822" t="n"/>
      <c r="MO158" s="471" t="n"/>
      <c r="MP158" s="471" t="n"/>
      <c r="MQ158" s="562">
        <f>IF(AND(ML158:MP158),1,0)</f>
        <v/>
      </c>
    </row>
    <row r="159">
      <c r="A159" s="471" t="n"/>
      <c r="B159" s="471" t="n"/>
      <c r="P159" s="561" t="n">
        <v>155</v>
      </c>
      <c r="Q159" s="471" t="n"/>
      <c r="R159" s="566" t="inlineStr">
        <is>
          <t>HEATER 2 4.5kW</t>
        </is>
      </c>
      <c r="S159" s="471" t="n"/>
      <c r="T159" s="471" t="n"/>
      <c r="U159" s="582">
        <f>AB35</f>
        <v/>
      </c>
      <c r="V159" s="471">
        <f>Y157</f>
        <v/>
      </c>
      <c r="W159" s="471">
        <f>Y158</f>
        <v/>
      </c>
      <c r="X159" s="471" t="n"/>
      <c r="Y159" s="562">
        <f>IF(AND(T159:X159),1,0)</f>
        <v/>
      </c>
      <c r="AF159" s="561" t="n">
        <v>156</v>
      </c>
      <c r="AG159" s="568" t="n"/>
      <c r="AH159" s="566" t="n"/>
      <c r="AI159" s="471" t="n"/>
      <c r="AJ159" s="471" t="n"/>
      <c r="AK159" s="599">
        <f>AO158</f>
        <v/>
      </c>
      <c r="AL159" s="471" t="n"/>
      <c r="AM159" s="471" t="n"/>
      <c r="AN159" s="471" t="n"/>
      <c r="AO159" s="562">
        <f>IF(AND(AJ159:AN159),1,0)</f>
        <v/>
      </c>
      <c r="GZ159" s="840" t="n"/>
      <c r="HD159" s="840" t="n"/>
      <c r="MH159" s="561" t="n">
        <v>156</v>
      </c>
      <c r="MI159" s="471" t="n"/>
      <c r="MJ159" s="822" t="n"/>
      <c r="MK159" s="471" t="n"/>
      <c r="ML159" s="822" t="n"/>
      <c r="MM159" s="822">
        <f>MQ117</f>
        <v/>
      </c>
      <c r="MN159" s="822" t="n"/>
      <c r="MO159" s="471" t="n"/>
      <c r="MP159" s="471" t="n"/>
      <c r="MQ159" s="562">
        <f>IF(AND(ML159:MP159),1,0)</f>
        <v/>
      </c>
    </row>
    <row r="160">
      <c r="A160" s="471" t="n"/>
      <c r="B160" s="471" t="n"/>
      <c r="P160" s="561" t="n">
        <v>156</v>
      </c>
      <c r="Q160" s="471" t="n"/>
      <c r="R160" s="561" t="n"/>
      <c r="S160" s="471" t="n"/>
      <c r="T160" s="471" t="n"/>
      <c r="U160" s="801">
        <f>Y159</f>
        <v/>
      </c>
      <c r="V160" s="471" t="n"/>
      <c r="W160" s="471" t="n"/>
      <c r="X160" s="471" t="n"/>
      <c r="Y160" s="562">
        <f>IF(AND(T160:X160),1,0)</f>
        <v/>
      </c>
      <c r="AF160" s="561" t="n">
        <v>157</v>
      </c>
      <c r="AG160" s="568" t="n"/>
      <c r="AH160" s="587" t="inlineStr">
        <is>
          <t>HEATER2_ 4.5kW</t>
        </is>
      </c>
      <c r="AI160" s="471" t="n"/>
      <c r="AJ160" s="471" t="n"/>
      <c r="AK160" s="570">
        <f>AB35</f>
        <v/>
      </c>
      <c r="AL160" s="471">
        <f>AO159</f>
        <v/>
      </c>
      <c r="AM160" s="471" t="n"/>
      <c r="AN160" s="471" t="n"/>
      <c r="AO160" s="562">
        <f>IF(AND(AJ160:AN160),1,0)</f>
        <v/>
      </c>
      <c r="GZ160" s="840" t="n"/>
      <c r="HD160" s="840" t="n"/>
      <c r="MH160" s="561" t="n">
        <v>157</v>
      </c>
      <c r="MI160" s="471" t="n"/>
      <c r="MJ160" s="822" t="inlineStr">
        <is>
          <t>SMDRB</t>
        </is>
      </c>
      <c r="MK160" s="471" t="n"/>
      <c r="ML160" s="822" t="n"/>
      <c r="MM160" s="574">
        <f>MT24</f>
        <v/>
      </c>
      <c r="MN160" s="822">
        <f>MQ159</f>
        <v/>
      </c>
      <c r="MO160" s="471" t="n"/>
      <c r="MP160" s="471" t="n"/>
      <c r="MQ160" s="562">
        <f>IF(AND(ML160:MP160),1,0)</f>
        <v/>
      </c>
    </row>
    <row r="161">
      <c r="A161" s="471" t="n"/>
      <c r="B161" s="471" t="n"/>
      <c r="P161" s="561" t="n">
        <v>157</v>
      </c>
      <c r="Q161" s="471" t="n"/>
      <c r="R161" s="561" t="n"/>
      <c r="S161" s="471" t="n"/>
      <c r="T161" s="471" t="n"/>
      <c r="U161" s="801">
        <f>Y144</f>
        <v/>
      </c>
      <c r="V161" s="471" t="n"/>
      <c r="W161" s="471" t="n"/>
      <c r="X161" s="471" t="n"/>
      <c r="Y161" s="562">
        <f>IF(AND(T161:X161),1,0)</f>
        <v/>
      </c>
      <c r="AF161" s="561" t="n">
        <v>158</v>
      </c>
      <c r="AG161" s="568" t="n"/>
      <c r="AH161" s="566" t="n"/>
      <c r="AI161" s="471" t="n"/>
      <c r="AJ161" s="471" t="n"/>
      <c r="AK161" s="599">
        <f>AO160</f>
        <v/>
      </c>
      <c r="AL161" s="471" t="n"/>
      <c r="AM161" s="471" t="n"/>
      <c r="AN161" s="471" t="n"/>
      <c r="AO161" s="562">
        <f>IF(AND(AJ161:AN161),1,0)</f>
        <v/>
      </c>
      <c r="GZ161" s="840" t="n"/>
      <c r="HD161" s="840" t="n"/>
      <c r="MH161" s="561" t="n">
        <v>158</v>
      </c>
      <c r="MI161" s="471" t="n"/>
      <c r="MJ161" s="822" t="n"/>
      <c r="MK161" s="471" t="n"/>
      <c r="ML161" s="822" t="n"/>
      <c r="MM161" s="822">
        <f>MQ160</f>
        <v/>
      </c>
      <c r="MN161" s="822" t="n"/>
      <c r="MO161" s="471" t="n"/>
      <c r="MP161" s="471" t="n"/>
      <c r="MQ161" s="562">
        <f>IF(AND(ML161:MP161),1,0)</f>
        <v/>
      </c>
    </row>
    <row r="162">
      <c r="A162" s="471" t="n"/>
      <c r="B162" s="471" t="n"/>
      <c r="P162" s="561" t="n">
        <v>158</v>
      </c>
      <c r="Q162" s="471" t="n"/>
      <c r="R162" s="561" t="n"/>
      <c r="S162" s="471" t="n"/>
      <c r="T162" s="471" t="n"/>
      <c r="U162" s="801">
        <f>Y156</f>
        <v/>
      </c>
      <c r="V162" s="471">
        <f>Y161</f>
        <v/>
      </c>
      <c r="W162" s="471" t="n"/>
      <c r="X162" s="471" t="n"/>
      <c r="Y162" s="562">
        <f>IF(AND(T162:X162),1,0)</f>
        <v/>
      </c>
      <c r="AF162" s="561" t="n">
        <v>159</v>
      </c>
      <c r="AG162" s="568" t="n"/>
      <c r="AH162" s="566" t="n"/>
      <c r="AI162" s="471" t="n"/>
      <c r="AJ162" s="471" t="n"/>
      <c r="AK162" s="599">
        <f>AO145</f>
        <v/>
      </c>
      <c r="AL162" s="471" t="n"/>
      <c r="AM162" s="471" t="n"/>
      <c r="AN162" s="471" t="n"/>
      <c r="AO162" s="562">
        <f>IF(AND(AJ162:AN162),1,0)</f>
        <v/>
      </c>
      <c r="GZ162" s="840" t="n"/>
      <c r="HD162" s="840" t="n"/>
      <c r="MH162" s="561" t="n">
        <v>159</v>
      </c>
      <c r="MI162" s="471" t="n"/>
      <c r="MJ162" s="822" t="n"/>
      <c r="MK162" s="471" t="n"/>
      <c r="ML162" s="822" t="n"/>
      <c r="MM162" s="822">
        <f>MQ161</f>
        <v/>
      </c>
      <c r="MN162" s="822" t="n"/>
      <c r="MO162" s="471" t="n"/>
      <c r="MP162" s="471" t="n"/>
      <c r="MQ162" s="562">
        <f>IF(AND(ML162:MP162),1,0)</f>
        <v/>
      </c>
    </row>
    <row r="163">
      <c r="P163" s="561" t="n">
        <v>159</v>
      </c>
      <c r="Q163" s="471" t="n"/>
      <c r="R163" s="561" t="n"/>
      <c r="S163" s="471" t="n"/>
      <c r="T163" s="471" t="n"/>
      <c r="U163" s="801">
        <f>Y162</f>
        <v/>
      </c>
      <c r="V163" s="471" t="n"/>
      <c r="W163" s="471" t="n"/>
      <c r="X163" s="471" t="n"/>
      <c r="Y163" s="562">
        <f>IF(AND(T163:X163),1,0)</f>
        <v/>
      </c>
      <c r="AF163" s="561" t="n">
        <v>160</v>
      </c>
      <c r="AG163" s="568" t="n"/>
      <c r="AH163" s="566" t="n"/>
      <c r="AI163" s="471" t="n"/>
      <c r="AJ163" s="471" t="n"/>
      <c r="AK163" s="599">
        <f>AO157</f>
        <v/>
      </c>
      <c r="AL163" s="471">
        <f>AO162</f>
        <v/>
      </c>
      <c r="AM163" s="471" t="n"/>
      <c r="AN163" s="471" t="n"/>
      <c r="AO163" s="562">
        <f>IF(AND(AJ163:AN163),1,0)</f>
        <v/>
      </c>
      <c r="DP163" s="273">
        <f>'DATA TRANSFER'!DP178</f>
        <v/>
      </c>
      <c r="GZ163" s="840" t="n"/>
      <c r="HD163" s="840" t="n"/>
      <c r="MH163" s="561" t="n">
        <v>160</v>
      </c>
      <c r="MI163" s="471" t="n"/>
      <c r="MJ163" s="822" t="inlineStr">
        <is>
          <t>DI RIO 2 PCB 9 (15)_I_FAD FORCED CLS</t>
        </is>
      </c>
      <c r="MK163" s="471" t="n"/>
      <c r="ML163" s="822" t="n"/>
      <c r="MM163" s="574">
        <f>MT21</f>
        <v/>
      </c>
      <c r="MN163" s="822">
        <f>MQ162</f>
        <v/>
      </c>
      <c r="MO163" s="471" t="n"/>
      <c r="MP163" s="471" t="n"/>
      <c r="MQ163" s="562">
        <f>IF(AND(ML163:MP163),1,0)</f>
        <v/>
      </c>
    </row>
    <row r="164">
      <c r="P164" s="561" t="n">
        <v>160</v>
      </c>
      <c r="Q164" s="471" t="n"/>
      <c r="R164" s="566" t="inlineStr">
        <is>
          <t>HEATER 2 4.5kW</t>
        </is>
      </c>
      <c r="S164" s="471" t="n"/>
      <c r="T164" s="471" t="n"/>
      <c r="U164" s="582">
        <f>AB35</f>
        <v/>
      </c>
      <c r="V164" s="471">
        <f>Y163</f>
        <v/>
      </c>
      <c r="W164" s="471">
        <f>Y162</f>
        <v/>
      </c>
      <c r="X164" s="471" t="n"/>
      <c r="Y164" s="562">
        <f>IF(AND(T164:X164),1,0)</f>
        <v/>
      </c>
      <c r="AF164" s="561" t="n">
        <v>161</v>
      </c>
      <c r="AG164" s="568" t="n"/>
      <c r="AH164" s="566" t="n"/>
      <c r="AI164" s="471" t="n"/>
      <c r="AJ164" s="471" t="n"/>
      <c r="AK164" s="599">
        <f>AO163</f>
        <v/>
      </c>
      <c r="AL164" s="471" t="n"/>
      <c r="AM164" s="471" t="n"/>
      <c r="AN164" s="471" t="n"/>
      <c r="AO164" s="562">
        <f>IF(AND(AJ164:AN164),1,0)</f>
        <v/>
      </c>
      <c r="GZ164" s="840" t="n"/>
      <c r="HD164" s="840" t="n"/>
      <c r="MH164" s="561" t="n">
        <v>161</v>
      </c>
      <c r="MI164" s="471" t="n"/>
      <c r="MK164" s="471" t="n"/>
      <c r="ML164" s="822" t="n"/>
      <c r="MM164" s="822">
        <f>MQ161</f>
        <v/>
      </c>
      <c r="MN164" s="822" t="n"/>
      <c r="MO164" s="471" t="n"/>
      <c r="MP164" s="471" t="n"/>
      <c r="MQ164" s="562">
        <f>IF(AND(ML164:MP164),1,0)</f>
        <v/>
      </c>
    </row>
    <row r="165">
      <c r="J165" s="840">
        <f>IF(OR('DATA TRANSFER'!M10,'DATA TRANSFER'!M12),1,0)</f>
        <v/>
      </c>
      <c r="P165" s="561" t="n">
        <v>161</v>
      </c>
      <c r="Q165" s="471" t="n"/>
      <c r="R165" s="561" t="n"/>
      <c r="S165" s="471" t="n"/>
      <c r="T165" s="471" t="n"/>
      <c r="U165" s="801">
        <f>Y164</f>
        <v/>
      </c>
      <c r="V165" s="471" t="n"/>
      <c r="W165" s="471" t="n"/>
      <c r="X165" s="471" t="n"/>
      <c r="Y165" s="562">
        <f>IF(AND(T165:X165),1,0)</f>
        <v/>
      </c>
      <c r="AF165" s="561" t="n">
        <v>162</v>
      </c>
      <c r="AG165" s="568" t="n"/>
      <c r="AH165" s="587" t="inlineStr">
        <is>
          <t>HEATER2_ 4.5kW</t>
        </is>
      </c>
      <c r="AI165" s="471" t="n"/>
      <c r="AJ165" s="471" t="n"/>
      <c r="AK165" s="570">
        <f>AB35</f>
        <v/>
      </c>
      <c r="AL165" s="471">
        <f>AO164</f>
        <v/>
      </c>
      <c r="AM165" s="471" t="n"/>
      <c r="AN165" s="471" t="n"/>
      <c r="AO165" s="562">
        <f>IF(AND(AJ165:AN165),1,0)</f>
        <v/>
      </c>
      <c r="GZ165" s="840" t="n"/>
      <c r="HD165" s="840" t="n"/>
      <c r="MH165" s="561" t="n">
        <v>162</v>
      </c>
      <c r="MI165" s="471" t="n"/>
      <c r="MJ165" s="822" t="inlineStr">
        <is>
          <t>DI RIO 1 PCB 9 (15)_I_FAD FORCED CLS</t>
        </is>
      </c>
      <c r="MK165" s="471" t="n"/>
      <c r="ML165" s="822" t="n"/>
      <c r="MM165" s="574">
        <f>MT23</f>
        <v/>
      </c>
      <c r="MN165" s="822">
        <f>MQ164</f>
        <v/>
      </c>
      <c r="MO165" s="471" t="n"/>
      <c r="MP165" s="471" t="n"/>
      <c r="MQ165" s="562">
        <f>IF(AND(ML165:MP165),1,0)</f>
        <v/>
      </c>
    </row>
    <row r="166">
      <c r="P166" s="561" t="n">
        <v>162</v>
      </c>
      <c r="Q166" s="471" t="n"/>
      <c r="R166" s="561" t="n"/>
      <c r="S166" s="471" t="n"/>
      <c r="T166" s="471" t="n"/>
      <c r="U166" s="801">
        <f>Y137</f>
        <v/>
      </c>
      <c r="V166" s="471" t="n"/>
      <c r="W166" s="471" t="n"/>
      <c r="X166" s="471" t="n"/>
      <c r="Y166" s="562">
        <f>IF(AND(T166:X166),1,0)</f>
        <v/>
      </c>
      <c r="AF166" s="561" t="n">
        <v>163</v>
      </c>
      <c r="AG166" s="568" t="n"/>
      <c r="AH166" s="566" t="n"/>
      <c r="AI166" s="471" t="n"/>
      <c r="AJ166" s="471" t="n"/>
      <c r="AK166" s="599">
        <f>AO165</f>
        <v/>
      </c>
      <c r="AL166" s="471" t="n"/>
      <c r="AM166" s="471" t="n"/>
      <c r="AN166" s="471" t="n"/>
      <c r="AO166" s="562">
        <f>IF(AND(AJ166:AN166),1,0)</f>
        <v/>
      </c>
      <c r="GZ166" s="840" t="n"/>
      <c r="HD166" s="840" t="n"/>
      <c r="MH166" s="561" t="n">
        <v>163</v>
      </c>
      <c r="MI166" s="471" t="n"/>
      <c r="MJ166" s="822" t="n"/>
      <c r="MK166" s="471" t="n"/>
      <c r="ML166" s="822" t="n"/>
      <c r="MM166" s="822">
        <f>MQ117</f>
        <v/>
      </c>
      <c r="MN166" s="822" t="n"/>
      <c r="MO166" s="471" t="n"/>
      <c r="MP166" s="471" t="n"/>
      <c r="MQ166" s="562">
        <f>IF(AND(ML166:MP166),1,0)</f>
        <v/>
      </c>
    </row>
    <row r="167">
      <c r="P167" s="561" t="n">
        <v>163</v>
      </c>
      <c r="Q167" s="471" t="n"/>
      <c r="R167" s="561" t="n"/>
      <c r="S167" s="471" t="n"/>
      <c r="T167" s="471" t="n"/>
      <c r="U167" s="801">
        <f>Y156</f>
        <v/>
      </c>
      <c r="V167" s="471">
        <f>Y166</f>
        <v/>
      </c>
      <c r="W167" s="471" t="n"/>
      <c r="X167" s="471" t="n"/>
      <c r="Y167" s="562">
        <f>IF(AND(T167:X167),1,0)</f>
        <v/>
      </c>
      <c r="AF167" s="561" t="n">
        <v>164</v>
      </c>
      <c r="AG167" s="568" t="n"/>
      <c r="AH167" s="566" t="n"/>
      <c r="AI167" s="471" t="n"/>
      <c r="AJ167" s="471" t="n"/>
      <c r="AK167" s="599">
        <f>AO138</f>
        <v/>
      </c>
      <c r="AL167" s="471" t="n"/>
      <c r="AM167" s="471" t="n"/>
      <c r="AN167" s="471" t="n"/>
      <c r="AO167" s="562">
        <f>IF(AND(AJ167:AN167),1,0)</f>
        <v/>
      </c>
      <c r="DP167" s="273">
        <f>'DATA TRANSFER'!DP168</f>
        <v/>
      </c>
      <c r="GZ167" s="840" t="n"/>
      <c r="HD167" s="840" t="n"/>
      <c r="MH167" s="561" t="n">
        <v>164</v>
      </c>
      <c r="MI167" s="471" t="n"/>
      <c r="MJ167" s="822" t="inlineStr">
        <is>
          <t>SMDRB</t>
        </is>
      </c>
      <c r="MK167" s="471" t="n"/>
      <c r="ML167" s="822" t="n"/>
      <c r="MM167" s="574">
        <f>IF(OR(MT12,MT11),1,0)</f>
        <v/>
      </c>
      <c r="MN167" s="822">
        <f>MQ166</f>
        <v/>
      </c>
      <c r="MO167" s="471" t="n"/>
      <c r="MP167" s="471" t="n"/>
      <c r="MQ167" s="562">
        <f>IF(AND(ML167:MP167),1,0)</f>
        <v/>
      </c>
    </row>
    <row r="168">
      <c r="P168" s="561" t="n">
        <v>164</v>
      </c>
      <c r="Q168" s="471" t="n"/>
      <c r="R168" s="561" t="n"/>
      <c r="S168" s="471" t="n"/>
      <c r="T168" s="471" t="n"/>
      <c r="U168" s="801">
        <f>Y167</f>
        <v/>
      </c>
      <c r="V168" s="471" t="n"/>
      <c r="W168" s="471" t="n"/>
      <c r="X168" s="471" t="n"/>
      <c r="Y168" s="562">
        <f>IF(AND(T168:X168),1,0)</f>
        <v/>
      </c>
      <c r="AF168" s="561" t="n">
        <v>165</v>
      </c>
      <c r="AG168" s="568" t="n"/>
      <c r="AH168" s="566" t="n"/>
      <c r="AI168" s="471" t="n"/>
      <c r="AJ168" s="471" t="n"/>
      <c r="AK168" s="599">
        <f>AO157</f>
        <v/>
      </c>
      <c r="AL168" s="471">
        <f>AO167</f>
        <v/>
      </c>
      <c r="AM168" s="471" t="n"/>
      <c r="AN168" s="471" t="n"/>
      <c r="AO168" s="562">
        <f>IF(AND(AJ168:AN168),1,0)</f>
        <v/>
      </c>
      <c r="GZ168" s="840" t="n"/>
      <c r="HD168" s="840" t="n"/>
      <c r="MH168" s="561" t="n">
        <v>165</v>
      </c>
      <c r="MI168" s="471" t="n"/>
      <c r="MJ168" s="822" t="n"/>
      <c r="MK168" s="471" t="n"/>
      <c r="ML168" s="822" t="n"/>
      <c r="MM168" s="822">
        <f>MQ167</f>
        <v/>
      </c>
      <c r="MN168" s="822" t="n"/>
      <c r="MO168" s="471" t="n"/>
      <c r="MP168" s="471" t="n"/>
      <c r="MQ168" s="562">
        <f>IF(AND(ML168:MP168),1,0)</f>
        <v/>
      </c>
    </row>
    <row r="169">
      <c r="P169" s="561" t="n">
        <v>164</v>
      </c>
      <c r="Q169" s="471" t="n"/>
      <c r="R169" s="566" t="inlineStr">
        <is>
          <t>HEATER 2 4.5kW</t>
        </is>
      </c>
      <c r="S169" s="471" t="n"/>
      <c r="T169" s="471" t="n"/>
      <c r="U169" s="582">
        <f>AB35</f>
        <v/>
      </c>
      <c r="V169" s="471">
        <f>Y168</f>
        <v/>
      </c>
      <c r="W169" s="471" t="n"/>
      <c r="X169" s="471" t="n"/>
      <c r="Y169" s="562">
        <f>IF(AND(T169:X169),1,0)</f>
        <v/>
      </c>
      <c r="AF169" s="561" t="n">
        <v>166</v>
      </c>
      <c r="AG169" s="568" t="n"/>
      <c r="AH169" s="566" t="n"/>
      <c r="AI169" s="471" t="n"/>
      <c r="AJ169" s="471" t="n"/>
      <c r="AK169" s="599">
        <f>AO168</f>
        <v/>
      </c>
      <c r="AL169" s="471" t="n"/>
      <c r="AM169" s="471" t="n"/>
      <c r="AN169" s="471" t="n"/>
      <c r="AO169" s="562">
        <f>IF(AND(AJ169:AN169),1,0)</f>
        <v/>
      </c>
      <c r="DP169" s="273">
        <f>'DATA TRANSFER'!DP135</f>
        <v/>
      </c>
      <c r="GZ169" s="840" t="n"/>
      <c r="HD169" s="840" t="n"/>
      <c r="MH169" s="561" t="n">
        <v>166</v>
      </c>
      <c r="MI169" s="471" t="n"/>
      <c r="MJ169" s="822" t="n"/>
      <c r="MK169" s="471" t="n"/>
      <c r="ML169" s="822" t="n"/>
      <c r="MM169" s="822">
        <f>MQ168</f>
        <v/>
      </c>
      <c r="MN169" s="822" t="n"/>
      <c r="MO169" s="471" t="n"/>
      <c r="MP169" s="471" t="n"/>
      <c r="MQ169" s="562">
        <f>IF(AND(ML169:MP169),1,0)</f>
        <v/>
      </c>
    </row>
    <row r="170">
      <c r="P170" s="561" t="n">
        <v>165</v>
      </c>
      <c r="Q170" s="471" t="n"/>
      <c r="R170" s="561" t="n"/>
      <c r="S170" s="471" t="n"/>
      <c r="T170" s="471" t="n"/>
      <c r="U170" s="801">
        <f>Y169</f>
        <v/>
      </c>
      <c r="V170" s="471" t="n"/>
      <c r="W170" s="471" t="n"/>
      <c r="X170" s="471" t="n"/>
      <c r="Y170" s="562">
        <f>IF(AND(T170:X170),1,0)</f>
        <v/>
      </c>
      <c r="AF170" s="561" t="n">
        <v>167</v>
      </c>
      <c r="AG170" s="568" t="n"/>
      <c r="AH170" s="566" t="n"/>
      <c r="AI170" s="471" t="n"/>
      <c r="AJ170" s="471" t="n"/>
      <c r="AK170" s="840">
        <f>AO169</f>
        <v/>
      </c>
      <c r="AL170" s="471" t="n"/>
      <c r="AM170" s="471" t="n"/>
      <c r="AN170" s="471" t="n"/>
      <c r="AO170" s="562">
        <f>IF(AND(AJ170:AN170),1,0)</f>
        <v/>
      </c>
      <c r="GZ170" s="840" t="n"/>
      <c r="HD170" s="840" t="n"/>
      <c r="MH170" s="561" t="n">
        <v>167</v>
      </c>
      <c r="MI170" s="471" t="n"/>
      <c r="MJ170" s="822" t="n"/>
      <c r="MK170" s="471" t="n"/>
      <c r="ML170" s="822" t="n"/>
      <c r="MM170" s="822">
        <f>MQ169</f>
        <v/>
      </c>
      <c r="MN170" s="822" t="n"/>
      <c r="MO170" s="471" t="n"/>
      <c r="MP170" s="471" t="n"/>
      <c r="MQ170" s="562">
        <f>IF(AND(ML170:MP170),1,0)</f>
        <v/>
      </c>
    </row>
    <row r="171">
      <c r="P171" s="561" t="n">
        <v>166</v>
      </c>
      <c r="Q171" s="471" t="n"/>
      <c r="R171" s="561" t="inlineStr">
        <is>
          <t>HEATER 1 &amp; 2</t>
        </is>
      </c>
      <c r="S171" s="471" t="n"/>
      <c r="T171" s="471" t="n"/>
      <c r="U171" s="801">
        <f>AB32</f>
        <v/>
      </c>
      <c r="V171" s="801">
        <f>AB35</f>
        <v/>
      </c>
      <c r="W171" s="471" t="n"/>
      <c r="X171" s="471" t="n"/>
      <c r="Y171" s="562">
        <f>IF(AND(T171:X171),1,0)</f>
        <v/>
      </c>
      <c r="AF171" s="561" t="n">
        <v>168</v>
      </c>
      <c r="AG171" s="568" t="n"/>
      <c r="AH171" s="587" t="inlineStr">
        <is>
          <t>HEATER2_ 4.5kW</t>
        </is>
      </c>
      <c r="AI171" s="471" t="n"/>
      <c r="AJ171" s="471" t="n"/>
      <c r="AK171" s="570">
        <f>AB35</f>
        <v/>
      </c>
      <c r="AL171" s="471">
        <f>AO170</f>
        <v/>
      </c>
      <c r="AM171" s="471" t="n"/>
      <c r="AN171" s="471" t="n"/>
      <c r="AO171" s="562">
        <f>IF(AND(AL171:AN171),1,0)</f>
        <v/>
      </c>
      <c r="DL171" s="840">
        <f>IF(NOT('DATA TRANSFER'!F30),1,0)</f>
        <v/>
      </c>
      <c r="GZ171" s="840" t="n"/>
      <c r="HD171" s="840" t="n"/>
      <c r="MH171" s="561" t="n">
        <v>168</v>
      </c>
      <c r="MI171" s="471" t="n"/>
      <c r="MJ171" s="822" t="inlineStr">
        <is>
          <t>DI RIO 2 PCB 9 (24)_I_FAD FORCED OPN</t>
        </is>
      </c>
      <c r="MK171" s="471" t="n"/>
      <c r="ML171" s="822" t="n"/>
      <c r="MM171" s="574">
        <f>MT22</f>
        <v/>
      </c>
      <c r="MN171" s="822">
        <f>MQ170</f>
        <v/>
      </c>
      <c r="MO171" s="471" t="n"/>
      <c r="MP171" s="471" t="n"/>
      <c r="MQ171" s="562">
        <f>IF(AND(ML171:MP171),1,0)</f>
        <v/>
      </c>
    </row>
    <row r="172">
      <c r="P172" s="561" t="n">
        <v>167</v>
      </c>
      <c r="Q172" s="471" t="n"/>
      <c r="R172" s="561" t="inlineStr">
        <is>
          <t>GROUND</t>
        </is>
      </c>
      <c r="S172" s="471" t="n"/>
      <c r="T172" s="471" t="n"/>
      <c r="U172" s="801" t="n">
        <v>1</v>
      </c>
      <c r="V172" s="471" t="n"/>
      <c r="W172" s="471" t="n"/>
      <c r="X172" s="471" t="n"/>
      <c r="Y172" s="562">
        <f>IF(AND(T172:X172),1,0)</f>
        <v/>
      </c>
      <c r="AF172" s="561" t="n">
        <v>169</v>
      </c>
      <c r="AG172" s="568" t="n"/>
      <c r="AH172" s="566" t="n"/>
      <c r="AI172" s="471" t="n"/>
      <c r="AJ172" s="471" t="n"/>
      <c r="AK172" s="599">
        <f>AO171</f>
        <v/>
      </c>
      <c r="AL172" s="471" t="n"/>
      <c r="AM172" s="471" t="n"/>
      <c r="AN172" s="471" t="n"/>
      <c r="AO172" s="562">
        <f>IF(AND(AJ172:AN172),1,0)</f>
        <v/>
      </c>
      <c r="GZ172" s="840" t="n"/>
      <c r="HD172" s="840" t="n"/>
      <c r="MH172" s="561" t="n">
        <v>169</v>
      </c>
      <c r="MI172" s="471" t="n"/>
      <c r="MK172" s="471" t="n"/>
      <c r="ML172" s="822" t="n"/>
      <c r="MM172" s="822">
        <f>MQ169</f>
        <v/>
      </c>
      <c r="MN172" s="822" t="n"/>
      <c r="MO172" s="471" t="n"/>
      <c r="MP172" s="471" t="n"/>
      <c r="MQ172" s="562">
        <f>IF(AND(ML172:MP172),1,0)</f>
        <v/>
      </c>
    </row>
    <row r="173">
      <c r="P173" s="561" t="n">
        <v>168</v>
      </c>
      <c r="Q173" s="471" t="n"/>
      <c r="R173" s="561" t="n"/>
      <c r="S173" s="471" t="n"/>
      <c r="T173" s="471" t="n"/>
      <c r="U173" s="600" t="n">
        <v>1</v>
      </c>
      <c r="V173" s="471" t="n"/>
      <c r="W173" s="471" t="n"/>
      <c r="X173" s="471" t="n"/>
      <c r="Y173" s="562">
        <f>IF(AND(T173:X173),1,0)</f>
        <v/>
      </c>
      <c r="Z173" s="265" t="n"/>
      <c r="AF173" s="561" t="n">
        <v>170</v>
      </c>
      <c r="AG173" s="568" t="n"/>
      <c r="AH173" s="566" t="inlineStr">
        <is>
          <t>HEATER 1 &amp; 2</t>
        </is>
      </c>
      <c r="AI173" s="471" t="n"/>
      <c r="AJ173" s="471" t="n"/>
      <c r="AK173" s="599">
        <f>AB32</f>
        <v/>
      </c>
      <c r="AL173" s="471">
        <f>AB35</f>
        <v/>
      </c>
      <c r="AM173" s="471" t="n"/>
      <c r="AN173" s="471" t="n"/>
      <c r="AO173" s="562" t="n"/>
      <c r="GZ173" s="840" t="n"/>
      <c r="HD173" s="840" t="n"/>
      <c r="MH173" s="561" t="n">
        <v>170</v>
      </c>
      <c r="MI173" s="471" t="n"/>
      <c r="MJ173" s="822" t="inlineStr">
        <is>
          <t>DI RIO 1 PCB 9 (24)_I_FAD FORCED OPN</t>
        </is>
      </c>
      <c r="MK173" s="471" t="n"/>
      <c r="ML173" s="822" t="n"/>
      <c r="MM173" s="574">
        <f>MT22</f>
        <v/>
      </c>
      <c r="MN173" s="822">
        <f>MQ172</f>
        <v/>
      </c>
      <c r="MO173" s="471" t="n"/>
      <c r="MP173" s="471" t="n"/>
      <c r="MQ173" s="562">
        <f>IF(AND(ML173:MP173),1,0)</f>
        <v/>
      </c>
    </row>
    <row r="174">
      <c r="P174" s="561" t="n">
        <v>169</v>
      </c>
      <c r="Q174" s="471" t="n"/>
      <c r="R174" s="561" t="n"/>
      <c r="S174" s="471" t="n"/>
      <c r="T174" s="471" t="n"/>
      <c r="U174" s="801">
        <f>Y28</f>
        <v/>
      </c>
      <c r="V174" s="471" t="n"/>
      <c r="W174" s="471" t="n"/>
      <c r="X174" s="471" t="n"/>
      <c r="Y174" s="562">
        <f>IF(AND(T174:X174),1,0)</f>
        <v/>
      </c>
      <c r="Z174" s="265" t="n"/>
      <c r="AF174" s="561" t="n">
        <v>171</v>
      </c>
      <c r="AG174" s="568" t="n"/>
      <c r="AH174" s="566" t="inlineStr">
        <is>
          <t>GROUND</t>
        </is>
      </c>
      <c r="AI174" s="471" t="n"/>
      <c r="AJ174" s="471" t="n"/>
      <c r="AK174" s="599" t="n">
        <v>1</v>
      </c>
      <c r="AL174" s="471" t="n"/>
      <c r="AM174" s="471" t="n"/>
      <c r="AN174" s="471" t="n"/>
      <c r="AO174" s="562">
        <f>IF(AND(AJ174:AN174),1,0)</f>
        <v/>
      </c>
      <c r="GZ174" s="840" t="n"/>
      <c r="HD174" s="840" t="n"/>
      <c r="MH174" s="561" t="n">
        <v>171</v>
      </c>
      <c r="MI174" s="471" t="n"/>
      <c r="MJ174" s="822" t="n"/>
      <c r="MK174" s="471" t="n"/>
      <c r="ML174" s="822" t="n"/>
      <c r="MM174" s="581" t="n">
        <v>1</v>
      </c>
      <c r="MN174" s="822" t="n"/>
      <c r="MO174" s="471" t="n"/>
      <c r="MP174" s="471" t="n"/>
      <c r="MQ174" s="562">
        <f>IF(AND(ML174:MP174),1,0)</f>
        <v/>
      </c>
    </row>
    <row r="175">
      <c r="S175" s="265" t="n"/>
      <c r="T175" s="265" t="n"/>
      <c r="U175" s="265" t="n"/>
      <c r="V175" s="265" t="n"/>
      <c r="W175" s="265" t="n"/>
      <c r="X175" s="265" t="n"/>
      <c r="Y175" s="265" t="n"/>
      <c r="Z175" s="265" t="n"/>
      <c r="AF175" s="561" t="n">
        <v>172</v>
      </c>
      <c r="AG175" s="568" t="n"/>
      <c r="AH175" s="566" t="n"/>
      <c r="AI175" s="471" t="n"/>
      <c r="AJ175" s="471" t="n"/>
      <c r="AK175" s="599" t="n"/>
      <c r="AL175" s="471" t="n"/>
      <c r="AM175" s="471" t="n"/>
      <c r="AN175" s="471" t="n"/>
      <c r="AO175" s="562" t="n">
        <v>0</v>
      </c>
      <c r="GZ175" s="840" t="n"/>
      <c r="HD175" s="840" t="n"/>
      <c r="MH175" s="561" t="n">
        <v>172</v>
      </c>
      <c r="MI175" s="471" t="n"/>
      <c r="MJ175" s="822" t="n"/>
      <c r="MK175" s="471" t="n"/>
      <c r="ML175" s="822" t="n"/>
      <c r="MM175" s="822">
        <f>MQ174</f>
        <v/>
      </c>
      <c r="MN175" s="822" t="n"/>
      <c r="MO175" s="471" t="n"/>
      <c r="MP175" s="471" t="n"/>
      <c r="MQ175" s="562">
        <f>IF(AND(ML175:MP175),1,0)</f>
        <v/>
      </c>
    </row>
    <row r="176">
      <c r="S176" s="265" t="n"/>
      <c r="T176" s="265" t="n"/>
      <c r="U176" s="265" t="n"/>
      <c r="V176" s="265" t="n"/>
      <c r="W176" s="265" t="n"/>
      <c r="X176" s="265" t="n"/>
      <c r="Y176" s="265" t="n"/>
      <c r="Z176" s="265" t="n"/>
      <c r="AF176" s="561" t="n">
        <v>173</v>
      </c>
      <c r="AG176" s="568" t="n"/>
      <c r="AH176" s="566" t="n"/>
      <c r="AI176" s="471" t="n"/>
      <c r="AJ176" s="471" t="n"/>
      <c r="AK176" s="599" t="n"/>
      <c r="AL176" s="471" t="n"/>
      <c r="AM176" s="471" t="n"/>
      <c r="AN176" s="471" t="n"/>
      <c r="AO176" s="562" t="n"/>
      <c r="GZ176" s="840" t="n"/>
      <c r="HD176" s="840" t="n"/>
      <c r="MH176" s="561" t="n">
        <v>173</v>
      </c>
      <c r="MI176" s="471" t="n"/>
      <c r="MJ176" s="822" t="n"/>
      <c r="MK176" s="471" t="n"/>
      <c r="ML176" s="822" t="n"/>
      <c r="MM176" s="822">
        <f>MQ175</f>
        <v/>
      </c>
      <c r="MN176" s="822" t="n"/>
      <c r="MO176" s="471" t="n"/>
      <c r="MP176" s="471" t="n"/>
      <c r="MQ176" s="562">
        <f>IF(AND(ML176:MP176),1,0)</f>
        <v/>
      </c>
    </row>
    <row r="177">
      <c r="S177" s="265" t="n"/>
      <c r="T177" s="265" t="n"/>
      <c r="U177" s="265" t="n"/>
      <c r="V177" s="265" t="n"/>
      <c r="W177" s="265" t="n"/>
      <c r="X177" s="265" t="n"/>
      <c r="Y177" s="265" t="n"/>
      <c r="Z177" s="265" t="n"/>
      <c r="AF177" s="561" t="n">
        <v>174</v>
      </c>
      <c r="AG177" s="568" t="n"/>
      <c r="AH177" s="566" t="n"/>
      <c r="AI177" s="471" t="n"/>
      <c r="AJ177" s="471" t="n"/>
      <c r="AK177" s="599" t="n"/>
      <c r="AL177" s="471" t="n"/>
      <c r="AM177" s="471" t="n"/>
      <c r="AN177" s="471" t="n"/>
      <c r="AO177" s="562" t="n"/>
      <c r="DL177" s="840">
        <f>'DATA TRANSFER'!DP176</f>
        <v/>
      </c>
      <c r="DP177" s="273">
        <f>'DATA TRANSFER'!DP178</f>
        <v/>
      </c>
      <c r="GZ177" s="840" t="n"/>
      <c r="HD177" s="840" t="n"/>
      <c r="MH177" s="561" t="n">
        <v>174</v>
      </c>
      <c r="MI177" s="471" t="n"/>
      <c r="MJ177" s="822" t="n"/>
      <c r="MK177" s="471" t="n"/>
      <c r="ML177" s="822" t="n"/>
      <c r="MM177" s="581" t="n">
        <v>1</v>
      </c>
      <c r="MN177" s="822" t="n"/>
      <c r="MO177" s="471" t="n"/>
      <c r="MP177" s="471" t="n"/>
      <c r="MQ177" s="562">
        <f>IF(AND(ML177:MP177),1,0)</f>
        <v/>
      </c>
    </row>
    <row r="178">
      <c r="S178" s="265" t="n"/>
      <c r="T178" s="265" t="n"/>
      <c r="U178" s="265" t="n"/>
      <c r="V178" s="265" t="n"/>
      <c r="W178" s="265" t="n"/>
      <c r="X178" s="265" t="n"/>
      <c r="Y178" s="265" t="n"/>
      <c r="Z178" s="265" t="n"/>
      <c r="AF178" s="561" t="n">
        <v>175</v>
      </c>
      <c r="AG178" s="568" t="n"/>
      <c r="AH178" s="566" t="n"/>
      <c r="AI178" s="471" t="n"/>
      <c r="AJ178" s="471" t="n"/>
      <c r="AK178" s="599" t="n"/>
      <c r="AL178" s="471" t="n"/>
      <c r="AM178" s="471" t="n"/>
      <c r="AN178" s="471" t="n"/>
      <c r="AO178" s="562" t="n"/>
      <c r="GZ178" s="840" t="n"/>
      <c r="HD178" s="840" t="n"/>
    </row>
    <row r="179">
      <c r="S179" s="265" t="n"/>
      <c r="T179" s="265" t="n"/>
      <c r="U179" s="265" t="n"/>
      <c r="V179" s="265" t="n"/>
      <c r="W179" s="265" t="n"/>
      <c r="X179" s="265" t="n"/>
      <c r="Y179" s="265" t="n"/>
      <c r="Z179" s="265" t="n"/>
      <c r="AF179" s="561" t="n">
        <v>176</v>
      </c>
      <c r="AG179" s="568" t="n"/>
      <c r="AH179" s="566" t="n"/>
      <c r="AI179" s="471" t="n"/>
      <c r="AJ179" s="471" t="n"/>
      <c r="AK179" s="599" t="n"/>
      <c r="AL179" s="471" t="n"/>
      <c r="AM179" s="471" t="n"/>
      <c r="AN179" s="471" t="n"/>
      <c r="AO179" s="562" t="n"/>
      <c r="GZ179" s="840" t="n"/>
      <c r="HD179" s="840" t="n"/>
    </row>
    <row r="180">
      <c r="S180" s="265" t="n"/>
      <c r="T180" s="265" t="n"/>
      <c r="U180" s="265" t="n"/>
      <c r="V180" s="265" t="n"/>
      <c r="W180" s="265" t="n"/>
      <c r="X180" s="265" t="n"/>
      <c r="Y180" s="265" t="n"/>
      <c r="Z180" s="265" t="n"/>
      <c r="AF180" s="561" t="n">
        <v>177</v>
      </c>
      <c r="AG180" s="568" t="n"/>
      <c r="AH180" s="566" t="n"/>
      <c r="AI180" s="471" t="n"/>
      <c r="AJ180" s="471" t="n"/>
      <c r="AK180" s="599" t="n"/>
      <c r="AL180" s="471" t="n"/>
      <c r="AM180" s="471" t="n"/>
      <c r="AN180" s="471" t="n"/>
      <c r="AO180" s="562" t="n"/>
      <c r="GZ180" s="840" t="n"/>
      <c r="HD180" s="840" t="n"/>
    </row>
    <row r="181">
      <c r="S181" s="265" t="n"/>
      <c r="T181" s="265" t="n"/>
      <c r="U181" s="265" t="n"/>
      <c r="V181" s="265" t="n"/>
      <c r="W181" s="265" t="n"/>
      <c r="X181" s="265" t="n"/>
      <c r="Y181" s="265" t="n"/>
      <c r="Z181" s="265" t="n"/>
      <c r="AF181" s="561" t="n">
        <v>178</v>
      </c>
      <c r="AG181" s="568" t="n"/>
      <c r="AH181" s="566" t="n"/>
      <c r="AI181" s="471" t="n"/>
      <c r="AJ181" s="471" t="n"/>
      <c r="AK181" s="599" t="n"/>
      <c r="AL181" s="471" t="n"/>
      <c r="AM181" s="471" t="n"/>
      <c r="AN181" s="471" t="n"/>
      <c r="AO181" s="562" t="n"/>
      <c r="GZ181" s="840" t="n"/>
      <c r="HD181" s="840" t="n"/>
    </row>
    <row r="182">
      <c r="S182" s="265" t="n"/>
      <c r="T182" s="265" t="n"/>
      <c r="U182" s="265" t="n"/>
      <c r="V182" s="265" t="n"/>
      <c r="W182" s="265" t="n"/>
      <c r="X182" s="265" t="n"/>
      <c r="Y182" s="265" t="n"/>
      <c r="Z182" s="265" t="n"/>
      <c r="AF182" s="561" t="n">
        <v>179</v>
      </c>
      <c r="AG182" s="568" t="n"/>
      <c r="AH182" s="566" t="n"/>
      <c r="AI182" s="471" t="n"/>
      <c r="AJ182" s="471" t="n"/>
      <c r="AK182" s="599" t="n"/>
      <c r="AL182" s="471" t="n"/>
      <c r="AM182" s="471" t="n"/>
      <c r="AN182" s="471" t="n"/>
      <c r="AO182" s="562" t="n"/>
      <c r="GZ182" s="840" t="n"/>
      <c r="HD182" s="840" t="n"/>
    </row>
    <row r="183">
      <c r="S183" s="265" t="n"/>
      <c r="T183" s="265" t="n"/>
      <c r="U183" s="265" t="n"/>
      <c r="V183" s="265" t="n"/>
      <c r="W183" s="265" t="n"/>
      <c r="X183" s="265" t="n"/>
      <c r="Y183" s="265" t="n"/>
      <c r="Z183" s="265" t="n"/>
      <c r="AF183" s="561" t="n">
        <v>180</v>
      </c>
      <c r="AG183" s="568" t="n"/>
      <c r="AH183" s="566" t="n"/>
      <c r="AI183" s="471" t="n"/>
      <c r="AJ183" s="471" t="n"/>
      <c r="AK183" s="599" t="n"/>
      <c r="AL183" s="471" t="n"/>
      <c r="AM183" s="471" t="n"/>
      <c r="AN183" s="471" t="n"/>
      <c r="AO183" s="562" t="n"/>
      <c r="GZ183" s="840" t="n"/>
      <c r="HD183" s="840" t="n"/>
    </row>
    <row r="184">
      <c r="S184" s="265" t="n"/>
      <c r="T184" s="265" t="n"/>
      <c r="U184" s="265" t="n"/>
      <c r="V184" s="265" t="n"/>
      <c r="W184" s="265" t="n"/>
      <c r="X184" s="265" t="n"/>
      <c r="Y184" s="265" t="n"/>
      <c r="Z184" s="265" t="n"/>
      <c r="AF184" s="561" t="n">
        <v>181</v>
      </c>
      <c r="AG184" s="568" t="n"/>
      <c r="AH184" s="566" t="n"/>
      <c r="AI184" s="471" t="n"/>
      <c r="AJ184" s="471" t="n"/>
      <c r="AK184" s="599" t="n"/>
      <c r="AL184" s="471" t="n"/>
      <c r="AM184" s="471" t="n"/>
      <c r="AN184" s="471" t="n"/>
      <c r="AO184" s="562" t="n"/>
      <c r="GZ184" s="840" t="n"/>
      <c r="HD184" s="840" t="n"/>
    </row>
    <row r="185">
      <c r="S185" s="265" t="n"/>
      <c r="T185" s="265" t="n"/>
      <c r="U185" s="265" t="n"/>
      <c r="V185" s="265" t="n"/>
      <c r="W185" s="265" t="n"/>
      <c r="X185" s="265" t="n"/>
      <c r="Y185" s="265" t="n"/>
      <c r="Z185" s="265" t="n"/>
      <c r="AF185" s="561" t="n">
        <v>182</v>
      </c>
      <c r="AG185" s="568" t="n"/>
      <c r="AH185" s="566" t="n"/>
      <c r="AI185" s="471" t="n"/>
      <c r="AJ185" s="471" t="n"/>
      <c r="AK185" s="599" t="n"/>
      <c r="AL185" s="471" t="n"/>
      <c r="AM185" s="471" t="n"/>
      <c r="AN185" s="471" t="n"/>
      <c r="AO185" s="562" t="n"/>
      <c r="GZ185" s="840" t="n"/>
      <c r="HD185" s="840" t="n"/>
    </row>
    <row r="186">
      <c r="S186" s="265" t="n"/>
      <c r="T186" s="265" t="n"/>
      <c r="U186" s="265" t="n"/>
      <c r="V186" s="265" t="n"/>
      <c r="W186" s="265" t="n"/>
      <c r="X186" s="265" t="n"/>
      <c r="Y186" s="265" t="n"/>
      <c r="Z186" s="265" t="n"/>
      <c r="AF186" s="561" t="n">
        <v>183</v>
      </c>
      <c r="AG186" s="568" t="n"/>
      <c r="AH186" s="566" t="n"/>
      <c r="AI186" s="471" t="n"/>
      <c r="AJ186" s="471" t="n"/>
      <c r="AK186" s="599" t="n"/>
      <c r="AL186" s="471" t="n"/>
      <c r="AM186" s="471" t="n"/>
      <c r="AN186" s="471" t="n"/>
      <c r="AO186" s="562" t="n"/>
      <c r="GZ186" s="840" t="n"/>
      <c r="HD186" s="840" t="n"/>
    </row>
    <row r="187">
      <c r="S187" s="265" t="n"/>
      <c r="T187" s="265" t="n"/>
      <c r="U187" s="265" t="n"/>
      <c r="V187" s="265" t="n"/>
      <c r="W187" s="265" t="n"/>
      <c r="X187" s="265" t="n"/>
      <c r="Y187" s="265" t="n"/>
      <c r="Z187" s="265" t="n"/>
      <c r="AF187" s="561" t="n">
        <v>184</v>
      </c>
      <c r="AG187" s="568" t="n"/>
      <c r="AH187" s="566" t="n"/>
      <c r="AI187" s="471" t="n"/>
      <c r="AJ187" s="471" t="n"/>
      <c r="AK187" s="599" t="n"/>
      <c r="AL187" s="471" t="n"/>
      <c r="AM187" s="471" t="n"/>
      <c r="AN187" s="471" t="n"/>
      <c r="AO187" s="562" t="n"/>
      <c r="DQ187" s="840">
        <f>IF(NOT('DATA TRANSFER'!F30),1,0)</f>
        <v/>
      </c>
      <c r="GZ187" s="840" t="n"/>
      <c r="HD187" s="840" t="n"/>
    </row>
    <row r="188">
      <c r="S188" s="265" t="n"/>
      <c r="T188" s="265" t="n"/>
      <c r="U188" s="265" t="n"/>
      <c r="V188" s="265" t="n"/>
      <c r="W188" s="265" t="n"/>
      <c r="X188" s="265" t="n"/>
      <c r="Y188" s="265" t="n"/>
      <c r="Z188" s="265" t="n"/>
      <c r="AF188" s="561" t="n">
        <v>185</v>
      </c>
      <c r="AG188" s="568" t="n"/>
      <c r="AH188" s="566" t="n"/>
      <c r="AI188" s="471" t="n"/>
      <c r="AJ188" s="471" t="n"/>
      <c r="AK188" s="599" t="n"/>
      <c r="AL188" s="471" t="n"/>
      <c r="AM188" s="471" t="n"/>
      <c r="AN188" s="471" t="n"/>
      <c r="AO188" s="562" t="n"/>
      <c r="GZ188" s="840" t="n"/>
      <c r="HD188" s="840" t="n"/>
    </row>
    <row r="189">
      <c r="S189" s="265" t="n"/>
      <c r="T189" s="265" t="n"/>
      <c r="U189" s="265" t="n"/>
      <c r="V189" s="265" t="n"/>
      <c r="W189" s="265" t="n"/>
      <c r="X189" s="265" t="n"/>
      <c r="Y189" s="265" t="n"/>
      <c r="Z189" s="265" t="n"/>
      <c r="AF189" s="561" t="n">
        <v>186</v>
      </c>
      <c r="AG189" s="568" t="n"/>
      <c r="AH189" s="566" t="n"/>
      <c r="AI189" s="471" t="n"/>
      <c r="AJ189" s="471" t="n"/>
      <c r="AK189" s="599" t="n"/>
      <c r="AL189" s="471" t="n"/>
      <c r="AM189" s="471" t="n"/>
      <c r="AN189" s="471" t="n"/>
      <c r="AO189" s="562" t="n"/>
      <c r="GZ189" s="840" t="n"/>
      <c r="HD189" s="840" t="n"/>
    </row>
    <row r="190">
      <c r="S190" s="265" t="n"/>
      <c r="T190" s="265" t="n"/>
      <c r="U190" s="265" t="n"/>
      <c r="V190" s="265" t="n"/>
      <c r="W190" s="265" t="n"/>
      <c r="X190" s="265" t="n"/>
      <c r="Y190" s="265" t="n"/>
      <c r="Z190" s="265" t="n"/>
      <c r="AF190" s="561" t="n">
        <v>187</v>
      </c>
      <c r="AG190" s="568" t="n"/>
      <c r="AH190" s="566" t="n"/>
      <c r="AI190" s="471" t="n"/>
      <c r="AJ190" s="471" t="n"/>
      <c r="AK190" s="599" t="n"/>
      <c r="AL190" s="471" t="n"/>
      <c r="AM190" s="471" t="n"/>
      <c r="AN190" s="471" t="n"/>
      <c r="AO190" s="562" t="n"/>
      <c r="DP190" s="273">
        <f>'DATA TRANSFER'!DP167</f>
        <v/>
      </c>
      <c r="GZ190" s="840" t="n"/>
      <c r="HD190" s="840" t="n"/>
    </row>
    <row r="191">
      <c r="S191" s="265" t="n"/>
      <c r="T191" s="265" t="n"/>
      <c r="U191" s="265" t="n"/>
      <c r="V191" s="265" t="n"/>
      <c r="W191" s="265" t="n"/>
      <c r="X191" s="265" t="n"/>
      <c r="Y191" s="265" t="n"/>
      <c r="Z191" s="265" t="n"/>
      <c r="AF191" s="561" t="n">
        <v>188</v>
      </c>
      <c r="AG191" s="568" t="n"/>
      <c r="AH191" s="566" t="n"/>
      <c r="AI191" s="471" t="n"/>
      <c r="AJ191" s="471" t="n"/>
      <c r="AK191" s="599" t="n"/>
      <c r="AL191" s="471" t="n"/>
      <c r="AM191" s="471" t="n"/>
      <c r="AN191" s="471" t="n"/>
      <c r="AO191" s="562" t="n"/>
      <c r="GZ191" s="840" t="n"/>
      <c r="HD191" s="840" t="n"/>
    </row>
    <row r="192">
      <c r="S192" s="265" t="n"/>
      <c r="T192" s="265" t="n"/>
      <c r="U192" s="265" t="n"/>
      <c r="V192" s="265" t="n"/>
      <c r="W192" s="265" t="n"/>
      <c r="X192" s="265" t="n"/>
      <c r="Y192" s="265" t="n"/>
      <c r="Z192" s="265" t="n"/>
      <c r="AF192" s="561" t="n">
        <v>189</v>
      </c>
      <c r="AG192" s="568" t="n"/>
      <c r="AH192" s="566" t="n"/>
      <c r="AI192" s="471" t="n"/>
      <c r="AJ192" s="471" t="n"/>
      <c r="AK192" s="599" t="n"/>
      <c r="AL192" s="471" t="n"/>
      <c r="AM192" s="471" t="n"/>
      <c r="AN192" s="471" t="n"/>
      <c r="AO192" s="562" t="n"/>
      <c r="GZ192" s="840" t="n"/>
      <c r="HD192" s="840" t="n"/>
    </row>
    <row r="193">
      <c r="S193" s="265" t="n"/>
      <c r="T193" s="265" t="n"/>
      <c r="U193" s="265" t="n"/>
      <c r="V193" s="265" t="n"/>
      <c r="W193" s="265" t="n"/>
      <c r="X193" s="265" t="n"/>
      <c r="Y193" s="265" t="n"/>
      <c r="Z193" s="265" t="n"/>
      <c r="AF193" s="561" t="n">
        <v>190</v>
      </c>
      <c r="AG193" s="568" t="n"/>
      <c r="AH193" s="566" t="n"/>
      <c r="AI193" s="471" t="n"/>
      <c r="AJ193" s="471" t="n"/>
      <c r="AK193" s="599" t="n"/>
      <c r="AL193" s="471" t="n"/>
      <c r="AM193" s="471" t="n"/>
      <c r="AN193" s="471" t="n"/>
      <c r="AO193" s="562" t="n"/>
      <c r="GZ193" s="840" t="n"/>
      <c r="HD193" s="840" t="n"/>
    </row>
    <row r="194">
      <c r="S194" s="265" t="n"/>
      <c r="T194" s="265" t="n"/>
      <c r="U194" s="265" t="n"/>
      <c r="V194" s="265" t="n"/>
      <c r="W194" s="265" t="n"/>
      <c r="X194" s="265" t="n"/>
      <c r="Y194" s="265" t="n"/>
      <c r="Z194" s="265" t="n"/>
      <c r="AF194" s="561" t="n">
        <v>191</v>
      </c>
      <c r="AG194" s="568" t="n"/>
      <c r="AH194" s="566" t="n"/>
      <c r="AI194" s="471" t="n"/>
      <c r="AJ194" s="471" t="n"/>
      <c r="AK194" s="599" t="n"/>
      <c r="AL194" s="471" t="n"/>
      <c r="AM194" s="471" t="n"/>
      <c r="AN194" s="471" t="n"/>
      <c r="AO194" s="562" t="n"/>
      <c r="GZ194" s="840" t="n"/>
      <c r="HD194" s="840" t="n"/>
    </row>
    <row r="195">
      <c r="S195" s="265" t="n"/>
      <c r="T195" s="265" t="n"/>
      <c r="U195" s="265" t="n"/>
      <c r="V195" s="265" t="n"/>
      <c r="W195" s="265" t="n"/>
      <c r="X195" s="265" t="n"/>
      <c r="Y195" s="265" t="n"/>
      <c r="Z195" s="265" t="n"/>
      <c r="AF195" s="561" t="n">
        <v>192</v>
      </c>
      <c r="AG195" s="568" t="n"/>
      <c r="AH195" s="566" t="n"/>
      <c r="AI195" s="471" t="n"/>
      <c r="AJ195" s="471" t="n"/>
      <c r="AK195" s="599" t="n"/>
      <c r="AL195" s="471" t="n"/>
      <c r="AM195" s="471" t="n"/>
      <c r="AN195" s="471" t="n"/>
      <c r="AO195" s="562" t="n"/>
      <c r="GZ195" s="840" t="n"/>
      <c r="HD195" s="840" t="n"/>
    </row>
    <row r="196">
      <c r="S196" s="265" t="n"/>
      <c r="T196" s="265" t="n"/>
      <c r="U196" s="265" t="n"/>
      <c r="V196" s="265" t="n"/>
      <c r="W196" s="265" t="n"/>
      <c r="X196" s="265" t="n"/>
      <c r="Y196" s="265" t="n"/>
      <c r="Z196" s="265" t="n"/>
      <c r="AF196" s="561" t="n">
        <v>193</v>
      </c>
      <c r="AG196" s="568" t="n"/>
      <c r="AH196" s="566" t="n"/>
      <c r="AI196" s="471" t="n"/>
      <c r="AJ196" s="471" t="n"/>
      <c r="AK196" s="599" t="n"/>
      <c r="AL196" s="471" t="n"/>
      <c r="AM196" s="471" t="n"/>
      <c r="AN196" s="471" t="n"/>
      <c r="AO196" s="562" t="n"/>
      <c r="DN196" s="840">
        <f>IF(OR('DATA TRANSFER'!F30),1,0)</f>
        <v/>
      </c>
      <c r="DP196" s="273">
        <f>'DATA TRANSFER'!DP196</f>
        <v/>
      </c>
      <c r="GZ196" s="840" t="n"/>
      <c r="HD196" s="840" t="n"/>
    </row>
    <row r="197">
      <c r="S197" s="265" t="n"/>
      <c r="T197" s="265" t="n"/>
      <c r="U197" s="265" t="n"/>
      <c r="V197" s="265" t="n"/>
      <c r="W197" s="265" t="n"/>
      <c r="X197" s="265" t="n"/>
      <c r="Y197" s="265" t="n"/>
      <c r="Z197" s="265" t="n"/>
      <c r="AF197" s="561" t="n">
        <v>194</v>
      </c>
      <c r="AG197" s="568" t="n"/>
      <c r="AH197" s="566" t="n"/>
      <c r="AI197" s="471" t="n"/>
      <c r="AJ197" s="471" t="n"/>
      <c r="AK197" s="599" t="n"/>
      <c r="AL197" s="471" t="n"/>
      <c r="AM197" s="471" t="n"/>
      <c r="AN197" s="471" t="n"/>
      <c r="AO197" s="562" t="n"/>
      <c r="DM197" s="840">
        <f>'DATA TRANSFER'!DP191</f>
        <v/>
      </c>
      <c r="DP197" s="273">
        <f>'DATA TRANSFER'!F30</f>
        <v/>
      </c>
      <c r="GZ197" s="840" t="n"/>
      <c r="HD197" s="840" t="n"/>
    </row>
    <row r="198">
      <c r="P198" s="840" t="n"/>
      <c r="AF198" s="561" t="n">
        <v>195</v>
      </c>
      <c r="AG198" s="568" t="n"/>
      <c r="AH198" s="566" t="n"/>
      <c r="AI198" s="471" t="n"/>
      <c r="AJ198" s="471" t="n"/>
      <c r="AK198" s="599" t="n"/>
      <c r="AL198" s="471" t="n"/>
      <c r="AM198" s="471" t="n"/>
      <c r="AN198" s="471" t="n"/>
      <c r="AO198" s="562" t="n"/>
      <c r="GZ198" s="840" t="n"/>
      <c r="HD198" s="840" t="n"/>
    </row>
    <row r="199">
      <c r="P199" s="840" t="n"/>
      <c r="AF199" s="561" t="n">
        <v>196</v>
      </c>
      <c r="AG199" s="568" t="n"/>
      <c r="AH199" s="566" t="n"/>
      <c r="AI199" s="471" t="n"/>
      <c r="AJ199" s="471" t="n"/>
      <c r="AK199" s="599" t="n"/>
      <c r="AL199" s="471" t="n"/>
      <c r="AM199" s="471" t="n"/>
      <c r="AN199" s="471" t="n"/>
      <c r="AO199" s="562" t="n"/>
      <c r="GZ199" s="840" t="n"/>
      <c r="HD199" s="840" t="n"/>
    </row>
    <row r="200">
      <c r="P200" s="840" t="n"/>
      <c r="Q200" s="568" t="n"/>
      <c r="R200" s="566" t="n"/>
      <c r="T200" s="273" t="inlineStr">
        <is>
          <t>LA .A01-X02</t>
        </is>
      </c>
      <c r="U200" s="822" t="inlineStr">
        <is>
          <t>NODE _L1_U1</t>
        </is>
      </c>
      <c r="AF200" s="561" t="n">
        <v>197</v>
      </c>
      <c r="AG200" s="568" t="n"/>
      <c r="AH200" s="566" t="n"/>
      <c r="AI200" s="471" t="n"/>
      <c r="AJ200" s="471" t="n"/>
      <c r="AK200" s="599" t="n"/>
      <c r="AL200" s="471" t="n"/>
      <c r="AM200" s="471" t="n"/>
      <c r="AN200" s="471" t="n"/>
      <c r="AO200" s="562" t="n"/>
      <c r="GZ200" s="840" t="n"/>
      <c r="HD200" s="840" t="n"/>
    </row>
    <row r="201">
      <c r="P201" s="840" t="n"/>
      <c r="Q201" s="273" t="inlineStr">
        <is>
          <t>LA .A01-X02</t>
        </is>
      </c>
      <c r="R201" s="822" t="inlineStr">
        <is>
          <t>NODE _L1_U1</t>
        </is>
      </c>
      <c r="T201" s="566" t="n"/>
      <c r="U201" s="566" t="n"/>
      <c r="AF201" s="561" t="n">
        <v>198</v>
      </c>
      <c r="AG201" s="568" t="n"/>
      <c r="AH201" s="566" t="n"/>
      <c r="AI201" s="471" t="n"/>
      <c r="AJ201" s="471" t="n"/>
      <c r="AK201" s="599" t="n"/>
      <c r="AL201" s="471" t="n"/>
      <c r="AM201" s="471" t="n"/>
      <c r="AN201" s="471" t="n"/>
      <c r="AO201" s="562" t="n"/>
      <c r="GZ201" s="840" t="n"/>
      <c r="HD201" s="840" t="n"/>
    </row>
    <row r="202">
      <c r="P202" s="840" t="n"/>
      <c r="Q202" s="566" t="n"/>
      <c r="R202" s="566" t="n"/>
      <c r="T202" s="566" t="n"/>
      <c r="U202" s="566" t="n"/>
      <c r="AF202" s="561" t="n">
        <v>199</v>
      </c>
      <c r="AG202" s="568" t="n"/>
      <c r="AH202" s="566" t="n"/>
      <c r="AI202" s="471" t="n"/>
      <c r="AJ202" s="471" t="n"/>
      <c r="AK202" s="599" t="n"/>
      <c r="AL202" s="471" t="n"/>
      <c r="AM202" s="471" t="n"/>
      <c r="AN202" s="471" t="n"/>
      <c r="AO202" s="562" t="n"/>
      <c r="GZ202" s="840" t="n"/>
      <c r="HD202" s="840" t="n"/>
    </row>
    <row r="203">
      <c r="P203" s="840" t="n"/>
      <c r="Q203" s="566" t="n"/>
      <c r="R203" s="566" t="n"/>
      <c r="T203" s="273" t="inlineStr">
        <is>
          <t>LA .A01-X02</t>
        </is>
      </c>
      <c r="U203" s="822" t="inlineStr">
        <is>
          <t>NODE _L2_V1</t>
        </is>
      </c>
      <c r="AF203" s="561" t="n">
        <v>200</v>
      </c>
      <c r="AG203" s="568" t="n"/>
      <c r="AH203" s="566" t="n"/>
      <c r="AI203" s="471" t="n"/>
      <c r="AJ203" s="471" t="n"/>
      <c r="AK203" s="599" t="n"/>
      <c r="AL203" s="471" t="n"/>
      <c r="AM203" s="471" t="n"/>
      <c r="AN203" s="471" t="n"/>
      <c r="AO203" s="562" t="n"/>
      <c r="DM203" s="840">
        <f>'DATA TRANSFER'!DP198</f>
        <v/>
      </c>
      <c r="GZ203" s="840" t="n"/>
      <c r="HD203" s="840" t="n"/>
    </row>
    <row r="204">
      <c r="P204" s="840" t="n"/>
      <c r="Q204" s="273" t="inlineStr">
        <is>
          <t>LA .A01-X02</t>
        </is>
      </c>
      <c r="R204" s="822" t="inlineStr">
        <is>
          <t>NODE _L2_V1</t>
        </is>
      </c>
      <c r="T204" s="561" t="n"/>
      <c r="U204" s="471" t="n"/>
      <c r="AF204" s="561" t="n"/>
      <c r="AG204" s="568" t="n"/>
      <c r="AH204" s="566" t="n"/>
      <c r="AI204" s="471" t="n"/>
      <c r="AJ204" s="471" t="n"/>
      <c r="AK204" s="599" t="n"/>
      <c r="AL204" s="471" t="n"/>
      <c r="AM204" s="471" t="n"/>
      <c r="AN204" s="471" t="n"/>
      <c r="AO204" s="562" t="n"/>
      <c r="GZ204" s="840" t="n"/>
      <c r="HD204" s="840" t="n"/>
    </row>
    <row r="205">
      <c r="P205" s="840" t="n"/>
      <c r="Q205" s="561" t="n"/>
      <c r="R205" s="561" t="n"/>
      <c r="T205" s="561" t="n"/>
      <c r="U205" s="471" t="n"/>
      <c r="AF205" s="561" t="n"/>
      <c r="AG205" s="568" t="n"/>
      <c r="AH205" s="566" t="n"/>
      <c r="AI205" s="471" t="n"/>
      <c r="AJ205" s="471" t="n"/>
      <c r="AK205" s="599" t="n"/>
      <c r="AL205" s="471" t="n"/>
      <c r="AM205" s="471" t="n"/>
      <c r="AN205" s="471" t="n"/>
      <c r="AO205" s="562" t="n"/>
      <c r="GZ205" s="840" t="n"/>
      <c r="HD205" s="840" t="n"/>
    </row>
    <row r="206">
      <c r="P206" s="840" t="n"/>
      <c r="Q206" s="561" t="n"/>
      <c r="R206" s="561" t="n"/>
      <c r="T206" s="273" t="inlineStr">
        <is>
          <t>LA .A01-X02</t>
        </is>
      </c>
      <c r="U206" s="822" t="inlineStr">
        <is>
          <t>NODE _L3_W1</t>
        </is>
      </c>
      <c r="AF206" s="561" t="n"/>
      <c r="AG206" s="568" t="n"/>
      <c r="AH206" s="566" t="n"/>
      <c r="AI206" s="471" t="n"/>
      <c r="AJ206" s="471" t="n"/>
      <c r="AK206" s="599" t="n"/>
      <c r="AL206" s="471" t="n"/>
      <c r="AM206" s="471" t="n"/>
      <c r="AN206" s="471" t="n"/>
      <c r="AO206" s="562" t="n"/>
      <c r="GZ206" s="840" t="n"/>
      <c r="HD206" s="840" t="n"/>
    </row>
    <row r="207">
      <c r="P207" s="840" t="n"/>
      <c r="Q207" s="273" t="inlineStr">
        <is>
          <t>LA .A01-X02</t>
        </is>
      </c>
      <c r="R207" s="822" t="inlineStr">
        <is>
          <t>NODE _L3_W1</t>
        </is>
      </c>
      <c r="T207" s="561" t="n"/>
      <c r="U207" s="471" t="n"/>
      <c r="AF207" s="561" t="n"/>
      <c r="AG207" s="568" t="n"/>
      <c r="AH207" s="566" t="n"/>
      <c r="AI207" s="471" t="n"/>
      <c r="AJ207" s="471" t="n"/>
      <c r="AK207" s="599" t="n"/>
      <c r="AL207" s="471" t="n"/>
      <c r="AM207" s="471" t="n"/>
      <c r="AN207" s="471" t="n"/>
      <c r="AO207" s="562" t="n"/>
      <c r="DL207" s="840">
        <f>'DATA TRANSFER'!DP173</f>
        <v/>
      </c>
      <c r="GZ207" s="840" t="n"/>
      <c r="HD207" s="840" t="n"/>
    </row>
    <row r="208">
      <c r="P208" s="840" t="n"/>
      <c r="Q208" s="561" t="n"/>
      <c r="R208" s="561" t="n"/>
      <c r="T208" s="561" t="n"/>
      <c r="U208" s="471" t="n"/>
      <c r="AF208" s="561" t="n"/>
      <c r="AG208" s="568" t="n"/>
      <c r="AH208" s="566" t="n"/>
      <c r="AI208" s="471" t="n"/>
      <c r="AJ208" s="471" t="n"/>
      <c r="AK208" s="599" t="n"/>
      <c r="AL208" s="471" t="n"/>
      <c r="AM208" s="471" t="n"/>
      <c r="AN208" s="471" t="n"/>
      <c r="AO208" s="562" t="n"/>
      <c r="GZ208" s="840" t="n"/>
      <c r="HD208" s="840" t="n"/>
    </row>
    <row r="209">
      <c r="P209" s="840" t="n"/>
      <c r="Q209" s="561" t="n"/>
      <c r="R209" s="561" t="n"/>
      <c r="T209" s="273" t="inlineStr">
        <is>
          <t>LA .A01-X02</t>
        </is>
      </c>
      <c r="U209" s="566" t="inlineStr">
        <is>
          <t>PE</t>
        </is>
      </c>
      <c r="AF209" s="561" t="n"/>
      <c r="AG209" s="568" t="n"/>
      <c r="AH209" s="566" t="n"/>
      <c r="AI209" s="471" t="n"/>
      <c r="AJ209" s="471" t="n"/>
      <c r="AK209" s="599" t="n"/>
      <c r="AL209" s="471" t="n"/>
      <c r="AM209" s="471" t="n"/>
      <c r="AN209" s="471" t="n"/>
      <c r="AO209" s="562" t="n"/>
      <c r="GZ209" s="840" t="n"/>
      <c r="HD209" s="840" t="n"/>
    </row>
    <row r="210">
      <c r="P210" s="840" t="n"/>
      <c r="Q210" s="273" t="inlineStr">
        <is>
          <t>LA .A01-X02</t>
        </is>
      </c>
      <c r="R210" s="566" t="inlineStr">
        <is>
          <t>PE</t>
        </is>
      </c>
      <c r="T210" s="561" t="n"/>
      <c r="U210" s="471" t="n"/>
      <c r="AF210" s="561" t="n"/>
      <c r="AG210" s="568" t="n"/>
      <c r="AH210" s="566" t="n"/>
      <c r="AI210" s="471" t="n"/>
      <c r="AJ210" s="471" t="n"/>
      <c r="AK210" s="599" t="n"/>
      <c r="AL210" s="471" t="n"/>
      <c r="AM210" s="471" t="n"/>
      <c r="AN210" s="471" t="n"/>
      <c r="AO210" s="562" t="n"/>
      <c r="GZ210" s="840" t="n"/>
      <c r="HD210" s="840" t="n"/>
    </row>
    <row r="211">
      <c r="P211" s="840" t="n"/>
      <c r="Q211" s="561" t="n"/>
      <c r="R211" s="561" t="n"/>
      <c r="T211" s="561" t="n"/>
      <c r="U211" s="566" t="n"/>
      <c r="AF211" s="561" t="n"/>
      <c r="AG211" s="568" t="n"/>
      <c r="AH211" s="566" t="n"/>
      <c r="AI211" s="471" t="n"/>
      <c r="AJ211" s="471" t="n"/>
      <c r="AK211" s="599" t="n"/>
      <c r="AL211" s="471" t="n"/>
      <c r="AM211" s="471" t="n"/>
      <c r="AN211" s="471" t="n"/>
      <c r="AO211" s="562" t="n"/>
      <c r="GZ211" s="840" t="n"/>
      <c r="HD211" s="840" t="n"/>
    </row>
    <row r="212">
      <c r="P212" s="840" t="n"/>
      <c r="Q212" s="561" t="n"/>
      <c r="R212" s="566" t="n"/>
      <c r="T212" s="561" t="n"/>
      <c r="U212" s="471" t="n"/>
      <c r="AF212" s="561" t="n"/>
      <c r="AG212" s="568" t="n"/>
      <c r="AH212" s="566" t="n"/>
      <c r="AI212" s="471" t="n"/>
      <c r="AJ212" s="471" t="n"/>
      <c r="AK212" s="599" t="n"/>
      <c r="AL212" s="471" t="n"/>
      <c r="AM212" s="471" t="n"/>
      <c r="AN212" s="471" t="n"/>
      <c r="AO212" s="562" t="n"/>
      <c r="GZ212" s="840" t="n"/>
      <c r="HD212" s="840" t="n"/>
    </row>
    <row r="213">
      <c r="P213" s="840" t="n"/>
      <c r="Q213" s="561" t="n"/>
      <c r="R213" s="561" t="n"/>
      <c r="T213" s="561" t="n"/>
      <c r="U213" s="822" t="inlineStr">
        <is>
          <t>SAFB1 _9.5A</t>
        </is>
      </c>
      <c r="AF213" s="561" t="n"/>
      <c r="AG213" s="568" t="n"/>
      <c r="AH213" s="566" t="n"/>
      <c r="AI213" s="471" t="n"/>
      <c r="AJ213" s="471" t="n"/>
      <c r="AK213" s="599" t="n"/>
      <c r="AL213" s="471" t="n"/>
      <c r="AM213" s="471" t="n"/>
      <c r="AN213" s="471" t="n"/>
      <c r="AO213" s="562" t="n"/>
      <c r="GZ213" s="840" t="n"/>
      <c r="HD213" s="840" t="n"/>
    </row>
    <row r="214">
      <c r="P214" s="840" t="n"/>
      <c r="Q214" s="561" t="n"/>
      <c r="T214" s="561" t="n"/>
      <c r="U214" s="471" t="n"/>
      <c r="AF214" s="561" t="n"/>
      <c r="AG214" s="568" t="n"/>
      <c r="AH214" s="566" t="n"/>
      <c r="AI214" s="471" t="n"/>
      <c r="AJ214" s="471" t="n"/>
      <c r="AK214" s="599" t="n"/>
      <c r="AL214" s="471" t="n"/>
      <c r="AM214" s="471" t="n"/>
      <c r="AN214" s="471" t="n"/>
      <c r="AO214" s="562" t="n"/>
      <c r="GZ214" s="840" t="n"/>
      <c r="HD214" s="840" t="n"/>
    </row>
    <row r="215">
      <c r="P215" s="840" t="n"/>
      <c r="Q215" s="561" t="n"/>
      <c r="R215" s="561" t="n"/>
      <c r="T215" s="561" t="n"/>
      <c r="U215" s="822" t="inlineStr">
        <is>
          <t>SAFC1_12A</t>
        </is>
      </c>
      <c r="AF215" s="561" t="n"/>
      <c r="AG215" s="568" t="n"/>
      <c r="AH215" s="566" t="n"/>
      <c r="AI215" s="471" t="n"/>
      <c r="AJ215" s="471" t="n"/>
      <c r="AK215" s="599" t="n"/>
      <c r="AL215" s="471" t="n"/>
      <c r="AM215" s="471" t="n"/>
      <c r="AN215" s="471" t="n"/>
      <c r="AO215" s="562" t="n"/>
      <c r="GZ215" s="840" t="n"/>
      <c r="HD215" s="840" t="n"/>
    </row>
    <row r="216">
      <c r="P216" s="840" t="n"/>
      <c r="Q216" s="561" t="n"/>
      <c r="T216" s="801" t="inlineStr">
        <is>
          <t>U1</t>
        </is>
      </c>
      <c r="U216" s="471" t="n"/>
      <c r="AF216" s="561" t="n"/>
      <c r="AG216" s="568" t="n"/>
      <c r="AH216" s="566" t="n"/>
      <c r="AI216" s="471" t="n"/>
      <c r="AJ216" s="471" t="n"/>
      <c r="AK216" s="599" t="n"/>
      <c r="AL216" s="471" t="n"/>
      <c r="AM216" s="471" t="n"/>
      <c r="AN216" s="471" t="n"/>
      <c r="AO216" s="562" t="n"/>
      <c r="GZ216" s="840" t="n"/>
      <c r="HD216" s="840" t="n"/>
    </row>
    <row r="217">
      <c r="P217" s="840" t="n"/>
      <c r="Q217" s="801" t="inlineStr">
        <is>
          <t>U1</t>
        </is>
      </c>
      <c r="R217" s="561" t="n"/>
      <c r="T217" s="561" t="n"/>
      <c r="U217" s="471" t="n"/>
      <c r="AF217" s="561" t="n"/>
      <c r="AG217" s="568" t="n"/>
      <c r="AH217" s="566" t="n"/>
      <c r="AI217" s="471" t="n"/>
      <c r="AJ217" s="471" t="n"/>
      <c r="AK217" s="599" t="n"/>
      <c r="AL217" s="471" t="n"/>
      <c r="AM217" s="471" t="n"/>
      <c r="AN217" s="471" t="n"/>
      <c r="AO217" s="562" t="n"/>
      <c r="GZ217" s="840" t="n"/>
      <c r="HD217" s="840" t="n"/>
    </row>
    <row r="218">
      <c r="P218" s="840" t="n"/>
      <c r="Q218" s="561" t="n"/>
      <c r="R218" s="561" t="n"/>
      <c r="T218" s="561" t="n"/>
      <c r="U218" s="471" t="n"/>
      <c r="GZ218" s="840" t="n"/>
      <c r="HD218" s="840" t="n"/>
    </row>
    <row r="219">
      <c r="Q219" s="561" t="n"/>
      <c r="R219" s="561" t="n"/>
      <c r="T219" s="801" t="inlineStr">
        <is>
          <t>V1</t>
        </is>
      </c>
      <c r="U219" s="471" t="n"/>
      <c r="GZ219" s="840" t="n"/>
      <c r="HD219" s="840" t="n"/>
    </row>
    <row r="220">
      <c r="Q220" s="801" t="inlineStr">
        <is>
          <t>V1</t>
        </is>
      </c>
      <c r="R220" s="561" t="n"/>
      <c r="T220" s="561" t="n"/>
      <c r="U220" s="471" t="n"/>
      <c r="GZ220" s="840" t="n"/>
      <c r="HD220" s="840" t="n"/>
    </row>
    <row r="221">
      <c r="Q221" s="561" t="n"/>
      <c r="R221" s="561" t="n"/>
      <c r="T221" s="561" t="n"/>
      <c r="U221" s="471" t="n"/>
      <c r="GZ221" s="840" t="n"/>
      <c r="HD221" s="840" t="n"/>
    </row>
    <row r="222">
      <c r="Q222" s="561" t="n"/>
      <c r="R222" s="561" t="n"/>
      <c r="T222" s="801" t="inlineStr">
        <is>
          <t>W1</t>
        </is>
      </c>
      <c r="U222" s="471" t="n"/>
      <c r="GZ222" s="840" t="n"/>
      <c r="HD222" s="840" t="n"/>
    </row>
    <row r="223">
      <c r="Q223" s="801" t="inlineStr">
        <is>
          <t>W1</t>
        </is>
      </c>
      <c r="R223" s="561" t="n"/>
      <c r="T223" s="561" t="n"/>
      <c r="U223" s="561" t="inlineStr">
        <is>
          <t>MOTOR_3A</t>
        </is>
      </c>
      <c r="GZ223" s="840" t="n"/>
      <c r="HD223" s="840" t="n"/>
    </row>
    <row r="224">
      <c r="Q224" s="561" t="n"/>
      <c r="R224" s="561" t="inlineStr">
        <is>
          <t>MOTOR_3A</t>
        </is>
      </c>
      <c r="T224" s="561" t="inlineStr">
        <is>
          <t>EMO2</t>
        </is>
      </c>
      <c r="U224" s="561" t="inlineStr">
        <is>
          <t>EMO2</t>
        </is>
      </c>
      <c r="GZ224" s="840" t="n"/>
      <c r="HD224" s="840" t="n"/>
    </row>
    <row r="225">
      <c r="Q225" s="561" t="inlineStr">
        <is>
          <t>EMO2</t>
        </is>
      </c>
      <c r="R225" s="561" t="inlineStr">
        <is>
          <t>EMO2</t>
        </is>
      </c>
      <c r="T225" s="561" t="inlineStr">
        <is>
          <t>EMO2+</t>
        </is>
      </c>
      <c r="U225" s="561" t="inlineStr">
        <is>
          <t>EMO2+</t>
        </is>
      </c>
      <c r="GZ225" s="840" t="n"/>
      <c r="HD225" s="840" t="n"/>
    </row>
    <row r="226">
      <c r="Q226" s="561" t="inlineStr">
        <is>
          <t>EMO2+</t>
        </is>
      </c>
      <c r="R226" s="561" t="inlineStr">
        <is>
          <t>EMO2+</t>
        </is>
      </c>
      <c r="T226" s="561" t="n"/>
      <c r="U226" s="561" t="n"/>
      <c r="GZ226" s="840" t="n"/>
      <c r="HD226" s="840" t="n"/>
    </row>
    <row r="227">
      <c r="Q227" s="561" t="n"/>
      <c r="R227" s="561" t="n"/>
      <c r="T227" s="561" t="n"/>
      <c r="U227" s="471" t="n"/>
      <c r="GZ227" s="840" t="n"/>
      <c r="HD227" s="840" t="n"/>
    </row>
    <row r="228">
      <c r="Q228" s="561" t="n"/>
      <c r="R228" s="561" t="n"/>
      <c r="T228" s="801" t="inlineStr">
        <is>
          <t>LA .A01-X01</t>
        </is>
      </c>
      <c r="U228" s="566" t="n"/>
      <c r="GZ228" s="840" t="n"/>
      <c r="HD228" s="840" t="n"/>
    </row>
    <row r="229">
      <c r="Q229" s="801" t="inlineStr">
        <is>
          <t>LA .A01-X01</t>
        </is>
      </c>
      <c r="T229" s="801" t="n"/>
      <c r="U229" s="471" t="n"/>
      <c r="GZ229" s="840" t="n"/>
      <c r="HD229" s="840" t="n"/>
    </row>
    <row r="230">
      <c r="Q230" s="801" t="n"/>
      <c r="R230" s="561" t="n"/>
      <c r="T230" s="801" t="n"/>
      <c r="U230" s="561" t="n"/>
      <c r="GZ230" s="840" t="n"/>
      <c r="HD230" s="840" t="n"/>
    </row>
    <row r="231">
      <c r="Q231" s="801" t="n"/>
      <c r="R231" s="561" t="n"/>
      <c r="T231" s="801" t="inlineStr">
        <is>
          <t>LA .A01-X01</t>
        </is>
      </c>
      <c r="U231" s="471" t="n"/>
      <c r="GZ231" s="840" t="n"/>
      <c r="HD231" s="840" t="n"/>
    </row>
    <row r="232">
      <c r="Q232" s="801" t="inlineStr">
        <is>
          <t>LA .A01-X01</t>
        </is>
      </c>
      <c r="R232" s="561" t="n"/>
      <c r="T232" s="801" t="n"/>
      <c r="U232" s="566" t="n"/>
      <c r="GZ232" s="840" t="n"/>
      <c r="HD232" s="840" t="n"/>
    </row>
    <row r="233">
      <c r="Q233" s="801" t="n"/>
      <c r="R233" s="566" t="n"/>
      <c r="T233" s="801" t="n"/>
      <c r="U233" s="471" t="n"/>
      <c r="GZ233" s="840" t="n"/>
      <c r="HD233" s="840" t="n"/>
    </row>
    <row r="234">
      <c r="Q234" s="801" t="n"/>
      <c r="R234" s="561" t="n"/>
      <c r="T234" s="801" t="inlineStr">
        <is>
          <t>LA .A01-X01</t>
        </is>
      </c>
      <c r="U234" s="566" t="n"/>
      <c r="GZ234" s="840" t="n"/>
      <c r="HD234" s="840" t="n"/>
    </row>
    <row r="235">
      <c r="Q235" s="801" t="inlineStr">
        <is>
          <t>LA .A01-X01</t>
        </is>
      </c>
      <c r="R235" s="566" t="n"/>
      <c r="T235" s="801" t="n"/>
      <c r="U235" s="471" t="n"/>
      <c r="GZ235" s="840" t="n"/>
      <c r="HD235" s="840" t="n"/>
    </row>
    <row r="236">
      <c r="Q236" s="801" t="n"/>
      <c r="R236" s="561" t="n"/>
      <c r="T236" s="801" t="n"/>
      <c r="U236" s="561" t="n"/>
      <c r="GZ236" s="840" t="n"/>
      <c r="HD236" s="840" t="n"/>
    </row>
    <row r="237">
      <c r="Q237" s="801" t="n"/>
      <c r="R237" s="801" t="inlineStr">
        <is>
          <t>CMPB1 _13A</t>
        </is>
      </c>
      <c r="T237" s="801" t="inlineStr">
        <is>
          <t>LA .A01-X01</t>
        </is>
      </c>
      <c r="U237" s="471" t="n"/>
      <c r="GZ237" s="840" t="n"/>
      <c r="HD237" s="840" t="n"/>
    </row>
    <row r="238">
      <c r="Q238" s="801" t="inlineStr">
        <is>
          <t>LA .A01-X01</t>
        </is>
      </c>
      <c r="R238" s="561" t="n"/>
      <c r="T238" s="561" t="n"/>
      <c r="U238" s="561" t="n"/>
      <c r="GZ238" s="840" t="n"/>
      <c r="HD238" s="840" t="n"/>
    </row>
    <row r="239">
      <c r="Q239" s="561" t="n"/>
      <c r="T239" s="561" t="n"/>
      <c r="U239" s="471" t="n"/>
      <c r="GZ239" s="840" t="n"/>
      <c r="HD239" s="840" t="n"/>
    </row>
    <row r="240">
      <c r="Q240" s="561" t="n"/>
      <c r="R240" s="561" t="n"/>
      <c r="T240" s="561" t="n"/>
      <c r="U240" s="822" t="n"/>
      <c r="GZ240" s="840" t="n"/>
      <c r="HD240" s="840" t="n"/>
    </row>
    <row r="241" ht="31" customHeight="1">
      <c r="Q241" s="561" t="n"/>
      <c r="R241" s="577" t="inlineStr">
        <is>
          <t>COMPRESSOR 1 (3A) Pa=7.5kW P.f=0.75</t>
        </is>
      </c>
      <c r="T241" s="561" t="n"/>
      <c r="U241" s="801" t="inlineStr">
        <is>
          <t>CMPB1 _13A</t>
        </is>
      </c>
      <c r="GZ241" s="840" t="n"/>
      <c r="HD241" s="840" t="n"/>
    </row>
    <row r="242">
      <c r="Q242" s="561" t="n"/>
      <c r="R242" s="822" t="n"/>
      <c r="T242" s="561" t="n"/>
      <c r="U242" s="471" t="n"/>
      <c r="GZ242" s="840" t="n"/>
      <c r="HD242" s="840" t="n"/>
    </row>
    <row r="243">
      <c r="Q243" s="561" t="n"/>
      <c r="R243" s="822" t="n"/>
      <c r="T243" s="561" t="n"/>
      <c r="U243" s="801" t="inlineStr">
        <is>
          <t>CMPC1 16A</t>
        </is>
      </c>
      <c r="GZ243" s="840" t="n"/>
      <c r="HD243" s="840" t="n"/>
    </row>
    <row r="244">
      <c r="Q244" s="561" t="n"/>
      <c r="R244" s="801" t="inlineStr">
        <is>
          <t>CMPB2 13A</t>
        </is>
      </c>
      <c r="T244" s="561" t="n"/>
      <c r="U244" s="559" t="n"/>
      <c r="GZ244" s="840" t="n"/>
      <c r="HD244" s="840" t="n"/>
    </row>
    <row r="245">
      <c r="Q245" s="561" t="n"/>
      <c r="R245" s="561" t="n"/>
      <c r="T245" s="561" t="n"/>
      <c r="U245" s="561" t="n"/>
      <c r="GZ245" s="840" t="n"/>
      <c r="HD245" s="840" t="n"/>
    </row>
    <row r="246">
      <c r="Q246" s="561" t="n"/>
      <c r="R246" s="801" t="inlineStr">
        <is>
          <t>CMPC2 16A</t>
        </is>
      </c>
      <c r="T246" s="561" t="n"/>
      <c r="U246" s="471" t="n"/>
      <c r="GZ246" s="840" t="n"/>
      <c r="HD246" s="840" t="n"/>
    </row>
    <row r="247">
      <c r="Q247" s="561" t="n"/>
      <c r="R247" s="561" t="n"/>
      <c r="T247" s="561" t="n"/>
      <c r="U247" s="566" t="n"/>
      <c r="GZ247" s="840" t="n"/>
      <c r="HD247" s="840" t="n"/>
    </row>
    <row r="248" ht="31" customHeight="1">
      <c r="Q248" s="561" t="n"/>
      <c r="R248" s="577" t="inlineStr">
        <is>
          <t>COMPRESSOR 2 (3A) Pa=7.5kW P.f=0.75</t>
        </is>
      </c>
      <c r="T248" s="561" t="n"/>
      <c r="U248" s="471" t="n"/>
      <c r="GZ248" s="840" t="n"/>
      <c r="HD248" s="840" t="n"/>
    </row>
    <row r="249">
      <c r="Q249" s="561" t="n"/>
      <c r="R249" s="566" t="n"/>
      <c r="T249" s="561" t="n"/>
      <c r="U249" s="471" t="n"/>
      <c r="GZ249" s="840" t="n"/>
      <c r="HD249" s="840" t="n"/>
    </row>
    <row r="250">
      <c r="Q250" s="561" t="n"/>
      <c r="R250" s="566" t="n"/>
      <c r="T250" s="561" t="n"/>
      <c r="U250" s="561" t="n"/>
      <c r="GZ250" s="840" t="n"/>
      <c r="HD250" s="840" t="n"/>
    </row>
    <row r="251" ht="46.5" customHeight="1">
      <c r="Q251" s="561" t="n"/>
      <c r="T251" s="561" t="n"/>
      <c r="U251" s="601" t="inlineStr">
        <is>
          <t>COMPRESSOR 1 (3A) Pa=7.5kW P.f=0.75</t>
        </is>
      </c>
      <c r="GZ251" s="840" t="n"/>
      <c r="HD251" s="840" t="n"/>
    </row>
    <row r="252">
      <c r="Q252" s="561" t="n"/>
      <c r="T252" s="561" t="n"/>
      <c r="U252" s="561" t="n"/>
      <c r="GZ252" s="840" t="n"/>
      <c r="HD252" s="840" t="n"/>
    </row>
    <row r="253">
      <c r="Q253" s="561" t="n"/>
      <c r="T253" s="561" t="n"/>
      <c r="U253" s="471" t="n"/>
      <c r="GZ253" s="840" t="n"/>
      <c r="HD253" s="840" t="n"/>
    </row>
    <row r="254">
      <c r="Q254" s="561" t="n"/>
      <c r="R254" s="566" t="n"/>
      <c r="T254" s="561" t="n"/>
      <c r="U254" s="801" t="inlineStr">
        <is>
          <t>CMPB2 13A</t>
        </is>
      </c>
      <c r="GZ254" s="840" t="n"/>
      <c r="HD254" s="840" t="n"/>
    </row>
    <row r="255" ht="31" customHeight="1">
      <c r="Q255" s="561" t="n"/>
      <c r="R255" s="577" t="inlineStr">
        <is>
          <t>COMPRESSOR 3 (3A) Pa=7.5kW P.f=0.75</t>
        </is>
      </c>
      <c r="T255" s="561" t="n"/>
      <c r="U255" s="471" t="n"/>
      <c r="GZ255" s="840" t="n"/>
      <c r="HD255" s="840" t="n"/>
    </row>
    <row r="256">
      <c r="Q256" s="561" t="n"/>
      <c r="R256" s="561" t="n"/>
      <c r="T256" s="561" t="n"/>
      <c r="U256" s="801" t="inlineStr">
        <is>
          <t>CMPC2 16A</t>
        </is>
      </c>
      <c r="GZ256" s="840" t="n"/>
      <c r="HD256" s="840" t="n"/>
    </row>
    <row r="257">
      <c r="Q257" s="561" t="n"/>
      <c r="R257" s="561" t="n"/>
      <c r="T257" s="561" t="n"/>
      <c r="U257" s="561" t="n"/>
      <c r="GZ257" s="840" t="n"/>
      <c r="HD257" s="840" t="n"/>
    </row>
    <row r="258">
      <c r="Q258" s="561" t="n"/>
      <c r="R258" s="265" t="inlineStr">
        <is>
          <t>CMPB4 20A</t>
        </is>
      </c>
      <c r="T258" s="561" t="n"/>
      <c r="U258" s="559" t="n"/>
      <c r="GZ258" s="840" t="n"/>
      <c r="HD258" s="840" t="n"/>
    </row>
    <row r="259">
      <c r="Q259" s="561" t="n"/>
      <c r="R259" s="561" t="n"/>
      <c r="T259" s="561" t="n"/>
      <c r="U259" s="561" t="n"/>
      <c r="GZ259" s="840" t="n"/>
      <c r="HD259" s="840" t="n"/>
    </row>
    <row r="260">
      <c r="Q260" s="561" t="n"/>
      <c r="R260" s="265" t="inlineStr">
        <is>
          <t>CMPC4 26A</t>
        </is>
      </c>
      <c r="T260" s="561" t="n"/>
      <c r="U260" s="471" t="n"/>
      <c r="GZ260" s="840" t="n"/>
      <c r="HD260" s="840" t="n"/>
    </row>
    <row r="261">
      <c r="Q261" s="561" t="n"/>
      <c r="R261" s="561" t="n"/>
      <c r="T261" s="561" t="n"/>
      <c r="U261" s="561" t="n"/>
      <c r="GZ261" s="840" t="n"/>
      <c r="HD261" s="840" t="n"/>
    </row>
    <row r="262">
      <c r="Q262" s="561" t="n"/>
      <c r="T262" s="561" t="n"/>
      <c r="U262" s="471" t="n"/>
      <c r="GZ262" s="840" t="n"/>
      <c r="HD262" s="840" t="n"/>
    </row>
    <row r="263">
      <c r="Q263" s="561" t="n"/>
      <c r="R263" s="561" t="n"/>
      <c r="T263" s="561" t="n"/>
      <c r="U263" s="566" t="n"/>
      <c r="GZ263" s="840" t="n"/>
      <c r="HD263" s="840" t="n"/>
    </row>
    <row r="264" ht="46.5" customHeight="1">
      <c r="Q264" s="561" t="n"/>
      <c r="R264" s="577" t="inlineStr">
        <is>
          <t>COMPRESSOR 4 (3A) Pa=7.5kW P.f=0.75</t>
        </is>
      </c>
      <c r="T264" s="561" t="n"/>
      <c r="U264" s="601" t="inlineStr">
        <is>
          <t>COMPRESSOR 2 (3A) Pa=7.5kW P.f=0.75</t>
        </is>
      </c>
      <c r="GZ264" s="840" t="n"/>
      <c r="HD264" s="840" t="n"/>
    </row>
    <row r="265">
      <c r="Q265" s="561" t="n"/>
      <c r="R265" s="561" t="n"/>
      <c r="T265" s="561" t="n"/>
      <c r="U265" s="561" t="n"/>
      <c r="GZ265" s="840" t="n"/>
      <c r="HD265" s="840" t="n"/>
    </row>
    <row r="266">
      <c r="Q266" s="561" t="n"/>
      <c r="R266" s="561" t="n"/>
      <c r="T266" s="561" t="n"/>
      <c r="U266" s="561" t="n"/>
      <c r="GZ266" s="840" t="n"/>
      <c r="HD266" s="840" t="n"/>
    </row>
    <row r="267">
      <c r="R267" s="265" t="inlineStr">
        <is>
          <t>CMPB3 13A</t>
        </is>
      </c>
      <c r="T267" s="561" t="n"/>
      <c r="U267" s="840" t="inlineStr">
        <is>
          <t>CMPB3 13A</t>
        </is>
      </c>
      <c r="GZ267" s="840" t="n"/>
      <c r="HD267" s="840" t="n"/>
    </row>
    <row r="268">
      <c r="R268" s="561" t="n"/>
      <c r="T268" s="561" t="n"/>
      <c r="U268" s="561" t="n"/>
      <c r="GZ268" s="840" t="n"/>
      <c r="HD268" s="840" t="n"/>
    </row>
    <row r="269">
      <c r="R269" s="265" t="inlineStr">
        <is>
          <t>CMPC4 16A</t>
        </is>
      </c>
      <c r="T269" s="561" t="n"/>
      <c r="U269" s="840" t="inlineStr">
        <is>
          <t>CMPC4 16A</t>
        </is>
      </c>
      <c r="GZ269" s="840" t="n"/>
      <c r="HD269" s="840" t="n"/>
    </row>
    <row r="270">
      <c r="Q270" s="561" t="n"/>
      <c r="R270" s="561" t="n"/>
      <c r="T270" s="561" t="n"/>
      <c r="U270" s="566" t="n"/>
      <c r="GZ270" s="840" t="n"/>
      <c r="HD270" s="840" t="n"/>
    </row>
    <row r="271">
      <c r="Q271" s="561" t="n"/>
      <c r="T271" s="561" t="n"/>
      <c r="U271" s="561" t="n"/>
      <c r="GZ271" s="840" t="n"/>
      <c r="HD271" s="840" t="n"/>
    </row>
    <row r="272">
      <c r="Q272" s="561" t="n"/>
      <c r="R272" s="561" t="n"/>
      <c r="T272" s="561" t="n"/>
      <c r="U272" s="471" t="n"/>
    </row>
    <row r="273">
      <c r="Q273" s="561" t="n"/>
      <c r="R273" s="561" t="n"/>
      <c r="T273" s="561" t="n"/>
      <c r="U273" s="561" t="n"/>
    </row>
    <row r="274">
      <c r="Q274" s="561" t="n"/>
      <c r="R274" s="566" t="n"/>
      <c r="T274" s="561" t="n"/>
      <c r="U274" s="471" t="n"/>
    </row>
    <row r="275">
      <c r="Q275" s="561" t="n"/>
      <c r="R275" s="561" t="n"/>
      <c r="T275" s="561" t="n"/>
      <c r="U275" s="561" t="n"/>
    </row>
    <row r="276">
      <c r="Q276" s="561" t="n"/>
      <c r="R276" s="561" t="n"/>
      <c r="T276" s="561" t="n"/>
      <c r="U276" s="561" t="n"/>
    </row>
    <row r="277" ht="46.5" customHeight="1">
      <c r="Q277" s="561" t="n"/>
      <c r="T277" s="561" t="n"/>
      <c r="U277" s="601" t="inlineStr">
        <is>
          <t>COMPRESSOR 3 (3A) Pa=7.5kW P.f=0.75</t>
        </is>
      </c>
    </row>
    <row r="278">
      <c r="Q278" s="561" t="n"/>
      <c r="T278" s="561" t="n"/>
      <c r="U278" s="561" t="n"/>
    </row>
    <row r="279">
      <c r="Q279" s="561" t="n"/>
      <c r="T279" s="561" t="n"/>
      <c r="U279" s="561" t="n"/>
    </row>
    <row r="280">
      <c r="Q280" s="567" t="n"/>
      <c r="R280" s="567" t="n"/>
      <c r="T280" s="561" t="n"/>
      <c r="U280" s="840" t="inlineStr">
        <is>
          <t>CMPB4 20A</t>
        </is>
      </c>
    </row>
    <row r="281">
      <c r="Q281" s="567" t="n"/>
      <c r="R281" s="567" t="n"/>
      <c r="T281" s="561" t="n"/>
      <c r="U281" s="561" t="n"/>
    </row>
    <row r="282">
      <c r="Q282" s="567" t="n"/>
      <c r="R282" s="567" t="n"/>
      <c r="T282" s="561" t="n"/>
      <c r="U282" s="840" t="inlineStr">
        <is>
          <t>CMPC4 26A</t>
        </is>
      </c>
    </row>
    <row r="283">
      <c r="Q283" s="567" t="n"/>
      <c r="R283" s="567" t="n"/>
      <c r="T283" s="561" t="n"/>
      <c r="U283" s="561" t="n"/>
    </row>
    <row r="284">
      <c r="Q284" s="567" t="n"/>
      <c r="R284" s="567" t="n"/>
      <c r="T284" s="561" t="n"/>
      <c r="U284" s="840" t="inlineStr">
        <is>
          <t>EMR DRIVE</t>
        </is>
      </c>
    </row>
    <row r="285">
      <c r="Q285" s="567" t="n"/>
      <c r="R285" s="602" t="n"/>
      <c r="T285" s="561" t="n"/>
      <c r="U285" s="561" t="n"/>
    </row>
    <row r="286">
      <c r="Q286" s="567" t="n"/>
      <c r="R286" s="602" t="n"/>
      <c r="T286" s="561" t="n"/>
      <c r="U286" s="471" t="n"/>
    </row>
    <row r="287">
      <c r="Q287" s="567" t="n"/>
      <c r="R287" s="602" t="n"/>
      <c r="T287" s="561" t="n"/>
      <c r="U287" s="561" t="n"/>
    </row>
    <row r="288">
      <c r="Q288" s="567" t="n"/>
      <c r="R288" s="567" t="n"/>
      <c r="T288" s="561" t="n"/>
      <c r="U288" s="471" t="n"/>
    </row>
    <row r="289">
      <c r="Q289" s="561" t="n"/>
      <c r="R289" s="561" t="n"/>
      <c r="T289" s="561" t="n"/>
      <c r="U289" s="561" t="n"/>
    </row>
    <row r="290">
      <c r="Q290" s="561" t="n"/>
      <c r="R290" s="561" t="n"/>
      <c r="T290" s="561" t="n"/>
      <c r="U290" s="471" t="n"/>
    </row>
    <row r="291">
      <c r="Q291" s="561" t="n"/>
      <c r="R291" s="561" t="n"/>
      <c r="T291" s="561" t="n"/>
      <c r="U291" s="566" t="n"/>
    </row>
    <row r="292" ht="31" customHeight="1">
      <c r="Q292" s="561" t="n"/>
      <c r="R292" s="593" t="inlineStr">
        <is>
          <t>SUPPLY AIR FAN 2 Pa=1.25kW P.f=0.75</t>
        </is>
      </c>
      <c r="T292" s="561" t="n"/>
      <c r="U292" s="471" t="n"/>
    </row>
    <row r="293">
      <c r="Q293" s="561" t="n"/>
      <c r="R293" s="561" t="n"/>
      <c r="T293" s="561" t="n"/>
      <c r="U293" s="471" t="n"/>
    </row>
    <row r="294" ht="46.5" customHeight="1">
      <c r="Q294" s="561" t="n"/>
      <c r="R294" s="561" t="n"/>
      <c r="T294" s="561" t="n"/>
      <c r="U294" s="601" t="inlineStr">
        <is>
          <t>COMPRESSOR 4 (3A) Pa=7.5kW P.f=0.75</t>
        </is>
      </c>
    </row>
    <row r="295">
      <c r="Q295" s="561" t="n"/>
      <c r="R295" s="561" t="n"/>
      <c r="T295" s="561" t="n"/>
      <c r="U295" s="561" t="n"/>
    </row>
    <row r="296">
      <c r="Q296" s="561" t="n"/>
      <c r="T296" s="561" t="n"/>
      <c r="U296" s="471" t="n"/>
    </row>
    <row r="297">
      <c r="Q297" s="561" t="n"/>
      <c r="R297" s="561" t="n"/>
      <c r="T297" s="561" t="n"/>
      <c r="U297" s="840" t="inlineStr">
        <is>
          <t>CDFB 4,63A</t>
        </is>
      </c>
    </row>
    <row r="298">
      <c r="Q298" s="840" t="inlineStr">
        <is>
          <t>HTRC1 9A</t>
        </is>
      </c>
      <c r="T298" s="561" t="n"/>
      <c r="U298" s="471" t="n"/>
    </row>
    <row r="299">
      <c r="Q299" s="566" t="n"/>
      <c r="T299" s="561" t="n"/>
      <c r="U299" s="840" t="inlineStr">
        <is>
          <t>CDFC 9A</t>
        </is>
      </c>
    </row>
    <row r="300">
      <c r="Q300" s="601" t="inlineStr">
        <is>
          <t>HEATER 1 4.5kW</t>
        </is>
      </c>
      <c r="T300" s="561" t="n"/>
      <c r="U300" s="471" t="n"/>
    </row>
    <row r="301">
      <c r="Q301" s="561" t="n"/>
      <c r="R301" s="561" t="n"/>
      <c r="T301" s="561" t="n"/>
      <c r="U301" s="471" t="n"/>
    </row>
    <row r="302">
      <c r="Q302" s="561" t="n"/>
      <c r="R302" s="561" t="n"/>
      <c r="T302" s="561" t="n"/>
      <c r="U302" s="471" t="n"/>
    </row>
    <row r="303">
      <c r="Q303" s="603" t="n"/>
      <c r="R303" s="603" t="n"/>
      <c r="T303" s="561" t="n"/>
      <c r="U303" s="471" t="n"/>
    </row>
    <row r="304">
      <c r="Q304" s="561" t="inlineStr">
        <is>
          <t>L2</t>
        </is>
      </c>
      <c r="R304" s="561" t="n"/>
      <c r="T304" s="566" t="n"/>
      <c r="U304" s="566" t="n"/>
    </row>
    <row r="305">
      <c r="Q305" s="566" t="n"/>
      <c r="R305" s="561" t="n"/>
      <c r="T305" s="561" t="n"/>
      <c r="U305" s="471" t="n"/>
    </row>
    <row r="306">
      <c r="Q306" s="561" t="n"/>
      <c r="R306" s="561" t="n"/>
      <c r="T306" s="561" t="n"/>
      <c r="U306" s="471" t="n"/>
    </row>
    <row r="307" ht="46.5" customHeight="1">
      <c r="Q307" s="561" t="n"/>
      <c r="R307" s="561" t="n"/>
      <c r="T307" s="561" t="n"/>
      <c r="U307" s="593" t="inlineStr">
        <is>
          <t>CONDESER MOTOR 1 (3A) Pa=2.5kW P.f=0.75</t>
        </is>
      </c>
    </row>
    <row r="308">
      <c r="Q308" s="561" t="n"/>
      <c r="R308" s="561" t="n"/>
      <c r="T308" s="561" t="n"/>
      <c r="U308" s="471" t="n"/>
    </row>
    <row r="309">
      <c r="Q309" s="561" t="n"/>
      <c r="R309" s="561" t="n"/>
      <c r="T309" s="561" t="n"/>
      <c r="U309" s="471" t="n"/>
    </row>
    <row r="310">
      <c r="Q310" s="561" t="n"/>
      <c r="R310" s="561" t="n"/>
      <c r="T310" s="561" t="n"/>
      <c r="U310" s="471" t="n"/>
    </row>
    <row r="311">
      <c r="Q311" s="561" t="n"/>
      <c r="R311" s="561" t="n"/>
      <c r="T311" s="561" t="n"/>
      <c r="U311" s="471" t="n"/>
    </row>
    <row r="312" ht="46.5" customHeight="1">
      <c r="Q312" s="561" t="n"/>
      <c r="R312" s="561" t="n"/>
      <c r="T312" s="561" t="n"/>
      <c r="U312" s="593" t="inlineStr">
        <is>
          <t>CONDESER MOTOR 2 (3A) Pa=2.5kW P.f=0.75</t>
        </is>
      </c>
    </row>
    <row r="313">
      <c r="Q313" s="561" t="n"/>
      <c r="R313" s="561" t="n"/>
      <c r="T313" s="561" t="n"/>
      <c r="U313" s="471" t="n"/>
    </row>
    <row r="314">
      <c r="Q314" s="561" t="n"/>
      <c r="R314" s="561" t="n"/>
      <c r="T314" s="561" t="n"/>
      <c r="U314" s="471" t="n"/>
    </row>
    <row r="315">
      <c r="Q315" s="561" t="n"/>
      <c r="R315" s="561" t="n"/>
      <c r="T315" s="561" t="n"/>
      <c r="U315" s="840" t="inlineStr">
        <is>
          <t>SAFB1 9.5A</t>
        </is>
      </c>
    </row>
    <row r="316">
      <c r="Q316" s="561" t="n"/>
      <c r="R316" s="561" t="n"/>
      <c r="T316" s="561" t="n"/>
      <c r="U316" s="471" t="n"/>
    </row>
    <row r="317">
      <c r="Q317" s="561" t="n"/>
      <c r="R317" s="561" t="n"/>
      <c r="T317" s="561" t="n"/>
      <c r="U317" s="840" t="inlineStr">
        <is>
          <t>SAFC1 12A</t>
        </is>
      </c>
    </row>
    <row r="318">
      <c r="Q318" s="561" t="n"/>
      <c r="R318" s="561" t="n"/>
      <c r="T318" s="561" t="n"/>
      <c r="U318" s="471" t="n"/>
    </row>
    <row r="319">
      <c r="Q319" s="561" t="n"/>
      <c r="R319" s="561" t="n"/>
      <c r="T319" s="561" t="n"/>
      <c r="U319" s="471" t="n"/>
    </row>
    <row r="320">
      <c r="Q320" s="561" t="n"/>
      <c r="T320" s="561" t="n"/>
      <c r="U320" s="471" t="n"/>
    </row>
    <row r="321">
      <c r="Q321" s="561" t="n"/>
      <c r="R321" s="561" t="n"/>
      <c r="T321" s="561" t="n"/>
      <c r="U321" s="471" t="n"/>
    </row>
    <row r="322">
      <c r="Q322" s="561" t="n"/>
      <c r="R322" s="561" t="n"/>
      <c r="T322" s="561" t="n"/>
      <c r="U322" s="471" t="n"/>
    </row>
    <row r="323">
      <c r="Q323" s="561" t="n"/>
      <c r="R323" s="561" t="n"/>
      <c r="T323" s="561" t="n"/>
      <c r="U323" s="471" t="n"/>
    </row>
    <row r="324">
      <c r="Q324" s="561" t="n"/>
      <c r="R324" s="561" t="n"/>
      <c r="T324" s="561" t="n"/>
      <c r="U324" s="471" t="n"/>
    </row>
    <row r="325">
      <c r="Q325" s="561" t="n"/>
      <c r="R325" s="561" t="n"/>
      <c r="T325" s="561" t="n"/>
      <c r="U325" s="471" t="n"/>
    </row>
    <row r="326">
      <c r="Q326" s="561" t="n"/>
      <c r="R326" s="561" t="n"/>
      <c r="T326" s="561" t="n"/>
      <c r="U326" s="471" t="n"/>
    </row>
    <row r="327">
      <c r="Q327" s="561" t="n"/>
      <c r="R327" s="561" t="n"/>
      <c r="T327" s="561" t="n"/>
      <c r="U327" s="471" t="n"/>
    </row>
    <row r="328">
      <c r="Q328" s="561" t="n"/>
      <c r="R328" s="561" t="n"/>
      <c r="T328" s="561" t="n"/>
      <c r="U328" s="561" t="n"/>
    </row>
    <row r="329">
      <c r="Q329" s="561" t="n"/>
      <c r="R329" s="561" t="n"/>
      <c r="T329" s="561" t="n"/>
      <c r="U329" s="471" t="n"/>
    </row>
    <row r="330">
      <c r="Q330" s="561" t="n"/>
      <c r="R330" s="561" t="n"/>
      <c r="T330" s="561" t="n"/>
      <c r="U330" s="840" t="inlineStr">
        <is>
          <t>HTRB 13.2A</t>
        </is>
      </c>
    </row>
    <row r="331">
      <c r="Q331" s="561" t="n"/>
      <c r="R331" s="561" t="n"/>
      <c r="T331" s="561" t="n"/>
      <c r="U331" s="471" t="n"/>
    </row>
    <row r="332">
      <c r="Q332" s="561" t="n"/>
      <c r="R332" s="566" t="n"/>
      <c r="T332" s="561" t="n"/>
      <c r="U332" s="840" t="inlineStr">
        <is>
          <t>HTRC1 9A</t>
        </is>
      </c>
    </row>
    <row r="333">
      <c r="Q333" s="561" t="n"/>
      <c r="R333" s="577" t="inlineStr">
        <is>
          <t>HEATER 2 4.5kW</t>
        </is>
      </c>
      <c r="T333" s="566" t="n"/>
      <c r="U333" s="566" t="n"/>
    </row>
    <row r="334">
      <c r="Q334" s="566" t="n"/>
      <c r="R334" s="561" t="n"/>
      <c r="T334" s="561" t="n"/>
      <c r="U334" s="840" t="inlineStr">
        <is>
          <t>HEATER 1 4.5kW</t>
        </is>
      </c>
    </row>
    <row r="335">
      <c r="Q335" s="561" t="n"/>
      <c r="R335" s="561" t="n"/>
      <c r="T335" s="561" t="n"/>
      <c r="U335" s="471" t="n"/>
    </row>
    <row r="336">
      <c r="Q336" s="561" t="n"/>
      <c r="R336" s="561" t="n"/>
      <c r="T336" s="561" t="n"/>
      <c r="U336" s="471" t="n"/>
    </row>
    <row r="337">
      <c r="Q337" s="561" t="n"/>
      <c r="R337" s="561" t="n"/>
      <c r="T337" s="561" t="n"/>
      <c r="U337" s="471" t="n"/>
    </row>
    <row r="338">
      <c r="Q338" s="561" t="n"/>
      <c r="R338" s="561" t="n"/>
      <c r="T338" s="561" t="n"/>
      <c r="U338" s="471" t="n"/>
    </row>
    <row r="339">
      <c r="Q339" s="561" t="n"/>
      <c r="R339" s="561" t="n"/>
      <c r="T339" s="561" t="n"/>
      <c r="U339" s="471" t="n"/>
    </row>
    <row r="340">
      <c r="Q340" s="561" t="n"/>
      <c r="R340" s="561" t="n"/>
      <c r="T340" s="561" t="n"/>
      <c r="U340" s="471" t="n"/>
    </row>
    <row r="341">
      <c r="Q341" s="561" t="n"/>
      <c r="R341" s="561" t="n"/>
      <c r="T341" s="561" t="n"/>
      <c r="U341" s="471" t="n"/>
    </row>
    <row r="342">
      <c r="Q342" s="561" t="n"/>
      <c r="R342" s="561" t="n"/>
      <c r="T342" s="561" t="n"/>
      <c r="U342" s="471" t="n"/>
    </row>
    <row r="343">
      <c r="Q343" s="561" t="n"/>
      <c r="R343" s="561" t="n"/>
      <c r="T343" s="561" t="n"/>
      <c r="U343" s="471" t="n"/>
    </row>
    <row r="344">
      <c r="Q344" s="561" t="n"/>
      <c r="R344" s="561" t="n"/>
      <c r="T344" s="561" t="n"/>
      <c r="U344" s="471" t="n"/>
    </row>
    <row r="345">
      <c r="Q345" s="561" t="n"/>
      <c r="R345" s="561" t="n"/>
      <c r="T345" s="561" t="n"/>
      <c r="U345" s="471" t="n"/>
    </row>
    <row r="346">
      <c r="Q346" s="561" t="n"/>
      <c r="R346" s="561" t="n"/>
      <c r="T346" s="561" t="n"/>
      <c r="U346" s="471" t="n"/>
    </row>
    <row r="347">
      <c r="Q347" s="561" t="n"/>
      <c r="R347" s="561" t="n"/>
      <c r="T347" s="561" t="n"/>
      <c r="U347" s="471" t="n"/>
    </row>
    <row r="348">
      <c r="Q348" s="561" t="n"/>
      <c r="R348" s="561" t="n"/>
      <c r="T348" s="561" t="n"/>
      <c r="U348" s="471" t="n"/>
    </row>
    <row r="349">
      <c r="Q349" s="561" t="n"/>
      <c r="R349" s="561" t="n"/>
      <c r="T349" s="561" t="n"/>
      <c r="U349" s="471" t="n"/>
    </row>
    <row r="350">
      <c r="Q350" s="561" t="n"/>
      <c r="R350" s="561" t="n"/>
      <c r="T350" s="561" t="n"/>
      <c r="U350" s="840" t="inlineStr">
        <is>
          <t>HTRC2 9A</t>
        </is>
      </c>
    </row>
    <row r="351">
      <c r="Q351" s="561" t="n"/>
      <c r="T351" s="561" t="n"/>
      <c r="U351" s="471" t="n"/>
    </row>
    <row r="352">
      <c r="Q352" s="561" t="n"/>
      <c r="R352" s="561" t="n"/>
      <c r="T352" s="561" t="n"/>
      <c r="U352" s="471" t="n"/>
    </row>
    <row r="353">
      <c r="Q353" s="561" t="n"/>
      <c r="R353" s="561" t="n"/>
      <c r="T353" s="561" t="n"/>
      <c r="U353" s="471" t="n"/>
    </row>
    <row r="354">
      <c r="Q354" s="561" t="n"/>
      <c r="R354" s="561" t="n"/>
      <c r="T354" s="561" t="n"/>
      <c r="U354" s="471" t="n"/>
    </row>
    <row r="355">
      <c r="Q355" s="561" t="n"/>
      <c r="R355" s="561" t="n"/>
      <c r="T355" s="561" t="n"/>
      <c r="U355" s="471" t="n"/>
    </row>
    <row r="356">
      <c r="Q356" s="561" t="n"/>
      <c r="R356" s="561" t="n"/>
      <c r="T356" s="561" t="n"/>
      <c r="U356" s="471" t="n"/>
    </row>
    <row r="357">
      <c r="Q357" s="561" t="n"/>
      <c r="R357" s="561" t="n"/>
      <c r="T357" s="561" t="n"/>
      <c r="U357" s="561" t="n"/>
    </row>
    <row r="358">
      <c r="Q358" s="561" t="n"/>
      <c r="R358" s="561" t="n"/>
      <c r="T358" s="561" t="n"/>
      <c r="U358" s="471" t="n"/>
    </row>
    <row r="359">
      <c r="Q359" s="561" t="n"/>
      <c r="R359" s="561" t="n"/>
      <c r="T359" s="561" t="n"/>
      <c r="U359" s="561" t="n"/>
    </row>
    <row r="360">
      <c r="Q360" s="561" t="n"/>
      <c r="R360" s="561" t="n"/>
      <c r="T360" s="561" t="n"/>
      <c r="U360" s="471" t="n"/>
    </row>
    <row r="361">
      <c r="Q361" s="561" t="n"/>
      <c r="R361" s="561" t="n"/>
      <c r="T361" s="561" t="n"/>
      <c r="U361" s="471" t="n"/>
    </row>
    <row r="362">
      <c r="Q362" s="561" t="n"/>
      <c r="R362" s="561" t="n"/>
      <c r="T362" s="561" t="n"/>
      <c r="U362" s="566" t="n"/>
    </row>
    <row r="363">
      <c r="Q363" s="561" t="n"/>
      <c r="R363" s="561" t="n"/>
      <c r="T363" s="561" t="n"/>
      <c r="U363" s="840" t="inlineStr">
        <is>
          <t>HEATER 2 4.5kW</t>
        </is>
      </c>
    </row>
    <row r="364">
      <c r="Q364" s="561" t="n"/>
      <c r="R364" s="561" t="n"/>
      <c r="T364" s="561" t="n"/>
      <c r="U364" s="471" t="n"/>
    </row>
    <row r="365">
      <c r="Q365" s="567" t="n"/>
      <c r="R365" s="567" t="n"/>
      <c r="T365" s="561" t="n"/>
      <c r="U365" s="471" t="n"/>
    </row>
    <row r="366">
      <c r="Q366" s="567" t="n"/>
      <c r="R366" s="567" t="n"/>
      <c r="T366" s="561" t="n"/>
      <c r="U366" s="471" t="n"/>
    </row>
    <row r="367" ht="46.5" customHeight="1">
      <c r="Q367" s="567" t="n"/>
      <c r="R367" s="567" t="n"/>
      <c r="T367" s="561" t="n"/>
      <c r="U367" s="593" t="inlineStr">
        <is>
          <t>SUPPLY AIR FAN 1 Pa=1.25kW P.f=0.75</t>
        </is>
      </c>
    </row>
    <row r="368">
      <c r="Q368" s="567" t="n"/>
      <c r="R368" s="567" t="n"/>
      <c r="T368" s="561" t="n"/>
      <c r="U368" s="471" t="n"/>
    </row>
    <row r="369">
      <c r="Q369" s="567" t="n"/>
      <c r="R369" s="567" t="n"/>
      <c r="T369" s="471" t="n"/>
      <c r="U369" s="471" t="n"/>
    </row>
    <row r="370">
      <c r="Q370" s="567" t="n"/>
      <c r="R370" s="567" t="n"/>
      <c r="T370" s="471" t="n"/>
      <c r="U370" s="471" t="n"/>
    </row>
    <row r="371">
      <c r="Q371" s="567" t="n"/>
      <c r="R371" s="567" t="n"/>
      <c r="T371" s="471" t="n"/>
      <c r="U371" s="471" t="n"/>
    </row>
    <row r="372">
      <c r="Q372" s="567" t="n"/>
      <c r="R372" s="567" t="n"/>
      <c r="T372" s="471" t="n"/>
      <c r="U372" s="471" t="n"/>
    </row>
    <row r="373">
      <c r="Q373" s="561" t="n"/>
      <c r="R373" s="561" t="n"/>
      <c r="T373" s="471" t="n"/>
      <c r="U373" s="471" t="n"/>
    </row>
    <row r="374">
      <c r="Q374" s="561" t="n"/>
      <c r="R374" s="561" t="n"/>
      <c r="T374" s="471" t="n"/>
      <c r="U374" s="471" t="n"/>
    </row>
    <row r="375">
      <c r="Q375" s="567" t="n"/>
      <c r="R375" s="567" t="n"/>
      <c r="T375" s="471" t="n"/>
      <c r="U375" s="471" t="n"/>
    </row>
    <row r="376" ht="62" customHeight="1">
      <c r="Q376" s="561" t="n"/>
      <c r="R376" s="561" t="n"/>
      <c r="T376" s="471" t="n"/>
      <c r="U376" s="566" t="inlineStr">
        <is>
          <t>(3 MOTOR )
COMPRESSOR 2
Pa=7.5KW
PF=0.75</t>
        </is>
      </c>
    </row>
    <row r="377" ht="46.5" customHeight="1">
      <c r="Q377" s="561" t="n"/>
      <c r="R377" s="566" t="inlineStr">
        <is>
          <t>CONDESER MOTOR 2 (3A) Pa=2.5kW P.f=0.75</t>
        </is>
      </c>
      <c r="T377" s="471" t="n"/>
      <c r="U377" s="471" t="n"/>
    </row>
    <row r="378">
      <c r="Q378" s="561" t="n"/>
      <c r="R378" s="561" t="n"/>
      <c r="T378" s="471" t="n"/>
      <c r="U378" s="471" t="n"/>
    </row>
    <row r="379">
      <c r="Q379" s="561" t="n"/>
      <c r="R379" s="561" t="n"/>
      <c r="T379" s="471" t="n"/>
      <c r="U379" s="471" t="n"/>
    </row>
    <row r="380">
      <c r="Q380" s="561" t="n"/>
      <c r="R380" s="561" t="n"/>
      <c r="T380" s="471" t="n"/>
      <c r="U380" s="471" t="n"/>
    </row>
    <row r="381">
      <c r="Q381" s="561" t="n"/>
      <c r="R381" s="561" t="n"/>
      <c r="T381" s="471" t="n"/>
      <c r="U381" s="471" t="n"/>
    </row>
    <row r="382">
      <c r="Q382" s="561" t="n"/>
      <c r="R382" s="561" t="n"/>
      <c r="T382" s="471" t="n"/>
      <c r="U382" s="471" t="n"/>
    </row>
    <row r="383">
      <c r="Q383" s="561" t="n"/>
      <c r="R383" s="561" t="n"/>
      <c r="T383" s="471" t="n"/>
      <c r="U383" s="471" t="n"/>
    </row>
    <row r="384">
      <c r="Q384" s="561" t="n"/>
      <c r="R384" s="561" t="n"/>
      <c r="T384" s="471" t="n"/>
      <c r="U384" s="471" t="n"/>
    </row>
    <row r="385">
      <c r="Q385" s="561" t="n"/>
      <c r="R385" s="561" t="n"/>
      <c r="T385" s="471" t="n"/>
      <c r="U385" s="471" t="n"/>
    </row>
    <row r="386">
      <c r="Q386" s="561" t="n"/>
      <c r="R386" s="561" t="n"/>
      <c r="T386" s="471" t="n"/>
      <c r="U386" s="471" t="n"/>
    </row>
    <row r="387">
      <c r="Q387" s="561" t="n"/>
      <c r="R387" s="561" t="n"/>
      <c r="T387" s="471" t="n"/>
      <c r="U387" s="471" t="n"/>
    </row>
    <row r="388">
      <c r="Q388" s="561" t="n"/>
      <c r="R388" s="561" t="n"/>
      <c r="T388" s="471" t="n"/>
      <c r="U388" s="561" t="inlineStr">
        <is>
          <t>HTRC2_9A</t>
        </is>
      </c>
    </row>
    <row r="389">
      <c r="Q389" s="561" t="n"/>
      <c r="R389" s="561" t="n"/>
      <c r="T389" s="471" t="n"/>
      <c r="U389" s="471" t="n"/>
    </row>
    <row r="390">
      <c r="Q390" s="561" t="n"/>
      <c r="R390" s="561" t="n"/>
      <c r="T390" s="471" t="n"/>
      <c r="U390" s="471" t="n"/>
    </row>
    <row r="391">
      <c r="Q391" s="561" t="n"/>
      <c r="R391" s="561" t="n"/>
      <c r="T391" s="471" t="n"/>
      <c r="U391" s="471" t="n"/>
    </row>
    <row r="392">
      <c r="Q392" s="561" t="n"/>
      <c r="R392" s="561" t="n"/>
      <c r="T392" s="471" t="n"/>
      <c r="U392" s="471" t="n"/>
    </row>
    <row r="393">
      <c r="T393" s="471" t="n"/>
      <c r="U393" s="471" t="n"/>
    </row>
    <row r="394">
      <c r="T394" s="471" t="n"/>
      <c r="U394" s="471" t="n"/>
    </row>
    <row r="395">
      <c r="T395" s="471" t="n"/>
      <c r="U395" s="471" t="n"/>
    </row>
    <row r="396">
      <c r="T396" s="471" t="n"/>
      <c r="U396" s="471" t="n"/>
    </row>
    <row r="397">
      <c r="T397" s="471" t="n"/>
      <c r="U397" s="471" t="n"/>
    </row>
    <row r="398">
      <c r="T398" s="471" t="n"/>
      <c r="U398" s="471" t="n"/>
    </row>
    <row r="399">
      <c r="T399" s="471" t="n"/>
      <c r="U399" s="471" t="n"/>
    </row>
    <row r="400">
      <c r="T400" s="471" t="n"/>
      <c r="U400" s="471" t="n"/>
    </row>
    <row r="401">
      <c r="T401" s="471" t="n"/>
      <c r="U401" s="471" t="n"/>
    </row>
    <row r="402">
      <c r="T402" s="471" t="n"/>
      <c r="U402" s="471" t="n"/>
    </row>
    <row r="403">
      <c r="T403" s="471" t="n"/>
      <c r="U403" s="471" t="n"/>
    </row>
    <row r="404">
      <c r="T404" s="471" t="n"/>
      <c r="U404" s="471" t="n"/>
    </row>
    <row r="405">
      <c r="T405" s="471" t="n"/>
      <c r="U405" s="471" t="n"/>
    </row>
    <row r="406">
      <c r="T406" s="471" t="n"/>
      <c r="U406" s="471" t="n"/>
    </row>
    <row r="407">
      <c r="T407" s="471" t="n"/>
      <c r="U407" s="471" t="n"/>
    </row>
    <row r="408">
      <c r="T408" s="471" t="n"/>
      <c r="U408" s="471" t="n"/>
    </row>
    <row r="409">
      <c r="T409" s="471" t="n"/>
      <c r="U409" s="471" t="n"/>
    </row>
    <row r="410">
      <c r="T410" s="471" t="n"/>
      <c r="U410" s="471" t="n"/>
    </row>
    <row r="411">
      <c r="T411" s="471" t="n"/>
      <c r="U411" s="471" t="n"/>
    </row>
    <row r="412">
      <c r="T412" s="471" t="n"/>
      <c r="U412" s="471" t="n"/>
    </row>
    <row r="665">
      <c r="G665" s="840" t="n"/>
      <c r="I665" s="265" t="n"/>
      <c r="P665" s="840" t="n"/>
      <c r="Q665" s="840" t="n"/>
      <c r="S665" s="265" t="n"/>
      <c r="AS665" s="840" t="n"/>
      <c r="AU665" s="265" t="n"/>
    </row>
    <row r="666">
      <c r="G666" s="840" t="n"/>
      <c r="I666" s="265" t="n"/>
      <c r="P666" s="840" t="n"/>
      <c r="Q666" s="840" t="n"/>
      <c r="S666" s="265" t="n"/>
      <c r="AS666" s="840" t="n"/>
      <c r="AU666" s="265" t="n"/>
    </row>
    <row r="667">
      <c r="G667" s="840" t="n"/>
      <c r="P667" s="840" t="n"/>
      <c r="Q667" s="840" t="n"/>
      <c r="AS667" s="840" t="n"/>
      <c r="AU667" s="265" t="n"/>
    </row>
    <row r="668">
      <c r="D668" s="601" t="n"/>
      <c r="E668" s="601" t="n"/>
      <c r="F668" s="593" t="n"/>
      <c r="G668" s="601" t="n"/>
      <c r="H668" s="601" t="n"/>
      <c r="I668" s="601" t="n"/>
      <c r="J668" s="601" t="n"/>
      <c r="K668" s="601" t="n"/>
      <c r="L668" s="601" t="n"/>
      <c r="M668" s="601" t="n"/>
      <c r="N668" s="601" t="n"/>
      <c r="O668" s="601" t="n"/>
      <c r="P668" s="601" t="n"/>
      <c r="Q668" s="601" t="n"/>
      <c r="R668" s="577" t="n"/>
      <c r="S668" s="601" t="n"/>
      <c r="T668" s="601" t="n"/>
      <c r="U668" s="593" t="n"/>
      <c r="V668" s="601" t="n"/>
      <c r="W668" s="601" t="n"/>
      <c r="X668" s="601" t="n"/>
      <c r="AI668" s="561" t="n"/>
      <c r="AJ668" s="869" t="n"/>
      <c r="AK668" s="869" t="n"/>
      <c r="AL668" s="869" t="n"/>
      <c r="AM668" s="869" t="n"/>
      <c r="AN668" s="869" t="n"/>
      <c r="AO668" s="869" t="n"/>
      <c r="AP668" s="869" t="n"/>
      <c r="AQ668" s="869" t="n"/>
      <c r="AR668" s="869" t="n"/>
      <c r="AS668" s="869" t="n"/>
      <c r="AT668" s="869" t="n"/>
      <c r="AU668" s="870" t="n"/>
    </row>
    <row r="669">
      <c r="D669" s="601" t="n"/>
      <c r="E669" s="601" t="n"/>
      <c r="F669" s="593" t="n"/>
      <c r="G669" s="601" t="n"/>
      <c r="H669" s="601" t="n"/>
      <c r="I669" s="601" t="n"/>
      <c r="J669" s="601" t="n"/>
      <c r="K669" s="601" t="n"/>
      <c r="L669" s="601" t="n"/>
      <c r="M669" s="601" t="n"/>
      <c r="N669" s="601" t="n"/>
      <c r="O669" s="601" t="n"/>
      <c r="P669" s="601" t="n"/>
      <c r="Q669" s="601" t="n"/>
      <c r="R669" s="577" t="n"/>
      <c r="S669" s="601" t="n"/>
      <c r="T669" s="601" t="n"/>
      <c r="U669" s="593" t="n"/>
      <c r="V669" s="601" t="inlineStr">
        <is>
          <t xml:space="preserve">Fault </t>
        </is>
      </c>
      <c r="W669" s="605" t="n"/>
      <c r="X669" s="601" t="n"/>
      <c r="AH669" s="601" t="n"/>
      <c r="AI669" s="601" t="n"/>
      <c r="AJ669" s="601" t="n"/>
      <c r="AK669" s="601" t="n"/>
      <c r="AL669" s="601" t="n"/>
      <c r="AM669" s="601" t="n"/>
      <c r="AN669" s="601" t="n"/>
      <c r="AO669" s="601" t="n"/>
      <c r="AP669" s="601" t="n"/>
      <c r="AQ669" s="601" t="n"/>
      <c r="AR669" s="601" t="n"/>
      <c r="AS669" s="601" t="n"/>
      <c r="AT669" s="601" t="n"/>
      <c r="AU669" s="601" t="n"/>
    </row>
    <row r="670">
      <c r="E670" s="840" t="inlineStr">
        <is>
          <t>Normal mode</t>
        </is>
      </c>
      <c r="G670" s="840" t="inlineStr">
        <is>
          <t>Output</t>
        </is>
      </c>
      <c r="I670" s="840" t="inlineStr">
        <is>
          <t>Independent mode</t>
        </is>
      </c>
      <c r="L670" s="606" t="inlineStr">
        <is>
          <t>BLUE - INPUT FROM OTHER CIRCUIT OR EXTERNAL</t>
        </is>
      </c>
      <c r="P670" s="840" t="n"/>
      <c r="Q670" s="840" t="n"/>
      <c r="AH670" s="601" t="n"/>
      <c r="AI670" s="607" t="n"/>
      <c r="AJ670" s="608" t="n"/>
      <c r="AK670" s="608" t="n"/>
      <c r="AL670" s="608" t="n"/>
      <c r="AM670" s="608" t="n"/>
      <c r="AN670" s="608" t="n"/>
      <c r="AO670" s="608" t="n"/>
      <c r="AP670" s="608" t="n"/>
      <c r="AQ670" s="608" t="n"/>
      <c r="AR670" s="608" t="n"/>
      <c r="AS670" s="608" t="n"/>
      <c r="AT670" s="608" t="n"/>
      <c r="AU670" s="608" t="n"/>
    </row>
    <row r="671">
      <c r="D671" s="608" t="n">
        <v>1</v>
      </c>
      <c r="G671" s="840" t="n"/>
      <c r="L671" s="609" t="n"/>
      <c r="P671" s="840" t="n"/>
      <c r="Q671" s="840" t="n"/>
      <c r="AH671" s="601" t="n"/>
      <c r="AI671" s="610" t="n"/>
      <c r="AJ671" s="610" t="n"/>
      <c r="AK671" s="610" t="n"/>
      <c r="AL671" s="610" t="n"/>
      <c r="AM671" s="610" t="n"/>
      <c r="AN671" s="610" t="n"/>
      <c r="AO671" s="610" t="n"/>
      <c r="AP671" s="610" t="n"/>
      <c r="AQ671" s="610" t="n"/>
      <c r="AR671" s="610" t="n"/>
      <c r="AS671" s="610" t="n"/>
      <c r="AT671" s="610" t="n"/>
      <c r="AU671" s="610" t="n"/>
    </row>
    <row r="672">
      <c r="D672" s="608" t="n">
        <v>2</v>
      </c>
      <c r="G672" s="840" t="n"/>
      <c r="P672" s="840" t="n"/>
      <c r="Q672" s="840" t="n"/>
      <c r="AH672" s="601" t="n"/>
      <c r="AI672" s="610" t="n"/>
      <c r="AJ672" s="610" t="n"/>
      <c r="AK672" s="610" t="n"/>
      <c r="AL672" s="610" t="n"/>
      <c r="AM672" s="610" t="n"/>
      <c r="AN672" s="610" t="n"/>
      <c r="AO672" s="610" t="n"/>
      <c r="AP672" s="610" t="n"/>
      <c r="AQ672" s="610" t="n"/>
      <c r="AR672" s="610" t="n"/>
      <c r="AS672" s="610" t="n"/>
      <c r="AT672" s="610" t="n"/>
      <c r="AU672" s="610" t="n"/>
    </row>
    <row r="673" ht="16" customHeight="1" thickBot="1">
      <c r="D673" s="608" t="n">
        <v>3</v>
      </c>
      <c r="G673" s="840" t="n"/>
      <c r="P673" s="840" t="n"/>
      <c r="Q673" s="840" t="n"/>
      <c r="AH673" s="601" t="n"/>
      <c r="AI673" s="610" t="n"/>
      <c r="AJ673" s="610" t="n"/>
      <c r="AK673" s="610" t="n"/>
      <c r="AL673" s="610" t="n"/>
      <c r="AM673" s="610" t="n"/>
      <c r="AN673" s="610" t="n"/>
      <c r="AO673" s="610" t="n"/>
      <c r="AP673" s="610" t="n"/>
      <c r="AQ673" s="610" t="n"/>
      <c r="AR673" s="610" t="n"/>
      <c r="AS673" s="610" t="n"/>
      <c r="AT673" s="610" t="n"/>
      <c r="AU673" s="610" t="n"/>
    </row>
    <row r="674" ht="46.5" customHeight="1">
      <c r="D674" s="608" t="n">
        <v>4</v>
      </c>
      <c r="G674" s="840" t="n"/>
      <c r="I674" s="265" t="n"/>
      <c r="J674" s="611" t="inlineStr">
        <is>
          <t>Pcool</t>
        </is>
      </c>
      <c r="K674" s="612" t="n"/>
      <c r="L674" s="612" t="n"/>
      <c r="M674" s="612" t="n"/>
      <c r="N674" s="612" t="n"/>
      <c r="O674" s="612" t="n"/>
      <c r="P674" s="612" t="n"/>
      <c r="Q674" s="612" t="n"/>
      <c r="R674" s="612" t="n"/>
      <c r="S674" s="612" t="n"/>
      <c r="T674" s="612" t="n"/>
      <c r="U674" s="612" t="n"/>
      <c r="V674" s="612" t="n"/>
      <c r="W674" s="612" t="n"/>
      <c r="X674" s="613" t="n"/>
      <c r="Y674" s="613" t="n"/>
      <c r="Z674" s="613" t="n"/>
      <c r="AA674" s="613" t="n"/>
      <c r="AB674" s="613" t="n"/>
      <c r="AC674" s="613" t="n"/>
      <c r="AD674" s="613" t="n"/>
      <c r="AE674" s="613" t="inlineStr">
        <is>
          <t>Emergency Inverter</t>
        </is>
      </c>
      <c r="AF674" s="614" t="inlineStr">
        <is>
          <t>Emergency Vent Mode</t>
        </is>
      </c>
      <c r="AH674" s="601" t="n"/>
      <c r="AI674" s="610" t="n"/>
      <c r="AJ674" s="610" t="n"/>
      <c r="AK674" s="610" t="n"/>
      <c r="AL674" s="610" t="n"/>
      <c r="AM674" s="610" t="n"/>
      <c r="AN674" s="610" t="n"/>
      <c r="AO674" s="610" t="n"/>
      <c r="AP674" s="610" t="n"/>
      <c r="AQ674" s="610" t="n"/>
      <c r="AR674" s="610" t="n"/>
      <c r="AS674" s="610" t="n"/>
      <c r="AT674" s="610" t="n"/>
      <c r="AU674" s="610" t="n"/>
    </row>
    <row r="675" ht="16" customHeight="1" thickBot="1">
      <c r="D675" s="608" t="n">
        <v>5</v>
      </c>
      <c r="G675" s="840" t="n"/>
      <c r="I675" s="265" t="n"/>
      <c r="J675" s="615" t="n"/>
      <c r="K675" s="616" t="n"/>
      <c r="L675" s="616" t="n"/>
      <c r="M675" s="616" t="n"/>
      <c r="N675" s="616" t="n"/>
      <c r="O675" s="616" t="n"/>
      <c r="P675" s="616" t="n"/>
      <c r="Q675" s="616" t="n"/>
      <c r="R675" s="616" t="n"/>
      <c r="S675" s="616" t="n"/>
      <c r="T675" s="616" t="n"/>
      <c r="U675" s="617" t="n"/>
      <c r="V675" s="616" t="n"/>
      <c r="W675" s="616" t="n"/>
      <c r="X675" s="616" t="n"/>
      <c r="Y675" s="616" t="n"/>
      <c r="Z675" s="616" t="n"/>
      <c r="AA675" s="616" t="n"/>
      <c r="AB675" s="616" t="n"/>
      <c r="AC675" s="616" t="n"/>
      <c r="AD675" s="616" t="n"/>
      <c r="AE675" s="616" t="n"/>
      <c r="AF675" s="618" t="n"/>
      <c r="AH675" s="601" t="n"/>
      <c r="AI675" s="619" t="n"/>
      <c r="AJ675" s="619" t="n"/>
      <c r="AK675" s="619" t="n"/>
      <c r="AL675" s="619" t="n"/>
      <c r="AM675" s="619" t="n"/>
      <c r="AN675" s="619" t="n"/>
      <c r="AO675" s="619" t="n"/>
      <c r="AP675" s="619" t="n"/>
      <c r="AQ675" s="619" t="n"/>
      <c r="AR675" s="619" t="n"/>
      <c r="AS675" s="619" t="n"/>
      <c r="AT675" s="619" t="n"/>
      <c r="AU675" s="619" t="n"/>
    </row>
    <row r="676">
      <c r="D676" s="608" t="n">
        <v>6</v>
      </c>
      <c r="G676" s="840" t="n"/>
      <c r="P676" s="840" t="n"/>
      <c r="Q676" s="840" t="n"/>
      <c r="S676" s="265" t="n"/>
      <c r="AH676" s="601" t="n"/>
      <c r="AI676" s="619" t="n"/>
      <c r="AJ676" s="619" t="n"/>
      <c r="AK676" s="619" t="n"/>
      <c r="AL676" s="619" t="n"/>
      <c r="AM676" s="619" t="n"/>
      <c r="AN676" s="619" t="n"/>
      <c r="AO676" s="619" t="n"/>
      <c r="AP676" s="619" t="n"/>
      <c r="AQ676" s="619" t="n"/>
      <c r="AR676" s="619" t="n"/>
      <c r="AS676" s="619" t="n"/>
      <c r="AT676" s="619" t="n"/>
      <c r="AU676" s="619" t="n"/>
    </row>
    <row r="677" ht="16" customHeight="1" thickBot="1">
      <c r="D677" s="608" t="n">
        <v>7</v>
      </c>
      <c r="G677" s="840" t="n"/>
      <c r="P677" s="840" t="n"/>
      <c r="Q677" s="840" t="n"/>
      <c r="S677" s="265" t="n"/>
      <c r="AS677" s="840" t="n"/>
    </row>
    <row r="678" ht="16" customHeight="1" thickBot="1">
      <c r="D678" s="608" t="n">
        <v>8</v>
      </c>
      <c r="G678" s="840" t="n"/>
      <c r="P678" s="840" t="n"/>
      <c r="Q678" s="908" t="inlineStr">
        <is>
          <t>Fault mode effect</t>
        </is>
      </c>
      <c r="R678" s="866" t="n"/>
      <c r="S678" s="265" t="n"/>
      <c r="T678" s="909" t="inlineStr">
        <is>
          <t>Mode Logic</t>
        </is>
      </c>
      <c r="U678" s="910" t="n"/>
      <c r="AS678" s="840" t="n"/>
    </row>
    <row r="679">
      <c r="D679" s="608" t="n">
        <v>9</v>
      </c>
      <c r="G679" s="840" t="n"/>
      <c r="K679" s="471" t="inlineStr">
        <is>
          <t>HAVC1_COMP_1</t>
        </is>
      </c>
      <c r="L679" s="471" t="n"/>
      <c r="P679" s="840" t="n"/>
      <c r="Q679" s="620" t="inlineStr">
        <is>
          <t>HAVC1_COMP_1_off</t>
        </is>
      </c>
      <c r="R679" s="621" t="n"/>
      <c r="S679" s="265" t="n"/>
      <c r="T679" s="471" t="inlineStr">
        <is>
          <t>HAVC1_COMP_1</t>
        </is>
      </c>
      <c r="U679" s="622" t="n"/>
      <c r="AS679" s="840" t="n"/>
    </row>
    <row r="680">
      <c r="D680" s="608" t="n">
        <v>10</v>
      </c>
      <c r="G680" s="840" t="n"/>
      <c r="K680" s="471" t="inlineStr">
        <is>
          <t>HAVC1_COMP_2</t>
        </is>
      </c>
      <c r="L680" s="471" t="n"/>
      <c r="P680" s="840" t="n"/>
      <c r="Q680" s="471" t="inlineStr">
        <is>
          <t>HAVC1_COMP_1_off</t>
        </is>
      </c>
      <c r="R680" s="561" t="n"/>
      <c r="S680" s="265" t="n"/>
      <c r="T680" s="471" t="inlineStr">
        <is>
          <t>HAVC1_COMP_2</t>
        </is>
      </c>
      <c r="U680" s="569" t="n"/>
      <c r="AS680" s="840" t="n"/>
    </row>
    <row r="681">
      <c r="D681" s="608" t="n">
        <v>11</v>
      </c>
      <c r="G681" s="840" t="n"/>
      <c r="K681" s="471" t="inlineStr">
        <is>
          <t>HAVC1_COMP_3</t>
        </is>
      </c>
      <c r="L681" s="471" t="n"/>
      <c r="P681" s="840" t="n"/>
      <c r="Q681" s="471" t="inlineStr">
        <is>
          <t>HAVC1_COMP_1_off</t>
        </is>
      </c>
      <c r="R681" s="561" t="n"/>
      <c r="S681" s="265" t="n"/>
      <c r="T681" s="471" t="inlineStr">
        <is>
          <t>HAVC1_COMP_3</t>
        </is>
      </c>
      <c r="U681" s="569" t="n"/>
      <c r="AH681" s="601" t="inlineStr">
        <is>
          <t>Compressor 1</t>
        </is>
      </c>
      <c r="AI681" s="623" t="n"/>
      <c r="AJ681" s="623" t="n"/>
      <c r="AK681" s="623" t="n"/>
      <c r="AL681" s="610" t="n"/>
      <c r="AM681" s="610" t="n"/>
      <c r="AN681" s="610" t="n"/>
      <c r="AO681" s="610" t="n"/>
      <c r="AP681" s="610" t="n"/>
      <c r="AQ681" s="610" t="n"/>
      <c r="AR681" s="610" t="n"/>
      <c r="AS681" s="610" t="n"/>
      <c r="AT681" s="610" t="n"/>
      <c r="AU681" s="610" t="n"/>
    </row>
    <row r="682">
      <c r="D682" s="608" t="n">
        <v>12</v>
      </c>
      <c r="G682" s="840" t="n"/>
      <c r="K682" s="471" t="inlineStr">
        <is>
          <t>HAVC1_COMP_4</t>
        </is>
      </c>
      <c r="L682" s="471" t="n"/>
      <c r="P682" s="840" t="n"/>
      <c r="Q682" s="471" t="inlineStr">
        <is>
          <t>HAVC1_COMP_1_off</t>
        </is>
      </c>
      <c r="R682" s="561" t="n"/>
      <c r="S682" s="265" t="n"/>
      <c r="T682" s="471" t="inlineStr">
        <is>
          <t>HAVC1_COMP_4</t>
        </is>
      </c>
      <c r="U682" s="569" t="n"/>
      <c r="AH682" s="601" t="inlineStr">
        <is>
          <t>Compressor 2</t>
        </is>
      </c>
      <c r="AI682" s="623" t="n"/>
      <c r="AJ682" s="623" t="n"/>
      <c r="AK682" s="623" t="n"/>
      <c r="AL682" s="610" t="n"/>
      <c r="AM682" s="610" t="n"/>
      <c r="AN682" s="610" t="n"/>
      <c r="AO682" s="610" t="n"/>
      <c r="AP682" s="610" t="n"/>
      <c r="AQ682" s="610" t="n"/>
      <c r="AR682" s="610" t="n"/>
      <c r="AS682" s="610" t="n"/>
      <c r="AT682" s="610" t="n"/>
      <c r="AU682" s="610" t="n"/>
    </row>
    <row r="683">
      <c r="D683" s="608" t="n">
        <v>13</v>
      </c>
      <c r="G683" s="840" t="n"/>
      <c r="K683" s="471" t="inlineStr">
        <is>
          <t>HVAC1_CF_1</t>
        </is>
      </c>
      <c r="L683" s="570" t="n"/>
      <c r="P683" s="840" t="n"/>
      <c r="Q683" s="471" t="inlineStr">
        <is>
          <t>HVAC1_CF_1_off</t>
        </is>
      </c>
      <c r="R683" s="561" t="n"/>
      <c r="S683" s="265" t="n"/>
      <c r="T683" s="471" t="inlineStr">
        <is>
          <t>HVAC1_CF_1</t>
        </is>
      </c>
      <c r="U683" s="801" t="n"/>
      <c r="AH683" s="601" t="inlineStr">
        <is>
          <t>Condenser Fan 1</t>
        </is>
      </c>
      <c r="AI683" s="623" t="n"/>
      <c r="AJ683" s="623" t="n"/>
      <c r="AK683" s="623" t="n"/>
      <c r="AL683" s="610" t="n"/>
      <c r="AM683" s="610" t="n"/>
      <c r="AN683" s="610" t="n"/>
      <c r="AO683" s="610" t="n"/>
      <c r="AP683" s="610" t="n"/>
      <c r="AQ683" s="610" t="n"/>
      <c r="AR683" s="610" t="n"/>
      <c r="AS683" s="610" t="n"/>
      <c r="AT683" s="610" t="n"/>
      <c r="AU683" s="610" t="n"/>
    </row>
    <row r="684">
      <c r="D684" s="608" t="n">
        <v>14</v>
      </c>
      <c r="G684" s="840" t="n"/>
      <c r="K684" s="471" t="inlineStr">
        <is>
          <t>HVAC1_CF_2</t>
        </is>
      </c>
      <c r="L684" s="570" t="n"/>
      <c r="P684" s="840" t="n"/>
      <c r="Q684" s="471" t="inlineStr">
        <is>
          <t>HVAC1_CF_1_off</t>
        </is>
      </c>
      <c r="R684" s="561" t="n"/>
      <c r="S684" s="265" t="n"/>
      <c r="T684" s="471" t="inlineStr">
        <is>
          <t>HVAC1_CF_2</t>
        </is>
      </c>
      <c r="U684" s="801" t="n"/>
      <c r="AH684" s="601" t="inlineStr">
        <is>
          <t>Condenser Fan 2</t>
        </is>
      </c>
      <c r="AI684" s="623" t="n"/>
      <c r="AJ684" s="623" t="n"/>
      <c r="AK684" s="623" t="n"/>
      <c r="AL684" s="610" t="n"/>
      <c r="AM684" s="610" t="n"/>
      <c r="AN684" s="610" t="n"/>
      <c r="AO684" s="610" t="n"/>
      <c r="AP684" s="610" t="n"/>
      <c r="AQ684" s="610" t="n"/>
      <c r="AR684" s="610" t="n"/>
      <c r="AS684" s="610" t="n"/>
      <c r="AT684" s="610" t="n"/>
      <c r="AU684" s="610" t="n"/>
    </row>
    <row r="685">
      <c r="D685" s="608" t="n">
        <v>15</v>
      </c>
      <c r="G685" s="840" t="n"/>
      <c r="K685" s="471" t="inlineStr">
        <is>
          <t>Command_RAD</t>
        </is>
      </c>
      <c r="L685" s="471" t="n"/>
      <c r="P685" s="840" t="n"/>
      <c r="Q685" s="471" t="inlineStr">
        <is>
          <t>Command_RAD</t>
        </is>
      </c>
      <c r="R685" s="561" t="n"/>
      <c r="S685" s="265" t="n"/>
      <c r="T685" s="471" t="inlineStr">
        <is>
          <t>Command_RAD</t>
        </is>
      </c>
      <c r="U685" s="801" t="n"/>
      <c r="AH685" s="601" t="inlineStr">
        <is>
          <t>Supply Air Fan</t>
        </is>
      </c>
      <c r="AI685" s="623" t="n"/>
      <c r="AJ685" s="623" t="n"/>
      <c r="AK685" s="623" t="n"/>
      <c r="AL685" s="610" t="n"/>
      <c r="AM685" s="610" t="n"/>
      <c r="AN685" s="610" t="n"/>
      <c r="AO685" s="610" t="n"/>
      <c r="AP685" s="610" t="n"/>
      <c r="AQ685" s="610" t="n"/>
      <c r="AR685" s="610" t="n"/>
      <c r="AS685" s="610" t="n"/>
      <c r="AT685" s="610" t="n"/>
      <c r="AU685" s="610" t="n"/>
    </row>
    <row r="686">
      <c r="D686" s="608" t="n">
        <v>16</v>
      </c>
      <c r="G686" s="840" t="n"/>
      <c r="K686" s="471" t="inlineStr">
        <is>
          <t>Command_FAD_1</t>
        </is>
      </c>
      <c r="L686" s="471" t="n"/>
      <c r="P686" s="840" t="n"/>
      <c r="Q686" s="471" t="inlineStr">
        <is>
          <t>Command_FAD_1</t>
        </is>
      </c>
      <c r="R686" s="561" t="n"/>
      <c r="S686" s="265" t="n"/>
      <c r="T686" s="471" t="inlineStr">
        <is>
          <t>Command_FAD_1</t>
        </is>
      </c>
      <c r="U686" s="801" t="n"/>
      <c r="AH686" s="601" t="inlineStr">
        <is>
          <t>Heater</t>
        </is>
      </c>
      <c r="AI686" s="623" t="n"/>
      <c r="AJ686" s="623" t="n"/>
      <c r="AK686" s="623" t="n"/>
      <c r="AL686" s="610" t="n"/>
      <c r="AM686" s="610" t="n"/>
      <c r="AN686" s="610" t="n"/>
      <c r="AO686" s="610" t="n"/>
      <c r="AP686" s="610" t="n"/>
      <c r="AQ686" s="610" t="n"/>
      <c r="AR686" s="610" t="n"/>
      <c r="AS686" s="610" t="n"/>
      <c r="AT686" s="610" t="n"/>
      <c r="AU686" s="610" t="n"/>
    </row>
    <row r="687">
      <c r="D687" s="608" t="n">
        <v>17</v>
      </c>
      <c r="G687" s="840" t="n"/>
      <c r="K687" s="471" t="inlineStr">
        <is>
          <t>Command_FAD_2</t>
        </is>
      </c>
      <c r="L687" s="471" t="n"/>
      <c r="P687" s="840" t="n"/>
      <c r="Q687" s="471" t="inlineStr">
        <is>
          <t>Command_FAD_2</t>
        </is>
      </c>
      <c r="R687" s="561" t="n"/>
      <c r="S687" s="265" t="n"/>
      <c r="T687" s="471" t="inlineStr">
        <is>
          <t>Command_FAD_2</t>
        </is>
      </c>
      <c r="U687" s="801" t="n"/>
      <c r="AH687" s="601" t="inlineStr">
        <is>
          <t>RCCB</t>
        </is>
      </c>
      <c r="AS687" s="840" t="n"/>
    </row>
    <row r="688">
      <c r="D688" s="608" t="n">
        <v>18</v>
      </c>
      <c r="G688" s="840" t="n"/>
      <c r="K688" s="471" t="inlineStr">
        <is>
          <t>HVAC1_SAF1</t>
        </is>
      </c>
      <c r="L688" s="471" t="n"/>
      <c r="P688" s="840" t="n"/>
      <c r="Q688" s="471" t="inlineStr">
        <is>
          <t>HVAC1_SAF1</t>
        </is>
      </c>
      <c r="R688" s="561" t="n"/>
      <c r="S688" s="265" t="n"/>
      <c r="T688" s="471" t="inlineStr">
        <is>
          <t>HVAC1_SAF1</t>
        </is>
      </c>
      <c r="U688" s="801" t="n"/>
      <c r="AH688" s="601" t="inlineStr">
        <is>
          <t>VACFR</t>
        </is>
      </c>
      <c r="AS688" s="840" t="n"/>
    </row>
    <row r="689">
      <c r="D689" s="608" t="n">
        <v>19</v>
      </c>
      <c r="G689" s="840" t="n"/>
      <c r="K689" s="471" t="inlineStr">
        <is>
          <t>HVAC1_SAF2</t>
        </is>
      </c>
      <c r="L689" s="471" t="n"/>
      <c r="P689" s="840" t="n"/>
      <c r="Q689" s="471" t="inlineStr">
        <is>
          <t>HVAC1_SAF2</t>
        </is>
      </c>
      <c r="R689" s="561" t="n"/>
      <c r="S689" s="265" t="n"/>
      <c r="T689" s="471" t="inlineStr">
        <is>
          <t>HVAC1_SAF2</t>
        </is>
      </c>
      <c r="U689" s="801" t="n"/>
      <c r="AS689" s="840" t="n"/>
      <c r="AU689" s="265" t="n"/>
    </row>
    <row r="690">
      <c r="D690" s="608" t="n">
        <v>20</v>
      </c>
      <c r="G690" s="840" t="n"/>
      <c r="K690" s="471" t="inlineStr">
        <is>
          <t>Heater 1</t>
        </is>
      </c>
      <c r="L690" s="471" t="n"/>
      <c r="P690" s="840" t="n"/>
      <c r="Q690" s="471" t="inlineStr">
        <is>
          <t>Heater 1</t>
        </is>
      </c>
      <c r="R690" s="561" t="n"/>
      <c r="S690" s="265" t="n"/>
      <c r="T690" s="471" t="inlineStr">
        <is>
          <t>Heater 1</t>
        </is>
      </c>
      <c r="U690" s="801" t="n"/>
      <c r="AS690" s="840" t="n"/>
      <c r="AU690" s="265" t="n"/>
    </row>
    <row r="691">
      <c r="D691" s="608" t="n">
        <v>21</v>
      </c>
      <c r="G691" s="840" t="n"/>
      <c r="K691" s="471" t="inlineStr">
        <is>
          <t>Heater 2</t>
        </is>
      </c>
      <c r="L691" s="471" t="n"/>
      <c r="P691" s="840" t="n"/>
      <c r="Q691" s="471" t="inlineStr">
        <is>
          <t>Heater 2</t>
        </is>
      </c>
      <c r="R691" s="561" t="n"/>
      <c r="T691" s="471" t="inlineStr">
        <is>
          <t>Heater 2</t>
        </is>
      </c>
      <c r="U691" s="801" t="n"/>
      <c r="AS691" s="840" t="n"/>
      <c r="AU691" s="265" t="n"/>
    </row>
    <row r="692">
      <c r="D692" s="608" t="n">
        <v>22</v>
      </c>
      <c r="G692" s="840" t="n"/>
      <c r="P692" s="840" t="n"/>
      <c r="Q692" s="840" t="n"/>
      <c r="S692" s="265" t="n"/>
      <c r="AS692" s="840" t="n"/>
      <c r="AU692" s="265" t="n"/>
    </row>
    <row r="693">
      <c r="D693" s="608" t="n">
        <v>23</v>
      </c>
      <c r="G693" s="840" t="n"/>
      <c r="P693" s="840" t="n"/>
      <c r="Q693" s="840" t="n"/>
      <c r="S693" s="265" t="n"/>
      <c r="AS693" s="840" t="n"/>
      <c r="AU693" s="265" t="n"/>
    </row>
    <row r="694" ht="16" customHeight="1" thickBot="1">
      <c r="D694" s="608" t="n">
        <v>24</v>
      </c>
      <c r="G694" s="840" t="n"/>
      <c r="K694" s="624" t="inlineStr">
        <is>
          <t>For LFD</t>
        </is>
      </c>
      <c r="L694" s="624" t="n"/>
      <c r="M694" s="624" t="n"/>
      <c r="N694" s="624" t="n"/>
      <c r="O694" s="624" t="n"/>
      <c r="P694" s="624" t="n"/>
      <c r="Q694" s="624" t="n"/>
      <c r="R694" s="624" t="n"/>
      <c r="S694" s="624" t="n"/>
      <c r="AS694" s="840" t="n"/>
      <c r="AU694" s="265" t="n"/>
    </row>
    <row r="695" ht="16" customHeight="1" thickBot="1">
      <c r="D695" s="608" t="n">
        <v>25</v>
      </c>
      <c r="G695" s="840" t="n"/>
      <c r="K695" s="629" t="inlineStr">
        <is>
          <t>Emergency Vent Mode</t>
        </is>
      </c>
      <c r="L695" s="866" t="n"/>
      <c r="M695" s="629" t="inlineStr">
        <is>
          <t>Internal Smoke Mode</t>
        </is>
      </c>
      <c r="N695" s="865" t="n"/>
      <c r="O695" s="865" t="n"/>
      <c r="P695" s="865" t="n"/>
      <c r="Q695" s="866" t="n"/>
      <c r="R695" s="629" t="inlineStr">
        <is>
          <t>External Smoke Mode</t>
        </is>
      </c>
      <c r="S695" s="866" t="n"/>
      <c r="AS695" s="840" t="n"/>
      <c r="AU695" s="265" t="n"/>
    </row>
    <row r="696" ht="16" customHeight="1" thickBot="1">
      <c r="D696" s="625" t="n">
        <v>35</v>
      </c>
      <c r="G696" s="840" t="n"/>
      <c r="K696" s="471" t="inlineStr">
        <is>
          <t>COMP_1</t>
        </is>
      </c>
      <c r="L696" s="626">
        <f>IF($AE$675=1,1,0)</f>
        <v/>
      </c>
      <c r="M696" s="471" t="inlineStr">
        <is>
          <t>COMP_1</t>
        </is>
      </c>
      <c r="P696" s="840" t="n"/>
      <c r="Q696" s="626">
        <f>IF($Y$675=1,0,1)</f>
        <v/>
      </c>
      <c r="R696" s="833" t="inlineStr">
        <is>
          <t>COMP_1</t>
        </is>
      </c>
      <c r="S696" s="627">
        <f>IF($Z$675=1,1,0)</f>
        <v/>
      </c>
      <c r="AS696" s="840" t="n"/>
      <c r="AU696" s="265" t="n"/>
    </row>
    <row r="697" ht="16" customHeight="1" thickBot="1">
      <c r="D697" s="625" t="n">
        <v>36</v>
      </c>
      <c r="G697" s="840" t="n"/>
      <c r="K697" s="471" t="inlineStr">
        <is>
          <t>COMP_2</t>
        </is>
      </c>
      <c r="L697" s="626">
        <f>IF($AE$675=1,1,0)</f>
        <v/>
      </c>
      <c r="M697" s="471" t="inlineStr">
        <is>
          <t>COMP_2</t>
        </is>
      </c>
      <c r="P697" s="840" t="n"/>
      <c r="Q697" s="626">
        <f>IF($Y$675=1,0,1)</f>
        <v/>
      </c>
      <c r="R697" s="833" t="inlineStr">
        <is>
          <t>COMP_2</t>
        </is>
      </c>
      <c r="S697" s="627">
        <f>IF($Z$675=1,1,0)</f>
        <v/>
      </c>
      <c r="AS697" s="840" t="n"/>
      <c r="AU697" s="265" t="n"/>
    </row>
    <row r="698" ht="16" customHeight="1" thickBot="1">
      <c r="D698" s="625" t="n">
        <v>37</v>
      </c>
      <c r="G698" s="840" t="n"/>
      <c r="K698" s="471" t="inlineStr">
        <is>
          <t>COMP_3</t>
        </is>
      </c>
      <c r="L698" s="626">
        <f>IF($AE$675=1,1,0)</f>
        <v/>
      </c>
      <c r="M698" s="471" t="inlineStr">
        <is>
          <t>COMP_3</t>
        </is>
      </c>
      <c r="P698" s="840" t="n"/>
      <c r="Q698" s="626">
        <f>IF($Y$675=1,0,1)</f>
        <v/>
      </c>
      <c r="R698" s="833" t="inlineStr">
        <is>
          <t>COMP_3</t>
        </is>
      </c>
      <c r="S698" s="627">
        <f>IF($Z$675=1,1,0)</f>
        <v/>
      </c>
      <c r="AS698" s="840" t="n"/>
      <c r="AU698" s="265" t="n"/>
    </row>
    <row r="699" ht="16" customHeight="1" thickBot="1">
      <c r="D699" s="625" t="n">
        <v>38</v>
      </c>
      <c r="G699" s="840" t="n"/>
      <c r="K699" s="471" t="inlineStr">
        <is>
          <t>COMP_4</t>
        </is>
      </c>
      <c r="L699" s="626">
        <f>IF($AE$675=1,1,0)</f>
        <v/>
      </c>
      <c r="M699" s="471" t="inlineStr">
        <is>
          <t>COMP_4</t>
        </is>
      </c>
      <c r="P699" s="840" t="n"/>
      <c r="Q699" s="626">
        <f>IF($Y$675=1,0,1)</f>
        <v/>
      </c>
      <c r="R699" s="833" t="inlineStr">
        <is>
          <t>COMP_4</t>
        </is>
      </c>
      <c r="S699" s="627">
        <f>IF($Z$675=1,1,0)</f>
        <v/>
      </c>
      <c r="AS699" s="840" t="n"/>
      <c r="AU699" s="265" t="n"/>
    </row>
    <row r="700" ht="16" customHeight="1" thickBot="1">
      <c r="D700" s="625" t="n">
        <v>39</v>
      </c>
      <c r="G700" s="840" t="n"/>
      <c r="K700" s="471" t="inlineStr">
        <is>
          <t>CF_1</t>
        </is>
      </c>
      <c r="L700" s="626">
        <f>IF($AE$675=1,1,0)</f>
        <v/>
      </c>
      <c r="M700" s="471" t="inlineStr">
        <is>
          <t>CF_1</t>
        </is>
      </c>
      <c r="P700" s="840" t="n"/>
      <c r="Q700" s="626">
        <f>IF($Y$675=1,0,1)</f>
        <v/>
      </c>
      <c r="R700" s="833" t="inlineStr">
        <is>
          <t>CF_1</t>
        </is>
      </c>
      <c r="S700" s="627">
        <f>IF($Z$675=1,1,0)</f>
        <v/>
      </c>
      <c r="AS700" s="840" t="n"/>
    </row>
    <row r="701" ht="16" customHeight="1" thickBot="1">
      <c r="D701" s="625" t="n">
        <v>40</v>
      </c>
      <c r="G701" s="840" t="n"/>
      <c r="K701" s="471" t="inlineStr">
        <is>
          <t>CF_2</t>
        </is>
      </c>
      <c r="L701" s="626">
        <f>IF($AE$675=1,1,0)</f>
        <v/>
      </c>
      <c r="M701" s="471" t="inlineStr">
        <is>
          <t>CF_2</t>
        </is>
      </c>
      <c r="P701" s="840" t="n"/>
      <c r="Q701" s="626">
        <f>IF($Y$675=1,0,1)</f>
        <v/>
      </c>
      <c r="R701" s="833" t="inlineStr">
        <is>
          <t>CF_2</t>
        </is>
      </c>
      <c r="S701" s="627">
        <f>IF($Z$675=1,1,0)</f>
        <v/>
      </c>
      <c r="AS701" s="840" t="n"/>
    </row>
    <row r="702" ht="16" customHeight="1" thickBot="1">
      <c r="D702" s="625" t="n">
        <v>41</v>
      </c>
      <c r="G702" s="840" t="n"/>
      <c r="K702" s="471" t="inlineStr">
        <is>
          <t>RAD</t>
        </is>
      </c>
      <c r="L702" s="626">
        <f>IF($AE$675=1,1,0)</f>
        <v/>
      </c>
      <c r="M702" s="471" t="inlineStr">
        <is>
          <t>RAD</t>
        </is>
      </c>
      <c r="P702" s="840" t="n"/>
      <c r="Q702" s="626">
        <f>IF($Y$675=1,0,1)</f>
        <v/>
      </c>
      <c r="R702" s="833" t="inlineStr">
        <is>
          <t>RAD</t>
        </is>
      </c>
      <c r="S702" s="627">
        <f>IF($Z$675=1,1,0)</f>
        <v/>
      </c>
      <c r="AS702" s="840" t="n"/>
    </row>
    <row r="703" ht="16" customHeight="1" thickBot="1">
      <c r="D703" s="625" t="n">
        <v>42</v>
      </c>
      <c r="G703" s="840" t="n"/>
      <c r="K703" s="471" t="inlineStr">
        <is>
          <t>FAD_1</t>
        </is>
      </c>
      <c r="L703" s="626">
        <f>IF($AE$675=1,0,1)</f>
        <v/>
      </c>
      <c r="M703" s="471" t="inlineStr">
        <is>
          <t>FAD_1</t>
        </is>
      </c>
      <c r="P703" s="840" t="n"/>
      <c r="Q703" s="626">
        <f>IF($Y$675=1,0,1)</f>
        <v/>
      </c>
      <c r="R703" s="833" t="inlineStr">
        <is>
          <t>FAD_1</t>
        </is>
      </c>
      <c r="S703" s="627">
        <f>IF($Z$675=1,0,1)</f>
        <v/>
      </c>
      <c r="AS703" s="840" t="n"/>
    </row>
    <row r="704" ht="16" customHeight="1" thickBot="1">
      <c r="G704" s="840" t="n"/>
      <c r="I704" s="265" t="n"/>
      <c r="K704" s="471" t="inlineStr">
        <is>
          <t>FAD_2</t>
        </is>
      </c>
      <c r="L704" s="626">
        <f>IF($AE$675=1,0,1)</f>
        <v/>
      </c>
      <c r="M704" s="471" t="inlineStr">
        <is>
          <t>FAD_2</t>
        </is>
      </c>
      <c r="P704" s="840" t="n"/>
      <c r="Q704" s="626">
        <f>IF($Y$675=1,0,1)</f>
        <v/>
      </c>
      <c r="R704" s="833" t="inlineStr">
        <is>
          <t>FAD_2</t>
        </is>
      </c>
      <c r="S704" s="627">
        <f>IF($Z$675=1,0,1)</f>
        <v/>
      </c>
      <c r="AS704" s="840" t="n"/>
    </row>
    <row r="705" ht="16" customHeight="1" thickBot="1">
      <c r="G705" s="840" t="n"/>
      <c r="I705" s="265" t="n"/>
      <c r="K705" s="471" t="inlineStr">
        <is>
          <t>SAF1</t>
        </is>
      </c>
      <c r="L705" s="626">
        <f>IF($AE$675=1,1,0)</f>
        <v/>
      </c>
      <c r="M705" s="471" t="inlineStr">
        <is>
          <t>SAF1</t>
        </is>
      </c>
      <c r="P705" s="840" t="n"/>
      <c r="Q705" s="626">
        <f>IF($Y$675=1,0,1)</f>
        <v/>
      </c>
      <c r="R705" s="833" t="inlineStr">
        <is>
          <t>SAF1</t>
        </is>
      </c>
      <c r="S705" s="627">
        <f>IF($Z$675=1,1,0)</f>
        <v/>
      </c>
      <c r="AS705" s="840" t="n"/>
    </row>
    <row r="706" ht="16" customHeight="1" thickBot="1">
      <c r="G706" s="840" t="n"/>
      <c r="I706" s="265" t="n"/>
      <c r="K706" s="471" t="inlineStr">
        <is>
          <t>SAF2</t>
        </is>
      </c>
      <c r="L706" s="626">
        <f>IF($AE$675=1,1,0)</f>
        <v/>
      </c>
      <c r="M706" s="471" t="inlineStr">
        <is>
          <t>SAF2</t>
        </is>
      </c>
      <c r="P706" s="840" t="n"/>
      <c r="Q706" s="626">
        <f>IF($Y$675=1,0,1)</f>
        <v/>
      </c>
      <c r="R706" s="833" t="inlineStr">
        <is>
          <t>SAF2</t>
        </is>
      </c>
      <c r="S706" s="627">
        <f>IF($Z$675=1,1,0)</f>
        <v/>
      </c>
      <c r="AS706" s="840" t="n"/>
    </row>
    <row r="707" ht="16" customHeight="1" thickBot="1">
      <c r="G707" s="840" t="n"/>
      <c r="I707" s="265" t="n"/>
      <c r="K707" s="628" t="n"/>
      <c r="L707" s="629" t="n"/>
      <c r="M707" s="628" t="n"/>
      <c r="P707" s="840" t="n"/>
      <c r="Q707" s="629" t="n"/>
      <c r="R707" s="833" t="n"/>
      <c r="S707" s="629" t="n"/>
      <c r="AS707" s="840" t="n"/>
    </row>
    <row r="708">
      <c r="G708" s="840" t="n"/>
      <c r="I708" s="265" t="n"/>
      <c r="P708" s="840" t="n"/>
      <c r="Q708" s="840" t="n"/>
      <c r="S708" s="265" t="n"/>
      <c r="AS708" s="840" t="n"/>
    </row>
    <row r="709">
      <c r="G709" s="840" t="n"/>
      <c r="I709" s="265" t="n"/>
      <c r="P709" s="840" t="n"/>
      <c r="Q709" s="840" t="n"/>
      <c r="S709" s="265" t="n"/>
      <c r="AS709" s="840" t="n"/>
      <c r="AU709" s="265" t="n"/>
    </row>
    <row r="710">
      <c r="G710" s="840" t="n"/>
      <c r="I710" s="265" t="n"/>
      <c r="P710" s="840" t="n"/>
      <c r="Q710" s="840" t="n"/>
      <c r="S710" s="265" t="n"/>
      <c r="AS710" s="840" t="n"/>
      <c r="AU710" s="265" t="n"/>
    </row>
    <row r="711">
      <c r="G711" s="840" t="n"/>
      <c r="I711" s="265" t="n"/>
      <c r="P711" s="840" t="n"/>
      <c r="Q711" s="840" t="n"/>
      <c r="S711" s="265" t="n"/>
      <c r="AS711" s="840" t="n"/>
      <c r="AU711" s="265" t="n"/>
    </row>
    <row r="712">
      <c r="G712" s="840" t="n"/>
      <c r="I712" s="265" t="n"/>
      <c r="P712" s="840" t="n"/>
      <c r="Q712" s="840" t="n"/>
      <c r="S712" s="265" t="n"/>
      <c r="AS712" s="840" t="n"/>
      <c r="AU712" s="265" t="n"/>
    </row>
    <row r="713">
      <c r="G713" s="840" t="n"/>
      <c r="I713" s="265" t="n"/>
      <c r="P713" s="840" t="n"/>
      <c r="Q713" s="840" t="n"/>
      <c r="S713" s="265" t="n"/>
      <c r="AS713" s="840" t="n"/>
      <c r="AU713" s="265" t="n"/>
    </row>
    <row r="714">
      <c r="G714" s="840" t="n"/>
      <c r="I714" s="265" t="n"/>
      <c r="P714" s="840" t="n"/>
      <c r="Q714" s="840" t="n"/>
      <c r="S714" s="265" t="n"/>
      <c r="AS714" s="840" t="n"/>
      <c r="AU714" s="265" t="n"/>
    </row>
    <row r="715">
      <c r="G715" s="840" t="n"/>
      <c r="I715" s="265" t="n"/>
      <c r="P715" s="840" t="n"/>
      <c r="Q715" s="840" t="n"/>
      <c r="S715" s="265" t="n"/>
      <c r="AS715" s="840" t="n"/>
      <c r="AU715" s="265" t="n"/>
    </row>
    <row r="716">
      <c r="G716" s="840" t="n"/>
      <c r="I716" s="265" t="n"/>
      <c r="P716" s="840" t="n"/>
      <c r="Q716" s="840" t="n"/>
      <c r="S716" s="265" t="n"/>
      <c r="AS716" s="840" t="n"/>
      <c r="AU716" s="265" t="n"/>
    </row>
    <row r="717">
      <c r="G717" s="840" t="n"/>
      <c r="I717" s="265" t="n"/>
      <c r="P717" s="840" t="n"/>
      <c r="Q717" s="840" t="n"/>
      <c r="AS717" s="840" t="n"/>
      <c r="AU717" s="265" t="n"/>
    </row>
    <row r="718">
      <c r="G718" s="840" t="n"/>
      <c r="I718" s="265" t="n"/>
      <c r="P718" s="840" t="n"/>
      <c r="Q718" s="840" t="n"/>
      <c r="S718" s="265" t="n"/>
      <c r="AS718" s="840" t="n"/>
      <c r="AU718" s="265" t="n"/>
    </row>
    <row r="719">
      <c r="G719" s="840" t="n"/>
      <c r="I719" s="265" t="n"/>
      <c r="P719" s="840" t="n"/>
      <c r="Q719" s="840" t="n"/>
      <c r="S719" s="265" t="n"/>
      <c r="AS719" s="840" t="n"/>
      <c r="AU719" s="265" t="n"/>
    </row>
    <row r="720">
      <c r="G720" s="840" t="n"/>
      <c r="I720" s="265" t="n"/>
      <c r="P720" s="840" t="n"/>
      <c r="Q720" s="840" t="n"/>
      <c r="S720" s="265" t="n"/>
      <c r="AS720" s="840" t="n"/>
      <c r="AU720" s="265" t="n"/>
    </row>
    <row r="721">
      <c r="G721" s="840" t="n"/>
      <c r="I721" s="265" t="n"/>
      <c r="P721" s="840" t="n"/>
      <c r="Q721" s="840" t="n"/>
      <c r="S721" s="265" t="n"/>
      <c r="AS721" s="840" t="n"/>
      <c r="AU721" s="265" t="n"/>
    </row>
    <row r="722">
      <c r="G722" s="840" t="n"/>
      <c r="I722" s="265" t="n"/>
      <c r="P722" s="840" t="n"/>
      <c r="Q722" s="840" t="n"/>
      <c r="S722" s="265" t="n"/>
      <c r="AS722" s="840" t="n"/>
      <c r="AU722" s="265" t="n"/>
    </row>
    <row r="723">
      <c r="G723" s="840" t="n"/>
      <c r="I723" s="265" t="n"/>
      <c r="P723" s="840" t="n"/>
      <c r="Q723" s="840" t="n"/>
      <c r="S723" s="265" t="n"/>
      <c r="AS723" s="840" t="n"/>
      <c r="AU723" s="265" t="n"/>
    </row>
    <row r="724">
      <c r="G724" s="840" t="n"/>
      <c r="I724" s="265" t="n"/>
      <c r="P724" s="840" t="n"/>
      <c r="Q724" s="840" t="n"/>
      <c r="S724" s="265" t="n"/>
      <c r="AS724" s="840" t="n"/>
      <c r="AU724" s="265" t="n"/>
    </row>
    <row r="725">
      <c r="G725" s="840" t="n"/>
      <c r="I725" s="265" t="n"/>
      <c r="P725" s="840" t="n"/>
      <c r="Q725" s="840" t="n"/>
      <c r="S725" s="265" t="n"/>
      <c r="AS725" s="840" t="n"/>
      <c r="AU725" s="265" t="n"/>
    </row>
    <row r="726">
      <c r="G726" s="840" t="n"/>
      <c r="I726" s="265" t="n"/>
      <c r="P726" s="840" t="n"/>
      <c r="Q726" s="840" t="n"/>
      <c r="S726" s="265" t="n"/>
      <c r="AS726" s="840" t="n"/>
      <c r="AU726" s="265" t="n"/>
    </row>
    <row r="727">
      <c r="G727" s="840" t="n"/>
      <c r="I727" s="265" t="n"/>
      <c r="P727" s="840" t="n"/>
      <c r="Q727" s="840" t="n"/>
      <c r="S727" s="265" t="n"/>
      <c r="AS727" s="840" t="n"/>
      <c r="AU727" s="265" t="n"/>
    </row>
    <row r="728">
      <c r="G728" s="840" t="n"/>
      <c r="I728" s="265" t="n"/>
      <c r="P728" s="840" t="n"/>
      <c r="Q728" s="840" t="n"/>
      <c r="S728" s="265" t="n"/>
      <c r="AS728" s="840" t="n"/>
      <c r="AU728" s="265" t="n"/>
    </row>
    <row r="729">
      <c r="G729" s="840" t="n"/>
      <c r="I729" s="265" t="n"/>
      <c r="P729" s="840" t="n"/>
      <c r="Q729" s="840" t="n"/>
      <c r="S729" s="265" t="n"/>
      <c r="AS729" s="840" t="n"/>
      <c r="AU729" s="265" t="n"/>
    </row>
    <row r="730">
      <c r="G730" s="840" t="n"/>
      <c r="I730" s="265" t="n"/>
      <c r="P730" s="840" t="n"/>
      <c r="Q730" s="840" t="n"/>
      <c r="S730" s="265" t="n"/>
      <c r="AS730" s="840" t="n"/>
      <c r="AU730" s="265" t="n"/>
    </row>
    <row r="731">
      <c r="G731" s="840" t="n"/>
      <c r="I731" s="265" t="n"/>
      <c r="P731" s="840" t="n"/>
      <c r="Q731" s="840" t="n"/>
      <c r="S731" s="265" t="n"/>
      <c r="AS731" s="840" t="n"/>
      <c r="AU731" s="265" t="n"/>
    </row>
    <row r="732">
      <c r="G732" s="840" t="n"/>
      <c r="I732" s="265" t="n"/>
      <c r="P732" s="840" t="n"/>
      <c r="Q732" s="840" t="n"/>
      <c r="S732" s="265" t="n"/>
      <c r="AS732" s="840" t="n"/>
      <c r="AU732" s="265" t="n"/>
    </row>
    <row r="733">
      <c r="G733" s="840" t="n"/>
      <c r="I733" s="265" t="n"/>
      <c r="P733" s="840" t="n"/>
      <c r="Q733" s="840" t="n"/>
      <c r="S733" s="265" t="n"/>
      <c r="AS733" s="840" t="n"/>
      <c r="AU733" s="265" t="n"/>
    </row>
    <row r="734">
      <c r="G734" s="840" t="n"/>
      <c r="I734" s="265" t="n"/>
      <c r="P734" s="840" t="n"/>
      <c r="Q734" s="840" t="n"/>
      <c r="S734" s="265" t="n"/>
      <c r="AS734" s="840" t="n"/>
      <c r="AU734" s="265" t="n"/>
    </row>
    <row r="735">
      <c r="G735" s="840" t="n"/>
      <c r="I735" s="265" t="n"/>
      <c r="P735" s="840" t="n"/>
      <c r="Q735" s="840" t="n"/>
      <c r="S735" s="265" t="n"/>
      <c r="AS735" s="840" t="n"/>
      <c r="AU735" s="265" t="n"/>
    </row>
    <row r="736">
      <c r="G736" s="840" t="n"/>
      <c r="I736" s="265" t="n"/>
      <c r="P736" s="840" t="n"/>
      <c r="Q736" s="840" t="n"/>
      <c r="S736" s="265" t="n"/>
      <c r="AS736" s="840" t="n"/>
      <c r="AU736" s="265" t="n"/>
    </row>
    <row r="737">
      <c r="G737" s="840" t="n"/>
      <c r="I737" s="265" t="n"/>
      <c r="P737" s="840" t="n"/>
      <c r="Q737" s="840" t="n"/>
      <c r="S737" s="265" t="n"/>
      <c r="AS737" s="840" t="n"/>
      <c r="AU737" s="265" t="n"/>
    </row>
    <row r="738">
      <c r="G738" s="840" t="n"/>
      <c r="I738" s="265" t="n"/>
      <c r="P738" s="840" t="n"/>
      <c r="Q738" s="840" t="n"/>
      <c r="S738" s="265" t="n"/>
      <c r="AS738" s="840" t="n"/>
      <c r="AU738" s="265" t="n"/>
    </row>
    <row r="739">
      <c r="G739" s="840" t="n"/>
      <c r="I739" s="265" t="n"/>
      <c r="P739" s="840" t="n"/>
      <c r="Q739" s="840" t="n"/>
      <c r="S739" s="265" t="n"/>
      <c r="AS739" s="840" t="n"/>
      <c r="AU739" s="265" t="n"/>
    </row>
    <row r="740">
      <c r="G740" s="840" t="n"/>
      <c r="I740" s="265" t="n"/>
      <c r="P740" s="840" t="n"/>
      <c r="Q740" s="840" t="n"/>
      <c r="S740" s="265" t="n"/>
      <c r="AS740" s="840" t="n"/>
      <c r="AU740" s="265" t="n"/>
    </row>
    <row r="741">
      <c r="G741" s="840" t="n"/>
      <c r="I741" s="265" t="n"/>
      <c r="P741" s="840" t="n"/>
      <c r="Q741" s="840" t="n"/>
      <c r="S741" s="265" t="n"/>
      <c r="AS741" s="840" t="n"/>
      <c r="AU741" s="265" t="n"/>
    </row>
    <row r="914">
      <c r="ED914" s="840">
        <f>'DATA TRANSFER'!DP176</f>
        <v/>
      </c>
    </row>
    <row r="927">
      <c r="DQ927" s="840">
        <f>IF(OR('DATA TRANSFER'!DP173,'DATA TRANSFER'!M10,'DATA TRANSFER'!M12),1,0)</f>
        <v/>
      </c>
    </row>
    <row r="1064">
      <c r="CD1064" s="840">
        <f>'DATA TRANSFER'!DP167</f>
        <v/>
      </c>
    </row>
  </sheetData>
  <mergeCells count="56">
    <mergeCell ref="DK3:DT3"/>
    <mergeCell ref="KC1:KH1"/>
    <mergeCell ref="K695:L695"/>
    <mergeCell ref="T678:U678"/>
    <mergeCell ref="CI3:CR3"/>
    <mergeCell ref="MH3:MQ3"/>
    <mergeCell ref="P3:Y3"/>
    <mergeCell ref="AS3:BB3"/>
    <mergeCell ref="FW1:GB1"/>
    <mergeCell ref="LB3:LK3"/>
    <mergeCell ref="BX3:CG3"/>
    <mergeCell ref="GI1:GN1"/>
    <mergeCell ref="EO3:EX3"/>
    <mergeCell ref="IC1:IH1"/>
    <mergeCell ref="IX3:JG3"/>
    <mergeCell ref="DZ3:EI3"/>
    <mergeCell ref="HN1:HS1"/>
    <mergeCell ref="FT3:GC3"/>
    <mergeCell ref="FE3:FN3"/>
    <mergeCell ref="AF3:AO3"/>
    <mergeCell ref="LU1:LZ1"/>
    <mergeCell ref="CY3:DH3"/>
    <mergeCell ref="JZ3:KI3"/>
    <mergeCell ref="LR3:MA3"/>
    <mergeCell ref="IO1:IT1"/>
    <mergeCell ref="GF3:GO3"/>
    <mergeCell ref="R695:S695"/>
    <mergeCell ref="S1:X1"/>
    <mergeCell ref="KS1:KX1"/>
    <mergeCell ref="HK3:HT3"/>
    <mergeCell ref="AI668:AU668"/>
    <mergeCell ref="M695:Q695"/>
    <mergeCell ref="CL1:CQ1"/>
    <mergeCell ref="MK1:MP1"/>
    <mergeCell ref="JQ1:JV1"/>
    <mergeCell ref="DB1:DG1"/>
    <mergeCell ref="ER1:EW1"/>
    <mergeCell ref="JA1:JF1"/>
    <mergeCell ref="D1:I1"/>
    <mergeCell ref="AV1:BA1"/>
    <mergeCell ref="LE1:LJ1"/>
    <mergeCell ref="GX1:HC1"/>
    <mergeCell ref="GU3:HD3"/>
    <mergeCell ref="CA1:CF1"/>
    <mergeCell ref="AI1:AN1"/>
    <mergeCell ref="KP3:KY3"/>
    <mergeCell ref="JN3:JW3"/>
    <mergeCell ref="A3:J3"/>
    <mergeCell ref="Q678:R678"/>
    <mergeCell ref="EC1:EH1"/>
    <mergeCell ref="BL1:BQ1"/>
    <mergeCell ref="DN1:DS1"/>
    <mergeCell ref="HZ3:II3"/>
    <mergeCell ref="BI3:BR3"/>
    <mergeCell ref="FH1:FM1"/>
    <mergeCell ref="IL3:IU3"/>
  </mergeCells>
  <pageMargins left="0.7" right="0.7" top="0.75" bottom="0.75" header="0.3" footer="0.3"/>
  <pageSetup orientation="portrait" horizontalDpi="1200" verticalDpi="12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1" sqref="Q20:R21"/>
    </sheetView>
  </sheetViews>
  <sheetFormatPr baseColWidth="8" defaultRowHeight="14.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zoomScale="85" zoomScaleNormal="85" workbookViewId="0">
      <selection activeCell="F22" sqref="F22"/>
    </sheetView>
  </sheetViews>
  <sheetFormatPr baseColWidth="8" defaultColWidth="9" defaultRowHeight="14.5"/>
  <cols>
    <col width="9" customWidth="1" style="733" min="1" max="1"/>
    <col width="26.7265625" customWidth="1" style="259" min="2" max="2"/>
    <col width="14.453125" customWidth="1" style="733" min="3" max="4"/>
    <col width="16.453125" customWidth="1" style="733" min="5" max="5"/>
    <col width="17.26953125" customWidth="1" style="733" min="6" max="6"/>
    <col width="14.453125" customWidth="1" style="733" min="7" max="12"/>
    <col width="46.453125" customWidth="1" style="733" min="13" max="13"/>
    <col width="14.453125" customWidth="1" style="733" min="14" max="20"/>
    <col width="9" customWidth="1" style="733" min="21" max="16384"/>
  </cols>
  <sheetData>
    <row r="1" customFormat="1" s="260">
      <c r="A1" s="260" t="inlineStr">
        <is>
          <t>Sr No</t>
        </is>
      </c>
      <c r="B1" s="260" t="inlineStr">
        <is>
          <t>Mode of Operation</t>
        </is>
      </c>
      <c r="C1" s="260" t="inlineStr">
        <is>
          <t>Heater</t>
        </is>
      </c>
      <c r="D1" s="260" t="inlineStr">
        <is>
          <t>Condensor Fan</t>
        </is>
      </c>
      <c r="E1" s="260" t="inlineStr">
        <is>
          <t>Evaporator Fan 1</t>
        </is>
      </c>
      <c r="F1" s="260" t="inlineStr">
        <is>
          <t>Evaporator Fan 2</t>
        </is>
      </c>
      <c r="G1" s="260" t="inlineStr">
        <is>
          <t>Compressor 1</t>
        </is>
      </c>
      <c r="H1" s="260" t="inlineStr">
        <is>
          <t>Compressor 2</t>
        </is>
      </c>
      <c r="I1" s="260" t="inlineStr">
        <is>
          <t>Compressor 3</t>
        </is>
      </c>
      <c r="J1" s="260" t="inlineStr">
        <is>
          <t>Compressor 4</t>
        </is>
      </c>
      <c r="K1" s="260" t="inlineStr">
        <is>
          <t>FAD</t>
        </is>
      </c>
      <c r="L1" s="260" t="inlineStr">
        <is>
          <t>RAD</t>
        </is>
      </c>
      <c r="M1" s="260" t="inlineStr">
        <is>
          <t>Remarks</t>
        </is>
      </c>
    </row>
    <row r="2">
      <c r="A2" s="733" t="n">
        <v>1</v>
      </c>
      <c r="B2" s="259" t="inlineStr">
        <is>
          <t>Pre Cooling</t>
        </is>
      </c>
      <c r="C2" s="733" t="n">
        <v>0</v>
      </c>
      <c r="D2" s="733" t="n">
        <v>0</v>
      </c>
      <c r="E2" s="733" t="n">
        <v>1</v>
      </c>
      <c r="F2" s="733" t="n">
        <v>1</v>
      </c>
      <c r="G2" s="261" t="n">
        <v>1</v>
      </c>
      <c r="H2" s="261" t="n">
        <v>1</v>
      </c>
      <c r="I2" s="261" t="n">
        <v>1</v>
      </c>
      <c r="J2" s="261" t="n">
        <v>1</v>
      </c>
      <c r="K2" s="261" t="n">
        <v>0</v>
      </c>
      <c r="L2" s="261" t="n">
        <v>1</v>
      </c>
      <c r="M2" s="733" t="inlineStr">
        <is>
          <t>FAD usually closed or minimum opening.; RAD mostly 1</t>
        </is>
      </c>
    </row>
    <row r="3">
      <c r="A3" s="733" t="n">
        <v>2</v>
      </c>
      <c r="B3" s="259" t="inlineStr">
        <is>
          <t>Cooling Mode</t>
        </is>
      </c>
      <c r="C3" s="733" t="n">
        <v>0</v>
      </c>
      <c r="D3" s="733" t="n">
        <v>1</v>
      </c>
      <c r="E3" s="733" t="n">
        <v>1</v>
      </c>
      <c r="F3" s="733" t="n">
        <v>1</v>
      </c>
      <c r="G3" s="261" t="n">
        <v>1</v>
      </c>
      <c r="H3" s="261" t="n">
        <v>1</v>
      </c>
      <c r="I3" s="261" t="n">
        <v>1</v>
      </c>
      <c r="J3" s="261" t="n">
        <v>1</v>
      </c>
      <c r="K3" s="261" t="n">
        <v>1</v>
      </c>
      <c r="L3" s="261" t="n"/>
    </row>
    <row r="4">
      <c r="A4" s="733" t="n">
        <v>3</v>
      </c>
      <c r="B4" s="259" t="inlineStr">
        <is>
          <t>Ventilation Mode</t>
        </is>
      </c>
      <c r="C4" s="733" t="n">
        <v>0</v>
      </c>
      <c r="E4" s="733" t="n">
        <v>1</v>
      </c>
      <c r="F4" s="733" t="n">
        <v>1</v>
      </c>
      <c r="G4" s="733" t="n">
        <v>0</v>
      </c>
      <c r="H4" s="733" t="n">
        <v>0</v>
      </c>
      <c r="I4" s="733" t="n">
        <v>0</v>
      </c>
      <c r="J4" s="733" t="n">
        <v>0</v>
      </c>
      <c r="K4" s="733" t="n">
        <v>1</v>
      </c>
    </row>
    <row r="5">
      <c r="A5" s="733" t="n">
        <v>4</v>
      </c>
      <c r="B5" s="259" t="inlineStr">
        <is>
          <t>Heating Mode</t>
        </is>
      </c>
      <c r="C5" s="733" t="n">
        <v>1</v>
      </c>
      <c r="E5" s="733" t="n">
        <v>1</v>
      </c>
      <c r="F5" s="733" t="n">
        <v>1</v>
      </c>
      <c r="G5" s="261" t="n">
        <v>0</v>
      </c>
      <c r="H5" s="261" t="n">
        <v>0</v>
      </c>
      <c r="I5" s="261" t="n">
        <v>0</v>
      </c>
      <c r="J5" s="261" t="n">
        <v>0</v>
      </c>
    </row>
    <row r="6">
      <c r="A6" s="733" t="n">
        <v>5</v>
      </c>
      <c r="B6" s="259" t="inlineStr">
        <is>
          <t>Internal Smoke Mode</t>
        </is>
      </c>
    </row>
    <row r="7">
      <c r="A7" s="733" t="n">
        <v>6</v>
      </c>
      <c r="B7" s="259" t="inlineStr">
        <is>
          <t>External Smoke Mode</t>
        </is>
      </c>
    </row>
    <row r="8">
      <c r="A8" s="733" t="n">
        <v>7</v>
      </c>
      <c r="B8" s="259" t="inlineStr">
        <is>
          <t>Dehumidification Mode</t>
        </is>
      </c>
    </row>
    <row r="9">
      <c r="A9" s="733" t="n">
        <v>8</v>
      </c>
      <c r="B9" s="259" t="inlineStr">
        <is>
          <t>Emergency Ventilation Mode</t>
        </is>
      </c>
    </row>
  </sheetData>
  <pageMargins left="0.7" right="0.7" top="0.75" bottom="0.75" header="0.3" footer="0.3"/>
  <pageSetup orientation="portrait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O451"/>
  <sheetViews>
    <sheetView topLeftCell="A144" zoomScale="76" workbookViewId="0">
      <selection activeCell="O208" sqref="O208"/>
    </sheetView>
  </sheetViews>
  <sheetFormatPr baseColWidth="8" defaultColWidth="9.1796875" defaultRowHeight="15.5"/>
  <cols>
    <col width="9.1796875" customWidth="1" style="48" min="1" max="1"/>
    <col width="42.26953125" customWidth="1" style="48" min="2" max="2"/>
    <col width="34.7265625" customWidth="1" style="48" min="3" max="3"/>
    <col width="26.26953125" customWidth="1" style="48" min="4" max="4"/>
    <col width="33.26953125" customWidth="1" style="48" min="5" max="5"/>
    <col width="21.1796875" customWidth="1" style="48" min="6" max="6"/>
    <col width="25" customWidth="1" style="48" min="7" max="7"/>
    <col width="19.7265625" customWidth="1" style="48" min="8" max="8"/>
    <col width="43" customWidth="1" style="48" min="9" max="9"/>
    <col width="25" customWidth="1" style="48" min="10" max="10"/>
    <col width="30.7265625" customWidth="1" style="48" min="11" max="11"/>
    <col width="27.81640625" customWidth="1" style="48" min="12" max="12"/>
    <col width="24" customWidth="1" style="48" min="13" max="13"/>
    <col width="13.26953125" customWidth="1" style="48" min="14" max="14"/>
    <col width="24.81640625" customWidth="1" style="48" min="15" max="15"/>
    <col width="33.453125" customWidth="1" style="48" min="16" max="16"/>
    <col width="17.81640625" customWidth="1" style="48" min="17" max="17"/>
    <col width="18" customWidth="1" style="48" min="18" max="18"/>
    <col width="22.7265625" customWidth="1" style="48" min="19" max="19"/>
    <col width="19.453125" customWidth="1" style="48" min="20" max="20"/>
    <col width="10.1796875" customWidth="1" style="48" min="21" max="21"/>
    <col width="12.7265625" customWidth="1" style="48" min="22" max="22"/>
    <col width="31.1796875" customWidth="1" style="48" min="23" max="23"/>
    <col width="20.7265625" customWidth="1" style="48" min="24" max="24"/>
    <col width="19" customWidth="1" style="48" min="25" max="25"/>
    <col width="19.453125" customWidth="1" style="64" min="26" max="26"/>
    <col width="17.453125" customWidth="1" style="48" min="27" max="27"/>
    <col width="9.1796875" customWidth="1" style="48" min="28" max="29"/>
    <col width="44.453125" customWidth="1" style="48" min="30" max="30"/>
    <col width="17" customWidth="1" style="48" min="31" max="31"/>
    <col width="9.1796875" customWidth="1" style="48" min="32" max="34"/>
    <col width="24.1796875" customWidth="1" style="48" min="35" max="35"/>
    <col width="20.1796875" customWidth="1" style="48" min="36" max="36"/>
    <col width="22.26953125" customWidth="1" style="48" min="37" max="37"/>
    <col width="9.1796875" customWidth="1" style="48" min="38" max="16384"/>
  </cols>
  <sheetData>
    <row r="1">
      <c r="A1" s="334" t="inlineStr">
        <is>
          <t>Sr.No</t>
        </is>
      </c>
      <c r="B1" s="334" t="inlineStr">
        <is>
          <t>Signal / Component</t>
        </is>
      </c>
      <c r="C1" s="334" t="inlineStr">
        <is>
          <t>Category</t>
        </is>
      </c>
      <c r="D1" s="334" t="inlineStr">
        <is>
          <t xml:space="preserve">value </t>
        </is>
      </c>
      <c r="E1" s="334" t="inlineStr">
        <is>
          <t xml:space="preserve">source </t>
        </is>
      </c>
      <c r="F1" s="334" t="inlineStr">
        <is>
          <t>Communication</t>
        </is>
      </c>
      <c r="H1" s="334" t="inlineStr">
        <is>
          <t>Component Id</t>
        </is>
      </c>
      <c r="I1" s="334" t="inlineStr">
        <is>
          <t>Digital Output</t>
        </is>
      </c>
      <c r="J1" s="334" t="inlineStr">
        <is>
          <t xml:space="preserve">Source </t>
        </is>
      </c>
      <c r="K1" s="334" t="inlineStr">
        <is>
          <t xml:space="preserve">Value </t>
        </is>
      </c>
      <c r="L1" s="334" t="n"/>
      <c r="M1" s="334" t="n"/>
      <c r="O1" s="334" t="inlineStr">
        <is>
          <t>Sr.No</t>
        </is>
      </c>
      <c r="P1" s="334" t="inlineStr">
        <is>
          <t>Signal / Component</t>
        </is>
      </c>
      <c r="Q1" s="334" t="inlineStr">
        <is>
          <t>Category</t>
        </is>
      </c>
      <c r="R1" s="334" t="inlineStr">
        <is>
          <t xml:space="preserve">value </t>
        </is>
      </c>
      <c r="S1" s="334" t="inlineStr">
        <is>
          <t>Source</t>
        </is>
      </c>
      <c r="T1" s="334" t="inlineStr">
        <is>
          <t>Communication</t>
        </is>
      </c>
      <c r="V1" s="334" t="inlineStr">
        <is>
          <t>Sr.No</t>
        </is>
      </c>
      <c r="W1" s="334" t="inlineStr">
        <is>
          <t>Signal / Component</t>
        </is>
      </c>
      <c r="X1" s="334" t="inlineStr">
        <is>
          <t>Category</t>
        </is>
      </c>
      <c r="Y1" s="334" t="inlineStr">
        <is>
          <t xml:space="preserve">value </t>
        </is>
      </c>
      <c r="Z1" s="335" t="inlineStr">
        <is>
          <t>Direction</t>
        </is>
      </c>
      <c r="AA1" s="334" t="inlineStr">
        <is>
          <t>Communication</t>
        </is>
      </c>
    </row>
    <row r="2" ht="30" customHeight="1">
      <c r="A2" s="858" t="n">
        <v>1</v>
      </c>
      <c r="B2" s="858" t="inlineStr">
        <is>
          <t>Smoke Detector Status</t>
        </is>
      </c>
      <c r="C2" s="858" t="inlineStr">
        <is>
          <t>DI</t>
        </is>
      </c>
      <c r="D2" s="858">
        <f>IF(OR('DATA TRANSFER'!AE22,'DATA TRANSFER'!AE21),1,0)</f>
        <v/>
      </c>
      <c r="E2" s="858" t="n"/>
      <c r="F2" s="858" t="inlineStr">
        <is>
          <t>Hardwired</t>
        </is>
      </c>
      <c r="H2" s="234" t="inlineStr">
        <is>
          <t>HVAC1_Comp_1</t>
        </is>
      </c>
      <c r="I2" s="336" t="inlineStr">
        <is>
          <t>Compressor 1</t>
        </is>
      </c>
      <c r="J2" s="199" t="inlineStr">
        <is>
          <t>LFD</t>
        </is>
      </c>
      <c r="K2" s="337">
        <f>'DATA TRANSFER'!AT15</f>
        <v/>
      </c>
      <c r="L2" s="3" t="n"/>
      <c r="M2" s="63" t="n"/>
      <c r="O2" s="858" t="n">
        <v>1</v>
      </c>
      <c r="P2" s="858" t="inlineStr">
        <is>
          <t>Return Air Temperature (RAT)</t>
        </is>
      </c>
      <c r="Q2" s="858" t="inlineStr">
        <is>
          <t>AI</t>
        </is>
      </c>
      <c r="R2" s="858">
        <f>'DATA TRANSFER'!F38</f>
        <v/>
      </c>
      <c r="S2" s="858" t="inlineStr">
        <is>
          <t>control panel screen i/p</t>
        </is>
      </c>
      <c r="T2" s="858" t="inlineStr">
        <is>
          <t>Analog</t>
        </is>
      </c>
      <c r="V2" s="858" t="n">
        <v>1</v>
      </c>
      <c r="W2" s="858" t="inlineStr">
        <is>
          <t>Compressor 4 VFD Speed Reference</t>
        </is>
      </c>
      <c r="X2" s="858" t="inlineStr">
        <is>
          <t>AO</t>
        </is>
      </c>
      <c r="Y2" s="858" t="n"/>
      <c r="Z2" s="858" t="inlineStr">
        <is>
          <t>HVAC → Equipment</t>
        </is>
      </c>
      <c r="AA2" s="858" t="inlineStr">
        <is>
          <t>Analog</t>
        </is>
      </c>
      <c r="AD2" s="44" t="inlineStr">
        <is>
          <t>Level_Cool 1</t>
        </is>
      </c>
      <c r="AE2" s="3">
        <f>IF(AND('LFD OLD'!H6,'DATA TRANSFER'!AE20:AE22,'DATA TRANSFER'!AF16,'DATA TRANSFER'!AF17,'DATA TRANSFER'!CP36),1,0)</f>
        <v/>
      </c>
    </row>
    <row r="3" ht="15.75" customHeight="1">
      <c r="A3" s="858" t="n">
        <v>2</v>
      </c>
      <c r="B3" s="858" t="inlineStr">
        <is>
          <t>External Smoke Detection</t>
        </is>
      </c>
      <c r="C3" s="858" t="inlineStr">
        <is>
          <t>DI</t>
        </is>
      </c>
      <c r="D3" s="858">
        <f>'DATA TRANSFER'!AE22</f>
        <v/>
      </c>
      <c r="E3" s="858" t="n"/>
      <c r="F3" s="858" t="inlineStr">
        <is>
          <t>Hardwired</t>
        </is>
      </c>
      <c r="H3" s="234" t="inlineStr">
        <is>
          <t>HVAC1_Comp_2</t>
        </is>
      </c>
      <c r="I3" s="336" t="inlineStr">
        <is>
          <t>Compressor 2</t>
        </is>
      </c>
      <c r="J3" s="199" t="inlineStr">
        <is>
          <t>LFD</t>
        </is>
      </c>
      <c r="K3" s="337">
        <f>'DATA TRANSFER'!AT23</f>
        <v/>
      </c>
      <c r="L3" s="3" t="n"/>
      <c r="M3" s="63" t="n"/>
      <c r="O3" s="858" t="n">
        <v>2</v>
      </c>
      <c r="P3" s="858" t="inlineStr">
        <is>
          <t>Supply Air Temperature (SAT)</t>
        </is>
      </c>
      <c r="Q3" s="858" t="inlineStr">
        <is>
          <t>AI</t>
        </is>
      </c>
      <c r="R3" s="858" t="n"/>
      <c r="S3" s="858" t="n"/>
      <c r="T3" s="858" t="inlineStr">
        <is>
          <t>Analog</t>
        </is>
      </c>
      <c r="V3" s="858" t="n">
        <v>2</v>
      </c>
      <c r="W3" s="858" t="inlineStr">
        <is>
          <t>Supply Air Fan Speed Reference</t>
        </is>
      </c>
      <c r="X3" s="858" t="inlineStr">
        <is>
          <t>AO</t>
        </is>
      </c>
      <c r="Y3" s="858" t="n"/>
      <c r="Z3" s="858" t="inlineStr">
        <is>
          <t>HVAC → Equipment</t>
        </is>
      </c>
      <c r="AA3" s="858" t="inlineStr">
        <is>
          <t>Analog</t>
        </is>
      </c>
      <c r="AD3" s="44" t="inlineStr">
        <is>
          <t>Level_Cool 2</t>
        </is>
      </c>
      <c r="AE3" s="3">
        <f>IF(AND('LFD OLD'!I6,'DATA TRANSFER'!AE20:AE22,'DATA TRANSFER'!AF16,'DATA TRANSFER'!AF17,'DATA TRANSFER'!CP36),1,0)</f>
        <v/>
      </c>
    </row>
    <row r="4" ht="28.5" customHeight="1">
      <c r="A4" s="858" t="n">
        <v>3</v>
      </c>
      <c r="B4" s="858" t="inlineStr">
        <is>
          <t>Internal Fire Detection</t>
        </is>
      </c>
      <c r="C4" s="858" t="inlineStr">
        <is>
          <t>DI</t>
        </is>
      </c>
      <c r="D4" s="858">
        <f>'DATA TRANSFER'!AE21</f>
        <v/>
      </c>
      <c r="E4" s="858" t="n"/>
      <c r="F4" s="858" t="inlineStr">
        <is>
          <t>Hardwired</t>
        </is>
      </c>
      <c r="H4" s="234" t="inlineStr">
        <is>
          <t>HVAC1_Comp_3</t>
        </is>
      </c>
      <c r="I4" s="336" t="inlineStr">
        <is>
          <t>Compressor 3</t>
        </is>
      </c>
      <c r="J4" s="199" t="inlineStr">
        <is>
          <t>LFD</t>
        </is>
      </c>
      <c r="K4" s="337">
        <f>'DATA TRANSFER'!AT24</f>
        <v/>
      </c>
      <c r="L4" s="3" t="n"/>
      <c r="M4" s="63" t="n"/>
      <c r="O4" s="858" t="n">
        <v>3</v>
      </c>
      <c r="P4" s="858" t="inlineStr">
        <is>
          <t>Fresh Air Temperature (FAT)</t>
        </is>
      </c>
      <c r="Q4" s="858" t="inlineStr">
        <is>
          <t>AI</t>
        </is>
      </c>
      <c r="R4" s="858" t="n"/>
      <c r="S4" s="858" t="inlineStr">
        <is>
          <t>control panel screen i/p</t>
        </is>
      </c>
      <c r="T4" s="858" t="inlineStr">
        <is>
          <t>Analog</t>
        </is>
      </c>
      <c r="V4" s="858" t="n">
        <v>3</v>
      </c>
      <c r="W4" s="858" t="inlineStr">
        <is>
          <t>Cooling Demand %</t>
        </is>
      </c>
      <c r="X4" s="858" t="inlineStr">
        <is>
          <t>AO</t>
        </is>
      </c>
      <c r="Y4" s="858" t="n"/>
      <c r="Z4" s="858" t="inlineStr">
        <is>
          <t>HVAC → Equipment</t>
        </is>
      </c>
      <c r="AA4" s="858" t="inlineStr">
        <is>
          <t>Analog</t>
        </is>
      </c>
      <c r="AD4" s="44" t="inlineStr">
        <is>
          <t>Level_Cool 3</t>
        </is>
      </c>
      <c r="AE4" s="3">
        <f>IF(AND('LFD OLD'!J6,'DATA TRANSFER'!AE20:AE22,'DATA TRANSFER'!AF16,'DATA TRANSFER'!AF17,'DATA TRANSFER'!CP36),1,0)</f>
        <v/>
      </c>
    </row>
    <row r="5" ht="20.25" customHeight="1">
      <c r="A5" s="858" t="n">
        <v>4</v>
      </c>
      <c r="B5" s="858" t="inlineStr">
        <is>
          <t>SMDR Relay Status</t>
        </is>
      </c>
      <c r="C5" s="858" t="inlineStr">
        <is>
          <t>DI</t>
        </is>
      </c>
      <c r="D5" s="858">
        <f>IF(OR(D3:D4),1,0)</f>
        <v/>
      </c>
      <c r="E5" s="858" t="n"/>
      <c r="F5" s="858" t="inlineStr">
        <is>
          <t>Hardwired</t>
        </is>
      </c>
      <c r="H5" s="234" t="inlineStr">
        <is>
          <t>HVAC1_Comp_4</t>
        </is>
      </c>
      <c r="I5" s="336" t="inlineStr">
        <is>
          <t>Compressor 4</t>
        </is>
      </c>
      <c r="J5" s="199" t="inlineStr">
        <is>
          <t>LFD</t>
        </is>
      </c>
      <c r="K5" s="337">
        <f>IF(AND('CIRCUIT SIMULATION'!L682,Calculation!$I$95=0,Calculation!D$95=0),1,0)</f>
        <v/>
      </c>
      <c r="L5" s="3" t="n"/>
      <c r="M5" s="63" t="n"/>
      <c r="O5" s="858" t="n">
        <v>4</v>
      </c>
      <c r="P5" s="858" t="inlineStr">
        <is>
          <t>Relative Humidity</t>
        </is>
      </c>
      <c r="Q5" s="858" t="inlineStr">
        <is>
          <t>AI</t>
        </is>
      </c>
      <c r="R5" s="858">
        <f>'DATA TRANSFER'!F43</f>
        <v/>
      </c>
      <c r="S5" s="858" t="inlineStr">
        <is>
          <t>control panel screen i/p</t>
        </is>
      </c>
      <c r="T5" s="858" t="inlineStr">
        <is>
          <t>Analog</t>
        </is>
      </c>
      <c r="V5" s="858" t="n">
        <v>4</v>
      </c>
      <c r="W5" s="858" t="inlineStr">
        <is>
          <t>Fresh Air Damper Position %</t>
        </is>
      </c>
      <c r="X5" s="858" t="inlineStr">
        <is>
          <t>AO</t>
        </is>
      </c>
      <c r="Y5" s="858" t="n"/>
      <c r="Z5" s="858" t="inlineStr">
        <is>
          <t>HVAC → Actuator</t>
        </is>
      </c>
      <c r="AA5" s="858" t="inlineStr">
        <is>
          <t>Analog</t>
        </is>
      </c>
      <c r="AD5" s="44" t="inlineStr">
        <is>
          <t>Level_Cool 4</t>
        </is>
      </c>
      <c r="AE5" s="3">
        <f>IF(AND('LFD OLD'!K6,'DATA TRANSFER'!AE20:AE22,'DATA TRANSFER'!AF16,'DATA TRANSFER'!AF17,'DATA TRANSFER'!CP36),1,0)</f>
        <v/>
      </c>
    </row>
    <row r="6" ht="20.25" customHeight="1">
      <c r="A6" s="858" t="n">
        <v>5</v>
      </c>
      <c r="B6" s="858" t="inlineStr">
        <is>
          <t>FADR Relay Status</t>
        </is>
      </c>
      <c r="C6" s="858" t="inlineStr">
        <is>
          <t>DI</t>
        </is>
      </c>
      <c r="D6" s="858">
        <f>Calculation!B28</f>
        <v/>
      </c>
      <c r="E6" s="858" t="n"/>
      <c r="F6" s="858" t="inlineStr">
        <is>
          <t>Hardwired</t>
        </is>
      </c>
      <c r="H6" s="234" t="inlineStr">
        <is>
          <t>HAVC1_CF_1</t>
        </is>
      </c>
      <c r="I6" s="336" t="inlineStr">
        <is>
          <t>Condenser fan 1_on</t>
        </is>
      </c>
      <c r="J6" s="199" t="inlineStr">
        <is>
          <t>LFD</t>
        </is>
      </c>
      <c r="K6" s="337">
        <f>IF(AND('CIRCUIT SIMULATION'!L683,Calculation!$I$95=0,Calculation!D$95=0),1,0)</f>
        <v/>
      </c>
      <c r="L6" s="3" t="n"/>
      <c r="M6" s="63" t="n"/>
      <c r="O6" s="858" t="n">
        <v>5</v>
      </c>
      <c r="P6" s="858" t="inlineStr">
        <is>
          <t>HP Sensor 1</t>
        </is>
      </c>
      <c r="Q6" s="858" t="inlineStr">
        <is>
          <t>AI</t>
        </is>
      </c>
      <c r="R6" s="858">
        <f>'DATA TRANSFER'!F35</f>
        <v/>
      </c>
      <c r="S6" s="858" t="n"/>
      <c r="T6" s="858" t="inlineStr">
        <is>
          <t>Analog</t>
        </is>
      </c>
      <c r="V6" s="858" t="n">
        <v>5</v>
      </c>
      <c r="W6" s="858" t="inlineStr">
        <is>
          <t>HP Pressure Feedback</t>
        </is>
      </c>
      <c r="X6" s="858" t="inlineStr">
        <is>
          <t>Network AO</t>
        </is>
      </c>
      <c r="Y6" s="858" t="n"/>
      <c r="Z6" s="858" t="inlineStr">
        <is>
          <t>HVAC → TCMS</t>
        </is>
      </c>
      <c r="AA6" s="858" t="inlineStr">
        <is>
          <t>Ethernet/ECN</t>
        </is>
      </c>
      <c r="AD6" s="44" t="inlineStr">
        <is>
          <t>Level_Cool 5</t>
        </is>
      </c>
      <c r="AE6" s="3">
        <f>IF(AND('LFD OLD'!L6,'DATA TRANSFER'!AE20:AE22,'DATA TRANSFER'!AF16,'DATA TRANSFER'!AF17,'DATA TRANSFER'!CP36),1,0)</f>
        <v/>
      </c>
    </row>
    <row r="7" ht="16.5" customHeight="1">
      <c r="A7" s="858" t="n">
        <v>6</v>
      </c>
      <c r="B7" s="858" t="inlineStr">
        <is>
          <t>SFC-OFF Relay Status</t>
        </is>
      </c>
      <c r="C7" s="858" t="inlineStr">
        <is>
          <t>DI</t>
        </is>
      </c>
      <c r="D7" s="858">
        <f>IF(OR(D64:D65),1,0)</f>
        <v/>
      </c>
      <c r="E7" s="858" t="n"/>
      <c r="F7" s="858" t="inlineStr">
        <is>
          <t>Hardwired</t>
        </is>
      </c>
      <c r="H7" s="234" t="inlineStr">
        <is>
          <t>HAVC1_CF_2</t>
        </is>
      </c>
      <c r="I7" s="336" t="inlineStr">
        <is>
          <t>condenser fan 2 _on</t>
        </is>
      </c>
      <c r="J7" s="199" t="inlineStr">
        <is>
          <t>LFD</t>
        </is>
      </c>
      <c r="K7" s="337">
        <f>IF(AND('CIRCUIT SIMULATION'!L684,Calculation!$I$95=0,Calculation!D$95=0),1,0)</f>
        <v/>
      </c>
      <c r="L7" s="3" t="n"/>
      <c r="M7" s="63" t="n"/>
      <c r="O7" s="858" t="n">
        <v>6</v>
      </c>
      <c r="P7" s="858" t="inlineStr">
        <is>
          <t>LP Sensor 1</t>
        </is>
      </c>
      <c r="Q7" s="858" t="inlineStr">
        <is>
          <t>AI</t>
        </is>
      </c>
      <c r="R7" s="858">
        <f>'DATA TRANSFER'!F36</f>
        <v/>
      </c>
      <c r="S7" s="858" t="n"/>
      <c r="T7" s="858" t="inlineStr">
        <is>
          <t>Analog</t>
        </is>
      </c>
      <c r="V7" s="858" t="n">
        <v>6</v>
      </c>
      <c r="W7" s="858" t="inlineStr">
        <is>
          <t>LP Pressure Feedback</t>
        </is>
      </c>
      <c r="X7" s="858" t="inlineStr">
        <is>
          <t>Network AO</t>
        </is>
      </c>
      <c r="Y7" s="858" t="n"/>
      <c r="Z7" s="858" t="inlineStr">
        <is>
          <t>HVAC → TCMS</t>
        </is>
      </c>
      <c r="AA7" s="858" t="inlineStr">
        <is>
          <t>Ethernet/ECN</t>
        </is>
      </c>
      <c r="AD7" s="44" t="inlineStr">
        <is>
          <t>Level_Cool 6</t>
        </is>
      </c>
      <c r="AE7" s="3">
        <f>IF(AND('LFD OLD'!M6,'DATA TRANSFER'!AE20:AE22,'DATA TRANSFER'!AF16,'DATA TRANSFER'!AF17,'DATA TRANSFER'!CP36),1,0)</f>
        <v/>
      </c>
    </row>
    <row r="8" ht="15" customHeight="1">
      <c r="A8" s="858" t="n">
        <v>7</v>
      </c>
      <c r="B8" s="858" t="inlineStr">
        <is>
          <t>PPR1 Relay Status</t>
        </is>
      </c>
      <c r="C8" s="858" t="inlineStr">
        <is>
          <t>DI</t>
        </is>
      </c>
      <c r="D8" s="858" t="n">
        <v>1</v>
      </c>
      <c r="E8" s="858" t="n"/>
      <c r="F8" s="858" t="inlineStr">
        <is>
          <t>Hardwired</t>
        </is>
      </c>
      <c r="H8" s="234" t="inlineStr">
        <is>
          <t>HAVC1__SF_1</t>
        </is>
      </c>
      <c r="I8" s="336" t="inlineStr">
        <is>
          <t>Supply air fan 1_on</t>
        </is>
      </c>
      <c r="J8" s="199" t="inlineStr">
        <is>
          <t>LFD</t>
        </is>
      </c>
      <c r="K8" s="337">
        <f>IF(AND('CIRCUIT SIMULATION'!L688,Calculation!$I$95=0,Calculation!D$95=0),1,0)</f>
        <v/>
      </c>
      <c r="L8" s="3" t="n"/>
      <c r="M8" s="63" t="n"/>
      <c r="O8" s="858" t="n">
        <v>7</v>
      </c>
      <c r="P8" s="858" t="inlineStr">
        <is>
          <t>HP Sensor 2</t>
        </is>
      </c>
      <c r="Q8" s="858" t="inlineStr">
        <is>
          <t>AI</t>
        </is>
      </c>
      <c r="R8" s="858">
        <f>'DATA TRANSFER'!F35</f>
        <v/>
      </c>
      <c r="S8" s="858" t="n"/>
      <c r="T8" s="858" t="inlineStr">
        <is>
          <t>Analog</t>
        </is>
      </c>
      <c r="V8" s="858" t="n">
        <v>7</v>
      </c>
      <c r="W8" s="858" t="inlineStr">
        <is>
          <t>Temperature Feedback</t>
        </is>
      </c>
      <c r="X8" s="858" t="inlineStr">
        <is>
          <t>Network AO</t>
        </is>
      </c>
      <c r="Y8" s="858" t="n"/>
      <c r="Z8" s="858" t="inlineStr">
        <is>
          <t>HVAC → TCMS</t>
        </is>
      </c>
      <c r="AA8" s="858" t="inlineStr">
        <is>
          <t>Ethernet/ECN</t>
        </is>
      </c>
      <c r="AD8" s="44" t="inlineStr">
        <is>
          <t>Level_Cool 7</t>
        </is>
      </c>
      <c r="AE8" s="3">
        <f>IF(AND('LFD OLD'!N6,'DATA TRANSFER'!AE20:AE22,'DATA TRANSFER'!AF16,'DATA TRANSFER'!AF17,'DATA TRANSFER'!CP36),1,0)</f>
        <v/>
      </c>
    </row>
    <row r="9" ht="15.75" customHeight="1">
      <c r="A9" s="858" t="n">
        <v>8</v>
      </c>
      <c r="B9" s="858" t="inlineStr">
        <is>
          <t>PPR2 Relay Status</t>
        </is>
      </c>
      <c r="C9" s="858" t="inlineStr">
        <is>
          <t>DI</t>
        </is>
      </c>
      <c r="D9" s="858" t="n">
        <v>1</v>
      </c>
      <c r="E9" s="858" t="n"/>
      <c r="F9" s="858" t="inlineStr">
        <is>
          <t>Hardwired</t>
        </is>
      </c>
      <c r="H9" s="234" t="inlineStr">
        <is>
          <t>HAVC1__SF_2</t>
        </is>
      </c>
      <c r="I9" s="336" t="inlineStr">
        <is>
          <t>Supply air fan 2_on</t>
        </is>
      </c>
      <c r="J9" s="199" t="inlineStr">
        <is>
          <t>LFD</t>
        </is>
      </c>
      <c r="K9" s="337">
        <f>IF(AND('CIRCUIT SIMULATION'!L689,Calculation!$I$95=0,Calculation!D$95=0),1,0)</f>
        <v/>
      </c>
      <c r="L9" s="3">
        <f>IF(OR(K8:K9),1,0)</f>
        <v/>
      </c>
      <c r="M9" s="63" t="n"/>
      <c r="O9" s="858" t="n">
        <v>8</v>
      </c>
      <c r="P9" s="858" t="inlineStr">
        <is>
          <t>LP Sensor 2</t>
        </is>
      </c>
      <c r="Q9" s="858" t="inlineStr">
        <is>
          <t>AI</t>
        </is>
      </c>
      <c r="R9" s="858">
        <f>'DATA TRANSFER'!F36</f>
        <v/>
      </c>
      <c r="S9" s="858" t="n"/>
      <c r="T9" s="858" t="inlineStr">
        <is>
          <t>Analog</t>
        </is>
      </c>
      <c r="AD9" s="44" t="inlineStr">
        <is>
          <t>Level_Cool 8</t>
        </is>
      </c>
      <c r="AE9" s="3">
        <f>IF(AND('LFD OLD'!O6,'DATA TRANSFER'!AE20:AE22,'DATA TRANSFER'!AF16,'DATA TRANSFER'!AF17,'DATA TRANSFER'!CP36),1,0)</f>
        <v/>
      </c>
    </row>
    <row r="10" ht="18.75" customHeight="1">
      <c r="A10" s="858" t="n">
        <v>9</v>
      </c>
      <c r="B10" s="858" t="inlineStr">
        <is>
          <t>HP Switch 1</t>
        </is>
      </c>
      <c r="C10" s="858" t="inlineStr">
        <is>
          <t>DI</t>
        </is>
      </c>
      <c r="D10" s="858" t="n">
        <v>1</v>
      </c>
      <c r="E10" s="858" t="n"/>
      <c r="F10" s="858" t="inlineStr">
        <is>
          <t>Hardwired</t>
        </is>
      </c>
      <c r="H10" s="234" t="inlineStr">
        <is>
          <t>HVAC1_RADA_1</t>
        </is>
      </c>
      <c r="I10" s="336" t="inlineStr">
        <is>
          <t>Return air damper actuator 1</t>
        </is>
      </c>
      <c r="J10" s="199" t="inlineStr">
        <is>
          <t>LFD</t>
        </is>
      </c>
      <c r="K10" s="338">
        <f>IF(AND('CIRCUIT SIMULATION'!L$685,Calculation!$I$95=0,Calculation!D$95=0,Calculation!G51=0),1,0)</f>
        <v/>
      </c>
      <c r="L10" s="3" t="n"/>
      <c r="M10" s="63" t="n"/>
      <c r="O10" s="858" t="n">
        <v>9</v>
      </c>
      <c r="P10" s="858" t="inlineStr">
        <is>
          <t>Target Temperature (Set Point)</t>
        </is>
      </c>
      <c r="Q10" s="858" t="inlineStr">
        <is>
          <t>Network AI</t>
        </is>
      </c>
      <c r="R10" s="858">
        <f>'DATA TRANSFER'!F37</f>
        <v/>
      </c>
      <c r="S10" s="858" t="inlineStr">
        <is>
          <t>control panel screen i/p</t>
        </is>
      </c>
      <c r="T10" s="858" t="inlineStr">
        <is>
          <t>Ethernet/ECN</t>
        </is>
      </c>
      <c r="W10" s="48" t="inlineStr">
        <is>
          <t>FAD _1</t>
        </is>
      </c>
      <c r="AD10" s="44" t="inlineStr">
        <is>
          <t>Reduced auxiliary Power</t>
        </is>
      </c>
      <c r="AE10" s="3">
        <f>IF(NOT(OR(HVAC_IOs!D8=1,HVAC_IOs!D9=1)),1,0)</f>
        <v/>
      </c>
    </row>
    <row r="11" ht="17.25" customHeight="1">
      <c r="A11" s="858" t="n">
        <v>10</v>
      </c>
      <c r="B11" s="858" t="inlineStr">
        <is>
          <t>LP Switch 1</t>
        </is>
      </c>
      <c r="C11" s="858" t="inlineStr">
        <is>
          <t>DI</t>
        </is>
      </c>
      <c r="D11" s="858" t="n">
        <v>1</v>
      </c>
      <c r="E11" s="858" t="n"/>
      <c r="F11" s="858" t="inlineStr">
        <is>
          <t>Hardwired</t>
        </is>
      </c>
      <c r="H11" s="234" t="inlineStr">
        <is>
          <t>HVAC1_FADA_1</t>
        </is>
      </c>
      <c r="I11" s="336" t="inlineStr">
        <is>
          <t>fresh air damper actuator 1</t>
        </is>
      </c>
      <c r="J11" s="199" t="inlineStr">
        <is>
          <t>LFD</t>
        </is>
      </c>
      <c r="K11" s="339">
        <f>IF(AND('CIRCUIT SIMULATION'!L$686,Calculation!$I$95=0,Calculation!D$95=0,Calculation!G50=0),1,0)</f>
        <v/>
      </c>
      <c r="L11" s="3" t="n"/>
      <c r="M11" s="63" t="n"/>
      <c r="O11" s="858" t="n">
        <v>10</v>
      </c>
      <c r="P11" s="858" t="inlineStr">
        <is>
          <t>Passenger Count</t>
        </is>
      </c>
      <c r="Q11" s="858" t="inlineStr">
        <is>
          <t>Network AI</t>
        </is>
      </c>
      <c r="R11" s="858">
        <f>'DATA TRANSFER'!F40</f>
        <v/>
      </c>
      <c r="S11" s="858" t="inlineStr">
        <is>
          <t>control panel screen i/p</t>
        </is>
      </c>
      <c r="T11" s="858" t="inlineStr">
        <is>
          <t>Ethernet/ECN</t>
        </is>
      </c>
      <c r="W11" s="48" t="inlineStr">
        <is>
          <t>FAD _2</t>
        </is>
      </c>
    </row>
    <row r="12" ht="17.25" customHeight="1">
      <c r="A12" s="858" t="n">
        <v>11</v>
      </c>
      <c r="B12" s="858" t="inlineStr">
        <is>
          <t>HP Switch 2</t>
        </is>
      </c>
      <c r="C12" s="858" t="inlineStr">
        <is>
          <t>DI</t>
        </is>
      </c>
      <c r="D12" s="858" t="n">
        <v>1</v>
      </c>
      <c r="E12" s="858" t="n"/>
      <c r="F12" s="858" t="inlineStr">
        <is>
          <t>Hardwired</t>
        </is>
      </c>
      <c r="H12" s="234" t="inlineStr">
        <is>
          <t>HVAC1_FADA_2</t>
        </is>
      </c>
      <c r="I12" s="336" t="inlineStr">
        <is>
          <t>fresh air damper actuator 2</t>
        </is>
      </c>
      <c r="J12" s="199" t="inlineStr">
        <is>
          <t>LFD</t>
        </is>
      </c>
      <c r="K12" s="339">
        <f>K11</f>
        <v/>
      </c>
      <c r="L12" s="340">
        <f>IF(OR(K11:K12),1,0)</f>
        <v/>
      </c>
      <c r="M12" s="63" t="n"/>
      <c r="O12" s="858" t="n">
        <v>11</v>
      </c>
      <c r="P12" s="858" t="inlineStr">
        <is>
          <t>ambient Temperature</t>
        </is>
      </c>
      <c r="Q12" s="858" t="inlineStr">
        <is>
          <t>AI</t>
        </is>
      </c>
      <c r="R12" s="858" t="n"/>
      <c r="S12" s="858" t="n"/>
      <c r="T12" s="858" t="n"/>
    </row>
    <row r="13" ht="15.75" customHeight="1">
      <c r="A13" s="858" t="n">
        <v>12</v>
      </c>
      <c r="B13" s="858" t="inlineStr">
        <is>
          <t>LP Switch 2</t>
        </is>
      </c>
      <c r="C13" s="858" t="inlineStr">
        <is>
          <t>DI</t>
        </is>
      </c>
      <c r="D13" s="858" t="n">
        <v>1</v>
      </c>
      <c r="E13" s="858" t="n"/>
      <c r="F13" s="858" t="inlineStr">
        <is>
          <t>Hardwired</t>
        </is>
      </c>
      <c r="H13" s="234" t="inlineStr">
        <is>
          <t>HVAC1_EVP_1</t>
        </is>
      </c>
      <c r="I13" s="199" t="inlineStr">
        <is>
          <t xml:space="preserve">evaporator </t>
        </is>
      </c>
      <c r="J13" s="199" t="inlineStr">
        <is>
          <t>LFD</t>
        </is>
      </c>
      <c r="K13" s="3">
        <f>IF(AND(Calculation!I$95=0,Calculation!D95=0),1,0)</f>
        <v/>
      </c>
      <c r="L13" s="3" t="n"/>
      <c r="M13" s="63" t="n"/>
      <c r="P13" s="48" t="inlineStr">
        <is>
          <t>Low Pressure  1</t>
        </is>
      </c>
    </row>
    <row r="14" ht="15.75" customHeight="1">
      <c r="A14" s="858" t="n">
        <v>13</v>
      </c>
      <c r="B14" s="858" t="inlineStr">
        <is>
          <t>AC415 Power Available</t>
        </is>
      </c>
      <c r="C14" s="858" t="inlineStr">
        <is>
          <t>DI</t>
        </is>
      </c>
      <c r="D14" s="858" t="n">
        <v>1</v>
      </c>
      <c r="E14" s="858" t="n"/>
      <c r="F14" s="858" t="inlineStr">
        <is>
          <t>Hardwired</t>
        </is>
      </c>
      <c r="H14" s="234" t="inlineStr">
        <is>
          <t>HVAC1_EINV_1</t>
        </is>
      </c>
      <c r="I14" s="199" t="inlineStr">
        <is>
          <t>Emergency Inverter</t>
        </is>
      </c>
      <c r="J14" s="199" t="inlineStr">
        <is>
          <t>LFD</t>
        </is>
      </c>
      <c r="K14" s="3" t="n"/>
      <c r="L14" s="3" t="n"/>
      <c r="M14" s="63" t="n"/>
      <c r="P14" s="48" t="inlineStr">
        <is>
          <t>Low Pressure  2</t>
        </is>
      </c>
    </row>
    <row r="15" ht="15.75" customHeight="1">
      <c r="A15" s="858" t="n">
        <v>14</v>
      </c>
      <c r="B15" s="858" t="inlineStr">
        <is>
          <t>APS 1 Online Status</t>
        </is>
      </c>
      <c r="C15" s="858" t="inlineStr">
        <is>
          <t>DI</t>
        </is>
      </c>
      <c r="D15" s="858" t="n">
        <v>1</v>
      </c>
      <c r="E15" s="858" t="n"/>
      <c r="F15" s="858" t="inlineStr">
        <is>
          <t>Network</t>
        </is>
      </c>
      <c r="H15" s="234" t="inlineStr">
        <is>
          <t>HVAC1_CF_RE_1</t>
        </is>
      </c>
      <c r="I15" s="199" t="inlineStr">
        <is>
          <t>Condenser Fan Relay I</t>
        </is>
      </c>
      <c r="J15" s="199" t="inlineStr">
        <is>
          <t>LFD</t>
        </is>
      </c>
      <c r="K15" s="3" t="n"/>
      <c r="L15" s="3" t="n"/>
      <c r="M15" s="63" t="n"/>
      <c r="P15" s="48" t="inlineStr">
        <is>
          <t>Low Pressure  3</t>
        </is>
      </c>
    </row>
    <row r="16" ht="18" customHeight="1">
      <c r="A16" s="858" t="n">
        <v>15</v>
      </c>
      <c r="B16" s="858" t="inlineStr">
        <is>
          <t>SIVK ON Status</t>
        </is>
      </c>
      <c r="C16" s="858" t="inlineStr">
        <is>
          <t>DI</t>
        </is>
      </c>
      <c r="D16" s="858" t="n">
        <v>1</v>
      </c>
      <c r="E16" s="858" t="n"/>
      <c r="F16" s="858" t="inlineStr">
        <is>
          <t>Network</t>
        </is>
      </c>
      <c r="H16" s="234" t="inlineStr">
        <is>
          <t>HVAC1_CF_RE_2</t>
        </is>
      </c>
      <c r="I16" s="199" t="inlineStr">
        <is>
          <t>Condenser Fan Relay II</t>
        </is>
      </c>
      <c r="J16" s="199" t="inlineStr">
        <is>
          <t>LFD</t>
        </is>
      </c>
      <c r="K16" s="3">
        <f>IF(NOT('LFD OLD'!R610),1,0)</f>
        <v/>
      </c>
      <c r="L16" s="3" t="n"/>
      <c r="M16" s="63" t="n"/>
      <c r="P16" s="48" t="inlineStr">
        <is>
          <t>Low Pressure  4</t>
        </is>
      </c>
    </row>
    <row r="17" ht="15" customHeight="1">
      <c r="A17" s="858" t="n">
        <v>16</v>
      </c>
      <c r="B17" s="199" t="inlineStr">
        <is>
          <t>Inverter ON Status</t>
        </is>
      </c>
      <c r="C17" s="858" t="inlineStr">
        <is>
          <t>DI</t>
        </is>
      </c>
      <c r="D17" s="858" t="n">
        <v>1</v>
      </c>
      <c r="E17" s="858" t="n"/>
      <c r="F17" s="858" t="inlineStr">
        <is>
          <t>Network</t>
        </is>
      </c>
      <c r="H17" s="234" t="inlineStr">
        <is>
          <t>HVAC1_COMP_RE_1</t>
        </is>
      </c>
      <c r="I17" s="199" t="inlineStr">
        <is>
          <t>Compressor Relay 1</t>
        </is>
      </c>
      <c r="J17" s="199" t="inlineStr">
        <is>
          <t>LFD</t>
        </is>
      </c>
      <c r="K17" s="3">
        <f>IF(NOT('LFD OLD'!R129),1,0)</f>
        <v/>
      </c>
      <c r="L17" s="3" t="n"/>
      <c r="M17" s="63" t="n"/>
      <c r="P17" s="48" t="inlineStr">
        <is>
          <t>High  Pressure  1</t>
        </is>
      </c>
    </row>
    <row r="18" ht="15.75" customHeight="1">
      <c r="A18" s="858" t="n">
        <v>17</v>
      </c>
      <c r="B18" s="199" t="inlineStr">
        <is>
          <t>HVAC Start Allow</t>
        </is>
      </c>
      <c r="C18" s="858" t="inlineStr">
        <is>
          <t>Network DI</t>
        </is>
      </c>
      <c r="D18" s="858" t="n">
        <v>1</v>
      </c>
      <c r="E18" s="858" t="n"/>
      <c r="F18" s="858" t="inlineStr">
        <is>
          <t>Ethernet/ECN</t>
        </is>
      </c>
      <c r="H18" s="234" t="inlineStr">
        <is>
          <t>HVAC1_COMP_RE_2</t>
        </is>
      </c>
      <c r="I18" s="199" t="inlineStr">
        <is>
          <t>Compressor Relay 2</t>
        </is>
      </c>
      <c r="J18" s="199" t="inlineStr">
        <is>
          <t>LFD</t>
        </is>
      </c>
      <c r="K18" s="3">
        <f>IF(NOT('LFD OLD'!R130),1,0)</f>
        <v/>
      </c>
      <c r="L18" s="3" t="n"/>
      <c r="M18" s="63" t="n"/>
      <c r="P18" s="48" t="inlineStr">
        <is>
          <t>High  Pressure  2</t>
        </is>
      </c>
    </row>
    <row r="19" ht="17.25" customHeight="1">
      <c r="A19" s="858" t="n">
        <v>18</v>
      </c>
      <c r="B19" s="199" t="inlineStr">
        <is>
          <t>HVAC Reset</t>
        </is>
      </c>
      <c r="C19" s="858" t="inlineStr">
        <is>
          <t>Network DI</t>
        </is>
      </c>
      <c r="D19" s="858">
        <f>'DATA TRANSFER'!F604</f>
        <v/>
      </c>
      <c r="E19" s="858" t="n"/>
      <c r="F19" s="858" t="inlineStr">
        <is>
          <t>Ethernet/ECN</t>
        </is>
      </c>
      <c r="H19" s="234" t="inlineStr">
        <is>
          <t>HVAC1_COMP_RE_3</t>
        </is>
      </c>
      <c r="I19" s="199" t="inlineStr">
        <is>
          <t>Compressor Relay 3</t>
        </is>
      </c>
      <c r="J19" s="199" t="inlineStr">
        <is>
          <t>LFD</t>
        </is>
      </c>
      <c r="K19" s="3">
        <f>IF(NOT('LFD OLD'!R131),1,0)</f>
        <v/>
      </c>
      <c r="L19" s="3" t="n"/>
      <c r="M19" s="63" t="n"/>
      <c r="P19" s="48" t="inlineStr">
        <is>
          <t>High  Pressure  3</t>
        </is>
      </c>
    </row>
    <row r="20" ht="17.25" customHeight="1">
      <c r="A20" s="858" t="n">
        <v>19</v>
      </c>
      <c r="B20" s="199" t="inlineStr">
        <is>
          <t>HVAC Mode Request</t>
        </is>
      </c>
      <c r="C20" s="858" t="inlineStr">
        <is>
          <t>Network DI</t>
        </is>
      </c>
      <c r="D20" s="858" t="n">
        <v>0</v>
      </c>
      <c r="E20" s="858" t="n"/>
      <c r="F20" s="858" t="inlineStr">
        <is>
          <t>Ethernet/ECN</t>
        </is>
      </c>
      <c r="H20" s="234" t="inlineStr">
        <is>
          <t>HVAC1_COMP_RE_4</t>
        </is>
      </c>
      <c r="I20" s="199" t="inlineStr">
        <is>
          <t>Compressor Relay 4</t>
        </is>
      </c>
      <c r="J20" s="199" t="inlineStr">
        <is>
          <t>LFD</t>
        </is>
      </c>
      <c r="K20" s="3">
        <f>IF(NOT('LFD OLD'!R143),1,0)</f>
        <v/>
      </c>
      <c r="L20" s="3" t="n"/>
      <c r="M20" s="63" t="n"/>
      <c r="P20" s="48" t="inlineStr">
        <is>
          <t>High  Pressure  4</t>
        </is>
      </c>
    </row>
    <row r="21" ht="19.5" customHeight="1">
      <c r="A21" s="858" t="n">
        <v>20</v>
      </c>
      <c r="B21" s="199" t="inlineStr">
        <is>
          <t>Isolation Command</t>
        </is>
      </c>
      <c r="C21" s="858" t="inlineStr">
        <is>
          <t>Network DI</t>
        </is>
      </c>
      <c r="D21" s="858" t="n">
        <v>0</v>
      </c>
      <c r="E21" s="858" t="n"/>
      <c r="F21" s="858" t="inlineStr">
        <is>
          <t>Ethernet/ECN</t>
        </is>
      </c>
      <c r="H21" s="234" t="inlineStr">
        <is>
          <t>HVAC1_HTR_RE_1</t>
        </is>
      </c>
      <c r="I21" s="199" t="inlineStr">
        <is>
          <t>Heater Relay 1</t>
        </is>
      </c>
      <c r="J21" s="199" t="inlineStr">
        <is>
          <t>LFD</t>
        </is>
      </c>
      <c r="K21" s="3" t="n"/>
      <c r="L21" s="3" t="n"/>
      <c r="M21" s="63" t="n"/>
    </row>
    <row r="22" ht="17.25" customHeight="1">
      <c r="A22" s="858" t="n">
        <v>21</v>
      </c>
      <c r="B22" s="336" t="inlineStr">
        <is>
          <t>FAD _1 Open Command</t>
        </is>
      </c>
      <c r="C22" s="858" t="inlineStr">
        <is>
          <t>Network DI</t>
        </is>
      </c>
      <c r="D22" s="858">
        <f>D6</f>
        <v/>
      </c>
      <c r="E22" s="858" t="n"/>
      <c r="F22" s="858" t="inlineStr">
        <is>
          <t>Ethernet/ECN</t>
        </is>
      </c>
      <c r="H22" s="234" t="inlineStr">
        <is>
          <t>HVAC1_HTR_RE_2</t>
        </is>
      </c>
      <c r="I22" s="199" t="inlineStr">
        <is>
          <t>Heater Relay 2</t>
        </is>
      </c>
      <c r="J22" s="199" t="inlineStr">
        <is>
          <t>LFD</t>
        </is>
      </c>
      <c r="K22" s="3" t="n"/>
      <c r="L22" s="3">
        <f>IF(OR(K21=1,K22=1),1,0)</f>
        <v/>
      </c>
      <c r="M22" s="63" t="n"/>
    </row>
    <row r="23" ht="15.75" customHeight="1">
      <c r="A23" s="858" t="n">
        <v>22</v>
      </c>
      <c r="B23" s="336" t="inlineStr">
        <is>
          <t>FAD _2 Close Command</t>
        </is>
      </c>
      <c r="C23" s="858" t="inlineStr">
        <is>
          <t>Network DI</t>
        </is>
      </c>
      <c r="D23" s="858">
        <f>IF(NOT(D22),1,0)</f>
        <v/>
      </c>
      <c r="E23" s="858" t="n"/>
      <c r="F23" s="858" t="inlineStr">
        <is>
          <t>Ethernet/ECN</t>
        </is>
      </c>
      <c r="H23" s="234" t="inlineStr">
        <is>
          <t>HVAC1_FAD_RE_1</t>
        </is>
      </c>
      <c r="I23" s="199" t="inlineStr">
        <is>
          <t>Fresh Air Damper Relay I</t>
        </is>
      </c>
      <c r="J23" s="199" t="inlineStr">
        <is>
          <t>LFD</t>
        </is>
      </c>
      <c r="K23" s="3">
        <f>IF(NOT(OR('LFD OLD'!R189=1,'LFD OLD'!R201=1,'LFD OLD'!R218=1,'LFD OLD'!R30=1)),1,0)</f>
        <v/>
      </c>
      <c r="L23" s="3" t="n"/>
      <c r="M23" s="63" t="n"/>
    </row>
    <row r="24" ht="15" customHeight="1">
      <c r="A24" s="858" t="n">
        <v>23</v>
      </c>
      <c r="B24" s="199" t="inlineStr">
        <is>
          <t>Driver Bypass Command</t>
        </is>
      </c>
      <c r="C24" s="3" t="inlineStr">
        <is>
          <t>Network DI</t>
        </is>
      </c>
      <c r="D24" s="63" t="n">
        <v>0</v>
      </c>
      <c r="E24" s="3" t="n"/>
      <c r="F24" s="3" t="inlineStr">
        <is>
          <t>Ethernet/ECN</t>
        </is>
      </c>
      <c r="H24" s="235" t="inlineStr">
        <is>
          <t>HVAC1_FAD_RE_2</t>
        </is>
      </c>
      <c r="I24" s="341" t="inlineStr">
        <is>
          <t>Fresh Air Damper Relay II</t>
        </is>
      </c>
      <c r="J24" s="341" t="inlineStr">
        <is>
          <t>LFD</t>
        </is>
      </c>
      <c r="K24" s="200">
        <f>IF(NOT(OR('LFD OLD'!R189=1,'LFD OLD'!R201=1,'LFD OLD'!R218=1,'LFD OLD'!R30=1)),1,0)</f>
        <v/>
      </c>
      <c r="L24" s="200" t="n"/>
      <c r="M24" s="342" t="n"/>
    </row>
    <row r="25" ht="15.75" customHeight="1">
      <c r="A25" s="858" t="n">
        <v>24</v>
      </c>
      <c r="B25" s="199" t="inlineStr">
        <is>
          <t>110V DC Control Supply Healthy</t>
        </is>
      </c>
      <c r="C25" s="858" t="inlineStr">
        <is>
          <t>DI</t>
        </is>
      </c>
      <c r="D25" s="63">
        <f>'DATA TRANSFER'!F595</f>
        <v/>
      </c>
      <c r="E25" s="3" t="n"/>
      <c r="F25" s="3" t="inlineStr">
        <is>
          <t>Hardwired</t>
        </is>
      </c>
      <c r="H25" s="236" t="inlineStr">
        <is>
          <t>HVAC1_RAD_RE_1</t>
        </is>
      </c>
      <c r="I25" s="3" t="inlineStr">
        <is>
          <t>Return Air Damper Relay 1</t>
        </is>
      </c>
      <c r="J25" s="3" t="inlineStr">
        <is>
          <t>LFD</t>
        </is>
      </c>
      <c r="K25" s="3" t="n"/>
      <c r="L25" s="3" t="n"/>
      <c r="M25" s="63" t="n"/>
    </row>
    <row r="26" ht="15.75" customHeight="1">
      <c r="A26" s="858" t="n">
        <v>25</v>
      </c>
      <c r="B26" s="199" t="inlineStr">
        <is>
          <t>APS 2 Online Status</t>
        </is>
      </c>
      <c r="C26" s="858" t="inlineStr">
        <is>
          <t>DI</t>
        </is>
      </c>
      <c r="D26" s="858" t="n">
        <v>1</v>
      </c>
      <c r="E26" s="858" t="n"/>
      <c r="F26" s="858" t="inlineStr">
        <is>
          <t>Network</t>
        </is>
      </c>
      <c r="H26" s="236" t="inlineStr">
        <is>
          <t>HVAC1_RAD_RE_2</t>
        </is>
      </c>
      <c r="I26" s="3" t="inlineStr">
        <is>
          <t>Return Air Damper Relay 2</t>
        </is>
      </c>
      <c r="J26" s="3" t="inlineStr">
        <is>
          <t>LFD</t>
        </is>
      </c>
      <c r="K26" s="63" t="n"/>
      <c r="L26" s="3" t="n"/>
      <c r="M26" s="63" t="n"/>
    </row>
    <row r="27" ht="15.75" customHeight="1">
      <c r="A27" s="858" t="n">
        <v>26</v>
      </c>
      <c r="B27" s="199" t="inlineStr">
        <is>
          <t>VDU Command</t>
        </is>
      </c>
      <c r="C27" s="858" t="inlineStr">
        <is>
          <t>Network DI</t>
        </is>
      </c>
      <c r="D27" s="63" t="n"/>
      <c r="E27" s="858" t="n"/>
      <c r="F27" s="858" t="inlineStr">
        <is>
          <t>Ethernet/ECN</t>
        </is>
      </c>
      <c r="H27" s="18" t="inlineStr">
        <is>
          <t>HVAC1_MFR</t>
        </is>
      </c>
      <c r="I27" s="3" t="inlineStr">
        <is>
          <t>HVAC Major Fault Relay</t>
        </is>
      </c>
      <c r="J27" s="3" t="inlineStr">
        <is>
          <t>HC</t>
        </is>
      </c>
      <c r="K27" s="3" t="n">
        <v>0</v>
      </c>
      <c r="L27" s="3" t="n"/>
      <c r="M27" s="63" t="n"/>
    </row>
    <row r="28" ht="15.75" customHeight="1">
      <c r="A28" s="858" t="n">
        <v>27</v>
      </c>
      <c r="B28" s="199" t="inlineStr">
        <is>
          <t>Condenser Fan Contactor Feedback (CFMC)</t>
        </is>
      </c>
      <c r="C28" s="858" t="inlineStr">
        <is>
          <t>DI</t>
        </is>
      </c>
      <c r="D28" s="63" t="n"/>
      <c r="E28" s="858" t="n"/>
      <c r="F28" s="858" t="inlineStr">
        <is>
          <t>Hardwired</t>
        </is>
      </c>
      <c r="H28" s="18" t="inlineStr">
        <is>
          <t>HVAC1_EINVCR</t>
        </is>
      </c>
      <c r="I28" s="3" t="inlineStr">
        <is>
          <t>Emergency Inverter Contactor Relay</t>
        </is>
      </c>
      <c r="J28" s="3" t="inlineStr">
        <is>
          <t>LFD</t>
        </is>
      </c>
      <c r="K28" s="3" t="n"/>
      <c r="L28" s="63" t="n"/>
      <c r="M28" s="63" t="n"/>
    </row>
    <row r="29" ht="15.75" customHeight="1">
      <c r="A29" s="858" t="n">
        <v>28</v>
      </c>
      <c r="B29" s="199" t="inlineStr">
        <is>
          <t>Heater Thermostats (1 &amp; 2)</t>
        </is>
      </c>
      <c r="C29" s="858" t="inlineStr">
        <is>
          <t>DI</t>
        </is>
      </c>
      <c r="D29" s="63" t="n"/>
      <c r="E29" s="63" t="n"/>
      <c r="F29" s="858" t="inlineStr">
        <is>
          <t>Hardwired</t>
        </is>
      </c>
      <c r="H29" s="234" t="inlineStr">
        <is>
          <t>HVAC1_HTR_1</t>
        </is>
      </c>
      <c r="I29" s="3" t="inlineStr">
        <is>
          <t>Heater 1</t>
        </is>
      </c>
      <c r="J29" s="3" t="inlineStr">
        <is>
          <t>LFD</t>
        </is>
      </c>
      <c r="K29" s="337">
        <f>IF(AND('CIRCUIT SIMULATION'!L690,Calculation!$I$95=0,Calculation!D$95=0),1,0)</f>
        <v/>
      </c>
      <c r="L29" s="63" t="n"/>
      <c r="M29" s="63" t="n"/>
    </row>
    <row r="30" ht="15.75" customHeight="1">
      <c r="A30" s="858" t="n">
        <v>29</v>
      </c>
      <c r="B30" s="199" t="inlineStr">
        <is>
          <t>CMPB 1</t>
        </is>
      </c>
      <c r="C30" s="858" t="inlineStr">
        <is>
          <t>DI</t>
        </is>
      </c>
      <c r="D30" s="63" t="n">
        <v>1</v>
      </c>
      <c r="E30" s="63" t="n"/>
      <c r="F30" s="858" t="inlineStr">
        <is>
          <t>Hardwired</t>
        </is>
      </c>
      <c r="H30" s="234" t="inlineStr">
        <is>
          <t>HVAC1_HTR_2</t>
        </is>
      </c>
      <c r="I30" s="3" t="inlineStr">
        <is>
          <t>Heater 2</t>
        </is>
      </c>
      <c r="J30" s="200" t="inlineStr">
        <is>
          <t>LFD</t>
        </is>
      </c>
      <c r="K30" s="343">
        <f>IF(AND('CIRCUIT SIMULATION'!L691,Calculation!$I$95=0,Calculation!D$95=0),1,0)</f>
        <v/>
      </c>
      <c r="L30" s="342">
        <f>IF(OR(K29:K30),1,0)</f>
        <v/>
      </c>
      <c r="M30" s="342" t="n"/>
    </row>
    <row r="31" ht="15.75" customHeight="1">
      <c r="A31" s="858" t="n">
        <v>30</v>
      </c>
      <c r="B31" s="199" t="inlineStr">
        <is>
          <t>CMPB 2</t>
        </is>
      </c>
      <c r="C31" s="858" t="inlineStr">
        <is>
          <t>DI</t>
        </is>
      </c>
      <c r="D31" s="63" t="n">
        <v>1</v>
      </c>
      <c r="E31" s="63" t="n"/>
      <c r="F31" s="858" t="inlineStr">
        <is>
          <t>Hardwired</t>
        </is>
      </c>
      <c r="H31" s="234" t="inlineStr">
        <is>
          <t>HVAC1_HTR_3</t>
        </is>
      </c>
      <c r="I31" s="344" t="inlineStr">
        <is>
          <t>evaporator  solenoid on_1</t>
        </is>
      </c>
      <c r="J31" s="63" t="inlineStr">
        <is>
          <t>-</t>
        </is>
      </c>
      <c r="K31" s="63" t="n"/>
      <c r="L31" s="63" t="n"/>
      <c r="M31" s="63" t="n"/>
    </row>
    <row r="32" ht="15.75" customHeight="1">
      <c r="A32" s="858" t="n">
        <v>31</v>
      </c>
      <c r="B32" s="199" t="inlineStr">
        <is>
          <t>CMPB 3</t>
        </is>
      </c>
      <c r="C32" s="858" t="inlineStr">
        <is>
          <t>DI</t>
        </is>
      </c>
      <c r="D32" s="63" t="n">
        <v>1</v>
      </c>
      <c r="E32" s="63" t="n"/>
      <c r="F32" s="858" t="inlineStr">
        <is>
          <t>Hardwired</t>
        </is>
      </c>
      <c r="H32" s="234" t="inlineStr">
        <is>
          <t>HVAC1_HTR_4</t>
        </is>
      </c>
      <c r="I32" s="344" t="inlineStr">
        <is>
          <t>evaporator  solenoid on_2</t>
        </is>
      </c>
      <c r="J32" s="63" t="inlineStr">
        <is>
          <t>-</t>
        </is>
      </c>
      <c r="K32" s="63" t="n"/>
      <c r="L32" s="63" t="n"/>
      <c r="M32" s="63" t="n"/>
    </row>
    <row r="33" ht="15.75" customHeight="1">
      <c r="A33" s="858" t="n">
        <v>32</v>
      </c>
      <c r="B33" s="199" t="inlineStr">
        <is>
          <t>CMPB 4</t>
        </is>
      </c>
      <c r="C33" s="858" t="inlineStr">
        <is>
          <t>DI</t>
        </is>
      </c>
      <c r="D33" s="63" t="n">
        <v>1</v>
      </c>
      <c r="E33" s="63" t="n"/>
      <c r="F33" s="858" t="inlineStr">
        <is>
          <t>Hardwired</t>
        </is>
      </c>
      <c r="H33" s="234" t="inlineStr">
        <is>
          <t>HVAC1_HTR_5</t>
        </is>
      </c>
      <c r="I33" s="344" t="inlineStr">
        <is>
          <t>evaporator  solenoid on_3</t>
        </is>
      </c>
      <c r="J33" s="63" t="inlineStr">
        <is>
          <t>-</t>
        </is>
      </c>
      <c r="K33" s="63" t="n"/>
      <c r="L33" s="63" t="n"/>
      <c r="M33" s="63" t="n"/>
    </row>
    <row r="34" ht="15.75" customHeight="1">
      <c r="A34" s="858" t="n">
        <v>33</v>
      </c>
      <c r="B34" s="199" t="inlineStr">
        <is>
          <t>CDFB</t>
        </is>
      </c>
      <c r="C34" s="858" t="inlineStr">
        <is>
          <t>DI</t>
        </is>
      </c>
      <c r="D34" s="63" t="n">
        <v>1</v>
      </c>
      <c r="E34" s="63" t="n"/>
      <c r="F34" s="858" t="inlineStr">
        <is>
          <t>Hardwired</t>
        </is>
      </c>
      <c r="H34" s="234" t="inlineStr">
        <is>
          <t>HVAC1_HTR_6</t>
        </is>
      </c>
      <c r="I34" s="345" t="inlineStr">
        <is>
          <t>evaporator  solenoid on_4</t>
        </is>
      </c>
      <c r="J34" s="63" t="inlineStr">
        <is>
          <t>-</t>
        </is>
      </c>
      <c r="K34" s="63" t="n"/>
      <c r="L34" s="63" t="n"/>
      <c r="M34" s="63" t="n"/>
    </row>
    <row r="35" ht="15.75" customHeight="1">
      <c r="A35" s="858" t="n">
        <v>34</v>
      </c>
      <c r="B35" s="199" t="inlineStr">
        <is>
          <t>SAFB 1</t>
        </is>
      </c>
      <c r="C35" s="858" t="inlineStr">
        <is>
          <t>DI</t>
        </is>
      </c>
      <c r="D35" s="63" t="n">
        <v>1</v>
      </c>
      <c r="E35" s="63" t="n"/>
      <c r="F35" s="858" t="inlineStr">
        <is>
          <t>Hardwired</t>
        </is>
      </c>
      <c r="H35" s="258" t="inlineStr">
        <is>
          <t>HVAC1_HTR_7</t>
        </is>
      </c>
      <c r="I35" s="346" t="inlineStr">
        <is>
          <t>HP Switch _1</t>
        </is>
      </c>
      <c r="J35" s="63" t="inlineStr">
        <is>
          <t>-</t>
        </is>
      </c>
      <c r="K35" s="63" t="n"/>
      <c r="L35" s="63" t="n"/>
      <c r="M35" s="63" t="n"/>
    </row>
    <row r="36" ht="15.75" customHeight="1">
      <c r="A36" s="858" t="n">
        <v>35</v>
      </c>
      <c r="B36" s="199" t="inlineStr">
        <is>
          <t>SAFB 2</t>
        </is>
      </c>
      <c r="C36" s="858" t="inlineStr">
        <is>
          <t>DI</t>
        </is>
      </c>
      <c r="D36" s="63" t="n">
        <v>1</v>
      </c>
      <c r="E36" s="63" t="n"/>
      <c r="F36" s="858" t="inlineStr">
        <is>
          <t>Hardwired</t>
        </is>
      </c>
      <c r="H36" s="258" t="inlineStr">
        <is>
          <t>HVAC1_HTR_8</t>
        </is>
      </c>
      <c r="I36" s="346" t="inlineStr">
        <is>
          <t>HP Switch _2</t>
        </is>
      </c>
      <c r="J36" s="63" t="inlineStr">
        <is>
          <t>-</t>
        </is>
      </c>
      <c r="K36" s="63" t="n"/>
      <c r="L36" s="63" t="n"/>
      <c r="M36" s="63" t="n"/>
    </row>
    <row r="37" ht="15.75" customHeight="1">
      <c r="A37" s="858" t="n">
        <v>36</v>
      </c>
      <c r="B37" s="199" t="inlineStr">
        <is>
          <t>HTRB</t>
        </is>
      </c>
      <c r="C37" s="858" t="inlineStr">
        <is>
          <t>DI</t>
        </is>
      </c>
      <c r="D37" s="63" t="n">
        <v>1</v>
      </c>
      <c r="E37" s="63" t="n"/>
      <c r="F37" s="858" t="inlineStr">
        <is>
          <t>Hardwired</t>
        </is>
      </c>
      <c r="H37" s="258" t="inlineStr">
        <is>
          <t>HVAC1_HTR_9</t>
        </is>
      </c>
      <c r="I37" s="346" t="inlineStr">
        <is>
          <t>HP Switch _3</t>
        </is>
      </c>
      <c r="J37" s="63" t="inlineStr">
        <is>
          <t>-</t>
        </is>
      </c>
      <c r="K37" s="63" t="n"/>
      <c r="L37" s="63" t="n"/>
      <c r="M37" s="63" t="n"/>
    </row>
    <row r="38" ht="15.75" customHeight="1">
      <c r="A38" s="858" t="n">
        <v>37</v>
      </c>
      <c r="B38" s="199" t="inlineStr">
        <is>
          <t>HCBN</t>
        </is>
      </c>
      <c r="C38" s="858" t="inlineStr">
        <is>
          <t>DI</t>
        </is>
      </c>
      <c r="D38" s="63" t="n">
        <v>1</v>
      </c>
      <c r="E38" s="63" t="n"/>
      <c r="F38" s="858" t="inlineStr">
        <is>
          <t>Hardwired</t>
        </is>
      </c>
      <c r="H38" s="258" t="inlineStr">
        <is>
          <t>HVAC1_HTR_10</t>
        </is>
      </c>
      <c r="I38" s="346" t="inlineStr">
        <is>
          <t>HP Switch _4</t>
        </is>
      </c>
      <c r="J38" s="63" t="inlineStr">
        <is>
          <t>-</t>
        </is>
      </c>
      <c r="K38" s="63" t="n"/>
      <c r="L38" s="63" t="n"/>
      <c r="M38" s="63" t="n"/>
    </row>
    <row r="39" ht="15.75" customHeight="1">
      <c r="A39" s="858" t="n">
        <v>38</v>
      </c>
      <c r="B39" s="199" t="inlineStr">
        <is>
          <t>HTCN(110v)</t>
        </is>
      </c>
      <c r="C39" s="858" t="inlineStr">
        <is>
          <t>DI</t>
        </is>
      </c>
      <c r="D39" s="63" t="n">
        <v>1</v>
      </c>
      <c r="E39" s="63" t="n"/>
      <c r="F39" s="858" t="inlineStr">
        <is>
          <t>Hardwired</t>
        </is>
      </c>
    </row>
    <row r="40" ht="15.75" customHeight="1">
      <c r="A40" s="858" t="n">
        <v>39</v>
      </c>
      <c r="B40" s="199" t="inlineStr">
        <is>
          <t>HTC24N</t>
        </is>
      </c>
      <c r="C40" s="858" t="inlineStr">
        <is>
          <t>DI</t>
        </is>
      </c>
      <c r="D40" s="63" t="n">
        <v>1</v>
      </c>
      <c r="E40" s="63" t="n"/>
      <c r="F40" s="858" t="inlineStr">
        <is>
          <t>Hardwired</t>
        </is>
      </c>
    </row>
    <row r="41" ht="15.75" customHeight="1">
      <c r="A41" s="858" t="n">
        <v>40</v>
      </c>
      <c r="B41" s="199" t="inlineStr">
        <is>
          <t>LVB (6A)</t>
        </is>
      </c>
      <c r="C41" s="858" t="inlineStr">
        <is>
          <t>DI</t>
        </is>
      </c>
      <c r="D41" s="63" t="n">
        <v>1</v>
      </c>
      <c r="E41" s="63" t="n"/>
      <c r="F41" s="858" t="inlineStr">
        <is>
          <t>Hardwired</t>
        </is>
      </c>
    </row>
    <row r="42" ht="15.75" customHeight="1">
      <c r="A42" s="858" t="n">
        <v>41</v>
      </c>
      <c r="B42" s="199" t="inlineStr">
        <is>
          <t>ACCP1N</t>
        </is>
      </c>
      <c r="C42" s="858" t="inlineStr">
        <is>
          <t>DI</t>
        </is>
      </c>
      <c r="D42" s="63" t="n">
        <v>1</v>
      </c>
      <c r="E42" s="63" t="n"/>
      <c r="F42" s="858" t="inlineStr">
        <is>
          <t>Hardwired</t>
        </is>
      </c>
    </row>
    <row r="43" ht="15.75" customHeight="1">
      <c r="A43" s="858" t="n">
        <v>42</v>
      </c>
      <c r="B43" s="199" t="inlineStr">
        <is>
          <t>ACCP2N</t>
        </is>
      </c>
      <c r="C43" s="858" t="inlineStr">
        <is>
          <t>DI</t>
        </is>
      </c>
      <c r="D43" s="63" t="n">
        <v>1</v>
      </c>
      <c r="E43" s="63" t="n"/>
      <c r="F43" s="858" t="inlineStr">
        <is>
          <t>Hardwired</t>
        </is>
      </c>
    </row>
    <row r="44" ht="15.75" customHeight="1">
      <c r="A44" s="858" t="n">
        <v>43</v>
      </c>
      <c r="B44" s="199" t="inlineStr">
        <is>
          <t>CACPN</t>
        </is>
      </c>
      <c r="C44" s="858" t="inlineStr">
        <is>
          <t>DI</t>
        </is>
      </c>
      <c r="D44" s="63" t="n">
        <v>1</v>
      </c>
      <c r="E44" s="63" t="n"/>
      <c r="F44" s="858" t="inlineStr">
        <is>
          <t>Hardwired</t>
        </is>
      </c>
    </row>
    <row r="45" ht="15.75" customHeight="1">
      <c r="A45" s="858" t="n">
        <v>44</v>
      </c>
      <c r="B45" s="199" t="inlineStr">
        <is>
          <t>SAFC1</t>
        </is>
      </c>
      <c r="C45" s="858" t="inlineStr">
        <is>
          <t>DI</t>
        </is>
      </c>
      <c r="D45" s="63" t="n">
        <v>1</v>
      </c>
      <c r="E45" s="63" t="n"/>
      <c r="F45" s="858" t="inlineStr">
        <is>
          <t>Hardwired</t>
        </is>
      </c>
    </row>
    <row r="46" ht="15.75" customHeight="1">
      <c r="A46" s="858" t="n">
        <v>45</v>
      </c>
      <c r="B46" s="199" t="inlineStr">
        <is>
          <t>SAFC2</t>
        </is>
      </c>
      <c r="C46" s="858" t="inlineStr">
        <is>
          <t>DI</t>
        </is>
      </c>
      <c r="D46" s="63" t="n">
        <v>1</v>
      </c>
      <c r="E46" s="63" t="n"/>
      <c r="F46" s="858" t="inlineStr">
        <is>
          <t>Hardwired</t>
        </is>
      </c>
    </row>
    <row r="47" ht="15.75" customHeight="1">
      <c r="A47" s="858" t="n">
        <v>46</v>
      </c>
      <c r="B47" s="199" t="inlineStr">
        <is>
          <t>Comp TDR1</t>
        </is>
      </c>
      <c r="C47" s="858" t="inlineStr">
        <is>
          <t>DI</t>
        </is>
      </c>
      <c r="D47" s="63" t="n">
        <v>1</v>
      </c>
      <c r="E47" s="63" t="n"/>
      <c r="F47" s="858" t="inlineStr">
        <is>
          <t>Hardwired</t>
        </is>
      </c>
    </row>
    <row r="48" ht="15.75" customHeight="1">
      <c r="A48" s="858" t="n">
        <v>47</v>
      </c>
      <c r="B48" s="199" t="inlineStr">
        <is>
          <t>EMR (Emergency Relay)</t>
        </is>
      </c>
      <c r="C48" s="858" t="inlineStr">
        <is>
          <t>DI</t>
        </is>
      </c>
      <c r="D48" s="63" t="n">
        <v>1</v>
      </c>
      <c r="E48" s="63" t="n"/>
      <c r="F48" s="858" t="inlineStr">
        <is>
          <t>Hardwired</t>
        </is>
      </c>
    </row>
    <row r="49" ht="15.75" customHeight="1">
      <c r="A49" s="858" t="n">
        <v>48</v>
      </c>
      <c r="B49" s="199" t="inlineStr">
        <is>
          <t>CMC (Compressor Motor Contactor)</t>
        </is>
      </c>
      <c r="C49" s="858" t="inlineStr">
        <is>
          <t>DI</t>
        </is>
      </c>
      <c r="D49" s="63" t="n">
        <v>1</v>
      </c>
      <c r="E49" s="63" t="n"/>
      <c r="F49" s="858" t="inlineStr">
        <is>
          <t>Network</t>
        </is>
      </c>
    </row>
    <row r="50" ht="15.75" customHeight="1">
      <c r="A50" s="858" t="n">
        <v>49</v>
      </c>
      <c r="B50" s="199" t="inlineStr">
        <is>
          <t xml:space="preserve">HVAC Start time </t>
        </is>
      </c>
      <c r="C50" s="858" t="inlineStr">
        <is>
          <t>DI</t>
        </is>
      </c>
      <c r="D50" s="63" t="n">
        <v>1</v>
      </c>
      <c r="E50" s="858" t="inlineStr">
        <is>
          <t>control panel screen i/p</t>
        </is>
      </c>
      <c r="F50" s="858" t="inlineStr">
        <is>
          <t>Network</t>
        </is>
      </c>
    </row>
    <row r="51" ht="15.75" customHeight="1">
      <c r="A51" s="858" t="n">
        <v>50</v>
      </c>
      <c r="B51" s="199" t="inlineStr">
        <is>
          <t xml:space="preserve">HVAC current time </t>
        </is>
      </c>
      <c r="C51" s="858" t="inlineStr">
        <is>
          <t>DI</t>
        </is>
      </c>
      <c r="D51" s="63" t="n">
        <v>1</v>
      </c>
      <c r="E51" s="858" t="inlineStr">
        <is>
          <t>control panel screen i/p</t>
        </is>
      </c>
      <c r="F51" s="858" t="inlineStr">
        <is>
          <t>Network</t>
        </is>
      </c>
    </row>
    <row r="52" ht="15.75" customHeight="1">
      <c r="A52" s="858" t="n">
        <v>51</v>
      </c>
      <c r="B52" s="199" t="inlineStr">
        <is>
          <t>Pumpdown Check(Managed Shutdown )</t>
        </is>
      </c>
      <c r="C52" s="858" t="inlineStr">
        <is>
          <t>DI</t>
        </is>
      </c>
      <c r="D52" s="63" t="n">
        <v>1</v>
      </c>
      <c r="E52" s="858" t="n"/>
      <c r="F52" s="858" t="inlineStr">
        <is>
          <t>Network</t>
        </is>
      </c>
    </row>
    <row r="53" ht="15.75" customHeight="1">
      <c r="A53" s="858" t="n">
        <v>52</v>
      </c>
      <c r="B53" s="199" t="inlineStr">
        <is>
          <t>Runtime Equalization</t>
        </is>
      </c>
      <c r="C53" s="858" t="inlineStr">
        <is>
          <t>DI</t>
        </is>
      </c>
      <c r="D53" s="63" t="n">
        <v>1</v>
      </c>
      <c r="E53" s="858" t="n"/>
      <c r="F53" s="858" t="inlineStr">
        <is>
          <t>Network</t>
        </is>
      </c>
    </row>
    <row r="54" ht="15.75" customHeight="1">
      <c r="A54" s="858" t="n">
        <v>53</v>
      </c>
      <c r="B54" s="199" t="inlineStr">
        <is>
          <t>Comp TDR2</t>
        </is>
      </c>
      <c r="C54" s="858" t="inlineStr">
        <is>
          <t>DI</t>
        </is>
      </c>
      <c r="D54" s="63" t="n">
        <v>1</v>
      </c>
      <c r="E54" s="858" t="n"/>
      <c r="F54" s="858" t="inlineStr">
        <is>
          <t>Network</t>
        </is>
      </c>
    </row>
    <row r="55" ht="15.75" customHeight="1">
      <c r="A55" s="858" t="n">
        <v>54</v>
      </c>
      <c r="B55" s="199" t="inlineStr">
        <is>
          <t>RAD Open Status</t>
        </is>
      </c>
      <c r="C55" s="858" t="inlineStr">
        <is>
          <t>DI</t>
        </is>
      </c>
      <c r="D55" s="63">
        <f>Calculation!B78</f>
        <v/>
      </c>
      <c r="E55" s="858" t="n"/>
      <c r="F55" s="858" t="inlineStr">
        <is>
          <t>Network</t>
        </is>
      </c>
    </row>
    <row r="56" ht="15.75" customHeight="1">
      <c r="A56" s="858" t="n">
        <v>55</v>
      </c>
      <c r="B56" s="199" t="inlineStr">
        <is>
          <t>RAD CLOSE Status</t>
        </is>
      </c>
      <c r="C56" s="858" t="inlineStr">
        <is>
          <t>DI</t>
        </is>
      </c>
      <c r="D56" s="63">
        <f>IF(NOT(D55),1,0)</f>
        <v/>
      </c>
      <c r="E56" s="858" t="n"/>
      <c r="F56" s="858" t="inlineStr">
        <is>
          <t>Network</t>
        </is>
      </c>
    </row>
    <row r="57" ht="15.75" customHeight="1">
      <c r="A57" s="858" t="n">
        <v>56</v>
      </c>
      <c r="B57" s="341" t="inlineStr">
        <is>
          <t>Heater Status</t>
        </is>
      </c>
      <c r="C57" s="385" t="inlineStr">
        <is>
          <t>DI</t>
        </is>
      </c>
      <c r="D57" s="342">
        <f>Calculation!B65</f>
        <v/>
      </c>
      <c r="E57" s="342" t="n"/>
      <c r="F57" s="858" t="inlineStr">
        <is>
          <t>Network</t>
        </is>
      </c>
    </row>
    <row r="58" ht="15.75" customHeight="1">
      <c r="A58" s="858" t="n">
        <v>57</v>
      </c>
      <c r="B58" s="63" t="inlineStr">
        <is>
          <t>CDFC</t>
        </is>
      </c>
      <c r="C58" s="385" t="inlineStr">
        <is>
          <t>DI</t>
        </is>
      </c>
      <c r="D58" s="63" t="n">
        <v>1</v>
      </c>
      <c r="E58" s="63" t="n"/>
      <c r="F58" s="858" t="inlineStr">
        <is>
          <t>Network</t>
        </is>
      </c>
    </row>
    <row r="59" ht="15.75" customHeight="1">
      <c r="A59" s="858" t="n">
        <v>58</v>
      </c>
      <c r="B59" s="63" t="inlineStr">
        <is>
          <t>HTRC 1</t>
        </is>
      </c>
      <c r="C59" s="858" t="inlineStr">
        <is>
          <t>DI</t>
        </is>
      </c>
      <c r="D59" s="63" t="n"/>
      <c r="E59" s="63" t="n"/>
      <c r="F59" s="858" t="inlineStr">
        <is>
          <t>Network</t>
        </is>
      </c>
    </row>
    <row r="60" ht="15.75" customHeight="1">
      <c r="A60" s="858" t="n">
        <v>59</v>
      </c>
      <c r="B60" s="48" t="inlineStr">
        <is>
          <t>COMP 1</t>
        </is>
      </c>
      <c r="D60" s="48">
        <f>Calculation!B73</f>
        <v/>
      </c>
    </row>
    <row r="61" ht="15.75" customHeight="1">
      <c r="A61" s="858" t="n">
        <v>60</v>
      </c>
      <c r="B61" s="48" t="inlineStr">
        <is>
          <t>COMP 2</t>
        </is>
      </c>
      <c r="D61" s="48">
        <f>Calculation!B74</f>
        <v/>
      </c>
    </row>
    <row r="62" ht="15.75" customHeight="1">
      <c r="A62" s="858" t="n">
        <v>61</v>
      </c>
      <c r="B62" s="48" t="inlineStr">
        <is>
          <t>COMP 3</t>
        </is>
      </c>
      <c r="D62" s="48">
        <f>Calculation!B75</f>
        <v/>
      </c>
    </row>
    <row r="63" ht="15.75" customHeight="1">
      <c r="A63" s="858" t="n">
        <v>62</v>
      </c>
      <c r="B63" s="48" t="inlineStr">
        <is>
          <t>COMP 4</t>
        </is>
      </c>
      <c r="D63" s="48">
        <f>Calculation!B76</f>
        <v/>
      </c>
    </row>
    <row r="64" ht="15.75" customHeight="1">
      <c r="A64" s="858" t="n">
        <v>63</v>
      </c>
      <c r="B64" s="48" t="inlineStr">
        <is>
          <t>SUPPLY AIR FAN 1</t>
        </is>
      </c>
      <c r="D64" s="48">
        <f>'DATA TRANSFER'!AT14</f>
        <v/>
      </c>
    </row>
    <row r="65" ht="15.75" customHeight="1">
      <c r="A65" s="858" t="n">
        <v>64</v>
      </c>
      <c r="B65" s="48" t="inlineStr">
        <is>
          <t>SUPPLY AIR FAN 2</t>
        </is>
      </c>
      <c r="D65" s="48">
        <f>'DATA TRANSFER'!AT26</f>
        <v/>
      </c>
    </row>
    <row r="66" ht="15.75" customHeight="1">
      <c r="A66" s="858" t="n">
        <v>65</v>
      </c>
      <c r="B66" s="48" t="inlineStr">
        <is>
          <t>CONDENSER FAN 1</t>
        </is>
      </c>
      <c r="D66" s="48">
        <f>'DATA TRANSFER'!AT14</f>
        <v/>
      </c>
    </row>
    <row r="67" ht="15.75" customHeight="1">
      <c r="A67" s="858" t="n">
        <v>66</v>
      </c>
      <c r="B67" s="48" t="inlineStr">
        <is>
          <t>CONDENSER FAN 2</t>
        </is>
      </c>
      <c r="D67" s="48">
        <f>'DATA TRANSFER'!AT22</f>
        <v/>
      </c>
    </row>
    <row r="68">
      <c r="A68" s="858" t="n">
        <v>67</v>
      </c>
    </row>
    <row r="69" ht="15" customHeight="1">
      <c r="A69" s="858" t="n">
        <v>68</v>
      </c>
      <c r="B69" s="3" t="inlineStr">
        <is>
          <t>CMPC 1</t>
        </is>
      </c>
      <c r="C69" s="63" t="n"/>
      <c r="D69" s="63" t="n">
        <v>1</v>
      </c>
      <c r="E69" s="63" t="n"/>
      <c r="F69" s="858" t="inlineStr">
        <is>
          <t>Hardwired</t>
        </is>
      </c>
    </row>
    <row r="70">
      <c r="A70" s="858" t="n">
        <v>69</v>
      </c>
      <c r="B70" s="3" t="inlineStr">
        <is>
          <t>CMPC 2</t>
        </is>
      </c>
      <c r="C70" s="63" t="n"/>
      <c r="D70" s="63" t="n">
        <v>1</v>
      </c>
      <c r="E70" s="63" t="n"/>
      <c r="F70" s="858" t="inlineStr">
        <is>
          <t>Hardwired</t>
        </is>
      </c>
    </row>
    <row r="71">
      <c r="A71" s="858" t="n">
        <v>70</v>
      </c>
      <c r="B71" s="3" t="inlineStr">
        <is>
          <t>CMPC 3</t>
        </is>
      </c>
      <c r="C71" s="63" t="n"/>
      <c r="D71" s="63" t="n">
        <v>1</v>
      </c>
      <c r="E71" s="63" t="n"/>
      <c r="F71" s="858" t="inlineStr">
        <is>
          <t>Hardwired</t>
        </is>
      </c>
    </row>
    <row r="72">
      <c r="A72" s="858" t="n">
        <v>71</v>
      </c>
      <c r="B72" s="3" t="inlineStr">
        <is>
          <t>CMPC 4</t>
        </is>
      </c>
      <c r="C72" s="63" t="n"/>
      <c r="D72" s="63" t="n">
        <v>1</v>
      </c>
      <c r="E72" s="63" t="n"/>
      <c r="F72" s="858" t="inlineStr">
        <is>
          <t>Hardwired</t>
        </is>
      </c>
    </row>
    <row r="73">
      <c r="A73" s="858" t="n">
        <v>72</v>
      </c>
      <c r="B73" s="63" t="inlineStr">
        <is>
          <t>HTRC 2</t>
        </is>
      </c>
      <c r="C73" s="63" t="n"/>
      <c r="D73" s="63" t="n">
        <v>1</v>
      </c>
      <c r="E73" s="63" t="n"/>
      <c r="F73" s="858" t="inlineStr">
        <is>
          <t>Hardwired</t>
        </is>
      </c>
    </row>
    <row r="74">
      <c r="A74" s="858" t="n">
        <v>73</v>
      </c>
      <c r="B74" s="63" t="inlineStr">
        <is>
          <t>HCR9</t>
        </is>
      </c>
      <c r="C74" s="63" t="n"/>
      <c r="D74" s="63" t="n">
        <v>1</v>
      </c>
      <c r="E74" s="63" t="n"/>
      <c r="F74" s="858" t="inlineStr">
        <is>
          <t>Hardwired</t>
        </is>
      </c>
    </row>
    <row r="75">
      <c r="A75" s="858" t="n">
        <v>74</v>
      </c>
      <c r="B75" s="63" t="inlineStr">
        <is>
          <t>SRRB</t>
        </is>
      </c>
      <c r="C75" s="63" t="n"/>
      <c r="D75" s="63" t="n">
        <v>1</v>
      </c>
      <c r="E75" s="63" t="n"/>
      <c r="F75" s="858" t="inlineStr">
        <is>
          <t>Hardwired</t>
        </is>
      </c>
    </row>
    <row r="76">
      <c r="A76" s="858" t="n">
        <v>75</v>
      </c>
      <c r="B76" s="63" t="inlineStr">
        <is>
          <t>SMDRB</t>
        </is>
      </c>
      <c r="C76" s="63" t="n"/>
      <c r="D76" s="63" t="n">
        <v>1</v>
      </c>
      <c r="E76" s="63" t="n"/>
      <c r="F76" s="858" t="inlineStr">
        <is>
          <t>Hardwired</t>
        </is>
      </c>
    </row>
    <row r="77">
      <c r="A77" s="858" t="n">
        <v>76</v>
      </c>
      <c r="B77" s="63" t="inlineStr">
        <is>
          <t>TCR6-E</t>
        </is>
      </c>
      <c r="C77" s="63" t="n"/>
      <c r="D77" s="63" t="n">
        <v>1</v>
      </c>
      <c r="E77" s="63" t="n"/>
      <c r="F77" s="858" t="inlineStr">
        <is>
          <t>Hardwired</t>
        </is>
      </c>
    </row>
    <row r="78">
      <c r="A78" s="858" t="n">
        <v>77</v>
      </c>
      <c r="B78" s="63" t="inlineStr">
        <is>
          <t>LUB</t>
        </is>
      </c>
      <c r="C78" s="63" t="n"/>
      <c r="D78" s="63" t="n">
        <v>1</v>
      </c>
      <c r="E78" s="63" t="n"/>
      <c r="F78" s="858" t="inlineStr">
        <is>
          <t>Hardwired</t>
        </is>
      </c>
    </row>
    <row r="79">
      <c r="A79" s="858" t="n">
        <v>78</v>
      </c>
      <c r="B79" s="63" t="inlineStr">
        <is>
          <t>ESAFC</t>
        </is>
      </c>
      <c r="C79" s="63" t="n"/>
      <c r="D79" s="63" t="n">
        <v>1</v>
      </c>
      <c r="E79" s="63" t="n"/>
      <c r="F79" s="858" t="inlineStr">
        <is>
          <t>Hardwired</t>
        </is>
      </c>
    </row>
    <row r="80">
      <c r="A80" s="858" t="n">
        <v>79</v>
      </c>
      <c r="B80" s="63" t="inlineStr">
        <is>
          <t>SMRR</t>
        </is>
      </c>
      <c r="C80" s="63" t="n"/>
      <c r="D80" s="63" t="n">
        <v>1</v>
      </c>
      <c r="E80" s="63" t="n"/>
      <c r="F80" s="858" t="inlineStr">
        <is>
          <t>Hardwired</t>
        </is>
      </c>
    </row>
    <row r="81">
      <c r="A81" s="858" t="n">
        <v>80</v>
      </c>
      <c r="B81" s="63" t="inlineStr">
        <is>
          <t>TMR 1</t>
        </is>
      </c>
      <c r="C81" s="63" t="n"/>
      <c r="D81" s="63" t="n">
        <v>1</v>
      </c>
      <c r="E81" s="63" t="n"/>
      <c r="F81" s="858" t="inlineStr">
        <is>
          <t>Network</t>
        </is>
      </c>
    </row>
    <row r="82">
      <c r="A82" s="858" t="n">
        <v>81</v>
      </c>
      <c r="B82" s="63" t="inlineStr">
        <is>
          <t>TMR 2</t>
        </is>
      </c>
      <c r="C82" s="63" t="n"/>
      <c r="D82" s="63" t="n">
        <v>1</v>
      </c>
      <c r="E82" s="63" t="n"/>
      <c r="F82" s="858" t="inlineStr">
        <is>
          <t>Network</t>
        </is>
      </c>
    </row>
    <row r="92">
      <c r="A92" s="853" t="inlineStr">
        <is>
          <t>Inputs from TCMS SCREEN</t>
        </is>
      </c>
      <c r="B92" s="869" t="n"/>
      <c r="C92" s="869" t="n"/>
      <c r="D92" s="869" t="n"/>
      <c r="E92" s="869" t="n"/>
      <c r="F92" s="869" t="n"/>
      <c r="G92" s="869" t="n"/>
      <c r="J92" s="853" t="inlineStr">
        <is>
          <t>OUTputs from TCMS SCREEN</t>
        </is>
      </c>
      <c r="K92" s="869" t="n"/>
      <c r="L92" s="869" t="n"/>
      <c r="M92" s="869" t="n"/>
      <c r="N92" s="869" t="n"/>
      <c r="O92" s="869" t="n"/>
      <c r="P92" s="869" t="n"/>
    </row>
    <row r="93">
      <c r="A93" s="146" t="inlineStr">
        <is>
          <t>Sr. No.</t>
        </is>
      </c>
      <c r="B93" s="146" t="inlineStr">
        <is>
          <t>Ferrule Number/ Unique id</t>
        </is>
      </c>
      <c r="C93" s="146" t="inlineStr">
        <is>
          <t>TCMS  Input variable</t>
        </is>
      </c>
      <c r="D93" s="147" t="inlineStr">
        <is>
          <t>Data Type</t>
        </is>
      </c>
      <c r="E93" s="146" t="inlineStr">
        <is>
          <t xml:space="preserve">Source </t>
        </is>
      </c>
      <c r="F93" s="146" t="inlineStr">
        <is>
          <t>Value</t>
        </is>
      </c>
      <c r="G93" s="146" t="inlineStr">
        <is>
          <t>Remark</t>
        </is>
      </c>
      <c r="J93" s="146" t="inlineStr">
        <is>
          <t>Sr. No.</t>
        </is>
      </c>
      <c r="K93" s="146" t="inlineStr">
        <is>
          <t>Ferrule Number/ Unique id</t>
        </is>
      </c>
      <c r="L93" s="146" t="inlineStr">
        <is>
          <t>TCMS  OUTPUT variable</t>
        </is>
      </c>
      <c r="M93" s="147" t="inlineStr">
        <is>
          <t>Data Type</t>
        </is>
      </c>
      <c r="N93" s="146" t="inlineStr">
        <is>
          <t xml:space="preserve">Source </t>
        </is>
      </c>
      <c r="O93" s="146" t="inlineStr">
        <is>
          <t>Value</t>
        </is>
      </c>
      <c r="P93" s="146" t="inlineStr">
        <is>
          <t>Remark</t>
        </is>
      </c>
    </row>
    <row r="94" ht="28.5" customHeight="1">
      <c r="A94" s="140" t="n">
        <v>1</v>
      </c>
      <c r="B94" s="141" t="inlineStr">
        <is>
          <t>MODE SETTING SCREEN- CAR Select</t>
        </is>
      </c>
      <c r="C94" s="141" t="inlineStr">
        <is>
          <t>ALL CAR</t>
        </is>
      </c>
      <c r="D94" s="142" t="inlineStr">
        <is>
          <t>boolean</t>
        </is>
      </c>
      <c r="E94" s="143" t="inlineStr">
        <is>
          <t>TCMS</t>
        </is>
      </c>
      <c r="F94" s="143">
        <f>'DATA TRANSFER'!F731</f>
        <v/>
      </c>
      <c r="G94" s="141" t="inlineStr">
        <is>
          <t>ALL CAR/ DMA/ TCA /DMB</t>
        </is>
      </c>
      <c r="J94" s="140" t="n">
        <v>1</v>
      </c>
      <c r="K94" s="140" t="inlineStr">
        <is>
          <t>HVAC STATUS SCREEN</t>
        </is>
      </c>
      <c r="L94" s="140" t="inlineStr">
        <is>
          <t>HVAC_1_DMA_Status</t>
        </is>
      </c>
      <c r="M94" s="144" t="inlineStr">
        <is>
          <t>Integer</t>
        </is>
      </c>
      <c r="N94" s="140" t="inlineStr">
        <is>
          <t>TCMS</t>
        </is>
      </c>
      <c r="O94" s="140">
        <f>TCMS!C4</f>
        <v/>
      </c>
      <c r="P94" s="140" t="inlineStr">
        <is>
          <t>0-10</t>
        </is>
      </c>
    </row>
    <row r="95" ht="18.75" customHeight="1">
      <c r="A95" s="140" t="n">
        <v>2</v>
      </c>
      <c r="B95" s="141" t="inlineStr">
        <is>
          <t>MODE SETTING SCREEN- CAR Select</t>
        </is>
      </c>
      <c r="C95" s="141" t="inlineStr">
        <is>
          <t>DMA</t>
        </is>
      </c>
      <c r="D95" s="144" t="inlineStr">
        <is>
          <t>boolean</t>
        </is>
      </c>
      <c r="E95" s="143" t="inlineStr">
        <is>
          <t>TCMS</t>
        </is>
      </c>
      <c r="F95" s="143">
        <f>'DATA TRANSFER'!F732</f>
        <v/>
      </c>
      <c r="G95" s="141" t="inlineStr">
        <is>
          <t>ALL HVAC /UNIT1 /UNIT2</t>
        </is>
      </c>
      <c r="J95" s="140" t="n">
        <v>2</v>
      </c>
      <c r="K95" s="140" t="inlineStr">
        <is>
          <t>HVAC STATUS SCREEN</t>
        </is>
      </c>
      <c r="L95" s="140" t="inlineStr">
        <is>
          <t>HVAC_2_DMA_Status</t>
        </is>
      </c>
      <c r="M95" s="144" t="inlineStr">
        <is>
          <t>Integer</t>
        </is>
      </c>
      <c r="N95" s="140" t="inlineStr">
        <is>
          <t>TCMS</t>
        </is>
      </c>
      <c r="O95" s="140">
        <f>TCMS!D4</f>
        <v/>
      </c>
      <c r="P95" s="140" t="inlineStr">
        <is>
          <t>0-10</t>
        </is>
      </c>
    </row>
    <row r="96" ht="29.25" customHeight="1">
      <c r="A96" s="140" t="n">
        <v>3</v>
      </c>
      <c r="B96" s="141" t="inlineStr">
        <is>
          <t>MODE SETTING SCREEN- CAR Select</t>
        </is>
      </c>
      <c r="C96" s="141" t="inlineStr">
        <is>
          <t>TCA</t>
        </is>
      </c>
      <c r="D96" s="144" t="inlineStr">
        <is>
          <t>boolean</t>
        </is>
      </c>
      <c r="E96" s="143" t="inlineStr">
        <is>
          <t>TCMS</t>
        </is>
      </c>
      <c r="F96" s="143">
        <f>'DATA TRANSFER'!F733</f>
        <v/>
      </c>
      <c r="G96" s="141" t="inlineStr">
        <is>
          <t>OFF,VENT,AUTO ,ALL OFF,ALLVENT,ALL AUTO,CLEAR</t>
        </is>
      </c>
      <c r="J96" s="140" t="n">
        <v>3</v>
      </c>
      <c r="K96" s="140" t="inlineStr">
        <is>
          <t>HVAC STATUS SCREEN</t>
        </is>
      </c>
      <c r="L96" s="140" t="inlineStr">
        <is>
          <t>HVAC_3_TCA_Status</t>
        </is>
      </c>
      <c r="M96" s="144" t="inlineStr">
        <is>
          <t>Integer</t>
        </is>
      </c>
      <c r="N96" s="140" t="inlineStr">
        <is>
          <t>TCMS</t>
        </is>
      </c>
      <c r="O96" s="140">
        <f>TCMS!E4</f>
        <v/>
      </c>
      <c r="P96" s="140" t="inlineStr">
        <is>
          <t>0-10</t>
        </is>
      </c>
    </row>
    <row r="97" ht="28.5" customHeight="1">
      <c r="A97" s="140" t="n">
        <v>4</v>
      </c>
      <c r="B97" s="141" t="inlineStr">
        <is>
          <t>MODE SETTING SCREEN- CAR Select</t>
        </is>
      </c>
      <c r="C97" s="141" t="inlineStr">
        <is>
          <t>DMB</t>
        </is>
      </c>
      <c r="D97" s="144" t="inlineStr">
        <is>
          <t>boolean</t>
        </is>
      </c>
      <c r="E97" s="143" t="inlineStr">
        <is>
          <t>TCMS</t>
        </is>
      </c>
      <c r="F97" s="143">
        <f>'DATA TRANSFER'!F734</f>
        <v/>
      </c>
      <c r="G97" s="141" t="n"/>
      <c r="J97" s="140" t="n">
        <v>4</v>
      </c>
      <c r="K97" s="140" t="inlineStr">
        <is>
          <t>HVAC STATUS SCREEN</t>
        </is>
      </c>
      <c r="L97" s="140" t="inlineStr">
        <is>
          <t>HVAC_4_TCA_Status</t>
        </is>
      </c>
      <c r="M97" s="144" t="inlineStr">
        <is>
          <t>Integer</t>
        </is>
      </c>
      <c r="N97" s="140" t="inlineStr">
        <is>
          <t>TCMS</t>
        </is>
      </c>
      <c r="O97" s="140">
        <f>TCMS!F4</f>
        <v/>
      </c>
      <c r="P97" s="140" t="inlineStr">
        <is>
          <t>0-10</t>
        </is>
      </c>
    </row>
    <row r="98" ht="25.5" customHeight="1">
      <c r="A98" s="141" t="n">
        <v>5</v>
      </c>
      <c r="B98" s="141" t="inlineStr">
        <is>
          <t>MODE SETTING SCREEN-HVAC Select</t>
        </is>
      </c>
      <c r="C98" s="141" t="inlineStr">
        <is>
          <t>ALL HVAC</t>
        </is>
      </c>
      <c r="D98" s="141" t="n"/>
      <c r="E98" s="141" t="n"/>
      <c r="F98" s="143">
        <f>'DATA TRANSFER'!F735</f>
        <v/>
      </c>
      <c r="G98" s="141" t="n"/>
      <c r="J98" s="140" t="n">
        <v>5</v>
      </c>
      <c r="K98" s="140" t="inlineStr">
        <is>
          <t>HVAC STATUS SCREEN</t>
        </is>
      </c>
      <c r="L98" s="140" t="inlineStr">
        <is>
          <t>HVAC_5_DMB_Status</t>
        </is>
      </c>
      <c r="M98" s="144" t="inlineStr">
        <is>
          <t>Integer</t>
        </is>
      </c>
      <c r="N98" s="140" t="inlineStr">
        <is>
          <t>TCMS</t>
        </is>
      </c>
      <c r="O98" s="140">
        <f>TCMS!G4</f>
        <v/>
      </c>
      <c r="P98" s="140" t="inlineStr">
        <is>
          <t>0-10</t>
        </is>
      </c>
    </row>
    <row r="99" ht="32.25" customHeight="1">
      <c r="A99" s="141" t="n">
        <v>6</v>
      </c>
      <c r="B99" s="141" t="inlineStr">
        <is>
          <t>MODE SETTING SCREEN-HVAC Select</t>
        </is>
      </c>
      <c r="C99" s="141" t="inlineStr">
        <is>
          <t>UNIT1</t>
        </is>
      </c>
      <c r="D99" s="141" t="n"/>
      <c r="E99" s="141" t="n"/>
      <c r="F99" s="143">
        <f>'DATA TRANSFER'!F736</f>
        <v/>
      </c>
      <c r="G99" s="141" t="n"/>
      <c r="J99" s="140" t="n">
        <v>6</v>
      </c>
      <c r="K99" s="140" t="inlineStr">
        <is>
          <t>HVAC STATUS SCREEN</t>
        </is>
      </c>
      <c r="L99" s="140" t="inlineStr">
        <is>
          <t>HVAC_6_DMB_Status</t>
        </is>
      </c>
      <c r="M99" s="144" t="inlineStr">
        <is>
          <t>Integer</t>
        </is>
      </c>
      <c r="N99" s="140" t="inlineStr">
        <is>
          <t>TCMS</t>
        </is>
      </c>
      <c r="O99" s="140">
        <f>TCMS!H4</f>
        <v/>
      </c>
      <c r="P99" s="140" t="inlineStr">
        <is>
          <t>0-10</t>
        </is>
      </c>
    </row>
    <row r="100" ht="21.75" customHeight="1">
      <c r="A100" s="141" t="n">
        <v>7</v>
      </c>
      <c r="B100" s="141" t="inlineStr">
        <is>
          <t>MODE SETTING SCREEN-HVAC Select</t>
        </is>
      </c>
      <c r="C100" s="141" t="inlineStr">
        <is>
          <t>UNIT2</t>
        </is>
      </c>
      <c r="D100" s="141" t="n"/>
      <c r="E100" s="141" t="n"/>
      <c r="F100" s="143">
        <f>'DATA TRANSFER'!F737</f>
        <v/>
      </c>
      <c r="G100" s="141" t="n"/>
      <c r="J100" s="140" t="n">
        <v>7</v>
      </c>
      <c r="K100" s="140" t="n"/>
      <c r="M100" s="144" t="inlineStr">
        <is>
          <t>Float</t>
        </is>
      </c>
      <c r="N100" s="140" t="inlineStr">
        <is>
          <t>TCMS</t>
        </is>
      </c>
      <c r="O100" s="140" t="n"/>
      <c r="P100" s="140" t="inlineStr">
        <is>
          <t>(degC)</t>
        </is>
      </c>
    </row>
    <row r="101" ht="22.5" customHeight="1">
      <c r="A101" s="141" t="n">
        <v>8</v>
      </c>
      <c r="B101" s="141" t="inlineStr">
        <is>
          <t>MODE SETTING SCREEN-MODE Select</t>
        </is>
      </c>
      <c r="C101" s="141" t="inlineStr">
        <is>
          <t>OFF</t>
        </is>
      </c>
      <c r="D101" s="141" t="n"/>
      <c r="E101" s="141" t="n"/>
      <c r="F101" s="143">
        <f>'DATA TRANSFER'!F738</f>
        <v/>
      </c>
      <c r="G101" s="141" t="n"/>
      <c r="J101" s="140" t="n">
        <v>8</v>
      </c>
      <c r="K101" s="140" t="inlineStr">
        <is>
          <t>HVAC INFO SCREEN</t>
        </is>
      </c>
      <c r="L101" s="140" t="inlineStr">
        <is>
          <t>Current Outside Temperature _DMA</t>
        </is>
      </c>
      <c r="M101" s="144" t="inlineStr">
        <is>
          <t>Float</t>
        </is>
      </c>
      <c r="N101" s="140" t="inlineStr">
        <is>
          <t>TCMS</t>
        </is>
      </c>
      <c r="O101" s="140">
        <f>TCMS!D19</f>
        <v/>
      </c>
      <c r="P101" s="140" t="inlineStr">
        <is>
          <t>(degC)</t>
        </is>
      </c>
    </row>
    <row r="102" ht="30.75" customHeight="1">
      <c r="A102" s="141" t="n">
        <v>9</v>
      </c>
      <c r="B102" s="141" t="inlineStr">
        <is>
          <t>MODE SETTING SCREEN-MODE Select</t>
        </is>
      </c>
      <c r="C102" s="141" t="inlineStr">
        <is>
          <t>VENT</t>
        </is>
      </c>
      <c r="D102" s="141" t="n"/>
      <c r="E102" s="141" t="n"/>
      <c r="F102" s="143">
        <f>'DATA TRANSFER'!F739</f>
        <v/>
      </c>
      <c r="G102" s="141" t="n"/>
      <c r="J102" s="140" t="n">
        <v>9</v>
      </c>
      <c r="K102" s="140" t="inlineStr">
        <is>
          <t>HVAC INFO SCREEN</t>
        </is>
      </c>
      <c r="L102" s="140" t="inlineStr">
        <is>
          <t>Current Outside Temperature _TCA</t>
        </is>
      </c>
      <c r="M102" s="144" t="inlineStr">
        <is>
          <t>Float</t>
        </is>
      </c>
      <c r="N102" s="140" t="inlineStr">
        <is>
          <t>TCMS</t>
        </is>
      </c>
      <c r="O102" s="140">
        <f>TCMS!E19</f>
        <v/>
      </c>
      <c r="P102" s="140" t="inlineStr">
        <is>
          <t>(degC)</t>
        </is>
      </c>
    </row>
    <row r="103" ht="24" customHeight="1">
      <c r="A103" s="141" t="n">
        <v>10</v>
      </c>
      <c r="B103" s="141" t="inlineStr">
        <is>
          <t>MODE SETTING SCREEN-MODE Select</t>
        </is>
      </c>
      <c r="C103" s="141" t="inlineStr">
        <is>
          <t>AUTO</t>
        </is>
      </c>
      <c r="D103" s="141" t="n"/>
      <c r="E103" s="141" t="n"/>
      <c r="F103" s="143">
        <f>'DATA TRANSFER'!F740</f>
        <v/>
      </c>
      <c r="G103" s="141" t="n"/>
      <c r="J103" s="140" t="n">
        <v>10</v>
      </c>
      <c r="K103" s="140" t="inlineStr">
        <is>
          <t>HVAC INFO SCREEN</t>
        </is>
      </c>
      <c r="L103" s="140" t="inlineStr">
        <is>
          <t>Current Outside Temperature _DMB</t>
        </is>
      </c>
      <c r="M103" s="144" t="inlineStr">
        <is>
          <t>Float</t>
        </is>
      </c>
      <c r="N103" s="140" t="inlineStr">
        <is>
          <t>TCMS</t>
        </is>
      </c>
      <c r="O103" s="140">
        <f>TCMS!F19</f>
        <v/>
      </c>
      <c r="P103" s="140" t="n"/>
    </row>
    <row r="104" ht="22.5" customHeight="1">
      <c r="A104" s="141" t="n">
        <v>11</v>
      </c>
      <c r="B104" s="141" t="inlineStr">
        <is>
          <t>MODE SETTING SCREEN-MODE Select</t>
        </is>
      </c>
      <c r="C104" s="141" t="inlineStr">
        <is>
          <t>ALL OFF</t>
        </is>
      </c>
      <c r="D104" s="141" t="n"/>
      <c r="E104" s="141" t="n"/>
      <c r="F104" s="143">
        <f>'DATA TRANSFER'!F741</f>
        <v/>
      </c>
      <c r="G104" s="141" t="n"/>
      <c r="J104" s="140" t="n">
        <v>11</v>
      </c>
      <c r="K104" s="140" t="inlineStr">
        <is>
          <t>HVAC INFO SCREEN</t>
        </is>
      </c>
      <c r="L104" s="140" t="inlineStr">
        <is>
          <t>Current Inside Temperature (degC)_UNIT 1_DMA</t>
        </is>
      </c>
      <c r="M104" s="144" t="inlineStr">
        <is>
          <t>Float</t>
        </is>
      </c>
      <c r="N104" s="140" t="inlineStr">
        <is>
          <t>TCMS</t>
        </is>
      </c>
      <c r="O104" s="140">
        <f>TCMS!D21</f>
        <v/>
      </c>
      <c r="P104" s="140" t="inlineStr">
        <is>
          <t>(MPa)</t>
        </is>
      </c>
    </row>
    <row r="105" ht="29.25" customHeight="1">
      <c r="A105" s="141" t="n">
        <v>12</v>
      </c>
      <c r="B105" s="141" t="inlineStr">
        <is>
          <t>MODE SETTING SCREEN-MODE Select</t>
        </is>
      </c>
      <c r="C105" s="141" t="inlineStr">
        <is>
          <t>ALL VENT</t>
        </is>
      </c>
      <c r="D105" s="141" t="n"/>
      <c r="E105" s="141" t="n"/>
      <c r="F105" s="143">
        <f>'DATA TRANSFER'!F742</f>
        <v/>
      </c>
      <c r="G105" s="141" t="n"/>
      <c r="J105" s="140" t="n">
        <v>12</v>
      </c>
      <c r="K105" s="140" t="inlineStr">
        <is>
          <t>HVAC INFO SCREEN</t>
        </is>
      </c>
      <c r="L105" s="140" t="inlineStr">
        <is>
          <t>Current Inside Temperature (degC)_UNIT 1_TCA</t>
        </is>
      </c>
      <c r="M105" s="144" t="inlineStr">
        <is>
          <t>Float</t>
        </is>
      </c>
      <c r="N105" s="140" t="inlineStr">
        <is>
          <t>TCMS</t>
        </is>
      </c>
      <c r="O105" s="140">
        <f>TCMS!E21</f>
        <v/>
      </c>
      <c r="P105" s="140" t="inlineStr">
        <is>
          <t>(MPa)</t>
        </is>
      </c>
    </row>
    <row r="106" ht="29.25" customHeight="1">
      <c r="A106" s="141" t="n">
        <v>13</v>
      </c>
      <c r="B106" s="141" t="inlineStr">
        <is>
          <t>MODE SETTING SCREEN-MODE Select</t>
        </is>
      </c>
      <c r="C106" s="141" t="inlineStr">
        <is>
          <t>ALL AUTO</t>
        </is>
      </c>
      <c r="D106" s="141" t="n"/>
      <c r="E106" s="141" t="n"/>
      <c r="F106" s="143">
        <f>'DATA TRANSFER'!F743</f>
        <v/>
      </c>
      <c r="G106" s="141" t="n"/>
      <c r="J106" s="140" t="n">
        <v>13</v>
      </c>
      <c r="K106" s="140" t="inlineStr">
        <is>
          <t>HVAC INFO SCREEN</t>
        </is>
      </c>
      <c r="L106" s="140" t="inlineStr">
        <is>
          <t>Current Inside Temperature (degC)_UNIT 1_DMB</t>
        </is>
      </c>
      <c r="M106" s="144" t="inlineStr">
        <is>
          <t>Integer</t>
        </is>
      </c>
      <c r="N106" s="140" t="inlineStr">
        <is>
          <t>TCMS</t>
        </is>
      </c>
      <c r="O106" s="140">
        <f>TCMS!F21</f>
        <v/>
      </c>
      <c r="P106" s="140" t="inlineStr">
        <is>
          <t>0-7</t>
        </is>
      </c>
    </row>
    <row r="107" ht="46.5" customHeight="1">
      <c r="A107" s="141" t="n">
        <v>14</v>
      </c>
      <c r="B107" s="145" t="n"/>
      <c r="C107" s="145" t="inlineStr">
        <is>
          <t>spare</t>
        </is>
      </c>
      <c r="D107" s="145" t="n"/>
      <c r="E107" s="145" t="n"/>
      <c r="F107" s="145" t="n"/>
      <c r="G107" s="145" t="n"/>
      <c r="J107" s="140" t="n">
        <v>14</v>
      </c>
      <c r="K107" s="140" t="inlineStr">
        <is>
          <t>HVAC INFO SCREEN</t>
        </is>
      </c>
      <c r="L107" s="140" t="inlineStr">
        <is>
          <t>Current Inside Temperature (degC)_UNIT 2_DMA</t>
        </is>
      </c>
      <c r="M107" s="144" t="n"/>
      <c r="N107" s="140" t="inlineStr">
        <is>
          <t>TCMS</t>
        </is>
      </c>
      <c r="O107" s="140">
        <f>TCMS!D22</f>
        <v/>
      </c>
      <c r="P107" s="140" t="n"/>
    </row>
    <row r="108" ht="25.5" customHeight="1">
      <c r="A108" s="141" t="n">
        <v>15</v>
      </c>
      <c r="B108" s="141" t="inlineStr">
        <is>
          <t>TEMP SETTING SCREEN-CAR Select</t>
        </is>
      </c>
      <c r="C108" s="141" t="inlineStr">
        <is>
          <t>ALL CAR</t>
        </is>
      </c>
      <c r="D108" s="141" t="n"/>
      <c r="E108" s="141" t="n"/>
      <c r="F108" s="141">
        <f>'DATA TRANSFER'!F745</f>
        <v/>
      </c>
      <c r="G108" s="141" t="n"/>
      <c r="J108" s="140" t="n">
        <v>15</v>
      </c>
      <c r="K108" s="140" t="inlineStr">
        <is>
          <t>HVAC INFO SCREEN</t>
        </is>
      </c>
      <c r="L108" s="140" t="inlineStr">
        <is>
          <t>Current Inside Temperature (degC)_UNIT 2_TCA</t>
        </is>
      </c>
      <c r="M108" s="144" t="n"/>
      <c r="N108" s="140" t="inlineStr">
        <is>
          <t>TCMS</t>
        </is>
      </c>
      <c r="O108" s="140">
        <f>TCMS!E22</f>
        <v/>
      </c>
      <c r="P108" s="140" t="n"/>
    </row>
    <row r="109" ht="24.75" customHeight="1">
      <c r="A109" s="141" t="n">
        <v>16</v>
      </c>
      <c r="B109" s="141" t="inlineStr">
        <is>
          <t>TEMP SETTING SCREEN-CAR Select</t>
        </is>
      </c>
      <c r="C109" s="141" t="inlineStr">
        <is>
          <t>DMA</t>
        </is>
      </c>
      <c r="D109" s="141" t="n"/>
      <c r="E109" s="141" t="n"/>
      <c r="F109" s="141">
        <f>'DATA TRANSFER'!F746</f>
        <v/>
      </c>
      <c r="G109" s="141" t="n"/>
      <c r="J109" s="140" t="n">
        <v>16</v>
      </c>
      <c r="K109" s="140" t="inlineStr">
        <is>
          <t>HVAC INFO SCREEN</t>
        </is>
      </c>
      <c r="L109" s="140" t="inlineStr">
        <is>
          <t>Current Inside Temperature (degC)_UNIT 2_DMB</t>
        </is>
      </c>
      <c r="M109" s="144" t="n"/>
      <c r="N109" s="140" t="inlineStr">
        <is>
          <t>TCMS</t>
        </is>
      </c>
      <c r="O109" s="140">
        <f>TCMS!F22</f>
        <v/>
      </c>
      <c r="P109" s="140" t="n"/>
    </row>
    <row r="110" ht="25.5" customHeight="1">
      <c r="A110" s="141" t="n">
        <v>17</v>
      </c>
      <c r="B110" s="141" t="inlineStr">
        <is>
          <t>TEMP SETTING SCREEN-CAR Select</t>
        </is>
      </c>
      <c r="C110" s="141" t="inlineStr">
        <is>
          <t>TCA</t>
        </is>
      </c>
      <c r="D110" s="141" t="n"/>
      <c r="E110" s="141" t="n"/>
      <c r="F110" s="141">
        <f>'DATA TRANSFER'!F747</f>
        <v/>
      </c>
      <c r="G110" s="141" t="n"/>
      <c r="J110" s="140" t="n">
        <v>17</v>
      </c>
      <c r="K110" s="140" t="inlineStr">
        <is>
          <t>HVAC INFO SCREEN</t>
        </is>
      </c>
      <c r="L110" s="140" t="inlineStr">
        <is>
          <t>Target Temperature (degC)_UNIT 1_DMA</t>
        </is>
      </c>
      <c r="M110" s="144" t="n"/>
      <c r="N110" s="140" t="inlineStr">
        <is>
          <t>TCMS</t>
        </is>
      </c>
      <c r="O110" s="140">
        <f>TCMS!D24</f>
        <v/>
      </c>
      <c r="P110" s="140" t="n"/>
    </row>
    <row r="111" ht="25.5" customHeight="1">
      <c r="A111" s="141" t="n">
        <v>18</v>
      </c>
      <c r="B111" s="141" t="inlineStr">
        <is>
          <t>TEMP SETTING SCREEN-CAR Select</t>
        </is>
      </c>
      <c r="C111" s="141" t="inlineStr">
        <is>
          <t>DMB</t>
        </is>
      </c>
      <c r="D111" s="141" t="n"/>
      <c r="E111" s="141" t="n"/>
      <c r="F111" s="141">
        <f>'DATA TRANSFER'!F748</f>
        <v/>
      </c>
      <c r="G111" s="141" t="n"/>
      <c r="J111" s="140" t="n">
        <v>18</v>
      </c>
      <c r="K111" s="140" t="inlineStr">
        <is>
          <t>HVAC INFO SCREEN</t>
        </is>
      </c>
      <c r="L111" s="140" t="inlineStr">
        <is>
          <t>Target Temperature (degC)_UNIT 1_TCA</t>
        </is>
      </c>
      <c r="M111" s="144" t="n"/>
      <c r="N111" s="140" t="inlineStr">
        <is>
          <t>TCMS</t>
        </is>
      </c>
      <c r="O111" s="140">
        <f>TCMS!E24</f>
        <v/>
      </c>
      <c r="P111" s="140" t="n"/>
    </row>
    <row r="112" ht="21.75" customHeight="1">
      <c r="A112" s="141" t="n">
        <v>19</v>
      </c>
      <c r="B112" s="141" t="inlineStr">
        <is>
          <t>TEMP SETTING SCREEN-HVAC Select</t>
        </is>
      </c>
      <c r="C112" s="141" t="inlineStr">
        <is>
          <t>ALL HVAC</t>
        </is>
      </c>
      <c r="D112" s="141" t="n"/>
      <c r="E112" s="141" t="n"/>
      <c r="F112" s="141">
        <f>'DATA TRANSFER'!F749</f>
        <v/>
      </c>
      <c r="G112" s="141" t="n"/>
      <c r="J112" s="140" t="n">
        <v>19</v>
      </c>
      <c r="K112" s="140" t="inlineStr">
        <is>
          <t>HVAC INFO SCREEN</t>
        </is>
      </c>
      <c r="L112" s="140" t="inlineStr">
        <is>
          <t>Target Temperature (degC)_UNIT 1_DMB</t>
        </is>
      </c>
      <c r="M112" s="144" t="n"/>
      <c r="N112" s="140" t="inlineStr">
        <is>
          <t>TCMS</t>
        </is>
      </c>
      <c r="O112" s="140">
        <f>TCMS!F24</f>
        <v/>
      </c>
      <c r="P112" s="140" t="n"/>
    </row>
    <row r="113" ht="24" customHeight="1">
      <c r="A113" s="141" t="n">
        <v>20</v>
      </c>
      <c r="B113" s="141" t="inlineStr">
        <is>
          <t>TEMP SETTING SCREEN-HVAC Select</t>
        </is>
      </c>
      <c r="C113" s="141" t="inlineStr">
        <is>
          <t>UNIT1</t>
        </is>
      </c>
      <c r="D113" s="141" t="n"/>
      <c r="E113" s="141" t="n"/>
      <c r="F113" s="141">
        <f>'DATA TRANSFER'!F750</f>
        <v/>
      </c>
      <c r="G113" s="141" t="n"/>
      <c r="J113" s="140" t="n">
        <v>20</v>
      </c>
      <c r="K113" s="140" t="inlineStr">
        <is>
          <t>HVAC INFO SCREEN</t>
        </is>
      </c>
      <c r="L113" s="140" t="inlineStr">
        <is>
          <t>Target Temperature (degC)_UNIT 2_DMA</t>
        </is>
      </c>
      <c r="M113" s="144" t="n"/>
      <c r="N113" s="140" t="inlineStr">
        <is>
          <t>TCMS</t>
        </is>
      </c>
      <c r="O113" s="140">
        <f>TCMS!D25</f>
        <v/>
      </c>
      <c r="P113" s="140" t="n"/>
    </row>
    <row r="114" ht="21" customHeight="1">
      <c r="A114" s="141" t="n">
        <v>21</v>
      </c>
      <c r="B114" s="141" t="inlineStr">
        <is>
          <t>TEMP SETTING SCREEN-HVAC Select</t>
        </is>
      </c>
      <c r="C114" s="141" t="inlineStr">
        <is>
          <t>UNIT2</t>
        </is>
      </c>
      <c r="D114" s="141" t="n"/>
      <c r="E114" s="141" t="n"/>
      <c r="F114" s="141">
        <f>'DATA TRANSFER'!F751</f>
        <v/>
      </c>
      <c r="G114" s="141" t="n"/>
      <c r="J114" s="140" t="n">
        <v>21</v>
      </c>
      <c r="K114" s="140" t="inlineStr">
        <is>
          <t>HVAC INFO SCREEN</t>
        </is>
      </c>
      <c r="L114" s="140" t="inlineStr">
        <is>
          <t>Target Temperature (degC)_UNIT 2_TCA</t>
        </is>
      </c>
      <c r="M114" s="144" t="n"/>
      <c r="N114" s="140" t="inlineStr">
        <is>
          <t>TCMS</t>
        </is>
      </c>
      <c r="O114" s="140">
        <f>TCMS!E25</f>
        <v/>
      </c>
      <c r="P114" s="140" t="n"/>
    </row>
    <row r="115" ht="31" customHeight="1">
      <c r="A115" s="141" t="n">
        <v>22</v>
      </c>
      <c r="B115" s="145" t="n"/>
      <c r="C115" s="145" t="n"/>
      <c r="D115" s="145" t="n"/>
      <c r="E115" s="145" t="n"/>
      <c r="F115" s="145" t="n"/>
      <c r="G115" s="145" t="n"/>
      <c r="J115" s="140" t="n">
        <v>22</v>
      </c>
      <c r="K115" s="140" t="inlineStr">
        <is>
          <t>HVAC INFO SCREEN</t>
        </is>
      </c>
      <c r="L115" s="140" t="inlineStr">
        <is>
          <t>Target Temperature (degC)_UNIT 2_DMB</t>
        </is>
      </c>
      <c r="M115" s="144" t="n"/>
      <c r="N115" s="140" t="inlineStr">
        <is>
          <t>TCMS</t>
        </is>
      </c>
      <c r="O115" s="140">
        <f>TCMS!F25</f>
        <v/>
      </c>
      <c r="P115" s="140" t="n"/>
    </row>
    <row r="116" ht="31" customHeight="1">
      <c r="A116" s="141" t="n">
        <v>23</v>
      </c>
      <c r="B116" s="141" t="inlineStr">
        <is>
          <t>HVAC ISO- HVAC 1 TARGET CAR</t>
        </is>
      </c>
      <c r="C116" s="141" t="inlineStr">
        <is>
          <t>DMA</t>
        </is>
      </c>
      <c r="D116" s="141" t="n"/>
      <c r="E116" s="141" t="n"/>
      <c r="F116" s="141">
        <f>'DATA TRANSFER'!F753</f>
        <v/>
      </c>
      <c r="G116" s="141" t="n"/>
      <c r="J116" s="140" t="n">
        <v>23</v>
      </c>
      <c r="K116" s="140" t="inlineStr">
        <is>
          <t>HVAC INFO SCREEN</t>
        </is>
      </c>
      <c r="L116" s="140" t="inlineStr">
        <is>
          <t>Fresh Air Damper_UNIT 1_DMA</t>
        </is>
      </c>
      <c r="M116" s="144" t="n"/>
      <c r="N116" s="140" t="inlineStr">
        <is>
          <t>TCMS</t>
        </is>
      </c>
      <c r="O116" s="140">
        <f>TCMS!D27</f>
        <v/>
      </c>
      <c r="P116" s="140" t="n"/>
    </row>
    <row r="117" ht="31" customHeight="1">
      <c r="A117" s="141" t="n">
        <v>24</v>
      </c>
      <c r="B117" s="141" t="inlineStr">
        <is>
          <t>HVAC ISO- HVAC 1 TARGET CAR</t>
        </is>
      </c>
      <c r="C117" s="141" t="inlineStr">
        <is>
          <t>TCA</t>
        </is>
      </c>
      <c r="D117" s="141" t="n"/>
      <c r="E117" s="141" t="n"/>
      <c r="F117" s="141">
        <f>'DATA TRANSFER'!F754</f>
        <v/>
      </c>
      <c r="G117" s="141" t="n"/>
      <c r="J117" s="140" t="n">
        <v>24</v>
      </c>
      <c r="K117" s="140" t="inlineStr">
        <is>
          <t>HVAC INFO SCREEN</t>
        </is>
      </c>
      <c r="L117" s="140" t="inlineStr">
        <is>
          <t>Fresh Air Damper_UNIT 1_TCA</t>
        </is>
      </c>
      <c r="M117" s="144" t="n"/>
      <c r="N117" s="140" t="inlineStr">
        <is>
          <t>TCMS</t>
        </is>
      </c>
      <c r="O117" s="140">
        <f>TCMS!E27</f>
        <v/>
      </c>
      <c r="P117" s="140" t="n"/>
    </row>
    <row r="118" ht="31" customHeight="1">
      <c r="A118" s="141" t="n">
        <v>25</v>
      </c>
      <c r="B118" s="141" t="inlineStr">
        <is>
          <t>HVAC ISO- HVAC 1 TARGET CAR</t>
        </is>
      </c>
      <c r="C118" s="141" t="inlineStr">
        <is>
          <t>DMB</t>
        </is>
      </c>
      <c r="D118" s="141" t="n"/>
      <c r="E118" s="141" t="n"/>
      <c r="F118" s="141">
        <f>'DATA TRANSFER'!F755</f>
        <v/>
      </c>
      <c r="G118" s="141" t="n"/>
      <c r="J118" s="140" t="n">
        <v>25</v>
      </c>
      <c r="K118" s="140" t="inlineStr">
        <is>
          <t>HVAC INFO SCREEN</t>
        </is>
      </c>
      <c r="L118" s="140" t="inlineStr">
        <is>
          <t>Fresh Air Damper_UNIT 1_DMB</t>
        </is>
      </c>
      <c r="M118" s="144" t="n"/>
      <c r="N118" s="140" t="inlineStr">
        <is>
          <t>TCMS</t>
        </is>
      </c>
      <c r="O118" s="140">
        <f>TCMS!F27</f>
        <v/>
      </c>
      <c r="P118" s="140" t="n"/>
    </row>
    <row r="119" ht="31" customHeight="1">
      <c r="A119" s="141" t="n">
        <v>26</v>
      </c>
      <c r="B119" s="141" t="inlineStr">
        <is>
          <t>HVAC ISO- HVAC 2 TARGET CAR</t>
        </is>
      </c>
      <c r="C119" s="141" t="inlineStr">
        <is>
          <t>DMA</t>
        </is>
      </c>
      <c r="D119" s="141" t="n"/>
      <c r="E119" s="141" t="n"/>
      <c r="F119" s="141">
        <f>'DATA TRANSFER'!F756</f>
        <v/>
      </c>
      <c r="G119" s="141" t="n"/>
      <c r="J119" s="140" t="n">
        <v>26</v>
      </c>
      <c r="K119" s="140" t="inlineStr">
        <is>
          <t>HVAC INFO SCREEN</t>
        </is>
      </c>
      <c r="L119" s="140" t="inlineStr">
        <is>
          <t>Fresh Air Damper_UNIT 2_DMA</t>
        </is>
      </c>
      <c r="M119" s="144" t="n"/>
      <c r="N119" s="140" t="inlineStr">
        <is>
          <t>TCMS</t>
        </is>
      </c>
      <c r="O119" s="140">
        <f>TCMS!D28</f>
        <v/>
      </c>
      <c r="P119" s="140" t="n"/>
    </row>
    <row r="120" ht="31" customHeight="1">
      <c r="A120" s="141" t="n">
        <v>27</v>
      </c>
      <c r="B120" s="141" t="inlineStr">
        <is>
          <t>HVAC ISO- HVAC 2 TARGET CAR</t>
        </is>
      </c>
      <c r="C120" s="141" t="inlineStr">
        <is>
          <t>TCA</t>
        </is>
      </c>
      <c r="D120" s="141" t="n"/>
      <c r="E120" s="141" t="n"/>
      <c r="F120" s="141">
        <f>'DATA TRANSFER'!F757</f>
        <v/>
      </c>
      <c r="G120" s="141" t="n"/>
      <c r="J120" s="140" t="n">
        <v>27</v>
      </c>
      <c r="K120" s="140" t="inlineStr">
        <is>
          <t>HVAC INFO SCREEN</t>
        </is>
      </c>
      <c r="L120" s="140" t="inlineStr">
        <is>
          <t>Fresh Air Damper_UNIT 2_TCA</t>
        </is>
      </c>
      <c r="M120" s="144" t="n"/>
      <c r="N120" s="140" t="inlineStr">
        <is>
          <t>TCMS</t>
        </is>
      </c>
      <c r="O120" s="140">
        <f>TCMS!E28</f>
        <v/>
      </c>
      <c r="P120" s="140" t="n"/>
    </row>
    <row r="121" ht="31" customHeight="1">
      <c r="A121" s="141" t="n">
        <v>28</v>
      </c>
      <c r="B121" s="141" t="inlineStr">
        <is>
          <t>HVAC ISO- HVAC 2 TARGET CAR</t>
        </is>
      </c>
      <c r="C121" s="141" t="inlineStr">
        <is>
          <t>DMB</t>
        </is>
      </c>
      <c r="D121" s="141" t="n"/>
      <c r="E121" s="141" t="n"/>
      <c r="F121" s="141">
        <f>'DATA TRANSFER'!F758</f>
        <v/>
      </c>
      <c r="G121" s="141" t="n"/>
      <c r="J121" s="140" t="n">
        <v>28</v>
      </c>
      <c r="K121" s="140" t="inlineStr">
        <is>
          <t>HVAC INFO SCREEN</t>
        </is>
      </c>
      <c r="L121" s="140" t="inlineStr">
        <is>
          <t>Fresh Air Damper_UNIT 2_DMB</t>
        </is>
      </c>
      <c r="M121" s="144" t="n"/>
      <c r="N121" s="140" t="inlineStr">
        <is>
          <t>TCMS</t>
        </is>
      </c>
      <c r="O121" s="140">
        <f>TCMS!F28</f>
        <v/>
      </c>
      <c r="P121" s="140" t="n"/>
    </row>
    <row r="122" ht="46.5" customHeight="1">
      <c r="A122" s="141" t="n">
        <v>29</v>
      </c>
      <c r="B122" s="141" t="inlineStr">
        <is>
          <t>HVAC ISO</t>
        </is>
      </c>
      <c r="C122" s="141" t="inlineStr">
        <is>
          <t>HVAC Reset</t>
        </is>
      </c>
      <c r="D122" s="141" t="n"/>
      <c r="E122" s="141" t="n"/>
      <c r="F122" s="141">
        <f>'DATA TRANSFER'!F759</f>
        <v/>
      </c>
      <c r="G122" s="141" t="n"/>
      <c r="J122" s="140" t="n">
        <v>29</v>
      </c>
      <c r="K122" s="140" t="inlineStr">
        <is>
          <t>HVAC INFO SCREEN</t>
        </is>
      </c>
      <c r="L122" s="140" t="inlineStr">
        <is>
          <t>Low-pressure value on Compressor_UNIT 1_DMA</t>
        </is>
      </c>
      <c r="M122" s="144" t="n"/>
      <c r="N122" s="140" t="inlineStr">
        <is>
          <t>TCMS</t>
        </is>
      </c>
      <c r="O122" s="140">
        <f>TCMS!D30</f>
        <v/>
      </c>
      <c r="P122" s="140" t="n"/>
    </row>
    <row r="123" ht="31" customHeight="1">
      <c r="A123" s="141" t="n">
        <v>30</v>
      </c>
      <c r="B123" s="141" t="inlineStr">
        <is>
          <t>HVAC ISO</t>
        </is>
      </c>
      <c r="C123" s="141" t="inlineStr">
        <is>
          <t>ISOLATE</t>
        </is>
      </c>
      <c r="D123" s="141" t="n"/>
      <c r="E123" s="141" t="n"/>
      <c r="F123" s="141">
        <f>'DATA TRANSFER'!F760</f>
        <v/>
      </c>
      <c r="G123" s="141" t="n"/>
      <c r="J123" s="140" t="n">
        <v>30</v>
      </c>
      <c r="K123" s="140" t="inlineStr">
        <is>
          <t>HVAC INFO SCREEN</t>
        </is>
      </c>
      <c r="L123" s="140" t="inlineStr">
        <is>
          <t>Low-pressure value on Compressor_UNIT 1_TCA</t>
        </is>
      </c>
      <c r="M123" s="144" t="n"/>
      <c r="N123" s="140" t="inlineStr">
        <is>
          <t>TCMS</t>
        </is>
      </c>
      <c r="O123" s="140">
        <f>TCMS!E30</f>
        <v/>
      </c>
      <c r="P123" s="140" t="n"/>
    </row>
    <row r="124" ht="31" customHeight="1">
      <c r="A124" s="141" t="n">
        <v>31</v>
      </c>
      <c r="B124" s="141" t="inlineStr">
        <is>
          <t>HVAC ISO</t>
        </is>
      </c>
      <c r="C124" s="141" t="inlineStr">
        <is>
          <t>ISOLATE RESET</t>
        </is>
      </c>
      <c r="D124" s="141" t="n"/>
      <c r="E124" s="141" t="n"/>
      <c r="F124" s="141">
        <f>'DATA TRANSFER'!F761</f>
        <v/>
      </c>
      <c r="G124" s="141" t="n"/>
      <c r="J124" s="140" t="n">
        <v>31</v>
      </c>
      <c r="K124" s="140" t="inlineStr">
        <is>
          <t>HVAC INFO SCREEN</t>
        </is>
      </c>
      <c r="L124" s="140" t="inlineStr">
        <is>
          <t>Low-pressure value on Compressor_UNIT 1_DMB</t>
        </is>
      </c>
      <c r="M124" s="144" t="n"/>
      <c r="N124" s="140" t="inlineStr">
        <is>
          <t>TCMS</t>
        </is>
      </c>
      <c r="O124" s="140">
        <f>TCMS!F30</f>
        <v/>
      </c>
      <c r="P124" s="140" t="n"/>
    </row>
    <row r="125" ht="46.5" customHeight="1">
      <c r="A125" s="141" t="n">
        <v>32</v>
      </c>
      <c r="B125" s="141" t="n"/>
      <c r="C125" s="141" t="inlineStr">
        <is>
          <t>spare</t>
        </is>
      </c>
      <c r="D125" s="141" t="n"/>
      <c r="E125" s="141" t="n"/>
      <c r="F125" s="141" t="n"/>
      <c r="G125" s="141" t="n"/>
      <c r="J125" s="140" t="n">
        <v>32</v>
      </c>
      <c r="K125" s="140" t="inlineStr">
        <is>
          <t>HVAC INFO SCREEN</t>
        </is>
      </c>
      <c r="L125" s="140" t="inlineStr">
        <is>
          <t>Low-pressure value on Compressor_UNIT 2_DMA</t>
        </is>
      </c>
      <c r="M125" s="144" t="n"/>
      <c r="N125" s="140" t="inlineStr">
        <is>
          <t>TCMS</t>
        </is>
      </c>
      <c r="O125" s="140">
        <f>TCMS!D31</f>
        <v/>
      </c>
      <c r="P125" s="140" t="n"/>
    </row>
    <row r="126" ht="31" customHeight="1">
      <c r="A126" s="141" t="n">
        <v>33</v>
      </c>
      <c r="B126" s="141" t="n"/>
      <c r="C126" s="141" t="inlineStr">
        <is>
          <t>spare</t>
        </is>
      </c>
      <c r="D126" s="141" t="n"/>
      <c r="E126" s="141" t="n"/>
      <c r="F126" s="141" t="n"/>
      <c r="G126" s="141" t="n"/>
      <c r="J126" s="140" t="n">
        <v>33</v>
      </c>
      <c r="K126" s="140" t="inlineStr">
        <is>
          <t>HVAC INFO SCREEN</t>
        </is>
      </c>
      <c r="L126" s="140" t="inlineStr">
        <is>
          <t>Low-pressure value on Compressor_UNIT 2_TCA</t>
        </is>
      </c>
      <c r="M126" s="144" t="n"/>
      <c r="N126" s="140" t="inlineStr">
        <is>
          <t>TCMS</t>
        </is>
      </c>
      <c r="O126" s="140">
        <f>TCMS!E31</f>
        <v/>
      </c>
      <c r="P126" s="140" t="n"/>
    </row>
    <row r="127" ht="31" customHeight="1">
      <c r="A127" s="141" t="n">
        <v>34</v>
      </c>
      <c r="B127" s="141" t="n"/>
      <c r="C127" s="141" t="inlineStr">
        <is>
          <t>spare</t>
        </is>
      </c>
      <c r="D127" s="141" t="n"/>
      <c r="E127" s="141" t="n"/>
      <c r="F127" s="141" t="n"/>
      <c r="G127" s="141" t="n"/>
      <c r="J127" s="140" t="n">
        <v>34</v>
      </c>
      <c r="K127" s="140" t="inlineStr">
        <is>
          <t>HVAC INFO SCREEN</t>
        </is>
      </c>
      <c r="L127" s="140" t="inlineStr">
        <is>
          <t>Low-pressure value on Compressor_UNIT 2_DMB</t>
        </is>
      </c>
      <c r="M127" s="144" t="n"/>
      <c r="N127" s="140" t="inlineStr">
        <is>
          <t>TCMS</t>
        </is>
      </c>
      <c r="O127" s="140">
        <f>TCMS!F31</f>
        <v/>
      </c>
      <c r="P127" s="140" t="n"/>
    </row>
    <row r="128" ht="46.5" customHeight="1">
      <c r="J128" s="140" t="n">
        <v>35</v>
      </c>
      <c r="K128" s="140" t="inlineStr">
        <is>
          <t>HVAC INFO SCREEN</t>
        </is>
      </c>
      <c r="L128" s="140" t="inlineStr">
        <is>
          <t>High-pressure value on Compressor_UNIT 1_DMA</t>
        </is>
      </c>
      <c r="M128" s="144" t="n"/>
      <c r="N128" s="140" t="inlineStr">
        <is>
          <t>TCMS</t>
        </is>
      </c>
      <c r="O128" s="140">
        <f>TCMS!D33</f>
        <v/>
      </c>
      <c r="P128" s="140" t="n"/>
    </row>
    <row r="129" ht="31" customHeight="1">
      <c r="J129" s="140" t="n">
        <v>36</v>
      </c>
      <c r="K129" s="140" t="inlineStr">
        <is>
          <t>HVAC INFO SCREEN</t>
        </is>
      </c>
      <c r="L129" s="140" t="inlineStr">
        <is>
          <t>High-pressure value on Compressor_UNIT 1_TCA</t>
        </is>
      </c>
      <c r="M129" s="144" t="n"/>
      <c r="N129" s="140" t="inlineStr">
        <is>
          <t>TCMS</t>
        </is>
      </c>
      <c r="O129" s="140">
        <f>TCMS!E33</f>
        <v/>
      </c>
      <c r="P129" s="140" t="n"/>
    </row>
    <row r="130" ht="31" customHeight="1">
      <c r="J130" s="140" t="n">
        <v>37</v>
      </c>
      <c r="K130" s="140" t="inlineStr">
        <is>
          <t>HVAC INFO SCREEN</t>
        </is>
      </c>
      <c r="L130" s="140" t="inlineStr">
        <is>
          <t>High-pressure value on Compressor_UNIT 1_DMB</t>
        </is>
      </c>
      <c r="M130" s="144" t="n"/>
      <c r="N130" s="140" t="inlineStr">
        <is>
          <t>TCMS</t>
        </is>
      </c>
      <c r="O130" s="140">
        <f>TCMS!F33</f>
        <v/>
      </c>
      <c r="P130" s="140" t="n"/>
    </row>
    <row r="131" ht="46.5" customHeight="1">
      <c r="J131" s="140" t="n">
        <v>38</v>
      </c>
      <c r="K131" s="140" t="inlineStr">
        <is>
          <t>HVAC INFO SCREEN</t>
        </is>
      </c>
      <c r="L131" s="140" t="inlineStr">
        <is>
          <t>High-pressure value on Compressor_UNIT 2_DMA</t>
        </is>
      </c>
      <c r="M131" s="144" t="n"/>
      <c r="N131" s="140" t="inlineStr">
        <is>
          <t>TCMS</t>
        </is>
      </c>
      <c r="O131" s="140">
        <f>TCMS!D34</f>
        <v/>
      </c>
      <c r="P131" s="140" t="n"/>
    </row>
    <row r="132" ht="31" customHeight="1">
      <c r="J132" s="140" t="n">
        <v>39</v>
      </c>
      <c r="K132" s="140" t="inlineStr">
        <is>
          <t>HVAC INFO SCREEN</t>
        </is>
      </c>
      <c r="L132" s="140" t="inlineStr">
        <is>
          <t>High-pressure value on Compressor_UNIT 2_TCA</t>
        </is>
      </c>
      <c r="M132" s="144" t="n"/>
      <c r="N132" s="140" t="inlineStr">
        <is>
          <t>TCMS</t>
        </is>
      </c>
      <c r="O132" s="140">
        <f>TCMS!E34</f>
        <v/>
      </c>
      <c r="P132" s="140" t="n"/>
    </row>
    <row r="133" ht="31" customHeight="1">
      <c r="J133" s="140" t="n">
        <v>40</v>
      </c>
      <c r="K133" s="140" t="inlineStr">
        <is>
          <t>HVAC INFO SCREEN</t>
        </is>
      </c>
      <c r="L133" s="140" t="inlineStr">
        <is>
          <t>High-pressure value on Compressor_UNIT 2_DMB</t>
        </is>
      </c>
      <c r="M133" s="144" t="n"/>
      <c r="N133" s="140" t="inlineStr">
        <is>
          <t>TCMS</t>
        </is>
      </c>
      <c r="O133" s="140">
        <f>TCMS!F34</f>
        <v/>
      </c>
      <c r="P133" s="140" t="n"/>
    </row>
    <row r="134">
      <c r="J134" s="140" t="n">
        <v>41</v>
      </c>
      <c r="K134" s="140" t="n"/>
      <c r="M134" s="144" t="n"/>
      <c r="N134" s="140" t="inlineStr">
        <is>
          <t>TCMS</t>
        </is>
      </c>
      <c r="O134" s="140" t="n"/>
      <c r="P134" s="140" t="n"/>
    </row>
    <row r="135" ht="31" customHeight="1">
      <c r="J135" s="140" t="n">
        <v>42</v>
      </c>
      <c r="K135" s="140" t="inlineStr">
        <is>
          <t>MODE SETTING  SCREEN</t>
        </is>
      </c>
      <c r="L135" s="140" t="inlineStr">
        <is>
          <t>Current Mode Status_UNIT 1_DMA</t>
        </is>
      </c>
      <c r="M135" s="144" t="n"/>
      <c r="N135" s="140" t="inlineStr">
        <is>
          <t>TCMS</t>
        </is>
      </c>
      <c r="O135" s="140">
        <f>TCMS!D36</f>
        <v/>
      </c>
      <c r="P135" s="140" t="n"/>
    </row>
    <row r="136" ht="31" customHeight="1">
      <c r="J136" s="140" t="n">
        <v>43</v>
      </c>
      <c r="K136" s="140" t="inlineStr">
        <is>
          <t>MODE SETTING  SCREEN</t>
        </is>
      </c>
      <c r="L136" s="140" t="inlineStr">
        <is>
          <t>Current Mode Status_UNIT 1_TCA</t>
        </is>
      </c>
      <c r="M136" s="144" t="n"/>
      <c r="N136" s="140" t="inlineStr">
        <is>
          <t>TCMS</t>
        </is>
      </c>
      <c r="O136" s="140">
        <f>TCMS!E36</f>
        <v/>
      </c>
      <c r="P136" s="140" t="n"/>
    </row>
    <row r="137" ht="31" customHeight="1">
      <c r="J137" s="140" t="n">
        <v>44</v>
      </c>
      <c r="K137" s="140" t="inlineStr">
        <is>
          <t>MODE SETTING  SCREEN</t>
        </is>
      </c>
      <c r="L137" s="140" t="inlineStr">
        <is>
          <t>Current Mode Status_UNIT 1_DMB</t>
        </is>
      </c>
      <c r="M137" s="144" t="n"/>
      <c r="N137" s="140" t="inlineStr">
        <is>
          <t>TCMS</t>
        </is>
      </c>
      <c r="O137" s="140">
        <f>TCMS!F36</f>
        <v/>
      </c>
      <c r="P137" s="140" t="n"/>
    </row>
    <row r="138" ht="31" customHeight="1">
      <c r="J138" s="140" t="n">
        <v>45</v>
      </c>
      <c r="K138" s="140" t="inlineStr">
        <is>
          <t>MODE SETTING  SCREEN</t>
        </is>
      </c>
      <c r="L138" s="140" t="inlineStr">
        <is>
          <t>Current Mode Status_UNIT 2_DMA</t>
        </is>
      </c>
      <c r="M138" s="144" t="n"/>
      <c r="N138" s="140" t="inlineStr">
        <is>
          <t>TCMS</t>
        </is>
      </c>
      <c r="O138" s="140">
        <f>TCMS!D37</f>
        <v/>
      </c>
      <c r="P138" s="140" t="n"/>
    </row>
    <row r="139" ht="31" customHeight="1">
      <c r="J139" s="140" t="n">
        <v>46</v>
      </c>
      <c r="K139" s="140" t="inlineStr">
        <is>
          <t>MODE SETTING  SCREEN</t>
        </is>
      </c>
      <c r="L139" s="140" t="inlineStr">
        <is>
          <t>Current Mode Status_UNIT 2_TCA</t>
        </is>
      </c>
      <c r="M139" s="144" t="n"/>
      <c r="N139" s="140" t="inlineStr">
        <is>
          <t>TCMS</t>
        </is>
      </c>
      <c r="O139" s="140">
        <f>TCMS!E37</f>
        <v/>
      </c>
      <c r="P139" s="140" t="n"/>
    </row>
    <row r="140" ht="31" customHeight="1">
      <c r="J140" s="140" t="n">
        <v>47</v>
      </c>
      <c r="K140" s="140" t="inlineStr">
        <is>
          <t>MODE SETTING  SCREEN</t>
        </is>
      </c>
      <c r="L140" s="140" t="inlineStr">
        <is>
          <t>Current Mode Status_UNIT 2_DMB</t>
        </is>
      </c>
      <c r="M140" s="144" t="n"/>
      <c r="N140" s="140" t="inlineStr">
        <is>
          <t>TCMS</t>
        </is>
      </c>
      <c r="O140" s="140">
        <f>TCMS!F37</f>
        <v/>
      </c>
      <c r="P140" s="140" t="n"/>
    </row>
    <row r="141">
      <c r="J141" s="140" t="n">
        <v>48</v>
      </c>
      <c r="K141" s="140" t="n"/>
      <c r="M141" s="144" t="n"/>
      <c r="N141" s="140" t="inlineStr">
        <is>
          <t>TCMS</t>
        </is>
      </c>
      <c r="O141" s="140" t="n"/>
      <c r="P141" s="140" t="n"/>
    </row>
    <row r="142" ht="31" customHeight="1">
      <c r="J142" s="140" t="n">
        <v>49</v>
      </c>
      <c r="K142" s="140" t="inlineStr">
        <is>
          <t>TEMP SETTING SCREEN</t>
        </is>
      </c>
      <c r="L142" s="140" t="inlineStr">
        <is>
          <t>Target Temperature (degC)_UNIT 1_DMA</t>
        </is>
      </c>
      <c r="M142" s="144" t="n"/>
      <c r="N142" s="140" t="inlineStr">
        <is>
          <t>TCMS</t>
        </is>
      </c>
      <c r="O142" s="140">
        <f>TCMS!D74</f>
        <v/>
      </c>
      <c r="P142" s="140" t="n"/>
    </row>
    <row r="143" ht="31" customHeight="1">
      <c r="J143" s="140" t="n">
        <v>50</v>
      </c>
      <c r="K143" s="140" t="inlineStr">
        <is>
          <t>TEMP SETTING SCREEN</t>
        </is>
      </c>
      <c r="L143" s="140" t="inlineStr">
        <is>
          <t>Target Temperature (degC)_UNIT 1_TCA</t>
        </is>
      </c>
      <c r="M143" s="144" t="n"/>
      <c r="N143" s="140" t="inlineStr">
        <is>
          <t>TCMS</t>
        </is>
      </c>
      <c r="O143" s="140">
        <f>TCMS!E74</f>
        <v/>
      </c>
      <c r="P143" s="140" t="n"/>
    </row>
    <row r="144" ht="31" customHeight="1">
      <c r="J144" s="140" t="n">
        <v>51</v>
      </c>
      <c r="K144" s="140" t="inlineStr">
        <is>
          <t>TEMP SETTING SCREEN</t>
        </is>
      </c>
      <c r="L144" s="140" t="inlineStr">
        <is>
          <t>Target Temperature (degC)_UNIT 1_DMB</t>
        </is>
      </c>
      <c r="M144" s="144" t="n"/>
      <c r="N144" s="140" t="inlineStr">
        <is>
          <t>TCMS</t>
        </is>
      </c>
      <c r="O144" s="140">
        <f>TCMS!F74</f>
        <v/>
      </c>
      <c r="P144" s="140" t="n"/>
    </row>
    <row r="145" ht="31" customHeight="1">
      <c r="J145" s="140" t="n">
        <v>52</v>
      </c>
      <c r="K145" s="140" t="inlineStr">
        <is>
          <t>TEMP SETTING SCREEN</t>
        </is>
      </c>
      <c r="L145" s="140" t="inlineStr">
        <is>
          <t>Target Temperature (degC)_UNIT 2_DMA</t>
        </is>
      </c>
      <c r="M145" s="144" t="n"/>
      <c r="N145" s="140" t="inlineStr">
        <is>
          <t>TCMS</t>
        </is>
      </c>
      <c r="O145" s="140">
        <f>TCMS!D75</f>
        <v/>
      </c>
      <c r="P145" s="140" t="n"/>
    </row>
    <row r="146" ht="31" customHeight="1">
      <c r="J146" s="140" t="n">
        <v>53</v>
      </c>
      <c r="K146" s="140" t="inlineStr">
        <is>
          <t>TEMP SETTING SCREEN</t>
        </is>
      </c>
      <c r="L146" s="140" t="inlineStr">
        <is>
          <t>Target Temperature (degC)_UNIT 2_TCA</t>
        </is>
      </c>
      <c r="M146" s="144" t="n"/>
      <c r="N146" s="140" t="inlineStr">
        <is>
          <t>TCMS</t>
        </is>
      </c>
      <c r="O146" s="140">
        <f>TCMS!E75</f>
        <v/>
      </c>
      <c r="P146" s="140" t="n"/>
    </row>
    <row r="147" ht="31" customHeight="1">
      <c r="J147" s="140" t="n">
        <v>54</v>
      </c>
      <c r="K147" s="140" t="inlineStr">
        <is>
          <t>TEMP SETTING SCREEN</t>
        </is>
      </c>
      <c r="L147" s="140" t="inlineStr">
        <is>
          <t>Target Temperature (degC)_UNIT 2_DMB</t>
        </is>
      </c>
      <c r="M147" s="144" t="n"/>
      <c r="N147" s="140" t="inlineStr">
        <is>
          <t>TCMS</t>
        </is>
      </c>
      <c r="O147" s="140">
        <f>TCMS!F75</f>
        <v/>
      </c>
      <c r="P147" s="140" t="n"/>
    </row>
    <row r="148">
      <c r="J148" s="140" t="n">
        <v>55</v>
      </c>
      <c r="K148" s="140" t="inlineStr">
        <is>
          <t>TEMP SETTING SCREEN</t>
        </is>
      </c>
      <c r="L148" s="140" t="inlineStr">
        <is>
          <t>Request Temp</t>
        </is>
      </c>
      <c r="M148" s="144" t="n"/>
      <c r="N148" s="140" t="inlineStr">
        <is>
          <t>TCMS</t>
        </is>
      </c>
      <c r="O148" s="140">
        <f>TCMS!C85</f>
        <v/>
      </c>
      <c r="P148" s="140" t="n"/>
    </row>
    <row r="149">
      <c r="J149" s="140" t="n">
        <v>56</v>
      </c>
      <c r="K149" s="140" t="n"/>
      <c r="L149" s="62" t="n"/>
      <c r="M149" s="144" t="n"/>
      <c r="N149" s="140" t="inlineStr">
        <is>
          <t>TCMS</t>
        </is>
      </c>
      <c r="O149" s="140" t="n"/>
      <c r="P149" s="140" t="n"/>
    </row>
    <row r="150">
      <c r="J150" s="140" t="n">
        <v>57</v>
      </c>
      <c r="K150" s="140" t="inlineStr">
        <is>
          <t>HVAC ISOLATION SCREEN</t>
        </is>
      </c>
      <c r="L150" s="140" t="inlineStr">
        <is>
          <t>HVAC 1 _DMA</t>
        </is>
      </c>
      <c r="M150" s="144" t="n"/>
      <c r="N150" s="140" t="inlineStr">
        <is>
          <t>TCMS</t>
        </is>
      </c>
      <c r="O150" s="140">
        <f>TCMS!C93</f>
        <v/>
      </c>
      <c r="P150" s="140" t="n"/>
    </row>
    <row r="151">
      <c r="J151" s="140" t="n">
        <v>58</v>
      </c>
      <c r="K151" s="140" t="inlineStr">
        <is>
          <t>HVAC ISOLATION SCREEN</t>
        </is>
      </c>
      <c r="L151" s="140" t="inlineStr">
        <is>
          <t>HVAC 1 _TCA</t>
        </is>
      </c>
      <c r="M151" s="144" t="n"/>
      <c r="N151" s="140" t="inlineStr">
        <is>
          <t>TCMS</t>
        </is>
      </c>
      <c r="O151" s="140">
        <f>TCMS!D93</f>
        <v/>
      </c>
      <c r="P151" s="140" t="n"/>
    </row>
    <row r="152">
      <c r="J152" s="140" t="n">
        <v>59</v>
      </c>
      <c r="K152" s="140" t="inlineStr">
        <is>
          <t>HVAC ISOLATION SCREEN</t>
        </is>
      </c>
      <c r="L152" s="140" t="inlineStr">
        <is>
          <t>HVAC 1 _DMB</t>
        </is>
      </c>
      <c r="M152" s="144" t="n"/>
      <c r="N152" s="140" t="inlineStr">
        <is>
          <t>TCMS</t>
        </is>
      </c>
      <c r="O152" s="140">
        <f>TCMS!E93</f>
        <v/>
      </c>
      <c r="P152" s="140" t="n"/>
    </row>
    <row r="153">
      <c r="J153" s="140" t="n">
        <v>60</v>
      </c>
      <c r="K153" s="140" t="inlineStr">
        <is>
          <t>HVAC ISOLATION SCREEN</t>
        </is>
      </c>
      <c r="L153" s="140" t="inlineStr">
        <is>
          <t>HVAC 2 _DMA</t>
        </is>
      </c>
      <c r="M153" s="144" t="n"/>
      <c r="N153" s="140" t="inlineStr">
        <is>
          <t>TCMS</t>
        </is>
      </c>
      <c r="O153" s="140">
        <f>TCMS!C94</f>
        <v/>
      </c>
      <c r="P153" s="140" t="n"/>
    </row>
    <row r="154">
      <c r="J154" s="140" t="n">
        <v>61</v>
      </c>
      <c r="K154" s="140" t="inlineStr">
        <is>
          <t>HVAC ISOLATION SCREEN</t>
        </is>
      </c>
      <c r="L154" s="140" t="inlineStr">
        <is>
          <t>HVAC 2 _TCA</t>
        </is>
      </c>
      <c r="M154" s="144" t="n"/>
      <c r="N154" s="140" t="inlineStr">
        <is>
          <t>TCMS</t>
        </is>
      </c>
      <c r="O154" s="140">
        <f>TCMS!D94</f>
        <v/>
      </c>
      <c r="P154" s="140" t="n"/>
    </row>
    <row r="155">
      <c r="J155" s="140" t="n">
        <v>62</v>
      </c>
      <c r="K155" s="140" t="inlineStr">
        <is>
          <t>HVAC ISOLATION SCREEN</t>
        </is>
      </c>
      <c r="L155" s="140" t="inlineStr">
        <is>
          <t>HVAC 2 _DMB</t>
        </is>
      </c>
      <c r="M155" s="144" t="n"/>
      <c r="N155" s="140" t="inlineStr">
        <is>
          <t>TCMS</t>
        </is>
      </c>
      <c r="O155" s="140">
        <f>TCMS!E94</f>
        <v/>
      </c>
      <c r="P155" s="140" t="n"/>
    </row>
    <row r="170" customFormat="1" s="347">
      <c r="Z170" s="348" t="n"/>
    </row>
    <row r="171" ht="16" customHeight="1" thickBot="1"/>
    <row r="172" ht="44" customHeight="1" thickBot="1">
      <c r="B172" s="15" t="inlineStr">
        <is>
          <t>DI00</t>
        </is>
      </c>
      <c r="C172" s="35" t="inlineStr">
        <is>
          <t>Door 1 LH Limit Switch</t>
        </is>
      </c>
      <c r="D172" s="28" t="inlineStr">
        <is>
          <t>boolean</t>
        </is>
      </c>
      <c r="E172" s="16" t="inlineStr">
        <is>
          <t>HVAC Replica</t>
        </is>
      </c>
      <c r="F172" s="313" t="n"/>
      <c r="G172" s="313" t="n"/>
      <c r="K172" s="15" t="inlineStr">
        <is>
          <t>DO00</t>
        </is>
      </c>
      <c r="L172" s="16" t="inlineStr">
        <is>
          <t>Saloon Lights</t>
        </is>
      </c>
      <c r="M172" s="313" t="n"/>
      <c r="N172" s="16" t="inlineStr">
        <is>
          <t>HVAC Replica</t>
        </is>
      </c>
      <c r="O172" s="238">
        <f>HVAC_IOs!K11</f>
        <v/>
      </c>
      <c r="P172" s="313" t="n"/>
      <c r="Q172" s="733" t="inlineStr">
        <is>
          <t xml:space="preserve">DO </t>
        </is>
      </c>
      <c r="R172" s="349" t="n"/>
      <c r="S172" s="310" t="n"/>
      <c r="T172" s="310" t="n"/>
      <c r="U172" s="38" t="inlineStr">
        <is>
          <t>AI00</t>
        </is>
      </c>
      <c r="V172" s="43" t="inlineStr">
        <is>
          <t>LP Sensor 1</t>
        </is>
      </c>
      <c r="W172" s="29" t="n"/>
      <c r="X172" s="27" t="inlineStr">
        <is>
          <t xml:space="preserve">HVAC Replica </t>
        </is>
      </c>
      <c r="Y172" s="312" t="n"/>
      <c r="Z172" s="312" t="n"/>
      <c r="AC172" s="240" t="inlineStr">
        <is>
          <t>Analog outputs (DO)</t>
        </is>
      </c>
      <c r="AD172" s="241" t="inlineStr">
        <is>
          <t>Output Description</t>
        </is>
      </c>
      <c r="AE172" s="241" t="inlineStr">
        <is>
          <t>Remarks / special comments if any</t>
        </is>
      </c>
      <c r="AF172" s="242" t="inlineStr">
        <is>
          <t>Status</t>
        </is>
      </c>
      <c r="AG172" s="243" t="n"/>
      <c r="AH172" s="197" t="n"/>
      <c r="AI172" s="197" t="n"/>
      <c r="AJ172" s="198" t="n"/>
      <c r="AK172" s="197" t="n"/>
    </row>
    <row r="173">
      <c r="B173" s="15" t="inlineStr">
        <is>
          <t>DI01</t>
        </is>
      </c>
      <c r="C173" s="35" t="inlineStr">
        <is>
          <t>Door 1 RH Limit Switch</t>
        </is>
      </c>
      <c r="D173" s="28" t="inlineStr">
        <is>
          <t>boolean</t>
        </is>
      </c>
      <c r="E173" s="16" t="inlineStr">
        <is>
          <t>HVAC Replica</t>
        </is>
      </c>
      <c r="F173" s="313" t="n"/>
      <c r="G173" s="313" t="n"/>
      <c r="K173" s="15" t="inlineStr">
        <is>
          <t>DO01</t>
        </is>
      </c>
      <c r="L173" s="16" t="inlineStr">
        <is>
          <t>Int 1</t>
        </is>
      </c>
      <c r="M173" s="313" t="n"/>
      <c r="N173" s="16" t="inlineStr">
        <is>
          <t>HVAC Replica</t>
        </is>
      </c>
      <c r="O173" s="16">
        <f>IF(O172=1,0,1)</f>
        <v/>
      </c>
      <c r="P173" s="313" t="n"/>
      <c r="Q173" s="310" t="n"/>
      <c r="R173" s="310" t="n"/>
      <c r="S173" s="310" t="n"/>
      <c r="T173" s="310" t="n"/>
      <c r="U173" s="38" t="inlineStr">
        <is>
          <t>AI01</t>
        </is>
      </c>
      <c r="V173" s="43" t="inlineStr">
        <is>
          <t>HP Sensor 1</t>
        </is>
      </c>
      <c r="W173" s="29" t="n"/>
      <c r="X173" s="27" t="inlineStr">
        <is>
          <t xml:space="preserve">HVAC Replica </t>
        </is>
      </c>
      <c r="Y173" s="312" t="n"/>
      <c r="Z173" s="312" t="n"/>
      <c r="AC173" s="244" t="inlineStr">
        <is>
          <t>AO00</t>
        </is>
      </c>
      <c r="AD173" s="245" t="inlineStr">
        <is>
          <t>Spare</t>
        </is>
      </c>
      <c r="AE173" s="246" t="n"/>
      <c r="AF173" s="247" t="n"/>
      <c r="AG173" s="243" t="n"/>
      <c r="AH173" s="197" t="n"/>
      <c r="AI173" s="197" t="inlineStr">
        <is>
          <t xml:space="preserve"> AL549</t>
        </is>
      </c>
      <c r="AJ173" s="239" t="inlineStr">
        <is>
          <t>Condensor Coils</t>
        </is>
      </c>
      <c r="AK173" s="197" t="n">
        <v>1</v>
      </c>
    </row>
    <row r="174">
      <c r="B174" s="15" t="inlineStr">
        <is>
          <t>DI02</t>
        </is>
      </c>
      <c r="C174" s="35" t="inlineStr">
        <is>
          <t>Door 2 LH Limit Switch</t>
        </is>
      </c>
      <c r="D174" s="28" t="inlineStr">
        <is>
          <t>boolean</t>
        </is>
      </c>
      <c r="E174" s="16" t="inlineStr">
        <is>
          <t>HVAC Replica</t>
        </is>
      </c>
      <c r="F174" s="313" t="n"/>
      <c r="G174" s="313" t="n"/>
      <c r="K174" s="15" t="inlineStr">
        <is>
          <t>DO02</t>
        </is>
      </c>
      <c r="L174" s="16" t="inlineStr">
        <is>
          <t>Door(close)</t>
        </is>
      </c>
      <c r="M174" s="313" t="n"/>
      <c r="N174" s="16" t="inlineStr">
        <is>
          <t>HVAC Replica</t>
        </is>
      </c>
      <c r="O174" s="16">
        <f>IF('DATA TRANSFER'!CP38=0,1,0)</f>
        <v/>
      </c>
      <c r="P174" s="313" t="n"/>
      <c r="Q174" s="310" t="n"/>
      <c r="R174" s="310" t="n"/>
      <c r="S174" s="310" t="n"/>
      <c r="T174" s="310" t="n"/>
      <c r="U174" s="38" t="inlineStr">
        <is>
          <t>AI02</t>
        </is>
      </c>
      <c r="V174" s="43" t="inlineStr">
        <is>
          <t>LP Sensor 2</t>
        </is>
      </c>
      <c r="W174" s="29" t="n"/>
      <c r="X174" s="27" t="inlineStr">
        <is>
          <t xml:space="preserve">HVAC Replica </t>
        </is>
      </c>
      <c r="Y174" s="312" t="n"/>
      <c r="Z174" s="312" t="n"/>
      <c r="AC174" s="248" t="inlineStr">
        <is>
          <t>AO01</t>
        </is>
      </c>
      <c r="AD174" s="199" t="inlineStr">
        <is>
          <t>Spare</t>
        </is>
      </c>
      <c r="AE174" s="197" t="n"/>
      <c r="AF174" s="249" t="n"/>
      <c r="AG174" s="243" t="n"/>
      <c r="AH174" s="197" t="n"/>
      <c r="AI174" s="197" t="inlineStr">
        <is>
          <t xml:space="preserve"> AL550</t>
        </is>
      </c>
      <c r="AJ174" s="239" t="inlineStr">
        <is>
          <t>CF</t>
        </is>
      </c>
      <c r="AK174" s="197" t="n">
        <v>0</v>
      </c>
    </row>
    <row r="175">
      <c r="B175" s="15" t="inlineStr">
        <is>
          <t>DI03</t>
        </is>
      </c>
      <c r="C175" s="35" t="inlineStr">
        <is>
          <t>Door 2 RH Limit Switch</t>
        </is>
      </c>
      <c r="D175" s="28" t="inlineStr">
        <is>
          <t>boolean</t>
        </is>
      </c>
      <c r="E175" s="16" t="inlineStr">
        <is>
          <t>HVAC Replica</t>
        </is>
      </c>
      <c r="F175" s="313" t="n"/>
      <c r="G175" s="313" t="n"/>
      <c r="K175" s="15" t="inlineStr">
        <is>
          <t>DO03</t>
        </is>
      </c>
      <c r="L175" s="16" t="inlineStr">
        <is>
          <t>Door(open)</t>
        </is>
      </c>
      <c r="M175" s="313" t="n"/>
      <c r="N175" s="16" t="inlineStr">
        <is>
          <t>HVAC Replica</t>
        </is>
      </c>
      <c r="O175" s="16">
        <f>'DATA TRANSFER'!CP37</f>
        <v/>
      </c>
      <c r="P175" s="313" t="n"/>
      <c r="Q175" s="310" t="n"/>
      <c r="R175" s="310" t="n"/>
      <c r="S175" s="310" t="n"/>
      <c r="T175" s="310" t="n"/>
      <c r="U175" s="38" t="inlineStr">
        <is>
          <t>AI03</t>
        </is>
      </c>
      <c r="V175" s="43" t="inlineStr">
        <is>
          <t>HP Sensor 2</t>
        </is>
      </c>
      <c r="W175" s="29" t="n"/>
      <c r="X175" s="27" t="inlineStr">
        <is>
          <t xml:space="preserve">HVAC Replica </t>
        </is>
      </c>
      <c r="Y175" s="312" t="n"/>
      <c r="Z175" s="312" t="n"/>
      <c r="AC175" s="248" t="inlineStr">
        <is>
          <t>AO02</t>
        </is>
      </c>
      <c r="AD175" s="199" t="inlineStr">
        <is>
          <t>Spare</t>
        </is>
      </c>
      <c r="AE175" s="197" t="n"/>
      <c r="AF175" s="249" t="n"/>
      <c r="AG175" s="243" t="n"/>
      <c r="AH175" s="197" t="n"/>
      <c r="AI175" s="197" t="inlineStr">
        <is>
          <t xml:space="preserve"> AL551</t>
        </is>
      </c>
      <c r="AJ175" s="239" t="inlineStr">
        <is>
          <t>EI</t>
        </is>
      </c>
      <c r="AK175" s="197" t="n">
        <v>0</v>
      </c>
    </row>
    <row r="176">
      <c r="B176" s="15" t="inlineStr">
        <is>
          <t>DI04</t>
        </is>
      </c>
      <c r="C176" s="35" t="inlineStr">
        <is>
          <t>Door 1 Center Limit Switch (Centre)</t>
        </is>
      </c>
      <c r="D176" s="28" t="inlineStr">
        <is>
          <t>boolean</t>
        </is>
      </c>
      <c r="E176" s="16" t="inlineStr">
        <is>
          <t>HVAC Replica</t>
        </is>
      </c>
      <c r="F176" s="313" t="n"/>
      <c r="G176" s="313" t="n"/>
      <c r="K176" s="15" t="inlineStr">
        <is>
          <t>DO04</t>
        </is>
      </c>
      <c r="L176" s="16" t="inlineStr">
        <is>
          <t>Door(Open-RIGHT)</t>
        </is>
      </c>
      <c r="M176" s="313" t="n"/>
      <c r="N176" s="16" t="inlineStr">
        <is>
          <t>HVAC Replica</t>
        </is>
      </c>
      <c r="O176" s="16">
        <f>O175</f>
        <v/>
      </c>
      <c r="P176" s="313" t="n"/>
      <c r="Q176" s="310" t="n"/>
      <c r="R176" s="310" t="n"/>
      <c r="S176" s="310" t="n"/>
      <c r="T176" s="310" t="n"/>
      <c r="U176" s="38" t="inlineStr">
        <is>
          <t>AI04</t>
        </is>
      </c>
      <c r="V176" s="43" t="inlineStr">
        <is>
          <t>FAT Sensor</t>
        </is>
      </c>
      <c r="W176" s="29" t="n"/>
      <c r="X176" s="27" t="inlineStr">
        <is>
          <t xml:space="preserve">HVAC Replica </t>
        </is>
      </c>
      <c r="Y176" s="312" t="n"/>
      <c r="Z176" s="312" t="n"/>
      <c r="AC176" s="248" t="inlineStr">
        <is>
          <t>AO03</t>
        </is>
      </c>
      <c r="AD176" s="199" t="inlineStr">
        <is>
          <t>Spare</t>
        </is>
      </c>
      <c r="AE176" s="197" t="n"/>
      <c r="AF176" s="249" t="n"/>
      <c r="AG176" s="243" t="n"/>
      <c r="AH176" s="197" t="n"/>
      <c r="AI176" s="197" t="inlineStr">
        <is>
          <t xml:space="preserve"> AL552</t>
        </is>
      </c>
      <c r="AJ176" s="239" t="inlineStr">
        <is>
          <t>Evaporator</t>
        </is>
      </c>
      <c r="AK176" s="197" t="n">
        <v>0</v>
      </c>
    </row>
    <row r="177" ht="31" customHeight="1">
      <c r="B177" s="15" t="inlineStr">
        <is>
          <t>DI05</t>
        </is>
      </c>
      <c r="C177" s="35" t="inlineStr">
        <is>
          <t>Door 2 Center Limit Switch (right side)</t>
        </is>
      </c>
      <c r="D177" s="28" t="inlineStr">
        <is>
          <t>boolean</t>
        </is>
      </c>
      <c r="E177" s="16" t="inlineStr">
        <is>
          <t>HVAC Replica</t>
        </is>
      </c>
      <c r="F177" s="313" t="n"/>
      <c r="G177" s="313" t="n"/>
      <c r="K177" s="15" t="inlineStr">
        <is>
          <t>DO05</t>
        </is>
      </c>
      <c r="L177" s="16" t="inlineStr">
        <is>
          <t>Door(CLOSE-RIGHT)</t>
        </is>
      </c>
      <c r="M177" s="313" t="n"/>
      <c r="N177" s="16" t="inlineStr">
        <is>
          <t>HVAC Replica</t>
        </is>
      </c>
      <c r="O177" s="16">
        <f>O174</f>
        <v/>
      </c>
      <c r="P177" s="313" t="n"/>
      <c r="Q177" s="310" t="n"/>
      <c r="R177" s="310" t="n"/>
      <c r="S177" s="310" t="n"/>
      <c r="T177" s="310" t="n"/>
      <c r="U177" s="38" t="inlineStr">
        <is>
          <t>AI05</t>
        </is>
      </c>
      <c r="V177" s="43" t="inlineStr">
        <is>
          <t>Supply Air Temp Sensor</t>
        </is>
      </c>
      <c r="W177" s="29" t="n"/>
      <c r="X177" s="27" t="inlineStr">
        <is>
          <t xml:space="preserve">HVAC Replica </t>
        </is>
      </c>
      <c r="Y177" s="312" t="n"/>
      <c r="Z177" s="312" t="n"/>
      <c r="AC177" s="248" t="inlineStr">
        <is>
          <t>AO04</t>
        </is>
      </c>
      <c r="AD177" s="199" t="inlineStr">
        <is>
          <t>Spare</t>
        </is>
      </c>
      <c r="AE177" s="197" t="n"/>
      <c r="AF177" s="249" t="n"/>
      <c r="AG177" s="243" t="n"/>
      <c r="AH177" s="197" t="n"/>
      <c r="AI177" s="197" t="inlineStr">
        <is>
          <t xml:space="preserve"> AL553</t>
        </is>
      </c>
      <c r="AJ177" s="239" t="inlineStr">
        <is>
          <t>Filter Drier</t>
        </is>
      </c>
      <c r="AK177" s="197" t="n">
        <v>0</v>
      </c>
    </row>
    <row r="178">
      <c r="B178" s="15" t="inlineStr">
        <is>
          <t>DI06</t>
        </is>
      </c>
      <c r="C178" s="35" t="inlineStr">
        <is>
          <t>Spare</t>
        </is>
      </c>
      <c r="D178" s="28" t="inlineStr">
        <is>
          <t>boolean</t>
        </is>
      </c>
      <c r="E178" s="16" t="inlineStr">
        <is>
          <t>HVAC Replica</t>
        </is>
      </c>
      <c r="F178" s="313" t="n"/>
      <c r="G178" s="313" t="n"/>
      <c r="K178" s="15" t="inlineStr">
        <is>
          <t>DO06</t>
        </is>
      </c>
      <c r="L178" s="16" t="inlineStr">
        <is>
          <t>Comp 1</t>
        </is>
      </c>
      <c r="M178" s="313" t="n"/>
      <c r="N178" s="16" t="inlineStr">
        <is>
          <t>HVAC Replica</t>
        </is>
      </c>
      <c r="O178" s="16" t="n"/>
      <c r="P178" s="313" t="n"/>
      <c r="Q178" s="310" t="n"/>
      <c r="R178" s="310" t="n"/>
      <c r="S178" s="310" t="n"/>
      <c r="T178" s="310" t="n"/>
      <c r="U178" s="38" t="inlineStr">
        <is>
          <t>AI06</t>
        </is>
      </c>
      <c r="V178" s="43" t="inlineStr">
        <is>
          <t>RAT Sensor</t>
        </is>
      </c>
      <c r="W178" s="29" t="n"/>
      <c r="X178" s="27" t="inlineStr">
        <is>
          <t xml:space="preserve">HVAC Replica </t>
        </is>
      </c>
      <c r="Y178" s="312" t="n"/>
      <c r="Z178" s="312" t="n"/>
      <c r="AC178" s="248" t="inlineStr">
        <is>
          <t>AO05</t>
        </is>
      </c>
      <c r="AD178" s="199" t="inlineStr">
        <is>
          <t>Spare</t>
        </is>
      </c>
      <c r="AE178" s="197" t="n"/>
      <c r="AF178" s="249" t="n"/>
      <c r="AG178" s="243" t="n"/>
      <c r="AH178" s="197" t="n"/>
      <c r="AI178" s="197" t="inlineStr">
        <is>
          <t xml:space="preserve"> AL554</t>
        </is>
      </c>
      <c r="AJ178" s="239" t="inlineStr">
        <is>
          <t>FAD</t>
        </is>
      </c>
      <c r="AK178" s="197" t="n">
        <v>0</v>
      </c>
    </row>
    <row r="179" ht="31" customHeight="1">
      <c r="B179" s="15" t="inlineStr">
        <is>
          <t>DI07</t>
        </is>
      </c>
      <c r="C179" s="35" t="inlineStr">
        <is>
          <t>Spare</t>
        </is>
      </c>
      <c r="D179" s="28" t="inlineStr">
        <is>
          <t>boolean</t>
        </is>
      </c>
      <c r="E179" s="16" t="inlineStr">
        <is>
          <t>HVAC Replica</t>
        </is>
      </c>
      <c r="F179" s="313" t="n"/>
      <c r="G179" s="313" t="n"/>
      <c r="K179" s="15" t="inlineStr">
        <is>
          <t>DO07</t>
        </is>
      </c>
      <c r="L179" s="16" t="inlineStr">
        <is>
          <t>Comp2</t>
        </is>
      </c>
      <c r="M179" s="313" t="n"/>
      <c r="N179" s="16" t="inlineStr">
        <is>
          <t>HVAC Replica</t>
        </is>
      </c>
      <c r="O179" s="16">
        <f>'DATA TRANSFER'!M27</f>
        <v/>
      </c>
      <c r="P179" s="313" t="n"/>
      <c r="Q179" s="310" t="n"/>
      <c r="R179" s="310" t="n"/>
      <c r="S179" s="310" t="n"/>
      <c r="T179" s="310" t="n"/>
      <c r="U179" s="38" t="inlineStr">
        <is>
          <t>AI07</t>
        </is>
      </c>
      <c r="V179" s="43" t="inlineStr">
        <is>
          <t xml:space="preserve">Humidity Sensor </t>
        </is>
      </c>
      <c r="W179" s="29" t="n"/>
      <c r="X179" s="27" t="inlineStr">
        <is>
          <t xml:space="preserve">HVAC Replica </t>
        </is>
      </c>
      <c r="Y179" s="312" t="n"/>
      <c r="Z179" s="312" t="n"/>
      <c r="AC179" s="248" t="inlineStr">
        <is>
          <t>AO06</t>
        </is>
      </c>
      <c r="AD179" s="199" t="inlineStr">
        <is>
          <t>Spare</t>
        </is>
      </c>
      <c r="AE179" s="197" t="n"/>
      <c r="AF179" s="249" t="n"/>
      <c r="AG179" s="243" t="n"/>
      <c r="AH179" s="197" t="n"/>
      <c r="AI179" s="197" t="inlineStr">
        <is>
          <t xml:space="preserve"> AL555</t>
        </is>
      </c>
      <c r="AJ179" s="239" t="inlineStr">
        <is>
          <t xml:space="preserve">Filter   </t>
        </is>
      </c>
      <c r="AK179" s="197" t="n">
        <v>0</v>
      </c>
    </row>
    <row r="180">
      <c r="B180" s="15" t="inlineStr">
        <is>
          <t>DI08</t>
        </is>
      </c>
      <c r="C180" s="35" t="inlineStr">
        <is>
          <t>Spare</t>
        </is>
      </c>
      <c r="D180" s="28" t="inlineStr">
        <is>
          <t>boolean</t>
        </is>
      </c>
      <c r="E180" s="16" t="inlineStr">
        <is>
          <t>HVAC Replica</t>
        </is>
      </c>
      <c r="F180" s="313" t="n"/>
      <c r="G180" s="313" t="n"/>
      <c r="K180" s="15" t="inlineStr">
        <is>
          <t>DO08</t>
        </is>
      </c>
      <c r="L180" s="16" t="inlineStr">
        <is>
          <t>Comp3</t>
        </is>
      </c>
      <c r="M180" s="313" t="n"/>
      <c r="N180" s="16" t="inlineStr">
        <is>
          <t>HVAC Replica</t>
        </is>
      </c>
      <c r="O180" s="16">
        <f>'DATA TRANSFER'!M28</f>
        <v/>
      </c>
      <c r="P180" s="313" t="n"/>
      <c r="Q180" s="310" t="n"/>
      <c r="R180" s="310" t="n"/>
      <c r="S180" s="310" t="n"/>
      <c r="T180" s="310" t="n"/>
      <c r="U180" s="38" t="inlineStr">
        <is>
          <t>AI08</t>
        </is>
      </c>
      <c r="V180" s="43" t="inlineStr">
        <is>
          <t>Spare</t>
        </is>
      </c>
      <c r="W180" s="29" t="n"/>
      <c r="X180" s="27" t="inlineStr">
        <is>
          <t xml:space="preserve">HVAC Replica </t>
        </is>
      </c>
      <c r="Y180" s="312" t="n"/>
      <c r="Z180" s="312" t="n"/>
      <c r="AC180" s="248" t="inlineStr">
        <is>
          <t>AO07</t>
        </is>
      </c>
      <c r="AD180" s="199" t="inlineStr">
        <is>
          <t>Spare</t>
        </is>
      </c>
      <c r="AE180" s="197" t="n"/>
      <c r="AF180" s="249" t="n"/>
      <c r="AG180" s="243" t="n"/>
      <c r="AH180" s="197" t="n"/>
      <c r="AI180" s="197" t="inlineStr">
        <is>
          <t xml:space="preserve"> AL556</t>
        </is>
      </c>
      <c r="AJ180" s="239" t="inlineStr">
        <is>
          <t>FAT Sensor</t>
        </is>
      </c>
      <c r="AK180" s="197" t="n">
        <v>0</v>
      </c>
    </row>
    <row r="181">
      <c r="B181" s="15" t="inlineStr">
        <is>
          <t>DI09</t>
        </is>
      </c>
      <c r="C181" s="35" t="inlineStr">
        <is>
          <t>Spare</t>
        </is>
      </c>
      <c r="D181" s="28" t="inlineStr">
        <is>
          <t>boolean</t>
        </is>
      </c>
      <c r="E181" s="16" t="inlineStr">
        <is>
          <t>HVAC Replica</t>
        </is>
      </c>
      <c r="F181" s="313" t="n"/>
      <c r="G181" s="313" t="n"/>
      <c r="K181" s="15" t="inlineStr">
        <is>
          <t>DO09</t>
        </is>
      </c>
      <c r="L181" s="16" t="inlineStr">
        <is>
          <t>Comp4</t>
        </is>
      </c>
      <c r="M181" s="313" t="n"/>
      <c r="N181" s="16" t="inlineStr">
        <is>
          <t>HVAC Replica</t>
        </is>
      </c>
      <c r="O181" s="16">
        <f>'DATA TRANSFER'!M29</f>
        <v/>
      </c>
      <c r="P181" s="313" t="n"/>
      <c r="Q181" s="310" t="n"/>
      <c r="R181" s="310" t="n"/>
      <c r="S181" s="310" t="n"/>
      <c r="T181" s="310" t="n"/>
      <c r="U181" s="26" t="n"/>
      <c r="V181" s="38" t="inlineStr">
        <is>
          <t>spare</t>
        </is>
      </c>
      <c r="W181" s="29" t="n"/>
      <c r="X181" s="27" t="inlineStr">
        <is>
          <t xml:space="preserve">HVAC Replica </t>
        </is>
      </c>
      <c r="Y181" s="312" t="n"/>
      <c r="Z181" s="312" t="n"/>
      <c r="AC181" s="248" t="inlineStr">
        <is>
          <t>AO08</t>
        </is>
      </c>
      <c r="AD181" s="199" t="inlineStr">
        <is>
          <t>Spare</t>
        </is>
      </c>
      <c r="AE181" s="197" t="n"/>
      <c r="AF181" s="249" t="n"/>
      <c r="AG181" s="243" t="n"/>
      <c r="AH181" s="197" t="n"/>
      <c r="AI181" s="197" t="inlineStr">
        <is>
          <t xml:space="preserve"> AL557</t>
        </is>
      </c>
      <c r="AJ181" s="239" t="inlineStr">
        <is>
          <t>HP</t>
        </is>
      </c>
      <c r="AK181" s="197" t="n">
        <v>0</v>
      </c>
    </row>
    <row r="182">
      <c r="B182" s="15" t="inlineStr">
        <is>
          <t>DI10</t>
        </is>
      </c>
      <c r="C182" s="35" t="inlineStr">
        <is>
          <t>Spare</t>
        </is>
      </c>
      <c r="D182" s="28" t="inlineStr">
        <is>
          <t>boolean</t>
        </is>
      </c>
      <c r="E182" s="16" t="inlineStr">
        <is>
          <t>HVAC Replica</t>
        </is>
      </c>
      <c r="F182" s="313" t="n"/>
      <c r="G182" s="313" t="n"/>
      <c r="K182" s="15" t="inlineStr">
        <is>
          <t>DO10</t>
        </is>
      </c>
      <c r="L182" s="16" t="inlineStr">
        <is>
          <t>SAF 1 HW LED</t>
        </is>
      </c>
      <c r="M182" s="313" t="n"/>
      <c r="N182" s="16" t="inlineStr">
        <is>
          <t>HVAC Replica</t>
        </is>
      </c>
      <c r="O182" s="237">
        <f>HVAC_IOs!K8</f>
        <v/>
      </c>
      <c r="P182" s="313" t="n"/>
      <c r="Q182" s="310" t="n"/>
      <c r="R182" s="310" t="n"/>
      <c r="S182" s="310" t="n"/>
      <c r="T182" s="310" t="n"/>
      <c r="U182" s="26" t="n"/>
      <c r="V182" s="38" t="inlineStr">
        <is>
          <t>spare</t>
        </is>
      </c>
      <c r="W182" s="29" t="n"/>
      <c r="X182" s="27" t="inlineStr">
        <is>
          <t xml:space="preserve">HVAC Replica </t>
        </is>
      </c>
      <c r="Y182" s="312" t="n"/>
      <c r="Z182" s="312" t="n"/>
      <c r="AC182" s="248" t="inlineStr">
        <is>
          <t>AO09</t>
        </is>
      </c>
      <c r="AD182" s="199" t="inlineStr">
        <is>
          <t>Spare</t>
        </is>
      </c>
      <c r="AE182" s="197" t="n"/>
      <c r="AF182" s="249" t="n"/>
      <c r="AG182" s="243" t="n"/>
      <c r="AH182" s="197" t="n"/>
      <c r="AI182" s="197" t="inlineStr">
        <is>
          <t xml:space="preserve"> AL558</t>
        </is>
      </c>
      <c r="AJ182" s="239" t="inlineStr">
        <is>
          <t>Blanks</t>
        </is>
      </c>
      <c r="AK182" s="197" t="n">
        <v>0</v>
      </c>
    </row>
    <row r="183">
      <c r="B183" s="15" t="inlineStr">
        <is>
          <t>DI11</t>
        </is>
      </c>
      <c r="C183" s="35" t="inlineStr">
        <is>
          <t>Spare</t>
        </is>
      </c>
      <c r="D183" s="28" t="inlineStr">
        <is>
          <t>boolean</t>
        </is>
      </c>
      <c r="E183" s="16" t="inlineStr">
        <is>
          <t>HVAC Replica</t>
        </is>
      </c>
      <c r="F183" s="313" t="n"/>
      <c r="G183" s="313" t="n"/>
      <c r="K183" s="15" t="inlineStr">
        <is>
          <t>DO11</t>
        </is>
      </c>
      <c r="L183" s="16" t="inlineStr">
        <is>
          <t>SAF 2 HW LED</t>
        </is>
      </c>
      <c r="M183" s="313" t="n"/>
      <c r="N183" s="16" t="inlineStr">
        <is>
          <t>HVAC Replica</t>
        </is>
      </c>
      <c r="O183" s="237">
        <f>HVAC_IOs!K9</f>
        <v/>
      </c>
      <c r="P183" s="313" t="n"/>
      <c r="Q183" s="310" t="n"/>
      <c r="R183" s="310" t="n"/>
      <c r="S183" s="310" t="n"/>
      <c r="T183" s="310" t="n"/>
      <c r="U183" s="22" t="n"/>
      <c r="V183" s="38" t="inlineStr">
        <is>
          <t>spare</t>
        </is>
      </c>
      <c r="W183" s="29" t="n"/>
      <c r="X183" s="27" t="inlineStr">
        <is>
          <t xml:space="preserve">HVAC Replica </t>
        </is>
      </c>
      <c r="Y183" s="312" t="n"/>
      <c r="Z183" s="312" t="n"/>
      <c r="AC183" s="248" t="inlineStr">
        <is>
          <t>AO10</t>
        </is>
      </c>
      <c r="AD183" s="199" t="inlineStr">
        <is>
          <t>Spare</t>
        </is>
      </c>
      <c r="AE183" s="197" t="n"/>
      <c r="AF183" s="249" t="n"/>
      <c r="AG183" s="243" t="n"/>
      <c r="AH183" s="197" t="n"/>
      <c r="AI183" s="197" t="inlineStr">
        <is>
          <t xml:space="preserve"> AL559</t>
        </is>
      </c>
      <c r="AJ183" s="239" t="inlineStr">
        <is>
          <t>Humidity Sensor</t>
        </is>
      </c>
      <c r="AK183" s="197" t="n">
        <v>0</v>
      </c>
    </row>
    <row r="184">
      <c r="B184" s="15" t="inlineStr">
        <is>
          <t>DI12</t>
        </is>
      </c>
      <c r="C184" s="35" t="inlineStr">
        <is>
          <t>Spare</t>
        </is>
      </c>
      <c r="D184" s="28" t="inlineStr">
        <is>
          <t>boolean</t>
        </is>
      </c>
      <c r="E184" s="16" t="inlineStr">
        <is>
          <t>HVAC Replica</t>
        </is>
      </c>
      <c r="F184" s="313" t="n"/>
      <c r="G184" s="313" t="n"/>
      <c r="K184" s="15" t="inlineStr">
        <is>
          <t>DO12</t>
        </is>
      </c>
      <c r="L184" s="16" t="inlineStr">
        <is>
          <t>Low Pressure Solenoid 1</t>
        </is>
      </c>
      <c r="M184" s="313" t="n"/>
      <c r="N184" s="16" t="inlineStr">
        <is>
          <t>HVAC Replica</t>
        </is>
      </c>
      <c r="O184" s="313" t="n"/>
      <c r="P184" s="313" t="n"/>
      <c r="Q184" s="310" t="n"/>
      <c r="R184" s="310" t="n"/>
      <c r="S184" s="310" t="n"/>
      <c r="T184" s="310" t="n"/>
      <c r="U184" s="22" t="n"/>
      <c r="V184" s="38" t="inlineStr">
        <is>
          <t>spare</t>
        </is>
      </c>
      <c r="W184" s="29" t="n"/>
      <c r="X184" s="27" t="inlineStr">
        <is>
          <t xml:space="preserve">HVAC Replica </t>
        </is>
      </c>
      <c r="Y184" s="312" t="n"/>
      <c r="Z184" s="312" t="n"/>
      <c r="AC184" s="248" t="inlineStr">
        <is>
          <t>AO11</t>
        </is>
      </c>
      <c r="AD184" s="199" t="inlineStr">
        <is>
          <t>Spare</t>
        </is>
      </c>
      <c r="AE184" s="197" t="n"/>
      <c r="AF184" s="249" t="n"/>
      <c r="AG184" s="243" t="n"/>
      <c r="AH184" s="197" t="n"/>
      <c r="AI184" s="197" t="inlineStr">
        <is>
          <t xml:space="preserve"> AL560</t>
        </is>
      </c>
      <c r="AJ184" s="239" t="inlineStr">
        <is>
          <t>LP</t>
        </is>
      </c>
      <c r="AK184" s="197" t="n">
        <v>0</v>
      </c>
    </row>
    <row r="185">
      <c r="B185" s="15" t="inlineStr">
        <is>
          <t>DI13</t>
        </is>
      </c>
      <c r="C185" s="35" t="inlineStr">
        <is>
          <t>Spare</t>
        </is>
      </c>
      <c r="D185" s="28" t="inlineStr">
        <is>
          <t>boolean</t>
        </is>
      </c>
      <c r="E185" s="16" t="inlineStr">
        <is>
          <t>HVAC Replica</t>
        </is>
      </c>
      <c r="F185" s="313" t="n"/>
      <c r="G185" s="313" t="n"/>
      <c r="K185" s="15" t="inlineStr">
        <is>
          <t>DO13</t>
        </is>
      </c>
      <c r="L185" s="16" t="inlineStr">
        <is>
          <t>Low Pressure Solenoid 2</t>
        </is>
      </c>
      <c r="M185" s="313" t="n"/>
      <c r="N185" s="16" t="inlineStr">
        <is>
          <t>HVAC Replica</t>
        </is>
      </c>
      <c r="O185" s="313" t="n"/>
      <c r="P185" s="313" t="n"/>
      <c r="Q185" s="310" t="n"/>
      <c r="R185" s="310" t="n"/>
      <c r="S185" s="310" t="n"/>
      <c r="T185" s="310" t="n"/>
      <c r="U185" s="22" t="n"/>
      <c r="V185" s="38" t="inlineStr">
        <is>
          <t>spare</t>
        </is>
      </c>
      <c r="W185" s="29" t="n"/>
      <c r="X185" s="27" t="inlineStr">
        <is>
          <t xml:space="preserve">HVAC Replica </t>
        </is>
      </c>
      <c r="Y185" s="312" t="n"/>
      <c r="Z185" s="312" t="n"/>
      <c r="AC185" s="248" t="inlineStr">
        <is>
          <t>AO12</t>
        </is>
      </c>
      <c r="AD185" s="199" t="inlineStr">
        <is>
          <t>Spare</t>
        </is>
      </c>
      <c r="AE185" s="197" t="n"/>
      <c r="AF185" s="249" t="n"/>
      <c r="AG185" s="243" t="n"/>
      <c r="AH185" s="197" t="n"/>
      <c r="AI185" s="197" t="inlineStr">
        <is>
          <t xml:space="preserve"> AL561</t>
        </is>
      </c>
      <c r="AJ185" s="239" t="inlineStr">
        <is>
          <t>Blanks</t>
        </is>
      </c>
      <c r="AK185" s="197" t="n">
        <v>0</v>
      </c>
    </row>
    <row r="186">
      <c r="B186" s="15" t="inlineStr">
        <is>
          <t>DI14</t>
        </is>
      </c>
      <c r="C186" s="35" t="inlineStr">
        <is>
          <t>Spare</t>
        </is>
      </c>
      <c r="D186" s="28" t="inlineStr">
        <is>
          <t>boolean</t>
        </is>
      </c>
      <c r="E186" s="16" t="inlineStr">
        <is>
          <t>HVAC Replica</t>
        </is>
      </c>
      <c r="F186" s="313" t="n"/>
      <c r="G186" s="313" t="n"/>
      <c r="K186" s="15" t="inlineStr">
        <is>
          <t>DO14</t>
        </is>
      </c>
      <c r="L186" s="16" t="inlineStr">
        <is>
          <t>Blower 1</t>
        </is>
      </c>
      <c r="M186" s="313" t="n"/>
      <c r="N186" s="16" t="inlineStr">
        <is>
          <t>HVAC Replica</t>
        </is>
      </c>
      <c r="O186" s="16">
        <f>'DATA TRANSFER'!M30</f>
        <v/>
      </c>
      <c r="P186" s="313" t="n"/>
      <c r="Q186" s="310" t="n"/>
      <c r="R186" s="310" t="n"/>
      <c r="S186" s="310" t="n"/>
      <c r="T186" s="310" t="n"/>
      <c r="U186" s="22" t="n"/>
      <c r="V186" s="38" t="inlineStr">
        <is>
          <t>spare</t>
        </is>
      </c>
      <c r="W186" s="29" t="n"/>
      <c r="X186" s="27" t="inlineStr">
        <is>
          <t xml:space="preserve">HVAC Replica </t>
        </is>
      </c>
      <c r="Y186" s="312" t="n"/>
      <c r="Z186" s="312" t="n"/>
      <c r="AC186" s="248" t="inlineStr">
        <is>
          <t>AO13</t>
        </is>
      </c>
      <c r="AD186" s="199" t="inlineStr">
        <is>
          <t>Spare</t>
        </is>
      </c>
      <c r="AE186" s="197" t="n"/>
      <c r="AF186" s="249" t="n"/>
      <c r="AG186" s="243" t="n"/>
      <c r="AH186" s="197" t="n"/>
      <c r="AI186" s="197" t="inlineStr">
        <is>
          <t xml:space="preserve"> AL562</t>
        </is>
      </c>
      <c r="AJ186" s="239" t="inlineStr">
        <is>
          <t>Mixed Air filter</t>
        </is>
      </c>
      <c r="AK186" s="197" t="n">
        <v>0</v>
      </c>
    </row>
    <row r="187">
      <c r="B187" s="15" t="inlineStr">
        <is>
          <t>DI15</t>
        </is>
      </c>
      <c r="C187" s="35" t="inlineStr">
        <is>
          <t>Spare</t>
        </is>
      </c>
      <c r="D187" s="28" t="inlineStr">
        <is>
          <t>boolean</t>
        </is>
      </c>
      <c r="E187" s="16" t="inlineStr">
        <is>
          <t>HVAC Replica</t>
        </is>
      </c>
      <c r="F187" s="313" t="n"/>
      <c r="G187" s="313" t="n"/>
      <c r="K187" s="15" t="inlineStr">
        <is>
          <t>DO15</t>
        </is>
      </c>
      <c r="L187" s="16" t="inlineStr">
        <is>
          <t>Blower 2</t>
        </is>
      </c>
      <c r="M187" s="313" t="n"/>
      <c r="N187" s="16" t="inlineStr">
        <is>
          <t>HVAC Replica</t>
        </is>
      </c>
      <c r="O187" s="16">
        <f>'DATA TRANSFER'!M30</f>
        <v/>
      </c>
      <c r="P187" s="313" t="n"/>
      <c r="Q187" s="310" t="n"/>
      <c r="R187" s="310" t="n"/>
      <c r="S187" s="310" t="n"/>
      <c r="T187" s="310" t="n"/>
      <c r="U187" s="22" t="n"/>
      <c r="V187" s="38" t="inlineStr">
        <is>
          <t>spare</t>
        </is>
      </c>
      <c r="W187" s="29" t="n"/>
      <c r="X187" s="27" t="inlineStr">
        <is>
          <t xml:space="preserve">HVAC Replica </t>
        </is>
      </c>
      <c r="Y187" s="312" t="n"/>
      <c r="Z187" s="312" t="n"/>
      <c r="AC187" s="248" t="inlineStr">
        <is>
          <t>AO14</t>
        </is>
      </c>
      <c r="AD187" s="199" t="inlineStr">
        <is>
          <t>Spare</t>
        </is>
      </c>
      <c r="AE187" s="197" t="n"/>
      <c r="AF187" s="249" t="n"/>
      <c r="AG187" s="243" t="n"/>
      <c r="AH187" s="197" t="n"/>
      <c r="AI187" s="197" t="inlineStr">
        <is>
          <t xml:space="preserve"> AL563</t>
        </is>
      </c>
      <c r="AJ187" s="239" t="inlineStr">
        <is>
          <t>Comp</t>
        </is>
      </c>
      <c r="AK187" s="197" t="n">
        <v>0</v>
      </c>
    </row>
    <row r="188">
      <c r="B188" s="15" t="inlineStr">
        <is>
          <t>DI16</t>
        </is>
      </c>
      <c r="C188" s="35" t="inlineStr">
        <is>
          <t>Spare</t>
        </is>
      </c>
      <c r="D188" s="28" t="inlineStr">
        <is>
          <t>boolean</t>
        </is>
      </c>
      <c r="E188" s="16" t="inlineStr">
        <is>
          <t>HVAC Replica</t>
        </is>
      </c>
      <c r="F188" s="313" t="n"/>
      <c r="G188" s="313" t="n"/>
      <c r="K188" s="15" t="inlineStr">
        <is>
          <t>DO16</t>
        </is>
      </c>
      <c r="L188" s="16" t="inlineStr">
        <is>
          <t>Condenser Fan 1 On Command</t>
        </is>
      </c>
      <c r="M188" s="313" t="n"/>
      <c r="N188" s="16" t="inlineStr">
        <is>
          <t>HVAC Replica</t>
        </is>
      </c>
      <c r="O188" s="237">
        <f>HVAC_IOs!K10</f>
        <v/>
      </c>
      <c r="P188" s="313" t="n"/>
      <c r="Q188" s="310" t="n"/>
      <c r="R188" s="310" t="n"/>
      <c r="S188" s="310" t="n"/>
      <c r="T188" s="310" t="n"/>
      <c r="U188" s="22" t="n"/>
      <c r="V188" s="38" t="inlineStr">
        <is>
          <t>spare</t>
        </is>
      </c>
      <c r="W188" s="29" t="n"/>
      <c r="X188" s="27" t="inlineStr">
        <is>
          <t xml:space="preserve">HVAC Replica </t>
        </is>
      </c>
      <c r="Y188" s="312" t="n"/>
      <c r="Z188" s="312" t="n"/>
      <c r="AC188" s="248" t="inlineStr">
        <is>
          <t>AO15</t>
        </is>
      </c>
      <c r="AD188" s="199" t="inlineStr">
        <is>
          <t>Spare</t>
        </is>
      </c>
      <c r="AE188" s="197" t="n"/>
      <c r="AF188" s="249" t="n"/>
      <c r="AG188" s="243" t="n"/>
      <c r="AH188" s="197" t="n"/>
      <c r="AI188" s="197" t="inlineStr">
        <is>
          <t xml:space="preserve"> AL564</t>
        </is>
      </c>
      <c r="AJ188" s="239" t="inlineStr">
        <is>
          <t>RAD</t>
        </is>
      </c>
      <c r="AK188" s="197" t="n">
        <v>0</v>
      </c>
    </row>
    <row r="189">
      <c r="B189" s="15" t="inlineStr">
        <is>
          <t>DI17</t>
        </is>
      </c>
      <c r="C189" s="35" t="inlineStr">
        <is>
          <t>Spare</t>
        </is>
      </c>
      <c r="D189" s="28" t="inlineStr">
        <is>
          <t>boolean</t>
        </is>
      </c>
      <c r="E189" s="16" t="inlineStr">
        <is>
          <t>HVAC Replica</t>
        </is>
      </c>
      <c r="F189" s="313" t="n"/>
      <c r="G189" s="313" t="n"/>
      <c r="K189" s="15" t="inlineStr">
        <is>
          <t>DO17</t>
        </is>
      </c>
      <c r="L189" s="16" t="inlineStr">
        <is>
          <t xml:space="preserve">High Pressure Transducer 1 </t>
        </is>
      </c>
      <c r="M189" s="313" t="n"/>
      <c r="N189" s="16" t="inlineStr">
        <is>
          <t>HVAC Replica</t>
        </is>
      </c>
      <c r="O189" s="16">
        <f>IF(O188=1,0,1)</f>
        <v/>
      </c>
      <c r="P189" s="313" t="n"/>
      <c r="Q189" s="310" t="n"/>
      <c r="R189" s="310" t="n"/>
      <c r="S189" s="310" t="n"/>
      <c r="T189" s="310" t="n"/>
      <c r="U189" s="22" t="n"/>
      <c r="V189" s="38" t="inlineStr">
        <is>
          <t>spare</t>
        </is>
      </c>
      <c r="W189" s="29" t="n"/>
      <c r="X189" s="27" t="inlineStr">
        <is>
          <t xml:space="preserve">HVAC Replica </t>
        </is>
      </c>
      <c r="Y189" s="312" t="n"/>
      <c r="Z189" s="312" t="n"/>
      <c r="AC189" s="248" t="inlineStr">
        <is>
          <t>AO16</t>
        </is>
      </c>
      <c r="AD189" s="199" t="inlineStr">
        <is>
          <t>Spare</t>
        </is>
      </c>
      <c r="AE189" s="197" t="n"/>
      <c r="AF189" s="249" t="n"/>
      <c r="AG189" s="243" t="n"/>
      <c r="AH189" s="197" t="n"/>
      <c r="AI189" s="197" t="inlineStr">
        <is>
          <t xml:space="preserve"> AL565</t>
        </is>
      </c>
      <c r="AJ189" s="239" t="inlineStr">
        <is>
          <t>RAT Sensor</t>
        </is>
      </c>
      <c r="AK189" s="197" t="n">
        <v>0</v>
      </c>
    </row>
    <row r="190">
      <c r="B190" s="15" t="inlineStr">
        <is>
          <t>DI18</t>
        </is>
      </c>
      <c r="C190" s="35" t="inlineStr">
        <is>
          <t>Spare</t>
        </is>
      </c>
      <c r="D190" s="28" t="inlineStr">
        <is>
          <t>boolean</t>
        </is>
      </c>
      <c r="E190" s="16" t="inlineStr">
        <is>
          <t>HVAC Replica</t>
        </is>
      </c>
      <c r="F190" s="313" t="n"/>
      <c r="G190" s="313" t="n"/>
      <c r="K190" s="15" t="inlineStr">
        <is>
          <t>DO18</t>
        </is>
      </c>
      <c r="L190" s="16" t="inlineStr">
        <is>
          <t>High Pressure Transducer 2</t>
        </is>
      </c>
      <c r="M190" s="313" t="n"/>
      <c r="N190" s="16" t="inlineStr">
        <is>
          <t>HVAC Replica</t>
        </is>
      </c>
      <c r="O190" s="16">
        <f>IF(O188=1,0,1)</f>
        <v/>
      </c>
      <c r="P190" s="313" t="n"/>
      <c r="Q190" s="310" t="n"/>
      <c r="R190" s="310" t="n"/>
      <c r="S190" s="310" t="n"/>
      <c r="T190" s="310" t="n"/>
      <c r="U190" s="22" t="n"/>
      <c r="V190" s="38" t="inlineStr">
        <is>
          <t>spare</t>
        </is>
      </c>
      <c r="W190" s="29" t="n"/>
      <c r="X190" s="27" t="inlineStr">
        <is>
          <t xml:space="preserve">HVAC Replica </t>
        </is>
      </c>
      <c r="Y190" s="312" t="n"/>
      <c r="Z190" s="312" t="n"/>
      <c r="AC190" s="248" t="inlineStr">
        <is>
          <t>AO17</t>
        </is>
      </c>
      <c r="AD190" s="199" t="inlineStr">
        <is>
          <t>Spare</t>
        </is>
      </c>
      <c r="AE190" s="197" t="n"/>
      <c r="AF190" s="249" t="n"/>
      <c r="AG190" s="243" t="n"/>
      <c r="AH190" s="197" t="n"/>
      <c r="AI190" s="197" t="inlineStr">
        <is>
          <t xml:space="preserve"> AL566</t>
        </is>
      </c>
      <c r="AJ190" s="239" t="inlineStr">
        <is>
          <t>SAF</t>
        </is>
      </c>
      <c r="AK190" s="197" t="n">
        <v>0</v>
      </c>
    </row>
    <row r="191">
      <c r="B191" s="15" t="inlineStr">
        <is>
          <t>DI19</t>
        </is>
      </c>
      <c r="C191" s="35" t="inlineStr">
        <is>
          <t>Spare</t>
        </is>
      </c>
      <c r="D191" s="28" t="inlineStr">
        <is>
          <t>boolean</t>
        </is>
      </c>
      <c r="E191" s="16" t="inlineStr">
        <is>
          <t>HVAC Replica</t>
        </is>
      </c>
      <c r="F191" s="313" t="n"/>
      <c r="G191" s="313" t="n"/>
      <c r="K191" s="15" t="inlineStr">
        <is>
          <t>DO18</t>
        </is>
      </c>
      <c r="L191" s="16" t="inlineStr">
        <is>
          <t>COMP 1 HW LED</t>
        </is>
      </c>
      <c r="M191" s="313" t="n"/>
      <c r="N191" s="16" t="inlineStr">
        <is>
          <t>HVAC Replica</t>
        </is>
      </c>
      <c r="O191" s="237">
        <f>HVAC_IOs!K2</f>
        <v/>
      </c>
      <c r="P191" s="313" t="n"/>
      <c r="Q191" s="310" t="n"/>
      <c r="R191" s="310" t="n"/>
      <c r="S191" s="310" t="n"/>
      <c r="T191" s="310" t="n"/>
      <c r="U191" s="22" t="n"/>
      <c r="V191" s="38" t="inlineStr">
        <is>
          <t>spare</t>
        </is>
      </c>
      <c r="W191" s="29" t="n"/>
      <c r="X191" s="27" t="n"/>
      <c r="Y191" s="312" t="n"/>
      <c r="Z191" s="312" t="n"/>
      <c r="AC191" s="248" t="inlineStr">
        <is>
          <t>AO18</t>
        </is>
      </c>
      <c r="AD191" s="199" t="inlineStr">
        <is>
          <t>Spare</t>
        </is>
      </c>
      <c r="AE191" s="197" t="n"/>
      <c r="AF191" s="249" t="n"/>
      <c r="AG191" s="243" t="n"/>
      <c r="AH191" s="197" t="n"/>
      <c r="AI191" s="197" t="inlineStr">
        <is>
          <t xml:space="preserve"> AL567</t>
        </is>
      </c>
      <c r="AJ191" s="239" t="inlineStr">
        <is>
          <t>SAT Sensor</t>
        </is>
      </c>
      <c r="AK191" s="197" t="n">
        <v>0</v>
      </c>
    </row>
    <row r="192">
      <c r="B192" s="15" t="inlineStr">
        <is>
          <t>DI20</t>
        </is>
      </c>
      <c r="C192" s="35" t="inlineStr">
        <is>
          <t>Spare</t>
        </is>
      </c>
      <c r="D192" s="28" t="inlineStr">
        <is>
          <t>boolean</t>
        </is>
      </c>
      <c r="E192" s="16" t="inlineStr">
        <is>
          <t>HVAC Replica</t>
        </is>
      </c>
      <c r="F192" s="313" t="n"/>
      <c r="G192" s="313" t="n"/>
      <c r="K192" s="15" t="inlineStr">
        <is>
          <t>DO19</t>
        </is>
      </c>
      <c r="L192" s="16" t="inlineStr">
        <is>
          <t>COMP 2 HW LED</t>
        </is>
      </c>
      <c r="M192" s="313" t="n"/>
      <c r="N192" s="16" t="inlineStr">
        <is>
          <t>HVAC Replica</t>
        </is>
      </c>
      <c r="O192" s="237">
        <f>HVAC_IOs!K3</f>
        <v/>
      </c>
      <c r="P192" s="313" t="n"/>
      <c r="Q192" s="310" t="n"/>
      <c r="R192" s="310" t="n"/>
      <c r="S192" s="310" t="n"/>
      <c r="T192" s="310" t="n"/>
      <c r="U192" s="22" t="n"/>
      <c r="V192" s="38" t="inlineStr">
        <is>
          <t>spare</t>
        </is>
      </c>
      <c r="W192" s="29" t="n"/>
      <c r="X192" s="27" t="n"/>
      <c r="Y192" s="312" t="n"/>
      <c r="Z192" s="312" t="n"/>
      <c r="AC192" s="248" t="inlineStr">
        <is>
          <t>AO19</t>
        </is>
      </c>
      <c r="AD192" s="199" t="inlineStr">
        <is>
          <t>Spare</t>
        </is>
      </c>
      <c r="AE192" s="197" t="n"/>
      <c r="AF192" s="249" t="n"/>
      <c r="AG192" s="243" t="n"/>
      <c r="AH192" s="197" t="n"/>
      <c r="AI192" s="197" t="inlineStr">
        <is>
          <t xml:space="preserve"> AL568</t>
        </is>
      </c>
      <c r="AJ192" s="239" t="inlineStr">
        <is>
          <t>HVAC Unit</t>
        </is>
      </c>
      <c r="AK192" s="250" t="n">
        <v>0</v>
      </c>
    </row>
    <row r="193">
      <c r="B193" s="15" t="inlineStr">
        <is>
          <t>DI21</t>
        </is>
      </c>
      <c r="C193" s="35" t="inlineStr">
        <is>
          <t>Spare</t>
        </is>
      </c>
      <c r="D193" s="28" t="inlineStr">
        <is>
          <t>boolean</t>
        </is>
      </c>
      <c r="E193" s="16" t="inlineStr">
        <is>
          <t>HVAC Replica</t>
        </is>
      </c>
      <c r="F193" s="313" t="n"/>
      <c r="G193" s="313" t="n"/>
      <c r="K193" s="15" t="inlineStr">
        <is>
          <t>DO20</t>
        </is>
      </c>
      <c r="L193" s="16" t="inlineStr">
        <is>
          <t>COMP 3 HW LED</t>
        </is>
      </c>
      <c r="M193" s="313" t="n"/>
      <c r="N193" s="16" t="inlineStr">
        <is>
          <t>HVAC Replica</t>
        </is>
      </c>
      <c r="O193" s="237">
        <f>HVAC_IOs!K4</f>
        <v/>
      </c>
      <c r="P193" s="313" t="n"/>
      <c r="Q193" s="310" t="n"/>
      <c r="R193" s="310" t="n"/>
      <c r="S193" s="310" t="n"/>
      <c r="T193" s="310" t="n"/>
      <c r="U193" s="22" t="n"/>
      <c r="V193" s="38" t="inlineStr">
        <is>
          <t>spare</t>
        </is>
      </c>
      <c r="W193" s="29" t="n"/>
      <c r="X193" s="27" t="n"/>
      <c r="Y193" s="312" t="n"/>
      <c r="Z193" s="312" t="n"/>
      <c r="AC193" s="248" t="inlineStr">
        <is>
          <t>AO20</t>
        </is>
      </c>
      <c r="AD193" s="199" t="inlineStr">
        <is>
          <t>Spare</t>
        </is>
      </c>
      <c r="AE193" s="197" t="n"/>
      <c r="AF193" s="249" t="n"/>
      <c r="AG193" s="243" t="n"/>
      <c r="AH193" s="197" t="n"/>
      <c r="AI193" s="197" t="inlineStr">
        <is>
          <t xml:space="preserve"> AL569</t>
        </is>
      </c>
      <c r="AJ193" s="198" t="n"/>
      <c r="AK193" s="197" t="n">
        <v>0</v>
      </c>
    </row>
    <row r="194">
      <c r="B194" s="15" t="inlineStr">
        <is>
          <t>DI22</t>
        </is>
      </c>
      <c r="C194" s="35" t="inlineStr">
        <is>
          <t>Compressor 1 Feedback</t>
        </is>
      </c>
      <c r="D194" s="28" t="inlineStr">
        <is>
          <t>boolean</t>
        </is>
      </c>
      <c r="E194" s="16" t="inlineStr">
        <is>
          <t>HVAC Replica</t>
        </is>
      </c>
      <c r="F194" s="313" t="n"/>
      <c r="G194" s="313" t="n"/>
      <c r="K194" s="15" t="inlineStr">
        <is>
          <t>DO21</t>
        </is>
      </c>
      <c r="L194" s="16" t="inlineStr">
        <is>
          <t>COMP 4 HW LED</t>
        </is>
      </c>
      <c r="M194" s="313" t="n"/>
      <c r="N194" s="16" t="inlineStr">
        <is>
          <t>HVAC Replica</t>
        </is>
      </c>
      <c r="O194" s="237">
        <f>HVAC_IOs!K5</f>
        <v/>
      </c>
      <c r="P194" s="313" t="n"/>
      <c r="Q194" s="310" t="n"/>
      <c r="R194" s="310" t="n"/>
      <c r="S194" s="310" t="n"/>
      <c r="T194" s="310" t="n"/>
      <c r="U194" s="22" t="n"/>
      <c r="V194" s="38" t="inlineStr">
        <is>
          <t>spare</t>
        </is>
      </c>
      <c r="W194" s="29" t="n"/>
      <c r="X194" s="27" t="n"/>
      <c r="Y194" s="312" t="n"/>
      <c r="Z194" s="312" t="n"/>
      <c r="AC194" s="248" t="inlineStr">
        <is>
          <t>AO21</t>
        </is>
      </c>
      <c r="AD194" s="199" t="inlineStr">
        <is>
          <t>Spare</t>
        </is>
      </c>
      <c r="AE194" s="197" t="n"/>
      <c r="AF194" s="249" t="n"/>
      <c r="AG194" s="243" t="n"/>
      <c r="AH194" s="197" t="n"/>
      <c r="AI194" s="197" t="n"/>
      <c r="AJ194" s="198" t="n"/>
      <c r="AK194" s="197" t="n"/>
    </row>
    <row r="195">
      <c r="B195" s="15" t="inlineStr">
        <is>
          <t>DI23</t>
        </is>
      </c>
      <c r="C195" s="35" t="inlineStr">
        <is>
          <t>Compressor 2 Feedback</t>
        </is>
      </c>
      <c r="D195" s="28" t="inlineStr">
        <is>
          <t>boolean</t>
        </is>
      </c>
      <c r="E195" s="16" t="inlineStr">
        <is>
          <t>HVAC Replica</t>
        </is>
      </c>
      <c r="F195" s="313" t="n"/>
      <c r="G195" s="313" t="n"/>
      <c r="K195" s="15" t="inlineStr">
        <is>
          <t>DO22</t>
        </is>
      </c>
      <c r="L195" s="16" t="inlineStr">
        <is>
          <t>RAD HW LED</t>
        </is>
      </c>
      <c r="M195" s="313" t="n"/>
      <c r="N195" s="16" t="inlineStr">
        <is>
          <t>HVAC Replica</t>
        </is>
      </c>
      <c r="O195" s="237">
        <f>HVAC_IOs!K10</f>
        <v/>
      </c>
      <c r="P195" s="313" t="n"/>
      <c r="Q195" s="310" t="n"/>
      <c r="R195" s="310" t="n"/>
      <c r="S195" s="310" t="n"/>
      <c r="T195" s="310" t="n"/>
      <c r="U195" s="22" t="n"/>
      <c r="V195" s="38" t="inlineStr">
        <is>
          <t>spare</t>
        </is>
      </c>
      <c r="W195" s="29" t="n"/>
      <c r="X195" s="27" t="n"/>
      <c r="Y195" s="312" t="n"/>
      <c r="Z195" s="312" t="n"/>
      <c r="AC195" s="248" t="inlineStr">
        <is>
          <t>AO22</t>
        </is>
      </c>
      <c r="AD195" s="199" t="inlineStr">
        <is>
          <t>Spare</t>
        </is>
      </c>
      <c r="AE195" s="197" t="n"/>
      <c r="AF195" s="249" t="n"/>
      <c r="AG195" s="243" t="n"/>
      <c r="AH195" s="197" t="n"/>
      <c r="AI195" s="197" t="n"/>
      <c r="AJ195" s="198" t="n"/>
      <c r="AK195" s="197" t="n"/>
    </row>
    <row r="196">
      <c r="B196" s="15" t="inlineStr">
        <is>
          <t>DI24</t>
        </is>
      </c>
      <c r="C196" s="35" t="inlineStr">
        <is>
          <t>Spare</t>
        </is>
      </c>
      <c r="D196" s="28" t="inlineStr">
        <is>
          <t>boolean</t>
        </is>
      </c>
      <c r="E196" s="16" t="inlineStr">
        <is>
          <t>HVAC Replica</t>
        </is>
      </c>
      <c r="F196" s="313" t="n"/>
      <c r="G196" s="313" t="n"/>
      <c r="K196" s="15" t="inlineStr">
        <is>
          <t>DO23</t>
        </is>
      </c>
      <c r="L196" s="16" t="inlineStr">
        <is>
          <t>Compressor 1 Replica HW</t>
        </is>
      </c>
      <c r="M196" s="313" t="n"/>
      <c r="N196" s="16" t="inlineStr">
        <is>
          <t>HVAC Replica</t>
        </is>
      </c>
      <c r="O196" s="16">
        <f>O186</f>
        <v/>
      </c>
      <c r="P196" s="313" t="n"/>
      <c r="Q196" s="310" t="n"/>
      <c r="R196" s="310" t="n"/>
      <c r="S196" s="310" t="n"/>
      <c r="T196" s="310" t="n"/>
      <c r="U196" s="22" t="n"/>
      <c r="V196" s="38" t="inlineStr">
        <is>
          <t>spare</t>
        </is>
      </c>
      <c r="W196" s="29" t="n"/>
      <c r="X196" s="27" t="n"/>
      <c r="Y196" s="312" t="n"/>
      <c r="Z196" s="312" t="n"/>
      <c r="AC196" s="248" t="inlineStr">
        <is>
          <t>AO23</t>
        </is>
      </c>
      <c r="AD196" s="199" t="inlineStr">
        <is>
          <t>Spare</t>
        </is>
      </c>
      <c r="AE196" s="197" t="n"/>
      <c r="AF196" s="249" t="n"/>
      <c r="AG196" s="243" t="n"/>
      <c r="AH196" s="197" t="n"/>
      <c r="AI196" s="197" t="n"/>
      <c r="AJ196" s="198" t="n"/>
      <c r="AK196" s="197" t="n"/>
    </row>
    <row r="197" ht="16" customHeight="1" thickBot="1">
      <c r="B197" s="15" t="inlineStr">
        <is>
          <t>DI25</t>
        </is>
      </c>
      <c r="C197" s="35" t="inlineStr">
        <is>
          <t>Spare</t>
        </is>
      </c>
      <c r="D197" s="28" t="inlineStr">
        <is>
          <t>boolean</t>
        </is>
      </c>
      <c r="E197" s="16" t="inlineStr">
        <is>
          <t>HVAC Replica</t>
        </is>
      </c>
      <c r="F197" s="313" t="n"/>
      <c r="G197" s="313" t="n"/>
      <c r="K197" s="15" t="inlineStr">
        <is>
          <t>DO24</t>
        </is>
      </c>
      <c r="L197" s="16" t="inlineStr">
        <is>
          <t>Compressor 2 Replica HW</t>
        </is>
      </c>
      <c r="M197" s="313" t="n"/>
      <c r="N197" s="16" t="inlineStr">
        <is>
          <t>HVAC Replica</t>
        </is>
      </c>
      <c r="O197" s="16">
        <f>O186</f>
        <v/>
      </c>
      <c r="P197" s="313" t="n"/>
      <c r="Q197" s="310" t="n"/>
      <c r="R197" s="310" t="n"/>
      <c r="S197" s="310" t="n"/>
      <c r="T197" s="310" t="n"/>
      <c r="U197" s="22" t="n"/>
      <c r="V197" s="38" t="inlineStr">
        <is>
          <t>spare</t>
        </is>
      </c>
      <c r="W197" s="29" t="n"/>
      <c r="X197" s="27" t="n"/>
      <c r="Y197" s="312" t="n"/>
      <c r="Z197" s="312" t="n"/>
      <c r="AC197" s="251" t="inlineStr">
        <is>
          <t>AO24</t>
        </is>
      </c>
      <c r="AD197" s="252" t="inlineStr">
        <is>
          <t>Spare</t>
        </is>
      </c>
      <c r="AE197" s="253" t="n"/>
      <c r="AF197" s="254" t="n"/>
      <c r="AG197" s="243" t="n"/>
      <c r="AH197" s="197" t="n"/>
      <c r="AI197" s="197" t="n"/>
      <c r="AJ197" s="198" t="n"/>
      <c r="AK197" s="197" t="n"/>
    </row>
    <row r="198">
      <c r="B198" s="15" t="inlineStr">
        <is>
          <t>DI26</t>
        </is>
      </c>
      <c r="C198" s="35" t="inlineStr">
        <is>
          <t xml:space="preserve">Heater 1 Feedback </t>
        </is>
      </c>
      <c r="D198" s="28" t="inlineStr">
        <is>
          <t>boolean</t>
        </is>
      </c>
      <c r="E198" s="16" t="inlineStr">
        <is>
          <t>HVAC Replica</t>
        </is>
      </c>
      <c r="F198" s="313" t="n"/>
      <c r="G198" s="313" t="n"/>
      <c r="K198" s="15" t="inlineStr">
        <is>
          <t>DO25</t>
        </is>
      </c>
      <c r="L198" s="16" t="inlineStr">
        <is>
          <t>Compressor 3 Replica HW</t>
        </is>
      </c>
      <c r="M198" s="313" t="n"/>
      <c r="N198" s="16" t="inlineStr">
        <is>
          <t>HVAC Replica</t>
        </is>
      </c>
      <c r="O198" s="16">
        <f>O187</f>
        <v/>
      </c>
      <c r="P198" s="313" t="n"/>
      <c r="Q198" s="310" t="n"/>
      <c r="R198" s="310" t="n"/>
      <c r="S198" s="310" t="n"/>
      <c r="T198" s="310" t="n"/>
      <c r="U198" s="22" t="n"/>
      <c r="V198" s="38" t="inlineStr">
        <is>
          <t>spare</t>
        </is>
      </c>
      <c r="W198" s="29" t="n"/>
      <c r="X198" s="27" t="n"/>
      <c r="Y198" s="312" t="n"/>
      <c r="Z198" s="312" t="n"/>
    </row>
    <row r="199">
      <c r="B199" s="15" t="inlineStr">
        <is>
          <t>DI27</t>
        </is>
      </c>
      <c r="C199" s="35" t="inlineStr">
        <is>
          <t>Spare</t>
        </is>
      </c>
      <c r="D199" s="28" t="inlineStr">
        <is>
          <t>boolean</t>
        </is>
      </c>
      <c r="E199" s="16" t="inlineStr">
        <is>
          <t>HVAC Replica</t>
        </is>
      </c>
      <c r="F199" s="313" t="n"/>
      <c r="G199" s="313" t="n"/>
      <c r="K199" s="15" t="inlineStr">
        <is>
          <t>DO26</t>
        </is>
      </c>
      <c r="L199" s="16" t="inlineStr">
        <is>
          <t>Compressor 4 Replica HW</t>
        </is>
      </c>
      <c r="M199" s="313" t="n"/>
      <c r="N199" s="16" t="inlineStr">
        <is>
          <t>HVAC Replica</t>
        </is>
      </c>
      <c r="O199" s="16">
        <f>O187</f>
        <v/>
      </c>
      <c r="P199" s="313" t="n"/>
      <c r="Q199" s="310" t="n"/>
      <c r="R199" s="310" t="n"/>
      <c r="S199" s="310" t="n"/>
      <c r="T199" s="310" t="n"/>
    </row>
    <row r="200">
      <c r="B200" s="15" t="inlineStr">
        <is>
          <t>DI28</t>
        </is>
      </c>
      <c r="C200" s="35" t="inlineStr">
        <is>
          <t>Supply Fan 1 Feedback</t>
        </is>
      </c>
      <c r="D200" s="28" t="inlineStr">
        <is>
          <t>boolean</t>
        </is>
      </c>
      <c r="E200" s="16" t="inlineStr">
        <is>
          <t>HVAC Replica</t>
        </is>
      </c>
      <c r="F200" s="313" t="n"/>
      <c r="G200" s="313" t="n"/>
      <c r="K200" s="15" t="inlineStr">
        <is>
          <t>DO27</t>
        </is>
      </c>
      <c r="L200" s="16" t="inlineStr">
        <is>
          <t>Condensor fan 1</t>
        </is>
      </c>
      <c r="M200" s="313" t="n"/>
      <c r="N200" s="16" t="inlineStr">
        <is>
          <t>HVAC Replica</t>
        </is>
      </c>
      <c r="O200" s="16">
        <f>'DATA TRANSFER'!M20</f>
        <v/>
      </c>
      <c r="P200" s="313" t="n"/>
      <c r="Q200" s="310" t="n"/>
      <c r="R200" s="310" t="n"/>
      <c r="S200" s="310" t="n"/>
      <c r="T200" s="310" t="n"/>
    </row>
    <row r="201">
      <c r="B201" s="15" t="inlineStr">
        <is>
          <t>DI29</t>
        </is>
      </c>
      <c r="C201" s="35" t="inlineStr">
        <is>
          <t>Supply Fan 2 Feedback</t>
        </is>
      </c>
      <c r="D201" s="28" t="inlineStr">
        <is>
          <t>boolean</t>
        </is>
      </c>
      <c r="E201" s="16" t="inlineStr">
        <is>
          <t>HVAC Replica</t>
        </is>
      </c>
      <c r="F201" s="313" t="n"/>
      <c r="G201" s="313" t="n"/>
      <c r="K201" s="15" t="inlineStr">
        <is>
          <t>DO28</t>
        </is>
      </c>
      <c r="L201" s="16" t="inlineStr">
        <is>
          <t>Condensor fan 2</t>
        </is>
      </c>
      <c r="M201" s="313" t="n"/>
      <c r="N201" s="16" t="inlineStr">
        <is>
          <t>HVAC Replica</t>
        </is>
      </c>
      <c r="O201" s="16">
        <f>'DATA TRANSFER'!M21</f>
        <v/>
      </c>
      <c r="P201" s="313" t="n"/>
      <c r="Q201" s="310" t="n"/>
      <c r="R201" s="310" t="n"/>
      <c r="S201" s="310" t="n"/>
      <c r="T201" s="310" t="n"/>
    </row>
    <row r="202">
      <c r="B202" s="15" t="inlineStr">
        <is>
          <t>DI30</t>
        </is>
      </c>
      <c r="C202" s="35" t="inlineStr">
        <is>
          <t>Spare</t>
        </is>
      </c>
      <c r="D202" s="28" t="inlineStr">
        <is>
          <t>boolean</t>
        </is>
      </c>
      <c r="E202" s="16" t="inlineStr">
        <is>
          <t>HVAC Replica</t>
        </is>
      </c>
      <c r="F202" s="313" t="n"/>
      <c r="G202" s="313" t="n"/>
      <c r="K202" s="15" t="inlineStr">
        <is>
          <t>DO29</t>
        </is>
      </c>
      <c r="L202" s="16" t="inlineStr">
        <is>
          <t xml:space="preserve">Humidifier </t>
        </is>
      </c>
      <c r="M202" s="313" t="n"/>
      <c r="N202" s="16" t="inlineStr">
        <is>
          <t>HVAC Replica</t>
        </is>
      </c>
      <c r="O202" s="313" t="n"/>
      <c r="P202" s="313" t="n"/>
      <c r="Q202" s="310" t="n"/>
      <c r="R202" s="310" t="n"/>
      <c r="S202" s="310" t="n"/>
      <c r="T202" s="310" t="n"/>
    </row>
    <row r="203">
      <c r="B203" s="15" t="inlineStr">
        <is>
          <t>DI31</t>
        </is>
      </c>
      <c r="C203" s="35" t="inlineStr">
        <is>
          <t>Spare</t>
        </is>
      </c>
      <c r="D203" s="28" t="inlineStr">
        <is>
          <t>boolean</t>
        </is>
      </c>
      <c r="E203" s="16" t="inlineStr">
        <is>
          <t>HVAC Replica</t>
        </is>
      </c>
      <c r="F203" s="313" t="n"/>
      <c r="G203" s="313" t="n"/>
      <c r="K203" s="15" t="inlineStr">
        <is>
          <t>DO30</t>
        </is>
      </c>
      <c r="L203" s="16" t="inlineStr">
        <is>
          <t>Room Heater 1</t>
        </is>
      </c>
      <c r="M203" s="313" t="n"/>
      <c r="N203" s="16" t="inlineStr">
        <is>
          <t>HVAC Replica</t>
        </is>
      </c>
      <c r="O203" s="313" t="n"/>
      <c r="P203" s="313" t="n"/>
      <c r="Q203" s="310" t="n"/>
      <c r="R203" s="310" t="n"/>
      <c r="S203" s="310" t="n"/>
      <c r="T203" s="310" t="n"/>
    </row>
    <row r="204">
      <c r="B204" s="15" t="inlineStr">
        <is>
          <t>DI32</t>
        </is>
      </c>
      <c r="C204" s="35" t="inlineStr">
        <is>
          <t>Spare</t>
        </is>
      </c>
      <c r="D204" s="28" t="inlineStr">
        <is>
          <t>boolean</t>
        </is>
      </c>
      <c r="E204" s="16" t="inlineStr">
        <is>
          <t>HVAC Replica</t>
        </is>
      </c>
      <c r="F204" s="313" t="n"/>
      <c r="G204" s="313" t="n"/>
      <c r="K204" s="15" t="inlineStr">
        <is>
          <t>DO31</t>
        </is>
      </c>
      <c r="L204" s="16" t="inlineStr">
        <is>
          <t>Room Heater 2</t>
        </is>
      </c>
      <c r="M204" s="313" t="n"/>
      <c r="N204" s="16" t="inlineStr">
        <is>
          <t>HVAC Replica</t>
        </is>
      </c>
      <c r="O204" s="313" t="n"/>
      <c r="P204" s="313" t="n"/>
      <c r="Q204" s="310" t="n"/>
      <c r="R204" s="310" t="n"/>
      <c r="S204" s="310" t="n"/>
      <c r="T204" s="310" t="n"/>
    </row>
    <row r="205">
      <c r="B205" s="15" t="inlineStr">
        <is>
          <t>DI33</t>
        </is>
      </c>
      <c r="C205" s="35" t="inlineStr">
        <is>
          <t>Spare</t>
        </is>
      </c>
      <c r="D205" s="28" t="inlineStr">
        <is>
          <t>boolean</t>
        </is>
      </c>
      <c r="E205" s="16" t="n"/>
      <c r="F205" s="313" t="n"/>
      <c r="G205" s="313" t="n"/>
      <c r="K205" s="15" t="inlineStr">
        <is>
          <t>DO32</t>
        </is>
      </c>
      <c r="L205" s="16" t="inlineStr">
        <is>
          <t>Evaporator Solenoid Valve 1</t>
        </is>
      </c>
      <c r="M205" s="313" t="n"/>
      <c r="N205" s="16" t="inlineStr">
        <is>
          <t>HVAC Replica</t>
        </is>
      </c>
      <c r="O205" s="313" t="n"/>
      <c r="P205" s="313" t="n"/>
      <c r="Q205" s="310" t="n"/>
      <c r="R205" s="310" t="n"/>
      <c r="S205" s="310" t="n"/>
      <c r="T205" s="310" t="n"/>
    </row>
    <row r="206">
      <c r="B206" s="15" t="inlineStr">
        <is>
          <t>DI34</t>
        </is>
      </c>
      <c r="C206" s="35" t="inlineStr">
        <is>
          <t>Spare</t>
        </is>
      </c>
      <c r="D206" s="28" t="inlineStr">
        <is>
          <t>boolean</t>
        </is>
      </c>
      <c r="E206" s="16" t="n"/>
      <c r="F206" s="313" t="n"/>
      <c r="G206" s="313" t="n"/>
      <c r="K206" s="15" t="inlineStr">
        <is>
          <t>DO33</t>
        </is>
      </c>
      <c r="L206" s="16" t="inlineStr">
        <is>
          <t>Evaporator Solenoid Valve 2</t>
        </is>
      </c>
      <c r="M206" s="313" t="n"/>
      <c r="N206" s="16" t="inlineStr">
        <is>
          <t>HVAC Replica</t>
        </is>
      </c>
      <c r="O206" s="313" t="n"/>
      <c r="P206" s="313" t="n"/>
      <c r="Q206" s="310" t="n"/>
      <c r="R206" s="310" t="n"/>
      <c r="S206" s="310" t="n"/>
      <c r="T206" s="310" t="n"/>
    </row>
    <row r="207">
      <c r="B207" s="15" t="inlineStr">
        <is>
          <t>DI35</t>
        </is>
      </c>
      <c r="C207" s="35" t="inlineStr">
        <is>
          <t>Spare</t>
        </is>
      </c>
      <c r="D207" s="28" t="inlineStr">
        <is>
          <t>boolean</t>
        </is>
      </c>
      <c r="E207" s="16" t="n"/>
      <c r="F207" s="313" t="n"/>
      <c r="G207" s="313" t="n"/>
      <c r="K207" s="15" t="inlineStr">
        <is>
          <t>DO34</t>
        </is>
      </c>
      <c r="L207" s="16" t="inlineStr">
        <is>
          <t>Liquid Line Solenoid Valve 1</t>
        </is>
      </c>
      <c r="M207" s="313" t="n"/>
      <c r="N207" s="16" t="inlineStr">
        <is>
          <t>HVAC Replica</t>
        </is>
      </c>
      <c r="O207" s="16" t="n">
        <v>0</v>
      </c>
      <c r="P207" s="313" t="n"/>
      <c r="Q207" s="310" t="n"/>
      <c r="R207" s="310" t="n"/>
      <c r="S207" s="310" t="n"/>
      <c r="T207" s="310" t="n"/>
    </row>
    <row r="208">
      <c r="B208" s="15" t="inlineStr">
        <is>
          <t>DI36</t>
        </is>
      </c>
      <c r="C208" s="35" t="inlineStr">
        <is>
          <t>Spare</t>
        </is>
      </c>
      <c r="D208" s="28" t="inlineStr">
        <is>
          <t>boolean</t>
        </is>
      </c>
      <c r="E208" s="16" t="n"/>
      <c r="F208" s="313" t="n"/>
      <c r="G208" s="313" t="n"/>
      <c r="K208" s="15" t="inlineStr">
        <is>
          <t>DO35</t>
        </is>
      </c>
      <c r="L208" s="16" t="inlineStr">
        <is>
          <t>Liquid Line Solenoid Valve 2</t>
        </is>
      </c>
      <c r="M208" s="313" t="n"/>
      <c r="N208" s="16" t="inlineStr">
        <is>
          <t>HVAC Replica</t>
        </is>
      </c>
      <c r="O208" s="16">
        <f>IF(OR(O180:O181),1,0)</f>
        <v/>
      </c>
      <c r="P208" s="313" t="n"/>
      <c r="Q208" s="310" t="n"/>
      <c r="R208" s="310" t="n"/>
      <c r="S208" s="310" t="n"/>
      <c r="T208" s="310" t="n"/>
    </row>
    <row r="209">
      <c r="B209" s="15" t="inlineStr">
        <is>
          <t>DI37</t>
        </is>
      </c>
      <c r="C209" s="35" t="inlineStr">
        <is>
          <t>Spare</t>
        </is>
      </c>
      <c r="D209" s="28" t="inlineStr">
        <is>
          <t>boolean</t>
        </is>
      </c>
      <c r="E209" s="16" t="n"/>
      <c r="F209" s="313" t="n"/>
      <c r="G209" s="313" t="n"/>
      <c r="K209" s="15" t="inlineStr">
        <is>
          <t>DO36</t>
        </is>
      </c>
      <c r="L209" s="16" t="inlineStr">
        <is>
          <t>CF1 AND 2 HW LED</t>
        </is>
      </c>
      <c r="M209" s="313" t="n"/>
      <c r="N209" s="16" t="inlineStr">
        <is>
          <t>HVAC Replica</t>
        </is>
      </c>
      <c r="O209" s="238">
        <f>IF(OR(HVAC_IOs!K6:K7),1,0)</f>
        <v/>
      </c>
      <c r="P209" s="313" t="n"/>
      <c r="Q209" s="310" t="n"/>
      <c r="R209" s="310" t="n"/>
      <c r="S209" s="310" t="n"/>
      <c r="T209" s="310" t="n"/>
    </row>
    <row r="210">
      <c r="B210" s="15" t="inlineStr">
        <is>
          <t>DI38</t>
        </is>
      </c>
      <c r="C210" s="35" t="inlineStr">
        <is>
          <t>Spare</t>
        </is>
      </c>
      <c r="D210" s="28" t="inlineStr">
        <is>
          <t>boolean</t>
        </is>
      </c>
      <c r="E210" s="16" t="n"/>
      <c r="F210" s="313" t="n"/>
      <c r="G210" s="313" t="n"/>
      <c r="K210" s="15" t="inlineStr">
        <is>
          <t>DO37</t>
        </is>
      </c>
      <c r="L210" s="16" t="inlineStr">
        <is>
          <t>HP Switch 1</t>
        </is>
      </c>
      <c r="M210" s="313" t="n"/>
      <c r="N210" s="16" t="inlineStr">
        <is>
          <t>HVAC Replica</t>
        </is>
      </c>
      <c r="O210" s="313" t="n"/>
      <c r="P210" s="313" t="n"/>
      <c r="Q210" s="310" t="n"/>
      <c r="R210" s="310" t="n"/>
      <c r="S210" s="310" t="n"/>
      <c r="T210" s="310" t="n"/>
    </row>
    <row r="211">
      <c r="B211" s="15" t="inlineStr">
        <is>
          <t>DI39</t>
        </is>
      </c>
      <c r="C211" s="35" t="inlineStr">
        <is>
          <t>Spare</t>
        </is>
      </c>
      <c r="D211" s="28" t="inlineStr">
        <is>
          <t>boolean</t>
        </is>
      </c>
      <c r="E211" s="16" t="n"/>
      <c r="F211" s="313" t="n"/>
      <c r="G211" s="313" t="n"/>
      <c r="K211" s="15" t="inlineStr">
        <is>
          <t>DO38</t>
        </is>
      </c>
      <c r="L211" s="16" t="inlineStr">
        <is>
          <t>HP Switch 2</t>
        </is>
      </c>
      <c r="M211" s="313" t="n"/>
      <c r="N211" s="16" t="inlineStr">
        <is>
          <t>HVAC Replica</t>
        </is>
      </c>
      <c r="O211" s="313" t="n"/>
      <c r="P211" s="313" t="n"/>
      <c r="Q211" s="310" t="n"/>
      <c r="R211" s="310" t="n"/>
      <c r="S211" s="310" t="n"/>
      <c r="T211" s="310" t="n"/>
    </row>
    <row r="212">
      <c r="B212" s="15" t="inlineStr">
        <is>
          <t>DI40</t>
        </is>
      </c>
      <c r="C212" s="35" t="inlineStr">
        <is>
          <t>Spare</t>
        </is>
      </c>
      <c r="D212" s="28" t="inlineStr">
        <is>
          <t>boolean</t>
        </is>
      </c>
      <c r="E212" s="16" t="n"/>
      <c r="F212" s="313" t="n"/>
      <c r="G212" s="313" t="n"/>
      <c r="K212" s="15" t="inlineStr">
        <is>
          <t>DO39</t>
        </is>
      </c>
      <c r="L212" s="16" t="inlineStr">
        <is>
          <t>Sight Galss 1</t>
        </is>
      </c>
      <c r="M212" s="313" t="n"/>
      <c r="N212" s="16" t="inlineStr">
        <is>
          <t>HVAC Replica</t>
        </is>
      </c>
      <c r="O212" s="16">
        <f>O172</f>
        <v/>
      </c>
      <c r="P212" s="313" t="n"/>
      <c r="Q212" s="310" t="n"/>
      <c r="R212" s="310" t="n"/>
      <c r="S212" s="310" t="n"/>
      <c r="T212" s="310" t="n"/>
    </row>
    <row r="213">
      <c r="B213" s="15" t="inlineStr">
        <is>
          <t>DI41</t>
        </is>
      </c>
      <c r="C213" s="35" t="inlineStr">
        <is>
          <t>Spare</t>
        </is>
      </c>
      <c r="D213" s="28" t="inlineStr">
        <is>
          <t>boolean</t>
        </is>
      </c>
      <c r="E213" s="16" t="n"/>
      <c r="F213" s="313" t="n"/>
      <c r="G213" s="313" t="n"/>
      <c r="K213" s="15" t="inlineStr">
        <is>
          <t>DO40</t>
        </is>
      </c>
      <c r="L213" s="16" t="inlineStr">
        <is>
          <t>Sight Galss 2</t>
        </is>
      </c>
      <c r="M213" s="313" t="n"/>
      <c r="N213" s="16" t="inlineStr">
        <is>
          <t>HVAC Replica</t>
        </is>
      </c>
      <c r="O213" s="16">
        <f>O172</f>
        <v/>
      </c>
      <c r="P213" s="313" t="n"/>
      <c r="Q213" s="310" t="n"/>
      <c r="R213" s="310" t="n"/>
      <c r="S213" s="310" t="n"/>
      <c r="T213" s="310" t="n"/>
    </row>
    <row r="214">
      <c r="B214" s="15" t="inlineStr">
        <is>
          <t>DI42</t>
        </is>
      </c>
      <c r="C214" s="35" t="inlineStr">
        <is>
          <t>Spare</t>
        </is>
      </c>
      <c r="D214" s="28" t="inlineStr">
        <is>
          <t>boolean</t>
        </is>
      </c>
      <c r="E214" s="16" t="n"/>
      <c r="F214" s="313" t="n"/>
      <c r="G214" s="313" t="n"/>
      <c r="K214" s="15" t="inlineStr">
        <is>
          <t>DO41</t>
        </is>
      </c>
      <c r="L214" s="16" t="inlineStr">
        <is>
          <t xml:space="preserve"> FAD 1 HW LED</t>
        </is>
      </c>
      <c r="M214" s="313" t="n"/>
      <c r="N214" s="16" t="inlineStr">
        <is>
          <t>HVAC Replica</t>
        </is>
      </c>
      <c r="O214" s="16">
        <f>O172</f>
        <v/>
      </c>
      <c r="P214" s="313" t="n"/>
      <c r="Q214" s="310" t="n"/>
      <c r="R214" s="310" t="n"/>
      <c r="S214" s="310" t="n"/>
      <c r="T214" s="310" t="n"/>
    </row>
    <row r="215">
      <c r="B215" s="15" t="inlineStr">
        <is>
          <t>DI43</t>
        </is>
      </c>
      <c r="C215" s="35" t="inlineStr">
        <is>
          <t>Spare</t>
        </is>
      </c>
      <c r="D215" s="28" t="inlineStr">
        <is>
          <t>boolean</t>
        </is>
      </c>
      <c r="E215" s="16" t="n"/>
      <c r="F215" s="313" t="n"/>
      <c r="G215" s="313" t="n"/>
      <c r="K215" s="15" t="inlineStr">
        <is>
          <t>DO42</t>
        </is>
      </c>
      <c r="L215" s="16" t="inlineStr">
        <is>
          <t xml:space="preserve"> FAD 2 HW LED</t>
        </is>
      </c>
      <c r="M215" s="313" t="n"/>
      <c r="N215" s="16" t="inlineStr">
        <is>
          <t>HVAC Replica</t>
        </is>
      </c>
      <c r="O215" s="16">
        <f>O172</f>
        <v/>
      </c>
      <c r="P215" s="313" t="n"/>
      <c r="Q215" s="310" t="n"/>
      <c r="R215" s="310" t="n"/>
      <c r="S215" s="310" t="n"/>
      <c r="T215" s="310" t="n"/>
    </row>
    <row r="216">
      <c r="B216" s="15" t="inlineStr">
        <is>
          <t>DI44</t>
        </is>
      </c>
      <c r="C216" s="35" t="inlineStr">
        <is>
          <t>Spare</t>
        </is>
      </c>
      <c r="D216" s="28" t="inlineStr">
        <is>
          <t>boolean</t>
        </is>
      </c>
      <c r="E216" s="16" t="n"/>
      <c r="F216" s="313" t="n"/>
      <c r="G216" s="313" t="n"/>
      <c r="K216" s="15" t="inlineStr">
        <is>
          <t>DO43</t>
        </is>
      </c>
      <c r="L216" s="16" t="inlineStr">
        <is>
          <t>Condensor Coil  1</t>
        </is>
      </c>
      <c r="M216" s="313" t="n"/>
      <c r="N216" s="16" t="inlineStr">
        <is>
          <t>HVAC Replica</t>
        </is>
      </c>
      <c r="O216" s="16">
        <f>IF('DATA TRANSFER'!$AJ$337=2,HVAC_IOs!S216,1)</f>
        <v/>
      </c>
      <c r="P216" s="313" t="n"/>
      <c r="Q216" s="310" t="n"/>
      <c r="R216" s="239" t="inlineStr">
        <is>
          <t>Condensor Coils</t>
        </is>
      </c>
      <c r="S216" s="197">
        <f>IF(OR(HVAC_IOs!AK173,HVAC_IOs!AK192),1,0)</f>
        <v/>
      </c>
    </row>
    <row r="217">
      <c r="B217" s="15" t="inlineStr">
        <is>
          <t>DI45</t>
        </is>
      </c>
      <c r="C217" s="35" t="inlineStr">
        <is>
          <t>Spare</t>
        </is>
      </c>
      <c r="D217" s="28" t="inlineStr">
        <is>
          <t>boolean</t>
        </is>
      </c>
      <c r="E217" s="16" t="n"/>
      <c r="F217" s="313" t="n"/>
      <c r="G217" s="313" t="n"/>
      <c r="K217" s="15" t="inlineStr">
        <is>
          <t>DO44</t>
        </is>
      </c>
      <c r="L217" s="16" t="inlineStr">
        <is>
          <t>Condensor Coil  2</t>
        </is>
      </c>
      <c r="M217" s="313" t="n"/>
      <c r="N217" s="16" t="inlineStr">
        <is>
          <t>HVAC Replica</t>
        </is>
      </c>
      <c r="O217" s="313" t="n"/>
      <c r="P217" s="313" t="n"/>
      <c r="Q217" s="310" t="n"/>
      <c r="R217" s="239" t="inlineStr">
        <is>
          <t>CF</t>
        </is>
      </c>
      <c r="S217" s="197">
        <f>IF(OR(HVAC_IOs!AK174,HVAC_IOs!AK192),1,0)</f>
        <v/>
      </c>
    </row>
    <row r="218">
      <c r="B218" s="15" t="inlineStr">
        <is>
          <t>DI46</t>
        </is>
      </c>
      <c r="C218" s="35" t="inlineStr">
        <is>
          <t>Spare</t>
        </is>
      </c>
      <c r="D218" s="28" t="inlineStr">
        <is>
          <t>boolean</t>
        </is>
      </c>
      <c r="E218" s="16" t="n"/>
      <c r="F218" s="313" t="n"/>
      <c r="G218" s="313" t="n"/>
      <c r="K218" s="15" t="inlineStr">
        <is>
          <t>DO45</t>
        </is>
      </c>
      <c r="L218" s="16" t="inlineStr">
        <is>
          <t>Inverter HW LED</t>
        </is>
      </c>
      <c r="M218" s="313" t="n"/>
      <c r="N218" s="16" t="inlineStr">
        <is>
          <t>HVAC Replica</t>
        </is>
      </c>
      <c r="O218" s="238">
        <f>HVAC_IOs!K14</f>
        <v/>
      </c>
      <c r="P218" s="313" t="n"/>
      <c r="Q218" s="310" t="n"/>
      <c r="R218" s="239" t="inlineStr">
        <is>
          <t>EI</t>
        </is>
      </c>
      <c r="S218" s="197">
        <f>IF(OR(HVAC_IOs!AK175,HVAC_IOs!AK192),1,0)</f>
        <v/>
      </c>
    </row>
    <row r="219">
      <c r="K219" s="15" t="inlineStr">
        <is>
          <t>DO46</t>
        </is>
      </c>
      <c r="L219" s="16" t="inlineStr">
        <is>
          <t>comp 1</t>
        </is>
      </c>
      <c r="M219" s="313" t="n"/>
      <c r="N219" s="16" t="inlineStr">
        <is>
          <t>HVAC Replica</t>
        </is>
      </c>
      <c r="O219" s="16">
        <f>IF('DATA TRANSFER'!$CP$35=2,HVAC_IOs!S230,IF(OR(O178:O181),1,0))</f>
        <v/>
      </c>
      <c r="P219" s="313" t="n"/>
      <c r="Q219" s="310" t="n"/>
      <c r="R219" s="239" t="inlineStr">
        <is>
          <t>Evaporator</t>
        </is>
      </c>
      <c r="S219" s="197">
        <f>IF(OR('DATA TRANSFER'!$AO$570,HVAC_IOs!AK176),1,0)</f>
        <v/>
      </c>
    </row>
    <row r="220">
      <c r="K220" s="15" t="inlineStr">
        <is>
          <t>DO47</t>
        </is>
      </c>
      <c r="L220" s="16" t="inlineStr">
        <is>
          <t>comp 2</t>
        </is>
      </c>
      <c r="M220" s="313" t="n"/>
      <c r="N220" s="16" t="inlineStr">
        <is>
          <t>HVAC Replica</t>
        </is>
      </c>
      <c r="O220" s="16">
        <f>IF('DATA TRANSFER'!$CP$35=2,HVAC_IOs!S230,IF(OR(O178:O181),1,0))</f>
        <v/>
      </c>
      <c r="P220" s="313" t="n"/>
      <c r="Q220" s="310" t="n"/>
      <c r="R220" s="239" t="inlineStr">
        <is>
          <t>Filter Drier</t>
        </is>
      </c>
      <c r="S220" s="197">
        <f>IF(OR(HVAC_IOs!$AK$192,HVAC_IOs!AK177),1,0)</f>
        <v/>
      </c>
    </row>
    <row r="221">
      <c r="K221" s="15" t="inlineStr">
        <is>
          <t>DO48</t>
        </is>
      </c>
      <c r="L221" s="16" t="inlineStr">
        <is>
          <t>comp 3</t>
        </is>
      </c>
      <c r="M221" s="313" t="n"/>
      <c r="N221" s="16" t="inlineStr">
        <is>
          <t>HVAC Replica</t>
        </is>
      </c>
      <c r="O221" s="16">
        <f>IF('DATA TRANSFER'!$CP$35=2,HVAC_IOs!S230,IF(OR(O178:O181),1,0))</f>
        <v/>
      </c>
      <c r="P221" s="313" t="n"/>
      <c r="Q221" s="310" t="n"/>
      <c r="R221" s="239" t="inlineStr">
        <is>
          <t>FAD</t>
        </is>
      </c>
      <c r="S221" s="197">
        <f>IF(OR(HVAC_IOs!$AK$192,HVAC_IOs!AK178),1,0)</f>
        <v/>
      </c>
    </row>
    <row r="222">
      <c r="K222" s="15" t="inlineStr">
        <is>
          <t>DO49</t>
        </is>
      </c>
      <c r="L222" s="16" t="inlineStr">
        <is>
          <t>comp 4</t>
        </is>
      </c>
      <c r="M222" s="313" t="n"/>
      <c r="N222" s="16" t="inlineStr">
        <is>
          <t>HVAC Replica</t>
        </is>
      </c>
      <c r="O222" s="16">
        <f>IF('DATA TRANSFER'!$CP$35=2,HVAC_IOs!S230,IF(OR(O178:O181),1,0))</f>
        <v/>
      </c>
      <c r="P222" s="313" t="n"/>
      <c r="Q222" s="310" t="n"/>
      <c r="R222" s="239" t="inlineStr">
        <is>
          <t xml:space="preserve">Filter   </t>
        </is>
      </c>
      <c r="S222" s="197">
        <f>IF(OR(HVAC_IOs!$AK$192,HVAC_IOs!AK179),1,0)</f>
        <v/>
      </c>
    </row>
    <row r="223">
      <c r="K223" s="15" t="inlineStr">
        <is>
          <t>DO50</t>
        </is>
      </c>
      <c r="L223" s="16" t="inlineStr">
        <is>
          <t>SAF</t>
        </is>
      </c>
      <c r="M223" s="313" t="n"/>
      <c r="N223" s="16" t="inlineStr">
        <is>
          <t>HVAC Replica</t>
        </is>
      </c>
      <c r="O223" s="16">
        <f>IF('DATA TRANSFER'!$CP$35=2,HVAC_IOs!S233,'DATA TRANSFER'!M30)</f>
        <v/>
      </c>
      <c r="P223" s="313" t="n"/>
      <c r="Q223" s="310" t="n"/>
      <c r="R223" s="239" t="inlineStr">
        <is>
          <t>FAT Sensor</t>
        </is>
      </c>
      <c r="S223" s="197">
        <f>IF(OR(HVAC_IOs!$AK$192,HVAC_IOs!AK180),1,0)</f>
        <v/>
      </c>
    </row>
    <row r="224">
      <c r="K224" s="15" t="inlineStr">
        <is>
          <t>DO51</t>
        </is>
      </c>
      <c r="L224" s="16" t="inlineStr">
        <is>
          <t>Emergency Inverter</t>
        </is>
      </c>
      <c r="M224" s="313" t="n"/>
      <c r="N224" s="16" t="inlineStr">
        <is>
          <t>HVAC Replica</t>
        </is>
      </c>
      <c r="O224" s="16">
        <f>IF('DATA TRANSFER'!$CP$35=2,HVAC_IOs!S228,0)</f>
        <v/>
      </c>
      <c r="P224" s="313" t="n"/>
      <c r="Q224" s="310" t="n"/>
      <c r="R224" s="239" t="inlineStr">
        <is>
          <t>HP</t>
        </is>
      </c>
      <c r="S224" s="197">
        <f>IF(OR(HVAC_IOs!$AK$192,HVAC_IOs!AK181),1,0)</f>
        <v/>
      </c>
    </row>
    <row r="225">
      <c r="K225" s="15" t="inlineStr">
        <is>
          <t>DO52</t>
        </is>
      </c>
      <c r="L225" s="16" t="inlineStr">
        <is>
          <t>Condensor Fan</t>
        </is>
      </c>
      <c r="M225" s="313" t="n"/>
      <c r="N225" s="16" t="inlineStr">
        <is>
          <t>HVAC Replica</t>
        </is>
      </c>
      <c r="O225" s="16">
        <f>O216</f>
        <v/>
      </c>
      <c r="P225" s="313" t="n"/>
      <c r="Q225" s="310" t="n"/>
      <c r="R225" s="239" t="inlineStr">
        <is>
          <t>Blanks</t>
        </is>
      </c>
      <c r="S225" s="197">
        <f>IF(OR(HVAC_IOs!$AK$192,HVAC_IOs!AK182),1,0)</f>
        <v/>
      </c>
    </row>
    <row r="226">
      <c r="K226" s="15" t="inlineStr">
        <is>
          <t>DO53</t>
        </is>
      </c>
      <c r="L226" s="16" t="inlineStr">
        <is>
          <t>Mixed Air</t>
        </is>
      </c>
      <c r="M226" s="313" t="n"/>
      <c r="N226" s="16" t="inlineStr">
        <is>
          <t>HVAC Replica</t>
        </is>
      </c>
      <c r="O226" s="16">
        <f>IF('DATA TRANSFER'!$CP$337=2,HVAC_IOs!S229,0)</f>
        <v/>
      </c>
      <c r="P226" s="313" t="n"/>
      <c r="Q226" s="310" t="n"/>
      <c r="R226" s="239" t="inlineStr">
        <is>
          <t>Humidity Sensor</t>
        </is>
      </c>
      <c r="S226" s="197">
        <f>IF(OR(HVAC_IOs!$AK$192,HVAC_IOs!AK183),1,0)</f>
        <v/>
      </c>
    </row>
    <row r="227">
      <c r="K227" s="15" t="inlineStr">
        <is>
          <t>DO54</t>
        </is>
      </c>
      <c r="L227" s="16" t="inlineStr">
        <is>
          <t>FAD</t>
        </is>
      </c>
      <c r="M227" s="313" t="n"/>
      <c r="N227" s="16" t="inlineStr">
        <is>
          <t>HVAC Replica</t>
        </is>
      </c>
      <c r="O227" s="16">
        <f>IF('DATA TRANSFER'!$CP$35=2,HVAC_IOs!S221,O172)</f>
        <v/>
      </c>
      <c r="P227" s="313" t="n"/>
      <c r="Q227" s="310" t="n"/>
      <c r="R227" s="239" t="inlineStr">
        <is>
          <t>LP</t>
        </is>
      </c>
      <c r="S227" s="197">
        <f>IF(OR(HVAC_IOs!$AK$192,HVAC_IOs!AK184),1,0)</f>
        <v/>
      </c>
    </row>
    <row r="228">
      <c r="K228" s="15" t="inlineStr">
        <is>
          <t>DO55</t>
        </is>
      </c>
      <c r="L228" s="16" t="inlineStr">
        <is>
          <t>Evaporator Coil</t>
        </is>
      </c>
      <c r="M228" s="313" t="n"/>
      <c r="N228" s="16" t="inlineStr">
        <is>
          <t>HVAC Replica</t>
        </is>
      </c>
      <c r="O228" s="16">
        <f>IF('DATA TRANSFER'!$CP$337=2,HVAC_IOs!S219,1)</f>
        <v/>
      </c>
      <c r="P228" s="313" t="n"/>
      <c r="Q228" s="310" t="n"/>
      <c r="R228" s="239" t="inlineStr">
        <is>
          <t>Blanks</t>
        </is>
      </c>
      <c r="S228" s="197">
        <f>IF(OR(HVAC_IOs!$AK$192,HVAC_IOs!AK185),1,0)</f>
        <v/>
      </c>
    </row>
    <row r="229">
      <c r="K229" s="15" t="inlineStr">
        <is>
          <t>DO56</t>
        </is>
      </c>
      <c r="L229" s="16" t="inlineStr">
        <is>
          <t>HP/LP</t>
        </is>
      </c>
      <c r="M229" s="313" t="n"/>
      <c r="N229" s="16" t="inlineStr">
        <is>
          <t>HVAC Replica</t>
        </is>
      </c>
      <c r="O229" s="16">
        <f>IF('DATA TRANSFER'!$CP$337=2,IF(OR(HVAC_IOs!S224,HVAC_IOs!S227),1,0),1)</f>
        <v/>
      </c>
      <c r="P229" s="313" t="n"/>
      <c r="Q229" s="310" t="n"/>
      <c r="R229" s="239" t="inlineStr">
        <is>
          <t>Mixed Air filter</t>
        </is>
      </c>
      <c r="S229" s="197">
        <f>IF(OR(HVAC_IOs!$AK$192,HVAC_IOs!AK186),1,0)</f>
        <v/>
      </c>
    </row>
    <row r="230">
      <c r="K230" s="15" t="inlineStr">
        <is>
          <t>DO57</t>
        </is>
      </c>
      <c r="L230" s="16" t="inlineStr">
        <is>
          <t>Blank</t>
        </is>
      </c>
      <c r="M230" s="313" t="n"/>
      <c r="N230" s="16" t="inlineStr">
        <is>
          <t>HVAC Replica</t>
        </is>
      </c>
      <c r="O230" s="16">
        <f>IF('DATA TRANSFER'!$CP$35=2,HVAC_IOs!S225,1)</f>
        <v/>
      </c>
      <c r="P230" s="313" t="n"/>
      <c r="Q230" s="310" t="n"/>
      <c r="R230" s="239" t="inlineStr">
        <is>
          <t>Comp</t>
        </is>
      </c>
      <c r="S230" s="197">
        <f>IF(OR(HVAC_IOs!$AK$192,HVAC_IOs!AK187),1,0)</f>
        <v/>
      </c>
    </row>
    <row r="231">
      <c r="K231" s="15" t="inlineStr">
        <is>
          <t>DO58</t>
        </is>
      </c>
      <c r="L231" s="16" t="inlineStr">
        <is>
          <t>Blank</t>
        </is>
      </c>
      <c r="M231" s="313" t="n"/>
      <c r="N231" s="16" t="inlineStr">
        <is>
          <t>HVAC Replica</t>
        </is>
      </c>
      <c r="O231" s="16">
        <f>IF('DATA TRANSFER'!$CP$35=2,HVAC_IOs!S228,1)</f>
        <v/>
      </c>
      <c r="P231" s="313" t="n"/>
      <c r="Q231" s="310" t="n"/>
      <c r="R231" s="239" t="inlineStr">
        <is>
          <t>RAD</t>
        </is>
      </c>
      <c r="S231" s="197">
        <f>IF(OR(HVAC_IOs!$AK$192,HVAC_IOs!AK188),1,0)</f>
        <v/>
      </c>
    </row>
    <row r="232">
      <c r="K232" s="16" t="n"/>
      <c r="L232" s="16" t="inlineStr">
        <is>
          <t>spare</t>
        </is>
      </c>
      <c r="M232" s="313" t="n"/>
      <c r="N232" s="313" t="n"/>
      <c r="O232" s="313" t="n"/>
      <c r="P232" s="313" t="n"/>
      <c r="Q232" s="310" t="n"/>
      <c r="R232" s="239" t="inlineStr">
        <is>
          <t>RAT Sensor</t>
        </is>
      </c>
      <c r="S232" s="197">
        <f>IF(OR(HVAC_IOs!$AK$192,HVAC_IOs!AK189),1,0)</f>
        <v/>
      </c>
    </row>
    <row r="233">
      <c r="K233" s="16" t="n"/>
      <c r="L233" s="16" t="inlineStr">
        <is>
          <t>spare</t>
        </is>
      </c>
      <c r="M233" s="313" t="n"/>
      <c r="N233" s="313" t="n"/>
      <c r="O233" s="313" t="n"/>
      <c r="P233" s="313" t="n"/>
      <c r="Q233" s="310" t="n"/>
      <c r="R233" s="239" t="inlineStr">
        <is>
          <t>SAF</t>
        </is>
      </c>
      <c r="S233" s="197">
        <f>IF(OR(HVAC_IOs!$AK$192,HVAC_IOs!AK190),1,0)</f>
        <v/>
      </c>
    </row>
    <row r="234">
      <c r="K234" s="16" t="n"/>
      <c r="L234" s="16" t="inlineStr">
        <is>
          <t>spare</t>
        </is>
      </c>
      <c r="M234" s="313" t="n"/>
      <c r="N234" s="313" t="n"/>
      <c r="O234" s="313" t="n"/>
      <c r="P234" s="313" t="n"/>
      <c r="Q234" s="310" t="n"/>
      <c r="R234" s="239" t="inlineStr">
        <is>
          <t>SAT Sensor</t>
        </is>
      </c>
      <c r="S234" s="197">
        <f>IF(OR(HVAC_IOs!$AK$192,HVAC_IOs!AK191),1,0)</f>
        <v/>
      </c>
    </row>
    <row r="337">
      <c r="AJ337" s="48" t="n">
        <v>30</v>
      </c>
      <c r="AK337" s="48" t="n">
        <v>30</v>
      </c>
      <c r="AL337" s="48" t="n">
        <v>30</v>
      </c>
      <c r="AM337" s="48" t="n">
        <v>30</v>
      </c>
      <c r="AN337" s="48" t="n">
        <v>30</v>
      </c>
      <c r="AO337" s="48" t="n">
        <v>30</v>
      </c>
    </row>
    <row r="338">
      <c r="AJ338" s="48" t="n">
        <v>40</v>
      </c>
    </row>
    <row r="339">
      <c r="AJ339" s="48" t="n">
        <v>25</v>
      </c>
    </row>
    <row r="340">
      <c r="AJ340" s="48" t="n">
        <v>50</v>
      </c>
    </row>
    <row r="341">
      <c r="AJ341" s="48" t="n">
        <v>0</v>
      </c>
    </row>
    <row r="342">
      <c r="AJ342" s="48" t="n">
        <v>0</v>
      </c>
    </row>
    <row r="343">
      <c r="AJ343" s="48" t="n">
        <v>0</v>
      </c>
    </row>
    <row r="344">
      <c r="AJ344" s="48" t="n">
        <v>0</v>
      </c>
    </row>
    <row r="353">
      <c r="AJ353" s="48" t="n">
        <v>0</v>
      </c>
    </row>
    <row r="354">
      <c r="AJ354" s="48" t="n">
        <v>0</v>
      </c>
    </row>
    <row r="358">
      <c r="AJ358" s="48" t="n">
        <v>0</v>
      </c>
    </row>
    <row r="359">
      <c r="AJ359" s="48" t="n">
        <v>2</v>
      </c>
    </row>
    <row r="370">
      <c r="AJ370" s="48" t="n">
        <v>1</v>
      </c>
    </row>
    <row r="378">
      <c r="AJ378" s="48" t="n">
        <v>0</v>
      </c>
    </row>
    <row r="451">
      <c r="AJ451" s="48" t="n">
        <v>0</v>
      </c>
    </row>
  </sheetData>
  <mergeCells count="2">
    <mergeCell ref="A92:G92"/>
    <mergeCell ref="J92:P9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6" sqref="Q6"/>
    </sheetView>
  </sheetViews>
  <sheetFormatPr baseColWidth="8" defaultRowHeight="14.5"/>
  <cols>
    <col width="9.1796875" customWidth="1" min="18" max="18"/>
  </cols>
  <sheetData/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O107"/>
  <sheetViews>
    <sheetView workbookViewId="0">
      <selection activeCell="F38" sqref="F38"/>
    </sheetView>
  </sheetViews>
  <sheetFormatPr baseColWidth="8" defaultRowHeight="14.5"/>
  <cols>
    <col width="31.26953125" customWidth="1" min="1" max="1"/>
    <col width="24.453125" customWidth="1" min="2" max="2"/>
    <col width="24.26953125" customWidth="1" min="3" max="3"/>
    <col width="19.453125" customWidth="1" min="4" max="4"/>
    <col width="16.81640625" customWidth="1" min="5" max="5"/>
    <col width="18" customWidth="1" min="6" max="6"/>
    <col width="14.81640625" customWidth="1" min="7" max="7"/>
    <col width="19.54296875" customWidth="1" style="2" min="8" max="8"/>
    <col width="12.26953125" customWidth="1" style="2" min="9" max="9"/>
    <col width="13.453125" customWidth="1" min="10" max="10"/>
    <col width="16.453125" customWidth="1" min="11" max="11"/>
    <col width="19.1796875" customWidth="1" min="12" max="12"/>
    <col width="19.26953125" customWidth="1" min="13" max="13"/>
    <col width="11" customWidth="1" min="14" max="14"/>
    <col width="12.54296875" customWidth="1" min="15" max="15"/>
  </cols>
  <sheetData>
    <row r="1" ht="15" customHeight="1" thickBot="1"/>
    <row r="2" ht="16" customHeight="1" thickBot="1">
      <c r="A2" s="49" t="inlineStr">
        <is>
          <t xml:space="preserve">CAR </t>
        </is>
      </c>
      <c r="B2" s="855" t="inlineStr">
        <is>
          <t xml:space="preserve">UNIT </t>
        </is>
      </c>
      <c r="C2" s="855" t="inlineStr">
        <is>
          <t xml:space="preserve">ALL MODE </t>
        </is>
      </c>
      <c r="D2" s="865" t="n"/>
      <c r="E2" s="865" t="n"/>
      <c r="F2" s="865" t="n"/>
      <c r="G2" s="865" t="n"/>
      <c r="H2" s="865" t="n"/>
      <c r="I2" s="865" t="n"/>
      <c r="J2" s="865" t="n"/>
      <c r="K2" s="865" t="n"/>
      <c r="L2" s="865" t="n"/>
      <c r="M2" s="875" t="n"/>
    </row>
    <row r="3" ht="15" customHeight="1" thickBot="1">
      <c r="L3" s="45" t="n"/>
    </row>
    <row r="4" ht="15" customHeight="1" thickBot="1">
      <c r="A4" s="859" t="inlineStr">
        <is>
          <t xml:space="preserve">DMA </t>
        </is>
      </c>
      <c r="B4" s="51" t="inlineStr">
        <is>
          <t>HVAC 1</t>
        </is>
      </c>
      <c r="C4" s="52" t="inlineStr">
        <is>
          <t>Unknown</t>
        </is>
      </c>
      <c r="D4" s="52" t="inlineStr">
        <is>
          <t>Isolation</t>
        </is>
      </c>
      <c r="E4" s="52" t="inlineStr">
        <is>
          <t>Faulty</t>
        </is>
      </c>
      <c r="F4" s="52" t="inlineStr">
        <is>
          <t>Degraded</t>
        </is>
      </c>
      <c r="G4" s="52" t="inlineStr">
        <is>
          <t>Warning</t>
        </is>
      </c>
      <c r="H4" s="52" t="inlineStr">
        <is>
          <t>Emergency</t>
        </is>
      </c>
      <c r="I4" s="52" t="inlineStr">
        <is>
          <t>Cooling</t>
        </is>
      </c>
      <c r="J4" s="52" t="inlineStr">
        <is>
          <t>Heating</t>
        </is>
      </c>
      <c r="K4" s="52" t="inlineStr">
        <is>
          <t>Ventilation</t>
        </is>
      </c>
      <c r="L4" s="52" t="inlineStr">
        <is>
          <t>Off</t>
        </is>
      </c>
      <c r="M4" s="53" t="inlineStr">
        <is>
          <t>On</t>
        </is>
      </c>
    </row>
    <row r="5" ht="15" customHeight="1" thickBot="1">
      <c r="A5" s="911" t="n"/>
      <c r="B5" s="47">
        <f>IF(C5=1,1,IF(D5=1,2,IF(E5=1,3,IF(F5=1,4,IF(G5=1,5,IF(H5=1,6,IF(I5=1,7,IF(J5=1,8,IF(K5=1,9,IF(L5=1,10,IF(M5=1,11,0)))))))))))</f>
        <v/>
      </c>
      <c r="C5" s="392" t="n">
        <v>0</v>
      </c>
      <c r="D5" s="392" t="n">
        <v>0</v>
      </c>
      <c r="E5" s="392" t="n">
        <v>0</v>
      </c>
      <c r="F5" s="392" t="n">
        <v>0</v>
      </c>
      <c r="G5" s="392" t="n">
        <v>0</v>
      </c>
      <c r="H5" s="388">
        <f>IF(OR('Mode Logic'!J13:J15),1,0)</f>
        <v/>
      </c>
      <c r="I5" s="388">
        <f>IF(OR('Mode Logic'!J6:J10),1,0)</f>
        <v/>
      </c>
      <c r="J5" s="388">
        <f>'Mode Logic'!J12</f>
        <v/>
      </c>
      <c r="K5" s="388">
        <f>'Mode Logic'!J11</f>
        <v/>
      </c>
      <c r="L5" s="388">
        <f>IF(NOT(M5),1,0)</f>
        <v/>
      </c>
      <c r="M5" s="393">
        <f>'LFD New'!D2</f>
        <v/>
      </c>
    </row>
    <row r="6">
      <c r="A6" s="911" t="n"/>
      <c r="M6" s="54" t="n"/>
    </row>
    <row r="7" ht="15" customHeight="1" thickBot="1">
      <c r="A7" s="911" t="n"/>
      <c r="B7" s="55" t="inlineStr">
        <is>
          <t>HVAC 2</t>
        </is>
      </c>
      <c r="C7" s="46" t="inlineStr">
        <is>
          <t>Unknown</t>
        </is>
      </c>
      <c r="D7" s="46" t="inlineStr">
        <is>
          <t>Isolation</t>
        </is>
      </c>
      <c r="E7" s="46" t="inlineStr">
        <is>
          <t>Faulty</t>
        </is>
      </c>
      <c r="F7" s="46" t="inlineStr">
        <is>
          <t>Degraded</t>
        </is>
      </c>
      <c r="G7" s="46" t="inlineStr">
        <is>
          <t>Warning</t>
        </is>
      </c>
      <c r="H7" s="46" t="inlineStr">
        <is>
          <t>Emergency</t>
        </is>
      </c>
      <c r="I7" s="46" t="inlineStr">
        <is>
          <t>Cooling</t>
        </is>
      </c>
      <c r="J7" s="46" t="inlineStr">
        <is>
          <t>Heating</t>
        </is>
      </c>
      <c r="K7" s="46" t="inlineStr">
        <is>
          <t>Ventilation</t>
        </is>
      </c>
      <c r="L7" s="46" t="inlineStr">
        <is>
          <t>Off</t>
        </is>
      </c>
      <c r="M7" s="56" t="inlineStr">
        <is>
          <t>On</t>
        </is>
      </c>
    </row>
    <row r="8" ht="15" customHeight="1" thickBot="1">
      <c r="A8" s="893" t="n"/>
      <c r="B8" s="47">
        <f>IF(C8=1,1,IF(D8=1,2,IF(E8=1,3,IF(F8=1,4,IF(G8=1,5,IF(H8=1,6,IF(I8=1,7,IF(J8=1,8,IF(K8=1,9,IF(L8=1,10,IF(M8=1,11,0)))))))))))</f>
        <v/>
      </c>
      <c r="C8" s="395" t="n">
        <v>0</v>
      </c>
      <c r="D8" s="395" t="n">
        <v>0</v>
      </c>
      <c r="E8" s="395" t="n">
        <v>0</v>
      </c>
      <c r="F8" s="395" t="n">
        <v>0</v>
      </c>
      <c r="G8" s="395" t="n">
        <v>0</v>
      </c>
      <c r="H8" s="389">
        <f>IF(OR('Mode Logic'!J13:J15),1,0)</f>
        <v/>
      </c>
      <c r="I8" s="388">
        <f>IF(OR('Mode Logic'!J6:J10),1,0)</f>
        <v/>
      </c>
      <c r="J8" s="388">
        <f>'Mode Logic'!J12</f>
        <v/>
      </c>
      <c r="K8" s="388">
        <f>'Mode Logic'!J11</f>
        <v/>
      </c>
      <c r="L8" s="389">
        <f>IF(NOT(M8),1,0)</f>
        <v/>
      </c>
      <c r="M8" s="394">
        <f>'LFD New'!D3</f>
        <v/>
      </c>
    </row>
    <row r="10" ht="15" customHeight="1" thickBot="1"/>
    <row r="11" ht="15" customHeight="1" thickBot="1">
      <c r="A11" s="859" t="inlineStr">
        <is>
          <t>TCA</t>
        </is>
      </c>
      <c r="B11" s="51" t="inlineStr">
        <is>
          <t>HVAC 1</t>
        </is>
      </c>
      <c r="C11" s="52" t="inlineStr">
        <is>
          <t>Unknown</t>
        </is>
      </c>
      <c r="D11" s="52" t="inlineStr">
        <is>
          <t>Isolation</t>
        </is>
      </c>
      <c r="E11" s="52" t="inlineStr">
        <is>
          <t>Faulty</t>
        </is>
      </c>
      <c r="F11" s="52" t="inlineStr">
        <is>
          <t>Degraded</t>
        </is>
      </c>
      <c r="G11" s="52" t="inlineStr">
        <is>
          <t>Warning</t>
        </is>
      </c>
      <c r="H11" s="52" t="inlineStr">
        <is>
          <t>Emergency</t>
        </is>
      </c>
      <c r="I11" s="52" t="inlineStr">
        <is>
          <t>Cooling</t>
        </is>
      </c>
      <c r="J11" s="52" t="inlineStr">
        <is>
          <t>Heating</t>
        </is>
      </c>
      <c r="K11" s="52" t="inlineStr">
        <is>
          <t>Ventilation</t>
        </is>
      </c>
      <c r="L11" s="52" t="inlineStr">
        <is>
          <t>Off</t>
        </is>
      </c>
      <c r="M11" s="53" t="inlineStr">
        <is>
          <t>On</t>
        </is>
      </c>
    </row>
    <row r="12" ht="15" customHeight="1" thickBot="1">
      <c r="A12" s="911" t="n"/>
      <c r="B12" s="47">
        <f>IF(C12=1,1,IF(D12=1,2,IF(E12=1,3,IF(F12=1,4,IF(G12=1,5,IF(H12=1,6,IF(I12=1,7,IF(J12=1,8,IF(K12=1,9,IF(L12=1,10,IF(M12=1,11,0)))))))))))</f>
        <v/>
      </c>
      <c r="C12" s="392" t="n">
        <v>0</v>
      </c>
      <c r="D12" s="392" t="n">
        <v>0</v>
      </c>
      <c r="E12" s="392" t="n">
        <v>0</v>
      </c>
      <c r="F12" s="392" t="n">
        <v>0</v>
      </c>
      <c r="G12" s="392" t="n">
        <v>0</v>
      </c>
      <c r="H12" s="388">
        <f>IF(OR('Mode Logic'!J13:J15),1,0)</f>
        <v/>
      </c>
      <c r="I12" s="388">
        <f>IF(OR('Mode Logic'!J6:J10),1,0)</f>
        <v/>
      </c>
      <c r="J12" s="388">
        <f>'Mode Logic'!J12</f>
        <v/>
      </c>
      <c r="K12" s="388">
        <f>'Mode Logic'!J11</f>
        <v/>
      </c>
      <c r="L12" s="388">
        <f>IF(NOT(M12),1,0)</f>
        <v/>
      </c>
      <c r="M12" s="393">
        <f>'LFD New'!D2</f>
        <v/>
      </c>
    </row>
    <row r="13">
      <c r="A13" s="911" t="n"/>
      <c r="M13" s="54" t="n"/>
    </row>
    <row r="14" ht="15" customHeight="1" thickBot="1">
      <c r="A14" s="911" t="n"/>
      <c r="B14" s="55" t="inlineStr">
        <is>
          <t>HVAC 2</t>
        </is>
      </c>
      <c r="C14" s="46" t="inlineStr">
        <is>
          <t>Unknown</t>
        </is>
      </c>
      <c r="D14" s="46" t="inlineStr">
        <is>
          <t>Isolation</t>
        </is>
      </c>
      <c r="E14" s="46" t="inlineStr">
        <is>
          <t>Faulty</t>
        </is>
      </c>
      <c r="F14" s="46" t="inlineStr">
        <is>
          <t>Degraded</t>
        </is>
      </c>
      <c r="G14" s="46" t="inlineStr">
        <is>
          <t>Warning</t>
        </is>
      </c>
      <c r="H14" s="46" t="inlineStr">
        <is>
          <t>Emergency</t>
        </is>
      </c>
      <c r="I14" s="46" t="inlineStr">
        <is>
          <t>Cooling</t>
        </is>
      </c>
      <c r="J14" s="46" t="inlineStr">
        <is>
          <t>Heating</t>
        </is>
      </c>
      <c r="K14" s="46" t="inlineStr">
        <is>
          <t>Ventilation</t>
        </is>
      </c>
      <c r="L14" s="46" t="inlineStr">
        <is>
          <t>Off</t>
        </is>
      </c>
      <c r="M14" s="56" t="inlineStr">
        <is>
          <t>On</t>
        </is>
      </c>
    </row>
    <row r="15" ht="15" customHeight="1" thickBot="1">
      <c r="A15" s="893" t="n"/>
      <c r="B15" s="47">
        <f>IF(C15=1,1,IF(D15=1,2,IF(E15=1,3,IF(F15=1,4,IF(G15=1,5,IF(H15=1,6,IF(I15=1,7,IF(J15=1,8,IF(K15=1,9,IF(L15=1,10,IF(M15=1,11,0)))))))))))</f>
        <v/>
      </c>
      <c r="C15" s="395" t="n">
        <v>0</v>
      </c>
      <c r="D15" s="395" t="n">
        <v>0</v>
      </c>
      <c r="E15" s="395" t="n">
        <v>0</v>
      </c>
      <c r="F15" s="395" t="n">
        <v>0</v>
      </c>
      <c r="G15" s="395" t="n">
        <v>0</v>
      </c>
      <c r="H15" s="389">
        <f>IF(OR('Mode Logic'!J13:J15),1,0)</f>
        <v/>
      </c>
      <c r="I15" s="389">
        <f>IF(OR('Mode Logic'!J6:J10),1,0)</f>
        <v/>
      </c>
      <c r="J15" s="389">
        <f>'Mode Logic'!J12</f>
        <v/>
      </c>
      <c r="K15" s="389">
        <f>'Mode Logic'!J11</f>
        <v/>
      </c>
      <c r="L15" s="389">
        <f>IF(NOT(M15),1,0)</f>
        <v/>
      </c>
      <c r="M15" s="394">
        <f>'LFD New'!D3</f>
        <v/>
      </c>
    </row>
    <row r="17" ht="15" customHeight="1" thickBot="1"/>
    <row r="18" ht="15" customHeight="1" thickBot="1">
      <c r="A18" s="859" t="inlineStr">
        <is>
          <t>DMB</t>
        </is>
      </c>
      <c r="B18" s="51" t="inlineStr">
        <is>
          <t>HVAC 1</t>
        </is>
      </c>
      <c r="C18" s="52" t="inlineStr">
        <is>
          <t>Unknown</t>
        </is>
      </c>
      <c r="D18" s="52" t="inlineStr">
        <is>
          <t>Isolation</t>
        </is>
      </c>
      <c r="E18" s="52" t="inlineStr">
        <is>
          <t>Faulty</t>
        </is>
      </c>
      <c r="F18" s="52" t="inlineStr">
        <is>
          <t>Degraded</t>
        </is>
      </c>
      <c r="G18" s="52" t="inlineStr">
        <is>
          <t>Warning</t>
        </is>
      </c>
      <c r="H18" s="52" t="inlineStr">
        <is>
          <t>Emergency</t>
        </is>
      </c>
      <c r="I18" s="52" t="inlineStr">
        <is>
          <t>Cooling</t>
        </is>
      </c>
      <c r="J18" s="52" t="inlineStr">
        <is>
          <t>Heating</t>
        </is>
      </c>
      <c r="K18" s="52" t="inlineStr">
        <is>
          <t>Ventilation</t>
        </is>
      </c>
      <c r="L18" s="52" t="inlineStr">
        <is>
          <t>Off</t>
        </is>
      </c>
      <c r="M18" s="53" t="inlineStr">
        <is>
          <t>On</t>
        </is>
      </c>
    </row>
    <row r="19" ht="15" customHeight="1" thickBot="1">
      <c r="A19" s="911" t="n"/>
      <c r="B19" s="47">
        <f>IF(C19=1,1,IF(D19=1,2,IF(E19=1,3,IF(F19=1,4,IF(G19=1,5,IF(H19=1,6,IF(I19=1,7,IF(J19=1,8,IF(K19=1,9,IF(L19=1,10,IF(M19=1,11,0)))))))))))</f>
        <v/>
      </c>
      <c r="C19" s="392" t="n">
        <v>0</v>
      </c>
      <c r="D19" s="392" t="n">
        <v>0</v>
      </c>
      <c r="E19" s="392" t="n">
        <v>0</v>
      </c>
      <c r="F19" s="392" t="n">
        <v>0</v>
      </c>
      <c r="G19" s="392" t="n">
        <v>0</v>
      </c>
      <c r="H19" s="388">
        <f>IF(OR('Mode Logic'!J13:J15),1,0)</f>
        <v/>
      </c>
      <c r="I19" s="388">
        <f>IF(OR('Mode Logic'!J6:J10),1,0)</f>
        <v/>
      </c>
      <c r="J19" s="388">
        <f>'Mode Logic'!J12</f>
        <v/>
      </c>
      <c r="K19" s="388">
        <f>'Mode Logic'!J11</f>
        <v/>
      </c>
      <c r="L19" s="388">
        <f>IF(NOT(M19),1,0)</f>
        <v/>
      </c>
      <c r="M19" s="393">
        <f>'LFD New'!D2</f>
        <v/>
      </c>
    </row>
    <row r="20">
      <c r="A20" s="911" t="n"/>
      <c r="M20" s="54" t="n"/>
    </row>
    <row r="21" ht="15" customHeight="1" thickBot="1">
      <c r="A21" s="911" t="n"/>
      <c r="B21" s="55" t="inlineStr">
        <is>
          <t>HVAC 2</t>
        </is>
      </c>
      <c r="C21" s="46" t="inlineStr">
        <is>
          <t>Unknown</t>
        </is>
      </c>
      <c r="D21" s="46" t="inlineStr">
        <is>
          <t>Isolation</t>
        </is>
      </c>
      <c r="E21" s="46" t="inlineStr">
        <is>
          <t>Faulty</t>
        </is>
      </c>
      <c r="F21" s="46" t="inlineStr">
        <is>
          <t>Degraded</t>
        </is>
      </c>
      <c r="G21" s="46" t="inlineStr">
        <is>
          <t>Warning</t>
        </is>
      </c>
      <c r="H21" s="46" t="inlineStr">
        <is>
          <t>Emergency</t>
        </is>
      </c>
      <c r="I21" s="46" t="inlineStr">
        <is>
          <t>Cooling</t>
        </is>
      </c>
      <c r="J21" s="46" t="inlineStr">
        <is>
          <t>Heating</t>
        </is>
      </c>
      <c r="K21" s="46" t="inlineStr">
        <is>
          <t>Ventilation</t>
        </is>
      </c>
      <c r="L21" s="46" t="inlineStr">
        <is>
          <t>Off</t>
        </is>
      </c>
      <c r="M21" s="56" t="inlineStr">
        <is>
          <t>On</t>
        </is>
      </c>
    </row>
    <row r="22" ht="15" customHeight="1" thickBot="1">
      <c r="A22" s="893" t="n"/>
      <c r="B22" s="47">
        <f>IF(C22=1,1,IF(D22=1,2,IF(E22=1,3,IF(F22=1,4,IF(G22=1,5,IF(H22=1,6,IF(I22=1,7,IF(J22=1,8,IF(K22=1,9,IF(L22=1,10,IF(M22=1,11,0)))))))))))</f>
        <v/>
      </c>
      <c r="C22" s="395" t="n">
        <v>0</v>
      </c>
      <c r="D22" s="395" t="n">
        <v>0</v>
      </c>
      <c r="E22" s="395" t="n">
        <v>0</v>
      </c>
      <c r="F22" s="395" t="n">
        <v>0</v>
      </c>
      <c r="G22" s="395" t="n">
        <v>0</v>
      </c>
      <c r="H22" s="389">
        <f>IF(OR('Mode Logic'!J13:J15),1,0)</f>
        <v/>
      </c>
      <c r="I22" s="389">
        <f>IF(OR('Mode Logic'!J6:J10),1,0)</f>
        <v/>
      </c>
      <c r="J22" s="389">
        <f>'Mode Logic'!J12</f>
        <v/>
      </c>
      <c r="K22" s="389">
        <f>'Mode Logic'!J11</f>
        <v/>
      </c>
      <c r="L22" s="389">
        <f>IF(NOT(M22),1,0)</f>
        <v/>
      </c>
      <c r="M22" s="394">
        <f>'LFD New'!D3</f>
        <v/>
      </c>
    </row>
    <row r="25" ht="15" customHeight="1" thickBot="1">
      <c r="C25" s="45" t="n"/>
      <c r="D25" s="45" t="n"/>
      <c r="E25" s="45" t="n"/>
    </row>
    <row r="26">
      <c r="A26" s="859" t="inlineStr">
        <is>
          <t>DM A</t>
        </is>
      </c>
      <c r="B26" s="857" t="inlineStr">
        <is>
          <t xml:space="preserve">HVAC UNIT 1 </t>
        </is>
      </c>
      <c r="C26" s="52" t="inlineStr">
        <is>
          <t>Current Temp</t>
        </is>
      </c>
      <c r="D26" s="52" t="inlineStr">
        <is>
          <t>Target Temp</t>
        </is>
      </c>
      <c r="E26" s="386" t="inlineStr">
        <is>
          <t>Damper</t>
        </is>
      </c>
      <c r="F26" s="6" t="n">
        <v>1</v>
      </c>
      <c r="G26" s="858" t="inlineStr">
        <is>
          <t>OPEN</t>
        </is>
      </c>
    </row>
    <row r="27" customFormat="1" s="2">
      <c r="A27" s="911" t="n"/>
      <c r="B27" s="873" t="n"/>
      <c r="C27" s="858">
        <f>'DATA TRANSFER'!AE11</f>
        <v/>
      </c>
      <c r="D27" s="858">
        <f>'DATA TRANSFER'!F37</f>
        <v/>
      </c>
      <c r="E27" s="387">
        <f>IF(C27&gt;D27,"OPEN","CLOSED")</f>
        <v/>
      </c>
      <c r="F27" s="2" t="n">
        <v>0</v>
      </c>
      <c r="G27" s="6" t="inlineStr">
        <is>
          <t>CLOSED</t>
        </is>
      </c>
    </row>
    <row r="28" customFormat="1" s="2">
      <c r="A28" s="911" t="n"/>
      <c r="E28" s="54" t="n"/>
    </row>
    <row r="29">
      <c r="A29" s="911" t="n"/>
      <c r="B29" s="858" t="inlineStr">
        <is>
          <t>HVAC UNIT 2</t>
        </is>
      </c>
      <c r="C29" s="46" t="inlineStr">
        <is>
          <t>Current Temp</t>
        </is>
      </c>
      <c r="D29" s="46" t="inlineStr">
        <is>
          <t>Target Temp</t>
        </is>
      </c>
      <c r="E29" s="56" t="inlineStr">
        <is>
          <t>Damper</t>
        </is>
      </c>
    </row>
    <row r="30" ht="15" customHeight="1" thickBot="1">
      <c r="A30" s="893" t="n"/>
      <c r="B30" s="873" t="n"/>
      <c r="C30" s="862">
        <f>'DATA TRANSFER'!AE11</f>
        <v/>
      </c>
      <c r="D30" s="862">
        <f>'DATA TRANSFER'!F37</f>
        <v/>
      </c>
      <c r="E30" s="59">
        <f>IF(C27&gt;D27,"OPEN","CLOSED")</f>
        <v/>
      </c>
    </row>
    <row r="32" ht="15" customHeight="1" thickBot="1"/>
    <row r="33">
      <c r="A33" s="859" t="inlineStr">
        <is>
          <t>TCA</t>
        </is>
      </c>
      <c r="B33" s="857" t="inlineStr">
        <is>
          <t xml:space="preserve">HVAC UNIT 1 </t>
        </is>
      </c>
      <c r="C33" s="52" t="inlineStr">
        <is>
          <t>Current Temp</t>
        </is>
      </c>
      <c r="D33" s="52" t="inlineStr">
        <is>
          <t>Target Temp</t>
        </is>
      </c>
      <c r="E33" s="53" t="inlineStr">
        <is>
          <t>Damper</t>
        </is>
      </c>
    </row>
    <row r="34">
      <c r="A34" s="911" t="n"/>
      <c r="B34" s="873" t="n"/>
      <c r="C34" s="858">
        <f>'DATA TRANSFER'!AE11</f>
        <v/>
      </c>
      <c r="D34" s="858">
        <f>'DATA TRANSFER'!F37</f>
        <v/>
      </c>
      <c r="E34" s="59">
        <f>IF(C27&gt;D27,"OPEN","CLOSED")</f>
        <v/>
      </c>
    </row>
    <row r="35">
      <c r="A35" s="911" t="n"/>
      <c r="E35" s="54" t="n"/>
    </row>
    <row r="36">
      <c r="A36" s="911" t="n"/>
      <c r="B36" s="858" t="inlineStr">
        <is>
          <t>HVAC UNIT 2</t>
        </is>
      </c>
      <c r="C36" s="46" t="inlineStr">
        <is>
          <t>Current Temp</t>
        </is>
      </c>
      <c r="D36" s="46" t="inlineStr">
        <is>
          <t>Target Temp</t>
        </is>
      </c>
      <c r="E36" s="56" t="inlineStr">
        <is>
          <t>Damper</t>
        </is>
      </c>
    </row>
    <row r="37" ht="15" customHeight="1" thickBot="1">
      <c r="A37" s="893" t="n"/>
      <c r="B37" s="873" t="n"/>
      <c r="C37" s="862">
        <f>'DATA TRANSFER'!AE11</f>
        <v/>
      </c>
      <c r="D37" s="862">
        <f>'DATA TRANSFER'!F37</f>
        <v/>
      </c>
      <c r="E37" s="59">
        <f>IF(C27&gt;D27,"OPEN","CLOSED")</f>
        <v/>
      </c>
    </row>
    <row r="38" ht="15" customHeight="1" thickBot="1"/>
    <row r="39">
      <c r="A39" s="859" t="inlineStr">
        <is>
          <t>DMB</t>
        </is>
      </c>
      <c r="B39" s="857" t="inlineStr">
        <is>
          <t xml:space="preserve">HVAC UNIT 1 </t>
        </is>
      </c>
      <c r="C39" s="52" t="inlineStr">
        <is>
          <t>Current Temp</t>
        </is>
      </c>
      <c r="D39" s="52" t="inlineStr">
        <is>
          <t>Target Temp</t>
        </is>
      </c>
      <c r="E39" s="53" t="inlineStr">
        <is>
          <t>Damper</t>
        </is>
      </c>
    </row>
    <row r="40">
      <c r="A40" s="911" t="n"/>
      <c r="B40" s="873" t="n"/>
      <c r="C40" s="858">
        <f>'DATA TRANSFER'!AE11</f>
        <v/>
      </c>
      <c r="D40" s="858">
        <f>'DATA TRANSFER'!F37</f>
        <v/>
      </c>
      <c r="E40" s="59">
        <f>IF(C27&gt;D27,"OPEN","CLOSED")</f>
        <v/>
      </c>
    </row>
    <row r="41">
      <c r="A41" s="911" t="n"/>
      <c r="E41" s="54" t="n"/>
    </row>
    <row r="42">
      <c r="A42" s="911" t="n"/>
      <c r="B42" s="858" t="inlineStr">
        <is>
          <t>HVAC UNIT 2</t>
        </is>
      </c>
      <c r="C42" s="46" t="inlineStr">
        <is>
          <t>Current Temp</t>
        </is>
      </c>
      <c r="D42" s="46" t="inlineStr">
        <is>
          <t>Target Temp</t>
        </is>
      </c>
      <c r="E42" s="56" t="inlineStr">
        <is>
          <t>Damper</t>
        </is>
      </c>
    </row>
    <row r="43" ht="15" customHeight="1" thickBot="1">
      <c r="A43" s="893" t="n"/>
      <c r="B43" s="873" t="n"/>
      <c r="C43" s="862">
        <f>'DATA TRANSFER'!AE11</f>
        <v/>
      </c>
      <c r="D43" s="862">
        <f>'DATA TRANSFER'!F37</f>
        <v/>
      </c>
      <c r="E43" s="59">
        <f>IF(C27&gt;D27,"OPEN","CLOSED")</f>
        <v/>
      </c>
    </row>
    <row r="45" ht="15" customHeight="1" thickBot="1">
      <c r="B45" s="2" t="n"/>
      <c r="C45" s="2" t="n"/>
      <c r="D45" s="2" t="n"/>
      <c r="E45" s="2" t="n"/>
      <c r="F45" s="2" t="n"/>
      <c r="G45" s="2" t="n"/>
    </row>
    <row r="46">
      <c r="A46" s="859" t="inlineStr">
        <is>
          <t>DM A</t>
        </is>
      </c>
      <c r="B46" s="857" t="inlineStr">
        <is>
          <t xml:space="preserve">HVAC UNIT 1 </t>
        </is>
      </c>
      <c r="C46" s="60" t="inlineStr">
        <is>
          <t>Current Mode Status</t>
        </is>
      </c>
      <c r="D46" s="60" t="inlineStr">
        <is>
          <t>Unknown</t>
        </is>
      </c>
      <c r="E46" s="60" t="inlineStr">
        <is>
          <t>Off</t>
        </is>
      </c>
      <c r="F46" s="60" t="inlineStr">
        <is>
          <t>Ventilation</t>
        </is>
      </c>
      <c r="G46" s="60" t="inlineStr">
        <is>
          <t>Emergency</t>
        </is>
      </c>
      <c r="H46" s="60" t="inlineStr">
        <is>
          <t>Cooling</t>
        </is>
      </c>
      <c r="I46" s="60" t="inlineStr">
        <is>
          <t>Heating</t>
        </is>
      </c>
    </row>
    <row r="47">
      <c r="A47" s="911" t="n"/>
      <c r="B47" s="873" t="n"/>
      <c r="C47" s="58">
        <f>IF(D47=1,1,IF(E47=1,2,IF(F47=1,3,IF(G47=1,4,IF(H47=1,5,IF(I47=1,6,0))))))</f>
        <v/>
      </c>
      <c r="D47" s="6" t="n">
        <v>0</v>
      </c>
      <c r="E47" s="6" t="n">
        <v>0</v>
      </c>
      <c r="F47" s="391">
        <f>'Mode Logic'!J11</f>
        <v/>
      </c>
      <c r="G47" s="391">
        <f>IF(OR('Mode Logic'!J13:J15),1,0)</f>
        <v/>
      </c>
      <c r="H47" s="391">
        <f>IF(OR('Mode Logic'!J6:J10),1,0)</f>
        <v/>
      </c>
      <c r="I47" s="391">
        <f>'Mode Logic'!J12</f>
        <v/>
      </c>
    </row>
    <row r="48">
      <c r="A48" s="911" t="n"/>
      <c r="E48" s="2" t="n"/>
      <c r="L48" s="61" t="inlineStr">
        <is>
          <t>Exterior Smoke Status</t>
        </is>
      </c>
      <c r="M48" s="60" t="inlineStr">
        <is>
          <t>Out Smoke mode</t>
        </is>
      </c>
      <c r="N48" s="60" t="inlineStr">
        <is>
          <t>Unknown</t>
        </is>
      </c>
      <c r="O48" s="60" t="inlineStr">
        <is>
          <t>(Blank)</t>
        </is>
      </c>
    </row>
    <row r="49">
      <c r="A49" s="911" t="n"/>
      <c r="B49" s="858" t="inlineStr">
        <is>
          <t>HVAC UNIT 2</t>
        </is>
      </c>
      <c r="C49" s="60" t="inlineStr">
        <is>
          <t>Current Mode Status</t>
        </is>
      </c>
      <c r="D49" s="60" t="inlineStr">
        <is>
          <t>Unknown</t>
        </is>
      </c>
      <c r="E49" s="60" t="inlineStr">
        <is>
          <t>Off</t>
        </is>
      </c>
      <c r="F49" s="60" t="inlineStr">
        <is>
          <t>Ventilation</t>
        </is>
      </c>
      <c r="G49" s="60" t="inlineStr">
        <is>
          <t>Emergency</t>
        </is>
      </c>
      <c r="H49" s="60" t="inlineStr">
        <is>
          <t>Cooling</t>
        </is>
      </c>
      <c r="I49" s="60" t="inlineStr">
        <is>
          <t>Heating</t>
        </is>
      </c>
      <c r="L49" s="58">
        <f t="array" ref="L49">INDEX({"SMOKE","UNKNOWN","BLANK"},MATCH(1,M49:O49,0))</f>
        <v/>
      </c>
      <c r="M49" s="1" t="n">
        <v>0</v>
      </c>
      <c r="N49" s="1" t="n">
        <v>1</v>
      </c>
      <c r="O49" s="1" t="n">
        <v>0</v>
      </c>
    </row>
    <row r="50" ht="15" customHeight="1" thickBot="1">
      <c r="A50" s="893" t="n"/>
      <c r="B50" s="873" t="n"/>
      <c r="C50" s="58">
        <f>IF(D50=1,1,IF(E50=1,2,IF(F50=1,3,IF(G50=1,4,IF(H50=1,5,IF(I50=1,6,0))))))</f>
        <v/>
      </c>
      <c r="D50" s="6" t="n">
        <v>0</v>
      </c>
      <c r="E50" s="6" t="n">
        <v>0</v>
      </c>
      <c r="F50" s="391">
        <f>'Mode Logic'!J11</f>
        <v/>
      </c>
      <c r="G50" s="391">
        <f>IF(OR('Mode Logic'!J13:J15),1,0)</f>
        <v/>
      </c>
      <c r="H50" s="391">
        <f>IF(OR('Mode Logic'!J6:J10),1,0)</f>
        <v/>
      </c>
      <c r="I50" s="391">
        <f>'Mode Logic'!J12</f>
        <v/>
      </c>
    </row>
    <row r="51">
      <c r="B51" s="2" t="n"/>
      <c r="C51" s="2" t="n"/>
      <c r="D51" s="2" t="n"/>
    </row>
    <row r="52" ht="15" customHeight="1" thickBot="1">
      <c r="B52" s="2" t="n"/>
      <c r="C52" s="2" t="n"/>
      <c r="D52" s="2" t="n"/>
    </row>
    <row r="53">
      <c r="A53" s="859" t="inlineStr">
        <is>
          <t>TCA</t>
        </is>
      </c>
      <c r="B53" s="857" t="inlineStr">
        <is>
          <t xml:space="preserve">HVAC UNIT 1 </t>
        </is>
      </c>
      <c r="C53" s="60" t="inlineStr">
        <is>
          <t>Current Mode Status</t>
        </is>
      </c>
      <c r="D53" s="60" t="inlineStr">
        <is>
          <t>Unknown</t>
        </is>
      </c>
      <c r="E53" s="60" t="inlineStr">
        <is>
          <t>Off</t>
        </is>
      </c>
      <c r="F53" s="60" t="inlineStr">
        <is>
          <t>Ventilation</t>
        </is>
      </c>
      <c r="G53" s="60" t="inlineStr">
        <is>
          <t>Emergency</t>
        </is>
      </c>
      <c r="H53" s="60" t="inlineStr">
        <is>
          <t>Cooling</t>
        </is>
      </c>
      <c r="I53" s="60" t="inlineStr">
        <is>
          <t>Heating</t>
        </is>
      </c>
    </row>
    <row r="54">
      <c r="A54" s="911" t="n"/>
      <c r="B54" s="873" t="n"/>
      <c r="C54" s="58">
        <f>IF(D54=1,1,IF(E54=1,2,IF(F54=1,3,IF(G54=1,4,IF(H54=1,5,IF(I54=1,6,0))))))</f>
        <v/>
      </c>
      <c r="D54" s="6" t="n">
        <v>0</v>
      </c>
      <c r="E54" s="6" t="n">
        <v>0</v>
      </c>
      <c r="F54" s="391">
        <f>'Mode Logic'!J11</f>
        <v/>
      </c>
      <c r="G54" s="391">
        <f>IF(OR('Mode Logic'!J13:J15),1,0)</f>
        <v/>
      </c>
      <c r="H54" s="391">
        <f>IF(OR('Mode Logic'!J6:J10),1,0)</f>
        <v/>
      </c>
      <c r="I54" s="391">
        <f>'Mode Logic'!J12</f>
        <v/>
      </c>
    </row>
    <row r="55">
      <c r="A55" s="911" t="n"/>
    </row>
    <row r="56">
      <c r="A56" s="911" t="n"/>
      <c r="B56" s="858" t="inlineStr">
        <is>
          <t>HVAC UNIT 2</t>
        </is>
      </c>
      <c r="C56" s="60" t="inlineStr">
        <is>
          <t>Current Mode Status</t>
        </is>
      </c>
      <c r="D56" s="60" t="inlineStr">
        <is>
          <t>Unknown</t>
        </is>
      </c>
      <c r="E56" s="60" t="inlineStr">
        <is>
          <t>Off</t>
        </is>
      </c>
      <c r="F56" s="60" t="inlineStr">
        <is>
          <t>Ventilation</t>
        </is>
      </c>
      <c r="G56" s="60" t="inlineStr">
        <is>
          <t>Emergency</t>
        </is>
      </c>
      <c r="H56" s="60" t="inlineStr">
        <is>
          <t>Cooling</t>
        </is>
      </c>
      <c r="I56" s="60" t="inlineStr">
        <is>
          <t>Heating</t>
        </is>
      </c>
    </row>
    <row r="57" ht="15" customHeight="1" thickBot="1">
      <c r="A57" s="893" t="n"/>
      <c r="B57" s="873" t="n"/>
      <c r="C57" s="58">
        <f>IF(D57=1,1,IF(E57=1,2,IF(F57=1,3,IF(G57=1,4,IF(H57=1,5,IF(I57=1,6,0))))))</f>
        <v/>
      </c>
      <c r="D57" s="6" t="n">
        <v>0</v>
      </c>
      <c r="E57" s="6" t="n">
        <v>0</v>
      </c>
      <c r="F57" s="391">
        <f>'Mode Logic'!J11</f>
        <v/>
      </c>
      <c r="G57" s="391">
        <f>IF(OR('Mode Logic'!J13:J15),1,0)</f>
        <v/>
      </c>
      <c r="H57" s="391">
        <f>IF(OR('Mode Logic'!J6:J10),1,0)</f>
        <v/>
      </c>
      <c r="I57" s="391">
        <f>'Mode Logic'!J12</f>
        <v/>
      </c>
    </row>
    <row r="58" ht="15" customHeight="1" thickBot="1"/>
    <row r="59">
      <c r="A59" s="859" t="inlineStr">
        <is>
          <t>DMB</t>
        </is>
      </c>
      <c r="B59" s="857" t="inlineStr">
        <is>
          <t xml:space="preserve">HVAC UNIT 1 </t>
        </is>
      </c>
      <c r="C59" s="60" t="inlineStr">
        <is>
          <t>Current Mode Status</t>
        </is>
      </c>
      <c r="D59" s="60" t="inlineStr">
        <is>
          <t>Unknown</t>
        </is>
      </c>
      <c r="E59" s="60" t="inlineStr">
        <is>
          <t>Off</t>
        </is>
      </c>
      <c r="F59" s="60" t="inlineStr">
        <is>
          <t>Ventilation</t>
        </is>
      </c>
      <c r="G59" s="60" t="inlineStr">
        <is>
          <t>Emergency</t>
        </is>
      </c>
      <c r="H59" s="60" t="inlineStr">
        <is>
          <t>Cooling</t>
        </is>
      </c>
      <c r="I59" s="60" t="inlineStr">
        <is>
          <t>Heating</t>
        </is>
      </c>
    </row>
    <row r="60">
      <c r="A60" s="911" t="n"/>
      <c r="B60" s="873" t="n"/>
      <c r="C60" s="58">
        <f>IF(D60=1,1,IF(E60=1,2,IF(F60=1,3,IF(G60=1,4,IF(H60=1,5,IF(I60=1,6,0))))))</f>
        <v/>
      </c>
      <c r="D60" s="6" t="n">
        <v>0</v>
      </c>
      <c r="E60" s="6" t="n">
        <v>0</v>
      </c>
      <c r="F60" s="391">
        <f>'Mode Logic'!J11</f>
        <v/>
      </c>
      <c r="G60" s="391">
        <f>IF(OR('Mode Logic'!J13:J15),1,0)</f>
        <v/>
      </c>
      <c r="H60" s="391">
        <f>IF(OR('Mode Logic'!J6:J10),1,0)</f>
        <v/>
      </c>
      <c r="I60" s="391">
        <f>'Mode Logic'!J12</f>
        <v/>
      </c>
    </row>
    <row r="61">
      <c r="A61" s="911" t="n"/>
    </row>
    <row r="62">
      <c r="A62" s="911" t="n"/>
      <c r="B62" s="858" t="inlineStr">
        <is>
          <t>HVAC UNIT 2</t>
        </is>
      </c>
      <c r="C62" s="60" t="inlineStr">
        <is>
          <t>Current Mode Status</t>
        </is>
      </c>
      <c r="D62" s="60" t="inlineStr">
        <is>
          <t>Unknown</t>
        </is>
      </c>
      <c r="E62" s="60" t="inlineStr">
        <is>
          <t>Off</t>
        </is>
      </c>
      <c r="F62" s="60" t="inlineStr">
        <is>
          <t>Ventilation</t>
        </is>
      </c>
      <c r="G62" s="60" t="inlineStr">
        <is>
          <t>Emergency</t>
        </is>
      </c>
      <c r="H62" s="60" t="inlineStr">
        <is>
          <t>Cooling</t>
        </is>
      </c>
      <c r="I62" s="60" t="inlineStr">
        <is>
          <t>Heating</t>
        </is>
      </c>
    </row>
    <row r="63" ht="15" customHeight="1" thickBot="1">
      <c r="A63" s="893" t="n"/>
      <c r="B63" s="873" t="n"/>
      <c r="C63" s="58">
        <f>IF(D63=1,1,IF(E63=1,2,IF(F63=1,3,IF(G63=1,4,IF(H63=1,5,IF(I63=1,6,0))))))</f>
        <v/>
      </c>
      <c r="D63" s="6" t="n">
        <v>0</v>
      </c>
      <c r="E63" s="6" t="n">
        <v>0</v>
      </c>
      <c r="F63" s="391">
        <f>'Mode Logic'!J11</f>
        <v/>
      </c>
      <c r="G63" s="391">
        <f>IF(OR('Mode Logic'!J13:J15),1,0)</f>
        <v/>
      </c>
      <c r="H63" s="391">
        <f>IF(OR('Mode Logic'!J6:J10),1,0)</f>
        <v/>
      </c>
      <c r="I63" s="391">
        <f>'Mode Logic'!J12</f>
        <v/>
      </c>
    </row>
    <row r="65" ht="15" customHeight="1" thickBot="1"/>
    <row r="66">
      <c r="A66" s="859" t="inlineStr">
        <is>
          <t>DM A</t>
        </is>
      </c>
      <c r="B66" s="857" t="inlineStr">
        <is>
          <t xml:space="preserve">HVAC UNIT 1 </t>
        </is>
      </c>
      <c r="C66" s="61" t="inlineStr">
        <is>
          <t>Exterior Smoke Status</t>
        </is>
      </c>
      <c r="D66" s="60" t="inlineStr">
        <is>
          <t>Out Smoke mode</t>
        </is>
      </c>
      <c r="E66" s="60" t="inlineStr">
        <is>
          <t>Unknown</t>
        </is>
      </c>
      <c r="F66" s="60" t="inlineStr">
        <is>
          <t>(Blank)</t>
        </is>
      </c>
    </row>
    <row r="67">
      <c r="A67" s="911" t="n"/>
      <c r="B67" s="873" t="n"/>
      <c r="C67" s="58">
        <f>IF(D67=1,1,IF(E67=1,2,IF(F67=1,3,0)))</f>
        <v/>
      </c>
      <c r="D67" s="390">
        <f>'Mode Logic'!J14</f>
        <v/>
      </c>
      <c r="E67" s="1" t="n">
        <v>1</v>
      </c>
      <c r="F67" s="1" t="n">
        <v>0</v>
      </c>
    </row>
    <row r="68">
      <c r="A68" s="911" t="n"/>
    </row>
    <row r="69">
      <c r="A69" s="911" t="n"/>
      <c r="B69" s="858" t="inlineStr">
        <is>
          <t>HVAC UNIT 2</t>
        </is>
      </c>
      <c r="C69" s="61" t="inlineStr">
        <is>
          <t>Exterior Smoke Status</t>
        </is>
      </c>
      <c r="D69" s="60" t="inlineStr">
        <is>
          <t>Out Smoke mode</t>
        </is>
      </c>
      <c r="E69" s="60" t="inlineStr">
        <is>
          <t>Unknown</t>
        </is>
      </c>
      <c r="F69" s="60" t="inlineStr">
        <is>
          <t>(Blank)</t>
        </is>
      </c>
    </row>
    <row r="70" ht="15" customHeight="1" thickBot="1">
      <c r="A70" s="893" t="n"/>
      <c r="B70" s="873" t="n"/>
      <c r="C70" s="58">
        <f>IF(D70=1,1,IF(E70=1,2,IF(F70=1,3,0)))</f>
        <v/>
      </c>
      <c r="D70" s="390">
        <f>'Mode Logic'!J14</f>
        <v/>
      </c>
      <c r="E70" s="1" t="n">
        <v>0</v>
      </c>
      <c r="F70" s="1" t="n">
        <v>1</v>
      </c>
    </row>
    <row r="71">
      <c r="B71" s="2" t="n"/>
    </row>
    <row r="72" ht="15" customHeight="1" thickBot="1">
      <c r="B72" s="2" t="n"/>
    </row>
    <row r="73">
      <c r="A73" s="859" t="inlineStr">
        <is>
          <t>TCA</t>
        </is>
      </c>
      <c r="B73" s="857" t="inlineStr">
        <is>
          <t xml:space="preserve">HVAC UNIT 1 </t>
        </is>
      </c>
      <c r="C73" s="61" t="inlineStr">
        <is>
          <t>Exterior Smoke Status</t>
        </is>
      </c>
      <c r="D73" s="60" t="inlineStr">
        <is>
          <t>Out Smoke mode</t>
        </is>
      </c>
      <c r="E73" s="60" t="inlineStr">
        <is>
          <t>Unknown</t>
        </is>
      </c>
      <c r="F73" s="60" t="inlineStr">
        <is>
          <t>(Blank)</t>
        </is>
      </c>
    </row>
    <row r="74">
      <c r="A74" s="911" t="n"/>
      <c r="B74" s="873" t="n"/>
      <c r="C74" s="58">
        <f>IF(D74=1,1,IF(E74=1,2,IF(F74=1,3,0)))</f>
        <v/>
      </c>
      <c r="D74" s="390">
        <f>'Mode Logic'!J14</f>
        <v/>
      </c>
      <c r="E74" s="1" t="n">
        <v>0</v>
      </c>
      <c r="F74" s="1" t="n">
        <v>1</v>
      </c>
    </row>
    <row r="75">
      <c r="A75" s="911" t="n"/>
    </row>
    <row r="76">
      <c r="A76" s="911" t="n"/>
      <c r="B76" s="858" t="inlineStr">
        <is>
          <t>HVAC UNIT 2</t>
        </is>
      </c>
      <c r="C76" s="61" t="inlineStr">
        <is>
          <t>Exterior Smoke Status</t>
        </is>
      </c>
      <c r="D76" s="60" t="inlineStr">
        <is>
          <t>Out Smoke mode</t>
        </is>
      </c>
      <c r="E76" s="60" t="inlineStr">
        <is>
          <t>Unknown</t>
        </is>
      </c>
      <c r="F76" s="60" t="inlineStr">
        <is>
          <t>(Blank)</t>
        </is>
      </c>
    </row>
    <row r="77" ht="15" customHeight="1" thickBot="1">
      <c r="A77" s="893" t="n"/>
      <c r="B77" s="873" t="n"/>
      <c r="C77" s="58">
        <f>IF(D77=1,1,IF(E77=1,2,IF(F77=1,3,0)))</f>
        <v/>
      </c>
      <c r="D77" s="390">
        <f>'Mode Logic'!J14</f>
        <v/>
      </c>
      <c r="E77" s="1" t="n">
        <v>0</v>
      </c>
      <c r="F77" s="1" t="n">
        <v>0</v>
      </c>
    </row>
    <row r="78" ht="15" customHeight="1" thickBot="1"/>
    <row r="79">
      <c r="A79" s="859" t="inlineStr">
        <is>
          <t>DMB</t>
        </is>
      </c>
      <c r="B79" s="857" t="inlineStr">
        <is>
          <t xml:space="preserve">HVAC UNIT 1 </t>
        </is>
      </c>
      <c r="C79" s="61" t="inlineStr">
        <is>
          <t>Exterior Smoke Status</t>
        </is>
      </c>
      <c r="D79" s="60" t="inlineStr">
        <is>
          <t>Out Smoke mode</t>
        </is>
      </c>
      <c r="E79" s="60" t="inlineStr">
        <is>
          <t>Unknown</t>
        </is>
      </c>
      <c r="F79" s="60" t="inlineStr">
        <is>
          <t>(Blank)</t>
        </is>
      </c>
    </row>
    <row r="80">
      <c r="A80" s="911" t="n"/>
      <c r="B80" s="873" t="n"/>
      <c r="C80" s="58">
        <f>IF(D80=1,1,IF(E80=1,2,IF(F80=1,3,0)))</f>
        <v/>
      </c>
      <c r="D80" s="390">
        <f>'Mode Logic'!J14</f>
        <v/>
      </c>
      <c r="E80" s="1" t="n">
        <v>1</v>
      </c>
      <c r="F80" s="1" t="n">
        <v>0</v>
      </c>
    </row>
    <row r="81">
      <c r="A81" s="911" t="n"/>
    </row>
    <row r="82">
      <c r="A82" s="911" t="n"/>
      <c r="B82" s="858" t="inlineStr">
        <is>
          <t>HVAC UNIT 2</t>
        </is>
      </c>
      <c r="C82" s="61" t="inlineStr">
        <is>
          <t>Exterior Smoke Status</t>
        </is>
      </c>
      <c r="D82" s="60" t="inlineStr">
        <is>
          <t>Out Smoke mode</t>
        </is>
      </c>
      <c r="E82" s="60" t="inlineStr">
        <is>
          <t>Unknown</t>
        </is>
      </c>
      <c r="F82" s="60" t="inlineStr">
        <is>
          <t>(Blank)</t>
        </is>
      </c>
    </row>
    <row r="83" ht="15" customHeight="1" thickBot="1">
      <c r="A83" s="893" t="n"/>
      <c r="B83" s="873" t="n"/>
      <c r="C83" s="58">
        <f>IF(D83=1,1,IF(E83=1,2,IF(F83=1,3,0)))</f>
        <v/>
      </c>
      <c r="D83" s="390">
        <f>'Mode Logic'!J14</f>
        <v/>
      </c>
      <c r="E83" s="1" t="n">
        <v>0</v>
      </c>
      <c r="F83" s="1" t="n">
        <v>0</v>
      </c>
    </row>
    <row r="88" ht="15" customHeight="1" thickBot="1"/>
    <row r="89" ht="15" customHeight="1" thickBot="1">
      <c r="A89" s="859" t="inlineStr">
        <is>
          <t xml:space="preserve">DMA </t>
        </is>
      </c>
      <c r="B89" s="51" t="inlineStr">
        <is>
          <t>HVAC 1</t>
        </is>
      </c>
      <c r="C89" s="52" t="inlineStr">
        <is>
          <t>Unknown</t>
        </is>
      </c>
      <c r="D89" s="52" t="inlineStr">
        <is>
          <t>Isolation</t>
        </is>
      </c>
      <c r="E89" s="52" t="inlineStr">
        <is>
          <t>Faulty</t>
        </is>
      </c>
      <c r="F89" s="52" t="inlineStr">
        <is>
          <t>Degraded</t>
        </is>
      </c>
      <c r="G89" s="52" t="inlineStr">
        <is>
          <t>Warning</t>
        </is>
      </c>
      <c r="H89" s="52" t="inlineStr">
        <is>
          <t>Emergency</t>
        </is>
      </c>
      <c r="I89" s="52" t="inlineStr">
        <is>
          <t>Cooling</t>
        </is>
      </c>
      <c r="J89" s="52" t="inlineStr">
        <is>
          <t>Heating</t>
        </is>
      </c>
      <c r="K89" s="52" t="inlineStr">
        <is>
          <t>Ventilation</t>
        </is>
      </c>
      <c r="L89" s="52" t="inlineStr">
        <is>
          <t>Off</t>
        </is>
      </c>
      <c r="M89" s="53" t="inlineStr">
        <is>
          <t>On</t>
        </is>
      </c>
    </row>
    <row r="90" ht="15" customHeight="1" thickBot="1">
      <c r="A90" s="911" t="n"/>
      <c r="B90" s="47">
        <f>IF(D90=1,1,IF(E90=1,1,IF(F90=1,1,IF(G90=1,1,IF(H90=1,1,IF(I90=1,1,IF(J90=1,1,IF(K90=1,1,IF(L90=1,1,IF(M90=1,1,0))))))))))</f>
        <v/>
      </c>
      <c r="C90" s="392" t="n">
        <v>0</v>
      </c>
      <c r="D90" s="392" t="n">
        <v>0</v>
      </c>
      <c r="E90" s="392" t="n">
        <v>0</v>
      </c>
      <c r="F90" s="392" t="n">
        <v>0</v>
      </c>
      <c r="G90" s="392" t="n">
        <v>0</v>
      </c>
      <c r="H90" s="388">
        <f>IF(OR('Mode Logic'!J13:J15),1,0)</f>
        <v/>
      </c>
      <c r="I90" s="388">
        <f>IF(OR('Mode Logic'!J6:J10),1,0)</f>
        <v/>
      </c>
      <c r="J90" s="388">
        <f>'Mode Logic'!J12</f>
        <v/>
      </c>
      <c r="K90" s="388">
        <f>'Mode Logic'!J11</f>
        <v/>
      </c>
      <c r="L90" s="388">
        <f>IF(NOT(M90),1,0)</f>
        <v/>
      </c>
      <c r="M90" s="393">
        <f>'LFD New'!D2</f>
        <v/>
      </c>
    </row>
    <row r="91">
      <c r="A91" s="911" t="n"/>
      <c r="M91" s="54" t="n"/>
    </row>
    <row r="92" ht="15" customHeight="1" thickBot="1">
      <c r="A92" s="911" t="n"/>
      <c r="B92" s="55" t="inlineStr">
        <is>
          <t>HVAC 2</t>
        </is>
      </c>
      <c r="C92" s="46" t="inlineStr">
        <is>
          <t>Unknown</t>
        </is>
      </c>
      <c r="D92" s="46" t="inlineStr">
        <is>
          <t>Isolation</t>
        </is>
      </c>
      <c r="E92" s="46" t="inlineStr">
        <is>
          <t>Faulty</t>
        </is>
      </c>
      <c r="F92" s="46" t="inlineStr">
        <is>
          <t>Degraded</t>
        </is>
      </c>
      <c r="G92" s="46" t="inlineStr">
        <is>
          <t>Warning</t>
        </is>
      </c>
      <c r="H92" s="46" t="inlineStr">
        <is>
          <t>Emergency</t>
        </is>
      </c>
      <c r="I92" s="46" t="inlineStr">
        <is>
          <t>Cooling</t>
        </is>
      </c>
      <c r="J92" s="46" t="inlineStr">
        <is>
          <t>Heating</t>
        </is>
      </c>
      <c r="K92" s="46" t="inlineStr">
        <is>
          <t>Ventilation</t>
        </is>
      </c>
      <c r="L92" s="46" t="inlineStr">
        <is>
          <t>Off</t>
        </is>
      </c>
      <c r="M92" s="56" t="inlineStr">
        <is>
          <t>On</t>
        </is>
      </c>
    </row>
    <row r="93" ht="15" customHeight="1" thickBot="1">
      <c r="A93" s="893" t="n"/>
      <c r="B93" s="47">
        <f>IF(D93=1,1,IF(E93=1,1,IF(F93=1,1,IF(G93=1,1,IF(H93=1,1,IF(I93=1,1,IF(J93=1,1,IF(K93=1,1,IF(L93=1,1,IF(M93=1,1,0))))))))))</f>
        <v/>
      </c>
      <c r="C93" s="395" t="n">
        <v>0</v>
      </c>
      <c r="D93" s="395" t="n">
        <v>0</v>
      </c>
      <c r="E93" s="395" t="n">
        <v>0</v>
      </c>
      <c r="F93" s="395" t="n">
        <v>0</v>
      </c>
      <c r="G93" s="395" t="n">
        <v>0</v>
      </c>
      <c r="H93" s="389">
        <f>IF(OR('Mode Logic'!J13:J15),1,0)</f>
        <v/>
      </c>
      <c r="I93" s="389">
        <f>IF(OR('Mode Logic'!J6:J10),1,0)</f>
        <v/>
      </c>
      <c r="J93" s="389">
        <f>'Mode Logic'!J12</f>
        <v/>
      </c>
      <c r="K93" s="389">
        <f>'Mode Logic'!J11</f>
        <v/>
      </c>
      <c r="L93" s="389">
        <f>IF(NOT(M93),1,0)</f>
        <v/>
      </c>
      <c r="M93" s="394">
        <f>'LFD New'!D3</f>
        <v/>
      </c>
    </row>
    <row r="95" ht="15" customHeight="1" thickBot="1"/>
    <row r="96" ht="15" customHeight="1" thickBot="1">
      <c r="A96" s="859" t="inlineStr">
        <is>
          <t>TCA</t>
        </is>
      </c>
      <c r="B96" s="51" t="inlineStr">
        <is>
          <t>HVAC 1</t>
        </is>
      </c>
      <c r="C96" s="52" t="inlineStr">
        <is>
          <t>Unknown</t>
        </is>
      </c>
      <c r="D96" s="52" t="inlineStr">
        <is>
          <t>Isolation</t>
        </is>
      </c>
      <c r="E96" s="52" t="inlineStr">
        <is>
          <t>Faulty</t>
        </is>
      </c>
      <c r="F96" s="52" t="inlineStr">
        <is>
          <t>Degraded</t>
        </is>
      </c>
      <c r="G96" s="52" t="inlineStr">
        <is>
          <t>Warning</t>
        </is>
      </c>
      <c r="H96" s="52" t="inlineStr">
        <is>
          <t>Emergency</t>
        </is>
      </c>
      <c r="I96" s="52" t="inlineStr">
        <is>
          <t>Cooling</t>
        </is>
      </c>
      <c r="J96" s="52" t="inlineStr">
        <is>
          <t>Heating</t>
        </is>
      </c>
      <c r="K96" s="52" t="inlineStr">
        <is>
          <t>Ventilation</t>
        </is>
      </c>
      <c r="L96" s="52" t="inlineStr">
        <is>
          <t>Off</t>
        </is>
      </c>
      <c r="M96" s="53" t="inlineStr">
        <is>
          <t>On</t>
        </is>
      </c>
    </row>
    <row r="97" ht="15" customHeight="1" thickBot="1">
      <c r="A97" s="911" t="n"/>
      <c r="B97" s="47">
        <f>IF(D97=1,1,IF(E97=1,1,IF(F97=1,1,IF(G97=1,1,IF(H97=1,1,IF(I97=1,1,IF(J97=1,1,IF(K97=1,1,IF(L97=1,1,IF(M97=1,1,0))))))))))</f>
        <v/>
      </c>
      <c r="C97" s="392" t="n">
        <v>0</v>
      </c>
      <c r="D97" s="392" t="n">
        <v>0</v>
      </c>
      <c r="E97" s="392" t="n">
        <v>0</v>
      </c>
      <c r="F97" s="392" t="n">
        <v>0</v>
      </c>
      <c r="G97" s="392" t="n">
        <v>0</v>
      </c>
      <c r="H97" s="388">
        <f>IF(OR('Mode Logic'!J13:J15),1,0)</f>
        <v/>
      </c>
      <c r="I97" s="388">
        <f>IF(OR('Mode Logic'!J6:J10),1,0)</f>
        <v/>
      </c>
      <c r="J97" s="388">
        <f>'Mode Logic'!J12</f>
        <v/>
      </c>
      <c r="K97" s="388">
        <f>'Mode Logic'!J11</f>
        <v/>
      </c>
      <c r="L97" s="388">
        <f>IF(NOT(M97),1,0)</f>
        <v/>
      </c>
      <c r="M97" s="393">
        <f>'LFD New'!D2</f>
        <v/>
      </c>
    </row>
    <row r="98">
      <c r="A98" s="911" t="n"/>
      <c r="M98" s="54" t="n"/>
    </row>
    <row r="99" ht="15" customHeight="1" thickBot="1">
      <c r="A99" s="911" t="n"/>
      <c r="B99" s="55" t="inlineStr">
        <is>
          <t>HVAC 2</t>
        </is>
      </c>
      <c r="C99" s="46" t="inlineStr">
        <is>
          <t>Unknown</t>
        </is>
      </c>
      <c r="D99" s="46" t="inlineStr">
        <is>
          <t>Isolation</t>
        </is>
      </c>
      <c r="E99" s="46" t="inlineStr">
        <is>
          <t>Faulty</t>
        </is>
      </c>
      <c r="F99" s="46" t="inlineStr">
        <is>
          <t>Degraded</t>
        </is>
      </c>
      <c r="G99" s="46" t="inlineStr">
        <is>
          <t>Warning</t>
        </is>
      </c>
      <c r="H99" s="46" t="inlineStr">
        <is>
          <t>Emergency</t>
        </is>
      </c>
      <c r="I99" s="46" t="inlineStr">
        <is>
          <t>Cooling</t>
        </is>
      </c>
      <c r="J99" s="46" t="inlineStr">
        <is>
          <t>Heating</t>
        </is>
      </c>
      <c r="K99" s="46" t="inlineStr">
        <is>
          <t>Ventilation</t>
        </is>
      </c>
      <c r="L99" s="46" t="inlineStr">
        <is>
          <t>Off</t>
        </is>
      </c>
      <c r="M99" s="56" t="inlineStr">
        <is>
          <t>On</t>
        </is>
      </c>
    </row>
    <row r="100" ht="15" customHeight="1" thickBot="1">
      <c r="A100" s="893" t="n"/>
      <c r="B100" s="47">
        <f>IF(D100=1,1,IF(E100=1,1,IF(F100=1,1,IF(G100=1,1,IF(H100=1,1,IF(I100=1,1,IF(J100=1,1,IF(K100=1,1,IF(L100=1,1,IF(M100=1,1,0))))))))))</f>
        <v/>
      </c>
      <c r="C100" s="395" t="n">
        <v>0</v>
      </c>
      <c r="D100" s="395" t="n">
        <v>0</v>
      </c>
      <c r="E100" s="395" t="n">
        <v>0</v>
      </c>
      <c r="F100" s="395" t="n">
        <v>0</v>
      </c>
      <c r="G100" s="395" t="n">
        <v>0</v>
      </c>
      <c r="H100" s="389">
        <f>IF(OR('Mode Logic'!J13:J15),1,0)</f>
        <v/>
      </c>
      <c r="I100" s="389">
        <f>IF(OR('Mode Logic'!J6:J10),1,0)</f>
        <v/>
      </c>
      <c r="J100" s="389">
        <f>'Mode Logic'!J12</f>
        <v/>
      </c>
      <c r="K100" s="389">
        <f>'Mode Logic'!J11</f>
        <v/>
      </c>
      <c r="L100" s="389">
        <f>IF(NOT(M100),1,0)</f>
        <v/>
      </c>
      <c r="M100" s="394">
        <f>'LFD New'!D3</f>
        <v/>
      </c>
    </row>
    <row r="102" ht="15" customHeight="1" thickBot="1"/>
    <row r="103" ht="15" customHeight="1" thickBot="1">
      <c r="A103" s="859" t="inlineStr">
        <is>
          <t>DMB</t>
        </is>
      </c>
      <c r="B103" s="51" t="inlineStr">
        <is>
          <t>HVAC 1</t>
        </is>
      </c>
      <c r="C103" s="52" t="inlineStr">
        <is>
          <t>Unknown</t>
        </is>
      </c>
      <c r="D103" s="52" t="inlineStr">
        <is>
          <t>Isolation</t>
        </is>
      </c>
      <c r="E103" s="52" t="inlineStr">
        <is>
          <t>Faulty</t>
        </is>
      </c>
      <c r="F103" s="52" t="inlineStr">
        <is>
          <t>Degraded</t>
        </is>
      </c>
      <c r="G103" s="52" t="inlineStr">
        <is>
          <t>Warning</t>
        </is>
      </c>
      <c r="H103" s="52" t="inlineStr">
        <is>
          <t>Emergency</t>
        </is>
      </c>
      <c r="I103" s="52" t="inlineStr">
        <is>
          <t>Cooling</t>
        </is>
      </c>
      <c r="J103" s="52" t="inlineStr">
        <is>
          <t>Heating</t>
        </is>
      </c>
      <c r="K103" s="52" t="inlineStr">
        <is>
          <t>Ventilation</t>
        </is>
      </c>
      <c r="L103" s="52" t="inlineStr">
        <is>
          <t>Off</t>
        </is>
      </c>
      <c r="M103" s="53" t="inlineStr">
        <is>
          <t>On</t>
        </is>
      </c>
    </row>
    <row r="104" ht="15" customHeight="1" thickBot="1">
      <c r="A104" s="911" t="n"/>
      <c r="B104" s="47">
        <f>IF(D104=1,1,IF(E104=1,1,IF(F104=1,1,IF(G104=1,1,IF(H104=1,1,IF(I104=1,1,IF(J104=1,1,IF(K104=1,1,IF(L104=1,1,IF(M104=1,1,0))))))))))</f>
        <v/>
      </c>
      <c r="C104" s="392" t="n">
        <v>0</v>
      </c>
      <c r="D104" s="392" t="n">
        <v>0</v>
      </c>
      <c r="E104" s="392" t="n">
        <v>0</v>
      </c>
      <c r="F104" s="392" t="n">
        <v>0</v>
      </c>
      <c r="G104" s="392" t="n">
        <v>0</v>
      </c>
      <c r="H104" s="388">
        <f>IF(OR('Mode Logic'!J13:J15),1,0)</f>
        <v/>
      </c>
      <c r="I104" s="388">
        <f>IF(OR('Mode Logic'!J6:J10),1,0)</f>
        <v/>
      </c>
      <c r="J104" s="388">
        <f>'Mode Logic'!J12</f>
        <v/>
      </c>
      <c r="K104" s="388">
        <f>'Mode Logic'!J11</f>
        <v/>
      </c>
      <c r="L104" s="388">
        <f>IF(NOT(M104),1,0)</f>
        <v/>
      </c>
      <c r="M104" s="393">
        <f>'LFD New'!D2</f>
        <v/>
      </c>
    </row>
    <row r="105">
      <c r="A105" s="911" t="n"/>
      <c r="M105" s="54" t="n"/>
    </row>
    <row r="106" ht="15" customHeight="1" thickBot="1">
      <c r="A106" s="911" t="n"/>
      <c r="B106" s="55" t="inlineStr">
        <is>
          <t>HVAC 2</t>
        </is>
      </c>
      <c r="C106" s="46" t="inlineStr">
        <is>
          <t>Unknown</t>
        </is>
      </c>
      <c r="D106" s="46" t="inlineStr">
        <is>
          <t>Isolation</t>
        </is>
      </c>
      <c r="E106" s="46" t="inlineStr">
        <is>
          <t>Faulty</t>
        </is>
      </c>
      <c r="F106" s="46" t="inlineStr">
        <is>
          <t>Degraded</t>
        </is>
      </c>
      <c r="G106" s="46" t="inlineStr">
        <is>
          <t>Warning</t>
        </is>
      </c>
      <c r="H106" s="46" t="inlineStr">
        <is>
          <t>Emergency</t>
        </is>
      </c>
      <c r="I106" s="46" t="inlineStr">
        <is>
          <t>Cooling</t>
        </is>
      </c>
      <c r="J106" s="46" t="inlineStr">
        <is>
          <t>Heating</t>
        </is>
      </c>
      <c r="K106" s="46" t="inlineStr">
        <is>
          <t>Ventilation</t>
        </is>
      </c>
      <c r="L106" s="46" t="inlineStr">
        <is>
          <t>Off</t>
        </is>
      </c>
      <c r="M106" s="56" t="inlineStr">
        <is>
          <t>On</t>
        </is>
      </c>
    </row>
    <row r="107" ht="15" customHeight="1" thickBot="1">
      <c r="A107" s="893" t="n"/>
      <c r="B107" s="47">
        <f>IF(D107=1,1,IF(E107=1,1,IF(F107=1,1,IF(G107=1,1,IF(H107=1,1,IF(I107=1,1,IF(J107=1,1,IF(K107=1,1,IF(L107=1,1,IF(M107=1,1,0))))))))))</f>
        <v/>
      </c>
      <c r="C107" s="395" t="n">
        <v>0</v>
      </c>
      <c r="D107" s="395" t="n">
        <v>0</v>
      </c>
      <c r="E107" s="395" t="n">
        <v>0</v>
      </c>
      <c r="F107" s="395" t="n">
        <v>0</v>
      </c>
      <c r="G107" s="395" t="n">
        <v>0</v>
      </c>
      <c r="H107" s="389">
        <f>IF(OR('Mode Logic'!J13:J15),1,0)</f>
        <v/>
      </c>
      <c r="I107" s="389">
        <f>IF(OR('Mode Logic'!J6:J10),1,0)</f>
        <v/>
      </c>
      <c r="J107" s="389">
        <f>'Mode Logic'!J12</f>
        <v/>
      </c>
      <c r="K107" s="389">
        <f>'Mode Logic'!J11</f>
        <v/>
      </c>
      <c r="L107" s="389">
        <f>IF(NOT(M107),1,0)</f>
        <v/>
      </c>
      <c r="M107" s="394">
        <f>'LFD New'!D3</f>
        <v/>
      </c>
    </row>
  </sheetData>
  <mergeCells count="34">
    <mergeCell ref="A18:A22"/>
    <mergeCell ref="B62:B63"/>
    <mergeCell ref="A4:A8"/>
    <mergeCell ref="B46:B47"/>
    <mergeCell ref="A33:A37"/>
    <mergeCell ref="B73:B74"/>
    <mergeCell ref="B42:B43"/>
    <mergeCell ref="B82:B83"/>
    <mergeCell ref="A26:A30"/>
    <mergeCell ref="B29:B30"/>
    <mergeCell ref="B39:B40"/>
    <mergeCell ref="A53:A57"/>
    <mergeCell ref="A96:A100"/>
    <mergeCell ref="B69:B70"/>
    <mergeCell ref="A59:A63"/>
    <mergeCell ref="A73:A77"/>
    <mergeCell ref="B53:B54"/>
    <mergeCell ref="B49:B50"/>
    <mergeCell ref="A39:A43"/>
    <mergeCell ref="B36:B37"/>
    <mergeCell ref="A79:A83"/>
    <mergeCell ref="B33:B34"/>
    <mergeCell ref="C2:M2"/>
    <mergeCell ref="A11:A15"/>
    <mergeCell ref="B76:B77"/>
    <mergeCell ref="B79:B80"/>
    <mergeCell ref="A66:A70"/>
    <mergeCell ref="A103:A107"/>
    <mergeCell ref="B66:B67"/>
    <mergeCell ref="B56:B57"/>
    <mergeCell ref="B26:B27"/>
    <mergeCell ref="A46:A50"/>
    <mergeCell ref="B59:B60"/>
    <mergeCell ref="A89:A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Lapalikar</dc:creator>
  <dcterms:created xsi:type="dcterms:W3CDTF">2026-04-07T11:29:31Z</dcterms:created>
  <dcterms:modified xsi:type="dcterms:W3CDTF">2026-10-21T05:35:58Z</dcterms:modified>
  <cp:lastModifiedBy>Neil Lapalikar</cp:lastModifiedBy>
</cp:coreProperties>
</file>