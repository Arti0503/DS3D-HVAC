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7845" yWindow="35970" windowWidth="42465" windowHeight="23445" tabRatio="600" firstSheet="0" activeTab="0" autoFilterDateGrouping="1"/>
  </bookViews>
  <sheets>
    <sheet name="DATA TRANSFER" sheetId="1" state="visible" r:id="rId1"/>
    <sheet name="Sheet2" sheetId="2" state="visible" r:id="rId2"/>
    <sheet name="Calculation" sheetId="3" state="visible" r:id="rId3"/>
    <sheet name="Mode Logic" sheetId="4" state="visible" r:id="rId4"/>
    <sheet name="HVAC MODES IN NORMAL OPERATION" sheetId="5" state="visible" r:id="rId5"/>
    <sheet name="LFD OLD" sheetId="6" state="visible" r:id="rId6"/>
    <sheet name="LFD New" sheetId="7" state="visible" r:id="rId7"/>
    <sheet name="CIRCUIT SIM" sheetId="8" state="visible" r:id="rId8"/>
    <sheet name="Sheet3" sheetId="9" state="visible" r:id="rId9"/>
    <sheet name="Modes wrt HW" sheetId="10" state="hidden" r:id="rId10"/>
    <sheet name="HVAC_IOs" sheetId="11" state="visible" r:id="rId11"/>
    <sheet name="TCMS" sheetId="12" state="visible" r:id="rId12"/>
    <sheet name="Sheet1" sheetId="13" state="visible" r:id="rId13"/>
    <sheet name="functionality" sheetId="14" state="visible" r:id="rId14"/>
    <sheet name="fault List" sheetId="15" state="visible" r:id="rId15"/>
  </sheets>
  <externalReferences>
    <externalReference r:id="rId16"/>
    <externalReference r:id="rId17"/>
  </externalReferences>
  <definedNames>
    <definedName name="a1j">[1]HVac_SimulationStatus!$AJ$302</definedName>
  </definedNames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4">
    <font>
      <name val="Aptos Narrow"/>
      <family val="2"/>
      <color theme="1"/>
      <sz val="11"/>
      <scheme val="minor"/>
    </font>
    <font>
      <name val="Book Antiqua"/>
      <family val="1"/>
      <b val="1"/>
      <color theme="1"/>
      <sz val="12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Book Antiqua"/>
      <family val="1"/>
      <color theme="1"/>
      <sz val="11"/>
    </font>
    <font>
      <name val="Calibri"/>
      <family val="2"/>
      <b val="1"/>
      <color indexed="8"/>
      <sz val="11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Calibri"/>
      <family val="2"/>
      <color rgb="FF7030A0"/>
      <sz val="12"/>
    </font>
    <font>
      <name val="Calibri"/>
      <family val="2"/>
      <b val="1"/>
      <color theme="1"/>
      <sz val="14"/>
    </font>
    <font>
      <name val="Calibri"/>
      <family val="2"/>
      <b val="1"/>
      <color theme="1"/>
      <sz val="16"/>
    </font>
    <font>
      <name val="Book Antiqua"/>
      <family val="1"/>
      <color rgb="FF000000"/>
      <sz val="11"/>
    </font>
    <font>
      <name val="Aptos Narrow"/>
      <family val="2"/>
      <color rgb="FFD60C7F"/>
      <sz val="11"/>
      <scheme val="minor"/>
    </font>
    <font>
      <name val="Calibri"/>
      <family val="2"/>
      <color rgb="FFD60C7F"/>
      <sz val="12"/>
    </font>
    <font>
      <name val="Calibri"/>
      <family val="2"/>
      <b val="1"/>
      <color theme="1"/>
      <sz val="22"/>
    </font>
    <font>
      <name val="Calibri"/>
      <family val="2"/>
      <b val="1"/>
      <color theme="1"/>
      <sz val="26"/>
    </font>
    <font>
      <name val="Calibri"/>
      <family val="2"/>
      <sz val="12"/>
    </font>
    <font>
      <name val="Book Antiqua"/>
      <family val="1"/>
      <color theme="1"/>
      <sz val="12"/>
    </font>
    <font>
      <name val="Arial Unicode MS"/>
      <family val="2"/>
      <color theme="1"/>
      <sz val="10"/>
    </font>
    <font>
      <name val="Book Antiqua"/>
      <family val="1"/>
      <color rgb="FFFF0000"/>
      <sz val="11"/>
    </font>
    <font>
      <name val="Book Antiqua"/>
      <family val="1"/>
      <b val="1"/>
      <color theme="1"/>
      <sz val="11"/>
    </font>
    <font>
      <name val="Calibri"/>
      <charset val="1"/>
      <family val="2"/>
      <b val="1"/>
      <color indexed="8"/>
      <sz val="11"/>
    </font>
    <font>
      <name val="Calibri"/>
      <charset val="1"/>
      <family val="2"/>
      <color indexed="8"/>
      <sz val="11"/>
    </font>
    <font>
      <name val="Book Antiqua"/>
      <family val="1"/>
      <b val="1"/>
      <color theme="1"/>
      <sz val="16"/>
    </font>
    <font>
      <name val="Book Antiqua"/>
      <family val="1"/>
      <color rgb="FF000000"/>
      <sz val="12"/>
    </font>
    <font>
      <name val="Book Antiqua"/>
      <family val="1"/>
      <color rgb="FFD60C7F"/>
      <sz val="12"/>
    </font>
    <font>
      <name val="Book Antiqua"/>
      <family val="1"/>
      <b val="1"/>
      <color indexed="8"/>
      <sz val="12"/>
    </font>
    <font>
      <name val="Book Antiqua"/>
      <family val="1"/>
      <b val="1"/>
      <color rgb="FFFF0000"/>
      <sz val="16"/>
    </font>
    <font>
      <name val="Google Sans Text"/>
      <color rgb="FF303030"/>
      <sz val="12"/>
    </font>
    <font>
      <name val="Calibri"/>
      <charset val="1"/>
      <family val="2"/>
      <color rgb="FFFF0000"/>
      <sz val="11"/>
    </font>
    <font>
      <name val="Calibri"/>
      <charset val="1"/>
      <family val="2"/>
      <color indexed="8"/>
      <sz val="12"/>
    </font>
    <font>
      <name val="Calibri"/>
      <charset val="1"/>
      <family val="2"/>
      <sz val="12"/>
    </font>
    <font>
      <name val="Lato"/>
      <family val="2"/>
      <b val="1"/>
      <color rgb="FF000000"/>
      <sz val="12"/>
    </font>
    <font>
      <name val="Aptos Narrow"/>
      <family val="2"/>
      <color rgb="FFFF0000"/>
      <sz val="11"/>
      <scheme val="minor"/>
    </font>
    <font>
      <name val="Aptos Narrow"/>
      <family val="2"/>
      <color rgb="FF9C0006"/>
      <sz val="11"/>
      <scheme val="minor"/>
    </font>
    <font>
      <name val="Calibri"/>
      <family val="2"/>
      <b val="1"/>
      <color indexed="8"/>
      <sz val="18"/>
    </font>
    <font>
      <name val="Aptos Narrow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  <vertAlign val="superscript"/>
    </font>
    <font>
      <name val="Calibri"/>
      <family val="2"/>
      <b val="1"/>
      <color theme="1"/>
      <sz val="12"/>
    </font>
    <font>
      <name val="Calibri"/>
      <family val="2"/>
      <b val="1"/>
      <color theme="0"/>
      <sz val="12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color rgb="FF000000"/>
      <sz val="11"/>
    </font>
    <font>
      <name val="Calibri"/>
      <family val="2"/>
      <b val="1"/>
      <color theme="0"/>
      <sz val="20"/>
    </font>
    <font>
      <name val="Calibri"/>
      <family val="2"/>
      <color theme="0"/>
      <sz val="20"/>
    </font>
    <font>
      <name val="Calibri"/>
      <family val="2"/>
      <b val="1"/>
      <color theme="0"/>
      <sz val="14"/>
    </font>
    <font>
      <name val="Calibri"/>
      <family val="2"/>
      <color rgb="FFD60C7F"/>
      <sz val="11"/>
    </font>
    <font>
      <name val="Calibri"/>
      <family val="2"/>
      <b val="1"/>
      <color theme="1"/>
      <sz val="20"/>
    </font>
    <font>
      <name val="Calibri"/>
      <family val="2"/>
      <color rgb="FFFF0000"/>
      <sz val="11"/>
    </font>
    <font>
      <name val="Calibri"/>
      <family val="2"/>
      <color rgb="FF9C0006"/>
      <sz val="11"/>
    </font>
    <font>
      <name val="Calibri"/>
      <family val="2"/>
      <b val="1"/>
      <color theme="1"/>
      <sz val="24"/>
    </font>
    <font>
      <name val="Calibri"/>
      <family val="2"/>
      <color theme="0"/>
      <sz val="11"/>
    </font>
    <font>
      <name val="Calibri"/>
      <family val="2"/>
      <b val="1"/>
      <color theme="0"/>
      <sz val="11"/>
    </font>
    <font>
      <name val="Calibri"/>
      <family val="2"/>
      <color theme="1"/>
      <sz val="22"/>
    </font>
    <font>
      <name val="Calibri"/>
      <family val="2"/>
      <b val="1"/>
      <color rgb="FFFF0000"/>
      <sz val="11"/>
    </font>
    <font>
      <name val="Calibri"/>
      <family val="2"/>
      <b val="1"/>
      <color rgb="FF0000FF"/>
      <sz val="12"/>
      <u val="single"/>
    </font>
    <font>
      <name val="Calibri"/>
      <family val="2"/>
      <color rgb="FFFF0000"/>
      <sz val="12"/>
    </font>
    <font>
      <name val="Calibri"/>
      <sz val="11"/>
    </font>
    <font>
      <name val="Aptos Narrow"/>
      <b val="1"/>
      <sz val="11"/>
    </font>
    <font>
      <name val="Aptos Narrow"/>
      <sz val="11"/>
    </font>
  </fonts>
  <fills count="5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EEFB8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BEFCFE"/>
        <bgColor indexed="64"/>
      </patternFill>
    </fill>
    <fill>
      <patternFill patternType="solid">
        <fgColor rgb="FFFEEFFF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4B5F9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BBD6F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E9F7DB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indexed="11"/>
        <bgColor indexed="35"/>
      </patternFill>
    </fill>
    <fill>
      <patternFill patternType="solid">
        <fgColor indexed="51"/>
        <bgColor indexed="20"/>
      </patternFill>
    </fill>
    <fill>
      <patternFill patternType="solid">
        <fgColor indexed="13"/>
        <bgColor indexed="43"/>
      </patternFill>
    </fill>
    <fill>
      <patternFill patternType="solid">
        <fgColor theme="8" tint="0.7999816888943144"/>
        <bgColor indexed="47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indexed="50"/>
        <bgColor indexed="3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CD7FD"/>
        <bgColor indexed="64"/>
      </patternFill>
    </fill>
    <fill>
      <patternFill patternType="solid">
        <fgColor indexed="47"/>
        <bgColor indexed="61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C7CE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1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0" fontId="22" fillId="0" borderId="0"/>
    <xf numFmtId="0" fontId="34" fillId="53" borderId="0"/>
  </cellStyleXfs>
  <cellXfs count="85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49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7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49" fontId="5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49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49" fontId="5" fillId="6" borderId="9" applyAlignment="1" pivotButton="0" quotePrefix="0" xfId="0">
      <alignment horizontal="center" vertical="center" wrapText="1"/>
    </xf>
    <xf numFmtId="0" fontId="6" fillId="5" borderId="7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5" borderId="7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 wrapText="1"/>
    </xf>
    <xf numFmtId="49" fontId="5" fillId="6" borderId="8" applyAlignment="1" pivotButton="0" quotePrefix="0" xfId="0">
      <alignment horizontal="center" vertical="center" wrapText="1"/>
    </xf>
    <xf numFmtId="49" fontId="5" fillId="6" borderId="2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9" borderId="8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5" borderId="7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7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21" borderId="15" pivotButton="0" quotePrefix="0" xfId="0"/>
    <xf numFmtId="0" fontId="17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0" fillId="8" borderId="30" pivotButton="0" quotePrefix="0" xfId="0"/>
    <xf numFmtId="0" fontId="0" fillId="8" borderId="22" applyAlignment="1" pivotButton="0" quotePrefix="0" xfId="0">
      <alignment horizontal="center" vertical="center" wrapText="1"/>
    </xf>
    <xf numFmtId="0" fontId="0" fillId="8" borderId="23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8" borderId="0" pivotButton="0" quotePrefix="0" xfId="0"/>
    <xf numFmtId="0" fontId="0" fillId="8" borderId="32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/>
    </xf>
    <xf numFmtId="0" fontId="18" fillId="21" borderId="32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vertical="center"/>
    </xf>
    <xf numFmtId="0" fontId="4" fillId="28" borderId="4" applyAlignment="1" pivotButton="0" quotePrefix="0" xfId="0">
      <alignment horizontal="left" vertical="center"/>
    </xf>
    <xf numFmtId="0" fontId="4" fillId="28" borderId="4" applyAlignment="1" pivotButton="0" quotePrefix="0" xfId="0">
      <alignment vertical="center"/>
    </xf>
    <xf numFmtId="0" fontId="4" fillId="28" borderId="0" applyAlignment="1" pivotButton="0" quotePrefix="0" xfId="0">
      <alignment vertical="center"/>
    </xf>
    <xf numFmtId="0" fontId="4" fillId="28" borderId="1" applyAlignment="1" pivotButton="0" quotePrefix="0" xfId="0">
      <alignment horizontal="left" vertical="center"/>
    </xf>
    <xf numFmtId="0" fontId="4" fillId="28" borderId="2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21" fillId="0" borderId="1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21" fillId="0" borderId="43" applyAlignment="1" pivotButton="0" quotePrefix="0" xfId="0">
      <alignment horizontal="center" vertical="center" wrapText="1"/>
    </xf>
    <xf numFmtId="0" fontId="21" fillId="0" borderId="44" applyAlignment="1" pivotButton="0" quotePrefix="0" xfId="0">
      <alignment horizontal="center" vertical="center" wrapText="1"/>
    </xf>
    <xf numFmtId="0" fontId="21" fillId="30" borderId="44" applyAlignment="1" pivotButton="0" quotePrefix="0" xfId="0">
      <alignment horizontal="center" vertical="center" wrapText="1"/>
    </xf>
    <xf numFmtId="0" fontId="0" fillId="0" borderId="46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 wrapText="1"/>
    </xf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32" borderId="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21" fillId="33" borderId="12" applyAlignment="1" pivotButton="0" quotePrefix="0" xfId="0">
      <alignment horizontal="center" vertical="center" wrapText="1"/>
    </xf>
    <xf numFmtId="0" fontId="0" fillId="33" borderId="4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49" fontId="5" fillId="6" borderId="8" applyAlignment="1" pivotButton="0" quotePrefix="0" xfId="0">
      <alignment horizontal="center" vertical="center"/>
    </xf>
    <xf numFmtId="49" fontId="5" fillId="6" borderId="8" applyAlignment="1" pivotButton="0" quotePrefix="0" xfId="0">
      <alignment horizontal="left" vertical="center"/>
    </xf>
    <xf numFmtId="0" fontId="0" fillId="0" borderId="45" applyAlignment="1" pivotButton="0" quotePrefix="0" xfId="0">
      <alignment horizontal="center" vertical="center"/>
    </xf>
    <xf numFmtId="0" fontId="0" fillId="11" borderId="55" applyAlignment="1" pivotButton="0" quotePrefix="0" xfId="0">
      <alignment horizontal="center" vertical="center"/>
    </xf>
    <xf numFmtId="0" fontId="0" fillId="11" borderId="56" applyAlignment="1" pivotButton="0" quotePrefix="0" xfId="0">
      <alignment horizontal="center" vertical="center"/>
    </xf>
    <xf numFmtId="0" fontId="0" fillId="11" borderId="42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34" borderId="0" applyAlignment="1" pivotButton="0" quotePrefix="0" xfId="0">
      <alignment horizontal="center" vertical="center"/>
    </xf>
    <xf numFmtId="0" fontId="0" fillId="35" borderId="49" applyAlignment="1" pivotButton="0" quotePrefix="0" xfId="0">
      <alignment horizontal="center" vertical="center"/>
    </xf>
    <xf numFmtId="0" fontId="0" fillId="35" borderId="0" applyAlignment="1" pivotButton="0" quotePrefix="0" xfId="0">
      <alignment horizontal="center" vertical="center"/>
    </xf>
    <xf numFmtId="0" fontId="0" fillId="35" borderId="50" applyAlignment="1" pivotButton="0" quotePrefix="0" xfId="0">
      <alignment horizontal="center" vertical="center"/>
    </xf>
    <xf numFmtId="0" fontId="0" fillId="0" borderId="57" applyAlignment="1" pivotButton="0" quotePrefix="0" xfId="0">
      <alignment horizontal="center" vertical="center"/>
    </xf>
    <xf numFmtId="0" fontId="0" fillId="11" borderId="46" applyAlignment="1" pivotButton="0" quotePrefix="0" xfId="0">
      <alignment horizontal="center" vertical="center"/>
    </xf>
    <xf numFmtId="0" fontId="0" fillId="11" borderId="47" applyAlignment="1" pivotButton="0" quotePrefix="0" xfId="0">
      <alignment horizontal="center" vertical="center"/>
    </xf>
    <xf numFmtId="0" fontId="0" fillId="11" borderId="48" applyAlignment="1" pivotButton="0" quotePrefix="0" xfId="0">
      <alignment horizontal="center" vertical="center"/>
    </xf>
    <xf numFmtId="0" fontId="0" fillId="11" borderId="49" applyAlignment="1" pivotButton="0" quotePrefix="0" xfId="0">
      <alignment horizontal="center" vertical="center"/>
    </xf>
    <xf numFmtId="0" fontId="0" fillId="11" borderId="50" applyAlignment="1" pivotButton="0" quotePrefix="0" xfId="0">
      <alignment horizontal="center" vertical="center"/>
    </xf>
    <xf numFmtId="0" fontId="0" fillId="11" borderId="57" applyAlignment="1" pivotButton="0" quotePrefix="0" xfId="0">
      <alignment horizontal="center" vertical="center"/>
    </xf>
    <xf numFmtId="0" fontId="0" fillId="11" borderId="51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0" fillId="11" borderId="52" applyAlignment="1" pivotButton="0" quotePrefix="0" xfId="0">
      <alignment horizontal="center" vertical="center"/>
    </xf>
    <xf numFmtId="0" fontId="0" fillId="11" borderId="58" applyAlignment="1" pivotButton="0" quotePrefix="0" xfId="0">
      <alignment horizontal="center" vertical="center"/>
    </xf>
    <xf numFmtId="0" fontId="0" fillId="35" borderId="46" applyAlignment="1" pivotButton="0" quotePrefix="0" xfId="0">
      <alignment horizontal="center" vertical="center"/>
    </xf>
    <xf numFmtId="0" fontId="0" fillId="35" borderId="47" applyAlignment="1" pivotButton="0" quotePrefix="0" xfId="0">
      <alignment horizontal="center" vertical="center"/>
    </xf>
    <xf numFmtId="0" fontId="0" fillId="35" borderId="48" applyAlignment="1" pivotButton="0" quotePrefix="0" xfId="0">
      <alignment horizontal="center" vertical="center"/>
    </xf>
    <xf numFmtId="0" fontId="0" fillId="35" borderId="57" applyAlignment="1" pivotButton="0" quotePrefix="0" xfId="0">
      <alignment horizontal="center" vertical="center"/>
    </xf>
    <xf numFmtId="0" fontId="0" fillId="35" borderId="51" applyAlignment="1" pivotButton="0" quotePrefix="0" xfId="0">
      <alignment horizontal="center" vertical="center"/>
    </xf>
    <xf numFmtId="0" fontId="0" fillId="35" borderId="52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6" applyAlignment="1" pivotButton="0" quotePrefix="0" xfId="0">
      <alignment horizontal="center" vertical="center"/>
    </xf>
    <xf numFmtId="0" fontId="0" fillId="11" borderId="21" applyAlignment="1" pivotButton="0" quotePrefix="0" xfId="0">
      <alignment horizontal="center" vertical="center"/>
    </xf>
    <xf numFmtId="0" fontId="0" fillId="11" borderId="22" applyAlignment="1" pivotButton="0" quotePrefix="0" xfId="0">
      <alignment horizontal="center" vertical="center"/>
    </xf>
    <xf numFmtId="0" fontId="0" fillId="11" borderId="23" applyAlignment="1" pivotButton="0" quotePrefix="0" xfId="0">
      <alignment horizontal="center" vertical="center"/>
    </xf>
    <xf numFmtId="0" fontId="0" fillId="11" borderId="31" applyAlignment="1" pivotButton="0" quotePrefix="0" xfId="0">
      <alignment horizontal="center" vertical="center"/>
    </xf>
    <xf numFmtId="0" fontId="0" fillId="11" borderId="32" applyAlignment="1" pivotButton="0" quotePrefix="0" xfId="0">
      <alignment horizontal="center" vertical="center"/>
    </xf>
    <xf numFmtId="0" fontId="0" fillId="11" borderId="26" applyAlignment="1" pivotButton="0" quotePrefix="0" xfId="0">
      <alignment horizontal="center" vertical="center"/>
    </xf>
    <xf numFmtId="0" fontId="0" fillId="11" borderId="27" applyAlignment="1" pivotButton="0" quotePrefix="0" xfId="0">
      <alignment horizontal="center" vertical="center"/>
    </xf>
    <xf numFmtId="0" fontId="0" fillId="11" borderId="60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  <xf numFmtId="0" fontId="0" fillId="11" borderId="59" applyAlignment="1" pivotButton="0" quotePrefix="0" xfId="0">
      <alignment horizontal="center" vertical="center"/>
    </xf>
    <xf numFmtId="0" fontId="2" fillId="11" borderId="16" applyAlignment="1" pivotButton="0" quotePrefix="0" xfId="0">
      <alignment horizontal="center" vertical="center"/>
    </xf>
    <xf numFmtId="0" fontId="0" fillId="11" borderId="61" applyAlignment="1" pivotButton="0" quotePrefix="0" xfId="0">
      <alignment horizontal="center" vertical="center"/>
    </xf>
    <xf numFmtId="0" fontId="2" fillId="11" borderId="17" applyAlignment="1" pivotButton="0" quotePrefix="0" xfId="0">
      <alignment horizontal="center" vertical="center"/>
    </xf>
    <xf numFmtId="0" fontId="2" fillId="11" borderId="19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 wrapText="1"/>
    </xf>
    <xf numFmtId="0" fontId="24" fillId="9" borderId="1" applyAlignment="1" pivotButton="0" quotePrefix="0" xfId="0">
      <alignment horizontal="center" vertical="center" wrapText="1"/>
    </xf>
    <xf numFmtId="0" fontId="25" fillId="9" borderId="8" applyAlignment="1" pivotButton="0" quotePrefix="0" xfId="0">
      <alignment horizontal="center" vertical="center" wrapText="1"/>
    </xf>
    <xf numFmtId="0" fontId="24" fillId="9" borderId="8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49" fontId="26" fillId="6" borderId="1" applyAlignment="1" pivotButton="0" quotePrefix="0" xfId="0">
      <alignment horizontal="center" vertical="center"/>
    </xf>
    <xf numFmtId="49" fontId="26" fillId="6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vertical="center"/>
    </xf>
    <xf numFmtId="0" fontId="4" fillId="36" borderId="4" applyAlignment="1" pivotButton="0" quotePrefix="0" xfId="0">
      <alignment vertical="center"/>
    </xf>
    <xf numFmtId="0" fontId="0" fillId="0" borderId="21" applyAlignment="1" pivotButton="0" quotePrefix="0" xfId="0">
      <alignment horizontal="center" vertical="center"/>
    </xf>
    <xf numFmtId="0" fontId="0" fillId="17" borderId="51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37" borderId="26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0" fillId="29" borderId="4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0" borderId="4" applyAlignment="1" pivotButton="0" quotePrefix="0" xfId="0">
      <alignment horizontal="center" vertical="center"/>
    </xf>
    <xf numFmtId="0" fontId="0" fillId="36" borderId="54" applyAlignment="1" pivotButton="0" quotePrefix="0" xfId="0">
      <alignment horizontal="center" vertical="center"/>
    </xf>
    <xf numFmtId="0" fontId="0" fillId="0" borderId="65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33" applyAlignment="1" pivotButton="0" quotePrefix="0" xfId="0">
      <alignment horizontal="center" vertical="center"/>
    </xf>
    <xf numFmtId="0" fontId="0" fillId="41" borderId="65" applyAlignment="1" pivotButton="0" quotePrefix="0" xfId="0">
      <alignment horizontal="center" vertical="center"/>
    </xf>
    <xf numFmtId="0" fontId="0" fillId="0" borderId="67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 vertical="center"/>
    </xf>
    <xf numFmtId="0" fontId="0" fillId="0" borderId="70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72" applyAlignment="1" pivotButton="0" quotePrefix="0" xfId="0">
      <alignment horizontal="center" vertical="center"/>
    </xf>
    <xf numFmtId="0" fontId="0" fillId="41" borderId="73" applyAlignment="1" pivotButton="0" quotePrefix="0" xfId="0">
      <alignment horizontal="center" vertical="center"/>
    </xf>
    <xf numFmtId="0" fontId="0" fillId="0" borderId="74" applyAlignment="1" pivotButton="0" quotePrefix="0" xfId="0">
      <alignment horizontal="center" vertical="center"/>
    </xf>
    <xf numFmtId="0" fontId="0" fillId="0" borderId="75" applyAlignment="1" pivotButton="0" quotePrefix="0" xfId="0">
      <alignment horizontal="center" vertical="center"/>
    </xf>
    <xf numFmtId="0" fontId="0" fillId="0" borderId="76" applyAlignment="1" pivotButton="0" quotePrefix="0" xfId="0">
      <alignment horizontal="center" vertical="center"/>
    </xf>
    <xf numFmtId="0" fontId="0" fillId="0" borderId="77" applyAlignment="1" pivotButton="0" quotePrefix="0" xfId="0">
      <alignment horizontal="center" vertical="center"/>
    </xf>
    <xf numFmtId="0" fontId="0" fillId="41" borderId="7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 wrapText="1"/>
    </xf>
    <xf numFmtId="0" fontId="0" fillId="0" borderId="81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74" applyAlignment="1" pivotButton="0" quotePrefix="0" xfId="0">
      <alignment horizontal="center" vertical="center" wrapText="1"/>
    </xf>
    <xf numFmtId="0" fontId="0" fillId="0" borderId="84" applyAlignment="1" pivotButton="0" quotePrefix="0" xfId="0">
      <alignment horizontal="center" vertical="center"/>
    </xf>
    <xf numFmtId="0" fontId="0" fillId="0" borderId="85" applyAlignment="1" pivotButton="0" quotePrefix="0" xfId="0">
      <alignment horizontal="center" vertical="center"/>
    </xf>
    <xf numFmtId="0" fontId="0" fillId="0" borderId="86" applyAlignment="1" pivotButton="0" quotePrefix="0" xfId="0">
      <alignment horizontal="center" vertical="center"/>
    </xf>
    <xf numFmtId="0" fontId="0" fillId="0" borderId="87" applyAlignment="1" pivotButton="0" quotePrefix="0" xfId="0">
      <alignment horizontal="center" vertical="center"/>
    </xf>
    <xf numFmtId="0" fontId="0" fillId="0" borderId="88" applyAlignment="1" pivotButton="0" quotePrefix="0" xfId="0">
      <alignment horizontal="center" vertical="center"/>
    </xf>
    <xf numFmtId="0" fontId="33" fillId="37" borderId="25" applyAlignment="1" pivotButton="0" quotePrefix="0" xfId="0">
      <alignment horizontal="center" vertical="center"/>
    </xf>
    <xf numFmtId="0" fontId="33" fillId="37" borderId="0" applyAlignment="1" pivotButton="0" quotePrefix="0" xfId="0">
      <alignment horizontal="center" vertical="center"/>
    </xf>
    <xf numFmtId="0" fontId="0" fillId="0" borderId="66" applyAlignment="1" pivotButton="0" quotePrefix="0" xfId="0">
      <alignment horizontal="center" vertical="center" wrapText="1"/>
    </xf>
    <xf numFmtId="0" fontId="0" fillId="0" borderId="66" applyAlignment="1" applyProtection="1" pivotButton="0" quotePrefix="0" xfId="0">
      <alignment horizontal="center" vertical="center" wrapText="1"/>
      <protection locked="1" hidden="1"/>
    </xf>
    <xf numFmtId="0" fontId="0" fillId="0" borderId="6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4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17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9" fillId="17" borderId="25" applyAlignment="1" pivotButton="0" quotePrefix="0" xfId="0">
      <alignment horizontal="center" vertical="center"/>
    </xf>
    <xf numFmtId="0" fontId="29" fillId="17" borderId="24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32" fillId="0" borderId="31" applyAlignment="1" pivotButton="0" quotePrefix="0" xfId="0">
      <alignment horizontal="center"/>
    </xf>
    <xf numFmtId="0" fontId="0" fillId="0" borderId="32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/>
    </xf>
    <xf numFmtId="0" fontId="32" fillId="0" borderId="26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32" fillId="0" borderId="89" applyAlignment="1" pivotButton="0" quotePrefix="0" xfId="0">
      <alignment horizontal="center"/>
    </xf>
    <xf numFmtId="0" fontId="0" fillId="0" borderId="9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0" fillId="47" borderId="47" applyAlignment="1" pivotButton="0" quotePrefix="0" xfId="0">
      <alignment horizontal="center" vertical="center"/>
    </xf>
    <xf numFmtId="0" fontId="0" fillId="47" borderId="0" applyAlignment="1" pivotButton="0" quotePrefix="0" xfId="0">
      <alignment horizontal="center" vertical="center"/>
    </xf>
    <xf numFmtId="0" fontId="0" fillId="18" borderId="21" applyAlignment="1" pivotButton="0" quotePrefix="0" xfId="0">
      <alignment horizontal="center" vertical="center"/>
    </xf>
    <xf numFmtId="0" fontId="0" fillId="18" borderId="22" applyAlignment="1" pivotButton="0" quotePrefix="0" xfId="0">
      <alignment horizontal="center" vertical="center"/>
    </xf>
    <xf numFmtId="0" fontId="0" fillId="18" borderId="23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 wrapText="1"/>
    </xf>
    <xf numFmtId="0" fontId="0" fillId="35" borderId="29" applyAlignment="1" pivotButton="0" quotePrefix="0" xfId="0">
      <alignment horizontal="center" vertical="center"/>
    </xf>
    <xf numFmtId="0" fontId="0" fillId="35" borderId="30" applyAlignment="1" pivotButton="0" quotePrefix="0" xfId="0">
      <alignment horizontal="center" vertical="center"/>
    </xf>
    <xf numFmtId="0" fontId="0" fillId="35" borderId="74" applyAlignment="1" pivotButton="0" quotePrefix="0" xfId="0">
      <alignment horizontal="center" vertical="center"/>
    </xf>
    <xf numFmtId="0" fontId="0" fillId="35" borderId="25" applyAlignment="1" pivotButton="0" quotePrefix="0" xfId="0">
      <alignment horizontal="center" vertical="center"/>
    </xf>
    <xf numFmtId="0" fontId="0" fillId="35" borderId="33" applyAlignment="1" pivotButton="0" quotePrefix="0" xfId="0">
      <alignment horizontal="center" vertical="center"/>
    </xf>
    <xf numFmtId="0" fontId="0" fillId="0" borderId="66" applyAlignment="1" pivotButton="0" quotePrefix="0" xfId="0">
      <alignment vertical="center"/>
    </xf>
    <xf numFmtId="0" fontId="0" fillId="0" borderId="9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0" borderId="0" applyAlignment="1" pivotButton="0" quotePrefix="0" xfId="0">
      <alignment horizontal="center" vertical="center"/>
    </xf>
    <xf numFmtId="0" fontId="0" fillId="50" borderId="1" applyAlignment="1" pivotButton="0" quotePrefix="0" xfId="0">
      <alignment horizontal="center" vertical="center"/>
    </xf>
    <xf numFmtId="0" fontId="0" fillId="17" borderId="66" applyAlignment="1" applyProtection="1" pivotButton="0" quotePrefix="0" xfId="0">
      <alignment horizontal="center" vertical="center" wrapText="1"/>
      <protection locked="1" hidden="1"/>
    </xf>
    <xf numFmtId="0" fontId="21" fillId="51" borderId="11" applyAlignment="1" pivotButton="0" quotePrefix="0" xfId="0">
      <alignment horizontal="center" vertical="center" wrapText="1"/>
    </xf>
    <xf numFmtId="0" fontId="21" fillId="51" borderId="12" applyAlignment="1" pivotButton="0" quotePrefix="0" xfId="0">
      <alignment horizontal="center" vertical="center" wrapText="1"/>
    </xf>
    <xf numFmtId="0" fontId="21" fillId="51" borderId="13" applyAlignment="1" pivotButton="0" quotePrefix="0" xfId="0">
      <alignment horizontal="center" vertical="center" wrapText="1"/>
    </xf>
    <xf numFmtId="0" fontId="0" fillId="0" borderId="92" applyAlignment="1" pivotButton="0" quotePrefix="0" xfId="0">
      <alignment horizontal="center" vertical="center" wrapText="1"/>
    </xf>
    <xf numFmtId="0" fontId="0" fillId="0" borderId="93" applyAlignment="1" pivotButton="0" quotePrefix="0" xfId="0">
      <alignment horizontal="center" vertical="center" wrapText="1"/>
    </xf>
    <xf numFmtId="0" fontId="0" fillId="0" borderId="94" applyAlignment="1" pivotButton="0" quotePrefix="0" xfId="0">
      <alignment horizontal="center" vertical="center"/>
    </xf>
    <xf numFmtId="0" fontId="0" fillId="0" borderId="94" applyAlignment="1" pivotButton="0" quotePrefix="0" xfId="0">
      <alignment horizontal="center" vertical="center" wrapText="1"/>
    </xf>
    <xf numFmtId="0" fontId="0" fillId="0" borderId="95" applyAlignment="1" pivotButton="0" quotePrefix="0" xfId="0">
      <alignment horizontal="center" vertical="center" wrapText="1"/>
    </xf>
    <xf numFmtId="0" fontId="0" fillId="0" borderId="96" applyAlignment="1" pivotButton="0" quotePrefix="0" xfId="0">
      <alignment horizontal="center" vertical="center" wrapText="1"/>
    </xf>
    <xf numFmtId="0" fontId="0" fillId="0" borderId="97" applyAlignment="1" pivotButton="0" quotePrefix="0" xfId="0">
      <alignment horizontal="center" vertical="center" wrapText="1"/>
    </xf>
    <xf numFmtId="0" fontId="0" fillId="17" borderId="66" applyAlignment="1" pivotButton="0" quotePrefix="0" xfId="0">
      <alignment horizontal="center" vertical="center" wrapText="1"/>
    </xf>
    <xf numFmtId="0" fontId="0" fillId="0" borderId="98" applyAlignment="1" pivotButton="0" quotePrefix="0" xfId="0">
      <alignment horizontal="center" vertical="center" wrapText="1"/>
    </xf>
    <xf numFmtId="0" fontId="0" fillId="0" borderId="99" applyAlignment="1" pivotButton="0" quotePrefix="0" xfId="0">
      <alignment horizontal="center" vertical="center"/>
    </xf>
    <xf numFmtId="0" fontId="0" fillId="0" borderId="99" applyAlignment="1" pivotButton="0" quotePrefix="0" xfId="0">
      <alignment horizontal="center" vertical="center" wrapText="1"/>
    </xf>
    <xf numFmtId="0" fontId="0" fillId="0" borderId="100" applyAlignment="1" pivotButton="0" quotePrefix="0" xfId="0">
      <alignment horizontal="center" vertical="center" wrapText="1"/>
    </xf>
    <xf numFmtId="0" fontId="10" fillId="2" borderId="4" applyAlignment="1" pivotButton="0" quotePrefix="0" xfId="0">
      <alignment vertical="center"/>
    </xf>
    <xf numFmtId="0" fontId="10" fillId="2" borderId="5" applyAlignment="1" pivotButton="0" quotePrefix="0" xfId="0">
      <alignment vertical="center"/>
    </xf>
    <xf numFmtId="0" fontId="10" fillId="2" borderId="6" applyAlignment="1" pivotButton="0" quotePrefix="0" xfId="0">
      <alignment vertical="center"/>
    </xf>
    <xf numFmtId="0" fontId="0" fillId="0" borderId="101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36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7" fillId="0" borderId="47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9" fontId="6" fillId="0" borderId="1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 wrapText="1"/>
    </xf>
    <xf numFmtId="0" fontId="41" fillId="5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8" borderId="1" applyAlignment="1" pivotButton="0" quotePrefix="0" xfId="0">
      <alignment horizontal="center"/>
    </xf>
    <xf numFmtId="0" fontId="40" fillId="18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8" borderId="17" pivotButton="0" quotePrefix="0" xfId="0"/>
    <xf numFmtId="0" fontId="6" fillId="8" borderId="18" applyAlignment="1" pivotButton="0" quotePrefix="0" xfId="0">
      <alignment horizontal="center" vertical="center"/>
    </xf>
    <xf numFmtId="0" fontId="6" fillId="8" borderId="19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wrapText="1"/>
    </xf>
    <xf numFmtId="0" fontId="6" fillId="19" borderId="18" applyAlignment="1" pivotButton="0" quotePrefix="0" xfId="0">
      <alignment horizontal="center" vertical="center"/>
    </xf>
    <xf numFmtId="0" fontId="6" fillId="19" borderId="19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2" applyAlignment="1" pivotButton="0" quotePrefix="0" xfId="0">
      <alignment horizontal="center" vertical="center"/>
    </xf>
    <xf numFmtId="0" fontId="6" fillId="8" borderId="22" applyAlignment="1" pivotButton="0" quotePrefix="0" xfId="0">
      <alignment horizontal="center" vertical="center"/>
    </xf>
    <xf numFmtId="0" fontId="6" fillId="19" borderId="22" applyAlignment="1" pivotButton="0" quotePrefix="0" xfId="0">
      <alignment horizontal="center" vertical="center"/>
    </xf>
    <xf numFmtId="0" fontId="6" fillId="19" borderId="23" applyAlignment="1" pivotButton="0" quotePrefix="0" xfId="0">
      <alignment horizontal="center" vertical="center"/>
    </xf>
    <xf numFmtId="0" fontId="6" fillId="8" borderId="27" applyAlignment="1" pivotButton="0" quotePrefix="0" xfId="0">
      <alignment horizontal="center" vertical="center"/>
    </xf>
    <xf numFmtId="0" fontId="6" fillId="19" borderId="27" applyAlignment="1" pivotButton="0" quotePrefix="0" xfId="0">
      <alignment horizontal="center" vertical="center"/>
    </xf>
    <xf numFmtId="0" fontId="6" fillId="19" borderId="28" applyAlignment="1" pivotButton="0" quotePrefix="0" xfId="0">
      <alignment horizontal="center" vertical="center"/>
    </xf>
    <xf numFmtId="0" fontId="6" fillId="0" borderId="2" applyAlignment="1" pivotButton="0" quotePrefix="0" xfId="0">
      <alignment wrapText="1"/>
    </xf>
    <xf numFmtId="0" fontId="6" fillId="18" borderId="21" applyAlignment="1" pivotButton="0" quotePrefix="0" xfId="0">
      <alignment horizontal="center" vertical="center"/>
    </xf>
    <xf numFmtId="0" fontId="6" fillId="18" borderId="22" applyAlignment="1" pivotButton="0" quotePrefix="0" xfId="0">
      <alignment horizontal="center" vertical="center"/>
    </xf>
    <xf numFmtId="0" fontId="6" fillId="18" borderId="23" applyAlignment="1" pivotButton="0" quotePrefix="0" xfId="0">
      <alignment horizontal="center" vertical="center"/>
    </xf>
    <xf numFmtId="0" fontId="6" fillId="19" borderId="26" applyAlignment="1" pivotButton="0" quotePrefix="0" xfId="0">
      <alignment horizontal="center" vertical="center"/>
    </xf>
    <xf numFmtId="0" fontId="6" fillId="8" borderId="1" applyAlignment="1" pivotButton="0" quotePrefix="0" xfId="0">
      <alignment vertical="center"/>
    </xf>
    <xf numFmtId="0" fontId="6" fillId="19" borderId="1" applyAlignment="1" pivotButton="0" quotePrefix="0" xfId="0">
      <alignment vertical="center"/>
    </xf>
    <xf numFmtId="0" fontId="2" fillId="18" borderId="21" applyAlignment="1" pivotButton="0" quotePrefix="0" xfId="0">
      <alignment horizontal="center"/>
    </xf>
    <xf numFmtId="0" fontId="2" fillId="18" borderId="22" applyAlignment="1" pivotButton="0" quotePrefix="0" xfId="0">
      <alignment horizontal="center"/>
    </xf>
    <xf numFmtId="0" fontId="0" fillId="18" borderId="26" applyAlignment="1" pivotButton="0" quotePrefix="0" xfId="0">
      <alignment horizontal="center"/>
    </xf>
    <xf numFmtId="0" fontId="0" fillId="18" borderId="61" pivotButton="0" quotePrefix="0" xfId="0"/>
    <xf numFmtId="0" fontId="0" fillId="18" borderId="27" applyAlignment="1" pivotButton="0" quotePrefix="0" xfId="0">
      <alignment horizontal="center"/>
    </xf>
    <xf numFmtId="0" fontId="2" fillId="18" borderId="27" applyAlignment="1" pivotButton="0" quotePrefix="0" xfId="0">
      <alignment horizontal="center"/>
    </xf>
    <xf numFmtId="0" fontId="2" fillId="18" borderId="28" applyAlignment="1" pivotButton="0" quotePrefix="0" xfId="0">
      <alignment horizontal="center"/>
    </xf>
    <xf numFmtId="0" fontId="0" fillId="0" borderId="103" applyAlignment="1" pivotButton="0" quotePrefix="0" xfId="0">
      <alignment horizontal="center"/>
    </xf>
    <xf numFmtId="0" fontId="0" fillId="0" borderId="89" applyAlignment="1" pivotButton="0" quotePrefix="0" xfId="0">
      <alignment horizontal="center"/>
    </xf>
    <xf numFmtId="0" fontId="0" fillId="0" borderId="90" applyAlignment="1" pivotButton="0" quotePrefix="0" xfId="0">
      <alignment horizontal="center"/>
    </xf>
    <xf numFmtId="0" fontId="0" fillId="0" borderId="104" pivotButton="0" quotePrefix="0" xfId="0"/>
    <xf numFmtId="0" fontId="0" fillId="0" borderId="31" applyAlignment="1" pivotButton="0" quotePrefix="0" xfId="0">
      <alignment horizontal="center"/>
    </xf>
    <xf numFmtId="0" fontId="0" fillId="0" borderId="6" pivotButton="0" quotePrefix="0" xfId="0"/>
    <xf numFmtId="0" fontId="0" fillId="0" borderId="26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105" applyAlignment="1" pivotButton="0" quotePrefix="0" xfId="0">
      <alignment horizontal="center"/>
    </xf>
    <xf numFmtId="0" fontId="0" fillId="0" borderId="106" pivotButton="0" quotePrefix="0" xfId="0"/>
    <xf numFmtId="0" fontId="0" fillId="0" borderId="31" pivotButton="0" quotePrefix="0" xfId="0"/>
    <xf numFmtId="0" fontId="0" fillId="0" borderId="26" pivotButton="0" quotePrefix="0" xfId="0"/>
    <xf numFmtId="0" fontId="0" fillId="0" borderId="1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07" pivotButton="0" quotePrefix="0" xfId="0"/>
    <xf numFmtId="0" fontId="0" fillId="0" borderId="60" applyAlignment="1" pivotButton="0" quotePrefix="0" xfId="0">
      <alignment horizontal="center"/>
    </xf>
    <xf numFmtId="0" fontId="37" fillId="0" borderId="0" applyAlignment="1" pivotButton="0" quotePrefix="0" xfId="0">
      <alignment horizontal="left" vertical="center"/>
    </xf>
    <xf numFmtId="0" fontId="37" fillId="0" borderId="84" applyAlignment="1" pivotButton="0" quotePrefix="0" xfId="0">
      <alignment horizontal="center" vertical="center"/>
    </xf>
    <xf numFmtId="0" fontId="37" fillId="0" borderId="85" applyAlignment="1" pivotButton="0" quotePrefix="0" xfId="0">
      <alignment horizontal="center" vertical="center"/>
    </xf>
    <xf numFmtId="0" fontId="37" fillId="0" borderId="25" applyAlignment="1" pivotButton="0" quotePrefix="0" xfId="0">
      <alignment horizontal="center" vertical="center"/>
    </xf>
    <xf numFmtId="0" fontId="37" fillId="0" borderId="33" applyAlignment="1" pivotButton="0" quotePrefix="0" xfId="0">
      <alignment horizontal="center" vertical="center"/>
    </xf>
    <xf numFmtId="0" fontId="37" fillId="0" borderId="24" applyAlignment="1" pivotButton="0" quotePrefix="0" xfId="0">
      <alignment horizontal="center" vertical="center"/>
    </xf>
    <xf numFmtId="0" fontId="37" fillId="0" borderId="67" applyAlignment="1" pivotButton="0" quotePrefix="0" xfId="0">
      <alignment horizontal="center" vertical="center"/>
    </xf>
    <xf numFmtId="0" fontId="37" fillId="0" borderId="68" applyAlignment="1" pivotButton="0" quotePrefix="0" xfId="0">
      <alignment horizontal="center" vertical="center"/>
    </xf>
    <xf numFmtId="9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right" vertical="center" wrapText="1"/>
    </xf>
    <xf numFmtId="0" fontId="38" fillId="0" borderId="0" applyAlignment="1" pivotButton="0" quotePrefix="0" xfId="0">
      <alignment vertical="center" wrapText="1"/>
    </xf>
    <xf numFmtId="0" fontId="37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4" fillId="19" borderId="26" applyAlignment="1" pivotButton="0" quotePrefix="0" xfId="0">
      <alignment horizontal="center" vertical="center"/>
    </xf>
    <xf numFmtId="0" fontId="4" fillId="19" borderId="27" applyAlignment="1" pivotButton="0" quotePrefix="0" xfId="0">
      <alignment horizontal="center" vertical="center"/>
    </xf>
    <xf numFmtId="0" fontId="0" fillId="0" borderId="79" applyAlignment="1" pivotButton="0" quotePrefix="0" xfId="0">
      <alignment horizontal="center" vertical="center"/>
    </xf>
    <xf numFmtId="0" fontId="19" fillId="37" borderId="33" applyAlignment="1" pivotButton="0" quotePrefix="0" xfId="0">
      <alignment vertical="center"/>
    </xf>
    <xf numFmtId="0" fontId="4" fillId="11" borderId="1" applyAlignment="1" pivotButton="0" quotePrefix="0" xfId="0">
      <alignment horizontal="center" vertical="center"/>
    </xf>
    <xf numFmtId="0" fontId="19" fillId="37" borderId="25" applyAlignment="1" pivotButton="0" quotePrefix="0" xfId="0">
      <alignment vertical="center"/>
    </xf>
    <xf numFmtId="0" fontId="19" fillId="37" borderId="0" applyAlignment="1" pivotButton="0" quotePrefix="0" xfId="0">
      <alignment vertical="center"/>
    </xf>
    <xf numFmtId="0" fontId="19" fillId="37" borderId="24" applyAlignment="1" pivotButton="0" quotePrefix="0" xfId="0">
      <alignment vertical="center"/>
    </xf>
    <xf numFmtId="0" fontId="19" fillId="37" borderId="67" applyAlignment="1" pivotButton="0" quotePrefix="0" xfId="0">
      <alignment vertical="center"/>
    </xf>
    <xf numFmtId="0" fontId="19" fillId="37" borderId="68" applyAlignment="1" pivotButton="0" quotePrefix="0" xfId="0">
      <alignment vertical="center"/>
    </xf>
    <xf numFmtId="0" fontId="4" fillId="1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vertical="center"/>
    </xf>
    <xf numFmtId="0" fontId="19" fillId="3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vertical="center"/>
    </xf>
    <xf numFmtId="0" fontId="4" fillId="11" borderId="1" applyAlignment="1" pivotButton="0" quotePrefix="0" xfId="0">
      <alignment vertical="center" wrapText="1"/>
    </xf>
    <xf numFmtId="0" fontId="4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vertical="center"/>
    </xf>
    <xf numFmtId="0" fontId="4" fillId="29" borderId="1" applyAlignment="1" pivotButton="0" quotePrefix="0" xfId="0">
      <alignment vertical="center" wrapText="1"/>
    </xf>
    <xf numFmtId="0" fontId="17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 wrapText="1"/>
    </xf>
    <xf numFmtId="0" fontId="0" fillId="52" borderId="66" applyAlignment="1" pivotButton="0" quotePrefix="0" xfId="0">
      <alignment horizontal="center" vertical="center"/>
    </xf>
    <xf numFmtId="0" fontId="0" fillId="40" borderId="66" applyAlignment="1" pivotButton="0" quotePrefix="0" xfId="0">
      <alignment horizontal="center" vertical="center"/>
    </xf>
    <xf numFmtId="0" fontId="0" fillId="17" borderId="66" applyAlignment="1" pivotButton="0" quotePrefix="0" xfId="0">
      <alignment horizontal="center" vertical="center"/>
    </xf>
    <xf numFmtId="0" fontId="0" fillId="49" borderId="0" applyAlignment="1" pivotButton="0" quotePrefix="0" xfId="0">
      <alignment horizontal="center" vertical="center"/>
    </xf>
    <xf numFmtId="0" fontId="0" fillId="49" borderId="1" applyAlignment="1" pivotButton="0" quotePrefix="0" xfId="0">
      <alignment horizontal="center" vertical="center"/>
    </xf>
    <xf numFmtId="0" fontId="0" fillId="0" borderId="91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/>
    </xf>
    <xf numFmtId="0" fontId="0" fillId="40" borderId="91" applyAlignment="1" pivotButton="0" quotePrefix="0" xfId="0">
      <alignment horizontal="center" vertical="center"/>
    </xf>
    <xf numFmtId="0" fontId="0" fillId="52" borderId="101" applyAlignment="1" pivotButton="0" quotePrefix="0" xfId="0">
      <alignment horizontal="center" vertical="center"/>
    </xf>
    <xf numFmtId="0" fontId="0" fillId="52" borderId="102" applyAlignment="1" pivotButton="0" quotePrefix="0" xfId="0">
      <alignment horizontal="center" vertical="center"/>
    </xf>
    <xf numFmtId="0" fontId="17" fillId="52" borderId="4" applyAlignment="1" pivotButton="0" quotePrefix="0" xfId="0">
      <alignment horizontal="center" vertical="center"/>
    </xf>
    <xf numFmtId="0" fontId="17" fillId="17" borderId="0" applyAlignment="1" pivotButton="0" quotePrefix="0" xfId="0">
      <alignment horizontal="center" vertical="center"/>
    </xf>
    <xf numFmtId="0" fontId="17" fillId="17" borderId="0" applyAlignment="1" pivotButton="0" quotePrefix="0" xfId="0">
      <alignment horizontal="center" vertical="center" wrapText="1"/>
    </xf>
    <xf numFmtId="0" fontId="0" fillId="50" borderId="0" applyAlignment="1" pivotButton="0" quotePrefix="0" xfId="0">
      <alignment vertical="center"/>
    </xf>
    <xf numFmtId="0" fontId="19" fillId="11" borderId="1" applyAlignment="1" pivotButton="0" quotePrefix="0" xfId="0">
      <alignment vertical="center"/>
    </xf>
    <xf numFmtId="0" fontId="19" fillId="36" borderId="1" applyAlignment="1" pivotButton="0" quotePrefix="0" xfId="0">
      <alignment vertical="center"/>
    </xf>
    <xf numFmtId="0" fontId="19" fillId="11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vertical="center"/>
    </xf>
    <xf numFmtId="49" fontId="35" fillId="8" borderId="4" applyAlignment="1" pivotButton="0" quotePrefix="0" xfId="0">
      <alignment vertical="center"/>
    </xf>
    <xf numFmtId="49" fontId="35" fillId="8" borderId="5" applyAlignment="1" pivotButton="0" quotePrefix="0" xfId="0">
      <alignment vertical="center"/>
    </xf>
    <xf numFmtId="49" fontId="35" fillId="8" borderId="6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49" fontId="35" fillId="8" borderId="5" applyAlignment="1" pivotButton="0" quotePrefix="0" xfId="0">
      <alignment horizontal="center" vertical="center"/>
    </xf>
    <xf numFmtId="0" fontId="11" fillId="7" borderId="7" applyAlignment="1" pivotButton="0" quotePrefix="0" xfId="0">
      <alignment horizontal="left" vertical="center" wrapText="1"/>
    </xf>
    <xf numFmtId="0" fontId="11" fillId="7" borderId="27" applyAlignment="1" pivotButton="0" quotePrefix="0" xfId="0">
      <alignment horizontal="left" vertical="center" wrapText="1"/>
    </xf>
    <xf numFmtId="0" fontId="11" fillId="7" borderId="22" applyAlignment="1" pivotButton="0" quotePrefix="0" xfId="0">
      <alignment horizontal="left" vertical="center" wrapText="1"/>
    </xf>
    <xf numFmtId="0" fontId="4" fillId="7" borderId="27" applyAlignment="1" pivotButton="0" quotePrefix="0" xfId="0">
      <alignment horizontal="left" vertical="center"/>
    </xf>
    <xf numFmtId="0" fontId="37" fillId="11" borderId="1" applyAlignment="1" pivotButton="0" quotePrefix="0" xfId="0">
      <alignment vertical="center"/>
    </xf>
    <xf numFmtId="0" fontId="37" fillId="28" borderId="1" applyAlignment="1" pivotButton="0" quotePrefix="0" xfId="0">
      <alignment vertical="center"/>
    </xf>
    <xf numFmtId="0" fontId="46" fillId="7" borderId="1" applyAlignment="1" pivotButton="0" quotePrefix="0" xfId="0">
      <alignment horizontal="left" vertical="center" wrapText="1"/>
    </xf>
    <xf numFmtId="0" fontId="46" fillId="7" borderId="7" applyAlignment="1" pivotButton="0" quotePrefix="0" xfId="0">
      <alignment horizontal="left" vertical="center" wrapText="1"/>
    </xf>
    <xf numFmtId="0" fontId="37" fillId="0" borderId="29" applyAlignment="1" pivotButton="0" quotePrefix="0" xfId="0">
      <alignment vertical="center"/>
    </xf>
    <xf numFmtId="0" fontId="37" fillId="0" borderId="30" applyAlignment="1" pivotButton="0" quotePrefix="0" xfId="0">
      <alignment vertical="center"/>
    </xf>
    <xf numFmtId="0" fontId="37" fillId="0" borderId="74" applyAlignment="1" pivotButton="0" quotePrefix="0" xfId="0">
      <alignment horizontal="center" vertical="center"/>
    </xf>
    <xf numFmtId="0" fontId="37" fillId="0" borderId="25" applyAlignment="1" pivotButton="0" quotePrefix="0" xfId="0">
      <alignment vertical="center"/>
    </xf>
    <xf numFmtId="0" fontId="37" fillId="0" borderId="24" applyAlignment="1" pivotButton="0" quotePrefix="0" xfId="0">
      <alignment vertical="center"/>
    </xf>
    <xf numFmtId="0" fontId="37" fillId="0" borderId="67" applyAlignment="1" pivotButton="0" quotePrefix="0" xfId="0">
      <alignment vertical="center"/>
    </xf>
    <xf numFmtId="0" fontId="46" fillId="7" borderId="0" applyAlignment="1" pivotButton="0" quotePrefix="0" xfId="0">
      <alignment horizontal="left" vertical="center" wrapText="1"/>
    </xf>
    <xf numFmtId="0" fontId="46" fillId="7" borderId="30" applyAlignment="1" pivotButton="0" quotePrefix="0" xfId="0">
      <alignment horizontal="left" vertical="center" wrapText="1"/>
    </xf>
    <xf numFmtId="0" fontId="4" fillId="7" borderId="7" applyAlignment="1" pivotButton="0" quotePrefix="0" xfId="0">
      <alignment horizontal="left" vertical="center"/>
    </xf>
    <xf numFmtId="0" fontId="4" fillId="7" borderId="22" applyAlignment="1" pivotButton="0" quotePrefix="0" xfId="0">
      <alignment horizontal="left" vertical="center"/>
    </xf>
    <xf numFmtId="0" fontId="37" fillId="7" borderId="22" applyAlignment="1" pivotButton="0" quotePrefix="0" xfId="0">
      <alignment horizontal="left" vertical="center"/>
    </xf>
    <xf numFmtId="0" fontId="37" fillId="7" borderId="1" applyAlignment="1" pivotButton="0" quotePrefix="0" xfId="0">
      <alignment horizontal="left" vertical="center"/>
    </xf>
    <xf numFmtId="0" fontId="37" fillId="7" borderId="27" applyAlignment="1" pivotButton="0" quotePrefix="0" xfId="0">
      <alignment horizontal="left" vertical="center"/>
    </xf>
    <xf numFmtId="0" fontId="46" fillId="7" borderId="22" applyAlignment="1" pivotButton="0" quotePrefix="0" xfId="0">
      <alignment horizontal="left" vertical="center" wrapText="1"/>
    </xf>
    <xf numFmtId="0" fontId="46" fillId="7" borderId="2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8" borderId="111" applyAlignment="1" pivotButton="0" quotePrefix="0" xfId="0">
      <alignment horizontal="center" vertical="center" wrapText="1"/>
    </xf>
    <xf numFmtId="0" fontId="18" fillId="21" borderId="4" applyAlignment="1" pivotButton="0" quotePrefix="0" xfId="0">
      <alignment horizontal="center" vertical="center" wrapText="1"/>
    </xf>
    <xf numFmtId="0" fontId="0" fillId="52" borderId="1" applyAlignment="1" pivotButton="0" quotePrefix="0" xfId="0">
      <alignment horizontal="center" vertical="center" wrapText="1"/>
    </xf>
    <xf numFmtId="0" fontId="0" fillId="52" borderId="27" applyAlignment="1" pivotButton="0" quotePrefix="0" xfId="0">
      <alignment horizontal="center" vertical="center" wrapText="1"/>
    </xf>
    <xf numFmtId="0" fontId="0" fillId="52" borderId="1" pivotButton="0" quotePrefix="0" xfId="0"/>
    <xf numFmtId="0" fontId="0" fillId="52" borderId="1" applyAlignment="1" pivotButton="0" quotePrefix="0" xfId="0">
      <alignment horizontal="center"/>
    </xf>
    <xf numFmtId="0" fontId="33" fillId="0" borderId="1" applyAlignment="1" pivotButton="0" quotePrefix="0" xfId="0">
      <alignment horizontal="center" vertical="center" wrapText="1"/>
    </xf>
    <xf numFmtId="0" fontId="0" fillId="52" borderId="32" applyAlignment="1" pivotButton="0" quotePrefix="0" xfId="0">
      <alignment horizontal="center" vertical="center" wrapText="1"/>
    </xf>
    <xf numFmtId="0" fontId="0" fillId="52" borderId="28" applyAlignment="1" pivotButton="0" quotePrefix="0" xfId="0">
      <alignment horizontal="center" vertical="center" wrapText="1"/>
    </xf>
    <xf numFmtId="0" fontId="33" fillId="0" borderId="27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/>
    </xf>
    <xf numFmtId="49" fontId="5" fillId="6" borderId="6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2" fontId="37" fillId="0" borderId="0" applyAlignment="1" pivotButton="0" quotePrefix="0" xfId="0">
      <alignment horizontal="center" vertical="center"/>
    </xf>
    <xf numFmtId="164" fontId="37" fillId="0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 indent="1"/>
    </xf>
    <xf numFmtId="0" fontId="37" fillId="0" borderId="1" applyAlignment="1" pivotButton="0" quotePrefix="0" xfId="0">
      <alignment horizontal="center" vertical="center" wrapText="1"/>
    </xf>
    <xf numFmtId="0" fontId="37" fillId="17" borderId="1" applyAlignment="1" pivotButton="0" quotePrefix="0" xfId="0">
      <alignment horizontal="center" vertical="center"/>
    </xf>
    <xf numFmtId="0" fontId="37" fillId="17" borderId="1" applyAlignment="1" pivotButton="0" quotePrefix="0" xfId="0">
      <alignment horizontal="left" vertical="center" indent="1"/>
    </xf>
    <xf numFmtId="0" fontId="37" fillId="17" borderId="1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center" vertical="center" wrapText="1"/>
    </xf>
    <xf numFmtId="0" fontId="40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8" fillId="48" borderId="14" applyAlignment="1" pivotButton="0" quotePrefix="0" xfId="0">
      <alignment horizontal="center" vertical="center"/>
    </xf>
    <xf numFmtId="0" fontId="48" fillId="48" borderId="15" applyAlignment="1" pivotButton="0" quotePrefix="0" xfId="0">
      <alignment horizontal="center" vertical="center"/>
    </xf>
    <xf numFmtId="0" fontId="48" fillId="48" borderId="16" applyAlignment="1" pivotButton="0" quotePrefix="0" xfId="0">
      <alignment horizontal="center" vertical="center"/>
    </xf>
    <xf numFmtId="0" fontId="38" fillId="6" borderId="1" applyAlignment="1" pivotButton="0" quotePrefix="0" xfId="0">
      <alignment horizontal="center" vertical="center"/>
    </xf>
    <xf numFmtId="0" fontId="40" fillId="6" borderId="1" applyAlignment="1" pivotButton="0" quotePrefix="0" xfId="0">
      <alignment horizontal="left" vertical="center"/>
    </xf>
    <xf numFmtId="0" fontId="40" fillId="6" borderId="2" applyAlignment="1" pivotButton="0" quotePrefix="0" xfId="0">
      <alignment horizontal="center" vertical="center"/>
    </xf>
    <xf numFmtId="0" fontId="38" fillId="6" borderId="2" applyAlignment="1" pivotButton="0" quotePrefix="0" xfId="0">
      <alignment horizontal="center" vertical="center"/>
    </xf>
    <xf numFmtId="0" fontId="37" fillId="2" borderId="1" applyAlignment="1" pivotButton="0" quotePrefix="0" xfId="0">
      <alignment horizontal="center" vertical="center"/>
    </xf>
    <xf numFmtId="0" fontId="37" fillId="2" borderId="1" applyAlignment="1" pivotButton="0" quotePrefix="0" xfId="0">
      <alignment horizontal="left" vertical="center"/>
    </xf>
    <xf numFmtId="0" fontId="50" fillId="0" borderId="1" applyAlignment="1" pivotButton="0" quotePrefix="0" xfId="0">
      <alignment horizontal="center" vertical="center"/>
    </xf>
    <xf numFmtId="0" fontId="37" fillId="13" borderId="1" applyAlignment="1" pivotButton="0" quotePrefix="0" xfId="0">
      <alignment horizontal="center" vertical="center"/>
    </xf>
    <xf numFmtId="0" fontId="37" fillId="13" borderId="1" applyAlignment="1" pivotButton="0" quotePrefix="0" xfId="0">
      <alignment horizontal="center" vertical="center" wrapText="1"/>
    </xf>
    <xf numFmtId="0" fontId="37" fillId="40" borderId="1" applyAlignment="1" pivotButton="0" quotePrefix="0" xfId="0">
      <alignment horizontal="center" vertical="center"/>
    </xf>
    <xf numFmtId="0" fontId="37" fillId="0" borderId="1" applyAlignment="1" pivotButton="0" quotePrefix="0" xfId="0">
      <alignment vertical="center"/>
    </xf>
    <xf numFmtId="0" fontId="37" fillId="1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center"/>
    </xf>
    <xf numFmtId="0" fontId="37" fillId="0" borderId="66" applyAlignment="1" pivotButton="0" quotePrefix="0" xfId="0">
      <alignment horizontal="center" vertical="center" wrapText="1"/>
    </xf>
    <xf numFmtId="165" fontId="37" fillId="40" borderId="1" applyAlignment="1" pivotButton="0" quotePrefix="0" xfId="0">
      <alignment horizontal="center" vertical="center"/>
    </xf>
    <xf numFmtId="0" fontId="37" fillId="13" borderId="1" applyAlignment="1" pivotButton="0" quotePrefix="0" xfId="0">
      <alignment horizontal="left" vertical="center"/>
    </xf>
    <xf numFmtId="0" fontId="37" fillId="0" borderId="66" applyAlignment="1" pivotButton="0" quotePrefix="0" xfId="0">
      <alignment horizontal="center" vertical="center"/>
    </xf>
    <xf numFmtId="0" fontId="37" fillId="2" borderId="2" applyAlignment="1" pivotButton="0" quotePrefix="0" xfId="0">
      <alignment horizontal="center" vertical="center"/>
    </xf>
    <xf numFmtId="0" fontId="37" fillId="2" borderId="2" applyAlignment="1" pivotButton="0" quotePrefix="0" xfId="0">
      <alignment horizontal="left" vertical="center"/>
    </xf>
    <xf numFmtId="0" fontId="37" fillId="54" borderId="66" applyAlignment="1" pivotButton="0" quotePrefix="0" xfId="0">
      <alignment horizontal="center" vertical="center" wrapText="1"/>
    </xf>
    <xf numFmtId="0" fontId="37" fillId="2" borderId="1" applyAlignment="1" pivotButton="0" quotePrefix="0" xfId="0">
      <alignment horizontal="left" vertical="center" wrapText="1"/>
    </xf>
    <xf numFmtId="0" fontId="37" fillId="56" borderId="1" applyAlignment="1" pivotButton="0" quotePrefix="0" xfId="0">
      <alignment horizontal="center" vertical="center"/>
    </xf>
    <xf numFmtId="0" fontId="37" fillId="2" borderId="1" applyAlignment="1" pivotButton="0" quotePrefix="0" xfId="0">
      <alignment horizontal="center" vertical="center" wrapText="1"/>
    </xf>
    <xf numFmtId="0" fontId="37" fillId="39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37" fillId="54" borderId="1" applyAlignment="1" pivotButton="0" quotePrefix="0" xfId="0">
      <alignment horizontal="center" vertical="center"/>
    </xf>
    <xf numFmtId="0" fontId="37" fillId="40" borderId="0" applyAlignment="1" pivotButton="0" quotePrefix="0" xfId="0">
      <alignment vertical="center"/>
    </xf>
    <xf numFmtId="0" fontId="37" fillId="0" borderId="7" applyAlignment="1" pivotButton="0" quotePrefix="0" xfId="0">
      <alignment horizontal="center" vertical="center"/>
    </xf>
    <xf numFmtId="0" fontId="37" fillId="40" borderId="7" applyAlignment="1" pivotButton="0" quotePrefix="0" xfId="0">
      <alignment horizontal="center" vertical="center"/>
    </xf>
    <xf numFmtId="0" fontId="37" fillId="0" borderId="7" applyAlignment="1" pivotButton="0" quotePrefix="0" xfId="0">
      <alignment vertical="center"/>
    </xf>
    <xf numFmtId="0" fontId="37" fillId="43" borderId="1" applyAlignment="1" pivotButton="0" quotePrefix="0" xfId="0">
      <alignment vertical="center"/>
    </xf>
    <xf numFmtId="0" fontId="37" fillId="0" borderId="1" applyAlignment="1" pivotButton="0" quotePrefix="0" xfId="0">
      <alignment horizontal="left" vertical="center"/>
    </xf>
    <xf numFmtId="0" fontId="37" fillId="7" borderId="1" applyAlignment="1" pivotButton="0" quotePrefix="0" xfId="0">
      <alignment vertical="center"/>
    </xf>
    <xf numFmtId="0" fontId="37" fillId="0" borderId="7" applyAlignment="1" pivotButton="0" quotePrefix="0" xfId="0">
      <alignment horizontal="left" vertical="center"/>
    </xf>
    <xf numFmtId="0" fontId="37" fillId="7" borderId="7" applyAlignment="1" pivotButton="0" quotePrefix="0" xfId="0">
      <alignment horizontal="left" vertical="center"/>
    </xf>
    <xf numFmtId="0" fontId="50" fillId="0" borderId="7" applyAlignment="1" pivotButton="0" quotePrefix="0" xfId="0">
      <alignment horizontal="center" vertical="center"/>
    </xf>
    <xf numFmtId="0" fontId="37" fillId="0" borderId="21" applyAlignment="1" pivotButton="0" quotePrefix="0" xfId="0">
      <alignment horizontal="left" vertical="center"/>
    </xf>
    <xf numFmtId="0" fontId="37" fillId="0" borderId="111" applyAlignment="1" pivotButton="0" quotePrefix="0" xfId="0">
      <alignment horizontal="center" vertical="center"/>
    </xf>
    <xf numFmtId="0" fontId="38" fillId="7" borderId="69" applyAlignment="1" pivotButton="0" quotePrefix="0" xfId="0">
      <alignment horizontal="center" vertical="center"/>
    </xf>
    <xf numFmtId="0" fontId="50" fillId="0" borderId="112" applyAlignment="1" pivotButton="0" quotePrefix="0" xfId="0">
      <alignment horizontal="center" vertical="center"/>
    </xf>
    <xf numFmtId="0" fontId="37" fillId="0" borderId="22" applyAlignment="1" pivotButton="0" quotePrefix="0" xfId="0">
      <alignment horizontal="center" vertical="center"/>
    </xf>
    <xf numFmtId="0" fontId="37" fillId="0" borderId="22" applyAlignment="1" pivotButton="0" quotePrefix="0" xfId="0">
      <alignment horizontal="left" vertical="center"/>
    </xf>
    <xf numFmtId="0" fontId="50" fillId="0" borderId="22" applyAlignment="1" pivotButton="0" quotePrefix="0" xfId="0">
      <alignment horizontal="center" vertical="center"/>
    </xf>
    <xf numFmtId="0" fontId="37" fillId="0" borderId="23" applyAlignment="1" pivotButton="0" quotePrefix="0" xfId="0">
      <alignment horizontal="center" vertical="center"/>
    </xf>
    <xf numFmtId="0" fontId="37" fillId="0" borderId="31" applyAlignment="1" pivotButton="0" quotePrefix="0" xfId="0">
      <alignment horizontal="left" vertical="center"/>
    </xf>
    <xf numFmtId="0" fontId="37" fillId="7" borderId="8" applyAlignment="1" pivotButton="0" quotePrefix="0" xfId="0">
      <alignment horizontal="left" vertical="center"/>
    </xf>
    <xf numFmtId="0" fontId="37" fillId="0" borderId="32" applyAlignment="1" pivotButton="0" quotePrefix="0" xfId="0">
      <alignment horizontal="center" vertical="center"/>
    </xf>
    <xf numFmtId="0" fontId="37" fillId="0" borderId="26" applyAlignment="1" pivotButton="0" quotePrefix="0" xfId="0">
      <alignment horizontal="left" vertical="center"/>
    </xf>
    <xf numFmtId="0" fontId="37" fillId="0" borderId="27" applyAlignment="1" pivotButton="0" quotePrefix="0" xfId="0">
      <alignment horizontal="center" vertical="center"/>
    </xf>
    <xf numFmtId="0" fontId="50" fillId="0" borderId="27" applyAlignment="1" pivotButton="0" quotePrefix="0" xfId="0">
      <alignment horizontal="center" vertical="center"/>
    </xf>
    <xf numFmtId="0" fontId="37" fillId="0" borderId="27" applyAlignment="1" pivotButton="0" quotePrefix="0" xfId="0">
      <alignment horizontal="left" vertical="center"/>
    </xf>
    <xf numFmtId="0" fontId="37" fillId="0" borderId="28" applyAlignment="1" pivotButton="0" quotePrefix="0" xfId="0">
      <alignment horizontal="center" vertical="center"/>
    </xf>
    <xf numFmtId="0" fontId="46" fillId="7" borderId="8" applyAlignment="1" pivotButton="0" quotePrefix="0" xfId="0">
      <alignment horizontal="left" vertical="center" wrapText="1"/>
    </xf>
    <xf numFmtId="0" fontId="37" fillId="0" borderId="8" applyAlignment="1" pivotButton="0" quotePrefix="0" xfId="0">
      <alignment horizontal="left" vertical="center"/>
    </xf>
    <xf numFmtId="0" fontId="37" fillId="0" borderId="8" applyAlignment="1" pivotButton="0" quotePrefix="0" xfId="0">
      <alignment horizontal="center" vertical="center"/>
    </xf>
    <xf numFmtId="0" fontId="50" fillId="0" borderId="8" applyAlignment="1" pivotButton="0" quotePrefix="0" xfId="0">
      <alignment horizontal="center" vertical="center"/>
    </xf>
    <xf numFmtId="0" fontId="6" fillId="0" borderId="1" pivotButton="0" quotePrefix="0" xfId="0"/>
    <xf numFmtId="0" fontId="37" fillId="0" borderId="1" pivotButton="0" quotePrefix="0" xfId="0"/>
    <xf numFmtId="0" fontId="38" fillId="7" borderId="22" applyAlignment="1" pivotButton="0" quotePrefix="0" xfId="0">
      <alignment horizontal="center" vertical="center"/>
    </xf>
    <xf numFmtId="0" fontId="37" fillId="0" borderId="113" applyAlignment="1" pivotButton="0" quotePrefix="0" xfId="0">
      <alignment horizontal="center" vertical="center"/>
    </xf>
    <xf numFmtId="0" fontId="38" fillId="7" borderId="113" applyAlignment="1" pivotButton="0" quotePrefix="0" xfId="0">
      <alignment horizontal="center" vertical="center"/>
    </xf>
    <xf numFmtId="0" fontId="50" fillId="0" borderId="113" applyAlignment="1" pivotButton="0" quotePrefix="0" xfId="0">
      <alignment horizontal="center" vertical="center"/>
    </xf>
    <xf numFmtId="0" fontId="37" fillId="0" borderId="113" applyAlignment="1" pivotButton="0" quotePrefix="0" xfId="0">
      <alignment horizontal="left" vertical="center"/>
    </xf>
    <xf numFmtId="0" fontId="37" fillId="7" borderId="113" applyAlignment="1" pivotButton="0" quotePrefix="0" xfId="0">
      <alignment horizontal="left" vertical="center"/>
    </xf>
    <xf numFmtId="0" fontId="37" fillId="0" borderId="114" applyAlignment="1" pivotButton="0" quotePrefix="0" xfId="0">
      <alignment horizontal="center" vertical="center"/>
    </xf>
    <xf numFmtId="0" fontId="37" fillId="0" borderId="115" applyAlignment="1" pivotButton="0" quotePrefix="0" xfId="0">
      <alignment horizontal="left" vertical="center"/>
    </xf>
    <xf numFmtId="0" fontId="37" fillId="0" borderId="21" applyAlignment="1" pivotButton="0" quotePrefix="0" xfId="0">
      <alignment horizontal="center" vertical="center"/>
    </xf>
    <xf numFmtId="0" fontId="37" fillId="0" borderId="31" applyAlignment="1" pivotButton="0" quotePrefix="0" xfId="0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7" fillId="0" borderId="26" applyAlignment="1" pivotButton="0" quotePrefix="0" xfId="0">
      <alignment horizontal="center" vertical="center"/>
    </xf>
    <xf numFmtId="0" fontId="38" fillId="7" borderId="8" applyAlignment="1" pivotButton="0" quotePrefix="0" xfId="0">
      <alignment horizontal="center" vertical="center"/>
    </xf>
    <xf numFmtId="0" fontId="37" fillId="17" borderId="21" applyAlignment="1" pivotButton="0" quotePrefix="0" xfId="0">
      <alignment horizontal="left" vertical="center"/>
    </xf>
    <xf numFmtId="0" fontId="37" fillId="17" borderId="111" applyAlignment="1" pivotButton="0" quotePrefix="0" xfId="0">
      <alignment horizontal="center" vertical="center"/>
    </xf>
    <xf numFmtId="0" fontId="38" fillId="17" borderId="69" applyAlignment="1" pivotButton="0" quotePrefix="0" xfId="0">
      <alignment horizontal="left" vertical="center"/>
    </xf>
    <xf numFmtId="0" fontId="50" fillId="17" borderId="112" applyAlignment="1" pivotButton="0" quotePrefix="0" xfId="0">
      <alignment horizontal="center" vertical="center"/>
    </xf>
    <xf numFmtId="0" fontId="37" fillId="17" borderId="22" applyAlignment="1" pivotButton="0" quotePrefix="0" xfId="0">
      <alignment horizontal="center" vertical="center"/>
    </xf>
    <xf numFmtId="0" fontId="37" fillId="17" borderId="22" applyAlignment="1" pivotButton="0" quotePrefix="0" xfId="0">
      <alignment horizontal="left" vertical="center"/>
    </xf>
    <xf numFmtId="0" fontId="50" fillId="17" borderId="22" applyAlignment="1" pivotButton="0" quotePrefix="0" xfId="0">
      <alignment horizontal="center" vertical="center"/>
    </xf>
    <xf numFmtId="0" fontId="37" fillId="17" borderId="23" applyAlignment="1" pivotButton="0" quotePrefix="0" xfId="0">
      <alignment horizontal="center" vertical="center"/>
    </xf>
    <xf numFmtId="0" fontId="37" fillId="17" borderId="31" applyAlignment="1" pivotButton="0" quotePrefix="0" xfId="0">
      <alignment horizontal="left" vertical="center"/>
    </xf>
    <xf numFmtId="0" fontId="46" fillId="17" borderId="8" applyAlignment="1" pivotButton="0" quotePrefix="0" xfId="0">
      <alignment horizontal="left" vertical="center" wrapText="1"/>
    </xf>
    <xf numFmtId="0" fontId="50" fillId="17" borderId="1" applyAlignment="1" pivotButton="0" quotePrefix="0" xfId="0">
      <alignment horizontal="center" vertical="center"/>
    </xf>
    <xf numFmtId="0" fontId="37" fillId="17" borderId="1" applyAlignment="1" pivotButton="0" quotePrefix="0" xfId="0">
      <alignment horizontal="left" vertical="center"/>
    </xf>
    <xf numFmtId="0" fontId="46" fillId="17" borderId="1" applyAlignment="1" pivotButton="0" quotePrefix="0" xfId="0">
      <alignment horizontal="left" vertical="center" wrapText="1"/>
    </xf>
    <xf numFmtId="0" fontId="37" fillId="17" borderId="32" applyAlignment="1" pivotButton="0" quotePrefix="0" xfId="0">
      <alignment horizontal="center" vertical="center"/>
    </xf>
    <xf numFmtId="0" fontId="37" fillId="17" borderId="26" applyAlignment="1" pivotButton="0" quotePrefix="0" xfId="0">
      <alignment horizontal="left" vertical="center"/>
    </xf>
    <xf numFmtId="0" fontId="37" fillId="17" borderId="27" applyAlignment="1" pivotButton="0" quotePrefix="0" xfId="0">
      <alignment horizontal="center" vertical="center"/>
    </xf>
    <xf numFmtId="0" fontId="37" fillId="17" borderId="27" applyAlignment="1" pivotButton="0" quotePrefix="0" xfId="0">
      <alignment horizontal="left" vertical="center"/>
    </xf>
    <xf numFmtId="0" fontId="50" fillId="17" borderId="27" applyAlignment="1" pivotButton="0" quotePrefix="0" xfId="0">
      <alignment horizontal="center" vertical="center"/>
    </xf>
    <xf numFmtId="0" fontId="46" fillId="17" borderId="27" applyAlignment="1" pivotButton="0" quotePrefix="0" xfId="0">
      <alignment horizontal="left" vertical="center" wrapText="1"/>
    </xf>
    <xf numFmtId="0" fontId="37" fillId="17" borderId="28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 wrapText="1"/>
    </xf>
    <xf numFmtId="0" fontId="37" fillId="5" borderId="1" applyAlignment="1" pivotButton="0" quotePrefix="0" xfId="0">
      <alignment horizontal="center" vertical="center"/>
    </xf>
    <xf numFmtId="0" fontId="37" fillId="5" borderId="6" applyAlignment="1" pivotButton="0" quotePrefix="0" xfId="0">
      <alignment vertical="center"/>
    </xf>
    <xf numFmtId="0" fontId="37" fillId="5" borderId="1" applyAlignment="1" pivotButton="0" quotePrefix="0" xfId="0">
      <alignment vertical="center"/>
    </xf>
    <xf numFmtId="0" fontId="5" fillId="51" borderId="11" applyAlignment="1" pivotButton="0" quotePrefix="0" xfId="0">
      <alignment horizontal="center" vertical="center" wrapText="1"/>
    </xf>
    <xf numFmtId="0" fontId="5" fillId="51" borderId="12" applyAlignment="1" pivotButton="0" quotePrefix="0" xfId="0">
      <alignment horizontal="center" vertical="center" wrapText="1"/>
    </xf>
    <xf numFmtId="0" fontId="5" fillId="51" borderId="13" applyAlignment="1" pivotButton="0" quotePrefix="0" xfId="0">
      <alignment horizontal="center" vertical="center" wrapText="1"/>
    </xf>
    <xf numFmtId="0" fontId="37" fillId="0" borderId="92" applyAlignment="1" pivotButton="0" quotePrefix="0" xfId="0">
      <alignment horizontal="center" vertical="center" wrapText="1"/>
    </xf>
    <xf numFmtId="0" fontId="37" fillId="0" borderId="66" applyAlignment="1" applyProtection="1" pivotButton="0" quotePrefix="0" xfId="0">
      <alignment horizontal="center" vertical="center" wrapText="1"/>
      <protection locked="1" hidden="1"/>
    </xf>
    <xf numFmtId="0" fontId="37" fillId="0" borderId="93" applyAlignment="1" pivotButton="0" quotePrefix="0" xfId="0">
      <alignment horizontal="center" vertical="center" wrapText="1"/>
    </xf>
    <xf numFmtId="0" fontId="37" fillId="0" borderId="94" applyAlignment="1" pivotButton="0" quotePrefix="0" xfId="0">
      <alignment horizontal="center" vertical="center"/>
    </xf>
    <xf numFmtId="0" fontId="37" fillId="0" borderId="94" applyAlignment="1" pivotButton="0" quotePrefix="0" xfId="0">
      <alignment horizontal="center" vertical="center" wrapText="1"/>
    </xf>
    <xf numFmtId="0" fontId="37" fillId="0" borderId="95" applyAlignment="1" pivotButton="0" quotePrefix="0" xfId="0">
      <alignment horizontal="center" vertical="center" wrapText="1"/>
    </xf>
    <xf numFmtId="0" fontId="37" fillId="0" borderId="96" applyAlignment="1" pivotButton="0" quotePrefix="0" xfId="0">
      <alignment horizontal="center" vertical="center" wrapText="1"/>
    </xf>
    <xf numFmtId="0" fontId="37" fillId="0" borderId="97" applyAlignment="1" pivotButton="0" quotePrefix="0" xfId="0">
      <alignment horizontal="center" vertical="center" wrapText="1"/>
    </xf>
    <xf numFmtId="0" fontId="37" fillId="0" borderId="98" applyAlignment="1" pivotButton="0" quotePrefix="0" xfId="0">
      <alignment horizontal="center" vertical="center" wrapText="1"/>
    </xf>
    <xf numFmtId="0" fontId="37" fillId="0" borderId="99" applyAlignment="1" pivotButton="0" quotePrefix="0" xfId="0">
      <alignment horizontal="center" vertical="center"/>
    </xf>
    <xf numFmtId="0" fontId="37" fillId="0" borderId="99" applyAlignment="1" pivotButton="0" quotePrefix="0" xfId="0">
      <alignment horizontal="center" vertical="center" wrapText="1"/>
    </xf>
    <xf numFmtId="0" fontId="37" fillId="0" borderId="100" applyAlignment="1" pivotButton="0" quotePrefix="0" xfId="0">
      <alignment horizontal="center" vertical="center" wrapText="1"/>
    </xf>
    <xf numFmtId="0" fontId="37" fillId="10" borderId="1" applyAlignment="1" pivotButton="0" quotePrefix="0" xfId="0">
      <alignment horizontal="center" vertical="center"/>
    </xf>
    <xf numFmtId="0" fontId="37" fillId="10" borderId="1" applyAlignment="1" pivotButton="0" quotePrefix="0" xfId="0">
      <alignment horizontal="center" vertical="center" wrapText="1"/>
    </xf>
    <xf numFmtId="0" fontId="37" fillId="10" borderId="1" applyAlignment="1" pivotButton="0" quotePrefix="0" xfId="0">
      <alignment horizontal="left" vertical="center"/>
    </xf>
    <xf numFmtId="0" fontId="50" fillId="10" borderId="1" applyAlignment="1" pivotButton="0" quotePrefix="0" xfId="0">
      <alignment horizontal="center" vertical="center"/>
    </xf>
    <xf numFmtId="0" fontId="37" fillId="10" borderId="1" applyAlignment="1" pivotButton="0" quotePrefix="0" xfId="0">
      <alignment vertical="center"/>
    </xf>
    <xf numFmtId="0" fontId="52" fillId="17" borderId="0" applyAlignment="1" pivotButton="0" quotePrefix="0" xfId="0">
      <alignment horizontal="center" vertical="center"/>
    </xf>
    <xf numFmtId="0" fontId="52" fillId="0" borderId="1" applyAlignment="1" pivotButton="0" quotePrefix="0" xfId="0">
      <alignment horizontal="center" vertical="center"/>
    </xf>
    <xf numFmtId="0" fontId="52" fillId="6" borderId="1" applyAlignment="1" pivotButton="0" quotePrefix="0" xfId="0">
      <alignment horizontal="center" vertical="center"/>
    </xf>
    <xf numFmtId="0" fontId="37" fillId="6" borderId="1" applyAlignment="1" pivotButton="0" quotePrefix="0" xfId="0">
      <alignment horizontal="center" vertical="center" wrapText="1"/>
    </xf>
    <xf numFmtId="0" fontId="50" fillId="6" borderId="1" applyAlignment="1" pivotButton="0" quotePrefix="0" xfId="0">
      <alignment horizontal="center" vertical="center"/>
    </xf>
    <xf numFmtId="0" fontId="37" fillId="6" borderId="1" applyAlignment="1" pivotButton="0" quotePrefix="0" xfId="0">
      <alignment horizontal="center" vertical="center"/>
    </xf>
    <xf numFmtId="0" fontId="37" fillId="40" borderId="1" applyAlignment="1" pivotButton="0" quotePrefix="0" xfId="0">
      <alignment vertical="center"/>
    </xf>
    <xf numFmtId="0" fontId="37" fillId="0" borderId="2" applyAlignment="1" pivotButton="0" quotePrefix="0" xfId="0">
      <alignment vertical="center"/>
    </xf>
    <xf numFmtId="0" fontId="37" fillId="0" borderId="8" applyAlignment="1" pivotButton="0" quotePrefix="0" xfId="0">
      <alignment vertical="center"/>
    </xf>
    <xf numFmtId="0" fontId="53" fillId="53" borderId="1" applyAlignment="1" pivotButton="0" quotePrefix="0" xfId="2">
      <alignment horizontal="center" vertical="center"/>
    </xf>
    <xf numFmtId="0" fontId="50" fillId="0" borderId="1" applyAlignment="1" pivotButton="0" quotePrefix="0" xfId="0">
      <alignment horizontal="center" vertical="center" wrapText="1"/>
    </xf>
    <xf numFmtId="0" fontId="55" fillId="3" borderId="1" applyAlignment="1" pivotButton="0" quotePrefix="0" xfId="0">
      <alignment horizontal="center" vertical="center"/>
    </xf>
    <xf numFmtId="0" fontId="56" fillId="3" borderId="1" applyAlignment="1" pivotButton="0" quotePrefix="0" xfId="0">
      <alignment horizontal="center" vertical="center"/>
    </xf>
    <xf numFmtId="0" fontId="57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vertical="center"/>
    </xf>
    <xf numFmtId="0" fontId="58" fillId="17" borderId="1" applyAlignment="1" pivotButton="0" quotePrefix="0" xfId="0">
      <alignment horizontal="center" vertical="center"/>
    </xf>
    <xf numFmtId="0" fontId="37" fillId="0" borderId="6" applyAlignment="1" pivotButton="0" quotePrefix="0" xfId="0">
      <alignment horizontal="center" vertical="center"/>
    </xf>
    <xf numFmtId="0" fontId="59" fillId="0" borderId="37" applyAlignment="1" pivotButton="0" quotePrefix="0" xfId="0">
      <alignment horizontal="center" vertical="center" wrapText="1"/>
    </xf>
    <xf numFmtId="0" fontId="40" fillId="0" borderId="34" applyAlignment="1" pivotButton="0" quotePrefix="0" xfId="0">
      <alignment horizontal="center" vertical="center" wrapText="1"/>
    </xf>
    <xf numFmtId="0" fontId="40" fillId="23" borderId="34" applyAlignment="1" pivotButton="0" quotePrefix="0" xfId="0">
      <alignment horizontal="center" vertical="center"/>
    </xf>
    <xf numFmtId="0" fontId="6" fillId="0" borderId="38" applyAlignment="1" pivotButton="0" quotePrefix="0" xfId="0">
      <alignment horizontal="right"/>
    </xf>
    <xf numFmtId="0" fontId="6" fillId="0" borderId="39" applyAlignment="1" pivotButton="0" quotePrefix="0" xfId="0">
      <alignment horizontal="center" wrapText="1"/>
    </xf>
    <xf numFmtId="0" fontId="40" fillId="24" borderId="39" applyAlignment="1" pivotButton="0" quotePrefix="0" xfId="0">
      <alignment horizontal="center" vertical="center" wrapText="1"/>
    </xf>
    <xf numFmtId="0" fontId="40" fillId="22" borderId="39" applyAlignment="1" pivotButton="0" quotePrefix="0" xfId="0">
      <alignment horizontal="center" wrapText="1"/>
    </xf>
    <xf numFmtId="0" fontId="40" fillId="22" borderId="39" applyAlignment="1" pivotButton="0" quotePrefix="0" xfId="0">
      <alignment horizontal="center" vertical="center" wrapText="1"/>
    </xf>
    <xf numFmtId="0" fontId="6" fillId="23" borderId="39" applyAlignment="1" pivotButton="0" quotePrefix="0" xfId="0">
      <alignment wrapText="1"/>
    </xf>
    <xf numFmtId="0" fontId="6" fillId="0" borderId="40" applyAlignment="1" pivotButton="0" quotePrefix="0" xfId="0">
      <alignment horizontal="center"/>
    </xf>
    <xf numFmtId="0" fontId="6" fillId="0" borderId="41" applyAlignment="1" pivotButton="0" quotePrefix="0" xfId="0">
      <alignment horizontal="center" wrapText="1"/>
    </xf>
    <xf numFmtId="0" fontId="40" fillId="24" borderId="41" applyAlignment="1" pivotButton="0" quotePrefix="0" xfId="0">
      <alignment horizontal="center" vertical="center" wrapText="1"/>
    </xf>
    <xf numFmtId="0" fontId="40" fillId="22" borderId="41" applyAlignment="1" pivotButton="0" quotePrefix="0" xfId="0">
      <alignment horizontal="center" wrapText="1"/>
    </xf>
    <xf numFmtId="0" fontId="40" fillId="22" borderId="41" applyAlignment="1" pivotButton="0" quotePrefix="0" xfId="0">
      <alignment horizontal="center" vertical="center" wrapText="1"/>
    </xf>
    <xf numFmtId="0" fontId="6" fillId="23" borderId="41" applyAlignment="1" pivotButton="0" quotePrefix="0" xfId="0">
      <alignment wrapText="1"/>
    </xf>
    <xf numFmtId="0" fontId="6" fillId="0" borderId="38" applyAlignment="1" pivotButton="0" quotePrefix="0" xfId="0">
      <alignment horizontal="center"/>
    </xf>
    <xf numFmtId="0" fontId="6" fillId="23" borderId="39" applyAlignment="1" pivotButton="0" quotePrefix="0" xfId="0">
      <alignment horizontal="center" wrapText="1"/>
    </xf>
    <xf numFmtId="0" fontId="6" fillId="0" borderId="1" applyAlignment="1" pivotButton="0" quotePrefix="0" xfId="0">
      <alignment horizontal="right"/>
    </xf>
    <xf numFmtId="0" fontId="6" fillId="1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21" borderId="1" pivotButton="0" quotePrefix="0" xfId="0"/>
    <xf numFmtId="0" fontId="6" fillId="2" borderId="1" applyAlignment="1" pivotButton="0" quotePrefix="0" xfId="0">
      <alignment horizontal="center" vertical="center"/>
    </xf>
    <xf numFmtId="0" fontId="37" fillId="0" borderId="0" pivotButton="0" quotePrefix="0" xfId="0"/>
    <xf numFmtId="0" fontId="6" fillId="17" borderId="1" pivotButton="0" quotePrefix="0" xfId="0"/>
    <xf numFmtId="0" fontId="6" fillId="0" borderId="1" applyAlignment="1" pivotButton="0" quotePrefix="0" xfId="0">
      <alignment horizontal="center" wrapText="1"/>
    </xf>
    <xf numFmtId="0" fontId="6" fillId="17" borderId="1" applyAlignment="1" pivotButton="0" quotePrefix="0" xfId="0">
      <alignment horizontal="center"/>
    </xf>
    <xf numFmtId="0" fontId="6" fillId="26" borderId="1" applyAlignment="1" pivotButton="0" quotePrefix="0" xfId="0">
      <alignment horizontal="center" wrapText="1"/>
    </xf>
    <xf numFmtId="0" fontId="6" fillId="43" borderId="1" applyAlignment="1" pivotButton="0" quotePrefix="0" xfId="0">
      <alignment horizontal="center" vertical="center"/>
    </xf>
    <xf numFmtId="0" fontId="6" fillId="43" borderId="1" pivotButton="0" quotePrefix="0" xfId="0"/>
    <xf numFmtId="0" fontId="6" fillId="21" borderId="1" applyAlignment="1" pivotButton="0" quotePrefix="0" xfId="0">
      <alignment horizontal="center"/>
    </xf>
    <xf numFmtId="0" fontId="6" fillId="37" borderId="1" applyAlignment="1" pivotButton="0" quotePrefix="0" xfId="0">
      <alignment horizontal="center" vertical="center" wrapText="1"/>
    </xf>
    <xf numFmtId="0" fontId="6" fillId="43" borderId="1" applyAlignment="1" pivotButton="0" quotePrefix="0" xfId="0">
      <alignment horizontal="center"/>
    </xf>
    <xf numFmtId="0" fontId="6" fillId="43" borderId="1" applyAlignment="1" pivotButton="0" quotePrefix="0" xfId="0">
      <alignment horizontal="center" vertical="center" wrapText="1"/>
    </xf>
    <xf numFmtId="0" fontId="6" fillId="43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left"/>
    </xf>
    <xf numFmtId="0" fontId="6" fillId="0" borderId="0" applyAlignment="1" pivotButton="0" quotePrefix="0" xfId="0">
      <alignment horizontal="center" wrapText="1"/>
    </xf>
    <xf numFmtId="0" fontId="6" fillId="26" borderId="1" applyAlignment="1" pivotButton="0" quotePrefix="0" xfId="0">
      <alignment horizontal="center"/>
    </xf>
    <xf numFmtId="0" fontId="6" fillId="26" borderId="1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/>
    </xf>
    <xf numFmtId="0" fontId="6" fillId="17" borderId="1" applyAlignment="1" pivotButton="0" quotePrefix="0" xfId="0">
      <alignment horizontal="center" vertical="center" wrapText="1"/>
    </xf>
    <xf numFmtId="0" fontId="6" fillId="35" borderId="1" applyAlignment="1" pivotButton="0" quotePrefix="0" xfId="0">
      <alignment horizontal="center" vertical="center"/>
    </xf>
    <xf numFmtId="0" fontId="6" fillId="58" borderId="1" applyAlignment="1" pivotButton="0" quotePrefix="0" xfId="0">
      <alignment horizontal="center" vertical="center" wrapText="1"/>
    </xf>
    <xf numFmtId="0" fontId="6" fillId="50" borderId="1" applyAlignment="1" pivotButton="0" quotePrefix="0" xfId="0">
      <alignment horizontal="center" wrapText="1"/>
    </xf>
    <xf numFmtId="11" fontId="37" fillId="0" borderId="0" applyAlignment="1" pivotButton="0" quotePrefix="0" xfId="0">
      <alignment horizontal="center"/>
    </xf>
    <xf numFmtId="0" fontId="6" fillId="17" borderId="1" applyAlignment="1" pivotButton="0" quotePrefix="0" xfId="0">
      <alignment horizontal="center" wrapText="1"/>
    </xf>
    <xf numFmtId="0" fontId="6" fillId="0" borderId="1" applyAlignment="1" pivotButton="0" quotePrefix="0" xfId="0">
      <alignment wrapText="1"/>
    </xf>
    <xf numFmtId="0" fontId="6" fillId="26" borderId="1" applyAlignment="1" pivotButton="0" quotePrefix="0" xfId="0">
      <alignment horizontal="center" vertical="center"/>
    </xf>
    <xf numFmtId="0" fontId="6" fillId="35" borderId="1" pivotButton="0" quotePrefix="0" xfId="0"/>
    <xf numFmtId="0" fontId="6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/>
    </xf>
    <xf numFmtId="0" fontId="6" fillId="50" borderId="1" pivotButton="0" quotePrefix="0" xfId="0"/>
    <xf numFmtId="0" fontId="6" fillId="0" borderId="0" applyAlignment="1" pivotButton="0" quotePrefix="0" xfId="0">
      <alignment horizontal="center" vertical="center" wrapText="1"/>
    </xf>
    <xf numFmtId="0" fontId="6" fillId="35" borderId="0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center" wrapText="1"/>
    </xf>
    <xf numFmtId="0" fontId="37" fillId="0" borderId="0" applyAlignment="1" pivotButton="0" quotePrefix="0" xfId="0">
      <alignment horizontal="center"/>
    </xf>
    <xf numFmtId="0" fontId="37" fillId="0" borderId="0" applyAlignment="1" pivotButton="0" quotePrefix="0" xfId="0">
      <alignment wrapText="1"/>
    </xf>
    <xf numFmtId="0" fontId="6" fillId="26" borderId="1" pivotButton="0" quotePrefix="0" xfId="0"/>
    <xf numFmtId="0" fontId="60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wrapText="1"/>
    </xf>
    <xf numFmtId="0" fontId="6" fillId="17" borderId="0" applyAlignment="1" pivotButton="0" quotePrefix="0" xfId="0">
      <alignment horizontal="center"/>
    </xf>
    <xf numFmtId="0" fontId="6" fillId="57" borderId="1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17" borderId="0" applyAlignment="1" pivotButton="0" quotePrefix="0" xfId="0">
      <alignment wrapText="1"/>
    </xf>
    <xf numFmtId="0" fontId="6" fillId="28" borderId="0" pivotButton="0" quotePrefix="0" xfId="0"/>
    <xf numFmtId="0" fontId="6" fillId="4" borderId="0" pivotButton="0" quotePrefix="0" xfId="0"/>
    <xf numFmtId="0" fontId="6" fillId="42" borderId="0" pivotButton="0" quotePrefix="0" xfId="0"/>
    <xf numFmtId="0" fontId="6" fillId="43" borderId="0" pivotButton="0" quotePrefix="0" xfId="0"/>
    <xf numFmtId="0" fontId="6" fillId="17" borderId="0" pivotButton="0" quotePrefix="0" xfId="0"/>
    <xf numFmtId="0" fontId="6" fillId="17" borderId="29" applyAlignment="1" pivotButton="0" quotePrefix="0" xfId="0">
      <alignment horizontal="center" vertical="center"/>
    </xf>
    <xf numFmtId="0" fontId="6" fillId="17" borderId="30" applyAlignment="1" pivotButton="0" quotePrefix="0" xfId="0">
      <alignment horizontal="center" vertical="center"/>
    </xf>
    <xf numFmtId="0" fontId="6" fillId="17" borderId="30" applyAlignment="1" pivotButton="0" quotePrefix="0" xfId="0">
      <alignment horizontal="center" vertical="center" wrapText="1"/>
    </xf>
    <xf numFmtId="0" fontId="6" fillId="17" borderId="74" applyAlignment="1" pivotButton="0" quotePrefix="0" xfId="0">
      <alignment horizontal="center" vertical="center" wrapText="1"/>
    </xf>
    <xf numFmtId="0" fontId="6" fillId="17" borderId="24" applyAlignment="1" pivotButton="0" quotePrefix="0" xfId="0">
      <alignment horizontal="center"/>
    </xf>
    <xf numFmtId="0" fontId="6" fillId="17" borderId="67" applyAlignment="1" pivotButton="0" quotePrefix="0" xfId="0">
      <alignment horizontal="center"/>
    </xf>
    <xf numFmtId="0" fontId="6" fillId="17" borderId="67" applyAlignment="1" pivotButton="0" quotePrefix="0" xfId="0">
      <alignment horizontal="center" vertical="center"/>
    </xf>
    <xf numFmtId="0" fontId="6" fillId="0" borderId="68" applyAlignment="1" pivotButton="0" quotePrefix="0" xfId="0">
      <alignment horizontal="center"/>
    </xf>
    <xf numFmtId="0" fontId="6" fillId="44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horizontal="center"/>
    </xf>
    <xf numFmtId="0" fontId="6" fillId="44" borderId="1" applyAlignment="1" pivotButton="0" quotePrefix="0" xfId="0">
      <alignment horizontal="center" vertical="center"/>
    </xf>
    <xf numFmtId="0" fontId="6" fillId="45" borderId="0" pivotButton="0" quotePrefix="0" xfId="0"/>
    <xf numFmtId="0" fontId="6" fillId="0" borderId="67" applyAlignment="1" pivotButton="0" quotePrefix="0" xfId="0">
      <alignment horizontal="center"/>
    </xf>
    <xf numFmtId="0" fontId="6" fillId="46" borderId="0" pivotButton="0" quotePrefix="0" xfId="0"/>
    <xf numFmtId="0" fontId="6" fillId="0" borderId="74" applyAlignment="1" pivotButton="0" quotePrefix="0" xfId="0">
      <alignment horizontal="center"/>
    </xf>
    <xf numFmtId="0" fontId="6" fillId="0" borderId="53" applyAlignment="1" pivotButton="0" quotePrefix="0" xfId="0">
      <alignment horizontal="center"/>
    </xf>
    <xf numFmtId="0" fontId="6" fillId="0" borderId="4" pivotButton="0" quotePrefix="0" xfId="0"/>
    <xf numFmtId="0" fontId="6" fillId="0" borderId="69" applyAlignment="1" pivotButton="0" quotePrefix="0" xfId="0">
      <alignment horizontal="center"/>
    </xf>
    <xf numFmtId="0" fontId="47" fillId="3" borderId="3" applyAlignment="1" pivotButton="0" quotePrefix="0" xfId="0">
      <alignment horizontal="center" vertical="center"/>
    </xf>
    <xf numFmtId="0" fontId="48" fillId="48" borderId="14" applyAlignment="1" pivotButton="0" quotePrefix="0" xfId="0">
      <alignment horizontal="center" vertical="center"/>
    </xf>
    <xf numFmtId="0" fontId="48" fillId="48" borderId="15" applyAlignment="1" pivotButton="0" quotePrefix="0" xfId="0">
      <alignment horizontal="center" vertical="center"/>
    </xf>
    <xf numFmtId="0" fontId="48" fillId="48" borderId="16" applyAlignment="1" pivotButton="0" quotePrefix="0" xfId="0">
      <alignment horizontal="center" vertical="center"/>
    </xf>
    <xf numFmtId="0" fontId="54" fillId="14" borderId="1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15" fillId="13" borderId="10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51" fillId="2" borderId="4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51" fillId="2" borderId="6" applyAlignment="1" pivotButton="0" quotePrefix="0" xfId="0">
      <alignment horizontal="center" vertical="center"/>
    </xf>
    <xf numFmtId="0" fontId="51" fillId="4" borderId="4" applyAlignment="1" pivotButton="0" quotePrefix="0" xfId="0">
      <alignment horizontal="center" vertical="center"/>
    </xf>
    <xf numFmtId="0" fontId="51" fillId="4" borderId="5" applyAlignment="1" pivotButton="0" quotePrefix="0" xfId="0">
      <alignment horizontal="center" vertical="center"/>
    </xf>
    <xf numFmtId="0" fontId="51" fillId="4" borderId="6" applyAlignment="1" pivotButton="0" quotePrefix="0" xfId="0">
      <alignment horizontal="center" vertical="center"/>
    </xf>
    <xf numFmtId="0" fontId="14" fillId="2" borderId="4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2" borderId="6" applyAlignment="1" pivotButton="0" quotePrefix="0" xfId="0">
      <alignment horizontal="center" vertical="center"/>
    </xf>
    <xf numFmtId="49" fontId="35" fillId="8" borderId="4" applyAlignment="1" pivotButton="0" quotePrefix="0" xfId="0">
      <alignment horizontal="center" vertical="center"/>
    </xf>
    <xf numFmtId="49" fontId="35" fillId="8" borderId="5" applyAlignment="1" pivotButton="0" quotePrefix="0" xfId="0">
      <alignment horizontal="center" vertical="center"/>
    </xf>
    <xf numFmtId="49" fontId="35" fillId="8" borderId="6" applyAlignment="1" pivotButton="0" quotePrefix="0" xfId="0">
      <alignment horizontal="center" vertical="center"/>
    </xf>
    <xf numFmtId="0" fontId="49" fillId="3" borderId="3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/>
    </xf>
    <xf numFmtId="0" fontId="37" fillId="0" borderId="27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37" fillId="4" borderId="0" applyAlignment="1" pivotButton="0" quotePrefix="0" xfId="0">
      <alignment horizontal="center" vertical="center"/>
    </xf>
    <xf numFmtId="0" fontId="48" fillId="3" borderId="3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5" borderId="0" applyAlignment="1" pivotButton="0" quotePrefix="0" xfId="0">
      <alignment horizontal="center" vertical="center"/>
    </xf>
    <xf numFmtId="0" fontId="9" fillId="2" borderId="17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0" fontId="9" fillId="2" borderId="19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/>
    </xf>
    <xf numFmtId="0" fontId="57" fillId="0" borderId="3" applyAlignment="1" pivotButton="0" quotePrefix="0" xfId="0">
      <alignment horizontal="center" vertical="center"/>
    </xf>
    <xf numFmtId="0" fontId="10" fillId="13" borderId="4" applyAlignment="1" pivotButton="0" quotePrefix="0" xfId="0">
      <alignment horizontal="center" vertical="center"/>
    </xf>
    <xf numFmtId="0" fontId="10" fillId="13" borderId="5" applyAlignment="1" pivotButton="0" quotePrefix="0" xfId="0">
      <alignment horizontal="center" vertical="center"/>
    </xf>
    <xf numFmtId="0" fontId="10" fillId="13" borderId="6" applyAlignment="1" pivotButton="0" quotePrefix="0" xfId="0">
      <alignment horizontal="center" vertical="center"/>
    </xf>
    <xf numFmtId="0" fontId="54" fillId="9" borderId="10" applyAlignment="1" pivotButton="0" quotePrefix="0" xfId="0">
      <alignment horizontal="center" vertical="center"/>
    </xf>
    <xf numFmtId="0" fontId="54" fillId="9" borderId="0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2" fillId="39" borderId="0" applyAlignment="1" pivotButton="0" quotePrefix="0" xfId="0">
      <alignment horizontal="center" vertical="center"/>
    </xf>
    <xf numFmtId="0" fontId="0" fillId="39" borderId="0" applyAlignment="1" pivotButton="0" quotePrefix="0" xfId="0">
      <alignment horizontal="center" vertical="center"/>
    </xf>
    <xf numFmtId="0" fontId="0" fillId="11" borderId="62" applyAlignment="1" pivotButton="0" quotePrefix="0" xfId="0">
      <alignment horizontal="center" vertical="center"/>
    </xf>
    <xf numFmtId="0" fontId="0" fillId="11" borderId="63" applyAlignment="1" pivotButton="0" quotePrefix="0" xfId="0">
      <alignment horizontal="center" vertical="center"/>
    </xf>
    <xf numFmtId="0" fontId="0" fillId="11" borderId="64" applyAlignment="1" pivotButton="0" quotePrefix="0" xfId="0">
      <alignment horizontal="center" vertical="center"/>
    </xf>
    <xf numFmtId="0" fontId="0" fillId="11" borderId="4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38" fillId="0" borderId="108" applyAlignment="1" pivotButton="0" quotePrefix="0" xfId="0">
      <alignment horizontal="center" vertical="center"/>
    </xf>
    <xf numFmtId="0" fontId="38" fillId="0" borderId="109" applyAlignment="1" pivotButton="0" quotePrefix="0" xfId="0">
      <alignment horizontal="center" vertical="center"/>
    </xf>
    <xf numFmtId="0" fontId="38" fillId="0" borderId="11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center" vertical="center"/>
    </xf>
    <xf numFmtId="0" fontId="27" fillId="17" borderId="1" applyAlignment="1" pivotButton="0" quotePrefix="0" xfId="0">
      <alignment horizontal="center" vertical="center"/>
    </xf>
    <xf numFmtId="0" fontId="21" fillId="30" borderId="13" applyAlignment="1" pivotButton="0" quotePrefix="0" xfId="0">
      <alignment horizontal="center" vertical="center" wrapText="1"/>
    </xf>
    <xf numFmtId="0" fontId="21" fillId="31" borderId="42" applyAlignment="1" pivotButton="0" quotePrefix="0" xfId="0">
      <alignment horizontal="center" vertical="center" wrapText="1"/>
    </xf>
    <xf numFmtId="0" fontId="23" fillId="17" borderId="4" applyAlignment="1" pivotButton="0" quotePrefix="0" xfId="0">
      <alignment horizontal="center" vertical="center"/>
    </xf>
    <xf numFmtId="0" fontId="23" fillId="17" borderId="5" applyAlignment="1" pivotButton="0" quotePrefix="0" xfId="0">
      <alignment horizontal="center" vertical="center"/>
    </xf>
    <xf numFmtId="0" fontId="23" fillId="17" borderId="6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20" fillId="6" borderId="5" applyAlignment="1" pivotButton="0" quotePrefix="0" xfId="0">
      <alignment horizontal="center" vertical="center"/>
    </xf>
    <xf numFmtId="0" fontId="20" fillId="6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40" fillId="22" borderId="35" applyAlignment="1" pivotButton="0" quotePrefix="0" xfId="0">
      <alignment horizontal="center" vertical="center" wrapText="1"/>
    </xf>
    <xf numFmtId="0" fontId="40" fillId="22" borderId="36" applyAlignment="1" pivotButton="0" quotePrefix="0" xfId="0">
      <alignment horizontal="center" vertical="center" wrapText="1"/>
    </xf>
    <xf numFmtId="0" fontId="40" fillId="22" borderId="34" applyAlignment="1" pivotButton="0" quotePrefix="0" xfId="0">
      <alignment horizontal="center" vertical="center" wrapText="1"/>
    </xf>
    <xf numFmtId="0" fontId="40" fillId="25" borderId="0" applyAlignment="1" pivotButton="0" quotePrefix="0" xfId="0">
      <alignment horizontal="center" wrapText="1"/>
    </xf>
    <xf numFmtId="0" fontId="6" fillId="0" borderId="0" pivotButton="0" quotePrefix="0" xfId="0"/>
    <xf numFmtId="0" fontId="40" fillId="2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40" fillId="0" borderId="14" applyAlignment="1" pivotButton="0" quotePrefix="0" xfId="0">
      <alignment horizontal="center"/>
    </xf>
    <xf numFmtId="0" fontId="40" fillId="0" borderId="16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40" fillId="0" borderId="82" applyAlignment="1" pivotButton="0" quotePrefix="0" xfId="0">
      <alignment horizontal="center" wrapText="1"/>
    </xf>
    <xf numFmtId="0" fontId="40" fillId="0" borderId="83" applyAlignment="1" pivotButton="0" quotePrefix="0" xfId="0">
      <alignment horizontal="center" wrapText="1"/>
    </xf>
    <xf numFmtId="0" fontId="40" fillId="25" borderId="0" applyAlignment="1" pivotButton="0" quotePrefix="0" xfId="0">
      <alignment horizontal="center" vertical="center"/>
    </xf>
    <xf numFmtId="0" fontId="40" fillId="2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8" borderId="29" applyAlignment="1" pivotButton="0" quotePrefix="0" xfId="0">
      <alignment horizontal="center" vertical="center"/>
    </xf>
    <xf numFmtId="0" fontId="6" fillId="8" borderId="24" applyAlignment="1" pivotButton="0" quotePrefix="0" xfId="0">
      <alignment horizontal="center" vertical="center"/>
    </xf>
    <xf numFmtId="0" fontId="40" fillId="20" borderId="14" applyAlignment="1" pivotButton="0" quotePrefix="0" xfId="0">
      <alignment horizontal="center"/>
    </xf>
    <xf numFmtId="0" fontId="40" fillId="20" borderId="15" applyAlignment="1" pivotButton="0" quotePrefix="0" xfId="0">
      <alignment horizontal="center"/>
    </xf>
    <xf numFmtId="0" fontId="40" fillId="20" borderId="16" applyAlignment="1" pivotButton="0" quotePrefix="0" xfId="0">
      <alignment horizontal="center"/>
    </xf>
    <xf numFmtId="0" fontId="6" fillId="8" borderId="21" applyAlignment="1" pivotButton="0" quotePrefix="0" xfId="0">
      <alignment horizontal="center" vertical="center" wrapText="1"/>
    </xf>
    <xf numFmtId="0" fontId="6" fillId="8" borderId="26" applyAlignment="1" pivotButton="0" quotePrefix="0" xfId="0">
      <alignment horizontal="center" vertical="center" wrapText="1"/>
    </xf>
    <xf numFmtId="0" fontId="6" fillId="19" borderId="53" applyAlignment="1" pivotButton="0" quotePrefix="0" xfId="0">
      <alignment horizontal="center" vertical="center"/>
    </xf>
    <xf numFmtId="0" fontId="6" fillId="19" borderId="54" applyAlignment="1" pivotButton="0" quotePrefix="0" xfId="0">
      <alignment horizontal="center" vertical="center"/>
    </xf>
    <xf numFmtId="0" fontId="40" fillId="20" borderId="14" applyAlignment="1" pivotButton="0" quotePrefix="0" xfId="0">
      <alignment horizontal="center" vertical="center"/>
    </xf>
    <xf numFmtId="0" fontId="40" fillId="20" borderId="15" applyAlignment="1" pivotButton="0" quotePrefix="0" xfId="0">
      <alignment horizontal="center" vertical="center"/>
    </xf>
    <xf numFmtId="0" fontId="40" fillId="20" borderId="30" applyAlignment="1" pivotButton="0" quotePrefix="0" xfId="0">
      <alignment horizontal="center" vertical="center"/>
    </xf>
    <xf numFmtId="0" fontId="40" fillId="20" borderId="16" applyAlignment="1" pivotButton="0" quotePrefix="0" xfId="0">
      <alignment horizontal="center" vertical="center"/>
    </xf>
    <xf numFmtId="0" fontId="6" fillId="8" borderId="25" applyAlignment="1" pivotButton="0" quotePrefix="0" xfId="0">
      <alignment horizontal="center" vertical="center"/>
    </xf>
    <xf numFmtId="0" fontId="6" fillId="8" borderId="20" applyAlignment="1" pivotButton="0" quotePrefix="0" xfId="0">
      <alignment horizontal="center" vertical="center"/>
    </xf>
    <xf numFmtId="0" fontId="6" fillId="8" borderId="21" applyAlignment="1" pivotButton="0" quotePrefix="0" xfId="0">
      <alignment horizontal="center" wrapText="1"/>
    </xf>
    <xf numFmtId="0" fontId="6" fillId="8" borderId="26" applyAlignment="1" pivotButton="0" quotePrefix="0" xfId="0">
      <alignment horizontal="center" wrapText="1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 wrapText="1"/>
    </xf>
    <xf numFmtId="0" fontId="2" fillId="18" borderId="22" applyAlignment="1" pivotButton="0" quotePrefix="0" xfId="0">
      <alignment horizontal="center"/>
    </xf>
    <xf numFmtId="0" fontId="2" fillId="18" borderId="23" applyAlignment="1" pivotButton="0" quotePrefix="0" xfId="0">
      <alignment horizontal="center"/>
    </xf>
    <xf numFmtId="0" fontId="17" fillId="0" borderId="1" applyAlignment="1" pivotButton="0" quotePrefix="0" xfId="0">
      <alignment horizontal="left" vertical="center"/>
    </xf>
    <xf numFmtId="0" fontId="37" fillId="0" borderId="4" applyAlignment="1" pivotButton="0" quotePrefix="0" xfId="0">
      <alignment horizontal="left" vertical="center" indent="1"/>
    </xf>
    <xf numFmtId="0" fontId="17" fillId="0" borderId="1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/>
    </xf>
    <xf numFmtId="0" fontId="17" fillId="0" borderId="4" applyAlignment="1" pivotButton="0" quotePrefix="0" xfId="0">
      <alignment horizontal="left"/>
    </xf>
    <xf numFmtId="0" fontId="38" fillId="0" borderId="1" applyAlignment="1" pivotButton="0" quotePrefix="0" xfId="0">
      <alignment vertical="center"/>
    </xf>
    <xf numFmtId="0" fontId="0" fillId="0" borderId="3" pivotButton="0" quotePrefix="0" xfId="0"/>
    <xf numFmtId="0" fontId="48" fillId="48" borderId="6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5" fontId="37" fillId="40" borderId="1" applyAlignment="1" pivotButton="0" quotePrefix="0" xfId="0">
      <alignment horizontal="center" vertical="center"/>
    </xf>
    <xf numFmtId="0" fontId="51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51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69" applyAlignment="1" pivotButton="0" quotePrefix="0" xfId="0">
      <alignment horizontal="center" vertical="center"/>
    </xf>
    <xf numFmtId="0" fontId="0" fillId="0" borderId="119" pivotButton="0" quotePrefix="0" xfId="0"/>
    <xf numFmtId="0" fontId="14" fillId="2" borderId="1" applyAlignment="1" pivotButton="0" quotePrefix="0" xfId="0">
      <alignment horizontal="center" vertical="center"/>
    </xf>
    <xf numFmtId="0" fontId="61" fillId="0" borderId="127" applyAlignment="1" pivotButton="0" quotePrefix="0" xfId="0">
      <alignment horizontal="center" vertical="center"/>
    </xf>
    <xf numFmtId="0" fontId="61" fillId="0" borderId="127" applyAlignment="1" pivotButton="0" quotePrefix="0" xfId="0">
      <alignment horizontal="left" vertical="center"/>
    </xf>
    <xf numFmtId="0" fontId="61" fillId="6" borderId="127" applyAlignment="1" pivotButton="0" quotePrefix="0" xfId="0">
      <alignment horizontal="left" vertical="center"/>
    </xf>
    <xf numFmtId="0" fontId="61" fillId="6" borderId="127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49" fontId="35" fillId="8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42" pivotButton="0" quotePrefix="0" xfId="0"/>
    <xf numFmtId="0" fontId="0" fillId="11" borderId="120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64" pivotButton="0" quotePrefix="0" xfId="0"/>
    <xf numFmtId="0" fontId="0" fillId="0" borderId="30" pivotButton="0" quotePrefix="0" xfId="0"/>
    <xf numFmtId="0" fontId="0" fillId="0" borderId="121" pivotButton="0" quotePrefix="0" xfId="0"/>
    <xf numFmtId="0" fontId="0" fillId="0" borderId="122" pivotButton="0" quotePrefix="0" xfId="0"/>
    <xf numFmtId="164" fontId="37" fillId="0" borderId="0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0" borderId="52" pivotButton="0" quotePrefix="0" xfId="0"/>
    <xf numFmtId="0" fontId="0" fillId="0" borderId="57" pivotButton="0" quotePrefix="0" xfId="0"/>
    <xf numFmtId="0" fontId="0" fillId="0" borderId="51" pivotButton="0" quotePrefix="0" xfId="0"/>
    <xf numFmtId="0" fontId="20" fillId="6" borderId="1" applyAlignment="1" pivotButton="0" quotePrefix="0" xfId="0">
      <alignment horizontal="center" vertical="center"/>
    </xf>
    <xf numFmtId="0" fontId="40" fillId="22" borderId="37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4" pivotButton="0" quotePrefix="0" xfId="0"/>
    <xf numFmtId="0" fontId="40" fillId="0" borderId="69" applyAlignment="1" pivotButton="0" quotePrefix="0" xfId="0">
      <alignment horizontal="center"/>
    </xf>
    <xf numFmtId="0" fontId="40" fillId="0" borderId="125" applyAlignment="1" pivotButton="0" quotePrefix="0" xfId="0">
      <alignment horizontal="center" wrapText="1"/>
    </xf>
    <xf numFmtId="0" fontId="0" fillId="0" borderId="83" pivotButton="0" quotePrefix="0" xfId="0"/>
    <xf numFmtId="0" fontId="40" fillId="20" borderId="69" applyAlignment="1" pivotButton="0" quotePrefix="0" xfId="0">
      <alignment horizontal="center" vertical="center"/>
    </xf>
    <xf numFmtId="0" fontId="40" fillId="20" borderId="69" applyAlignment="1" pivotButton="0" quotePrefix="0" xfId="0">
      <alignment horizontal="center"/>
    </xf>
    <xf numFmtId="0" fontId="0" fillId="0" borderId="89" pivotButton="0" quotePrefix="0" xfId="0"/>
    <xf numFmtId="0" fontId="6" fillId="8" borderId="1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6" fillId="19" borderId="69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126" pivotButton="0" quotePrefix="0" xfId="0"/>
    <xf numFmtId="0" fontId="0" fillId="0" borderId="112" pivotButton="0" quotePrefix="0" xfId="0"/>
    <xf numFmtId="0" fontId="62" fillId="0" borderId="0" applyAlignment="1" pivotButton="0" quotePrefix="0" xfId="0">
      <alignment horizontal="center" vertical="center"/>
    </xf>
    <xf numFmtId="0" fontId="63" fillId="0" borderId="104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/>
    </xf>
    <xf numFmtId="0" fontId="63" fillId="0" borderId="0" applyAlignment="1" pivotButton="0" quotePrefix="0" xfId="0">
      <alignment horizontal="left" vertical="center"/>
    </xf>
    <xf numFmtId="0" fontId="63" fillId="0" borderId="6" applyAlignment="1" pivotButton="0" quotePrefix="0" xfId="0">
      <alignment horizontal="center" vertical="center"/>
    </xf>
    <xf numFmtId="0" fontId="63" fillId="0" borderId="1" applyAlignment="1" pivotButton="0" quotePrefix="0" xfId="0">
      <alignment horizontal="center" vertical="center"/>
    </xf>
    <xf numFmtId="0" fontId="63" fillId="0" borderId="106" applyAlignment="1" pivotButton="0" quotePrefix="0" xfId="0">
      <alignment horizontal="center" vertical="center"/>
    </xf>
    <xf numFmtId="0" fontId="63" fillId="0" borderId="7" applyAlignment="1" pivotButton="0" quotePrefix="0" xfId="0">
      <alignment horizontal="center" vertical="center"/>
    </xf>
  </cellXfs>
  <cellStyles count="3">
    <cellStyle name="Normal" xfId="0" builtinId="0"/>
    <cellStyle name="Normal 9" xfId="1"/>
    <cellStyle name="Bad" xfId="2" builtinId="2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externalLink" Target="/xl/externalLinks/externalLink1.xml" Id="rId16" /><Relationship Type="http://schemas.openxmlformats.org/officeDocument/2006/relationships/externalLink" Target="/xl/externalLinks/externalLink2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Neil Lapalikar</author>
    <author>Admin</author>
  </authors>
  <commentList>
    <comment ref="B48" authorId="0" shapeId="0">
      <text>
        <t>Neil Lapalikar:
=IF(AND(OR(B35&lt;25,'DATA TRANSFER'!Q585=1,'DATA TRANSFER'!$F$12=1),calculation!B49=0),1,0)</t>
      </text>
    </comment>
    <comment ref="E49" authorId="1" shapeId="0">
      <text>
        <t>Admin:
OLD VENT FORMULA</t>
      </text>
    </comment>
    <comment ref="B73" authorId="0" shapeId="0">
      <text>
        <t>Neil Lapalikar:
=IF(B56=0,IF(OR(B57:B66,B69),1,0))</t>
      </text>
    </comment>
  </commentList>
</comments>
</file>

<file path=xl/comments/comment2.xml><?xml version="1.0" encoding="utf-8"?>
<comments xmlns="http://schemas.openxmlformats.org/spreadsheetml/2006/main">
  <authors>
    <author>Admin</author>
  </authors>
  <commentList>
    <comment ref="B28" authorId="0" shapeId="0">
      <text>
        <t>Admin:
=IF(AND(H10&gt;=H7,B26:B27=0,B32=0),1,0)</t>
      </text>
    </comment>
  </commentList>
</comments>
</file>

<file path=xl/comments/comment3.xml><?xml version="1.0" encoding="utf-8"?>
<comments xmlns="http://schemas.openxmlformats.org/spreadsheetml/2006/main">
  <authors>
    <author>Neil Lapalikar</author>
  </authors>
  <commentList>
    <comment ref="G11" authorId="0" shapeId="0">
      <text>
        <t>Neil Lapalikar:
=IF(AND(F6&gt;=F5+0.5,V6&lt;=50,K6=0,V7),1,0)</t>
      </text>
    </comment>
    <comment ref="H11" authorId="0" shapeId="0">
      <text>
        <t>Neil Lapalikar:
=IF(AND(F6 &lt;=25, V6 &lt;= 50, K6=0, V8=1), 1, 0)</t>
      </text>
    </comment>
    <comment ref="F108" authorId="0" shapeId="0">
      <text>
        <t>Neil Lapalikar:
=IF(AND(HVAC_IOs!D30=1,HVAC_IOs!D31=1,HVAC_IOs!D32=1,HVAC_IOs!D33=1,HVAC_IOs!D34=1,HVAC_IOs!D35=1,HVAC_IOs!D36=1,HVAC_IOs!D37=1,HVAC_IOs!D38=1,HVAC_IOs!D39=1,HVAC_IOs!D40=1,HVAC_IOs!D41=1,HVAC_IOs!D42=1,HVAC_IOs!D43=1,HVAC_IOs!D44=1),1,0)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581025</colOff>
      <row>2</row>
      <rowOff>28575</rowOff>
    </from>
    <to>
      <col>11</col>
      <colOff>29434</colOff>
      <row>16</row>
      <rowOff>171842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81025" y="409575"/>
          <a:ext cx="6154009" cy="281026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600075</colOff>
      <row>17</row>
      <rowOff>28575</rowOff>
    </from>
    <to>
      <col>17</col>
      <colOff>144258</colOff>
      <row>50</row>
      <rowOff>29452</rowOff>
    </to>
    <pic>
      <nvPicPr>
        <cNvPr id="4" name="Picture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00075" y="3267075"/>
          <a:ext cx="9907383" cy="628737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19050</colOff>
      <row>53</row>
      <rowOff>76200</rowOff>
    </from>
    <to>
      <col>19</col>
      <colOff>230161</colOff>
      <row>82</row>
      <rowOff>181761</rowOff>
    </to>
    <pic>
      <nvPicPr>
        <cNvPr id="3" name="Picture 2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628650" y="10172700"/>
          <a:ext cx="11183911" cy="5630061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J886%20HVAC%20Master%20Excel%20Data\Neil\J886%20HVAC%20Master%20Excel%20Data\J866%20_HVAC_%20MASTER%20_EXCEL%20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dmin\Desktop\New%20folder\Excel%20Backup\HVAC%20Excel%20Backup\J886_Software_HVAC_phase1-V1_updated_09OCT_1832pm1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Vac_SimulationStatus"/>
      <sheetName val="HVAC System IO"/>
      <sheetName val="Logic Flow Diagram"/>
      <sheetName val=" FAULTS LIST"/>
      <sheetName val="Track Data"/>
      <sheetName val="HVAC MODES IN NORMAL OPERATION"/>
      <sheetName val="FAULTS BACKEND"/>
      <sheetName val="Home Sheet "/>
      <sheetName val="Calculations"/>
      <sheetName val="SAT CS"/>
      <sheetName val="HMI"/>
      <sheetName val="Faults Effect"/>
      <sheetName val="Sheet3"/>
      <sheetName val="Sheet1"/>
    </sheetNames>
    <sheetDataSet>
      <sheetData sheetId="0">
        <row r="302">
          <cell r="AJ302">
            <v>30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DATA TRANSFER"/>
      <sheetName val="Sheet2"/>
      <sheetName val="Calculation"/>
      <sheetName val="Mode Logic"/>
      <sheetName val="HVAC MODES IN NORMAL OPERATION"/>
      <sheetName val="LFD OLD"/>
      <sheetName val="LFD New"/>
      <sheetName val="CIRCUIT SIM"/>
      <sheetName val="Sheet3"/>
      <sheetName val="Modes wrt HW"/>
      <sheetName val="HVAC_IOs"/>
      <sheetName val="TCMS"/>
      <sheetName val="Sheet1"/>
      <sheetName val="functionality"/>
      <sheetName val="fault List"/>
    </sheetNames>
    <sheetDataSet>
      <sheetData sheetId="0">
        <row r="10">
          <cell r="M10">
            <v>1</v>
          </cell>
        </row>
        <row r="12">
          <cell r="M12">
            <v>0</v>
          </cell>
        </row>
        <row r="16">
          <cell r="AF16"/>
        </row>
        <row r="17">
          <cell r="AF17"/>
        </row>
        <row r="19">
          <cell r="AF19"/>
        </row>
        <row r="21">
          <cell r="AE21">
            <v>0</v>
          </cell>
        </row>
        <row r="22">
          <cell r="AE22">
            <v>0</v>
          </cell>
        </row>
        <row r="23">
          <cell r="AE23">
            <v>0</v>
          </cell>
        </row>
        <row r="24">
          <cell r="AE2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E2">
            <v>0</v>
          </cell>
        </row>
        <row r="3">
          <cell r="AE3">
            <v>0</v>
          </cell>
        </row>
        <row r="4">
          <cell r="AE4">
            <v>0</v>
          </cell>
        </row>
        <row r="5">
          <cell r="AE5">
            <v>0</v>
          </cell>
        </row>
        <row r="6">
          <cell r="AE6">
            <v>0</v>
          </cell>
        </row>
        <row r="7">
          <cell r="AE7">
            <v>0</v>
          </cell>
        </row>
        <row r="8">
          <cell r="AE8">
            <v>0</v>
          </cell>
        </row>
        <row r="9">
          <cell r="AE9">
            <v>0</v>
          </cell>
        </row>
      </sheetData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G1828"/>
  <sheetViews>
    <sheetView tabSelected="1" topLeftCell="DK136" zoomScale="140" zoomScaleNormal="140" workbookViewId="0">
      <selection activeCell="DK159" sqref="DK159"/>
    </sheetView>
  </sheetViews>
  <sheetFormatPr baseColWidth="8" defaultColWidth="8.7109375" defaultRowHeight="15"/>
  <cols>
    <col width="13.42578125" customWidth="1" style="265" min="1" max="1"/>
    <col width="47.140625" customWidth="1" style="265" min="2" max="2"/>
    <col width="56.28515625" customWidth="1" style="321" min="3" max="3"/>
    <col width="15.28515625" customWidth="1" style="335" min="4" max="4"/>
    <col width="14.42578125" customWidth="1" style="265" min="5" max="5"/>
    <col width="49.42578125" customWidth="1" style="265" min="6" max="6"/>
    <col width="31.85546875" customWidth="1" style="265" min="7" max="7"/>
    <col width="39.85546875" customWidth="1" style="335" min="8" max="8"/>
    <col width="50.42578125" customWidth="1" style="335" min="9" max="10"/>
    <col width="34" customWidth="1" style="265" min="11" max="11"/>
    <col width="54.140625" customWidth="1" style="265" min="12" max="12"/>
    <col width="38.42578125" customWidth="1" style="335" min="13" max="13"/>
    <col width="30.140625" bestFit="1" customWidth="1" style="265" min="14" max="14"/>
    <col width="29.42578125" customWidth="1" style="265" min="15" max="15"/>
    <col width="18.140625" customWidth="1" style="335" min="16" max="16"/>
    <col width="12.28515625" customWidth="1" style="265" min="17" max="17"/>
    <col width="33.85546875" bestFit="1" customWidth="1" style="265" min="18" max="18"/>
    <col width="33.85546875" bestFit="1" customWidth="1" style="335" min="19" max="19"/>
    <col width="29" customWidth="1" style="335" min="20" max="20"/>
    <col width="9.5703125" bestFit="1" customWidth="1" style="265" min="21" max="21"/>
    <col width="28.85546875" bestFit="1" customWidth="1" style="335" min="22" max="22"/>
    <col width="27.140625" customWidth="1" style="335" min="23" max="23"/>
    <col width="27.85546875" customWidth="1" style="335" min="24" max="24"/>
    <col width="31.140625" customWidth="1" style="335" min="25" max="25"/>
    <col width="35" customWidth="1" style="335" min="26" max="26"/>
    <col width="55.140625" customWidth="1" style="335" min="27" max="28"/>
    <col width="19.42578125" customWidth="1" style="335" min="29" max="29"/>
    <col width="14.140625" customWidth="1" style="335" min="30" max="30"/>
    <col width="16" customWidth="1" style="335" min="31" max="31"/>
    <col width="34.140625" customWidth="1" style="335" min="32" max="32"/>
    <col width="27.7109375" customWidth="1" style="335" min="33" max="33"/>
    <col width="33.42578125" customWidth="1" style="335" min="34" max="34"/>
    <col width="19" customWidth="1" style="335" min="35" max="35"/>
    <col width="12" customWidth="1" style="335" min="36" max="36"/>
    <col width="17.42578125" customWidth="1" style="335" min="37" max="37"/>
    <col width="13.140625" customWidth="1" style="335" min="38" max="38"/>
    <col width="42.7109375" customWidth="1" style="335" min="39" max="39"/>
    <col width="30.42578125" customWidth="1" style="335" min="40" max="40"/>
    <col width="13.28515625" customWidth="1" style="335" min="41" max="41"/>
    <col width="47.42578125" customWidth="1" style="335" min="42" max="42"/>
    <col width="32.42578125" customWidth="1" style="335" min="43" max="43"/>
    <col width="36.140625" customWidth="1" style="335" min="44" max="44"/>
    <col width="21.28515625" customWidth="1" style="335" min="45" max="45"/>
    <col width="17.140625" customWidth="1" style="335" min="46" max="46"/>
    <col width="12.28515625" customWidth="1" style="335" min="47" max="47"/>
    <col width="8.7109375" customWidth="1" style="335" min="48" max="49"/>
    <col width="14" customWidth="1" style="335" min="50" max="50"/>
    <col width="17.7109375" customWidth="1" style="335" min="51" max="51"/>
    <col width="18" customWidth="1" style="335" min="52" max="52"/>
    <col width="15.140625" customWidth="1" style="335" min="53" max="53"/>
    <col width="8.7109375" customWidth="1" style="335" min="54" max="54"/>
    <col width="11.85546875" customWidth="1" style="335" min="55" max="55"/>
    <col width="29" customWidth="1" style="335" min="56" max="56"/>
    <col width="31.85546875" customWidth="1" style="335" min="57" max="57"/>
    <col width="21.85546875" customWidth="1" style="335" min="58" max="58"/>
    <col width="24.42578125" customWidth="1" style="335" min="59" max="59"/>
    <col width="17.42578125" customWidth="1" style="335" min="60" max="60"/>
    <col width="31.140625" customWidth="1" style="335" min="61" max="61"/>
    <col width="35.140625" customWidth="1" style="335" min="62" max="62"/>
    <col width="41.7109375" customWidth="1" style="335" min="63" max="63"/>
    <col width="21.28515625" customWidth="1" style="335" min="64" max="64"/>
    <col width="25.28515625" customWidth="1" style="335" min="65" max="65"/>
    <col width="20.85546875" customWidth="1" style="335" min="66" max="66"/>
    <col width="20.28515625" customWidth="1" style="335" min="67" max="67"/>
    <col width="15.42578125" customWidth="1" style="335" min="68" max="73"/>
    <col width="34.42578125" customWidth="1" style="335" min="74" max="74"/>
    <col width="32.7109375" customWidth="1" style="335" min="75" max="75"/>
    <col width="38.42578125" customWidth="1" style="335" min="76" max="76"/>
    <col width="25.7109375" customWidth="1" style="335" min="77" max="77"/>
    <col width="35.28515625" customWidth="1" style="335" min="78" max="78"/>
    <col width="38.42578125" customWidth="1" style="335" min="79" max="79"/>
    <col width="15.42578125" customWidth="1" style="335" min="80" max="81"/>
    <col width="33.140625" customWidth="1" style="335" min="82" max="82"/>
    <col width="34.7109375" customWidth="1" style="321" min="83" max="83"/>
    <col width="15.42578125" customWidth="1" style="335" min="84" max="88"/>
    <col width="8.7109375" customWidth="1" style="335" min="89" max="89"/>
    <col width="17.140625" customWidth="1" style="335" min="90" max="90"/>
    <col width="58" customWidth="1" style="335" min="91" max="91"/>
    <col width="17" customWidth="1" style="335" min="92" max="92"/>
    <col width="8.7109375" customWidth="1" style="335" min="93" max="94"/>
    <col width="11.7109375" customWidth="1" style="335" min="95" max="95"/>
    <col width="13.140625" customWidth="1" style="335" min="96" max="96"/>
    <col width="20.42578125" customWidth="1" style="335" min="97" max="97"/>
    <col width="20.28515625" customWidth="1" style="335" min="98" max="98"/>
    <col width="19.42578125" customWidth="1" style="335" min="99" max="99"/>
    <col width="21.42578125" customWidth="1" style="335" min="100" max="100"/>
    <col width="16.42578125" customWidth="1" style="335" min="101" max="101"/>
    <col width="15.7109375" customWidth="1" style="335" min="102" max="102"/>
    <col width="11.7109375" customWidth="1" style="335" min="103" max="103"/>
    <col width="8.7109375" customWidth="1" style="335" min="104" max="104"/>
    <col width="16.42578125" customWidth="1" style="335" min="105" max="105"/>
    <col width="8.7109375" customWidth="1" style="335" min="106" max="108"/>
    <col width="21.7109375" customWidth="1" style="335" min="109" max="110"/>
    <col width="15.7109375" customWidth="1" style="335" min="111" max="111"/>
    <col width="27.42578125" customWidth="1" style="335" min="112" max="112"/>
    <col width="8.7109375" customWidth="1" style="335" min="113" max="115"/>
    <col width="48.28515625" customWidth="1" style="335" min="116" max="116"/>
    <col width="15.5703125" customWidth="1" style="265" min="117" max="117"/>
    <col width="12" customWidth="1" style="335" min="118" max="118"/>
    <col width="8.7109375" customWidth="1" style="335" min="119" max="120"/>
    <col width="41.5703125" bestFit="1" customWidth="1" style="335" min="121" max="121"/>
    <col width="8.7109375" customWidth="1" style="335" min="122" max="122"/>
    <col width="22.140625" customWidth="1" style="335" min="123" max="123"/>
    <col width="19.42578125" customWidth="1" style="335" min="124" max="124"/>
    <col width="17.140625" customWidth="1" style="335" min="125" max="125"/>
    <col width="19" customWidth="1" style="335" min="126" max="126"/>
    <col width="8.7109375" customWidth="1" style="335" min="127" max="16384"/>
  </cols>
  <sheetData>
    <row r="1">
      <c r="C1" s="321" t="inlineStr">
        <is>
          <t> </t>
        </is>
      </c>
      <c r="E1" s="265" t="inlineStr">
        <is>
          <t> </t>
        </is>
      </c>
      <c r="H1" s="335" t="inlineStr">
        <is>
          <t> </t>
        </is>
      </c>
      <c r="K1" s="265" t="inlineStr">
        <is>
          <t> </t>
        </is>
      </c>
    </row>
    <row r="2">
      <c r="C2" s="321" t="inlineStr">
        <is>
          <t> </t>
        </is>
      </c>
      <c r="D2" s="335" t="n">
        <v>0</v>
      </c>
      <c r="E2" s="265" t="inlineStr">
        <is>
          <t> </t>
        </is>
      </c>
      <c r="H2" s="335" t="inlineStr">
        <is>
          <t> </t>
        </is>
      </c>
      <c r="K2" s="265" t="inlineStr">
        <is>
          <t> </t>
        </is>
      </c>
    </row>
    <row r="3" ht="40.5" customHeight="1">
      <c r="A3" s="691" t="inlineStr">
        <is>
          <t>GUI Screen (CPU_WS-CPU_CAB/PTT)</t>
        </is>
      </c>
    </row>
    <row r="6" ht="22.5" customHeight="1">
      <c r="J6" s="335">
        <f>IF('Mode Logic'!C18&gt;'Mode Logic'!G5,1,0)</f>
        <v/>
      </c>
    </row>
    <row r="7" ht="24.75" customHeight="1" thickBot="1">
      <c r="G7" s="265">
        <f>'CIRCUIT SIM'!J4</f>
        <v/>
      </c>
    </row>
    <row r="8" ht="35.25" customHeight="1" thickBot="1">
      <c r="A8" s="693" t="inlineStr">
        <is>
          <t xml:space="preserve">	HVAC-Control Panel Screen</t>
        </is>
      </c>
      <c r="B8" s="792" t="n"/>
      <c r="C8" s="792" t="n"/>
      <c r="D8" s="792" t="n"/>
      <c r="E8" s="792" t="n"/>
      <c r="F8" s="792" t="n"/>
      <c r="G8" s="792" t="n"/>
      <c r="H8" s="792" t="n"/>
      <c r="I8" s="792" t="n"/>
      <c r="J8" s="792" t="n"/>
      <c r="K8" s="792" t="n"/>
      <c r="L8" s="792" t="n"/>
      <c r="M8" s="792" t="n"/>
      <c r="N8" s="792" t="n"/>
      <c r="S8" s="686" t="inlineStr">
        <is>
          <t xml:space="preserve">HVAC- Operating Mode Screen </t>
        </is>
      </c>
      <c r="T8" s="792" t="n"/>
      <c r="U8" s="792" t="n"/>
      <c r="V8" s="792" t="n"/>
      <c r="W8" s="792" t="n"/>
      <c r="X8" s="792" t="n"/>
      <c r="Y8" s="792" t="n"/>
      <c r="Z8" s="792" t="n"/>
      <c r="AA8" s="792" t="n"/>
      <c r="AB8" s="792" t="n"/>
      <c r="AC8" s="792" t="n"/>
      <c r="AD8" s="792" t="n"/>
      <c r="AE8" s="792" t="n"/>
      <c r="AF8" s="792" t="n"/>
      <c r="AH8" s="686" t="inlineStr">
        <is>
          <t xml:space="preserve">		HVAC-: 2D Schematic Screen </t>
        </is>
      </c>
      <c r="AI8" s="792" t="n"/>
      <c r="AJ8" s="792" t="n"/>
      <c r="AK8" s="792" t="n"/>
      <c r="AL8" s="792" t="n"/>
      <c r="AM8" s="792" t="n"/>
      <c r="AN8" s="792" t="n"/>
      <c r="AO8" s="792" t="n"/>
      <c r="AP8" s="792" t="n"/>
      <c r="AQ8" s="792" t="n"/>
      <c r="AR8" s="792" t="n"/>
      <c r="AS8" s="792" t="n"/>
      <c r="AT8" s="792" t="n"/>
      <c r="AU8" s="792" t="n"/>
      <c r="BE8" s="686" t="inlineStr">
        <is>
          <t xml:space="preserve">Ethernet Architecture Screen  </t>
        </is>
      </c>
      <c r="BF8" s="792" t="n"/>
      <c r="BG8" s="792" t="n"/>
      <c r="BH8" s="792" t="n"/>
      <c r="BI8" s="792" t="n"/>
      <c r="BJ8" s="792" t="n"/>
      <c r="BK8" s="792" t="n"/>
      <c r="BL8" s="792" t="n"/>
      <c r="BM8" s="792" t="n"/>
      <c r="BN8" s="792" t="n"/>
      <c r="BO8" s="792" t="n"/>
      <c r="BP8" s="792" t="n"/>
      <c r="BQ8" s="792" t="n"/>
      <c r="BR8" s="792" t="n"/>
      <c r="BV8" s="686" t="inlineStr">
        <is>
          <t>Representative Operational Graph</t>
        </is>
      </c>
      <c r="BW8" s="792" t="n"/>
      <c r="BX8" s="792" t="n"/>
      <c r="BY8" s="792" t="n"/>
      <c r="BZ8" s="792" t="n"/>
      <c r="CA8" s="792" t="n"/>
      <c r="CB8" s="792" t="n"/>
      <c r="CC8" s="792" t="n"/>
      <c r="CD8" s="792" t="n"/>
      <c r="CE8" s="792" t="n"/>
      <c r="CF8" s="792" t="n"/>
      <c r="CG8" s="792" t="n"/>
      <c r="CH8" s="792" t="n"/>
      <c r="CI8" s="792" t="n"/>
      <c r="CK8" s="793" t="n"/>
      <c r="CL8" s="794" t="n"/>
      <c r="CM8" s="794" t="n"/>
      <c r="CN8" s="794" t="n"/>
      <c r="CO8" s="794" t="n"/>
      <c r="CP8" s="794" t="n"/>
      <c r="CQ8" s="795" t="n"/>
      <c r="CU8" s="662" t="n"/>
      <c r="CV8" s="663" t="n"/>
      <c r="CW8" s="663" t="n"/>
      <c r="CX8" s="663" t="n"/>
      <c r="CY8" s="663" t="n"/>
      <c r="CZ8" s="663" t="n"/>
      <c r="DA8" s="664" t="n"/>
      <c r="DK8" s="661" t="inlineStr">
        <is>
          <t>GUI Driver Panel</t>
        </is>
      </c>
      <c r="DL8" s="792" t="n"/>
      <c r="DM8" s="792" t="n"/>
      <c r="DN8" s="792" t="n"/>
      <c r="DO8" s="792" t="n"/>
      <c r="DP8" s="792" t="n"/>
      <c r="DQ8" s="792" t="n"/>
    </row>
    <row r="9" ht="40.5" customFormat="1" customHeight="1" s="265">
      <c r="A9" s="436" t="inlineStr">
        <is>
          <t xml:space="preserve">SR NO </t>
        </is>
      </c>
      <c r="B9" s="436" t="inlineStr">
        <is>
          <t>Component_ID</t>
        </is>
      </c>
      <c r="C9" s="436" t="inlineStr">
        <is>
          <t xml:space="preserve"> INPUT </t>
        </is>
      </c>
      <c r="D9" s="436">
        <f>'LFD New'!D2</f>
        <v/>
      </c>
      <c r="E9" s="436" t="inlineStr">
        <is>
          <t>Source</t>
        </is>
      </c>
      <c r="F9" s="436" t="inlineStr">
        <is>
          <t>Value</t>
        </is>
      </c>
      <c r="G9" s="436" t="inlineStr">
        <is>
          <t>Remark</t>
        </is>
      </c>
      <c r="H9" s="436" t="inlineStr">
        <is>
          <t>SR NO</t>
        </is>
      </c>
      <c r="I9" s="436" t="inlineStr">
        <is>
          <t>Component_ID</t>
        </is>
      </c>
      <c r="J9" s="441" t="inlineStr">
        <is>
          <t>OUTPUT</t>
        </is>
      </c>
      <c r="K9" s="436" t="inlineStr">
        <is>
          <t>Data Type</t>
        </is>
      </c>
      <c r="L9" s="436" t="inlineStr">
        <is>
          <t>Source</t>
        </is>
      </c>
      <c r="M9" s="436" t="inlineStr">
        <is>
          <t>Value</t>
        </is>
      </c>
      <c r="N9" s="436" t="inlineStr">
        <is>
          <t>Remark</t>
        </is>
      </c>
      <c r="Q9" s="265">
        <f>IF('Mode Logic'!P18=1,5,0)</f>
        <v/>
      </c>
      <c r="S9" s="436" t="inlineStr">
        <is>
          <t xml:space="preserve">SR NO </t>
        </is>
      </c>
      <c r="T9" s="436" t="inlineStr">
        <is>
          <t>Component_ID</t>
        </is>
      </c>
      <c r="U9" s="436" t="inlineStr">
        <is>
          <t xml:space="preserve"> INPUT </t>
        </is>
      </c>
      <c r="V9" s="436" t="inlineStr">
        <is>
          <t xml:space="preserve">Data Type </t>
        </is>
      </c>
      <c r="W9" s="436" t="inlineStr">
        <is>
          <t>Source</t>
        </is>
      </c>
      <c r="X9" s="436" t="inlineStr">
        <is>
          <t>Value</t>
        </is>
      </c>
      <c r="Y9" s="436" t="inlineStr">
        <is>
          <t>Remark</t>
        </is>
      </c>
      <c r="Z9" s="436" t="inlineStr">
        <is>
          <t>SR NO</t>
        </is>
      </c>
      <c r="AA9" s="436" t="inlineStr">
        <is>
          <t>Component_ID</t>
        </is>
      </c>
      <c r="AB9" s="436" t="inlineStr">
        <is>
          <t>OUTPUT</t>
        </is>
      </c>
      <c r="AC9" s="436" t="inlineStr">
        <is>
          <t>Data Type</t>
        </is>
      </c>
      <c r="AD9" s="436" t="inlineStr">
        <is>
          <t>Source</t>
        </is>
      </c>
      <c r="AE9" s="436" t="inlineStr">
        <is>
          <t>Value</t>
        </is>
      </c>
      <c r="AF9" s="436" t="inlineStr">
        <is>
          <t>Remark</t>
        </is>
      </c>
      <c r="AH9" s="436" t="inlineStr">
        <is>
          <t xml:space="preserve">SR NO </t>
        </is>
      </c>
      <c r="AI9" s="436" t="inlineStr">
        <is>
          <t>Component_ID</t>
        </is>
      </c>
      <c r="AJ9" s="436" t="inlineStr">
        <is>
          <t xml:space="preserve">INPUT </t>
        </is>
      </c>
      <c r="AK9" s="436" t="inlineStr">
        <is>
          <t xml:space="preserve">Data Type </t>
        </is>
      </c>
      <c r="AL9" s="436" t="inlineStr">
        <is>
          <t>Source</t>
        </is>
      </c>
      <c r="AM9" s="436" t="inlineStr">
        <is>
          <t>Value</t>
        </is>
      </c>
      <c r="AN9" s="436" t="inlineStr">
        <is>
          <t>Remark</t>
        </is>
      </c>
      <c r="AO9" s="436" t="inlineStr">
        <is>
          <t>SR NO</t>
        </is>
      </c>
      <c r="AP9" s="436" t="inlineStr">
        <is>
          <t>Component_ID</t>
        </is>
      </c>
      <c r="AQ9" s="436" t="inlineStr">
        <is>
          <t>OUTPUT</t>
        </is>
      </c>
      <c r="AR9" s="436" t="inlineStr">
        <is>
          <t>Data Type</t>
        </is>
      </c>
      <c r="AS9" s="436" t="inlineStr">
        <is>
          <t>Source</t>
        </is>
      </c>
      <c r="AT9" s="436" t="inlineStr">
        <is>
          <t>Value</t>
        </is>
      </c>
      <c r="AU9" s="436" t="inlineStr">
        <is>
          <t>Remark</t>
        </is>
      </c>
      <c r="BE9" s="436" t="inlineStr">
        <is>
          <t xml:space="preserve">SR NO </t>
        </is>
      </c>
      <c r="BF9" s="436" t="inlineStr">
        <is>
          <t>Component_ID</t>
        </is>
      </c>
      <c r="BG9" s="436" t="inlineStr">
        <is>
          <t xml:space="preserve">INPUT </t>
        </is>
      </c>
      <c r="BH9" s="436" t="inlineStr">
        <is>
          <t xml:space="preserve">Data Type </t>
        </is>
      </c>
      <c r="BI9" s="436" t="inlineStr">
        <is>
          <t>Source</t>
        </is>
      </c>
      <c r="BJ9" s="436" t="inlineStr">
        <is>
          <t>Value</t>
        </is>
      </c>
      <c r="BK9" s="436" t="inlineStr">
        <is>
          <t>Remark</t>
        </is>
      </c>
      <c r="BL9" s="436" t="inlineStr">
        <is>
          <t>SR NO</t>
        </is>
      </c>
      <c r="BM9" s="436" t="inlineStr">
        <is>
          <t>Component_ID</t>
        </is>
      </c>
      <c r="BN9" s="436" t="inlineStr">
        <is>
          <t xml:space="preserve"> OUTPUT</t>
        </is>
      </c>
      <c r="BO9" s="436" t="inlineStr">
        <is>
          <t>Data Type</t>
        </is>
      </c>
      <c r="BP9" s="436" t="inlineStr">
        <is>
          <t>Source</t>
        </is>
      </c>
      <c r="BQ9" s="436" t="inlineStr">
        <is>
          <t>Value</t>
        </is>
      </c>
      <c r="BR9" s="436" t="inlineStr">
        <is>
          <t>Remark</t>
        </is>
      </c>
      <c r="BV9" s="436" t="inlineStr">
        <is>
          <t xml:space="preserve">SR NO </t>
        </is>
      </c>
      <c r="BW9" s="436" t="inlineStr">
        <is>
          <t>Component_ID</t>
        </is>
      </c>
      <c r="BX9" s="436" t="inlineStr">
        <is>
          <t xml:space="preserve">INPUT </t>
        </is>
      </c>
      <c r="BY9" s="436" t="inlineStr">
        <is>
          <t xml:space="preserve">Data Type </t>
        </is>
      </c>
      <c r="BZ9" s="436" t="inlineStr">
        <is>
          <t>Source</t>
        </is>
      </c>
      <c r="CA9" s="436" t="inlineStr">
        <is>
          <t>Value</t>
        </is>
      </c>
      <c r="CB9" s="436" t="inlineStr">
        <is>
          <t>Remark</t>
        </is>
      </c>
      <c r="CC9" s="436" t="inlineStr">
        <is>
          <t>SR NO</t>
        </is>
      </c>
      <c r="CD9" s="436" t="inlineStr">
        <is>
          <t>Component_ID</t>
        </is>
      </c>
      <c r="CE9" s="442" t="inlineStr">
        <is>
          <t>OUTPUT</t>
        </is>
      </c>
      <c r="CF9" s="436" t="inlineStr">
        <is>
          <t>Data Type</t>
        </is>
      </c>
      <c r="CG9" s="436" t="inlineStr">
        <is>
          <t>Source</t>
        </is>
      </c>
      <c r="CH9" s="436" t="inlineStr">
        <is>
          <t>Value</t>
        </is>
      </c>
      <c r="CI9" s="436" t="inlineStr">
        <is>
          <t>Remark</t>
        </is>
      </c>
      <c r="CK9" s="443" t="inlineStr">
        <is>
          <t xml:space="preserve">SR NO </t>
        </is>
      </c>
      <c r="CL9" s="443" t="inlineStr">
        <is>
          <t>Component_ID</t>
        </is>
      </c>
      <c r="CM9" s="443" t="inlineStr">
        <is>
          <t xml:space="preserve"> INPUT </t>
        </is>
      </c>
      <c r="CN9" s="443" t="inlineStr">
        <is>
          <t>Data Type</t>
        </is>
      </c>
      <c r="CO9" s="443" t="inlineStr">
        <is>
          <t>Source</t>
        </is>
      </c>
      <c r="CP9" s="443" t="inlineStr">
        <is>
          <t>Value</t>
        </is>
      </c>
      <c r="CQ9" s="443" t="inlineStr">
        <is>
          <t>Remark</t>
        </is>
      </c>
      <c r="CU9" s="443" t="inlineStr">
        <is>
          <t>SR NO</t>
        </is>
      </c>
      <c r="CV9" s="443" t="inlineStr">
        <is>
          <t>Component_ID</t>
        </is>
      </c>
      <c r="CW9" s="444" t="inlineStr">
        <is>
          <t>OUTPUT</t>
        </is>
      </c>
      <c r="CX9" s="443" t="inlineStr">
        <is>
          <t>Data Type</t>
        </is>
      </c>
      <c r="CY9" s="443" t="inlineStr">
        <is>
          <t>Source</t>
        </is>
      </c>
      <c r="CZ9" s="443" t="inlineStr">
        <is>
          <t>Value</t>
        </is>
      </c>
      <c r="DA9" s="443" t="inlineStr">
        <is>
          <t>Remark</t>
        </is>
      </c>
      <c r="DK9" s="436" t="inlineStr">
        <is>
          <t xml:space="preserve">SR NO </t>
        </is>
      </c>
      <c r="DL9" s="436" t="inlineStr">
        <is>
          <t>Description</t>
        </is>
      </c>
      <c r="DM9" s="436" t="inlineStr">
        <is>
          <t xml:space="preserve">INPUT </t>
        </is>
      </c>
      <c r="DN9" s="436" t="inlineStr">
        <is>
          <t xml:space="preserve">Data Type </t>
        </is>
      </c>
      <c r="DO9" s="436" t="inlineStr">
        <is>
          <t>Source</t>
        </is>
      </c>
      <c r="DP9" s="436" t="inlineStr">
        <is>
          <t>Value</t>
        </is>
      </c>
      <c r="DQ9" s="436" t="inlineStr">
        <is>
          <t>Remark</t>
        </is>
      </c>
    </row>
    <row r="10" ht="24.95" customHeight="1">
      <c r="A10" s="429" t="n">
        <v>1</v>
      </c>
      <c r="B10" s="445" t="inlineStr">
        <is>
          <t>HVAC1_CBF_1</t>
        </is>
      </c>
      <c r="C10" s="446" t="inlineStr">
        <is>
          <t>Cab Booster Fan</t>
        </is>
      </c>
      <c r="D10" s="447" t="inlineStr">
        <is>
          <t>Boolean</t>
        </is>
      </c>
      <c r="E10" s="429" t="n"/>
      <c r="F10" s="429" t="n">
        <v>0</v>
      </c>
      <c r="G10" s="429" t="n"/>
      <c r="H10" s="429" t="n">
        <v>18</v>
      </c>
      <c r="I10" s="448" t="inlineStr">
        <is>
          <t>HVAC1_ISA_ON_1</t>
        </is>
      </c>
      <c r="J10" s="449" t="inlineStr">
        <is>
          <t>Internal Smoke Alarm ON</t>
        </is>
      </c>
      <c r="K10" s="447" t="inlineStr">
        <is>
          <t>Boolean</t>
        </is>
      </c>
      <c r="L10" s="429" t="inlineStr">
        <is>
          <t>HVAC I/Os_DO</t>
        </is>
      </c>
      <c r="M10" s="429">
        <f>F28</f>
        <v/>
      </c>
      <c r="N10" s="429" t="n"/>
      <c r="S10" s="429" t="n"/>
      <c r="T10" s="445" t="n"/>
      <c r="U10" s="445" t="inlineStr">
        <is>
          <t>Spare</t>
        </is>
      </c>
      <c r="V10" s="447" t="n"/>
      <c r="W10" s="429" t="n"/>
      <c r="X10" s="450" t="n">
        <v>0</v>
      </c>
      <c r="Y10" s="451" t="n"/>
      <c r="Z10" s="429" t="n">
        <v>1</v>
      </c>
      <c r="AA10" s="448" t="inlineStr">
        <is>
          <t>HVAC1_AMB_TEMP_1</t>
        </is>
      </c>
      <c r="AB10" s="449" t="inlineStr">
        <is>
          <t>Ambient Temperature</t>
        </is>
      </c>
      <c r="AC10" s="447" t="inlineStr">
        <is>
          <t>Float</t>
        </is>
      </c>
      <c r="AD10" s="429" t="n"/>
      <c r="AE10" s="450">
        <f>F39</f>
        <v/>
      </c>
      <c r="AF10" s="451" t="n"/>
      <c r="AH10" s="429" t="n"/>
      <c r="AI10" s="445" t="n"/>
      <c r="AJ10" s="446" t="n"/>
      <c r="AK10" s="447" t="n"/>
      <c r="AL10" s="429" t="n"/>
      <c r="AM10" s="429" t="n">
        <v>0</v>
      </c>
      <c r="AN10" s="451" t="n"/>
      <c r="AO10" s="429" t="n">
        <v>1</v>
      </c>
      <c r="AP10" s="448" t="inlineStr">
        <is>
          <t>HVAC1_ACCESS_VALVE_1</t>
        </is>
      </c>
      <c r="AQ10" s="449" t="inlineStr">
        <is>
          <t>Access Valve_1</t>
        </is>
      </c>
      <c r="AR10" s="447" t="inlineStr">
        <is>
          <t>Boolean</t>
        </is>
      </c>
      <c r="AS10" s="429" t="n"/>
      <c r="AT10" s="450" t="n">
        <v>1</v>
      </c>
      <c r="AU10" s="451" t="n"/>
      <c r="BE10" s="429" t="n"/>
      <c r="BF10" s="445" t="n"/>
      <c r="BG10" s="446" t="n"/>
      <c r="BH10" s="447" t="n"/>
      <c r="BI10" s="429" t="n"/>
      <c r="BJ10" s="429" t="n">
        <v>0</v>
      </c>
      <c r="BK10" s="451" t="n"/>
      <c r="BL10" s="429" t="n">
        <v>1</v>
      </c>
      <c r="BM10" s="448" t="inlineStr">
        <is>
          <t>TCMS_CN1</t>
        </is>
      </c>
      <c r="BN10" s="449" t="inlineStr">
        <is>
          <t>TCMS(CN1)</t>
        </is>
      </c>
      <c r="BO10" s="447" t="inlineStr">
        <is>
          <t>Boolean</t>
        </is>
      </c>
      <c r="BP10" s="429" t="n"/>
      <c r="BQ10" s="429" t="n">
        <v>1</v>
      </c>
      <c r="BR10" s="451" t="n"/>
      <c r="BV10" s="429" t="n"/>
      <c r="BW10" s="445" t="n"/>
      <c r="BX10" s="446" t="n"/>
      <c r="BY10" s="447" t="n"/>
      <c r="BZ10" s="429" t="n"/>
      <c r="CA10" s="429" t="n">
        <v>0</v>
      </c>
      <c r="CB10" s="451" t="n"/>
      <c r="CC10" s="429" t="n">
        <v>1</v>
      </c>
      <c r="CD10" s="448" t="inlineStr">
        <is>
          <t>AVG_TEMPERATURE_C_</t>
        </is>
      </c>
      <c r="CE10" s="452" t="inlineStr">
        <is>
          <t>Average Temperature[°C](Y axis)</t>
        </is>
      </c>
      <c r="CF10" s="447" t="inlineStr">
        <is>
          <t>Float</t>
        </is>
      </c>
      <c r="CG10" s="429" t="n"/>
      <c r="CH10" s="429">
        <f>Calculation!B34</f>
        <v/>
      </c>
      <c r="CI10" s="451">
        <f>Calculation!B34</f>
        <v/>
      </c>
      <c r="CK10" s="451" t="n"/>
      <c r="CL10" s="451" t="n"/>
      <c r="CM10" s="754" t="inlineStr">
        <is>
          <t>Fault information (Text 48–55)</t>
        </is>
      </c>
      <c r="CN10" s="451" t="n"/>
      <c r="CO10" s="451" t="n"/>
      <c r="CP10" s="451" t="n"/>
      <c r="CQ10" s="451" t="n"/>
      <c r="CU10" s="451" t="n"/>
      <c r="CV10" s="451" t="n"/>
      <c r="CW10" s="451" t="n"/>
      <c r="CX10" s="451" t="n"/>
      <c r="CY10" s="451" t="n"/>
      <c r="CZ10" s="451" t="n"/>
      <c r="DA10" s="451" t="n"/>
      <c r="DE10" s="454" t="inlineStr">
        <is>
          <t>Reduced Mode</t>
        </is>
      </c>
      <c r="DF10" s="454" t="n"/>
      <c r="DG10" s="454" t="n"/>
      <c r="DH10" s="454" t="n"/>
      <c r="DK10" s="429" t="n">
        <v>1</v>
      </c>
      <c r="DL10" s="430" t="inlineStr">
        <is>
          <t>Key Switch On</t>
        </is>
      </c>
      <c r="DM10" s="429" t="n"/>
      <c r="DN10" s="429" t="inlineStr">
        <is>
          <t>0/1</t>
        </is>
      </c>
      <c r="DO10" s="429" t="inlineStr">
        <is>
          <t>GUI</t>
        </is>
      </c>
      <c r="DP10" s="429" t="n">
        <v>1</v>
      </c>
      <c r="DQ10" s="429" t="n"/>
    </row>
    <row r="11" ht="24.95" customHeight="1">
      <c r="A11" s="429" t="n">
        <v>2</v>
      </c>
      <c r="B11" s="445" t="inlineStr">
        <is>
          <t>HVAC1_PWR_DS3D_1</t>
        </is>
      </c>
      <c r="C11" s="446" t="inlineStr">
        <is>
          <t>Power DS3D</t>
        </is>
      </c>
      <c r="D11" s="447" t="inlineStr">
        <is>
          <t>Boolean</t>
        </is>
      </c>
      <c r="E11" s="429" t="n"/>
      <c r="F11" s="429" t="n">
        <v>0</v>
      </c>
      <c r="G11" s="429" t="n"/>
      <c r="H11" s="429" t="n">
        <v>19</v>
      </c>
      <c r="I11" s="448" t="inlineStr">
        <is>
          <t>HVAC1_ISA_OFF_1</t>
        </is>
      </c>
      <c r="J11" s="448">
        <f>IF('Mode Logic'!P18=1,100,0)</f>
        <v/>
      </c>
      <c r="K11" s="447" t="inlineStr">
        <is>
          <t>Boolean</t>
        </is>
      </c>
      <c r="L11" s="429" t="inlineStr">
        <is>
          <t>HVAC I/Os_DO</t>
        </is>
      </c>
      <c r="M11" s="429">
        <f>IF(NOT(M10),1,0)</f>
        <v/>
      </c>
      <c r="N11" s="429" t="n"/>
      <c r="S11" s="429" t="n"/>
      <c r="T11" s="445" t="n"/>
      <c r="U11" s="445" t="inlineStr">
        <is>
          <t>Spare</t>
        </is>
      </c>
      <c r="V11" s="447" t="n"/>
      <c r="W11" s="429" t="n"/>
      <c r="X11" s="450" t="n">
        <v>0</v>
      </c>
      <c r="Y11" s="451" t="n"/>
      <c r="Z11" s="429" t="n">
        <v>2</v>
      </c>
      <c r="AA11" s="448" t="inlineStr">
        <is>
          <t>HVAC1_RET_AIR_TEMP_1</t>
        </is>
      </c>
      <c r="AB11" s="448" t="inlineStr">
        <is>
          <t>Return Air Temperature</t>
        </is>
      </c>
      <c r="AC11" s="447" t="inlineStr">
        <is>
          <t>Float</t>
        </is>
      </c>
      <c r="AD11" s="429" t="n"/>
      <c r="AE11" s="796">
        <f>Calculation!B36</f>
        <v/>
      </c>
      <c r="AF11" s="451" t="n"/>
      <c r="AH11" s="429" t="n"/>
      <c r="AI11" s="445" t="n"/>
      <c r="AJ11" s="446" t="n"/>
      <c r="AK11" s="447" t="n"/>
      <c r="AL11" s="429" t="n"/>
      <c r="AM11" s="429" t="n">
        <v>0</v>
      </c>
      <c r="AN11" s="451" t="n"/>
      <c r="AO11" s="429" t="n">
        <v>2</v>
      </c>
      <c r="AP11" s="448" t="inlineStr">
        <is>
          <t>HVAC1_DRIER_FILTER_1</t>
        </is>
      </c>
      <c r="AQ11" s="448" t="inlineStr">
        <is>
          <t>Drier Filter_1</t>
        </is>
      </c>
      <c r="AR11" s="447" t="inlineStr">
        <is>
          <t>Boolean</t>
        </is>
      </c>
      <c r="AS11" s="429" t="n"/>
      <c r="AT11" s="450" t="n">
        <v>1</v>
      </c>
      <c r="AU11" s="451" t="n"/>
      <c r="BE11" s="429" t="n"/>
      <c r="BF11" s="445" t="n"/>
      <c r="BG11" s="446" t="n"/>
      <c r="BH11" s="447" t="n"/>
      <c r="BI11" s="429" t="n"/>
      <c r="BJ11" s="429" t="n">
        <v>0</v>
      </c>
      <c r="BK11" s="451" t="n"/>
      <c r="BL11" s="429" t="n">
        <v>2</v>
      </c>
      <c r="BM11" s="448" t="inlineStr">
        <is>
          <t>TCMS_CN2</t>
        </is>
      </c>
      <c r="BN11" s="448" t="inlineStr">
        <is>
          <t>TCMS(CN2)</t>
        </is>
      </c>
      <c r="BO11" s="447" t="inlineStr">
        <is>
          <t>Boolean</t>
        </is>
      </c>
      <c r="BP11" s="429" t="n"/>
      <c r="BQ11" s="429" t="n">
        <v>0</v>
      </c>
      <c r="BR11" s="451" t="n"/>
      <c r="BV11" s="429" t="n"/>
      <c r="BW11" s="445" t="n"/>
      <c r="BX11" s="446" t="n"/>
      <c r="BY11" s="447" t="n"/>
      <c r="BZ11" s="429" t="n"/>
      <c r="CA11" s="429" t="n">
        <v>0</v>
      </c>
      <c r="CB11" s="451" t="n"/>
      <c r="CC11" s="429" t="n">
        <v>2</v>
      </c>
      <c r="CD11" s="448" t="inlineStr">
        <is>
          <t>HOUR_OF_DAY</t>
        </is>
      </c>
      <c r="CE11" s="456" t="inlineStr">
        <is>
          <t>Set Point Temperature</t>
        </is>
      </c>
      <c r="CF11" s="447" t="inlineStr">
        <is>
          <t>Float</t>
        </is>
      </c>
      <c r="CG11" s="429" t="n"/>
      <c r="CH11" s="429">
        <f>Calculation!B33</f>
        <v/>
      </c>
      <c r="CI11" s="451" t="n"/>
      <c r="CK11" s="451" t="n"/>
      <c r="CL11" s="451" t="n"/>
      <c r="CM11" s="754" t="inlineStr">
        <is>
          <t>HighPressureSwitch1 (Text 49, Bit 0)</t>
        </is>
      </c>
      <c r="CN11" s="451" t="n"/>
      <c r="CO11" s="451" t="n"/>
      <c r="CP11" s="451" t="n"/>
      <c r="CQ11" s="451" t="n"/>
      <c r="CU11" s="451" t="n"/>
      <c r="CV11" s="451" t="n"/>
      <c r="CW11" s="451" t="n"/>
      <c r="CX11" s="451" t="n"/>
      <c r="CY11" s="451" t="n"/>
      <c r="CZ11" s="451" t="n"/>
      <c r="DA11" s="451" t="n"/>
      <c r="DE11" s="454" t="inlineStr">
        <is>
          <t>Emergency Vent Mode</t>
        </is>
      </c>
      <c r="DF11" s="454" t="n"/>
      <c r="DG11" s="454" t="n"/>
      <c r="DH11" s="454" t="n"/>
      <c r="DK11" s="429">
        <f>DK10+1</f>
        <v/>
      </c>
      <c r="DL11" s="430" t="inlineStr">
        <is>
          <t>Off</t>
        </is>
      </c>
      <c r="DM11" s="429" t="n"/>
      <c r="DN11" s="429" t="inlineStr">
        <is>
          <t>0/1</t>
        </is>
      </c>
      <c r="DO11" s="429" t="inlineStr">
        <is>
          <t>GUI</t>
        </is>
      </c>
      <c r="DP11" s="429" t="n">
        <v>0</v>
      </c>
      <c r="DQ11" s="429" t="n"/>
    </row>
    <row r="12" ht="24.95" customHeight="1">
      <c r="A12" s="429" t="n">
        <v>3</v>
      </c>
      <c r="B12" s="445" t="inlineStr">
        <is>
          <t>HVAC1_DOP_1</t>
        </is>
      </c>
      <c r="C12" s="446" t="inlineStr">
        <is>
          <t>Door Operation- OPEN + Close</t>
        </is>
      </c>
      <c r="D12" s="447" t="inlineStr">
        <is>
          <t>Boolean</t>
        </is>
      </c>
      <c r="E12" s="429" t="n"/>
      <c r="F12" s="429" t="n">
        <v>1</v>
      </c>
      <c r="G12" s="429" t="n"/>
      <c r="H12" s="429" t="n">
        <v>20</v>
      </c>
      <c r="I12" s="448" t="inlineStr">
        <is>
          <t>HVAC1_ESA_ON_1</t>
        </is>
      </c>
      <c r="J12" s="448" t="inlineStr">
        <is>
          <t>Extenal Smoke Alarm ON</t>
        </is>
      </c>
      <c r="K12" s="447" t="inlineStr">
        <is>
          <t>Boolean</t>
        </is>
      </c>
      <c r="L12" s="429" t="inlineStr">
        <is>
          <t>HVAC I/Os_DO</t>
        </is>
      </c>
      <c r="M12" s="429">
        <f>F29</f>
        <v/>
      </c>
      <c r="N12" s="429" t="n"/>
      <c r="S12" s="429" t="n"/>
      <c r="T12" s="445" t="n"/>
      <c r="U12" s="445" t="inlineStr">
        <is>
          <t>Spare</t>
        </is>
      </c>
      <c r="V12" s="447" t="n"/>
      <c r="W12" s="429" t="n"/>
      <c r="X12" s="450" t="n">
        <v>0</v>
      </c>
      <c r="Y12" s="451" t="n"/>
      <c r="Z12" s="429" t="n">
        <v>3</v>
      </c>
      <c r="AA12" s="448" t="inlineStr">
        <is>
          <t>HVAC1_REL_HUM_1</t>
        </is>
      </c>
      <c r="AB12" s="448" t="inlineStr">
        <is>
          <t>Relative Humidity</t>
        </is>
      </c>
      <c r="AC12" s="447" t="inlineStr">
        <is>
          <t>Float</t>
        </is>
      </c>
      <c r="AE12" s="450">
        <f>F43</f>
        <v/>
      </c>
      <c r="AF12" s="451" t="n"/>
      <c r="AH12" s="429" t="n"/>
      <c r="AI12" s="445" t="n"/>
      <c r="AJ12" s="446" t="n"/>
      <c r="AK12" s="447" t="n"/>
      <c r="AL12" s="429" t="n"/>
      <c r="AM12" s="429" t="n">
        <v>0</v>
      </c>
      <c r="AN12" s="451" t="n"/>
      <c r="AO12" s="429" t="n">
        <v>3</v>
      </c>
      <c r="AP12" s="448" t="inlineStr">
        <is>
          <t>HVAC1_CONDENSER_COIL_1</t>
        </is>
      </c>
      <c r="AQ12" s="448" t="inlineStr">
        <is>
          <t>Condenser Coil_1</t>
        </is>
      </c>
      <c r="AR12" s="447" t="inlineStr">
        <is>
          <t>Boolean</t>
        </is>
      </c>
      <c r="AS12" s="429" t="n"/>
      <c r="AT12" s="450" t="n">
        <v>1</v>
      </c>
      <c r="AU12" s="451" t="n"/>
      <c r="BE12" s="429" t="n"/>
      <c r="BF12" s="445" t="n"/>
      <c r="BG12" s="446" t="n"/>
      <c r="BH12" s="447" t="n"/>
      <c r="BI12" s="429" t="n"/>
      <c r="BJ12" s="429" t="n">
        <v>0</v>
      </c>
      <c r="BK12" s="451" t="n"/>
      <c r="BL12" s="429" t="n">
        <v>3</v>
      </c>
      <c r="BM12" s="448" t="inlineStr">
        <is>
          <t>HVAC1</t>
        </is>
      </c>
      <c r="BN12" s="448" t="inlineStr">
        <is>
          <t>HVAC1</t>
        </is>
      </c>
      <c r="BO12" s="447" t="inlineStr">
        <is>
          <t>Boolean</t>
        </is>
      </c>
      <c r="BP12" s="429" t="n"/>
      <c r="BQ12" s="429" t="n">
        <v>1</v>
      </c>
      <c r="BR12" s="451" t="n"/>
      <c r="BV12" s="429" t="n"/>
      <c r="BW12" s="445" t="n"/>
      <c r="BX12" s="446" t="n"/>
      <c r="BY12" s="447" t="n"/>
      <c r="BZ12" s="429" t="n"/>
      <c r="CA12" s="429" t="n">
        <v>0</v>
      </c>
      <c r="CB12" s="451" t="n"/>
      <c r="CC12" s="429" t="n"/>
      <c r="CD12" s="448" t="n"/>
      <c r="CE12" s="456" t="inlineStr">
        <is>
          <t>New RAT</t>
        </is>
      </c>
      <c r="CF12" s="451" t="n"/>
      <c r="CG12" s="451" t="n"/>
      <c r="CH12" s="429">
        <f>Calculation!B35</f>
        <v/>
      </c>
      <c r="CI12" s="451" t="n"/>
      <c r="CK12" s="451" t="n"/>
      <c r="CL12" s="451" t="n"/>
      <c r="CM12" s="754" t="inlineStr">
        <is>
          <t>LowPressureSwitch1 (Text 49, Bit 1)</t>
        </is>
      </c>
      <c r="CN12" s="451" t="n"/>
      <c r="CO12" s="451" t="n"/>
      <c r="CP12" s="451" t="n"/>
      <c r="CQ12" s="451" t="n"/>
      <c r="CU12" s="451" t="n"/>
      <c r="CV12" s="451" t="n"/>
      <c r="CW12" s="451" t="n"/>
      <c r="CX12" s="451" t="n"/>
      <c r="CY12" s="451" t="n"/>
      <c r="CZ12" s="451" t="n"/>
      <c r="DA12" s="451" t="n"/>
      <c r="DE12" s="457" t="inlineStr">
        <is>
          <t>Open door</t>
        </is>
      </c>
      <c r="DF12" s="454" t="n"/>
      <c r="DG12" s="454" t="n"/>
      <c r="DH12" s="454" t="n"/>
      <c r="DK12" s="429">
        <f>DK11+1</f>
        <v/>
      </c>
      <c r="DL12" s="430" t="inlineStr">
        <is>
          <t>Rev</t>
        </is>
      </c>
      <c r="DM12" s="429" t="n"/>
      <c r="DN12" s="429" t="inlineStr">
        <is>
          <t>0/1</t>
        </is>
      </c>
      <c r="DO12" s="429" t="inlineStr">
        <is>
          <t>GUI</t>
        </is>
      </c>
      <c r="DP12" s="429" t="n">
        <v>0</v>
      </c>
      <c r="DQ12" s="429" t="n"/>
    </row>
    <row r="13" ht="24.95" customHeight="1">
      <c r="A13" s="429" t="n">
        <v>5</v>
      </c>
      <c r="B13" s="458" t="inlineStr">
        <is>
          <t>HVAC1_RAT_ST_1</t>
        </is>
      </c>
      <c r="C13" s="459" t="inlineStr">
        <is>
          <t>RAT START</t>
        </is>
      </c>
      <c r="D13" s="447" t="inlineStr">
        <is>
          <t>Boolean</t>
        </is>
      </c>
      <c r="E13" s="429" t="n"/>
      <c r="F13" s="429" t="n">
        <v>0</v>
      </c>
      <c r="G13" s="429" t="n"/>
      <c r="H13" s="429" t="n">
        <v>21</v>
      </c>
      <c r="I13" s="448" t="inlineStr">
        <is>
          <t>HVAC1_ESA_OFF_1</t>
        </is>
      </c>
      <c r="J13" s="448" t="inlineStr">
        <is>
          <t>Extenal Smoke Alarm OFF</t>
        </is>
      </c>
      <c r="K13" s="447" t="inlineStr">
        <is>
          <t>Boolean</t>
        </is>
      </c>
      <c r="L13" s="429" t="inlineStr">
        <is>
          <t>HVAC I/Os_DO</t>
        </is>
      </c>
      <c r="M13" s="429">
        <f>IF(NOT(M12),1,0)</f>
        <v/>
      </c>
      <c r="N13" s="429" t="n"/>
      <c r="S13" s="429" t="n"/>
      <c r="T13" s="458" t="n"/>
      <c r="U13" s="458" t="inlineStr">
        <is>
          <t>Spare</t>
        </is>
      </c>
      <c r="V13" s="447" t="n"/>
      <c r="W13" s="429" t="n"/>
      <c r="X13" s="450" t="n">
        <v>0</v>
      </c>
      <c r="Y13" s="451" t="n"/>
      <c r="Z13" s="429" t="n">
        <v>4</v>
      </c>
      <c r="AA13" s="448" t="inlineStr">
        <is>
          <t>HVAC1_FRESH_AIR_DAMP_1</t>
        </is>
      </c>
      <c r="AB13" s="448" t="inlineStr">
        <is>
          <t>Fresh Air Damper</t>
        </is>
      </c>
      <c r="AC13" s="447" t="inlineStr">
        <is>
          <t>Float</t>
        </is>
      </c>
      <c r="AD13" s="429" t="n"/>
      <c r="AE13" s="432">
        <f>IF('Mode Logic'!P18=1,100,0)</f>
        <v/>
      </c>
      <c r="AF13" s="451" t="n"/>
      <c r="AH13" s="429" t="n"/>
      <c r="AI13" s="458" t="n"/>
      <c r="AJ13" s="459" t="n"/>
      <c r="AK13" s="447" t="n"/>
      <c r="AL13" s="429" t="n"/>
      <c r="AM13" s="429" t="n">
        <v>0</v>
      </c>
      <c r="AN13" s="451" t="n"/>
      <c r="AO13" s="429" t="n">
        <v>4</v>
      </c>
      <c r="AP13" s="448" t="inlineStr">
        <is>
          <t>HVAC1_CHECK_VALVE_1</t>
        </is>
      </c>
      <c r="AQ13" s="448" t="inlineStr">
        <is>
          <t>Check Valves_1</t>
        </is>
      </c>
      <c r="AR13" s="447" t="inlineStr">
        <is>
          <t>Boolean</t>
        </is>
      </c>
      <c r="AS13" s="429" t="n"/>
      <c r="AT13" s="450" t="n">
        <v>1</v>
      </c>
      <c r="AU13" s="451" t="n"/>
      <c r="BE13" s="429" t="n"/>
      <c r="BF13" s="458" t="n"/>
      <c r="BG13" s="459" t="n"/>
      <c r="BH13" s="447" t="n"/>
      <c r="BI13" s="429" t="n"/>
      <c r="BJ13" s="429" t="n">
        <v>0</v>
      </c>
      <c r="BK13" s="451" t="n"/>
      <c r="BL13" s="429" t="n">
        <v>4</v>
      </c>
      <c r="BM13" s="448" t="inlineStr">
        <is>
          <t>HVAC2</t>
        </is>
      </c>
      <c r="BN13" s="448" t="inlineStr">
        <is>
          <t>HVAC2</t>
        </is>
      </c>
      <c r="BO13" s="447" t="inlineStr">
        <is>
          <t>Boolean</t>
        </is>
      </c>
      <c r="BP13" s="429" t="n"/>
      <c r="BQ13" s="429" t="n">
        <v>1</v>
      </c>
      <c r="BR13" s="451" t="n"/>
      <c r="BV13" s="429" t="n"/>
      <c r="BW13" s="458" t="n"/>
      <c r="BX13" s="459" t="n"/>
      <c r="BY13" s="447" t="n"/>
      <c r="BZ13" s="429" t="n"/>
      <c r="CA13" s="429" t="n">
        <v>0</v>
      </c>
      <c r="CB13" s="451" t="n"/>
      <c r="CC13" s="429" t="n"/>
      <c r="CD13" s="448" t="n"/>
      <c r="CE13" s="456" t="inlineStr">
        <is>
          <t>Initial RAT</t>
        </is>
      </c>
      <c r="CF13" s="451" t="n"/>
      <c r="CG13" s="451" t="n"/>
      <c r="CH13" s="429">
        <f>F38</f>
        <v/>
      </c>
      <c r="CI13" s="451" t="n"/>
      <c r="CK13" s="451" t="n"/>
      <c r="CL13" s="451" t="n"/>
      <c r="CM13" s="754" t="inlineStr">
        <is>
          <t>Car ID / HVAC Unit Identification</t>
        </is>
      </c>
      <c r="CN13" s="451" t="n"/>
      <c r="CO13" s="451" t="n"/>
      <c r="CP13" s="451" t="n"/>
      <c r="CQ13" s="451" t="n"/>
      <c r="CU13" s="451" t="n"/>
      <c r="CV13" s="451" t="n"/>
      <c r="CW13" s="451" t="n"/>
      <c r="CX13" s="451" t="n"/>
      <c r="CY13" s="451" t="n"/>
      <c r="CZ13" s="451" t="n"/>
      <c r="DA13" s="451" t="n"/>
      <c r="DE13" s="460" t="inlineStr">
        <is>
          <t>Read for RAT Loop</t>
        </is>
      </c>
      <c r="DF13" s="460">
        <f>Calculation!I51</f>
        <v/>
      </c>
      <c r="DG13" s="460">
        <f>Calculation!J51</f>
        <v/>
      </c>
      <c r="DH13" s="460">
        <f>Calculation!K51</f>
        <v/>
      </c>
      <c r="DK13" s="429">
        <f>DK12+1</f>
        <v/>
      </c>
      <c r="DL13" s="430" t="inlineStr">
        <is>
          <t>Standby</t>
        </is>
      </c>
      <c r="DM13" s="429" t="n"/>
      <c r="DN13" s="429" t="inlineStr">
        <is>
          <t>0/1</t>
        </is>
      </c>
      <c r="DO13" s="429" t="inlineStr">
        <is>
          <t>GUI</t>
        </is>
      </c>
      <c r="DP13" s="429" t="n">
        <v>0</v>
      </c>
      <c r="DQ13" s="429" t="n"/>
    </row>
    <row r="14" ht="33" customHeight="1">
      <c r="A14" s="429" t="n">
        <v>6</v>
      </c>
      <c r="B14" s="445" t="inlineStr">
        <is>
          <t>HVAC1_SPT_INC_1</t>
        </is>
      </c>
      <c r="C14" s="461" t="inlineStr">
        <is>
          <t>Set Point Tempaerature °C  Increment(+)</t>
        </is>
      </c>
      <c r="D14" s="447" t="inlineStr">
        <is>
          <t>Float</t>
        </is>
      </c>
      <c r="E14" s="429" t="n"/>
      <c r="F14" s="429" t="n"/>
      <c r="G14" s="429" t="n"/>
      <c r="H14" s="429" t="n">
        <v>22</v>
      </c>
      <c r="I14" s="448" t="inlineStr">
        <is>
          <t>HVAC1_RAD_ON_1</t>
        </is>
      </c>
      <c r="J14" s="448" t="inlineStr">
        <is>
          <t>Return Air Damper ON</t>
        </is>
      </c>
      <c r="K14" s="447" t="inlineStr">
        <is>
          <t>Boolean</t>
        </is>
      </c>
      <c r="L14" s="429" t="inlineStr">
        <is>
          <t>HVAC I/Os_DO</t>
        </is>
      </c>
      <c r="M14" s="462">
        <f>'Mode Logic'!Q18</f>
        <v/>
      </c>
      <c r="N14" s="429" t="n"/>
      <c r="S14" s="429" t="n"/>
      <c r="T14" s="445" t="n"/>
      <c r="U14" s="463" t="inlineStr">
        <is>
          <t>Spare</t>
        </is>
      </c>
      <c r="V14" s="447" t="n"/>
      <c r="W14" s="429" t="n"/>
      <c r="X14" s="450" t="n">
        <v>0</v>
      </c>
      <c r="Y14" s="451" t="n"/>
      <c r="Z14" s="429" t="n">
        <v>5</v>
      </c>
      <c r="AA14" s="448" t="inlineStr">
        <is>
          <t>HVAC_Set Point Temperature</t>
        </is>
      </c>
      <c r="AB14" s="448" t="inlineStr">
        <is>
          <t>Set Point Temperature</t>
        </is>
      </c>
      <c r="AC14" s="447" t="inlineStr">
        <is>
          <t>Float</t>
        </is>
      </c>
      <c r="AD14" s="429" t="n"/>
      <c r="AE14" s="450">
        <f>F37</f>
        <v/>
      </c>
      <c r="AF14" s="451" t="n"/>
      <c r="AH14" s="429" t="n"/>
      <c r="AI14" s="445" t="n"/>
      <c r="AJ14" s="461" t="n"/>
      <c r="AK14" s="447" t="n"/>
      <c r="AL14" s="429" t="n"/>
      <c r="AM14" s="429" t="n">
        <v>1</v>
      </c>
      <c r="AN14" s="451" t="n"/>
      <c r="AO14" s="429" t="n">
        <v>5</v>
      </c>
      <c r="AP14" s="448" t="inlineStr">
        <is>
          <t>HVAC1_CONDENSER_FAN_1</t>
        </is>
      </c>
      <c r="AQ14" s="448" t="inlineStr">
        <is>
          <t>Condenser Fan_1</t>
        </is>
      </c>
      <c r="AR14" s="447" t="inlineStr">
        <is>
          <t>Boolean</t>
        </is>
      </c>
      <c r="AS14" s="429" t="n"/>
      <c r="AT14" s="464">
        <f>'Mode Logic'!S18</f>
        <v/>
      </c>
      <c r="AU14" s="451" t="n"/>
      <c r="BE14" s="451" t="n"/>
      <c r="BF14" s="445" t="n"/>
      <c r="BG14" s="461" t="n"/>
      <c r="BH14" s="447" t="n"/>
      <c r="BI14" s="429" t="n"/>
      <c r="BJ14" s="429" t="n">
        <v>0</v>
      </c>
      <c r="BK14" s="451" t="n"/>
      <c r="BL14" s="429" t="n"/>
      <c r="BM14" s="448" t="n"/>
      <c r="BN14" s="448" t="n"/>
      <c r="BO14" s="451" t="n"/>
      <c r="BP14" s="429" t="n"/>
      <c r="BQ14" s="429" t="n">
        <v>0</v>
      </c>
      <c r="BR14" s="451" t="n"/>
      <c r="BV14" s="451" t="n"/>
      <c r="BW14" s="445" t="n"/>
      <c r="BX14" s="461" t="n"/>
      <c r="BY14" s="447" t="n"/>
      <c r="BZ14" s="429" t="n"/>
      <c r="CA14" s="429" t="n">
        <v>0</v>
      </c>
      <c r="CB14" s="451" t="n"/>
      <c r="CC14" s="429" t="n"/>
      <c r="CD14" s="448" t="n"/>
      <c r="CE14" s="456" t="inlineStr">
        <is>
          <t>Spare</t>
        </is>
      </c>
      <c r="CF14" s="451" t="n"/>
      <c r="CG14" s="451" t="n"/>
      <c r="CH14" s="429" t="n">
        <v>0</v>
      </c>
      <c r="CI14" s="451" t="n"/>
      <c r="CK14" s="451" t="n"/>
      <c r="CL14" s="451" t="n"/>
      <c r="CM14" s="754" t="inlineStr">
        <is>
          <t>HVAC SD: ON (Text 35, Bit 0)</t>
        </is>
      </c>
      <c r="CN14" s="451" t="n"/>
      <c r="CO14" s="451" t="n"/>
      <c r="CP14" s="451" t="n"/>
      <c r="CQ14" s="451" t="n"/>
      <c r="CU14" s="451" t="n"/>
      <c r="CV14" s="451" t="n"/>
      <c r="CW14" s="451" t="n"/>
      <c r="CX14" s="451" t="n"/>
      <c r="CY14" s="451" t="n"/>
      <c r="CZ14" s="451" t="n"/>
      <c r="DA14" s="451" t="n"/>
      <c r="DE14" s="460" t="inlineStr">
        <is>
          <t>Write for RAT Loop</t>
        </is>
      </c>
      <c r="DF14" s="460" t="n">
        <v>0</v>
      </c>
      <c r="DG14" s="460" t="n">
        <v>1</v>
      </c>
      <c r="DH14" s="460" t="n">
        <v>1</v>
      </c>
      <c r="DK14" s="429">
        <f>DK13+1</f>
        <v/>
      </c>
      <c r="DL14" s="430" t="inlineStr">
        <is>
          <t>Fwd</t>
        </is>
      </c>
      <c r="DM14" s="429" t="n"/>
      <c r="DN14" s="429" t="inlineStr">
        <is>
          <t>0/1</t>
        </is>
      </c>
      <c r="DO14" s="429" t="inlineStr">
        <is>
          <t>GUI</t>
        </is>
      </c>
      <c r="DP14" s="429" t="n">
        <v>0</v>
      </c>
      <c r="DQ14" s="429" t="n"/>
    </row>
    <row r="15" ht="36.75" customHeight="1">
      <c r="A15" s="429" t="n">
        <v>7</v>
      </c>
      <c r="B15" s="445">
        <f>'LFD New'!D2</f>
        <v/>
      </c>
      <c r="C15" s="461" t="inlineStr">
        <is>
          <t>Set Point Tempaerature °C Decrement(-)</t>
        </is>
      </c>
      <c r="D15" s="447" t="inlineStr">
        <is>
          <t>Float</t>
        </is>
      </c>
      <c r="E15" s="429" t="n"/>
      <c r="F15" s="429" t="n"/>
      <c r="G15" s="429" t="n"/>
      <c r="H15" s="429" t="n">
        <v>23</v>
      </c>
      <c r="I15" s="448" t="inlineStr">
        <is>
          <t>HVAC1_RAD_OFF_1</t>
        </is>
      </c>
      <c r="J15" s="448" t="inlineStr">
        <is>
          <t>Return Air Damper OFF</t>
        </is>
      </c>
      <c r="K15" s="447" t="inlineStr">
        <is>
          <t>Boolean</t>
        </is>
      </c>
      <c r="L15" s="429" t="inlineStr">
        <is>
          <t>HVAC I/Os_DO</t>
        </is>
      </c>
      <c r="M15" s="429">
        <f>IF(NOT(M14),1,0)</f>
        <v/>
      </c>
      <c r="N15" s="429" t="n"/>
      <c r="S15" s="429" t="n"/>
      <c r="T15" s="445" t="n"/>
      <c r="U15" s="463" t="inlineStr">
        <is>
          <t>Spare</t>
        </is>
      </c>
      <c r="V15" s="447" t="n"/>
      <c r="W15" s="429" t="n"/>
      <c r="X15" s="450" t="n">
        <v>0</v>
      </c>
      <c r="Y15" s="451" t="n"/>
      <c r="Z15" s="429" t="n">
        <v>6</v>
      </c>
      <c r="AA15" s="448" t="inlineStr">
        <is>
          <t>HVAC1_SMOKE_OUTSIDE_1</t>
        </is>
      </c>
      <c r="AB15" s="448" t="inlineStr">
        <is>
          <t>Smoke Outside</t>
        </is>
      </c>
      <c r="AC15" s="447" t="inlineStr">
        <is>
          <t>Boolean</t>
        </is>
      </c>
      <c r="AD15" s="429" t="n"/>
      <c r="AE15" s="450">
        <f>AE27</f>
        <v/>
      </c>
      <c r="AF15" s="451" t="n"/>
      <c r="AH15" s="429" t="n"/>
      <c r="AI15" s="445" t="n"/>
      <c r="AJ15" s="461" t="n"/>
      <c r="AK15" s="447" t="n"/>
      <c r="AL15" s="429" t="n"/>
      <c r="AM15" s="429" t="n">
        <v>1</v>
      </c>
      <c r="AN15" s="451" t="n"/>
      <c r="AO15" s="429" t="n">
        <v>6</v>
      </c>
      <c r="AP15" s="448" t="inlineStr">
        <is>
          <t>HVAC1_COMPRESSOR_1</t>
        </is>
      </c>
      <c r="AQ15" s="448" t="inlineStr">
        <is>
          <t>Compressors_1</t>
        </is>
      </c>
      <c r="AR15" s="447" t="inlineStr">
        <is>
          <t>Boolean</t>
        </is>
      </c>
      <c r="AS15" s="429" t="n"/>
      <c r="AT15" s="464">
        <f>'Mode Logic'!L18</f>
        <v/>
      </c>
      <c r="AU15" s="451" t="n"/>
      <c r="BE15" s="451" t="n"/>
      <c r="BF15" s="445" t="n"/>
      <c r="BG15" s="461" t="n"/>
      <c r="BH15" s="447" t="n"/>
      <c r="BI15" s="429" t="n"/>
      <c r="BJ15" s="429" t="n">
        <v>0</v>
      </c>
      <c r="BK15" s="451" t="n"/>
      <c r="BL15" s="429" t="n"/>
      <c r="BM15" s="448" t="n"/>
      <c r="BN15" s="448" t="n"/>
      <c r="BO15" s="451" t="n"/>
      <c r="BP15" s="429" t="n"/>
      <c r="BQ15" s="429" t="n">
        <v>0</v>
      </c>
      <c r="BR15" s="451" t="n"/>
      <c r="BV15" s="451" t="n"/>
      <c r="BW15" s="445" t="n"/>
      <c r="BX15" s="461" t="n"/>
      <c r="BY15" s="447" t="n"/>
      <c r="BZ15" s="429" t="n"/>
      <c r="CA15" s="429" t="n">
        <v>0</v>
      </c>
      <c r="CB15" s="451" t="n"/>
      <c r="CC15" s="429" t="n"/>
      <c r="CD15" s="448" t="n"/>
      <c r="CE15" s="456" t="inlineStr">
        <is>
          <t>Spare</t>
        </is>
      </c>
      <c r="CF15" s="451" t="n"/>
      <c r="CG15" s="451" t="n"/>
      <c r="CH15" s="429" t="n">
        <v>0</v>
      </c>
      <c r="CI15" s="451" t="n"/>
      <c r="CK15" s="451" t="n"/>
      <c r="CL15" s="451" t="n"/>
      <c r="CM15" s="465" t="inlineStr">
        <is>
          <t>Heater Thermostat 1 &amp; 2 (Text 51, Bits 1–2)</t>
        </is>
      </c>
      <c r="CN15" s="451" t="n"/>
      <c r="CO15" s="451" t="n"/>
      <c r="CP15" s="451" t="n"/>
      <c r="CQ15" s="451" t="n"/>
      <c r="CU15" s="451" t="n"/>
      <c r="CV15" s="451" t="n"/>
      <c r="CW15" s="451" t="n"/>
      <c r="CX15" s="451" t="n"/>
      <c r="CY15" s="451" t="n"/>
      <c r="CZ15" s="451" t="n"/>
      <c r="DA15" s="451" t="n"/>
      <c r="DE15" s="460" t="inlineStr">
        <is>
          <t>RAT Loop ON</t>
        </is>
      </c>
      <c r="DF15" s="460" t="n">
        <v>1</v>
      </c>
      <c r="DG15" s="460" t="n">
        <v>1</v>
      </c>
      <c r="DH15" s="460" t="n">
        <v>1</v>
      </c>
      <c r="DK15" s="429">
        <f>DK14+1</f>
        <v/>
      </c>
      <c r="DL15" s="430" t="inlineStr">
        <is>
          <t>Atp</t>
        </is>
      </c>
      <c r="DM15" s="429" t="n"/>
      <c r="DN15" s="429" t="inlineStr">
        <is>
          <t>0/1</t>
        </is>
      </c>
      <c r="DO15" s="429" t="inlineStr">
        <is>
          <t>GUI</t>
        </is>
      </c>
      <c r="DP15" s="429" t="n">
        <v>1</v>
      </c>
      <c r="DQ15" s="429" t="n"/>
    </row>
    <row r="16" ht="41.25" customHeight="1">
      <c r="A16" s="429" t="n">
        <v>8</v>
      </c>
      <c r="B16" s="445" t="inlineStr">
        <is>
          <t>HVAC1_RAT_INC_1</t>
        </is>
      </c>
      <c r="C16" s="461" t="inlineStr">
        <is>
          <t>Return Air Tempaerature °C  Increment(+)</t>
        </is>
      </c>
      <c r="D16" s="447">
        <f>'LFD New'!D18</f>
        <v/>
      </c>
      <c r="E16" s="429" t="n"/>
      <c r="F16" s="429" t="n"/>
      <c r="G16" s="429" t="n"/>
      <c r="H16" s="429" t="n">
        <v>24</v>
      </c>
      <c r="I16" s="448" t="inlineStr">
        <is>
          <t>HVAC1_FAD_ON_1</t>
        </is>
      </c>
      <c r="J16" s="448" t="inlineStr">
        <is>
          <t>Fresh Air Damper ON</t>
        </is>
      </c>
      <c r="K16" s="447" t="inlineStr">
        <is>
          <t>Boolean</t>
        </is>
      </c>
      <c r="L16" s="429" t="inlineStr">
        <is>
          <t>HVAC I/Os_DO</t>
        </is>
      </c>
      <c r="M16" s="462">
        <f>'Mode Logic'!P18</f>
        <v/>
      </c>
      <c r="N16" s="429" t="n"/>
      <c r="S16" s="429" t="n"/>
      <c r="T16" s="445" t="n"/>
      <c r="U16" s="463" t="inlineStr">
        <is>
          <t>Spare</t>
        </is>
      </c>
      <c r="V16" s="447" t="n"/>
      <c r="W16" s="429" t="n"/>
      <c r="X16" s="450" t="n">
        <v>0</v>
      </c>
      <c r="Y16" s="451" t="n"/>
      <c r="Z16" s="429" t="n">
        <v>7</v>
      </c>
      <c r="AA16" s="448" t="inlineStr">
        <is>
          <t>HVAC1_FAULT_MODE_1</t>
        </is>
      </c>
      <c r="AB16" s="448" t="inlineStr">
        <is>
          <t>Fault Mode</t>
        </is>
      </c>
      <c r="AC16" s="447" t="inlineStr">
        <is>
          <t>Boolean</t>
        </is>
      </c>
      <c r="AD16" s="451" t="n"/>
      <c r="AE16" s="450" t="n">
        <v>1</v>
      </c>
      <c r="AF16" s="451" t="n"/>
      <c r="AH16" s="429" t="n"/>
      <c r="AI16" s="445" t="n"/>
      <c r="AJ16" s="461" t="n"/>
      <c r="AK16" s="447" t="n"/>
      <c r="AL16" s="429" t="n"/>
      <c r="AM16" s="429" t="n">
        <v>0</v>
      </c>
      <c r="AN16" s="451" t="n"/>
      <c r="AO16" s="429" t="n">
        <v>7</v>
      </c>
      <c r="AP16" s="448" t="inlineStr">
        <is>
          <t>HVAC1_LIQUID_LINE_SOLENOID_VALVE_1</t>
        </is>
      </c>
      <c r="AQ16" s="448" t="inlineStr">
        <is>
          <t>Liquid Line Solenoid Valve_1</t>
        </is>
      </c>
      <c r="AR16" s="447" t="inlineStr">
        <is>
          <t>Boolean</t>
        </is>
      </c>
      <c r="AS16" s="429" t="n"/>
      <c r="AT16" s="450" t="n">
        <v>1</v>
      </c>
      <c r="AU16" s="451" t="n"/>
      <c r="BE16" s="451" t="n"/>
      <c r="BF16" s="445" t="n"/>
      <c r="BG16" s="461" t="n"/>
      <c r="BH16" s="447" t="n"/>
      <c r="BI16" s="429" t="n"/>
      <c r="BJ16" s="429" t="n">
        <v>0</v>
      </c>
      <c r="BK16" s="451" t="n"/>
      <c r="BL16" s="429" t="n"/>
      <c r="BM16" s="448" t="n"/>
      <c r="BN16" s="448" t="n"/>
      <c r="BO16" s="451" t="n"/>
      <c r="BP16" s="429" t="n"/>
      <c r="BQ16" s="429" t="n">
        <v>0</v>
      </c>
      <c r="BR16" s="451" t="n"/>
      <c r="BV16" s="451" t="n"/>
      <c r="BW16" s="445" t="n"/>
      <c r="BX16" s="461" t="n"/>
      <c r="BY16" s="447" t="n"/>
      <c r="BZ16" s="429" t="n"/>
      <c r="CA16" s="429" t="n">
        <v>0</v>
      </c>
      <c r="CB16" s="451" t="n"/>
      <c r="CC16" s="429" t="n"/>
      <c r="CD16" s="448" t="n"/>
      <c r="CE16" s="456" t="inlineStr">
        <is>
          <t>Spare</t>
        </is>
      </c>
      <c r="CF16" s="451" t="n"/>
      <c r="CG16" s="451" t="n"/>
      <c r="CH16" s="429" t="n">
        <v>0</v>
      </c>
      <c r="CI16" s="451" t="n"/>
      <c r="CK16" s="451" t="n"/>
      <c r="CL16" s="451" t="n"/>
      <c r="CM16" s="754" t="inlineStr">
        <is>
          <t>LowPressureSwitch2 (Text 49, Bit 3)</t>
        </is>
      </c>
      <c r="CN16" s="451" t="n"/>
      <c r="CO16" s="451" t="n"/>
      <c r="CP16" s="451" t="n"/>
      <c r="CQ16" s="451" t="n"/>
      <c r="CU16" s="451" t="n"/>
      <c r="CV16" s="451" t="n"/>
      <c r="CW16" s="451" t="n"/>
      <c r="CX16" s="451" t="n"/>
      <c r="CY16" s="451" t="n"/>
      <c r="CZ16" s="451" t="n"/>
      <c r="DA16" s="451" t="n"/>
      <c r="DE16" s="454" t="n"/>
      <c r="DF16" s="454" t="n"/>
      <c r="DG16" s="454" t="n"/>
      <c r="DH16" s="454" t="n"/>
      <c r="DK16" s="429">
        <f>DK15+1</f>
        <v/>
      </c>
      <c r="DL16" s="430" t="inlineStr">
        <is>
          <t>Ato</t>
        </is>
      </c>
      <c r="DM16" s="429" t="n"/>
      <c r="DN16" s="429" t="inlineStr">
        <is>
          <t>0/1</t>
        </is>
      </c>
      <c r="DO16" s="429" t="inlineStr">
        <is>
          <t>GUI</t>
        </is>
      </c>
      <c r="DP16" s="429" t="n">
        <v>0</v>
      </c>
      <c r="DQ16" s="429" t="n"/>
    </row>
    <row r="17" ht="21" customHeight="1">
      <c r="A17" s="429" t="n">
        <v>9</v>
      </c>
      <c r="B17" s="445" t="inlineStr">
        <is>
          <t>HVAC1_RAT_DEC_1</t>
        </is>
      </c>
      <c r="C17" s="461" t="inlineStr">
        <is>
          <t>Return Air Tempaerature °C Decrement(-)</t>
        </is>
      </c>
      <c r="D17" s="447" t="inlineStr">
        <is>
          <t>Float</t>
        </is>
      </c>
      <c r="E17" s="429" t="n"/>
      <c r="F17" s="429" t="n"/>
      <c r="G17" s="429" t="n"/>
      <c r="H17" s="429" t="n">
        <v>25</v>
      </c>
      <c r="I17" s="448" t="inlineStr">
        <is>
          <t>HVAC1_FAD_OFF_1</t>
        </is>
      </c>
      <c r="J17" s="448" t="inlineStr">
        <is>
          <t>Fresh Air Damper OFF</t>
        </is>
      </c>
      <c r="K17" s="447" t="inlineStr">
        <is>
          <t>Boolean</t>
        </is>
      </c>
      <c r="L17" s="429" t="inlineStr">
        <is>
          <t>HVAC I/Os_DO</t>
        </is>
      </c>
      <c r="M17" s="429">
        <f>IF(NOT(M16),1,0)</f>
        <v/>
      </c>
      <c r="N17" s="429" t="n"/>
      <c r="S17" s="429" t="n"/>
      <c r="T17" s="445" t="n"/>
      <c r="U17" s="463">
        <f>IF(OR('Mode Logic'!J3,'Mode Logic'!J4),1,0)</f>
        <v/>
      </c>
      <c r="V17" s="447" t="n"/>
      <c r="W17" s="429" t="n"/>
      <c r="X17" s="450" t="n">
        <v>0</v>
      </c>
      <c r="Y17" s="451" t="n"/>
      <c r="Z17" s="429" t="n">
        <v>8</v>
      </c>
      <c r="AA17" s="448">
        <f>_xlfn.CONCAT("HVAC_",AB17)</f>
        <v/>
      </c>
      <c r="AB17" s="448" t="inlineStr">
        <is>
          <t>Preconditioning: Preheating</t>
        </is>
      </c>
      <c r="AC17" s="447" t="inlineStr">
        <is>
          <t>Boolean</t>
        </is>
      </c>
      <c r="AD17" s="451" t="n"/>
      <c r="AE17" s="450">
        <f>'Mode Logic'!J3</f>
        <v/>
      </c>
      <c r="AF17" s="451" t="n"/>
      <c r="AH17" s="429" t="n"/>
      <c r="AI17" s="445" t="n"/>
      <c r="AJ17" s="461" t="n"/>
      <c r="AK17" s="447" t="n"/>
      <c r="AL17" s="429" t="n"/>
      <c r="AM17" s="429" t="n">
        <v>0</v>
      </c>
      <c r="AN17" s="451" t="n"/>
      <c r="AO17" s="429" t="n">
        <v>8</v>
      </c>
      <c r="AP17" s="448" t="inlineStr">
        <is>
          <t>HVAC1_SIGHT_GLASS_1</t>
        </is>
      </c>
      <c r="AQ17" s="448" t="inlineStr">
        <is>
          <t>Sight Glass_1</t>
        </is>
      </c>
      <c r="AR17" s="447" t="inlineStr">
        <is>
          <t>Boolean</t>
        </is>
      </c>
      <c r="AS17" s="429" t="n"/>
      <c r="AT17" s="450" t="n">
        <v>1</v>
      </c>
      <c r="AU17" s="451" t="n"/>
      <c r="BE17" s="451" t="n"/>
      <c r="BF17" s="445" t="n"/>
      <c r="BG17" s="461" t="n"/>
      <c r="BH17" s="447" t="n"/>
      <c r="BI17" s="429" t="n"/>
      <c r="BJ17" s="429" t="n">
        <v>0</v>
      </c>
      <c r="BK17" s="451" t="n"/>
      <c r="BL17" s="429" t="n"/>
      <c r="BM17" s="448" t="n"/>
      <c r="BN17" s="448" t="n"/>
      <c r="BO17" s="451" t="n"/>
      <c r="BP17" s="429" t="n"/>
      <c r="BQ17" s="429" t="n">
        <v>0</v>
      </c>
      <c r="BR17" s="451" t="n"/>
      <c r="BV17" s="451" t="n"/>
      <c r="BW17" s="445" t="n"/>
      <c r="BX17" s="461" t="n"/>
      <c r="BY17" s="447" t="n"/>
      <c r="BZ17" s="429" t="n"/>
      <c r="CA17" s="429" t="n">
        <v>0</v>
      </c>
      <c r="CB17" s="451" t="n"/>
      <c r="CC17" s="429" t="n"/>
      <c r="CD17" s="448" t="n"/>
      <c r="CE17" s="456" t="inlineStr">
        <is>
          <t>Spare</t>
        </is>
      </c>
      <c r="CF17" s="451" t="n"/>
      <c r="CG17" s="451" t="n"/>
      <c r="CH17" s="429" t="n">
        <v>0</v>
      </c>
      <c r="CI17" s="451" t="n"/>
      <c r="CK17" s="451" t="n"/>
      <c r="CL17" s="451" t="n"/>
      <c r="CM17" s="754" t="inlineStr">
        <is>
          <t>HighPressureSwitch2 (Text 49, Bit 2)</t>
        </is>
      </c>
      <c r="CN17" s="451" t="n"/>
      <c r="CO17" s="451" t="n"/>
      <c r="CP17" s="451" t="n"/>
      <c r="CQ17" s="451" t="n"/>
      <c r="CU17" s="451" t="n"/>
      <c r="CV17" s="451" t="n"/>
      <c r="CW17" s="451" t="n"/>
      <c r="CX17" s="451" t="n"/>
      <c r="CY17" s="451" t="n"/>
      <c r="CZ17" s="451" t="n"/>
      <c r="DA17" s="451" t="n"/>
      <c r="DK17" s="429">
        <f>DK16+1</f>
        <v/>
      </c>
      <c r="DL17" s="430" t="inlineStr">
        <is>
          <t>Mastercontroller in Braking</t>
        </is>
      </c>
      <c r="DM17" s="429" t="n"/>
      <c r="DN17" s="429" t="inlineStr">
        <is>
          <t>0/1</t>
        </is>
      </c>
      <c r="DO17" s="429" t="inlineStr">
        <is>
          <t>GUI</t>
        </is>
      </c>
      <c r="DP17" s="429" t="n"/>
      <c r="DQ17" s="429" t="n"/>
    </row>
    <row r="18" ht="21" customHeight="1">
      <c r="A18" s="429" t="n">
        <v>10</v>
      </c>
      <c r="B18" s="445" t="inlineStr">
        <is>
          <t>HVAC1_AMB_INC_1</t>
        </is>
      </c>
      <c r="C18" s="461">
        <f>'Mode Logic'!J6</f>
        <v/>
      </c>
      <c r="D18" s="447">
        <f>'LFD New'!D20</f>
        <v/>
      </c>
      <c r="E18" s="429" t="n"/>
      <c r="F18" s="429" t="n"/>
      <c r="G18" s="429" t="n"/>
      <c r="H18" s="429" t="n">
        <v>26</v>
      </c>
      <c r="I18" s="448" t="inlineStr">
        <is>
          <t>HVAC1_COMP_ST_ON_1</t>
        </is>
      </c>
      <c r="J18" s="448" t="inlineStr">
        <is>
          <t>Compressor Status ON</t>
        </is>
      </c>
      <c r="K18" s="447" t="inlineStr">
        <is>
          <t>Boolean</t>
        </is>
      </c>
      <c r="L18" s="429" t="n"/>
      <c r="M18" s="429">
        <f>'Mode Logic'!L18</f>
        <v/>
      </c>
      <c r="N18" s="429" t="n"/>
      <c r="S18" s="429" t="n"/>
      <c r="T18" s="445" t="n"/>
      <c r="U18" s="463" t="inlineStr">
        <is>
          <t>Spare</t>
        </is>
      </c>
      <c r="V18" s="447" t="n"/>
      <c r="W18" s="429" t="n"/>
      <c r="X18" s="450" t="n">
        <v>0</v>
      </c>
      <c r="Y18" s="451" t="n"/>
      <c r="Z18" s="429" t="n">
        <v>9</v>
      </c>
      <c r="AA18" s="448">
        <f>_xlfn.CONCAT("HVAC_",AB18)</f>
        <v/>
      </c>
      <c r="AB18" s="448" t="inlineStr">
        <is>
          <t>Preconditioning: Precooling</t>
        </is>
      </c>
      <c r="AC18" s="447" t="inlineStr">
        <is>
          <t>Boolean</t>
        </is>
      </c>
      <c r="AD18" s="451" t="n"/>
      <c r="AE18" s="450">
        <f>'Mode Logic'!J4</f>
        <v/>
      </c>
      <c r="AF18" s="451" t="n"/>
      <c r="AH18" s="429" t="n"/>
      <c r="AI18" s="445" t="n"/>
      <c r="AJ18" s="461" t="n"/>
      <c r="AK18" s="447" t="n"/>
      <c r="AL18" s="429" t="n"/>
      <c r="AM18" s="429" t="n">
        <v>0</v>
      </c>
      <c r="AN18" s="451" t="n"/>
      <c r="AO18" s="429" t="n">
        <v>9</v>
      </c>
      <c r="AP18" s="448" t="inlineStr">
        <is>
          <t>HVAC1_ELECTRIC_HEATER_1</t>
        </is>
      </c>
      <c r="AQ18" s="448" t="inlineStr">
        <is>
          <t>Electric Heater_1</t>
        </is>
      </c>
      <c r="AR18" s="447" t="inlineStr">
        <is>
          <t>Boolean</t>
        </is>
      </c>
      <c r="AS18" s="429" t="n"/>
      <c r="AT18" s="464">
        <f>'Mode Logic'!R18</f>
        <v/>
      </c>
      <c r="AU18" s="451" t="n"/>
      <c r="BE18" s="451" t="n"/>
      <c r="BF18" s="445" t="n"/>
      <c r="BG18" s="461" t="n"/>
      <c r="BH18" s="447" t="n"/>
      <c r="BI18" s="429" t="n"/>
      <c r="BJ18" s="429" t="n">
        <v>0</v>
      </c>
      <c r="BK18" s="451" t="n"/>
      <c r="BL18" s="429" t="n"/>
      <c r="BM18" s="448" t="n"/>
      <c r="BN18" s="448" t="n"/>
      <c r="BO18" s="451" t="n"/>
      <c r="BP18" s="429" t="n"/>
      <c r="BQ18" s="429" t="n">
        <v>0</v>
      </c>
      <c r="BR18" s="451" t="n"/>
      <c r="BV18" s="451" t="n"/>
      <c r="BW18" s="445" t="n"/>
      <c r="BX18" s="461" t="n"/>
      <c r="BY18" s="447" t="n"/>
      <c r="BZ18" s="429" t="n"/>
      <c r="CA18" s="429" t="n">
        <v>0</v>
      </c>
      <c r="CB18" s="451" t="n"/>
      <c r="CC18" s="429" t="n"/>
      <c r="CD18" s="448" t="n"/>
      <c r="CE18" s="456" t="inlineStr">
        <is>
          <t>Spare</t>
        </is>
      </c>
      <c r="CF18" s="451" t="n"/>
      <c r="CG18" s="451" t="n"/>
      <c r="CH18" s="429" t="n">
        <v>0</v>
      </c>
      <c r="CI18" s="451" t="n"/>
      <c r="CK18" s="451" t="n"/>
      <c r="CL18" s="451" t="n"/>
      <c r="CM18" s="465" t="inlineStr">
        <is>
          <t>SMDR (Smoke Detector Relay) (Text 56, Bit 0)</t>
        </is>
      </c>
      <c r="CN18" s="451" t="n"/>
      <c r="CO18" s="451" t="n"/>
      <c r="CP18" s="451" t="n"/>
      <c r="CQ18" s="451" t="n"/>
      <c r="CU18" s="451" t="n"/>
      <c r="CV18" s="451" t="n"/>
      <c r="CW18" s="451" t="n"/>
      <c r="CX18" s="451" t="n"/>
      <c r="CY18" s="451" t="n"/>
      <c r="CZ18" s="451" t="n"/>
      <c r="DA18" s="451" t="n"/>
      <c r="DK18" s="429">
        <f>DK17+1</f>
        <v/>
      </c>
      <c r="DL18" s="430" t="inlineStr">
        <is>
          <t>Mastercontroller in OFF</t>
        </is>
      </c>
      <c r="DM18" s="429" t="n"/>
      <c r="DN18" s="429" t="inlineStr">
        <is>
          <t>0/1</t>
        </is>
      </c>
      <c r="DO18" s="429" t="inlineStr">
        <is>
          <t>GUI</t>
        </is>
      </c>
      <c r="DP18" s="429" t="n"/>
      <c r="DQ18" s="429" t="n"/>
    </row>
    <row r="19" ht="21" customHeight="1">
      <c r="A19" s="429" t="n">
        <v>11</v>
      </c>
      <c r="B19" s="445" t="inlineStr">
        <is>
          <t>HVAC1_AMB_DEC_1</t>
        </is>
      </c>
      <c r="C19" s="461" t="inlineStr">
        <is>
          <t>Ambient Tempaerature °C  Decrement(-)</t>
        </is>
      </c>
      <c r="D19" s="447" t="inlineStr">
        <is>
          <t>Float</t>
        </is>
      </c>
      <c r="E19" s="429" t="n"/>
      <c r="F19" s="429" t="n"/>
      <c r="G19" s="429" t="n"/>
      <c r="H19" s="429" t="n">
        <v>27</v>
      </c>
      <c r="I19" s="448" t="inlineStr">
        <is>
          <t>HVAC1_COMP_ST_OFF_1</t>
        </is>
      </c>
      <c r="J19" s="448" t="inlineStr">
        <is>
          <t>Compressor Status OFF</t>
        </is>
      </c>
      <c r="K19" s="447" t="inlineStr">
        <is>
          <t>Boolean</t>
        </is>
      </c>
      <c r="L19" s="429" t="n"/>
      <c r="M19" s="429">
        <f>IF(NOT(M18),1,0)</f>
        <v/>
      </c>
      <c r="N19" s="429" t="n"/>
      <c r="S19" s="429" t="n"/>
      <c r="T19" s="445">
        <f>'Mode Logic'!S18</f>
        <v/>
      </c>
      <c r="U19" s="463" t="inlineStr">
        <is>
          <t>Spare</t>
        </is>
      </c>
      <c r="V19" s="447" t="n"/>
      <c r="W19" s="429" t="n"/>
      <c r="X19" s="450" t="n">
        <v>0</v>
      </c>
      <c r="Y19" s="451" t="n"/>
      <c r="Z19" s="429" t="n">
        <v>10</v>
      </c>
      <c r="AA19" s="448">
        <f>_xlfn.CONCAT("HVAC_",AB19)</f>
        <v/>
      </c>
      <c r="AB19" s="448" t="inlineStr">
        <is>
          <t>Standard Automatic Cooling State 1 (Cooling Circuits Disabled)</t>
        </is>
      </c>
      <c r="AC19" s="447" t="inlineStr">
        <is>
          <t>Boolean</t>
        </is>
      </c>
      <c r="AD19" s="451" t="n"/>
      <c r="AE19" s="450">
        <f>'Mode Logic'!J6</f>
        <v/>
      </c>
      <c r="AF19" s="451" t="n"/>
      <c r="AH19" s="429" t="n"/>
      <c r="AI19" s="445" t="n"/>
      <c r="AJ19" s="461" t="n"/>
      <c r="AK19" s="447" t="n"/>
      <c r="AL19" s="429" t="n"/>
      <c r="AM19" s="429" t="n">
        <v>0</v>
      </c>
      <c r="AN19" s="451" t="n"/>
      <c r="AO19" s="429" t="n">
        <v>10</v>
      </c>
      <c r="AP19" s="448" t="inlineStr">
        <is>
          <t>HVAC1_EVAP_FAN_MOTOR_1</t>
        </is>
      </c>
      <c r="AQ19" s="448" t="inlineStr">
        <is>
          <t>Evaporator Fan Motor_1</t>
        </is>
      </c>
      <c r="AR19" s="447" t="inlineStr">
        <is>
          <t>Boolean</t>
        </is>
      </c>
      <c r="AS19" s="429" t="n"/>
      <c r="AT19" s="464">
        <f>'Mode Logic'!U18</f>
        <v/>
      </c>
      <c r="AU19" s="451" t="n"/>
      <c r="BE19" s="451" t="n"/>
      <c r="BF19" s="445" t="n"/>
      <c r="BG19" s="461" t="n"/>
      <c r="BH19" s="447" t="n"/>
      <c r="BI19" s="429" t="n"/>
      <c r="BJ19" s="429" t="n">
        <v>0</v>
      </c>
      <c r="BK19" s="451" t="n"/>
      <c r="BL19" s="429" t="n"/>
      <c r="BM19" s="448" t="n"/>
      <c r="BN19" s="448" t="n"/>
      <c r="BO19" s="451" t="n"/>
      <c r="BP19" s="429" t="n"/>
      <c r="BQ19" s="429" t="n">
        <v>0</v>
      </c>
      <c r="BR19" s="451" t="n"/>
      <c r="BV19" s="451" t="n"/>
      <c r="BW19" s="445" t="n"/>
      <c r="BX19" s="461" t="n"/>
      <c r="BY19" s="447" t="n"/>
      <c r="BZ19" s="429" t="n"/>
      <c r="CA19" s="429" t="n">
        <v>0</v>
      </c>
      <c r="CB19" s="451" t="n"/>
      <c r="CC19" s="429" t="n"/>
      <c r="CD19" s="448" t="n"/>
      <c r="CE19" s="456" t="inlineStr">
        <is>
          <t>Spare</t>
        </is>
      </c>
      <c r="CF19" s="451" t="n"/>
      <c r="CG19" s="451" t="n"/>
      <c r="CH19" s="429" t="n">
        <v>0</v>
      </c>
      <c r="CI19" s="451" t="n"/>
      <c r="CK19" s="451" t="n"/>
      <c r="CL19" s="451" t="n"/>
      <c r="CM19" s="754" t="inlineStr">
        <is>
          <t>Internal Fire Detection Signal (Hard-wired)</t>
        </is>
      </c>
      <c r="CN19" s="451" t="n"/>
      <c r="CO19" s="451" t="n"/>
      <c r="CP19" s="451" t="n"/>
      <c r="CQ19" s="451" t="n"/>
      <c r="CU19" s="451" t="n"/>
      <c r="CV19" s="451" t="n"/>
      <c r="CW19" s="451" t="n"/>
      <c r="CX19" s="451" t="n"/>
      <c r="CY19" s="451" t="n"/>
      <c r="CZ19" s="451" t="n"/>
      <c r="DA19" s="451" t="n"/>
      <c r="DK19" s="429">
        <f>DK18+1</f>
        <v/>
      </c>
      <c r="DL19" s="430" t="inlineStr">
        <is>
          <t>Mastercontroller in Powering</t>
        </is>
      </c>
      <c r="DM19" s="429" t="n"/>
      <c r="DN19" s="429" t="inlineStr">
        <is>
          <t>0/1</t>
        </is>
      </c>
      <c r="DO19" s="429" t="inlineStr">
        <is>
          <t>GUI</t>
        </is>
      </c>
      <c r="DP19" s="429" t="n"/>
      <c r="DQ19" s="429" t="n"/>
    </row>
    <row r="20" ht="21" customHeight="1">
      <c r="A20" s="429" t="n">
        <v>12</v>
      </c>
      <c r="B20" s="445" t="inlineStr">
        <is>
          <t>HVAC1_PL_INC_1</t>
        </is>
      </c>
      <c r="C20" s="461" t="inlineStr">
        <is>
          <t>Passenget Load   Increment(+)</t>
        </is>
      </c>
      <c r="D20" s="447" t="inlineStr">
        <is>
          <t>Integer</t>
        </is>
      </c>
      <c r="E20" s="429" t="n"/>
      <c r="F20" s="429" t="n"/>
      <c r="G20" s="429" t="n"/>
      <c r="H20" s="429" t="n">
        <v>28</v>
      </c>
      <c r="I20" s="448" t="inlineStr">
        <is>
          <t>HVAC1_CF_ST_ON_1</t>
        </is>
      </c>
      <c r="J20" s="448" t="inlineStr">
        <is>
          <t>Condenser Fan Status ON</t>
        </is>
      </c>
      <c r="K20" s="447" t="inlineStr">
        <is>
          <t>Boolean</t>
        </is>
      </c>
      <c r="L20" s="429" t="n"/>
      <c r="M20" s="429">
        <f>IF(OR(AT14,AT22),1,0)</f>
        <v/>
      </c>
      <c r="N20" s="429" t="n"/>
      <c r="S20" s="429" t="n"/>
      <c r="T20" s="445" t="n"/>
      <c r="U20" s="463" t="inlineStr">
        <is>
          <t>Spare</t>
        </is>
      </c>
      <c r="V20" s="447" t="n"/>
      <c r="W20" s="429" t="n"/>
      <c r="X20" s="450" t="n">
        <v>0</v>
      </c>
      <c r="Y20" s="451" t="n"/>
      <c r="Z20" s="429" t="n">
        <v>11</v>
      </c>
      <c r="AA20" s="448">
        <f>_xlfn.CONCAT("HVAC_",AB20)</f>
        <v/>
      </c>
      <c r="AB20" s="448" t="inlineStr">
        <is>
          <t>Standard Automatic Cooling State 2 (Up to 25% Modulated Cooling)</t>
        </is>
      </c>
      <c r="AC20" s="447" t="inlineStr">
        <is>
          <t>Boolean</t>
        </is>
      </c>
      <c r="AD20" s="451" t="n"/>
      <c r="AE20" s="450">
        <f>'Mode Logic'!J7</f>
        <v/>
      </c>
      <c r="AF20" s="466">
        <f>IF(AND('LFD OLD'!I6,'DATA TRANSFER'!AF21=0,AF22=0,AF24=0),1,0)</f>
        <v/>
      </c>
      <c r="AH20" s="429" t="n"/>
      <c r="AI20" s="445" t="n"/>
      <c r="AJ20" s="461" t="n"/>
      <c r="AK20" s="447" t="n"/>
      <c r="AL20" s="429" t="n"/>
      <c r="AM20" s="429" t="n">
        <v>0</v>
      </c>
      <c r="AN20" s="451" t="n"/>
      <c r="AO20" s="429" t="n">
        <v>11</v>
      </c>
      <c r="AP20" s="448" t="inlineStr">
        <is>
          <t>HVAC1_TXV_1</t>
        </is>
      </c>
      <c r="AQ20" s="448" t="inlineStr">
        <is>
          <t>Thermal Expansion Valve_1</t>
        </is>
      </c>
      <c r="AR20" s="447" t="inlineStr">
        <is>
          <t>Boolean</t>
        </is>
      </c>
      <c r="AS20" s="429" t="n"/>
      <c r="AT20" s="450" t="n">
        <v>1</v>
      </c>
      <c r="AU20" s="451" t="n"/>
      <c r="BE20" s="451" t="n"/>
      <c r="BF20" s="445" t="n"/>
      <c r="BG20" s="461" t="n"/>
      <c r="BH20" s="447" t="n"/>
      <c r="BI20" s="429" t="n"/>
      <c r="BJ20" s="429" t="n">
        <v>0</v>
      </c>
      <c r="BK20" s="451" t="n"/>
      <c r="BL20" s="429" t="n"/>
      <c r="BM20" s="448" t="n"/>
      <c r="BN20" s="448" t="n"/>
      <c r="BO20" s="451" t="n"/>
      <c r="BP20" s="429" t="n"/>
      <c r="BQ20" s="429" t="n">
        <v>0</v>
      </c>
      <c r="BR20" s="451" t="n"/>
      <c r="BV20" s="451" t="n"/>
      <c r="BW20" s="445" t="n"/>
      <c r="BX20" s="461" t="n"/>
      <c r="BY20" s="447" t="n"/>
      <c r="BZ20" s="429" t="n"/>
      <c r="CA20" s="429" t="n">
        <v>0</v>
      </c>
      <c r="CB20" s="451" t="n"/>
      <c r="CC20" s="429" t="n"/>
      <c r="CD20" s="448" t="n"/>
      <c r="CE20" s="456" t="inlineStr">
        <is>
          <t>Spare</t>
        </is>
      </c>
      <c r="CF20" s="451" t="n"/>
      <c r="CG20" s="451" t="n"/>
      <c r="CH20" s="429" t="n">
        <v>0</v>
      </c>
      <c r="CI20" s="451" t="n"/>
      <c r="CK20" s="451" t="n"/>
      <c r="CL20" s="451" t="n"/>
      <c r="CM20" s="754" t="inlineStr">
        <is>
          <t>On-board Test 02: Cooling (5 mins)</t>
        </is>
      </c>
      <c r="CN20" s="451" t="n"/>
      <c r="CO20" s="451" t="n"/>
      <c r="CP20" s="451" t="n"/>
      <c r="CQ20" s="451" t="n"/>
      <c r="CU20" s="451" t="n"/>
      <c r="CV20" s="451" t="n"/>
      <c r="CW20" s="451" t="n"/>
      <c r="CX20" s="451" t="n"/>
      <c r="CY20" s="451" t="n"/>
      <c r="CZ20" s="451" t="n"/>
      <c r="DA20" s="451" t="n"/>
      <c r="DK20" s="429">
        <f>DK19+1</f>
        <v/>
      </c>
      <c r="DL20" s="430" t="inlineStr">
        <is>
          <t>Washer Push Button (Wpb)</t>
        </is>
      </c>
      <c r="DM20" s="429" t="n"/>
      <c r="DN20" s="429" t="inlineStr">
        <is>
          <t>0/1</t>
        </is>
      </c>
      <c r="DO20" s="429" t="inlineStr">
        <is>
          <t>GUI</t>
        </is>
      </c>
      <c r="DP20" s="429" t="n"/>
      <c r="DQ20" s="429" t="n"/>
    </row>
    <row r="21" ht="21" customHeight="1">
      <c r="A21" s="429" t="n">
        <v>13</v>
      </c>
      <c r="B21" s="445" t="inlineStr">
        <is>
          <t>HVAC1_PL_DEC_1</t>
        </is>
      </c>
      <c r="C21" s="461" t="inlineStr">
        <is>
          <t xml:space="preserve"> Passenget Load  Decremen(-)</t>
        </is>
      </c>
      <c r="D21" s="447" t="inlineStr">
        <is>
          <t>Integer</t>
        </is>
      </c>
      <c r="E21" s="429" t="n"/>
      <c r="F21" s="429" t="n"/>
      <c r="G21" s="429" t="n"/>
      <c r="H21" s="429" t="n">
        <v>29</v>
      </c>
      <c r="I21" s="448" t="inlineStr">
        <is>
          <t>HVAC1_CF_ST_OFF_1</t>
        </is>
      </c>
      <c r="J21" s="448" t="inlineStr">
        <is>
          <t>Condenser Fan Status OFF</t>
        </is>
      </c>
      <c r="K21" s="447" t="inlineStr">
        <is>
          <t>Boolean</t>
        </is>
      </c>
      <c r="L21" s="429" t="n"/>
      <c r="M21" s="429">
        <f>IF(NOT(M20),1,0)</f>
        <v/>
      </c>
      <c r="N21" s="429" t="n"/>
      <c r="S21" s="429" t="n"/>
      <c r="T21" s="445" t="n"/>
      <c r="U21" s="463" t="inlineStr">
        <is>
          <t>Spare</t>
        </is>
      </c>
      <c r="V21" s="447" t="n"/>
      <c r="W21" s="429" t="n"/>
      <c r="X21" s="450" t="n">
        <v>0</v>
      </c>
      <c r="Y21" s="451" t="n"/>
      <c r="Z21" s="429" t="n">
        <v>12</v>
      </c>
      <c r="AA21" s="448">
        <f>_xlfn.CONCAT("HVAC_",AB21)</f>
        <v/>
      </c>
      <c r="AB21" s="448" t="inlineStr">
        <is>
          <t>Standard Automatic Cooling State 3 (Up to 50% Modulated Cooling)</t>
        </is>
      </c>
      <c r="AC21" s="447" t="inlineStr">
        <is>
          <t>Boolean</t>
        </is>
      </c>
      <c r="AD21" s="451" t="n"/>
      <c r="AE21" s="450">
        <f>'Mode Logic'!J8</f>
        <v/>
      </c>
      <c r="AF21" s="451" t="n"/>
      <c r="AH21" s="429" t="n"/>
      <c r="AI21" s="445" t="n"/>
      <c r="AJ21" s="461" t="n"/>
      <c r="AK21" s="447" t="n"/>
      <c r="AL21" s="429" t="n"/>
      <c r="AM21" s="429" t="n">
        <v>0</v>
      </c>
      <c r="AN21" s="451" t="n"/>
      <c r="AO21" s="429" t="n">
        <v>12</v>
      </c>
      <c r="AP21" s="448" t="inlineStr">
        <is>
          <t>HVAC1_EVAPORATOR_COIL_1</t>
        </is>
      </c>
      <c r="AQ21" s="448" t="inlineStr">
        <is>
          <t>Evaporator Coil_1</t>
        </is>
      </c>
      <c r="AR21" s="447" t="inlineStr">
        <is>
          <t>Boolean</t>
        </is>
      </c>
      <c r="AS21" s="429" t="n"/>
      <c r="AT21" s="450" t="n">
        <v>1</v>
      </c>
      <c r="AU21" s="451" t="n"/>
      <c r="BE21" s="451" t="n"/>
      <c r="BF21" s="445" t="n"/>
      <c r="BG21" s="461" t="n"/>
      <c r="BH21" s="447" t="n"/>
      <c r="BI21" s="429" t="n"/>
      <c r="BJ21" s="429" t="n">
        <v>0</v>
      </c>
      <c r="BK21" s="451" t="n"/>
      <c r="BL21" s="429" t="n"/>
      <c r="BM21" s="448" t="n"/>
      <c r="BN21" s="448" t="n"/>
      <c r="BO21" s="451" t="n"/>
      <c r="BP21" s="429" t="n"/>
      <c r="BQ21" s="429" t="n">
        <v>0</v>
      </c>
      <c r="BR21" s="451" t="n"/>
      <c r="BV21" s="451" t="n"/>
      <c r="BW21" s="445" t="n"/>
      <c r="BX21" s="461" t="n"/>
      <c r="BY21" s="447" t="n"/>
      <c r="BZ21" s="429" t="n"/>
      <c r="CA21" s="429" t="n">
        <v>0</v>
      </c>
      <c r="CB21" s="451" t="n"/>
      <c r="CC21" s="429" t="n"/>
      <c r="CD21" s="448" t="n"/>
      <c r="CE21" s="456" t="inlineStr">
        <is>
          <t>Spare</t>
        </is>
      </c>
      <c r="CF21" s="451" t="n"/>
      <c r="CG21" s="451" t="n"/>
      <c r="CH21" s="429" t="n">
        <v>0</v>
      </c>
      <c r="CI21" s="451" t="n"/>
      <c r="CK21" s="451" t="n"/>
      <c r="CL21" s="451" t="n"/>
      <c r="CM21" s="754" t="inlineStr">
        <is>
          <t>On-board Test 05: Heating (5 mins)</t>
        </is>
      </c>
      <c r="CN21" s="451" t="n"/>
      <c r="CO21" s="451" t="n"/>
      <c r="CP21" s="451" t="n"/>
      <c r="CQ21" s="451" t="n"/>
      <c r="CU21" s="451" t="n"/>
      <c r="CV21" s="451" t="n"/>
      <c r="CW21" s="451" t="n"/>
      <c r="CX21" s="451" t="n"/>
      <c r="CY21" s="451" t="n"/>
      <c r="CZ21" s="451" t="n"/>
      <c r="DA21" s="451" t="n"/>
      <c r="DK21" s="429">
        <f>DK20+1</f>
        <v/>
      </c>
      <c r="DL21" s="430" t="inlineStr">
        <is>
          <t>Air Horn High Button (Ahhb)</t>
        </is>
      </c>
      <c r="DM21" s="429" t="n"/>
      <c r="DN21" s="429" t="inlineStr">
        <is>
          <t>0/1</t>
        </is>
      </c>
      <c r="DO21" s="429" t="inlineStr">
        <is>
          <t>GUI</t>
        </is>
      </c>
      <c r="DP21" s="429" t="n"/>
      <c r="DQ21" s="429" t="n"/>
    </row>
    <row r="22" ht="21" customHeight="1">
      <c r="A22" s="429" t="n">
        <v>14</v>
      </c>
      <c r="B22" s="445">
        <f>'LFD New'!D25</f>
        <v/>
      </c>
      <c r="C22" s="461" t="inlineStr">
        <is>
          <t>Start Time Increment(+)</t>
        </is>
      </c>
      <c r="D22" s="447" t="inlineStr">
        <is>
          <t>Float</t>
        </is>
      </c>
      <c r="E22" s="429" t="n"/>
      <c r="F22" s="429" t="n"/>
      <c r="G22" s="429" t="n"/>
      <c r="H22" s="429" t="n">
        <v>30</v>
      </c>
      <c r="I22" s="448" t="inlineStr">
        <is>
          <t>HVAC1_EF_ST_ON_1</t>
        </is>
      </c>
      <c r="J22" s="448" t="inlineStr">
        <is>
          <t>Evaportor Fan Status ON</t>
        </is>
      </c>
      <c r="K22" s="447" t="inlineStr">
        <is>
          <t>Boolean</t>
        </is>
      </c>
      <c r="L22" s="429" t="n"/>
      <c r="M22" s="429">
        <f>IF(OR(AT19,AT26),1,0)</f>
        <v/>
      </c>
      <c r="N22" s="429" t="n"/>
      <c r="S22" s="429" t="n"/>
      <c r="T22" s="445" t="n"/>
      <c r="U22" s="463" t="inlineStr">
        <is>
          <t>Spare</t>
        </is>
      </c>
      <c r="V22" s="447" t="n"/>
      <c r="W22" s="429" t="n"/>
      <c r="X22" s="450" t="n">
        <v>0</v>
      </c>
      <c r="Y22" s="451" t="n"/>
      <c r="Z22" s="429" t="n">
        <v>13</v>
      </c>
      <c r="AA22" s="448">
        <f>_xlfn.CONCAT("HVAC_",AB22)</f>
        <v/>
      </c>
      <c r="AB22" s="448" t="inlineStr">
        <is>
          <t>Standard Automatic Cooling State 4 (Up to 75% Modulated Cooling)</t>
        </is>
      </c>
      <c r="AC22" s="447" t="inlineStr">
        <is>
          <t>Boolean</t>
        </is>
      </c>
      <c r="AD22" s="451" t="n"/>
      <c r="AE22" s="450">
        <f>'Mode Logic'!J9</f>
        <v/>
      </c>
      <c r="AF22" s="451" t="n"/>
      <c r="AH22" s="451" t="n"/>
      <c r="AI22" s="445" t="n"/>
      <c r="AJ22" s="461" t="n"/>
      <c r="AK22" s="447" t="n"/>
      <c r="AL22" s="429" t="n"/>
      <c r="AM22" s="429" t="n">
        <v>0</v>
      </c>
      <c r="AN22" s="451" t="n"/>
      <c r="AO22" s="429" t="n">
        <v>13</v>
      </c>
      <c r="AP22" s="448" t="inlineStr">
        <is>
          <t>HVAC1_CONDENSER_FAN_2</t>
        </is>
      </c>
      <c r="AQ22" s="448" t="inlineStr">
        <is>
          <t>Condenser Fan_2</t>
        </is>
      </c>
      <c r="AR22" s="447" t="inlineStr">
        <is>
          <t>Boolean</t>
        </is>
      </c>
      <c r="AS22" s="429" t="n"/>
      <c r="AT22" s="464">
        <f>'Mode Logic'!T18</f>
        <v/>
      </c>
      <c r="AU22" s="451" t="n"/>
      <c r="BE22" s="451" t="n"/>
      <c r="BF22" s="445" t="n"/>
      <c r="BG22" s="461" t="n"/>
      <c r="BH22" s="447" t="n"/>
      <c r="BI22" s="429" t="n"/>
      <c r="BJ22" s="429" t="n">
        <v>0</v>
      </c>
      <c r="BK22" s="451" t="n"/>
      <c r="BL22" s="429" t="n"/>
      <c r="BM22" s="448" t="n"/>
      <c r="BN22" s="448" t="n"/>
      <c r="BO22" s="451" t="n"/>
      <c r="BP22" s="429" t="n"/>
      <c r="BQ22" s="429" t="n">
        <v>0</v>
      </c>
      <c r="BR22" s="451" t="n"/>
      <c r="BV22" s="451" t="n"/>
      <c r="BW22" s="445" t="n"/>
      <c r="BX22" s="461" t="n"/>
      <c r="BY22" s="447" t="n"/>
      <c r="BZ22" s="429" t="n"/>
      <c r="CA22" s="429" t="n">
        <v>0</v>
      </c>
      <c r="CB22" s="451" t="n"/>
      <c r="CC22" s="429" t="n"/>
      <c r="CD22" s="448" t="n"/>
      <c r="CE22" s="456" t="inlineStr">
        <is>
          <t>Spare</t>
        </is>
      </c>
      <c r="CF22" s="451" t="n"/>
      <c r="CG22" s="451" t="n"/>
      <c r="CH22" s="429" t="n">
        <v>0</v>
      </c>
      <c r="CI22" s="451" t="n"/>
      <c r="CK22" s="451" t="n"/>
      <c r="CL22" s="451" t="n"/>
      <c r="CM22" s="754" t="inlineStr">
        <is>
          <t>On-board Test 01: Ventilation (7 mins)</t>
        </is>
      </c>
      <c r="CN22" s="451" t="n"/>
      <c r="CO22" s="451" t="n"/>
      <c r="CP22" s="451" t="n"/>
      <c r="CQ22" s="451" t="n"/>
      <c r="CU22" s="451" t="n"/>
      <c r="CV22" s="451" t="n"/>
      <c r="CW22" s="451" t="n"/>
      <c r="CX22" s="451" t="n"/>
      <c r="CY22" s="451" t="n"/>
      <c r="CZ22" s="451" t="n"/>
      <c r="DA22" s="451" t="n"/>
      <c r="DK22" s="429">
        <f>DK21+1</f>
        <v/>
      </c>
      <c r="DL22" s="430" t="inlineStr">
        <is>
          <t>Call On Button (Colb) Maintained Pb Red</t>
        </is>
      </c>
      <c r="DM22" s="429" t="n"/>
      <c r="DN22" s="429" t="inlineStr">
        <is>
          <t>0/1</t>
        </is>
      </c>
      <c r="DO22" s="429" t="inlineStr">
        <is>
          <t>GUI</t>
        </is>
      </c>
      <c r="DP22" s="429" t="n"/>
      <c r="DQ22" s="429" t="n"/>
    </row>
    <row r="23" ht="21" customHeight="1">
      <c r="A23" s="429" t="n">
        <v>15</v>
      </c>
      <c r="B23" s="445" t="inlineStr">
        <is>
          <t>HVAC1_ST_DEC_1</t>
        </is>
      </c>
      <c r="C23" s="461" t="inlineStr">
        <is>
          <t>Start Time Decrement(-)</t>
        </is>
      </c>
      <c r="D23" s="447">
        <f>'LFD New'!D25</f>
        <v/>
      </c>
      <c r="E23" s="429" t="n"/>
      <c r="F23" s="429" t="n"/>
      <c r="G23" s="429" t="n"/>
      <c r="H23" s="429" t="n">
        <v>31</v>
      </c>
      <c r="I23" s="448" t="inlineStr">
        <is>
          <t>HVAC1_EF_ST_OFF_1</t>
        </is>
      </c>
      <c r="J23" s="448" t="inlineStr">
        <is>
          <t>Evaportor Fan Status OFF</t>
        </is>
      </c>
      <c r="K23" s="447" t="inlineStr">
        <is>
          <t>Boolean</t>
        </is>
      </c>
      <c r="L23" s="429" t="n"/>
      <c r="M23" s="429">
        <f>IF(NOT(M22),1,0)</f>
        <v/>
      </c>
      <c r="N23" s="429" t="n"/>
      <c r="S23" s="429" t="n"/>
      <c r="T23" s="445" t="n"/>
      <c r="U23" s="463" t="inlineStr">
        <is>
          <t>Spare</t>
        </is>
      </c>
      <c r="V23" s="447" t="n"/>
      <c r="W23" s="429" t="n"/>
      <c r="X23" s="450" t="n">
        <v>0</v>
      </c>
      <c r="Y23" s="451" t="n"/>
      <c r="Z23" s="429" t="n">
        <v>14</v>
      </c>
      <c r="AA23" s="448">
        <f>_xlfn.CONCAT("HVAC_",AB23)</f>
        <v/>
      </c>
      <c r="AB23" s="448" t="inlineStr">
        <is>
          <t>Standard Automatic Cooling State 5 (Up to 100% Modulated Cooling)</t>
        </is>
      </c>
      <c r="AC23" s="447" t="inlineStr">
        <is>
          <t>Boolean</t>
        </is>
      </c>
      <c r="AD23" s="451" t="n"/>
      <c r="AE23" s="450">
        <f>'Mode Logic'!J10</f>
        <v/>
      </c>
      <c r="AF23" s="451" t="n"/>
      <c r="AH23" s="451" t="n"/>
      <c r="AI23" s="445" t="n"/>
      <c r="AJ23" s="461" t="n"/>
      <c r="AK23" s="447" t="n"/>
      <c r="AL23" s="429" t="n"/>
      <c r="AM23" s="429" t="n">
        <v>0</v>
      </c>
      <c r="AN23" s="451" t="n"/>
      <c r="AO23" s="429" t="n">
        <v>14</v>
      </c>
      <c r="AP23" s="448" t="inlineStr">
        <is>
          <t>HVAC1_COMPRESSOR_2</t>
        </is>
      </c>
      <c r="AQ23" s="448" t="inlineStr">
        <is>
          <t>Compressors_2</t>
        </is>
      </c>
      <c r="AR23" s="447" t="inlineStr">
        <is>
          <t>Boolean</t>
        </is>
      </c>
      <c r="AS23" s="429" t="n"/>
      <c r="AT23" s="464">
        <f>'Mode Logic'!M18</f>
        <v/>
      </c>
      <c r="AU23" s="451" t="n"/>
      <c r="BE23" s="451" t="n"/>
      <c r="BF23" s="445" t="n"/>
      <c r="BG23" s="461" t="n"/>
      <c r="BH23" s="447" t="n"/>
      <c r="BI23" s="429" t="n"/>
      <c r="BJ23" s="429" t="n">
        <v>0</v>
      </c>
      <c r="BK23" s="451" t="n"/>
      <c r="BL23" s="429" t="n"/>
      <c r="BM23" s="448" t="n"/>
      <c r="BN23" s="448" t="n"/>
      <c r="BO23" s="451" t="n"/>
      <c r="BP23" s="429" t="n"/>
      <c r="BQ23" s="429" t="n">
        <v>0</v>
      </c>
      <c r="BR23" s="451" t="n"/>
      <c r="BV23" s="451" t="n"/>
      <c r="BW23" s="445" t="n"/>
      <c r="BX23" s="461" t="n"/>
      <c r="BY23" s="447" t="n"/>
      <c r="BZ23" s="429" t="n"/>
      <c r="CA23" s="429" t="n">
        <v>0</v>
      </c>
      <c r="CB23" s="451" t="n"/>
      <c r="CC23" s="429" t="n"/>
      <c r="CD23" s="448" t="n"/>
      <c r="CE23" s="456" t="inlineStr">
        <is>
          <t>Spare</t>
        </is>
      </c>
      <c r="CF23" s="451" t="n"/>
      <c r="CG23" s="451" t="n"/>
      <c r="CH23" s="429" t="n">
        <v>0</v>
      </c>
      <c r="CI23" s="451" t="n"/>
      <c r="CK23" s="451" t="n"/>
      <c r="CL23" s="451" t="n"/>
      <c r="CM23" s="754" t="inlineStr">
        <is>
          <t>Staggered Start Sequence / Start Allow</t>
        </is>
      </c>
      <c r="CN23" s="451" t="n"/>
      <c r="CO23" s="451" t="n"/>
      <c r="CP23" s="451" t="n">
        <v>1</v>
      </c>
      <c r="CQ23" s="451" t="n"/>
      <c r="CU23" s="451" t="n"/>
      <c r="CV23" s="451" t="n"/>
      <c r="CW23" s="451" t="n"/>
      <c r="CX23" s="451" t="n"/>
      <c r="CY23" s="451" t="n"/>
      <c r="CZ23" s="451" t="n"/>
      <c r="DA23" s="451" t="n"/>
      <c r="DK23" s="429">
        <f>DK22+1</f>
        <v/>
      </c>
      <c r="DL23" s="430" t="inlineStr">
        <is>
          <t>Atb/Ato Start Button(Pbs)</t>
        </is>
      </c>
      <c r="DM23" s="429" t="n"/>
      <c r="DN23" s="429" t="inlineStr">
        <is>
          <t>0/1</t>
        </is>
      </c>
      <c r="DO23" s="429" t="inlineStr">
        <is>
          <t>GUI</t>
        </is>
      </c>
      <c r="DP23" s="429" t="n"/>
      <c r="DQ23" s="429" t="n"/>
    </row>
    <row r="24" ht="21" customHeight="1">
      <c r="A24" s="429" t="n">
        <v>16</v>
      </c>
      <c r="B24" s="445" t="inlineStr">
        <is>
          <t>HVAC1_CT_INC_1</t>
        </is>
      </c>
      <c r="C24" s="461" t="inlineStr">
        <is>
          <t>Current Time Increment(+)</t>
        </is>
      </c>
      <c r="D24" s="447" t="inlineStr">
        <is>
          <t>Float</t>
        </is>
      </c>
      <c r="E24" s="429" t="n"/>
      <c r="F24" s="429" t="n"/>
      <c r="G24" s="429" t="n"/>
      <c r="H24" s="429" t="n">
        <v>32</v>
      </c>
      <c r="I24" s="448" t="inlineStr">
        <is>
          <t>HVAC1_HTR_ST_ON_1</t>
        </is>
      </c>
      <c r="J24" s="448" t="inlineStr">
        <is>
          <t>Heater Staus ON</t>
        </is>
      </c>
      <c r="K24" s="447" t="inlineStr">
        <is>
          <t>Boolean</t>
        </is>
      </c>
      <c r="L24" s="429" t="n"/>
      <c r="M24" s="462">
        <f>'Mode Logic'!R18</f>
        <v/>
      </c>
      <c r="N24" s="429" t="n"/>
      <c r="S24" s="429" t="n"/>
      <c r="T24" s="445" t="n"/>
      <c r="U24" s="463" t="inlineStr">
        <is>
          <t>Spare</t>
        </is>
      </c>
      <c r="V24" s="447" t="n"/>
      <c r="W24" s="429" t="n"/>
      <c r="X24" s="450" t="n">
        <v>0</v>
      </c>
      <c r="Y24" s="451" t="n"/>
      <c r="Z24" s="429" t="n">
        <v>15</v>
      </c>
      <c r="AA24" s="448">
        <f>_xlfn.CONCAT("HVAC_",AB24)</f>
        <v/>
      </c>
      <c r="AB24" s="448" t="inlineStr">
        <is>
          <t>Ventilation Mode</t>
        </is>
      </c>
      <c r="AC24" s="447" t="inlineStr">
        <is>
          <t>Boolean</t>
        </is>
      </c>
      <c r="AD24" s="451" t="n"/>
      <c r="AE24" s="450">
        <f>'Mode Logic'!J11</f>
        <v/>
      </c>
      <c r="AF24" s="451" t="n"/>
      <c r="AH24" s="451" t="n"/>
      <c r="AI24" s="445" t="n"/>
      <c r="AJ24" s="461" t="n"/>
      <c r="AK24" s="447" t="n"/>
      <c r="AL24" s="429" t="n"/>
      <c r="AM24" s="429" t="n">
        <v>0</v>
      </c>
      <c r="AN24" s="451" t="n"/>
      <c r="AO24" s="429" t="n">
        <v>15</v>
      </c>
      <c r="AP24" s="448" t="inlineStr">
        <is>
          <t>HVAC1_COMPRESSOR_3</t>
        </is>
      </c>
      <c r="AQ24" s="448" t="inlineStr">
        <is>
          <t>Compressors_3</t>
        </is>
      </c>
      <c r="AR24" s="447" t="inlineStr">
        <is>
          <t>Boolean</t>
        </is>
      </c>
      <c r="AS24" s="429" t="n"/>
      <c r="AT24" s="464">
        <f>'Mode Logic'!N18</f>
        <v/>
      </c>
      <c r="AU24" s="451" t="n"/>
      <c r="BE24" s="451" t="n"/>
      <c r="BF24" s="445" t="n"/>
      <c r="BG24" s="461" t="n"/>
      <c r="BH24" s="447" t="n"/>
      <c r="BI24" s="429" t="n"/>
      <c r="BJ24" s="429" t="n">
        <v>0</v>
      </c>
      <c r="BK24" s="451" t="n"/>
      <c r="BL24" s="429" t="n"/>
      <c r="BM24" s="448" t="n"/>
      <c r="BN24" s="448" t="n"/>
      <c r="BO24" s="451" t="n"/>
      <c r="BP24" s="429" t="n"/>
      <c r="BQ24" s="429" t="n">
        <v>0</v>
      </c>
      <c r="BR24" s="451" t="n"/>
      <c r="BV24" s="451" t="n"/>
      <c r="BW24" s="445" t="n"/>
      <c r="BX24" s="461" t="n"/>
      <c r="BY24" s="447" t="n"/>
      <c r="BZ24" s="429" t="n"/>
      <c r="CA24" s="429" t="n">
        <v>0</v>
      </c>
      <c r="CB24" s="451" t="n"/>
      <c r="CC24" s="429" t="n"/>
      <c r="CD24" s="448" t="n"/>
      <c r="CE24" s="456" t="inlineStr">
        <is>
          <t>Spare</t>
        </is>
      </c>
      <c r="CF24" s="451" t="n"/>
      <c r="CG24" s="451" t="n"/>
      <c r="CH24" s="429" t="n">
        <v>0</v>
      </c>
      <c r="CI24" s="451" t="n"/>
      <c r="CK24" s="451" t="n"/>
      <c r="CL24" s="451" t="n"/>
      <c r="CM24" s="754" t="inlineStr">
        <is>
          <t>UTC Time (Seconds from 01/01/1970)</t>
        </is>
      </c>
      <c r="CN24" s="451" t="n"/>
      <c r="CO24" s="451" t="n"/>
      <c r="CP24" s="451" t="n"/>
      <c r="CQ24" s="451" t="n"/>
      <c r="CU24" s="451" t="n"/>
      <c r="CV24" s="451" t="n"/>
      <c r="CW24" s="451" t="n"/>
      <c r="CX24" s="451" t="n"/>
      <c r="CY24" s="451" t="n"/>
      <c r="CZ24" s="451" t="n"/>
      <c r="DA24" s="451" t="n"/>
      <c r="DK24" s="429">
        <f>DK23+1</f>
        <v/>
      </c>
      <c r="DL24" s="430" t="inlineStr">
        <is>
          <t>Right Door Open Button 1(Rdob1)</t>
        </is>
      </c>
      <c r="DM24" s="429" t="n"/>
      <c r="DN24" s="429" t="inlineStr">
        <is>
          <t>0/1</t>
        </is>
      </c>
      <c r="DO24" s="429" t="inlineStr">
        <is>
          <t>GUI</t>
        </is>
      </c>
      <c r="DP24" s="429" t="n"/>
      <c r="DQ24" s="429" t="n"/>
    </row>
    <row r="25" ht="21" customHeight="1">
      <c r="A25" s="429" t="n">
        <v>17</v>
      </c>
      <c r="B25" s="445" t="inlineStr">
        <is>
          <t>HVAC1_CT_DEC_1</t>
        </is>
      </c>
      <c r="C25" s="461" t="inlineStr">
        <is>
          <t>Current Time Decrement(+)</t>
        </is>
      </c>
      <c r="D25" s="447" t="inlineStr">
        <is>
          <t>Float</t>
        </is>
      </c>
      <c r="E25" s="429" t="n"/>
      <c r="F25" s="429" t="n"/>
      <c r="G25" s="429" t="n"/>
      <c r="H25" s="429" t="n">
        <v>33</v>
      </c>
      <c r="I25" s="448" t="inlineStr">
        <is>
          <t>HVAC1_HTR_ST_OFF_1</t>
        </is>
      </c>
      <c r="J25" s="448" t="inlineStr">
        <is>
          <t>Heater Staus OFF</t>
        </is>
      </c>
      <c r="K25" s="447" t="inlineStr">
        <is>
          <t>Boolean</t>
        </is>
      </c>
      <c r="L25" s="429" t="n"/>
      <c r="M25" s="429">
        <f>IF(NOT(M24),1,0)</f>
        <v/>
      </c>
      <c r="N25" s="429" t="n"/>
      <c r="S25" s="429" t="n"/>
      <c r="T25" s="445" t="n"/>
      <c r="U25" s="463" t="inlineStr">
        <is>
          <t>Spare</t>
        </is>
      </c>
      <c r="V25" s="447" t="n"/>
      <c r="W25" s="429" t="n"/>
      <c r="X25" s="450" t="n">
        <v>0</v>
      </c>
      <c r="Y25" s="451" t="n"/>
      <c r="Z25" s="429" t="n">
        <v>16</v>
      </c>
      <c r="AA25" s="448">
        <f>_xlfn.CONCAT("HVAC_",AB25)</f>
        <v/>
      </c>
      <c r="AB25" s="448" t="inlineStr">
        <is>
          <t>Heating Mode</t>
        </is>
      </c>
      <c r="AC25" s="447" t="inlineStr">
        <is>
          <t>Boolean</t>
        </is>
      </c>
      <c r="AD25" s="451" t="n"/>
      <c r="AE25" s="450">
        <f>'Mode Logic'!J12</f>
        <v/>
      </c>
      <c r="AF25" s="451" t="n"/>
      <c r="AH25" s="451" t="n"/>
      <c r="AI25" s="445" t="n"/>
      <c r="AJ25" s="461" t="n"/>
      <c r="AK25" s="447" t="n"/>
      <c r="AL25" s="429" t="n"/>
      <c r="AM25" s="429" t="n">
        <v>0</v>
      </c>
      <c r="AN25" s="451" t="n"/>
      <c r="AO25" s="429" t="n">
        <v>16</v>
      </c>
      <c r="AP25" s="448" t="inlineStr">
        <is>
          <t>HVAC1_COMPRESSOR_4</t>
        </is>
      </c>
      <c r="AQ25" s="448" t="inlineStr">
        <is>
          <t>Compressors_4</t>
        </is>
      </c>
      <c r="AR25" s="447" t="inlineStr">
        <is>
          <t>Boolean</t>
        </is>
      </c>
      <c r="AS25" s="429" t="n"/>
      <c r="AT25" s="464">
        <f>'Mode Logic'!O18</f>
        <v/>
      </c>
      <c r="AU25" s="451" t="n"/>
      <c r="BE25" s="451" t="n"/>
      <c r="BF25" s="445" t="n"/>
      <c r="BG25" s="461" t="n"/>
      <c r="BH25" s="447" t="n"/>
      <c r="BI25" s="429" t="n"/>
      <c r="BJ25" s="429" t="n">
        <v>0</v>
      </c>
      <c r="BK25" s="451" t="n"/>
      <c r="BL25" s="429" t="n"/>
      <c r="BM25" s="448" t="n"/>
      <c r="BN25" s="448" t="n"/>
      <c r="BO25" s="451" t="n"/>
      <c r="BP25" s="429" t="n"/>
      <c r="BQ25" s="429" t="n">
        <v>0</v>
      </c>
      <c r="BR25" s="451" t="n"/>
      <c r="BV25" s="451" t="n"/>
      <c r="BW25" s="445" t="n"/>
      <c r="BX25" s="461" t="n"/>
      <c r="BY25" s="447" t="n"/>
      <c r="BZ25" s="429" t="n"/>
      <c r="CA25" s="429" t="n">
        <v>0</v>
      </c>
      <c r="CB25" s="451" t="n"/>
      <c r="CC25" s="429" t="n"/>
      <c r="CD25" s="448" t="n"/>
      <c r="CE25" s="456" t="inlineStr">
        <is>
          <t>Spare</t>
        </is>
      </c>
      <c r="CF25" s="451" t="n"/>
      <c r="CG25" s="451" t="n"/>
      <c r="CH25" s="429" t="n">
        <v>0</v>
      </c>
      <c r="CI25" s="451" t="n"/>
      <c r="CK25" s="451" t="n"/>
      <c r="CL25" s="451" t="n"/>
      <c r="CM25" s="754" t="inlineStr">
        <is>
          <t>LLV (Liquid Line Valve) Management</t>
        </is>
      </c>
      <c r="CN25" s="451" t="n"/>
      <c r="CO25" s="451" t="n"/>
      <c r="CP25" s="451" t="n"/>
      <c r="CQ25" s="451" t="n"/>
      <c r="CU25" s="451" t="n"/>
      <c r="CV25" s="451" t="n"/>
      <c r="CW25" s="451" t="n"/>
      <c r="CX25" s="451" t="n"/>
      <c r="CY25" s="451" t="n"/>
      <c r="CZ25" s="451" t="n"/>
      <c r="DA25" s="451" t="n"/>
      <c r="DK25" s="429">
        <f>DK24+1</f>
        <v/>
      </c>
      <c r="DL25" s="430" t="inlineStr">
        <is>
          <t>RDCB 1</t>
        </is>
      </c>
      <c r="DM25" s="429" t="n"/>
      <c r="DN25" s="429" t="inlineStr">
        <is>
          <t>0/1</t>
        </is>
      </c>
      <c r="DO25" s="429" t="inlineStr">
        <is>
          <t>GUI</t>
        </is>
      </c>
      <c r="DP25" s="429" t="n"/>
      <c r="DQ25" s="429" t="n"/>
    </row>
    <row r="26" ht="21" customHeight="1">
      <c r="A26" s="429" t="n">
        <v>18</v>
      </c>
      <c r="B26" s="445" t="inlineStr">
        <is>
          <t>HVAC1_Hum</t>
        </is>
      </c>
      <c r="C26" s="461" t="inlineStr">
        <is>
          <t>Humidity Increment</t>
        </is>
      </c>
      <c r="D26" s="447" t="inlineStr">
        <is>
          <t>Float</t>
        </is>
      </c>
      <c r="E26" s="429" t="n"/>
      <c r="F26" s="429" t="n"/>
      <c r="G26" s="429" t="n"/>
      <c r="H26" s="429" t="n">
        <v>34</v>
      </c>
      <c r="I26" s="448" t="inlineStr">
        <is>
          <t>HVAC1_COMP_1</t>
        </is>
      </c>
      <c r="J26" s="448" t="inlineStr">
        <is>
          <t>Compressor 1</t>
        </is>
      </c>
      <c r="K26" s="447" t="inlineStr">
        <is>
          <t>Boolean</t>
        </is>
      </c>
      <c r="L26" s="429" t="n"/>
      <c r="M26" s="429">
        <f>'Mode Logic'!L18</f>
        <v/>
      </c>
      <c r="N26" s="429" t="n"/>
      <c r="S26" s="451" t="n"/>
      <c r="T26" s="445" t="n"/>
      <c r="U26" s="445" t="inlineStr">
        <is>
          <t>Spare</t>
        </is>
      </c>
      <c r="V26" s="447" t="inlineStr">
        <is>
          <t>Float</t>
        </is>
      </c>
      <c r="W26" s="429" t="n"/>
      <c r="X26" s="450" t="n">
        <v>0</v>
      </c>
      <c r="Y26" s="451" t="n"/>
      <c r="Z26" s="429" t="n">
        <v>17</v>
      </c>
      <c r="AA26" s="448">
        <f>_xlfn.CONCAT("HVAC_",AB26)</f>
        <v/>
      </c>
      <c r="AB26" s="448" t="inlineStr">
        <is>
          <t>Internal Smoke Mode</t>
        </is>
      </c>
      <c r="AC26" s="447" t="inlineStr">
        <is>
          <t>Boolean</t>
        </is>
      </c>
      <c r="AD26" s="429" t="n"/>
      <c r="AE26" s="450">
        <f>'Mode Logic'!J13</f>
        <v/>
      </c>
      <c r="AF26" s="429" t="n"/>
      <c r="AH26" s="451" t="n"/>
      <c r="AI26" s="445" t="n"/>
      <c r="AJ26" s="446" t="inlineStr">
        <is>
          <t>Spare</t>
        </is>
      </c>
      <c r="AK26" s="447" t="inlineStr">
        <is>
          <t>Float</t>
        </is>
      </c>
      <c r="AL26" s="429" t="n"/>
      <c r="AM26" s="429" t="n">
        <v>0</v>
      </c>
      <c r="AN26" s="451" t="n"/>
      <c r="AO26" s="429" t="n">
        <v>17</v>
      </c>
      <c r="AP26" s="448" t="inlineStr">
        <is>
          <t>HVAC1_EVAP_FAN_MOTOR_2</t>
        </is>
      </c>
      <c r="AQ26" s="448" t="inlineStr">
        <is>
          <t>Evaporator Fan Motor_2</t>
        </is>
      </c>
      <c r="AR26" s="447" t="inlineStr">
        <is>
          <t>Boolean</t>
        </is>
      </c>
      <c r="AS26" s="429" t="n"/>
      <c r="AT26" s="464">
        <f>'Mode Logic'!V18</f>
        <v/>
      </c>
      <c r="AU26" s="451" t="n"/>
      <c r="BE26" s="451" t="n"/>
      <c r="BF26" s="445" t="n"/>
      <c r="BG26" s="446" t="inlineStr">
        <is>
          <t>Spare</t>
        </is>
      </c>
      <c r="BH26" s="447" t="inlineStr">
        <is>
          <t>Float</t>
        </is>
      </c>
      <c r="BI26" s="429" t="n"/>
      <c r="BJ26" s="429" t="n">
        <v>0</v>
      </c>
      <c r="BK26" s="451" t="n"/>
      <c r="BL26" s="451" t="n"/>
      <c r="BM26" s="448" t="n"/>
      <c r="BN26" s="456" t="inlineStr">
        <is>
          <t>Spare</t>
        </is>
      </c>
      <c r="BO26" s="447" t="inlineStr">
        <is>
          <t>Float</t>
        </is>
      </c>
      <c r="BP26" s="429" t="n"/>
      <c r="BQ26" s="429" t="n">
        <v>0</v>
      </c>
      <c r="BR26" s="451" t="n"/>
      <c r="BV26" s="451" t="n"/>
      <c r="BW26" s="445" t="n"/>
      <c r="BX26" s="446" t="inlineStr">
        <is>
          <t>Spare</t>
        </is>
      </c>
      <c r="BY26" s="447" t="inlineStr">
        <is>
          <t>Float</t>
        </is>
      </c>
      <c r="BZ26" s="429" t="n"/>
      <c r="CA26" s="429" t="n">
        <v>0</v>
      </c>
      <c r="CB26" s="451" t="n"/>
      <c r="CC26" s="451" t="n"/>
      <c r="CD26" s="448" t="n"/>
      <c r="CE26" s="456" t="inlineStr">
        <is>
          <t>Spare</t>
        </is>
      </c>
      <c r="CF26" s="447" t="inlineStr">
        <is>
          <t>Float</t>
        </is>
      </c>
      <c r="CG26" s="429" t="n"/>
      <c r="CH26" s="429" t="n">
        <v>0</v>
      </c>
      <c r="CI26" s="451" t="n"/>
      <c r="CK26" s="451" t="n"/>
      <c r="CL26" s="451" t="n"/>
      <c r="CM26" s="754" t="inlineStr">
        <is>
          <t>Compressor Staggered Management Logic</t>
        </is>
      </c>
      <c r="CN26" s="451" t="n"/>
      <c r="CO26" s="451" t="n"/>
      <c r="CP26" s="451" t="n"/>
      <c r="CQ26" s="451" t="n"/>
      <c r="CU26" s="451" t="n"/>
      <c r="CV26" s="451" t="n"/>
      <c r="CW26" s="451" t="n"/>
      <c r="CX26" s="451" t="n"/>
      <c r="CY26" s="451" t="n"/>
      <c r="CZ26" s="451" t="n"/>
      <c r="DA26" s="451" t="n"/>
      <c r="DK26" s="429">
        <f>DK25+1</f>
        <v/>
      </c>
      <c r="DL26" s="430" t="inlineStr">
        <is>
          <t>Left Door Close Button 1(Ldcb1)</t>
        </is>
      </c>
      <c r="DM26" s="429" t="n"/>
      <c r="DN26" s="429" t="inlineStr">
        <is>
          <t>0/1</t>
        </is>
      </c>
      <c r="DO26" s="429" t="inlineStr">
        <is>
          <t>GUI</t>
        </is>
      </c>
      <c r="DP26" s="429" t="n"/>
      <c r="DQ26" s="429" t="n"/>
    </row>
    <row r="27" ht="21" customHeight="1">
      <c r="A27" s="429" t="n">
        <v>19</v>
      </c>
      <c r="B27" s="445" t="inlineStr">
        <is>
          <t>HVAC1_HU_DC</t>
        </is>
      </c>
      <c r="C27" s="461" t="inlineStr">
        <is>
          <t>Humidity Decrement</t>
        </is>
      </c>
      <c r="D27" s="447" t="inlineStr">
        <is>
          <t>Float</t>
        </is>
      </c>
      <c r="E27" s="429" t="n"/>
      <c r="F27" s="429" t="n"/>
      <c r="G27" s="429" t="n"/>
      <c r="H27" s="429" t="n">
        <v>35</v>
      </c>
      <c r="I27" s="448" t="inlineStr">
        <is>
          <t>HVAC1_COMP_2</t>
        </is>
      </c>
      <c r="J27" s="448" t="inlineStr">
        <is>
          <t>Compressor 2</t>
        </is>
      </c>
      <c r="K27" s="447" t="inlineStr">
        <is>
          <t>Boolean</t>
        </is>
      </c>
      <c r="L27" s="429" t="n"/>
      <c r="M27" s="429">
        <f>'Mode Logic'!M18</f>
        <v/>
      </c>
      <c r="N27" s="429" t="n"/>
      <c r="S27" s="451" t="n"/>
      <c r="T27" s="445" t="n"/>
      <c r="U27" s="445" t="inlineStr">
        <is>
          <t>Spare</t>
        </is>
      </c>
      <c r="V27" s="447" t="inlineStr">
        <is>
          <t>Float</t>
        </is>
      </c>
      <c r="W27" s="429" t="n"/>
      <c r="X27" s="450" t="n">
        <v>0</v>
      </c>
      <c r="Y27" s="451" t="n"/>
      <c r="Z27" s="429" t="n">
        <v>18</v>
      </c>
      <c r="AA27" s="448">
        <f>_xlfn.CONCAT("HVAC_",AB27)</f>
        <v/>
      </c>
      <c r="AB27" s="448" t="inlineStr">
        <is>
          <t>External Smoke Mode</t>
        </is>
      </c>
      <c r="AC27" s="447" t="inlineStr">
        <is>
          <t>Boolean</t>
        </is>
      </c>
      <c r="AD27" s="429" t="n"/>
      <c r="AE27" s="450">
        <f>'Mode Logic'!J14</f>
        <v/>
      </c>
      <c r="AF27" s="451" t="n"/>
      <c r="AH27" s="451" t="n"/>
      <c r="AI27" s="445" t="n"/>
      <c r="AJ27" s="446" t="inlineStr">
        <is>
          <t>Spare</t>
        </is>
      </c>
      <c r="AK27" s="447" t="inlineStr">
        <is>
          <t>Float</t>
        </is>
      </c>
      <c r="AL27" s="429" t="n"/>
      <c r="AM27" s="429" t="n">
        <v>0</v>
      </c>
      <c r="AN27" s="451" t="n"/>
      <c r="AO27" s="429" t="n">
        <v>18</v>
      </c>
      <c r="AP27" s="448" t="inlineStr">
        <is>
          <t>HVAC1_ACCESS_VALVE_2</t>
        </is>
      </c>
      <c r="AQ27" s="448" t="inlineStr">
        <is>
          <t>Access Valve_2</t>
        </is>
      </c>
      <c r="AR27" s="447" t="inlineStr">
        <is>
          <t>Boolean</t>
        </is>
      </c>
      <c r="AS27" s="429" t="n"/>
      <c r="AT27" s="450" t="n">
        <v>1</v>
      </c>
      <c r="AU27" s="451" t="n"/>
      <c r="BE27" s="451" t="n"/>
      <c r="BF27" s="445" t="n"/>
      <c r="BG27" s="446" t="inlineStr">
        <is>
          <t>Spare</t>
        </is>
      </c>
      <c r="BH27" s="447" t="inlineStr">
        <is>
          <t>Float</t>
        </is>
      </c>
      <c r="BI27" s="429" t="n"/>
      <c r="BJ27" s="429" t="n">
        <v>0</v>
      </c>
      <c r="BK27" s="451" t="n"/>
      <c r="BL27" s="451" t="n"/>
      <c r="BM27" s="448" t="n"/>
      <c r="BN27" s="456" t="inlineStr">
        <is>
          <t>Spare</t>
        </is>
      </c>
      <c r="BO27" s="447" t="inlineStr">
        <is>
          <t>Float</t>
        </is>
      </c>
      <c r="BP27" s="429" t="n"/>
      <c r="BQ27" s="429" t="n">
        <v>0</v>
      </c>
      <c r="BR27" s="451" t="n"/>
      <c r="BV27" s="451" t="n"/>
      <c r="BW27" s="445" t="n"/>
      <c r="BX27" s="446" t="inlineStr">
        <is>
          <t>Spare</t>
        </is>
      </c>
      <c r="BY27" s="447" t="inlineStr">
        <is>
          <t>Float</t>
        </is>
      </c>
      <c r="BZ27" s="429" t="n"/>
      <c r="CA27" s="429" t="n">
        <v>0</v>
      </c>
      <c r="CB27" s="451" t="n"/>
      <c r="CC27" s="451" t="n"/>
      <c r="CD27" s="448" t="n"/>
      <c r="CE27" s="456" t="inlineStr">
        <is>
          <t>Spare</t>
        </is>
      </c>
      <c r="CF27" s="447" t="inlineStr">
        <is>
          <t>Float</t>
        </is>
      </c>
      <c r="CG27" s="429" t="n"/>
      <c r="CH27" s="429" t="n">
        <v>0</v>
      </c>
      <c r="CI27" s="451" t="n"/>
      <c r="CK27" s="451" t="n"/>
      <c r="CL27" s="451" t="n"/>
      <c r="CM27" s="754" t="inlineStr">
        <is>
          <t>LPCO1 / LPCO2 (Refrigerant Low Pressure Fault)</t>
        </is>
      </c>
      <c r="CN27" s="451" t="n"/>
      <c r="CO27" s="451" t="n"/>
      <c r="CP27" s="451" t="n"/>
      <c r="CQ27" s="451" t="n"/>
      <c r="CU27" s="451" t="n"/>
      <c r="CV27" s="451" t="n"/>
      <c r="CW27" s="451" t="n"/>
      <c r="CX27" s="451" t="n"/>
      <c r="CY27" s="451" t="n"/>
      <c r="CZ27" s="451" t="n"/>
      <c r="DA27" s="451" t="n"/>
      <c r="DK27" s="429">
        <f>DK26+1</f>
        <v/>
      </c>
      <c r="DL27" s="430" t="inlineStr">
        <is>
          <t>LDOB1</t>
        </is>
      </c>
      <c r="DM27" s="429" t="n"/>
      <c r="DN27" s="429" t="inlineStr">
        <is>
          <t>0/1</t>
        </is>
      </c>
      <c r="DO27" s="429" t="inlineStr">
        <is>
          <t>GUI</t>
        </is>
      </c>
      <c r="DP27" s="429" t="n"/>
      <c r="DQ27" s="429" t="n"/>
    </row>
    <row r="28" ht="21" customHeight="1">
      <c r="A28" s="429" t="n">
        <v>18</v>
      </c>
      <c r="B28" s="445" t="inlineStr">
        <is>
          <t>HVAC1_INT_SM</t>
        </is>
      </c>
      <c r="C28" s="446" t="inlineStr">
        <is>
          <t>Internal Smoke Sensor</t>
        </is>
      </c>
      <c r="D28" s="447" t="inlineStr">
        <is>
          <t>Boolean</t>
        </is>
      </c>
      <c r="E28" s="429" t="n"/>
      <c r="F28" s="429" t="n">
        <v>0</v>
      </c>
      <c r="G28" s="429" t="n"/>
      <c r="H28" s="429" t="n">
        <v>36</v>
      </c>
      <c r="I28" s="448" t="inlineStr">
        <is>
          <t>HVAC1_COMP_3</t>
        </is>
      </c>
      <c r="J28" s="448" t="inlineStr">
        <is>
          <t>Compressor 3</t>
        </is>
      </c>
      <c r="K28" s="447" t="inlineStr">
        <is>
          <t>Boolean</t>
        </is>
      </c>
      <c r="L28" s="429" t="n"/>
      <c r="M28" s="429">
        <f>'Mode Logic'!N18</f>
        <v/>
      </c>
      <c r="N28" s="429" t="n"/>
      <c r="S28" s="451" t="n"/>
      <c r="T28" s="445" t="n"/>
      <c r="U28" s="445" t="inlineStr">
        <is>
          <t>Spare</t>
        </is>
      </c>
      <c r="V28" s="447" t="inlineStr">
        <is>
          <t>Float</t>
        </is>
      </c>
      <c r="W28" s="429" t="n"/>
      <c r="X28" s="450" t="n">
        <v>0</v>
      </c>
      <c r="Y28" s="451" t="n"/>
      <c r="Z28" s="429" t="n">
        <v>19</v>
      </c>
      <c r="AA28" s="448">
        <f>_xlfn.CONCAT("HVAC_",AB28)</f>
        <v/>
      </c>
      <c r="AB28" s="448" t="inlineStr">
        <is>
          <t>Emergency Ventilation Mode</t>
        </is>
      </c>
      <c r="AC28" s="447" t="inlineStr">
        <is>
          <t>Boolean</t>
        </is>
      </c>
      <c r="AD28" s="429" t="n"/>
      <c r="AE28" s="450">
        <f>'Mode Logic'!J15</f>
        <v/>
      </c>
      <c r="AF28" s="451" t="n"/>
      <c r="AH28" s="451" t="n"/>
      <c r="AI28" s="445" t="n"/>
      <c r="AJ28" s="446" t="inlineStr">
        <is>
          <t>Spare</t>
        </is>
      </c>
      <c r="AK28" s="447" t="inlineStr">
        <is>
          <t>Float</t>
        </is>
      </c>
      <c r="AL28" s="429" t="n"/>
      <c r="AM28" s="429" t="n">
        <v>0</v>
      </c>
      <c r="AN28" s="451" t="n"/>
      <c r="AO28" s="429" t="n">
        <v>19</v>
      </c>
      <c r="AP28" s="448" t="inlineStr">
        <is>
          <t>HVAC1_DRIER_FILTER_2</t>
        </is>
      </c>
      <c r="AQ28" s="448" t="inlineStr">
        <is>
          <t>Drier Filter_2</t>
        </is>
      </c>
      <c r="AR28" s="447" t="inlineStr">
        <is>
          <t>Boolean</t>
        </is>
      </c>
      <c r="AS28" s="429" t="n"/>
      <c r="AT28" s="450" t="n">
        <v>1</v>
      </c>
      <c r="AU28" s="451" t="n"/>
      <c r="BE28" s="451" t="n"/>
      <c r="BF28" s="445" t="n"/>
      <c r="BG28" s="446" t="inlineStr">
        <is>
          <t>Spare</t>
        </is>
      </c>
      <c r="BH28" s="447" t="inlineStr">
        <is>
          <t>Float</t>
        </is>
      </c>
      <c r="BI28" s="429" t="n"/>
      <c r="BJ28" s="429" t="n">
        <v>0</v>
      </c>
      <c r="BK28" s="451" t="n"/>
      <c r="BL28" s="451" t="n"/>
      <c r="BM28" s="448" t="n"/>
      <c r="BN28" s="456" t="inlineStr">
        <is>
          <t>Spare</t>
        </is>
      </c>
      <c r="BO28" s="447" t="inlineStr">
        <is>
          <t>Float</t>
        </is>
      </c>
      <c r="BP28" s="429" t="n"/>
      <c r="BQ28" s="429" t="n">
        <v>0</v>
      </c>
      <c r="BR28" s="451" t="n"/>
      <c r="BV28" s="451" t="n"/>
      <c r="BW28" s="445" t="n"/>
      <c r="BX28" s="446" t="inlineStr">
        <is>
          <t>Spare</t>
        </is>
      </c>
      <c r="BY28" s="447" t="inlineStr">
        <is>
          <t>Float</t>
        </is>
      </c>
      <c r="BZ28" s="429" t="n"/>
      <c r="CA28" s="429" t="n">
        <v>0</v>
      </c>
      <c r="CB28" s="451" t="n"/>
      <c r="CC28" s="451" t="n"/>
      <c r="CD28" s="448" t="n"/>
      <c r="CE28" s="456" t="inlineStr">
        <is>
          <t>Spare</t>
        </is>
      </c>
      <c r="CF28" s="447" t="inlineStr">
        <is>
          <t>Float</t>
        </is>
      </c>
      <c r="CG28" s="429" t="n"/>
      <c r="CH28" s="429" t="n">
        <v>0</v>
      </c>
      <c r="CI28" s="451" t="n"/>
      <c r="CK28" s="451" t="n"/>
      <c r="CL28" s="451" t="n"/>
      <c r="CM28" s="754" t="inlineStr">
        <is>
          <t>HEC Start Allow Delay (12s interval)</t>
        </is>
      </c>
      <c r="CN28" s="451" t="n"/>
      <c r="CO28" s="451" t="n"/>
      <c r="CP28" s="451" t="n"/>
      <c r="CQ28" s="451" t="n"/>
      <c r="CU28" s="451" t="n"/>
      <c r="CV28" s="451" t="n"/>
      <c r="CW28" s="451" t="n"/>
      <c r="CX28" s="451" t="n"/>
      <c r="CY28" s="451" t="n"/>
      <c r="CZ28" s="451" t="n"/>
      <c r="DA28" s="451" t="n"/>
      <c r="DK28" s="429">
        <f>DK27+1</f>
        <v/>
      </c>
      <c r="DL28" s="430" t="inlineStr">
        <is>
          <t>Run On Sight Button(Rospb)</t>
        </is>
      </c>
      <c r="DM28" s="429" t="n"/>
      <c r="DN28" s="429" t="inlineStr">
        <is>
          <t>0/1</t>
        </is>
      </c>
      <c r="DO28" s="429" t="inlineStr">
        <is>
          <t>GUI</t>
        </is>
      </c>
      <c r="DP28" s="429" t="n"/>
      <c r="DQ28" s="429" t="n"/>
    </row>
    <row r="29" ht="21" customHeight="1">
      <c r="A29" s="429" t="n">
        <v>19</v>
      </c>
      <c r="B29" s="445" t="inlineStr">
        <is>
          <t>HVAC1_EXT_SM</t>
        </is>
      </c>
      <c r="C29" s="446" t="inlineStr">
        <is>
          <t>External Smoke Sensor</t>
        </is>
      </c>
      <c r="D29" s="447" t="inlineStr">
        <is>
          <t>Boolean</t>
        </is>
      </c>
      <c r="E29" s="429" t="n"/>
      <c r="F29" s="429" t="n">
        <v>1</v>
      </c>
      <c r="G29" s="429" t="n"/>
      <c r="H29" s="429" t="n">
        <v>37</v>
      </c>
      <c r="I29" s="448" t="inlineStr">
        <is>
          <t>HVAC1_COMP_4</t>
        </is>
      </c>
      <c r="J29" s="448" t="inlineStr">
        <is>
          <t>Compressor 4</t>
        </is>
      </c>
      <c r="K29" s="447" t="inlineStr">
        <is>
          <t>Boolean</t>
        </is>
      </c>
      <c r="L29" s="429" t="n"/>
      <c r="M29" s="429">
        <f>'Mode Logic'!O18</f>
        <v/>
      </c>
      <c r="N29" s="429" t="n"/>
      <c r="S29" s="451" t="n"/>
      <c r="T29" s="445" t="n"/>
      <c r="U29" s="445" t="inlineStr">
        <is>
          <t>Spare</t>
        </is>
      </c>
      <c r="V29" s="447" t="inlineStr">
        <is>
          <t>Float</t>
        </is>
      </c>
      <c r="W29" s="429" t="n"/>
      <c r="X29" s="450" t="n">
        <v>0</v>
      </c>
      <c r="Y29" s="451" t="n"/>
      <c r="Z29" s="429" t="n">
        <v>20</v>
      </c>
      <c r="AA29" s="448" t="inlineStr">
        <is>
          <t>HVAC1_SMOKE_INSIDE_1</t>
        </is>
      </c>
      <c r="AB29" s="448" t="inlineStr">
        <is>
          <t>Smoke Inside</t>
        </is>
      </c>
      <c r="AC29" s="447" t="inlineStr">
        <is>
          <t>Boolean</t>
        </is>
      </c>
      <c r="AD29" s="429" t="n"/>
      <c r="AE29" s="450">
        <f>AE26</f>
        <v/>
      </c>
      <c r="AF29" s="451" t="n"/>
      <c r="AH29" s="451" t="n"/>
      <c r="AI29" s="445" t="n"/>
      <c r="AJ29" s="446" t="inlineStr">
        <is>
          <t>Spare</t>
        </is>
      </c>
      <c r="AK29" s="447" t="inlineStr">
        <is>
          <t>Float</t>
        </is>
      </c>
      <c r="AL29" s="429" t="n"/>
      <c r="AM29" s="429" t="n">
        <v>0</v>
      </c>
      <c r="AN29" s="451" t="n"/>
      <c r="AO29" s="429" t="n">
        <v>20</v>
      </c>
      <c r="AP29" s="448" t="inlineStr">
        <is>
          <t>HVAC1_CONDENSER_COIL_2</t>
        </is>
      </c>
      <c r="AQ29" s="448" t="inlineStr">
        <is>
          <t>Condenser Coil_2</t>
        </is>
      </c>
      <c r="AR29" s="447" t="inlineStr">
        <is>
          <t>Boolean</t>
        </is>
      </c>
      <c r="AS29" s="429" t="n"/>
      <c r="AT29" s="450" t="n">
        <v>1</v>
      </c>
      <c r="AU29" s="451" t="n"/>
      <c r="BE29" s="451" t="n"/>
      <c r="BF29" s="445" t="n"/>
      <c r="BG29" s="446" t="inlineStr">
        <is>
          <t>Spare</t>
        </is>
      </c>
      <c r="BH29" s="447" t="inlineStr">
        <is>
          <t>Float</t>
        </is>
      </c>
      <c r="BI29" s="429" t="n"/>
      <c r="BJ29" s="429" t="n">
        <v>0</v>
      </c>
      <c r="BK29" s="451" t="n"/>
      <c r="BL29" s="451" t="n"/>
      <c r="BM29" s="448" t="n"/>
      <c r="BN29" s="456" t="inlineStr">
        <is>
          <t>Spare</t>
        </is>
      </c>
      <c r="BO29" s="447" t="inlineStr">
        <is>
          <t>Float</t>
        </is>
      </c>
      <c r="BP29" s="429" t="n"/>
      <c r="BQ29" s="429" t="n">
        <v>0</v>
      </c>
      <c r="BR29" s="451" t="n"/>
      <c r="BV29" s="451" t="n"/>
      <c r="BW29" s="445" t="n"/>
      <c r="BX29" s="446" t="inlineStr">
        <is>
          <t>Spare</t>
        </is>
      </c>
      <c r="BY29" s="447" t="inlineStr">
        <is>
          <t>Float</t>
        </is>
      </c>
      <c r="BZ29" s="429" t="n"/>
      <c r="CA29" s="429" t="n">
        <v>0</v>
      </c>
      <c r="CB29" s="451" t="n"/>
      <c r="CC29" s="451" t="n"/>
      <c r="CD29" s="448" t="n"/>
      <c r="CE29" s="456" t="inlineStr">
        <is>
          <t>Spare</t>
        </is>
      </c>
      <c r="CF29" s="447" t="inlineStr">
        <is>
          <t>Float</t>
        </is>
      </c>
      <c r="CG29" s="429" t="n"/>
      <c r="CH29" s="429" t="n">
        <v>0</v>
      </c>
      <c r="CI29" s="451" t="n"/>
      <c r="CK29" s="451" t="n"/>
      <c r="CL29" s="451" t="n"/>
      <c r="CM29" s="754" t="inlineStr">
        <is>
          <t>HEC Staggering Logic (0.5s–1s delay)</t>
        </is>
      </c>
      <c r="CN29" s="451" t="n"/>
      <c r="CO29" s="451" t="n"/>
      <c r="CP29" s="451" t="n"/>
      <c r="CQ29" s="451" t="n"/>
      <c r="CU29" s="451" t="n"/>
      <c r="CV29" s="451" t="n"/>
      <c r="CW29" s="451" t="n"/>
      <c r="CX29" s="451" t="n"/>
      <c r="CY29" s="451" t="n"/>
      <c r="CZ29" s="451" t="n"/>
      <c r="DA29" s="451" t="n"/>
      <c r="DK29" s="429">
        <f>DK28+1</f>
        <v/>
      </c>
      <c r="DL29" s="430" t="inlineStr">
        <is>
          <t>Lamp Test Button(Pls)</t>
        </is>
      </c>
      <c r="DM29" s="429" t="n"/>
      <c r="DN29" s="429" t="inlineStr">
        <is>
          <t>0/1</t>
        </is>
      </c>
      <c r="DO29" s="429" t="inlineStr">
        <is>
          <t>GUI</t>
        </is>
      </c>
      <c r="DP29" s="429" t="n"/>
      <c r="DQ29" s="429" t="n"/>
    </row>
    <row r="30" ht="21" customHeight="1">
      <c r="A30" s="429" t="n">
        <v>20</v>
      </c>
      <c r="B30" s="445" t="inlineStr">
        <is>
          <t>HVAC1_RM</t>
        </is>
      </c>
      <c r="C30" s="446" t="inlineStr">
        <is>
          <t>Reduced Mode</t>
        </is>
      </c>
      <c r="D30" s="447" t="inlineStr">
        <is>
          <t>Boolean</t>
        </is>
      </c>
      <c r="E30" s="429" t="n"/>
      <c r="F30" s="429" t="n">
        <v>0</v>
      </c>
      <c r="G30" s="429" t="n"/>
      <c r="H30" s="429" t="n">
        <v>38</v>
      </c>
      <c r="I30" s="448" t="n"/>
      <c r="J30" s="448" t="n"/>
      <c r="K30" s="447" t="inlineStr">
        <is>
          <t>Float</t>
        </is>
      </c>
      <c r="L30" s="429" t="n"/>
      <c r="M30" s="429" t="n"/>
      <c r="N30" s="429" t="n"/>
      <c r="S30" s="451" t="n"/>
      <c r="T30" s="445" t="n"/>
      <c r="U30" s="445" t="inlineStr">
        <is>
          <t>Spare</t>
        </is>
      </c>
      <c r="V30" s="447" t="inlineStr">
        <is>
          <t>Float</t>
        </is>
      </c>
      <c r="W30" s="429" t="n"/>
      <c r="X30" s="450" t="n">
        <v>0</v>
      </c>
      <c r="Y30" s="451" t="n"/>
      <c r="Z30" s="429" t="n">
        <v>21</v>
      </c>
      <c r="AA30" s="448" t="n"/>
      <c r="AB30" s="448" t="n"/>
      <c r="AC30" s="447" t="inlineStr">
        <is>
          <t>Float</t>
        </is>
      </c>
      <c r="AD30" s="429" t="n"/>
      <c r="AE30" s="450" t="n"/>
      <c r="AF30" s="451" t="n"/>
      <c r="AH30" s="451" t="n"/>
      <c r="AI30" s="445" t="n"/>
      <c r="AJ30" s="446" t="inlineStr">
        <is>
          <t>Spare</t>
        </is>
      </c>
      <c r="AK30" s="447" t="inlineStr">
        <is>
          <t>Float</t>
        </is>
      </c>
      <c r="AL30" s="429" t="n"/>
      <c r="AM30" s="429" t="n">
        <v>0</v>
      </c>
      <c r="AN30" s="451" t="n"/>
      <c r="AO30" s="429" t="n">
        <v>21</v>
      </c>
      <c r="AP30" s="448" t="inlineStr">
        <is>
          <t>HVAC1_CHECK_VALVE_2</t>
        </is>
      </c>
      <c r="AQ30" s="448" t="inlineStr">
        <is>
          <t>Check Valves_2</t>
        </is>
      </c>
      <c r="AR30" s="447" t="inlineStr">
        <is>
          <t>Boolean</t>
        </is>
      </c>
      <c r="AS30" s="429" t="n"/>
      <c r="AT30" s="450" t="n">
        <v>1</v>
      </c>
      <c r="AU30" s="451" t="n"/>
      <c r="BE30" s="451" t="n"/>
      <c r="BF30" s="445" t="n"/>
      <c r="BG30" s="446" t="inlineStr">
        <is>
          <t>Spare</t>
        </is>
      </c>
      <c r="BH30" s="447" t="inlineStr">
        <is>
          <t>Float</t>
        </is>
      </c>
      <c r="BI30" s="429" t="n"/>
      <c r="BJ30" s="429" t="n">
        <v>0</v>
      </c>
      <c r="BK30" s="451" t="n"/>
      <c r="BL30" s="451" t="n"/>
      <c r="BM30" s="448" t="n"/>
      <c r="BN30" s="456" t="inlineStr">
        <is>
          <t>Spare</t>
        </is>
      </c>
      <c r="BO30" s="447" t="inlineStr">
        <is>
          <t>Float</t>
        </is>
      </c>
      <c r="BP30" s="429" t="n"/>
      <c r="BQ30" s="429" t="n">
        <v>0</v>
      </c>
      <c r="BR30" s="451" t="n"/>
      <c r="BV30" s="451" t="n"/>
      <c r="BW30" s="445" t="n"/>
      <c r="BX30" s="446" t="inlineStr">
        <is>
          <t>Spare</t>
        </is>
      </c>
      <c r="BY30" s="447" t="inlineStr">
        <is>
          <t>Float</t>
        </is>
      </c>
      <c r="BZ30" s="429" t="n"/>
      <c r="CA30" s="429" t="n">
        <v>0</v>
      </c>
      <c r="CB30" s="451" t="n"/>
      <c r="CC30" s="451" t="n"/>
      <c r="CD30" s="448" t="n"/>
      <c r="CE30" s="456" t="inlineStr">
        <is>
          <t>Spare</t>
        </is>
      </c>
      <c r="CF30" s="447" t="inlineStr">
        <is>
          <t>Float</t>
        </is>
      </c>
      <c r="CG30" s="429" t="n"/>
      <c r="CH30" s="429" t="n">
        <v>0</v>
      </c>
      <c r="CI30" s="451" t="n"/>
      <c r="CK30" s="451" t="n"/>
      <c r="CL30" s="451" t="n"/>
      <c r="CM30" s="754" t="inlineStr">
        <is>
          <t>HVAC SD: Degraded (Text 35, Bit 6)</t>
        </is>
      </c>
      <c r="CN30" s="451" t="n"/>
      <c r="CO30" s="451" t="n"/>
      <c r="CP30" s="451" t="n"/>
      <c r="CQ30" s="451" t="n"/>
      <c r="CU30" s="451" t="n"/>
      <c r="CV30" s="451" t="n"/>
      <c r="CW30" s="451" t="n"/>
      <c r="CX30" s="451" t="n"/>
      <c r="CY30" s="451" t="n"/>
      <c r="CZ30" s="451" t="n"/>
      <c r="DA30" s="451" t="n"/>
      <c r="DK30" s="429">
        <f>DK29+1</f>
        <v/>
      </c>
      <c r="DL30" s="430" t="inlineStr">
        <is>
          <t>Air Horn Low Button(Ahlb)</t>
        </is>
      </c>
      <c r="DM30" s="429" t="n"/>
      <c r="DN30" s="429" t="inlineStr">
        <is>
          <t>0/1</t>
        </is>
      </c>
      <c r="DO30" s="429" t="inlineStr">
        <is>
          <t>GUI</t>
        </is>
      </c>
      <c r="DP30" s="429" t="n"/>
      <c r="DQ30" s="429" t="n"/>
    </row>
    <row r="31" ht="21" customHeight="1">
      <c r="A31" s="429" t="n">
        <v>21</v>
      </c>
      <c r="B31" s="445">
        <f>'LFD New'!D34</f>
        <v/>
      </c>
      <c r="C31" s="446" t="inlineStr">
        <is>
          <t>Emergency Vent</t>
        </is>
      </c>
      <c r="D31" s="447" t="inlineStr">
        <is>
          <t>Boolean</t>
        </is>
      </c>
      <c r="E31" s="429" t="n"/>
      <c r="F31" s="429" t="n">
        <v>0</v>
      </c>
      <c r="G31" s="429" t="n"/>
      <c r="H31" s="429" t="n">
        <v>39</v>
      </c>
      <c r="I31" s="448" t="n"/>
      <c r="J31" s="448" t="n"/>
      <c r="K31" s="447" t="inlineStr">
        <is>
          <t>Float</t>
        </is>
      </c>
      <c r="L31" s="429" t="n"/>
      <c r="M31" s="429" t="n"/>
      <c r="N31" s="429" t="n"/>
      <c r="S31" s="451" t="n"/>
      <c r="T31" s="445" t="n"/>
      <c r="U31" s="445" t="inlineStr">
        <is>
          <t>Spare</t>
        </is>
      </c>
      <c r="V31" s="447" t="inlineStr">
        <is>
          <t>Float</t>
        </is>
      </c>
      <c r="W31" s="429" t="n"/>
      <c r="X31" s="450" t="n">
        <v>0</v>
      </c>
      <c r="Y31" s="451" t="n"/>
      <c r="Z31" s="429" t="n">
        <v>22</v>
      </c>
      <c r="AA31" s="448" t="n"/>
      <c r="AB31" s="448" t="n"/>
      <c r="AC31" s="447" t="inlineStr">
        <is>
          <t>Float</t>
        </is>
      </c>
      <c r="AD31" s="429" t="n"/>
      <c r="AE31" s="450" t="n"/>
      <c r="AF31" s="451" t="n"/>
      <c r="AH31" s="451" t="n"/>
      <c r="AI31" s="445" t="n"/>
      <c r="AJ31" s="446" t="inlineStr">
        <is>
          <t>Spare</t>
        </is>
      </c>
      <c r="AK31" s="447" t="inlineStr">
        <is>
          <t>Float</t>
        </is>
      </c>
      <c r="AL31" s="429" t="n"/>
      <c r="AM31" s="429" t="n">
        <v>0</v>
      </c>
      <c r="AN31" s="451" t="n"/>
      <c r="AO31" s="429" t="n">
        <v>22</v>
      </c>
      <c r="AP31" s="448" t="inlineStr">
        <is>
          <t>HVAC1_LIQUID_LINE_SOLENOID_VALVE_1</t>
        </is>
      </c>
      <c r="AQ31" s="448" t="inlineStr">
        <is>
          <t>Liquid Line Solenoid Valve_2</t>
        </is>
      </c>
      <c r="AR31" s="447" t="inlineStr">
        <is>
          <t>Boolean</t>
        </is>
      </c>
      <c r="AS31" s="429" t="n"/>
      <c r="AT31" s="450" t="n">
        <v>1</v>
      </c>
      <c r="AU31" s="451" t="n"/>
      <c r="BE31" s="451" t="n"/>
      <c r="BF31" s="445" t="n"/>
      <c r="BG31" s="446" t="inlineStr">
        <is>
          <t>Spare</t>
        </is>
      </c>
      <c r="BH31" s="447" t="inlineStr">
        <is>
          <t>Float</t>
        </is>
      </c>
      <c r="BI31" s="429" t="n"/>
      <c r="BJ31" s="429" t="n">
        <v>0</v>
      </c>
      <c r="BK31" s="451" t="n"/>
      <c r="BL31" s="451" t="n"/>
      <c r="BM31" s="448" t="n"/>
      <c r="BN31" s="456" t="inlineStr">
        <is>
          <t>Spare</t>
        </is>
      </c>
      <c r="BO31" s="447" t="inlineStr">
        <is>
          <t>Float</t>
        </is>
      </c>
      <c r="BP31" s="429" t="n"/>
      <c r="BQ31" s="429" t="n">
        <v>0</v>
      </c>
      <c r="BR31" s="451" t="n"/>
      <c r="BV31" s="451" t="n"/>
      <c r="BW31" s="445" t="n"/>
      <c r="BX31" s="446" t="inlineStr">
        <is>
          <t>Spare</t>
        </is>
      </c>
      <c r="BY31" s="447" t="inlineStr">
        <is>
          <t>Float</t>
        </is>
      </c>
      <c r="BZ31" s="429" t="n"/>
      <c r="CA31" s="429" t="n">
        <v>0</v>
      </c>
      <c r="CB31" s="451" t="n"/>
      <c r="CC31" s="451" t="n"/>
      <c r="CD31" s="448" t="n"/>
      <c r="CE31" s="456" t="inlineStr">
        <is>
          <t>Spare</t>
        </is>
      </c>
      <c r="CF31" s="447" t="inlineStr">
        <is>
          <t>Float</t>
        </is>
      </c>
      <c r="CG31" s="429" t="n"/>
      <c r="CH31" s="429" t="n">
        <v>0</v>
      </c>
      <c r="CI31" s="451" t="n"/>
      <c r="CK31" s="451" t="n"/>
      <c r="CL31" s="451" t="n"/>
      <c r="CM31" s="754" t="inlineStr">
        <is>
          <t>RAT/SPT Gap (triggers Hot/Cold Car Fault if &gt; 6K)</t>
        </is>
      </c>
      <c r="CN31" s="451" t="n"/>
      <c r="CO31" s="451" t="n"/>
      <c r="CP31" s="451" t="n"/>
      <c r="CQ31" s="451" t="n"/>
      <c r="CU31" s="451" t="n"/>
      <c r="CV31" s="451" t="n"/>
      <c r="CW31" s="451" t="n"/>
      <c r="CX31" s="451" t="n"/>
      <c r="CY31" s="451" t="n"/>
      <c r="CZ31" s="451" t="n"/>
      <c r="DA31" s="451" t="n"/>
      <c r="DK31" s="429">
        <f>DK30+1</f>
        <v/>
      </c>
      <c r="DL31" s="430" t="inlineStr">
        <is>
          <t>HVAC Reset(SRRB)</t>
        </is>
      </c>
      <c r="DM31" s="429" t="n"/>
      <c r="DN31" s="429" t="inlineStr">
        <is>
          <t>0/1</t>
        </is>
      </c>
      <c r="DO31" s="429" t="inlineStr">
        <is>
          <t>GUI</t>
        </is>
      </c>
      <c r="DP31" s="429" t="n"/>
      <c r="DQ31" s="429" t="n"/>
    </row>
    <row r="32" ht="21" customHeight="1">
      <c r="A32" s="429" t="n">
        <v>22</v>
      </c>
      <c r="B32" s="445" t="inlineStr">
        <is>
          <t>HVAC1_ES</t>
        </is>
      </c>
      <c r="C32" s="446" t="inlineStr">
        <is>
          <t>Emergency Stop</t>
        </is>
      </c>
      <c r="D32" s="447" t="inlineStr">
        <is>
          <t>Boolean</t>
        </is>
      </c>
      <c r="E32" s="429" t="n"/>
      <c r="F32" s="429" t="n">
        <v>0</v>
      </c>
      <c r="G32" s="429" t="n"/>
      <c r="H32" s="429" t="n">
        <v>40</v>
      </c>
      <c r="I32" s="448" t="n"/>
      <c r="J32" s="448" t="n"/>
      <c r="K32" s="447" t="inlineStr">
        <is>
          <t>Float</t>
        </is>
      </c>
      <c r="L32" s="429" t="n"/>
      <c r="M32" s="429" t="n"/>
      <c r="N32" s="429" t="n"/>
      <c r="S32" s="451" t="n"/>
      <c r="T32" s="445" t="n"/>
      <c r="U32" s="445" t="inlineStr">
        <is>
          <t>Spare</t>
        </is>
      </c>
      <c r="V32" s="447" t="inlineStr">
        <is>
          <t>Float</t>
        </is>
      </c>
      <c r="W32" s="429" t="n"/>
      <c r="X32" s="450" t="n">
        <v>0</v>
      </c>
      <c r="Y32" s="451" t="n"/>
      <c r="Z32" s="429" t="n">
        <v>23</v>
      </c>
      <c r="AA32" s="448" t="n"/>
      <c r="AB32" s="448" t="n"/>
      <c r="AC32" s="447" t="inlineStr">
        <is>
          <t>Float</t>
        </is>
      </c>
      <c r="AD32" s="429" t="n"/>
      <c r="AE32" s="450" t="n"/>
      <c r="AF32" s="451" t="n"/>
      <c r="AH32" s="451" t="n"/>
      <c r="AI32" s="445" t="n"/>
      <c r="AJ32" s="446" t="inlineStr">
        <is>
          <t>Spare</t>
        </is>
      </c>
      <c r="AK32" s="447" t="inlineStr">
        <is>
          <t>Float</t>
        </is>
      </c>
      <c r="AL32" s="429" t="n"/>
      <c r="AM32" s="429" t="n">
        <v>0</v>
      </c>
      <c r="AN32" s="451" t="n"/>
      <c r="AO32" s="429" t="n">
        <v>23</v>
      </c>
      <c r="AP32" s="448" t="inlineStr">
        <is>
          <t>HVAC1_SIGHT_GLASS_1</t>
        </is>
      </c>
      <c r="AQ32" s="448" t="inlineStr">
        <is>
          <t>Sight Glass_2</t>
        </is>
      </c>
      <c r="AR32" s="447" t="inlineStr">
        <is>
          <t>Boolean</t>
        </is>
      </c>
      <c r="AS32" s="429" t="n"/>
      <c r="AT32" s="450" t="n">
        <v>1</v>
      </c>
      <c r="AU32" s="451" t="n"/>
      <c r="BE32" s="451" t="n"/>
      <c r="BF32" s="445" t="n"/>
      <c r="BG32" s="446" t="inlineStr">
        <is>
          <t>Spare</t>
        </is>
      </c>
      <c r="BH32" s="447" t="inlineStr">
        <is>
          <t>Float</t>
        </is>
      </c>
      <c r="BI32" s="429" t="n"/>
      <c r="BJ32" s="429" t="n">
        <v>0</v>
      </c>
      <c r="BK32" s="451" t="n"/>
      <c r="BL32" s="451" t="n"/>
      <c r="BM32" s="448" t="n"/>
      <c r="BN32" s="456" t="inlineStr">
        <is>
          <t>Spare</t>
        </is>
      </c>
      <c r="BO32" s="447" t="inlineStr">
        <is>
          <t>Float</t>
        </is>
      </c>
      <c r="BP32" s="429" t="n"/>
      <c r="BQ32" s="429" t="n">
        <v>0</v>
      </c>
      <c r="BR32" s="451" t="n"/>
      <c r="BV32" s="451" t="n"/>
      <c r="BW32" s="445" t="n"/>
      <c r="BX32" s="446" t="inlineStr">
        <is>
          <t>Spare</t>
        </is>
      </c>
      <c r="BY32" s="447" t="inlineStr">
        <is>
          <t>Float</t>
        </is>
      </c>
      <c r="BZ32" s="429" t="n"/>
      <c r="CA32" s="429" t="n">
        <v>0</v>
      </c>
      <c r="CB32" s="451" t="n"/>
      <c r="CC32" s="451" t="n"/>
      <c r="CD32" s="448" t="n"/>
      <c r="CE32" s="456" t="inlineStr">
        <is>
          <t>Spare</t>
        </is>
      </c>
      <c r="CF32" s="447" t="inlineStr">
        <is>
          <t>Float</t>
        </is>
      </c>
      <c r="CG32" s="429" t="n"/>
      <c r="CH32" s="429" t="n">
        <v>0</v>
      </c>
      <c r="CI32" s="451" t="n"/>
      <c r="CK32" s="451" t="n"/>
      <c r="CL32" s="451" t="n"/>
      <c r="CM32" s="754" t="inlineStr">
        <is>
          <t>Failure Solution / Diagnostic Status</t>
        </is>
      </c>
      <c r="CN32" s="451" t="n"/>
      <c r="CO32" s="451" t="n"/>
      <c r="CP32" s="451" t="n"/>
      <c r="CQ32" s="451" t="n"/>
      <c r="CU32" s="451" t="n"/>
      <c r="CV32" s="451" t="n"/>
      <c r="CW32" s="451" t="n"/>
      <c r="CX32" s="451" t="n"/>
      <c r="CY32" s="451" t="n"/>
      <c r="CZ32" s="451" t="n"/>
      <c r="DA32" s="451" t="n"/>
      <c r="DK32" s="429">
        <f>DK31+1</f>
        <v/>
      </c>
      <c r="DL32" s="430" t="inlineStr">
        <is>
          <t>Emergency Brake Button (Ebb1)</t>
        </is>
      </c>
      <c r="DM32" s="429" t="n"/>
      <c r="DN32" s="429" t="inlineStr">
        <is>
          <t>0/1</t>
        </is>
      </c>
      <c r="DO32" s="429" t="inlineStr">
        <is>
          <t>GUI</t>
        </is>
      </c>
      <c r="DP32" s="429" t="n"/>
      <c r="DQ32" s="429" t="n"/>
    </row>
    <row r="33" ht="21" customHeight="1">
      <c r="A33" s="429" t="n">
        <v>23</v>
      </c>
      <c r="B33" s="445" t="inlineStr">
        <is>
          <t>HVAC1_RATL</t>
        </is>
      </c>
      <c r="C33" s="446" t="inlineStr">
        <is>
          <t>Return Air temperature Loop</t>
        </is>
      </c>
      <c r="D33" s="447" t="inlineStr">
        <is>
          <t>Float</t>
        </is>
      </c>
      <c r="E33" s="429" t="n"/>
      <c r="F33" s="429" t="n">
        <v>23</v>
      </c>
      <c r="G33" s="429" t="n"/>
      <c r="H33" s="429" t="n">
        <v>41</v>
      </c>
      <c r="I33" s="448" t="n"/>
      <c r="J33" s="448" t="n"/>
      <c r="K33" s="447" t="inlineStr">
        <is>
          <t>Float</t>
        </is>
      </c>
      <c r="L33" s="429" t="n"/>
      <c r="M33" s="429" t="n"/>
      <c r="N33" s="429" t="n"/>
      <c r="S33" s="451" t="n"/>
      <c r="T33" s="445" t="n"/>
      <c r="U33" s="445" t="inlineStr">
        <is>
          <t>Spare</t>
        </is>
      </c>
      <c r="V33" s="447" t="inlineStr">
        <is>
          <t>Float</t>
        </is>
      </c>
      <c r="W33" s="429" t="n"/>
      <c r="X33" s="450" t="n">
        <v>0</v>
      </c>
      <c r="Y33" s="451" t="n"/>
      <c r="Z33" s="429" t="n">
        <v>24</v>
      </c>
      <c r="AA33" s="448" t="n"/>
      <c r="AB33" s="448" t="n"/>
      <c r="AC33" s="447" t="inlineStr">
        <is>
          <t>Float</t>
        </is>
      </c>
      <c r="AD33" s="429" t="n"/>
      <c r="AE33" s="450" t="n"/>
      <c r="AF33" s="451" t="n"/>
      <c r="AH33" s="451" t="n"/>
      <c r="AI33" s="445" t="n"/>
      <c r="AJ33" s="446" t="inlineStr">
        <is>
          <t>Spare</t>
        </is>
      </c>
      <c r="AK33" s="447" t="inlineStr">
        <is>
          <t>Float</t>
        </is>
      </c>
      <c r="AL33" s="429" t="n"/>
      <c r="AM33" s="429" t="n">
        <v>0</v>
      </c>
      <c r="AN33" s="451" t="n"/>
      <c r="AO33" s="429" t="n">
        <v>24</v>
      </c>
      <c r="AP33" s="448" t="inlineStr">
        <is>
          <t>HVAC1_TXV_1</t>
        </is>
      </c>
      <c r="AQ33" s="448" t="inlineStr">
        <is>
          <t>Thermal Expansion Valve_2</t>
        </is>
      </c>
      <c r="AR33" s="447" t="inlineStr">
        <is>
          <t>Boolean</t>
        </is>
      </c>
      <c r="AS33" s="429" t="n"/>
      <c r="AT33" s="450" t="n">
        <v>1</v>
      </c>
      <c r="AU33" s="451" t="n"/>
      <c r="BE33" s="451" t="n"/>
      <c r="BF33" s="445" t="n"/>
      <c r="BG33" s="446" t="inlineStr">
        <is>
          <t>Spare</t>
        </is>
      </c>
      <c r="BH33" s="447" t="inlineStr">
        <is>
          <t>Float</t>
        </is>
      </c>
      <c r="BI33" s="429" t="n"/>
      <c r="BJ33" s="429" t="n">
        <v>0</v>
      </c>
      <c r="BK33" s="451" t="n"/>
      <c r="BL33" s="451" t="n"/>
      <c r="BM33" s="448" t="n"/>
      <c r="BN33" s="456" t="inlineStr">
        <is>
          <t>Spare</t>
        </is>
      </c>
      <c r="BO33" s="447" t="inlineStr">
        <is>
          <t>Float</t>
        </is>
      </c>
      <c r="BP33" s="429" t="n"/>
      <c r="BQ33" s="429" t="n">
        <v>0</v>
      </c>
      <c r="BR33" s="451" t="n"/>
      <c r="BV33" s="451" t="n"/>
      <c r="BW33" s="445" t="n"/>
      <c r="BX33" s="446" t="inlineStr">
        <is>
          <t>Spare</t>
        </is>
      </c>
      <c r="BY33" s="447" t="inlineStr">
        <is>
          <t>Float</t>
        </is>
      </c>
      <c r="BZ33" s="429" t="n"/>
      <c r="CA33" s="429" t="n">
        <v>0</v>
      </c>
      <c r="CB33" s="451" t="n"/>
      <c r="CC33" s="451" t="n"/>
      <c r="CD33" s="448" t="n"/>
      <c r="CE33" s="456" t="inlineStr">
        <is>
          <t>Spare</t>
        </is>
      </c>
      <c r="CF33" s="447" t="inlineStr">
        <is>
          <t>Float</t>
        </is>
      </c>
      <c r="CG33" s="429" t="n"/>
      <c r="CH33" s="429" t="n">
        <v>0</v>
      </c>
      <c r="CI33" s="451" t="n"/>
      <c r="CK33" s="451" t="n"/>
      <c r="CL33" s="451" t="n"/>
      <c r="CM33" s="754" t="inlineStr">
        <is>
          <t>PPR1 / PPR2 (Phase Protection Relay) Status</t>
        </is>
      </c>
      <c r="CN33" s="451" t="n"/>
      <c r="CO33" s="451" t="n"/>
      <c r="CP33" s="451" t="n"/>
      <c r="CQ33" s="451" t="n"/>
      <c r="CU33" s="451" t="n"/>
      <c r="CV33" s="451" t="n"/>
      <c r="CW33" s="451" t="n"/>
      <c r="CX33" s="451" t="n"/>
      <c r="CY33" s="451" t="n"/>
      <c r="CZ33" s="451" t="n"/>
      <c r="DA33" s="451" t="n"/>
      <c r="DK33" s="429">
        <f>DK32+1</f>
        <v/>
      </c>
      <c r="DL33" s="430" t="inlineStr">
        <is>
          <t>Left Door Close Button (Ldcb2)</t>
        </is>
      </c>
      <c r="DM33" s="429" t="n"/>
      <c r="DN33" s="429" t="inlineStr">
        <is>
          <t>0/1</t>
        </is>
      </c>
      <c r="DO33" s="429" t="inlineStr">
        <is>
          <t>GUI</t>
        </is>
      </c>
      <c r="DP33" s="429" t="n"/>
      <c r="DQ33" s="429" t="n"/>
    </row>
    <row r="34" ht="21" customHeight="1">
      <c r="A34" s="429" t="n">
        <v>24</v>
      </c>
      <c r="B34" s="445" t="inlineStr">
        <is>
          <t>HVAC1_CT</t>
        </is>
      </c>
      <c r="C34" s="446" t="inlineStr">
        <is>
          <t>Compressor Timer</t>
        </is>
      </c>
      <c r="D34" s="447" t="inlineStr">
        <is>
          <t>Integer</t>
        </is>
      </c>
      <c r="E34" s="429" t="n"/>
      <c r="F34" s="429" t="n">
        <v>60</v>
      </c>
      <c r="G34" s="429" t="n"/>
      <c r="H34" s="429" t="n">
        <v>42</v>
      </c>
      <c r="I34" s="448" t="n"/>
      <c r="J34" s="448" t="n"/>
      <c r="K34" s="447" t="inlineStr">
        <is>
          <t>Integer</t>
        </is>
      </c>
      <c r="L34" s="429" t="n"/>
      <c r="M34" s="429" t="n"/>
      <c r="N34" s="429" t="n"/>
      <c r="S34" s="451" t="n"/>
      <c r="T34" s="445" t="n"/>
      <c r="U34" s="445" t="inlineStr">
        <is>
          <t>Spare</t>
        </is>
      </c>
      <c r="V34" s="447" t="inlineStr">
        <is>
          <t>Integer</t>
        </is>
      </c>
      <c r="W34" s="429" t="n"/>
      <c r="X34" s="450" t="n">
        <v>0</v>
      </c>
      <c r="Y34" s="451" t="n"/>
      <c r="Z34" s="429" t="n">
        <v>25</v>
      </c>
      <c r="AA34" s="448" t="n"/>
      <c r="AB34" s="448" t="n"/>
      <c r="AC34" s="447" t="inlineStr">
        <is>
          <t>Integer</t>
        </is>
      </c>
      <c r="AD34" s="429" t="inlineStr">
        <is>
          <t>HVAC IOS _DI</t>
        </is>
      </c>
      <c r="AE34" s="450" t="n"/>
      <c r="AF34" s="451" t="n"/>
      <c r="AH34" s="451" t="n"/>
      <c r="AI34" s="445" t="n"/>
      <c r="AJ34" s="446" t="inlineStr">
        <is>
          <t>Spare</t>
        </is>
      </c>
      <c r="AK34" s="447" t="inlineStr">
        <is>
          <t>Integer</t>
        </is>
      </c>
      <c r="AL34" s="429" t="n"/>
      <c r="AM34" s="429" t="n">
        <v>0</v>
      </c>
      <c r="AN34" s="451" t="n"/>
      <c r="AO34" s="429" t="n">
        <v>25</v>
      </c>
      <c r="AP34" s="432" t="inlineStr">
        <is>
          <t>HVAC1_ELECTRIC_HEATER_2</t>
        </is>
      </c>
      <c r="AQ34" s="432" t="inlineStr">
        <is>
          <t>Electric Heater_2</t>
        </is>
      </c>
      <c r="AR34" s="447" t="inlineStr">
        <is>
          <t>Boolean</t>
        </is>
      </c>
      <c r="AS34" s="429" t="n"/>
      <c r="AT34" s="450" t="n">
        <v>1</v>
      </c>
      <c r="AU34" s="451" t="n"/>
      <c r="BE34" s="451" t="n"/>
      <c r="BF34" s="445" t="n"/>
      <c r="BG34" s="446" t="inlineStr">
        <is>
          <t>Spare</t>
        </is>
      </c>
      <c r="BH34" s="447" t="inlineStr">
        <is>
          <t>Integer</t>
        </is>
      </c>
      <c r="BI34" s="429" t="n"/>
      <c r="BJ34" s="429" t="n">
        <v>0</v>
      </c>
      <c r="BK34" s="451" t="n"/>
      <c r="BL34" s="451" t="n"/>
      <c r="BM34" s="448" t="n"/>
      <c r="BN34" s="456" t="inlineStr">
        <is>
          <t>Spare</t>
        </is>
      </c>
      <c r="BO34" s="447" t="inlineStr">
        <is>
          <t>Integer</t>
        </is>
      </c>
      <c r="BP34" s="429" t="n"/>
      <c r="BQ34" s="429" t="n">
        <v>0</v>
      </c>
      <c r="BR34" s="451" t="n"/>
      <c r="BV34" s="451" t="n"/>
      <c r="BW34" s="445" t="n"/>
      <c r="BX34" s="446" t="inlineStr">
        <is>
          <t>Spare</t>
        </is>
      </c>
      <c r="BY34" s="447" t="inlineStr">
        <is>
          <t>Integer</t>
        </is>
      </c>
      <c r="BZ34" s="429" t="n"/>
      <c r="CA34" s="429" t="n">
        <v>0</v>
      </c>
      <c r="CB34" s="451" t="n"/>
      <c r="CC34" s="451" t="n"/>
      <c r="CD34" s="448" t="n"/>
      <c r="CE34" s="456" t="inlineStr">
        <is>
          <t>Spare</t>
        </is>
      </c>
      <c r="CF34" s="447" t="inlineStr">
        <is>
          <t>Integer</t>
        </is>
      </c>
      <c r="CG34" s="429" t="n"/>
      <c r="CH34" s="429" t="n">
        <v>0</v>
      </c>
      <c r="CI34" s="451" t="n"/>
      <c r="CK34" s="451" t="n"/>
      <c r="CL34" s="451" t="n"/>
      <c r="CM34" s="754" t="inlineStr">
        <is>
          <t>HVAC Reset Request (1-second signal)</t>
        </is>
      </c>
      <c r="CN34" s="451" t="n"/>
      <c r="CO34" s="451" t="n"/>
      <c r="CP34" s="451" t="n"/>
      <c r="CQ34" s="451" t="n"/>
      <c r="CU34" s="451" t="n"/>
      <c r="CV34" s="451" t="n"/>
      <c r="CW34" s="451" t="n"/>
      <c r="CX34" s="451" t="n"/>
      <c r="CY34" s="451" t="n"/>
      <c r="CZ34" s="451" t="n"/>
      <c r="DA34" s="451" t="n"/>
      <c r="DK34" s="429">
        <f>DK33+1</f>
        <v/>
      </c>
      <c r="DL34" s="430" t="inlineStr">
        <is>
          <t>Left Door Close Button (Ldcb3)</t>
        </is>
      </c>
      <c r="DM34" s="429" t="n"/>
      <c r="DN34" s="429" t="inlineStr">
        <is>
          <t>0/1</t>
        </is>
      </c>
      <c r="DO34" s="429" t="inlineStr">
        <is>
          <t>GUI</t>
        </is>
      </c>
      <c r="DP34" s="429" t="n"/>
      <c r="DQ34" s="429" t="n"/>
    </row>
    <row r="35" ht="21" customHeight="1">
      <c r="A35" s="429" t="n">
        <v>25</v>
      </c>
      <c r="B35" s="445" t="inlineStr">
        <is>
          <t>High Pressure Value</t>
        </is>
      </c>
      <c r="C35" s="446" t="inlineStr">
        <is>
          <t>High Pressure Value</t>
        </is>
      </c>
      <c r="D35" s="447">
        <f>'LFD New'!D2</f>
        <v/>
      </c>
      <c r="E35" s="429" t="n"/>
      <c r="F35" s="429" t="n">
        <v>0</v>
      </c>
      <c r="G35" s="429" t="n"/>
      <c r="H35" s="429" t="n">
        <v>43</v>
      </c>
      <c r="I35" s="448" t="n"/>
      <c r="J35" s="448" t="n"/>
      <c r="K35" s="447" t="inlineStr">
        <is>
          <t>Integer</t>
        </is>
      </c>
      <c r="L35" s="429" t="n"/>
      <c r="M35" s="429" t="n"/>
      <c r="N35" s="429" t="n"/>
      <c r="S35" s="451" t="n"/>
      <c r="T35" s="445" t="n"/>
      <c r="U35" s="445" t="inlineStr">
        <is>
          <t>Spare</t>
        </is>
      </c>
      <c r="V35" s="447" t="inlineStr">
        <is>
          <t>Integer</t>
        </is>
      </c>
      <c r="W35" s="429" t="n"/>
      <c r="X35" s="450" t="n">
        <v>0</v>
      </c>
      <c r="Y35" s="451" t="n"/>
      <c r="Z35" s="429" t="n">
        <v>26</v>
      </c>
      <c r="AA35" s="448" t="n"/>
      <c r="AB35" s="448" t="n"/>
      <c r="AC35" s="447" t="inlineStr">
        <is>
          <t>Integer</t>
        </is>
      </c>
      <c r="AD35" s="429" t="n"/>
      <c r="AE35" s="450" t="n"/>
      <c r="AF35" s="451" t="n"/>
      <c r="AH35" s="451" t="n"/>
      <c r="AI35" s="445" t="n"/>
      <c r="AJ35" s="446" t="inlineStr">
        <is>
          <t>Spare</t>
        </is>
      </c>
      <c r="AK35" s="447" t="inlineStr">
        <is>
          <t>Integer</t>
        </is>
      </c>
      <c r="AL35" s="429" t="n"/>
      <c r="AM35" s="429" t="n">
        <v>0</v>
      </c>
      <c r="AN35" s="451" t="n"/>
      <c r="AO35" s="451" t="n"/>
      <c r="AP35" s="448" t="n"/>
      <c r="AQ35" s="456" t="inlineStr">
        <is>
          <t>Spare</t>
        </is>
      </c>
      <c r="AR35" s="447" t="inlineStr">
        <is>
          <t>Boolean</t>
        </is>
      </c>
      <c r="AS35" s="429" t="n"/>
      <c r="AT35" s="450" t="n">
        <v>1</v>
      </c>
      <c r="AU35" s="451" t="n"/>
      <c r="BE35" s="451" t="n"/>
      <c r="BF35" s="445" t="n"/>
      <c r="BG35" s="446" t="inlineStr">
        <is>
          <t>Spare</t>
        </is>
      </c>
      <c r="BH35" s="447" t="inlineStr">
        <is>
          <t>Integer</t>
        </is>
      </c>
      <c r="BI35" s="429" t="n"/>
      <c r="BJ35" s="429" t="n">
        <v>0</v>
      </c>
      <c r="BK35" s="451" t="n"/>
      <c r="BL35" s="451" t="n"/>
      <c r="BM35" s="448" t="n"/>
      <c r="BN35" s="456" t="inlineStr">
        <is>
          <t>Spare</t>
        </is>
      </c>
      <c r="BO35" s="447" t="inlineStr">
        <is>
          <t>Integer</t>
        </is>
      </c>
      <c r="BP35" s="429" t="n"/>
      <c r="BQ35" s="429" t="n">
        <v>0</v>
      </c>
      <c r="BR35" s="451" t="n"/>
      <c r="BV35" s="451" t="n"/>
      <c r="BW35" s="445" t="n"/>
      <c r="BX35" s="446" t="inlineStr">
        <is>
          <t>Spare</t>
        </is>
      </c>
      <c r="BY35" s="447" t="inlineStr">
        <is>
          <t>Integer</t>
        </is>
      </c>
      <c r="BZ35" s="429" t="n"/>
      <c r="CA35" s="429" t="n">
        <v>0</v>
      </c>
      <c r="CB35" s="451" t="n"/>
      <c r="CC35" s="451" t="n"/>
      <c r="CD35" s="448" t="n"/>
      <c r="CE35" s="456" t="inlineStr">
        <is>
          <t>Spare</t>
        </is>
      </c>
      <c r="CF35" s="447" t="inlineStr">
        <is>
          <t>Integer</t>
        </is>
      </c>
      <c r="CG35" s="429" t="n"/>
      <c r="CH35" s="429" t="n">
        <v>0</v>
      </c>
      <c r="CI35" s="451" t="n"/>
      <c r="CK35" s="451" t="n"/>
      <c r="CL35" s="451" t="n"/>
      <c r="CM35" s="754" t="inlineStr">
        <is>
          <t>HVAC Mode (OFF, VENT, AUTO)</t>
        </is>
      </c>
      <c r="CN35" s="451" t="n"/>
      <c r="CO35" s="451" t="n"/>
      <c r="CP35" s="451" t="n"/>
      <c r="CQ35" s="451" t="n"/>
      <c r="CU35" s="451" t="n"/>
      <c r="CV35" s="451" t="n"/>
      <c r="CW35" s="451" t="n"/>
      <c r="CX35" s="451" t="n"/>
      <c r="CY35" s="451" t="n"/>
      <c r="CZ35" s="451" t="n"/>
      <c r="DA35" s="451" t="n"/>
      <c r="DK35" s="429">
        <f>DK34+1</f>
        <v/>
      </c>
      <c r="DL35" s="430" t="inlineStr">
        <is>
          <t>Left Door Enable (Pbdel)</t>
        </is>
      </c>
      <c r="DM35" s="429" t="n"/>
      <c r="DN35" s="429" t="inlineStr">
        <is>
          <t>0/1</t>
        </is>
      </c>
      <c r="DO35" s="429" t="inlineStr">
        <is>
          <t>GUI</t>
        </is>
      </c>
      <c r="DP35" s="429" t="n"/>
      <c r="DQ35" s="429" t="n"/>
    </row>
    <row r="36" ht="21" customHeight="1">
      <c r="A36" s="429" t="n">
        <v>26</v>
      </c>
      <c r="B36" s="445" t="inlineStr">
        <is>
          <t>Low pressure Value</t>
        </is>
      </c>
      <c r="C36" s="446" t="inlineStr">
        <is>
          <t>Low pressure Value</t>
        </is>
      </c>
      <c r="D36" s="447" t="inlineStr">
        <is>
          <t>Integer</t>
        </is>
      </c>
      <c r="E36" s="429" t="n"/>
      <c r="F36" s="429" t="n">
        <v>0</v>
      </c>
      <c r="G36" s="429" t="n"/>
      <c r="H36" s="429" t="n">
        <v>44</v>
      </c>
      <c r="I36" s="448" t="n"/>
      <c r="J36" s="448" t="n"/>
      <c r="K36" s="447" t="inlineStr">
        <is>
          <t>Integer</t>
        </is>
      </c>
      <c r="L36" s="429" t="n"/>
      <c r="M36" s="429" t="n"/>
      <c r="N36" s="429" t="n"/>
      <c r="S36" s="451" t="n"/>
      <c r="T36" s="445" t="n"/>
      <c r="U36" s="445" t="inlineStr">
        <is>
          <t>Spare</t>
        </is>
      </c>
      <c r="V36" s="447" t="inlineStr">
        <is>
          <t>Integer</t>
        </is>
      </c>
      <c r="W36" s="429" t="n"/>
      <c r="X36" s="450" t="n">
        <v>0</v>
      </c>
      <c r="Y36" s="451" t="n"/>
      <c r="Z36" s="429" t="n">
        <v>27</v>
      </c>
      <c r="AA36" s="448" t="n"/>
      <c r="AB36" s="448" t="n"/>
      <c r="AC36" s="447" t="inlineStr">
        <is>
          <t>Integer</t>
        </is>
      </c>
      <c r="AD36" s="429" t="n"/>
      <c r="AE36" s="450" t="n"/>
      <c r="AF36" s="451" t="n"/>
      <c r="AH36" s="451" t="n"/>
      <c r="AI36" s="445" t="n"/>
      <c r="AJ36" s="446" t="inlineStr">
        <is>
          <t>Spare</t>
        </is>
      </c>
      <c r="AK36" s="447" t="inlineStr">
        <is>
          <t>Integer</t>
        </is>
      </c>
      <c r="AL36" s="429" t="n"/>
      <c r="AM36" s="429" t="n">
        <v>0</v>
      </c>
      <c r="AN36" s="451" t="n"/>
      <c r="AO36" s="451" t="n"/>
      <c r="AP36" s="448" t="n"/>
      <c r="AQ36" s="456" t="inlineStr">
        <is>
          <t>Spare</t>
        </is>
      </c>
      <c r="AR36" s="447" t="inlineStr">
        <is>
          <t>Boolean</t>
        </is>
      </c>
      <c r="AS36" s="429" t="n"/>
      <c r="AT36" s="450" t="n">
        <v>1</v>
      </c>
      <c r="AU36" s="451" t="n"/>
      <c r="BE36" s="451" t="n"/>
      <c r="BF36" s="445" t="n"/>
      <c r="BG36" s="446" t="inlineStr">
        <is>
          <t>Spare</t>
        </is>
      </c>
      <c r="BH36" s="447" t="inlineStr">
        <is>
          <t>Integer</t>
        </is>
      </c>
      <c r="BI36" s="429" t="n"/>
      <c r="BJ36" s="429" t="n">
        <v>0</v>
      </c>
      <c r="BK36" s="451" t="n"/>
      <c r="BL36" s="451" t="n"/>
      <c r="BM36" s="448" t="n"/>
      <c r="BN36" s="456" t="inlineStr">
        <is>
          <t>Spare</t>
        </is>
      </c>
      <c r="BO36" s="447" t="inlineStr">
        <is>
          <t>Integer</t>
        </is>
      </c>
      <c r="BP36" s="429" t="n"/>
      <c r="BQ36" s="429" t="n">
        <v>1</v>
      </c>
      <c r="BR36" s="451" t="n"/>
      <c r="BV36" s="451" t="n"/>
      <c r="BW36" s="445" t="n"/>
      <c r="BX36" s="446" t="inlineStr">
        <is>
          <t>Spare</t>
        </is>
      </c>
      <c r="BY36" s="447" t="inlineStr">
        <is>
          <t>Integer</t>
        </is>
      </c>
      <c r="BZ36" s="429" t="n"/>
      <c r="CA36" s="429" t="n">
        <v>0</v>
      </c>
      <c r="CB36" s="451" t="n"/>
      <c r="CC36" s="451" t="n"/>
      <c r="CD36" s="448" t="n"/>
      <c r="CE36" s="456" t="inlineStr">
        <is>
          <t>Spare</t>
        </is>
      </c>
      <c r="CF36" s="447" t="inlineStr">
        <is>
          <t>Integer</t>
        </is>
      </c>
      <c r="CG36" s="429" t="n"/>
      <c r="CH36" s="429" t="n">
        <v>0</v>
      </c>
      <c r="CI36" s="451" t="n"/>
      <c r="CK36" s="451" t="n"/>
      <c r="CL36" s="451" t="n"/>
      <c r="CM36" s="754" t="inlineStr">
        <is>
          <t>HVAC SD: Emergency ventilation Mode  (Text 35, Bit 1)</t>
        </is>
      </c>
      <c r="CN36" s="451" t="n"/>
      <c r="CO36" s="451" t="n"/>
      <c r="CP36" s="451" t="n"/>
      <c r="CQ36" s="451" t="n"/>
      <c r="CU36" s="451" t="n"/>
      <c r="CV36" s="451" t="n"/>
      <c r="CW36" s="451" t="n"/>
      <c r="CX36" s="451" t="n"/>
      <c r="CY36" s="451" t="n"/>
      <c r="CZ36" s="451" t="n"/>
      <c r="DA36" s="451" t="n"/>
      <c r="DK36" s="429">
        <f>DK35+1</f>
        <v/>
      </c>
      <c r="DL36" s="430" t="inlineStr">
        <is>
          <t>Left Door Open Button (Ldob2)</t>
        </is>
      </c>
      <c r="DM36" s="429" t="n"/>
      <c r="DN36" s="429" t="inlineStr">
        <is>
          <t>0/1</t>
        </is>
      </c>
      <c r="DO36" s="429" t="inlineStr">
        <is>
          <t>GUI</t>
        </is>
      </c>
      <c r="DP36" s="429" t="n"/>
      <c r="DQ36" s="429" t="n"/>
    </row>
    <row r="37" ht="21" customHeight="1">
      <c r="A37" s="429" t="n">
        <v>27</v>
      </c>
      <c r="B37" s="445">
        <f>ISODD(Calculation!B36)</f>
        <v/>
      </c>
      <c r="C37" s="446" t="inlineStr">
        <is>
          <t>Set point Temperature</t>
        </is>
      </c>
      <c r="D37" s="447" t="inlineStr">
        <is>
          <t>Integer</t>
        </is>
      </c>
      <c r="E37" s="429" t="n"/>
      <c r="F37" s="429" t="n">
        <v>23</v>
      </c>
      <c r="G37" s="429" t="n"/>
      <c r="H37" s="429" t="n">
        <v>45</v>
      </c>
      <c r="I37" s="448" t="n"/>
      <c r="J37" s="448" t="n"/>
      <c r="K37" s="447" t="inlineStr">
        <is>
          <t>Integer</t>
        </is>
      </c>
      <c r="L37" s="429" t="n"/>
      <c r="M37" s="429" t="n"/>
      <c r="N37" s="429" t="n"/>
      <c r="S37" s="451" t="n"/>
      <c r="T37" s="445" t="n"/>
      <c r="U37" s="445" t="inlineStr">
        <is>
          <t>Spare</t>
        </is>
      </c>
      <c r="V37" s="447" t="inlineStr">
        <is>
          <t>Integer</t>
        </is>
      </c>
      <c r="W37" s="429" t="n"/>
      <c r="X37" s="450" t="n">
        <v>0</v>
      </c>
      <c r="Y37" s="451" t="n"/>
      <c r="Z37" s="429" t="n">
        <v>28</v>
      </c>
      <c r="AA37" s="448" t="n"/>
      <c r="AB37" s="448" t="n"/>
      <c r="AC37" s="447" t="inlineStr">
        <is>
          <t>Integer</t>
        </is>
      </c>
      <c r="AD37" s="429" t="n"/>
      <c r="AE37" s="450" t="n"/>
      <c r="AF37" s="451" t="n"/>
      <c r="AH37" s="451" t="n"/>
      <c r="AI37" s="445" t="n"/>
      <c r="AJ37" s="446" t="inlineStr">
        <is>
          <t>Spare</t>
        </is>
      </c>
      <c r="AK37" s="447" t="inlineStr">
        <is>
          <t>Integer</t>
        </is>
      </c>
      <c r="AL37" s="429" t="n"/>
      <c r="AM37" s="429" t="n">
        <v>0</v>
      </c>
      <c r="AN37" s="451" t="n"/>
      <c r="AO37" s="451" t="n"/>
      <c r="AP37" s="448" t="n"/>
      <c r="AQ37" s="456" t="inlineStr">
        <is>
          <t>Spare</t>
        </is>
      </c>
      <c r="AR37" s="447" t="inlineStr">
        <is>
          <t>Boolean</t>
        </is>
      </c>
      <c r="AS37" s="429" t="n"/>
      <c r="AT37" s="450" t="n">
        <v>1</v>
      </c>
      <c r="AU37" s="451" t="n"/>
      <c r="BE37" s="451" t="n"/>
      <c r="BF37" s="445" t="n"/>
      <c r="BG37" s="446" t="inlineStr">
        <is>
          <t>Spare</t>
        </is>
      </c>
      <c r="BH37" s="447" t="inlineStr">
        <is>
          <t>Integer</t>
        </is>
      </c>
      <c r="BI37" s="429" t="n"/>
      <c r="BJ37" s="429" t="n">
        <v>0</v>
      </c>
      <c r="BK37" s="451" t="n"/>
      <c r="BL37" s="451" t="n"/>
      <c r="BM37" s="448" t="n"/>
      <c r="BN37" s="456" t="inlineStr">
        <is>
          <t>Spare</t>
        </is>
      </c>
      <c r="BO37" s="447" t="inlineStr">
        <is>
          <t>Integer</t>
        </is>
      </c>
      <c r="BP37" s="429" t="n"/>
      <c r="BQ37" s="429" t="n">
        <v>0</v>
      </c>
      <c r="BR37" s="451" t="n"/>
      <c r="BV37" s="451" t="n"/>
      <c r="BW37" s="445" t="n"/>
      <c r="BX37" s="446" t="inlineStr">
        <is>
          <t>Spare</t>
        </is>
      </c>
      <c r="BY37" s="447" t="inlineStr">
        <is>
          <t>Integer</t>
        </is>
      </c>
      <c r="BZ37" s="429" t="n"/>
      <c r="CA37" s="429" t="n">
        <v>0</v>
      </c>
      <c r="CB37" s="451" t="n"/>
      <c r="CC37" s="451" t="n"/>
      <c r="CD37" s="448" t="n"/>
      <c r="CE37" s="456" t="inlineStr">
        <is>
          <t>Spare</t>
        </is>
      </c>
      <c r="CF37" s="447" t="inlineStr">
        <is>
          <t>Integer</t>
        </is>
      </c>
      <c r="CG37" s="429" t="n"/>
      <c r="CH37" s="429" t="n">
        <v>0</v>
      </c>
      <c r="CI37" s="451" t="n"/>
      <c r="CK37" s="451" t="n"/>
      <c r="CL37" s="451" t="n"/>
      <c r="CM37" s="754" t="inlineStr">
        <is>
          <t>Forced Driver FAD Open Status</t>
        </is>
      </c>
      <c r="CN37" s="451" t="n"/>
      <c r="CO37" s="451" t="n"/>
      <c r="CP37" s="451" t="n">
        <v>1</v>
      </c>
      <c r="CQ37" s="451" t="n"/>
      <c r="CU37" s="451" t="n"/>
      <c r="CV37" s="451" t="n"/>
      <c r="CW37" s="451" t="n"/>
      <c r="CX37" s="451" t="n"/>
      <c r="CY37" s="451" t="n"/>
      <c r="CZ37" s="451" t="n"/>
      <c r="DA37" s="451" t="n"/>
      <c r="DK37" s="429">
        <f>DK36+1</f>
        <v/>
      </c>
      <c r="DL37" s="430" t="inlineStr">
        <is>
          <t>VCB close (VCBCB)</t>
        </is>
      </c>
      <c r="DM37" s="429" t="n"/>
      <c r="DN37" s="429" t="inlineStr">
        <is>
          <t>0/1</t>
        </is>
      </c>
      <c r="DO37" s="429" t="inlineStr">
        <is>
          <t>GUI</t>
        </is>
      </c>
      <c r="DP37" s="429" t="n"/>
      <c r="DQ37" s="429" t="n"/>
    </row>
    <row r="38" ht="21" customHeight="1">
      <c r="A38" s="429" t="n">
        <v>28</v>
      </c>
      <c r="B38" s="445" t="inlineStr">
        <is>
          <t>RAT</t>
        </is>
      </c>
      <c r="C38" s="446" t="inlineStr">
        <is>
          <t>Return Air temperature Loop</t>
        </is>
      </c>
      <c r="D38" s="447" t="inlineStr">
        <is>
          <t>Integer</t>
        </is>
      </c>
      <c r="E38" s="429" t="n"/>
      <c r="F38" s="429" t="n">
        <v>28</v>
      </c>
      <c r="G38" s="429" t="n"/>
      <c r="H38" s="429" t="n">
        <v>46</v>
      </c>
      <c r="I38" s="448" t="n"/>
      <c r="J38" s="448" t="n"/>
      <c r="K38" s="447" t="inlineStr">
        <is>
          <t>Integer</t>
        </is>
      </c>
      <c r="L38" s="429" t="n"/>
      <c r="M38" s="429" t="n"/>
      <c r="N38" s="429" t="n"/>
      <c r="S38" s="451" t="n"/>
      <c r="T38" s="445" t="n"/>
      <c r="U38" s="445" t="inlineStr">
        <is>
          <t>Spare</t>
        </is>
      </c>
      <c r="V38" s="447" t="inlineStr">
        <is>
          <t>Integer</t>
        </is>
      </c>
      <c r="W38" s="429" t="n"/>
      <c r="X38" s="450" t="n">
        <v>0</v>
      </c>
      <c r="Y38" s="451" t="n"/>
      <c r="Z38" s="429" t="n">
        <v>29</v>
      </c>
      <c r="AA38" s="448" t="n"/>
      <c r="AB38" s="448" t="n"/>
      <c r="AC38" s="447" t="inlineStr">
        <is>
          <t>Integer</t>
        </is>
      </c>
      <c r="AD38" s="429" t="n"/>
      <c r="AE38" s="450" t="n"/>
      <c r="AF38" s="451" t="n"/>
      <c r="AH38" s="451" t="n"/>
      <c r="AI38" s="445" t="n"/>
      <c r="AJ38" s="446" t="inlineStr">
        <is>
          <t>Spare</t>
        </is>
      </c>
      <c r="AK38" s="447" t="inlineStr">
        <is>
          <t>Integer</t>
        </is>
      </c>
      <c r="AL38" s="429" t="n"/>
      <c r="AM38" s="429" t="n">
        <v>0</v>
      </c>
      <c r="AN38" s="451" t="n"/>
      <c r="AO38" s="451" t="n"/>
      <c r="AP38" s="448" t="n"/>
      <c r="AQ38" s="456" t="inlineStr">
        <is>
          <t>Spare</t>
        </is>
      </c>
      <c r="AR38" s="447" t="inlineStr">
        <is>
          <t>Boolean</t>
        </is>
      </c>
      <c r="AS38" s="429" t="n"/>
      <c r="AT38" s="450" t="n"/>
      <c r="AU38" s="451" t="n"/>
      <c r="BE38" s="451" t="n"/>
      <c r="BF38" s="445" t="n"/>
      <c r="BG38" s="446" t="inlineStr">
        <is>
          <t>Spare</t>
        </is>
      </c>
      <c r="BH38" s="447" t="inlineStr">
        <is>
          <t>Integer</t>
        </is>
      </c>
      <c r="BI38" s="429" t="n"/>
      <c r="BJ38" s="429" t="n">
        <v>0</v>
      </c>
      <c r="BK38" s="451" t="n"/>
      <c r="BL38" s="451" t="n"/>
      <c r="BM38" s="448" t="n"/>
      <c r="BN38" s="456" t="inlineStr">
        <is>
          <t>Spare</t>
        </is>
      </c>
      <c r="BO38" s="447" t="inlineStr">
        <is>
          <t>Integer</t>
        </is>
      </c>
      <c r="BP38" s="429" t="n"/>
      <c r="BQ38" s="429" t="n">
        <v>0</v>
      </c>
      <c r="BR38" s="451" t="n"/>
      <c r="BV38" s="451" t="n"/>
      <c r="BW38" s="445" t="n"/>
      <c r="BX38" s="446" t="inlineStr">
        <is>
          <t>Spare</t>
        </is>
      </c>
      <c r="BY38" s="447" t="inlineStr">
        <is>
          <t>Integer</t>
        </is>
      </c>
      <c r="BZ38" s="429" t="n"/>
      <c r="CA38" s="429" t="n">
        <v>0</v>
      </c>
      <c r="CB38" s="451" t="n"/>
      <c r="CC38" s="451" t="n"/>
      <c r="CD38" s="448" t="n"/>
      <c r="CE38" s="456" t="inlineStr">
        <is>
          <t>Spare</t>
        </is>
      </c>
      <c r="CF38" s="447" t="inlineStr">
        <is>
          <t>Integer</t>
        </is>
      </c>
      <c r="CG38" s="429" t="n"/>
      <c r="CH38" s="429" t="n">
        <v>0</v>
      </c>
      <c r="CI38" s="451" t="n"/>
      <c r="CK38" s="451" t="n"/>
      <c r="CL38" s="451" t="n"/>
      <c r="CM38" s="754" t="inlineStr">
        <is>
          <t>Forced Driver FAD Close Status</t>
        </is>
      </c>
      <c r="CN38" s="451" t="n"/>
      <c r="CO38" s="451" t="n"/>
      <c r="CP38" s="451" t="n"/>
      <c r="CQ38" s="451" t="n"/>
      <c r="CU38" s="451" t="n"/>
      <c r="CV38" s="451" t="n"/>
      <c r="CW38" s="451" t="n"/>
      <c r="CX38" s="451" t="n"/>
      <c r="CY38" s="451" t="n"/>
      <c r="CZ38" s="451" t="n"/>
      <c r="DA38" s="451" t="n"/>
      <c r="DK38" s="429">
        <f>DK37+1</f>
        <v/>
      </c>
      <c r="DL38" s="430" t="inlineStr">
        <is>
          <t>VCB Open (VCBOB)</t>
        </is>
      </c>
      <c r="DM38" s="429" t="n"/>
      <c r="DN38" s="429" t="inlineStr">
        <is>
          <t>0/1</t>
        </is>
      </c>
      <c r="DO38" s="429" t="inlineStr">
        <is>
          <t>GUI</t>
        </is>
      </c>
      <c r="DP38" s="429" t="n"/>
      <c r="DQ38" s="429" t="n"/>
    </row>
    <row r="39" ht="21" customHeight="1">
      <c r="A39" s="429" t="n">
        <v>29</v>
      </c>
      <c r="B39" s="445" t="inlineStr">
        <is>
          <t>AT</t>
        </is>
      </c>
      <c r="C39" s="446" t="inlineStr">
        <is>
          <t>Ambient Temperature</t>
        </is>
      </c>
      <c r="D39" s="447" t="inlineStr">
        <is>
          <t>Integer</t>
        </is>
      </c>
      <c r="E39" s="429" t="n"/>
      <c r="F39" s="429" t="n">
        <v>25</v>
      </c>
      <c r="G39" s="429" t="n"/>
      <c r="H39" s="429" t="n">
        <v>47</v>
      </c>
      <c r="I39" s="448" t="n"/>
      <c r="J39" s="448" t="n"/>
      <c r="K39" s="447" t="inlineStr">
        <is>
          <t>Integer</t>
        </is>
      </c>
      <c r="L39" s="429" t="n"/>
      <c r="M39" s="429" t="n"/>
      <c r="N39" s="429" t="n"/>
      <c r="S39" s="451" t="n"/>
      <c r="T39" s="445" t="n"/>
      <c r="U39" s="445" t="inlineStr">
        <is>
          <t>Spare</t>
        </is>
      </c>
      <c r="V39" s="447" t="inlineStr">
        <is>
          <t>Integer</t>
        </is>
      </c>
      <c r="W39" s="429" t="n"/>
      <c r="X39" s="450" t="n">
        <v>0</v>
      </c>
      <c r="Y39" s="451" t="n"/>
      <c r="Z39" s="429" t="n">
        <v>30</v>
      </c>
      <c r="AA39" s="448" t="n"/>
      <c r="AB39" s="448" t="n"/>
      <c r="AC39" s="447" t="inlineStr">
        <is>
          <t>Integer</t>
        </is>
      </c>
      <c r="AD39" s="429" t="n"/>
      <c r="AE39" s="450" t="n"/>
      <c r="AF39" s="451" t="n"/>
      <c r="AH39" s="451" t="n"/>
      <c r="AI39" s="445" t="n"/>
      <c r="AJ39" s="446" t="inlineStr">
        <is>
          <t>Spare</t>
        </is>
      </c>
      <c r="AK39" s="447" t="inlineStr">
        <is>
          <t>Integer</t>
        </is>
      </c>
      <c r="AL39" s="429" t="n"/>
      <c r="AM39" s="429" t="n">
        <v>0</v>
      </c>
      <c r="AN39" s="451" t="n"/>
      <c r="AO39" s="451" t="n"/>
      <c r="AP39" s="448" t="n"/>
      <c r="AQ39" s="456" t="inlineStr">
        <is>
          <t>Spare</t>
        </is>
      </c>
      <c r="AR39" s="447" t="inlineStr">
        <is>
          <t>Boolean</t>
        </is>
      </c>
      <c r="AS39" s="429" t="n"/>
      <c r="AT39" s="450" t="n"/>
      <c r="AU39" s="451" t="n"/>
      <c r="BE39" s="451" t="n"/>
      <c r="BF39" s="445" t="n"/>
      <c r="BG39" s="446" t="inlineStr">
        <is>
          <t>Spare</t>
        </is>
      </c>
      <c r="BH39" s="447" t="inlineStr">
        <is>
          <t>Integer</t>
        </is>
      </c>
      <c r="BI39" s="429" t="n"/>
      <c r="BJ39" s="429" t="n">
        <v>0</v>
      </c>
      <c r="BK39" s="451" t="n"/>
      <c r="BL39" s="451" t="n"/>
      <c r="BM39" s="448" t="n"/>
      <c r="BN39" s="456" t="inlineStr">
        <is>
          <t>Spare</t>
        </is>
      </c>
      <c r="BO39" s="447" t="inlineStr">
        <is>
          <t>Integer</t>
        </is>
      </c>
      <c r="BP39" s="429" t="n"/>
      <c r="BQ39" s="429" t="n">
        <v>0</v>
      </c>
      <c r="BR39" s="451" t="n"/>
      <c r="BV39" s="451" t="n"/>
      <c r="BW39" s="445" t="n"/>
      <c r="BX39" s="446" t="inlineStr">
        <is>
          <t>Spare</t>
        </is>
      </c>
      <c r="BY39" s="447" t="inlineStr">
        <is>
          <t>Integer</t>
        </is>
      </c>
      <c r="BZ39" s="429" t="n"/>
      <c r="CA39" s="429" t="n">
        <v>0</v>
      </c>
      <c r="CB39" s="451" t="n"/>
      <c r="CC39" s="451" t="n"/>
      <c r="CD39" s="448" t="n"/>
      <c r="CE39" s="456" t="inlineStr">
        <is>
          <t>Spare</t>
        </is>
      </c>
      <c r="CF39" s="447" t="inlineStr">
        <is>
          <t>Integer</t>
        </is>
      </c>
      <c r="CG39" s="429" t="n"/>
      <c r="CH39" s="429" t="n">
        <v>0</v>
      </c>
      <c r="CI39" s="451" t="n"/>
      <c r="CY39" s="265" t="n"/>
      <c r="DK39" s="429">
        <f>DK38+1</f>
        <v/>
      </c>
      <c r="DL39" s="430" t="inlineStr">
        <is>
          <t>VCB Reset (VCBRB)</t>
        </is>
      </c>
      <c r="DM39" s="429" t="n"/>
      <c r="DN39" s="429" t="inlineStr">
        <is>
          <t>0/1</t>
        </is>
      </c>
      <c r="DO39" s="429" t="inlineStr">
        <is>
          <t>GUI</t>
        </is>
      </c>
      <c r="DP39" s="429" t="n"/>
      <c r="DQ39" s="429" t="n"/>
    </row>
    <row r="40" ht="21" customHeight="1">
      <c r="A40" s="429" t="n">
        <v>30</v>
      </c>
      <c r="B40" s="445" t="inlineStr">
        <is>
          <t>PL</t>
        </is>
      </c>
      <c r="C40" s="446" t="inlineStr">
        <is>
          <t>Passenget Load</t>
        </is>
      </c>
      <c r="D40" s="447" t="inlineStr">
        <is>
          <t>Integer</t>
        </is>
      </c>
      <c r="E40" s="429" t="n"/>
      <c r="F40" s="429" t="n">
        <v>6</v>
      </c>
      <c r="G40" s="429" t="n"/>
      <c r="H40" s="429" t="n">
        <v>48</v>
      </c>
      <c r="I40" s="448" t="n"/>
      <c r="J40" s="448" t="n"/>
      <c r="K40" s="447" t="inlineStr">
        <is>
          <t>Integer</t>
        </is>
      </c>
      <c r="L40" s="429" t="n"/>
      <c r="M40" s="429" t="n"/>
      <c r="N40" s="429" t="n"/>
      <c r="S40" s="451" t="n"/>
      <c r="T40" s="445" t="n"/>
      <c r="U40" s="445" t="inlineStr">
        <is>
          <t>Spare</t>
        </is>
      </c>
      <c r="V40" s="447" t="inlineStr">
        <is>
          <t>Integer</t>
        </is>
      </c>
      <c r="W40" s="429" t="n"/>
      <c r="X40" s="450" t="n">
        <v>0</v>
      </c>
      <c r="Y40" s="451" t="n"/>
      <c r="Z40" s="429" t="n">
        <v>31</v>
      </c>
      <c r="AA40" s="448" t="n"/>
      <c r="AB40" s="448" t="n"/>
      <c r="AC40" s="447" t="inlineStr">
        <is>
          <t>Integer</t>
        </is>
      </c>
      <c r="AD40" s="429" t="n"/>
      <c r="AE40" s="450">
        <f>HVAC_IOs!K2</f>
        <v/>
      </c>
      <c r="AF40" s="451" t="n"/>
      <c r="AH40" s="451" t="n"/>
      <c r="AI40" s="445" t="n"/>
      <c r="AJ40" s="446" t="inlineStr">
        <is>
          <t>Spare</t>
        </is>
      </c>
      <c r="AK40" s="447" t="inlineStr">
        <is>
          <t>Integer</t>
        </is>
      </c>
      <c r="AL40" s="429" t="n"/>
      <c r="AM40" s="429" t="n">
        <v>0</v>
      </c>
      <c r="AN40" s="451" t="n"/>
      <c r="AO40" s="451" t="n"/>
      <c r="AP40" s="448" t="n"/>
      <c r="AQ40" s="456" t="inlineStr">
        <is>
          <t>Spare</t>
        </is>
      </c>
      <c r="AR40" s="447" t="inlineStr">
        <is>
          <t>Boolean</t>
        </is>
      </c>
      <c r="AS40" s="429" t="n"/>
      <c r="AT40" s="450" t="n"/>
      <c r="AU40" s="451" t="n"/>
      <c r="BE40" s="451" t="n"/>
      <c r="BF40" s="445" t="n"/>
      <c r="BG40" s="446" t="inlineStr">
        <is>
          <t>Spare</t>
        </is>
      </c>
      <c r="BH40" s="447" t="inlineStr">
        <is>
          <t>Integer</t>
        </is>
      </c>
      <c r="BI40" s="429" t="n"/>
      <c r="BJ40" s="429" t="n">
        <v>0</v>
      </c>
      <c r="BK40" s="451" t="n"/>
      <c r="BL40" s="451" t="n"/>
      <c r="BM40" s="448" t="n"/>
      <c r="BN40" s="456" t="inlineStr">
        <is>
          <t>Spare</t>
        </is>
      </c>
      <c r="BO40" s="447" t="inlineStr">
        <is>
          <t>Integer</t>
        </is>
      </c>
      <c r="BP40" s="429" t="n"/>
      <c r="BQ40" s="429" t="n">
        <v>0</v>
      </c>
      <c r="BR40" s="451" t="n"/>
      <c r="BV40" s="451" t="n"/>
      <c r="BW40" s="445" t="n"/>
      <c r="BX40" s="446" t="inlineStr">
        <is>
          <t>Spare</t>
        </is>
      </c>
      <c r="BY40" s="447" t="inlineStr">
        <is>
          <t>Integer</t>
        </is>
      </c>
      <c r="BZ40" s="429" t="n"/>
      <c r="CA40" s="429" t="n">
        <v>0</v>
      </c>
      <c r="CB40" s="451" t="n"/>
      <c r="CC40" s="451" t="n"/>
      <c r="CD40" s="448" t="n"/>
      <c r="CE40" s="456" t="inlineStr">
        <is>
          <t>Spare</t>
        </is>
      </c>
      <c r="CF40" s="447" t="inlineStr">
        <is>
          <t>Integer</t>
        </is>
      </c>
      <c r="CG40" s="429" t="n"/>
      <c r="CH40" s="429" t="n">
        <v>0</v>
      </c>
      <c r="CI40" s="451" t="n"/>
      <c r="DK40" s="429">
        <f>DK39+1</f>
        <v/>
      </c>
      <c r="DL40" s="430" t="inlineStr">
        <is>
          <t>Battery close (BATCB)</t>
        </is>
      </c>
      <c r="DM40" s="429" t="n"/>
      <c r="DN40" s="429" t="inlineStr">
        <is>
          <t>0/1</t>
        </is>
      </c>
      <c r="DO40" s="429" t="inlineStr">
        <is>
          <t>GUI</t>
        </is>
      </c>
      <c r="DP40" s="429" t="n"/>
      <c r="DQ40" s="429" t="n"/>
    </row>
    <row r="41" ht="21" customHeight="1">
      <c r="A41" s="429" t="n">
        <v>31</v>
      </c>
      <c r="B41" s="445" t="inlineStr">
        <is>
          <t>ST</t>
        </is>
      </c>
      <c r="C41" s="446" t="inlineStr">
        <is>
          <t>Start Time</t>
        </is>
      </c>
      <c r="D41" s="447" t="inlineStr">
        <is>
          <t>Integer</t>
        </is>
      </c>
      <c r="E41" s="429" t="n"/>
      <c r="F41" s="429" t="n">
        <v>7</v>
      </c>
      <c r="G41" s="429" t="n"/>
      <c r="H41" s="429" t="n">
        <v>49</v>
      </c>
      <c r="I41" s="448" t="n"/>
      <c r="J41" s="448" t="n"/>
      <c r="K41" s="447" t="inlineStr">
        <is>
          <t>Integer</t>
        </is>
      </c>
      <c r="L41" s="429" t="n"/>
      <c r="M41" s="429" t="n"/>
      <c r="N41" s="429" t="n"/>
      <c r="S41" s="451" t="n"/>
      <c r="T41" s="445" t="n"/>
      <c r="U41" s="445" t="inlineStr">
        <is>
          <t>Spare</t>
        </is>
      </c>
      <c r="V41" s="447" t="inlineStr">
        <is>
          <t>Integer</t>
        </is>
      </c>
      <c r="W41" s="429" t="n"/>
      <c r="X41" s="450" t="n">
        <v>0</v>
      </c>
      <c r="Y41" s="451" t="n"/>
      <c r="Z41" s="429" t="n">
        <v>32</v>
      </c>
      <c r="AA41" s="448" t="n"/>
      <c r="AB41" s="448" t="n"/>
      <c r="AC41" s="447" t="inlineStr">
        <is>
          <t>Integer</t>
        </is>
      </c>
      <c r="AD41" s="429" t="n"/>
      <c r="AE41" s="450">
        <f>HVAC_IOs!K3</f>
        <v/>
      </c>
      <c r="AF41" s="451" t="n"/>
      <c r="AH41" s="451" t="n"/>
      <c r="AI41" s="445" t="n"/>
      <c r="AJ41" s="446" t="inlineStr">
        <is>
          <t>Spare</t>
        </is>
      </c>
      <c r="AK41" s="447" t="inlineStr">
        <is>
          <t>Integer</t>
        </is>
      </c>
      <c r="AL41" s="429" t="n"/>
      <c r="AM41" s="429" t="n">
        <v>0</v>
      </c>
      <c r="AN41" s="451" t="n"/>
      <c r="AO41" s="451" t="n"/>
      <c r="AP41" s="448" t="n"/>
      <c r="AQ41" s="456" t="inlineStr">
        <is>
          <t>Spare</t>
        </is>
      </c>
      <c r="AR41" s="447" t="inlineStr">
        <is>
          <t>Boolean</t>
        </is>
      </c>
      <c r="AS41" s="429" t="n"/>
      <c r="AT41" s="450" t="n"/>
      <c r="AU41" s="451" t="n"/>
      <c r="BE41" s="451" t="n"/>
      <c r="BF41" s="445" t="n"/>
      <c r="BG41" s="446" t="inlineStr">
        <is>
          <t>Spare</t>
        </is>
      </c>
      <c r="BH41" s="447" t="inlineStr">
        <is>
          <t>Integer</t>
        </is>
      </c>
      <c r="BI41" s="429" t="n"/>
      <c r="BJ41" s="429" t="n">
        <v>0</v>
      </c>
      <c r="BK41" s="451" t="n"/>
      <c r="BL41" s="451" t="n"/>
      <c r="BM41" s="448" t="n"/>
      <c r="BN41" s="456" t="inlineStr">
        <is>
          <t>Spare</t>
        </is>
      </c>
      <c r="BO41" s="447" t="inlineStr">
        <is>
          <t>Integer</t>
        </is>
      </c>
      <c r="BP41" s="429" t="n"/>
      <c r="BQ41" s="429" t="n">
        <v>0</v>
      </c>
      <c r="BR41" s="451" t="n"/>
      <c r="BV41" s="451" t="n"/>
      <c r="BW41" s="445" t="n"/>
      <c r="BX41" s="446" t="inlineStr">
        <is>
          <t>Spare</t>
        </is>
      </c>
      <c r="BY41" s="447" t="inlineStr">
        <is>
          <t>Integer</t>
        </is>
      </c>
      <c r="BZ41" s="429" t="n"/>
      <c r="CA41" s="429" t="n">
        <v>0</v>
      </c>
      <c r="CB41" s="451" t="n"/>
      <c r="CC41" s="451" t="n"/>
      <c r="CD41" s="448" t="n"/>
      <c r="CE41" s="456" t="inlineStr">
        <is>
          <t>Spare</t>
        </is>
      </c>
      <c r="CF41" s="447" t="inlineStr">
        <is>
          <t>Integer</t>
        </is>
      </c>
      <c r="CG41" s="429" t="n"/>
      <c r="CH41" s="429" t="n">
        <v>0</v>
      </c>
      <c r="CI41" s="451" t="n"/>
      <c r="DK41" s="429">
        <f>DK40+1</f>
        <v/>
      </c>
      <c r="DL41" s="430" t="inlineStr">
        <is>
          <t>Battery Open (BATOB)</t>
        </is>
      </c>
      <c r="DM41" s="429" t="n"/>
      <c r="DN41" s="429" t="inlineStr">
        <is>
          <t>0/1</t>
        </is>
      </c>
      <c r="DO41" s="429" t="inlineStr">
        <is>
          <t>GUI</t>
        </is>
      </c>
      <c r="DP41" s="429" t="n"/>
      <c r="DQ41" s="429" t="n"/>
    </row>
    <row r="42" ht="21" customHeight="1">
      <c r="A42" s="429" t="n">
        <v>32</v>
      </c>
      <c r="B42" s="445" t="inlineStr">
        <is>
          <t>CT</t>
        </is>
      </c>
      <c r="C42" s="446" t="inlineStr">
        <is>
          <t>Current Time</t>
        </is>
      </c>
      <c r="D42" s="447" t="inlineStr">
        <is>
          <t>Integer</t>
        </is>
      </c>
      <c r="E42" s="429" t="n"/>
      <c r="F42" s="429" t="n">
        <v>0</v>
      </c>
      <c r="G42" s="429" t="n"/>
      <c r="H42" s="429" t="n">
        <v>50</v>
      </c>
      <c r="I42" s="448" t="n"/>
      <c r="J42" s="448" t="n"/>
      <c r="K42" s="447" t="inlineStr">
        <is>
          <t>Integer</t>
        </is>
      </c>
      <c r="L42" s="429" t="n"/>
      <c r="M42" s="429" t="n"/>
      <c r="N42" s="429" t="n"/>
      <c r="S42" s="451" t="n"/>
      <c r="T42" s="445" t="n"/>
      <c r="U42" s="445" t="inlineStr">
        <is>
          <t>Spare</t>
        </is>
      </c>
      <c r="V42" s="447" t="inlineStr">
        <is>
          <t>Integer</t>
        </is>
      </c>
      <c r="W42" s="429" t="n"/>
      <c r="X42" s="450" t="n">
        <v>0</v>
      </c>
      <c r="Y42" s="451" t="n"/>
      <c r="Z42" s="429" t="n">
        <v>33</v>
      </c>
      <c r="AA42" s="448" t="n"/>
      <c r="AB42" s="448" t="n"/>
      <c r="AC42" s="447" t="inlineStr">
        <is>
          <t>Integer</t>
        </is>
      </c>
      <c r="AD42" s="429" t="n"/>
      <c r="AE42" s="450">
        <f>HVAC_IOs!K4</f>
        <v/>
      </c>
      <c r="AF42" s="451" t="n"/>
      <c r="AH42" s="451" t="n"/>
      <c r="AI42" s="445" t="n"/>
      <c r="AJ42" s="446" t="inlineStr">
        <is>
          <t>Spare</t>
        </is>
      </c>
      <c r="AK42" s="447" t="inlineStr">
        <is>
          <t>Integer</t>
        </is>
      </c>
      <c r="AL42" s="429" t="n"/>
      <c r="AM42" s="429" t="n">
        <v>0</v>
      </c>
      <c r="AN42" s="451" t="n"/>
      <c r="AO42" s="451" t="n"/>
      <c r="AP42" s="448" t="n"/>
      <c r="AQ42" s="456" t="inlineStr">
        <is>
          <t>Spare</t>
        </is>
      </c>
      <c r="AR42" s="447" t="inlineStr">
        <is>
          <t>Boolean</t>
        </is>
      </c>
      <c r="AS42" s="429" t="n"/>
      <c r="AT42" s="450" t="n"/>
      <c r="AU42" s="451" t="n"/>
      <c r="BE42" s="451" t="n"/>
      <c r="BF42" s="445" t="n"/>
      <c r="BG42" s="446" t="inlineStr">
        <is>
          <t>Spare</t>
        </is>
      </c>
      <c r="BH42" s="447" t="inlineStr">
        <is>
          <t>Integer</t>
        </is>
      </c>
      <c r="BI42" s="429" t="n"/>
      <c r="BJ42" s="429" t="n">
        <v>0</v>
      </c>
      <c r="BK42" s="451" t="n"/>
      <c r="BL42" s="451" t="n"/>
      <c r="BM42" s="448" t="n"/>
      <c r="BN42" s="456" t="inlineStr">
        <is>
          <t>Spare</t>
        </is>
      </c>
      <c r="BO42" s="447" t="inlineStr">
        <is>
          <t>Integer</t>
        </is>
      </c>
      <c r="BP42" s="429" t="n"/>
      <c r="BQ42" s="429" t="n">
        <v>0</v>
      </c>
      <c r="BR42" s="451" t="n"/>
      <c r="BV42" s="451" t="n"/>
      <c r="BW42" s="445" t="n"/>
      <c r="BX42" s="446" t="inlineStr">
        <is>
          <t>Spare</t>
        </is>
      </c>
      <c r="BY42" s="447" t="inlineStr">
        <is>
          <t>Integer</t>
        </is>
      </c>
      <c r="BZ42" s="429" t="n"/>
      <c r="CA42" s="429" t="n">
        <v>0</v>
      </c>
      <c r="CB42" s="451" t="n"/>
      <c r="CC42" s="451" t="n"/>
      <c r="CD42" s="448" t="n"/>
      <c r="CE42" s="456" t="inlineStr">
        <is>
          <t>Spare</t>
        </is>
      </c>
      <c r="CF42" s="447" t="inlineStr">
        <is>
          <t>Integer</t>
        </is>
      </c>
      <c r="CG42" s="429" t="n"/>
      <c r="CH42" s="429" t="n">
        <v>0</v>
      </c>
      <c r="CI42" s="451" t="n"/>
      <c r="DK42" s="429">
        <f>DK41+1</f>
        <v/>
      </c>
      <c r="DL42" s="430" t="inlineStr">
        <is>
          <t>Pantograph Down (PDB)</t>
        </is>
      </c>
      <c r="DM42" s="429" t="n"/>
      <c r="DN42" s="429" t="inlineStr">
        <is>
          <t>0/1</t>
        </is>
      </c>
      <c r="DO42" s="429" t="inlineStr">
        <is>
          <t>GUI</t>
        </is>
      </c>
      <c r="DP42" s="429" t="n"/>
      <c r="DQ42" s="429" t="n"/>
    </row>
    <row r="43" ht="21" customHeight="1">
      <c r="A43" s="429" t="n">
        <v>33</v>
      </c>
      <c r="B43" s="445" t="inlineStr">
        <is>
          <t>RH</t>
        </is>
      </c>
      <c r="C43" s="446" t="inlineStr">
        <is>
          <t>Relative Humidity</t>
        </is>
      </c>
      <c r="D43" s="447" t="inlineStr">
        <is>
          <t>Integer</t>
        </is>
      </c>
      <c r="E43" s="429" t="n"/>
      <c r="F43" s="429" t="n">
        <v>5</v>
      </c>
      <c r="G43" s="429" t="n"/>
      <c r="H43" s="429" t="n">
        <v>51</v>
      </c>
      <c r="I43" s="448" t="n"/>
      <c r="J43" s="448" t="n"/>
      <c r="K43" s="447" t="inlineStr">
        <is>
          <t>Integer</t>
        </is>
      </c>
      <c r="L43" s="429" t="n"/>
      <c r="M43" s="429" t="n"/>
      <c r="N43" s="429" t="n"/>
      <c r="S43" s="451" t="n"/>
      <c r="T43" s="445" t="n"/>
      <c r="U43" s="445" t="inlineStr">
        <is>
          <t>Spare</t>
        </is>
      </c>
      <c r="V43" s="447" t="inlineStr">
        <is>
          <t>Integer</t>
        </is>
      </c>
      <c r="W43" s="429" t="n"/>
      <c r="X43" s="450" t="n">
        <v>0</v>
      </c>
      <c r="Y43" s="451" t="n"/>
      <c r="Z43" s="429" t="n">
        <v>34</v>
      </c>
      <c r="AA43" s="448" t="n"/>
      <c r="AB43" s="448" t="n"/>
      <c r="AC43" s="447" t="inlineStr">
        <is>
          <t>Integer</t>
        </is>
      </c>
      <c r="AD43" s="429" t="n"/>
      <c r="AE43" s="450">
        <f>HVAC_IOs!K5</f>
        <v/>
      </c>
      <c r="AF43" s="451" t="n"/>
      <c r="AH43" s="451" t="n"/>
      <c r="AI43" s="445" t="n"/>
      <c r="AJ43" s="446" t="inlineStr">
        <is>
          <t>Spare</t>
        </is>
      </c>
      <c r="AK43" s="447" t="inlineStr">
        <is>
          <t>Integer</t>
        </is>
      </c>
      <c r="AL43" s="429" t="n"/>
      <c r="AM43" s="429" t="n">
        <v>0</v>
      </c>
      <c r="AN43" s="451" t="n"/>
      <c r="AO43" s="451" t="n"/>
      <c r="AP43" s="448" t="n"/>
      <c r="AQ43" s="456" t="inlineStr">
        <is>
          <t>Spare</t>
        </is>
      </c>
      <c r="AR43" s="447" t="inlineStr">
        <is>
          <t>Boolean</t>
        </is>
      </c>
      <c r="AS43" s="429" t="n"/>
      <c r="AT43" s="450" t="n"/>
      <c r="AU43" s="451" t="n"/>
      <c r="BE43" s="451" t="n"/>
      <c r="BF43" s="445" t="n"/>
      <c r="BG43" s="446" t="inlineStr">
        <is>
          <t>Spare</t>
        </is>
      </c>
      <c r="BH43" s="447" t="inlineStr">
        <is>
          <t>Integer</t>
        </is>
      </c>
      <c r="BI43" s="429" t="n"/>
      <c r="BJ43" s="429" t="n">
        <v>0</v>
      </c>
      <c r="BK43" s="451" t="n"/>
      <c r="BL43" s="451" t="n"/>
      <c r="BM43" s="448" t="n"/>
      <c r="BN43" s="456" t="inlineStr">
        <is>
          <t>Spare</t>
        </is>
      </c>
      <c r="BO43" s="447" t="inlineStr">
        <is>
          <t>Integer</t>
        </is>
      </c>
      <c r="BP43" s="429" t="n"/>
      <c r="BQ43" s="429" t="n">
        <v>0</v>
      </c>
      <c r="BR43" s="451" t="n"/>
      <c r="BV43" s="451" t="n"/>
      <c r="BW43" s="445" t="n"/>
      <c r="BX43" s="446" t="inlineStr">
        <is>
          <t>Spare</t>
        </is>
      </c>
      <c r="BY43" s="447" t="inlineStr">
        <is>
          <t>Integer</t>
        </is>
      </c>
      <c r="BZ43" s="429" t="n"/>
      <c r="CA43" s="429" t="n">
        <v>0</v>
      </c>
      <c r="CB43" s="451" t="n"/>
      <c r="CC43" s="451" t="n"/>
      <c r="CD43" s="448" t="n"/>
      <c r="CE43" s="456" t="inlineStr">
        <is>
          <t>Spare</t>
        </is>
      </c>
      <c r="CF43" s="447" t="inlineStr">
        <is>
          <t>Integer</t>
        </is>
      </c>
      <c r="CG43" s="429" t="n"/>
      <c r="CH43" s="429" t="n">
        <v>0</v>
      </c>
      <c r="CI43" s="451" t="n"/>
      <c r="DK43" s="429">
        <f>DK42+1</f>
        <v/>
      </c>
      <c r="DL43" s="430" t="inlineStr">
        <is>
          <t>Pantograph Up (PUB)</t>
        </is>
      </c>
      <c r="DM43" s="429" t="n"/>
      <c r="DN43" s="429" t="inlineStr">
        <is>
          <t>0/1</t>
        </is>
      </c>
      <c r="DO43" s="429" t="inlineStr">
        <is>
          <t>GUI</t>
        </is>
      </c>
      <c r="DP43" s="429" t="n"/>
      <c r="DQ43" s="429" t="n"/>
    </row>
    <row r="44" ht="21" customHeight="1">
      <c r="A44" s="429" t="n">
        <v>34</v>
      </c>
      <c r="B44" s="445" t="inlineStr">
        <is>
          <t>DOO</t>
        </is>
      </c>
      <c r="C44" s="446" t="n"/>
      <c r="D44" s="447" t="inlineStr">
        <is>
          <t>Integer</t>
        </is>
      </c>
      <c r="E44" s="429" t="n"/>
      <c r="F44" s="429" t="n"/>
      <c r="G44" s="429" t="n"/>
      <c r="H44" s="429" t="n">
        <v>52</v>
      </c>
      <c r="I44" s="448" t="n"/>
      <c r="J44" s="448" t="n"/>
      <c r="K44" s="447" t="n"/>
      <c r="L44" s="429" t="n"/>
      <c r="M44" s="429" t="n"/>
      <c r="N44" s="429" t="n"/>
      <c r="S44" s="451" t="n"/>
      <c r="T44" s="445" t="n"/>
      <c r="U44" s="445" t="n"/>
      <c r="V44" s="447" t="n"/>
      <c r="W44" s="429" t="n"/>
      <c r="X44" s="450" t="n"/>
      <c r="Y44" s="451" t="n"/>
      <c r="Z44" s="429" t="n"/>
      <c r="AA44" s="448" t="n"/>
      <c r="AB44" s="448" t="n"/>
      <c r="AC44" s="447" t="n"/>
      <c r="AD44" s="429" t="n"/>
      <c r="AE44" s="450" t="n"/>
      <c r="AF44" s="451" t="n"/>
      <c r="AH44" s="451" t="n"/>
      <c r="AI44" s="445" t="n"/>
      <c r="AJ44" s="446" t="n"/>
      <c r="AK44" s="447" t="n"/>
      <c r="AL44" s="429" t="n"/>
      <c r="AM44" s="429" t="n"/>
      <c r="AN44" s="451" t="n"/>
      <c r="AO44" s="451" t="n"/>
      <c r="AP44" s="448" t="n"/>
      <c r="AQ44" s="456" t="n"/>
      <c r="AR44" s="447" t="n"/>
      <c r="AS44" s="429" t="n"/>
      <c r="AT44" s="450" t="n"/>
      <c r="AU44" s="451" t="n"/>
      <c r="BE44" s="451" t="n"/>
      <c r="BF44" s="445" t="n"/>
      <c r="BG44" s="446" t="n"/>
      <c r="BH44" s="447" t="n"/>
      <c r="BI44" s="429" t="n"/>
      <c r="BJ44" s="429" t="n"/>
      <c r="BK44" s="451" t="n"/>
      <c r="BL44" s="451" t="n"/>
      <c r="BM44" s="448" t="n"/>
      <c r="BN44" s="456" t="n"/>
      <c r="BO44" s="447" t="n"/>
      <c r="BP44" s="429" t="n"/>
      <c r="BQ44" s="429" t="n"/>
      <c r="BR44" s="451" t="n"/>
      <c r="BV44" s="451" t="n"/>
      <c r="BW44" s="445" t="n"/>
      <c r="BX44" s="446" t="n"/>
      <c r="BY44" s="447" t="n"/>
      <c r="BZ44" s="429" t="n"/>
      <c r="CA44" s="429" t="n"/>
      <c r="CB44" s="451" t="n"/>
      <c r="CC44" s="451" t="n"/>
      <c r="CD44" s="448" t="n"/>
      <c r="CE44" s="456" t="n"/>
      <c r="CF44" s="447" t="n"/>
      <c r="CG44" s="429" t="n"/>
      <c r="CH44" s="429" t="n"/>
      <c r="CI44" s="451" t="n"/>
      <c r="DK44" s="429">
        <f>DK43+1</f>
        <v/>
      </c>
      <c r="DL44" s="430" t="inlineStr">
        <is>
          <t>HVAC Reset(SRRB)</t>
        </is>
      </c>
      <c r="DM44" s="429" t="n"/>
      <c r="DN44" s="429" t="inlineStr">
        <is>
          <t>0/1</t>
        </is>
      </c>
      <c r="DO44" s="429" t="inlineStr">
        <is>
          <t>GUI</t>
        </is>
      </c>
      <c r="DP44" s="429" t="n"/>
      <c r="DQ44" s="429" t="n"/>
    </row>
    <row r="45" ht="21" customHeight="1">
      <c r="A45" s="429" t="n">
        <v>35</v>
      </c>
      <c r="B45" s="445" t="inlineStr">
        <is>
          <t>DOC</t>
        </is>
      </c>
      <c r="C45" s="446" t="n"/>
      <c r="D45" s="447" t="inlineStr">
        <is>
          <t>Integer</t>
        </is>
      </c>
      <c r="E45" s="429" t="n"/>
      <c r="F45" s="429" t="n"/>
      <c r="G45" s="429" t="n"/>
      <c r="H45" s="429" t="n">
        <v>53</v>
      </c>
      <c r="I45" s="448" t="n"/>
      <c r="J45" s="448" t="n"/>
      <c r="K45" s="447" t="n"/>
      <c r="L45" s="429" t="n"/>
      <c r="M45" s="429" t="n"/>
      <c r="N45" s="429" t="n"/>
      <c r="S45" s="451" t="n"/>
      <c r="T45" s="445" t="n"/>
      <c r="U45" s="445" t="n"/>
      <c r="V45" s="447" t="n"/>
      <c r="W45" s="429" t="n"/>
      <c r="X45" s="450" t="n"/>
      <c r="Y45" s="451" t="n"/>
      <c r="Z45" s="429" t="n"/>
      <c r="AA45" s="448" t="n"/>
      <c r="AB45" s="448" t="n"/>
      <c r="AC45" s="447" t="n"/>
      <c r="AD45" s="429" t="n"/>
      <c r="AE45" s="450" t="n"/>
      <c r="AF45" s="451" t="n"/>
      <c r="AH45" s="451" t="n"/>
      <c r="AI45" s="445" t="n"/>
      <c r="AJ45" s="446" t="n"/>
      <c r="AK45" s="447" t="n"/>
      <c r="AL45" s="429" t="n"/>
      <c r="AM45" s="429" t="n"/>
      <c r="AN45" s="451" t="n"/>
      <c r="AO45" s="451" t="n"/>
      <c r="AP45" s="448" t="n"/>
      <c r="AQ45" s="456" t="n"/>
      <c r="AR45" s="447" t="n"/>
      <c r="AS45" s="429" t="n"/>
      <c r="AT45" s="450" t="n"/>
      <c r="AU45" s="451" t="n"/>
      <c r="BE45" s="451" t="n"/>
      <c r="BF45" s="445" t="n"/>
      <c r="BG45" s="446" t="n"/>
      <c r="BH45" s="447" t="n"/>
      <c r="BI45" s="429" t="n"/>
      <c r="BJ45" s="429" t="n"/>
      <c r="BK45" s="451" t="n"/>
      <c r="BL45" s="451" t="n"/>
      <c r="BM45" s="448" t="n"/>
      <c r="BN45" s="456" t="n"/>
      <c r="BO45" s="447" t="n"/>
      <c r="BP45" s="429" t="n"/>
      <c r="BQ45" s="429" t="n"/>
      <c r="BR45" s="451" t="n"/>
      <c r="BV45" s="451" t="n"/>
      <c r="BW45" s="445" t="n"/>
      <c r="BX45" s="446" t="n"/>
      <c r="BY45" s="447" t="n"/>
      <c r="BZ45" s="429" t="n"/>
      <c r="CA45" s="429" t="n"/>
      <c r="CB45" s="451" t="n"/>
      <c r="CC45" s="451" t="n"/>
      <c r="CD45" s="448" t="n"/>
      <c r="CE45" s="456" t="n"/>
      <c r="CF45" s="447" t="n"/>
      <c r="CG45" s="429" t="n"/>
      <c r="CH45" s="429" t="n"/>
      <c r="CI45" s="451" t="n"/>
      <c r="DK45" s="429">
        <f>DK44+1</f>
        <v/>
      </c>
      <c r="DL45" s="430" t="inlineStr">
        <is>
          <t>Door Open Traction Block Bypass (DOBB)</t>
        </is>
      </c>
      <c r="DM45" s="429" t="n"/>
      <c r="DN45" s="429" t="inlineStr">
        <is>
          <t>0/1</t>
        </is>
      </c>
      <c r="DO45" s="429" t="inlineStr">
        <is>
          <t>GUI</t>
        </is>
      </c>
      <c r="DP45" s="429" t="n"/>
      <c r="DQ45" s="429" t="n"/>
    </row>
    <row r="46" ht="21" customHeight="1">
      <c r="A46" s="429" t="n">
        <v>36</v>
      </c>
      <c r="B46" s="445" t="n"/>
      <c r="C46" s="446" t="inlineStr">
        <is>
          <t>Spare</t>
        </is>
      </c>
      <c r="D46" s="447">
        <f>'LFD New'!D2</f>
        <v/>
      </c>
      <c r="E46" s="429" t="n"/>
      <c r="F46" s="429" t="n"/>
      <c r="G46" s="429" t="n"/>
      <c r="H46" s="429" t="n">
        <v>54</v>
      </c>
      <c r="I46" s="448" t="n"/>
      <c r="J46" s="448" t="n"/>
      <c r="K46" s="447" t="inlineStr">
        <is>
          <t>Integer</t>
        </is>
      </c>
      <c r="L46" s="429" t="n"/>
      <c r="M46" s="429" t="n"/>
      <c r="N46" s="429" t="n"/>
      <c r="S46" s="451" t="n"/>
      <c r="T46" s="445" t="n"/>
      <c r="U46" s="445" t="inlineStr">
        <is>
          <t>Spare</t>
        </is>
      </c>
      <c r="V46" s="447" t="inlineStr">
        <is>
          <t>Integer</t>
        </is>
      </c>
      <c r="W46" s="429" t="n"/>
      <c r="X46" s="450" t="n">
        <v>0</v>
      </c>
      <c r="Y46" s="451" t="n"/>
      <c r="Z46" s="429" t="n">
        <v>35</v>
      </c>
      <c r="AA46" s="448" t="n"/>
      <c r="AB46" s="448" t="n"/>
      <c r="AC46" s="447" t="inlineStr">
        <is>
          <t>Integer</t>
        </is>
      </c>
      <c r="AD46" s="429" t="n"/>
      <c r="AE46" s="450">
        <f>HVAC_IOs!K6</f>
        <v/>
      </c>
      <c r="AF46" s="451" t="n"/>
      <c r="AH46" s="451" t="n"/>
      <c r="AI46" s="445" t="n"/>
      <c r="AJ46" s="446" t="inlineStr">
        <is>
          <t>Spare</t>
        </is>
      </c>
      <c r="AK46" s="447" t="inlineStr">
        <is>
          <t>Integer</t>
        </is>
      </c>
      <c r="AL46" s="429" t="n"/>
      <c r="AM46" s="429" t="n">
        <v>0</v>
      </c>
      <c r="AN46" s="451" t="n"/>
      <c r="AO46" s="451" t="n"/>
      <c r="AP46" s="448" t="n"/>
      <c r="AQ46" s="456" t="inlineStr">
        <is>
          <t>Spare</t>
        </is>
      </c>
      <c r="AR46" s="447" t="inlineStr">
        <is>
          <t>Boolean</t>
        </is>
      </c>
      <c r="AS46" s="429" t="n"/>
      <c r="AT46" s="450" t="n"/>
      <c r="AU46" s="451" t="n"/>
      <c r="BE46" s="451" t="n"/>
      <c r="BF46" s="445" t="n"/>
      <c r="BG46" s="446" t="inlineStr">
        <is>
          <t>Spare</t>
        </is>
      </c>
      <c r="BH46" s="447" t="inlineStr">
        <is>
          <t>Integer</t>
        </is>
      </c>
      <c r="BI46" s="429" t="n"/>
      <c r="BJ46" s="429" t="n">
        <v>0</v>
      </c>
      <c r="BK46" s="451" t="n"/>
      <c r="BL46" s="451" t="n"/>
      <c r="BM46" s="448" t="n"/>
      <c r="BN46" s="456" t="inlineStr">
        <is>
          <t>Spare</t>
        </is>
      </c>
      <c r="BO46" s="447" t="inlineStr">
        <is>
          <t>Integer</t>
        </is>
      </c>
      <c r="BP46" s="429" t="n"/>
      <c r="BQ46" s="429" t="n">
        <v>0</v>
      </c>
      <c r="BR46" s="451" t="n"/>
      <c r="BV46" s="451" t="n"/>
      <c r="BW46" s="445" t="n"/>
      <c r="BX46" s="446" t="inlineStr">
        <is>
          <t>Spare</t>
        </is>
      </c>
      <c r="BY46" s="447" t="inlineStr">
        <is>
          <t>Integer</t>
        </is>
      </c>
      <c r="BZ46" s="429" t="n"/>
      <c r="CA46" s="429" t="n">
        <v>0</v>
      </c>
      <c r="CB46" s="451" t="n"/>
      <c r="CC46" s="451" t="n"/>
      <c r="CD46" s="448" t="n"/>
      <c r="CE46" s="456" t="inlineStr">
        <is>
          <t>Spare</t>
        </is>
      </c>
      <c r="CF46" s="447" t="inlineStr">
        <is>
          <t>Integer</t>
        </is>
      </c>
      <c r="CG46" s="429" t="n"/>
      <c r="CH46" s="429" t="n">
        <v>0</v>
      </c>
      <c r="CI46" s="451" t="n"/>
      <c r="DK46" s="429">
        <f>DK45+1</f>
        <v/>
      </c>
      <c r="DL46" s="430" t="inlineStr">
        <is>
          <t>Parking Brake Release (PBRB)</t>
        </is>
      </c>
      <c r="DM46" s="429" t="n"/>
      <c r="DN46" s="429" t="inlineStr">
        <is>
          <t>0/1</t>
        </is>
      </c>
      <c r="DO46" s="429" t="inlineStr">
        <is>
          <t>GUI</t>
        </is>
      </c>
      <c r="DP46" s="429" t="n"/>
      <c r="DQ46" s="429" t="n"/>
    </row>
    <row r="47" ht="21" customHeight="1">
      <c r="A47" s="429" t="n">
        <v>37</v>
      </c>
      <c r="B47" s="445" t="n"/>
      <c r="C47" s="446" t="inlineStr">
        <is>
          <t>Spare</t>
        </is>
      </c>
      <c r="D47" s="447" t="inlineStr">
        <is>
          <t>Integer</t>
        </is>
      </c>
      <c r="E47" s="429" t="n"/>
      <c r="F47" s="429" t="n"/>
      <c r="G47" s="429" t="n"/>
      <c r="H47" s="429" t="n">
        <v>55</v>
      </c>
      <c r="I47" s="448" t="n"/>
      <c r="J47" s="448" t="n"/>
      <c r="K47" s="447" t="inlineStr">
        <is>
          <t>Integer</t>
        </is>
      </c>
      <c r="L47" s="429" t="n"/>
      <c r="M47" s="429" t="n"/>
      <c r="N47" s="429" t="n"/>
      <c r="S47" s="451" t="n"/>
      <c r="T47" s="445" t="n"/>
      <c r="U47" s="445" t="inlineStr">
        <is>
          <t>Spare</t>
        </is>
      </c>
      <c r="V47" s="447" t="inlineStr">
        <is>
          <t>Integer</t>
        </is>
      </c>
      <c r="W47" s="429" t="n"/>
      <c r="X47" s="450" t="n">
        <v>0</v>
      </c>
      <c r="Y47" s="451" t="n"/>
      <c r="Z47" s="429" t="n">
        <v>36</v>
      </c>
      <c r="AA47" s="448" t="n"/>
      <c r="AB47" s="448" t="n"/>
      <c r="AC47" s="447" t="inlineStr">
        <is>
          <t>Integer</t>
        </is>
      </c>
      <c r="AD47" s="429" t="n"/>
      <c r="AE47" s="450">
        <f>HVAC_IOs!K7</f>
        <v/>
      </c>
      <c r="AF47" s="451" t="n"/>
      <c r="AH47" s="451" t="n"/>
      <c r="AI47" s="445" t="n"/>
      <c r="AJ47" s="446" t="inlineStr">
        <is>
          <t>Spare</t>
        </is>
      </c>
      <c r="AK47" s="447" t="inlineStr">
        <is>
          <t>Integer</t>
        </is>
      </c>
      <c r="AL47" s="429" t="n"/>
      <c r="AM47" s="429" t="n">
        <v>0</v>
      </c>
      <c r="AN47" s="451" t="n"/>
      <c r="AO47" s="451" t="n"/>
      <c r="AP47" s="448" t="n"/>
      <c r="AQ47" s="456" t="inlineStr">
        <is>
          <t>Spare</t>
        </is>
      </c>
      <c r="AR47" s="447" t="inlineStr">
        <is>
          <t>Boolean</t>
        </is>
      </c>
      <c r="AS47" s="429" t="n"/>
      <c r="AT47" s="450" t="n"/>
      <c r="AU47" s="451" t="n"/>
      <c r="BE47" s="451" t="n"/>
      <c r="BF47" s="445" t="n"/>
      <c r="BG47" s="446" t="inlineStr">
        <is>
          <t>Spare</t>
        </is>
      </c>
      <c r="BH47" s="447" t="inlineStr">
        <is>
          <t>Integer</t>
        </is>
      </c>
      <c r="BI47" s="429" t="n"/>
      <c r="BJ47" s="429" t="n">
        <v>0</v>
      </c>
      <c r="BK47" s="451" t="n"/>
      <c r="BL47" s="451" t="n"/>
      <c r="BM47" s="448" t="n"/>
      <c r="BN47" s="456" t="inlineStr">
        <is>
          <t>Spare</t>
        </is>
      </c>
      <c r="BO47" s="447" t="inlineStr">
        <is>
          <t>Integer</t>
        </is>
      </c>
      <c r="BP47" s="429" t="n"/>
      <c r="BQ47" s="429" t="n">
        <v>0</v>
      </c>
      <c r="BR47" s="451" t="n"/>
      <c r="BV47" s="451" t="n"/>
      <c r="BW47" s="445" t="n"/>
      <c r="BX47" s="446" t="inlineStr">
        <is>
          <t>Spare</t>
        </is>
      </c>
      <c r="BY47" s="447" t="inlineStr">
        <is>
          <t>Integer</t>
        </is>
      </c>
      <c r="BZ47" s="429" t="n"/>
      <c r="CA47" s="429" t="n">
        <v>0</v>
      </c>
      <c r="CB47" s="451" t="n"/>
      <c r="CC47" s="451" t="n"/>
      <c r="CD47" s="448" t="n"/>
      <c r="CE47" s="456" t="inlineStr">
        <is>
          <t>Spare</t>
        </is>
      </c>
      <c r="CF47" s="447" t="inlineStr">
        <is>
          <t>Integer</t>
        </is>
      </c>
      <c r="CG47" s="429" t="n"/>
      <c r="CH47" s="429" t="n">
        <v>0</v>
      </c>
      <c r="CI47" s="451" t="n"/>
      <c r="DK47" s="429">
        <f>DK46+1</f>
        <v/>
      </c>
      <c r="DL47" s="430" t="inlineStr">
        <is>
          <t>Parking Brake Applied (PBAB)</t>
        </is>
      </c>
      <c r="DM47" s="429" t="n"/>
      <c r="DN47" s="429" t="inlineStr">
        <is>
          <t>0/1</t>
        </is>
      </c>
      <c r="DO47" s="429" t="inlineStr">
        <is>
          <t>GUI</t>
        </is>
      </c>
      <c r="DP47" s="429" t="n"/>
      <c r="DQ47" s="429" t="n"/>
    </row>
    <row r="48" ht="21" customHeight="1">
      <c r="A48" s="429" t="n">
        <v>38</v>
      </c>
      <c r="B48" s="445" t="n"/>
      <c r="C48" s="446" t="inlineStr">
        <is>
          <t>Spare</t>
        </is>
      </c>
      <c r="D48" s="447" t="inlineStr">
        <is>
          <t>Boolean</t>
        </is>
      </c>
      <c r="E48" s="429" t="n"/>
      <c r="F48" s="429" t="n"/>
      <c r="G48" s="429" t="n"/>
      <c r="H48" s="429" t="n">
        <v>56</v>
      </c>
      <c r="I48" s="448" t="n"/>
      <c r="J48" s="448" t="n"/>
      <c r="K48" s="447" t="inlineStr">
        <is>
          <t>Boolean</t>
        </is>
      </c>
      <c r="L48" s="429" t="n"/>
      <c r="M48" s="429" t="n"/>
      <c r="N48" s="429" t="n"/>
      <c r="S48" s="451" t="n"/>
      <c r="T48" s="445" t="n"/>
      <c r="U48" s="445" t="inlineStr">
        <is>
          <t>Spare</t>
        </is>
      </c>
      <c r="V48" s="447" t="inlineStr">
        <is>
          <t>Boolean</t>
        </is>
      </c>
      <c r="W48" s="429" t="n"/>
      <c r="X48" s="450" t="n">
        <v>0</v>
      </c>
      <c r="Y48" s="451" t="n"/>
      <c r="Z48" s="429" t="n">
        <v>37</v>
      </c>
      <c r="AA48" s="448" t="n"/>
      <c r="AB48" s="448" t="n"/>
      <c r="AC48" s="447" t="inlineStr">
        <is>
          <t>Boolean</t>
        </is>
      </c>
      <c r="AD48" s="429" t="n"/>
      <c r="AE48" s="450">
        <f>HVAC_IOs!L9</f>
        <v/>
      </c>
      <c r="AF48" s="451" t="n"/>
      <c r="AH48" s="451" t="n"/>
      <c r="AI48" s="445" t="n"/>
      <c r="AJ48" s="446" t="inlineStr">
        <is>
          <t>Spare</t>
        </is>
      </c>
      <c r="AK48" s="447" t="inlineStr">
        <is>
          <t>Boolean</t>
        </is>
      </c>
      <c r="AL48" s="429" t="n"/>
      <c r="AM48" s="429" t="n">
        <v>0</v>
      </c>
      <c r="AN48" s="451" t="n"/>
      <c r="AO48" s="451" t="n"/>
      <c r="AP48" s="448" t="n"/>
      <c r="AQ48" s="456" t="inlineStr">
        <is>
          <t>Spare</t>
        </is>
      </c>
      <c r="AR48" s="447" t="inlineStr">
        <is>
          <t>Boolean</t>
        </is>
      </c>
      <c r="AS48" s="429" t="n"/>
      <c r="AT48" s="450" t="n"/>
      <c r="AU48" s="451" t="n"/>
      <c r="BE48" s="451" t="n"/>
      <c r="BF48" s="445" t="n"/>
      <c r="BG48" s="446" t="inlineStr">
        <is>
          <t>Spare</t>
        </is>
      </c>
      <c r="BH48" s="447" t="inlineStr">
        <is>
          <t>Boolean</t>
        </is>
      </c>
      <c r="BI48" s="429" t="n"/>
      <c r="BJ48" s="429" t="n">
        <v>0</v>
      </c>
      <c r="BK48" s="451" t="n"/>
      <c r="BL48" s="451" t="n"/>
      <c r="BM48" s="448" t="n"/>
      <c r="BN48" s="456" t="inlineStr">
        <is>
          <t>Spare</t>
        </is>
      </c>
      <c r="BO48" s="447" t="inlineStr">
        <is>
          <t>Boolean</t>
        </is>
      </c>
      <c r="BP48" s="429" t="n"/>
      <c r="BQ48" s="429" t="n">
        <v>0</v>
      </c>
      <c r="BR48" s="451" t="n"/>
      <c r="BV48" s="451" t="n"/>
      <c r="BW48" s="445" t="n"/>
      <c r="BX48" s="446" t="inlineStr">
        <is>
          <t>Spare</t>
        </is>
      </c>
      <c r="BY48" s="447" t="inlineStr">
        <is>
          <t>Boolean</t>
        </is>
      </c>
      <c r="BZ48" s="429" t="n"/>
      <c r="CA48" s="429" t="n">
        <v>0</v>
      </c>
      <c r="CB48" s="451" t="n"/>
      <c r="CC48" s="451" t="n"/>
      <c r="CD48" s="448" t="n"/>
      <c r="CE48" s="456" t="inlineStr">
        <is>
          <t>Spare</t>
        </is>
      </c>
      <c r="CF48" s="447" t="inlineStr">
        <is>
          <t>Boolean</t>
        </is>
      </c>
      <c r="CG48" s="429" t="n"/>
      <c r="CH48" s="429" t="n">
        <v>0</v>
      </c>
      <c r="CI48" s="451" t="n"/>
      <c r="DK48" s="429">
        <f>DK47+1</f>
        <v/>
      </c>
      <c r="DL48" s="430" t="inlineStr">
        <is>
          <t>Parking Brake Applied Traction Block Bypass (PBABB)</t>
        </is>
      </c>
      <c r="DM48" s="429" t="n"/>
      <c r="DN48" s="429" t="inlineStr">
        <is>
          <t>0/1</t>
        </is>
      </c>
      <c r="DO48" s="429" t="inlineStr">
        <is>
          <t>GUI</t>
        </is>
      </c>
      <c r="DP48" s="429" t="n"/>
      <c r="DQ48" s="429" t="n"/>
    </row>
    <row r="49" ht="21" customHeight="1">
      <c r="A49" s="429" t="n">
        <v>39</v>
      </c>
      <c r="B49" s="445" t="n"/>
      <c r="C49" s="446" t="inlineStr">
        <is>
          <t>Spare</t>
        </is>
      </c>
      <c r="D49" s="447" t="inlineStr">
        <is>
          <t>Boolean</t>
        </is>
      </c>
      <c r="E49" s="429" t="n"/>
      <c r="F49" s="429" t="n"/>
      <c r="G49" s="429" t="n"/>
      <c r="H49" s="429" t="n">
        <v>57</v>
      </c>
      <c r="I49" s="448" t="n"/>
      <c r="J49" s="448" t="n"/>
      <c r="K49" s="447" t="inlineStr">
        <is>
          <t>Boolean</t>
        </is>
      </c>
      <c r="L49" s="429" t="n"/>
      <c r="M49" s="429" t="n"/>
      <c r="N49" s="429" t="n"/>
      <c r="S49" s="451" t="n"/>
      <c r="T49" s="445" t="n"/>
      <c r="U49" s="445" t="inlineStr">
        <is>
          <t>Spare</t>
        </is>
      </c>
      <c r="V49" s="447" t="inlineStr">
        <is>
          <t>Boolean</t>
        </is>
      </c>
      <c r="W49" s="429" t="n"/>
      <c r="X49" s="450" t="n">
        <v>0</v>
      </c>
      <c r="Y49" s="451" t="n"/>
      <c r="Z49" s="429" t="n">
        <v>38</v>
      </c>
      <c r="AA49" s="448" t="n"/>
      <c r="AB49" s="448" t="n"/>
      <c r="AC49" s="447" t="inlineStr">
        <is>
          <t>Boolean</t>
        </is>
      </c>
      <c r="AD49" s="429" t="n"/>
      <c r="AE49" s="450">
        <f>HVAC_IOs!L30</f>
        <v/>
      </c>
      <c r="AF49" s="451" t="n"/>
      <c r="AH49" s="451" t="n"/>
      <c r="AI49" s="445" t="n"/>
      <c r="AJ49" s="446" t="inlineStr">
        <is>
          <t>Spare</t>
        </is>
      </c>
      <c r="AK49" s="447" t="inlineStr">
        <is>
          <t>Boolean</t>
        </is>
      </c>
      <c r="AL49" s="429" t="n"/>
      <c r="AM49" s="429" t="n">
        <v>0</v>
      </c>
      <c r="AN49" s="451" t="n"/>
      <c r="AO49" s="451" t="n"/>
      <c r="AP49" s="448" t="n"/>
      <c r="AQ49" s="456" t="inlineStr">
        <is>
          <t>Spare</t>
        </is>
      </c>
      <c r="AR49" s="447" t="inlineStr">
        <is>
          <t>Boolean</t>
        </is>
      </c>
      <c r="AS49" s="429" t="n"/>
      <c r="AT49" s="450" t="n"/>
      <c r="AU49" s="451" t="n"/>
      <c r="BE49" s="451" t="n"/>
      <c r="BF49" s="445" t="n"/>
      <c r="BG49" s="446" t="inlineStr">
        <is>
          <t>Spare</t>
        </is>
      </c>
      <c r="BH49" s="447" t="inlineStr">
        <is>
          <t>Boolean</t>
        </is>
      </c>
      <c r="BI49" s="429" t="n"/>
      <c r="BJ49" s="429" t="n">
        <v>0</v>
      </c>
      <c r="BK49" s="451" t="n"/>
      <c r="BL49" s="451" t="n"/>
      <c r="BM49" s="448" t="n"/>
      <c r="BN49" s="456" t="inlineStr">
        <is>
          <t>Spare</t>
        </is>
      </c>
      <c r="BO49" s="447" t="inlineStr">
        <is>
          <t>Boolean</t>
        </is>
      </c>
      <c r="BP49" s="429" t="n"/>
      <c r="BQ49" s="429" t="n">
        <v>0</v>
      </c>
      <c r="BR49" s="451" t="n"/>
      <c r="BV49" s="451" t="n"/>
      <c r="BW49" s="445" t="n"/>
      <c r="BX49" s="446" t="inlineStr">
        <is>
          <t>Spare</t>
        </is>
      </c>
      <c r="BY49" s="447" t="inlineStr">
        <is>
          <t>Boolean</t>
        </is>
      </c>
      <c r="BZ49" s="429" t="n"/>
      <c r="CA49" s="429" t="n">
        <v>0</v>
      </c>
      <c r="CB49" s="451" t="n"/>
      <c r="CC49" s="451" t="n"/>
      <c r="CD49" s="448" t="n"/>
      <c r="CE49" s="456" t="inlineStr">
        <is>
          <t>Spare</t>
        </is>
      </c>
      <c r="CF49" s="447" t="inlineStr">
        <is>
          <t>Boolean</t>
        </is>
      </c>
      <c r="CG49" s="429" t="n"/>
      <c r="CH49" s="429" t="n">
        <v>0</v>
      </c>
      <c r="CI49" s="451" t="n"/>
      <c r="DK49" s="429">
        <f>DK48+1</f>
        <v/>
      </c>
      <c r="DL49" s="430" t="inlineStr">
        <is>
          <t>Train Decoupling (TDB)</t>
        </is>
      </c>
      <c r="DM49" s="429" t="n"/>
      <c r="DN49" s="429" t="inlineStr">
        <is>
          <t>0/1</t>
        </is>
      </c>
      <c r="DO49" s="429" t="inlineStr">
        <is>
          <t>GUI</t>
        </is>
      </c>
      <c r="DP49" s="429" t="n"/>
      <c r="DQ49" s="429" t="n"/>
    </row>
    <row r="50" ht="21" customHeight="1">
      <c r="A50" s="429" t="n">
        <v>40</v>
      </c>
      <c r="B50" s="445" t="n"/>
      <c r="C50" s="446" t="inlineStr">
        <is>
          <t>Spare</t>
        </is>
      </c>
      <c r="D50" s="447" t="inlineStr">
        <is>
          <t>Boolean</t>
        </is>
      </c>
      <c r="E50" s="429" t="n"/>
      <c r="F50" s="429" t="n"/>
      <c r="G50" s="429" t="n"/>
      <c r="H50" s="429" t="n">
        <v>58</v>
      </c>
      <c r="I50" s="448" t="n"/>
      <c r="J50" s="448" t="n"/>
      <c r="K50" s="447" t="inlineStr">
        <is>
          <t>Boolean</t>
        </is>
      </c>
      <c r="L50" s="429" t="n"/>
      <c r="M50" s="429" t="n"/>
      <c r="N50" s="429" t="n"/>
      <c r="S50" s="451" t="n"/>
      <c r="T50" s="445" t="n"/>
      <c r="U50" s="445" t="inlineStr">
        <is>
          <t>Spare</t>
        </is>
      </c>
      <c r="V50" s="447" t="inlineStr">
        <is>
          <t>Boolean</t>
        </is>
      </c>
      <c r="W50" s="429" t="n"/>
      <c r="X50" s="450" t="n">
        <v>0</v>
      </c>
      <c r="Y50" s="451" t="n"/>
      <c r="Z50" s="429" t="n">
        <v>39</v>
      </c>
      <c r="AA50" s="448" t="n"/>
      <c r="AB50" s="448" t="n"/>
      <c r="AC50" s="447" t="inlineStr">
        <is>
          <t>Boolean</t>
        </is>
      </c>
      <c r="AD50" s="429" t="n"/>
      <c r="AE50" s="467" t="n"/>
      <c r="AF50" s="451" t="n"/>
      <c r="AH50" s="451" t="n"/>
      <c r="AI50" s="445" t="n"/>
      <c r="AJ50" s="446" t="inlineStr">
        <is>
          <t>Spare</t>
        </is>
      </c>
      <c r="AK50" s="447" t="inlineStr">
        <is>
          <t>Boolean</t>
        </is>
      </c>
      <c r="AL50" s="429" t="n"/>
      <c r="AM50" s="429" t="n">
        <v>0</v>
      </c>
      <c r="AN50" s="451" t="n"/>
      <c r="AO50" s="451" t="n"/>
      <c r="AP50" s="448" t="n"/>
      <c r="AQ50" s="456" t="inlineStr">
        <is>
          <t>Spare</t>
        </is>
      </c>
      <c r="AR50" s="447" t="inlineStr">
        <is>
          <t>Boolean</t>
        </is>
      </c>
      <c r="AS50" s="429" t="n"/>
      <c r="AT50" s="450" t="n"/>
      <c r="AU50" s="451" t="n"/>
      <c r="BE50" s="451" t="n"/>
      <c r="BF50" s="445" t="n"/>
      <c r="BG50" s="446" t="inlineStr">
        <is>
          <t>Spare</t>
        </is>
      </c>
      <c r="BH50" s="447" t="inlineStr">
        <is>
          <t>Boolean</t>
        </is>
      </c>
      <c r="BI50" s="429" t="n"/>
      <c r="BJ50" s="429" t="n">
        <v>0</v>
      </c>
      <c r="BK50" s="451" t="n"/>
      <c r="BL50" s="451" t="n"/>
      <c r="BM50" s="448" t="n"/>
      <c r="BN50" s="456" t="inlineStr">
        <is>
          <t>Spare</t>
        </is>
      </c>
      <c r="BO50" s="447" t="inlineStr">
        <is>
          <t>Boolean</t>
        </is>
      </c>
      <c r="BP50" s="429" t="n"/>
      <c r="BQ50" s="429" t="n">
        <v>0</v>
      </c>
      <c r="BR50" s="451" t="n"/>
      <c r="BV50" s="451" t="n"/>
      <c r="BW50" s="445" t="n"/>
      <c r="BX50" s="446" t="inlineStr">
        <is>
          <t>Spare</t>
        </is>
      </c>
      <c r="BY50" s="447" t="inlineStr">
        <is>
          <t>Boolean</t>
        </is>
      </c>
      <c r="BZ50" s="429" t="n"/>
      <c r="CA50" s="429" t="n">
        <v>0</v>
      </c>
      <c r="CB50" s="451" t="n"/>
      <c r="CC50" s="451" t="n"/>
      <c r="CD50" s="448" t="n"/>
      <c r="CE50" s="456" t="inlineStr">
        <is>
          <t>Spare</t>
        </is>
      </c>
      <c r="CF50" s="447" t="inlineStr">
        <is>
          <t>Boolean</t>
        </is>
      </c>
      <c r="CG50" s="429" t="n"/>
      <c r="CH50" s="429" t="n">
        <v>0</v>
      </c>
      <c r="CI50" s="451" t="n"/>
      <c r="DK50" s="429">
        <f>DK49+1</f>
        <v/>
      </c>
      <c r="DL50" s="430" t="inlineStr">
        <is>
          <t>Major brake Event Traction black Bypass (MJEBB)</t>
        </is>
      </c>
      <c r="DM50" s="429" t="n"/>
      <c r="DN50" s="429" t="inlineStr">
        <is>
          <t>0/1</t>
        </is>
      </c>
      <c r="DO50" s="429" t="inlineStr">
        <is>
          <t>GUI</t>
        </is>
      </c>
      <c r="DP50" s="429" t="n"/>
      <c r="DQ50" s="429" t="n"/>
    </row>
    <row r="51" ht="21" customHeight="1">
      <c r="A51" s="429" t="n">
        <v>41</v>
      </c>
      <c r="B51" s="445" t="n"/>
      <c r="C51" s="446" t="inlineStr">
        <is>
          <t>Spare</t>
        </is>
      </c>
      <c r="D51" s="447">
        <f>'LFD New'!D53</f>
        <v/>
      </c>
      <c r="E51" s="429" t="n"/>
      <c r="F51" s="429" t="n"/>
      <c r="G51" s="429" t="n"/>
      <c r="H51" s="429" t="n">
        <v>59</v>
      </c>
      <c r="I51" s="448">
        <f>Calculation!I51</f>
        <v/>
      </c>
      <c r="J51" s="448" t="n"/>
      <c r="K51" s="447" t="inlineStr">
        <is>
          <t>Boolean</t>
        </is>
      </c>
      <c r="M51" s="429" t="n"/>
      <c r="N51" s="429" t="n"/>
      <c r="S51" s="451" t="n"/>
      <c r="T51" s="445" t="n"/>
      <c r="U51" s="445" t="inlineStr">
        <is>
          <t>Spare</t>
        </is>
      </c>
      <c r="V51" s="447" t="inlineStr">
        <is>
          <t>Boolean</t>
        </is>
      </c>
      <c r="W51" s="429" t="n"/>
      <c r="X51" s="450" t="n">
        <v>0</v>
      </c>
      <c r="Y51" s="451" t="n"/>
      <c r="Z51" s="429" t="n">
        <v>40</v>
      </c>
      <c r="AA51" s="448" t="n"/>
      <c r="AB51" s="448" t="n"/>
      <c r="AC51" s="447" t="inlineStr">
        <is>
          <t>Boolean</t>
        </is>
      </c>
      <c r="AD51" s="429" t="n"/>
      <c r="AE51" s="450" t="n"/>
      <c r="AF51" s="451" t="n"/>
      <c r="AH51" s="451" t="n"/>
      <c r="AI51" s="445" t="n"/>
      <c r="AJ51" s="446" t="inlineStr">
        <is>
          <t>Spare</t>
        </is>
      </c>
      <c r="AK51" s="447" t="inlineStr">
        <is>
          <t>Boolean</t>
        </is>
      </c>
      <c r="AL51" s="429" t="n"/>
      <c r="AM51" s="429" t="n">
        <v>0</v>
      </c>
      <c r="AN51" s="451" t="n"/>
      <c r="AO51" s="451" t="n"/>
      <c r="AP51" s="448" t="n"/>
      <c r="AQ51" s="456" t="inlineStr">
        <is>
          <t>Spare</t>
        </is>
      </c>
      <c r="AR51" s="447" t="inlineStr">
        <is>
          <t>Boolean</t>
        </is>
      </c>
      <c r="AS51" s="429" t="n"/>
      <c r="AT51" s="450" t="n"/>
      <c r="AU51" s="451" t="n"/>
      <c r="BE51" s="451" t="n"/>
      <c r="BF51" s="445" t="n"/>
      <c r="BG51" s="446" t="inlineStr">
        <is>
          <t>Spare</t>
        </is>
      </c>
      <c r="BH51" s="447" t="inlineStr">
        <is>
          <t>Boolean</t>
        </is>
      </c>
      <c r="BI51" s="429" t="n"/>
      <c r="BJ51" s="429" t="n">
        <v>0</v>
      </c>
      <c r="BK51" s="451" t="n"/>
      <c r="BL51" s="451" t="n"/>
      <c r="BM51" s="448" t="n"/>
      <c r="BN51" s="456" t="inlineStr">
        <is>
          <t>Spare</t>
        </is>
      </c>
      <c r="BO51" s="447" t="inlineStr">
        <is>
          <t>Boolean</t>
        </is>
      </c>
      <c r="BP51" s="429" t="n"/>
      <c r="BQ51" s="429" t="n">
        <v>0</v>
      </c>
      <c r="BR51" s="451" t="n"/>
      <c r="BV51" s="451" t="n"/>
      <c r="BW51" s="445" t="n"/>
      <c r="BX51" s="446" t="inlineStr">
        <is>
          <t>Spare</t>
        </is>
      </c>
      <c r="BY51" s="447" t="inlineStr">
        <is>
          <t>Boolean</t>
        </is>
      </c>
      <c r="BZ51" s="429" t="n"/>
      <c r="CA51" s="429" t="n">
        <v>0</v>
      </c>
      <c r="CB51" s="451" t="n"/>
      <c r="CC51" s="451" t="n"/>
      <c r="CD51" s="448" t="n"/>
      <c r="CE51" s="456" t="inlineStr">
        <is>
          <t>Spare</t>
        </is>
      </c>
      <c r="CF51" s="447" t="inlineStr">
        <is>
          <t>Boolean</t>
        </is>
      </c>
      <c r="CG51" s="429" t="n"/>
      <c r="CH51" s="429" t="n">
        <v>0</v>
      </c>
      <c r="CI51" s="451" t="n"/>
      <c r="DK51" s="429">
        <f>DK50+1</f>
        <v/>
      </c>
      <c r="DL51" s="430" t="inlineStr">
        <is>
          <t>Major Fault Bypass</t>
        </is>
      </c>
      <c r="DM51" s="429" t="n"/>
      <c r="DN51" s="429" t="inlineStr">
        <is>
          <t>0/1</t>
        </is>
      </c>
      <c r="DO51" s="429" t="inlineStr">
        <is>
          <t>GUI</t>
        </is>
      </c>
      <c r="DP51" s="429" t="n"/>
      <c r="DQ51" s="429" t="n"/>
    </row>
    <row r="52" ht="21" customHeight="1">
      <c r="A52" s="429" t="n">
        <v>42</v>
      </c>
      <c r="B52" s="445" t="n"/>
      <c r="C52" s="446">
        <f>IF(OR('LFD New'!D6:D7),1,0)</f>
        <v/>
      </c>
      <c r="D52" s="447" t="inlineStr">
        <is>
          <t>Boolean</t>
        </is>
      </c>
      <c r="E52" s="429" t="n"/>
      <c r="F52" s="429" t="n"/>
      <c r="G52" s="429" t="n"/>
      <c r="H52" s="429" t="n">
        <v>60</v>
      </c>
      <c r="I52" s="448" t="n"/>
      <c r="J52" s="448" t="n"/>
      <c r="K52" s="447" t="inlineStr">
        <is>
          <t>Boolean</t>
        </is>
      </c>
      <c r="L52" s="429" t="n"/>
      <c r="M52" s="429" t="n"/>
      <c r="N52" s="429" t="n"/>
      <c r="S52" s="451" t="n"/>
      <c r="T52" s="445" t="n"/>
      <c r="U52" s="445" t="inlineStr">
        <is>
          <t>Spare</t>
        </is>
      </c>
      <c r="V52" s="447" t="inlineStr">
        <is>
          <t>Boolean</t>
        </is>
      </c>
      <c r="W52" s="429" t="n"/>
      <c r="X52" s="450" t="n">
        <v>0</v>
      </c>
      <c r="Y52" s="451" t="n"/>
      <c r="Z52" s="429" t="n">
        <v>41</v>
      </c>
      <c r="AA52" s="448" t="n"/>
      <c r="AB52" s="448" t="n"/>
      <c r="AC52" s="447" t="inlineStr">
        <is>
          <t>Boolean</t>
        </is>
      </c>
      <c r="AD52" s="429" t="n"/>
      <c r="AE52" s="450">
        <f>Calculation!B36</f>
        <v/>
      </c>
      <c r="AF52" s="451" t="n"/>
      <c r="AH52" s="451" t="n"/>
      <c r="AI52" s="445" t="n"/>
      <c r="AJ52" s="446" t="inlineStr">
        <is>
          <t>Spare</t>
        </is>
      </c>
      <c r="AK52" s="447" t="inlineStr">
        <is>
          <t>Boolean</t>
        </is>
      </c>
      <c r="AL52" s="429" t="n"/>
      <c r="AM52" s="429" t="n">
        <v>0</v>
      </c>
      <c r="AN52" s="451" t="n"/>
      <c r="AO52" s="451" t="n"/>
      <c r="AP52" s="448" t="n"/>
      <c r="AQ52" s="456" t="inlineStr">
        <is>
          <t>Spare</t>
        </is>
      </c>
      <c r="AR52" s="447" t="inlineStr">
        <is>
          <t>Boolean</t>
        </is>
      </c>
      <c r="AS52" s="429" t="n"/>
      <c r="AT52" s="450" t="n"/>
      <c r="AU52" s="451" t="n"/>
      <c r="BE52" s="451" t="n"/>
      <c r="BF52" s="445" t="n"/>
      <c r="BG52" s="446" t="inlineStr">
        <is>
          <t>Spare</t>
        </is>
      </c>
      <c r="BH52" s="447" t="inlineStr">
        <is>
          <t>Boolean</t>
        </is>
      </c>
      <c r="BI52" s="429" t="n"/>
      <c r="BJ52" s="429" t="n">
        <v>0</v>
      </c>
      <c r="BK52" s="451" t="n"/>
      <c r="BL52" s="451" t="n"/>
      <c r="BM52" s="448" t="n"/>
      <c r="BN52" s="456" t="inlineStr">
        <is>
          <t>Spare</t>
        </is>
      </c>
      <c r="BO52" s="447" t="inlineStr">
        <is>
          <t>Boolean</t>
        </is>
      </c>
      <c r="BP52" s="429" t="n"/>
      <c r="BQ52" s="429" t="n">
        <v>0</v>
      </c>
      <c r="BR52" s="451" t="n"/>
      <c r="BV52" s="451" t="n"/>
      <c r="BW52" s="445" t="n"/>
      <c r="BX52" s="446" t="inlineStr">
        <is>
          <t>Spare</t>
        </is>
      </c>
      <c r="BY52" s="447" t="inlineStr">
        <is>
          <t>Boolean</t>
        </is>
      </c>
      <c r="BZ52" s="429" t="n"/>
      <c r="CA52" s="429" t="n">
        <v>0</v>
      </c>
      <c r="CB52" s="451" t="n"/>
      <c r="CC52" s="451" t="n"/>
      <c r="CD52" s="448" t="n"/>
      <c r="CE52" s="456" t="inlineStr">
        <is>
          <t>Spare</t>
        </is>
      </c>
      <c r="CF52" s="447" t="inlineStr">
        <is>
          <t>Boolean</t>
        </is>
      </c>
      <c r="CG52" s="429" t="n"/>
      <c r="CH52" s="429" t="n">
        <v>0</v>
      </c>
      <c r="CI52" s="451" t="n"/>
      <c r="DK52" s="429">
        <f>DK51+1</f>
        <v/>
      </c>
      <c r="DL52" s="430" t="inlineStr">
        <is>
          <t>CAB CONTROL 3</t>
        </is>
      </c>
      <c r="DM52" s="429" t="n"/>
      <c r="DN52" s="429" t="inlineStr">
        <is>
          <t>0/1</t>
        </is>
      </c>
      <c r="DO52" s="429" t="inlineStr">
        <is>
          <t>GUI</t>
        </is>
      </c>
      <c r="DP52" s="429" t="n"/>
      <c r="DQ52" s="429" t="n"/>
    </row>
    <row r="53" ht="21" customHeight="1">
      <c r="A53" s="429" t="n">
        <v>43</v>
      </c>
      <c r="B53" s="445" t="n"/>
      <c r="C53" s="446" t="inlineStr">
        <is>
          <t>Spare</t>
        </is>
      </c>
      <c r="D53" s="447" t="inlineStr">
        <is>
          <t>Boolean</t>
        </is>
      </c>
      <c r="E53" s="429" t="n"/>
      <c r="F53" s="429" t="n"/>
      <c r="G53" s="429" t="n"/>
      <c r="H53" s="429" t="n">
        <v>61</v>
      </c>
      <c r="I53" s="448" t="n"/>
      <c r="J53" s="448" t="n"/>
      <c r="K53" s="447" t="inlineStr">
        <is>
          <t>Boolean</t>
        </is>
      </c>
      <c r="L53" s="429" t="n"/>
      <c r="M53" s="429" t="n"/>
      <c r="N53" s="429" t="n"/>
      <c r="S53" s="451" t="n"/>
      <c r="T53" s="445" t="n"/>
      <c r="U53" s="445" t="inlineStr">
        <is>
          <t>Spare</t>
        </is>
      </c>
      <c r="V53" s="447" t="inlineStr">
        <is>
          <t>Boolean</t>
        </is>
      </c>
      <c r="W53" s="429" t="n"/>
      <c r="X53" s="450" t="n">
        <v>0</v>
      </c>
      <c r="Y53" s="451" t="n"/>
      <c r="Z53" s="429" t="n">
        <v>42</v>
      </c>
      <c r="AA53" s="448" t="n"/>
      <c r="AB53" s="448" t="n"/>
      <c r="AC53" s="447" t="inlineStr">
        <is>
          <t>Boolean</t>
        </is>
      </c>
      <c r="AD53" s="429" t="n"/>
      <c r="AE53" s="450" t="n"/>
      <c r="AF53" s="451" t="n"/>
      <c r="AH53" s="451" t="n"/>
      <c r="AI53" s="445" t="n"/>
      <c r="AJ53" s="446" t="inlineStr">
        <is>
          <t>Spare</t>
        </is>
      </c>
      <c r="AK53" s="447" t="inlineStr">
        <is>
          <t>Boolean</t>
        </is>
      </c>
      <c r="AL53" s="429" t="n"/>
      <c r="AM53" s="429" t="n">
        <v>0</v>
      </c>
      <c r="AN53" s="451" t="n"/>
      <c r="AO53" s="451" t="n"/>
      <c r="AP53" s="448" t="n"/>
      <c r="AQ53" s="456" t="inlineStr">
        <is>
          <t>Spare</t>
        </is>
      </c>
      <c r="AR53" s="447" t="inlineStr">
        <is>
          <t>Boolean</t>
        </is>
      </c>
      <c r="AS53" s="429" t="n"/>
      <c r="AT53" s="450" t="n"/>
      <c r="AU53" s="451" t="n"/>
      <c r="BE53" s="451" t="n"/>
      <c r="BF53" s="445" t="n"/>
      <c r="BG53" s="446" t="inlineStr">
        <is>
          <t>Spare</t>
        </is>
      </c>
      <c r="BH53" s="447" t="inlineStr">
        <is>
          <t>Boolean</t>
        </is>
      </c>
      <c r="BI53" s="429" t="n"/>
      <c r="BJ53" s="429" t="n">
        <v>0</v>
      </c>
      <c r="BK53" s="451" t="n"/>
      <c r="BL53" s="451" t="n"/>
      <c r="BM53" s="448" t="n"/>
      <c r="BN53" s="456" t="inlineStr">
        <is>
          <t>Spare</t>
        </is>
      </c>
      <c r="BO53" s="447" t="inlineStr">
        <is>
          <t>Boolean</t>
        </is>
      </c>
      <c r="BP53" s="429" t="n"/>
      <c r="BQ53" s="429" t="n">
        <v>0</v>
      </c>
      <c r="BR53" s="451" t="n"/>
      <c r="BV53" s="451" t="n"/>
      <c r="BW53" s="445" t="n"/>
      <c r="BX53" s="446" t="inlineStr">
        <is>
          <t>Spare</t>
        </is>
      </c>
      <c r="BY53" s="447" t="inlineStr">
        <is>
          <t>Boolean</t>
        </is>
      </c>
      <c r="BZ53" s="429" t="n"/>
      <c r="CA53" s="429" t="n">
        <v>0</v>
      </c>
      <c r="CB53" s="451" t="n"/>
      <c r="CC53" s="451" t="n"/>
      <c r="CD53" s="448" t="n"/>
      <c r="CE53" s="456" t="inlineStr">
        <is>
          <t>Spare</t>
        </is>
      </c>
      <c r="CF53" s="447" t="inlineStr">
        <is>
          <t>Boolean</t>
        </is>
      </c>
      <c r="CG53" s="429" t="n"/>
      <c r="CH53" s="429" t="n">
        <v>0</v>
      </c>
      <c r="CI53" s="451" t="n"/>
      <c r="DK53" s="429">
        <f>DK52+1</f>
        <v/>
      </c>
      <c r="DL53" s="430" t="inlineStr">
        <is>
          <t>MASTER CONTROLLER TL</t>
        </is>
      </c>
      <c r="DM53" s="429" t="n"/>
      <c r="DN53" s="429" t="inlineStr">
        <is>
          <t>0/1</t>
        </is>
      </c>
      <c r="DO53" s="429" t="inlineStr">
        <is>
          <t>GUI</t>
        </is>
      </c>
      <c r="DP53" s="429" t="n"/>
      <c r="DQ53" s="429" t="n"/>
    </row>
    <row r="54" ht="21" customHeight="1">
      <c r="A54" s="429" t="n">
        <v>44</v>
      </c>
      <c r="B54" s="445" t="n"/>
      <c r="C54" s="446" t="inlineStr">
        <is>
          <t>Spare</t>
        </is>
      </c>
      <c r="D54" s="447" t="inlineStr">
        <is>
          <t>Boolean</t>
        </is>
      </c>
      <c r="E54" s="429" t="n"/>
      <c r="F54" s="429" t="n"/>
      <c r="G54" s="429" t="n"/>
      <c r="H54" s="429" t="n">
        <v>62</v>
      </c>
      <c r="I54" s="448" t="n"/>
      <c r="J54" s="448" t="n"/>
      <c r="K54" s="447" t="inlineStr">
        <is>
          <t>Boolean</t>
        </is>
      </c>
      <c r="L54" s="429" t="n"/>
      <c r="M54" s="429" t="n"/>
      <c r="N54" s="429" t="n"/>
      <c r="S54" s="451" t="n"/>
      <c r="T54" s="445" t="n"/>
      <c r="U54" s="445" t="inlineStr">
        <is>
          <t>Spare</t>
        </is>
      </c>
      <c r="V54" s="447" t="inlineStr">
        <is>
          <t>Boolean</t>
        </is>
      </c>
      <c r="W54" s="429" t="n"/>
      <c r="X54" s="450" t="n">
        <v>0</v>
      </c>
      <c r="Y54" s="451" t="n"/>
      <c r="Z54" s="429" t="n">
        <v>43</v>
      </c>
      <c r="AA54" s="448" t="n"/>
      <c r="AB54" s="448" t="n"/>
      <c r="AC54" s="447" t="inlineStr">
        <is>
          <t>Boolean</t>
        </is>
      </c>
      <c r="AD54" s="429" t="n"/>
      <c r="AE54" s="450" t="n"/>
      <c r="AF54" s="451" t="n"/>
      <c r="AH54" s="451" t="n"/>
      <c r="AI54" s="445" t="n"/>
      <c r="AJ54" s="446" t="inlineStr">
        <is>
          <t>Spare</t>
        </is>
      </c>
      <c r="AK54" s="447" t="inlineStr">
        <is>
          <t>Boolean</t>
        </is>
      </c>
      <c r="AL54" s="429" t="n"/>
      <c r="AM54" s="429" t="n">
        <v>0</v>
      </c>
      <c r="AN54" s="451" t="n"/>
      <c r="AO54" s="451" t="n"/>
      <c r="AP54" s="448" t="n"/>
      <c r="AQ54" s="456" t="inlineStr">
        <is>
          <t>Spare</t>
        </is>
      </c>
      <c r="AR54" s="447" t="inlineStr">
        <is>
          <t>Boolean</t>
        </is>
      </c>
      <c r="AS54" s="429" t="n"/>
      <c r="AT54" s="450" t="n"/>
      <c r="AU54" s="451" t="n"/>
      <c r="BE54" s="451" t="n"/>
      <c r="BF54" s="445" t="n"/>
      <c r="BG54" s="446" t="inlineStr">
        <is>
          <t>Spare</t>
        </is>
      </c>
      <c r="BH54" s="447" t="inlineStr">
        <is>
          <t>Boolean</t>
        </is>
      </c>
      <c r="BI54" s="429" t="n"/>
      <c r="BJ54" s="429" t="n">
        <v>0</v>
      </c>
      <c r="BK54" s="451" t="n"/>
      <c r="BL54" s="451" t="n"/>
      <c r="BM54" s="448" t="n"/>
      <c r="BN54" s="456" t="inlineStr">
        <is>
          <t>Spare</t>
        </is>
      </c>
      <c r="BO54" s="447" t="inlineStr">
        <is>
          <t>Boolean</t>
        </is>
      </c>
      <c r="BP54" s="429" t="n"/>
      <c r="BQ54" s="429" t="n">
        <v>0</v>
      </c>
      <c r="BR54" s="451" t="n"/>
      <c r="BV54" s="451" t="n"/>
      <c r="BW54" s="445" t="n"/>
      <c r="BX54" s="446" t="inlineStr">
        <is>
          <t>Spare</t>
        </is>
      </c>
      <c r="BY54" s="447" t="inlineStr">
        <is>
          <t>Boolean</t>
        </is>
      </c>
      <c r="BZ54" s="429" t="n"/>
      <c r="CA54" s="429" t="n">
        <v>0</v>
      </c>
      <c r="CB54" s="451" t="n"/>
      <c r="CC54" s="451" t="n"/>
      <c r="CD54" s="448" t="n"/>
      <c r="CE54" s="456" t="inlineStr">
        <is>
          <t>Spare</t>
        </is>
      </c>
      <c r="CF54" s="447" t="inlineStr">
        <is>
          <t>Boolean</t>
        </is>
      </c>
      <c r="CG54" s="429" t="n"/>
      <c r="CH54" s="429" t="n">
        <v>0</v>
      </c>
      <c r="CI54" s="451" t="n"/>
      <c r="DK54" s="429">
        <f>DK53+1</f>
        <v/>
      </c>
      <c r="DL54" s="430" t="inlineStr">
        <is>
          <t>MASTER CONTROLLER TL1</t>
        </is>
      </c>
      <c r="DM54" s="429" t="n"/>
      <c r="DN54" s="429" t="inlineStr">
        <is>
          <t>0/1</t>
        </is>
      </c>
      <c r="DO54" s="429" t="inlineStr">
        <is>
          <t>GUI</t>
        </is>
      </c>
      <c r="DP54" s="429" t="n"/>
      <c r="DQ54" s="429" t="n"/>
    </row>
    <row r="55" ht="21" customHeight="1">
      <c r="A55" s="429" t="n">
        <v>45</v>
      </c>
      <c r="B55" s="445" t="n"/>
      <c r="C55" s="446" t="inlineStr">
        <is>
          <t>Spare</t>
        </is>
      </c>
      <c r="D55" s="447" t="inlineStr">
        <is>
          <t>Boolean</t>
        </is>
      </c>
      <c r="E55" s="429" t="n"/>
      <c r="F55" s="429" t="n"/>
      <c r="G55" s="429" t="n"/>
      <c r="H55" s="429" t="n">
        <v>63</v>
      </c>
      <c r="I55" s="448" t="n"/>
      <c r="J55" s="448" t="n"/>
      <c r="K55" s="447" t="inlineStr">
        <is>
          <t>String</t>
        </is>
      </c>
      <c r="L55" s="429" t="n"/>
      <c r="M55" s="429" t="n"/>
      <c r="N55" s="429" t="n"/>
      <c r="S55" s="451" t="n"/>
      <c r="T55" s="445" t="n"/>
      <c r="U55" s="445" t="inlineStr">
        <is>
          <t>Spare</t>
        </is>
      </c>
      <c r="V55" s="447" t="inlineStr">
        <is>
          <t>String</t>
        </is>
      </c>
      <c r="W55" s="429" t="n"/>
      <c r="X55" s="450" t="n">
        <v>0</v>
      </c>
      <c r="Y55" s="451" t="n"/>
      <c r="Z55" s="429" t="n">
        <v>44</v>
      </c>
      <c r="AA55" s="448" t="n"/>
      <c r="AB55" s="448" t="n"/>
      <c r="AC55" s="447" t="inlineStr">
        <is>
          <t>String</t>
        </is>
      </c>
      <c r="AD55" s="429" t="n"/>
      <c r="AE55" s="450" t="n"/>
      <c r="AF55" s="451" t="n"/>
      <c r="AH55" s="451" t="n"/>
      <c r="AI55" s="445" t="n"/>
      <c r="AJ55" s="446" t="inlineStr">
        <is>
          <t>Spare</t>
        </is>
      </c>
      <c r="AK55" s="447" t="inlineStr">
        <is>
          <t>String</t>
        </is>
      </c>
      <c r="AL55" s="429" t="n"/>
      <c r="AM55" s="429" t="n">
        <v>0</v>
      </c>
      <c r="AN55" s="451" t="n"/>
      <c r="AO55" s="451" t="n"/>
      <c r="AP55" s="448" t="n"/>
      <c r="AQ55" s="456" t="inlineStr">
        <is>
          <t>Spare</t>
        </is>
      </c>
      <c r="AR55" s="447" t="inlineStr">
        <is>
          <t>Boolean</t>
        </is>
      </c>
      <c r="AS55" s="429" t="n"/>
      <c r="AT55" s="450" t="n"/>
      <c r="AU55" s="451" t="n"/>
      <c r="BE55" s="451" t="n"/>
      <c r="BF55" s="445" t="n"/>
      <c r="BG55" s="446" t="inlineStr">
        <is>
          <t>Spare</t>
        </is>
      </c>
      <c r="BH55" s="447" t="inlineStr">
        <is>
          <t>String</t>
        </is>
      </c>
      <c r="BI55" s="429" t="n"/>
      <c r="BJ55" s="429" t="n">
        <v>0</v>
      </c>
      <c r="BK55" s="451" t="n"/>
      <c r="BL55" s="451" t="n"/>
      <c r="BM55" s="448" t="n"/>
      <c r="BN55" s="456" t="inlineStr">
        <is>
          <t>Spare</t>
        </is>
      </c>
      <c r="BO55" s="447" t="inlineStr">
        <is>
          <t>String</t>
        </is>
      </c>
      <c r="BP55" s="429" t="n"/>
      <c r="BQ55" s="429" t="n">
        <v>0</v>
      </c>
      <c r="BR55" s="451" t="n"/>
      <c r="BV55" s="451" t="n"/>
      <c r="BW55" s="445" t="n"/>
      <c r="BX55" s="446" t="inlineStr">
        <is>
          <t>Spare</t>
        </is>
      </c>
      <c r="BY55" s="447" t="inlineStr">
        <is>
          <t>String</t>
        </is>
      </c>
      <c r="BZ55" s="429" t="n"/>
      <c r="CA55" s="429" t="n">
        <v>0</v>
      </c>
      <c r="CB55" s="451" t="n"/>
      <c r="CC55" s="451" t="n"/>
      <c r="CD55" s="448" t="n"/>
      <c r="CE55" s="456" t="inlineStr">
        <is>
          <t>Spare</t>
        </is>
      </c>
      <c r="CF55" s="447" t="inlineStr">
        <is>
          <t>String</t>
        </is>
      </c>
      <c r="CG55" s="429" t="n"/>
      <c r="CH55" s="429" t="n">
        <v>0</v>
      </c>
      <c r="CI55" s="451" t="n"/>
      <c r="DK55" s="429">
        <f>DK54+1</f>
        <v/>
      </c>
      <c r="DL55" s="430" t="inlineStr">
        <is>
          <t>BRAKE MAJOR EVENT</t>
        </is>
      </c>
      <c r="DM55" s="429" t="n"/>
      <c r="DN55" s="429" t="inlineStr">
        <is>
          <t>0/1</t>
        </is>
      </c>
      <c r="DO55" s="429" t="inlineStr">
        <is>
          <t>GUI</t>
        </is>
      </c>
      <c r="DP55" s="429" t="n"/>
      <c r="DQ55" s="429" t="n"/>
    </row>
    <row r="56" ht="21" customHeight="1">
      <c r="A56" s="429" t="n">
        <v>46</v>
      </c>
      <c r="B56" s="445" t="n"/>
      <c r="C56" s="446" t="inlineStr">
        <is>
          <t>Spare</t>
        </is>
      </c>
      <c r="D56" s="447" t="inlineStr">
        <is>
          <t>Boolean</t>
        </is>
      </c>
      <c r="E56" s="429" t="n"/>
      <c r="F56" s="429" t="n"/>
      <c r="G56" s="429" t="n"/>
      <c r="H56" s="429">
        <f>Calculation!I51</f>
        <v/>
      </c>
      <c r="I56" s="448" t="n"/>
      <c r="J56" s="448" t="n"/>
      <c r="K56" s="447" t="inlineStr">
        <is>
          <t>String</t>
        </is>
      </c>
      <c r="L56" s="429" t="n"/>
      <c r="M56" s="429" t="n"/>
      <c r="N56" s="429" t="n"/>
      <c r="S56" s="451" t="n"/>
      <c r="T56" s="445" t="n"/>
      <c r="U56" s="445" t="inlineStr">
        <is>
          <t>Spare</t>
        </is>
      </c>
      <c r="V56" s="447" t="inlineStr">
        <is>
          <t>String</t>
        </is>
      </c>
      <c r="W56" s="429" t="n"/>
      <c r="X56" s="450" t="n">
        <v>0</v>
      </c>
      <c r="Y56" s="451" t="n"/>
      <c r="Z56" s="429" t="n">
        <v>45</v>
      </c>
      <c r="AA56" s="448" t="n"/>
      <c r="AB56" s="448" t="n"/>
      <c r="AC56" s="447" t="inlineStr">
        <is>
          <t>String</t>
        </is>
      </c>
      <c r="AD56" s="429" t="n"/>
      <c r="AE56" s="450" t="n"/>
      <c r="AF56" s="451" t="n"/>
      <c r="AH56" s="451" t="n"/>
      <c r="AI56" s="445" t="n"/>
      <c r="AJ56" s="446" t="inlineStr">
        <is>
          <t>Spare</t>
        </is>
      </c>
      <c r="AK56" s="447" t="inlineStr">
        <is>
          <t>String</t>
        </is>
      </c>
      <c r="AL56" s="429" t="n"/>
      <c r="AM56" s="429" t="n">
        <v>0</v>
      </c>
      <c r="AN56" s="451" t="n"/>
      <c r="AO56" s="451" t="n"/>
      <c r="AP56" s="448" t="n"/>
      <c r="AQ56" s="456" t="inlineStr">
        <is>
          <t>Spare</t>
        </is>
      </c>
      <c r="AR56" s="447" t="inlineStr">
        <is>
          <t>Boolean</t>
        </is>
      </c>
      <c r="AS56" s="429" t="n"/>
      <c r="AT56" s="450" t="n"/>
      <c r="AU56" s="451" t="n"/>
      <c r="BE56" s="451" t="n"/>
      <c r="BF56" s="445" t="n"/>
      <c r="BG56" s="446" t="inlineStr">
        <is>
          <t>Spare</t>
        </is>
      </c>
      <c r="BH56" s="447" t="inlineStr">
        <is>
          <t>String</t>
        </is>
      </c>
      <c r="BI56" s="429" t="n"/>
      <c r="BJ56" s="429" t="n">
        <v>0</v>
      </c>
      <c r="BK56" s="451" t="n"/>
      <c r="BL56" s="451" t="n"/>
      <c r="BM56" s="448" t="n"/>
      <c r="BN56" s="456" t="inlineStr">
        <is>
          <t>Spare</t>
        </is>
      </c>
      <c r="BO56" s="447" t="inlineStr">
        <is>
          <t>String</t>
        </is>
      </c>
      <c r="BP56" s="429" t="n"/>
      <c r="BQ56" s="429" t="n">
        <v>0</v>
      </c>
      <c r="BR56" s="451" t="n"/>
      <c r="BV56" s="451" t="n"/>
      <c r="BW56" s="445" t="n"/>
      <c r="BX56" s="446" t="inlineStr">
        <is>
          <t>Spare</t>
        </is>
      </c>
      <c r="BY56" s="447" t="inlineStr">
        <is>
          <t>String</t>
        </is>
      </c>
      <c r="BZ56" s="429" t="n"/>
      <c r="CA56" s="429" t="n">
        <v>0</v>
      </c>
      <c r="CB56" s="451" t="n"/>
      <c r="CC56" s="451" t="n"/>
      <c r="CD56" s="448" t="n"/>
      <c r="CE56" s="456" t="inlineStr">
        <is>
          <t>Spare</t>
        </is>
      </c>
      <c r="CF56" s="447" t="inlineStr">
        <is>
          <t>String</t>
        </is>
      </c>
      <c r="CG56" s="429" t="n"/>
      <c r="CH56" s="429" t="n">
        <v>0</v>
      </c>
      <c r="CI56" s="451" t="n"/>
      <c r="DK56" s="429">
        <f>DK55+1</f>
        <v/>
      </c>
      <c r="DL56" s="430" t="inlineStr">
        <is>
          <t>PROPULSION ENABLE CONTROL</t>
        </is>
      </c>
      <c r="DM56" s="429" t="n"/>
      <c r="DN56" s="429" t="inlineStr">
        <is>
          <t>0/1</t>
        </is>
      </c>
      <c r="DO56" s="429" t="inlineStr">
        <is>
          <t>GUI</t>
        </is>
      </c>
      <c r="DP56" s="429" t="n"/>
      <c r="DQ56" s="429" t="n"/>
    </row>
    <row r="57" ht="21" customHeight="1">
      <c r="A57" s="429" t="n">
        <v>47</v>
      </c>
      <c r="B57" s="445" t="n"/>
      <c r="C57" s="446" t="inlineStr">
        <is>
          <t>Spare</t>
        </is>
      </c>
      <c r="D57" s="447" t="inlineStr">
        <is>
          <t>Boolean</t>
        </is>
      </c>
      <c r="E57" s="429" t="n"/>
      <c r="F57" s="429" t="n"/>
      <c r="G57" s="429" t="n"/>
      <c r="H57" s="429" t="n">
        <v>65</v>
      </c>
      <c r="I57" s="448" t="n"/>
      <c r="J57" s="448" t="n"/>
      <c r="K57" s="447" t="inlineStr">
        <is>
          <t>String</t>
        </is>
      </c>
      <c r="L57" s="429" t="n"/>
      <c r="M57" s="429" t="n"/>
      <c r="N57" s="429" t="n"/>
      <c r="S57" s="451" t="n"/>
      <c r="T57" s="445" t="n"/>
      <c r="U57" s="445" t="inlineStr">
        <is>
          <t>Spare</t>
        </is>
      </c>
      <c r="V57" s="447" t="inlineStr">
        <is>
          <t>String</t>
        </is>
      </c>
      <c r="W57" s="429" t="n"/>
      <c r="X57" s="450" t="n">
        <v>0</v>
      </c>
      <c r="Y57" s="451" t="n"/>
      <c r="Z57" s="429" t="n">
        <v>46</v>
      </c>
      <c r="AA57" s="448" t="n"/>
      <c r="AB57" s="448" t="n"/>
      <c r="AC57" s="447" t="inlineStr">
        <is>
          <t>String</t>
        </is>
      </c>
      <c r="AD57" s="429" t="n"/>
      <c r="AE57" s="450" t="n"/>
      <c r="AF57" s="451" t="n"/>
      <c r="AH57" s="451" t="n"/>
      <c r="AI57" s="445" t="n"/>
      <c r="AJ57" s="446" t="inlineStr">
        <is>
          <t>Spare</t>
        </is>
      </c>
      <c r="AK57" s="447" t="inlineStr">
        <is>
          <t>String</t>
        </is>
      </c>
      <c r="AL57" s="429" t="n"/>
      <c r="AM57" s="429" t="n">
        <v>0</v>
      </c>
      <c r="AN57" s="451" t="n"/>
      <c r="AO57" s="451" t="n"/>
      <c r="AP57" s="448" t="n"/>
      <c r="AQ57" s="456" t="inlineStr">
        <is>
          <t>Spare</t>
        </is>
      </c>
      <c r="AR57" s="447" t="inlineStr">
        <is>
          <t>Boolean</t>
        </is>
      </c>
      <c r="AS57" s="429" t="n"/>
      <c r="AT57" s="450" t="n"/>
      <c r="AU57" s="451" t="n"/>
      <c r="BE57" s="451" t="n"/>
      <c r="BF57" s="445" t="n"/>
      <c r="BG57" s="446" t="inlineStr">
        <is>
          <t>Spare</t>
        </is>
      </c>
      <c r="BH57" s="447" t="inlineStr">
        <is>
          <t>String</t>
        </is>
      </c>
      <c r="BI57" s="429" t="n"/>
      <c r="BJ57" s="429" t="n">
        <v>0</v>
      </c>
      <c r="BK57" s="451" t="n"/>
      <c r="BL57" s="451" t="n"/>
      <c r="BM57" s="448" t="n"/>
      <c r="BN57" s="456" t="inlineStr">
        <is>
          <t>Spare</t>
        </is>
      </c>
      <c r="BO57" s="447" t="inlineStr">
        <is>
          <t>String</t>
        </is>
      </c>
      <c r="BP57" s="429" t="n"/>
      <c r="BQ57" s="429" t="n">
        <v>0</v>
      </c>
      <c r="BR57" s="451" t="n"/>
      <c r="BV57" s="451" t="n"/>
      <c r="BW57" s="445" t="n"/>
      <c r="BX57" s="446" t="inlineStr">
        <is>
          <t>Spare</t>
        </is>
      </c>
      <c r="BY57" s="447" t="inlineStr">
        <is>
          <t>String</t>
        </is>
      </c>
      <c r="BZ57" s="429" t="n"/>
      <c r="CA57" s="429" t="n">
        <v>0</v>
      </c>
      <c r="CB57" s="451" t="n"/>
      <c r="CC57" s="451" t="n"/>
      <c r="CD57" s="448" t="n"/>
      <c r="CE57" s="456" t="inlineStr">
        <is>
          <t>Spare</t>
        </is>
      </c>
      <c r="CF57" s="447" t="inlineStr">
        <is>
          <t>String</t>
        </is>
      </c>
      <c r="CG57" s="429" t="n"/>
      <c r="CH57" s="429" t="n">
        <v>0</v>
      </c>
      <c r="CI57" s="451" t="n"/>
      <c r="DK57" s="429">
        <f>DK56+1</f>
        <v/>
      </c>
      <c r="DL57" s="430" t="inlineStr">
        <is>
          <t>PROPULSION ENABLE DI</t>
        </is>
      </c>
      <c r="DM57" s="429" t="n"/>
      <c r="DN57" s="429" t="inlineStr">
        <is>
          <t>0/1</t>
        </is>
      </c>
      <c r="DO57" s="429" t="inlineStr">
        <is>
          <t>GUI</t>
        </is>
      </c>
      <c r="DP57" s="429" t="n"/>
      <c r="DQ57" s="429" t="n"/>
    </row>
    <row r="58" ht="21" customHeight="1">
      <c r="A58" s="429" t="n">
        <v>48</v>
      </c>
      <c r="B58" s="445" t="n"/>
      <c r="C58" s="446" t="inlineStr">
        <is>
          <t>Spare</t>
        </is>
      </c>
      <c r="D58" s="447" t="inlineStr">
        <is>
          <t>Boolean</t>
        </is>
      </c>
      <c r="E58" s="429" t="n"/>
      <c r="F58" s="429" t="n"/>
      <c r="G58" s="429" t="n"/>
      <c r="H58" s="429" t="n">
        <v>66</v>
      </c>
      <c r="I58" s="448" t="n"/>
      <c r="J58" s="448" t="n"/>
      <c r="K58" s="447" t="inlineStr">
        <is>
          <t>String</t>
        </is>
      </c>
      <c r="L58" s="429" t="n"/>
      <c r="M58" s="429" t="n"/>
      <c r="N58" s="429" t="n"/>
      <c r="S58" s="451" t="n"/>
      <c r="T58" s="445" t="n"/>
      <c r="U58" s="445" t="inlineStr">
        <is>
          <t>Spare</t>
        </is>
      </c>
      <c r="V58" s="447" t="inlineStr">
        <is>
          <t>String</t>
        </is>
      </c>
      <c r="W58" s="429" t="n"/>
      <c r="X58" s="450" t="n">
        <v>0</v>
      </c>
      <c r="Y58" s="451" t="n"/>
      <c r="Z58" s="429" t="n">
        <v>47</v>
      </c>
      <c r="AA58" s="448" t="n"/>
      <c r="AB58" s="448" t="n"/>
      <c r="AC58" s="447" t="inlineStr">
        <is>
          <t>String</t>
        </is>
      </c>
      <c r="AD58" s="429" t="n"/>
      <c r="AE58" s="450" t="n"/>
      <c r="AF58" s="451" t="n"/>
      <c r="AH58" s="451" t="n"/>
      <c r="AI58" s="445" t="n"/>
      <c r="AJ58" s="446" t="inlineStr">
        <is>
          <t>Spare</t>
        </is>
      </c>
      <c r="AK58" s="447" t="inlineStr">
        <is>
          <t>String</t>
        </is>
      </c>
      <c r="AL58" s="429" t="n"/>
      <c r="AM58" s="429" t="n">
        <v>0</v>
      </c>
      <c r="AN58" s="451" t="n"/>
      <c r="AO58" s="451" t="n"/>
      <c r="AP58" s="448" t="n"/>
      <c r="AQ58" s="456" t="inlineStr">
        <is>
          <t>Spare</t>
        </is>
      </c>
      <c r="AR58" s="447" t="inlineStr">
        <is>
          <t>Boolean</t>
        </is>
      </c>
      <c r="AS58" s="429" t="n"/>
      <c r="AT58" s="450" t="n"/>
      <c r="AU58" s="451" t="n"/>
      <c r="BE58" s="451" t="n"/>
      <c r="BF58" s="445" t="n"/>
      <c r="BG58" s="446" t="inlineStr">
        <is>
          <t>Spare</t>
        </is>
      </c>
      <c r="BH58" s="447" t="inlineStr">
        <is>
          <t>String</t>
        </is>
      </c>
      <c r="BI58" s="429" t="n"/>
      <c r="BJ58" s="429" t="n">
        <v>0</v>
      </c>
      <c r="BK58" s="451" t="n"/>
      <c r="BL58" s="451" t="n"/>
      <c r="BM58" s="448" t="n"/>
      <c r="BN58" s="456" t="inlineStr">
        <is>
          <t>Spare</t>
        </is>
      </c>
      <c r="BO58" s="447" t="inlineStr">
        <is>
          <t>String</t>
        </is>
      </c>
      <c r="BP58" s="429" t="n"/>
      <c r="BQ58" s="429" t="n">
        <v>0</v>
      </c>
      <c r="BR58" s="451" t="n"/>
      <c r="BV58" s="451" t="n"/>
      <c r="BW58" s="445" t="n"/>
      <c r="BX58" s="446" t="inlineStr">
        <is>
          <t>Spare</t>
        </is>
      </c>
      <c r="BY58" s="447" t="inlineStr">
        <is>
          <t>String</t>
        </is>
      </c>
      <c r="BZ58" s="429" t="n"/>
      <c r="CA58" s="429" t="n">
        <v>0</v>
      </c>
      <c r="CB58" s="451" t="n"/>
      <c r="CC58" s="451" t="n"/>
      <c r="CD58" s="448" t="n"/>
      <c r="CE58" s="456" t="inlineStr">
        <is>
          <t>Spare</t>
        </is>
      </c>
      <c r="CF58" s="447" t="inlineStr">
        <is>
          <t>String</t>
        </is>
      </c>
      <c r="CG58" s="429" t="n"/>
      <c r="CH58" s="429" t="n">
        <v>0</v>
      </c>
      <c r="CI58" s="451" t="n"/>
      <c r="DK58" s="429">
        <f>DK57+1</f>
        <v/>
      </c>
      <c r="DL58" s="430" t="inlineStr">
        <is>
          <t>DIRECTION CONTROL</t>
        </is>
      </c>
      <c r="DM58" s="429" t="n"/>
      <c r="DN58" s="429" t="inlineStr">
        <is>
          <t>0/1</t>
        </is>
      </c>
      <c r="DO58" s="429" t="inlineStr">
        <is>
          <t>GUI</t>
        </is>
      </c>
      <c r="DP58" s="429" t="n"/>
      <c r="DQ58" s="429" t="n"/>
    </row>
    <row r="59" ht="21" customHeight="1">
      <c r="A59" s="429" t="n">
        <v>49</v>
      </c>
      <c r="B59" s="445" t="n"/>
      <c r="C59" s="446" t="inlineStr">
        <is>
          <t>Spare</t>
        </is>
      </c>
      <c r="D59" s="447">
        <f>'LFD New'!D62</f>
        <v/>
      </c>
      <c r="E59" s="429" t="n"/>
      <c r="F59" s="429" t="n"/>
      <c r="G59" s="429" t="n"/>
      <c r="H59" s="429" t="n">
        <v>67</v>
      </c>
      <c r="I59" s="448" t="n"/>
      <c r="J59" s="448" t="n"/>
      <c r="K59" s="447" t="inlineStr">
        <is>
          <t>String</t>
        </is>
      </c>
      <c r="L59" s="429" t="n"/>
      <c r="M59" s="429" t="n"/>
      <c r="N59" s="429" t="n"/>
      <c r="S59" s="451" t="n"/>
      <c r="T59" s="445" t="n"/>
      <c r="U59" s="445" t="inlineStr">
        <is>
          <t>Spare</t>
        </is>
      </c>
      <c r="V59" s="447" t="inlineStr">
        <is>
          <t>String</t>
        </is>
      </c>
      <c r="W59" s="429" t="n"/>
      <c r="X59" s="450" t="n">
        <v>0</v>
      </c>
      <c r="Y59" s="451" t="n"/>
      <c r="Z59" s="429" t="n">
        <v>48</v>
      </c>
      <c r="AA59" s="448" t="n"/>
      <c r="AB59" s="448" t="n"/>
      <c r="AC59" s="447" t="inlineStr">
        <is>
          <t>String</t>
        </is>
      </c>
      <c r="AD59" s="429" t="n"/>
      <c r="AE59" s="450" t="n"/>
      <c r="AF59" s="451" t="n"/>
      <c r="AH59" s="451" t="n"/>
      <c r="AI59" s="445" t="n"/>
      <c r="AJ59" s="446" t="inlineStr">
        <is>
          <t>Spare</t>
        </is>
      </c>
      <c r="AK59" s="447" t="inlineStr">
        <is>
          <t>String</t>
        </is>
      </c>
      <c r="AL59" s="429" t="n"/>
      <c r="AM59" s="429" t="n">
        <v>0</v>
      </c>
      <c r="AN59" s="451" t="n"/>
      <c r="AO59" s="451" t="n"/>
      <c r="AP59" s="448" t="n"/>
      <c r="AQ59" s="456" t="inlineStr">
        <is>
          <t>Spare</t>
        </is>
      </c>
      <c r="AR59" s="447" t="inlineStr">
        <is>
          <t>Boolean</t>
        </is>
      </c>
      <c r="AS59" s="429" t="n"/>
      <c r="AT59" s="450" t="n"/>
      <c r="AU59" s="451" t="n"/>
      <c r="BE59" s="451" t="n"/>
      <c r="BF59" s="445" t="n"/>
      <c r="BG59" s="446" t="inlineStr">
        <is>
          <t>Spare</t>
        </is>
      </c>
      <c r="BH59" s="447" t="inlineStr">
        <is>
          <t>String</t>
        </is>
      </c>
      <c r="BI59" s="429" t="n"/>
      <c r="BJ59" s="429" t="n">
        <v>0</v>
      </c>
      <c r="BK59" s="451" t="n"/>
      <c r="BL59" s="451" t="n"/>
      <c r="BM59" s="448" t="n"/>
      <c r="BN59" s="456" t="inlineStr">
        <is>
          <t>Spare</t>
        </is>
      </c>
      <c r="BO59" s="447" t="inlineStr">
        <is>
          <t>String</t>
        </is>
      </c>
      <c r="BP59" s="429" t="n"/>
      <c r="BQ59" s="429" t="n">
        <v>0</v>
      </c>
      <c r="BR59" s="451" t="n"/>
      <c r="BV59" s="451" t="n"/>
      <c r="BW59" s="445" t="n"/>
      <c r="BX59" s="446" t="inlineStr">
        <is>
          <t>Spare</t>
        </is>
      </c>
      <c r="BY59" s="447" t="inlineStr">
        <is>
          <t>String</t>
        </is>
      </c>
      <c r="BZ59" s="429" t="n"/>
      <c r="CA59" s="429" t="n">
        <v>0</v>
      </c>
      <c r="CB59" s="451" t="n"/>
      <c r="CC59" s="451" t="n"/>
      <c r="CD59" s="448" t="n"/>
      <c r="CE59" s="456" t="inlineStr">
        <is>
          <t>Spare</t>
        </is>
      </c>
      <c r="CF59" s="447" t="inlineStr">
        <is>
          <t>String</t>
        </is>
      </c>
      <c r="CG59" s="429" t="n"/>
      <c r="CH59" s="429" t="n">
        <v>0</v>
      </c>
      <c r="CI59" s="451" t="n"/>
      <c r="DK59" s="429">
        <f>DK58+1</f>
        <v/>
      </c>
      <c r="DL59" s="430" t="inlineStr">
        <is>
          <t>IMMOBILIZATION CONTROL</t>
        </is>
      </c>
      <c r="DM59" s="429" t="n"/>
      <c r="DN59" s="429" t="inlineStr">
        <is>
          <t>0/1</t>
        </is>
      </c>
      <c r="DO59" s="429" t="inlineStr">
        <is>
          <t>GUI</t>
        </is>
      </c>
      <c r="DP59" s="429" t="n"/>
      <c r="DQ59" s="429" t="n"/>
    </row>
    <row r="60" ht="21" customHeight="1">
      <c r="A60" s="429" t="n">
        <v>50</v>
      </c>
      <c r="B60" s="445" t="n"/>
      <c r="C60" s="446" t="inlineStr">
        <is>
          <t>Spare</t>
        </is>
      </c>
      <c r="D60" s="447" t="inlineStr">
        <is>
          <t>Boolean</t>
        </is>
      </c>
      <c r="E60" s="429" t="n"/>
      <c r="F60" s="429" t="n"/>
      <c r="G60" s="429" t="n"/>
      <c r="H60" s="429" t="n">
        <v>68</v>
      </c>
      <c r="I60" s="448" t="n"/>
      <c r="J60" s="448" t="n"/>
      <c r="K60" s="447" t="inlineStr">
        <is>
          <t>String</t>
        </is>
      </c>
      <c r="L60" s="429" t="n"/>
      <c r="M60" s="429" t="n"/>
      <c r="N60" s="429" t="n"/>
      <c r="S60" s="451" t="n"/>
      <c r="T60" s="445" t="n"/>
      <c r="U60" s="445" t="inlineStr">
        <is>
          <t>Spare</t>
        </is>
      </c>
      <c r="V60" s="447" t="inlineStr">
        <is>
          <t>String</t>
        </is>
      </c>
      <c r="W60" s="429" t="n"/>
      <c r="X60" s="450" t="n">
        <v>0</v>
      </c>
      <c r="Y60" s="451" t="n"/>
      <c r="Z60" s="429" t="n">
        <v>49</v>
      </c>
      <c r="AA60" s="448" t="n"/>
      <c r="AB60" s="448" t="n"/>
      <c r="AC60" s="447" t="inlineStr">
        <is>
          <t>String</t>
        </is>
      </c>
      <c r="AD60" s="468" t="n"/>
      <c r="AE60" s="469" t="n"/>
      <c r="AF60" s="470" t="n"/>
      <c r="AH60" s="451" t="n"/>
      <c r="AI60" s="445" t="n"/>
      <c r="AJ60" s="446" t="inlineStr">
        <is>
          <t>Spare</t>
        </is>
      </c>
      <c r="AK60" s="447" t="inlineStr">
        <is>
          <t>String</t>
        </is>
      </c>
      <c r="AL60" s="429" t="n"/>
      <c r="AM60" s="429" t="n">
        <v>0</v>
      </c>
      <c r="AN60" s="451" t="n"/>
      <c r="AO60" s="451" t="n"/>
      <c r="AP60" s="448" t="n"/>
      <c r="AQ60" s="456" t="inlineStr">
        <is>
          <t>Spare</t>
        </is>
      </c>
      <c r="AR60" s="447" t="inlineStr">
        <is>
          <t>Boolean</t>
        </is>
      </c>
      <c r="AS60" s="429" t="n"/>
      <c r="AT60" s="450" t="n"/>
      <c r="AU60" s="451" t="n"/>
      <c r="BE60" s="451" t="n"/>
      <c r="BF60" s="445" t="n"/>
      <c r="BG60" s="446" t="inlineStr">
        <is>
          <t>Spare</t>
        </is>
      </c>
      <c r="BH60" s="447" t="inlineStr">
        <is>
          <t>String</t>
        </is>
      </c>
      <c r="BI60" s="429" t="n"/>
      <c r="BJ60" s="429" t="n">
        <v>0</v>
      </c>
      <c r="BK60" s="451" t="n"/>
      <c r="BL60" s="451" t="n"/>
      <c r="BM60" s="448" t="n"/>
      <c r="BN60" s="456" t="inlineStr">
        <is>
          <t>Spare</t>
        </is>
      </c>
      <c r="BO60" s="447" t="inlineStr">
        <is>
          <t>String</t>
        </is>
      </c>
      <c r="BP60" s="429" t="n"/>
      <c r="BQ60" s="429" t="n">
        <v>0</v>
      </c>
      <c r="BR60" s="451" t="n"/>
      <c r="BV60" s="451" t="n"/>
      <c r="BW60" s="445" t="n"/>
      <c r="BX60" s="446" t="inlineStr">
        <is>
          <t>Spare</t>
        </is>
      </c>
      <c r="BY60" s="447" t="inlineStr">
        <is>
          <t>String</t>
        </is>
      </c>
      <c r="BZ60" s="429" t="n"/>
      <c r="CA60" s="429" t="n">
        <v>0</v>
      </c>
      <c r="CB60" s="451" t="n"/>
      <c r="CC60" s="451" t="n"/>
      <c r="CD60" s="448" t="n"/>
      <c r="CE60" s="456" t="inlineStr">
        <is>
          <t>Spare</t>
        </is>
      </c>
      <c r="CF60" s="447" t="inlineStr">
        <is>
          <t>String</t>
        </is>
      </c>
      <c r="CG60" s="429" t="n"/>
      <c r="CH60" s="429" t="n">
        <v>0</v>
      </c>
      <c r="CI60" s="451" t="n"/>
      <c r="DK60" s="429">
        <f>DK59+1</f>
        <v/>
      </c>
      <c r="DL60" s="430" t="inlineStr">
        <is>
          <t>PARKING BRAKE CONTROL</t>
        </is>
      </c>
      <c r="DM60" s="429" t="n"/>
      <c r="DN60" s="429" t="inlineStr">
        <is>
          <t>0/1</t>
        </is>
      </c>
      <c r="DO60" s="429" t="inlineStr">
        <is>
          <t>GUI</t>
        </is>
      </c>
      <c r="DP60" s="429" t="n"/>
      <c r="DQ60" s="429" t="n"/>
    </row>
    <row r="61" ht="21" customHeight="1">
      <c r="A61" s="429" t="n">
        <v>51</v>
      </c>
      <c r="B61" s="445" t="n"/>
      <c r="C61" s="446" t="inlineStr">
        <is>
          <t>Spare</t>
        </is>
      </c>
      <c r="D61" s="447" t="inlineStr">
        <is>
          <t>Boolean</t>
        </is>
      </c>
      <c r="E61" s="429" t="n"/>
      <c r="F61" s="429" t="n"/>
      <c r="G61" s="429" t="n"/>
      <c r="H61" s="429" t="n">
        <v>69</v>
      </c>
      <c r="I61" s="448" t="n"/>
      <c r="J61" s="448" t="n"/>
      <c r="K61" s="447" t="inlineStr">
        <is>
          <t>String</t>
        </is>
      </c>
      <c r="L61" s="429" t="n"/>
      <c r="M61" s="429" t="n"/>
      <c r="N61" s="429" t="n"/>
      <c r="S61" s="451" t="n"/>
      <c r="T61" s="445" t="n"/>
      <c r="U61" s="445" t="inlineStr">
        <is>
          <t>Spare</t>
        </is>
      </c>
      <c r="V61" s="447" t="inlineStr">
        <is>
          <t>String</t>
        </is>
      </c>
      <c r="W61" s="429" t="n"/>
      <c r="X61" s="450" t="n">
        <v>1</v>
      </c>
      <c r="Y61" s="451" t="n"/>
      <c r="Z61" s="429" t="n">
        <v>50</v>
      </c>
      <c r="AA61" s="448" t="n"/>
      <c r="AB61" s="448" t="n"/>
      <c r="AC61" s="447" t="inlineStr">
        <is>
          <t>String</t>
        </is>
      </c>
      <c r="AD61" s="471" t="n"/>
      <c r="AE61" s="471" t="n"/>
      <c r="AF61" s="471" t="n"/>
      <c r="AG61" s="471" t="n"/>
      <c r="AH61" s="471" t="n"/>
      <c r="BK61" s="321" t="n"/>
      <c r="DK61" s="429">
        <f>DK60+1</f>
        <v/>
      </c>
      <c r="DL61" s="430" t="inlineStr">
        <is>
          <t>CALL ON LIGHT CONTROL</t>
        </is>
      </c>
      <c r="DM61" s="429" t="n"/>
      <c r="DN61" s="429" t="inlineStr">
        <is>
          <t>0/1</t>
        </is>
      </c>
      <c r="DO61" s="429" t="inlineStr">
        <is>
          <t>GUI</t>
        </is>
      </c>
      <c r="DP61" s="429" t="n"/>
      <c r="DQ61" s="429" t="n"/>
    </row>
    <row r="62" ht="21" customHeight="1">
      <c r="A62" s="429" t="n">
        <v>52</v>
      </c>
      <c r="B62" s="445" t="n"/>
      <c r="C62" s="446" t="inlineStr">
        <is>
          <t>Spare</t>
        </is>
      </c>
      <c r="D62" s="447" t="inlineStr">
        <is>
          <t>Boolean</t>
        </is>
      </c>
      <c r="E62" s="429" t="n"/>
      <c r="F62" s="429" t="n"/>
      <c r="G62" s="429" t="n"/>
      <c r="H62" s="429" t="n">
        <v>70</v>
      </c>
      <c r="I62" s="448" t="n"/>
      <c r="J62" s="448" t="n"/>
      <c r="K62" s="447" t="inlineStr">
        <is>
          <t>String</t>
        </is>
      </c>
      <c r="L62" s="429" t="n"/>
      <c r="M62" s="429" t="n"/>
      <c r="N62" s="429" t="n"/>
      <c r="AD62" s="335" t="inlineStr">
        <is>
          <t>FAULT 01</t>
        </is>
      </c>
      <c r="AE62" s="335" t="inlineStr">
        <is>
          <t>FAULT 02</t>
        </is>
      </c>
      <c r="AF62" s="335" t="inlineStr">
        <is>
          <t>FAULT 03</t>
        </is>
      </c>
      <c r="AG62" s="335" t="inlineStr">
        <is>
          <t>FAULT 04</t>
        </is>
      </c>
      <c r="AH62" s="335" t="inlineStr">
        <is>
          <t>FAULT 05</t>
        </is>
      </c>
      <c r="DK62" s="429">
        <f>DK61+1</f>
        <v/>
      </c>
      <c r="DL62" s="430" t="inlineStr">
        <is>
          <t>CAB CONTROL 6</t>
        </is>
      </c>
      <c r="DM62" s="429" t="n"/>
      <c r="DN62" s="429" t="inlineStr">
        <is>
          <t>0/1</t>
        </is>
      </c>
      <c r="DO62" s="429" t="inlineStr">
        <is>
          <t>GUI</t>
        </is>
      </c>
      <c r="DP62" s="429" t="n"/>
      <c r="DQ62" s="429" t="n"/>
    </row>
    <row r="63" ht="21" customHeight="1">
      <c r="A63" s="429" t="n">
        <v>53</v>
      </c>
      <c r="B63" s="445" t="n"/>
      <c r="C63" s="446" t="inlineStr">
        <is>
          <t>Spare</t>
        </is>
      </c>
      <c r="D63" s="447" t="inlineStr">
        <is>
          <t>Boolean</t>
        </is>
      </c>
      <c r="E63" s="429" t="n"/>
      <c r="F63" s="429" t="n"/>
      <c r="G63" s="429" t="n"/>
      <c r="H63" s="429" t="n">
        <v>71</v>
      </c>
      <c r="I63" s="448" t="n"/>
      <c r="J63" s="448" t="n"/>
      <c r="K63" s="447" t="inlineStr">
        <is>
          <t>String</t>
        </is>
      </c>
      <c r="L63" s="429" t="n"/>
      <c r="M63" s="429" t="n"/>
      <c r="N63" s="429" t="n"/>
      <c r="DK63" s="429">
        <f>DK62+1</f>
        <v/>
      </c>
      <c r="DL63" s="430" t="inlineStr">
        <is>
          <t>BRAKE MAJOR FAULT</t>
        </is>
      </c>
      <c r="DM63" s="429" t="n"/>
      <c r="DN63" s="429" t="inlineStr">
        <is>
          <t>0/1</t>
        </is>
      </c>
      <c r="DO63" s="429" t="inlineStr">
        <is>
          <t>GUI</t>
        </is>
      </c>
      <c r="DP63" s="429" t="n"/>
      <c r="DQ63" s="429" t="n"/>
    </row>
    <row r="64" ht="21" customHeight="1">
      <c r="L64" s="335" t="n"/>
      <c r="DK64" s="429">
        <f>DK63+1</f>
        <v/>
      </c>
      <c r="DL64" s="430" t="inlineStr">
        <is>
          <t>AIR SPRING CONTROL</t>
        </is>
      </c>
      <c r="DM64" s="429" t="n"/>
      <c r="DN64" s="429" t="inlineStr">
        <is>
          <t>0/1</t>
        </is>
      </c>
      <c r="DO64" s="429" t="inlineStr">
        <is>
          <t>GUI</t>
        </is>
      </c>
      <c r="DP64" s="429" t="n"/>
      <c r="DQ64" s="429" t="n"/>
    </row>
    <row r="65" ht="21" customHeight="1">
      <c r="DK65" s="429">
        <f>DK64+1</f>
        <v/>
      </c>
      <c r="DL65" s="430" t="inlineStr">
        <is>
          <t>CAB DESK LIGHT INDICATOR</t>
        </is>
      </c>
      <c r="DM65" s="429" t="n"/>
      <c r="DN65" s="429" t="inlineStr">
        <is>
          <t>0/1</t>
        </is>
      </c>
      <c r="DO65" s="429" t="inlineStr">
        <is>
          <t>GUI</t>
        </is>
      </c>
      <c r="DP65" s="429" t="n"/>
      <c r="DQ65" s="429" t="n"/>
    </row>
    <row r="66" ht="21" customHeight="1">
      <c r="DK66" s="429">
        <f>DK65+1</f>
        <v/>
      </c>
      <c r="DL66" s="430" t="inlineStr">
        <is>
          <t>DEAD MAN CONTROL 1</t>
        </is>
      </c>
      <c r="DM66" s="429" t="n"/>
      <c r="DN66" s="429" t="inlineStr">
        <is>
          <t>0/1</t>
        </is>
      </c>
      <c r="DO66" s="429" t="inlineStr">
        <is>
          <t>GUI</t>
        </is>
      </c>
      <c r="DP66" s="429" t="n"/>
      <c r="DQ66" s="429" t="n"/>
    </row>
    <row r="67" ht="44.25" customHeight="1">
      <c r="A67" s="695" t="inlineStr">
        <is>
          <t>LFD (CPU_WS)</t>
        </is>
      </c>
      <c r="DK67" s="429">
        <f>DK66+1</f>
        <v/>
      </c>
      <c r="DL67" s="430" t="inlineStr">
        <is>
          <t>TRAIN RADIO INTERFACE UNIT CONTROL</t>
        </is>
      </c>
      <c r="DM67" s="429" t="n"/>
      <c r="DN67" s="429" t="inlineStr">
        <is>
          <t>0/1</t>
        </is>
      </c>
      <c r="DO67" s="429" t="inlineStr">
        <is>
          <t>GUI</t>
        </is>
      </c>
      <c r="DP67" s="429" t="n"/>
      <c r="DQ67" s="429" t="n"/>
    </row>
    <row r="68" ht="21" customHeight="1">
      <c r="DK68" s="429">
        <f>DK67+1</f>
        <v/>
      </c>
      <c r="DL68" s="430" t="inlineStr">
        <is>
          <t>WIPER CONTROL</t>
        </is>
      </c>
      <c r="DM68" s="429" t="n"/>
      <c r="DN68" s="429" t="inlineStr">
        <is>
          <t>0/1</t>
        </is>
      </c>
      <c r="DO68" s="429" t="inlineStr">
        <is>
          <t>GUI</t>
        </is>
      </c>
      <c r="DP68" s="429" t="n"/>
      <c r="DQ68" s="429" t="n"/>
    </row>
    <row r="69" ht="21" customHeight="1">
      <c r="D69" s="335">
        <f>'LFD New'!D18</f>
        <v/>
      </c>
      <c r="BK69" s="321" t="n"/>
      <c r="DK69" s="429">
        <f>DK68+1</f>
        <v/>
      </c>
      <c r="DL69" s="430" t="inlineStr">
        <is>
          <t>HEAD LIGHT &amp; CAB LIGHT CONTROL</t>
        </is>
      </c>
      <c r="DM69" s="429" t="n"/>
      <c r="DN69" s="429" t="inlineStr">
        <is>
          <t>0/1</t>
        </is>
      </c>
      <c r="DO69" s="429" t="inlineStr">
        <is>
          <t>GUI</t>
        </is>
      </c>
      <c r="DP69" s="429" t="n"/>
      <c r="DQ69" s="429" t="n"/>
    </row>
    <row r="70" ht="34.5" customHeight="1">
      <c r="A70" s="797" t="inlineStr">
        <is>
          <t>LFD Input</t>
        </is>
      </c>
      <c r="B70" s="798" t="n"/>
      <c r="C70" s="798" t="n"/>
      <c r="D70" s="798" t="n"/>
      <c r="E70" s="798" t="n"/>
      <c r="F70" s="798" t="n"/>
      <c r="G70" s="309" t="n"/>
      <c r="H70" s="799" t="inlineStr">
        <is>
          <t>LFD Output</t>
        </is>
      </c>
      <c r="I70" s="798" t="n"/>
      <c r="J70" s="798" t="n"/>
      <c r="K70" s="798" t="n"/>
      <c r="L70" s="798" t="n"/>
      <c r="M70" s="798" t="n"/>
      <c r="N70" s="309" t="n"/>
      <c r="DK70" s="429">
        <f>DK69+1</f>
        <v/>
      </c>
      <c r="DL70" s="430" t="inlineStr">
        <is>
          <t>FLASHER LIGHT CONTROL</t>
        </is>
      </c>
      <c r="DM70" s="429" t="n"/>
      <c r="DN70" s="429" t="inlineStr">
        <is>
          <t>0/1</t>
        </is>
      </c>
      <c r="DO70" s="429" t="inlineStr">
        <is>
          <t>GUI</t>
        </is>
      </c>
      <c r="DP70" s="429" t="n"/>
      <c r="DQ70" s="429" t="n"/>
    </row>
    <row r="71" ht="21" customFormat="1" customHeight="1" s="265">
      <c r="A71" s="5" t="inlineStr">
        <is>
          <t>SR.No</t>
        </is>
      </c>
      <c r="B71" s="5" t="inlineStr">
        <is>
          <t>Variable</t>
        </is>
      </c>
      <c r="C71" s="5" t="inlineStr">
        <is>
          <t>Labels</t>
        </is>
      </c>
      <c r="D71" s="5" t="inlineStr">
        <is>
          <t>Data Type</t>
        </is>
      </c>
      <c r="E71" s="5" t="inlineStr">
        <is>
          <t xml:space="preserve">Source </t>
        </is>
      </c>
      <c r="F71" s="5" t="inlineStr">
        <is>
          <t>value</t>
        </is>
      </c>
      <c r="G71" s="5" t="inlineStr">
        <is>
          <t>Remark</t>
        </is>
      </c>
      <c r="H71" s="5" t="inlineStr">
        <is>
          <t>SR.No.</t>
        </is>
      </c>
      <c r="I71" s="5" t="inlineStr">
        <is>
          <t>Variable</t>
        </is>
      </c>
      <c r="J71" s="5" t="inlineStr">
        <is>
          <t>Labels</t>
        </is>
      </c>
      <c r="K71" s="5" t="inlineStr">
        <is>
          <t>Data Type</t>
        </is>
      </c>
      <c r="L71" s="5" t="inlineStr">
        <is>
          <t xml:space="preserve">Source </t>
        </is>
      </c>
      <c r="M71" s="5" t="inlineStr">
        <is>
          <t>Value</t>
        </is>
      </c>
      <c r="N71" s="5" t="inlineStr">
        <is>
          <t>Remark</t>
        </is>
      </c>
      <c r="DK71" s="429">
        <f>DK70+1</f>
        <v/>
      </c>
      <c r="DL71" s="430" t="inlineStr">
        <is>
          <t>CAB BOOSTER CONTROL</t>
        </is>
      </c>
      <c r="DM71" s="429" t="n"/>
      <c r="DN71" s="429" t="inlineStr">
        <is>
          <t>0/1</t>
        </is>
      </c>
      <c r="DO71" s="429" t="inlineStr">
        <is>
          <t>GUI</t>
        </is>
      </c>
      <c r="DP71" s="429" t="n"/>
      <c r="DQ71" s="429" t="n"/>
    </row>
    <row r="72" ht="21" customHeight="1">
      <c r="A72" s="688" t="n">
        <v>1</v>
      </c>
      <c r="B72" s="429" t="inlineStr">
        <is>
          <t>LFC01</t>
        </is>
      </c>
      <c r="C72" s="407" t="inlineStr">
        <is>
          <t>external_smoke_detected</t>
        </is>
      </c>
      <c r="D72" s="447" t="inlineStr">
        <is>
          <t>Boolean</t>
        </is>
      </c>
      <c r="E72" s="429" t="n"/>
      <c r="F72" s="429">
        <f>F28</f>
        <v/>
      </c>
      <c r="G72" s="429" t="n"/>
      <c r="H72" s="688" t="n">
        <v>1</v>
      </c>
      <c r="I72" s="688" t="n"/>
      <c r="J72" s="473" t="inlineStr">
        <is>
          <t>Fresh_air_Damper_Close(FAD)</t>
        </is>
      </c>
      <c r="K72" s="447" t="inlineStr">
        <is>
          <t>Boolean</t>
        </is>
      </c>
      <c r="L72" s="429">
        <f>'LFD OLD'!R30</f>
        <v/>
      </c>
      <c r="M72" s="688" t="n"/>
      <c r="N72" s="429" t="n"/>
      <c r="DK72" s="429">
        <f>DK71+1</f>
        <v/>
      </c>
      <c r="DL72" s="430" t="inlineStr">
        <is>
          <t>DOOR OPEN CONTROL</t>
        </is>
      </c>
      <c r="DM72" s="429" t="n"/>
      <c r="DN72" s="429" t="inlineStr">
        <is>
          <t>0/1</t>
        </is>
      </c>
      <c r="DO72" s="429" t="inlineStr">
        <is>
          <t>GUI</t>
        </is>
      </c>
      <c r="DP72" s="429" t="n"/>
      <c r="DQ72" s="429" t="n"/>
    </row>
    <row r="73" ht="21" customHeight="1">
      <c r="A73" s="688" t="n">
        <v>2</v>
      </c>
      <c r="B73" s="429" t="inlineStr">
        <is>
          <t>LFC02</t>
        </is>
      </c>
      <c r="C73" s="407" t="inlineStr">
        <is>
          <t>Driver_Close_command</t>
        </is>
      </c>
      <c r="D73" s="447" t="inlineStr">
        <is>
          <t>Boolean</t>
        </is>
      </c>
      <c r="E73" s="429" t="n"/>
      <c r="F73" s="429">
        <f>'LFD New'!D158</f>
        <v/>
      </c>
      <c r="G73" s="429" t="n"/>
      <c r="H73" s="688" t="n">
        <v>2</v>
      </c>
      <c r="I73" s="688" t="n"/>
      <c r="J73" s="473" t="n"/>
      <c r="K73" s="447" t="inlineStr">
        <is>
          <t>Boolean</t>
        </is>
      </c>
      <c r="L73" s="429" t="n"/>
      <c r="M73" s="688" t="n"/>
      <c r="N73" s="429" t="n"/>
      <c r="DK73" s="429">
        <f>DK72+1</f>
        <v/>
      </c>
      <c r="DL73" s="430" t="inlineStr">
        <is>
          <t>DOOR CLOSE CONTROL</t>
        </is>
      </c>
      <c r="DM73" s="429" t="n"/>
      <c r="DN73" s="429" t="inlineStr">
        <is>
          <t>0/1</t>
        </is>
      </c>
      <c r="DO73" s="429" t="inlineStr">
        <is>
          <t>GUI</t>
        </is>
      </c>
      <c r="DP73" s="429" t="n"/>
      <c r="DQ73" s="429" t="n"/>
    </row>
    <row r="74" ht="21" customHeight="1">
      <c r="A74" s="688" t="n">
        <v>3</v>
      </c>
      <c r="B74" s="429" t="inlineStr">
        <is>
          <t>LFC03</t>
        </is>
      </c>
      <c r="C74" s="407" t="inlineStr">
        <is>
          <t>Internal_Smoke_Detected</t>
        </is>
      </c>
      <c r="D74" s="447" t="inlineStr">
        <is>
          <t>Boolean</t>
        </is>
      </c>
      <c r="E74" s="429" t="n"/>
      <c r="F74" s="429">
        <f>F28</f>
        <v/>
      </c>
      <c r="G74" s="429" t="n"/>
      <c r="H74" s="688" t="n">
        <v>3</v>
      </c>
      <c r="I74" s="688" t="n"/>
      <c r="J74" s="473" t="n"/>
      <c r="K74" s="447" t="inlineStr">
        <is>
          <t>Boolean</t>
        </is>
      </c>
      <c r="L74" s="429" t="n"/>
      <c r="M74" s="688" t="n"/>
      <c r="N74" s="429" t="n"/>
      <c r="DK74" s="429">
        <f>DK73+1</f>
        <v/>
      </c>
      <c r="DL74" s="430" t="inlineStr">
        <is>
          <t>DOOR ZERO SPEED CONTROL</t>
        </is>
      </c>
      <c r="DM74" s="429" t="n"/>
      <c r="DN74" s="429" t="inlineStr">
        <is>
          <t>0/1</t>
        </is>
      </c>
      <c r="DO74" s="429" t="inlineStr">
        <is>
          <t>GUI</t>
        </is>
      </c>
      <c r="DP74" s="429" t="n"/>
      <c r="DQ74" s="429" t="n"/>
    </row>
    <row r="75" ht="21" customHeight="1">
      <c r="A75" s="688" t="n">
        <v>4</v>
      </c>
      <c r="B75" s="429" t="inlineStr">
        <is>
          <t>LFC04</t>
        </is>
      </c>
      <c r="C75" s="407" t="inlineStr">
        <is>
          <t>LFC 04</t>
        </is>
      </c>
      <c r="D75" s="447" t="inlineStr">
        <is>
          <t>Boolean</t>
        </is>
      </c>
      <c r="E75" s="429" t="n"/>
      <c r="F75" s="429" t="n"/>
      <c r="G75" s="429" t="n"/>
      <c r="H75" s="688" t="n">
        <v>4</v>
      </c>
      <c r="I75" s="688" t="inlineStr">
        <is>
          <t>LFC08</t>
        </is>
      </c>
      <c r="J75" s="473" t="n"/>
      <c r="K75" s="447" t="inlineStr">
        <is>
          <t>Boolean</t>
        </is>
      </c>
      <c r="L75" s="429" t="n"/>
      <c r="M75" s="688" t="inlineStr">
        <is>
          <t>0</t>
        </is>
      </c>
      <c r="N75" s="429" t="n"/>
      <c r="DK75" s="429">
        <f>DK74+1</f>
        <v/>
      </c>
      <c r="DL75" s="430" t="inlineStr">
        <is>
          <t>DOOR ENABLE CONTROL</t>
        </is>
      </c>
      <c r="DM75" s="429" t="n"/>
      <c r="DN75" s="429" t="inlineStr">
        <is>
          <t>0/1</t>
        </is>
      </c>
      <c r="DO75" s="429" t="inlineStr">
        <is>
          <t>GUI</t>
        </is>
      </c>
      <c r="DP75" s="429" t="n"/>
      <c r="DQ75" s="429" t="n"/>
    </row>
    <row r="76" ht="21" customHeight="1">
      <c r="A76" s="688" t="n">
        <v>5</v>
      </c>
      <c r="B76" s="429" t="inlineStr">
        <is>
          <t>LFC05</t>
        </is>
      </c>
      <c r="C76" s="407" t="inlineStr">
        <is>
          <t>Driver_by_pass_command</t>
        </is>
      </c>
      <c r="D76" s="447" t="inlineStr">
        <is>
          <t>Boolean</t>
        </is>
      </c>
      <c r="E76" s="429" t="n"/>
      <c r="F76" s="429">
        <f>'LFD New'!D159</f>
        <v/>
      </c>
      <c r="G76" s="429" t="n"/>
      <c r="H76" s="688" t="n">
        <v>5</v>
      </c>
      <c r="I76" s="688" t="n"/>
      <c r="J76" s="473" t="n"/>
      <c r="K76" s="447" t="inlineStr">
        <is>
          <t>Boolean</t>
        </is>
      </c>
      <c r="L76" s="429" t="n"/>
      <c r="M76" s="688" t="n"/>
      <c r="N76" s="429" t="n"/>
      <c r="BK76" s="321" t="n"/>
      <c r="DK76" s="429">
        <f>DK75+1</f>
        <v/>
      </c>
      <c r="DL76" s="430" t="inlineStr">
        <is>
          <t>DOOR ENABLE CONTROL</t>
        </is>
      </c>
      <c r="DM76" s="429" t="n"/>
      <c r="DN76" s="429" t="inlineStr">
        <is>
          <t>0/1</t>
        </is>
      </c>
      <c r="DO76" s="429" t="inlineStr">
        <is>
          <t>GUI</t>
        </is>
      </c>
      <c r="DP76" s="429" t="n"/>
      <c r="DQ76" s="429" t="n"/>
    </row>
    <row r="77" ht="21" customHeight="1">
      <c r="A77" s="688" t="n">
        <v>6</v>
      </c>
      <c r="B77" s="429" t="inlineStr">
        <is>
          <t>LFC07</t>
        </is>
      </c>
      <c r="C77" s="407" t="inlineStr">
        <is>
          <t>FADR_closed</t>
        </is>
      </c>
      <c r="D77" s="447" t="inlineStr">
        <is>
          <t>Boolean</t>
        </is>
      </c>
      <c r="E77" s="429" t="n"/>
      <c r="F77" s="429">
        <f>'LFD New'!D160</f>
        <v/>
      </c>
      <c r="G77" s="429" t="n"/>
      <c r="H77" s="688" t="n">
        <v>6</v>
      </c>
      <c r="I77" s="688" t="n"/>
      <c r="J77" s="473" t="n"/>
      <c r="K77" s="447" t="inlineStr">
        <is>
          <t>Boolean</t>
        </is>
      </c>
      <c r="L77" s="429" t="n"/>
      <c r="M77" s="688" t="n"/>
      <c r="N77" s="429" t="n"/>
      <c r="DK77" s="429">
        <f>DK76+1</f>
        <v/>
      </c>
      <c r="DL77" s="430" t="inlineStr">
        <is>
          <t>SALLON DOOR CLOSE</t>
        </is>
      </c>
      <c r="DM77" s="429" t="n"/>
      <c r="DN77" s="429" t="inlineStr">
        <is>
          <t>0/1</t>
        </is>
      </c>
      <c r="DO77" s="429" t="inlineStr">
        <is>
          <t>GUI</t>
        </is>
      </c>
      <c r="DP77" s="429" t="n"/>
      <c r="DQ77" s="429" t="n"/>
    </row>
    <row r="78" ht="21" customHeight="1">
      <c r="A78" s="688" t="n">
        <v>7</v>
      </c>
      <c r="B78" s="429" t="n"/>
      <c r="C78" s="407" t="n"/>
      <c r="D78" s="447" t="inlineStr">
        <is>
          <t>Boolean</t>
        </is>
      </c>
      <c r="E78" s="429" t="n"/>
      <c r="F78" s="429" t="n"/>
      <c r="G78" s="429" t="n"/>
      <c r="H78" s="688" t="n">
        <v>7</v>
      </c>
      <c r="I78" s="688" t="n"/>
      <c r="J78" s="407" t="n"/>
      <c r="K78" s="447" t="inlineStr">
        <is>
          <t>Boolean</t>
        </is>
      </c>
      <c r="L78" s="429" t="n"/>
      <c r="M78" s="688" t="n"/>
      <c r="N78" s="429" t="n"/>
      <c r="DK78" s="429">
        <f>DK77+1</f>
        <v/>
      </c>
      <c r="DL78" s="430" t="inlineStr">
        <is>
          <t>CAB DOOR &amp; EMERGENCY DOOR CONTROL</t>
        </is>
      </c>
      <c r="DM78" s="429" t="n"/>
      <c r="DN78" s="429" t="inlineStr">
        <is>
          <t>0/1</t>
        </is>
      </c>
      <c r="DO78" s="429" t="inlineStr">
        <is>
          <t>GUI</t>
        </is>
      </c>
      <c r="DP78" s="429" t="n"/>
      <c r="DQ78" s="429" t="n"/>
    </row>
    <row r="79" ht="21" customHeight="1">
      <c r="A79" s="688" t="n">
        <v>8</v>
      </c>
      <c r="B79" s="429" t="inlineStr">
        <is>
          <t>LFC01</t>
        </is>
      </c>
      <c r="C79" s="407" t="inlineStr">
        <is>
          <t>APS1_healthy</t>
        </is>
      </c>
      <c r="D79" s="447" t="inlineStr">
        <is>
          <t>Boolean</t>
        </is>
      </c>
      <c r="E79" s="429" t="n"/>
      <c r="F79" s="429">
        <f>F89</f>
        <v/>
      </c>
      <c r="G79" s="429" t="n"/>
      <c r="H79" s="688" t="n">
        <v>8</v>
      </c>
      <c r="I79" s="688" t="n"/>
      <c r="J79" s="407" t="n"/>
      <c r="K79" s="447" t="inlineStr">
        <is>
          <t>Boolean</t>
        </is>
      </c>
      <c r="L79" s="429" t="n"/>
      <c r="M79" s="688" t="n"/>
      <c r="N79" s="429" t="n"/>
      <c r="DK79" s="429">
        <f>DK78+1</f>
        <v/>
      </c>
      <c r="DL79" s="430" t="inlineStr">
        <is>
          <t>ALL DOOR CLOSED CONTROL</t>
        </is>
      </c>
      <c r="DM79" s="429" t="n"/>
      <c r="DN79" s="429" t="inlineStr">
        <is>
          <t>0/1</t>
        </is>
      </c>
      <c r="DO79" s="429" t="inlineStr">
        <is>
          <t>GUI</t>
        </is>
      </c>
      <c r="DP79" s="429" t="n"/>
      <c r="DQ79" s="429" t="n"/>
    </row>
    <row r="80" ht="21" customHeight="1">
      <c r="A80" s="688" t="n">
        <v>9</v>
      </c>
      <c r="B80" s="429" t="inlineStr">
        <is>
          <t>LCF03</t>
        </is>
      </c>
      <c r="C80" s="407" t="inlineStr">
        <is>
          <t>APS2_Healthy</t>
        </is>
      </c>
      <c r="D80" s="447" t="inlineStr">
        <is>
          <t>Boolean</t>
        </is>
      </c>
      <c r="E80" s="429" t="n"/>
      <c r="F80" s="429">
        <f>F90</f>
        <v/>
      </c>
      <c r="G80" s="429" t="n"/>
      <c r="H80" s="688" t="n">
        <v>9</v>
      </c>
      <c r="I80" s="688" t="inlineStr">
        <is>
          <t>LCF13</t>
        </is>
      </c>
      <c r="J80" s="407" t="inlineStr">
        <is>
          <t>Emergency ventilation</t>
        </is>
      </c>
      <c r="K80" s="447" t="inlineStr">
        <is>
          <t>Boolean</t>
        </is>
      </c>
      <c r="L80" s="429">
        <f>'LFD OLD'!R44</f>
        <v/>
      </c>
      <c r="M80" s="688" t="inlineStr">
        <is>
          <t>1</t>
        </is>
      </c>
      <c r="N80" s="429" t="n"/>
      <c r="DK80" s="429">
        <f>DK79+1</f>
        <v/>
      </c>
      <c r="DL80" s="430" t="inlineStr">
        <is>
          <t>COUPLER CONTROL</t>
        </is>
      </c>
      <c r="DM80" s="429" t="n"/>
      <c r="DN80" s="429" t="inlineStr">
        <is>
          <t>0/1</t>
        </is>
      </c>
      <c r="DO80" s="429" t="inlineStr">
        <is>
          <t>GUI</t>
        </is>
      </c>
      <c r="DP80" s="429" t="n"/>
      <c r="DQ80" s="429" t="n"/>
    </row>
    <row r="81" ht="21" customHeight="1">
      <c r="A81" s="688" t="n">
        <v>10</v>
      </c>
      <c r="B81" s="429" t="inlineStr">
        <is>
          <t>LCF05</t>
        </is>
      </c>
      <c r="C81" s="407" t="inlineStr">
        <is>
          <t>LFC05</t>
        </is>
      </c>
      <c r="D81" s="447" t="inlineStr">
        <is>
          <t>Boolean</t>
        </is>
      </c>
      <c r="E81" s="429" t="n"/>
      <c r="F81" s="429" t="n"/>
      <c r="G81" s="429" t="n"/>
      <c r="H81" s="688" t="n">
        <v>10</v>
      </c>
      <c r="I81" s="688" t="inlineStr">
        <is>
          <t>LCF14</t>
        </is>
      </c>
      <c r="J81" s="407" t="inlineStr">
        <is>
          <t>Feedback_indication</t>
        </is>
      </c>
      <c r="K81" s="447" t="inlineStr">
        <is>
          <t>Boolean</t>
        </is>
      </c>
      <c r="L81" s="429">
        <f>'LFD OLD'!R45</f>
        <v/>
      </c>
      <c r="M81" s="688" t="inlineStr">
        <is>
          <t>1</t>
        </is>
      </c>
      <c r="N81" s="429" t="n"/>
      <c r="DK81" s="429">
        <f>DK80+1</f>
        <v/>
      </c>
      <c r="DL81" s="430" t="inlineStr">
        <is>
          <t>DEAD MAN CONTROL 2</t>
        </is>
      </c>
      <c r="DM81" s="429" t="n"/>
      <c r="DN81" s="429" t="inlineStr">
        <is>
          <t>0/1</t>
        </is>
      </c>
      <c r="DO81" s="429" t="inlineStr">
        <is>
          <t>GUI</t>
        </is>
      </c>
      <c r="DP81" s="429" t="n"/>
      <c r="DQ81" s="429" t="n"/>
    </row>
    <row r="82" ht="21" customHeight="1">
      <c r="A82" s="688" t="n">
        <v>11</v>
      </c>
      <c r="B82" s="429" t="inlineStr">
        <is>
          <t>LCF06</t>
        </is>
      </c>
      <c r="C82" s="407" t="inlineStr">
        <is>
          <t>110V_Battery_supply</t>
        </is>
      </c>
      <c r="D82" s="447">
        <f>'LFD New'!D6</f>
        <v/>
      </c>
      <c r="E82" s="429" t="n"/>
      <c r="F82" s="429">
        <f>'LFD New'!D8</f>
        <v/>
      </c>
      <c r="G82" s="429" t="n"/>
      <c r="H82" s="688" t="n">
        <v>11</v>
      </c>
      <c r="I82" s="688" t="n"/>
      <c r="J82" s="407" t="n"/>
      <c r="K82" s="447" t="inlineStr">
        <is>
          <t>Boolean</t>
        </is>
      </c>
      <c r="L82" s="429" t="n"/>
      <c r="M82" s="688" t="n"/>
      <c r="N82" s="429" t="n"/>
      <c r="BK82" s="321" t="n"/>
      <c r="DK82" s="429">
        <f>DK81+1</f>
        <v/>
      </c>
      <c r="DL82" s="430" t="inlineStr">
        <is>
          <t>TRAIN INTEGRITY TL CONTROL</t>
        </is>
      </c>
      <c r="DM82" s="429" t="n"/>
      <c r="DN82" s="429" t="inlineStr">
        <is>
          <t>0/1</t>
        </is>
      </c>
      <c r="DO82" s="429" t="inlineStr">
        <is>
          <t>GUI</t>
        </is>
      </c>
      <c r="DP82" s="429" t="n"/>
      <c r="DQ82" s="429" t="n"/>
    </row>
    <row r="83" ht="21" customHeight="1">
      <c r="A83" s="688" t="n">
        <v>12</v>
      </c>
      <c r="B83" s="429" t="inlineStr">
        <is>
          <t>LCF07</t>
        </is>
      </c>
      <c r="C83" s="407" t="inlineStr">
        <is>
          <t>APS1_healthy</t>
        </is>
      </c>
      <c r="D83" s="447" t="inlineStr">
        <is>
          <t>Boolean</t>
        </is>
      </c>
      <c r="E83" s="429" t="n"/>
      <c r="F83" s="429">
        <f>F79</f>
        <v/>
      </c>
      <c r="G83" s="429" t="n"/>
      <c r="H83" s="688" t="n">
        <v>12</v>
      </c>
      <c r="I83" s="688" t="n"/>
      <c r="J83" s="407" t="n"/>
      <c r="K83" s="447" t="inlineStr">
        <is>
          <t>Boolean</t>
        </is>
      </c>
      <c r="L83" s="429" t="n"/>
      <c r="M83" s="688" t="n"/>
      <c r="N83" s="429" t="n"/>
      <c r="DK83" s="429">
        <f>DK82+1</f>
        <v/>
      </c>
      <c r="DL83" s="430" t="inlineStr">
        <is>
          <t>FRESH AIR DAMPER SELECTION CONTROL</t>
        </is>
      </c>
      <c r="DM83" s="429" t="n"/>
      <c r="DN83" s="429" t="inlineStr">
        <is>
          <t>0/1</t>
        </is>
      </c>
      <c r="DO83" s="429" t="inlineStr">
        <is>
          <t>GUI</t>
        </is>
      </c>
      <c r="DP83" s="429" t="n"/>
      <c r="DQ83" s="429" t="n"/>
    </row>
    <row r="84" ht="21" customHeight="1">
      <c r="A84" s="688" t="n">
        <v>13</v>
      </c>
      <c r="B84" s="429" t="inlineStr">
        <is>
          <t>LCF09</t>
        </is>
      </c>
      <c r="C84" s="407" t="inlineStr">
        <is>
          <t>APS2_healthy</t>
        </is>
      </c>
      <c r="D84" s="447" t="inlineStr">
        <is>
          <t>Boolean</t>
        </is>
      </c>
      <c r="E84" s="429" t="n"/>
      <c r="F84" s="429">
        <f>F80</f>
        <v/>
      </c>
      <c r="G84" s="429" t="n"/>
      <c r="H84" s="688" t="n">
        <v>13</v>
      </c>
      <c r="I84" s="688" t="n"/>
      <c r="J84" s="407" t="n"/>
      <c r="K84" s="447" t="inlineStr">
        <is>
          <t>Boolean</t>
        </is>
      </c>
      <c r="L84" s="429" t="n"/>
      <c r="M84" s="688" t="n"/>
      <c r="N84" s="429" t="n"/>
      <c r="DK84" s="429">
        <f>DK83+1</f>
        <v/>
      </c>
      <c r="DL84" s="430" t="inlineStr">
        <is>
          <t>DOOR CONTROL ATP MODE</t>
        </is>
      </c>
      <c r="DM84" s="429" t="n"/>
      <c r="DN84" s="429" t="inlineStr">
        <is>
          <t>0/1</t>
        </is>
      </c>
      <c r="DO84" s="429" t="inlineStr">
        <is>
          <t>GUI</t>
        </is>
      </c>
      <c r="DP84" s="429" t="n"/>
      <c r="DQ84" s="429" t="n"/>
    </row>
    <row r="85" ht="21" customHeight="1">
      <c r="A85" s="688" t="n">
        <v>14</v>
      </c>
      <c r="B85" s="429" t="inlineStr">
        <is>
          <t>LCF11</t>
        </is>
      </c>
      <c r="C85" s="407" t="inlineStr">
        <is>
          <t>LFC11</t>
        </is>
      </c>
      <c r="D85" s="447" t="inlineStr">
        <is>
          <t>Boolean</t>
        </is>
      </c>
      <c r="E85" s="429" t="n"/>
      <c r="F85" s="429" t="n"/>
      <c r="G85" s="429" t="n"/>
      <c r="H85" s="688" t="n">
        <v>14</v>
      </c>
      <c r="I85" s="688" t="n"/>
      <c r="J85" s="407" t="n"/>
      <c r="K85" s="447" t="inlineStr">
        <is>
          <t>Boolean</t>
        </is>
      </c>
      <c r="L85" s="429" t="n"/>
      <c r="M85" s="688" t="n"/>
      <c r="N85" s="429" t="n"/>
      <c r="DK85" s="429">
        <f>DK84+1</f>
        <v/>
      </c>
      <c r="DL85" s="430" t="inlineStr">
        <is>
          <t>DOOR CONTROL TCMS MODE</t>
        </is>
      </c>
      <c r="DM85" s="429" t="n"/>
      <c r="DN85" s="429" t="inlineStr">
        <is>
          <t>0/1</t>
        </is>
      </c>
      <c r="DO85" s="429" t="inlineStr">
        <is>
          <t>GUI</t>
        </is>
      </c>
      <c r="DP85" s="429" t="n"/>
      <c r="DQ85" s="429" t="n"/>
    </row>
    <row r="86" ht="21" customHeight="1">
      <c r="A86" s="688" t="n">
        <v>15</v>
      </c>
      <c r="B86" s="429" t="inlineStr">
        <is>
          <t>LCF12</t>
        </is>
      </c>
      <c r="C86" s="407" t="inlineStr">
        <is>
          <t>VDP command</t>
        </is>
      </c>
      <c r="D86" s="447" t="inlineStr">
        <is>
          <t>Boolean</t>
        </is>
      </c>
      <c r="E86" s="429" t="n"/>
      <c r="F86" s="429">
        <f>'LFD New'!D151</f>
        <v/>
      </c>
      <c r="G86" s="429" t="n"/>
      <c r="H86" s="688" t="n">
        <v>15</v>
      </c>
      <c r="I86" s="688" t="n"/>
      <c r="J86" s="407" t="n"/>
      <c r="K86" s="447" t="inlineStr">
        <is>
          <t>Boolean</t>
        </is>
      </c>
      <c r="L86" s="429" t="n"/>
      <c r="M86" s="688" t="n"/>
      <c r="N86" s="429" t="n"/>
      <c r="DK86" s="429">
        <f>DK85+1</f>
        <v/>
      </c>
      <c r="DL86" s="430" t="inlineStr">
        <is>
          <t>CAB BOOSTER FAN CONTROL 1</t>
        </is>
      </c>
      <c r="DM86" s="429" t="n"/>
      <c r="DN86" s="429" t="inlineStr">
        <is>
          <t>0/1</t>
        </is>
      </c>
      <c r="DO86" s="429" t="inlineStr">
        <is>
          <t>GUI</t>
        </is>
      </c>
      <c r="DP86" s="429" t="n"/>
      <c r="DQ86" s="429" t="n"/>
    </row>
    <row r="87" ht="21" customHeight="1">
      <c r="A87" s="688" t="n">
        <v>16</v>
      </c>
      <c r="B87" s="429" t="inlineStr">
        <is>
          <t>LCF14</t>
        </is>
      </c>
      <c r="C87" s="407" t="inlineStr">
        <is>
          <t>HVAC system status</t>
        </is>
      </c>
      <c r="D87" s="447" t="inlineStr">
        <is>
          <t>Boolean</t>
        </is>
      </c>
      <c r="E87" s="429" t="n"/>
      <c r="F87" s="429">
        <f>'LFD New'!D2</f>
        <v/>
      </c>
      <c r="G87" s="429" t="n"/>
      <c r="H87" s="688" t="n">
        <v>16</v>
      </c>
      <c r="I87" s="688" t="n"/>
      <c r="J87" s="407" t="n"/>
      <c r="K87" s="447" t="inlineStr">
        <is>
          <t>Boolean</t>
        </is>
      </c>
      <c r="L87" s="429" t="n"/>
      <c r="M87" s="688" t="n"/>
      <c r="N87" s="429" t="n"/>
      <c r="DK87" s="429">
        <f>DK86+1</f>
        <v/>
      </c>
      <c r="DL87" s="430" t="inlineStr">
        <is>
          <t>CAB BOOSTER FAN CONTROL 2</t>
        </is>
      </c>
      <c r="DM87" s="429" t="n"/>
      <c r="DN87" s="429" t="inlineStr">
        <is>
          <t>0/1</t>
        </is>
      </c>
      <c r="DO87" s="429" t="inlineStr">
        <is>
          <t>GUI</t>
        </is>
      </c>
      <c r="DP87" s="429" t="n"/>
      <c r="DQ87" s="429" t="n"/>
    </row>
    <row r="88" ht="21" customHeight="1">
      <c r="A88" s="688" t="n">
        <v>17</v>
      </c>
      <c r="B88" s="429" t="n"/>
      <c r="C88" s="407" t="n"/>
      <c r="D88" s="447" t="inlineStr">
        <is>
          <t>Boolean</t>
        </is>
      </c>
      <c r="E88" s="429" t="n"/>
      <c r="F88" s="429" t="n"/>
      <c r="G88" s="429" t="n"/>
      <c r="H88" s="688" t="n">
        <v>17</v>
      </c>
      <c r="I88" s="688" t="n"/>
      <c r="J88" s="407" t="n"/>
      <c r="K88" s="447" t="inlineStr">
        <is>
          <t>Boolean</t>
        </is>
      </c>
      <c r="L88" s="429" t="n"/>
      <c r="M88" s="688" t="n"/>
      <c r="N88" s="429" t="n"/>
      <c r="DK88" s="429">
        <f>DK87+1</f>
        <v/>
      </c>
      <c r="DL88" s="430" t="inlineStr">
        <is>
          <t>PROPULSION CONTROL 1</t>
        </is>
      </c>
      <c r="DM88" s="429" t="n"/>
      <c r="DN88" s="429" t="inlineStr">
        <is>
          <t>0/1</t>
        </is>
      </c>
      <c r="DO88" s="429" t="inlineStr">
        <is>
          <t>GUI</t>
        </is>
      </c>
      <c r="DP88" s="429" t="n"/>
      <c r="DQ88" s="429" t="n"/>
    </row>
    <row r="89" ht="21" customHeight="1">
      <c r="A89" s="688" t="n">
        <v>18</v>
      </c>
      <c r="B89" s="429" t="inlineStr">
        <is>
          <t>LCF01</t>
        </is>
      </c>
      <c r="C89" s="407" t="inlineStr">
        <is>
          <t>APS_1_ok</t>
        </is>
      </c>
      <c r="D89" s="447" t="inlineStr">
        <is>
          <t>Boolean</t>
        </is>
      </c>
      <c r="E89" s="429" t="n"/>
      <c r="F89" s="429">
        <f>'LFD New'!D6</f>
        <v/>
      </c>
      <c r="G89" s="429" t="n"/>
      <c r="H89" s="688" t="n">
        <v>18</v>
      </c>
      <c r="I89" s="688" t="inlineStr">
        <is>
          <t>LFC05</t>
        </is>
      </c>
      <c r="J89" s="407" t="inlineStr">
        <is>
          <t>START_allow</t>
        </is>
      </c>
      <c r="K89" s="447" t="inlineStr">
        <is>
          <t>Boolean</t>
        </is>
      </c>
      <c r="L89" s="429">
        <f>'LFD OLD'!R58</f>
        <v/>
      </c>
      <c r="M89" s="688" t="inlineStr">
        <is>
          <t>0</t>
        </is>
      </c>
      <c r="N89" s="429" t="n"/>
      <c r="BK89" s="321" t="n"/>
      <c r="DK89" s="429">
        <f>DK88+1</f>
        <v/>
      </c>
      <c r="DL89" s="430" t="inlineStr">
        <is>
          <t>PROPULSION CONTROL 2</t>
        </is>
      </c>
      <c r="DM89" s="429" t="n"/>
      <c r="DN89" s="429" t="inlineStr">
        <is>
          <t>0/1</t>
        </is>
      </c>
      <c r="DO89" s="429" t="inlineStr">
        <is>
          <t>GUI</t>
        </is>
      </c>
      <c r="DP89" s="429" t="n"/>
      <c r="DQ89" s="429" t="n"/>
    </row>
    <row r="90" ht="21" customHeight="1">
      <c r="A90" s="688" t="n">
        <v>19</v>
      </c>
      <c r="B90" s="429" t="inlineStr">
        <is>
          <t>LCF02</t>
        </is>
      </c>
      <c r="C90" s="407" t="inlineStr">
        <is>
          <t>APS_2_ok</t>
        </is>
      </c>
      <c r="D90" s="447" t="inlineStr">
        <is>
          <t>Boolean</t>
        </is>
      </c>
      <c r="E90" s="429" t="n"/>
      <c r="F90" s="429">
        <f>'LFD New'!D7</f>
        <v/>
      </c>
      <c r="G90" s="429" t="n"/>
      <c r="H90" s="688" t="n">
        <v>19</v>
      </c>
      <c r="I90" s="688" t="inlineStr">
        <is>
          <t>LFC06</t>
        </is>
      </c>
      <c r="J90" s="407" t="inlineStr">
        <is>
          <t>Comp_1_Start</t>
        </is>
      </c>
      <c r="K90" s="447" t="inlineStr">
        <is>
          <t>Boolean</t>
        </is>
      </c>
      <c r="L90" s="429">
        <f>'LFD OLD'!R59</f>
        <v/>
      </c>
      <c r="M90" s="688" t="inlineStr">
        <is>
          <t>1</t>
        </is>
      </c>
      <c r="N90" s="429" t="n"/>
      <c r="DK90" s="429">
        <f>DK89+1</f>
        <v/>
      </c>
      <c r="DL90" s="430" t="inlineStr">
        <is>
          <t>KEY CONTROL</t>
        </is>
      </c>
      <c r="DM90" s="429" t="n"/>
      <c r="DN90" s="429" t="inlineStr">
        <is>
          <t>0/1</t>
        </is>
      </c>
      <c r="DO90" s="429" t="inlineStr">
        <is>
          <t>GUI</t>
        </is>
      </c>
      <c r="DP90" s="429" t="n"/>
      <c r="DQ90" s="429" t="n"/>
    </row>
    <row r="91" ht="21" customHeight="1">
      <c r="A91" s="688" t="n">
        <v>20</v>
      </c>
      <c r="B91" s="429" t="inlineStr">
        <is>
          <t>LCF03</t>
        </is>
      </c>
      <c r="C91" s="407" t="inlineStr">
        <is>
          <t>LFC 03</t>
        </is>
      </c>
      <c r="D91" s="447" t="inlineStr">
        <is>
          <t>Boolean</t>
        </is>
      </c>
      <c r="E91" s="429" t="n"/>
      <c r="F91" s="429" t="n"/>
      <c r="G91" s="429" t="n"/>
      <c r="H91" s="688" t="n">
        <v>20</v>
      </c>
      <c r="I91" s="688" t="inlineStr">
        <is>
          <t>LFC08</t>
        </is>
      </c>
      <c r="J91" s="407" t="inlineStr">
        <is>
          <t>Comp_2_Start</t>
        </is>
      </c>
      <c r="K91" s="447" t="inlineStr">
        <is>
          <t>Boolean</t>
        </is>
      </c>
      <c r="L91" s="429">
        <f>'LFD OLD'!R61</f>
        <v/>
      </c>
      <c r="M91" s="688" t="inlineStr">
        <is>
          <t>1</t>
        </is>
      </c>
      <c r="N91" s="429" t="n"/>
      <c r="DK91" s="429">
        <f>DK90+1</f>
        <v/>
      </c>
      <c r="DL91" s="430" t="inlineStr">
        <is>
          <t>MODE SELECTOR CONTROL</t>
        </is>
      </c>
      <c r="DM91" s="429" t="n"/>
      <c r="DN91" s="429" t="inlineStr">
        <is>
          <t>0/1</t>
        </is>
      </c>
      <c r="DO91" s="429" t="inlineStr">
        <is>
          <t>GUI</t>
        </is>
      </c>
      <c r="DP91" s="429" t="n"/>
      <c r="DQ91" s="429" t="n"/>
    </row>
    <row r="92" ht="21" customHeight="1">
      <c r="A92" s="688" t="n">
        <v>21</v>
      </c>
      <c r="B92" s="429" t="inlineStr">
        <is>
          <t>LCF04</t>
        </is>
      </c>
      <c r="C92" s="407" t="inlineStr">
        <is>
          <t>START_Command_TCMS</t>
        </is>
      </c>
      <c r="D92" s="447" t="inlineStr">
        <is>
          <t>Boolean</t>
        </is>
      </c>
      <c r="E92" s="429" t="n"/>
      <c r="F92" s="429">
        <f>'LFD New'!D152</f>
        <v/>
      </c>
      <c r="G92" s="429" t="n"/>
      <c r="H92" s="688" t="n">
        <v>21</v>
      </c>
      <c r="I92" s="688" t="inlineStr">
        <is>
          <t>LFC09</t>
        </is>
      </c>
      <c r="J92" s="407" t="inlineStr">
        <is>
          <t>1_sec_delay</t>
        </is>
      </c>
      <c r="K92" s="447" t="inlineStr">
        <is>
          <t>Boolean</t>
        </is>
      </c>
      <c r="L92" s="429">
        <f>'LFD OLD'!R62</f>
        <v/>
      </c>
      <c r="M92" s="688" t="inlineStr">
        <is>
          <t>1</t>
        </is>
      </c>
      <c r="N92" s="429" t="n"/>
      <c r="DK92" s="429">
        <f>DK91+1</f>
        <v/>
      </c>
      <c r="DL92" s="430" t="inlineStr">
        <is>
          <t>ATB CONTROL</t>
        </is>
      </c>
      <c r="DM92" s="429" t="n"/>
      <c r="DN92" s="429" t="inlineStr">
        <is>
          <t>0/1</t>
        </is>
      </c>
      <c r="DO92" s="429" t="inlineStr">
        <is>
          <t>GUI</t>
        </is>
      </c>
      <c r="DP92" s="429" t="n"/>
      <c r="DQ92" s="429" t="n"/>
    </row>
    <row r="93" ht="21" customHeight="1">
      <c r="A93" s="688" t="n">
        <v>22</v>
      </c>
      <c r="B93" s="429" t="inlineStr">
        <is>
          <t>LFC06</t>
        </is>
      </c>
      <c r="C93" s="407" t="inlineStr">
        <is>
          <t>START_allow</t>
        </is>
      </c>
      <c r="D93" s="447" t="inlineStr">
        <is>
          <t>Boolean</t>
        </is>
      </c>
      <c r="E93" s="429" t="n"/>
      <c r="F93" s="429">
        <f>'LFD New'!D153</f>
        <v/>
      </c>
      <c r="G93" s="429" t="n"/>
      <c r="H93" s="688" t="n">
        <v>22</v>
      </c>
      <c r="I93" s="688" t="inlineStr">
        <is>
          <t>LFC12</t>
        </is>
      </c>
      <c r="J93" s="407" t="inlineStr">
        <is>
          <t>Com_3_start</t>
        </is>
      </c>
      <c r="K93" s="447" t="inlineStr">
        <is>
          <t>Boolean</t>
        </is>
      </c>
      <c r="L93" s="429">
        <f>'LFD OLD'!R63</f>
        <v/>
      </c>
      <c r="M93" s="688" t="inlineStr">
        <is>
          <t>1</t>
        </is>
      </c>
      <c r="N93" s="429" t="n"/>
      <c r="DK93" s="429">
        <f>DK92+1</f>
        <v/>
      </c>
      <c r="DL93" s="430" t="inlineStr">
        <is>
          <t>ATO FEEDBACK/ATO CONTROL</t>
        </is>
      </c>
      <c r="DM93" s="429" t="n"/>
      <c r="DN93" s="429" t="inlineStr">
        <is>
          <t>0/1</t>
        </is>
      </c>
      <c r="DO93" s="429" t="inlineStr">
        <is>
          <t>GUI</t>
        </is>
      </c>
      <c r="DP93" s="429" t="n"/>
      <c r="DQ93" s="429" t="n"/>
    </row>
    <row r="94" ht="21" customHeight="1">
      <c r="A94" s="688" t="n">
        <v>23</v>
      </c>
      <c r="B94" s="429" t="inlineStr">
        <is>
          <t>LFC10</t>
        </is>
      </c>
      <c r="C94" s="407" t="inlineStr">
        <is>
          <t>Comp_2_Start</t>
        </is>
      </c>
      <c r="D94" s="447" t="inlineStr">
        <is>
          <t>Boolean</t>
        </is>
      </c>
      <c r="E94" s="429" t="n"/>
      <c r="F94" s="429">
        <f>'LFD New'!D154</f>
        <v/>
      </c>
      <c r="G94" s="429" t="n"/>
      <c r="H94" s="688" t="n">
        <v>23</v>
      </c>
      <c r="I94" s="688" t="inlineStr">
        <is>
          <t>LFC13</t>
        </is>
      </c>
      <c r="J94" s="407" t="inlineStr">
        <is>
          <t>1_sec_delay</t>
        </is>
      </c>
      <c r="K94" s="447" t="inlineStr">
        <is>
          <t>Boolean</t>
        </is>
      </c>
      <c r="L94" s="429">
        <f>'LFD OLD'!R64</f>
        <v/>
      </c>
      <c r="M94" s="688" t="inlineStr">
        <is>
          <t>1</t>
        </is>
      </c>
      <c r="N94" s="429" t="n"/>
      <c r="DK94" s="429">
        <f>DK93+1</f>
        <v/>
      </c>
      <c r="DL94" s="430" t="inlineStr">
        <is>
          <t>COUPLER CONTROL</t>
        </is>
      </c>
      <c r="DM94" s="429" t="n"/>
      <c r="DN94" s="429" t="inlineStr">
        <is>
          <t>0/1</t>
        </is>
      </c>
      <c r="DO94" s="429" t="inlineStr">
        <is>
          <t>GUI</t>
        </is>
      </c>
      <c r="DP94" s="429" t="n"/>
      <c r="DQ94" s="429" t="n"/>
    </row>
    <row r="95" ht="21" customHeight="1">
      <c r="A95" s="688" t="n">
        <v>24</v>
      </c>
      <c r="B95" s="429" t="inlineStr">
        <is>
          <t>LFC11</t>
        </is>
      </c>
      <c r="C95" s="407" t="inlineStr">
        <is>
          <t>Load_Cooling_Level_5</t>
        </is>
      </c>
      <c r="D95" s="447" t="inlineStr">
        <is>
          <t>Boolean</t>
        </is>
      </c>
      <c r="E95" s="429" t="n"/>
      <c r="F95" s="429">
        <f>'LFD New'!D155</f>
        <v/>
      </c>
      <c r="G95" s="429" t="n"/>
      <c r="H95" s="688" t="n">
        <v>24</v>
      </c>
      <c r="I95" s="688" t="inlineStr">
        <is>
          <t>LFC16</t>
        </is>
      </c>
      <c r="J95" s="407" t="inlineStr">
        <is>
          <t>comp_4_start</t>
        </is>
      </c>
      <c r="K95" s="447" t="inlineStr">
        <is>
          <t>Boolean</t>
        </is>
      </c>
      <c r="L95" s="429">
        <f>'LFD OLD'!R65</f>
        <v/>
      </c>
      <c r="M95" s="688" t="inlineStr">
        <is>
          <t>0</t>
        </is>
      </c>
      <c r="N95" s="429" t="n"/>
      <c r="DK95" s="429">
        <f>DK94+1</f>
        <v/>
      </c>
      <c r="DL95" s="430" t="inlineStr">
        <is>
          <t>BRAKE ELECTRONIC CONTROL 2</t>
        </is>
      </c>
      <c r="DM95" s="429" t="n"/>
      <c r="DN95" s="429" t="inlineStr">
        <is>
          <t>0/1</t>
        </is>
      </c>
      <c r="DO95" s="429" t="inlineStr">
        <is>
          <t>GUI</t>
        </is>
      </c>
      <c r="DP95" s="429" t="n"/>
      <c r="DQ95" s="429" t="n"/>
    </row>
    <row r="96" ht="21" customHeight="1">
      <c r="A96" s="688" t="n">
        <v>25</v>
      </c>
      <c r="B96" s="429" t="inlineStr">
        <is>
          <t>LFC14</t>
        </is>
      </c>
      <c r="C96" s="407" t="inlineStr">
        <is>
          <t>Comp_3_Start</t>
        </is>
      </c>
      <c r="D96" s="447" t="inlineStr">
        <is>
          <t>Boolean</t>
        </is>
      </c>
      <c r="E96" s="429" t="n"/>
      <c r="F96" s="429">
        <f>'LFD New'!D156</f>
        <v/>
      </c>
      <c r="G96" s="429" t="n"/>
      <c r="H96" s="688" t="n">
        <v>25</v>
      </c>
      <c r="I96" s="688" t="inlineStr">
        <is>
          <t>LFC17</t>
        </is>
      </c>
      <c r="J96" s="407" t="n"/>
      <c r="K96" s="447" t="inlineStr">
        <is>
          <t>Boolean</t>
        </is>
      </c>
      <c r="M96" s="688" t="inlineStr">
        <is>
          <t>0</t>
        </is>
      </c>
      <c r="N96" s="429" t="n"/>
      <c r="DK96" s="429">
        <f>DK95+1</f>
        <v/>
      </c>
      <c r="DL96" s="430" t="inlineStr">
        <is>
          <t>BRAKER CONTROL 1</t>
        </is>
      </c>
      <c r="DM96" s="429" t="n"/>
      <c r="DN96" s="429" t="inlineStr">
        <is>
          <t>0/1</t>
        </is>
      </c>
      <c r="DO96" s="429" t="inlineStr">
        <is>
          <t>GUI</t>
        </is>
      </c>
      <c r="DP96" s="429" t="n"/>
      <c r="DQ96" s="429" t="n"/>
    </row>
    <row r="97" ht="21" customHeight="1">
      <c r="A97" s="688" t="n">
        <v>26</v>
      </c>
      <c r="B97" s="429" t="inlineStr">
        <is>
          <t>LFC15</t>
        </is>
      </c>
      <c r="C97" s="407" t="inlineStr">
        <is>
          <t>Load_Cooling_level_7</t>
        </is>
      </c>
      <c r="D97" s="447" t="inlineStr">
        <is>
          <t>Boolean</t>
        </is>
      </c>
      <c r="E97" s="429" t="n"/>
      <c r="F97" s="429">
        <f>'LFD New'!D157</f>
        <v/>
      </c>
      <c r="G97" s="429" t="n"/>
      <c r="H97" s="688" t="n">
        <v>26</v>
      </c>
      <c r="I97" s="688" t="n"/>
      <c r="J97" s="407" t="n"/>
      <c r="K97" s="447" t="inlineStr">
        <is>
          <t>Boolean</t>
        </is>
      </c>
      <c r="L97" s="429" t="n"/>
      <c r="M97" s="688" t="n"/>
      <c r="N97" s="429" t="n"/>
      <c r="DK97" s="429">
        <f>DK96+1</f>
        <v/>
      </c>
      <c r="DL97" s="430" t="inlineStr">
        <is>
          <t>ATO MODE</t>
        </is>
      </c>
      <c r="DM97" s="429" t="n"/>
      <c r="DN97" s="429" t="inlineStr">
        <is>
          <t>0/1</t>
        </is>
      </c>
      <c r="DO97" s="429" t="inlineStr">
        <is>
          <t>GUI</t>
        </is>
      </c>
      <c r="DP97" s="429" t="n"/>
      <c r="DQ97" s="429" t="n"/>
    </row>
    <row r="98" ht="21" customHeight="1">
      <c r="A98" s="688" t="n">
        <v>27</v>
      </c>
      <c r="B98" s="429" t="n"/>
      <c r="C98" s="407" t="n"/>
      <c r="D98" s="447" t="inlineStr">
        <is>
          <t>Boolean</t>
        </is>
      </c>
      <c r="E98" s="429" t="n"/>
      <c r="F98" s="429" t="n"/>
      <c r="G98" s="429" t="n"/>
      <c r="H98" s="688" t="n">
        <v>27</v>
      </c>
      <c r="I98" s="688" t="n"/>
      <c r="J98" s="407" t="n"/>
      <c r="K98" s="447" t="inlineStr">
        <is>
          <t>Boolean</t>
        </is>
      </c>
      <c r="L98" s="429" t="n"/>
      <c r="M98" s="688" t="n"/>
      <c r="N98" s="429" t="n"/>
      <c r="DK98" s="429">
        <f>DK97+1</f>
        <v/>
      </c>
      <c r="DL98" s="430" t="inlineStr">
        <is>
          <t>EMERGENCY BRAKE LOOP</t>
        </is>
      </c>
      <c r="DM98" s="429" t="n"/>
      <c r="DN98" s="429" t="inlineStr">
        <is>
          <t>0/1</t>
        </is>
      </c>
      <c r="DO98" s="429" t="inlineStr">
        <is>
          <t>GUI</t>
        </is>
      </c>
      <c r="DP98" s="429" t="n"/>
      <c r="DQ98" s="429" t="n"/>
    </row>
    <row r="99" ht="21" customHeight="1">
      <c r="A99" s="688" t="n">
        <v>28</v>
      </c>
      <c r="B99" s="429" t="inlineStr">
        <is>
          <t>LFC01</t>
        </is>
      </c>
      <c r="C99" s="407" t="inlineStr">
        <is>
          <t>HVAC1_SMDR_de-energized</t>
        </is>
      </c>
      <c r="D99" s="447" t="inlineStr">
        <is>
          <t>Boolean</t>
        </is>
      </c>
      <c r="E99" s="429" t="n"/>
      <c r="F99" s="429">
        <f>'LFD New'!D148</f>
        <v/>
      </c>
      <c r="G99" s="429" t="n"/>
      <c r="H99" s="688" t="n">
        <v>28</v>
      </c>
      <c r="I99" s="688" t="inlineStr">
        <is>
          <t>LFC08</t>
        </is>
      </c>
      <c r="J99" s="407" t="inlineStr">
        <is>
          <t>Command_compressor_1_OFF</t>
        </is>
      </c>
      <c r="K99" s="447" t="inlineStr">
        <is>
          <t>Boolean</t>
        </is>
      </c>
      <c r="L99" s="429">
        <f>'LFD OLD'!R74</f>
        <v/>
      </c>
      <c r="M99" s="688" t="inlineStr">
        <is>
          <t>0</t>
        </is>
      </c>
      <c r="N99" s="429" t="n"/>
      <c r="DK99" s="429">
        <f>DK98+1</f>
        <v/>
      </c>
      <c r="DL99" s="430" t="inlineStr">
        <is>
          <t>BRAKE CONTROL 2</t>
        </is>
      </c>
      <c r="DM99" s="429" t="n"/>
      <c r="DN99" s="429" t="inlineStr">
        <is>
          <t>0/1</t>
        </is>
      </c>
      <c r="DO99" s="429" t="inlineStr">
        <is>
          <t>GUI</t>
        </is>
      </c>
      <c r="DP99" s="429" t="n"/>
      <c r="DQ99" s="429" t="n"/>
    </row>
    <row r="100" ht="21" customHeight="1">
      <c r="A100" s="688" t="n">
        <v>29</v>
      </c>
      <c r="B100" s="429" t="inlineStr">
        <is>
          <t>LFC02</t>
        </is>
      </c>
      <c r="C100" s="407" t="inlineStr">
        <is>
          <t>HVAC2_SMDR_de-energized</t>
        </is>
      </c>
      <c r="D100" s="447" t="inlineStr">
        <is>
          <t>Boolean</t>
        </is>
      </c>
      <c r="E100" s="429" t="n"/>
      <c r="F100" s="429">
        <f>'LFD New'!D149</f>
        <v/>
      </c>
      <c r="G100" s="429" t="n"/>
      <c r="H100" s="688" t="n">
        <v>29</v>
      </c>
      <c r="I100" s="688" t="inlineStr">
        <is>
          <t>LFC09</t>
        </is>
      </c>
      <c r="J100" s="407" t="inlineStr">
        <is>
          <t>Command_compressor_2_OFF</t>
        </is>
      </c>
      <c r="K100" s="447" t="inlineStr">
        <is>
          <t>Boolean</t>
        </is>
      </c>
      <c r="L100" s="429">
        <f>'LFD OLD'!R75</f>
        <v/>
      </c>
      <c r="M100" s="688" t="inlineStr">
        <is>
          <t>0</t>
        </is>
      </c>
      <c r="N100" s="429" t="n"/>
      <c r="DK100" s="429">
        <f>DK99+1</f>
        <v/>
      </c>
      <c r="DL100" s="430" t="inlineStr">
        <is>
          <t>MASTER CONTROLLER CONTROL</t>
        </is>
      </c>
      <c r="DM100" s="429" t="n"/>
      <c r="DN100" s="429" t="inlineStr">
        <is>
          <t>0/1</t>
        </is>
      </c>
      <c r="DO100" s="429" t="inlineStr">
        <is>
          <t>GUI</t>
        </is>
      </c>
      <c r="DP100" s="429" t="n"/>
      <c r="DQ100" s="429" t="n"/>
    </row>
    <row r="101" ht="21" customHeight="1">
      <c r="A101" s="688" t="n">
        <v>30</v>
      </c>
      <c r="B101" s="429" t="inlineStr">
        <is>
          <t>LFC03</t>
        </is>
      </c>
      <c r="C101" s="407" t="inlineStr">
        <is>
          <t>SMRR_relay_reset</t>
        </is>
      </c>
      <c r="D101" s="447" t="inlineStr">
        <is>
          <t>Boolean</t>
        </is>
      </c>
      <c r="E101" s="429" t="n"/>
      <c r="F101" s="429">
        <f>'LFD New'!D150</f>
        <v/>
      </c>
      <c r="G101" s="429" t="n"/>
      <c r="H101" s="688" t="n">
        <v>30</v>
      </c>
      <c r="I101" s="688" t="inlineStr">
        <is>
          <t>LFC10</t>
        </is>
      </c>
      <c r="J101" s="407" t="inlineStr">
        <is>
          <t>Command_compressor_1_OFF</t>
        </is>
      </c>
      <c r="K101" s="447" t="inlineStr">
        <is>
          <t>Boolean</t>
        </is>
      </c>
      <c r="L101" s="429">
        <f>'LFD OLD'!R76</f>
        <v/>
      </c>
      <c r="M101" s="688" t="inlineStr">
        <is>
          <t>0</t>
        </is>
      </c>
      <c r="N101" s="429" t="n"/>
      <c r="BK101" s="321" t="n"/>
      <c r="DK101" s="429">
        <f>DK100+1</f>
        <v/>
      </c>
      <c r="DL101" s="430" t="inlineStr">
        <is>
          <t>HORN CONTROL</t>
        </is>
      </c>
      <c r="DM101" s="429" t="n"/>
      <c r="DN101" s="429" t="inlineStr">
        <is>
          <t>0/1</t>
        </is>
      </c>
      <c r="DO101" s="429" t="inlineStr">
        <is>
          <t>GUI</t>
        </is>
      </c>
      <c r="DP101" s="429" t="n"/>
      <c r="DQ101" s="429" t="n"/>
    </row>
    <row r="102" ht="21" customHeight="1">
      <c r="A102" s="688" t="n">
        <v>31</v>
      </c>
      <c r="B102" s="429" t="n"/>
      <c r="C102" s="407" t="n"/>
      <c r="D102" s="447" t="inlineStr">
        <is>
          <t>Boolean</t>
        </is>
      </c>
      <c r="E102" s="429" t="n"/>
      <c r="F102" s="429" t="n"/>
      <c r="G102" s="429" t="n"/>
      <c r="H102" s="688" t="n"/>
      <c r="I102" s="688" t="inlineStr">
        <is>
          <t>LFC11</t>
        </is>
      </c>
      <c r="J102" s="407" t="inlineStr">
        <is>
          <t>Command_compressor_2_OFF</t>
        </is>
      </c>
      <c r="K102" s="447" t="inlineStr">
        <is>
          <t>Boolean</t>
        </is>
      </c>
      <c r="L102" s="429">
        <f>'LFD OLD'!R77</f>
        <v/>
      </c>
      <c r="M102" s="688" t="inlineStr">
        <is>
          <t>0</t>
        </is>
      </c>
      <c r="N102" s="429" t="n"/>
      <c r="BK102" s="321" t="n"/>
      <c r="DK102" s="429">
        <f>DK101+1</f>
        <v/>
      </c>
      <c r="DL102" s="430" t="inlineStr">
        <is>
          <t>ATC BYPASS</t>
        </is>
      </c>
      <c r="DM102" s="429" t="n"/>
      <c r="DN102" s="429" t="inlineStr">
        <is>
          <t>0/1</t>
        </is>
      </c>
      <c r="DO102" s="429" t="inlineStr">
        <is>
          <t>GUI</t>
        </is>
      </c>
      <c r="DP102" s="429" t="n"/>
      <c r="DQ102" s="429" t="n"/>
    </row>
    <row r="103" ht="21" customHeight="1">
      <c r="A103" s="688" t="n">
        <v>32</v>
      </c>
      <c r="B103" s="429" t="n"/>
      <c r="C103" s="407" t="n"/>
      <c r="D103" s="447" t="inlineStr">
        <is>
          <t>Boolean</t>
        </is>
      </c>
      <c r="E103" s="429" t="n"/>
      <c r="F103" s="429" t="n"/>
      <c r="G103" s="429" t="n"/>
      <c r="H103" s="688" t="n"/>
      <c r="I103" s="688" t="inlineStr">
        <is>
          <t>LFC12</t>
        </is>
      </c>
      <c r="J103" s="407" t="inlineStr">
        <is>
          <t>Command_return_air_damper_Close</t>
        </is>
      </c>
      <c r="K103" s="447" t="inlineStr">
        <is>
          <t>Boolean</t>
        </is>
      </c>
      <c r="L103" s="429">
        <f>'LFD OLD'!R78</f>
        <v/>
      </c>
      <c r="M103" s="688" t="inlineStr">
        <is>
          <t>0</t>
        </is>
      </c>
      <c r="N103" s="429" t="n"/>
      <c r="BK103" s="321" t="n"/>
      <c r="DK103" s="429">
        <f>DK102+1</f>
        <v/>
      </c>
      <c r="DL103" s="430" t="inlineStr">
        <is>
          <t>FULL SERVICE BRAKE</t>
        </is>
      </c>
      <c r="DM103" s="429" t="n"/>
      <c r="DN103" s="429" t="inlineStr">
        <is>
          <t>0/1</t>
        </is>
      </c>
      <c r="DO103" s="429" t="inlineStr">
        <is>
          <t>GUI</t>
        </is>
      </c>
      <c r="DP103" s="429" t="n"/>
      <c r="DQ103" s="429" t="n"/>
    </row>
    <row r="104" ht="21" customHeight="1">
      <c r="A104" s="688" t="n">
        <v>33</v>
      </c>
      <c r="B104" s="429" t="n"/>
      <c r="C104" s="407" t="n"/>
      <c r="D104" s="447" t="inlineStr">
        <is>
          <t>Boolean</t>
        </is>
      </c>
      <c r="E104" s="429" t="n"/>
      <c r="F104" s="429" t="n"/>
      <c r="G104" s="429" t="n"/>
      <c r="H104" s="688" t="n"/>
      <c r="I104" s="688" t="inlineStr">
        <is>
          <t>LFC13</t>
        </is>
      </c>
      <c r="J104" s="407" t="inlineStr">
        <is>
          <t>Command_supply_air_fan_OFF</t>
        </is>
      </c>
      <c r="K104" s="447" t="inlineStr">
        <is>
          <t>Boolean</t>
        </is>
      </c>
      <c r="L104" s="429">
        <f>'LFD OLD'!R79</f>
        <v/>
      </c>
      <c r="M104" s="688" t="inlineStr">
        <is>
          <t>0</t>
        </is>
      </c>
      <c r="N104" s="429" t="n"/>
      <c r="BK104" s="321" t="n"/>
      <c r="DK104" s="429">
        <f>DK103+1</f>
        <v/>
      </c>
      <c r="DL104" s="430" t="inlineStr">
        <is>
          <t>MOP CONTROL</t>
        </is>
      </c>
      <c r="DM104" s="429" t="n"/>
      <c r="DN104" s="429" t="inlineStr">
        <is>
          <t>0/1</t>
        </is>
      </c>
      <c r="DO104" s="429" t="inlineStr">
        <is>
          <t>GUI</t>
        </is>
      </c>
      <c r="DP104" s="429" t="n"/>
      <c r="DQ104" s="429" t="n"/>
    </row>
    <row r="105" ht="21" customHeight="1">
      <c r="A105" s="688" t="n">
        <v>34</v>
      </c>
      <c r="B105" s="429" t="n"/>
      <c r="C105" s="407" t="n"/>
      <c r="D105" s="447" t="inlineStr">
        <is>
          <t>Boolean</t>
        </is>
      </c>
      <c r="E105" s="429" t="n"/>
      <c r="F105" s="429" t="n"/>
      <c r="G105" s="429" t="n"/>
      <c r="H105" s="688" t="n"/>
      <c r="I105" s="688" t="inlineStr">
        <is>
          <t>LFC15</t>
        </is>
      </c>
      <c r="J105" s="407" t="inlineStr">
        <is>
          <t>Command_fresh_air_damper_Close</t>
        </is>
      </c>
      <c r="K105" s="447" t="inlineStr">
        <is>
          <t>Boolean</t>
        </is>
      </c>
      <c r="L105" s="429">
        <f>'LFD OLD'!R80</f>
        <v/>
      </c>
      <c r="M105" s="688" t="inlineStr">
        <is>
          <t>1</t>
        </is>
      </c>
      <c r="N105" s="429" t="n"/>
      <c r="BK105" s="321" t="n"/>
      <c r="DK105" s="429">
        <f>DK104+1</f>
        <v/>
      </c>
      <c r="DL105" s="430" t="inlineStr">
        <is>
          <t>DRIVER DESK FAN</t>
        </is>
      </c>
      <c r="DM105" s="429" t="n"/>
      <c r="DN105" s="429" t="inlineStr">
        <is>
          <t>0/1</t>
        </is>
      </c>
      <c r="DO105" s="429" t="inlineStr">
        <is>
          <t>GUI</t>
        </is>
      </c>
      <c r="DP105" s="429" t="n"/>
      <c r="DQ105" s="429" t="n"/>
    </row>
    <row r="106" ht="21" customHeight="1">
      <c r="A106" s="688" t="n">
        <v>35</v>
      </c>
      <c r="B106" s="429" t="n"/>
      <c r="C106" s="407" t="n"/>
      <c r="D106" s="447" t="inlineStr">
        <is>
          <t>Boolean</t>
        </is>
      </c>
      <c r="E106" s="429" t="n"/>
      <c r="F106" s="429" t="n"/>
      <c r="G106" s="429" t="n"/>
      <c r="H106" s="688" t="n"/>
      <c r="I106" s="688" t="inlineStr">
        <is>
          <t>LFC16</t>
        </is>
      </c>
      <c r="J106" s="407" t="inlineStr">
        <is>
          <t>FADR_close_full_train</t>
        </is>
      </c>
      <c r="K106" s="447" t="inlineStr">
        <is>
          <t>Boolean</t>
        </is>
      </c>
      <c r="L106" s="429">
        <f>'LFD OLD'!R81</f>
        <v/>
      </c>
      <c r="M106" s="688" t="inlineStr">
        <is>
          <t>0</t>
        </is>
      </c>
      <c r="N106" s="429" t="n"/>
      <c r="BK106" s="321" t="n"/>
      <c r="DK106" s="429">
        <f>DK105+1</f>
        <v/>
      </c>
      <c r="DL106" s="430" t="inlineStr">
        <is>
          <t>DMI POWER</t>
        </is>
      </c>
      <c r="DM106" s="429" t="n"/>
      <c r="DN106" s="429" t="inlineStr">
        <is>
          <t>0/1</t>
        </is>
      </c>
      <c r="DO106" s="429" t="inlineStr">
        <is>
          <t>GUI</t>
        </is>
      </c>
      <c r="DP106" s="429" t="n"/>
      <c r="DQ106" s="429" t="n"/>
    </row>
    <row r="107" ht="21" customHeight="1">
      <c r="A107" s="688" t="n">
        <v>36</v>
      </c>
      <c r="B107" s="429" t="n"/>
      <c r="C107" s="407" t="n"/>
      <c r="D107" s="447" t="inlineStr">
        <is>
          <t>Boolean</t>
        </is>
      </c>
      <c r="E107" s="429" t="n"/>
      <c r="F107" s="429" t="n"/>
      <c r="G107" s="429" t="n"/>
      <c r="H107" s="688" t="n"/>
      <c r="I107" s="688" t="n"/>
      <c r="J107" s="407" t="n"/>
      <c r="K107" s="447" t="inlineStr">
        <is>
          <t>Boolean</t>
        </is>
      </c>
      <c r="L107" s="429" t="n"/>
      <c r="M107" s="688" t="n"/>
      <c r="N107" s="429" t="n"/>
      <c r="BK107" s="321" t="n"/>
      <c r="DK107" s="429">
        <f>DK106+1</f>
        <v/>
      </c>
      <c r="DL107" s="430" t="inlineStr">
        <is>
          <t>ATC POWER SUPPLY CONTROL</t>
        </is>
      </c>
      <c r="DM107" s="429" t="n"/>
      <c r="DN107" s="429" t="inlineStr">
        <is>
          <t>0/1</t>
        </is>
      </c>
      <c r="DO107" s="429" t="inlineStr">
        <is>
          <t>GUI</t>
        </is>
      </c>
      <c r="DP107" s="429" t="n"/>
      <c r="DQ107" s="429" t="n"/>
    </row>
    <row r="108" ht="21" customHeight="1">
      <c r="A108" s="688" t="n">
        <v>37</v>
      </c>
      <c r="B108" s="429" t="inlineStr">
        <is>
          <t>LFC01</t>
        </is>
      </c>
      <c r="C108" s="407" t="inlineStr">
        <is>
          <t>Inside_smoke_active(FDU_low)</t>
        </is>
      </c>
      <c r="D108" s="447" t="inlineStr">
        <is>
          <t>Boolean</t>
        </is>
      </c>
      <c r="E108" s="429" t="n"/>
      <c r="F108" s="429">
        <f>F28</f>
        <v/>
      </c>
      <c r="G108" s="429" t="n"/>
      <c r="H108" s="688" t="n">
        <v>31</v>
      </c>
      <c r="I108" s="688" t="inlineStr">
        <is>
          <t>LFC06</t>
        </is>
      </c>
      <c r="J108" s="407" t="inlineStr">
        <is>
          <t>Command_compressor_1_OFF</t>
        </is>
      </c>
      <c r="K108" s="447" t="inlineStr">
        <is>
          <t>Boolean</t>
        </is>
      </c>
      <c r="L108" s="429">
        <f>'LFD OLD'!R90</f>
        <v/>
      </c>
      <c r="M108" s="688" t="inlineStr">
        <is>
          <t>0</t>
        </is>
      </c>
      <c r="N108" s="429" t="n"/>
      <c r="DK108" s="429">
        <f>DK107+1</f>
        <v/>
      </c>
      <c r="DL108" s="430" t="inlineStr">
        <is>
          <t>RIGHT DOOR CLOSE RDCB2</t>
        </is>
      </c>
      <c r="DM108" s="429" t="n"/>
      <c r="DN108" s="429" t="inlineStr">
        <is>
          <t>0/1</t>
        </is>
      </c>
      <c r="DO108" s="429" t="inlineStr">
        <is>
          <t>GUI</t>
        </is>
      </c>
      <c r="DP108" s="429" t="n"/>
      <c r="DQ108" s="429" t="n"/>
    </row>
    <row r="109" ht="21" customHeight="1">
      <c r="A109" s="688" t="n">
        <v>38</v>
      </c>
      <c r="B109" s="429" t="inlineStr">
        <is>
          <t>LFC02</t>
        </is>
      </c>
      <c r="C109" s="407" t="inlineStr">
        <is>
          <t>HVAC_in_ON_condition</t>
        </is>
      </c>
      <c r="D109" s="447" t="inlineStr">
        <is>
          <t>Boolean</t>
        </is>
      </c>
      <c r="E109" s="429" t="n"/>
      <c r="F109" s="429">
        <f>'LFD New'!D2</f>
        <v/>
      </c>
      <c r="G109" s="429" t="n"/>
      <c r="H109" s="688" t="n">
        <v>32</v>
      </c>
      <c r="I109" s="688" t="inlineStr">
        <is>
          <t>LFC07</t>
        </is>
      </c>
      <c r="J109" s="407" t="inlineStr">
        <is>
          <t>Command_compressor_2_OFF</t>
        </is>
      </c>
      <c r="K109" s="447" t="inlineStr">
        <is>
          <t>Boolean</t>
        </is>
      </c>
      <c r="L109" s="429">
        <f>'LFD OLD'!R91</f>
        <v/>
      </c>
      <c r="M109" s="688" t="inlineStr">
        <is>
          <t>0</t>
        </is>
      </c>
      <c r="N109" s="429" t="n"/>
      <c r="DK109" s="429">
        <f>DK108+1</f>
        <v/>
      </c>
      <c r="DL109" s="430" t="inlineStr">
        <is>
          <t>RIGHT DOOR CLOSE RDCB3</t>
        </is>
      </c>
      <c r="DM109" s="429" t="n"/>
      <c r="DN109" s="429" t="inlineStr">
        <is>
          <t>0/1</t>
        </is>
      </c>
      <c r="DO109" s="429" t="inlineStr">
        <is>
          <t>GUI</t>
        </is>
      </c>
      <c r="DP109" s="429" t="n"/>
      <c r="DQ109" s="429" t="n"/>
    </row>
    <row r="110" ht="21" customHeight="1">
      <c r="A110" s="688" t="n">
        <v>39</v>
      </c>
      <c r="B110" s="429" t="n"/>
      <c r="C110" s="407" t="n"/>
      <c r="D110" s="447" t="inlineStr">
        <is>
          <t>Boolean</t>
        </is>
      </c>
      <c r="E110" s="429" t="n"/>
      <c r="F110" s="429" t="n"/>
      <c r="G110" s="429" t="n"/>
      <c r="H110" s="688" t="n">
        <v>33</v>
      </c>
      <c r="I110" s="688" t="inlineStr">
        <is>
          <t>LFC08</t>
        </is>
      </c>
      <c r="J110" s="407" t="inlineStr">
        <is>
          <t>Command_compressor_3_OFF</t>
        </is>
      </c>
      <c r="K110" s="447" t="inlineStr">
        <is>
          <t>Boolean</t>
        </is>
      </c>
      <c r="L110" s="429">
        <f>'LFD OLD'!R92</f>
        <v/>
      </c>
      <c r="M110" s="688" t="inlineStr">
        <is>
          <t>0</t>
        </is>
      </c>
      <c r="N110" s="429" t="n"/>
      <c r="DK110" s="429">
        <f>DK109+1</f>
        <v/>
      </c>
      <c r="DL110" s="430" t="inlineStr">
        <is>
          <t>Right Door Enable (PBDER)</t>
        </is>
      </c>
      <c r="DM110" s="429" t="n"/>
      <c r="DN110" s="429" t="inlineStr">
        <is>
          <t>0/1</t>
        </is>
      </c>
      <c r="DO110" s="429" t="inlineStr">
        <is>
          <t>GUI</t>
        </is>
      </c>
      <c r="DP110" s="429" t="n"/>
      <c r="DQ110" s="429" t="n"/>
    </row>
    <row r="111" ht="21" customHeight="1">
      <c r="A111" s="688" t="n">
        <v>40</v>
      </c>
      <c r="B111" s="429" t="n"/>
      <c r="C111" s="407" t="n"/>
      <c r="D111" s="447" t="inlineStr">
        <is>
          <t>Boolean</t>
        </is>
      </c>
      <c r="E111" s="429" t="n"/>
      <c r="F111" s="429" t="n"/>
      <c r="G111" s="429" t="n"/>
      <c r="H111" s="688" t="n">
        <v>34</v>
      </c>
      <c r="I111" s="688" t="inlineStr">
        <is>
          <t>LFC09</t>
        </is>
      </c>
      <c r="J111" s="407" t="inlineStr">
        <is>
          <t>Command_compressor_4_OFF</t>
        </is>
      </c>
      <c r="K111" s="447" t="inlineStr">
        <is>
          <t>Boolean</t>
        </is>
      </c>
      <c r="L111" s="429">
        <f>'LFD OLD'!R93</f>
        <v/>
      </c>
      <c r="M111" s="688" t="inlineStr">
        <is>
          <t>0</t>
        </is>
      </c>
      <c r="N111" s="429" t="n"/>
      <c r="DK111" s="429">
        <f>DK110+1</f>
        <v/>
      </c>
      <c r="DL111" s="430" t="inlineStr">
        <is>
          <t>Right Door Open(RDOB2)</t>
        </is>
      </c>
      <c r="DM111" s="429" t="n"/>
      <c r="DN111" s="429" t="inlineStr">
        <is>
          <t>0/1</t>
        </is>
      </c>
      <c r="DO111" s="429" t="inlineStr">
        <is>
          <t>GUI</t>
        </is>
      </c>
      <c r="DP111" s="429" t="n"/>
      <c r="DQ111" s="429" t="n"/>
    </row>
    <row r="112" ht="21" customHeight="1">
      <c r="A112" s="688" t="n"/>
      <c r="B112" s="429" t="n"/>
      <c r="C112" s="407" t="n"/>
      <c r="D112" s="447" t="inlineStr">
        <is>
          <t>Boolean</t>
        </is>
      </c>
      <c r="E112" s="429" t="n"/>
      <c r="F112" s="429" t="n"/>
      <c r="G112" s="429" t="n"/>
      <c r="H112" s="688" t="n"/>
      <c r="I112" s="688" t="inlineStr">
        <is>
          <t>LFC10</t>
        </is>
      </c>
      <c r="J112" s="407" t="inlineStr">
        <is>
          <t>Command_return_Air_damper_close</t>
        </is>
      </c>
      <c r="K112" s="447" t="inlineStr">
        <is>
          <t>Boolean</t>
        </is>
      </c>
      <c r="L112" s="429">
        <f>'LFD OLD'!R94</f>
        <v/>
      </c>
      <c r="M112" s="688" t="inlineStr">
        <is>
          <t>0</t>
        </is>
      </c>
      <c r="N112" s="429" t="n"/>
      <c r="DK112" s="429">
        <f>DK111+1</f>
        <v/>
      </c>
      <c r="DL112" s="430" t="inlineStr">
        <is>
          <t>Emergency Brake 2(EBB2)</t>
        </is>
      </c>
      <c r="DM112" s="429" t="n"/>
      <c r="DN112" s="429" t="inlineStr">
        <is>
          <t>0/1</t>
        </is>
      </c>
      <c r="DO112" s="429" t="inlineStr">
        <is>
          <t>GUI</t>
        </is>
      </c>
      <c r="DP112" s="429" t="n"/>
      <c r="DQ112" s="429" t="n"/>
    </row>
    <row r="113" ht="21" customHeight="1">
      <c r="A113" s="688" t="n">
        <v>41</v>
      </c>
      <c r="B113" s="429" t="n"/>
      <c r="C113" s="407" t="n"/>
      <c r="D113" s="447" t="inlineStr">
        <is>
          <t>Boolean</t>
        </is>
      </c>
      <c r="E113" s="429" t="n"/>
      <c r="F113" s="429" t="n"/>
      <c r="G113" s="429" t="n"/>
      <c r="H113" s="688" t="n">
        <v>35</v>
      </c>
      <c r="I113" s="688" t="inlineStr">
        <is>
          <t>LFC11</t>
        </is>
      </c>
      <c r="J113" s="407" t="inlineStr">
        <is>
          <t>command_supply_air_fan_OFF</t>
        </is>
      </c>
      <c r="K113" s="447" t="inlineStr">
        <is>
          <t>Boolean</t>
        </is>
      </c>
      <c r="L113" s="429">
        <f>'LFD OLD'!R95</f>
        <v/>
      </c>
      <c r="M113" s="688" t="inlineStr">
        <is>
          <t>0</t>
        </is>
      </c>
      <c r="N113" s="429" t="n"/>
      <c r="DK113" s="429">
        <f>DK112+1</f>
        <v/>
      </c>
      <c r="DL113" s="430" t="inlineStr">
        <is>
          <t>Speed</t>
        </is>
      </c>
      <c r="DM113" s="429" t="n"/>
      <c r="DN113" s="429" t="inlineStr">
        <is>
          <t>0/1</t>
        </is>
      </c>
      <c r="DO113" s="429" t="inlineStr">
        <is>
          <t>GUI</t>
        </is>
      </c>
      <c r="DP113" s="429" t="n"/>
      <c r="DQ113" s="429" t="n"/>
    </row>
    <row r="114" ht="21" customHeight="1" thickBot="1">
      <c r="A114" s="474" t="n">
        <v>42</v>
      </c>
      <c r="B114" s="468" t="n"/>
      <c r="C114" s="475" t="n"/>
      <c r="D114" s="476" t="inlineStr">
        <is>
          <t>Boolean</t>
        </is>
      </c>
      <c r="E114" s="468" t="n"/>
      <c r="F114" s="468" t="n"/>
      <c r="G114" s="468" t="n"/>
      <c r="H114" s="474" t="n">
        <v>36</v>
      </c>
      <c r="I114" s="474" t="inlineStr">
        <is>
          <t>LFC13</t>
        </is>
      </c>
      <c r="J114" s="475" t="inlineStr">
        <is>
          <t>command_fresh_air_damper_close</t>
        </is>
      </c>
      <c r="K114" s="476" t="inlineStr">
        <is>
          <t>Boolean</t>
        </is>
      </c>
      <c r="L114" s="468">
        <f>'LFD OLD'!R96</f>
        <v/>
      </c>
      <c r="M114" s="474" t="inlineStr">
        <is>
          <t>1</t>
        </is>
      </c>
      <c r="N114" s="468" t="n"/>
      <c r="DK114" s="429">
        <f>DK113+1</f>
        <v/>
      </c>
      <c r="DL114" s="430" t="inlineStr">
        <is>
          <t>Maintenance Simulator Independent Mode</t>
        </is>
      </c>
      <c r="DM114" s="429" t="n"/>
      <c r="DN114" s="429" t="inlineStr">
        <is>
          <t>0/1</t>
        </is>
      </c>
      <c r="DO114" s="429" t="inlineStr">
        <is>
          <t>GUI</t>
        </is>
      </c>
      <c r="DP114" s="429" t="n"/>
      <c r="DQ114" s="429" t="n"/>
    </row>
    <row r="115" ht="21" customHeight="1" thickBot="1">
      <c r="A115" s="477" t="n">
        <v>43</v>
      </c>
      <c r="B115" s="478" t="n"/>
      <c r="C115" s="479" t="inlineStr">
        <is>
          <t>Cooling Multiple Stages</t>
        </is>
      </c>
      <c r="D115" s="480" t="inlineStr">
        <is>
          <t>Boolean</t>
        </is>
      </c>
      <c r="E115" s="481" t="n"/>
      <c r="F115" s="481" t="n"/>
      <c r="G115" s="481" t="n"/>
      <c r="H115" s="482" t="n">
        <v>37</v>
      </c>
      <c r="I115" s="482" t="n"/>
      <c r="J115" s="406" t="n"/>
      <c r="K115" s="483" t="inlineStr">
        <is>
          <t>Boolean</t>
        </is>
      </c>
      <c r="L115" s="481" t="n"/>
      <c r="M115" s="482" t="n"/>
      <c r="N115" s="484" t="n"/>
      <c r="DK115" s="429">
        <f>DK114+1</f>
        <v/>
      </c>
      <c r="DL115" s="433" t="inlineStr">
        <is>
          <t>Zero Speed</t>
        </is>
      </c>
      <c r="DM115" s="432" t="n"/>
      <c r="DN115" s="432" t="n"/>
      <c r="DO115" s="432" t="n"/>
      <c r="DP115" s="432" t="n"/>
      <c r="DQ115" s="432" t="inlineStr">
        <is>
          <t>Calculations</t>
        </is>
      </c>
    </row>
    <row r="116" ht="21" customHeight="1">
      <c r="A116" s="485" t="n">
        <v>44</v>
      </c>
      <c r="B116" s="429" t="inlineStr">
        <is>
          <t>LFC01</t>
        </is>
      </c>
      <c r="C116" s="486" t="inlineStr">
        <is>
          <t>HVAC_ON</t>
        </is>
      </c>
      <c r="D116" s="447" t="inlineStr">
        <is>
          <t>Boolean</t>
        </is>
      </c>
      <c r="E116" s="429" t="n"/>
      <c r="F116" s="429">
        <f>'LFD New'!D2</f>
        <v/>
      </c>
      <c r="G116" s="429" t="n"/>
      <c r="H116" s="688" t="n">
        <v>38</v>
      </c>
      <c r="I116" s="688" t="inlineStr">
        <is>
          <t>LFC15</t>
        </is>
      </c>
      <c r="J116" s="407" t="inlineStr">
        <is>
          <t>SAF_ON</t>
        </is>
      </c>
      <c r="K116" s="447" t="inlineStr">
        <is>
          <t>Boolean</t>
        </is>
      </c>
      <c r="L116" s="429">
        <f>'LFD OLD'!R110</f>
        <v/>
      </c>
      <c r="M116" s="688" t="inlineStr">
        <is>
          <t>1</t>
        </is>
      </c>
      <c r="N116" s="487" t="n"/>
      <c r="BK116" s="321" t="n"/>
      <c r="DK116" s="429">
        <f>DK115+1</f>
        <v/>
      </c>
      <c r="DL116" s="433" t="inlineStr">
        <is>
          <t>Speed Input From PTT Math Model</t>
        </is>
      </c>
      <c r="DM116" s="432" t="n"/>
      <c r="DN116" s="432" t="n"/>
      <c r="DO116" s="432" t="n"/>
      <c r="DP116" s="432" t="n"/>
      <c r="DQ116" s="432" t="inlineStr">
        <is>
          <t>Calculations</t>
        </is>
      </c>
    </row>
    <row r="117" ht="21" customHeight="1">
      <c r="A117" s="485" t="n">
        <v>45</v>
      </c>
      <c r="B117" s="429" t="inlineStr">
        <is>
          <t>LFC02</t>
        </is>
      </c>
      <c r="C117" s="407" t="inlineStr">
        <is>
          <t>Cooling_mode selected</t>
        </is>
      </c>
      <c r="D117" s="447" t="inlineStr">
        <is>
          <t>Boolean</t>
        </is>
      </c>
      <c r="E117" s="429" t="n"/>
      <c r="F117" s="429">
        <f>'LFD New'!D47</f>
        <v/>
      </c>
      <c r="G117" s="429" t="n"/>
      <c r="H117" s="688" t="n">
        <v>39</v>
      </c>
      <c r="I117" s="688" t="inlineStr">
        <is>
          <t>LFC16</t>
        </is>
      </c>
      <c r="J117" s="407" t="inlineStr">
        <is>
          <t>RAD_open</t>
        </is>
      </c>
      <c r="K117" s="447" t="inlineStr">
        <is>
          <t>Boolean</t>
        </is>
      </c>
      <c r="L117" s="429">
        <f>'LFD OLD'!R111</f>
        <v/>
      </c>
      <c r="M117" s="688" t="inlineStr">
        <is>
          <t>1</t>
        </is>
      </c>
      <c r="N117" s="487" t="n"/>
      <c r="DK117" s="429">
        <f>DK116+1</f>
        <v/>
      </c>
      <c r="DL117" s="433" t="inlineStr">
        <is>
          <t>Back_Panel_Enable</t>
        </is>
      </c>
      <c r="DM117" s="432" t="n"/>
      <c r="DN117" s="432" t="n"/>
      <c r="DO117" s="432" t="n"/>
      <c r="DP117" s="432" t="n"/>
      <c r="DQ117" s="432" t="inlineStr">
        <is>
          <t>Calculations</t>
        </is>
      </c>
    </row>
    <row r="118" ht="21" customHeight="1">
      <c r="A118" s="485" t="n">
        <v>46</v>
      </c>
      <c r="B118" s="429" t="inlineStr">
        <is>
          <t>LFC03</t>
        </is>
      </c>
      <c r="C118" s="407" t="inlineStr">
        <is>
          <t>RAT&gt;Cooling_set_point</t>
        </is>
      </c>
      <c r="D118" s="447" t="inlineStr">
        <is>
          <t>Boolean</t>
        </is>
      </c>
      <c r="E118" s="429" t="n"/>
      <c r="F118" s="429">
        <f>'LFD New'!D48</f>
        <v/>
      </c>
      <c r="G118" s="429" t="n"/>
      <c r="H118" s="688" t="n">
        <v>40</v>
      </c>
      <c r="I118" s="688" t="inlineStr">
        <is>
          <t>LFC17</t>
        </is>
      </c>
      <c r="J118" s="407" t="inlineStr">
        <is>
          <t>Cooling_enable</t>
        </is>
      </c>
      <c r="K118" s="447" t="inlineStr">
        <is>
          <t>Boolean</t>
        </is>
      </c>
      <c r="L118" s="429">
        <f>'LFD OLD'!R112</f>
        <v/>
      </c>
      <c r="M118" s="688" t="inlineStr">
        <is>
          <t>1</t>
        </is>
      </c>
      <c r="N118" s="487" t="n"/>
      <c r="DK118" s="429">
        <f>DK117+1</f>
        <v/>
      </c>
      <c r="DL118" s="433" t="inlineStr">
        <is>
          <t>Door Isolation Through TCMS</t>
        </is>
      </c>
      <c r="DM118" s="432" t="n"/>
      <c r="DN118" s="432" t="n"/>
      <c r="DO118" s="432" t="n"/>
      <c r="DP118" s="432" t="n"/>
      <c r="DQ118" s="432" t="inlineStr">
        <is>
          <t>Calculations</t>
        </is>
      </c>
    </row>
    <row r="119" ht="21" customHeight="1">
      <c r="A119" s="485" t="n">
        <v>47</v>
      </c>
      <c r="B119" s="429" t="inlineStr">
        <is>
          <t>LFC04</t>
        </is>
      </c>
      <c r="C119" s="407" t="inlineStr">
        <is>
          <t>HP_fault</t>
        </is>
      </c>
      <c r="D119" s="447" t="inlineStr">
        <is>
          <t>Boolean</t>
        </is>
      </c>
      <c r="E119" s="429" t="n"/>
      <c r="F119" s="429">
        <f>'LFD New'!D49</f>
        <v/>
      </c>
      <c r="G119" s="429" t="n"/>
      <c r="H119" s="688" t="n">
        <v>41</v>
      </c>
      <c r="I119" s="688" t="inlineStr">
        <is>
          <t>LFC18</t>
        </is>
      </c>
      <c r="J119" s="407" t="inlineStr">
        <is>
          <t>FAD_Open</t>
        </is>
      </c>
      <c r="K119" s="447" t="inlineStr">
        <is>
          <t>Boolean</t>
        </is>
      </c>
      <c r="L119" s="429">
        <f>'LFD OLD'!R113</f>
        <v/>
      </c>
      <c r="M119" s="688" t="inlineStr">
        <is>
          <t>1</t>
        </is>
      </c>
      <c r="N119" s="487" t="n"/>
      <c r="DK119" s="429">
        <f>DK118+1</f>
        <v/>
      </c>
      <c r="DL119" s="433" t="inlineStr">
        <is>
          <t>All Doors Closed and Locked</t>
        </is>
      </c>
      <c r="DM119" s="432" t="n"/>
      <c r="DN119" s="432" t="n"/>
      <c r="DO119" s="432" t="n"/>
      <c r="DP119" s="432" t="n"/>
      <c r="DQ119" s="432" t="inlineStr">
        <is>
          <t>Calculations</t>
        </is>
      </c>
    </row>
    <row r="120" ht="21" customHeight="1">
      <c r="A120" s="485" t="n">
        <v>48</v>
      </c>
      <c r="B120" s="429" t="inlineStr">
        <is>
          <t>LFC06</t>
        </is>
      </c>
      <c r="C120" s="407" t="inlineStr">
        <is>
          <t>LP_fault</t>
        </is>
      </c>
      <c r="D120" s="447" t="inlineStr">
        <is>
          <t>Boolean</t>
        </is>
      </c>
      <c r="E120" s="429" t="n"/>
      <c r="F120" s="429">
        <f>'LFD New'!D50</f>
        <v/>
      </c>
      <c r="G120" s="429" t="n"/>
      <c r="H120" s="688" t="n">
        <v>42</v>
      </c>
      <c r="I120" s="688" t="inlineStr">
        <is>
          <t>LFC19</t>
        </is>
      </c>
      <c r="J120" s="407" t="inlineStr">
        <is>
          <t>Condensor_fan_open</t>
        </is>
      </c>
      <c r="K120" s="447" t="inlineStr">
        <is>
          <t>Boolean</t>
        </is>
      </c>
      <c r="L120" s="429">
        <f>'LFD OLD'!R114</f>
        <v/>
      </c>
      <c r="M120" s="688" t="inlineStr">
        <is>
          <t>1</t>
        </is>
      </c>
      <c r="N120" s="487" t="n"/>
      <c r="DK120" s="429">
        <f>DK119+1</f>
        <v/>
      </c>
      <c r="DL120" s="433" t="inlineStr">
        <is>
          <t>BE from Mascon</t>
        </is>
      </c>
      <c r="DM120" s="432" t="n"/>
      <c r="DN120" s="432" t="n"/>
      <c r="DO120" s="432" t="n"/>
      <c r="DP120" s="432" t="n"/>
      <c r="DQ120" s="432" t="inlineStr">
        <is>
          <t>Calculations</t>
        </is>
      </c>
    </row>
    <row r="121" ht="21" customHeight="1">
      <c r="A121" s="485" t="n">
        <v>49</v>
      </c>
      <c r="B121" s="429" t="inlineStr">
        <is>
          <t>LFC08</t>
        </is>
      </c>
      <c r="C121" s="407" t="inlineStr">
        <is>
          <t>CB_fault</t>
        </is>
      </c>
      <c r="D121" s="447" t="inlineStr">
        <is>
          <t>Boolean</t>
        </is>
      </c>
      <c r="E121" s="429" t="n"/>
      <c r="F121" s="429">
        <f>'LFD New'!D51</f>
        <v/>
      </c>
      <c r="G121" s="429" t="n"/>
      <c r="H121" s="688" t="n">
        <v>43</v>
      </c>
      <c r="I121" s="688" t="n"/>
      <c r="J121" s="407" t="n"/>
      <c r="K121" s="447" t="inlineStr">
        <is>
          <t>Boolean</t>
        </is>
      </c>
      <c r="L121" s="429" t="n"/>
      <c r="M121" s="688" t="n"/>
      <c r="N121" s="487" t="n"/>
      <c r="DK121" s="429">
        <f>DK120+1</f>
        <v/>
      </c>
      <c r="DL121" s="433" t="inlineStr">
        <is>
          <t>TE from Mascon</t>
        </is>
      </c>
      <c r="DM121" s="432" t="n"/>
      <c r="DN121" s="432" t="n"/>
      <c r="DO121" s="432" t="n"/>
      <c r="DP121" s="432" t="n"/>
      <c r="DQ121" s="432" t="inlineStr">
        <is>
          <t>Calculations</t>
        </is>
      </c>
    </row>
    <row r="122" ht="21" customHeight="1" thickBot="1">
      <c r="A122" s="488" t="n">
        <v>50</v>
      </c>
      <c r="B122" s="489" t="inlineStr">
        <is>
          <t>LFC10</t>
        </is>
      </c>
      <c r="C122" s="408" t="inlineStr">
        <is>
          <t>SAFAN_fault</t>
        </is>
      </c>
      <c r="D122" s="490" t="inlineStr">
        <is>
          <t>Boolean</t>
        </is>
      </c>
      <c r="E122" s="489" t="n"/>
      <c r="F122" s="489">
        <f>'LFD New'!D52</f>
        <v/>
      </c>
      <c r="G122" s="489" t="n"/>
      <c r="H122" s="689" t="n">
        <v>44</v>
      </c>
      <c r="I122" s="689" t="n"/>
      <c r="J122" s="408" t="n"/>
      <c r="K122" s="490" t="inlineStr">
        <is>
          <t>Boolean</t>
        </is>
      </c>
      <c r="L122" s="489" t="n"/>
      <c r="M122" s="689" t="n"/>
      <c r="N122" s="492" t="n"/>
      <c r="BK122" s="321" t="n"/>
      <c r="DK122" s="429">
        <f>DK121+1</f>
        <v/>
      </c>
      <c r="DL122" s="433" t="inlineStr">
        <is>
          <t>Right Door</t>
        </is>
      </c>
      <c r="DM122" s="432" t="n"/>
      <c r="DN122" s="432" t="n"/>
      <c r="DO122" s="432" t="n"/>
      <c r="DP122" s="432" t="n"/>
      <c r="DQ122" s="432" t="inlineStr">
        <is>
          <t>Calculations</t>
        </is>
      </c>
    </row>
    <row r="123" ht="21" customHeight="1" thickBot="1">
      <c r="A123" s="477" t="n">
        <v>51</v>
      </c>
      <c r="B123" s="478" t="n"/>
      <c r="C123" s="479" t="inlineStr">
        <is>
          <t>Fixed Speed Compressor</t>
        </is>
      </c>
      <c r="D123" s="480" t="inlineStr">
        <is>
          <t>Boolean</t>
        </is>
      </c>
      <c r="E123" s="481" t="n"/>
      <c r="F123" s="481" t="n"/>
      <c r="G123" s="481" t="n"/>
      <c r="H123" s="482" t="n">
        <v>45</v>
      </c>
      <c r="I123" s="482" t="n"/>
      <c r="J123" s="406" t="n"/>
      <c r="K123" s="483" t="inlineStr">
        <is>
          <t>Boolean</t>
        </is>
      </c>
      <c r="L123" s="481" t="n"/>
      <c r="M123" s="482" t="n"/>
      <c r="N123" s="484" t="n"/>
      <c r="DK123" s="429">
        <f>DK122+1</f>
        <v/>
      </c>
      <c r="DL123" s="433" t="inlineStr">
        <is>
          <t>Left Door</t>
        </is>
      </c>
      <c r="DM123" s="432" t="n"/>
      <c r="DN123" s="432" t="n"/>
      <c r="DO123" s="432" t="n"/>
      <c r="DP123" s="432" t="n"/>
      <c r="DQ123" s="432" t="inlineStr">
        <is>
          <t>Calculations</t>
        </is>
      </c>
    </row>
    <row r="124" ht="21" customHeight="1">
      <c r="A124" s="485" t="n">
        <v>52</v>
      </c>
      <c r="B124" s="429" t="inlineStr">
        <is>
          <t>LFC01</t>
        </is>
      </c>
      <c r="C124" s="493" t="inlineStr">
        <is>
          <t>Cooling_level_3</t>
        </is>
      </c>
      <c r="D124" s="447" t="inlineStr">
        <is>
          <t>Boolean</t>
        </is>
      </c>
      <c r="E124" s="429" t="n"/>
      <c r="F124" s="429">
        <f>'Mode Logic'!L18</f>
        <v/>
      </c>
      <c r="G124" s="429" t="n"/>
      <c r="H124" s="688" t="n">
        <v>46</v>
      </c>
      <c r="I124" s="688" t="n"/>
      <c r="J124" s="407" t="n"/>
      <c r="K124" s="447" t="inlineStr">
        <is>
          <t>Boolean</t>
        </is>
      </c>
      <c r="L124" s="429" t="n"/>
      <c r="M124" s="688" t="n"/>
      <c r="N124" s="487" t="n"/>
      <c r="DK124" s="429">
        <f>DK123+1</f>
        <v/>
      </c>
      <c r="DL124" s="430" t="inlineStr">
        <is>
          <t>DBV</t>
        </is>
      </c>
      <c r="DM124" s="429" t="inlineStr">
        <is>
          <t>INT</t>
        </is>
      </c>
      <c r="DN124" s="429" t="inlineStr">
        <is>
          <t>0,1,2</t>
        </is>
      </c>
      <c r="DO124" s="429" t="inlineStr">
        <is>
          <t>GUI</t>
        </is>
      </c>
      <c r="DP124" s="429" t="n"/>
      <c r="DQ124" s="429" t="inlineStr">
        <is>
          <t>II: 0, III: 1, V: 2</t>
        </is>
      </c>
    </row>
    <row r="125" ht="21" customHeight="1">
      <c r="A125" s="485" t="n">
        <v>53</v>
      </c>
      <c r="B125" s="429" t="inlineStr">
        <is>
          <t>LFC02</t>
        </is>
      </c>
      <c r="C125" s="394" t="inlineStr">
        <is>
          <t>Cooling_level_4</t>
        </is>
      </c>
      <c r="D125" s="447" t="inlineStr">
        <is>
          <t>Boolean</t>
        </is>
      </c>
      <c r="E125" s="429" t="n"/>
      <c r="F125" s="429">
        <f>'Mode Logic'!L18</f>
        <v/>
      </c>
      <c r="G125" s="429" t="n"/>
      <c r="H125" s="688" t="n">
        <v>47</v>
      </c>
      <c r="I125" s="688" t="inlineStr">
        <is>
          <t>LFC04</t>
        </is>
      </c>
      <c r="J125" s="407" t="inlineStr">
        <is>
          <t>Comp_QTY_1_nos</t>
        </is>
      </c>
      <c r="K125" s="447" t="inlineStr">
        <is>
          <t>Boolean</t>
        </is>
      </c>
      <c r="L125" s="429">
        <f>'LFD OLD'!R129</f>
        <v/>
      </c>
      <c r="M125" s="688" t="inlineStr">
        <is>
          <t>1</t>
        </is>
      </c>
      <c r="N125" s="487" t="n"/>
      <c r="DK125" s="429">
        <f>DK124+1</f>
        <v/>
      </c>
      <c r="DL125" s="430" t="inlineStr">
        <is>
          <t>Wiper Selector Switch</t>
        </is>
      </c>
      <c r="DM125" s="429" t="inlineStr">
        <is>
          <t>INT</t>
        </is>
      </c>
      <c r="DN125" s="429" t="inlineStr">
        <is>
          <t>0,1,2</t>
        </is>
      </c>
      <c r="DO125" s="429" t="inlineStr">
        <is>
          <t>GUI</t>
        </is>
      </c>
      <c r="DP125" s="429" t="n"/>
      <c r="DQ125" s="429" t="inlineStr">
        <is>
          <t>off: 0,  Slow: 1, Fast: 2</t>
        </is>
      </c>
    </row>
    <row r="126" ht="21" customHeight="1">
      <c r="A126" s="485" t="n">
        <v>54</v>
      </c>
      <c r="B126" s="429" t="inlineStr">
        <is>
          <t>LFC03</t>
        </is>
      </c>
      <c r="C126" s="394" t="inlineStr">
        <is>
          <t>Cooling_level_5</t>
        </is>
      </c>
      <c r="D126" s="447" t="inlineStr">
        <is>
          <t>Boolean</t>
        </is>
      </c>
      <c r="E126" s="429" t="n"/>
      <c r="F126" s="429">
        <f>'Mode Logic'!L18</f>
        <v/>
      </c>
      <c r="G126" s="429" t="n"/>
      <c r="H126" s="688" t="n">
        <v>48</v>
      </c>
      <c r="I126" s="688" t="inlineStr">
        <is>
          <t>LFC07</t>
        </is>
      </c>
      <c r="J126" s="407" t="inlineStr">
        <is>
          <t>Comp_QTY_2_nos</t>
        </is>
      </c>
      <c r="K126" s="447" t="inlineStr">
        <is>
          <t>Boolean</t>
        </is>
      </c>
      <c r="L126" s="429">
        <f>'LFD OLD'!R130</f>
        <v/>
      </c>
      <c r="M126" s="688" t="inlineStr">
        <is>
          <t>1</t>
        </is>
      </c>
      <c r="N126" s="487" t="n"/>
      <c r="DK126" s="429">
        <f>DK125+1</f>
        <v/>
      </c>
      <c r="DL126" s="430" t="inlineStr">
        <is>
          <t>Head Light Switch</t>
        </is>
      </c>
      <c r="DM126" s="429" t="inlineStr">
        <is>
          <t>INT</t>
        </is>
      </c>
      <c r="DN126" s="429" t="inlineStr">
        <is>
          <t>0,1,2</t>
        </is>
      </c>
      <c r="DO126" s="429" t="inlineStr">
        <is>
          <t>GUI</t>
        </is>
      </c>
      <c r="DP126" s="429" t="n"/>
      <c r="DQ126" s="429" t="inlineStr">
        <is>
          <t>off:0, Bright: 1, Dim: 2</t>
        </is>
      </c>
    </row>
    <row r="127" ht="21" customHeight="1">
      <c r="A127" s="485" t="n">
        <v>55</v>
      </c>
      <c r="B127" s="429" t="inlineStr">
        <is>
          <t>LFC04</t>
        </is>
      </c>
      <c r="C127" s="394" t="inlineStr">
        <is>
          <t>LFC04</t>
        </is>
      </c>
      <c r="D127" s="447" t="inlineStr">
        <is>
          <t>Boolean</t>
        </is>
      </c>
      <c r="E127" s="429" t="n"/>
      <c r="F127" s="429" t="n"/>
      <c r="G127" s="429" t="n"/>
      <c r="H127" s="688" t="n">
        <v>49</v>
      </c>
      <c r="I127" s="688" t="inlineStr">
        <is>
          <t>LFC08</t>
        </is>
      </c>
      <c r="J127" s="407" t="inlineStr">
        <is>
          <t>Comp_QTY_3_nos</t>
        </is>
      </c>
      <c r="K127" s="447" t="inlineStr">
        <is>
          <t>Boolean</t>
        </is>
      </c>
      <c r="L127" s="429">
        <f>'LFD OLD'!R131</f>
        <v/>
      </c>
      <c r="M127" s="688" t="inlineStr">
        <is>
          <t>1</t>
        </is>
      </c>
      <c r="N127" s="487" t="n"/>
      <c r="DK127" s="429">
        <f>DK126+1</f>
        <v/>
      </c>
      <c r="DL127" s="430" t="inlineStr">
        <is>
          <t>Hvac Fresh Air Damper Switch</t>
        </is>
      </c>
      <c r="DM127" s="429" t="inlineStr">
        <is>
          <t>INT</t>
        </is>
      </c>
      <c r="DN127" s="429" t="inlineStr">
        <is>
          <t>0,1,2</t>
        </is>
      </c>
      <c r="DO127" s="429" t="inlineStr">
        <is>
          <t>GUI</t>
        </is>
      </c>
      <c r="DP127" s="429" t="n"/>
      <c r="DQ127" s="429" t="inlineStr">
        <is>
          <t>Open: 0, Auto: 1, Close: 2</t>
        </is>
      </c>
    </row>
    <row r="128" ht="21" customHeight="1">
      <c r="A128" s="485" t="n">
        <v>56</v>
      </c>
      <c r="B128" s="429" t="inlineStr">
        <is>
          <t>LFC05</t>
        </is>
      </c>
      <c r="C128" s="394" t="inlineStr">
        <is>
          <t>Cooling_level_6</t>
        </is>
      </c>
      <c r="D128" s="447" t="inlineStr">
        <is>
          <t>Boolean</t>
        </is>
      </c>
      <c r="E128" s="429" t="n"/>
      <c r="F128" s="429">
        <f>'Mode Logic'!M18</f>
        <v/>
      </c>
      <c r="G128" s="429" t="n"/>
      <c r="H128" s="688" t="n">
        <v>50</v>
      </c>
      <c r="I128" s="688" t="n"/>
      <c r="J128" s="407" t="n"/>
      <c r="K128" s="447" t="inlineStr">
        <is>
          <t>Boolean</t>
        </is>
      </c>
      <c r="L128" s="429" t="n"/>
      <c r="M128" s="688" t="n"/>
      <c r="N128" s="487" t="n"/>
      <c r="DK128" s="429">
        <f>DK127+1</f>
        <v/>
      </c>
      <c r="DL128" s="430" t="inlineStr">
        <is>
          <t>HVAC Stop Bypass</t>
        </is>
      </c>
      <c r="DM128" s="429" t="inlineStr">
        <is>
          <t>INT</t>
        </is>
      </c>
      <c r="DN128" s="429" t="inlineStr">
        <is>
          <t>0/1</t>
        </is>
      </c>
      <c r="DO128" s="429" t="inlineStr">
        <is>
          <t>GUI</t>
        </is>
      </c>
      <c r="DP128" s="429" t="n"/>
      <c r="DQ128" s="429" t="n"/>
    </row>
    <row r="129" ht="21" customHeight="1">
      <c r="A129" s="485" t="n">
        <v>57</v>
      </c>
      <c r="B129" s="429" t="inlineStr">
        <is>
          <t>LFC06</t>
        </is>
      </c>
      <c r="C129" s="394" t="inlineStr">
        <is>
          <t>Cooling_level_7</t>
        </is>
      </c>
      <c r="D129" s="447" t="inlineStr">
        <is>
          <t>Boolean</t>
        </is>
      </c>
      <c r="E129" s="429" t="n"/>
      <c r="F129" s="429">
        <f>'Mode Logic'!M18</f>
        <v/>
      </c>
      <c r="G129" s="429" t="n"/>
      <c r="H129" s="688" t="n">
        <v>51</v>
      </c>
      <c r="I129" s="688" t="n"/>
      <c r="J129" s="407" t="n"/>
      <c r="K129" s="447" t="inlineStr">
        <is>
          <t>Boolean</t>
        </is>
      </c>
      <c r="L129" s="429" t="n"/>
      <c r="M129" s="688" t="n"/>
      <c r="N129" s="487" t="n"/>
      <c r="DK129" s="429">
        <f>DK128+1</f>
        <v/>
      </c>
      <c r="DL129" s="430" t="inlineStr">
        <is>
          <t>Pantograph Selection PSS</t>
        </is>
      </c>
      <c r="DM129" s="429" t="inlineStr">
        <is>
          <t>INT</t>
        </is>
      </c>
      <c r="DN129" s="429" t="inlineStr">
        <is>
          <t>0,1,2</t>
        </is>
      </c>
      <c r="DO129" s="429" t="inlineStr">
        <is>
          <t>GUI</t>
        </is>
      </c>
      <c r="DP129" s="429" t="n"/>
      <c r="DQ129" s="428" t="inlineStr">
        <is>
          <t>Phase 1: 0, Auto: 1, Phase 2: 2</t>
        </is>
      </c>
    </row>
    <row r="130" ht="21" customHeight="1">
      <c r="A130" s="485" t="n">
        <v>58</v>
      </c>
      <c r="B130" s="429" t="inlineStr">
        <is>
          <t>LFC07</t>
        </is>
      </c>
      <c r="C130" s="394" t="inlineStr">
        <is>
          <t>LFC07</t>
        </is>
      </c>
      <c r="D130" s="447" t="inlineStr">
        <is>
          <t>Boolean</t>
        </is>
      </c>
      <c r="E130" s="429" t="n"/>
      <c r="F130" s="429">
        <f>'LFD OLD'!F127</f>
        <v/>
      </c>
      <c r="G130" s="429" t="n"/>
      <c r="H130" s="688" t="n">
        <v>52</v>
      </c>
      <c r="I130" s="688" t="n"/>
      <c r="J130" s="407" t="n"/>
      <c r="K130" s="447" t="inlineStr">
        <is>
          <t>Boolean</t>
        </is>
      </c>
      <c r="L130" s="429" t="n"/>
      <c r="M130" s="688" t="n"/>
      <c r="N130" s="487" t="n"/>
      <c r="DK130" s="429">
        <f>DK129+1</f>
        <v/>
      </c>
      <c r="DL130" s="430" t="inlineStr">
        <is>
          <t>Compressor Mode</t>
        </is>
      </c>
      <c r="DM130" s="429" t="inlineStr">
        <is>
          <t>INT</t>
        </is>
      </c>
      <c r="DN130" s="429" t="inlineStr">
        <is>
          <t>0/1</t>
        </is>
      </c>
      <c r="DO130" s="429" t="inlineStr">
        <is>
          <t>GUI</t>
        </is>
      </c>
      <c r="DP130" s="429" t="n"/>
      <c r="DQ130" s="429" t="inlineStr">
        <is>
          <t>Auto: 0, Manual: 1</t>
        </is>
      </c>
    </row>
    <row r="131" ht="21" customHeight="1" thickBot="1">
      <c r="A131" s="488" t="n">
        <v>59</v>
      </c>
      <c r="B131" s="489" t="inlineStr">
        <is>
          <t>LFC08</t>
        </is>
      </c>
      <c r="C131" s="410" t="inlineStr">
        <is>
          <t>Cooling_level_8</t>
        </is>
      </c>
      <c r="D131" s="490" t="inlineStr">
        <is>
          <t>Boolean</t>
        </is>
      </c>
      <c r="E131" s="489" t="n"/>
      <c r="F131" s="489">
        <f>'Mode Logic'!N18</f>
        <v/>
      </c>
      <c r="G131" s="489" t="n"/>
      <c r="H131" s="689" t="n">
        <v>53</v>
      </c>
      <c r="I131" s="689" t="n"/>
      <c r="J131" s="408" t="n"/>
      <c r="K131" s="490" t="inlineStr">
        <is>
          <t>Boolean</t>
        </is>
      </c>
      <c r="L131" s="489" t="n"/>
      <c r="M131" s="689" t="n"/>
      <c r="N131" s="492" t="n"/>
      <c r="DK131" s="429">
        <f>DK130+1</f>
        <v/>
      </c>
      <c r="DL131" s="430" t="inlineStr">
        <is>
          <t>Right Doors Auto - Manual Mode Selection (DOMSR)</t>
        </is>
      </c>
      <c r="DM131" s="429" t="inlineStr">
        <is>
          <t>INT</t>
        </is>
      </c>
      <c r="DN131" s="429" t="inlineStr">
        <is>
          <t>0/1</t>
        </is>
      </c>
      <c r="DO131" s="429" t="inlineStr">
        <is>
          <t>GUI</t>
        </is>
      </c>
      <c r="DP131" s="429" t="n"/>
      <c r="DQ131" s="429" t="inlineStr">
        <is>
          <t>Auto: 0, Manual: 1</t>
        </is>
      </c>
    </row>
    <row r="132" ht="21" customHeight="1">
      <c r="A132" s="494" t="n">
        <v>60</v>
      </c>
      <c r="B132" s="495" t="n"/>
      <c r="C132" s="486" t="n"/>
      <c r="D132" s="496" t="inlineStr">
        <is>
          <t>Boolean</t>
        </is>
      </c>
      <c r="E132" s="495" t="n"/>
      <c r="F132" s="495" t="n"/>
      <c r="G132" s="495" t="n"/>
      <c r="H132" s="494" t="n">
        <v>54</v>
      </c>
      <c r="I132" s="494" t="n"/>
      <c r="J132" s="486" t="n"/>
      <c r="K132" s="496" t="inlineStr">
        <is>
          <t>Boolean</t>
        </is>
      </c>
      <c r="L132" s="495" t="n"/>
      <c r="M132" s="494" t="n"/>
      <c r="N132" s="495" t="n"/>
      <c r="DK132" s="429">
        <f>DK131+1</f>
        <v/>
      </c>
      <c r="DL132" s="430" t="inlineStr">
        <is>
          <t>Left Doors Auto - Manual Mode Selection (DOMSL)</t>
        </is>
      </c>
      <c r="DM132" s="429" t="inlineStr">
        <is>
          <t>INT</t>
        </is>
      </c>
      <c r="DN132" s="429" t="inlineStr">
        <is>
          <t>0/1</t>
        </is>
      </c>
      <c r="DO132" s="429" t="inlineStr">
        <is>
          <t>GUI</t>
        </is>
      </c>
      <c r="DP132" s="429" t="n"/>
      <c r="DQ132" s="429" t="inlineStr">
        <is>
          <t>Auto: 0, Manual: 1</t>
        </is>
      </c>
    </row>
    <row r="133" ht="21" customHeight="1">
      <c r="A133" s="688" t="n">
        <v>61</v>
      </c>
      <c r="B133" s="429" t="inlineStr">
        <is>
          <t>LFC01</t>
        </is>
      </c>
      <c r="C133" s="394" t="inlineStr">
        <is>
          <t>Cooling_level_1</t>
        </is>
      </c>
      <c r="D133" s="447">
        <f>'LFD New'!D133</f>
        <v/>
      </c>
      <c r="E133" s="429" t="n"/>
      <c r="F133" s="429">
        <f>'Mode Logic'!J6</f>
        <v/>
      </c>
      <c r="G133" s="429" t="n"/>
      <c r="H133" s="688" t="n">
        <v>55</v>
      </c>
      <c r="I133" s="688" t="n"/>
      <c r="J133" s="407" t="n"/>
      <c r="K133" s="447" t="inlineStr">
        <is>
          <t>Boolean</t>
        </is>
      </c>
      <c r="L133" s="429" t="n"/>
      <c r="M133" s="688" t="n"/>
      <c r="N133" s="429" t="n"/>
      <c r="BK133" s="321" t="n"/>
      <c r="DK133" s="429">
        <f>DK132+1</f>
        <v/>
      </c>
      <c r="DL133" s="430" t="inlineStr">
        <is>
          <t>Saloon Light (SLS)</t>
        </is>
      </c>
      <c r="DM133" s="429" t="inlineStr">
        <is>
          <t>INT</t>
        </is>
      </c>
      <c r="DN133" s="429" t="inlineStr">
        <is>
          <t>0,1,2</t>
        </is>
      </c>
      <c r="DO133" s="429" t="inlineStr">
        <is>
          <t>GUI</t>
        </is>
      </c>
      <c r="DP133" s="429" t="n"/>
      <c r="DQ133" s="429" t="inlineStr">
        <is>
          <t>Off: 0, 0:1, ON: 2</t>
        </is>
      </c>
    </row>
    <row r="134" ht="21" customHeight="1">
      <c r="A134" s="688" t="n">
        <v>62</v>
      </c>
      <c r="B134" s="429" t="inlineStr">
        <is>
          <t>LFC02</t>
        </is>
      </c>
      <c r="C134" s="394" t="inlineStr">
        <is>
          <t>Cooling_level_2</t>
        </is>
      </c>
      <c r="D134" s="447" t="inlineStr">
        <is>
          <t>Boolean</t>
        </is>
      </c>
      <c r="E134" s="429" t="n"/>
      <c r="F134" s="429">
        <f>'Mode Logic'!J7</f>
        <v/>
      </c>
      <c r="G134" s="429" t="n"/>
      <c r="H134" s="688" t="n">
        <v>56</v>
      </c>
      <c r="I134" s="688" t="inlineStr">
        <is>
          <t>LFC06</t>
        </is>
      </c>
      <c r="J134" s="407" t="inlineStr">
        <is>
          <t>Comp_ON</t>
        </is>
      </c>
      <c r="K134" s="447" t="inlineStr">
        <is>
          <t>Boolean</t>
        </is>
      </c>
      <c r="L134" s="429">
        <f>'LFD OLD'!R143</f>
        <v/>
      </c>
      <c r="M134" s="688" t="inlineStr">
        <is>
          <t>0</t>
        </is>
      </c>
      <c r="N134" s="429" t="n"/>
      <c r="DK134" s="429">
        <f>DK133+1</f>
        <v/>
      </c>
      <c r="DL134" s="430" t="inlineStr">
        <is>
          <t>Cab Light (CLB)</t>
        </is>
      </c>
      <c r="DM134" s="429" t="inlineStr">
        <is>
          <t>INT</t>
        </is>
      </c>
      <c r="DN134" s="429" t="inlineStr">
        <is>
          <t>0,1,2</t>
        </is>
      </c>
      <c r="DO134" s="429" t="inlineStr">
        <is>
          <t>GUI</t>
        </is>
      </c>
      <c r="DP134" s="429" t="n"/>
      <c r="DQ134" s="429" t="inlineStr">
        <is>
          <t>Off: 0, 50:1, 100: 2</t>
        </is>
      </c>
    </row>
    <row r="135" ht="21" customHeight="1">
      <c r="A135" s="688" t="n">
        <v>63</v>
      </c>
      <c r="B135" s="429" t="inlineStr">
        <is>
          <t>LFC03</t>
        </is>
      </c>
      <c r="C135" s="394" t="inlineStr">
        <is>
          <t>Cooling_level_4</t>
        </is>
      </c>
      <c r="D135" s="447" t="inlineStr">
        <is>
          <t>Boolean</t>
        </is>
      </c>
      <c r="E135" s="429" t="n"/>
      <c r="F135" s="429">
        <f>'Mode Logic'!J8</f>
        <v/>
      </c>
      <c r="G135" s="429" t="n"/>
      <c r="H135" s="688" t="n">
        <v>57</v>
      </c>
      <c r="I135" s="688" t="n"/>
      <c r="J135" s="407" t="n"/>
      <c r="K135" s="447" t="inlineStr">
        <is>
          <t>Boolean</t>
        </is>
      </c>
      <c r="L135" s="429" t="n"/>
      <c r="M135" s="688" t="n"/>
      <c r="N135" s="429" t="n"/>
      <c r="DK135" s="429">
        <f>DK134+1</f>
        <v/>
      </c>
      <c r="DL135" s="430" t="inlineStr">
        <is>
          <t>CAB Heating &amp; Ventilation (CACS)</t>
        </is>
      </c>
      <c r="DM135" s="429" t="inlineStr">
        <is>
          <t>INT</t>
        </is>
      </c>
      <c r="DN135" s="429" t="inlineStr">
        <is>
          <t>0,1,2</t>
        </is>
      </c>
      <c r="DO135" s="429" t="inlineStr">
        <is>
          <t>GUI</t>
        </is>
      </c>
      <c r="DP135" s="429" t="n"/>
      <c r="DQ135" s="429" t="inlineStr">
        <is>
          <t>Off: 0, Low: 1, High: 2</t>
        </is>
      </c>
    </row>
    <row r="136" ht="21" customHeight="1">
      <c r="A136" s="688" t="n">
        <v>64</v>
      </c>
      <c r="B136" s="429" t="inlineStr">
        <is>
          <t>LFC04</t>
        </is>
      </c>
      <c r="C136" s="394" t="inlineStr">
        <is>
          <t>Cooling_level_5</t>
        </is>
      </c>
      <c r="D136" s="447" t="inlineStr">
        <is>
          <t>Boolean</t>
        </is>
      </c>
      <c r="E136" s="429" t="n"/>
      <c r="F136" s="429">
        <f>'Mode Logic'!J9</f>
        <v/>
      </c>
      <c r="G136" s="429" t="n"/>
      <c r="H136" s="688" t="n">
        <v>58</v>
      </c>
      <c r="I136" s="688" t="n"/>
      <c r="J136" s="407" t="n"/>
      <c r="K136" s="447" t="inlineStr">
        <is>
          <t>Boolean</t>
        </is>
      </c>
      <c r="L136" s="429" t="n"/>
      <c r="M136" s="688" t="n"/>
      <c r="N136" s="429" t="n"/>
      <c r="DK136" s="429">
        <f>DK135+1</f>
        <v/>
      </c>
      <c r="DL136" s="430" t="inlineStr">
        <is>
          <t>Emergency Brake Loop Selection (EBLS)</t>
        </is>
      </c>
      <c r="DM136" s="429" t="inlineStr">
        <is>
          <t>INT</t>
        </is>
      </c>
      <c r="DN136" s="429" t="inlineStr">
        <is>
          <t>0/1</t>
        </is>
      </c>
      <c r="DO136" s="429" t="inlineStr">
        <is>
          <t>GUI</t>
        </is>
      </c>
      <c r="DP136" s="429" t="n"/>
      <c r="DQ136" s="429" t="inlineStr">
        <is>
          <t>EB 1: 0, EB2: 1</t>
        </is>
      </c>
    </row>
    <row r="137" ht="21" customHeight="1" thickBot="1">
      <c r="A137" s="474" t="n">
        <v>65</v>
      </c>
      <c r="B137" s="468" t="inlineStr">
        <is>
          <t>LFC05</t>
        </is>
      </c>
      <c r="C137" s="395" t="inlineStr">
        <is>
          <t>Cooling_level_7</t>
        </is>
      </c>
      <c r="D137" s="476" t="inlineStr">
        <is>
          <t>Boolean</t>
        </is>
      </c>
      <c r="E137" s="468" t="n"/>
      <c r="F137" s="429">
        <f>'Mode Logic'!J10</f>
        <v/>
      </c>
      <c r="G137" s="468" t="n"/>
      <c r="H137" s="474" t="n">
        <v>59</v>
      </c>
      <c r="I137" s="474" t="n"/>
      <c r="J137" s="475" t="n"/>
      <c r="K137" s="476" t="inlineStr">
        <is>
          <t>Boolean</t>
        </is>
      </c>
      <c r="L137" s="468" t="n"/>
      <c r="M137" s="474" t="n"/>
      <c r="N137" s="468" t="n"/>
      <c r="DK137" s="429">
        <f>DK136+1</f>
        <v/>
      </c>
      <c r="DL137" s="430" t="inlineStr">
        <is>
          <t>ATC Bypass (ATCBYP)</t>
        </is>
      </c>
      <c r="DM137" s="429" t="inlineStr">
        <is>
          <t>INT</t>
        </is>
      </c>
      <c r="DN137" s="429" t="inlineStr">
        <is>
          <t>0/1</t>
        </is>
      </c>
      <c r="DO137" s="429" t="inlineStr">
        <is>
          <t>GUI</t>
        </is>
      </c>
      <c r="DP137" s="429" t="n"/>
      <c r="DQ137" s="429" t="inlineStr">
        <is>
          <t>On: 0, Cutoff: 1</t>
        </is>
      </c>
    </row>
    <row r="138" ht="21" customHeight="1" thickBot="1">
      <c r="A138" s="477" t="n">
        <v>66</v>
      </c>
      <c r="B138" s="478" t="n"/>
      <c r="C138" s="479" t="inlineStr">
        <is>
          <t>Heating Mode</t>
        </is>
      </c>
      <c r="D138" s="480">
        <f>'LFD New'!D137</f>
        <v/>
      </c>
      <c r="E138" s="481" t="n"/>
      <c r="F138" s="481" t="n"/>
      <c r="G138" s="481" t="n"/>
      <c r="H138" s="482" t="n">
        <v>60</v>
      </c>
      <c r="I138" s="482" t="n"/>
      <c r="J138" s="406" t="n"/>
      <c r="K138" s="483" t="inlineStr">
        <is>
          <t>Boolean</t>
        </is>
      </c>
      <c r="L138" s="481" t="n"/>
      <c r="M138" s="482" t="n"/>
      <c r="N138" s="484" t="n"/>
      <c r="DK138" s="429">
        <f>DK137+1</f>
        <v/>
      </c>
      <c r="DL138" s="430" t="inlineStr">
        <is>
          <t>Rescue mode Train Status (CPLM)</t>
        </is>
      </c>
      <c r="DM138" s="429" t="inlineStr">
        <is>
          <t>INT</t>
        </is>
      </c>
      <c r="DN138" s="429" t="inlineStr">
        <is>
          <t>0/1 0/2 0/3</t>
        </is>
      </c>
      <c r="DO138" s="429" t="inlineStr">
        <is>
          <t>GUI</t>
        </is>
      </c>
      <c r="DP138" s="429" t="n"/>
      <c r="DQ138" s="429" t="inlineStr">
        <is>
          <t>Defective: 0, 0: 1, Healthy: 1</t>
        </is>
      </c>
    </row>
    <row r="139" ht="21" customHeight="1">
      <c r="A139" s="485" t="n">
        <v>67</v>
      </c>
      <c r="B139" s="429" t="inlineStr">
        <is>
          <t>LFC07</t>
        </is>
      </c>
      <c r="C139" s="493" t="inlineStr">
        <is>
          <t>Auto_mode_selected</t>
        </is>
      </c>
      <c r="D139" s="447" t="inlineStr">
        <is>
          <t>Boolean</t>
        </is>
      </c>
      <c r="E139" s="429" t="n"/>
      <c r="F139" s="429">
        <f>'LFD New'!D2</f>
        <v/>
      </c>
      <c r="G139" s="429" t="n"/>
      <c r="H139" s="688" t="n">
        <v>61</v>
      </c>
      <c r="I139" s="688" t="n"/>
      <c r="J139" s="407" t="n"/>
      <c r="K139" s="447" t="inlineStr">
        <is>
          <t>Boolean</t>
        </is>
      </c>
      <c r="L139" s="429" t="n"/>
      <c r="M139" s="688" t="n"/>
      <c r="N139" s="487" t="n"/>
      <c r="DK139" s="429">
        <f>DK138+1</f>
        <v/>
      </c>
      <c r="DL139" s="430" t="inlineStr">
        <is>
          <t>Mode selector Control</t>
        </is>
      </c>
      <c r="DM139" s="429" t="inlineStr">
        <is>
          <t>INT</t>
        </is>
      </c>
      <c r="DN139" s="429" t="n"/>
      <c r="DO139" s="429" t="inlineStr">
        <is>
          <t>GUI</t>
        </is>
      </c>
      <c r="DP139" s="429" t="n"/>
      <c r="DQ139" s="429" t="n"/>
    </row>
    <row r="140" ht="21" customHeight="1">
      <c r="A140" s="485" t="n">
        <v>68</v>
      </c>
      <c r="B140" s="429" t="inlineStr">
        <is>
          <t>LFC02</t>
        </is>
      </c>
      <c r="C140" s="394" t="inlineStr">
        <is>
          <t>No_standby_mode</t>
        </is>
      </c>
      <c r="D140" s="447" t="inlineStr">
        <is>
          <t>Boolean</t>
        </is>
      </c>
      <c r="E140" s="429" t="n"/>
      <c r="F140" s="429">
        <f>'LFD New'!D85</f>
        <v/>
      </c>
      <c r="G140" s="429" t="n"/>
      <c r="H140" s="688" t="n">
        <v>62</v>
      </c>
      <c r="I140" s="688" t="n"/>
      <c r="J140" s="407" t="n"/>
      <c r="K140" s="447" t="inlineStr">
        <is>
          <t>Boolean</t>
        </is>
      </c>
      <c r="L140" s="429" t="n"/>
      <c r="M140" s="688" t="n"/>
      <c r="N140" s="487" t="n"/>
      <c r="DK140" s="429">
        <f>DK139+1</f>
        <v/>
      </c>
      <c r="DL140" s="430" t="inlineStr">
        <is>
          <t>Master Controller</t>
        </is>
      </c>
      <c r="DM140" s="429" t="inlineStr">
        <is>
          <t>Float</t>
        </is>
      </c>
      <c r="DN140" s="429" t="n"/>
      <c r="DO140" s="429" t="inlineStr">
        <is>
          <t>GUI</t>
        </is>
      </c>
      <c r="DP140" s="429" t="n"/>
      <c r="DQ140" s="429" t="n"/>
      <c r="DS140" s="428" t="inlineStr">
        <is>
          <t xml:space="preserve">input </t>
        </is>
      </c>
      <c r="DT140" s="428" t="inlineStr">
        <is>
          <t xml:space="preserve">input </t>
        </is>
      </c>
      <c r="DU140" s="428" t="inlineStr">
        <is>
          <t xml:space="preserve">input </t>
        </is>
      </c>
      <c r="DV140" s="791" t="n"/>
      <c r="DW140" s="791" t="n"/>
    </row>
    <row r="141" ht="21" customHeight="1">
      <c r="A141" s="485" t="n">
        <v>69</v>
      </c>
      <c r="B141" s="429" t="inlineStr">
        <is>
          <t>LFC03</t>
        </is>
      </c>
      <c r="C141" s="394" t="inlineStr">
        <is>
          <t>No_APS_Load_reduction</t>
        </is>
      </c>
      <c r="D141" s="447" t="inlineStr">
        <is>
          <t>Boolean</t>
        </is>
      </c>
      <c r="E141" s="429" t="n"/>
      <c r="F141" s="429">
        <f>'LFD New'!D86</f>
        <v/>
      </c>
      <c r="G141" s="429" t="n"/>
      <c r="H141" s="688" t="n">
        <v>63</v>
      </c>
      <c r="I141" s="688" t="inlineStr">
        <is>
          <t>LFC06</t>
        </is>
      </c>
      <c r="J141" s="394" t="inlineStr">
        <is>
          <t>Heating_Mode_enable</t>
        </is>
      </c>
      <c r="K141" s="447" t="inlineStr">
        <is>
          <t>Boolean</t>
        </is>
      </c>
      <c r="L141" s="429">
        <f>'LFD OLD'!R156</f>
        <v/>
      </c>
      <c r="M141" s="688" t="inlineStr">
        <is>
          <t>1</t>
        </is>
      </c>
      <c r="N141" s="487" t="n"/>
      <c r="DK141" s="429">
        <f>DK140+1</f>
        <v/>
      </c>
      <c r="DL141" s="430" t="inlineStr">
        <is>
          <t>HFAN2 3A</t>
        </is>
      </c>
      <c r="DM141" s="429" t="inlineStr">
        <is>
          <t>Boolean</t>
        </is>
      </c>
      <c r="DN141" s="429" t="inlineStr">
        <is>
          <t>0/1</t>
        </is>
      </c>
      <c r="DO141" s="429" t="inlineStr">
        <is>
          <t>GUI</t>
        </is>
      </c>
      <c r="DP141" s="429" t="n"/>
      <c r="DQ141" s="429" t="inlineStr">
        <is>
          <t>OFF:0,ON:1</t>
        </is>
      </c>
      <c r="DS141" s="428" t="inlineStr">
        <is>
          <t>Circuit Breaker</t>
        </is>
      </c>
      <c r="DT141" s="428" t="inlineStr">
        <is>
          <t>Contactors</t>
        </is>
      </c>
      <c r="DU141" s="428" t="inlineStr">
        <is>
          <t>Relay</t>
        </is>
      </c>
      <c r="DV141" s="428" t="inlineStr">
        <is>
          <t xml:space="preserve"> Other </t>
        </is>
      </c>
      <c r="DW141" s="451" t="n"/>
    </row>
    <row r="142" ht="21" customHeight="1">
      <c r="A142" s="485" t="n">
        <v>70</v>
      </c>
      <c r="B142" s="429" t="inlineStr">
        <is>
          <t>LFC04</t>
        </is>
      </c>
      <c r="C142" s="394" t="inlineStr">
        <is>
          <t>No_LVPS_Load_shed</t>
        </is>
      </c>
      <c r="D142" s="447" t="inlineStr">
        <is>
          <t>Boolean</t>
        </is>
      </c>
      <c r="E142" s="429" t="n"/>
      <c r="F142" s="429">
        <f>'LFD New'!D87</f>
        <v/>
      </c>
      <c r="G142" s="429" t="n"/>
      <c r="H142" s="688" t="n">
        <v>64</v>
      </c>
      <c r="I142" s="688" t="inlineStr">
        <is>
          <t>LFC08</t>
        </is>
      </c>
      <c r="J142" s="394" t="inlineStr">
        <is>
          <t>Heater_ON(9kw)</t>
        </is>
      </c>
      <c r="K142" s="447" t="inlineStr">
        <is>
          <t>Boolean</t>
        </is>
      </c>
      <c r="L142" s="429">
        <f>'LFD OLD'!R157</f>
        <v/>
      </c>
      <c r="M142" s="688" t="inlineStr">
        <is>
          <t>0</t>
        </is>
      </c>
      <c r="N142" s="487" t="n"/>
      <c r="DK142" s="429">
        <f>DK141+1</f>
        <v/>
      </c>
      <c r="DL142" s="430" t="inlineStr">
        <is>
          <t>HFAN1 3A</t>
        </is>
      </c>
      <c r="DM142" s="429" t="inlineStr">
        <is>
          <t>Boolean</t>
        </is>
      </c>
      <c r="DN142" s="429" t="inlineStr">
        <is>
          <t>0/1</t>
        </is>
      </c>
      <c r="DO142" s="429" t="inlineStr">
        <is>
          <t>GUI</t>
        </is>
      </c>
      <c r="DP142" s="429" t="n"/>
      <c r="DQ142" s="429" t="inlineStr">
        <is>
          <t>OFF:0,ON:1</t>
        </is>
      </c>
      <c r="DS142" s="451">
        <f>DL146</f>
        <v/>
      </c>
      <c r="DT142" s="451">
        <f>DL145</f>
        <v/>
      </c>
      <c r="DU142" s="451">
        <f>DL160</f>
        <v/>
      </c>
      <c r="DV142" s="451">
        <f>DL143</f>
        <v/>
      </c>
      <c r="DW142" s="429" t="inlineStr">
        <is>
          <t>i/p</t>
        </is>
      </c>
    </row>
    <row r="143" ht="21" customHeight="1">
      <c r="A143" s="485" t="n">
        <v>71</v>
      </c>
      <c r="B143" s="429" t="inlineStr">
        <is>
          <t>LFC05</t>
        </is>
      </c>
      <c r="C143" s="394" t="inlineStr">
        <is>
          <t>No_fire_detected</t>
        </is>
      </c>
      <c r="D143" s="447" t="inlineStr">
        <is>
          <t>Boolean</t>
        </is>
      </c>
      <c r="E143" s="429" t="n"/>
      <c r="F143" s="429">
        <f>'LFD New'!D88</f>
        <v/>
      </c>
      <c r="G143" s="429" t="n"/>
      <c r="H143" s="688" t="n">
        <v>65</v>
      </c>
      <c r="I143" s="688" t="n"/>
      <c r="J143" s="407" t="n"/>
      <c r="K143" s="447" t="inlineStr">
        <is>
          <t>Boolean</t>
        </is>
      </c>
      <c r="L143" s="429" t="n"/>
      <c r="M143" s="688" t="n"/>
      <c r="N143" s="487" t="n"/>
      <c r="BK143" s="321" t="n"/>
      <c r="DK143" s="429">
        <f>DK142+1</f>
        <v/>
      </c>
      <c r="DL143" s="430" t="inlineStr">
        <is>
          <t>TERMOSTAT 1</t>
        </is>
      </c>
      <c r="DM143" s="429" t="inlineStr">
        <is>
          <t>Boolean</t>
        </is>
      </c>
      <c r="DN143" s="429" t="inlineStr">
        <is>
          <t>0/1</t>
        </is>
      </c>
      <c r="DO143" s="429" t="inlineStr">
        <is>
          <t>GUI</t>
        </is>
      </c>
      <c r="DP143" s="429" t="n"/>
      <c r="DQ143" s="429" t="inlineStr">
        <is>
          <t>OFF:0,ON:1</t>
        </is>
      </c>
      <c r="DS143" s="451">
        <f>DL148</f>
        <v/>
      </c>
      <c r="DT143" s="451">
        <f>DL147</f>
        <v/>
      </c>
      <c r="DU143" s="451">
        <f>DL161</f>
        <v/>
      </c>
      <c r="DV143" s="451">
        <f>DL144</f>
        <v/>
      </c>
      <c r="DW143" s="429" t="inlineStr">
        <is>
          <t>i/p</t>
        </is>
      </c>
    </row>
    <row r="144" ht="21" customHeight="1" thickBot="1">
      <c r="A144" s="488" t="n">
        <v>72</v>
      </c>
      <c r="B144" s="489" t="inlineStr">
        <is>
          <t>LFC07</t>
        </is>
      </c>
      <c r="C144" s="410" t="inlineStr">
        <is>
          <t>Interior_temp_&lt;_set_Point</t>
        </is>
      </c>
      <c r="D144" s="490" t="inlineStr">
        <is>
          <t>Boolean</t>
        </is>
      </c>
      <c r="E144" s="489" t="n"/>
      <c r="F144" s="489">
        <f>'LFD New'!D89</f>
        <v/>
      </c>
      <c r="G144" s="489" t="n"/>
      <c r="H144" s="689" t="n">
        <v>66</v>
      </c>
      <c r="I144" s="689" t="n"/>
      <c r="J144" s="408" t="n"/>
      <c r="K144" s="490" t="inlineStr">
        <is>
          <t>Boolean</t>
        </is>
      </c>
      <c r="L144" s="489" t="n"/>
      <c r="M144" s="689" t="n"/>
      <c r="N144" s="492" t="n"/>
      <c r="DK144" s="429">
        <f>DK143+1</f>
        <v/>
      </c>
      <c r="DL144" s="430" t="inlineStr">
        <is>
          <t>TERMOSTAT 2</t>
        </is>
      </c>
      <c r="DM144" s="429" t="inlineStr">
        <is>
          <t>Boolean</t>
        </is>
      </c>
      <c r="DN144" s="429" t="inlineStr">
        <is>
          <t>0/1</t>
        </is>
      </c>
      <c r="DO144" s="429" t="inlineStr">
        <is>
          <t>GUI</t>
        </is>
      </c>
      <c r="DP144" s="429" t="n"/>
      <c r="DQ144" s="429" t="inlineStr">
        <is>
          <t>OFF:0,ON:1</t>
        </is>
      </c>
      <c r="DS144" s="451">
        <f>DL149</f>
        <v/>
      </c>
      <c r="DT144" s="451">
        <f>DL152</f>
        <v/>
      </c>
      <c r="DU144" s="451">
        <f>DL167</f>
        <v/>
      </c>
      <c r="DV144" s="451">
        <f>DL158</f>
        <v/>
      </c>
      <c r="DW144" s="429" t="inlineStr">
        <is>
          <t>i/p</t>
        </is>
      </c>
    </row>
    <row r="145" ht="21" customHeight="1" thickBot="1">
      <c r="A145" s="477" t="n">
        <v>73</v>
      </c>
      <c r="B145" s="478" t="n"/>
      <c r="C145" s="479" t="inlineStr">
        <is>
          <t>Emergency Ventilation</t>
        </is>
      </c>
      <c r="D145" s="480" t="inlineStr">
        <is>
          <t>Boolean</t>
        </is>
      </c>
      <c r="E145" s="481" t="n"/>
      <c r="F145" s="481" t="n"/>
      <c r="G145" s="481" t="n"/>
      <c r="H145" s="482" t="n">
        <v>67</v>
      </c>
      <c r="I145" s="482" t="n"/>
      <c r="J145" s="406" t="n"/>
      <c r="K145" s="483" t="inlineStr">
        <is>
          <t>Boolean</t>
        </is>
      </c>
      <c r="L145" s="481" t="n"/>
      <c r="M145" s="482" t="n"/>
      <c r="N145" s="484" t="n"/>
      <c r="DK145" s="429">
        <f>DK144+1</f>
        <v/>
      </c>
      <c r="DL145" s="430" t="inlineStr">
        <is>
          <t>HTC</t>
        </is>
      </c>
      <c r="DM145" s="429" t="inlineStr">
        <is>
          <t>Boolean</t>
        </is>
      </c>
      <c r="DN145" s="429" t="inlineStr">
        <is>
          <t>0/1</t>
        </is>
      </c>
      <c r="DO145" s="429" t="inlineStr">
        <is>
          <t>GUI</t>
        </is>
      </c>
      <c r="DP145" s="429" t="n"/>
      <c r="DQ145" s="429" t="inlineStr">
        <is>
          <t>OFF:0,ON:1</t>
        </is>
      </c>
      <c r="DS145" s="451">
        <f>DL150</f>
        <v/>
      </c>
      <c r="DT145" s="451">
        <f>DL153</f>
        <v/>
      </c>
      <c r="DU145" s="451">
        <f>DL172</f>
        <v/>
      </c>
      <c r="DV145" s="451">
        <f>DL166</f>
        <v/>
      </c>
      <c r="DW145" s="429" t="inlineStr">
        <is>
          <t>i/p</t>
        </is>
      </c>
    </row>
    <row r="146" ht="21" customHeight="1">
      <c r="A146" s="485" t="n">
        <v>74</v>
      </c>
      <c r="B146" s="429" t="inlineStr">
        <is>
          <t>LFC01</t>
        </is>
      </c>
      <c r="C146" s="493" t="inlineStr">
        <is>
          <t>Command_emergency_mode</t>
        </is>
      </c>
      <c r="D146" s="447" t="inlineStr">
        <is>
          <t>Boolean</t>
        </is>
      </c>
      <c r="E146" s="429" t="n"/>
      <c r="F146" s="429">
        <f>'LFD New'!D53</f>
        <v/>
      </c>
      <c r="G146" s="429" t="n"/>
      <c r="H146" s="688" t="n">
        <v>68</v>
      </c>
      <c r="I146" s="688" t="n"/>
      <c r="J146" s="407" t="n"/>
      <c r="K146" s="447" t="inlineStr">
        <is>
          <t>Boolean</t>
        </is>
      </c>
      <c r="L146" s="429" t="n"/>
      <c r="M146" s="688" t="n"/>
      <c r="N146" s="487" t="n"/>
      <c r="DK146" s="429">
        <f>DK145+1</f>
        <v/>
      </c>
      <c r="DL146" s="430" t="inlineStr">
        <is>
          <t>SAFB1 _9.5A</t>
        </is>
      </c>
      <c r="DM146" s="429" t="inlineStr">
        <is>
          <t>Boolean</t>
        </is>
      </c>
      <c r="DN146" s="429" t="inlineStr">
        <is>
          <t>0/1</t>
        </is>
      </c>
      <c r="DO146" s="429" t="inlineStr">
        <is>
          <t>GUI</t>
        </is>
      </c>
      <c r="DP146" s="429" t="n"/>
      <c r="DQ146" s="429" t="inlineStr">
        <is>
          <t>OFF:0,ON:1</t>
        </is>
      </c>
      <c r="DS146" s="451">
        <f>DL151</f>
        <v/>
      </c>
      <c r="DT146" s="451">
        <f>DL154</f>
        <v/>
      </c>
      <c r="DU146" s="451">
        <f>DL173</f>
        <v/>
      </c>
      <c r="DV146" s="451">
        <f>DL190</f>
        <v/>
      </c>
      <c r="DW146" s="429" t="inlineStr">
        <is>
          <t>i/p</t>
        </is>
      </c>
    </row>
    <row r="147" ht="21" customHeight="1">
      <c r="A147" s="485" t="n">
        <v>75</v>
      </c>
      <c r="B147" s="429" t="inlineStr">
        <is>
          <t>LFC02</t>
        </is>
      </c>
      <c r="C147" s="394" t="inlineStr">
        <is>
          <t>APS1_file</t>
        </is>
      </c>
      <c r="D147" s="447" t="inlineStr">
        <is>
          <t>Boolean</t>
        </is>
      </c>
      <c r="E147" s="429" t="n"/>
      <c r="F147" s="429">
        <f>'LFD New'!D54</f>
        <v/>
      </c>
      <c r="G147" s="429" t="n"/>
      <c r="H147" s="688" t="n">
        <v>69</v>
      </c>
      <c r="I147" s="688" t="n"/>
      <c r="J147" s="407" t="n"/>
      <c r="K147" s="447" t="inlineStr">
        <is>
          <t>Boolean</t>
        </is>
      </c>
      <c r="L147" s="429" t="n"/>
      <c r="M147" s="688" t="n"/>
      <c r="N147" s="487" t="n"/>
      <c r="DK147" s="429">
        <f>DK146+1</f>
        <v/>
      </c>
      <c r="DL147" s="430" t="inlineStr">
        <is>
          <t>SAFC1_12A</t>
        </is>
      </c>
      <c r="DM147" s="429" t="inlineStr">
        <is>
          <t>Boolean</t>
        </is>
      </c>
      <c r="DN147" s="429" t="inlineStr">
        <is>
          <t>0/1</t>
        </is>
      </c>
      <c r="DO147" s="429" t="inlineStr">
        <is>
          <t>GUI</t>
        </is>
      </c>
      <c r="DP147" s="429" t="n"/>
      <c r="DQ147" s="429" t="inlineStr">
        <is>
          <t>OFF:0,ON:1</t>
        </is>
      </c>
      <c r="DS147" s="451">
        <f>DL156</f>
        <v/>
      </c>
      <c r="DT147" s="451">
        <f>DL155</f>
        <v/>
      </c>
      <c r="DU147" s="451">
        <f>DL174</f>
        <v/>
      </c>
      <c r="DV147" s="451">
        <f>DL191</f>
        <v/>
      </c>
      <c r="DW147" s="429" t="inlineStr">
        <is>
          <t>i/p</t>
        </is>
      </c>
    </row>
    <row r="148" ht="21" customHeight="1">
      <c r="A148" s="485" t="n">
        <v>76</v>
      </c>
      <c r="B148" s="429" t="inlineStr">
        <is>
          <t>LFC03</t>
        </is>
      </c>
      <c r="C148" s="394" t="inlineStr">
        <is>
          <t>APS2_file</t>
        </is>
      </c>
      <c r="D148" s="447" t="inlineStr">
        <is>
          <t>Boolean</t>
        </is>
      </c>
      <c r="E148" s="429" t="n"/>
      <c r="F148" s="429">
        <f>'LFD New'!D55</f>
        <v/>
      </c>
      <c r="G148" s="429" t="n"/>
      <c r="H148" s="688" t="n">
        <v>70</v>
      </c>
      <c r="I148" s="688" t="n"/>
      <c r="J148" s="407" t="n"/>
      <c r="K148" s="447" t="inlineStr">
        <is>
          <t>Boolean</t>
        </is>
      </c>
      <c r="L148" s="429" t="n"/>
      <c r="M148" s="688" t="n"/>
      <c r="N148" s="487" t="n"/>
      <c r="DK148" s="429">
        <f>DK147+1</f>
        <v/>
      </c>
      <c r="DL148" s="430" t="inlineStr">
        <is>
          <t>CMPB1 _13A</t>
        </is>
      </c>
      <c r="DM148" s="429" t="inlineStr">
        <is>
          <t>Boolean</t>
        </is>
      </c>
      <c r="DN148" s="429" t="inlineStr">
        <is>
          <t>0/1</t>
        </is>
      </c>
      <c r="DO148" s="429" t="inlineStr">
        <is>
          <t>GUI</t>
        </is>
      </c>
      <c r="DP148" s="429" t="n"/>
      <c r="DQ148" s="429" t="inlineStr">
        <is>
          <t>OFF:0,ON:1</t>
        </is>
      </c>
      <c r="DS148" s="451">
        <f>DL159</f>
        <v/>
      </c>
      <c r="DT148" s="451">
        <f>DL157</f>
        <v/>
      </c>
      <c r="DU148" s="451">
        <f>DL175</f>
        <v/>
      </c>
      <c r="DV148" s="451">
        <f>DL192</f>
        <v/>
      </c>
      <c r="DW148" s="429" t="inlineStr">
        <is>
          <t>i/p</t>
        </is>
      </c>
    </row>
    <row r="149" ht="21" customHeight="1">
      <c r="A149" s="485" t="n">
        <v>77</v>
      </c>
      <c r="B149" s="429" t="inlineStr">
        <is>
          <t>LFC04</t>
        </is>
      </c>
      <c r="C149" s="394" t="inlineStr">
        <is>
          <t>PPR1_trip</t>
        </is>
      </c>
      <c r="D149" s="447" t="inlineStr">
        <is>
          <t>Boolean</t>
        </is>
      </c>
      <c r="E149" s="429" t="n"/>
      <c r="F149" s="429">
        <f>'LFD New'!D56</f>
        <v/>
      </c>
      <c r="G149" s="429" t="n"/>
      <c r="H149" s="688" t="n">
        <v>71</v>
      </c>
      <c r="I149" s="688" t="inlineStr">
        <is>
          <t>LFC12</t>
        </is>
      </c>
      <c r="J149" s="394" t="inlineStr">
        <is>
          <t>command_mode_active</t>
        </is>
      </c>
      <c r="K149" s="447" t="inlineStr">
        <is>
          <t>Boolean</t>
        </is>
      </c>
      <c r="L149" s="429">
        <f>'LFD OLD'!R175</f>
        <v/>
      </c>
      <c r="M149" s="688" t="inlineStr">
        <is>
          <t>1</t>
        </is>
      </c>
      <c r="N149" s="487" t="n"/>
      <c r="DK149" s="429">
        <f>DK148+1</f>
        <v/>
      </c>
      <c r="DL149" s="430" t="inlineStr">
        <is>
          <t>CMPB2 _13A</t>
        </is>
      </c>
      <c r="DM149" s="429" t="inlineStr">
        <is>
          <t>Boolean</t>
        </is>
      </c>
      <c r="DN149" s="429" t="inlineStr">
        <is>
          <t>0/1</t>
        </is>
      </c>
      <c r="DO149" s="429" t="inlineStr">
        <is>
          <t>GUI</t>
        </is>
      </c>
      <c r="DP149" s="429" t="n"/>
      <c r="DQ149" s="429" t="inlineStr">
        <is>
          <t>OFF:0,ON:1</t>
        </is>
      </c>
      <c r="DS149" s="451">
        <f>DL162</f>
        <v/>
      </c>
      <c r="DT149" s="451">
        <f>DL160</f>
        <v/>
      </c>
      <c r="DU149" s="451">
        <f>DL176</f>
        <v/>
      </c>
      <c r="DV149" s="451">
        <f>DL193</f>
        <v/>
      </c>
      <c r="DW149" s="429" t="inlineStr">
        <is>
          <t>i/p</t>
        </is>
      </c>
    </row>
    <row r="150" ht="21" customHeight="1">
      <c r="A150" s="485" t="n">
        <v>78</v>
      </c>
      <c r="B150" s="429" t="inlineStr">
        <is>
          <t>LFC05</t>
        </is>
      </c>
      <c r="C150" s="394" t="inlineStr">
        <is>
          <t>PPR2_trip</t>
        </is>
      </c>
      <c r="D150" s="447" t="inlineStr">
        <is>
          <t>Boolean</t>
        </is>
      </c>
      <c r="E150" s="429" t="n"/>
      <c r="F150" s="429">
        <f>'LFD New'!D57</f>
        <v/>
      </c>
      <c r="G150" s="429" t="n"/>
      <c r="H150" s="688" t="n">
        <v>72</v>
      </c>
      <c r="I150" s="688" t="n"/>
      <c r="J150" s="407" t="n"/>
      <c r="K150" s="447" t="inlineStr">
        <is>
          <t>Boolean</t>
        </is>
      </c>
      <c r="L150" s="429" t="n"/>
      <c r="M150" s="688" t="n"/>
      <c r="N150" s="487" t="n"/>
      <c r="DK150" s="429">
        <f>DK149+1</f>
        <v/>
      </c>
      <c r="DL150" s="430" t="inlineStr">
        <is>
          <t>CMPB3 _13A</t>
        </is>
      </c>
      <c r="DM150" s="429" t="inlineStr">
        <is>
          <t>Boolean</t>
        </is>
      </c>
      <c r="DN150" s="429" t="inlineStr">
        <is>
          <t>0/1</t>
        </is>
      </c>
      <c r="DO150" s="429" t="inlineStr">
        <is>
          <t>GUI</t>
        </is>
      </c>
      <c r="DP150" s="429" t="n"/>
      <c r="DQ150" s="429" t="inlineStr">
        <is>
          <t>OFF:0,ON:1</t>
        </is>
      </c>
      <c r="DS150" s="451">
        <f>DL164</f>
        <v/>
      </c>
      <c r="DT150" s="451">
        <f>DL161</f>
        <v/>
      </c>
      <c r="DU150" s="451">
        <f>DL177</f>
        <v/>
      </c>
      <c r="DV150" s="451">
        <f>DL194</f>
        <v/>
      </c>
      <c r="DW150" s="429" t="inlineStr">
        <is>
          <t>i/p</t>
        </is>
      </c>
    </row>
    <row r="151" ht="21" customHeight="1">
      <c r="A151" s="485" t="n">
        <v>79</v>
      </c>
      <c r="B151" s="429" t="inlineStr">
        <is>
          <t>LFC06</t>
        </is>
      </c>
      <c r="C151" s="394" t="inlineStr">
        <is>
          <t>External_smoke</t>
        </is>
      </c>
      <c r="D151" s="447" t="inlineStr">
        <is>
          <t>Boolean</t>
        </is>
      </c>
      <c r="E151" s="429" t="n"/>
      <c r="F151" s="429">
        <f>F29</f>
        <v/>
      </c>
      <c r="G151" s="429" t="n"/>
      <c r="H151" s="688" t="n">
        <v>73</v>
      </c>
      <c r="I151" s="688" t="n"/>
      <c r="J151" s="407" t="n"/>
      <c r="K151" s="447" t="inlineStr">
        <is>
          <t>Boolean</t>
        </is>
      </c>
      <c r="L151" s="429" t="n"/>
      <c r="M151" s="688" t="n"/>
      <c r="N151" s="487" t="n"/>
      <c r="DK151" s="429">
        <f>DK150+1</f>
        <v/>
      </c>
      <c r="DL151" s="430" t="inlineStr">
        <is>
          <t>CMPB4 _13A</t>
        </is>
      </c>
      <c r="DM151" s="429" t="inlineStr">
        <is>
          <t>Boolean</t>
        </is>
      </c>
      <c r="DN151" s="429" t="inlineStr">
        <is>
          <t>0/1</t>
        </is>
      </c>
      <c r="DO151" s="429" t="inlineStr">
        <is>
          <t>GUI</t>
        </is>
      </c>
      <c r="DP151" s="429" t="n"/>
      <c r="DQ151" s="429" t="inlineStr">
        <is>
          <t>OFF:0,ON:1</t>
        </is>
      </c>
      <c r="DS151" s="451">
        <f>DL165</f>
        <v/>
      </c>
      <c r="DT151" s="451">
        <f>DL168</f>
        <v/>
      </c>
      <c r="DU151" s="451">
        <f>DL178</f>
        <v/>
      </c>
      <c r="DV151" s="451">
        <f>DL195</f>
        <v/>
      </c>
      <c r="DW151" s="429" t="inlineStr">
        <is>
          <t>i/p</t>
        </is>
      </c>
    </row>
    <row r="152" ht="21" customHeight="1">
      <c r="A152" s="485" t="n">
        <v>80</v>
      </c>
      <c r="B152" s="429" t="inlineStr">
        <is>
          <t>LFC07</t>
        </is>
      </c>
      <c r="C152" s="394" t="inlineStr">
        <is>
          <t>Internal_smoke</t>
        </is>
      </c>
      <c r="D152" s="447" t="inlineStr">
        <is>
          <t>Boolean</t>
        </is>
      </c>
      <c r="E152" s="429" t="n"/>
      <c r="F152" s="429">
        <f>F28</f>
        <v/>
      </c>
      <c r="G152" s="429" t="n"/>
      <c r="H152" s="688" t="n">
        <v>74</v>
      </c>
      <c r="I152" s="688" t="n"/>
      <c r="J152" s="407" t="n"/>
      <c r="K152" s="447" t="inlineStr">
        <is>
          <t>Boolean</t>
        </is>
      </c>
      <c r="L152" s="429" t="n"/>
      <c r="M152" s="688" t="n"/>
      <c r="N152" s="487" t="n"/>
      <c r="BK152" s="321" t="n"/>
      <c r="DK152" s="429">
        <f>DK151+1</f>
        <v/>
      </c>
      <c r="DL152" s="430" t="inlineStr">
        <is>
          <t>CMPC1 16A</t>
        </is>
      </c>
      <c r="DM152" s="429" t="inlineStr">
        <is>
          <t>Boolean</t>
        </is>
      </c>
      <c r="DN152" s="429" t="inlineStr">
        <is>
          <t>0/1</t>
        </is>
      </c>
      <c r="DO152" s="429" t="inlineStr">
        <is>
          <t>GUI</t>
        </is>
      </c>
      <c r="DP152" s="429" t="n"/>
      <c r="DQ152" s="429" t="inlineStr">
        <is>
          <t>OFF:0,ON:1</t>
        </is>
      </c>
      <c r="DS152" s="451">
        <f>DL184</f>
        <v/>
      </c>
      <c r="DT152" s="451">
        <f>DL169</f>
        <v/>
      </c>
      <c r="DU152" s="451">
        <f>DL179</f>
        <v/>
      </c>
      <c r="DV152" s="451">
        <f>DL141</f>
        <v/>
      </c>
      <c r="DW152" s="429" t="inlineStr">
        <is>
          <t>i/p</t>
        </is>
      </c>
    </row>
    <row r="153" ht="21" customHeight="1">
      <c r="A153" s="485" t="n">
        <v>81</v>
      </c>
      <c r="B153" s="429" t="inlineStr">
        <is>
          <t>LFC08</t>
        </is>
      </c>
      <c r="C153" s="394" t="inlineStr">
        <is>
          <t>SAFC1_closed</t>
        </is>
      </c>
      <c r="D153" s="447" t="inlineStr">
        <is>
          <t>Boolean</t>
        </is>
      </c>
      <c r="E153" s="429" t="n"/>
      <c r="F153" s="429">
        <f>'LFD New'!D58</f>
        <v/>
      </c>
      <c r="G153" s="429" t="n"/>
      <c r="H153" s="688" t="n">
        <v>75</v>
      </c>
      <c r="I153" s="688" t="n"/>
      <c r="J153" s="407" t="n"/>
      <c r="K153" s="447" t="inlineStr">
        <is>
          <t>Boolean</t>
        </is>
      </c>
      <c r="L153" s="429" t="n"/>
      <c r="M153" s="688" t="n"/>
      <c r="N153" s="487" t="n"/>
      <c r="DK153" s="429">
        <f>DK152+1</f>
        <v/>
      </c>
      <c r="DL153" s="430" t="inlineStr">
        <is>
          <t>CMPC2 16A</t>
        </is>
      </c>
      <c r="DM153" s="429" t="inlineStr">
        <is>
          <t>Boolean</t>
        </is>
      </c>
      <c r="DN153" s="429" t="inlineStr">
        <is>
          <t>0/1</t>
        </is>
      </c>
      <c r="DO153" s="429" t="inlineStr">
        <is>
          <t>GUI</t>
        </is>
      </c>
      <c r="DP153" s="429" t="n"/>
      <c r="DQ153" s="429" t="inlineStr">
        <is>
          <t>OFF:0,ON:1</t>
        </is>
      </c>
      <c r="DS153" s="451">
        <f>DL186</f>
        <v/>
      </c>
      <c r="DT153" s="451">
        <f>DL185</f>
        <v/>
      </c>
      <c r="DU153" s="451">
        <f>DL180</f>
        <v/>
      </c>
      <c r="DV153" s="451">
        <f>DL142</f>
        <v/>
      </c>
      <c r="DW153" s="429" t="inlineStr">
        <is>
          <t>i/p</t>
        </is>
      </c>
    </row>
    <row r="154" ht="21" customHeight="1">
      <c r="A154" s="485" t="n">
        <v>82</v>
      </c>
      <c r="B154" s="429" t="inlineStr">
        <is>
          <t>LFC09</t>
        </is>
      </c>
      <c r="C154" s="394" t="inlineStr">
        <is>
          <t>SAFC2_closed</t>
        </is>
      </c>
      <c r="D154" s="447" t="inlineStr">
        <is>
          <t>Boolean</t>
        </is>
      </c>
      <c r="E154" s="429" t="n"/>
      <c r="F154" s="429">
        <f>'LFD New'!D59</f>
        <v/>
      </c>
      <c r="G154" s="429" t="n"/>
      <c r="H154" s="688" t="n">
        <v>76</v>
      </c>
      <c r="I154" s="688" t="n"/>
      <c r="J154" s="407" t="n"/>
      <c r="K154" s="447" t="inlineStr">
        <is>
          <t>Boolean</t>
        </is>
      </c>
      <c r="L154" s="429" t="n"/>
      <c r="M154" s="688" t="n"/>
      <c r="N154" s="487" t="n"/>
      <c r="DK154" s="429">
        <f>DK153+1</f>
        <v/>
      </c>
      <c r="DL154" s="430" t="inlineStr">
        <is>
          <t>CMPC3 16A</t>
        </is>
      </c>
      <c r="DM154" s="429" t="inlineStr">
        <is>
          <t>Boolean</t>
        </is>
      </c>
      <c r="DN154" s="429" t="inlineStr">
        <is>
          <t>0/1</t>
        </is>
      </c>
      <c r="DO154" s="429" t="inlineStr">
        <is>
          <t>GUI</t>
        </is>
      </c>
      <c r="DP154" s="429" t="n"/>
      <c r="DQ154" s="429" t="inlineStr">
        <is>
          <t>OFF:0,ON:1</t>
        </is>
      </c>
      <c r="DS154" s="451">
        <f>DL187</f>
        <v/>
      </c>
      <c r="DT154" s="451" t="n"/>
      <c r="DU154" s="451">
        <f>DL181</f>
        <v/>
      </c>
      <c r="DV154" s="451" t="n"/>
      <c r="DW154" s="451" t="n"/>
    </row>
    <row r="155" ht="21" customHeight="1">
      <c r="A155" s="485" t="n">
        <v>83</v>
      </c>
      <c r="B155" s="429" t="inlineStr">
        <is>
          <t>LFC10</t>
        </is>
      </c>
      <c r="C155" s="394" t="inlineStr">
        <is>
          <t>EMR</t>
        </is>
      </c>
      <c r="D155" s="447" t="inlineStr">
        <is>
          <t>Boolean</t>
        </is>
      </c>
      <c r="E155" s="429" t="n"/>
      <c r="F155" s="429">
        <f>'LFD New'!D60</f>
        <v/>
      </c>
      <c r="G155" s="429" t="n"/>
      <c r="H155" s="688" t="n">
        <v>77</v>
      </c>
      <c r="I155" s="688" t="n"/>
      <c r="J155" s="407" t="n"/>
      <c r="K155" s="447" t="inlineStr">
        <is>
          <t>Boolean</t>
        </is>
      </c>
      <c r="L155" s="429" t="n"/>
      <c r="M155" s="688" t="n"/>
      <c r="N155" s="487" t="n"/>
      <c r="DK155" s="429">
        <f>DK154+1</f>
        <v/>
      </c>
      <c r="DL155" s="430" t="inlineStr">
        <is>
          <t>CMPC4 16A</t>
        </is>
      </c>
      <c r="DM155" s="429" t="inlineStr">
        <is>
          <t>Boolean</t>
        </is>
      </c>
      <c r="DN155" s="429" t="inlineStr">
        <is>
          <t>0/1</t>
        </is>
      </c>
      <c r="DO155" s="429" t="inlineStr">
        <is>
          <t>GUI</t>
        </is>
      </c>
      <c r="DP155" s="429" t="n"/>
      <c r="DQ155" s="429" t="inlineStr">
        <is>
          <t>OFF:0,ON:1</t>
        </is>
      </c>
      <c r="DS155" s="451" t="n"/>
      <c r="DT155" s="451" t="n"/>
      <c r="DU155" s="451">
        <f>DL182</f>
        <v/>
      </c>
      <c r="DV155" s="451" t="n"/>
      <c r="DW155" s="451" t="n"/>
    </row>
    <row r="156" ht="21" customHeight="1" thickBot="1">
      <c r="A156" s="488" t="n">
        <v>84</v>
      </c>
      <c r="B156" s="489" t="inlineStr">
        <is>
          <t>LFC11</t>
        </is>
      </c>
      <c r="C156" s="410" t="inlineStr">
        <is>
          <t>TMR1</t>
        </is>
      </c>
      <c r="D156" s="490" t="inlineStr">
        <is>
          <t>Boolean</t>
        </is>
      </c>
      <c r="E156" s="489" t="n"/>
      <c r="F156" s="489">
        <f>'LFD New'!D61</f>
        <v/>
      </c>
      <c r="G156" s="489" t="n"/>
      <c r="H156" s="689" t="n">
        <v>78</v>
      </c>
      <c r="I156" s="689" t="n"/>
      <c r="J156" s="408" t="n"/>
      <c r="K156" s="490" t="inlineStr">
        <is>
          <t>Boolean</t>
        </is>
      </c>
      <c r="L156" s="489" t="n"/>
      <c r="M156" s="689" t="n"/>
      <c r="N156" s="492" t="n"/>
      <c r="DK156" s="429">
        <f>DK155+1</f>
        <v/>
      </c>
      <c r="DL156" s="430" t="inlineStr">
        <is>
          <t>CDFB 4,63A</t>
        </is>
      </c>
      <c r="DM156" s="429" t="inlineStr">
        <is>
          <t>Boolean</t>
        </is>
      </c>
      <c r="DN156" s="429" t="inlineStr">
        <is>
          <t>0/1</t>
        </is>
      </c>
      <c r="DO156" s="429" t="inlineStr">
        <is>
          <t>GUI</t>
        </is>
      </c>
      <c r="DP156" s="429" t="n"/>
      <c r="DQ156" s="429" t="inlineStr">
        <is>
          <t>OFF:0,ON:1</t>
        </is>
      </c>
      <c r="DS156" s="451" t="n"/>
      <c r="DT156" s="451" t="n"/>
      <c r="DU156" s="451">
        <f>DL183</f>
        <v/>
      </c>
      <c r="DV156" s="451" t="n"/>
      <c r="DW156" s="451" t="n"/>
    </row>
    <row r="157" ht="21" customHeight="1" thickBot="1">
      <c r="A157" s="477" t="n">
        <v>85</v>
      </c>
      <c r="B157" s="478" t="n"/>
      <c r="C157" s="479" t="inlineStr">
        <is>
          <t>Fresh Air Control (Damper Full Close)</t>
        </is>
      </c>
      <c r="D157" s="480" t="inlineStr">
        <is>
          <t>Boolean</t>
        </is>
      </c>
      <c r="E157" s="481" t="n"/>
      <c r="F157" s="481" t="n"/>
      <c r="G157" s="481" t="n"/>
      <c r="H157" s="482" t="n">
        <v>79</v>
      </c>
      <c r="I157" s="482" t="n"/>
      <c r="J157" s="406" t="n"/>
      <c r="K157" s="483" t="inlineStr">
        <is>
          <t>Boolean</t>
        </is>
      </c>
      <c r="L157" s="481" t="n"/>
      <c r="M157" s="482" t="n"/>
      <c r="N157" s="484" t="n"/>
      <c r="DK157" s="429">
        <f>DK156+1</f>
        <v/>
      </c>
      <c r="DL157" s="430" t="inlineStr">
        <is>
          <t>CDFC 9A</t>
        </is>
      </c>
      <c r="DM157" s="429" t="inlineStr">
        <is>
          <t>Boolean</t>
        </is>
      </c>
      <c r="DN157" s="429" t="inlineStr">
        <is>
          <t>0/1</t>
        </is>
      </c>
      <c r="DO157" s="429" t="inlineStr">
        <is>
          <t>GUI</t>
        </is>
      </c>
      <c r="DP157" s="429" t="n"/>
      <c r="DQ157" s="429" t="inlineStr">
        <is>
          <t>OFF:0,ON:1</t>
        </is>
      </c>
      <c r="DS157" s="451" t="n"/>
      <c r="DT157" s="451" t="n"/>
      <c r="DU157" s="451">
        <f>DL188</f>
        <v/>
      </c>
      <c r="DV157" s="451" t="n"/>
      <c r="DW157" s="451" t="n"/>
    </row>
    <row r="158" ht="21" customHeight="1">
      <c r="A158" s="485" t="n">
        <v>86</v>
      </c>
      <c r="B158" s="429" t="inlineStr">
        <is>
          <t>LFC01</t>
        </is>
      </c>
      <c r="C158" s="493" t="inlineStr">
        <is>
          <t>HVAC_ON</t>
        </is>
      </c>
      <c r="D158" s="447" t="inlineStr">
        <is>
          <t>Boolean</t>
        </is>
      </c>
      <c r="E158" s="429" t="n"/>
      <c r="F158" s="429">
        <f>'LFD New'!D2</f>
        <v/>
      </c>
      <c r="G158" s="429" t="n"/>
      <c r="H158" s="688" t="n">
        <v>80</v>
      </c>
      <c r="I158" s="688" t="n"/>
      <c r="J158" s="407" t="n"/>
      <c r="K158" s="447" t="inlineStr">
        <is>
          <t>Boolean</t>
        </is>
      </c>
      <c r="L158" s="429" t="n"/>
      <c r="M158" s="688" t="n"/>
      <c r="N158" s="487" t="n"/>
      <c r="DK158" s="429">
        <f>DK157+1</f>
        <v/>
      </c>
      <c r="DL158" s="786" t="inlineStr">
        <is>
          <t>EMR DRIVE</t>
        </is>
      </c>
      <c r="DM158" s="429" t="inlineStr">
        <is>
          <t>Boolean</t>
        </is>
      </c>
      <c r="DN158" s="429" t="inlineStr">
        <is>
          <t>0/1</t>
        </is>
      </c>
      <c r="DO158" s="429" t="inlineStr">
        <is>
          <t>GUI</t>
        </is>
      </c>
      <c r="DP158" s="429" t="n"/>
      <c r="DQ158" s="429" t="inlineStr">
        <is>
          <t>OFF:0,ON:1</t>
        </is>
      </c>
      <c r="DS158" s="451" t="n"/>
      <c r="DT158" s="451" t="n"/>
      <c r="DU158" s="451">
        <f>DL189</f>
        <v/>
      </c>
      <c r="DV158" s="451" t="n"/>
      <c r="DW158" s="451" t="n"/>
    </row>
    <row r="159" ht="21" customHeight="1">
      <c r="A159" s="485" t="n">
        <v>87</v>
      </c>
      <c r="B159" s="429" t="inlineStr">
        <is>
          <t>LFC02</t>
        </is>
      </c>
      <c r="C159" s="394" t="inlineStr">
        <is>
          <t>APS_ON</t>
        </is>
      </c>
      <c r="D159" s="447" t="inlineStr">
        <is>
          <t>Boolean</t>
        </is>
      </c>
      <c r="E159" s="429" t="n"/>
      <c r="F159" s="429">
        <f>IF(OR('LFD New'!D6:D7),1,0)</f>
        <v/>
      </c>
      <c r="G159" s="429" t="n"/>
      <c r="H159" s="688" t="n">
        <v>81</v>
      </c>
      <c r="I159" s="688" t="n"/>
      <c r="J159" s="407" t="n"/>
      <c r="K159" s="447" t="inlineStr">
        <is>
          <t>Boolean</t>
        </is>
      </c>
      <c r="L159" s="429" t="n"/>
      <c r="M159" s="688" t="n"/>
      <c r="N159" s="487" t="n"/>
      <c r="DK159" s="429">
        <f>DK158+1</f>
        <v/>
      </c>
      <c r="DL159" s="786" t="inlineStr">
        <is>
          <t>HTRB 13.2A</t>
        </is>
      </c>
      <c r="DM159" s="429" t="inlineStr">
        <is>
          <t>Boolean</t>
        </is>
      </c>
      <c r="DN159" s="429" t="inlineStr">
        <is>
          <t>0/1</t>
        </is>
      </c>
      <c r="DO159" s="429" t="inlineStr">
        <is>
          <t>GUI</t>
        </is>
      </c>
      <c r="DP159" s="429" t="n"/>
      <c r="DQ159" s="429" t="inlineStr">
        <is>
          <t>OFF:0,ON:1</t>
        </is>
      </c>
      <c r="DS159" s="451" t="n"/>
      <c r="DT159" s="451" t="n"/>
      <c r="DU159" s="451">
        <f>DL163</f>
        <v/>
      </c>
      <c r="DV159" s="451" t="n"/>
      <c r="DW159" s="451" t="n"/>
    </row>
    <row r="160" ht="21" customHeight="1">
      <c r="A160" s="485" t="n">
        <v>88</v>
      </c>
      <c r="B160" s="429" t="inlineStr">
        <is>
          <t>LFC03</t>
        </is>
      </c>
      <c r="C160" s="394" t="inlineStr">
        <is>
          <t>LFC03</t>
        </is>
      </c>
      <c r="D160" s="447" t="inlineStr">
        <is>
          <t>Boolean</t>
        </is>
      </c>
      <c r="E160" s="429" t="n"/>
      <c r="F160" s="429" t="n"/>
      <c r="G160" s="429" t="n"/>
      <c r="H160" s="688" t="n">
        <v>82</v>
      </c>
      <c r="I160" s="688" t="inlineStr">
        <is>
          <t>LFC08</t>
        </is>
      </c>
      <c r="J160" s="394" t="inlineStr">
        <is>
          <t>Damper_full_close</t>
        </is>
      </c>
      <c r="K160" s="447" t="inlineStr">
        <is>
          <t>Boolean</t>
        </is>
      </c>
      <c r="L160" s="429">
        <f>'LFD OLD'!R189</f>
        <v/>
      </c>
      <c r="M160" s="688" t="inlineStr">
        <is>
          <t>1</t>
        </is>
      </c>
      <c r="N160" s="487" t="n"/>
      <c r="DK160" s="429">
        <f>DK159+1</f>
        <v/>
      </c>
      <c r="DL160" s="786" t="inlineStr">
        <is>
          <t>HTRC1 9A</t>
        </is>
      </c>
      <c r="DM160" s="429" t="inlineStr">
        <is>
          <t>Boolean</t>
        </is>
      </c>
      <c r="DN160" s="429" t="inlineStr">
        <is>
          <t>0/1</t>
        </is>
      </c>
      <c r="DO160" s="429" t="inlineStr">
        <is>
          <t>GUI</t>
        </is>
      </c>
      <c r="DP160" s="451" t="n"/>
      <c r="DQ160" s="429" t="inlineStr">
        <is>
          <t>OFF:0,ON:1</t>
        </is>
      </c>
      <c r="DS160" s="451" t="n"/>
      <c r="DT160" s="451" t="n"/>
      <c r="DU160" s="451">
        <f>DL170</f>
        <v/>
      </c>
      <c r="DV160" s="451" t="n"/>
      <c r="DW160" s="451" t="n"/>
    </row>
    <row r="161" ht="21" customHeight="1">
      <c r="A161" s="485" t="n">
        <v>89</v>
      </c>
      <c r="B161" s="429" t="inlineStr">
        <is>
          <t>LFC04</t>
        </is>
      </c>
      <c r="C161" s="394" t="inlineStr">
        <is>
          <t>Smoke_fire_outside_vehicle</t>
        </is>
      </c>
      <c r="D161" s="447" t="inlineStr">
        <is>
          <t>Boolean</t>
        </is>
      </c>
      <c r="E161" s="429" t="n"/>
      <c r="F161" s="429">
        <f>F29</f>
        <v/>
      </c>
      <c r="G161" s="429" t="n"/>
      <c r="H161" s="688" t="n">
        <v>83</v>
      </c>
      <c r="I161" s="688" t="n"/>
      <c r="J161" s="407" t="n"/>
      <c r="K161" s="447" t="inlineStr">
        <is>
          <t>Boolean</t>
        </is>
      </c>
      <c r="L161" s="429" t="n"/>
      <c r="M161" s="688" t="n"/>
      <c r="N161" s="487" t="n"/>
      <c r="BK161" s="321" t="n"/>
      <c r="DK161" s="429">
        <f>DK160+1</f>
        <v/>
      </c>
      <c r="DL161" s="786" t="inlineStr">
        <is>
          <t>HTRC2 9A</t>
        </is>
      </c>
      <c r="DM161" s="429" t="inlineStr">
        <is>
          <t>Boolean</t>
        </is>
      </c>
      <c r="DN161" s="429" t="inlineStr">
        <is>
          <t>0/1</t>
        </is>
      </c>
      <c r="DO161" s="429" t="inlineStr">
        <is>
          <t>GUI</t>
        </is>
      </c>
      <c r="DP161" s="451" t="n"/>
      <c r="DQ161" s="429" t="inlineStr">
        <is>
          <t>OFF:0,ON:1</t>
        </is>
      </c>
    </row>
    <row r="162" ht="21" customHeight="1">
      <c r="A162" s="485" t="n">
        <v>90</v>
      </c>
      <c r="B162" s="429" t="inlineStr">
        <is>
          <t>LFC05</t>
        </is>
      </c>
      <c r="C162" s="394" t="inlineStr">
        <is>
          <t>Pre-cooling</t>
        </is>
      </c>
      <c r="D162" s="447" t="inlineStr">
        <is>
          <t>Boolean</t>
        </is>
      </c>
      <c r="E162" s="429" t="n"/>
      <c r="F162" s="429">
        <f>'Mode Logic'!J4</f>
        <v/>
      </c>
      <c r="G162" s="429" t="n"/>
      <c r="H162" s="688" t="n">
        <v>84</v>
      </c>
      <c r="I162" s="688" t="n"/>
      <c r="J162" s="407" t="n"/>
      <c r="K162" s="447" t="inlineStr">
        <is>
          <t>Boolean</t>
        </is>
      </c>
      <c r="L162" s="429" t="n"/>
      <c r="M162" s="688" t="n"/>
      <c r="N162" s="487" t="n"/>
      <c r="BK162" s="321" t="n"/>
      <c r="DK162" s="429">
        <f>DK161+1</f>
        <v/>
      </c>
      <c r="DL162" s="786" t="inlineStr">
        <is>
          <t>SRRB</t>
        </is>
      </c>
      <c r="DM162" s="429" t="inlineStr">
        <is>
          <t>Boolean</t>
        </is>
      </c>
      <c r="DN162" s="429" t="inlineStr">
        <is>
          <t>0/1</t>
        </is>
      </c>
      <c r="DO162" s="429" t="inlineStr">
        <is>
          <t>GUI</t>
        </is>
      </c>
      <c r="DP162" s="451" t="n"/>
      <c r="DQ162" s="429" t="inlineStr">
        <is>
          <t>OFF:0,ON:1</t>
        </is>
      </c>
    </row>
    <row r="163" ht="21" customHeight="1">
      <c r="A163" s="485" t="n">
        <v>91</v>
      </c>
      <c r="B163" s="429" t="inlineStr">
        <is>
          <t>LFC06</t>
        </is>
      </c>
      <c r="C163" s="394" t="inlineStr">
        <is>
          <t>Pre-heating</t>
        </is>
      </c>
      <c r="D163" s="447" t="inlineStr">
        <is>
          <t>Boolean</t>
        </is>
      </c>
      <c r="E163" s="429" t="n"/>
      <c r="F163" s="429">
        <f>'Mode Logic'!J3</f>
        <v/>
      </c>
      <c r="G163" s="429" t="n"/>
      <c r="H163" s="688" t="n">
        <v>85</v>
      </c>
      <c r="I163" s="688" t="n"/>
      <c r="J163" s="407" t="n"/>
      <c r="K163" s="447" t="inlineStr">
        <is>
          <t>Boolean</t>
        </is>
      </c>
      <c r="L163" s="429" t="n"/>
      <c r="M163" s="688" t="n"/>
      <c r="N163" s="487" t="n"/>
      <c r="DK163" s="429">
        <f>DK162+1</f>
        <v/>
      </c>
      <c r="DL163" s="786" t="inlineStr">
        <is>
          <t>HRC9-O</t>
        </is>
      </c>
      <c r="DM163" s="429" t="inlineStr">
        <is>
          <t>Boolean</t>
        </is>
      </c>
      <c r="DN163" s="429" t="inlineStr">
        <is>
          <t>0/1</t>
        </is>
      </c>
      <c r="DO163" s="429" t="inlineStr">
        <is>
          <t>GUI</t>
        </is>
      </c>
      <c r="DP163" s="451" t="n"/>
      <c r="DQ163" s="429" t="inlineStr">
        <is>
          <t>OFF:0,ON:1</t>
        </is>
      </c>
    </row>
    <row r="164" ht="21" customHeight="1" thickBot="1">
      <c r="A164" s="488" t="n">
        <v>92</v>
      </c>
      <c r="B164" s="489" t="inlineStr">
        <is>
          <t>LFC07</t>
        </is>
      </c>
      <c r="C164" s="410" t="inlineStr">
        <is>
          <t>LFC07</t>
        </is>
      </c>
      <c r="D164" s="490" t="inlineStr">
        <is>
          <t>Boolean</t>
        </is>
      </c>
      <c r="E164" s="489" t="n"/>
      <c r="F164" s="489" t="n"/>
      <c r="G164" s="489" t="n"/>
      <c r="H164" s="689" t="n">
        <v>86</v>
      </c>
      <c r="I164" s="689" t="n"/>
      <c r="J164" s="408" t="n"/>
      <c r="K164" s="490" t="inlineStr">
        <is>
          <t>Boolean</t>
        </is>
      </c>
      <c r="L164" s="489" t="n"/>
      <c r="M164" s="689" t="n"/>
      <c r="N164" s="492" t="n"/>
      <c r="DK164" s="429">
        <f>DK163+1</f>
        <v/>
      </c>
      <c r="DL164" s="786" t="inlineStr">
        <is>
          <t>SMDRB 1</t>
        </is>
      </c>
      <c r="DM164" s="429" t="inlineStr">
        <is>
          <t>Boolean</t>
        </is>
      </c>
      <c r="DN164" s="429" t="inlineStr">
        <is>
          <t>0/1</t>
        </is>
      </c>
      <c r="DO164" s="429" t="inlineStr">
        <is>
          <t>GUI</t>
        </is>
      </c>
      <c r="DP164" s="451" t="n"/>
      <c r="DQ164" s="429" t="inlineStr">
        <is>
          <t>OFF:0,ON:1</t>
        </is>
      </c>
    </row>
    <row r="165" ht="21" customHeight="1" thickBot="1">
      <c r="A165" s="477" t="n">
        <v>93</v>
      </c>
      <c r="B165" s="481" t="n"/>
      <c r="C165" s="479" t="inlineStr">
        <is>
          <t>Fresh Air Control (Damper Full Open)</t>
        </is>
      </c>
      <c r="D165" s="483" t="inlineStr">
        <is>
          <t>Boolean</t>
        </is>
      </c>
      <c r="E165" s="481" t="n"/>
      <c r="F165" s="481" t="n"/>
      <c r="G165" s="481" t="n"/>
      <c r="H165" s="482" t="n">
        <v>87</v>
      </c>
      <c r="I165" s="482" t="n"/>
      <c r="J165" s="406" t="n"/>
      <c r="K165" s="483" t="inlineStr">
        <is>
          <t>Boolean</t>
        </is>
      </c>
      <c r="L165" s="481" t="n"/>
      <c r="M165" s="482" t="n"/>
      <c r="N165" s="484" t="n"/>
      <c r="DK165" s="429">
        <f>DK164+1</f>
        <v/>
      </c>
      <c r="DL165" s="786" t="inlineStr">
        <is>
          <t>SMDRB 2</t>
        </is>
      </c>
      <c r="DM165" s="429" t="inlineStr">
        <is>
          <t>Boolean</t>
        </is>
      </c>
      <c r="DN165" s="429" t="inlineStr">
        <is>
          <t>0/1</t>
        </is>
      </c>
      <c r="DO165" s="429" t="inlineStr">
        <is>
          <t>GUI</t>
        </is>
      </c>
      <c r="DP165" s="451" t="n"/>
      <c r="DQ165" s="429" t="inlineStr">
        <is>
          <t>OFF:0,ON:1</t>
        </is>
      </c>
    </row>
    <row r="166" ht="21" customHeight="1">
      <c r="A166" s="485" t="n">
        <v>94</v>
      </c>
      <c r="B166" s="429" t="inlineStr">
        <is>
          <t>LFC01</t>
        </is>
      </c>
      <c r="C166" s="394" t="inlineStr">
        <is>
          <t>HVAC_ON</t>
        </is>
      </c>
      <c r="D166" s="447" t="inlineStr">
        <is>
          <t>Boolean</t>
        </is>
      </c>
      <c r="E166" s="429" t="n"/>
      <c r="F166" s="429">
        <f>F158</f>
        <v/>
      </c>
      <c r="G166" s="429" t="n"/>
      <c r="H166" s="688" t="n">
        <v>88</v>
      </c>
      <c r="I166" s="688" t="n"/>
      <c r="J166" s="407" t="n"/>
      <c r="K166" s="447" t="inlineStr">
        <is>
          <t>Boolean</t>
        </is>
      </c>
      <c r="L166" s="429" t="n"/>
      <c r="M166" s="688" t="n"/>
      <c r="N166" s="487" t="n"/>
      <c r="DK166" s="429">
        <f>DK165+1</f>
        <v/>
      </c>
      <c r="DL166" s="786" t="inlineStr">
        <is>
          <t>LUB</t>
        </is>
      </c>
      <c r="DM166" s="429" t="inlineStr">
        <is>
          <t>Boolean</t>
        </is>
      </c>
      <c r="DN166" s="429" t="inlineStr">
        <is>
          <t>0/1</t>
        </is>
      </c>
      <c r="DO166" s="429" t="inlineStr">
        <is>
          <t>GUI</t>
        </is>
      </c>
      <c r="DP166" s="451" t="n"/>
      <c r="DQ166" s="429" t="inlineStr">
        <is>
          <t>OFF:0,ON:1</t>
        </is>
      </c>
    </row>
    <row r="167" ht="21" customHeight="1">
      <c r="A167" s="485" t="n">
        <v>95</v>
      </c>
      <c r="B167" s="429" t="inlineStr">
        <is>
          <t>LFC02</t>
        </is>
      </c>
      <c r="C167" s="394" t="inlineStr">
        <is>
          <t>APS_ON</t>
        </is>
      </c>
      <c r="D167" s="447" t="inlineStr">
        <is>
          <t>Boolean</t>
        </is>
      </c>
      <c r="E167" s="429" t="n"/>
      <c r="F167" s="429">
        <f>F159</f>
        <v/>
      </c>
      <c r="G167" s="429" t="n"/>
      <c r="H167" s="688" t="n">
        <v>89</v>
      </c>
      <c r="I167" s="688" t="inlineStr">
        <is>
          <t>LFC07</t>
        </is>
      </c>
      <c r="J167" s="394" t="inlineStr">
        <is>
          <t>Damper_full_open</t>
        </is>
      </c>
      <c r="K167" s="447" t="inlineStr">
        <is>
          <t>Boolean</t>
        </is>
      </c>
      <c r="L167" s="429">
        <f>'LFD OLD'!R201</f>
        <v/>
      </c>
      <c r="M167" s="688" t="inlineStr">
        <is>
          <t>0</t>
        </is>
      </c>
      <c r="N167" s="487" t="n"/>
      <c r="DK167" s="429">
        <f>DK166+1</f>
        <v/>
      </c>
      <c r="DL167" s="786" t="inlineStr">
        <is>
          <t>EMR</t>
        </is>
      </c>
      <c r="DM167" s="429" t="inlineStr">
        <is>
          <t>Boolean</t>
        </is>
      </c>
      <c r="DN167" s="429" t="inlineStr">
        <is>
          <t>0/1</t>
        </is>
      </c>
      <c r="DO167" s="429" t="inlineStr">
        <is>
          <t>GUI</t>
        </is>
      </c>
      <c r="DP167" s="451" t="n"/>
      <c r="DQ167" s="429" t="inlineStr">
        <is>
          <t>OFF:0,ON:1</t>
        </is>
      </c>
    </row>
    <row r="168" ht="21" customHeight="1">
      <c r="A168" s="485" t="n">
        <v>96</v>
      </c>
      <c r="B168" s="429" t="inlineStr">
        <is>
          <t>LFC03</t>
        </is>
      </c>
      <c r="C168" s="394" t="inlineStr">
        <is>
          <t>LFC03</t>
        </is>
      </c>
      <c r="D168" s="447" t="inlineStr">
        <is>
          <t>Boolean</t>
        </is>
      </c>
      <c r="E168" s="429" t="n"/>
      <c r="F168" s="429" t="n"/>
      <c r="G168" s="429" t="n"/>
      <c r="H168" s="688" t="n">
        <v>90</v>
      </c>
      <c r="I168" s="688" t="n"/>
      <c r="J168" s="407" t="n"/>
      <c r="K168" s="447" t="inlineStr">
        <is>
          <t>Boolean</t>
        </is>
      </c>
      <c r="L168" s="429" t="n"/>
      <c r="M168" s="688" t="n"/>
      <c r="N168" s="487" t="n"/>
      <c r="DK168" s="429">
        <f>DK167+1</f>
        <v/>
      </c>
      <c r="DL168" s="786" t="inlineStr">
        <is>
          <t>ESAFC 1</t>
        </is>
      </c>
      <c r="DM168" s="429" t="inlineStr">
        <is>
          <t>Boolean</t>
        </is>
      </c>
      <c r="DN168" s="429" t="inlineStr">
        <is>
          <t>0/1</t>
        </is>
      </c>
      <c r="DO168" s="429" t="inlineStr">
        <is>
          <t>GUI</t>
        </is>
      </c>
      <c r="DP168" s="451" t="n"/>
      <c r="DQ168" s="429" t="inlineStr">
        <is>
          <t>OFF:0,ON:1</t>
        </is>
      </c>
    </row>
    <row r="169" ht="21" customHeight="1">
      <c r="A169" s="485" t="n">
        <v>97</v>
      </c>
      <c r="B169" s="429" t="inlineStr">
        <is>
          <t>LFC04</t>
        </is>
      </c>
      <c r="C169" s="394" t="inlineStr">
        <is>
          <t>Smoke_fire_outside_vehicle</t>
        </is>
      </c>
      <c r="D169" s="447" t="inlineStr">
        <is>
          <t>Boolean</t>
        </is>
      </c>
      <c r="E169" s="429" t="n"/>
      <c r="F169" s="429">
        <f>F161</f>
        <v/>
      </c>
      <c r="G169" s="429" t="n"/>
      <c r="H169" s="688" t="n">
        <v>91</v>
      </c>
      <c r="I169" s="688" t="n"/>
      <c r="J169" s="407" t="n"/>
      <c r="K169" s="447" t="inlineStr">
        <is>
          <t>Boolean</t>
        </is>
      </c>
      <c r="L169" s="429" t="n"/>
      <c r="M169" s="688" t="n"/>
      <c r="N169" s="487" t="n"/>
      <c r="DK169" s="429">
        <f>DK168+1</f>
        <v/>
      </c>
      <c r="DL169" s="786" t="inlineStr">
        <is>
          <t>ESAFC 2</t>
        </is>
      </c>
      <c r="DM169" s="429" t="inlineStr">
        <is>
          <t>Boolean</t>
        </is>
      </c>
      <c r="DN169" s="429" t="inlineStr">
        <is>
          <t>0/1</t>
        </is>
      </c>
      <c r="DO169" s="429" t="inlineStr">
        <is>
          <t>GUI</t>
        </is>
      </c>
      <c r="DP169" s="451" t="n"/>
      <c r="DQ169" s="429" t="inlineStr">
        <is>
          <t>OFF:0,ON:1</t>
        </is>
      </c>
    </row>
    <row r="170" ht="21" customHeight="1" thickBot="1">
      <c r="A170" s="488" t="n">
        <v>98</v>
      </c>
      <c r="B170" s="489" t="inlineStr">
        <is>
          <t>LFC06</t>
        </is>
      </c>
      <c r="C170" s="410" t="inlineStr">
        <is>
          <t>Emergency_ventilation_mode</t>
        </is>
      </c>
      <c r="D170" s="490" t="inlineStr">
        <is>
          <t>Boolean</t>
        </is>
      </c>
      <c r="E170" s="489" t="n"/>
      <c r="F170" s="489">
        <f>'Mode Logic'!J15</f>
        <v/>
      </c>
      <c r="G170" s="489" t="n"/>
      <c r="H170" s="689" t="n">
        <v>92</v>
      </c>
      <c r="I170" s="689" t="n"/>
      <c r="J170" s="408" t="n"/>
      <c r="K170" s="490" t="inlineStr">
        <is>
          <t>Boolean</t>
        </is>
      </c>
      <c r="L170" s="489" t="n"/>
      <c r="M170" s="689" t="n"/>
      <c r="N170" s="492" t="n"/>
      <c r="DK170" s="429">
        <f>DK169+1</f>
        <v/>
      </c>
      <c r="DL170" s="786" t="inlineStr">
        <is>
          <t>TCR6 -E</t>
        </is>
      </c>
      <c r="DM170" s="429" t="inlineStr">
        <is>
          <t>Boolean</t>
        </is>
      </c>
      <c r="DN170" s="429" t="inlineStr">
        <is>
          <t>0/1</t>
        </is>
      </c>
      <c r="DO170" s="429" t="inlineStr">
        <is>
          <t>GUI</t>
        </is>
      </c>
      <c r="DP170" s="451" t="n"/>
      <c r="DQ170" s="429" t="inlineStr">
        <is>
          <t>OFF:0,ON:1</t>
        </is>
      </c>
    </row>
    <row r="171" ht="21" customHeight="1">
      <c r="A171" s="477" t="n">
        <v>99</v>
      </c>
      <c r="B171" s="481" t="n"/>
      <c r="C171" s="499" t="inlineStr">
        <is>
          <t>Fresh Air Control (Damper Modulated)</t>
        </is>
      </c>
      <c r="D171" s="483" t="inlineStr">
        <is>
          <t>Boolean</t>
        </is>
      </c>
      <c r="E171" s="481" t="n"/>
      <c r="F171" s="481" t="n"/>
      <c r="G171" s="481" t="n"/>
      <c r="H171" s="482" t="n">
        <v>93</v>
      </c>
      <c r="I171" s="482" t="n"/>
      <c r="J171" s="406" t="n"/>
      <c r="K171" s="483" t="inlineStr">
        <is>
          <t>Boolean</t>
        </is>
      </c>
      <c r="L171" s="481" t="n"/>
      <c r="M171" s="482" t="n"/>
      <c r="N171" s="484" t="n"/>
      <c r="DK171" s="429">
        <f>DK170+1</f>
        <v/>
      </c>
      <c r="DL171" s="786" t="inlineStr">
        <is>
          <t>CACPN</t>
        </is>
      </c>
      <c r="DM171" s="429" t="inlineStr">
        <is>
          <t>Boolean</t>
        </is>
      </c>
      <c r="DN171" s="429" t="inlineStr">
        <is>
          <t>0/1</t>
        </is>
      </c>
      <c r="DO171" s="429" t="inlineStr">
        <is>
          <t>GUI</t>
        </is>
      </c>
      <c r="DP171" s="451" t="n"/>
      <c r="DQ171" s="429" t="inlineStr">
        <is>
          <t>OFF:0,ON:1</t>
        </is>
      </c>
    </row>
    <row r="172" ht="21" customHeight="1">
      <c r="A172" s="485" t="n">
        <v>100</v>
      </c>
      <c r="B172" s="429" t="inlineStr">
        <is>
          <t>LFC01</t>
        </is>
      </c>
      <c r="C172" s="394" t="inlineStr">
        <is>
          <t>HVAC_ON</t>
        </is>
      </c>
      <c r="D172" s="447" t="inlineStr">
        <is>
          <t>Boolean</t>
        </is>
      </c>
      <c r="E172" s="429" t="n"/>
      <c r="F172" s="429">
        <f>F166</f>
        <v/>
      </c>
      <c r="G172" s="429" t="n"/>
      <c r="H172" s="688" t="n">
        <v>94</v>
      </c>
      <c r="I172" s="688" t="n"/>
      <c r="J172" s="407" t="n"/>
      <c r="K172" s="447" t="inlineStr">
        <is>
          <t>Boolean</t>
        </is>
      </c>
      <c r="L172" s="429" t="n"/>
      <c r="M172" s="688" t="n"/>
      <c r="N172" s="487" t="n"/>
      <c r="DK172" s="429">
        <f>DK171+1</f>
        <v/>
      </c>
      <c r="DL172" s="786" t="inlineStr">
        <is>
          <t>SMRR</t>
        </is>
      </c>
      <c r="DM172" s="429" t="inlineStr">
        <is>
          <t>Boolean</t>
        </is>
      </c>
      <c r="DN172" s="429" t="inlineStr">
        <is>
          <t>0/1</t>
        </is>
      </c>
      <c r="DO172" s="429" t="inlineStr">
        <is>
          <t>GUI</t>
        </is>
      </c>
      <c r="DP172" s="451" t="n"/>
      <c r="DQ172" s="429" t="inlineStr">
        <is>
          <t>OFF:0,ON:1</t>
        </is>
      </c>
    </row>
    <row r="173" ht="21" customHeight="1">
      <c r="A173" s="485" t="n">
        <v>101</v>
      </c>
      <c r="B173" s="429" t="inlineStr">
        <is>
          <t>LFC02</t>
        </is>
      </c>
      <c r="C173" s="394" t="inlineStr">
        <is>
          <t>APS_ON</t>
        </is>
      </c>
      <c r="D173" s="447" t="inlineStr">
        <is>
          <t>Boolean</t>
        </is>
      </c>
      <c r="E173" s="429" t="n"/>
      <c r="F173" s="429">
        <f>F167</f>
        <v/>
      </c>
      <c r="G173" s="429" t="n"/>
      <c r="H173" s="688" t="n">
        <v>95</v>
      </c>
      <c r="I173" s="688" t="n"/>
      <c r="J173" s="407" t="n"/>
      <c r="K173" s="447" t="inlineStr">
        <is>
          <t>Boolean</t>
        </is>
      </c>
      <c r="L173" s="429" t="n"/>
      <c r="M173" s="688" t="n"/>
      <c r="N173" s="487" t="n"/>
      <c r="BK173" s="321" t="n"/>
      <c r="DK173" s="429">
        <f>DK172+1</f>
        <v/>
      </c>
      <c r="DL173" s="786" t="inlineStr">
        <is>
          <t>SMDR1</t>
        </is>
      </c>
      <c r="DM173" s="429" t="inlineStr">
        <is>
          <t>Boolean</t>
        </is>
      </c>
      <c r="DN173" s="429" t="inlineStr">
        <is>
          <t>0/1</t>
        </is>
      </c>
      <c r="DO173" s="429" t="inlineStr">
        <is>
          <t>GUI</t>
        </is>
      </c>
      <c r="DP173" s="451" t="n"/>
      <c r="DQ173" s="429" t="inlineStr">
        <is>
          <t>OFF:0,ON:1</t>
        </is>
      </c>
    </row>
    <row r="174" ht="21" customHeight="1">
      <c r="A174" s="485" t="n">
        <v>102</v>
      </c>
      <c r="B174" s="429" t="inlineStr">
        <is>
          <t>LFC03</t>
        </is>
      </c>
      <c r="C174" s="394" t="inlineStr">
        <is>
          <t>LFC03</t>
        </is>
      </c>
      <c r="D174" s="447" t="inlineStr">
        <is>
          <t>Boolean</t>
        </is>
      </c>
      <c r="E174" s="429" t="n"/>
      <c r="F174" s="429" t="n"/>
      <c r="G174" s="429" t="n"/>
      <c r="H174" s="688" t="n">
        <v>96</v>
      </c>
      <c r="I174" s="688" t="n"/>
      <c r="J174" s="407" t="n"/>
      <c r="K174" s="447" t="inlineStr">
        <is>
          <t>Boolean</t>
        </is>
      </c>
      <c r="L174" s="429" t="n"/>
      <c r="M174" s="688" t="n"/>
      <c r="N174" s="487" t="n"/>
      <c r="BK174" s="321" t="n"/>
      <c r="DK174" s="429">
        <f>DK173+1</f>
        <v/>
      </c>
      <c r="DL174" s="786" t="inlineStr">
        <is>
          <t>SMDR2</t>
        </is>
      </c>
      <c r="DM174" s="429" t="inlineStr">
        <is>
          <t>Boolean</t>
        </is>
      </c>
      <c r="DN174" s="429" t="inlineStr">
        <is>
          <t>0/1</t>
        </is>
      </c>
      <c r="DO174" s="429" t="inlineStr">
        <is>
          <t>GUI</t>
        </is>
      </c>
      <c r="DP174" s="451" t="n"/>
      <c r="DQ174" s="429" t="inlineStr">
        <is>
          <t>OFF:0,ON:1</t>
        </is>
      </c>
    </row>
    <row r="175" ht="21" customHeight="1">
      <c r="A175" s="485" t="n">
        <v>103</v>
      </c>
      <c r="B175" s="429" t="inlineStr">
        <is>
          <t>LFC04</t>
        </is>
      </c>
      <c r="C175" s="394" t="inlineStr">
        <is>
          <t>Pre-cooling</t>
        </is>
      </c>
      <c r="D175" s="447" t="inlineStr">
        <is>
          <t>Boolean</t>
        </is>
      </c>
      <c r="E175" s="429" t="n"/>
      <c r="F175" s="429">
        <f>F162</f>
        <v/>
      </c>
      <c r="G175" s="429" t="n"/>
      <c r="H175" s="688" t="n">
        <v>97</v>
      </c>
      <c r="I175" s="688" t="n"/>
      <c r="J175" s="407" t="n"/>
      <c r="K175" s="447" t="inlineStr">
        <is>
          <t>Boolean</t>
        </is>
      </c>
      <c r="L175" s="429" t="n"/>
      <c r="M175" s="688" t="n"/>
      <c r="N175" s="487" t="n"/>
      <c r="DK175" s="429">
        <f>DK174+1</f>
        <v/>
      </c>
      <c r="DL175" s="786" t="inlineStr">
        <is>
          <t>TMR2</t>
        </is>
      </c>
      <c r="DM175" s="429" t="inlineStr">
        <is>
          <t>Boolean</t>
        </is>
      </c>
      <c r="DN175" s="429" t="inlineStr">
        <is>
          <t>0/1</t>
        </is>
      </c>
      <c r="DO175" s="429" t="inlineStr">
        <is>
          <t>GUI</t>
        </is>
      </c>
      <c r="DP175" s="451" t="n"/>
      <c r="DQ175" s="429" t="inlineStr">
        <is>
          <t>OFF:0,ON:1</t>
        </is>
      </c>
    </row>
    <row r="176" ht="21" customHeight="1">
      <c r="A176" s="485" t="n">
        <v>104</v>
      </c>
      <c r="B176" s="429" t="inlineStr">
        <is>
          <t>LFC05</t>
        </is>
      </c>
      <c r="C176" s="394" t="inlineStr">
        <is>
          <t>Pre-heating</t>
        </is>
      </c>
      <c r="D176" s="447" t="inlineStr">
        <is>
          <t>Boolean</t>
        </is>
      </c>
      <c r="E176" s="429" t="n"/>
      <c r="F176" s="429">
        <f>F163</f>
        <v/>
      </c>
      <c r="G176" s="429" t="n"/>
      <c r="H176" s="688" t="n">
        <v>98</v>
      </c>
      <c r="I176" s="688" t="inlineStr">
        <is>
          <t>LFC14</t>
        </is>
      </c>
      <c r="J176" s="394" t="inlineStr">
        <is>
          <t>Damper_modulated</t>
        </is>
      </c>
      <c r="K176" s="447" t="inlineStr">
        <is>
          <t>Boolean</t>
        </is>
      </c>
      <c r="L176" s="429">
        <f>'LFD OLD'!R218</f>
        <v/>
      </c>
      <c r="M176" s="688" t="inlineStr">
        <is>
          <t>0</t>
        </is>
      </c>
      <c r="N176" s="487" t="n"/>
      <c r="DK176" s="429">
        <f>DK175+1</f>
        <v/>
      </c>
      <c r="DL176" s="786" t="inlineStr">
        <is>
          <t>TMR1</t>
        </is>
      </c>
      <c r="DM176" s="429" t="inlineStr">
        <is>
          <t>Boolean</t>
        </is>
      </c>
      <c r="DN176" s="429" t="inlineStr">
        <is>
          <t>0/1</t>
        </is>
      </c>
      <c r="DO176" s="429" t="inlineStr">
        <is>
          <t>GUI</t>
        </is>
      </c>
      <c r="DP176" s="451" t="n"/>
      <c r="DQ176" s="429" t="inlineStr">
        <is>
          <t>OFF:0,ON:1</t>
        </is>
      </c>
    </row>
    <row r="177" ht="21" customHeight="1">
      <c r="A177" s="485" t="n">
        <v>105</v>
      </c>
      <c r="B177" s="429" t="inlineStr">
        <is>
          <t>LFC06</t>
        </is>
      </c>
      <c r="C177" s="394" t="n"/>
      <c r="D177" s="447" t="inlineStr">
        <is>
          <t>Boolean</t>
        </is>
      </c>
      <c r="E177" s="429" t="n"/>
      <c r="F177" s="429" t="n"/>
      <c r="G177" s="429" t="n"/>
      <c r="H177" s="688" t="n">
        <v>99</v>
      </c>
      <c r="I177" s="688" t="n"/>
      <c r="J177" s="407" t="n"/>
      <c r="K177" s="447" t="inlineStr">
        <is>
          <t>Boolean</t>
        </is>
      </c>
      <c r="L177" s="429" t="n"/>
      <c r="M177" s="688" t="n"/>
      <c r="N177" s="487" t="n"/>
      <c r="DK177" s="429">
        <f>DK176+1</f>
        <v/>
      </c>
      <c r="DL177" s="786" t="inlineStr">
        <is>
          <t>SMTR</t>
        </is>
      </c>
      <c r="DM177" s="429" t="inlineStr">
        <is>
          <t>Boolean</t>
        </is>
      </c>
      <c r="DN177" s="429" t="inlineStr">
        <is>
          <t>0/1</t>
        </is>
      </c>
      <c r="DO177" s="429" t="inlineStr">
        <is>
          <t>GUI</t>
        </is>
      </c>
      <c r="DP177" s="451" t="n"/>
      <c r="DQ177" s="429" t="inlineStr">
        <is>
          <t>OFF:0,ON:1</t>
        </is>
      </c>
    </row>
    <row r="178" ht="21" customHeight="1">
      <c r="A178" s="485" t="n">
        <v>106</v>
      </c>
      <c r="B178" s="429" t="inlineStr">
        <is>
          <t>LFC08</t>
        </is>
      </c>
      <c r="C178" s="394" t="inlineStr">
        <is>
          <t>Normal_operation_mode</t>
        </is>
      </c>
      <c r="D178" s="447" t="inlineStr">
        <is>
          <t>Boolean</t>
        </is>
      </c>
      <c r="E178" s="429" t="n"/>
      <c r="F178" s="429">
        <f>'LFD OLD'!F214</f>
        <v/>
      </c>
      <c r="G178" s="429" t="n"/>
      <c r="H178" s="688" t="n">
        <v>100</v>
      </c>
      <c r="I178" s="688" t="n"/>
      <c r="J178" s="407" t="n"/>
      <c r="K178" s="447" t="inlineStr">
        <is>
          <t>Boolean</t>
        </is>
      </c>
      <c r="L178" s="429" t="n"/>
      <c r="M178" s="688" t="n"/>
      <c r="N178" s="487" t="n"/>
      <c r="DK178" s="429">
        <f>DK177+1</f>
        <v/>
      </c>
      <c r="DL178" s="786" t="inlineStr">
        <is>
          <t>FADR_1</t>
        </is>
      </c>
      <c r="DM178" s="429" t="inlineStr">
        <is>
          <t>Boolean</t>
        </is>
      </c>
      <c r="DN178" s="429" t="inlineStr">
        <is>
          <t>0/1</t>
        </is>
      </c>
      <c r="DO178" s="429" t="inlineStr">
        <is>
          <t>GUI</t>
        </is>
      </c>
      <c r="DP178" s="451" t="n"/>
      <c r="DQ178" s="429" t="inlineStr">
        <is>
          <t>OFF:0,ON:1</t>
        </is>
      </c>
    </row>
    <row r="179" ht="21" customHeight="1">
      <c r="A179" s="485" t="n">
        <v>107</v>
      </c>
      <c r="B179" s="429" t="inlineStr">
        <is>
          <t>LFC09</t>
        </is>
      </c>
      <c r="C179" s="394" t="inlineStr">
        <is>
          <t>Emergency_ventilation_mode</t>
        </is>
      </c>
      <c r="D179" s="447" t="inlineStr">
        <is>
          <t>Boolean</t>
        </is>
      </c>
      <c r="E179" s="429" t="n"/>
      <c r="F179" s="429">
        <f>F170</f>
        <v/>
      </c>
      <c r="G179" s="429" t="n"/>
      <c r="H179" s="688" t="n">
        <v>101</v>
      </c>
      <c r="I179" s="688" t="n"/>
      <c r="J179" s="407" t="n"/>
      <c r="K179" s="447" t="inlineStr">
        <is>
          <t>Boolean</t>
        </is>
      </c>
      <c r="L179" s="429" t="n"/>
      <c r="M179" s="688" t="n"/>
      <c r="N179" s="487" t="n"/>
      <c r="DK179" s="429">
        <f>DK178+1</f>
        <v/>
      </c>
      <c r="DL179" s="786" t="inlineStr">
        <is>
          <t>FADR_2</t>
        </is>
      </c>
      <c r="DM179" s="429" t="inlineStr">
        <is>
          <t>Boolean</t>
        </is>
      </c>
      <c r="DN179" s="429" t="inlineStr">
        <is>
          <t>0/1</t>
        </is>
      </c>
      <c r="DO179" s="429" t="inlineStr">
        <is>
          <t>GUI</t>
        </is>
      </c>
      <c r="DP179" s="451" t="n"/>
      <c r="DQ179" s="429" t="inlineStr">
        <is>
          <t>OFF:0,ON:1</t>
        </is>
      </c>
    </row>
    <row r="180" ht="21" customHeight="1">
      <c r="A180" s="485" t="n">
        <v>108</v>
      </c>
      <c r="B180" s="429" t="inlineStr">
        <is>
          <t>LFC11</t>
        </is>
      </c>
      <c r="C180" s="394" t="inlineStr">
        <is>
          <t>Smoke/fire_outside_vehicle</t>
        </is>
      </c>
      <c r="D180" s="447" t="inlineStr">
        <is>
          <t>Boolean</t>
        </is>
      </c>
      <c r="E180" s="429" t="n"/>
      <c r="F180" s="429">
        <f>F169</f>
        <v/>
      </c>
      <c r="G180" s="429" t="n"/>
      <c r="H180" s="688" t="n">
        <v>102</v>
      </c>
      <c r="I180" s="688" t="n"/>
      <c r="J180" s="407" t="n"/>
      <c r="K180" s="447" t="inlineStr">
        <is>
          <t>Boolean</t>
        </is>
      </c>
      <c r="L180" s="429" t="n"/>
      <c r="M180" s="688" t="n"/>
      <c r="N180" s="487" t="n"/>
      <c r="DK180" s="429">
        <f>DK179+1</f>
        <v/>
      </c>
      <c r="DL180" s="786" t="inlineStr">
        <is>
          <t>FADR_3</t>
        </is>
      </c>
      <c r="DM180" s="429" t="inlineStr">
        <is>
          <t>Boolean</t>
        </is>
      </c>
      <c r="DN180" s="429" t="inlineStr">
        <is>
          <t>0/1</t>
        </is>
      </c>
      <c r="DO180" s="429" t="inlineStr">
        <is>
          <t>GUI</t>
        </is>
      </c>
      <c r="DP180" s="451" t="n"/>
      <c r="DQ180" s="429" t="inlineStr">
        <is>
          <t>OFF:0,ON:1</t>
        </is>
      </c>
    </row>
    <row r="181" ht="21" customHeight="1" thickBot="1">
      <c r="A181" s="488" t="n">
        <v>109</v>
      </c>
      <c r="B181" s="489" t="inlineStr">
        <is>
          <t>LFC13</t>
        </is>
      </c>
      <c r="C181" s="410" t="inlineStr">
        <is>
          <t>Passenger_load_modulation_available</t>
        </is>
      </c>
      <c r="D181" s="490" t="inlineStr">
        <is>
          <t>Boolean</t>
        </is>
      </c>
      <c r="E181" s="489" t="n"/>
      <c r="F181" s="489">
        <f>'LFD New'!D73</f>
        <v/>
      </c>
      <c r="G181" s="489" t="n"/>
      <c r="H181" s="689" t="n">
        <v>103</v>
      </c>
      <c r="I181" s="689" t="n"/>
      <c r="J181" s="408" t="n"/>
      <c r="K181" s="490" t="inlineStr">
        <is>
          <t>Boolean</t>
        </is>
      </c>
      <c r="L181" s="489" t="n"/>
      <c r="M181" s="689" t="n"/>
      <c r="N181" s="492" t="n"/>
      <c r="DK181" s="429">
        <f>DK180+1</f>
        <v/>
      </c>
      <c r="DL181" s="786" t="inlineStr">
        <is>
          <t>FADR_4</t>
        </is>
      </c>
      <c r="DM181" s="429" t="inlineStr">
        <is>
          <t>Boolean</t>
        </is>
      </c>
      <c r="DN181" s="429" t="inlineStr">
        <is>
          <t>0/1</t>
        </is>
      </c>
      <c r="DO181" s="429" t="inlineStr">
        <is>
          <t>GUI</t>
        </is>
      </c>
      <c r="DP181" s="451" t="n"/>
      <c r="DQ181" s="429" t="inlineStr">
        <is>
          <t>OFF:0,ON:1</t>
        </is>
      </c>
    </row>
    <row r="182" ht="21" customHeight="1">
      <c r="A182" s="494" t="n">
        <v>110</v>
      </c>
      <c r="B182" s="495" t="n"/>
      <c r="C182" s="486" t="n"/>
      <c r="D182" s="496" t="inlineStr">
        <is>
          <t>Boolean</t>
        </is>
      </c>
      <c r="E182" s="495" t="n"/>
      <c r="F182" s="495" t="n"/>
      <c r="G182" s="495" t="n"/>
      <c r="H182" s="494" t="n">
        <v>104</v>
      </c>
      <c r="I182" s="494" t="n"/>
      <c r="J182" s="486" t="n"/>
      <c r="K182" s="496" t="inlineStr">
        <is>
          <t>Boolean</t>
        </is>
      </c>
      <c r="L182" s="495" t="n"/>
      <c r="M182" s="494" t="n"/>
      <c r="N182" s="495" t="n"/>
      <c r="DK182" s="429">
        <f>DK181+1</f>
        <v/>
      </c>
      <c r="DL182" s="786" t="inlineStr">
        <is>
          <t>FADR_5</t>
        </is>
      </c>
      <c r="DM182" s="429" t="inlineStr">
        <is>
          <t>Boolean</t>
        </is>
      </c>
      <c r="DN182" s="429" t="inlineStr">
        <is>
          <t>0/1</t>
        </is>
      </c>
      <c r="DO182" s="429" t="inlineStr">
        <is>
          <t>GUI</t>
        </is>
      </c>
      <c r="DP182" s="451" t="n"/>
      <c r="DQ182" s="429" t="inlineStr">
        <is>
          <t>OFF:0,ON:1</t>
        </is>
      </c>
    </row>
    <row r="183" ht="21" customHeight="1">
      <c r="A183" s="688" t="n">
        <v>111</v>
      </c>
      <c r="B183" s="429" t="inlineStr">
        <is>
          <t>LFC01</t>
        </is>
      </c>
      <c r="C183" s="394" t="inlineStr">
        <is>
          <t>N1_ON_HVAC_online_network_1</t>
        </is>
      </c>
      <c r="D183" s="447" t="inlineStr">
        <is>
          <t>Boolean</t>
        </is>
      </c>
      <c r="E183" s="429" t="n"/>
      <c r="F183" s="429">
        <f>F193</f>
        <v/>
      </c>
      <c r="G183" s="429" t="n"/>
      <c r="H183" s="688" t="n">
        <v>105</v>
      </c>
      <c r="I183" s="688" t="n"/>
      <c r="J183" s="407" t="n"/>
      <c r="K183" s="447" t="inlineStr">
        <is>
          <t>Boolean</t>
        </is>
      </c>
      <c r="L183" s="429" t="n"/>
      <c r="M183" s="688" t="n"/>
      <c r="N183" s="429" t="n"/>
      <c r="DK183" s="429">
        <f>DK182+1</f>
        <v/>
      </c>
      <c r="DL183" s="786" t="inlineStr">
        <is>
          <t>FADR_6</t>
        </is>
      </c>
      <c r="DM183" s="429" t="inlineStr">
        <is>
          <t>Boolean</t>
        </is>
      </c>
      <c r="DN183" s="429" t="inlineStr">
        <is>
          <t>0/1</t>
        </is>
      </c>
      <c r="DO183" s="429" t="inlineStr">
        <is>
          <t>GUI</t>
        </is>
      </c>
      <c r="DP183" s="451" t="n"/>
      <c r="DQ183" s="429" t="inlineStr">
        <is>
          <t>OFF:0,ON:1</t>
        </is>
      </c>
    </row>
    <row r="184" ht="21" customHeight="1">
      <c r="A184" s="688" t="n">
        <v>112</v>
      </c>
      <c r="B184" s="429" t="inlineStr">
        <is>
          <t>LFC02</t>
        </is>
      </c>
      <c r="C184" s="394" t="inlineStr">
        <is>
          <t>N1_V1_HVAC1_Data_Valid</t>
        </is>
      </c>
      <c r="D184" s="447" t="inlineStr">
        <is>
          <t>Boolean</t>
        </is>
      </c>
      <c r="E184" s="429" t="n"/>
      <c r="F184" s="429">
        <f>F194</f>
        <v/>
      </c>
      <c r="G184" s="429" t="n"/>
      <c r="H184" s="688" t="n">
        <v>106</v>
      </c>
      <c r="I184" s="688" t="n"/>
      <c r="J184" s="407" t="n"/>
      <c r="K184" s="447" t="inlineStr">
        <is>
          <t>Boolean</t>
        </is>
      </c>
      <c r="L184" s="429" t="n"/>
      <c r="M184" s="688" t="n"/>
      <c r="N184" s="429" t="n"/>
      <c r="DK184" s="429">
        <f>DK183+1</f>
        <v/>
      </c>
      <c r="DL184" s="786" t="inlineStr">
        <is>
          <t>SAFB2 _9.5A</t>
        </is>
      </c>
      <c r="DM184" s="429" t="inlineStr">
        <is>
          <t>Boolean</t>
        </is>
      </c>
      <c r="DN184" s="429" t="inlineStr">
        <is>
          <t>0/1</t>
        </is>
      </c>
      <c r="DO184" s="429" t="inlineStr">
        <is>
          <t>GUI</t>
        </is>
      </c>
      <c r="DP184" s="451" t="n"/>
      <c r="DQ184" s="429" t="inlineStr">
        <is>
          <t>OFF:0,ON:1</t>
        </is>
      </c>
    </row>
    <row r="185" ht="21" customHeight="1">
      <c r="A185" s="688" t="n">
        <v>113</v>
      </c>
      <c r="B185" s="429" t="inlineStr">
        <is>
          <t>LFC03</t>
        </is>
      </c>
      <c r="C185" s="394" t="inlineStr">
        <is>
          <t>N1_V2_HVAC2_data_valid</t>
        </is>
      </c>
      <c r="D185" s="447" t="inlineStr">
        <is>
          <t>Boolean</t>
        </is>
      </c>
      <c r="E185" s="429" t="n"/>
      <c r="F185" s="429">
        <f>F195</f>
        <v/>
      </c>
      <c r="G185" s="429" t="n"/>
      <c r="H185" s="688" t="n">
        <v>107</v>
      </c>
      <c r="I185" s="688" t="inlineStr">
        <is>
          <t>LFC04</t>
        </is>
      </c>
      <c r="J185" s="394" t="inlineStr">
        <is>
          <t>Network_1_HVAC_status_data</t>
        </is>
      </c>
      <c r="K185" s="447" t="inlineStr">
        <is>
          <t>Boolean</t>
        </is>
      </c>
      <c r="L185" s="429">
        <f>'LFD OLD'!R234</f>
        <v/>
      </c>
      <c r="M185" s="688" t="inlineStr">
        <is>
          <t>1</t>
        </is>
      </c>
      <c r="N185" s="429" t="n"/>
      <c r="BK185" s="321" t="n"/>
      <c r="DK185" s="429">
        <f>DK184+1</f>
        <v/>
      </c>
      <c r="DL185" s="786" t="inlineStr">
        <is>
          <t>SAFC2_12A</t>
        </is>
      </c>
      <c r="DM185" s="429" t="inlineStr">
        <is>
          <t>Boolean</t>
        </is>
      </c>
      <c r="DN185" s="429" t="inlineStr">
        <is>
          <t>0/1</t>
        </is>
      </c>
      <c r="DO185" s="429" t="inlineStr">
        <is>
          <t>GUI</t>
        </is>
      </c>
      <c r="DP185" s="451" t="n"/>
      <c r="DQ185" s="429" t="inlineStr">
        <is>
          <t>OFF:0,ON:1</t>
        </is>
      </c>
    </row>
    <row r="186" ht="21" customHeight="1">
      <c r="A186" s="688" t="n">
        <v>114</v>
      </c>
      <c r="B186" s="429" t="inlineStr">
        <is>
          <t>LFC04</t>
        </is>
      </c>
      <c r="C186" s="394" t="inlineStr">
        <is>
          <t>LFC04</t>
        </is>
      </c>
      <c r="D186" s="447" t="inlineStr">
        <is>
          <t>Boolean</t>
        </is>
      </c>
      <c r="E186" s="429" t="n"/>
      <c r="F186" s="429" t="n"/>
      <c r="G186" s="429" t="n"/>
      <c r="H186" s="688" t="n">
        <v>108</v>
      </c>
      <c r="I186" s="688" t="inlineStr">
        <is>
          <t>LFC10</t>
        </is>
      </c>
      <c r="J186" s="394" t="inlineStr">
        <is>
          <t>Network_2_HVAC_Status_data</t>
        </is>
      </c>
      <c r="K186" s="447" t="inlineStr">
        <is>
          <t>Boolean</t>
        </is>
      </c>
      <c r="L186" s="429">
        <f>'LFD OLD'!R235</f>
        <v/>
      </c>
      <c r="M186" s="688" t="inlineStr">
        <is>
          <t>0</t>
        </is>
      </c>
      <c r="N186" s="429" t="n"/>
      <c r="BK186" s="321" t="n"/>
      <c r="DK186" s="429">
        <f>DK185+1</f>
        <v/>
      </c>
      <c r="DL186" s="786" t="inlineStr">
        <is>
          <t>MPCB  1</t>
        </is>
      </c>
      <c r="DM186" s="429" t="inlineStr">
        <is>
          <t>Boolean</t>
        </is>
      </c>
      <c r="DN186" s="429" t="inlineStr">
        <is>
          <t>0/1</t>
        </is>
      </c>
      <c r="DO186" s="429" t="inlineStr">
        <is>
          <t>GUI</t>
        </is>
      </c>
      <c r="DP186" s="451" t="n"/>
      <c r="DQ186" s="429" t="inlineStr">
        <is>
          <t>OFF:0,ON:1</t>
        </is>
      </c>
    </row>
    <row r="187" ht="21" customHeight="1">
      <c r="A187" s="688" t="n">
        <v>115</v>
      </c>
      <c r="B187" s="429" t="inlineStr">
        <is>
          <t>LFC05</t>
        </is>
      </c>
      <c r="C187" s="394" t="inlineStr">
        <is>
          <t>N2_ON_HVAC_online_network_2</t>
        </is>
      </c>
      <c r="D187" s="447" t="inlineStr">
        <is>
          <t>Boolean</t>
        </is>
      </c>
      <c r="E187" s="429" t="n"/>
      <c r="F187" s="429">
        <f>F197</f>
        <v/>
      </c>
      <c r="G187" s="429" t="n"/>
      <c r="H187" s="688" t="n">
        <v>109</v>
      </c>
      <c r="I187" s="688" t="n"/>
      <c r="J187" s="407" t="n"/>
      <c r="K187" s="447" t="inlineStr">
        <is>
          <t>Boolean</t>
        </is>
      </c>
      <c r="L187" s="429" t="n"/>
      <c r="M187" s="688" t="n"/>
      <c r="N187" s="429" t="n"/>
      <c r="DK187" s="429">
        <f>DK186+1</f>
        <v/>
      </c>
      <c r="DL187" s="786" t="inlineStr">
        <is>
          <t>MPCB  2</t>
        </is>
      </c>
      <c r="DM187" s="429" t="inlineStr">
        <is>
          <t>Boolean</t>
        </is>
      </c>
      <c r="DN187" s="429" t="inlineStr">
        <is>
          <t>0/1</t>
        </is>
      </c>
      <c r="DO187" s="429" t="inlineStr">
        <is>
          <t>GUI</t>
        </is>
      </c>
      <c r="DP187" s="451" t="n"/>
      <c r="DQ187" s="429" t="inlineStr">
        <is>
          <t>OFF:0,ON:1</t>
        </is>
      </c>
    </row>
    <row r="188" ht="21" customHeight="1">
      <c r="A188" s="688" t="n">
        <v>116</v>
      </c>
      <c r="B188" s="429" t="inlineStr">
        <is>
          <t>LFC06</t>
        </is>
      </c>
      <c r="C188" s="394" t="inlineStr">
        <is>
          <t>N1_ON_HVAC_SD_online_network</t>
        </is>
      </c>
      <c r="D188" s="447" t="inlineStr">
        <is>
          <t>Boolean</t>
        </is>
      </c>
      <c r="E188" s="429" t="n"/>
      <c r="F188" s="429">
        <f>'LFD New'!D145</f>
        <v/>
      </c>
      <c r="G188" s="429" t="n"/>
      <c r="H188" s="688" t="n">
        <v>110</v>
      </c>
      <c r="I188" s="688" t="n"/>
      <c r="J188" s="407" t="n"/>
      <c r="K188" s="447" t="inlineStr">
        <is>
          <t>Boolean</t>
        </is>
      </c>
      <c r="L188" s="429" t="n"/>
      <c r="M188" s="688" t="n"/>
      <c r="N188" s="429" t="n"/>
      <c r="DK188" s="429">
        <f>DK187+1</f>
        <v/>
      </c>
      <c r="DL188" s="786" t="inlineStr">
        <is>
          <t>PPR1</t>
        </is>
      </c>
      <c r="DM188" s="429" t="inlineStr">
        <is>
          <t>Boolean</t>
        </is>
      </c>
      <c r="DN188" s="429" t="inlineStr">
        <is>
          <t>0/1</t>
        </is>
      </c>
      <c r="DO188" s="429" t="inlineStr">
        <is>
          <t>GUI</t>
        </is>
      </c>
      <c r="DP188" s="451" t="n"/>
      <c r="DQ188" s="429" t="inlineStr">
        <is>
          <t>OFF:0,ON:1</t>
        </is>
      </c>
    </row>
    <row r="189" ht="21" customHeight="1">
      <c r="A189" s="688" t="n">
        <v>117</v>
      </c>
      <c r="B189" s="429" t="inlineStr">
        <is>
          <t>LFC08</t>
        </is>
      </c>
      <c r="C189" s="394" t="inlineStr">
        <is>
          <t>N2_V1_HVAC1_data_valid</t>
        </is>
      </c>
      <c r="D189" s="447" t="inlineStr">
        <is>
          <t>Boolean</t>
        </is>
      </c>
      <c r="E189" s="429" t="n"/>
      <c r="F189" s="429">
        <f>'LFD New'!D146</f>
        <v/>
      </c>
      <c r="G189" s="429" t="n"/>
      <c r="H189" s="688" t="n">
        <v>111</v>
      </c>
      <c r="I189" s="688" t="n"/>
      <c r="J189" s="407" t="n"/>
      <c r="K189" s="447" t="inlineStr">
        <is>
          <t>Boolean</t>
        </is>
      </c>
      <c r="L189" s="429" t="n"/>
      <c r="M189" s="688" t="n"/>
      <c r="N189" s="429" t="n"/>
      <c r="DK189" s="429">
        <f>DK188+1</f>
        <v/>
      </c>
      <c r="DL189" s="786" t="inlineStr">
        <is>
          <t>PPR2</t>
        </is>
      </c>
      <c r="DM189" s="429" t="inlineStr">
        <is>
          <t>Boolean</t>
        </is>
      </c>
      <c r="DN189" s="429" t="inlineStr">
        <is>
          <t>0/1</t>
        </is>
      </c>
      <c r="DO189" s="429" t="inlineStr">
        <is>
          <t>GUI</t>
        </is>
      </c>
      <c r="DP189" s="451" t="n"/>
      <c r="DQ189" s="429" t="inlineStr">
        <is>
          <t>OFF:0,ON:1</t>
        </is>
      </c>
    </row>
    <row r="190" ht="21" customHeight="1">
      <c r="A190" s="688" t="n">
        <v>118</v>
      </c>
      <c r="B190" s="429" t="inlineStr">
        <is>
          <t>LFC09</t>
        </is>
      </c>
      <c r="C190" s="394" t="inlineStr">
        <is>
          <t>N2_V2_HVAC2_data_valid</t>
        </is>
      </c>
      <c r="D190" s="447" t="inlineStr">
        <is>
          <t>Boolean</t>
        </is>
      </c>
      <c r="E190" s="429" t="n"/>
      <c r="F190" s="429">
        <f>'LFD New'!D147</f>
        <v/>
      </c>
      <c r="G190" s="429" t="n"/>
      <c r="H190" s="688" t="n">
        <v>112</v>
      </c>
      <c r="I190" s="688" t="n"/>
      <c r="J190" s="407" t="n"/>
      <c r="K190" s="447" t="inlineStr">
        <is>
          <t>Boolean</t>
        </is>
      </c>
      <c r="L190" s="429" t="n"/>
      <c r="M190" s="688" t="n"/>
      <c r="N190" s="429" t="n"/>
      <c r="DK190" s="429">
        <f>DK189+1</f>
        <v/>
      </c>
      <c r="DL190" s="335" t="inlineStr">
        <is>
          <t>24 HEC</t>
        </is>
      </c>
      <c r="DM190" s="429" t="inlineStr">
        <is>
          <t>Boolean</t>
        </is>
      </c>
      <c r="DN190" s="429" t="inlineStr">
        <is>
          <t>0/1</t>
        </is>
      </c>
      <c r="DO190" s="429" t="inlineStr">
        <is>
          <t>GUI</t>
        </is>
      </c>
      <c r="DP190" s="451" t="n"/>
      <c r="DQ190" s="429" t="inlineStr">
        <is>
          <t>OFF:0,ON:1</t>
        </is>
      </c>
    </row>
    <row r="191" ht="21" customHeight="1">
      <c r="A191" s="688" t="n">
        <v>119</v>
      </c>
      <c r="B191" s="429" t="inlineStr">
        <is>
          <t>LFC10</t>
        </is>
      </c>
      <c r="C191" s="394" t="inlineStr">
        <is>
          <t>LFC10</t>
        </is>
      </c>
      <c r="D191" s="447" t="inlineStr">
        <is>
          <t>Boolean</t>
        </is>
      </c>
      <c r="E191" s="429" t="n"/>
      <c r="F191" s="429" t="n"/>
      <c r="G191" s="429" t="n"/>
      <c r="H191" s="688" t="n">
        <v>113</v>
      </c>
      <c r="I191" s="688" t="n"/>
      <c r="J191" s="407" t="n"/>
      <c r="K191" s="447" t="inlineStr">
        <is>
          <t>Boolean</t>
        </is>
      </c>
      <c r="L191" s="429" t="n"/>
      <c r="M191" s="688" t="n"/>
      <c r="N191" s="429" t="n"/>
      <c r="DK191" s="429">
        <f>DK190+1</f>
        <v/>
      </c>
      <c r="DL191" s="788" t="inlineStr">
        <is>
          <t>SMRR-110VDC</t>
        </is>
      </c>
      <c r="DM191" s="429" t="inlineStr">
        <is>
          <t>Boolean</t>
        </is>
      </c>
      <c r="DN191" s="429" t="inlineStr">
        <is>
          <t>0/1</t>
        </is>
      </c>
      <c r="DO191" s="429" t="inlineStr">
        <is>
          <t>GUI</t>
        </is>
      </c>
      <c r="DP191" s="451" t="n"/>
      <c r="DQ191" s="429" t="inlineStr">
        <is>
          <t>OFF:0,ON:1</t>
        </is>
      </c>
    </row>
    <row r="192" ht="21" customHeight="1">
      <c r="A192" s="688" t="n">
        <v>120</v>
      </c>
      <c r="B192" s="429" t="n"/>
      <c r="C192" s="407" t="n"/>
      <c r="D192" s="447" t="inlineStr">
        <is>
          <t>Boolean</t>
        </is>
      </c>
      <c r="E192" s="429" t="n"/>
      <c r="F192" s="429" t="n"/>
      <c r="G192" s="429" t="n"/>
      <c r="H192" s="688" t="n">
        <v>114</v>
      </c>
      <c r="I192" s="688" t="n"/>
      <c r="J192" s="407" t="n"/>
      <c r="K192" s="447" t="inlineStr">
        <is>
          <t>Boolean</t>
        </is>
      </c>
      <c r="L192" s="429" t="n"/>
      <c r="M192" s="688" t="n"/>
      <c r="N192" s="429" t="n"/>
      <c r="DK192" s="429">
        <f>DK191+1</f>
        <v/>
      </c>
      <c r="DL192" s="789" t="inlineStr">
        <is>
          <t>SMDR1-110VDC</t>
        </is>
      </c>
      <c r="DM192" s="429" t="inlineStr">
        <is>
          <t>Boolean</t>
        </is>
      </c>
      <c r="DN192" s="429" t="inlineStr">
        <is>
          <t>0/1</t>
        </is>
      </c>
      <c r="DO192" s="429" t="inlineStr">
        <is>
          <t>GUI</t>
        </is>
      </c>
      <c r="DP192" s="451" t="n"/>
      <c r="DQ192" s="429" t="inlineStr">
        <is>
          <t>OFF:0,ON:1</t>
        </is>
      </c>
    </row>
    <row r="193" ht="21" customHeight="1">
      <c r="A193" s="688" t="n">
        <v>121</v>
      </c>
      <c r="B193" s="429" t="inlineStr">
        <is>
          <t>LFC01</t>
        </is>
      </c>
      <c r="C193" s="394" t="inlineStr">
        <is>
          <t>N1_ON_HVAC_online_network_1</t>
        </is>
      </c>
      <c r="D193" s="447" t="inlineStr">
        <is>
          <t>Boolean</t>
        </is>
      </c>
      <c r="E193" s="429" t="n"/>
      <c r="F193" s="429">
        <f>'LFD New'!D139</f>
        <v/>
      </c>
      <c r="G193" s="429" t="n"/>
      <c r="H193" s="688" t="n">
        <v>115</v>
      </c>
      <c r="I193" s="688" t="n"/>
      <c r="J193" s="407" t="n"/>
      <c r="K193" s="447" t="inlineStr">
        <is>
          <t>Boolean</t>
        </is>
      </c>
      <c r="L193" s="429" t="n"/>
      <c r="M193" s="688" t="n"/>
      <c r="N193" s="429" t="n"/>
      <c r="DK193" s="429">
        <f>DK192+1</f>
        <v/>
      </c>
      <c r="DL193" s="790" t="inlineStr">
        <is>
          <t>SMDR2-110VDC</t>
        </is>
      </c>
      <c r="DM193" s="429" t="inlineStr">
        <is>
          <t>Boolean</t>
        </is>
      </c>
      <c r="DN193" s="429" t="inlineStr">
        <is>
          <t>0/1</t>
        </is>
      </c>
      <c r="DO193" s="429" t="inlineStr">
        <is>
          <t>GUI</t>
        </is>
      </c>
      <c r="DP193" s="451" t="n"/>
      <c r="DQ193" s="429" t="inlineStr">
        <is>
          <t>OFF:0,ON:1</t>
        </is>
      </c>
    </row>
    <row r="194" ht="21" customHeight="1">
      <c r="A194" s="688" t="n">
        <v>122</v>
      </c>
      <c r="B194" s="429" t="inlineStr">
        <is>
          <t>LFC02</t>
        </is>
      </c>
      <c r="C194" s="394" t="inlineStr">
        <is>
          <t>N1_V1_HVAC1_Data_Valid</t>
        </is>
      </c>
      <c r="D194" s="447" t="inlineStr">
        <is>
          <t>Boolean</t>
        </is>
      </c>
      <c r="E194" s="429" t="n"/>
      <c r="F194" s="429">
        <f>'LFD New'!D140</f>
        <v/>
      </c>
      <c r="G194" s="429" t="n"/>
      <c r="H194" s="688" t="n">
        <v>116</v>
      </c>
      <c r="I194" s="688" t="n"/>
      <c r="J194" s="407" t="n"/>
      <c r="K194" s="447" t="inlineStr">
        <is>
          <t>Boolean</t>
        </is>
      </c>
      <c r="L194" s="429" t="n"/>
      <c r="M194" s="688" t="n"/>
      <c r="N194" s="429" t="n"/>
      <c r="DK194" s="429">
        <f>DK193+1</f>
        <v/>
      </c>
      <c r="DL194" s="785" t="inlineStr">
        <is>
          <t>FADR-110VDC</t>
        </is>
      </c>
      <c r="DM194" s="429" t="inlineStr">
        <is>
          <t>Boolean</t>
        </is>
      </c>
      <c r="DN194" s="429" t="inlineStr">
        <is>
          <t>0/1</t>
        </is>
      </c>
      <c r="DO194" s="429" t="inlineStr">
        <is>
          <t>GUI</t>
        </is>
      </c>
      <c r="DP194" s="451" t="n"/>
      <c r="DQ194" s="429" t="inlineStr">
        <is>
          <t>OFF:0,ON:1</t>
        </is>
      </c>
    </row>
    <row r="195" ht="21" customHeight="1">
      <c r="A195" s="688" t="n">
        <v>123</v>
      </c>
      <c r="B195" s="429" t="inlineStr">
        <is>
          <t>LFC03</t>
        </is>
      </c>
      <c r="C195" s="394" t="inlineStr">
        <is>
          <t>N1_V2_HVAC2_data_valid</t>
        </is>
      </c>
      <c r="D195" s="447" t="inlineStr">
        <is>
          <t>Boolean</t>
        </is>
      </c>
      <c r="E195" s="429" t="n"/>
      <c r="F195" s="429">
        <f>'LFD New'!D141</f>
        <v/>
      </c>
      <c r="G195" s="429" t="n"/>
      <c r="H195" s="688" t="n">
        <v>117</v>
      </c>
      <c r="I195" s="688" t="inlineStr">
        <is>
          <t>LFC05</t>
        </is>
      </c>
      <c r="J195" s="394" t="inlineStr">
        <is>
          <t>HVAC1_status_data</t>
        </is>
      </c>
      <c r="K195" s="447" t="inlineStr">
        <is>
          <t>Boolean</t>
        </is>
      </c>
      <c r="L195" s="429">
        <f>'LFD OLD'!R250</f>
        <v/>
      </c>
      <c r="M195" s="688" t="inlineStr">
        <is>
          <t>0</t>
        </is>
      </c>
      <c r="N195" s="429" t="n"/>
      <c r="DK195" s="429">
        <f>DK194+1</f>
        <v/>
      </c>
      <c r="DL195" s="787" t="inlineStr">
        <is>
          <t>SFC OFF -110VDC</t>
        </is>
      </c>
      <c r="DM195" s="429" t="inlineStr">
        <is>
          <t>Boolean</t>
        </is>
      </c>
      <c r="DN195" s="429" t="inlineStr">
        <is>
          <t>0/1</t>
        </is>
      </c>
      <c r="DO195" s="429" t="inlineStr">
        <is>
          <t>GUI</t>
        </is>
      </c>
      <c r="DP195" s="451" t="n"/>
      <c r="DQ195" s="429" t="inlineStr">
        <is>
          <t>OFF:0,ON:1</t>
        </is>
      </c>
    </row>
    <row r="196" ht="21" customHeight="1">
      <c r="A196" s="688" t="n">
        <v>124</v>
      </c>
      <c r="B196" s="429" t="inlineStr">
        <is>
          <t>LFC05</t>
        </is>
      </c>
      <c r="C196" s="394" t="inlineStr">
        <is>
          <t>LFC05</t>
        </is>
      </c>
      <c r="D196" s="447" t="inlineStr">
        <is>
          <t>Boolean</t>
        </is>
      </c>
      <c r="E196" s="429" t="n"/>
      <c r="F196" s="429">
        <f>'LFD OLD'!F245</f>
        <v/>
      </c>
      <c r="G196" s="429" t="n"/>
      <c r="H196" s="688" t="n">
        <v>118</v>
      </c>
      <c r="I196" s="688" t="inlineStr">
        <is>
          <t>LFC10</t>
        </is>
      </c>
      <c r="J196" s="394" t="inlineStr">
        <is>
          <t>HVAC2_Status_data</t>
        </is>
      </c>
      <c r="K196" s="447" t="inlineStr">
        <is>
          <t>Boolean</t>
        </is>
      </c>
      <c r="L196" s="429">
        <f>'LFD OLD'!R251</f>
        <v/>
      </c>
      <c r="M196" s="688" t="inlineStr">
        <is>
          <t>0</t>
        </is>
      </c>
      <c r="N196" s="429" t="n"/>
      <c r="DK196" s="429">
        <f>DK195+1</f>
        <v/>
      </c>
      <c r="DL196" s="451" t="n"/>
      <c r="DM196" s="429" t="inlineStr">
        <is>
          <t>Boolean</t>
        </is>
      </c>
      <c r="DN196" s="429" t="inlineStr">
        <is>
          <t>0/1</t>
        </is>
      </c>
      <c r="DO196" s="429" t="inlineStr">
        <is>
          <t>GUI</t>
        </is>
      </c>
      <c r="DP196" s="451" t="n"/>
      <c r="DQ196" s="429" t="inlineStr">
        <is>
          <t>OFF:0,ON:1</t>
        </is>
      </c>
    </row>
    <row r="197" ht="21" customHeight="1">
      <c r="A197" s="688" t="n">
        <v>125</v>
      </c>
      <c r="B197" s="429" t="inlineStr">
        <is>
          <t>LFC06</t>
        </is>
      </c>
      <c r="C197" s="394" t="inlineStr">
        <is>
          <t>N1_ON_HVAC_SD_online_network_2</t>
        </is>
      </c>
      <c r="D197" s="447" t="inlineStr">
        <is>
          <t>Boolean</t>
        </is>
      </c>
      <c r="E197" s="429" t="n"/>
      <c r="F197" s="429">
        <f>'LFD New'!D142</f>
        <v/>
      </c>
      <c r="G197" s="429" t="n"/>
      <c r="H197" s="688" t="n">
        <v>119</v>
      </c>
      <c r="I197" s="688" t="n"/>
      <c r="J197" s="407" t="n"/>
      <c r="K197" s="447" t="inlineStr">
        <is>
          <t>Boolean</t>
        </is>
      </c>
      <c r="L197" s="429" t="n"/>
      <c r="M197" s="688" t="n"/>
      <c r="N197" s="429" t="n"/>
      <c r="BK197" s="321" t="n"/>
    </row>
    <row r="198" ht="21" customHeight="1">
      <c r="A198" s="688" t="n">
        <v>126</v>
      </c>
      <c r="B198" s="429" t="inlineStr">
        <is>
          <t>LFC07</t>
        </is>
      </c>
      <c r="C198" s="394" t="inlineStr">
        <is>
          <t>N2_V2_No_HVAC2_data_valid</t>
        </is>
      </c>
      <c r="D198" s="447" t="inlineStr">
        <is>
          <t>Boolean</t>
        </is>
      </c>
      <c r="E198" s="429" t="n"/>
      <c r="F198" s="429">
        <f>'LFD New'!D143</f>
        <v/>
      </c>
      <c r="G198" s="429" t="n"/>
      <c r="H198" s="688" t="n">
        <v>120</v>
      </c>
      <c r="I198" s="688" t="n"/>
      <c r="J198" s="407" t="n"/>
      <c r="K198" s="447" t="inlineStr">
        <is>
          <t>Boolean</t>
        </is>
      </c>
      <c r="L198" s="429" t="n"/>
      <c r="M198" s="688" t="n"/>
      <c r="N198" s="429" t="n"/>
    </row>
    <row r="199" ht="21" customHeight="1">
      <c r="A199" s="688" t="n">
        <v>127</v>
      </c>
      <c r="B199" s="429" t="inlineStr">
        <is>
          <t>LFC09</t>
        </is>
      </c>
      <c r="C199" s="394" t="inlineStr">
        <is>
          <t>N2_V2_HVAC2_data_valid</t>
        </is>
      </c>
      <c r="D199" s="447" t="inlineStr">
        <is>
          <t>Boolean</t>
        </is>
      </c>
      <c r="E199" s="429" t="n"/>
      <c r="F199" s="429">
        <f>'LFD New'!D144</f>
        <v/>
      </c>
      <c r="G199" s="429" t="n"/>
      <c r="H199" s="688" t="n">
        <v>121</v>
      </c>
      <c r="I199" s="688" t="n"/>
      <c r="J199" s="407" t="n"/>
      <c r="K199" s="447" t="inlineStr">
        <is>
          <t>Boolean</t>
        </is>
      </c>
      <c r="L199" s="429" t="n"/>
      <c r="M199" s="688" t="n"/>
      <c r="N199" s="429" t="n"/>
    </row>
    <row r="200" ht="21" customHeight="1">
      <c r="A200" s="688" t="n">
        <v>128</v>
      </c>
      <c r="B200" s="429" t="inlineStr">
        <is>
          <t>LFC10</t>
        </is>
      </c>
      <c r="C200" s="394" t="inlineStr">
        <is>
          <t>LFC10</t>
        </is>
      </c>
      <c r="D200" s="447" t="inlineStr">
        <is>
          <t>Boolean</t>
        </is>
      </c>
      <c r="E200" s="429" t="n"/>
      <c r="F200" s="429">
        <f>'LFD OLD'!F249</f>
        <v/>
      </c>
      <c r="G200" s="429" t="n"/>
      <c r="H200" s="688" t="n">
        <v>122</v>
      </c>
      <c r="I200" s="688" t="n"/>
      <c r="J200" s="407" t="n"/>
      <c r="K200" s="447" t="inlineStr">
        <is>
          <t>Boolean</t>
        </is>
      </c>
      <c r="L200" s="429" t="n"/>
      <c r="M200" s="688" t="n"/>
      <c r="N200" s="429" t="n"/>
    </row>
    <row r="201" ht="21" customHeight="1">
      <c r="A201" s="688" t="n">
        <v>129</v>
      </c>
      <c r="B201" s="429" t="n"/>
      <c r="C201" s="407" t="n"/>
      <c r="D201" s="447" t="inlineStr">
        <is>
          <t>Boolean</t>
        </is>
      </c>
      <c r="E201" s="429" t="n"/>
      <c r="F201" s="429" t="n"/>
      <c r="G201" s="429" t="n"/>
      <c r="H201" s="688" t="n">
        <v>123</v>
      </c>
      <c r="I201" s="688" t="n"/>
      <c r="J201" s="407" t="n"/>
      <c r="K201" s="447" t="inlineStr">
        <is>
          <t>Boolean</t>
        </is>
      </c>
      <c r="L201" s="429" t="n"/>
      <c r="M201" s="688" t="n"/>
      <c r="N201" s="429" t="n"/>
    </row>
    <row r="202" ht="21" customHeight="1">
      <c r="A202" s="688" t="n">
        <v>130</v>
      </c>
      <c r="B202" s="429" t="inlineStr">
        <is>
          <t>LFC01</t>
        </is>
      </c>
      <c r="C202" s="394" t="inlineStr">
        <is>
          <t>HVAC_ON</t>
        </is>
      </c>
      <c r="D202" s="447" t="inlineStr">
        <is>
          <t>Boolean</t>
        </is>
      </c>
      <c r="E202" s="429" t="n"/>
      <c r="F202" s="429">
        <f>F211</f>
        <v/>
      </c>
      <c r="G202" s="429" t="n"/>
      <c r="H202" s="688" t="n">
        <v>124</v>
      </c>
      <c r="I202" s="688" t="n"/>
      <c r="J202" s="407" t="n"/>
      <c r="K202" s="447" t="inlineStr">
        <is>
          <t>Boolean</t>
        </is>
      </c>
      <c r="L202" s="429" t="n"/>
      <c r="M202" s="688" t="n"/>
      <c r="N202" s="429" t="n"/>
    </row>
    <row r="203" ht="21" customHeight="1">
      <c r="A203" s="688" t="n">
        <v>131</v>
      </c>
      <c r="B203" s="429" t="inlineStr">
        <is>
          <t>LFC02</t>
        </is>
      </c>
      <c r="C203" s="394" t="inlineStr">
        <is>
          <t>precondition command</t>
        </is>
      </c>
      <c r="D203" s="447" t="inlineStr">
        <is>
          <t>Boolean</t>
        </is>
      </c>
      <c r="E203" s="429" t="n"/>
      <c r="F203" s="429">
        <f>F212</f>
        <v/>
      </c>
      <c r="G203" s="429" t="n"/>
      <c r="H203" s="688" t="n">
        <v>125</v>
      </c>
      <c r="I203" s="688" t="n"/>
      <c r="J203" s="407" t="n"/>
      <c r="K203" s="447" t="inlineStr">
        <is>
          <t>Boolean</t>
        </is>
      </c>
      <c r="L203" s="429" t="n"/>
      <c r="M203" s="688" t="n"/>
      <c r="N203" s="429" t="n"/>
    </row>
    <row r="204" ht="21" customHeight="1">
      <c r="A204" s="688" t="n">
        <v>132</v>
      </c>
      <c r="B204" s="429" t="inlineStr">
        <is>
          <t>LFC03</t>
        </is>
      </c>
      <c r="C204" s="394" t="inlineStr">
        <is>
          <t>passerger&lt;=10%</t>
        </is>
      </c>
      <c r="D204" s="447" t="inlineStr">
        <is>
          <t>Boolean</t>
        </is>
      </c>
      <c r="E204" s="429" t="n"/>
      <c r="F204" s="429">
        <f>F213</f>
        <v/>
      </c>
      <c r="G204" s="429" t="n"/>
      <c r="H204" s="688" t="n">
        <v>126</v>
      </c>
      <c r="I204" s="688" t="n"/>
      <c r="J204" s="407" t="n"/>
      <c r="K204" s="447" t="inlineStr">
        <is>
          <t>Boolean</t>
        </is>
      </c>
      <c r="L204" s="429" t="n"/>
      <c r="M204" s="688" t="n"/>
      <c r="N204" s="429" t="n"/>
    </row>
    <row r="205" ht="21" customHeight="1">
      <c r="A205" s="688" t="n">
        <v>133</v>
      </c>
      <c r="B205" s="429" t="inlineStr">
        <is>
          <t>LFC04</t>
        </is>
      </c>
      <c r="C205" s="394" t="inlineStr">
        <is>
          <t>HP_OK</t>
        </is>
      </c>
      <c r="D205" s="447" t="inlineStr">
        <is>
          <t>Boolean</t>
        </is>
      </c>
      <c r="E205" s="429" t="n"/>
      <c r="F205" s="429">
        <f>F214</f>
        <v/>
      </c>
      <c r="G205" s="429" t="n"/>
      <c r="H205" s="688" t="n">
        <v>127</v>
      </c>
      <c r="I205" s="688" t="inlineStr">
        <is>
          <t>LFC12</t>
        </is>
      </c>
      <c r="J205" s="394" t="inlineStr">
        <is>
          <t>Preconditioning enable</t>
        </is>
      </c>
      <c r="K205" s="447" t="inlineStr">
        <is>
          <t>Boolean</t>
        </is>
      </c>
      <c r="L205" s="429">
        <f>'LFD OLD'!R266</f>
        <v/>
      </c>
      <c r="M205" s="688" t="inlineStr">
        <is>
          <t>0</t>
        </is>
      </c>
      <c r="N205" s="429" t="n"/>
    </row>
    <row r="206" ht="21" customHeight="1">
      <c r="A206" s="688" t="n">
        <v>134</v>
      </c>
      <c r="B206" s="429" t="inlineStr">
        <is>
          <t>LFC05</t>
        </is>
      </c>
      <c r="C206" s="394" t="inlineStr">
        <is>
          <t>LP_OK</t>
        </is>
      </c>
      <c r="D206" s="447" t="inlineStr">
        <is>
          <t>Boolean</t>
        </is>
      </c>
      <c r="E206" s="429" t="n"/>
      <c r="F206" s="429">
        <f>F215</f>
        <v/>
      </c>
      <c r="G206" s="429" t="n"/>
      <c r="H206" s="688" t="n">
        <v>128</v>
      </c>
      <c r="I206" s="688" t="inlineStr">
        <is>
          <t>LFC13</t>
        </is>
      </c>
      <c r="J206" s="394" t="inlineStr">
        <is>
          <t>fresh air damper closed</t>
        </is>
      </c>
      <c r="K206" s="447" t="inlineStr">
        <is>
          <t>Boolean</t>
        </is>
      </c>
      <c r="L206" s="429">
        <f>'LFD OLD'!R267</f>
        <v/>
      </c>
      <c r="M206" s="688" t="inlineStr">
        <is>
          <t>0</t>
        </is>
      </c>
      <c r="N206" s="429" t="n"/>
    </row>
    <row r="207" ht="21" customHeight="1">
      <c r="A207" s="688" t="n">
        <v>135</v>
      </c>
      <c r="B207" s="429" t="inlineStr">
        <is>
          <t>LFC06</t>
        </is>
      </c>
      <c r="C207" s="394" t="inlineStr">
        <is>
          <t>Breaker_ok</t>
        </is>
      </c>
      <c r="D207" s="447" t="inlineStr">
        <is>
          <t>Boolean</t>
        </is>
      </c>
      <c r="E207" s="429" t="n"/>
      <c r="F207" s="429">
        <f>F216</f>
        <v/>
      </c>
      <c r="G207" s="429" t="n"/>
      <c r="H207" s="688" t="n">
        <v>129</v>
      </c>
      <c r="I207" s="688" t="n"/>
      <c r="J207" s="407" t="n"/>
      <c r="K207" s="447" t="inlineStr">
        <is>
          <t>Boolean</t>
        </is>
      </c>
      <c r="L207" s="429" t="n"/>
      <c r="M207" s="688" t="n"/>
      <c r="N207" s="429" t="n"/>
    </row>
    <row r="208" ht="21" customHeight="1">
      <c r="A208" s="688" t="n">
        <v>136</v>
      </c>
      <c r="B208" s="429" t="inlineStr">
        <is>
          <t>LFC07</t>
        </is>
      </c>
      <c r="C208" s="394" t="inlineStr">
        <is>
          <t>Fan_ok</t>
        </is>
      </c>
      <c r="D208" s="447" t="inlineStr">
        <is>
          <t>Boolean</t>
        </is>
      </c>
      <c r="E208" s="429" t="n"/>
      <c r="F208" s="429">
        <f>F217</f>
        <v/>
      </c>
      <c r="G208" s="429" t="n"/>
      <c r="H208" s="688" t="n">
        <v>130</v>
      </c>
      <c r="I208" s="688" t="n"/>
      <c r="J208" s="407" t="n"/>
      <c r="K208" s="447" t="inlineStr">
        <is>
          <t>Boolean</t>
        </is>
      </c>
      <c r="L208" s="429" t="n"/>
      <c r="M208" s="688" t="n"/>
      <c r="N208" s="429" t="n"/>
    </row>
    <row r="209" ht="21" customHeight="1">
      <c r="A209" s="688" t="n">
        <v>137</v>
      </c>
      <c r="B209" s="429" t="inlineStr">
        <is>
          <t>LFC08</t>
        </is>
      </c>
      <c r="C209" s="394" t="inlineStr">
        <is>
          <t>RAT_&gt;SP+3</t>
        </is>
      </c>
      <c r="D209" s="447" t="inlineStr">
        <is>
          <t>Boolean</t>
        </is>
      </c>
      <c r="E209" s="429" t="n"/>
      <c r="F209" s="429">
        <f>'LFD New'!D138</f>
        <v/>
      </c>
      <c r="G209" s="429" t="n"/>
      <c r="H209" s="688" t="n">
        <v>131</v>
      </c>
      <c r="I209" s="688" t="n"/>
      <c r="J209" s="407" t="n"/>
      <c r="K209" s="447" t="inlineStr">
        <is>
          <t>Boolean</t>
        </is>
      </c>
      <c r="L209" s="429" t="n"/>
      <c r="M209" s="688" t="n"/>
      <c r="N209" s="429" t="n"/>
      <c r="BK209" s="321" t="n"/>
    </row>
    <row r="210" ht="21" customHeight="1">
      <c r="A210" s="688" t="n">
        <v>138</v>
      </c>
      <c r="B210" s="429" t="n"/>
      <c r="C210" s="407" t="n"/>
      <c r="D210" s="447" t="inlineStr">
        <is>
          <t>Boolean</t>
        </is>
      </c>
      <c r="E210" s="429" t="n"/>
      <c r="F210" s="429" t="n"/>
      <c r="G210" s="429" t="n"/>
      <c r="H210" s="688" t="n">
        <v>132</v>
      </c>
      <c r="I210" s="688" t="n"/>
      <c r="J210" s="407" t="n"/>
      <c r="K210" s="447" t="inlineStr">
        <is>
          <t>Boolean</t>
        </is>
      </c>
      <c r="L210" s="429" t="n"/>
      <c r="M210" s="688" t="n"/>
      <c r="N210" s="429" t="n"/>
    </row>
    <row r="211" ht="21" customHeight="1">
      <c r="A211" s="688" t="n">
        <v>139</v>
      </c>
      <c r="B211" s="429" t="inlineStr">
        <is>
          <t>LFC01</t>
        </is>
      </c>
      <c r="C211" s="394" t="inlineStr">
        <is>
          <t>HVAC_on</t>
        </is>
      </c>
      <c r="D211" s="447" t="inlineStr">
        <is>
          <t>Boolean</t>
        </is>
      </c>
      <c r="E211" s="429" t="n"/>
      <c r="F211" s="429">
        <f>F223</f>
        <v/>
      </c>
      <c r="G211" s="429" t="n"/>
      <c r="H211" s="688" t="n">
        <v>133</v>
      </c>
      <c r="I211" s="688" t="n"/>
      <c r="J211" s="407" t="n"/>
      <c r="K211" s="447" t="inlineStr">
        <is>
          <t>Boolean</t>
        </is>
      </c>
      <c r="L211" s="429" t="n"/>
      <c r="M211" s="688" t="n"/>
      <c r="N211" s="429" t="n"/>
    </row>
    <row r="212" ht="21" customHeight="1">
      <c r="A212" s="688" t="n">
        <v>140</v>
      </c>
      <c r="B212" s="429" t="inlineStr">
        <is>
          <t>LFC02</t>
        </is>
      </c>
      <c r="C212" s="394" t="inlineStr">
        <is>
          <t>Precondition_command</t>
        </is>
      </c>
      <c r="D212" s="447" t="inlineStr">
        <is>
          <t>Boolean</t>
        </is>
      </c>
      <c r="E212" s="429" t="n"/>
      <c r="F212" s="429">
        <f>F224</f>
        <v/>
      </c>
      <c r="G212" s="429" t="n"/>
      <c r="H212" s="688" t="n">
        <v>134</v>
      </c>
      <c r="I212" s="688" t="n"/>
      <c r="J212" s="407" t="n"/>
      <c r="K212" s="447" t="inlineStr">
        <is>
          <t>Boolean</t>
        </is>
      </c>
      <c r="L212" s="429" t="n"/>
      <c r="M212" s="688" t="n"/>
      <c r="N212" s="429" t="n"/>
    </row>
    <row r="213" ht="21" customHeight="1">
      <c r="A213" s="688" t="n">
        <v>141</v>
      </c>
      <c r="B213" s="429" t="inlineStr">
        <is>
          <t>LFC03</t>
        </is>
      </c>
      <c r="C213" s="394" t="inlineStr">
        <is>
          <t>passanger_&lt;=_10%</t>
        </is>
      </c>
      <c r="D213" s="447" t="inlineStr">
        <is>
          <t>Boolean</t>
        </is>
      </c>
      <c r="E213" s="429" t="n"/>
      <c r="F213" s="429">
        <f>F225</f>
        <v/>
      </c>
      <c r="G213" s="429" t="n"/>
      <c r="H213" s="688" t="n">
        <v>135</v>
      </c>
      <c r="I213" s="688" t="n"/>
      <c r="J213" s="407" t="n"/>
      <c r="K213" s="447" t="inlineStr">
        <is>
          <t>Boolean</t>
        </is>
      </c>
      <c r="L213" s="429" t="n"/>
      <c r="M213" s="688" t="n"/>
      <c r="N213" s="429" t="n"/>
    </row>
    <row r="214" ht="21" customHeight="1">
      <c r="A214" s="688" t="n">
        <v>142</v>
      </c>
      <c r="B214" s="429" t="inlineStr">
        <is>
          <t>LFC04</t>
        </is>
      </c>
      <c r="C214" s="394" t="inlineStr">
        <is>
          <t>HP_OK</t>
        </is>
      </c>
      <c r="D214" s="447" t="inlineStr">
        <is>
          <t>Boolean</t>
        </is>
      </c>
      <c r="E214" s="429" t="n"/>
      <c r="F214" s="429">
        <f>F226</f>
        <v/>
      </c>
      <c r="G214" s="429" t="n"/>
      <c r="H214" s="688" t="n">
        <v>136</v>
      </c>
      <c r="I214" s="688" t="n"/>
      <c r="J214" s="407" t="n"/>
      <c r="K214" s="447" t="inlineStr">
        <is>
          <t>Boolean</t>
        </is>
      </c>
      <c r="L214" s="429" t="n"/>
      <c r="M214" s="688" t="inlineStr">
        <is>
          <t>0</t>
        </is>
      </c>
      <c r="N214" s="429" t="n"/>
    </row>
    <row r="215" ht="21" customHeight="1">
      <c r="A215" s="688" t="n">
        <v>143</v>
      </c>
      <c r="B215" s="429" t="inlineStr">
        <is>
          <t>LFC05</t>
        </is>
      </c>
      <c r="C215" s="394" t="inlineStr">
        <is>
          <t>LP_ok</t>
        </is>
      </c>
      <c r="D215" s="447" t="inlineStr">
        <is>
          <t>Boolean</t>
        </is>
      </c>
      <c r="E215" s="429" t="n"/>
      <c r="F215" s="429">
        <f>F227</f>
        <v/>
      </c>
      <c r="G215" s="429" t="n"/>
      <c r="H215" s="688" t="n">
        <v>137</v>
      </c>
      <c r="I215" s="688" t="inlineStr">
        <is>
          <t>LFC12</t>
        </is>
      </c>
      <c r="J215" s="394" t="inlineStr">
        <is>
          <t>pre-heating_ON 100%</t>
        </is>
      </c>
      <c r="K215" s="447" t="inlineStr">
        <is>
          <t>Boolean</t>
        </is>
      </c>
      <c r="L215" s="429">
        <f>'LFD OLD'!R284</f>
        <v/>
      </c>
      <c r="M215" s="688" t="inlineStr">
        <is>
          <t>0</t>
        </is>
      </c>
      <c r="N215" s="429" t="n"/>
    </row>
    <row r="216" ht="21" customHeight="1">
      <c r="A216" s="688" t="n">
        <v>144</v>
      </c>
      <c r="B216" s="429" t="inlineStr">
        <is>
          <t>LFC06</t>
        </is>
      </c>
      <c r="C216" s="394" t="inlineStr">
        <is>
          <t>Breaker_ok</t>
        </is>
      </c>
      <c r="D216" s="447" t="inlineStr">
        <is>
          <t>Boolean</t>
        </is>
      </c>
      <c r="E216" s="429" t="n"/>
      <c r="F216" s="429">
        <f>F228</f>
        <v/>
      </c>
      <c r="G216" s="429" t="n"/>
      <c r="H216" s="688" t="n">
        <v>138</v>
      </c>
      <c r="I216" s="688" t="n"/>
      <c r="J216" s="407" t="n"/>
      <c r="K216" s="447" t="inlineStr">
        <is>
          <t>Boolean</t>
        </is>
      </c>
      <c r="L216" s="429" t="n"/>
      <c r="M216" s="688" t="n"/>
      <c r="N216" s="429" t="n"/>
    </row>
    <row r="217" ht="21" customHeight="1">
      <c r="A217" s="688" t="n">
        <v>145</v>
      </c>
      <c r="B217" s="429" t="inlineStr">
        <is>
          <t>LFC07</t>
        </is>
      </c>
      <c r="C217" s="394" t="inlineStr">
        <is>
          <t>Fan_OK</t>
        </is>
      </c>
      <c r="D217" s="447" t="inlineStr">
        <is>
          <t>Boolean</t>
        </is>
      </c>
      <c r="E217" s="429" t="n"/>
      <c r="F217" s="429">
        <f>F229</f>
        <v/>
      </c>
      <c r="G217" s="429" t="n"/>
      <c r="H217" s="688" t="n">
        <v>139</v>
      </c>
      <c r="I217" s="688" t="n"/>
      <c r="J217" s="407" t="n"/>
      <c r="K217" s="447" t="inlineStr">
        <is>
          <t>Boolean</t>
        </is>
      </c>
      <c r="L217" s="429" t="n"/>
      <c r="M217" s="688" t="n"/>
      <c r="N217" s="429" t="n"/>
    </row>
    <row r="218" ht="21" customHeight="1">
      <c r="A218" s="688" t="n">
        <v>146</v>
      </c>
      <c r="B218" s="429" t="inlineStr">
        <is>
          <t>LFC09</t>
        </is>
      </c>
      <c r="C218" s="394" t="inlineStr">
        <is>
          <t>RAT_&lt;=_SP+3K</t>
        </is>
      </c>
      <c r="D218" s="447" t="inlineStr">
        <is>
          <t>Boolean</t>
        </is>
      </c>
      <c r="E218" s="429" t="n"/>
      <c r="F218" s="429">
        <f>'LFD New'!D137</f>
        <v/>
      </c>
      <c r="G218" s="429" t="n"/>
      <c r="H218" s="688" t="n">
        <v>140</v>
      </c>
      <c r="I218" s="688" t="n"/>
      <c r="J218" s="407" t="n"/>
      <c r="K218" s="447" t="inlineStr">
        <is>
          <t>Boolean</t>
        </is>
      </c>
      <c r="L218" s="429" t="n"/>
      <c r="M218" s="688" t="n"/>
      <c r="N218" s="429" t="n"/>
    </row>
    <row r="219" ht="21" customHeight="1">
      <c r="A219" s="688" t="n">
        <v>147</v>
      </c>
      <c r="B219" s="429" t="inlineStr">
        <is>
          <t>LFC10</t>
        </is>
      </c>
      <c r="C219" s="394" t="inlineStr">
        <is>
          <t>Fan_FB_OK</t>
        </is>
      </c>
      <c r="D219" s="447" t="inlineStr">
        <is>
          <t>Boolean</t>
        </is>
      </c>
      <c r="E219" s="429" t="n"/>
      <c r="F219" s="429">
        <f>F229</f>
        <v/>
      </c>
      <c r="G219" s="429" t="n"/>
      <c r="H219" s="688" t="n">
        <v>141</v>
      </c>
      <c r="I219" s="688" t="n"/>
      <c r="J219" s="407" t="n"/>
      <c r="K219" s="447" t="inlineStr">
        <is>
          <t>Boolean</t>
        </is>
      </c>
      <c r="L219" s="429" t="n"/>
      <c r="M219" s="688" t="n"/>
      <c r="N219" s="429" t="n"/>
    </row>
    <row r="220" ht="21" customHeight="1">
      <c r="A220" s="688" t="n">
        <v>148</v>
      </c>
      <c r="B220" s="429" t="inlineStr">
        <is>
          <t>LFC08</t>
        </is>
      </c>
      <c r="C220" s="394" t="inlineStr">
        <is>
          <t>pre-conditioning_enable</t>
        </is>
      </c>
      <c r="D220" s="447" t="inlineStr">
        <is>
          <t>Boolean</t>
        </is>
      </c>
      <c r="E220" s="429" t="n"/>
      <c r="F220" s="429">
        <f>F232</f>
        <v/>
      </c>
      <c r="G220" s="429" t="n"/>
      <c r="H220" s="688" t="n">
        <v>142</v>
      </c>
      <c r="I220" s="688" t="n"/>
      <c r="J220" s="407" t="n"/>
      <c r="K220" s="447" t="inlineStr">
        <is>
          <t>Boolean</t>
        </is>
      </c>
      <c r="L220" s="429" t="n"/>
      <c r="M220" s="688" t="n"/>
      <c r="N220" s="429" t="n"/>
    </row>
    <row r="221" ht="21" customHeight="1">
      <c r="A221" s="688" t="n">
        <v>149</v>
      </c>
      <c r="B221" s="429" t="inlineStr">
        <is>
          <t>LFC11</t>
        </is>
      </c>
      <c r="C221" s="394" t="inlineStr">
        <is>
          <t>LFC 11</t>
        </is>
      </c>
      <c r="D221" s="447" t="inlineStr">
        <is>
          <t>Boolean</t>
        </is>
      </c>
      <c r="E221" s="429" t="n"/>
      <c r="F221" s="429" t="n"/>
      <c r="G221" s="429" t="n"/>
      <c r="H221" s="688" t="n">
        <v>143</v>
      </c>
      <c r="I221" s="688" t="n"/>
      <c r="J221" s="407" t="n"/>
      <c r="K221" s="447" t="inlineStr">
        <is>
          <t>Boolean</t>
        </is>
      </c>
      <c r="L221" s="429" t="n"/>
      <c r="M221" s="688" t="n"/>
      <c r="N221" s="429" t="n"/>
      <c r="BK221" s="321" t="n"/>
    </row>
    <row r="222" ht="21" customHeight="1">
      <c r="A222" s="688" t="n">
        <v>150</v>
      </c>
      <c r="B222" s="429" t="n"/>
      <c r="C222" s="407" t="n"/>
      <c r="D222" s="447" t="inlineStr">
        <is>
          <t>Boolean</t>
        </is>
      </c>
      <c r="E222" s="429" t="n"/>
      <c r="F222" s="429" t="n"/>
      <c r="G222" s="429" t="n"/>
      <c r="H222" s="688" t="n">
        <v>144</v>
      </c>
      <c r="I222" s="688" t="n"/>
      <c r="J222" s="407" t="n"/>
      <c r="K222" s="447" t="inlineStr">
        <is>
          <t>Boolean</t>
        </is>
      </c>
      <c r="L222" s="429" t="n"/>
      <c r="M222" s="688" t="n"/>
      <c r="N222" s="429" t="n"/>
    </row>
    <row r="223" ht="21" customHeight="1">
      <c r="A223" s="688" t="n">
        <v>151</v>
      </c>
      <c r="B223" s="429" t="inlineStr">
        <is>
          <t>LFC01</t>
        </is>
      </c>
      <c r="C223" s="394" t="inlineStr">
        <is>
          <t>HVAC_on</t>
        </is>
      </c>
      <c r="D223" s="447" t="inlineStr">
        <is>
          <t>Boolean</t>
        </is>
      </c>
      <c r="E223" s="429" t="n"/>
      <c r="F223" s="429">
        <f>F235</f>
        <v/>
      </c>
      <c r="G223" s="429" t="n"/>
      <c r="H223" s="688" t="n">
        <v>145</v>
      </c>
      <c r="I223" s="688" t="n"/>
      <c r="J223" s="407" t="n"/>
      <c r="K223" s="447" t="inlineStr">
        <is>
          <t>Boolean</t>
        </is>
      </c>
      <c r="L223" s="429" t="n"/>
      <c r="M223" s="688" t="n"/>
      <c r="N223" s="429" t="n"/>
    </row>
    <row r="224" ht="21" customHeight="1">
      <c r="A224" s="688" t="n">
        <v>152</v>
      </c>
      <c r="B224" s="429" t="inlineStr">
        <is>
          <t>LFC02</t>
        </is>
      </c>
      <c r="C224" s="394" t="inlineStr">
        <is>
          <t>Precondition_command</t>
        </is>
      </c>
      <c r="D224" s="447" t="inlineStr">
        <is>
          <t>Boolean</t>
        </is>
      </c>
      <c r="E224" s="429" t="n"/>
      <c r="F224" s="429">
        <f>F236</f>
        <v/>
      </c>
      <c r="G224" s="429" t="n"/>
      <c r="H224" s="688" t="n">
        <v>146</v>
      </c>
      <c r="I224" s="688" t="n"/>
      <c r="J224" s="407" t="n"/>
      <c r="K224" s="447" t="inlineStr">
        <is>
          <t>Boolean</t>
        </is>
      </c>
      <c r="L224" s="429" t="n"/>
      <c r="M224" s="688" t="n"/>
      <c r="N224" s="429" t="n"/>
    </row>
    <row r="225" ht="21" customHeight="1">
      <c r="A225" s="688" t="n">
        <v>153</v>
      </c>
      <c r="B225" s="429" t="inlineStr">
        <is>
          <t>LFC03</t>
        </is>
      </c>
      <c r="C225" s="394" t="inlineStr">
        <is>
          <t>passanger_&lt;=_10%</t>
        </is>
      </c>
      <c r="D225" s="447" t="inlineStr">
        <is>
          <t>Boolean</t>
        </is>
      </c>
      <c r="E225" s="429" t="n"/>
      <c r="F225" s="429">
        <f>F237</f>
        <v/>
      </c>
      <c r="G225" s="429" t="n"/>
      <c r="H225" s="688" t="n">
        <v>147</v>
      </c>
      <c r="I225" s="688" t="n"/>
      <c r="J225" s="407" t="n"/>
      <c r="K225" s="447" t="inlineStr">
        <is>
          <t>Boolean</t>
        </is>
      </c>
      <c r="L225" s="429" t="n"/>
      <c r="M225" s="688" t="n"/>
      <c r="N225" s="429" t="n"/>
    </row>
    <row r="226" ht="21" customHeight="1">
      <c r="A226" s="688" t="n">
        <v>154</v>
      </c>
      <c r="B226" s="429" t="inlineStr">
        <is>
          <t>LFC04</t>
        </is>
      </c>
      <c r="C226" s="394" t="inlineStr">
        <is>
          <t>HP_OK</t>
        </is>
      </c>
      <c r="D226" s="447" t="inlineStr">
        <is>
          <t>Boolean</t>
        </is>
      </c>
      <c r="E226" s="429" t="n"/>
      <c r="F226" s="429">
        <f>F238</f>
        <v/>
      </c>
      <c r="G226" s="429" t="n"/>
      <c r="H226" s="688" t="n">
        <v>148</v>
      </c>
      <c r="I226" s="688" t="n"/>
      <c r="J226" s="407" t="n"/>
      <c r="K226" s="447" t="inlineStr">
        <is>
          <t>Boolean</t>
        </is>
      </c>
      <c r="L226" s="429" t="n"/>
      <c r="M226" s="688" t="inlineStr">
        <is>
          <t>0</t>
        </is>
      </c>
      <c r="N226" s="429" t="n"/>
    </row>
    <row r="227" ht="21" customHeight="1">
      <c r="A227" s="688" t="n">
        <v>155</v>
      </c>
      <c r="B227" s="429" t="inlineStr">
        <is>
          <t>LFC05</t>
        </is>
      </c>
      <c r="C227" s="394" t="inlineStr">
        <is>
          <t>LP_ok</t>
        </is>
      </c>
      <c r="D227" s="447" t="inlineStr">
        <is>
          <t>Boolean</t>
        </is>
      </c>
      <c r="E227" s="429" t="n"/>
      <c r="F227" s="429">
        <f>F239</f>
        <v/>
      </c>
      <c r="G227" s="429" t="n"/>
      <c r="H227" s="688" t="n">
        <v>149</v>
      </c>
      <c r="I227" s="688" t="inlineStr">
        <is>
          <t>LFC12</t>
        </is>
      </c>
      <c r="J227" s="394" t="inlineStr">
        <is>
          <t>Pre-cooling ON 100%</t>
        </is>
      </c>
      <c r="K227" s="447" t="inlineStr">
        <is>
          <t>Boolean</t>
        </is>
      </c>
      <c r="L227" s="429">
        <f>'LFD OLD'!R303</f>
        <v/>
      </c>
      <c r="M227" s="688" t="inlineStr">
        <is>
          <t>0</t>
        </is>
      </c>
      <c r="N227" s="429" t="n"/>
    </row>
    <row r="228" ht="21" customHeight="1">
      <c r="A228" s="688" t="n">
        <v>156</v>
      </c>
      <c r="B228" s="429" t="inlineStr">
        <is>
          <t>LFC06</t>
        </is>
      </c>
      <c r="C228" s="394" t="inlineStr">
        <is>
          <t>Breaker_ok</t>
        </is>
      </c>
      <c r="D228" s="447" t="inlineStr">
        <is>
          <t>Boolean</t>
        </is>
      </c>
      <c r="E228" s="429" t="n"/>
      <c r="F228" s="429">
        <f>F240</f>
        <v/>
      </c>
      <c r="G228" s="429" t="n"/>
      <c r="H228" s="688" t="n">
        <v>150</v>
      </c>
      <c r="I228" s="688" t="n"/>
      <c r="J228" s="407" t="n"/>
      <c r="K228" s="447" t="inlineStr">
        <is>
          <t>Boolean</t>
        </is>
      </c>
      <c r="L228" s="429" t="n"/>
      <c r="M228" s="688" t="n"/>
      <c r="N228" s="429" t="n"/>
    </row>
    <row r="229" ht="21" customHeight="1">
      <c r="A229" s="688" t="n">
        <v>157</v>
      </c>
      <c r="B229" s="429" t="inlineStr">
        <is>
          <t>LFC07</t>
        </is>
      </c>
      <c r="C229" s="394" t="inlineStr">
        <is>
          <t>Fan_OK</t>
        </is>
      </c>
      <c r="D229" s="447" t="inlineStr">
        <is>
          <t>Boolean</t>
        </is>
      </c>
      <c r="E229" s="429" t="n"/>
      <c r="F229" s="429">
        <f>F241</f>
        <v/>
      </c>
      <c r="G229" s="429" t="n"/>
      <c r="H229" s="688" t="n">
        <v>151</v>
      </c>
      <c r="I229" s="688" t="n"/>
      <c r="J229" s="407" t="n"/>
      <c r="K229" s="447" t="inlineStr">
        <is>
          <t>Boolean</t>
        </is>
      </c>
      <c r="L229" s="429" t="n"/>
      <c r="M229" s="688" t="n"/>
      <c r="N229" s="429" t="n"/>
    </row>
    <row r="230" ht="21" customHeight="1">
      <c r="A230" s="688" t="n">
        <v>158</v>
      </c>
      <c r="B230" s="429" t="inlineStr">
        <is>
          <t>LFC09</t>
        </is>
      </c>
      <c r="C230" s="394" t="inlineStr">
        <is>
          <t>RAT_SP&lt;=3K</t>
        </is>
      </c>
      <c r="D230" s="447" t="inlineStr">
        <is>
          <t>Boolean</t>
        </is>
      </c>
      <c r="E230" s="429" t="n"/>
      <c r="F230" s="429">
        <f>'LFD New'!D133</f>
        <v/>
      </c>
      <c r="G230" s="429" t="n"/>
      <c r="H230" s="688" t="n">
        <v>152</v>
      </c>
      <c r="I230" s="688" t="n"/>
      <c r="J230" s="407" t="n"/>
      <c r="K230" s="447" t="inlineStr">
        <is>
          <t>Boolean</t>
        </is>
      </c>
      <c r="L230" s="429" t="n"/>
      <c r="M230" s="688" t="n"/>
      <c r="N230" s="429" t="n"/>
    </row>
    <row r="231" ht="21" customHeight="1">
      <c r="A231" s="688" t="n">
        <v>159</v>
      </c>
      <c r="B231" s="429" t="inlineStr">
        <is>
          <t>LFC10</t>
        </is>
      </c>
      <c r="C231" s="394" t="inlineStr">
        <is>
          <t>Fan_FB_OK</t>
        </is>
      </c>
      <c r="D231" s="447" t="inlineStr">
        <is>
          <t>Boolean</t>
        </is>
      </c>
      <c r="E231" s="429" t="n"/>
      <c r="F231" s="429">
        <f>F255</f>
        <v/>
      </c>
      <c r="G231" s="429" t="n"/>
      <c r="H231" s="688" t="n">
        <v>153</v>
      </c>
      <c r="I231" s="688" t="n"/>
      <c r="J231" s="407" t="n"/>
      <c r="K231" s="447" t="inlineStr">
        <is>
          <t>Boolean</t>
        </is>
      </c>
      <c r="L231" s="429" t="n"/>
      <c r="M231" s="688" t="n"/>
      <c r="N231" s="429" t="n"/>
    </row>
    <row r="232" ht="21" customHeight="1">
      <c r="A232" s="688" t="n">
        <v>160</v>
      </c>
      <c r="B232" s="429" t="inlineStr">
        <is>
          <t>LFC08</t>
        </is>
      </c>
      <c r="C232" s="394" t="inlineStr">
        <is>
          <t>pre-condtion_enable</t>
        </is>
      </c>
      <c r="D232" s="447" t="inlineStr">
        <is>
          <t>Boolean</t>
        </is>
      </c>
      <c r="E232" s="429" t="n"/>
      <c r="F232" s="429">
        <f>F244</f>
        <v/>
      </c>
      <c r="G232" s="429" t="n"/>
      <c r="H232" s="688" t="n">
        <v>154</v>
      </c>
      <c r="I232" s="688" t="n"/>
      <c r="J232" s="407" t="n"/>
      <c r="K232" s="447" t="inlineStr">
        <is>
          <t>Boolean</t>
        </is>
      </c>
      <c r="L232" s="429" t="n"/>
      <c r="M232" s="688" t="n"/>
      <c r="N232" s="429" t="n"/>
    </row>
    <row r="233" ht="21" customHeight="1">
      <c r="A233" s="688" t="n">
        <v>161</v>
      </c>
      <c r="B233" s="429" t="inlineStr">
        <is>
          <t>LFC11</t>
        </is>
      </c>
      <c r="C233" s="394" t="inlineStr">
        <is>
          <t>LFC 11</t>
        </is>
      </c>
      <c r="D233" s="447" t="inlineStr">
        <is>
          <t>Boolean</t>
        </is>
      </c>
      <c r="E233" s="429" t="n"/>
      <c r="F233" s="429" t="n"/>
      <c r="G233" s="429" t="n"/>
      <c r="H233" s="688" t="n">
        <v>155</v>
      </c>
      <c r="I233" s="688" t="n"/>
      <c r="J233" s="407" t="n"/>
      <c r="K233" s="447" t="inlineStr">
        <is>
          <t>Boolean</t>
        </is>
      </c>
      <c r="L233" s="429" t="n"/>
      <c r="M233" s="688" t="n"/>
      <c r="N233" s="429" t="n"/>
      <c r="BK233" s="321" t="n"/>
    </row>
    <row r="234" ht="21" customHeight="1">
      <c r="A234" s="688" t="n">
        <v>162</v>
      </c>
      <c r="B234" s="429" t="n"/>
      <c r="C234" s="407" t="n"/>
      <c r="D234" s="447" t="inlineStr">
        <is>
          <t>Boolean</t>
        </is>
      </c>
      <c r="E234" s="429" t="n"/>
      <c r="F234" s="429" t="n"/>
      <c r="G234" s="429" t="n"/>
      <c r="H234" s="688" t="n">
        <v>156</v>
      </c>
      <c r="I234" s="688" t="n"/>
      <c r="J234" s="407" t="n"/>
      <c r="K234" s="447" t="inlineStr">
        <is>
          <t>Boolean</t>
        </is>
      </c>
      <c r="L234" s="429" t="n"/>
      <c r="M234" s="688" t="n"/>
      <c r="N234" s="429" t="n"/>
    </row>
    <row r="235" ht="21" customHeight="1">
      <c r="A235" s="688" t="n">
        <v>163</v>
      </c>
      <c r="B235" s="429" t="inlineStr">
        <is>
          <t>LFC01</t>
        </is>
      </c>
      <c r="C235" s="394" t="inlineStr">
        <is>
          <t>HVAC_on</t>
        </is>
      </c>
      <c r="D235" s="447" t="inlineStr">
        <is>
          <t>Boolean</t>
        </is>
      </c>
      <c r="E235" s="429" t="n"/>
      <c r="F235" s="429">
        <f>F247</f>
        <v/>
      </c>
      <c r="G235" s="429" t="n"/>
      <c r="H235" s="688" t="n">
        <v>157</v>
      </c>
      <c r="I235" s="688" t="n"/>
      <c r="J235" s="407" t="n"/>
      <c r="K235" s="447" t="inlineStr">
        <is>
          <t>Boolean</t>
        </is>
      </c>
      <c r="L235" s="429" t="n"/>
      <c r="M235" s="688" t="n"/>
      <c r="N235" s="429" t="n"/>
    </row>
    <row r="236" ht="21" customHeight="1">
      <c r="A236" s="688" t="n">
        <v>164</v>
      </c>
      <c r="B236" s="429" t="inlineStr">
        <is>
          <t>LFC02</t>
        </is>
      </c>
      <c r="C236" s="394" t="inlineStr">
        <is>
          <t>Precondition_command</t>
        </is>
      </c>
      <c r="D236" s="447" t="inlineStr">
        <is>
          <t>Boolean</t>
        </is>
      </c>
      <c r="E236" s="429" t="n"/>
      <c r="F236" s="429">
        <f>'LFD New'!D135</f>
        <v/>
      </c>
      <c r="G236" s="429" t="n"/>
      <c r="H236" s="688" t="n">
        <v>158</v>
      </c>
      <c r="I236" s="688" t="n"/>
      <c r="J236" s="407" t="n"/>
      <c r="K236" s="447" t="inlineStr">
        <is>
          <t>Boolean</t>
        </is>
      </c>
      <c r="L236" s="429" t="n"/>
      <c r="M236" s="688" t="n"/>
      <c r="N236" s="429" t="n"/>
    </row>
    <row r="237" ht="21" customHeight="1">
      <c r="A237" s="688" t="n">
        <v>165</v>
      </c>
      <c r="B237" s="429" t="inlineStr">
        <is>
          <t>LFC03</t>
        </is>
      </c>
      <c r="C237" s="394" t="inlineStr">
        <is>
          <t>passanger_&lt;=_10%</t>
        </is>
      </c>
      <c r="D237" s="447" t="inlineStr">
        <is>
          <t>Boolean</t>
        </is>
      </c>
      <c r="E237" s="429" t="n"/>
      <c r="F237" s="429">
        <f>'LFD New'!D136</f>
        <v/>
      </c>
      <c r="G237" s="429" t="n"/>
      <c r="H237" s="688" t="n">
        <v>159</v>
      </c>
      <c r="I237" s="688" t="n"/>
      <c r="J237" s="407" t="n"/>
      <c r="K237" s="447" t="inlineStr">
        <is>
          <t>Boolean</t>
        </is>
      </c>
      <c r="L237" s="429" t="n"/>
      <c r="M237" s="688" t="inlineStr">
        <is>
          <t>0</t>
        </is>
      </c>
      <c r="N237" s="429" t="n"/>
    </row>
    <row r="238" ht="21" customHeight="1">
      <c r="A238" s="688" t="n">
        <v>166</v>
      </c>
      <c r="B238" s="429" t="inlineStr">
        <is>
          <t>LFC04</t>
        </is>
      </c>
      <c r="C238" s="394" t="inlineStr">
        <is>
          <t>HP_OK</t>
        </is>
      </c>
      <c r="D238" s="447" t="inlineStr">
        <is>
          <t>Boolean</t>
        </is>
      </c>
      <c r="E238" s="429" t="n"/>
      <c r="F238" s="429">
        <f>F276</f>
        <v/>
      </c>
      <c r="G238" s="429" t="n"/>
      <c r="H238" s="688" t="n">
        <v>160</v>
      </c>
      <c r="I238" s="688" t="inlineStr">
        <is>
          <t>LFC12</t>
        </is>
      </c>
      <c r="J238" s="394" t="inlineStr">
        <is>
          <t>preconditioning END</t>
        </is>
      </c>
      <c r="K238" s="447" t="inlineStr">
        <is>
          <t>Boolean</t>
        </is>
      </c>
      <c r="L238" s="429">
        <f>'LFD OLD'!R322</f>
        <v/>
      </c>
      <c r="M238" s="688" t="inlineStr">
        <is>
          <t>0</t>
        </is>
      </c>
      <c r="N238" s="429" t="n"/>
    </row>
    <row r="239" ht="21" customHeight="1">
      <c r="A239" s="688" t="n">
        <v>167</v>
      </c>
      <c r="B239" s="429" t="inlineStr">
        <is>
          <t>LFC05</t>
        </is>
      </c>
      <c r="C239" s="394" t="inlineStr">
        <is>
          <t>LP_ok</t>
        </is>
      </c>
      <c r="D239" s="447" t="inlineStr">
        <is>
          <t>Boolean</t>
        </is>
      </c>
      <c r="E239" s="429" t="n"/>
      <c r="F239" s="429">
        <f>F277</f>
        <v/>
      </c>
      <c r="G239" s="429" t="n"/>
      <c r="H239" s="688" t="n">
        <v>161</v>
      </c>
      <c r="I239" s="688" t="n"/>
      <c r="J239" s="407" t="n"/>
      <c r="K239" s="447" t="inlineStr">
        <is>
          <t>Boolean</t>
        </is>
      </c>
      <c r="L239" s="429" t="n"/>
      <c r="M239" s="688" t="n"/>
      <c r="N239" s="429" t="n"/>
    </row>
    <row r="240" ht="21" customHeight="1">
      <c r="A240" s="688" t="n">
        <v>168</v>
      </c>
      <c r="B240" s="429" t="inlineStr">
        <is>
          <t>LFC06</t>
        </is>
      </c>
      <c r="C240" s="394" t="inlineStr">
        <is>
          <t>Breaker_ok</t>
        </is>
      </c>
      <c r="D240" s="447" t="inlineStr">
        <is>
          <t>Boolean</t>
        </is>
      </c>
      <c r="E240" s="429" t="n"/>
      <c r="F240" s="429">
        <f>F252</f>
        <v/>
      </c>
      <c r="G240" s="429" t="n"/>
      <c r="H240" s="688" t="n">
        <v>162</v>
      </c>
      <c r="I240" s="688" t="n"/>
      <c r="J240" s="407" t="n"/>
      <c r="K240" s="447" t="inlineStr">
        <is>
          <t>Boolean</t>
        </is>
      </c>
      <c r="L240" s="429" t="n"/>
      <c r="M240" s="688" t="n"/>
      <c r="N240" s="429" t="n"/>
    </row>
    <row r="241" ht="21" customHeight="1">
      <c r="A241" s="688" t="n">
        <v>169</v>
      </c>
      <c r="B241" s="429" t="inlineStr">
        <is>
          <t>LFC07</t>
        </is>
      </c>
      <c r="C241" s="394" t="inlineStr">
        <is>
          <t>Fan_OK</t>
        </is>
      </c>
      <c r="D241" s="447" t="inlineStr">
        <is>
          <t>Boolean</t>
        </is>
      </c>
      <c r="E241" s="429" t="n"/>
      <c r="F241" s="429">
        <f>F255</f>
        <v/>
      </c>
      <c r="G241" s="429" t="n"/>
      <c r="H241" s="688" t="n">
        <v>163</v>
      </c>
      <c r="I241" s="688" t="n"/>
      <c r="J241" s="407" t="n"/>
      <c r="K241" s="447" t="inlineStr">
        <is>
          <t>Boolean</t>
        </is>
      </c>
      <c r="L241" s="429" t="n"/>
      <c r="M241" s="688" t="n"/>
      <c r="N241" s="429" t="n"/>
    </row>
    <row r="242" ht="21" customHeight="1">
      <c r="A242" s="688" t="n">
        <v>170</v>
      </c>
      <c r="B242" s="429" t="inlineStr">
        <is>
          <t>LFC09</t>
        </is>
      </c>
      <c r="C242" s="394" t="inlineStr">
        <is>
          <t>RAT_SP&lt;=3K</t>
        </is>
      </c>
      <c r="D242" s="447" t="inlineStr">
        <is>
          <t>Boolean</t>
        </is>
      </c>
      <c r="E242" s="429" t="n"/>
      <c r="F242" s="429">
        <f>'LFD New'!D133</f>
        <v/>
      </c>
      <c r="G242" s="429" t="n"/>
      <c r="H242" s="688" t="n"/>
      <c r="I242" s="688" t="n"/>
      <c r="J242" s="407" t="n"/>
      <c r="K242" s="447" t="inlineStr">
        <is>
          <t>Boolean</t>
        </is>
      </c>
      <c r="L242" s="429" t="n"/>
      <c r="M242" s="688" t="n"/>
      <c r="N242" s="429" t="n"/>
    </row>
    <row r="243" ht="21" customHeight="1">
      <c r="A243" s="688" t="n">
        <v>171</v>
      </c>
      <c r="B243" s="429" t="inlineStr">
        <is>
          <t>LFC10</t>
        </is>
      </c>
      <c r="C243" s="394" t="inlineStr">
        <is>
          <t>60 min timer Expire</t>
        </is>
      </c>
      <c r="D243" s="447" t="inlineStr">
        <is>
          <t>Boolean</t>
        </is>
      </c>
      <c r="E243" s="429" t="n"/>
      <c r="F243" s="429">
        <f>'LFD New'!D134</f>
        <v/>
      </c>
      <c r="G243" s="429" t="n"/>
      <c r="H243" s="688" t="n"/>
      <c r="I243" s="688" t="n"/>
      <c r="J243" s="407" t="n"/>
      <c r="K243" s="447" t="inlineStr">
        <is>
          <t>Boolean</t>
        </is>
      </c>
      <c r="L243" s="429" t="n"/>
      <c r="M243" s="688" t="n"/>
      <c r="N243" s="429" t="n"/>
    </row>
    <row r="244" ht="21" customHeight="1">
      <c r="A244" s="688" t="n">
        <v>172</v>
      </c>
      <c r="B244" s="429" t="inlineStr">
        <is>
          <t>LFC08</t>
        </is>
      </c>
      <c r="C244" s="394" t="inlineStr">
        <is>
          <t>pre_conditioning_enable</t>
        </is>
      </c>
      <c r="D244" s="447" t="inlineStr">
        <is>
          <t>Boolean</t>
        </is>
      </c>
      <c r="E244" s="429" t="n"/>
      <c r="F244" s="429">
        <f>'LFD New'!D132</f>
        <v/>
      </c>
      <c r="G244" s="429" t="n"/>
      <c r="H244" s="688" t="n"/>
      <c r="I244" s="688" t="n"/>
      <c r="J244" s="407" t="n"/>
      <c r="K244" s="447" t="inlineStr">
        <is>
          <t>Boolean</t>
        </is>
      </c>
      <c r="L244" s="429" t="n"/>
      <c r="M244" s="688" t="n"/>
      <c r="N244" s="429" t="n"/>
      <c r="BK244" s="321" t="n"/>
    </row>
    <row r="245" ht="21" customHeight="1">
      <c r="A245" s="688" t="n">
        <v>173</v>
      </c>
      <c r="B245" s="429" t="inlineStr">
        <is>
          <t>LFC11</t>
        </is>
      </c>
      <c r="C245" s="394" t="inlineStr">
        <is>
          <t>LFC11</t>
        </is>
      </c>
      <c r="D245" s="447" t="inlineStr">
        <is>
          <t>Boolean</t>
        </is>
      </c>
      <c r="E245" s="429" t="n"/>
      <c r="F245" s="429">
        <f>'LFD OLD'!F321</f>
        <v/>
      </c>
      <c r="G245" s="429" t="n"/>
      <c r="H245" s="688" t="n"/>
      <c r="I245" s="688" t="n"/>
      <c r="J245" s="407" t="n"/>
      <c r="K245" s="447" t="inlineStr">
        <is>
          <t>Boolean</t>
        </is>
      </c>
      <c r="L245" s="429" t="n"/>
      <c r="M245" s="688" t="n"/>
      <c r="N245" s="429" t="n"/>
    </row>
    <row r="246" ht="21" customHeight="1">
      <c r="A246" s="688" t="n">
        <v>174</v>
      </c>
      <c r="B246" s="429" t="n"/>
      <c r="C246" s="407" t="n"/>
      <c r="D246" s="447" t="inlineStr">
        <is>
          <t>Boolean</t>
        </is>
      </c>
      <c r="E246" s="429" t="n"/>
      <c r="F246" s="429" t="n"/>
      <c r="G246" s="429" t="n"/>
      <c r="H246" s="688" t="n"/>
      <c r="I246" s="688" t="n"/>
      <c r="J246" s="407" t="n"/>
      <c r="K246" s="447" t="inlineStr">
        <is>
          <t>Boolean</t>
        </is>
      </c>
      <c r="L246" s="429" t="n"/>
      <c r="M246" s="688" t="n"/>
      <c r="N246" s="429" t="n"/>
    </row>
    <row r="247" ht="21" customHeight="1">
      <c r="A247" s="688" t="n">
        <v>175</v>
      </c>
      <c r="B247" s="429" t="inlineStr">
        <is>
          <t>LFC01</t>
        </is>
      </c>
      <c r="C247" s="394" t="inlineStr">
        <is>
          <t>HVAC_ON</t>
        </is>
      </c>
      <c r="D247" s="447" t="inlineStr">
        <is>
          <t>Boolean</t>
        </is>
      </c>
      <c r="E247" s="429" t="n"/>
      <c r="F247" s="429">
        <f>F259</f>
        <v/>
      </c>
      <c r="G247" s="429" t="n"/>
      <c r="H247" s="688" t="n"/>
      <c r="I247" s="688" t="n"/>
      <c r="J247" s="407" t="n"/>
      <c r="K247" s="447" t="inlineStr">
        <is>
          <t>Boolean</t>
        </is>
      </c>
      <c r="L247" s="429" t="n"/>
      <c r="M247" s="688" t="n"/>
      <c r="N247" s="429" t="n"/>
    </row>
    <row r="248" ht="21" customHeight="1">
      <c r="A248" s="688" t="n">
        <v>176</v>
      </c>
      <c r="B248" s="429" t="inlineStr">
        <is>
          <t>LFC02</t>
        </is>
      </c>
      <c r="C248" s="394" t="inlineStr">
        <is>
          <t>Heating Mode</t>
        </is>
      </c>
      <c r="D248" s="447" t="inlineStr">
        <is>
          <t>Boolean</t>
        </is>
      </c>
      <c r="E248" s="429" t="n"/>
      <c r="F248" s="429">
        <f>F260</f>
        <v/>
      </c>
      <c r="G248" s="429" t="n"/>
      <c r="H248" s="688" t="n"/>
      <c r="I248" s="688" t="n"/>
      <c r="J248" s="407" t="n"/>
      <c r="K248" s="447" t="inlineStr">
        <is>
          <t>Boolean</t>
        </is>
      </c>
      <c r="L248" s="429" t="n"/>
      <c r="M248" s="688" t="inlineStr">
        <is>
          <t>0</t>
        </is>
      </c>
      <c r="N248" s="429" t="n"/>
    </row>
    <row r="249" ht="21" customHeight="1">
      <c r="A249" s="688" t="n">
        <v>177</v>
      </c>
      <c r="B249" s="429" t="inlineStr">
        <is>
          <t>LFC03</t>
        </is>
      </c>
      <c r="C249" s="394" t="inlineStr">
        <is>
          <t>RAT&lt;SET point</t>
        </is>
      </c>
      <c r="D249" s="447" t="inlineStr">
        <is>
          <t>Boolean</t>
        </is>
      </c>
      <c r="E249" s="429" t="n"/>
      <c r="F249" s="429">
        <f>F261</f>
        <v/>
      </c>
      <c r="G249" s="429" t="n"/>
      <c r="H249" s="688" t="n"/>
      <c r="I249" s="688" t="inlineStr">
        <is>
          <t>LFC12</t>
        </is>
      </c>
      <c r="J249" s="394" t="inlineStr">
        <is>
          <t>Heater_off</t>
        </is>
      </c>
      <c r="K249" s="447" t="inlineStr">
        <is>
          <t>Boolean</t>
        </is>
      </c>
      <c r="L249" s="429">
        <f>'LFD OLD'!R340</f>
        <v/>
      </c>
      <c r="M249" s="688" t="inlineStr">
        <is>
          <t>0</t>
        </is>
      </c>
      <c r="N249" s="429" t="n"/>
    </row>
    <row r="250" ht="21" customHeight="1">
      <c r="A250" s="688" t="n">
        <v>178</v>
      </c>
      <c r="B250" s="429" t="inlineStr">
        <is>
          <t>LFC04</t>
        </is>
      </c>
      <c r="C250" s="394" t="inlineStr">
        <is>
          <t>Heater_ok</t>
        </is>
      </c>
      <c r="D250" s="447" t="inlineStr">
        <is>
          <t>Boolean</t>
        </is>
      </c>
      <c r="E250" s="429" t="n"/>
      <c r="F250" s="429">
        <f>F262</f>
        <v/>
      </c>
      <c r="G250" s="429" t="n"/>
      <c r="H250" s="688" t="n"/>
      <c r="I250" s="688" t="n"/>
      <c r="J250" s="407" t="n"/>
      <c r="K250" s="447" t="inlineStr">
        <is>
          <t>Boolean</t>
        </is>
      </c>
      <c r="L250" s="429" t="n"/>
      <c r="M250" s="688" t="n"/>
      <c r="N250" s="429" t="n"/>
    </row>
    <row r="251" ht="21" customHeight="1">
      <c r="A251" s="688" t="n">
        <v>179</v>
      </c>
      <c r="B251" s="429" t="inlineStr">
        <is>
          <t>LFC05</t>
        </is>
      </c>
      <c r="C251" s="394" t="inlineStr">
        <is>
          <t>Fan_ok</t>
        </is>
      </c>
      <c r="D251" s="447" t="inlineStr">
        <is>
          <t>Boolean</t>
        </is>
      </c>
      <c r="E251" s="429" t="n"/>
      <c r="F251" s="429">
        <f>F263</f>
        <v/>
      </c>
      <c r="G251" s="429" t="n"/>
      <c r="H251" s="688" t="n"/>
      <c r="I251" s="688" t="n"/>
      <c r="J251" s="407" t="n"/>
      <c r="K251" s="447" t="inlineStr">
        <is>
          <t>Boolean</t>
        </is>
      </c>
      <c r="L251" s="429" t="n"/>
      <c r="M251" s="688" t="n"/>
      <c r="N251" s="429" t="n"/>
    </row>
    <row r="252" ht="21" customHeight="1">
      <c r="A252" s="688" t="n">
        <v>180</v>
      </c>
      <c r="B252" s="429" t="inlineStr">
        <is>
          <t>LFC06</t>
        </is>
      </c>
      <c r="C252" s="394" t="inlineStr">
        <is>
          <t>Breaker_ok</t>
        </is>
      </c>
      <c r="D252" s="447" t="inlineStr">
        <is>
          <t>Boolean</t>
        </is>
      </c>
      <c r="E252" s="429" t="n"/>
      <c r="F252" s="429">
        <f>F264</f>
        <v/>
      </c>
      <c r="G252" s="429" t="n"/>
      <c r="H252" s="688" t="n"/>
      <c r="I252" s="688" t="n"/>
      <c r="J252" s="407" t="n"/>
      <c r="K252" s="447" t="inlineStr">
        <is>
          <t>Boolean</t>
        </is>
      </c>
      <c r="L252" s="429" t="n"/>
      <c r="M252" s="688" t="n"/>
      <c r="N252" s="429" t="n"/>
    </row>
    <row r="253" ht="21" customHeight="1">
      <c r="A253" s="688" t="n">
        <v>181</v>
      </c>
      <c r="B253" s="429" t="inlineStr">
        <is>
          <t>LFC07</t>
        </is>
      </c>
      <c r="C253" s="394" t="inlineStr">
        <is>
          <t>No_Fire</t>
        </is>
      </c>
      <c r="D253" s="447" t="inlineStr">
        <is>
          <t>Boolean</t>
        </is>
      </c>
      <c r="E253" s="429" t="n"/>
      <c r="F253" s="429">
        <f>F263</f>
        <v/>
      </c>
      <c r="G253" s="429" t="n"/>
      <c r="H253" s="688" t="n"/>
      <c r="I253" s="688" t="n"/>
      <c r="J253" s="407" t="n"/>
      <c r="K253" s="447" t="inlineStr">
        <is>
          <t>Boolean</t>
        </is>
      </c>
      <c r="L253" s="429" t="n"/>
      <c r="M253" s="688" t="n"/>
      <c r="N253" s="429" t="n"/>
    </row>
    <row r="254" ht="21" customHeight="1">
      <c r="A254" s="688" t="n">
        <v>182</v>
      </c>
      <c r="B254" s="429" t="inlineStr">
        <is>
          <t>LFC09</t>
        </is>
      </c>
      <c r="C254" s="394" t="inlineStr">
        <is>
          <t>FAT_&gt;=_T7</t>
        </is>
      </c>
      <c r="D254" s="447" t="inlineStr">
        <is>
          <t>Boolean</t>
        </is>
      </c>
      <c r="E254" s="429" t="n"/>
      <c r="F254" s="429">
        <f>'LFD New'!D131</f>
        <v/>
      </c>
      <c r="G254" s="429" t="n"/>
      <c r="H254" s="688" t="n"/>
      <c r="I254" s="688" t="n"/>
      <c r="J254" s="407" t="n"/>
      <c r="K254" s="447" t="inlineStr">
        <is>
          <t>Boolean</t>
        </is>
      </c>
      <c r="L254" s="429" t="n"/>
      <c r="M254" s="688" t="n"/>
      <c r="N254" s="429" t="n"/>
    </row>
    <row r="255" ht="21" customHeight="1">
      <c r="A255" s="688" t="n">
        <v>183</v>
      </c>
      <c r="B255" s="429" t="inlineStr">
        <is>
          <t>LFC10</t>
        </is>
      </c>
      <c r="C255" s="394" t="inlineStr">
        <is>
          <t>Fan_FB_ok</t>
        </is>
      </c>
      <c r="D255" s="447" t="inlineStr">
        <is>
          <t>Boolean</t>
        </is>
      </c>
      <c r="E255" s="429" t="n"/>
      <c r="F255" s="429">
        <f>F267</f>
        <v/>
      </c>
      <c r="G255" s="429" t="n"/>
      <c r="H255" s="688" t="n"/>
      <c r="I255" s="688" t="n"/>
      <c r="J255" s="407" t="n"/>
      <c r="K255" s="447" t="inlineStr">
        <is>
          <t>Boolean</t>
        </is>
      </c>
      <c r="L255" s="429" t="n"/>
      <c r="M255" s="688" t="n"/>
      <c r="N255" s="429" t="n"/>
    </row>
    <row r="256" ht="21" customHeight="1">
      <c r="A256" s="688" t="n">
        <v>184</v>
      </c>
      <c r="B256" s="429" t="inlineStr">
        <is>
          <t>LFC11</t>
        </is>
      </c>
      <c r="C256" s="394" t="inlineStr">
        <is>
          <t>LFC11</t>
        </is>
      </c>
      <c r="D256" s="447" t="inlineStr">
        <is>
          <t>Boolean</t>
        </is>
      </c>
      <c r="E256" s="429" t="n"/>
      <c r="F256" s="429">
        <f>'LFD OLD'!F338</f>
        <v/>
      </c>
      <c r="G256" s="429" t="n"/>
      <c r="H256" s="688" t="n"/>
      <c r="I256" s="688" t="n"/>
      <c r="J256" s="407" t="n"/>
      <c r="K256" s="447" t="inlineStr">
        <is>
          <t>Boolean</t>
        </is>
      </c>
      <c r="L256" s="429" t="n"/>
      <c r="M256" s="688" t="n"/>
      <c r="N256" s="429" t="n"/>
      <c r="BK256" s="321" t="n"/>
    </row>
    <row r="257" ht="21" customHeight="1">
      <c r="A257" s="688" t="n">
        <v>185</v>
      </c>
      <c r="B257" s="429" t="inlineStr">
        <is>
          <t>LFC08</t>
        </is>
      </c>
      <c r="C257" s="394" t="inlineStr">
        <is>
          <t>Heating_enable</t>
        </is>
      </c>
      <c r="D257" s="447" t="inlineStr">
        <is>
          <t>Boolean</t>
        </is>
      </c>
      <c r="E257" s="429" t="n"/>
      <c r="F257" s="429">
        <f>F268</f>
        <v/>
      </c>
      <c r="G257" s="429" t="n"/>
      <c r="H257" s="688" t="n"/>
      <c r="I257" s="688" t="n"/>
      <c r="J257" s="407" t="n"/>
      <c r="K257" s="447" t="inlineStr">
        <is>
          <t>Boolean</t>
        </is>
      </c>
      <c r="L257" s="429" t="n"/>
      <c r="M257" s="688" t="n"/>
      <c r="N257" s="429" t="n"/>
    </row>
    <row r="258" ht="21" customHeight="1">
      <c r="A258" s="688" t="n">
        <v>186</v>
      </c>
      <c r="B258" s="429" t="n"/>
      <c r="C258" s="407" t="n"/>
      <c r="D258" s="447" t="inlineStr">
        <is>
          <t>Boolean</t>
        </is>
      </c>
      <c r="E258" s="429" t="n"/>
      <c r="F258" s="429" t="n"/>
      <c r="G258" s="429" t="n"/>
      <c r="H258" s="688" t="n"/>
      <c r="I258" s="688" t="n"/>
      <c r="J258" s="407" t="n"/>
      <c r="K258" s="447" t="inlineStr">
        <is>
          <t>Boolean</t>
        </is>
      </c>
      <c r="L258" s="429" t="n"/>
      <c r="M258" s="688" t="n"/>
      <c r="N258" s="429" t="n"/>
    </row>
    <row r="259" ht="21" customHeight="1">
      <c r="A259" s="688" t="n">
        <v>187</v>
      </c>
      <c r="B259" s="429" t="inlineStr">
        <is>
          <t>LFC01</t>
        </is>
      </c>
      <c r="C259" s="394" t="inlineStr">
        <is>
          <t>HVAC_ON</t>
        </is>
      </c>
      <c r="D259" s="447" t="inlineStr">
        <is>
          <t>Boolean</t>
        </is>
      </c>
      <c r="E259" s="429" t="n"/>
      <c r="F259" s="429">
        <f>F306</f>
        <v/>
      </c>
      <c r="G259" s="429" t="n"/>
      <c r="H259" s="688" t="n"/>
      <c r="I259" s="688" t="n"/>
      <c r="J259" s="407" t="n"/>
      <c r="K259" s="447" t="inlineStr">
        <is>
          <t>Boolean</t>
        </is>
      </c>
      <c r="L259" s="429" t="n"/>
      <c r="M259" s="688" t="inlineStr">
        <is>
          <t>0</t>
        </is>
      </c>
      <c r="N259" s="429" t="n"/>
    </row>
    <row r="260" ht="21" customHeight="1">
      <c r="A260" s="688" t="n">
        <v>188</v>
      </c>
      <c r="B260" s="429" t="inlineStr">
        <is>
          <t>LFC02</t>
        </is>
      </c>
      <c r="C260" s="394" t="inlineStr">
        <is>
          <t>Heating Mode</t>
        </is>
      </c>
      <c r="D260" s="447" t="inlineStr">
        <is>
          <t>Boolean</t>
        </is>
      </c>
      <c r="E260" s="429" t="n"/>
      <c r="F260" s="429">
        <f>F360</f>
        <v/>
      </c>
      <c r="G260" s="429" t="n"/>
      <c r="H260" s="688" t="n"/>
      <c r="I260" s="688" t="inlineStr">
        <is>
          <t>LFC15</t>
        </is>
      </c>
      <c r="J260" s="394" t="inlineStr">
        <is>
          <t>OH_Stage_01</t>
        </is>
      </c>
      <c r="K260" s="447" t="inlineStr">
        <is>
          <t>Boolean</t>
        </is>
      </c>
      <c r="L260" s="429">
        <f>'LFD OLD'!R358</f>
        <v/>
      </c>
      <c r="M260" s="688" t="inlineStr">
        <is>
          <t>0</t>
        </is>
      </c>
      <c r="N260" s="429" t="n"/>
    </row>
    <row r="261" ht="21" customHeight="1">
      <c r="A261" s="688" t="n">
        <v>189</v>
      </c>
      <c r="B261" s="429" t="inlineStr">
        <is>
          <t>LFC03</t>
        </is>
      </c>
      <c r="C261" s="394" t="inlineStr">
        <is>
          <t>RAT&lt;SET point</t>
        </is>
      </c>
      <c r="D261" s="447" t="inlineStr">
        <is>
          <t>Boolean</t>
        </is>
      </c>
      <c r="E261" s="429" t="n"/>
      <c r="F261" s="429">
        <f>'LFD New'!D89</f>
        <v/>
      </c>
      <c r="G261" s="429" t="n"/>
      <c r="H261" s="688" t="n"/>
      <c r="I261" s="688" t="inlineStr">
        <is>
          <t>LFC16</t>
        </is>
      </c>
      <c r="J261" s="394" t="inlineStr">
        <is>
          <t>OH_Stage_02</t>
        </is>
      </c>
      <c r="K261" s="447" t="inlineStr">
        <is>
          <t>Boolean</t>
        </is>
      </c>
      <c r="L261" s="429">
        <f>'LFD OLD'!R359</f>
        <v/>
      </c>
      <c r="M261" s="688" t="inlineStr">
        <is>
          <t>0</t>
        </is>
      </c>
      <c r="N261" s="429" t="n"/>
    </row>
    <row r="262" ht="21" customHeight="1">
      <c r="A262" s="688" t="n">
        <v>190</v>
      </c>
      <c r="B262" s="429" t="inlineStr">
        <is>
          <t>LFC04</t>
        </is>
      </c>
      <c r="C262" s="394" t="inlineStr">
        <is>
          <t>Heater_ok</t>
        </is>
      </c>
      <c r="D262" s="447" t="inlineStr">
        <is>
          <t>Boolean</t>
        </is>
      </c>
      <c r="E262" s="429" t="n"/>
      <c r="F262" s="429">
        <f>'LFD New'!D125</f>
        <v/>
      </c>
      <c r="G262" s="429" t="n"/>
      <c r="H262" s="688" t="n"/>
      <c r="I262" s="688" t="n"/>
      <c r="J262" s="407" t="n"/>
      <c r="K262" s="447" t="inlineStr">
        <is>
          <t>Boolean</t>
        </is>
      </c>
      <c r="L262" s="429" t="n"/>
      <c r="M262" s="688" t="n"/>
      <c r="N262" s="429" t="n"/>
    </row>
    <row r="263" ht="21" customHeight="1">
      <c r="A263" s="688" t="n">
        <v>191</v>
      </c>
      <c r="B263" s="429" t="inlineStr">
        <is>
          <t>LFC05</t>
        </is>
      </c>
      <c r="C263" s="394" t="inlineStr">
        <is>
          <t>Fan_ok</t>
        </is>
      </c>
      <c r="D263" s="447" t="inlineStr">
        <is>
          <t>Boolean</t>
        </is>
      </c>
      <c r="E263" s="429" t="n"/>
      <c r="F263" s="429">
        <f>'LFD New'!D126</f>
        <v/>
      </c>
      <c r="G263" s="429" t="n"/>
      <c r="H263" s="688" t="n"/>
      <c r="I263" s="688" t="n"/>
      <c r="J263" s="407" t="n"/>
      <c r="K263" s="447" t="inlineStr">
        <is>
          <t>Boolean</t>
        </is>
      </c>
      <c r="L263" s="429" t="n"/>
      <c r="M263" s="688" t="n"/>
      <c r="N263" s="429" t="n"/>
    </row>
    <row r="264" ht="21" customHeight="1">
      <c r="A264" s="688" t="n">
        <v>192</v>
      </c>
      <c r="B264" s="429" t="inlineStr">
        <is>
          <t>LFC06</t>
        </is>
      </c>
      <c r="C264" s="394" t="inlineStr">
        <is>
          <t>Breaker_ok</t>
        </is>
      </c>
      <c r="D264" s="447" t="inlineStr">
        <is>
          <t>Boolean</t>
        </is>
      </c>
      <c r="E264" s="429" t="n"/>
      <c r="F264" s="429">
        <f>'LFD New'!D127</f>
        <v/>
      </c>
      <c r="G264" s="429" t="n"/>
      <c r="H264" s="688" t="n"/>
      <c r="I264" s="688" t="n"/>
      <c r="J264" s="407" t="n"/>
      <c r="K264" s="447" t="inlineStr">
        <is>
          <t>Boolean</t>
        </is>
      </c>
      <c r="L264" s="429" t="n"/>
      <c r="M264" s="688" t="n"/>
      <c r="N264" s="429" t="n"/>
    </row>
    <row r="265" ht="21" customHeight="1">
      <c r="A265" s="688" t="n">
        <v>193</v>
      </c>
      <c r="B265" s="429" t="inlineStr">
        <is>
          <t>LFC07</t>
        </is>
      </c>
      <c r="C265" s="394" t="inlineStr">
        <is>
          <t>No_Fire</t>
        </is>
      </c>
      <c r="D265" s="447" t="inlineStr">
        <is>
          <t>Boolean</t>
        </is>
      </c>
      <c r="E265" s="429" t="n"/>
      <c r="F265" s="429">
        <f>'LFD New'!D128</f>
        <v/>
      </c>
      <c r="G265" s="429" t="n"/>
      <c r="H265" s="688" t="n"/>
      <c r="I265" s="688" t="n"/>
      <c r="J265" s="407" t="n"/>
      <c r="K265" s="447" t="inlineStr">
        <is>
          <t>Boolean</t>
        </is>
      </c>
      <c r="L265" s="429" t="n"/>
      <c r="M265" s="688" t="n"/>
      <c r="N265" s="429" t="n"/>
    </row>
    <row r="266" ht="21" customHeight="1">
      <c r="A266" s="688" t="n">
        <v>194</v>
      </c>
      <c r="B266" s="429" t="inlineStr">
        <is>
          <t>LFC09</t>
        </is>
      </c>
      <c r="C266" s="394" t="inlineStr">
        <is>
          <t>FAT_&lt;_T5</t>
        </is>
      </c>
      <c r="D266" s="447" t="inlineStr">
        <is>
          <t>Boolean</t>
        </is>
      </c>
      <c r="E266" s="429" t="n"/>
      <c r="F266" s="429">
        <f>'LFD New'!D129</f>
        <v/>
      </c>
      <c r="G266" s="429" t="n"/>
      <c r="H266" s="688" t="n"/>
      <c r="I266" s="688" t="n"/>
      <c r="J266" s="407" t="n"/>
      <c r="K266" s="447" t="inlineStr">
        <is>
          <t>Boolean</t>
        </is>
      </c>
      <c r="L266" s="429" t="n"/>
      <c r="M266" s="688" t="n"/>
      <c r="N266" s="429" t="n"/>
      <c r="BK266" s="321" t="n"/>
    </row>
    <row r="267" ht="21" customHeight="1">
      <c r="A267" s="688" t="n">
        <v>195</v>
      </c>
      <c r="B267" s="429" t="inlineStr">
        <is>
          <t>LFC10</t>
        </is>
      </c>
      <c r="C267" s="394" t="inlineStr">
        <is>
          <t>Fan_FB_OK</t>
        </is>
      </c>
      <c r="D267" s="447" t="inlineStr">
        <is>
          <t>Boolean</t>
        </is>
      </c>
      <c r="E267" s="429" t="n"/>
      <c r="F267" s="429">
        <f>'LFD New'!D130</f>
        <v/>
      </c>
      <c r="G267" s="429" t="n"/>
      <c r="H267" s="688" t="n"/>
      <c r="I267" s="688" t="n"/>
      <c r="J267" s="407" t="n"/>
      <c r="K267" s="447" t="inlineStr">
        <is>
          <t>Boolean</t>
        </is>
      </c>
      <c r="L267" s="429" t="n"/>
      <c r="M267" s="688" t="n"/>
      <c r="N267" s="429" t="n"/>
    </row>
    <row r="268" ht="21" customHeight="1">
      <c r="A268" s="688" t="n">
        <v>196</v>
      </c>
      <c r="B268" s="429" t="inlineStr">
        <is>
          <t>LFC08</t>
        </is>
      </c>
      <c r="C268" s="394" t="inlineStr">
        <is>
          <t>heating_enable</t>
        </is>
      </c>
      <c r="D268" s="447" t="inlineStr">
        <is>
          <t>Boolean</t>
        </is>
      </c>
      <c r="E268" s="429" t="n"/>
      <c r="F268" s="429">
        <f>F308</f>
        <v/>
      </c>
      <c r="G268" s="429" t="n"/>
      <c r="H268" s="688" t="n"/>
      <c r="I268" s="688" t="n"/>
      <c r="J268" s="407" t="n"/>
      <c r="K268" s="447" t="inlineStr">
        <is>
          <t>Boolean</t>
        </is>
      </c>
      <c r="L268" s="429" t="n"/>
      <c r="M268" s="688" t="n"/>
      <c r="N268" s="429" t="n"/>
    </row>
    <row r="269" ht="21" customHeight="1" thickBot="1">
      <c r="A269" s="474" t="n">
        <v>197</v>
      </c>
      <c r="B269" s="468" t="inlineStr">
        <is>
          <t>LFC11</t>
        </is>
      </c>
      <c r="C269" s="395" t="inlineStr">
        <is>
          <t>LFC 11</t>
        </is>
      </c>
      <c r="D269" s="476" t="inlineStr">
        <is>
          <t>Boolean</t>
        </is>
      </c>
      <c r="E269" s="468" t="n"/>
      <c r="F269" s="468">
        <f>'LFD OLD'!F357</f>
        <v/>
      </c>
      <c r="G269" s="468" t="n"/>
      <c r="H269" s="474" t="n"/>
      <c r="I269" s="474" t="n"/>
      <c r="J269" s="475" t="n"/>
      <c r="K269" s="476" t="inlineStr">
        <is>
          <t>Boolean</t>
        </is>
      </c>
      <c r="L269" s="468" t="n"/>
      <c r="M269" s="474" t="n"/>
      <c r="N269" s="468" t="n"/>
    </row>
    <row r="270" ht="21" customHeight="1">
      <c r="A270" s="477" t="n">
        <v>198</v>
      </c>
      <c r="B270" s="481" t="n"/>
      <c r="C270" s="499" t="inlineStr">
        <is>
          <t>Cooling Mode - Preconditioning (50% Cooling)</t>
        </is>
      </c>
      <c r="D270" s="483" t="inlineStr">
        <is>
          <t>Boolean</t>
        </is>
      </c>
      <c r="E270" s="481" t="n"/>
      <c r="F270" s="481" t="n"/>
      <c r="G270" s="481" t="n"/>
      <c r="H270" s="482" t="n"/>
      <c r="I270" s="482" t="n"/>
      <c r="J270" s="406" t="n"/>
      <c r="K270" s="483" t="inlineStr">
        <is>
          <t>Boolean</t>
        </is>
      </c>
      <c r="L270" s="481" t="n"/>
      <c r="M270" s="482" t="n"/>
      <c r="N270" s="484" t="n"/>
    </row>
    <row r="271" ht="21" customHeight="1">
      <c r="A271" s="485" t="n">
        <v>199</v>
      </c>
      <c r="B271" s="429" t="inlineStr">
        <is>
          <t>LFC01</t>
        </is>
      </c>
      <c r="C271" s="394" t="inlineStr">
        <is>
          <t>Auto_mode_from_TCMS</t>
        </is>
      </c>
      <c r="D271" s="447" t="inlineStr">
        <is>
          <t>Boolean</t>
        </is>
      </c>
      <c r="E271" s="429" t="n"/>
      <c r="F271" s="429">
        <f>F294</f>
        <v/>
      </c>
      <c r="G271" s="429" t="n"/>
      <c r="H271" s="688" t="n"/>
      <c r="I271" s="688" t="n"/>
      <c r="J271" s="407" t="n"/>
      <c r="K271" s="447" t="inlineStr">
        <is>
          <t>Boolean</t>
        </is>
      </c>
      <c r="L271" s="429" t="n"/>
      <c r="M271" s="688" t="n"/>
      <c r="N271" s="487" t="n"/>
    </row>
    <row r="272" ht="21" customHeight="1">
      <c r="A272" s="485" t="n">
        <v>200</v>
      </c>
      <c r="B272" s="429" t="inlineStr">
        <is>
          <t>LFC02</t>
        </is>
      </c>
      <c r="C272" s="394" t="inlineStr">
        <is>
          <t>Stand_by_mode_ON</t>
        </is>
      </c>
      <c r="D272" s="447" t="inlineStr">
        <is>
          <t>Boolean</t>
        </is>
      </c>
      <c r="E272" s="429" t="n"/>
      <c r="F272" s="429">
        <f>F295</f>
        <v/>
      </c>
      <c r="G272" s="429" t="n"/>
      <c r="H272" s="688" t="n"/>
      <c r="I272" s="688" t="inlineStr">
        <is>
          <t>LFC10</t>
        </is>
      </c>
      <c r="J272" s="394" t="inlineStr">
        <is>
          <t>Cooling_mode_enable</t>
        </is>
      </c>
      <c r="K272" s="447" t="inlineStr">
        <is>
          <t>Boolean</t>
        </is>
      </c>
      <c r="L272" s="429">
        <f>'LFD OLD'!R377</f>
        <v/>
      </c>
      <c r="M272" s="688" t="inlineStr">
        <is>
          <t>0</t>
        </is>
      </c>
      <c r="N272" s="487" t="n"/>
    </row>
    <row r="273" ht="21" customHeight="1">
      <c r="A273" s="485" t="n">
        <v>201</v>
      </c>
      <c r="B273" s="429" t="inlineStr">
        <is>
          <t>LFC03</t>
        </is>
      </c>
      <c r="C273" s="394" t="inlineStr">
        <is>
          <t>Aps_load_reduction_ON</t>
        </is>
      </c>
      <c r="D273" s="447" t="inlineStr">
        <is>
          <t>Boolean</t>
        </is>
      </c>
      <c r="E273" s="429" t="n"/>
      <c r="F273" s="429">
        <f>F296</f>
        <v/>
      </c>
      <c r="G273" s="429" t="n"/>
      <c r="H273" s="688" t="n"/>
      <c r="I273" s="688" t="inlineStr">
        <is>
          <t>LFC14</t>
        </is>
      </c>
      <c r="J273" s="394" t="inlineStr">
        <is>
          <t>Cooling_50%</t>
        </is>
      </c>
      <c r="K273" s="447" t="inlineStr">
        <is>
          <t>Boolean</t>
        </is>
      </c>
      <c r="L273" s="429">
        <f>'LFD OLD'!R378</f>
        <v/>
      </c>
      <c r="M273" s="688" t="inlineStr">
        <is>
          <t>0</t>
        </is>
      </c>
      <c r="N273" s="487" t="n"/>
    </row>
    <row r="274" ht="21" customHeight="1">
      <c r="A274" s="485" t="n">
        <v>202</v>
      </c>
      <c r="B274" s="429" t="inlineStr">
        <is>
          <t>LFC04</t>
        </is>
      </c>
      <c r="C274" s="394" t="inlineStr">
        <is>
          <t>LVPS_load_shed_ON</t>
        </is>
      </c>
      <c r="D274" s="447" t="inlineStr">
        <is>
          <t>Boolean</t>
        </is>
      </c>
      <c r="E274" s="429" t="n"/>
      <c r="F274" s="429">
        <f>F297</f>
        <v/>
      </c>
      <c r="G274" s="429" t="n"/>
      <c r="H274" s="688" t="n"/>
      <c r="I274" s="688" t="n"/>
      <c r="J274" s="407" t="n"/>
      <c r="K274" s="447" t="inlineStr">
        <is>
          <t>Boolean</t>
        </is>
      </c>
      <c r="L274" s="429" t="n"/>
      <c r="M274" s="688" t="n"/>
      <c r="N274" s="487" t="n"/>
    </row>
    <row r="275" ht="21" customHeight="1">
      <c r="A275" s="485" t="n">
        <v>203</v>
      </c>
      <c r="B275" s="429" t="inlineStr">
        <is>
          <t>LFC05</t>
        </is>
      </c>
      <c r="C275" s="394" t="inlineStr">
        <is>
          <t>No_fire_detected'</t>
        </is>
      </c>
      <c r="D275" s="447" t="inlineStr">
        <is>
          <t>Boolean</t>
        </is>
      </c>
      <c r="E275" s="429" t="n"/>
      <c r="F275" s="429">
        <f>F298</f>
        <v/>
      </c>
      <c r="G275" s="429" t="n"/>
      <c r="H275" s="688" t="n"/>
      <c r="I275" s="688" t="n"/>
      <c r="J275" s="407" t="n"/>
      <c r="K275" s="447" t="inlineStr">
        <is>
          <t>Boolean</t>
        </is>
      </c>
      <c r="L275" s="429" t="n"/>
      <c r="M275" s="688" t="n"/>
      <c r="N275" s="487" t="n"/>
    </row>
    <row r="276" ht="21" customHeight="1">
      <c r="A276" s="485" t="n">
        <v>204</v>
      </c>
      <c r="B276" s="429" t="inlineStr">
        <is>
          <t>LFC06</t>
        </is>
      </c>
      <c r="C276" s="394" t="inlineStr">
        <is>
          <t>HP_OK</t>
        </is>
      </c>
      <c r="D276" s="447" t="inlineStr">
        <is>
          <t>Boolean</t>
        </is>
      </c>
      <c r="E276" s="429" t="n"/>
      <c r="F276" s="429">
        <f>F299</f>
        <v/>
      </c>
      <c r="G276" s="429" t="n"/>
      <c r="H276" s="688" t="n"/>
      <c r="I276" s="688" t="n"/>
      <c r="J276" s="407" t="n"/>
      <c r="K276" s="447" t="inlineStr">
        <is>
          <t>Boolean</t>
        </is>
      </c>
      <c r="L276" s="429" t="n"/>
      <c r="M276" s="688" t="n"/>
      <c r="N276" s="487" t="n"/>
    </row>
    <row r="277" ht="21" customHeight="1">
      <c r="A277" s="485" t="n">
        <v>205</v>
      </c>
      <c r="B277" s="429" t="inlineStr">
        <is>
          <t>LFC07</t>
        </is>
      </c>
      <c r="C277" s="394" t="inlineStr">
        <is>
          <t>LP_OK</t>
        </is>
      </c>
      <c r="D277" s="447" t="inlineStr">
        <is>
          <t>Boolean</t>
        </is>
      </c>
      <c r="E277" s="429" t="n"/>
      <c r="F277" s="429">
        <f>F300</f>
        <v/>
      </c>
      <c r="G277" s="429" t="n"/>
      <c r="H277" s="688" t="n"/>
      <c r="I277" s="688" t="n"/>
      <c r="J277" s="407" t="n"/>
      <c r="K277" s="447" t="inlineStr">
        <is>
          <t>Boolean</t>
        </is>
      </c>
      <c r="L277" s="429" t="n"/>
      <c r="M277" s="688" t="n"/>
      <c r="N277" s="487" t="n"/>
    </row>
    <row r="278" ht="21" customHeight="1">
      <c r="A278" s="485" t="n">
        <v>206</v>
      </c>
      <c r="B278" s="429" t="inlineStr">
        <is>
          <t>LFC08</t>
        </is>
      </c>
      <c r="C278" s="394" t="inlineStr">
        <is>
          <t>Breaker_ok</t>
        </is>
      </c>
      <c r="D278" s="447" t="inlineStr">
        <is>
          <t>Boolean</t>
        </is>
      </c>
      <c r="E278" s="429" t="n"/>
      <c r="F278" s="429">
        <f>F301</f>
        <v/>
      </c>
      <c r="G278" s="429" t="n"/>
      <c r="H278" s="688" t="n"/>
      <c r="I278" s="688" t="n"/>
      <c r="J278" s="407" t="n"/>
      <c r="K278" s="447" t="inlineStr">
        <is>
          <t>Boolean</t>
        </is>
      </c>
      <c r="L278" s="429" t="n"/>
      <c r="M278" s="688" t="n"/>
      <c r="N278" s="487" t="n"/>
    </row>
    <row r="279" ht="21" customHeight="1">
      <c r="A279" s="485" t="n">
        <v>207</v>
      </c>
      <c r="B279" s="429" t="inlineStr">
        <is>
          <t>LFC09</t>
        </is>
      </c>
      <c r="C279" s="394" t="inlineStr">
        <is>
          <t>Supply_fan_feedback_OK</t>
        </is>
      </c>
      <c r="D279" s="447" t="inlineStr">
        <is>
          <t>Boolean</t>
        </is>
      </c>
      <c r="E279" s="429" t="n"/>
      <c r="F279" s="429">
        <f>F302</f>
        <v/>
      </c>
      <c r="G279" s="429" t="n"/>
      <c r="H279" s="688" t="n"/>
      <c r="I279" s="688" t="n"/>
      <c r="J279" s="407" t="n"/>
      <c r="K279" s="447" t="inlineStr">
        <is>
          <t>Boolean</t>
        </is>
      </c>
      <c r="L279" s="429" t="n"/>
      <c r="M279" s="688" t="n"/>
      <c r="N279" s="487" t="n"/>
      <c r="BK279" s="321" t="n"/>
    </row>
    <row r="280" ht="21" customHeight="1">
      <c r="A280" s="485" t="n">
        <v>208</v>
      </c>
      <c r="B280" s="429" t="inlineStr">
        <is>
          <t>LFC11</t>
        </is>
      </c>
      <c r="C280" s="394" t="inlineStr">
        <is>
          <t>fAT_&gt;=_T4</t>
        </is>
      </c>
      <c r="D280" s="447" t="inlineStr">
        <is>
          <t>Boolean</t>
        </is>
      </c>
      <c r="E280" s="429" t="n"/>
      <c r="F280" s="429">
        <f>F303</f>
        <v/>
      </c>
      <c r="G280" s="429" t="n"/>
      <c r="H280" s="688" t="n"/>
      <c r="I280" s="688" t="n"/>
      <c r="J280" s="407" t="n"/>
      <c r="K280" s="447" t="inlineStr">
        <is>
          <t>Boolean</t>
        </is>
      </c>
      <c r="L280" s="429" t="n"/>
      <c r="M280" s="688" t="n"/>
      <c r="N280" s="487" t="n"/>
    </row>
    <row r="281" ht="21" customHeight="1" thickBot="1">
      <c r="A281" s="488" t="n">
        <v>209</v>
      </c>
      <c r="B281" s="489" t="inlineStr">
        <is>
          <t>LFC12</t>
        </is>
      </c>
      <c r="C281" s="410" t="inlineStr">
        <is>
          <t>fAT_&gt;=_T6</t>
        </is>
      </c>
      <c r="D281" s="490" t="inlineStr">
        <is>
          <t>Boolean</t>
        </is>
      </c>
      <c r="E281" s="489" t="n"/>
      <c r="F281" s="489">
        <f>F292</f>
        <v/>
      </c>
      <c r="G281" s="489" t="n"/>
      <c r="H281" s="689" t="n"/>
      <c r="I281" s="689" t="n"/>
      <c r="J281" s="408" t="n"/>
      <c r="K281" s="490" t="inlineStr">
        <is>
          <t>Boolean</t>
        </is>
      </c>
      <c r="L281" s="489" t="n"/>
      <c r="M281" s="689" t="n"/>
      <c r="N281" s="492" t="n"/>
    </row>
    <row r="282" ht="21" customHeight="1" thickBot="1">
      <c r="A282" s="477" t="n">
        <v>210</v>
      </c>
      <c r="B282" s="478" t="n"/>
      <c r="C282" s="479" t="inlineStr">
        <is>
          <t>Cooling Mode - Preconditioning (Cooling 100%)</t>
        </is>
      </c>
      <c r="D282" s="480" t="inlineStr">
        <is>
          <t>Boolean</t>
        </is>
      </c>
      <c r="E282" s="481" t="n"/>
      <c r="F282" s="481" t="n"/>
      <c r="G282" s="481" t="n"/>
      <c r="H282" s="482" t="n"/>
      <c r="I282" s="482" t="n"/>
      <c r="J282" s="406" t="n"/>
      <c r="K282" s="483" t="inlineStr">
        <is>
          <t>Boolean</t>
        </is>
      </c>
      <c r="L282" s="481" t="n"/>
      <c r="M282" s="482" t="n"/>
      <c r="N282" s="484" t="n"/>
    </row>
    <row r="283" ht="21" customHeight="1">
      <c r="A283" s="485" t="n">
        <v>211</v>
      </c>
      <c r="B283" s="429" t="inlineStr">
        <is>
          <t>LFC01</t>
        </is>
      </c>
      <c r="C283" s="493" t="inlineStr">
        <is>
          <t>Auto_mode_from_TCMS</t>
        </is>
      </c>
      <c r="D283" s="447" t="inlineStr">
        <is>
          <t>Boolean</t>
        </is>
      </c>
      <c r="E283" s="429" t="n"/>
      <c r="F283" s="429">
        <f>F294</f>
        <v/>
      </c>
      <c r="G283" s="429" t="n"/>
      <c r="H283" s="688" t="n"/>
      <c r="I283" s="688" t="n"/>
      <c r="J283" s="407" t="n"/>
      <c r="K283" s="447" t="inlineStr">
        <is>
          <t>Boolean</t>
        </is>
      </c>
      <c r="L283" s="429" t="n"/>
      <c r="M283" s="688" t="n"/>
      <c r="N283" s="487" t="n"/>
      <c r="BK283" s="321" t="n"/>
    </row>
    <row r="284" ht="21" customHeight="1">
      <c r="A284" s="485" t="n">
        <v>212</v>
      </c>
      <c r="B284" s="429" t="inlineStr">
        <is>
          <t>LFC02</t>
        </is>
      </c>
      <c r="C284" s="394" t="inlineStr">
        <is>
          <t>Stand_by_mode_ON</t>
        </is>
      </c>
      <c r="D284" s="447" t="inlineStr">
        <is>
          <t>Boolean</t>
        </is>
      </c>
      <c r="E284" s="429" t="n"/>
      <c r="F284" s="429">
        <f>F295</f>
        <v/>
      </c>
      <c r="G284" s="429" t="n"/>
      <c r="H284" s="688" t="n"/>
      <c r="I284" s="688" t="n"/>
      <c r="J284" s="407" t="n"/>
      <c r="K284" s="447" t="inlineStr">
        <is>
          <t>Boolean</t>
        </is>
      </c>
      <c r="L284" s="429" t="n"/>
      <c r="M284" s="688" t="n"/>
      <c r="N284" s="487" t="n"/>
    </row>
    <row r="285" ht="21" customHeight="1">
      <c r="A285" s="485" t="n">
        <v>213</v>
      </c>
      <c r="B285" s="429" t="inlineStr">
        <is>
          <t>LFC03</t>
        </is>
      </c>
      <c r="C285" s="394" t="inlineStr">
        <is>
          <t>Aps_load_reduction_ON</t>
        </is>
      </c>
      <c r="D285" s="447" t="inlineStr">
        <is>
          <t>Boolean</t>
        </is>
      </c>
      <c r="E285" s="429" t="n"/>
      <c r="F285" s="429">
        <f>F296</f>
        <v/>
      </c>
      <c r="G285" s="429" t="n"/>
      <c r="H285" s="688" t="n"/>
      <c r="I285" s="688" t="inlineStr">
        <is>
          <t>LFC10</t>
        </is>
      </c>
      <c r="J285" s="394" t="inlineStr">
        <is>
          <t>Cooling_mode_enable</t>
        </is>
      </c>
      <c r="K285" s="447" t="inlineStr">
        <is>
          <t>Boolean</t>
        </is>
      </c>
      <c r="L285" s="429">
        <f>'LFD OLD'!R394</f>
        <v/>
      </c>
      <c r="M285" s="688" t="inlineStr">
        <is>
          <t>0</t>
        </is>
      </c>
      <c r="N285" s="487" t="n"/>
    </row>
    <row r="286" ht="21" customHeight="1">
      <c r="A286" s="485" t="n">
        <v>214</v>
      </c>
      <c r="B286" s="429" t="inlineStr">
        <is>
          <t>LFC04</t>
        </is>
      </c>
      <c r="C286" s="394" t="inlineStr">
        <is>
          <t>LVPS_load_shed_ON</t>
        </is>
      </c>
      <c r="D286" s="447" t="inlineStr">
        <is>
          <t>Boolean</t>
        </is>
      </c>
      <c r="E286" s="429" t="n"/>
      <c r="F286" s="429">
        <f>F297</f>
        <v/>
      </c>
      <c r="G286" s="429" t="n"/>
      <c r="H286" s="688" t="n"/>
      <c r="I286" s="688" t="inlineStr">
        <is>
          <t>LFC12</t>
        </is>
      </c>
      <c r="J286" s="394" t="inlineStr">
        <is>
          <t>Cooling_100%</t>
        </is>
      </c>
      <c r="K286" s="447" t="inlineStr">
        <is>
          <t>Boolean</t>
        </is>
      </c>
      <c r="L286" s="429">
        <f>'LFD OLD'!R395</f>
        <v/>
      </c>
      <c r="M286" s="688" t="inlineStr">
        <is>
          <t>0</t>
        </is>
      </c>
      <c r="N286" s="487" t="n"/>
    </row>
    <row r="287" ht="21" customHeight="1">
      <c r="A287" s="485" t="n">
        <v>215</v>
      </c>
      <c r="B287" s="429" t="inlineStr">
        <is>
          <t>LFC05</t>
        </is>
      </c>
      <c r="C287" s="394" t="inlineStr">
        <is>
          <t>No_fire_detected'</t>
        </is>
      </c>
      <c r="D287" s="447" t="inlineStr">
        <is>
          <t>Boolean</t>
        </is>
      </c>
      <c r="E287" s="429" t="n"/>
      <c r="F287" s="429">
        <f>F298</f>
        <v/>
      </c>
      <c r="G287" s="429" t="n"/>
      <c r="H287" s="688" t="n"/>
      <c r="I287" s="688" t="n"/>
      <c r="J287" s="407" t="n"/>
      <c r="K287" s="447" t="inlineStr">
        <is>
          <t>Boolean</t>
        </is>
      </c>
      <c r="L287" s="429" t="n"/>
      <c r="M287" s="688" t="n"/>
      <c r="N287" s="487" t="n"/>
    </row>
    <row r="288" ht="21" customHeight="1">
      <c r="A288" s="485" t="n">
        <v>216</v>
      </c>
      <c r="B288" s="429" t="inlineStr">
        <is>
          <t>LFC06</t>
        </is>
      </c>
      <c r="C288" s="394" t="inlineStr">
        <is>
          <t>HP_OK</t>
        </is>
      </c>
      <c r="D288" s="447" t="inlineStr">
        <is>
          <t>Boolean</t>
        </is>
      </c>
      <c r="E288" s="429" t="n"/>
      <c r="F288" s="429">
        <f>F299</f>
        <v/>
      </c>
      <c r="G288" s="429" t="n"/>
      <c r="H288" s="688" t="n"/>
      <c r="I288" s="688" t="n"/>
      <c r="J288" s="407" t="n"/>
      <c r="K288" s="447" t="inlineStr">
        <is>
          <t>Boolean</t>
        </is>
      </c>
      <c r="L288" s="429" t="n"/>
      <c r="M288" s="688" t="n"/>
      <c r="N288" s="487" t="n"/>
      <c r="BK288" s="321" t="n"/>
    </row>
    <row r="289" ht="21" customHeight="1">
      <c r="A289" s="485" t="n">
        <v>217</v>
      </c>
      <c r="B289" s="429" t="inlineStr">
        <is>
          <t>LFC07</t>
        </is>
      </c>
      <c r="C289" s="394" t="inlineStr">
        <is>
          <t>LP_OK</t>
        </is>
      </c>
      <c r="D289" s="447" t="inlineStr">
        <is>
          <t>Boolean</t>
        </is>
      </c>
      <c r="E289" s="429" t="n"/>
      <c r="F289" s="429">
        <f>F300</f>
        <v/>
      </c>
      <c r="G289" s="429" t="n"/>
      <c r="H289" s="688" t="n"/>
      <c r="I289" s="688" t="n"/>
      <c r="J289" s="407" t="n"/>
      <c r="K289" s="447" t="inlineStr">
        <is>
          <t>Boolean</t>
        </is>
      </c>
      <c r="L289" s="429" t="n"/>
      <c r="M289" s="688" t="n"/>
      <c r="N289" s="487" t="n"/>
    </row>
    <row r="290" ht="21" customHeight="1">
      <c r="A290" s="485" t="n">
        <v>218</v>
      </c>
      <c r="B290" s="429" t="inlineStr">
        <is>
          <t>LFC08</t>
        </is>
      </c>
      <c r="C290" s="394" t="inlineStr">
        <is>
          <t>Breaker_ok</t>
        </is>
      </c>
      <c r="D290" s="447" t="inlineStr">
        <is>
          <t>Boolean</t>
        </is>
      </c>
      <c r="E290" s="429" t="n"/>
      <c r="F290" s="429">
        <f>F301</f>
        <v/>
      </c>
      <c r="G290" s="429" t="n"/>
      <c r="H290" s="688" t="n"/>
      <c r="I290" s="688" t="n"/>
      <c r="J290" s="407" t="n"/>
      <c r="K290" s="447" t="inlineStr">
        <is>
          <t>Boolean</t>
        </is>
      </c>
      <c r="L290" s="429" t="n"/>
      <c r="M290" s="688" t="n"/>
      <c r="N290" s="487" t="n"/>
    </row>
    <row r="291" ht="21" customHeight="1">
      <c r="A291" s="485" t="n">
        <v>219</v>
      </c>
      <c r="B291" s="429" t="inlineStr">
        <is>
          <t>LFC09</t>
        </is>
      </c>
      <c r="C291" s="394" t="inlineStr">
        <is>
          <t>Supply_fan_feedback_OK</t>
        </is>
      </c>
      <c r="D291" s="447" t="inlineStr">
        <is>
          <t>Boolean</t>
        </is>
      </c>
      <c r="E291" s="429" t="n"/>
      <c r="F291" s="429">
        <f>F302</f>
        <v/>
      </c>
      <c r="G291" s="429" t="n"/>
      <c r="H291" s="688" t="n"/>
      <c r="I291" s="688" t="n"/>
      <c r="J291" s="407" t="n"/>
      <c r="K291" s="447" t="inlineStr">
        <is>
          <t>Boolean</t>
        </is>
      </c>
      <c r="L291" s="429" t="n"/>
      <c r="M291" s="688" t="n"/>
      <c r="N291" s="487" t="n"/>
    </row>
    <row r="292" ht="21" customHeight="1" thickBot="1">
      <c r="A292" s="488" t="n">
        <v>220</v>
      </c>
      <c r="B292" s="489" t="inlineStr">
        <is>
          <t>LFC11</t>
        </is>
      </c>
      <c r="C292" s="410" t="inlineStr">
        <is>
          <t>FAT_&gt;=_T6</t>
        </is>
      </c>
      <c r="D292" s="490" t="inlineStr">
        <is>
          <t>Boolean</t>
        </is>
      </c>
      <c r="E292" s="489" t="n"/>
      <c r="F292" s="489">
        <f>F304</f>
        <v/>
      </c>
      <c r="G292" s="489" t="n"/>
      <c r="H292" s="689" t="n"/>
      <c r="I292" s="689" t="n"/>
      <c r="J292" s="408" t="n"/>
      <c r="K292" s="490" t="inlineStr">
        <is>
          <t>Boolean</t>
        </is>
      </c>
      <c r="L292" s="489" t="n"/>
      <c r="M292" s="689" t="n"/>
      <c r="N292" s="492" t="n"/>
    </row>
    <row r="293" ht="21" customHeight="1">
      <c r="A293" s="477" t="n">
        <v>221</v>
      </c>
      <c r="B293" s="481" t="n"/>
      <c r="C293" s="499" t="inlineStr">
        <is>
          <t>Cooling Mode - Preconditioning (Cooling OFF)</t>
        </is>
      </c>
      <c r="D293" s="483" t="inlineStr">
        <is>
          <t>Boolean</t>
        </is>
      </c>
      <c r="E293" s="481" t="n"/>
      <c r="F293" s="481" t="n"/>
      <c r="G293" s="481" t="n"/>
      <c r="H293" s="482" t="n"/>
      <c r="I293" s="482" t="n"/>
      <c r="J293" s="406" t="n"/>
      <c r="K293" s="483" t="inlineStr">
        <is>
          <t>Boolean</t>
        </is>
      </c>
      <c r="L293" s="481" t="n"/>
      <c r="M293" s="482" t="n"/>
      <c r="N293" s="484" t="n"/>
    </row>
    <row r="294" ht="21" customHeight="1">
      <c r="A294" s="485" t="n">
        <v>222</v>
      </c>
      <c r="B294" s="429" t="inlineStr">
        <is>
          <t>LFC01</t>
        </is>
      </c>
      <c r="C294" s="394" t="inlineStr">
        <is>
          <t>Auto_mode_from_TCMS</t>
        </is>
      </c>
      <c r="D294" s="447" t="inlineStr">
        <is>
          <t>Boolean</t>
        </is>
      </c>
      <c r="E294" s="429" t="n"/>
      <c r="F294" s="429">
        <f>'LFD New'!D38</f>
        <v/>
      </c>
      <c r="G294" s="429" t="n"/>
      <c r="H294" s="688" t="n"/>
      <c r="I294" s="688" t="n"/>
      <c r="J294" s="407" t="n"/>
      <c r="K294" s="447" t="inlineStr">
        <is>
          <t>Boolean</t>
        </is>
      </c>
      <c r="L294" s="429" t="n"/>
      <c r="M294" s="688" t="n"/>
      <c r="N294" s="487" t="n"/>
      <c r="BK294" s="321" t="n"/>
    </row>
    <row r="295" ht="21" customHeight="1">
      <c r="A295" s="485" t="n">
        <v>223</v>
      </c>
      <c r="B295" s="429" t="inlineStr">
        <is>
          <t>LFC02</t>
        </is>
      </c>
      <c r="C295" s="394" t="inlineStr">
        <is>
          <t>Stand_by_mode_ON</t>
        </is>
      </c>
      <c r="D295" s="447" t="inlineStr">
        <is>
          <t>Boolean</t>
        </is>
      </c>
      <c r="E295" s="429" t="n"/>
      <c r="F295" s="429">
        <f>'LFD New'!D39</f>
        <v/>
      </c>
      <c r="G295" s="429" t="n"/>
      <c r="H295" s="688" t="n"/>
      <c r="I295" s="688" t="inlineStr">
        <is>
          <t>LFC10</t>
        </is>
      </c>
      <c r="J295" s="394" t="inlineStr">
        <is>
          <t>Cooling_mode_enable</t>
        </is>
      </c>
      <c r="K295" s="447" t="inlineStr">
        <is>
          <t>Boolean</t>
        </is>
      </c>
      <c r="L295" s="429">
        <f>'LFD OLD'!R413</f>
        <v/>
      </c>
      <c r="M295" s="688" t="inlineStr">
        <is>
          <t>0</t>
        </is>
      </c>
      <c r="N295" s="487" t="n"/>
    </row>
    <row r="296" ht="21" customHeight="1">
      <c r="A296" s="485" t="n">
        <v>224</v>
      </c>
      <c r="B296" s="429" t="inlineStr">
        <is>
          <t>LFC03</t>
        </is>
      </c>
      <c r="C296" s="394" t="inlineStr">
        <is>
          <t>APS_load_reduction_ON</t>
        </is>
      </c>
      <c r="D296" s="447" t="inlineStr">
        <is>
          <t>Boolean</t>
        </is>
      </c>
      <c r="E296" s="429" t="n"/>
      <c r="F296" s="429">
        <f>'LFD New'!D40</f>
        <v/>
      </c>
      <c r="G296" s="429" t="n"/>
      <c r="H296" s="688" t="n"/>
      <c r="I296" s="688" t="inlineStr">
        <is>
          <t>LFC16</t>
        </is>
      </c>
      <c r="J296" s="394" t="inlineStr">
        <is>
          <t>Cooling_OFF</t>
        </is>
      </c>
      <c r="K296" s="447" t="inlineStr">
        <is>
          <t>Boolean</t>
        </is>
      </c>
      <c r="L296" s="429">
        <f>'LFD OLD'!R414</f>
        <v/>
      </c>
      <c r="M296" s="688" t="inlineStr">
        <is>
          <t>0</t>
        </is>
      </c>
      <c r="N296" s="487" t="n"/>
    </row>
    <row r="297" ht="21" customHeight="1">
      <c r="A297" s="485" t="n">
        <v>225</v>
      </c>
      <c r="B297" s="429" t="inlineStr">
        <is>
          <t>LFC04</t>
        </is>
      </c>
      <c r="C297" s="394" t="inlineStr">
        <is>
          <t>LVPS_load_shed_ON</t>
        </is>
      </c>
      <c r="D297" s="447" t="inlineStr">
        <is>
          <t>Boolean</t>
        </is>
      </c>
      <c r="E297" s="429" t="n"/>
      <c r="F297" s="429">
        <f>'LFD New'!D41</f>
        <v/>
      </c>
      <c r="G297" s="429" t="n"/>
      <c r="H297" s="688" t="n"/>
      <c r="I297" s="688" t="n"/>
      <c r="J297" s="407" t="n"/>
      <c r="K297" s="447" t="inlineStr">
        <is>
          <t>Boolean</t>
        </is>
      </c>
      <c r="L297" s="429" t="n"/>
      <c r="M297" s="688" t="n"/>
      <c r="N297" s="487" t="n"/>
    </row>
    <row r="298" ht="21" customHeight="1">
      <c r="A298" s="485" t="n">
        <v>226</v>
      </c>
      <c r="B298" s="429" t="inlineStr">
        <is>
          <t>LFC05</t>
        </is>
      </c>
      <c r="C298" s="394" t="inlineStr">
        <is>
          <t>No_fire_detected'</t>
        </is>
      </c>
      <c r="D298" s="447" t="inlineStr">
        <is>
          <t>Boolean</t>
        </is>
      </c>
      <c r="E298" s="429" t="n"/>
      <c r="F298" s="429">
        <f>'LFD New'!D42</f>
        <v/>
      </c>
      <c r="G298" s="429" t="n"/>
      <c r="H298" s="688" t="n"/>
      <c r="I298" s="688" t="n"/>
      <c r="J298" s="407" t="n"/>
      <c r="K298" s="447" t="inlineStr">
        <is>
          <t>Boolean</t>
        </is>
      </c>
      <c r="L298" s="429" t="n"/>
      <c r="M298" s="688" t="n"/>
      <c r="N298" s="487" t="n"/>
    </row>
    <row r="299" ht="21" customHeight="1">
      <c r="A299" s="485" t="n">
        <v>227</v>
      </c>
      <c r="B299" s="429" t="inlineStr">
        <is>
          <t>LFC06</t>
        </is>
      </c>
      <c r="C299" s="394" t="inlineStr">
        <is>
          <t>HP_OK</t>
        </is>
      </c>
      <c r="D299" s="447" t="inlineStr">
        <is>
          <t>Boolean</t>
        </is>
      </c>
      <c r="E299" s="429" t="n"/>
      <c r="F299" s="429">
        <f>'LFD New'!D43</f>
        <v/>
      </c>
      <c r="G299" s="429" t="n"/>
      <c r="H299" s="688" t="n"/>
      <c r="I299" s="688" t="n"/>
      <c r="J299" s="407" t="n"/>
      <c r="K299" s="447" t="inlineStr">
        <is>
          <t>Boolean</t>
        </is>
      </c>
      <c r="L299" s="429" t="n"/>
      <c r="M299" s="688" t="n"/>
      <c r="N299" s="487" t="n"/>
    </row>
    <row r="300" ht="21" customHeight="1">
      <c r="A300" s="485" t="n">
        <v>228</v>
      </c>
      <c r="B300" s="429" t="inlineStr">
        <is>
          <t>LFC07</t>
        </is>
      </c>
      <c r="C300" s="394" t="inlineStr">
        <is>
          <t>LP_OK</t>
        </is>
      </c>
      <c r="D300" s="447" t="inlineStr">
        <is>
          <t>Boolean</t>
        </is>
      </c>
      <c r="E300" s="429" t="n"/>
      <c r="F300" s="429">
        <f>'LFD New'!D44</f>
        <v/>
      </c>
      <c r="G300" s="429" t="n"/>
      <c r="H300" s="688" t="n"/>
      <c r="I300" s="688" t="n"/>
      <c r="J300" s="407" t="n"/>
      <c r="K300" s="447" t="inlineStr">
        <is>
          <t>Boolean</t>
        </is>
      </c>
      <c r="L300" s="429" t="n"/>
      <c r="M300" s="688" t="n"/>
      <c r="N300" s="487" t="n"/>
    </row>
    <row r="301" ht="21" customHeight="1">
      <c r="A301" s="485" t="n">
        <v>229</v>
      </c>
      <c r="B301" s="429" t="inlineStr">
        <is>
          <t>LFC08</t>
        </is>
      </c>
      <c r="C301" s="394" t="inlineStr">
        <is>
          <t>Breaker_ok</t>
        </is>
      </c>
      <c r="D301" s="447" t="inlineStr">
        <is>
          <t>Boolean</t>
        </is>
      </c>
      <c r="E301" s="429" t="n"/>
      <c r="F301" s="429">
        <f>'LFD New'!D45</f>
        <v/>
      </c>
      <c r="G301" s="429" t="n"/>
      <c r="H301" s="688" t="n"/>
      <c r="I301" s="688" t="n"/>
      <c r="J301" s="407" t="n"/>
      <c r="K301" s="447" t="inlineStr">
        <is>
          <t>Boolean</t>
        </is>
      </c>
      <c r="L301" s="429" t="n"/>
      <c r="M301" s="688" t="n"/>
      <c r="N301" s="487" t="n"/>
    </row>
    <row r="302" ht="21" customHeight="1">
      <c r="A302" s="485" t="n">
        <v>230</v>
      </c>
      <c r="B302" s="429" t="inlineStr">
        <is>
          <t>LFC09</t>
        </is>
      </c>
      <c r="C302" s="394" t="inlineStr">
        <is>
          <t>Supply_fan_feedback_OK</t>
        </is>
      </c>
      <c r="D302" s="447" t="inlineStr">
        <is>
          <t>Boolean</t>
        </is>
      </c>
      <c r="E302" s="429" t="n"/>
      <c r="F302" s="429">
        <f>'LFD New'!D46</f>
        <v/>
      </c>
      <c r="G302" s="429" t="n"/>
      <c r="H302" s="688" t="n"/>
      <c r="I302" s="688" t="n"/>
      <c r="J302" s="407" t="n"/>
      <c r="K302" s="447" t="inlineStr">
        <is>
          <t>Boolean</t>
        </is>
      </c>
      <c r="L302" s="429" t="n"/>
      <c r="M302" s="688" t="n"/>
      <c r="N302" s="487" t="n"/>
      <c r="BK302" s="321" t="n"/>
    </row>
    <row r="303" ht="21" customHeight="1">
      <c r="A303" s="485" t="n">
        <v>231</v>
      </c>
      <c r="B303" s="429" t="inlineStr">
        <is>
          <t>LFC12</t>
        </is>
      </c>
      <c r="C303" s="394" t="inlineStr">
        <is>
          <t>fAT_&gt;=_T4</t>
        </is>
      </c>
      <c r="D303" s="447" t="inlineStr">
        <is>
          <t>Boolean</t>
        </is>
      </c>
      <c r="E303" s="429" t="n"/>
      <c r="F303" s="429">
        <f>IF('Mode Logic'!C18&gt;='Mode Logic'!G5,1,0)</f>
        <v/>
      </c>
      <c r="G303" s="429" t="n"/>
      <c r="H303" s="688" t="n"/>
      <c r="I303" s="688" t="n"/>
      <c r="J303" s="407" t="n"/>
      <c r="K303" s="447" t="inlineStr">
        <is>
          <t>Boolean</t>
        </is>
      </c>
      <c r="L303" s="429" t="n"/>
      <c r="M303" s="688" t="n"/>
      <c r="N303" s="487" t="n"/>
    </row>
    <row r="304" ht="21" customHeight="1" thickBot="1">
      <c r="A304" s="488" t="n">
        <v>232</v>
      </c>
      <c r="B304" s="489" t="inlineStr">
        <is>
          <t>LFC14</t>
        </is>
      </c>
      <c r="C304" s="410" t="inlineStr">
        <is>
          <t>fAT_&gt;=_T6</t>
        </is>
      </c>
      <c r="D304" s="490" t="inlineStr">
        <is>
          <t>Boolean</t>
        </is>
      </c>
      <c r="E304" s="489" t="n"/>
      <c r="F304" s="489">
        <f>IF('Mode Logic'!C18&gt;='Mode Logic'!G7,1,0)</f>
        <v/>
      </c>
      <c r="G304" s="489" t="n"/>
      <c r="H304" s="689" t="n"/>
      <c r="I304" s="689" t="n"/>
      <c r="J304" s="408" t="n"/>
      <c r="K304" s="490" t="inlineStr">
        <is>
          <t>Boolean</t>
        </is>
      </c>
      <c r="L304" s="489" t="n"/>
      <c r="M304" s="689" t="n"/>
      <c r="N304" s="492" t="n"/>
    </row>
    <row r="305" ht="21" customHeight="1">
      <c r="A305" s="494" t="n">
        <v>233</v>
      </c>
      <c r="B305" s="495" t="n"/>
      <c r="C305" s="486" t="n"/>
      <c r="D305" s="496" t="inlineStr">
        <is>
          <t>Boolean</t>
        </is>
      </c>
      <c r="E305" s="495" t="n"/>
      <c r="F305" s="495" t="n"/>
      <c r="G305" s="495" t="n"/>
      <c r="H305" s="494" t="n"/>
      <c r="I305" s="494" t="n"/>
      <c r="J305" s="486" t="n"/>
      <c r="K305" s="496" t="inlineStr">
        <is>
          <t>Boolean</t>
        </is>
      </c>
      <c r="L305" s="495" t="n"/>
      <c r="M305" s="494" t="n"/>
      <c r="N305" s="495" t="n"/>
    </row>
    <row r="306" ht="21" customHeight="1">
      <c r="A306" s="688" t="n">
        <v>234</v>
      </c>
      <c r="B306" s="429" t="inlineStr">
        <is>
          <t>LFC01</t>
        </is>
      </c>
      <c r="C306" s="394" t="inlineStr">
        <is>
          <t>HVAC_ON</t>
        </is>
      </c>
      <c r="D306" s="447" t="inlineStr">
        <is>
          <t>Boolean</t>
        </is>
      </c>
      <c r="E306" s="429" t="n"/>
      <c r="F306" s="429">
        <f>F316</f>
        <v/>
      </c>
      <c r="G306" s="429" t="n"/>
      <c r="H306" s="688" t="n"/>
      <c r="I306" s="688" t="n"/>
      <c r="J306" s="407" t="n"/>
      <c r="K306" s="447" t="inlineStr">
        <is>
          <t>Boolean</t>
        </is>
      </c>
      <c r="L306" s="429" t="n"/>
      <c r="M306" s="688" t="n"/>
      <c r="N306" s="429" t="n"/>
    </row>
    <row r="307" ht="21" customHeight="1">
      <c r="A307" s="688" t="n">
        <v>235</v>
      </c>
      <c r="B307" s="429" t="inlineStr">
        <is>
          <t>LFC02</t>
        </is>
      </c>
      <c r="C307" s="394" t="inlineStr">
        <is>
          <t>Cooling_Mode 2_Select</t>
        </is>
      </c>
      <c r="D307" s="447" t="inlineStr">
        <is>
          <t>Boolean</t>
        </is>
      </c>
      <c r="E307" s="429" t="n"/>
      <c r="F307" s="429">
        <f>'Mode Logic'!J7</f>
        <v/>
      </c>
      <c r="G307" s="429" t="n"/>
      <c r="H307" s="688" t="n"/>
      <c r="I307" s="688" t="n"/>
      <c r="J307" s="407" t="n"/>
      <c r="K307" s="447" t="inlineStr">
        <is>
          <t>Boolean</t>
        </is>
      </c>
      <c r="L307" s="429" t="n"/>
      <c r="M307" s="688" t="n"/>
      <c r="N307" s="429" t="n"/>
    </row>
    <row r="308" ht="21" customHeight="1">
      <c r="A308" s="688" t="n">
        <v>236</v>
      </c>
      <c r="B308" s="429" t="inlineStr">
        <is>
          <t>LFC03</t>
        </is>
      </c>
      <c r="C308" s="394" t="inlineStr">
        <is>
          <t>heating active</t>
        </is>
      </c>
      <c r="D308" s="447" t="inlineStr">
        <is>
          <t>Boolean</t>
        </is>
      </c>
      <c r="E308" s="429" t="n"/>
      <c r="F308" s="429">
        <f>'LFD New'!D121</f>
        <v/>
      </c>
      <c r="G308" s="429" t="n"/>
      <c r="H308" s="688" t="n"/>
      <c r="I308" s="688" t="n"/>
      <c r="J308" s="407" t="n"/>
      <c r="K308" s="447" t="inlineStr">
        <is>
          <t>Boolean</t>
        </is>
      </c>
      <c r="L308" s="429" t="n"/>
      <c r="M308" s="688" t="n"/>
      <c r="N308" s="429" t="n"/>
    </row>
    <row r="309" ht="21" customHeight="1">
      <c r="A309" s="688" t="n">
        <v>237</v>
      </c>
      <c r="B309" s="429" t="inlineStr">
        <is>
          <t>LFC05</t>
        </is>
      </c>
      <c r="C309" s="394" t="inlineStr">
        <is>
          <t>Relative humidity&gt;RH_Set</t>
        </is>
      </c>
      <c r="D309" s="447" t="inlineStr">
        <is>
          <t>Boolean</t>
        </is>
      </c>
      <c r="E309" s="429" t="n"/>
      <c r="F309" s="429">
        <f>'LFD New'!D122</f>
        <v/>
      </c>
      <c r="G309" s="429" t="n"/>
      <c r="H309" s="688" t="n"/>
      <c r="I309" s="688" t="inlineStr">
        <is>
          <t>LFC09</t>
        </is>
      </c>
      <c r="J309" s="394" t="inlineStr">
        <is>
          <t>Re_Heat enable</t>
        </is>
      </c>
      <c r="K309" s="447" t="inlineStr">
        <is>
          <t>Boolean</t>
        </is>
      </c>
      <c r="L309" s="429">
        <f>'LFD OLD'!R430</f>
        <v/>
      </c>
      <c r="M309" s="688" t="inlineStr">
        <is>
          <t>0</t>
        </is>
      </c>
      <c r="N309" s="429" t="n"/>
    </row>
    <row r="310" ht="21" customHeight="1">
      <c r="A310" s="688" t="n">
        <v>238</v>
      </c>
      <c r="B310" s="429" t="inlineStr">
        <is>
          <t>LFC06</t>
        </is>
      </c>
      <c r="C310" s="394" t="inlineStr">
        <is>
          <t>FAT&gt;=T4</t>
        </is>
      </c>
      <c r="D310" s="447" t="inlineStr">
        <is>
          <t>Boolean</t>
        </is>
      </c>
      <c r="E310" s="429" t="n"/>
      <c r="F310" s="429">
        <f>'LFD New'!D123</f>
        <v/>
      </c>
      <c r="G310" s="429" t="n"/>
      <c r="H310" s="688" t="n"/>
      <c r="I310" s="688" t="n"/>
      <c r="J310" s="407" t="n"/>
      <c r="K310" s="447" t="inlineStr">
        <is>
          <t>Boolean</t>
        </is>
      </c>
      <c r="L310" s="429" t="n"/>
      <c r="M310" s="688" t="n"/>
      <c r="N310" s="429" t="n"/>
    </row>
    <row r="311" ht="21" customHeight="1">
      <c r="A311" s="688" t="n">
        <v>239</v>
      </c>
      <c r="B311" s="429" t="inlineStr">
        <is>
          <t>LFC07</t>
        </is>
      </c>
      <c r="C311" s="394" t="inlineStr">
        <is>
          <t>FAT&lt;=T7</t>
        </is>
      </c>
      <c r="D311" s="447" t="inlineStr">
        <is>
          <t>Boolean</t>
        </is>
      </c>
      <c r="E311" s="429" t="n"/>
      <c r="F311" s="429">
        <f>'LFD New'!D124</f>
        <v/>
      </c>
      <c r="G311" s="429" t="n"/>
      <c r="H311" s="688" t="n"/>
      <c r="I311" s="688" t="n"/>
      <c r="J311" s="407" t="n"/>
      <c r="K311" s="447" t="inlineStr">
        <is>
          <t>Boolean</t>
        </is>
      </c>
      <c r="L311" s="429" t="n"/>
      <c r="M311" s="688" t="n"/>
      <c r="N311" s="429" t="n"/>
    </row>
    <row r="312" ht="21" customHeight="1">
      <c r="A312" s="688" t="n">
        <v>240</v>
      </c>
      <c r="B312" s="429" t="inlineStr">
        <is>
          <t>LFC04</t>
        </is>
      </c>
      <c r="C312" s="394" t="inlineStr">
        <is>
          <t>LFC 04</t>
        </is>
      </c>
      <c r="D312" s="447" t="inlineStr">
        <is>
          <t>Boolean</t>
        </is>
      </c>
      <c r="E312" s="429" t="n"/>
      <c r="F312" s="429" t="n"/>
      <c r="G312" s="429" t="n"/>
      <c r="H312" s="688" t="n"/>
      <c r="I312" s="688" t="n"/>
      <c r="J312" s="407" t="n"/>
      <c r="K312" s="447" t="inlineStr">
        <is>
          <t>Boolean</t>
        </is>
      </c>
      <c r="L312" s="429" t="n"/>
      <c r="M312" s="688" t="n"/>
      <c r="N312" s="429" t="n"/>
      <c r="BK312" s="321" t="n"/>
    </row>
    <row r="313" ht="21" customHeight="1">
      <c r="A313" s="688" t="n">
        <v>241</v>
      </c>
      <c r="B313" s="429" t="inlineStr">
        <is>
          <t>LFC05</t>
        </is>
      </c>
      <c r="C313" s="394" t="inlineStr">
        <is>
          <t>LFC 05</t>
        </is>
      </c>
      <c r="D313" s="447" t="inlineStr">
        <is>
          <t>Boolean</t>
        </is>
      </c>
      <c r="E313" s="429" t="n"/>
      <c r="F313" s="429" t="n"/>
      <c r="G313" s="429" t="n"/>
      <c r="H313" s="688" t="n"/>
      <c r="I313" s="688" t="n"/>
      <c r="J313" s="407" t="n"/>
      <c r="K313" s="447" t="inlineStr">
        <is>
          <t>Boolean</t>
        </is>
      </c>
      <c r="L313" s="429" t="n"/>
      <c r="M313" s="688" t="n"/>
      <c r="N313" s="429" t="n"/>
    </row>
    <row r="314" ht="21" customHeight="1">
      <c r="A314" s="688" t="n">
        <v>242</v>
      </c>
      <c r="B314" s="429" t="inlineStr">
        <is>
          <t>LFC08</t>
        </is>
      </c>
      <c r="C314" s="394" t="inlineStr">
        <is>
          <t>LFC 08</t>
        </is>
      </c>
      <c r="D314" s="447" t="inlineStr">
        <is>
          <t>Boolean</t>
        </is>
      </c>
      <c r="E314" s="429" t="n"/>
      <c r="F314" s="429" t="n"/>
      <c r="G314" s="429" t="n"/>
      <c r="H314" s="688" t="n"/>
      <c r="I314" s="688" t="n"/>
      <c r="J314" s="407" t="n"/>
      <c r="K314" s="447" t="inlineStr">
        <is>
          <t>Boolean</t>
        </is>
      </c>
      <c r="L314" s="429" t="n"/>
      <c r="M314" s="688" t="n"/>
      <c r="N314" s="429" t="n"/>
    </row>
    <row r="315" ht="21" customHeight="1">
      <c r="A315" s="688" t="n">
        <v>243</v>
      </c>
      <c r="B315" s="429" t="n"/>
      <c r="C315" s="407" t="n"/>
      <c r="D315" s="447" t="inlineStr">
        <is>
          <t>Boolean</t>
        </is>
      </c>
      <c r="E315" s="429" t="n"/>
      <c r="F315" s="429" t="n"/>
      <c r="G315" s="429" t="n"/>
      <c r="H315" s="688" t="n"/>
      <c r="I315" s="688" t="n"/>
      <c r="J315" s="407" t="n"/>
      <c r="K315" s="447" t="inlineStr">
        <is>
          <t>Boolean</t>
        </is>
      </c>
      <c r="L315" s="429" t="n"/>
      <c r="M315" s="688" t="n"/>
      <c r="N315" s="429" t="n"/>
    </row>
    <row r="316" ht="21" customHeight="1">
      <c r="A316" s="688" t="n">
        <v>244</v>
      </c>
      <c r="B316" s="429" t="inlineStr">
        <is>
          <t>LFC01</t>
        </is>
      </c>
      <c r="C316" s="394" t="inlineStr">
        <is>
          <t>HVAC_ON</t>
        </is>
      </c>
      <c r="D316" s="447" t="inlineStr">
        <is>
          <t>Boolean</t>
        </is>
      </c>
      <c r="E316" s="429" t="n"/>
      <c r="F316" s="429">
        <f>F357</f>
        <v/>
      </c>
      <c r="G316" s="429" t="n"/>
      <c r="H316" s="688" t="n"/>
      <c r="I316" s="688" t="n"/>
      <c r="J316" s="407" t="n"/>
      <c r="K316" s="447" t="inlineStr">
        <is>
          <t>Boolean</t>
        </is>
      </c>
      <c r="L316" s="429" t="n"/>
      <c r="M316" s="688" t="n"/>
      <c r="N316" s="429" t="n"/>
    </row>
    <row r="317" ht="21" customHeight="1">
      <c r="A317" s="688" t="n">
        <v>245</v>
      </c>
      <c r="B317" s="429" t="inlineStr">
        <is>
          <t>LFC02</t>
        </is>
      </c>
      <c r="C317" s="394" t="inlineStr">
        <is>
          <t>HP_OK</t>
        </is>
      </c>
      <c r="D317" s="447" t="inlineStr">
        <is>
          <t>Boolean</t>
        </is>
      </c>
      <c r="E317" s="429" t="n"/>
      <c r="F317" s="429">
        <f>F299</f>
        <v/>
      </c>
      <c r="G317" s="429" t="n"/>
      <c r="H317" s="688" t="n"/>
      <c r="I317" s="688" t="n"/>
      <c r="J317" s="407" t="n"/>
      <c r="K317" s="447" t="inlineStr">
        <is>
          <t>Boolean</t>
        </is>
      </c>
      <c r="L317" s="429" t="n"/>
      <c r="M317" s="688" t="n"/>
      <c r="N317" s="429" t="n"/>
    </row>
    <row r="318" ht="21" customHeight="1">
      <c r="A318" s="688" t="n">
        <v>246</v>
      </c>
      <c r="B318" s="429" t="inlineStr">
        <is>
          <t>LFC03</t>
        </is>
      </c>
      <c r="C318" s="394" t="inlineStr">
        <is>
          <t>LP_OK</t>
        </is>
      </c>
      <c r="D318" s="447" t="inlineStr">
        <is>
          <t>Boolean</t>
        </is>
      </c>
      <c r="E318" s="429" t="n"/>
      <c r="F318" s="429">
        <f>F300</f>
        <v/>
      </c>
      <c r="G318" s="429" t="n"/>
      <c r="H318" s="688" t="n"/>
      <c r="I318" s="688" t="n"/>
      <c r="J318" s="407" t="n"/>
      <c r="K318" s="447" t="inlineStr">
        <is>
          <t>Boolean</t>
        </is>
      </c>
      <c r="L318" s="429" t="n"/>
      <c r="M318" s="688" t="n"/>
      <c r="N318" s="429" t="n"/>
    </row>
    <row r="319" ht="21" customHeight="1">
      <c r="A319" s="688" t="n">
        <v>247</v>
      </c>
      <c r="B319" s="429" t="inlineStr">
        <is>
          <t>LFC04</t>
        </is>
      </c>
      <c r="C319" s="394" t="inlineStr">
        <is>
          <t>APS_1Breaker_OK</t>
        </is>
      </c>
      <c r="D319" s="447" t="inlineStr">
        <is>
          <t>Boolean</t>
        </is>
      </c>
      <c r="E319" s="429" t="n"/>
      <c r="F319" s="429">
        <f>'LFD New'!D115</f>
        <v/>
      </c>
      <c r="G319" s="429" t="n"/>
      <c r="H319" s="688" t="n"/>
      <c r="I319" s="688" t="n"/>
      <c r="J319" s="407" t="n"/>
      <c r="K319" s="447" t="inlineStr">
        <is>
          <t>Boolean</t>
        </is>
      </c>
      <c r="L319" s="429" t="n"/>
      <c r="M319" s="688" t="n"/>
      <c r="N319" s="429" t="n"/>
    </row>
    <row r="320" ht="21" customHeight="1">
      <c r="A320" s="688" t="n">
        <v>248</v>
      </c>
      <c r="B320" s="429" t="inlineStr">
        <is>
          <t>LFC05</t>
        </is>
      </c>
      <c r="C320" s="394" t="inlineStr">
        <is>
          <t>Emergency_OK</t>
        </is>
      </c>
      <c r="D320" s="447" t="inlineStr">
        <is>
          <t>Boolean</t>
        </is>
      </c>
      <c r="E320" s="429" t="n"/>
      <c r="F320" s="429">
        <f>'LFD New'!D116</f>
        <v/>
      </c>
      <c r="G320" s="429" t="n"/>
      <c r="H320" s="688" t="n"/>
      <c r="I320" s="688" t="n"/>
      <c r="J320" s="407" t="n"/>
      <c r="K320" s="447" t="inlineStr">
        <is>
          <t>Boolean</t>
        </is>
      </c>
      <c r="L320" s="429" t="n"/>
      <c r="M320" s="688" t="n"/>
      <c r="N320" s="429" t="n"/>
    </row>
    <row r="321" ht="21" customHeight="1">
      <c r="A321" s="688" t="n">
        <v>249</v>
      </c>
      <c r="B321" s="429" t="inlineStr">
        <is>
          <t>LFC07</t>
        </is>
      </c>
      <c r="C321" s="394" t="inlineStr">
        <is>
          <t>Cooling Satisfied</t>
        </is>
      </c>
      <c r="D321" s="447" t="inlineStr">
        <is>
          <t>Boolean</t>
        </is>
      </c>
      <c r="E321" s="429" t="n"/>
      <c r="F321" s="429">
        <f>'LFD New'!D117</f>
        <v/>
      </c>
      <c r="G321" s="429" t="n"/>
      <c r="H321" s="688" t="n"/>
      <c r="I321" s="688" t="inlineStr">
        <is>
          <t>LFC13</t>
        </is>
      </c>
      <c r="J321" s="394" t="inlineStr">
        <is>
          <t>Pre-conditioning venntilation enable</t>
        </is>
      </c>
      <c r="K321" s="447" t="inlineStr">
        <is>
          <t>Boolean</t>
        </is>
      </c>
      <c r="L321" s="429">
        <f>'LFD OLD'!R448</f>
        <v/>
      </c>
      <c r="M321" s="688" t="inlineStr">
        <is>
          <t>1</t>
        </is>
      </c>
      <c r="N321" s="429" t="n"/>
    </row>
    <row r="322" ht="21" customHeight="1">
      <c r="A322" s="688" t="n">
        <v>250</v>
      </c>
      <c r="B322" s="429" t="inlineStr">
        <is>
          <t>LFC08</t>
        </is>
      </c>
      <c r="C322" s="394" t="inlineStr">
        <is>
          <t>Heating Satisfied</t>
        </is>
      </c>
      <c r="D322" s="447" t="inlineStr">
        <is>
          <t>Boolean</t>
        </is>
      </c>
      <c r="E322" s="429" t="n"/>
      <c r="F322" s="429">
        <f>'LFD New'!D118</f>
        <v/>
      </c>
      <c r="G322" s="429" t="n"/>
      <c r="H322" s="688" t="n"/>
      <c r="I322" s="688" t="n"/>
      <c r="J322" s="407" t="n"/>
      <c r="K322" s="447" t="inlineStr">
        <is>
          <t>Boolean</t>
        </is>
      </c>
      <c r="L322" s="429" t="n"/>
      <c r="M322" s="688" t="n"/>
      <c r="N322" s="429" t="n"/>
      <c r="BK322" s="321" t="n"/>
    </row>
    <row r="323" ht="21" customHeight="1">
      <c r="A323" s="688" t="n">
        <v>251</v>
      </c>
      <c r="B323" s="429" t="inlineStr">
        <is>
          <t>LFC10</t>
        </is>
      </c>
      <c r="C323" s="394" t="inlineStr">
        <is>
          <t>Cooling/heating inhabited due to falut</t>
        </is>
      </c>
      <c r="D323" s="447" t="inlineStr">
        <is>
          <t>Boolean</t>
        </is>
      </c>
      <c r="E323" s="429" t="n"/>
      <c r="F323" s="429">
        <f>'LFD New'!D119</f>
        <v/>
      </c>
      <c r="G323" s="429" t="n"/>
      <c r="H323" s="688" t="n"/>
      <c r="I323" s="688" t="n"/>
      <c r="J323" s="407" t="n"/>
      <c r="K323" s="447" t="inlineStr">
        <is>
          <t>Boolean</t>
        </is>
      </c>
      <c r="L323" s="429" t="n"/>
      <c r="M323" s="688" t="n"/>
      <c r="N323" s="429" t="n"/>
    </row>
    <row r="324" ht="21" customHeight="1">
      <c r="A324" s="688" t="n">
        <v>252</v>
      </c>
      <c r="B324" s="429" t="inlineStr">
        <is>
          <t>LFC11</t>
        </is>
      </c>
      <c r="C324" s="394" t="inlineStr">
        <is>
          <t>driver selects ventilation mode from VDU</t>
        </is>
      </c>
      <c r="D324" s="447" t="inlineStr">
        <is>
          <t>Boolean</t>
        </is>
      </c>
      <c r="E324" s="429" t="n"/>
      <c r="F324" s="429">
        <f>'LFD New'!D120</f>
        <v/>
      </c>
      <c r="G324" s="429" t="n"/>
      <c r="H324" s="688" t="n"/>
      <c r="I324" s="688" t="n"/>
      <c r="J324" s="407" t="n"/>
      <c r="K324" s="447" t="inlineStr">
        <is>
          <t>Boolean</t>
        </is>
      </c>
      <c r="L324" s="429" t="n"/>
      <c r="M324" s="688" t="n"/>
      <c r="N324" s="429" t="n"/>
    </row>
    <row r="325" ht="21" customHeight="1">
      <c r="A325" s="688" t="n">
        <v>253</v>
      </c>
      <c r="B325" s="429" t="inlineStr">
        <is>
          <t>LFC06</t>
        </is>
      </c>
      <c r="C325" s="394" t="inlineStr">
        <is>
          <t>LFC06</t>
        </is>
      </c>
      <c r="D325" s="447" t="inlineStr">
        <is>
          <t>Boolean</t>
        </is>
      </c>
      <c r="E325" s="429" t="n"/>
      <c r="F325" s="429" t="n"/>
      <c r="G325" s="429" t="n"/>
      <c r="H325" s="688" t="n"/>
      <c r="I325" s="688" t="n"/>
      <c r="J325" s="407" t="n"/>
      <c r="K325" s="447" t="inlineStr">
        <is>
          <t>Boolean</t>
        </is>
      </c>
      <c r="L325" s="429" t="n"/>
      <c r="M325" s="688" t="n"/>
      <c r="N325" s="429" t="n"/>
    </row>
    <row r="326" ht="21" customHeight="1">
      <c r="A326" s="688" t="n">
        <v>254</v>
      </c>
      <c r="B326" s="429" t="inlineStr">
        <is>
          <t>LFC09</t>
        </is>
      </c>
      <c r="C326" s="394" t="inlineStr">
        <is>
          <t>LFC09</t>
        </is>
      </c>
      <c r="D326" s="447" t="inlineStr">
        <is>
          <t>Boolean</t>
        </is>
      </c>
      <c r="E326" s="429" t="n"/>
      <c r="F326" s="429" t="n"/>
      <c r="G326" s="429" t="n"/>
      <c r="H326" s="688" t="n"/>
      <c r="I326" s="688" t="n"/>
      <c r="J326" s="407" t="n"/>
      <c r="K326" s="447" t="inlineStr">
        <is>
          <t>Boolean</t>
        </is>
      </c>
      <c r="L326" s="429" t="n"/>
      <c r="M326" s="688" t="n"/>
      <c r="N326" s="429" t="n"/>
    </row>
    <row r="327" ht="21" customHeight="1" thickBot="1">
      <c r="A327" s="474" t="n">
        <v>255</v>
      </c>
      <c r="B327" s="468" t="inlineStr">
        <is>
          <t>LFC12</t>
        </is>
      </c>
      <c r="C327" s="395" t="inlineStr">
        <is>
          <t>LFC12</t>
        </is>
      </c>
      <c r="D327" s="476" t="inlineStr">
        <is>
          <t>Boolean</t>
        </is>
      </c>
      <c r="E327" s="468" t="n"/>
      <c r="F327" s="468" t="n"/>
      <c r="G327" s="468" t="n"/>
      <c r="H327" s="474" t="n"/>
      <c r="I327" s="474" t="n"/>
      <c r="J327" s="475" t="n"/>
      <c r="K327" s="476" t="inlineStr">
        <is>
          <t>Boolean</t>
        </is>
      </c>
      <c r="L327" s="468" t="n"/>
      <c r="M327" s="474" t="n"/>
      <c r="N327" s="468" t="n"/>
    </row>
    <row r="328" ht="21" customHeight="1" thickBot="1">
      <c r="A328" s="477" t="n">
        <v>256</v>
      </c>
      <c r="B328" s="500" t="n"/>
      <c r="C328" s="501" t="inlineStr">
        <is>
          <t>Heating/Cooling</t>
        </is>
      </c>
      <c r="D328" s="502" t="inlineStr">
        <is>
          <t>Boolean</t>
        </is>
      </c>
      <c r="E328" s="500" t="n"/>
      <c r="F328" s="500" t="n"/>
      <c r="G328" s="500" t="n"/>
      <c r="H328" s="503" t="n"/>
      <c r="I328" s="503" t="n"/>
      <c r="J328" s="504" t="n"/>
      <c r="K328" s="502" t="inlineStr">
        <is>
          <t>Boolean</t>
        </is>
      </c>
      <c r="L328" s="500" t="n"/>
      <c r="M328" s="503" t="n"/>
      <c r="N328" s="505" t="n"/>
    </row>
    <row r="329" ht="21" customHeight="1">
      <c r="A329" s="506" t="n">
        <v>257</v>
      </c>
      <c r="B329" s="507" t="inlineStr">
        <is>
          <t>LFC01</t>
        </is>
      </c>
      <c r="C329" s="409" t="inlineStr">
        <is>
          <t>APS_OK</t>
        </is>
      </c>
      <c r="D329" s="483" t="inlineStr">
        <is>
          <t>Boolean</t>
        </is>
      </c>
      <c r="E329" s="481" t="n"/>
      <c r="F329" s="481">
        <f>'LFD New'!D6</f>
        <v/>
      </c>
      <c r="G329" s="481" t="n"/>
      <c r="H329" s="482" t="n"/>
      <c r="I329" s="482" t="inlineStr">
        <is>
          <t>LFC06</t>
        </is>
      </c>
      <c r="J329" s="409" t="inlineStr">
        <is>
          <t>Heat-REQ</t>
        </is>
      </c>
      <c r="K329" s="483" t="inlineStr">
        <is>
          <t>Boolean</t>
        </is>
      </c>
      <c r="L329" s="481">
        <f>'LFD OLD'!R457</f>
        <v/>
      </c>
      <c r="M329" s="482" t="inlineStr">
        <is>
          <t>0</t>
        </is>
      </c>
      <c r="N329" s="484" t="n"/>
    </row>
    <row r="330" ht="21" customHeight="1">
      <c r="A330" s="506" t="n">
        <v>258</v>
      </c>
      <c r="B330" s="508" t="inlineStr">
        <is>
          <t>LFC02</t>
        </is>
      </c>
      <c r="C330" s="394" t="inlineStr">
        <is>
          <t>HVAC_enable</t>
        </is>
      </c>
      <c r="D330" s="447" t="inlineStr">
        <is>
          <t>Boolean</t>
        </is>
      </c>
      <c r="E330" s="429" t="n"/>
      <c r="F330" s="429">
        <f>'LFD New'!D2</f>
        <v/>
      </c>
      <c r="G330" s="429" t="n"/>
      <c r="H330" s="688" t="n"/>
      <c r="I330" s="688" t="inlineStr">
        <is>
          <t>LFC07</t>
        </is>
      </c>
      <c r="J330" s="394" t="inlineStr">
        <is>
          <t>Cool-REQ</t>
        </is>
      </c>
      <c r="K330" s="447" t="inlineStr">
        <is>
          <t>Boolean</t>
        </is>
      </c>
      <c r="L330" s="429">
        <f>'LFD OLD'!R458</f>
        <v/>
      </c>
      <c r="M330" s="688" t="inlineStr">
        <is>
          <t>0</t>
        </is>
      </c>
      <c r="N330" s="487" t="n"/>
    </row>
    <row r="331" ht="21" customHeight="1">
      <c r="A331" s="506" t="n">
        <v>259</v>
      </c>
      <c r="B331" s="508" t="inlineStr">
        <is>
          <t>LFC03</t>
        </is>
      </c>
      <c r="C331" s="394" t="inlineStr">
        <is>
          <t>LFC 03</t>
        </is>
      </c>
      <c r="D331" s="447" t="inlineStr">
        <is>
          <t>Boolean</t>
        </is>
      </c>
      <c r="E331" s="429" t="n"/>
      <c r="F331" s="429" t="n"/>
      <c r="G331" s="429" t="n"/>
      <c r="H331" s="688" t="n"/>
      <c r="I331" s="688" t="inlineStr">
        <is>
          <t>LFC10</t>
        </is>
      </c>
      <c r="J331" s="394" t="inlineStr">
        <is>
          <t>Heating-active</t>
        </is>
      </c>
      <c r="K331" s="447" t="inlineStr">
        <is>
          <t>Boolean</t>
        </is>
      </c>
      <c r="L331" s="429">
        <f>'LFD OLD'!R459</f>
        <v/>
      </c>
      <c r="M331" s="688" t="inlineStr">
        <is>
          <t>0</t>
        </is>
      </c>
      <c r="N331" s="487" t="n"/>
    </row>
    <row r="332" ht="21" customHeight="1">
      <c r="A332" s="506" t="n">
        <v>260</v>
      </c>
      <c r="B332" s="508" t="n"/>
      <c r="C332" s="407" t="n"/>
      <c r="D332" s="447" t="inlineStr">
        <is>
          <t>Boolean</t>
        </is>
      </c>
      <c r="E332" s="429" t="n"/>
      <c r="F332" s="429" t="n"/>
      <c r="G332" s="429" t="n"/>
      <c r="H332" s="688" t="n"/>
      <c r="I332" s="688" t="inlineStr">
        <is>
          <t>LFC11</t>
        </is>
      </c>
      <c r="J332" s="394" t="inlineStr">
        <is>
          <t>Cooling-active</t>
        </is>
      </c>
      <c r="K332" s="447" t="inlineStr">
        <is>
          <t>Boolean</t>
        </is>
      </c>
      <c r="L332" s="429">
        <f>'LFD OLD'!R460</f>
        <v/>
      </c>
      <c r="M332" s="688" t="inlineStr">
        <is>
          <t>0</t>
        </is>
      </c>
      <c r="N332" s="487" t="n"/>
    </row>
    <row r="333" ht="21" customHeight="1">
      <c r="A333" s="506" t="n">
        <v>261</v>
      </c>
      <c r="B333" s="508" t="n"/>
      <c r="C333" s="407" t="n"/>
      <c r="D333" s="447" t="inlineStr">
        <is>
          <t>Boolean</t>
        </is>
      </c>
      <c r="E333" s="429" t="n"/>
      <c r="F333" s="429" t="n"/>
      <c r="G333" s="429" t="n"/>
      <c r="H333" s="688" t="n"/>
      <c r="I333" s="688" t="inlineStr">
        <is>
          <t>LFC12</t>
        </is>
      </c>
      <c r="J333" s="394" t="inlineStr">
        <is>
          <t>Compressor/Heater-control</t>
        </is>
      </c>
      <c r="K333" s="447" t="inlineStr">
        <is>
          <t>Boolean</t>
        </is>
      </c>
      <c r="L333" s="429">
        <f>'LFD OLD'!R461</f>
        <v/>
      </c>
      <c r="M333" s="688" t="inlineStr">
        <is>
          <t>0</t>
        </is>
      </c>
      <c r="N333" s="487" t="n"/>
      <c r="BK333" s="321" t="n"/>
    </row>
    <row r="334" ht="21" customHeight="1">
      <c r="A334" s="506" t="n">
        <v>262</v>
      </c>
      <c r="B334" s="508" t="n"/>
      <c r="C334" s="407" t="n"/>
      <c r="D334" s="447" t="inlineStr">
        <is>
          <t>Boolean</t>
        </is>
      </c>
      <c r="E334" s="429" t="n"/>
      <c r="F334" s="429" t="n"/>
      <c r="G334" s="429" t="n"/>
      <c r="H334" s="688" t="n"/>
      <c r="I334" s="688" t="inlineStr">
        <is>
          <t>LFC13</t>
        </is>
      </c>
      <c r="J334" s="394" t="inlineStr">
        <is>
          <t>Passenger Load_(PL)</t>
        </is>
      </c>
      <c r="K334" s="447" t="inlineStr">
        <is>
          <t>Boolean</t>
        </is>
      </c>
      <c r="L334" s="429">
        <f>'LFD OLD'!R462</f>
        <v/>
      </c>
      <c r="M334" s="688" t="inlineStr">
        <is>
          <t>0</t>
        </is>
      </c>
      <c r="N334" s="487" t="n"/>
    </row>
    <row r="335" ht="21" customHeight="1">
      <c r="A335" s="506" t="n">
        <v>263</v>
      </c>
      <c r="B335" s="508" t="n"/>
      <c r="C335" s="407" t="n"/>
      <c r="D335" s="447" t="inlineStr">
        <is>
          <t>Boolean</t>
        </is>
      </c>
      <c r="E335" s="429" t="n"/>
      <c r="F335" s="429" t="n"/>
      <c r="G335" s="429" t="n"/>
      <c r="H335" s="688" t="n"/>
      <c r="I335" s="688" t="inlineStr">
        <is>
          <t>LFC17</t>
        </is>
      </c>
      <c r="J335" s="394" t="inlineStr">
        <is>
          <t>PL_&lt;=_25</t>
        </is>
      </c>
      <c r="K335" s="447" t="inlineStr">
        <is>
          <t>Boolean</t>
        </is>
      </c>
      <c r="L335" s="429">
        <f>'LFD OLD'!R463</f>
        <v/>
      </c>
      <c r="M335" s="688" t="inlineStr">
        <is>
          <t>0</t>
        </is>
      </c>
      <c r="N335" s="487" t="n"/>
    </row>
    <row r="336" ht="21" customHeight="1">
      <c r="A336" s="506" t="n">
        <v>264</v>
      </c>
      <c r="B336" s="508" t="n"/>
      <c r="C336" s="407" t="n"/>
      <c r="D336" s="447" t="inlineStr">
        <is>
          <t>Boolean</t>
        </is>
      </c>
      <c r="E336" s="429" t="n"/>
      <c r="F336" s="429" t="n"/>
      <c r="G336" s="429" t="n"/>
      <c r="H336" s="688" t="n"/>
      <c r="I336" s="688" t="inlineStr">
        <is>
          <t>LFC18</t>
        </is>
      </c>
      <c r="J336" s="394" t="inlineStr">
        <is>
          <t>FAD_=_25%</t>
        </is>
      </c>
      <c r="K336" s="447" t="inlineStr">
        <is>
          <t>Boolean</t>
        </is>
      </c>
      <c r="L336" s="429">
        <f>'LFD OLD'!R464</f>
        <v/>
      </c>
      <c r="M336" s="688" t="inlineStr">
        <is>
          <t>0</t>
        </is>
      </c>
      <c r="N336" s="487" t="n"/>
    </row>
    <row r="337" ht="21" customHeight="1">
      <c r="A337" s="506" t="n">
        <v>265</v>
      </c>
      <c r="B337" s="508" t="n"/>
      <c r="C337" s="407" t="n"/>
      <c r="D337" s="447" t="inlineStr">
        <is>
          <t>Boolean</t>
        </is>
      </c>
      <c r="E337" s="429" t="n"/>
      <c r="F337" s="429" t="n"/>
      <c r="G337" s="429" t="n"/>
      <c r="H337" s="688" t="n"/>
      <c r="I337" s="688" t="inlineStr">
        <is>
          <t>LFC19</t>
        </is>
      </c>
      <c r="J337" s="394" t="inlineStr">
        <is>
          <t>26_&lt;=_PL_&lt;=_50</t>
        </is>
      </c>
      <c r="K337" s="447" t="inlineStr">
        <is>
          <t>Boolean</t>
        </is>
      </c>
      <c r="L337" s="429">
        <f>'LFD OLD'!R465</f>
        <v/>
      </c>
      <c r="M337" s="688" t="inlineStr">
        <is>
          <t>0</t>
        </is>
      </c>
      <c r="N337" s="487" t="n"/>
    </row>
    <row r="338" ht="21" customHeight="1">
      <c r="A338" s="506" t="n">
        <v>266</v>
      </c>
      <c r="B338" s="508" t="n"/>
      <c r="C338" s="407" t="n"/>
      <c r="D338" s="447" t="inlineStr">
        <is>
          <t>Boolean</t>
        </is>
      </c>
      <c r="E338" s="429" t="n"/>
      <c r="F338" s="429" t="n"/>
      <c r="G338" s="429" t="n"/>
      <c r="H338" s="688" t="n"/>
      <c r="I338" s="688" t="inlineStr">
        <is>
          <t>LFC20</t>
        </is>
      </c>
      <c r="J338" s="394" t="inlineStr">
        <is>
          <t>FAD=50%</t>
        </is>
      </c>
      <c r="K338" s="447" t="inlineStr">
        <is>
          <t>Boolean</t>
        </is>
      </c>
      <c r="L338" s="429">
        <f>'LFD OLD'!R466</f>
        <v/>
      </c>
      <c r="M338" s="688" t="inlineStr">
        <is>
          <t>0</t>
        </is>
      </c>
      <c r="N338" s="487" t="n"/>
    </row>
    <row r="339" ht="21" customHeight="1">
      <c r="A339" s="506" t="n">
        <v>267</v>
      </c>
      <c r="B339" s="508" t="n"/>
      <c r="C339" s="407" t="n"/>
      <c r="D339" s="447" t="inlineStr">
        <is>
          <t>Boolean</t>
        </is>
      </c>
      <c r="E339" s="429" t="n"/>
      <c r="F339" s="429" t="n"/>
      <c r="G339" s="429" t="n"/>
      <c r="H339" s="688" t="n"/>
      <c r="I339" s="688" t="inlineStr">
        <is>
          <t>LFC21</t>
        </is>
      </c>
      <c r="J339" s="394" t="inlineStr">
        <is>
          <t>51_&lt;=PL_75</t>
        </is>
      </c>
      <c r="K339" s="447" t="inlineStr">
        <is>
          <t>Boolean</t>
        </is>
      </c>
      <c r="L339" s="429">
        <f>'LFD OLD'!R467</f>
        <v/>
      </c>
      <c r="M339" s="688" t="inlineStr">
        <is>
          <t>0</t>
        </is>
      </c>
      <c r="N339" s="487" t="n"/>
      <c r="BK339" s="321" t="n"/>
    </row>
    <row r="340" ht="21" customHeight="1">
      <c r="A340" s="506" t="n">
        <v>268</v>
      </c>
      <c r="B340" s="508" t="n"/>
      <c r="C340" s="407" t="n"/>
      <c r="D340" s="447" t="inlineStr">
        <is>
          <t>Boolean</t>
        </is>
      </c>
      <c r="E340" s="429" t="n"/>
      <c r="F340" s="429" t="n"/>
      <c r="G340" s="429" t="n"/>
      <c r="H340" s="688" t="n"/>
      <c r="I340" s="688" t="inlineStr">
        <is>
          <t>LFC22</t>
        </is>
      </c>
      <c r="J340" s="394" t="inlineStr">
        <is>
          <t>FAD_=_75%</t>
        </is>
      </c>
      <c r="K340" s="447" t="inlineStr">
        <is>
          <t>Boolean</t>
        </is>
      </c>
      <c r="L340" s="429">
        <f>'LFD OLD'!R468</f>
        <v/>
      </c>
      <c r="M340" s="688" t="inlineStr">
        <is>
          <t>0</t>
        </is>
      </c>
      <c r="N340" s="487" t="n"/>
    </row>
    <row r="341" ht="21" customHeight="1">
      <c r="A341" s="506" t="n">
        <v>269</v>
      </c>
      <c r="B341" s="508" t="n"/>
      <c r="C341" s="407" t="n"/>
      <c r="D341" s="447" t="inlineStr">
        <is>
          <t>Boolean</t>
        </is>
      </c>
      <c r="E341" s="429" t="n"/>
      <c r="F341" s="429" t="n"/>
      <c r="G341" s="429" t="n"/>
      <c r="H341" s="688" t="n"/>
      <c r="I341" s="688" t="inlineStr">
        <is>
          <t>LFC23</t>
        </is>
      </c>
      <c r="J341" s="394" t="inlineStr">
        <is>
          <t>PL_&gt;=_76</t>
        </is>
      </c>
      <c r="K341" s="447" t="inlineStr">
        <is>
          <t>Boolean</t>
        </is>
      </c>
      <c r="L341" s="429">
        <f>'LFD OLD'!R469</f>
        <v/>
      </c>
      <c r="M341" s="688" t="inlineStr">
        <is>
          <t>0</t>
        </is>
      </c>
      <c r="N341" s="487" t="n"/>
    </row>
    <row r="342" ht="21" customHeight="1" thickBot="1">
      <c r="A342" s="509" t="n">
        <v>270</v>
      </c>
      <c r="B342" s="510" t="n"/>
      <c r="C342" s="408" t="n"/>
      <c r="D342" s="490" t="inlineStr">
        <is>
          <t>Boolean</t>
        </is>
      </c>
      <c r="E342" s="489" t="n"/>
      <c r="F342" s="489" t="n"/>
      <c r="G342" s="489" t="n"/>
      <c r="H342" s="689" t="n"/>
      <c r="I342" s="689" t="inlineStr">
        <is>
          <t>LFC24</t>
        </is>
      </c>
      <c r="J342" s="410" t="inlineStr">
        <is>
          <t>FAD_=_100%</t>
        </is>
      </c>
      <c r="K342" s="490" t="inlineStr">
        <is>
          <t>Boolean</t>
        </is>
      </c>
      <c r="L342" s="489" t="n"/>
      <c r="M342" s="689" t="inlineStr">
        <is>
          <t>0</t>
        </is>
      </c>
      <c r="N342" s="492" t="n"/>
      <c r="BK342" s="321" t="n"/>
    </row>
    <row r="343" ht="21" customHeight="1">
      <c r="A343" s="494" t="n">
        <v>271</v>
      </c>
      <c r="B343" s="495" t="n"/>
      <c r="C343" s="486" t="n"/>
      <c r="D343" s="496" t="inlineStr">
        <is>
          <t>Boolean</t>
        </is>
      </c>
      <c r="E343" s="495" t="n"/>
      <c r="F343" s="495" t="n"/>
      <c r="G343" s="495" t="n"/>
      <c r="H343" s="494" t="n"/>
      <c r="I343" s="494" t="n"/>
      <c r="J343" s="486" t="n"/>
      <c r="K343" s="496" t="inlineStr">
        <is>
          <t>Boolean</t>
        </is>
      </c>
      <c r="L343" s="495" t="n"/>
      <c r="M343" s="494" t="n"/>
      <c r="N343" s="495" t="n"/>
    </row>
    <row r="344" ht="21" customHeight="1">
      <c r="A344" s="688" t="n">
        <v>272</v>
      </c>
      <c r="B344" s="429" t="n"/>
      <c r="C344" s="407" t="n"/>
      <c r="D344" s="447" t="inlineStr">
        <is>
          <t>Boolean</t>
        </is>
      </c>
      <c r="E344" s="429" t="n"/>
      <c r="F344" s="429" t="n"/>
      <c r="G344" s="429" t="n"/>
      <c r="H344" s="688" t="n"/>
      <c r="I344" s="688" t="n"/>
      <c r="J344" s="407" t="n"/>
      <c r="K344" s="447" t="inlineStr">
        <is>
          <t>Boolean</t>
        </is>
      </c>
      <c r="L344" s="429" t="n"/>
      <c r="M344" s="688" t="n"/>
      <c r="N344" s="429" t="n"/>
    </row>
    <row r="345" ht="21" customHeight="1">
      <c r="A345" s="688" t="n">
        <v>273</v>
      </c>
      <c r="B345" s="429" t="inlineStr">
        <is>
          <t>LFC01</t>
        </is>
      </c>
      <c r="C345" s="394" t="inlineStr">
        <is>
          <t>Fire_detected_on_board</t>
        </is>
      </c>
      <c r="D345" s="447" t="inlineStr">
        <is>
          <t>Boolean</t>
        </is>
      </c>
      <c r="E345" s="429" t="n"/>
      <c r="F345" s="429">
        <f>'LFD New'!D90</f>
        <v/>
      </c>
      <c r="G345" s="429" t="n"/>
      <c r="H345" s="688" t="n"/>
      <c r="I345" s="688" t="n"/>
      <c r="J345" s="407" t="n"/>
      <c r="K345" s="447" t="inlineStr">
        <is>
          <t>Boolean</t>
        </is>
      </c>
      <c r="L345" s="429" t="n"/>
      <c r="M345" s="688" t="n"/>
      <c r="N345" s="429" t="n"/>
    </row>
    <row r="346" ht="21" customHeight="1">
      <c r="A346" s="688" t="n">
        <v>274</v>
      </c>
      <c r="B346" s="429" t="inlineStr">
        <is>
          <t>LFC02</t>
        </is>
      </c>
      <c r="C346" s="394" t="inlineStr">
        <is>
          <t>Driver_by_passs_fire_ventilation_OFF</t>
        </is>
      </c>
      <c r="D346" s="447" t="inlineStr">
        <is>
          <t>Boolean</t>
        </is>
      </c>
      <c r="E346" s="429" t="n"/>
      <c r="F346" s="429">
        <f>'LFD New'!D91</f>
        <v/>
      </c>
      <c r="G346" s="429" t="n"/>
      <c r="H346" s="688" t="n"/>
      <c r="I346" s="688" t="inlineStr">
        <is>
          <t>LFC04</t>
        </is>
      </c>
      <c r="J346" s="394" t="inlineStr">
        <is>
          <t>ventilation fans_OFF</t>
        </is>
      </c>
      <c r="K346" s="447" t="inlineStr">
        <is>
          <t>Boolean</t>
        </is>
      </c>
      <c r="L346" s="429">
        <f>'LFD OLD'!R481</f>
        <v/>
      </c>
      <c r="M346" s="688" t="inlineStr">
        <is>
          <t>0</t>
        </is>
      </c>
      <c r="N346" s="429" t="n"/>
    </row>
    <row r="347" ht="21" customHeight="1">
      <c r="A347" s="688" t="n">
        <v>275</v>
      </c>
      <c r="B347" s="429" t="inlineStr">
        <is>
          <t>LFC05</t>
        </is>
      </c>
      <c r="C347" s="394" t="inlineStr">
        <is>
          <t>External_detected_on_board</t>
        </is>
      </c>
      <c r="D347" s="447" t="inlineStr">
        <is>
          <t>Boolean</t>
        </is>
      </c>
      <c r="E347" s="429" t="n"/>
      <c r="F347" s="429">
        <f>'LFD New'!D92</f>
        <v/>
      </c>
      <c r="G347" s="429" t="n"/>
      <c r="H347" s="688" t="n"/>
      <c r="I347" s="688" t="inlineStr">
        <is>
          <t>LFC08</t>
        </is>
      </c>
      <c r="J347" s="394" t="inlineStr">
        <is>
          <t>Fresh_air_damper_close</t>
        </is>
      </c>
      <c r="K347" s="447" t="inlineStr">
        <is>
          <t>Boolean</t>
        </is>
      </c>
      <c r="L347" s="429">
        <f>'LFD OLD'!R482</f>
        <v/>
      </c>
      <c r="M347" s="688" t="inlineStr">
        <is>
          <t>0</t>
        </is>
      </c>
      <c r="N347" s="429" t="n"/>
    </row>
    <row r="348" ht="21" customHeight="1" thickBot="1">
      <c r="A348" s="474" t="n">
        <v>276</v>
      </c>
      <c r="B348" s="468" t="inlineStr">
        <is>
          <t>LFC06</t>
        </is>
      </c>
      <c r="C348" s="395" t="inlineStr">
        <is>
          <t>Driver_by_pass-smoke_damper_close</t>
        </is>
      </c>
      <c r="D348" s="476" t="inlineStr">
        <is>
          <t>Boolean</t>
        </is>
      </c>
      <c r="E348" s="468" t="n"/>
      <c r="F348" s="429">
        <f>'LFD New'!D93</f>
        <v/>
      </c>
      <c r="G348" s="468" t="n"/>
      <c r="H348" s="474" t="n"/>
      <c r="I348" s="474" t="inlineStr">
        <is>
          <t>LFC09</t>
        </is>
      </c>
      <c r="J348" s="395" t="inlineStr">
        <is>
          <t>HVAC_System_safety</t>
        </is>
      </c>
      <c r="K348" s="476" t="inlineStr">
        <is>
          <t>Boolean</t>
        </is>
      </c>
      <c r="L348" s="468">
        <f>'LFD OLD'!R483</f>
        <v/>
      </c>
      <c r="M348" s="474" t="inlineStr">
        <is>
          <t>0</t>
        </is>
      </c>
      <c r="N348" s="468" t="n"/>
    </row>
    <row r="349" ht="21" customHeight="1" thickBot="1">
      <c r="A349" s="477" t="n">
        <v>277</v>
      </c>
      <c r="B349" s="478" t="n"/>
      <c r="C349" s="479" t="inlineStr">
        <is>
          <t>APS Load Reduction Control</t>
        </is>
      </c>
      <c r="D349" s="480" t="inlineStr">
        <is>
          <t>Boolean</t>
        </is>
      </c>
      <c r="E349" s="481" t="n"/>
      <c r="F349" s="481" t="n"/>
      <c r="G349" s="481" t="n"/>
      <c r="H349" s="482" t="n"/>
      <c r="I349" s="482" t="n"/>
      <c r="J349" s="406" t="n"/>
      <c r="K349" s="483" t="inlineStr">
        <is>
          <t>Boolean</t>
        </is>
      </c>
      <c r="L349" s="481" t="n"/>
      <c r="M349" s="482" t="n"/>
      <c r="N349" s="484" t="n"/>
      <c r="BK349" s="321" t="n"/>
    </row>
    <row r="350" ht="21" customHeight="1">
      <c r="A350" s="485" t="n">
        <v>278</v>
      </c>
      <c r="B350" s="429" t="inlineStr">
        <is>
          <t>LFC01</t>
        </is>
      </c>
      <c r="C350" s="493" t="inlineStr">
        <is>
          <t>HVAC_ON</t>
        </is>
      </c>
      <c r="D350" s="447" t="inlineStr">
        <is>
          <t>Boolean</t>
        </is>
      </c>
      <c r="E350" s="429" t="inlineStr">
        <is>
          <t>TCMS</t>
        </is>
      </c>
      <c r="F350" s="429">
        <f>'LFD New'!D2</f>
        <v/>
      </c>
      <c r="G350" s="429" t="n"/>
      <c r="H350" s="688" t="n"/>
      <c r="I350" s="688" t="inlineStr">
        <is>
          <t>LFC04</t>
        </is>
      </c>
      <c r="J350" s="394" t="inlineStr">
        <is>
          <t>LFC 04</t>
        </is>
      </c>
      <c r="K350" s="447" t="inlineStr">
        <is>
          <t>Boolean</t>
        </is>
      </c>
      <c r="L350" s="429">
        <f>'LFD OLD'!R494</f>
        <v/>
      </c>
      <c r="M350" s="688" t="inlineStr">
        <is>
          <t>0</t>
        </is>
      </c>
      <c r="N350" s="487" t="n"/>
    </row>
    <row r="351" ht="21" customHeight="1">
      <c r="A351" s="485" t="n">
        <v>279</v>
      </c>
      <c r="B351" s="429" t="inlineStr">
        <is>
          <t>LFC02</t>
        </is>
      </c>
      <c r="C351" s="394" t="inlineStr">
        <is>
          <t>TCMS Start allow</t>
        </is>
      </c>
      <c r="D351" s="447" t="inlineStr">
        <is>
          <t>Boolean</t>
        </is>
      </c>
      <c r="E351" s="429" t="inlineStr">
        <is>
          <t>TCMS</t>
        </is>
      </c>
      <c r="F351" s="429" t="n">
        <v>1</v>
      </c>
      <c r="G351" s="429" t="n"/>
      <c r="H351" s="688" t="n"/>
      <c r="I351" s="688" t="inlineStr">
        <is>
          <t>LFC09</t>
        </is>
      </c>
      <c r="J351" s="394" t="inlineStr">
        <is>
          <t>LFC 09</t>
        </is>
      </c>
      <c r="K351" s="447" t="inlineStr">
        <is>
          <t>Boolean</t>
        </is>
      </c>
      <c r="L351" s="429">
        <f>'LFD OLD'!R495</f>
        <v/>
      </c>
      <c r="M351" s="688" t="inlineStr">
        <is>
          <t>0</t>
        </is>
      </c>
      <c r="N351" s="487" t="n"/>
    </row>
    <row r="352" ht="21" customHeight="1">
      <c r="A352" s="485" t="n">
        <v>280</v>
      </c>
      <c r="B352" s="429" t="inlineStr">
        <is>
          <t>LFC05</t>
        </is>
      </c>
      <c r="C352" s="394" t="inlineStr">
        <is>
          <t>APS_1 failure</t>
        </is>
      </c>
      <c r="D352" s="447" t="inlineStr">
        <is>
          <t>Boolean</t>
        </is>
      </c>
      <c r="E352" s="429" t="n"/>
      <c r="F352" s="429" t="n">
        <v>1</v>
      </c>
      <c r="G352" s="429" t="n"/>
      <c r="H352" s="688" t="n"/>
      <c r="I352" s="688" t="inlineStr">
        <is>
          <t>LFC15</t>
        </is>
      </c>
      <c r="J352" s="394" t="inlineStr">
        <is>
          <t>HVAC_1 cooling</t>
        </is>
      </c>
      <c r="K352" s="447" t="inlineStr">
        <is>
          <t>Boolean</t>
        </is>
      </c>
      <c r="L352" s="429">
        <f>'LFD OLD'!R496</f>
        <v/>
      </c>
      <c r="M352" s="688" t="inlineStr">
        <is>
          <t>0</t>
        </is>
      </c>
      <c r="N352" s="487" t="n"/>
    </row>
    <row r="353" ht="21" customHeight="1">
      <c r="A353" s="485" t="n">
        <v>281</v>
      </c>
      <c r="B353" s="429" t="inlineStr">
        <is>
          <t>LFC06</t>
        </is>
      </c>
      <c r="C353" s="394" t="inlineStr">
        <is>
          <t>APS_2 failure</t>
        </is>
      </c>
      <c r="D353" s="447" t="inlineStr">
        <is>
          <t>Boolean</t>
        </is>
      </c>
      <c r="E353" s="429" t="n"/>
      <c r="F353" s="429" t="n">
        <v>1</v>
      </c>
      <c r="G353" s="429" t="n"/>
      <c r="H353" s="688" t="n"/>
      <c r="I353" s="688" t="inlineStr">
        <is>
          <t>LFC16</t>
        </is>
      </c>
      <c r="J353" s="394" t="inlineStr">
        <is>
          <t>HVAC_2 ventilation</t>
        </is>
      </c>
      <c r="K353" s="447" t="inlineStr">
        <is>
          <t>Boolean</t>
        </is>
      </c>
      <c r="L353" s="429">
        <f>'LFD OLD'!R497</f>
        <v/>
      </c>
      <c r="M353" s="688" t="inlineStr">
        <is>
          <t>0</t>
        </is>
      </c>
      <c r="N353" s="487" t="n"/>
    </row>
    <row r="354" ht="21" customHeight="1" thickBot="1">
      <c r="A354" s="488" t="n">
        <v>282</v>
      </c>
      <c r="B354" s="489" t="inlineStr">
        <is>
          <t>LFC10</t>
        </is>
      </c>
      <c r="C354" s="410" t="inlineStr">
        <is>
          <t>Hvac priority select</t>
        </is>
      </c>
      <c r="D354" s="490" t="inlineStr">
        <is>
          <t>Boolean</t>
        </is>
      </c>
      <c r="E354" s="489" t="n"/>
      <c r="F354" s="489" t="n">
        <v>1</v>
      </c>
      <c r="G354" s="489" t="n"/>
      <c r="H354" s="689" t="n"/>
      <c r="I354" s="689" t="inlineStr">
        <is>
          <t>LFC17</t>
        </is>
      </c>
      <c r="J354" s="410" t="inlineStr">
        <is>
          <t>fresh ir damper closed</t>
        </is>
      </c>
      <c r="K354" s="490" t="inlineStr">
        <is>
          <t>Boolean</t>
        </is>
      </c>
      <c r="L354" s="489">
        <f>'LFD OLD'!R498</f>
        <v/>
      </c>
      <c r="M354" s="689" t="inlineStr">
        <is>
          <t>0</t>
        </is>
      </c>
      <c r="N354" s="492" t="n"/>
    </row>
    <row r="355" ht="21" customHeight="1" thickBot="1">
      <c r="A355" s="477" t="n">
        <v>283</v>
      </c>
      <c r="B355" s="478" t="n"/>
      <c r="C355" s="479" t="inlineStr">
        <is>
          <t>Exchange of Operating Mode in Formation</t>
        </is>
      </c>
      <c r="D355" s="480" t="inlineStr">
        <is>
          <t>Boolean</t>
        </is>
      </c>
      <c r="E355" s="481" t="n"/>
      <c r="F355" s="481" t="n"/>
      <c r="G355" s="481" t="n"/>
      <c r="H355" s="482" t="n"/>
      <c r="I355" s="482" t="n"/>
      <c r="J355" s="406" t="n"/>
      <c r="K355" s="483" t="inlineStr">
        <is>
          <t>Boolean</t>
        </is>
      </c>
      <c r="L355" s="481" t="n"/>
      <c r="M355" s="482" t="n"/>
      <c r="N355" s="484" t="n"/>
    </row>
    <row r="356" ht="21" customHeight="1">
      <c r="A356" s="485" t="n">
        <v>284</v>
      </c>
      <c r="B356" s="429" t="inlineStr">
        <is>
          <t>LFC01</t>
        </is>
      </c>
      <c r="C356" s="493" t="inlineStr">
        <is>
          <t>HEC_HEC communication status</t>
        </is>
      </c>
      <c r="D356" s="447" t="inlineStr">
        <is>
          <t>Boolean</t>
        </is>
      </c>
      <c r="E356" s="429" t="n"/>
      <c r="F356" s="429">
        <f>'LFD New'!D62</f>
        <v/>
      </c>
      <c r="G356" s="429" t="n"/>
      <c r="H356" s="688" t="n"/>
      <c r="I356" s="688" t="n"/>
      <c r="J356" s="407" t="n"/>
      <c r="K356" s="447" t="inlineStr">
        <is>
          <t>Boolean</t>
        </is>
      </c>
      <c r="L356" s="429" t="n"/>
      <c r="M356" s="688" t="n"/>
      <c r="N356" s="487" t="n"/>
    </row>
    <row r="357" ht="21" customHeight="1">
      <c r="A357" s="485" t="n">
        <v>285</v>
      </c>
      <c r="B357" s="429" t="inlineStr">
        <is>
          <t>LFC02</t>
        </is>
      </c>
      <c r="C357" s="394" t="inlineStr">
        <is>
          <t>HVAC_ON</t>
        </is>
      </c>
      <c r="D357" s="447" t="inlineStr">
        <is>
          <t>Boolean</t>
        </is>
      </c>
      <c r="E357" s="429" t="n"/>
      <c r="F357" s="429">
        <f>'LFD New'!D63</f>
        <v/>
      </c>
      <c r="G357" s="429" t="n"/>
      <c r="H357" s="688" t="n"/>
      <c r="I357" s="688" t="inlineStr">
        <is>
          <t>LFC03</t>
        </is>
      </c>
      <c r="J357" s="394" t="inlineStr">
        <is>
          <t>LFC 03</t>
        </is>
      </c>
      <c r="K357" s="447" t="inlineStr">
        <is>
          <t>Boolean</t>
        </is>
      </c>
      <c r="L357" s="429">
        <f>'LFD OLD'!R512</f>
        <v/>
      </c>
      <c r="M357" s="688" t="inlineStr">
        <is>
          <t>1</t>
        </is>
      </c>
      <c r="N357" s="487" t="n"/>
    </row>
    <row r="358" ht="21" customHeight="1">
      <c r="A358" s="485" t="n">
        <v>286</v>
      </c>
      <c r="B358" s="429" t="inlineStr">
        <is>
          <t>LFC04</t>
        </is>
      </c>
      <c r="C358" s="394" t="inlineStr">
        <is>
          <t>Cooling enble</t>
        </is>
      </c>
      <c r="D358" s="447" t="inlineStr">
        <is>
          <t>Boolean</t>
        </is>
      </c>
      <c r="E358" s="429" t="n"/>
      <c r="F358" s="429">
        <f>'LFD New'!D64</f>
        <v/>
      </c>
      <c r="G358" s="429" t="n"/>
      <c r="H358" s="688" t="n"/>
      <c r="I358" s="688" t="inlineStr">
        <is>
          <t>LFC08</t>
        </is>
      </c>
      <c r="J358" s="394" t="inlineStr">
        <is>
          <t>LFC08</t>
        </is>
      </c>
      <c r="K358" s="447" t="inlineStr">
        <is>
          <t>Boolean</t>
        </is>
      </c>
      <c r="L358" s="429">
        <f>'LFD OLD'!R513</f>
        <v/>
      </c>
      <c r="M358" s="688" t="inlineStr">
        <is>
          <t>0</t>
        </is>
      </c>
      <c r="N358" s="487" t="n"/>
      <c r="BK358" s="321" t="n"/>
    </row>
    <row r="359" ht="21" customHeight="1">
      <c r="A359" s="485" t="n">
        <v>287</v>
      </c>
      <c r="B359" s="429" t="inlineStr">
        <is>
          <t>LFC05</t>
        </is>
      </c>
      <c r="C359" s="394" t="inlineStr">
        <is>
          <t>Cooling enable</t>
        </is>
      </c>
      <c r="D359" s="447" t="inlineStr">
        <is>
          <t>Boolean</t>
        </is>
      </c>
      <c r="E359" s="429" t="n"/>
      <c r="F359" s="429">
        <f>'LFD New'!D65</f>
        <v/>
      </c>
      <c r="G359" s="429" t="n"/>
      <c r="H359" s="688" t="n"/>
      <c r="I359" s="688" t="inlineStr">
        <is>
          <t>LFC11</t>
        </is>
      </c>
      <c r="J359" s="394" t="inlineStr">
        <is>
          <t>LFC 11</t>
        </is>
      </c>
      <c r="K359" s="447" t="inlineStr">
        <is>
          <t>Boolean</t>
        </is>
      </c>
      <c r="L359" s="429">
        <f>'LFD OLD'!R514</f>
        <v/>
      </c>
      <c r="M359" s="688" t="inlineStr">
        <is>
          <t>0</t>
        </is>
      </c>
      <c r="N359" s="487" t="n"/>
    </row>
    <row r="360" ht="21" customHeight="1">
      <c r="A360" s="485" t="n">
        <v>288</v>
      </c>
      <c r="B360" s="429" t="inlineStr">
        <is>
          <t>LFC06</t>
        </is>
      </c>
      <c r="C360" s="394" t="inlineStr">
        <is>
          <t>Heating enable</t>
        </is>
      </c>
      <c r="D360" s="447" t="inlineStr">
        <is>
          <t>Boolean</t>
        </is>
      </c>
      <c r="E360" s="429" t="n"/>
      <c r="F360" s="429">
        <f>'LFD New'!D66</f>
        <v/>
      </c>
      <c r="G360" s="429" t="n"/>
      <c r="H360" s="688" t="n"/>
      <c r="I360" s="688" t="inlineStr">
        <is>
          <t>LFC12</t>
        </is>
      </c>
      <c r="J360" s="394" t="inlineStr">
        <is>
          <t>allowed HVAC modes</t>
        </is>
      </c>
      <c r="K360" s="447" t="inlineStr">
        <is>
          <t>Boolean</t>
        </is>
      </c>
      <c r="L360" s="429">
        <f>'LFD OLD'!R515</f>
        <v/>
      </c>
      <c r="M360" s="688" t="inlineStr">
        <is>
          <t>0</t>
        </is>
      </c>
      <c r="N360" s="487" t="n"/>
    </row>
    <row r="361" ht="21" customHeight="1">
      <c r="A361" s="485" t="n">
        <v>289</v>
      </c>
      <c r="B361" s="429" t="inlineStr">
        <is>
          <t>LFC09</t>
        </is>
      </c>
      <c r="C361" s="394" t="inlineStr">
        <is>
          <t>Reheat enable</t>
        </is>
      </c>
      <c r="D361" s="447" t="inlineStr">
        <is>
          <t>Boolean</t>
        </is>
      </c>
      <c r="E361" s="429" t="n"/>
      <c r="F361" s="429">
        <f>'LFD New'!D67</f>
        <v/>
      </c>
      <c r="G361" s="429" t="n"/>
      <c r="H361" s="688" t="n"/>
      <c r="I361" s="688" t="n"/>
      <c r="J361" s="407" t="n"/>
      <c r="K361" s="447" t="inlineStr">
        <is>
          <t>Boolean</t>
        </is>
      </c>
      <c r="L361" s="429" t="n"/>
      <c r="M361" s="688" t="n"/>
      <c r="N361" s="487" t="n"/>
    </row>
    <row r="362" ht="21" customHeight="1" thickBot="1">
      <c r="A362" s="488" t="n">
        <v>290</v>
      </c>
      <c r="B362" s="489" t="inlineStr">
        <is>
          <t>LFC10</t>
        </is>
      </c>
      <c r="C362" s="410" t="inlineStr">
        <is>
          <t>ventilation enable</t>
        </is>
      </c>
      <c r="D362" s="490" t="inlineStr">
        <is>
          <t>Boolean</t>
        </is>
      </c>
      <c r="E362" s="489" t="n"/>
      <c r="F362" s="489">
        <f>'LFD New'!D68</f>
        <v/>
      </c>
      <c r="G362" s="489" t="n"/>
      <c r="H362" s="689" t="n"/>
      <c r="I362" s="689" t="n"/>
      <c r="J362" s="408" t="n"/>
      <c r="K362" s="490" t="inlineStr">
        <is>
          <t>Boolean</t>
        </is>
      </c>
      <c r="L362" s="489" t="n"/>
      <c r="M362" s="689" t="n"/>
      <c r="N362" s="492" t="n"/>
    </row>
    <row r="363" ht="21" customHeight="1">
      <c r="A363" s="494" t="n">
        <v>291</v>
      </c>
      <c r="B363" s="495" t="n"/>
      <c r="C363" s="486" t="n"/>
      <c r="D363" s="496" t="inlineStr">
        <is>
          <t>Boolean</t>
        </is>
      </c>
      <c r="E363" s="495" t="n"/>
      <c r="F363" s="495" t="n"/>
      <c r="G363" s="495" t="n"/>
      <c r="H363" s="494" t="n"/>
      <c r="I363" s="494" t="n"/>
      <c r="J363" s="486" t="n"/>
      <c r="K363" s="496" t="inlineStr">
        <is>
          <t>Boolean</t>
        </is>
      </c>
      <c r="L363" s="495" t="n"/>
      <c r="M363" s="494" t="n"/>
      <c r="N363" s="495" t="n"/>
    </row>
    <row r="364" ht="21" customHeight="1">
      <c r="A364" s="688" t="n">
        <v>292</v>
      </c>
      <c r="B364" s="429" t="inlineStr">
        <is>
          <t>LFC01</t>
        </is>
      </c>
      <c r="C364" s="394" t="inlineStr">
        <is>
          <t>APS_415_VAC_available</t>
        </is>
      </c>
      <c r="D364" s="447" t="inlineStr">
        <is>
          <t>Boolean</t>
        </is>
      </c>
      <c r="E364" s="429" t="n"/>
      <c r="F364" s="429">
        <f>'LFD New'!D94</f>
        <v/>
      </c>
      <c r="G364" s="429" t="n"/>
      <c r="H364" s="688" t="n"/>
      <c r="I364" s="688" t="inlineStr">
        <is>
          <t>LFC10</t>
        </is>
      </c>
      <c r="J364" s="394" t="inlineStr">
        <is>
          <t>HVAC enable</t>
        </is>
      </c>
      <c r="K364" s="447" t="inlineStr">
        <is>
          <t>Boolean</t>
        </is>
      </c>
      <c r="L364" s="429">
        <f>'LFD OLD'!R531</f>
        <v/>
      </c>
      <c r="M364" s="688" t="inlineStr">
        <is>
          <t>0</t>
        </is>
      </c>
      <c r="N364" s="429" t="n"/>
      <c r="BK364" s="321" t="n"/>
    </row>
    <row r="365" ht="21" customHeight="1">
      <c r="A365" s="688" t="n">
        <v>293</v>
      </c>
      <c r="B365" s="429" t="inlineStr">
        <is>
          <t>LFC02</t>
        </is>
      </c>
      <c r="C365" s="394" t="inlineStr">
        <is>
          <t>110_VDC_control available</t>
        </is>
      </c>
      <c r="D365" s="447" t="inlineStr">
        <is>
          <t>Boolean</t>
        </is>
      </c>
      <c r="E365" s="429" t="n"/>
      <c r="F365" s="429">
        <f>'LFD New'!D95</f>
        <v/>
      </c>
      <c r="G365" s="429" t="n"/>
      <c r="H365" s="688" t="n"/>
      <c r="I365" s="688" t="inlineStr">
        <is>
          <t>LFC11</t>
        </is>
      </c>
      <c r="J365" s="394" t="inlineStr">
        <is>
          <t>Supply_ air fan</t>
        </is>
      </c>
      <c r="K365" s="447" t="inlineStr">
        <is>
          <t>Boolean</t>
        </is>
      </c>
      <c r="L365" s="429">
        <f>'LFD OLD'!R532</f>
        <v/>
      </c>
      <c r="M365" s="688" t="inlineStr">
        <is>
          <t>0</t>
        </is>
      </c>
      <c r="N365" s="429" t="n"/>
    </row>
    <row r="366" ht="21" customHeight="1">
      <c r="A366" s="688" t="n">
        <v>294</v>
      </c>
      <c r="B366" s="429" t="inlineStr">
        <is>
          <t>LFC03</t>
        </is>
      </c>
      <c r="C366" s="394" t="inlineStr">
        <is>
          <t>110_VDC_FADR_available</t>
        </is>
      </c>
      <c r="D366" s="447" t="inlineStr">
        <is>
          <t>Boolean</t>
        </is>
      </c>
      <c r="E366" s="429" t="n"/>
      <c r="F366" s="429">
        <f>'LFD New'!D96</f>
        <v/>
      </c>
      <c r="G366" s="429" t="n"/>
      <c r="H366" s="688" t="n"/>
      <c r="I366" s="688" t="inlineStr">
        <is>
          <t>LFC12</t>
        </is>
      </c>
      <c r="J366" s="394" t="inlineStr">
        <is>
          <t>SAF feedback</t>
        </is>
      </c>
      <c r="K366" s="447" t="inlineStr">
        <is>
          <t>Boolean</t>
        </is>
      </c>
      <c r="L366" s="429">
        <f>'LFD OLD'!R533</f>
        <v/>
      </c>
      <c r="M366" s="688" t="inlineStr">
        <is>
          <t>0</t>
        </is>
      </c>
      <c r="N366" s="429" t="n"/>
    </row>
    <row r="367" ht="21" customHeight="1">
      <c r="A367" s="688" t="n">
        <v>295</v>
      </c>
      <c r="B367" s="429" t="inlineStr">
        <is>
          <t>LFC04</t>
        </is>
      </c>
      <c r="C367" s="394" t="inlineStr">
        <is>
          <t>110_VDC_SFC_OFF_relay_available</t>
        </is>
      </c>
      <c r="D367" s="447" t="inlineStr">
        <is>
          <t>Boolean</t>
        </is>
      </c>
      <c r="E367" s="429" t="n"/>
      <c r="F367" s="429">
        <f>'LFD New'!D97</f>
        <v/>
      </c>
      <c r="G367" s="429" t="n"/>
      <c r="H367" s="688" t="n"/>
      <c r="I367" s="688" t="inlineStr">
        <is>
          <t>LFC16</t>
        </is>
      </c>
      <c r="J367" s="394" t="inlineStr">
        <is>
          <t>Cooling_enable</t>
        </is>
      </c>
      <c r="K367" s="447" t="inlineStr">
        <is>
          <t>Boolean</t>
        </is>
      </c>
      <c r="L367" s="429">
        <f>'LFD OLD'!R534</f>
        <v/>
      </c>
      <c r="M367" s="688" t="inlineStr">
        <is>
          <t>0</t>
        </is>
      </c>
      <c r="N367" s="429" t="n"/>
    </row>
    <row r="368" ht="21" customHeight="1">
      <c r="A368" s="688" t="n">
        <v>296</v>
      </c>
      <c r="B368" s="429" t="inlineStr">
        <is>
          <t>LFC05</t>
        </is>
      </c>
      <c r="C368" s="394" t="inlineStr">
        <is>
          <t>HVAC_unit_all_circuit_breaker_ON</t>
        </is>
      </c>
      <c r="D368" s="447" t="inlineStr">
        <is>
          <t>Boolean</t>
        </is>
      </c>
      <c r="E368" s="429" t="n"/>
      <c r="F368" s="429">
        <f>'LFD New'!D98</f>
        <v/>
      </c>
      <c r="G368" s="429" t="n"/>
      <c r="H368" s="688" t="n"/>
      <c r="I368" s="688" t="inlineStr">
        <is>
          <t>LFC17</t>
        </is>
      </c>
      <c r="J368" s="394" t="inlineStr">
        <is>
          <t>Heating_Enable</t>
        </is>
      </c>
      <c r="K368" s="447" t="inlineStr">
        <is>
          <t>Boolean</t>
        </is>
      </c>
      <c r="L368" s="429">
        <f>'LFD OLD'!R535</f>
        <v/>
      </c>
      <c r="M368" s="688" t="inlineStr">
        <is>
          <t>0</t>
        </is>
      </c>
      <c r="N368" s="429" t="n"/>
    </row>
    <row r="369" ht="21" customHeight="1">
      <c r="A369" s="688" t="n">
        <v>297</v>
      </c>
      <c r="B369" s="429" t="inlineStr">
        <is>
          <t>LFC06</t>
        </is>
      </c>
      <c r="C369" s="394" t="inlineStr">
        <is>
          <t>Car_HVAC_circuit_breaker_ON</t>
        </is>
      </c>
      <c r="D369" s="447" t="inlineStr">
        <is>
          <t>Boolean</t>
        </is>
      </c>
      <c r="E369" s="429" t="n"/>
      <c r="F369" s="429">
        <f>'LFD New'!D99</f>
        <v/>
      </c>
      <c r="G369" s="429" t="n"/>
      <c r="H369" s="688" t="n"/>
      <c r="I369" s="688" t="inlineStr">
        <is>
          <t>LFC18</t>
        </is>
      </c>
      <c r="J369" s="394" t="inlineStr">
        <is>
          <t>Ventilation_enable</t>
        </is>
      </c>
      <c r="K369" s="447" t="inlineStr">
        <is>
          <t>Boolean</t>
        </is>
      </c>
      <c r="L369" s="429">
        <f>'LFD OLD'!R536</f>
        <v/>
      </c>
      <c r="M369" s="688" t="inlineStr">
        <is>
          <t>0</t>
        </is>
      </c>
      <c r="N369" s="429" t="n"/>
    </row>
    <row r="370" ht="21" customHeight="1">
      <c r="A370" s="688" t="n">
        <v>298</v>
      </c>
      <c r="B370" s="429" t="inlineStr">
        <is>
          <t>LFC07</t>
        </is>
      </c>
      <c r="C370" s="394" t="inlineStr">
        <is>
          <t>Emergency_ventilation_mode</t>
        </is>
      </c>
      <c r="D370" s="447" t="inlineStr">
        <is>
          <t>Boolean</t>
        </is>
      </c>
      <c r="E370" s="429" t="n"/>
      <c r="F370" s="429">
        <f>'LFD New'!D100</f>
        <v/>
      </c>
      <c r="G370" s="429" t="n"/>
      <c r="H370" s="688" t="n"/>
      <c r="I370" s="688" t="n"/>
      <c r="J370" s="407" t="n"/>
      <c r="K370" s="447" t="inlineStr">
        <is>
          <t>Boolean</t>
        </is>
      </c>
      <c r="L370" s="429" t="n"/>
      <c r="M370" s="688" t="n"/>
      <c r="N370" s="429" t="n"/>
      <c r="BK370" s="321" t="n"/>
    </row>
    <row r="371" ht="21" customHeight="1">
      <c r="A371" s="688" t="n">
        <v>299</v>
      </c>
      <c r="B371" s="429" t="inlineStr">
        <is>
          <t>LFC08</t>
        </is>
      </c>
      <c r="C371" s="394" t="inlineStr">
        <is>
          <t>TCMS_auto_mode</t>
        </is>
      </c>
      <c r="D371" s="447" t="inlineStr">
        <is>
          <t>Boolean</t>
        </is>
      </c>
      <c r="E371" s="429" t="n"/>
      <c r="F371" s="429">
        <f>'LFD New'!D101</f>
        <v/>
      </c>
      <c r="G371" s="429" t="n"/>
      <c r="H371" s="688" t="n"/>
      <c r="I371" s="688" t="n"/>
      <c r="J371" s="407" t="n"/>
      <c r="K371" s="447" t="inlineStr">
        <is>
          <t>Boolean</t>
        </is>
      </c>
      <c r="L371" s="429" t="n"/>
      <c r="M371" s="688" t="n"/>
      <c r="N371" s="429" t="n"/>
    </row>
    <row r="372" ht="21" customHeight="1" thickBot="1">
      <c r="A372" s="474" t="n">
        <v>300</v>
      </c>
      <c r="B372" s="468" t="inlineStr">
        <is>
          <t>LFC09</t>
        </is>
      </c>
      <c r="C372" s="395" t="inlineStr">
        <is>
          <t>APS degraded</t>
        </is>
      </c>
      <c r="D372" s="476" t="inlineStr">
        <is>
          <t>Boolean</t>
        </is>
      </c>
      <c r="E372" s="468" t="n"/>
      <c r="F372" s="429">
        <f>'LFD New'!D102</f>
        <v/>
      </c>
      <c r="G372" s="468" t="n"/>
      <c r="H372" s="474" t="n"/>
      <c r="I372" s="474" t="n"/>
      <c r="J372" s="475" t="n"/>
      <c r="K372" s="476" t="inlineStr">
        <is>
          <t>Boolean</t>
        </is>
      </c>
      <c r="L372" s="468" t="n"/>
      <c r="M372" s="474" t="n"/>
      <c r="N372" s="468" t="n"/>
    </row>
    <row r="373" ht="21" customHeight="1" thickBot="1">
      <c r="A373" s="477" t="n">
        <v>301</v>
      </c>
      <c r="B373" s="478" t="n"/>
      <c r="C373" s="479" t="inlineStr">
        <is>
          <t>Compressor Management Conditions to Start Compressor</t>
        </is>
      </c>
      <c r="D373" s="480" t="inlineStr">
        <is>
          <t>Boolean</t>
        </is>
      </c>
      <c r="E373" s="481" t="n"/>
      <c r="F373" s="481" t="n"/>
      <c r="G373" s="481" t="n"/>
      <c r="H373" s="482" t="n"/>
      <c r="I373" s="482" t="n"/>
      <c r="J373" s="406" t="n"/>
      <c r="K373" s="483" t="inlineStr">
        <is>
          <t>Boolean</t>
        </is>
      </c>
      <c r="L373" s="481" t="n"/>
      <c r="M373" s="482" t="n"/>
      <c r="N373" s="484" t="n"/>
    </row>
    <row r="374" ht="21" customHeight="1">
      <c r="A374" s="485" t="n">
        <v>302</v>
      </c>
      <c r="B374" s="429" t="inlineStr">
        <is>
          <t>LFC01</t>
        </is>
      </c>
      <c r="C374" s="493" t="inlineStr">
        <is>
          <t>HVAC_AUTO_mode_TCMS</t>
        </is>
      </c>
      <c r="D374" s="447" t="inlineStr">
        <is>
          <t>Boolean</t>
        </is>
      </c>
      <c r="E374" s="429" t="n"/>
      <c r="F374" s="429">
        <f>'LFD New'!D18</f>
        <v/>
      </c>
      <c r="G374" s="429" t="n"/>
      <c r="H374" s="688" t="n"/>
      <c r="I374" s="688" t="n"/>
      <c r="J374" s="407" t="n"/>
      <c r="K374" s="447" t="inlineStr">
        <is>
          <t>Boolean</t>
        </is>
      </c>
      <c r="L374" s="429" t="n"/>
      <c r="M374" s="688" t="n"/>
      <c r="N374" s="487" t="n"/>
    </row>
    <row r="375" ht="21" customHeight="1">
      <c r="A375" s="485" t="n">
        <v>303</v>
      </c>
      <c r="B375" s="429" t="inlineStr">
        <is>
          <t>LFC02</t>
        </is>
      </c>
      <c r="C375" s="394" t="inlineStr">
        <is>
          <t>PPR_high</t>
        </is>
      </c>
      <c r="D375" s="447" t="inlineStr">
        <is>
          <t>Boolean</t>
        </is>
      </c>
      <c r="E375" s="429" t="n"/>
      <c r="F375" s="429">
        <f>'LFD New'!D19</f>
        <v/>
      </c>
      <c r="G375" s="429" t="n"/>
      <c r="H375" s="688" t="n"/>
      <c r="I375" s="688" t="n"/>
      <c r="J375" s="407" t="n"/>
      <c r="K375" s="447" t="inlineStr">
        <is>
          <t>Boolean</t>
        </is>
      </c>
      <c r="L375" s="429" t="n"/>
      <c r="M375" s="688" t="n"/>
      <c r="N375" s="487" t="n"/>
      <c r="BK375" s="321" t="n"/>
    </row>
    <row r="376" ht="21" customHeight="1">
      <c r="A376" s="485" t="n">
        <v>304</v>
      </c>
      <c r="B376" s="429" t="inlineStr">
        <is>
          <t>LFC03</t>
        </is>
      </c>
      <c r="C376" s="394" t="inlineStr">
        <is>
          <t>Fresh_air_temp_&gt;T4</t>
        </is>
      </c>
      <c r="D376" s="447" t="inlineStr">
        <is>
          <t>Boolean</t>
        </is>
      </c>
      <c r="E376" s="429" t="n"/>
      <c r="F376" s="429">
        <f>IF('Mode Logic'!C18&gt;'Mode Logic'!G5,1,0)</f>
        <v/>
      </c>
      <c r="G376" s="429" t="n"/>
      <c r="H376" s="688" t="n"/>
      <c r="I376" s="688" t="inlineStr">
        <is>
          <t>LFC10</t>
        </is>
      </c>
      <c r="J376" s="394" t="inlineStr">
        <is>
          <t>Comp._START_allow_Sequence</t>
        </is>
      </c>
      <c r="K376" s="447" t="inlineStr">
        <is>
          <t>Boolean</t>
        </is>
      </c>
      <c r="L376" s="429">
        <f>'LFD OLD'!R551</f>
        <v/>
      </c>
      <c r="M376" s="688" t="inlineStr">
        <is>
          <t>0</t>
        </is>
      </c>
      <c r="N376" s="487" t="n"/>
    </row>
    <row r="377" ht="21" customHeight="1">
      <c r="A377" s="485" t="n">
        <v>305</v>
      </c>
      <c r="B377" s="429" t="inlineStr">
        <is>
          <t>LFC04</t>
        </is>
      </c>
      <c r="C377" s="394" t="inlineStr">
        <is>
          <t>Cooling domand_&gt;25%</t>
        </is>
      </c>
      <c r="D377" s="447" t="inlineStr">
        <is>
          <t>Boolean</t>
        </is>
      </c>
      <c r="E377" s="429" t="n"/>
      <c r="F377" s="429">
        <f>IF(OR(AE20:AE23),1,0)</f>
        <v/>
      </c>
      <c r="G377" s="429" t="n"/>
      <c r="H377" s="688" t="n"/>
      <c r="I377" s="688" t="n"/>
      <c r="J377" s="407" t="n"/>
      <c r="K377" s="447" t="inlineStr">
        <is>
          <t>Boolean</t>
        </is>
      </c>
      <c r="L377" s="429" t="n"/>
      <c r="M377" s="688" t="n"/>
      <c r="N377" s="487" t="n"/>
    </row>
    <row r="378" ht="20.25" customHeight="1">
      <c r="A378" s="485" t="n">
        <v>306</v>
      </c>
      <c r="B378" s="429" t="inlineStr">
        <is>
          <t>LFC05</t>
        </is>
      </c>
      <c r="C378" s="394" t="inlineStr">
        <is>
          <t>Comp_min._OFF_timer_expired</t>
        </is>
      </c>
      <c r="D378" s="447" t="inlineStr">
        <is>
          <t>Boolean</t>
        </is>
      </c>
      <c r="E378" s="429" t="n"/>
      <c r="F378" s="429">
        <f>'LFD New'!D20</f>
        <v/>
      </c>
      <c r="G378" s="429" t="n"/>
      <c r="H378" s="688" t="n"/>
      <c r="I378" s="688" t="n"/>
      <c r="J378" s="407" t="n"/>
      <c r="K378" s="447" t="inlineStr">
        <is>
          <t>Boolean</t>
        </is>
      </c>
      <c r="L378" s="429" t="n"/>
      <c r="M378" s="688" t="n"/>
      <c r="N378" s="487" t="n"/>
    </row>
    <row r="379" ht="20.25" customHeight="1">
      <c r="A379" s="485" t="n">
        <v>307</v>
      </c>
      <c r="B379" s="429" t="inlineStr">
        <is>
          <t>LFC06</t>
        </is>
      </c>
      <c r="C379" s="394" t="inlineStr">
        <is>
          <t>No_condenser_fan_failure</t>
        </is>
      </c>
      <c r="D379" s="447" t="inlineStr">
        <is>
          <t>Boolean</t>
        </is>
      </c>
      <c r="E379" s="429" t="n"/>
      <c r="F379" s="429">
        <f>'LFD New'!D21</f>
        <v/>
      </c>
      <c r="G379" s="429" t="n"/>
      <c r="H379" s="688" t="n"/>
      <c r="I379" s="688" t="n"/>
      <c r="J379" s="407" t="n"/>
      <c r="K379" s="447" t="inlineStr">
        <is>
          <t>Boolean</t>
        </is>
      </c>
      <c r="L379" s="429" t="n"/>
      <c r="M379" s="688" t="n"/>
      <c r="N379" s="487" t="n"/>
      <c r="BK379" s="321" t="n"/>
    </row>
    <row r="380" ht="20.25" customHeight="1">
      <c r="A380" s="485" t="n">
        <v>308</v>
      </c>
      <c r="B380" s="429" t="inlineStr">
        <is>
          <t>LFC07</t>
        </is>
      </c>
      <c r="C380" s="394" t="inlineStr">
        <is>
          <t>No_condenser_fan_failure</t>
        </is>
      </c>
      <c r="D380" s="447" t="inlineStr">
        <is>
          <t>Boolean</t>
        </is>
      </c>
      <c r="E380" s="429" t="n"/>
      <c r="F380" s="429">
        <f>'LFD New'!D22</f>
        <v/>
      </c>
      <c r="G380" s="429" t="n"/>
      <c r="H380" s="688" t="n"/>
      <c r="I380" s="688" t="n"/>
      <c r="J380" s="407" t="n"/>
      <c r="K380" s="447" t="inlineStr">
        <is>
          <t>Boolean</t>
        </is>
      </c>
      <c r="L380" s="429" t="n"/>
      <c r="M380" s="688" t="n"/>
      <c r="N380" s="487" t="n"/>
    </row>
    <row r="381" ht="20.25" customHeight="1">
      <c r="A381" s="485" t="n">
        <v>309</v>
      </c>
      <c r="B381" s="429" t="inlineStr">
        <is>
          <t>LFC08</t>
        </is>
      </c>
      <c r="C381" s="394" t="inlineStr">
        <is>
          <t>Comp. set._enabled</t>
        </is>
      </c>
      <c r="D381" s="447" t="inlineStr">
        <is>
          <t>Boolean</t>
        </is>
      </c>
      <c r="E381" s="429" t="n"/>
      <c r="F381" s="429">
        <f>'LFD New'!D23</f>
        <v/>
      </c>
      <c r="G381" s="429" t="n"/>
      <c r="H381" s="688" t="n"/>
      <c r="I381" s="688" t="n"/>
      <c r="J381" s="407" t="n"/>
      <c r="K381" s="447" t="inlineStr">
        <is>
          <t>Boolean</t>
        </is>
      </c>
      <c r="L381" s="429" t="n"/>
      <c r="M381" s="688" t="n"/>
      <c r="N381" s="487" t="n"/>
    </row>
    <row r="382" ht="20.25" customHeight="1" thickBot="1">
      <c r="A382" s="488" t="n">
        <v>310</v>
      </c>
      <c r="B382" s="489" t="inlineStr">
        <is>
          <t>LFC09</t>
        </is>
      </c>
      <c r="C382" s="410" t="inlineStr">
        <is>
          <t>Comp_start_not_inhibited-by_start_permission</t>
        </is>
      </c>
      <c r="D382" s="490" t="inlineStr">
        <is>
          <t>Boolean</t>
        </is>
      </c>
      <c r="E382" s="489" t="n"/>
      <c r="F382" s="489">
        <f>'LFD New'!D24</f>
        <v/>
      </c>
      <c r="G382" s="489" t="n"/>
      <c r="H382" s="689" t="n"/>
      <c r="I382" s="689" t="n"/>
      <c r="J382" s="408" t="n"/>
      <c r="K382" s="490" t="inlineStr">
        <is>
          <t>Boolean</t>
        </is>
      </c>
      <c r="L382" s="489" t="n"/>
      <c r="M382" s="689" t="n"/>
      <c r="N382" s="492" t="n"/>
    </row>
    <row r="383" ht="20.25" customHeight="1">
      <c r="A383" s="494" t="n">
        <v>311</v>
      </c>
      <c r="B383" s="495" t="n"/>
      <c r="C383" s="511" t="inlineStr">
        <is>
          <t>Compressor Startup Sequence</t>
        </is>
      </c>
      <c r="D383" s="496" t="inlineStr">
        <is>
          <t>Boolean</t>
        </is>
      </c>
      <c r="E383" s="495" t="n"/>
      <c r="F383" s="495" t="n"/>
      <c r="G383" s="495" t="n"/>
      <c r="H383" s="494" t="n"/>
      <c r="I383" s="494" t="n"/>
      <c r="J383" s="486" t="n"/>
      <c r="K383" s="496" t="inlineStr">
        <is>
          <t>Boolean</t>
        </is>
      </c>
      <c r="L383" s="495" t="n"/>
      <c r="M383" s="494" t="n"/>
      <c r="N383" s="495" t="n"/>
    </row>
    <row r="384" ht="20.25" customHeight="1">
      <c r="A384" s="688" t="n">
        <v>312</v>
      </c>
      <c r="B384" s="429" t="inlineStr">
        <is>
          <t>LFC01</t>
        </is>
      </c>
      <c r="C384" s="394" t="inlineStr">
        <is>
          <t>Comp_start_condition O</t>
        </is>
      </c>
      <c r="D384" s="447" t="inlineStr">
        <is>
          <t>Boolean</t>
        </is>
      </c>
      <c r="E384" s="429" t="n"/>
      <c r="F384" s="429">
        <f>M376</f>
        <v/>
      </c>
      <c r="G384" s="429" t="n"/>
      <c r="H384" s="688" t="n"/>
      <c r="I384" s="688" t="n"/>
      <c r="J384" s="407" t="n"/>
      <c r="K384" s="447" t="inlineStr">
        <is>
          <t>Boolean</t>
        </is>
      </c>
      <c r="L384" s="429" t="n"/>
      <c r="M384" s="688" t="n"/>
      <c r="N384" s="429" t="n"/>
    </row>
    <row r="385" ht="20.25" customHeight="1">
      <c r="A385" s="688" t="n">
        <v>313</v>
      </c>
      <c r="B385" s="429" t="inlineStr">
        <is>
          <t>LFC02</t>
        </is>
      </c>
      <c r="C385" s="394" t="inlineStr">
        <is>
          <t>CTMC_energized_condenser_fan_START</t>
        </is>
      </c>
      <c r="D385" s="447" t="inlineStr">
        <is>
          <t>Boolean</t>
        </is>
      </c>
      <c r="E385" s="429" t="n"/>
      <c r="F385" s="429">
        <f>'LFD New'!D25</f>
        <v/>
      </c>
      <c r="G385" s="429" t="n"/>
      <c r="H385" s="688" t="n"/>
      <c r="I385" s="688" t="inlineStr">
        <is>
          <t>LFC10</t>
        </is>
      </c>
      <c r="J385" s="394" t="inlineStr">
        <is>
          <t>Comp_START_UP</t>
        </is>
      </c>
      <c r="K385" s="447" t="inlineStr">
        <is>
          <t>Boolean</t>
        </is>
      </c>
      <c r="L385" s="429">
        <f>'LFD OLD'!R566</f>
        <v/>
      </c>
      <c r="M385" s="688" t="inlineStr">
        <is>
          <t>0</t>
        </is>
      </c>
      <c r="N385" s="429" t="n"/>
    </row>
    <row r="386" ht="20.25" customHeight="1">
      <c r="A386" s="688" t="n">
        <v>314</v>
      </c>
      <c r="B386" s="429" t="inlineStr">
        <is>
          <t>LFC03</t>
        </is>
      </c>
      <c r="C386" s="394" t="inlineStr">
        <is>
          <t>Liquid_line_solenoid_valve_open</t>
        </is>
      </c>
      <c r="D386" s="447" t="inlineStr">
        <is>
          <t>Boolean</t>
        </is>
      </c>
      <c r="E386" s="429" t="n"/>
      <c r="F386" s="429">
        <f>'LFD New'!D26</f>
        <v/>
      </c>
      <c r="G386" s="429" t="n"/>
      <c r="H386" s="688" t="n"/>
      <c r="I386" s="688" t="n"/>
      <c r="J386" s="407" t="n"/>
      <c r="K386" s="447" t="inlineStr">
        <is>
          <t>Boolean</t>
        </is>
      </c>
      <c r="L386" s="429" t="n"/>
      <c r="M386" s="688" t="n"/>
      <c r="N386" s="429" t="n"/>
    </row>
    <row r="387" ht="20.25" customHeight="1">
      <c r="A387" s="688" t="n">
        <v>315</v>
      </c>
      <c r="B387" s="429" t="inlineStr">
        <is>
          <t>LFC04</t>
        </is>
      </c>
      <c r="C387" s="394" t="inlineStr">
        <is>
          <t>CFMC_feedback_OK</t>
        </is>
      </c>
      <c r="D387" s="447" t="inlineStr">
        <is>
          <t>Boolean</t>
        </is>
      </c>
      <c r="E387" s="429" t="n"/>
      <c r="F387" s="429">
        <f>'LFD New'!D27</f>
        <v/>
      </c>
      <c r="G387" s="429" t="n"/>
      <c r="H387" s="688" t="n"/>
      <c r="I387" s="688" t="n"/>
      <c r="J387" s="407" t="n"/>
      <c r="K387" s="447" t="inlineStr">
        <is>
          <t>Boolean</t>
        </is>
      </c>
      <c r="L387" s="429" t="n"/>
      <c r="M387" s="688" t="n"/>
      <c r="N387" s="429" t="n"/>
    </row>
    <row r="388" ht="20.25" customHeight="1">
      <c r="A388" s="688" t="n">
        <v>316</v>
      </c>
      <c r="B388" s="429" t="inlineStr">
        <is>
          <t>LFC05</t>
        </is>
      </c>
      <c r="C388" s="394" t="inlineStr">
        <is>
          <t>CMC_energized</t>
        </is>
      </c>
      <c r="D388" s="447" t="inlineStr">
        <is>
          <t>Boolean</t>
        </is>
      </c>
      <c r="E388" s="429" t="n"/>
      <c r="F388" s="429">
        <f>'LFD New'!D28</f>
        <v/>
      </c>
      <c r="G388" s="429" t="n"/>
      <c r="H388" s="688" t="n"/>
      <c r="I388" s="688" t="n"/>
      <c r="J388" s="407" t="n"/>
      <c r="K388" s="447" t="inlineStr">
        <is>
          <t>Boolean</t>
        </is>
      </c>
      <c r="L388" s="429" t="n"/>
      <c r="M388" s="688" t="n"/>
      <c r="N388" s="429" t="n"/>
      <c r="BK388" s="321" t="n"/>
    </row>
    <row r="389" ht="20.25" customHeight="1">
      <c r="A389" s="688" t="n">
        <v>317</v>
      </c>
      <c r="B389" s="429" t="inlineStr">
        <is>
          <t>LFC06</t>
        </is>
      </c>
      <c r="C389" s="394" t="inlineStr">
        <is>
          <t>Cooling_demand_&gt;_2nd_comp._threshold</t>
        </is>
      </c>
      <c r="D389" s="447" t="inlineStr">
        <is>
          <t>Boolean</t>
        </is>
      </c>
      <c r="E389" s="429" t="n"/>
      <c r="F389" s="429">
        <f>'LFD New'!D29</f>
        <v/>
      </c>
      <c r="G389" s="429" t="n"/>
      <c r="H389" s="688" t="n"/>
      <c r="I389" s="688" t="n"/>
      <c r="J389" s="407" t="n"/>
      <c r="K389" s="447" t="inlineStr">
        <is>
          <t>Boolean</t>
        </is>
      </c>
      <c r="L389" s="429" t="n"/>
      <c r="M389" s="688" t="n"/>
      <c r="N389" s="429" t="n"/>
    </row>
    <row r="390" ht="20.25" customHeight="1">
      <c r="A390" s="688" t="n">
        <v>318</v>
      </c>
      <c r="B390" s="429" t="inlineStr">
        <is>
          <t>LFC07</t>
        </is>
      </c>
      <c r="C390" s="394" t="inlineStr">
        <is>
          <t>2nd_comp._required</t>
        </is>
      </c>
      <c r="D390" s="447" t="inlineStr">
        <is>
          <t>Boolean</t>
        </is>
      </c>
      <c r="E390" s="429" t="n"/>
      <c r="F390" s="429">
        <f>'LFD New'!D30</f>
        <v/>
      </c>
      <c r="G390" s="429" t="n"/>
      <c r="H390" s="688" t="n"/>
      <c r="I390" s="688" t="n"/>
      <c r="J390" s="407" t="n"/>
      <c r="K390" s="447" t="inlineStr">
        <is>
          <t>Boolean</t>
        </is>
      </c>
      <c r="L390" s="429" t="n"/>
      <c r="M390" s="688" t="n"/>
      <c r="N390" s="429" t="n"/>
    </row>
    <row r="391" ht="20.25" customHeight="1">
      <c r="A391" s="688" t="n">
        <v>319</v>
      </c>
      <c r="B391" s="429" t="inlineStr">
        <is>
          <t>LFC08</t>
        </is>
      </c>
      <c r="C391" s="394" t="inlineStr">
        <is>
          <t>Comp.start-_allowed</t>
        </is>
      </c>
      <c r="D391" s="447" t="inlineStr">
        <is>
          <t>Boolean</t>
        </is>
      </c>
      <c r="E391" s="429" t="n"/>
      <c r="F391" s="429">
        <f>'LFD New'!D31</f>
        <v/>
      </c>
      <c r="G391" s="429" t="n"/>
      <c r="H391" s="688" t="n"/>
      <c r="I391" s="688" t="n"/>
      <c r="J391" s="407" t="n"/>
      <c r="K391" s="447" t="inlineStr">
        <is>
          <t>Boolean</t>
        </is>
      </c>
      <c r="L391" s="429" t="n"/>
      <c r="M391" s="688" t="n"/>
      <c r="N391" s="429" t="n"/>
    </row>
    <row r="392" ht="20.25" customHeight="1" thickBot="1">
      <c r="A392" s="474" t="n">
        <v>320</v>
      </c>
      <c r="B392" s="468" t="inlineStr">
        <is>
          <t>LFC09</t>
        </is>
      </c>
      <c r="C392" s="395" t="inlineStr">
        <is>
          <t>CFM fan OK</t>
        </is>
      </c>
      <c r="D392" s="476" t="inlineStr">
        <is>
          <t>Boolean</t>
        </is>
      </c>
      <c r="E392" s="468" t="n"/>
      <c r="F392" s="468">
        <f>'LFD New'!D32</f>
        <v/>
      </c>
      <c r="G392" s="468" t="n"/>
      <c r="H392" s="474" t="n"/>
      <c r="I392" s="474" t="n"/>
      <c r="J392" s="475" t="n"/>
      <c r="K392" s="476" t="inlineStr">
        <is>
          <t>Boolean</t>
        </is>
      </c>
      <c r="L392" s="468" t="n"/>
      <c r="M392" s="474" t="n"/>
      <c r="N392" s="468" t="n"/>
    </row>
    <row r="393" ht="20.25" customHeight="1" thickBot="1">
      <c r="A393" s="477" t="n">
        <v>321</v>
      </c>
      <c r="B393" s="478" t="n"/>
      <c r="C393" s="479" t="inlineStr">
        <is>
          <t>Compressor Cooling and Power Modulation</t>
        </is>
      </c>
      <c r="D393" s="480" t="inlineStr">
        <is>
          <t>Boolean</t>
        </is>
      </c>
      <c r="E393" s="481" t="n"/>
      <c r="F393" s="481" t="n"/>
      <c r="G393" s="481" t="n"/>
      <c r="H393" s="482" t="n"/>
      <c r="I393" s="482" t="n"/>
      <c r="J393" s="409" t="inlineStr">
        <is>
          <t>CD_2_25%_CM1_ON</t>
        </is>
      </c>
      <c r="K393" s="483" t="inlineStr">
        <is>
          <t>Boolean</t>
        </is>
      </c>
      <c r="L393" s="481">
        <f>'LFD OLD'!R577</f>
        <v/>
      </c>
      <c r="M393" s="482" t="inlineStr">
        <is>
          <t>1</t>
        </is>
      </c>
      <c r="N393" s="484" t="n"/>
    </row>
    <row r="394" ht="20.25" customHeight="1">
      <c r="A394" s="485" t="n">
        <v>322</v>
      </c>
      <c r="B394" s="429" t="inlineStr">
        <is>
          <t>LFC01</t>
        </is>
      </c>
      <c r="C394" s="493" t="inlineStr">
        <is>
          <t>Cooling demand</t>
        </is>
      </c>
      <c r="D394" s="447" t="inlineStr">
        <is>
          <t>Boolean</t>
        </is>
      </c>
      <c r="E394" s="429" t="n"/>
      <c r="F394" s="429">
        <f>IF(OR(AE18:AE23,AE26,AE27),1,0)</f>
        <v/>
      </c>
      <c r="G394" s="429" t="n"/>
      <c r="H394" s="688" t="n"/>
      <c r="I394" s="688" t="inlineStr">
        <is>
          <t>LFC10</t>
        </is>
      </c>
      <c r="J394" s="394" t="inlineStr">
        <is>
          <t>CD_2_30%_CM2_ON</t>
        </is>
      </c>
      <c r="K394" s="447" t="inlineStr">
        <is>
          <t>Boolean</t>
        </is>
      </c>
      <c r="L394" s="429">
        <f>'LFD OLD'!R578</f>
        <v/>
      </c>
      <c r="M394" s="688" t="inlineStr">
        <is>
          <t>1</t>
        </is>
      </c>
      <c r="N394" s="487" t="n"/>
    </row>
    <row r="395" ht="20.25" customHeight="1">
      <c r="A395" s="485" t="n">
        <v>323</v>
      </c>
      <c r="B395" s="429" t="inlineStr">
        <is>
          <t>LFC04</t>
        </is>
      </c>
      <c r="C395" s="394" t="inlineStr">
        <is>
          <t>CD_&lt;_30%</t>
        </is>
      </c>
      <c r="D395" s="447" t="inlineStr">
        <is>
          <t>Boolean</t>
        </is>
      </c>
      <c r="E395" s="429" t="n"/>
      <c r="F395" s="429" t="n">
        <v>1</v>
      </c>
      <c r="G395" s="429" t="n"/>
      <c r="H395" s="688" t="n"/>
      <c r="I395" s="688" t="n"/>
      <c r="J395" s="394" t="inlineStr">
        <is>
          <t>CD_2_75%_CM3_ON</t>
        </is>
      </c>
      <c r="K395" s="447" t="inlineStr">
        <is>
          <t>Boolean</t>
        </is>
      </c>
      <c r="L395" s="429">
        <f>'LFD OLD'!R579</f>
        <v/>
      </c>
      <c r="M395" s="688" t="inlineStr">
        <is>
          <t>1</t>
        </is>
      </c>
      <c r="N395" s="487" t="n"/>
    </row>
    <row r="396" ht="20.25" customHeight="1">
      <c r="A396" s="485" t="n">
        <v>324</v>
      </c>
      <c r="B396" s="429" t="inlineStr">
        <is>
          <t>LFC05</t>
        </is>
      </c>
      <c r="C396" s="394" t="inlineStr">
        <is>
          <t>CD_&gt;_30%</t>
        </is>
      </c>
      <c r="D396" s="447" t="inlineStr">
        <is>
          <t>Boolean</t>
        </is>
      </c>
      <c r="E396" s="429" t="n"/>
      <c r="F396" s="429" t="n">
        <v>1</v>
      </c>
      <c r="G396" s="429" t="n"/>
      <c r="H396" s="688" t="n"/>
      <c r="I396" s="688" t="n"/>
      <c r="J396" s="394" t="inlineStr">
        <is>
          <t>CD_2_100%_CM_ON</t>
        </is>
      </c>
      <c r="K396" s="447" t="inlineStr">
        <is>
          <t>Boolean</t>
        </is>
      </c>
      <c r="L396" s="429">
        <f>'LFD OLD'!R580</f>
        <v/>
      </c>
      <c r="M396" s="688" t="inlineStr">
        <is>
          <t>1</t>
        </is>
      </c>
      <c r="N396" s="487" t="n"/>
    </row>
    <row r="397" ht="20.25" customHeight="1">
      <c r="A397" s="485" t="n">
        <v>325</v>
      </c>
      <c r="B397" s="429" t="inlineStr">
        <is>
          <t>LFC06</t>
        </is>
      </c>
      <c r="C397" s="394" t="inlineStr">
        <is>
          <t>CM4_ON (VFD mode) 45_65_Hz Modulation</t>
        </is>
      </c>
      <c r="D397" s="447" t="inlineStr">
        <is>
          <t>Boolean</t>
        </is>
      </c>
      <c r="E397" s="429" t="n"/>
      <c r="F397" s="429" t="n">
        <v>1</v>
      </c>
      <c r="G397" s="429" t="n"/>
      <c r="H397" s="688" t="n"/>
      <c r="I397" s="688" t="n"/>
      <c r="J397" s="407" t="n"/>
      <c r="K397" s="447" t="inlineStr">
        <is>
          <t>Boolean</t>
        </is>
      </c>
      <c r="L397" s="429" t="n"/>
      <c r="M397" s="688" t="n"/>
      <c r="N397" s="487" t="n"/>
    </row>
    <row r="398" ht="20.25" customHeight="1" thickBot="1">
      <c r="A398" s="488" t="n">
        <v>326</v>
      </c>
      <c r="B398" s="489" t="inlineStr">
        <is>
          <t>LFC07</t>
        </is>
      </c>
      <c r="C398" s="410" t="inlineStr">
        <is>
          <t>CM4 (50Hz)</t>
        </is>
      </c>
      <c r="D398" s="490" t="inlineStr">
        <is>
          <t>Boolean</t>
        </is>
      </c>
      <c r="E398" s="489" t="n"/>
      <c r="F398" s="489" t="n">
        <v>1</v>
      </c>
      <c r="G398" s="489" t="n"/>
      <c r="H398" s="689" t="n"/>
      <c r="I398" s="689" t="n"/>
      <c r="J398" s="408" t="n"/>
      <c r="K398" s="490" t="inlineStr">
        <is>
          <t>Boolean</t>
        </is>
      </c>
      <c r="L398" s="489" t="n"/>
      <c r="M398" s="689" t="n"/>
      <c r="N398" s="492" t="n"/>
    </row>
    <row r="399" ht="20.25" customHeight="1" thickBot="1">
      <c r="A399" s="512" t="n">
        <v>327</v>
      </c>
      <c r="B399" s="513" t="n"/>
      <c r="C399" s="514" t="inlineStr">
        <is>
          <t>Comp Start in case of Shutdown without pump Down</t>
        </is>
      </c>
      <c r="D399" s="515" t="inlineStr">
        <is>
          <t>Boolean</t>
        </is>
      </c>
      <c r="E399" s="516" t="n"/>
      <c r="F399" s="516" t="n"/>
      <c r="G399" s="516" t="n"/>
      <c r="H399" s="517" t="n"/>
      <c r="I399" s="517" t="n"/>
      <c r="J399" s="517" t="n"/>
      <c r="K399" s="518" t="inlineStr">
        <is>
          <t>Boolean</t>
        </is>
      </c>
      <c r="L399" s="516" t="n"/>
      <c r="M399" s="517" t="n"/>
      <c r="N399" s="519" t="n"/>
    </row>
    <row r="400" ht="20.25" customHeight="1">
      <c r="A400" s="520" t="n">
        <v>328</v>
      </c>
      <c r="B400" s="432" t="n"/>
      <c r="C400" s="521" t="inlineStr">
        <is>
          <t>Pump down shutdown</t>
        </is>
      </c>
      <c r="D400" s="522" t="inlineStr">
        <is>
          <t>Boolean</t>
        </is>
      </c>
      <c r="E400" s="432" t="n"/>
      <c r="F400" s="432" t="n">
        <v>0</v>
      </c>
      <c r="G400" s="432" t="n"/>
      <c r="H400" s="523" t="n"/>
      <c r="I400" s="523" t="inlineStr">
        <is>
          <t>LFC04</t>
        </is>
      </c>
      <c r="J400" s="524" t="inlineStr">
        <is>
          <t>Bump START required</t>
        </is>
      </c>
      <c r="K400" s="522" t="inlineStr">
        <is>
          <t>Boolean</t>
        </is>
      </c>
      <c r="L400" s="432">
        <f>'LFD OLD'!R588</f>
        <v/>
      </c>
      <c r="M400" s="523" t="inlineStr">
        <is>
          <t>1</t>
        </is>
      </c>
      <c r="N400" s="525" t="n"/>
    </row>
    <row r="401" ht="20.25" customHeight="1">
      <c r="A401" s="520" t="n">
        <v>329</v>
      </c>
      <c r="B401" s="432" t="n"/>
      <c r="C401" s="524" t="inlineStr">
        <is>
          <t>Comp_Start_Allow</t>
        </is>
      </c>
      <c r="D401" s="522" t="inlineStr">
        <is>
          <t>Boolean</t>
        </is>
      </c>
      <c r="E401" s="432" t="n"/>
      <c r="F401" s="432" t="n">
        <v>1</v>
      </c>
      <c r="G401" s="432" t="n"/>
      <c r="H401" s="523" t="n"/>
      <c r="I401" s="523" t="inlineStr">
        <is>
          <t>LFC05</t>
        </is>
      </c>
      <c r="J401" s="524" t="inlineStr">
        <is>
          <t>1 sec._ON</t>
        </is>
      </c>
      <c r="K401" s="522" t="inlineStr">
        <is>
          <t>Boolean</t>
        </is>
      </c>
      <c r="L401" s="432">
        <f>'LFD OLD'!R589</f>
        <v/>
      </c>
      <c r="M401" s="523" t="inlineStr">
        <is>
          <t>1</t>
        </is>
      </c>
      <c r="N401" s="525" t="n"/>
    </row>
    <row r="402" ht="20.25" customHeight="1">
      <c r="A402" s="520" t="n">
        <v>330</v>
      </c>
      <c r="B402" s="432" t="n"/>
      <c r="C402" s="523" t="n"/>
      <c r="D402" s="522" t="inlineStr">
        <is>
          <t>Boolean</t>
        </is>
      </c>
      <c r="E402" s="432" t="n"/>
      <c r="F402" s="432" t="n"/>
      <c r="G402" s="432" t="n"/>
      <c r="H402" s="523" t="n"/>
      <c r="I402" s="523" t="inlineStr">
        <is>
          <t>LFC05</t>
        </is>
      </c>
      <c r="J402" s="524" t="inlineStr">
        <is>
          <t>2 sec._OFF</t>
        </is>
      </c>
      <c r="K402" s="522" t="inlineStr">
        <is>
          <t>Boolean</t>
        </is>
      </c>
      <c r="L402" s="432">
        <f>'LFD OLD'!R590</f>
        <v/>
      </c>
      <c r="M402" s="523" t="inlineStr">
        <is>
          <t>1</t>
        </is>
      </c>
      <c r="N402" s="525" t="n"/>
    </row>
    <row r="403" ht="20.25" customHeight="1">
      <c r="A403" s="520" t="n">
        <v>331</v>
      </c>
      <c r="B403" s="432" t="n"/>
      <c r="C403" s="523" t="n"/>
      <c r="D403" s="522" t="inlineStr">
        <is>
          <t>Boolean</t>
        </is>
      </c>
      <c r="E403" s="432" t="n"/>
      <c r="F403" s="432" t="n"/>
      <c r="G403" s="432" t="n"/>
      <c r="H403" s="523" t="n"/>
      <c r="I403" s="523" t="inlineStr">
        <is>
          <t>LFC06</t>
        </is>
      </c>
      <c r="J403" s="524" t="inlineStr">
        <is>
          <t>1 sec._ON</t>
        </is>
      </c>
      <c r="K403" s="522" t="inlineStr">
        <is>
          <t>Boolean</t>
        </is>
      </c>
      <c r="L403" s="432">
        <f>'LFD OLD'!R591</f>
        <v/>
      </c>
      <c r="M403" s="523" t="inlineStr">
        <is>
          <t>1</t>
        </is>
      </c>
      <c r="N403" s="525" t="n"/>
    </row>
    <row r="404" ht="20.25" customHeight="1">
      <c r="A404" s="520" t="n">
        <v>332</v>
      </c>
      <c r="B404" s="432" t="n"/>
      <c r="C404" s="523" t="n"/>
      <c r="D404" s="522" t="inlineStr">
        <is>
          <t>Boolean</t>
        </is>
      </c>
      <c r="E404" s="432" t="n"/>
      <c r="F404" s="432" t="n"/>
      <c r="G404" s="432" t="n"/>
      <c r="H404" s="523" t="n"/>
      <c r="I404" s="523" t="inlineStr">
        <is>
          <t>LFC06</t>
        </is>
      </c>
      <c r="J404" s="524" t="inlineStr">
        <is>
          <t>2 sec._OFF</t>
        </is>
      </c>
      <c r="K404" s="522" t="inlineStr">
        <is>
          <t>Boolean</t>
        </is>
      </c>
      <c r="L404" s="432">
        <f>'LFD OLD'!R592</f>
        <v/>
      </c>
      <c r="M404" s="523" t="inlineStr">
        <is>
          <t>1</t>
        </is>
      </c>
      <c r="N404" s="525" t="n"/>
    </row>
    <row r="405" ht="20.25" customHeight="1">
      <c r="A405" s="520" t="n">
        <v>333</v>
      </c>
      <c r="B405" s="432" t="n"/>
      <c r="C405" s="523" t="n"/>
      <c r="D405" s="522" t="inlineStr">
        <is>
          <t>Boolean</t>
        </is>
      </c>
      <c r="E405" s="432" t="n"/>
      <c r="F405" s="432" t="n"/>
      <c r="G405" s="432" t="n"/>
      <c r="H405" s="523" t="n"/>
      <c r="I405" s="523" t="inlineStr">
        <is>
          <t>LFC07</t>
        </is>
      </c>
      <c r="J405" s="524" t="inlineStr">
        <is>
          <t>1 sec._ON</t>
        </is>
      </c>
      <c r="K405" s="522" t="inlineStr">
        <is>
          <t>Boolean</t>
        </is>
      </c>
      <c r="L405" s="432">
        <f>'LFD OLD'!R593</f>
        <v/>
      </c>
      <c r="M405" s="523" t="inlineStr">
        <is>
          <t>1</t>
        </is>
      </c>
      <c r="N405" s="525" t="n"/>
    </row>
    <row r="406" ht="20.25" customHeight="1">
      <c r="A406" s="520" t="n">
        <v>334</v>
      </c>
      <c r="B406" s="432" t="n"/>
      <c r="C406" s="523" t="n"/>
      <c r="D406" s="522" t="inlineStr">
        <is>
          <t>Boolean</t>
        </is>
      </c>
      <c r="E406" s="432" t="n"/>
      <c r="F406" s="432" t="n"/>
      <c r="G406" s="432" t="n"/>
      <c r="H406" s="523" t="n"/>
      <c r="I406" s="523" t="inlineStr">
        <is>
          <t>LFC07</t>
        </is>
      </c>
      <c r="J406" s="524" t="inlineStr">
        <is>
          <t>2 sec._OFF</t>
        </is>
      </c>
      <c r="K406" s="522" t="inlineStr">
        <is>
          <t>Boolean</t>
        </is>
      </c>
      <c r="L406" s="432">
        <f>'LFD OLD'!R594</f>
        <v/>
      </c>
      <c r="M406" s="523" t="inlineStr">
        <is>
          <t>1</t>
        </is>
      </c>
      <c r="N406" s="525" t="n"/>
    </row>
    <row r="407" ht="20.25" customHeight="1" thickBot="1">
      <c r="A407" s="526" t="n">
        <v>335</v>
      </c>
      <c r="B407" s="527" t="n"/>
      <c r="C407" s="528" t="n"/>
      <c r="D407" s="529" t="inlineStr">
        <is>
          <t>Boolean</t>
        </is>
      </c>
      <c r="E407" s="527" t="n"/>
      <c r="F407" s="527" t="n"/>
      <c r="G407" s="527" t="n"/>
      <c r="H407" s="528" t="n"/>
      <c r="I407" s="528" t="inlineStr">
        <is>
          <t>LFC08</t>
        </is>
      </c>
      <c r="J407" s="530" t="inlineStr">
        <is>
          <t>Comp_continuous_ON</t>
        </is>
      </c>
      <c r="K407" s="529" t="inlineStr">
        <is>
          <t>Boolean</t>
        </is>
      </c>
      <c r="L407" s="527">
        <f>'LFD OLD'!R595</f>
        <v/>
      </c>
      <c r="M407" s="528" t="inlineStr">
        <is>
          <t>1</t>
        </is>
      </c>
      <c r="N407" s="531" t="n"/>
    </row>
    <row r="408" ht="20.25" customHeight="1">
      <c r="A408" s="477" t="n">
        <v>336</v>
      </c>
      <c r="B408" s="481" t="n"/>
      <c r="C408" s="499" t="inlineStr">
        <is>
          <t>Condensor Fan Management</t>
        </is>
      </c>
      <c r="D408" s="483" t="inlineStr">
        <is>
          <t>Boolean</t>
        </is>
      </c>
      <c r="E408" s="481" t="n"/>
      <c r="F408" s="481" t="n"/>
      <c r="G408" s="481" t="n"/>
      <c r="H408" s="482" t="n"/>
      <c r="I408" s="482" t="n"/>
      <c r="J408" s="406" t="n"/>
      <c r="K408" s="483" t="inlineStr">
        <is>
          <t>Boolean</t>
        </is>
      </c>
      <c r="L408" s="481" t="n"/>
      <c r="M408" s="482" t="n"/>
      <c r="N408" s="484" t="n"/>
    </row>
    <row r="409" ht="20.25" customHeight="1">
      <c r="A409" s="485" t="n">
        <v>337</v>
      </c>
      <c r="B409" s="429" t="inlineStr">
        <is>
          <t>LFC01</t>
        </is>
      </c>
      <c r="C409" s="394" t="inlineStr">
        <is>
          <t>Cooling_demand</t>
        </is>
      </c>
      <c r="D409" s="447" t="inlineStr">
        <is>
          <t>Boolean</t>
        </is>
      </c>
      <c r="E409" s="429" t="n"/>
      <c r="F409" s="429">
        <f>F394</f>
        <v/>
      </c>
      <c r="G409" s="429" t="n"/>
      <c r="H409" s="688" t="n"/>
      <c r="I409" s="688" t="n"/>
      <c r="J409" s="407" t="n"/>
      <c r="K409" s="447" t="inlineStr">
        <is>
          <t>Boolean</t>
        </is>
      </c>
      <c r="L409" s="429" t="n"/>
      <c r="M409" s="688" t="n"/>
      <c r="N409" s="487" t="n"/>
    </row>
    <row r="410" ht="20.25" customHeight="1">
      <c r="A410" s="485" t="n">
        <v>338</v>
      </c>
      <c r="B410" s="429" t="inlineStr">
        <is>
          <t>LFC02</t>
        </is>
      </c>
      <c r="C410" s="394" t="inlineStr">
        <is>
          <t>HVAC_enable</t>
        </is>
      </c>
      <c r="D410" s="447" t="inlineStr">
        <is>
          <t>Boolean</t>
        </is>
      </c>
      <c r="E410" s="429" t="n"/>
      <c r="F410" s="429">
        <f>'LFD New'!D33</f>
        <v/>
      </c>
      <c r="G410" s="429" t="n"/>
      <c r="H410" s="688" t="n"/>
      <c r="I410" s="688" t="inlineStr">
        <is>
          <t>LFC06</t>
        </is>
      </c>
      <c r="J410" s="394" t="inlineStr">
        <is>
          <t>Fan_Start_Request</t>
        </is>
      </c>
      <c r="K410" s="447" t="inlineStr">
        <is>
          <t>Boolean</t>
        </is>
      </c>
      <c r="L410" s="429">
        <f>'LFD OLD'!R608</f>
        <v/>
      </c>
      <c r="M410" s="688" t="inlineStr">
        <is>
          <t>1</t>
        </is>
      </c>
      <c r="N410" s="487" t="n"/>
    </row>
    <row r="411" ht="20.25" customHeight="1">
      <c r="A411" s="485" t="n">
        <v>339</v>
      </c>
      <c r="B411" s="429" t="inlineStr">
        <is>
          <t>LFC03</t>
        </is>
      </c>
      <c r="C411" s="394" t="inlineStr">
        <is>
          <t>Motor_01_OK</t>
        </is>
      </c>
      <c r="D411" s="447" t="inlineStr">
        <is>
          <t>Boolean</t>
        </is>
      </c>
      <c r="E411" s="429" t="n"/>
      <c r="F411" s="429">
        <f>'LFD New'!D34</f>
        <v/>
      </c>
      <c r="G411" s="429" t="n"/>
      <c r="H411" s="688" t="n"/>
      <c r="I411" s="688" t="inlineStr">
        <is>
          <t>LFC08</t>
        </is>
      </c>
      <c r="J411" s="394" t="inlineStr">
        <is>
          <t>Fan_ON</t>
        </is>
      </c>
      <c r="K411" s="447" t="inlineStr">
        <is>
          <t>Boolean</t>
        </is>
      </c>
      <c r="L411" s="429">
        <f>'LFD OLD'!R610</f>
        <v/>
      </c>
      <c r="M411" s="688" t="inlineStr">
        <is>
          <t>1</t>
        </is>
      </c>
      <c r="N411" s="487" t="n"/>
    </row>
    <row r="412" ht="20.25" customHeight="1">
      <c r="A412" s="485" t="n">
        <v>340</v>
      </c>
      <c r="B412" s="429" t="inlineStr">
        <is>
          <t>LFC04</t>
        </is>
      </c>
      <c r="C412" s="394" t="inlineStr">
        <is>
          <t>CB_healthy</t>
        </is>
      </c>
      <c r="D412" s="447" t="inlineStr">
        <is>
          <t>Boolean</t>
        </is>
      </c>
      <c r="E412" s="429" t="n"/>
      <c r="F412" s="429">
        <f>'LFD New'!D35</f>
        <v/>
      </c>
      <c r="G412" s="429" t="n"/>
      <c r="H412" s="688" t="n"/>
      <c r="I412" s="688" t="n"/>
      <c r="J412" s="407" t="n"/>
      <c r="K412" s="447" t="inlineStr">
        <is>
          <t>Boolean</t>
        </is>
      </c>
      <c r="L412" s="429" t="n"/>
      <c r="M412" s="688" t="n"/>
      <c r="N412" s="487" t="n"/>
    </row>
    <row r="413" ht="20.25" customHeight="1">
      <c r="A413" s="485" t="n">
        <v>341</v>
      </c>
      <c r="B413" s="429" t="inlineStr">
        <is>
          <t>LFC05</t>
        </is>
      </c>
      <c r="C413" s="394" t="inlineStr">
        <is>
          <t>NOT_shut_down</t>
        </is>
      </c>
      <c r="D413" s="447" t="inlineStr">
        <is>
          <t>Boolean</t>
        </is>
      </c>
      <c r="E413" s="429" t="n"/>
      <c r="F413" s="429">
        <f>'LFD New'!D36</f>
        <v/>
      </c>
      <c r="G413" s="429" t="n"/>
      <c r="H413" s="688" t="n"/>
      <c r="I413" s="688" t="n"/>
      <c r="J413" s="407" t="n"/>
      <c r="K413" s="447" t="inlineStr">
        <is>
          <t>Boolean</t>
        </is>
      </c>
      <c r="L413" s="429" t="n"/>
      <c r="M413" s="688" t="n"/>
      <c r="N413" s="487" t="n"/>
    </row>
    <row r="414" ht="20.25" customHeight="1" thickBot="1">
      <c r="A414" s="488" t="n">
        <v>342</v>
      </c>
      <c r="B414" s="489" t="inlineStr">
        <is>
          <t>LFC07</t>
        </is>
      </c>
      <c r="C414" s="410" t="inlineStr">
        <is>
          <t>Minimum_ON_timer_(60 sec)</t>
        </is>
      </c>
      <c r="D414" s="490" t="inlineStr">
        <is>
          <t>Boolean</t>
        </is>
      </c>
      <c r="E414" s="489" t="n"/>
      <c r="F414" s="489">
        <f>'LFD New'!D37</f>
        <v/>
      </c>
      <c r="G414" s="489" t="n"/>
      <c r="H414" s="689" t="n"/>
      <c r="I414" s="689" t="n"/>
      <c r="J414" s="408" t="n"/>
      <c r="K414" s="490" t="inlineStr">
        <is>
          <t>Boolean</t>
        </is>
      </c>
      <c r="L414" s="489" t="n"/>
      <c r="M414" s="689" t="n"/>
      <c r="N414" s="492" t="n"/>
    </row>
    <row r="415" ht="20.25" customHeight="1">
      <c r="A415" s="494" t="n">
        <v>343</v>
      </c>
      <c r="B415" s="495" t="n"/>
      <c r="C415" s="486" t="n"/>
      <c r="D415" s="496" t="inlineStr">
        <is>
          <t>Boolean</t>
        </is>
      </c>
      <c r="E415" s="495" t="n"/>
      <c r="F415" s="495" t="n"/>
      <c r="G415" s="495" t="n"/>
      <c r="H415" s="494" t="n"/>
      <c r="I415" s="494" t="n"/>
      <c r="J415" s="486" t="n"/>
      <c r="K415" s="496" t="inlineStr">
        <is>
          <t>Boolean</t>
        </is>
      </c>
      <c r="L415" s="495" t="n"/>
      <c r="M415" s="494" t="n"/>
      <c r="N415" s="495" t="n"/>
    </row>
    <row r="416" ht="20.25" customHeight="1">
      <c r="A416" s="688" t="n">
        <v>344</v>
      </c>
      <c r="B416" s="429" t="inlineStr">
        <is>
          <t>LFC01</t>
        </is>
      </c>
      <c r="C416" s="394" t="inlineStr">
        <is>
          <t>Pressure_&gt;_Q(pressure_switch_trip)\</t>
        </is>
      </c>
      <c r="D416" s="447" t="inlineStr">
        <is>
          <t>Boolean</t>
        </is>
      </c>
      <c r="E416" s="429" t="n"/>
      <c r="F416" s="429">
        <f>'LFD New'!D110</f>
        <v/>
      </c>
      <c r="G416" s="429" t="n"/>
      <c r="H416" s="688" t="n"/>
      <c r="I416" s="688" t="n"/>
      <c r="J416" s="407" t="n"/>
      <c r="K416" s="447" t="inlineStr">
        <is>
          <t>Boolean</t>
        </is>
      </c>
      <c r="L416" s="429" t="n"/>
      <c r="M416" s="688" t="n"/>
      <c r="N416" s="429" t="n"/>
    </row>
    <row r="417" ht="20.25" customHeight="1">
      <c r="A417" s="688" t="n">
        <v>345</v>
      </c>
      <c r="B417" s="429" t="inlineStr">
        <is>
          <t>LFC02</t>
        </is>
      </c>
      <c r="C417" s="394" t="inlineStr">
        <is>
          <t>Pressure_&gt;_P(pleasure_transducer_trip)</t>
        </is>
      </c>
      <c r="D417" s="447" t="inlineStr">
        <is>
          <t>Boolean</t>
        </is>
      </c>
      <c r="E417" s="429" t="n"/>
      <c r="F417" s="429">
        <f>'LFD New'!D111</f>
        <v/>
      </c>
      <c r="G417" s="429" t="n"/>
      <c r="H417" s="688" t="n"/>
      <c r="I417" s="688" t="n"/>
      <c r="J417" s="407" t="n"/>
      <c r="K417" s="447" t="inlineStr">
        <is>
          <t>Boolean</t>
        </is>
      </c>
      <c r="L417" s="429" t="n"/>
      <c r="M417" s="688" t="inlineStr">
        <is>
          <t>0</t>
        </is>
      </c>
      <c r="N417" s="429" t="n"/>
    </row>
    <row r="418" ht="20.25" customHeight="1">
      <c r="A418" s="688" t="n">
        <v>346</v>
      </c>
      <c r="B418" s="429" t="inlineStr">
        <is>
          <t>LFC03</t>
        </is>
      </c>
      <c r="C418" s="394" t="inlineStr">
        <is>
          <t>LFC03</t>
        </is>
      </c>
      <c r="D418" s="447" t="inlineStr">
        <is>
          <t>Boolean</t>
        </is>
      </c>
      <c r="E418" s="429" t="n"/>
      <c r="F418" s="429" t="n"/>
      <c r="G418" s="429" t="n"/>
      <c r="H418" s="688" t="n"/>
      <c r="I418" s="688" t="inlineStr">
        <is>
          <t>LFC10</t>
        </is>
      </c>
      <c r="J418" s="394" t="inlineStr">
        <is>
          <t>Compressor_02</t>
        </is>
      </c>
      <c r="K418" s="447" t="inlineStr">
        <is>
          <t>Boolean</t>
        </is>
      </c>
      <c r="L418" s="429">
        <f>'LFD OLD'!R624</f>
        <v/>
      </c>
      <c r="M418" s="688" t="inlineStr">
        <is>
          <t>0</t>
        </is>
      </c>
      <c r="N418" s="429" t="n"/>
    </row>
    <row r="419" ht="20.25" customHeight="1">
      <c r="A419" s="688" t="n">
        <v>347</v>
      </c>
      <c r="B419" s="429" t="inlineStr">
        <is>
          <t>LFC04</t>
        </is>
      </c>
      <c r="C419" s="394" t="inlineStr">
        <is>
          <t>Cooling_mode_ON</t>
        </is>
      </c>
      <c r="D419" s="447" t="inlineStr">
        <is>
          <t>Boolean</t>
        </is>
      </c>
      <c r="E419" s="429" t="n"/>
      <c r="F419" s="429">
        <f>'LFD New'!D112</f>
        <v/>
      </c>
      <c r="G419" s="429" t="n"/>
      <c r="H419" s="688" t="n"/>
      <c r="I419" s="688" t="n"/>
      <c r="J419" s="407" t="n"/>
      <c r="K419" s="447" t="inlineStr">
        <is>
          <t>Boolean</t>
        </is>
      </c>
      <c r="L419" s="429" t="n"/>
      <c r="M419" s="688" t="n"/>
      <c r="N419" s="429" t="n"/>
    </row>
    <row r="420" ht="20.25" customHeight="1">
      <c r="A420" s="688" t="n">
        <v>348</v>
      </c>
      <c r="B420" s="429" t="inlineStr">
        <is>
          <t>LFC05</t>
        </is>
      </c>
      <c r="C420" s="394" t="inlineStr">
        <is>
          <t>LFC05</t>
        </is>
      </c>
      <c r="D420" s="447" t="inlineStr">
        <is>
          <t>Boolean</t>
        </is>
      </c>
      <c r="E420" s="429" t="n"/>
      <c r="F420" s="429" t="n"/>
      <c r="G420" s="429" t="n"/>
      <c r="H420" s="688" t="n"/>
      <c r="I420" s="688" t="n"/>
      <c r="J420" s="407" t="n"/>
      <c r="K420" s="447" t="inlineStr">
        <is>
          <t>Boolean</t>
        </is>
      </c>
      <c r="L420" s="429" t="n"/>
      <c r="M420" s="688" t="n"/>
      <c r="N420" s="429" t="n"/>
    </row>
    <row r="421" ht="20.25" customHeight="1">
      <c r="A421" s="688" t="n">
        <v>349</v>
      </c>
      <c r="B421" s="429" t="inlineStr">
        <is>
          <t>LFC06</t>
        </is>
      </c>
      <c r="C421" s="394" t="inlineStr">
        <is>
          <t>Pressure_&lt;_L</t>
        </is>
      </c>
      <c r="D421" s="447" t="inlineStr">
        <is>
          <t>Boolean</t>
        </is>
      </c>
      <c r="E421" s="429" t="n"/>
      <c r="F421" s="429">
        <f>'LFD New'!D113</f>
        <v/>
      </c>
      <c r="G421" s="429" t="n"/>
      <c r="H421" s="688" t="n"/>
      <c r="I421" s="688" t="n"/>
      <c r="J421" s="407" t="n"/>
      <c r="K421" s="447" t="inlineStr">
        <is>
          <t>Boolean</t>
        </is>
      </c>
      <c r="L421" s="429" t="n"/>
      <c r="M421" s="688" t="n"/>
      <c r="N421" s="429" t="n"/>
    </row>
    <row r="422" ht="20.25" customHeight="1">
      <c r="A422" s="688" t="n">
        <v>350</v>
      </c>
      <c r="B422" s="429" t="inlineStr">
        <is>
          <t>LFC07</t>
        </is>
      </c>
      <c r="C422" s="394" t="inlineStr">
        <is>
          <t>LFC07</t>
        </is>
      </c>
      <c r="D422" s="447" t="inlineStr">
        <is>
          <t>Boolean</t>
        </is>
      </c>
      <c r="E422" s="429" t="n"/>
      <c r="F422" s="429" t="n"/>
      <c r="G422" s="429" t="n"/>
      <c r="H422" s="688" t="n"/>
      <c r="I422" s="688" t="n"/>
      <c r="J422" s="407" t="n"/>
      <c r="K422" s="447" t="inlineStr">
        <is>
          <t>Boolean</t>
        </is>
      </c>
      <c r="L422" s="429" t="n"/>
      <c r="M422" s="688" t="n"/>
      <c r="N422" s="429" t="n"/>
    </row>
    <row r="423" ht="20.25" customHeight="1" thickBot="1">
      <c r="A423" s="474" t="n">
        <v>351</v>
      </c>
      <c r="B423" s="468" t="inlineStr">
        <is>
          <t>LFC08</t>
        </is>
      </c>
      <c r="C423" s="395" t="inlineStr">
        <is>
          <t>Pressure_&lt;_M</t>
        </is>
      </c>
      <c r="D423" s="476" t="inlineStr">
        <is>
          <t>Boolean</t>
        </is>
      </c>
      <c r="E423" s="468" t="n"/>
      <c r="F423" s="429">
        <f>'LFD New'!D114</f>
        <v/>
      </c>
      <c r="G423" s="468" t="n"/>
      <c r="H423" s="474" t="n"/>
      <c r="I423" s="474" t="n"/>
      <c r="J423" s="475" t="n"/>
      <c r="K423" s="476" t="inlineStr">
        <is>
          <t>Boolean</t>
        </is>
      </c>
      <c r="L423" s="468" t="n"/>
      <c r="M423" s="474" t="n"/>
      <c r="N423" s="468" t="n"/>
    </row>
    <row r="424" ht="20.25" customHeight="1" thickBot="1">
      <c r="A424" s="477" t="n">
        <v>352</v>
      </c>
      <c r="B424" s="478" t="n"/>
      <c r="C424" s="479" t="inlineStr">
        <is>
          <t>Heater Management</t>
        </is>
      </c>
      <c r="D424" s="480" t="inlineStr">
        <is>
          <t>Boolean</t>
        </is>
      </c>
      <c r="E424" s="481" t="n"/>
      <c r="F424" s="481" t="n"/>
      <c r="G424" s="481" t="n"/>
      <c r="H424" s="482" t="n"/>
      <c r="I424" s="482" t="n"/>
      <c r="J424" s="406" t="n"/>
      <c r="K424" s="483" t="inlineStr">
        <is>
          <t>Boolean</t>
        </is>
      </c>
      <c r="L424" s="481" t="n"/>
      <c r="M424" s="482" t="n"/>
      <c r="N424" s="484" t="n"/>
    </row>
    <row r="425" ht="20.25" customHeight="1">
      <c r="A425" s="485" t="n">
        <v>353</v>
      </c>
      <c r="B425" s="429" t="inlineStr">
        <is>
          <t>LFC01</t>
        </is>
      </c>
      <c r="C425" s="493" t="inlineStr">
        <is>
          <t>HVAC_mode_auto</t>
        </is>
      </c>
      <c r="D425" s="447" t="inlineStr">
        <is>
          <t>Boolean</t>
        </is>
      </c>
      <c r="E425" s="429" t="n"/>
      <c r="F425" s="429">
        <f>'LFD New'!D18</f>
        <v/>
      </c>
      <c r="G425" s="429" t="n"/>
      <c r="H425" s="688" t="n"/>
      <c r="I425" s="688" t="n"/>
      <c r="J425" s="407" t="n"/>
      <c r="K425" s="447" t="inlineStr">
        <is>
          <t>Boolean</t>
        </is>
      </c>
      <c r="L425" s="429" t="n"/>
      <c r="M425" s="688" t="n"/>
      <c r="N425" s="487" t="n"/>
    </row>
    <row r="426" ht="20.25" customHeight="1">
      <c r="A426" s="485" t="n">
        <v>354</v>
      </c>
      <c r="B426" s="429" t="inlineStr">
        <is>
          <t>LFC02</t>
        </is>
      </c>
      <c r="C426" s="394" t="inlineStr">
        <is>
          <t>PPR1_high</t>
        </is>
      </c>
      <c r="D426" s="447" t="inlineStr">
        <is>
          <t>Boolean</t>
        </is>
      </c>
      <c r="E426" s="429" t="n"/>
      <c r="F426" s="429">
        <f>'LFD New'!D74</f>
        <v/>
      </c>
      <c r="G426" s="429" t="n"/>
      <c r="H426" s="688" t="n"/>
      <c r="I426" s="688" t="n"/>
      <c r="J426" s="407" t="n"/>
      <c r="K426" s="447" t="inlineStr">
        <is>
          <t>Boolean</t>
        </is>
      </c>
      <c r="L426" s="429" t="n"/>
      <c r="M426" s="688" t="n"/>
      <c r="N426" s="487" t="n"/>
    </row>
    <row r="427" ht="20.25" customHeight="1">
      <c r="A427" s="485" t="n">
        <v>355</v>
      </c>
      <c r="B427" s="429" t="inlineStr">
        <is>
          <t>LFC03</t>
        </is>
      </c>
      <c r="C427" s="394" t="inlineStr">
        <is>
          <t>Heating_demand_&gt;_0</t>
        </is>
      </c>
      <c r="D427" s="447" t="inlineStr">
        <is>
          <t>Boolean</t>
        </is>
      </c>
      <c r="E427" s="429" t="n"/>
      <c r="F427" s="429">
        <f>'LFD New'!D75</f>
        <v/>
      </c>
      <c r="G427" s="429" t="n"/>
      <c r="H427" s="688" t="n"/>
      <c r="I427" s="688" t="inlineStr">
        <is>
          <t>LFC07</t>
        </is>
      </c>
      <c r="J427" s="394" t="inlineStr">
        <is>
          <t>HVAC_enable</t>
        </is>
      </c>
      <c r="K427" s="447" t="inlineStr">
        <is>
          <t>Boolean</t>
        </is>
      </c>
      <c r="L427" s="429">
        <f>'LFD OLD'!R634</f>
        <v/>
      </c>
      <c r="M427" s="688" t="inlineStr">
        <is>
          <t>0</t>
        </is>
      </c>
      <c r="N427" s="487" t="n"/>
    </row>
    <row r="428" ht="20.25" customHeight="1">
      <c r="A428" s="485" t="n">
        <v>356</v>
      </c>
      <c r="B428" s="429" t="inlineStr">
        <is>
          <t>LFC04</t>
        </is>
      </c>
      <c r="C428" s="394" t="inlineStr">
        <is>
          <t>Overhead_heater_thermostate_trip</t>
        </is>
      </c>
      <c r="D428" s="447" t="inlineStr">
        <is>
          <t>Boolean</t>
        </is>
      </c>
      <c r="E428" s="429" t="n"/>
      <c r="F428" s="429">
        <f>'LFD New'!D76</f>
        <v/>
      </c>
      <c r="G428" s="429" t="n"/>
      <c r="H428" s="688" t="n"/>
      <c r="I428" s="688" t="n"/>
      <c r="J428" s="407" t="n"/>
      <c r="K428" s="447" t="inlineStr">
        <is>
          <t>Boolean</t>
        </is>
      </c>
      <c r="L428" s="429" t="n"/>
      <c r="M428" s="688" t="n"/>
      <c r="N428" s="487" t="n"/>
    </row>
    <row r="429" ht="20.25" customHeight="1">
      <c r="A429" s="485" t="n">
        <v>357</v>
      </c>
      <c r="B429" s="429" t="inlineStr">
        <is>
          <t>LFC06</t>
        </is>
      </c>
      <c r="C429" s="394" t="inlineStr">
        <is>
          <t>Ambient_temp_Limit_ok</t>
        </is>
      </c>
      <c r="D429" s="447" t="inlineStr">
        <is>
          <t>Boolean</t>
        </is>
      </c>
      <c r="E429" s="429" t="n"/>
      <c r="F429" s="429">
        <f>'LFD New'!D77</f>
        <v/>
      </c>
      <c r="G429" s="429" t="n"/>
      <c r="H429" s="688" t="n"/>
      <c r="I429" s="688" t="n"/>
      <c r="J429" s="407" t="n"/>
      <c r="K429" s="447" t="inlineStr">
        <is>
          <t>Boolean</t>
        </is>
      </c>
      <c r="L429" s="429" t="n"/>
      <c r="M429" s="688" t="n"/>
      <c r="N429" s="487" t="n"/>
    </row>
    <row r="430" ht="20.25" customHeight="1">
      <c r="A430" s="485" t="n">
        <v>358</v>
      </c>
      <c r="B430" s="429" t="n"/>
      <c r="C430" s="407" t="n"/>
      <c r="D430" s="447" t="inlineStr">
        <is>
          <t>Boolean</t>
        </is>
      </c>
      <c r="E430" s="429" t="n"/>
      <c r="F430" s="429" t="n"/>
      <c r="G430" s="429" t="n"/>
      <c r="H430" s="688" t="n"/>
      <c r="I430" s="688" t="n"/>
      <c r="J430" s="407" t="n"/>
      <c r="K430" s="447" t="inlineStr">
        <is>
          <t>Boolean</t>
        </is>
      </c>
      <c r="L430" s="429" t="n"/>
      <c r="M430" s="688" t="n"/>
      <c r="N430" s="487" t="n"/>
    </row>
    <row r="431" ht="20.25" customHeight="1">
      <c r="A431" s="485" t="n">
        <v>359</v>
      </c>
      <c r="B431" s="429" t="inlineStr">
        <is>
          <t>LFC08</t>
        </is>
      </c>
      <c r="C431" s="394" t="inlineStr">
        <is>
          <t>PWM_output_active_for_0-50%</t>
        </is>
      </c>
      <c r="D431" s="447" t="inlineStr">
        <is>
          <t>Boolean</t>
        </is>
      </c>
      <c r="E431" s="429" t="n"/>
      <c r="F431" s="429">
        <f>'LFD New'!D78</f>
        <v/>
      </c>
      <c r="G431" s="429" t="n"/>
      <c r="H431" s="688" t="n"/>
      <c r="I431" s="688" t="n"/>
      <c r="J431" s="407" t="n"/>
      <c r="K431" s="447" t="inlineStr">
        <is>
          <t>Boolean</t>
        </is>
      </c>
      <c r="L431" s="429" t="n"/>
      <c r="M431" s="688" t="n"/>
      <c r="N431" s="487" t="n"/>
    </row>
    <row r="432" ht="20.25" customHeight="1">
      <c r="A432" s="485" t="n">
        <v>360</v>
      </c>
      <c r="B432" s="429" t="inlineStr">
        <is>
          <t>LFC09</t>
        </is>
      </c>
      <c r="C432" s="394" t="inlineStr">
        <is>
          <t>Continuous_ON(50-100%)</t>
        </is>
      </c>
      <c r="D432" s="447" t="inlineStr">
        <is>
          <t>Boolean</t>
        </is>
      </c>
      <c r="E432" s="429" t="n"/>
      <c r="F432" s="429">
        <f>'LFD New'!D79</f>
        <v/>
      </c>
      <c r="G432" s="429" t="n"/>
      <c r="H432" s="688" t="n"/>
      <c r="I432" s="688" t="inlineStr">
        <is>
          <t>LFC13</t>
        </is>
      </c>
      <c r="J432" s="394" t="inlineStr">
        <is>
          <t>OH1_CMD</t>
        </is>
      </c>
      <c r="K432" s="447" t="inlineStr">
        <is>
          <t>Boolean</t>
        </is>
      </c>
      <c r="L432" s="429">
        <f>'LFD OLD'!R641</f>
        <v/>
      </c>
      <c r="M432" s="688" t="inlineStr">
        <is>
          <t>0</t>
        </is>
      </c>
      <c r="N432" s="487" t="n"/>
    </row>
    <row r="433" ht="20.25" customHeight="1">
      <c r="A433" s="485" t="n">
        <v>361</v>
      </c>
      <c r="B433" s="429" t="inlineStr">
        <is>
          <t>LFC10</t>
        </is>
      </c>
      <c r="C433" s="394" t="inlineStr">
        <is>
          <t>Continuous_ON(100%)</t>
        </is>
      </c>
      <c r="D433" s="447" t="inlineStr">
        <is>
          <t>Boolean</t>
        </is>
      </c>
      <c r="E433" s="429" t="n"/>
      <c r="F433" s="429">
        <f>'LFD New'!D80</f>
        <v/>
      </c>
      <c r="G433" s="429" t="n"/>
      <c r="H433" s="688" t="n"/>
      <c r="I433" s="688" t="n"/>
      <c r="J433" s="407" t="n"/>
      <c r="K433" s="447" t="inlineStr">
        <is>
          <t>Boolean</t>
        </is>
      </c>
      <c r="L433" s="429" t="n"/>
      <c r="M433" s="688" t="n"/>
      <c r="N433" s="487" t="n"/>
    </row>
    <row r="434" ht="20.25" customHeight="1">
      <c r="A434" s="485" t="n"/>
      <c r="B434" s="429" t="inlineStr">
        <is>
          <t>LFC12</t>
        </is>
      </c>
      <c r="C434" s="394" t="inlineStr">
        <is>
          <t>Heater_enable</t>
        </is>
      </c>
      <c r="D434" s="447" t="inlineStr">
        <is>
          <t>Boolean</t>
        </is>
      </c>
      <c r="E434" s="429" t="n"/>
      <c r="F434" s="429">
        <f>'LFD New'!D81</f>
        <v/>
      </c>
      <c r="G434" s="429" t="n"/>
      <c r="H434" s="688" t="n"/>
      <c r="I434" s="688" t="n"/>
      <c r="J434" s="407" t="n"/>
      <c r="K434" s="447" t="inlineStr">
        <is>
          <t>Boolean</t>
        </is>
      </c>
      <c r="L434" s="429" t="n"/>
      <c r="M434" s="688" t="n"/>
      <c r="N434" s="487" t="n"/>
    </row>
    <row r="435" ht="20.25" customHeight="1">
      <c r="A435" s="485" t="n"/>
      <c r="B435" s="429" t="inlineStr">
        <is>
          <t>LFC11</t>
        </is>
      </c>
      <c r="C435" s="394" t="inlineStr">
        <is>
          <t>LFC11</t>
        </is>
      </c>
      <c r="D435" s="447" t="inlineStr">
        <is>
          <t>Boolean</t>
        </is>
      </c>
      <c r="E435" s="429" t="n"/>
      <c r="F435" s="429" t="n"/>
      <c r="G435" s="429" t="n"/>
      <c r="H435" s="688" t="n"/>
      <c r="I435" s="688" t="n"/>
      <c r="J435" s="407" t="n"/>
      <c r="K435" s="447" t="inlineStr">
        <is>
          <t>Boolean</t>
        </is>
      </c>
      <c r="L435" s="429" t="n"/>
      <c r="M435" s="688" t="n"/>
      <c r="N435" s="487" t="n"/>
    </row>
    <row r="436">
      <c r="A436" s="485" t="n"/>
      <c r="B436" s="429" t="n"/>
      <c r="C436" s="407" t="n"/>
      <c r="D436" s="447" t="inlineStr">
        <is>
          <t>Boolean</t>
        </is>
      </c>
      <c r="E436" s="429" t="n"/>
      <c r="F436" s="429" t="n"/>
      <c r="G436" s="429" t="n"/>
      <c r="H436" s="688" t="n"/>
      <c r="I436" s="688" t="n"/>
      <c r="J436" s="407" t="n"/>
      <c r="K436" s="447" t="inlineStr">
        <is>
          <t>Boolean</t>
        </is>
      </c>
      <c r="L436" s="429" t="n"/>
      <c r="M436" s="688" t="n"/>
      <c r="N436" s="487" t="n"/>
    </row>
    <row r="437">
      <c r="A437" s="485" t="n"/>
      <c r="B437" s="429" t="inlineStr">
        <is>
          <t>LFC14</t>
        </is>
      </c>
      <c r="C437" s="394" t="inlineStr">
        <is>
          <t>PWM_active_for_50-100%</t>
        </is>
      </c>
      <c r="D437" s="447" t="inlineStr">
        <is>
          <t>Boolean</t>
        </is>
      </c>
      <c r="E437" s="429" t="n"/>
      <c r="F437" s="429">
        <f>'LFD New'!D82</f>
        <v/>
      </c>
      <c r="G437" s="429" t="n"/>
      <c r="H437" s="688" t="n"/>
      <c r="I437" s="688" t="inlineStr">
        <is>
          <t>LFC18</t>
        </is>
      </c>
      <c r="J437" s="394" t="inlineStr">
        <is>
          <t>OH2_CMD</t>
        </is>
      </c>
      <c r="K437" s="447" t="inlineStr">
        <is>
          <t>Boolean</t>
        </is>
      </c>
      <c r="L437" s="429">
        <f>'LFD OLD'!R648</f>
        <v/>
      </c>
      <c r="M437" s="688" t="inlineStr">
        <is>
          <t>0</t>
        </is>
      </c>
      <c r="N437" s="487" t="n"/>
    </row>
    <row r="438">
      <c r="A438" s="485" t="n"/>
      <c r="B438" s="429" t="inlineStr">
        <is>
          <t>LFC15</t>
        </is>
      </c>
      <c r="C438" s="394" t="inlineStr">
        <is>
          <t>continuous_ON_at(100%)</t>
        </is>
      </c>
      <c r="D438" s="447" t="inlineStr">
        <is>
          <t>Boolean</t>
        </is>
      </c>
      <c r="E438" s="429" t="n"/>
      <c r="F438" s="429">
        <f>'LFD New'!D83</f>
        <v/>
      </c>
      <c r="G438" s="429" t="n"/>
      <c r="H438" s="688" t="n"/>
      <c r="I438" s="688" t="n"/>
      <c r="J438" s="407" t="n"/>
      <c r="K438" s="447" t="inlineStr">
        <is>
          <t>Boolean</t>
        </is>
      </c>
      <c r="L438" s="429" t="n"/>
      <c r="M438" s="688" t="n"/>
      <c r="N438" s="487" t="n"/>
    </row>
    <row r="439">
      <c r="A439" s="485" t="n"/>
      <c r="B439" s="429" t="inlineStr">
        <is>
          <t>LFC16</t>
        </is>
      </c>
      <c r="C439" s="394" t="inlineStr">
        <is>
          <t>LFC16</t>
        </is>
      </c>
      <c r="D439" s="447" t="inlineStr">
        <is>
          <t>Boolean</t>
        </is>
      </c>
      <c r="E439" s="429" t="n"/>
      <c r="F439" s="429" t="n"/>
      <c r="G439" s="429" t="n"/>
      <c r="H439" s="688" t="n"/>
      <c r="I439" s="688" t="n"/>
      <c r="J439" s="407" t="n"/>
      <c r="K439" s="447" t="inlineStr">
        <is>
          <t>Boolean</t>
        </is>
      </c>
      <c r="L439" s="429" t="n"/>
      <c r="M439" s="688" t="n"/>
      <c r="N439" s="487" t="n"/>
    </row>
    <row r="440" ht="15.75" customHeight="1" thickBot="1">
      <c r="A440" s="488" t="n"/>
      <c r="B440" s="489" t="inlineStr">
        <is>
          <t>LFC17</t>
        </is>
      </c>
      <c r="C440" s="410" t="inlineStr">
        <is>
          <t>Heater_enable</t>
        </is>
      </c>
      <c r="D440" s="490" t="inlineStr">
        <is>
          <t>Boolean</t>
        </is>
      </c>
      <c r="E440" s="489" t="n"/>
      <c r="F440" s="489">
        <f>'LFD New'!D84</f>
        <v/>
      </c>
      <c r="G440" s="489" t="n"/>
      <c r="H440" s="689" t="n"/>
      <c r="I440" s="689" t="n"/>
      <c r="J440" s="408" t="n"/>
      <c r="K440" s="490" t="inlineStr">
        <is>
          <t>Boolean</t>
        </is>
      </c>
      <c r="L440" s="489" t="n"/>
      <c r="M440" s="689" t="n"/>
      <c r="N440" s="492" t="n"/>
    </row>
    <row r="441" ht="15.75" customHeight="1" thickBot="1">
      <c r="A441" s="477" t="n"/>
      <c r="B441" s="478" t="n"/>
      <c r="C441" s="479" t="inlineStr">
        <is>
          <t>FAD Management</t>
        </is>
      </c>
      <c r="D441" s="480" t="inlineStr">
        <is>
          <t>Boolean</t>
        </is>
      </c>
      <c r="E441" s="481" t="n"/>
      <c r="F441" s="481" t="n"/>
      <c r="G441" s="481" t="n"/>
      <c r="H441" s="482" t="n"/>
      <c r="I441" s="482" t="n"/>
      <c r="J441" s="406" t="n"/>
      <c r="K441" s="483" t="inlineStr">
        <is>
          <t>Boolean</t>
        </is>
      </c>
      <c r="L441" s="481" t="n"/>
      <c r="M441" s="482" t="n"/>
      <c r="N441" s="484" t="n"/>
    </row>
    <row r="442">
      <c r="A442" s="485" t="n"/>
      <c r="B442" s="429" t="inlineStr">
        <is>
          <t>LFC01</t>
        </is>
      </c>
      <c r="C442" s="493" t="inlineStr">
        <is>
          <t>110V_DC_Trainline</t>
        </is>
      </c>
      <c r="D442" s="447" t="inlineStr">
        <is>
          <t>Boolean</t>
        </is>
      </c>
      <c r="E442" s="429" t="n"/>
      <c r="F442" s="429">
        <f>'LFD New'!D69</f>
        <v/>
      </c>
      <c r="G442" s="429" t="n"/>
      <c r="H442" s="688" t="n"/>
      <c r="I442" s="688" t="inlineStr">
        <is>
          <t>LFC04</t>
        </is>
      </c>
      <c r="J442" s="394" t="inlineStr">
        <is>
          <t>Damper_open_enabled</t>
        </is>
      </c>
      <c r="K442" s="447" t="inlineStr">
        <is>
          <t>Boolean</t>
        </is>
      </c>
      <c r="L442" s="429">
        <f>'LFD OLD'!R657</f>
        <v/>
      </c>
      <c r="M442" s="688" t="inlineStr">
        <is>
          <t>0</t>
        </is>
      </c>
      <c r="N442" s="487" t="n"/>
    </row>
    <row r="443">
      <c r="A443" s="485" t="n"/>
      <c r="B443" s="429" t="inlineStr">
        <is>
          <t>LFC02</t>
        </is>
      </c>
      <c r="C443" s="394" t="inlineStr">
        <is>
          <t>FADR_energized</t>
        </is>
      </c>
      <c r="D443" s="447" t="inlineStr">
        <is>
          <t>Boolean</t>
        </is>
      </c>
      <c r="E443" s="429" t="n"/>
      <c r="F443" s="429">
        <f>'LFD New'!D70</f>
        <v/>
      </c>
      <c r="G443" s="429" t="n"/>
      <c r="H443" s="688" t="n"/>
      <c r="I443" s="688" t="inlineStr">
        <is>
          <t>LFC05</t>
        </is>
      </c>
      <c r="J443" s="394" t="inlineStr">
        <is>
          <t>(passenger load)0.25%---(Damper Position)25</t>
        </is>
      </c>
      <c r="K443" s="447" t="inlineStr">
        <is>
          <t>Boolean</t>
        </is>
      </c>
      <c r="L443" s="429">
        <f>'LFD OLD'!R658</f>
        <v/>
      </c>
      <c r="M443" s="688" t="inlineStr">
        <is>
          <t>0</t>
        </is>
      </c>
      <c r="N443" s="487" t="n"/>
    </row>
    <row r="444">
      <c r="A444" s="485" t="n"/>
      <c r="B444" s="429" t="inlineStr">
        <is>
          <t>LFC03</t>
        </is>
      </c>
      <c r="C444" s="394" t="inlineStr">
        <is>
          <t>TCMS_close_Command</t>
        </is>
      </c>
      <c r="D444" s="447" t="inlineStr">
        <is>
          <t>Boolean</t>
        </is>
      </c>
      <c r="E444" s="429" t="n"/>
      <c r="F444" s="429">
        <f>'LFD New'!D71</f>
        <v/>
      </c>
      <c r="G444" s="429" t="n"/>
      <c r="H444" s="688" t="n"/>
      <c r="I444" s="800" t="n"/>
      <c r="J444" s="394" t="inlineStr">
        <is>
          <t>(passenger load)25-50%---(Damper Position)50</t>
        </is>
      </c>
      <c r="K444" s="447" t="inlineStr">
        <is>
          <t>Boolean</t>
        </is>
      </c>
      <c r="L444" s="429">
        <f>'LFD OLD'!R659</f>
        <v/>
      </c>
      <c r="M444" s="688" t="inlineStr">
        <is>
          <t>0</t>
        </is>
      </c>
      <c r="N444" s="487" t="n"/>
    </row>
    <row r="445">
      <c r="A445" s="485" t="n"/>
      <c r="B445" s="429" t="n"/>
      <c r="C445" s="407" t="n"/>
      <c r="D445" s="447" t="inlineStr">
        <is>
          <t>Boolean</t>
        </is>
      </c>
      <c r="E445" s="429" t="n"/>
      <c r="F445" s="429" t="n"/>
      <c r="G445" s="429" t="n"/>
      <c r="H445" s="688" t="n"/>
      <c r="I445" s="800" t="n"/>
      <c r="J445" s="394" t="inlineStr">
        <is>
          <t>(passenger load)51-75%---(Damper Position)75</t>
        </is>
      </c>
      <c r="K445" s="447" t="inlineStr">
        <is>
          <t>Boolean</t>
        </is>
      </c>
      <c r="L445" s="429">
        <f>'LFD OLD'!R660</f>
        <v/>
      </c>
      <c r="M445" s="688" t="inlineStr">
        <is>
          <t>0</t>
        </is>
      </c>
      <c r="N445" s="487" t="n"/>
    </row>
    <row r="446" ht="15.75" customHeight="1" thickBot="1">
      <c r="A446" s="488" t="n"/>
      <c r="B446" s="489" t="n"/>
      <c r="C446" s="408" t="n"/>
      <c r="D446" s="490" t="inlineStr">
        <is>
          <t>Boolean</t>
        </is>
      </c>
      <c r="E446" s="489" t="n"/>
      <c r="F446" s="489" t="n"/>
      <c r="G446" s="489" t="n"/>
      <c r="H446" s="689" t="n"/>
      <c r="I446" s="168" t="n"/>
      <c r="J446" s="410" t="inlineStr">
        <is>
          <t>(passenger load)75-100%---(Damper Position)100</t>
        </is>
      </c>
      <c r="K446" s="490" t="inlineStr">
        <is>
          <t>Boolean</t>
        </is>
      </c>
      <c r="L446" s="489">
        <f>'LFD OLD'!R661</f>
        <v/>
      </c>
      <c r="M446" s="689" t="inlineStr">
        <is>
          <t>0</t>
        </is>
      </c>
      <c r="N446" s="492" t="n"/>
    </row>
    <row r="447">
      <c r="A447" s="494" t="n"/>
      <c r="B447" s="495" t="inlineStr">
        <is>
          <t>LFC01</t>
        </is>
      </c>
      <c r="C447" s="493" t="inlineStr">
        <is>
          <t>TCMS_HVAC_mode_OFF</t>
        </is>
      </c>
      <c r="D447" s="496" t="inlineStr">
        <is>
          <t>Boolean</t>
        </is>
      </c>
      <c r="E447" s="495" t="n"/>
      <c r="F447" s="495">
        <f>IF(NOT('LFD New'!D101),1,0)</f>
        <v/>
      </c>
      <c r="G447" s="495" t="n"/>
      <c r="H447" s="494" t="n"/>
      <c r="I447" s="494" t="n"/>
      <c r="J447" s="486" t="n"/>
      <c r="K447" s="496" t="inlineStr">
        <is>
          <t>Boolean</t>
        </is>
      </c>
      <c r="L447" s="495" t="n"/>
      <c r="M447" s="494" t="n"/>
      <c r="N447" s="495" t="n"/>
    </row>
    <row r="448">
      <c r="A448" s="688" t="n"/>
      <c r="B448" s="429" t="inlineStr">
        <is>
          <t>LFC02</t>
        </is>
      </c>
      <c r="C448" s="394" t="inlineStr">
        <is>
          <t>HVAC_Controller_power_healthy</t>
        </is>
      </c>
      <c r="D448" s="447" t="inlineStr">
        <is>
          <t>Boolean</t>
        </is>
      </c>
      <c r="E448" s="429" t="n"/>
      <c r="F448" s="429">
        <f>'LFD New'!D103</f>
        <v/>
      </c>
      <c r="G448" s="429" t="n"/>
      <c r="H448" s="688" t="n"/>
      <c r="I448" s="688" t="n"/>
      <c r="J448" s="407" t="n"/>
      <c r="K448" s="447" t="inlineStr">
        <is>
          <t>Boolean</t>
        </is>
      </c>
      <c r="L448" s="429" t="n"/>
      <c r="M448" s="688" t="n"/>
      <c r="N448" s="429" t="n"/>
    </row>
    <row r="449">
      <c r="A449" s="688" t="n"/>
      <c r="B449" s="429" t="inlineStr">
        <is>
          <t>LFC03</t>
        </is>
      </c>
      <c r="C449" s="394" t="inlineStr">
        <is>
          <t>VCB_open</t>
        </is>
      </c>
      <c r="D449" s="447" t="inlineStr">
        <is>
          <t>Boolean</t>
        </is>
      </c>
      <c r="E449" s="429" t="n"/>
      <c r="F449" s="429">
        <f>'LFD New'!D104</f>
        <v/>
      </c>
      <c r="G449" s="429" t="n"/>
      <c r="H449" s="688" t="n"/>
      <c r="I449" s="688" t="inlineStr">
        <is>
          <t>LFC07</t>
        </is>
      </c>
      <c r="J449" s="394" t="inlineStr">
        <is>
          <t>Managed-shutdown</t>
        </is>
      </c>
      <c r="K449" s="447" t="inlineStr">
        <is>
          <t>Boolean</t>
        </is>
      </c>
      <c r="L449" s="429">
        <f>'LFD OLD'!R675</f>
        <v/>
      </c>
      <c r="M449" s="688" t="inlineStr">
        <is>
          <t>0</t>
        </is>
      </c>
      <c r="N449" s="429" t="n"/>
    </row>
    <row r="450">
      <c r="A450" s="688" t="n"/>
      <c r="B450" s="429" t="inlineStr">
        <is>
          <t>LFC05</t>
        </is>
      </c>
      <c r="C450" s="394" t="inlineStr">
        <is>
          <t>415_VAC_available</t>
        </is>
      </c>
      <c r="D450" s="447" t="inlineStr">
        <is>
          <t>Boolean</t>
        </is>
      </c>
      <c r="E450" s="429" t="n"/>
      <c r="F450" s="429">
        <f>'LFD New'!D105</f>
        <v/>
      </c>
      <c r="G450" s="429" t="n"/>
      <c r="H450" s="688" t="n"/>
      <c r="I450" s="688" t="inlineStr">
        <is>
          <t>LFC10</t>
        </is>
      </c>
      <c r="J450" s="394" t="inlineStr">
        <is>
          <t>LVPS_shutdown</t>
        </is>
      </c>
      <c r="K450" s="447" t="inlineStr">
        <is>
          <t>Boolean</t>
        </is>
      </c>
      <c r="L450" s="429">
        <f>'LFD OLD'!R676</f>
        <v/>
      </c>
      <c r="M450" s="688" t="inlineStr">
        <is>
          <t>0</t>
        </is>
      </c>
      <c r="N450" s="429" t="n"/>
    </row>
    <row r="451">
      <c r="A451" s="688" t="n"/>
      <c r="B451" s="429" t="inlineStr">
        <is>
          <t>LFC08</t>
        </is>
      </c>
      <c r="C451" s="394" t="inlineStr">
        <is>
          <t>LVPS_load_shed(110 VDC)</t>
        </is>
      </c>
      <c r="D451" s="447" t="inlineStr">
        <is>
          <t>Boolean</t>
        </is>
      </c>
      <c r="E451" s="429" t="n"/>
      <c r="F451" s="429">
        <f>'LFD New'!D106</f>
        <v/>
      </c>
      <c r="G451" s="429" t="n"/>
      <c r="H451" s="688" t="n"/>
      <c r="I451" s="688" t="inlineStr">
        <is>
          <t>LFC14</t>
        </is>
      </c>
      <c r="J451" s="394" t="inlineStr">
        <is>
          <t>Abrupt_shutdown</t>
        </is>
      </c>
      <c r="K451" s="447" t="inlineStr">
        <is>
          <t>Boolean</t>
        </is>
      </c>
      <c r="L451" s="429">
        <f>'LFD OLD'!R677</f>
        <v/>
      </c>
      <c r="M451" s="688" t="inlineStr">
        <is>
          <t>0</t>
        </is>
      </c>
      <c r="N451" s="429" t="n"/>
    </row>
    <row r="452">
      <c r="A452" s="688" t="n"/>
      <c r="B452" s="429" t="inlineStr">
        <is>
          <t>LFC09</t>
        </is>
      </c>
      <c r="C452" s="394" t="inlineStr">
        <is>
          <t>HVAC_Controller_power_healthy</t>
        </is>
      </c>
      <c r="D452" s="447" t="inlineStr">
        <is>
          <t>Boolean</t>
        </is>
      </c>
      <c r="E452" s="429" t="n"/>
      <c r="F452" s="429">
        <f>'LFD New'!D107</f>
        <v/>
      </c>
      <c r="G452" s="429" t="n"/>
      <c r="H452" s="688" t="n"/>
      <c r="I452" s="688" t="inlineStr">
        <is>
          <t>LFC15</t>
        </is>
      </c>
      <c r="J452" s="394" t="inlineStr">
        <is>
          <t>System_Shoutdown</t>
        </is>
      </c>
      <c r="K452" s="447" t="inlineStr">
        <is>
          <t>Boolean</t>
        </is>
      </c>
      <c r="L452" s="429">
        <f>'LFD OLD'!R678</f>
        <v/>
      </c>
      <c r="M452" s="688" t="inlineStr">
        <is>
          <t>0</t>
        </is>
      </c>
      <c r="N452" s="429" t="n"/>
    </row>
    <row r="453">
      <c r="A453" s="688" t="n"/>
      <c r="B453" s="429" t="inlineStr">
        <is>
          <t>LFC11</t>
        </is>
      </c>
      <c r="C453" s="394" t="inlineStr">
        <is>
          <t>VCB_open</t>
        </is>
      </c>
      <c r="D453" s="447" t="inlineStr">
        <is>
          <t>Boolean</t>
        </is>
      </c>
      <c r="E453" s="429" t="n"/>
      <c r="F453" s="429">
        <f>'LFD New'!D108</f>
        <v/>
      </c>
      <c r="G453" s="429" t="n"/>
      <c r="H453" s="688" t="n"/>
      <c r="I453" s="688" t="n"/>
      <c r="J453" s="407" t="n"/>
      <c r="K453" s="447" t="inlineStr">
        <is>
          <t>Boolean</t>
        </is>
      </c>
      <c r="L453" s="429" t="n"/>
      <c r="M453" s="688" t="n"/>
      <c r="N453" s="429" t="n"/>
    </row>
    <row r="454">
      <c r="A454" s="688" t="n"/>
      <c r="B454" s="429" t="inlineStr">
        <is>
          <t>LFC12</t>
        </is>
      </c>
      <c r="C454" s="394" t="inlineStr">
        <is>
          <t>415_VAC_available</t>
        </is>
      </c>
      <c r="D454" s="447" t="inlineStr">
        <is>
          <t>Boolean</t>
        </is>
      </c>
      <c r="E454" s="429" t="n"/>
      <c r="F454" s="429">
        <f>'LFD New'!D109</f>
        <v/>
      </c>
      <c r="G454" s="429" t="n"/>
      <c r="H454" s="688" t="n"/>
      <c r="I454" s="688" t="n"/>
      <c r="J454" s="407" t="n"/>
      <c r="K454" s="429" t="n"/>
      <c r="L454" s="429" t="n"/>
      <c r="M454" s="688" t="n"/>
      <c r="N454" s="429" t="n"/>
    </row>
    <row r="455">
      <c r="A455" s="429" t="n"/>
      <c r="B455" s="429" t="n"/>
      <c r="C455" s="688" t="n"/>
      <c r="D455" s="451" t="n"/>
      <c r="E455" s="429" t="n"/>
      <c r="F455" s="429" t="n"/>
      <c r="G455" s="429" t="n"/>
      <c r="H455" s="451" t="n"/>
      <c r="I455" s="451" t="n"/>
      <c r="J455" s="451" t="n"/>
      <c r="K455" s="429" t="n"/>
      <c r="L455" s="429" t="n"/>
      <c r="M455" s="451" t="n"/>
      <c r="N455" s="429" t="n"/>
    </row>
    <row r="456">
      <c r="A456" s="429" t="n"/>
      <c r="B456" s="429" t="n"/>
      <c r="C456" s="688" t="inlineStr">
        <is>
          <t>spare</t>
        </is>
      </c>
      <c r="D456" s="451" t="n"/>
      <c r="E456" s="429" t="n"/>
      <c r="F456" s="429" t="n"/>
      <c r="G456" s="429" t="n"/>
      <c r="H456" s="451" t="n"/>
      <c r="I456" s="451" t="n"/>
      <c r="J456" s="688" t="inlineStr">
        <is>
          <t>spare</t>
        </is>
      </c>
      <c r="K456" s="429" t="n"/>
      <c r="L456" s="429" t="n"/>
      <c r="M456" s="451" t="n"/>
      <c r="N456" s="429" t="n"/>
    </row>
    <row r="457">
      <c r="A457" s="429" t="n"/>
      <c r="B457" s="429" t="n"/>
      <c r="C457" s="688" t="inlineStr">
        <is>
          <t>spare</t>
        </is>
      </c>
      <c r="D457" s="451" t="n"/>
      <c r="E457" s="429" t="n"/>
      <c r="F457" s="429" t="n"/>
      <c r="G457" s="429" t="n"/>
      <c r="H457" s="451" t="n"/>
      <c r="I457" s="451" t="n"/>
      <c r="J457" s="688" t="inlineStr">
        <is>
          <t>spare</t>
        </is>
      </c>
      <c r="K457" s="429" t="n"/>
      <c r="L457" s="429" t="n"/>
      <c r="M457" s="451" t="n"/>
      <c r="N457" s="429" t="n"/>
    </row>
    <row r="458">
      <c r="A458" s="429" t="n"/>
      <c r="B458" s="429" t="n"/>
      <c r="C458" s="688" t="inlineStr">
        <is>
          <t>spare</t>
        </is>
      </c>
      <c r="D458" s="451" t="n"/>
      <c r="E458" s="429" t="n"/>
      <c r="F458" s="429" t="n"/>
      <c r="G458" s="429" t="n"/>
      <c r="H458" s="451" t="n"/>
      <c r="I458" s="451" t="n"/>
      <c r="J458" s="688" t="inlineStr">
        <is>
          <t>spare</t>
        </is>
      </c>
      <c r="K458" s="429" t="n"/>
      <c r="L458" s="429" t="n"/>
      <c r="M458" s="451" t="n"/>
      <c r="N458" s="429" t="n"/>
    </row>
    <row r="459">
      <c r="A459" s="429" t="n"/>
      <c r="B459" s="429" t="n"/>
      <c r="C459" s="688" t="inlineStr">
        <is>
          <t>spare</t>
        </is>
      </c>
      <c r="D459" s="451" t="n"/>
      <c r="E459" s="429" t="n"/>
      <c r="F459" s="429" t="n"/>
      <c r="G459" s="429" t="n"/>
      <c r="H459" s="451" t="n"/>
      <c r="I459" s="451" t="n"/>
      <c r="J459" s="688" t="inlineStr">
        <is>
          <t>spare</t>
        </is>
      </c>
      <c r="K459" s="429" t="n"/>
      <c r="L459" s="429" t="n"/>
      <c r="M459" s="451" t="n"/>
      <c r="N459" s="429" t="n"/>
    </row>
    <row r="460">
      <c r="A460" s="429" t="n"/>
      <c r="B460" s="429" t="n"/>
      <c r="C460" s="688" t="inlineStr">
        <is>
          <t>spare</t>
        </is>
      </c>
      <c r="D460" s="451" t="n"/>
      <c r="E460" s="429" t="n"/>
      <c r="F460" s="429" t="n"/>
      <c r="G460" s="429" t="n"/>
      <c r="H460" s="451" t="n"/>
      <c r="I460" s="451" t="n"/>
      <c r="J460" s="688" t="inlineStr">
        <is>
          <t>spare</t>
        </is>
      </c>
      <c r="K460" s="429" t="n"/>
      <c r="L460" s="429" t="n"/>
      <c r="M460" s="451" t="n"/>
      <c r="N460" s="429" t="n"/>
    </row>
    <row r="461">
      <c r="A461" s="429" t="n"/>
      <c r="B461" s="429" t="n"/>
      <c r="C461" s="688" t="inlineStr">
        <is>
          <t>spare</t>
        </is>
      </c>
      <c r="D461" s="451" t="n"/>
      <c r="E461" s="429" t="n"/>
      <c r="F461" s="429" t="n"/>
      <c r="G461" s="429" t="n"/>
      <c r="H461" s="451" t="n"/>
      <c r="I461" s="451" t="n"/>
      <c r="J461" s="688" t="inlineStr">
        <is>
          <t>spare</t>
        </is>
      </c>
      <c r="K461" s="429" t="n"/>
      <c r="L461" s="429" t="n"/>
      <c r="M461" s="451" t="n"/>
      <c r="N461" s="429" t="n"/>
    </row>
    <row r="462">
      <c r="A462" s="429" t="n"/>
      <c r="B462" s="429" t="n"/>
      <c r="C462" s="688" t="inlineStr">
        <is>
          <t>spare</t>
        </is>
      </c>
      <c r="D462" s="451" t="n"/>
      <c r="E462" s="429" t="n"/>
      <c r="F462" s="429" t="n"/>
      <c r="G462" s="429" t="n"/>
      <c r="H462" s="451" t="n"/>
      <c r="I462" s="451" t="n"/>
      <c r="J462" s="688" t="inlineStr">
        <is>
          <t>spare</t>
        </is>
      </c>
      <c r="K462" s="429" t="n"/>
      <c r="L462" s="429" t="n"/>
      <c r="M462" s="451" t="n"/>
      <c r="N462" s="429" t="n"/>
    </row>
    <row r="463">
      <c r="A463" s="429" t="n"/>
      <c r="B463" s="429" t="n"/>
      <c r="C463" s="688" t="inlineStr">
        <is>
          <t>spare</t>
        </is>
      </c>
      <c r="D463" s="451" t="n"/>
      <c r="E463" s="429" t="n"/>
      <c r="F463" s="429" t="n"/>
      <c r="G463" s="429" t="n"/>
      <c r="H463" s="451" t="n"/>
      <c r="I463" s="451" t="n"/>
      <c r="J463" s="688" t="inlineStr">
        <is>
          <t>spare</t>
        </is>
      </c>
      <c r="K463" s="429" t="n"/>
      <c r="L463" s="429" t="n"/>
      <c r="M463" s="451" t="n"/>
      <c r="N463" s="429" t="n"/>
    </row>
    <row r="464">
      <c r="A464" s="429" t="n"/>
      <c r="B464" s="429" t="n"/>
      <c r="C464" s="688" t="inlineStr">
        <is>
          <t>spare</t>
        </is>
      </c>
      <c r="D464" s="451" t="n"/>
      <c r="E464" s="429" t="n"/>
      <c r="F464" s="429" t="n"/>
      <c r="G464" s="429" t="n"/>
      <c r="H464" s="451" t="n"/>
      <c r="I464" s="451" t="n"/>
      <c r="J464" s="688" t="inlineStr">
        <is>
          <t>spare</t>
        </is>
      </c>
      <c r="K464" s="429" t="n"/>
      <c r="L464" s="429" t="n"/>
      <c r="M464" s="451" t="n"/>
      <c r="N464" s="429" t="n"/>
    </row>
    <row r="465">
      <c r="A465" s="429" t="n"/>
      <c r="B465" s="429" t="n"/>
      <c r="C465" s="688" t="inlineStr">
        <is>
          <t>spare</t>
        </is>
      </c>
      <c r="D465" s="451" t="n"/>
      <c r="E465" s="429" t="n"/>
      <c r="F465" s="429" t="n"/>
      <c r="G465" s="429" t="n"/>
      <c r="H465" s="451" t="n"/>
      <c r="I465" s="451" t="n"/>
      <c r="J465" s="688" t="inlineStr">
        <is>
          <t>spare</t>
        </is>
      </c>
      <c r="K465" s="429" t="n"/>
      <c r="L465" s="429" t="n"/>
      <c r="M465" s="451" t="n"/>
      <c r="N465" s="429" t="n"/>
    </row>
    <row r="466">
      <c r="A466" s="429" t="n"/>
      <c r="B466" s="429" t="n"/>
      <c r="C466" s="688" t="inlineStr">
        <is>
          <t>spare</t>
        </is>
      </c>
      <c r="D466" s="451" t="n"/>
      <c r="E466" s="429" t="n"/>
      <c r="F466" s="429" t="n"/>
      <c r="G466" s="429" t="n"/>
      <c r="H466" s="451" t="n"/>
      <c r="I466" s="451" t="n"/>
      <c r="J466" s="688" t="inlineStr">
        <is>
          <t>spare</t>
        </is>
      </c>
      <c r="K466" s="429" t="n"/>
      <c r="L466" s="429" t="n"/>
      <c r="M466" s="451" t="n"/>
      <c r="N466" s="429" t="n"/>
    </row>
    <row r="467">
      <c r="A467" s="429" t="n"/>
      <c r="B467" s="429" t="n"/>
      <c r="C467" s="688" t="inlineStr">
        <is>
          <t>spare</t>
        </is>
      </c>
      <c r="D467" s="451" t="n"/>
      <c r="E467" s="429" t="n"/>
      <c r="F467" s="429" t="n"/>
      <c r="G467" s="429" t="n"/>
      <c r="H467" s="451" t="n"/>
      <c r="I467" s="451" t="n"/>
      <c r="J467" s="688" t="inlineStr">
        <is>
          <t>spare</t>
        </is>
      </c>
      <c r="K467" s="429" t="n"/>
      <c r="L467" s="429" t="n"/>
      <c r="M467" s="451" t="n"/>
      <c r="N467" s="429" t="n"/>
    </row>
    <row r="468">
      <c r="A468" s="429" t="n"/>
      <c r="B468" s="429" t="n"/>
      <c r="C468" s="688" t="inlineStr">
        <is>
          <t>spare</t>
        </is>
      </c>
      <c r="D468" s="451" t="n"/>
      <c r="E468" s="429" t="n"/>
      <c r="F468" s="429" t="n"/>
      <c r="G468" s="429" t="n"/>
      <c r="H468" s="451" t="n"/>
      <c r="I468" s="451" t="n"/>
      <c r="J468" s="688" t="inlineStr">
        <is>
          <t>spare</t>
        </is>
      </c>
      <c r="K468" s="429" t="n"/>
      <c r="L468" s="429" t="n"/>
      <c r="M468" s="451" t="n"/>
      <c r="N468" s="429" t="n"/>
    </row>
    <row r="469">
      <c r="A469" s="429" t="n"/>
      <c r="B469" s="429" t="n"/>
      <c r="C469" s="688" t="inlineStr">
        <is>
          <t>spare</t>
        </is>
      </c>
      <c r="D469" s="451" t="n"/>
      <c r="E469" s="429" t="n"/>
      <c r="F469" s="429" t="n"/>
      <c r="G469" s="429" t="n"/>
      <c r="H469" s="451" t="n"/>
      <c r="I469" s="451" t="n"/>
      <c r="J469" s="688" t="inlineStr">
        <is>
          <t>spare</t>
        </is>
      </c>
      <c r="K469" s="429" t="n"/>
      <c r="L469" s="429" t="n"/>
      <c r="M469" s="451" t="n"/>
      <c r="N469" s="429" t="n"/>
    </row>
    <row r="470">
      <c r="A470" s="429" t="n"/>
      <c r="B470" s="429" t="n"/>
      <c r="C470" s="688" t="inlineStr">
        <is>
          <t>spare</t>
        </is>
      </c>
      <c r="D470" s="451" t="n"/>
      <c r="E470" s="429" t="n"/>
      <c r="F470" s="429" t="n"/>
      <c r="G470" s="429" t="n"/>
      <c r="H470" s="451" t="n"/>
      <c r="I470" s="451" t="n"/>
      <c r="J470" s="688" t="inlineStr">
        <is>
          <t>spare</t>
        </is>
      </c>
      <c r="K470" s="429" t="n"/>
      <c r="L470" s="429" t="n"/>
      <c r="M470" s="451" t="n"/>
      <c r="N470" s="429" t="n"/>
    </row>
    <row r="471">
      <c r="A471" s="429" t="n"/>
      <c r="B471" s="429" t="n"/>
      <c r="C471" s="688" t="inlineStr">
        <is>
          <t>spare</t>
        </is>
      </c>
      <c r="D471" s="451" t="n"/>
      <c r="E471" s="429" t="n"/>
      <c r="F471" s="429" t="n"/>
      <c r="G471" s="429" t="n"/>
      <c r="H471" s="451" t="n"/>
      <c r="I471" s="451" t="n"/>
      <c r="J471" s="688" t="inlineStr">
        <is>
          <t>spare</t>
        </is>
      </c>
      <c r="K471" s="429" t="n"/>
      <c r="L471" s="429" t="n"/>
      <c r="M471" s="451" t="n"/>
      <c r="N471" s="429" t="n"/>
    </row>
    <row r="472">
      <c r="A472" s="429" t="n"/>
      <c r="B472" s="429" t="n"/>
      <c r="C472" s="688" t="inlineStr">
        <is>
          <t>spare</t>
        </is>
      </c>
      <c r="D472" s="451" t="n"/>
      <c r="E472" s="429" t="n"/>
      <c r="F472" s="429" t="n"/>
      <c r="G472" s="429" t="n"/>
      <c r="H472" s="451" t="n"/>
      <c r="I472" s="451" t="n"/>
      <c r="J472" s="688" t="inlineStr">
        <is>
          <t>spare</t>
        </is>
      </c>
      <c r="K472" s="429" t="n"/>
      <c r="L472" s="429" t="n"/>
      <c r="M472" s="451" t="n"/>
      <c r="N472" s="429" t="n"/>
    </row>
    <row r="473">
      <c r="A473" s="429" t="n"/>
      <c r="B473" s="429" t="n"/>
      <c r="C473" s="688" t="inlineStr">
        <is>
          <t>spare</t>
        </is>
      </c>
      <c r="D473" s="451" t="n"/>
      <c r="E473" s="429" t="n"/>
      <c r="F473" s="429" t="n"/>
      <c r="G473" s="429" t="n"/>
      <c r="H473" s="451" t="n"/>
      <c r="I473" s="451" t="n"/>
      <c r="J473" s="688" t="inlineStr">
        <is>
          <t>spare</t>
        </is>
      </c>
      <c r="K473" s="429" t="n"/>
      <c r="L473" s="429" t="n"/>
      <c r="M473" s="451" t="n"/>
      <c r="N473" s="429" t="n"/>
    </row>
    <row r="474">
      <c r="A474" s="429" t="n"/>
      <c r="B474" s="429" t="n"/>
      <c r="C474" s="688" t="inlineStr">
        <is>
          <t>spare</t>
        </is>
      </c>
      <c r="D474" s="451" t="n"/>
      <c r="E474" s="429" t="n"/>
      <c r="F474" s="429" t="n"/>
      <c r="G474" s="429" t="n"/>
      <c r="H474" s="451" t="n"/>
      <c r="I474" s="451" t="n"/>
      <c r="J474" s="688" t="inlineStr">
        <is>
          <t>spare</t>
        </is>
      </c>
      <c r="K474" s="429" t="n"/>
      <c r="L474" s="429" t="n"/>
      <c r="M474" s="451" t="n"/>
      <c r="N474" s="429" t="n"/>
    </row>
    <row r="475">
      <c r="A475" s="429" t="n"/>
      <c r="B475" s="429" t="n"/>
      <c r="C475" s="688" t="inlineStr">
        <is>
          <t>spare</t>
        </is>
      </c>
      <c r="D475" s="451" t="n"/>
      <c r="E475" s="429" t="n"/>
      <c r="F475" s="429" t="n"/>
      <c r="G475" s="429" t="n"/>
      <c r="H475" s="451" t="n"/>
      <c r="I475" s="451" t="n"/>
      <c r="J475" s="688" t="inlineStr">
        <is>
          <t>spare</t>
        </is>
      </c>
      <c r="K475" s="429" t="n"/>
      <c r="L475" s="429" t="n"/>
      <c r="M475" s="451" t="n"/>
      <c r="N475" s="429" t="n"/>
    </row>
    <row r="476">
      <c r="A476" s="429" t="n"/>
      <c r="B476" s="429" t="n"/>
      <c r="C476" s="688" t="inlineStr">
        <is>
          <t>spare</t>
        </is>
      </c>
      <c r="D476" s="451" t="n"/>
      <c r="E476" s="429" t="n"/>
      <c r="F476" s="429" t="n"/>
      <c r="G476" s="429" t="n"/>
      <c r="H476" s="451" t="n"/>
      <c r="I476" s="451" t="n"/>
      <c r="J476" s="688" t="inlineStr">
        <is>
          <t>spare</t>
        </is>
      </c>
      <c r="K476" s="429" t="n"/>
      <c r="L476" s="429" t="n"/>
      <c r="M476" s="451" t="n"/>
      <c r="N476" s="429" t="n"/>
    </row>
    <row r="477">
      <c r="A477" s="429" t="n"/>
      <c r="B477" s="429" t="n"/>
      <c r="C477" s="688" t="inlineStr">
        <is>
          <t>spare</t>
        </is>
      </c>
      <c r="D477" s="451" t="n"/>
      <c r="E477" s="429" t="n"/>
      <c r="F477" s="429" t="n"/>
      <c r="G477" s="429" t="n"/>
      <c r="H477" s="451" t="n"/>
      <c r="I477" s="451" t="n"/>
      <c r="J477" s="688" t="inlineStr">
        <is>
          <t>spare</t>
        </is>
      </c>
      <c r="K477" s="429" t="n"/>
      <c r="L477" s="429" t="n"/>
      <c r="M477" s="451" t="n"/>
      <c r="N477" s="429" t="n"/>
    </row>
    <row r="478">
      <c r="A478" s="429" t="n"/>
      <c r="B478" s="429" t="n"/>
      <c r="C478" s="688" t="inlineStr">
        <is>
          <t>spare</t>
        </is>
      </c>
      <c r="D478" s="451" t="n"/>
      <c r="E478" s="429" t="n"/>
      <c r="F478" s="429" t="n"/>
      <c r="G478" s="429" t="n"/>
      <c r="H478" s="451" t="n"/>
      <c r="I478" s="451" t="n"/>
      <c r="J478" s="688" t="inlineStr">
        <is>
          <t>spare</t>
        </is>
      </c>
      <c r="K478" s="429" t="n"/>
      <c r="L478" s="429" t="n"/>
      <c r="M478" s="451" t="n"/>
      <c r="N478" s="429" t="n"/>
    </row>
    <row r="479">
      <c r="A479" s="429" t="n"/>
      <c r="B479" s="429" t="n"/>
      <c r="C479" s="688" t="inlineStr">
        <is>
          <t>spare</t>
        </is>
      </c>
      <c r="D479" s="451" t="n"/>
      <c r="E479" s="429" t="n"/>
      <c r="F479" s="429" t="n"/>
      <c r="G479" s="429" t="n"/>
      <c r="H479" s="451" t="n"/>
      <c r="I479" s="451" t="n"/>
      <c r="J479" s="688" t="inlineStr">
        <is>
          <t>spare</t>
        </is>
      </c>
      <c r="K479" s="429" t="n"/>
      <c r="L479" s="429" t="n"/>
      <c r="M479" s="451" t="n"/>
      <c r="N479" s="429" t="n"/>
    </row>
    <row r="480">
      <c r="A480" s="429" t="n"/>
      <c r="B480" s="429" t="n"/>
      <c r="C480" s="688" t="inlineStr">
        <is>
          <t>spare</t>
        </is>
      </c>
      <c r="D480" s="451" t="n"/>
      <c r="E480" s="429" t="n"/>
      <c r="F480" s="429" t="n"/>
      <c r="G480" s="429" t="n"/>
      <c r="H480" s="451" t="n"/>
      <c r="I480" s="451" t="n"/>
      <c r="J480" s="688" t="inlineStr">
        <is>
          <t>spare</t>
        </is>
      </c>
      <c r="K480" s="429" t="n"/>
      <c r="L480" s="429" t="n"/>
      <c r="M480" s="451" t="n"/>
      <c r="N480" s="429" t="n"/>
    </row>
    <row r="481">
      <c r="A481" s="429" t="n"/>
      <c r="B481" s="429" t="n"/>
      <c r="C481" s="688" t="inlineStr">
        <is>
          <t>spare</t>
        </is>
      </c>
      <c r="D481" s="451" t="n"/>
      <c r="E481" s="429" t="n"/>
      <c r="F481" s="429" t="n"/>
      <c r="G481" s="429" t="n"/>
      <c r="H481" s="451" t="n"/>
      <c r="I481" s="451" t="n"/>
      <c r="J481" s="688" t="inlineStr">
        <is>
          <t>spare</t>
        </is>
      </c>
      <c r="K481" s="429" t="n"/>
      <c r="L481" s="429" t="n"/>
      <c r="M481" s="451" t="n"/>
      <c r="N481" s="429" t="n"/>
    </row>
    <row r="482">
      <c r="A482" s="429" t="n"/>
      <c r="B482" s="429" t="n"/>
      <c r="C482" s="688" t="inlineStr">
        <is>
          <t>spare</t>
        </is>
      </c>
      <c r="D482" s="451" t="n"/>
      <c r="E482" s="429" t="n"/>
      <c r="F482" s="429" t="n"/>
      <c r="G482" s="429" t="n"/>
      <c r="H482" s="451" t="n"/>
      <c r="I482" s="451" t="n"/>
      <c r="J482" s="688" t="inlineStr">
        <is>
          <t>spare</t>
        </is>
      </c>
      <c r="K482" s="429" t="n"/>
      <c r="L482" s="429" t="n"/>
      <c r="M482" s="451" t="n"/>
      <c r="N482" s="429" t="n"/>
    </row>
    <row r="483">
      <c r="A483" s="429" t="n"/>
      <c r="B483" s="429" t="n"/>
      <c r="C483" s="688" t="inlineStr">
        <is>
          <t>spare</t>
        </is>
      </c>
      <c r="D483" s="451" t="n"/>
      <c r="E483" s="429" t="n"/>
      <c r="F483" s="429" t="n"/>
      <c r="G483" s="429" t="n"/>
      <c r="H483" s="451" t="n"/>
      <c r="I483" s="451" t="n"/>
      <c r="J483" s="688" t="inlineStr">
        <is>
          <t>spare</t>
        </is>
      </c>
      <c r="K483" s="429" t="n"/>
      <c r="L483" s="429" t="n"/>
      <c r="M483" s="451" t="n"/>
      <c r="N483" s="429" t="n"/>
    </row>
    <row r="484">
      <c r="A484" s="429" t="n"/>
      <c r="B484" s="429" t="n"/>
      <c r="C484" s="688" t="inlineStr">
        <is>
          <t>spare</t>
        </is>
      </c>
      <c r="D484" s="451" t="n"/>
      <c r="E484" s="429" t="n"/>
      <c r="F484" s="429" t="n"/>
      <c r="G484" s="429" t="n"/>
      <c r="H484" s="451" t="n"/>
      <c r="I484" s="451" t="n"/>
      <c r="J484" s="688" t="inlineStr">
        <is>
          <t>spare</t>
        </is>
      </c>
      <c r="K484" s="429" t="n"/>
      <c r="L484" s="429" t="n"/>
      <c r="M484" s="451" t="n"/>
      <c r="N484" s="429" t="n"/>
    </row>
    <row r="485">
      <c r="A485" s="429" t="n"/>
      <c r="B485" s="429" t="n"/>
      <c r="C485" s="688" t="inlineStr">
        <is>
          <t>spare</t>
        </is>
      </c>
      <c r="D485" s="451" t="n"/>
      <c r="E485" s="429" t="n"/>
      <c r="F485" s="429" t="n"/>
      <c r="G485" s="429" t="n"/>
      <c r="H485" s="451" t="n"/>
      <c r="I485" s="451" t="n"/>
      <c r="J485" s="688" t="inlineStr">
        <is>
          <t>spare</t>
        </is>
      </c>
      <c r="K485" s="429" t="n"/>
      <c r="L485" s="429" t="n"/>
      <c r="M485" s="451" t="n"/>
      <c r="N485" s="429" t="n"/>
    </row>
    <row r="486">
      <c r="A486" s="429" t="n"/>
      <c r="B486" s="429" t="n"/>
      <c r="C486" s="688" t="inlineStr">
        <is>
          <t>spare</t>
        </is>
      </c>
      <c r="D486" s="451" t="n"/>
      <c r="E486" s="429" t="n"/>
      <c r="F486" s="429" t="n"/>
      <c r="G486" s="429" t="n"/>
      <c r="H486" s="451" t="n"/>
      <c r="I486" s="451" t="n"/>
      <c r="J486" s="688" t="inlineStr">
        <is>
          <t>spare</t>
        </is>
      </c>
      <c r="K486" s="429" t="n"/>
      <c r="L486" s="429" t="n"/>
      <c r="M486" s="451" t="n"/>
      <c r="N486" s="429" t="n"/>
    </row>
    <row r="487">
      <c r="A487" s="429" t="n"/>
      <c r="B487" s="429" t="n"/>
      <c r="C487" s="688" t="inlineStr">
        <is>
          <t>spare</t>
        </is>
      </c>
      <c r="D487" s="451" t="n"/>
      <c r="E487" s="429" t="n"/>
      <c r="F487" s="429" t="n"/>
      <c r="G487" s="429" t="n"/>
      <c r="H487" s="451" t="n"/>
      <c r="I487" s="451" t="n"/>
      <c r="J487" s="688" t="inlineStr">
        <is>
          <t>spare</t>
        </is>
      </c>
      <c r="K487" s="429" t="n"/>
      <c r="L487" s="429" t="n"/>
      <c r="M487" s="451" t="n"/>
      <c r="N487" s="429" t="n"/>
    </row>
    <row r="488">
      <c r="A488" s="429" t="n"/>
      <c r="B488" s="429" t="n"/>
      <c r="C488" s="688" t="inlineStr">
        <is>
          <t>spare</t>
        </is>
      </c>
      <c r="D488" s="451" t="n"/>
      <c r="E488" s="429" t="n"/>
      <c r="F488" s="429" t="n"/>
      <c r="G488" s="429" t="n"/>
      <c r="H488" s="451" t="n"/>
      <c r="I488" s="451" t="n"/>
      <c r="J488" s="688" t="inlineStr">
        <is>
          <t>spare</t>
        </is>
      </c>
      <c r="K488" s="429" t="n"/>
      <c r="L488" s="429" t="n"/>
      <c r="M488" s="451" t="n"/>
      <c r="N488" s="429" t="n"/>
    </row>
    <row r="489">
      <c r="A489" s="429" t="n"/>
      <c r="B489" s="429" t="n"/>
      <c r="C489" s="688" t="inlineStr">
        <is>
          <t>spare</t>
        </is>
      </c>
      <c r="D489" s="451" t="n"/>
      <c r="E489" s="429" t="n"/>
      <c r="F489" s="429" t="n"/>
      <c r="G489" s="429" t="n"/>
      <c r="H489" s="451" t="n"/>
      <c r="I489" s="451" t="n"/>
      <c r="J489" s="688" t="inlineStr">
        <is>
          <t>spare</t>
        </is>
      </c>
      <c r="K489" s="429" t="n"/>
      <c r="L489" s="429" t="n"/>
      <c r="M489" s="451" t="n"/>
      <c r="N489" s="429" t="n"/>
    </row>
    <row r="490">
      <c r="A490" s="429" t="n"/>
      <c r="B490" s="429" t="n"/>
      <c r="C490" s="688" t="inlineStr">
        <is>
          <t>spare</t>
        </is>
      </c>
      <c r="D490" s="451" t="n"/>
      <c r="E490" s="429" t="n"/>
      <c r="F490" s="429" t="n"/>
      <c r="G490" s="429" t="n"/>
      <c r="H490" s="451" t="n"/>
      <c r="I490" s="451" t="n"/>
      <c r="J490" s="688" t="inlineStr">
        <is>
          <t>spare</t>
        </is>
      </c>
      <c r="K490" s="429" t="n"/>
      <c r="L490" s="429" t="n"/>
      <c r="M490" s="451" t="n"/>
      <c r="N490" s="429" t="n"/>
    </row>
    <row r="491">
      <c r="A491" s="429" t="n"/>
      <c r="B491" s="429" t="n"/>
      <c r="C491" s="688" t="inlineStr">
        <is>
          <t>spare</t>
        </is>
      </c>
      <c r="D491" s="451" t="n"/>
      <c r="E491" s="429" t="n"/>
      <c r="F491" s="429" t="n"/>
      <c r="G491" s="429" t="n"/>
      <c r="H491" s="451" t="n"/>
      <c r="I491" s="451" t="n"/>
      <c r="J491" s="688" t="inlineStr">
        <is>
          <t>spare</t>
        </is>
      </c>
      <c r="K491" s="429" t="n"/>
      <c r="L491" s="429" t="n"/>
      <c r="M491" s="451" t="n"/>
      <c r="N491" s="429" t="n"/>
    </row>
    <row r="492">
      <c r="A492" s="429" t="n"/>
      <c r="B492" s="429" t="n"/>
      <c r="C492" s="688" t="inlineStr">
        <is>
          <t>spare</t>
        </is>
      </c>
      <c r="D492" s="451" t="n"/>
      <c r="E492" s="429" t="n"/>
      <c r="F492" s="429" t="n"/>
      <c r="G492" s="429" t="n"/>
      <c r="H492" s="451" t="n"/>
      <c r="I492" s="451" t="n"/>
      <c r="J492" s="688" t="inlineStr">
        <is>
          <t>spare</t>
        </is>
      </c>
      <c r="K492" s="429" t="n"/>
      <c r="L492" s="429" t="n"/>
      <c r="M492" s="451" t="n"/>
      <c r="N492" s="429" t="n"/>
    </row>
    <row r="493">
      <c r="A493" s="429" t="n"/>
      <c r="B493" s="429" t="n"/>
      <c r="C493" s="688" t="inlineStr">
        <is>
          <t>spare</t>
        </is>
      </c>
      <c r="D493" s="451" t="n"/>
      <c r="E493" s="429" t="n"/>
      <c r="F493" s="429" t="n"/>
      <c r="G493" s="429" t="n"/>
      <c r="H493" s="451" t="n"/>
      <c r="I493" s="451" t="n"/>
      <c r="J493" s="688" t="inlineStr">
        <is>
          <t>spare</t>
        </is>
      </c>
      <c r="K493" s="429" t="n"/>
      <c r="L493" s="429" t="n"/>
      <c r="M493" s="451" t="n"/>
      <c r="N493" s="429" t="n"/>
    </row>
    <row r="523" ht="45.75" customHeight="1">
      <c r="A523" s="690" t="inlineStr">
        <is>
          <t xml:space="preserve"> Driver Cab /PTT ( CPU_CAB/PTT- CPU_WS)</t>
        </is>
      </c>
      <c r="B523" s="798" t="n"/>
      <c r="C523" s="798" t="n"/>
      <c r="D523" s="798" t="n"/>
      <c r="E523" s="798" t="n"/>
      <c r="F523" s="798" t="n"/>
      <c r="G523" s="798" t="n"/>
      <c r="H523" s="798" t="n"/>
      <c r="I523" s="798" t="n"/>
      <c r="J523" s="798" t="n"/>
      <c r="K523" s="798" t="n"/>
      <c r="L523" s="798" t="n"/>
      <c r="M523" s="798" t="n"/>
      <c r="N523" s="798" t="n"/>
      <c r="O523" s="798" t="n"/>
      <c r="P523" s="798" t="n"/>
      <c r="Q523" s="798" t="n"/>
      <c r="R523" s="798" t="n"/>
      <c r="S523" s="798" t="n"/>
      <c r="T523" s="798" t="n"/>
      <c r="U523" s="798" t="n"/>
      <c r="V523" s="798" t="n"/>
      <c r="W523" s="798" t="n"/>
      <c r="X523" s="798" t="n"/>
      <c r="Y523" s="798" t="n"/>
      <c r="Z523" s="798" t="n"/>
      <c r="AA523" s="798" t="n"/>
      <c r="AB523" s="798" t="n"/>
      <c r="AC523" s="798" t="n"/>
      <c r="AD523" s="798" t="n"/>
      <c r="AE523" s="798" t="n"/>
      <c r="AF523" s="798" t="n"/>
      <c r="AG523" s="798" t="n"/>
      <c r="AH523" s="798" t="n"/>
      <c r="AI523" s="798" t="n"/>
      <c r="AJ523" s="798" t="n"/>
      <c r="AK523" s="798" t="n"/>
      <c r="AL523" s="798" t="n"/>
      <c r="AM523" s="798" t="n"/>
      <c r="AN523" s="798" t="n"/>
      <c r="AO523" s="798" t="n"/>
      <c r="AP523" s="798" t="n"/>
      <c r="AQ523" s="798" t="n"/>
      <c r="AR523" s="798" t="n"/>
      <c r="AS523" s="798" t="n"/>
      <c r="AT523" s="309" t="n"/>
    </row>
    <row r="526" ht="15.75" customHeight="1" thickBot="1"/>
    <row r="527" ht="27" customHeight="1" thickBot="1">
      <c r="A527" s="801" t="inlineStr">
        <is>
          <t>Inputs from Driver Cab /PTT</t>
        </is>
      </c>
      <c r="B527" s="794" t="n"/>
      <c r="C527" s="794" t="n"/>
      <c r="D527" s="794" t="n"/>
      <c r="E527" s="794" t="n"/>
      <c r="F527" s="794" t="n"/>
      <c r="G527" s="795" t="n"/>
      <c r="K527" s="696" t="inlineStr">
        <is>
          <t>Outputs to Driver Cab /PTT</t>
        </is>
      </c>
      <c r="L527" s="794" t="n"/>
      <c r="M527" s="794" t="n"/>
      <c r="N527" s="794" t="n"/>
      <c r="O527" s="794" t="n"/>
      <c r="P527" s="794" t="n"/>
      <c r="Q527" s="802" t="n"/>
      <c r="U527" s="694" t="inlineStr">
        <is>
          <t>Inputs from Driver Cab /PTT</t>
        </is>
      </c>
      <c r="V527" s="798" t="n"/>
      <c r="W527" s="798" t="n"/>
      <c r="X527" s="798" t="n"/>
      <c r="Y527" s="798" t="n"/>
      <c r="Z527" s="798" t="n"/>
      <c r="AA527" s="309" t="n"/>
      <c r="AD527" s="694" t="inlineStr">
        <is>
          <t>Outputs to Driver Cab /PTT</t>
        </is>
      </c>
      <c r="AE527" s="798" t="n"/>
      <c r="AF527" s="798" t="n"/>
      <c r="AG527" s="798" t="n"/>
      <c r="AH527" s="798" t="n"/>
      <c r="AI527" s="798" t="n"/>
      <c r="AJ527" s="309" t="n"/>
    </row>
    <row r="528" ht="48" customHeight="1">
      <c r="A528" s="94" t="inlineStr">
        <is>
          <t>Sr. No.</t>
        </is>
      </c>
      <c r="B528" s="94" t="inlineStr">
        <is>
          <t>Ferrule Number/ Unique id</t>
        </is>
      </c>
      <c r="C528" s="95" t="inlineStr">
        <is>
          <t>Digital Input variable</t>
        </is>
      </c>
      <c r="D528" s="30" t="inlineStr">
        <is>
          <t>Data Type</t>
        </is>
      </c>
      <c r="E528" s="94" t="inlineStr">
        <is>
          <t xml:space="preserve">Source </t>
        </is>
      </c>
      <c r="F528" s="94" t="inlineStr">
        <is>
          <t>Value</t>
        </is>
      </c>
      <c r="G528" s="94" t="inlineStr">
        <is>
          <t>Remark</t>
        </is>
      </c>
      <c r="K528" s="30" t="inlineStr">
        <is>
          <t>Sr. No.</t>
        </is>
      </c>
      <c r="L528" s="30" t="inlineStr">
        <is>
          <t>Ferrule Number/ Unique id</t>
        </is>
      </c>
      <c r="M528" s="30" t="inlineStr">
        <is>
          <t>Output variable</t>
        </is>
      </c>
      <c r="N528" s="31" t="inlineStr">
        <is>
          <t xml:space="preserve">Data Type </t>
        </is>
      </c>
      <c r="O528" s="23" t="inlineStr">
        <is>
          <t>Source</t>
        </is>
      </c>
      <c r="P528" s="30" t="inlineStr">
        <is>
          <t>Value</t>
        </is>
      </c>
      <c r="Q528" s="30" t="inlineStr">
        <is>
          <t>Remark</t>
        </is>
      </c>
      <c r="S528" s="532" t="n"/>
      <c r="U528" s="5" t="inlineStr">
        <is>
          <t>Sr. No.</t>
        </is>
      </c>
      <c r="V528" s="5" t="inlineStr">
        <is>
          <t>Ferrule Number/ Unique id</t>
        </is>
      </c>
      <c r="W528" s="19" t="inlineStr">
        <is>
          <t>Analog Input variable</t>
        </is>
      </c>
      <c r="X528" s="9" t="inlineStr">
        <is>
          <t>Data Type</t>
        </is>
      </c>
      <c r="Y528" s="5" t="inlineStr">
        <is>
          <t xml:space="preserve">Source </t>
        </is>
      </c>
      <c r="Z528" s="5" t="inlineStr">
        <is>
          <t>Value</t>
        </is>
      </c>
      <c r="AA528" s="5" t="inlineStr">
        <is>
          <t>Remark</t>
        </is>
      </c>
      <c r="AD528" s="30" t="inlineStr">
        <is>
          <t>Sr. No.</t>
        </is>
      </c>
      <c r="AE528" s="30" t="inlineStr">
        <is>
          <t>Ferrule Number/ Unique id</t>
        </is>
      </c>
      <c r="AF528" s="30" t="inlineStr">
        <is>
          <t>Analog Output variable</t>
        </is>
      </c>
      <c r="AG528" s="31" t="inlineStr">
        <is>
          <t xml:space="preserve">Data Type </t>
        </is>
      </c>
      <c r="AH528" s="23" t="inlineStr">
        <is>
          <t>Source</t>
        </is>
      </c>
      <c r="AI528" s="30" t="inlineStr">
        <is>
          <t>Value</t>
        </is>
      </c>
      <c r="AJ528" s="30" t="inlineStr">
        <is>
          <t>Remark</t>
        </is>
      </c>
    </row>
    <row r="529" ht="27" customHeight="1">
      <c r="A529" s="20" t="n">
        <v>1</v>
      </c>
      <c r="B529" s="669" t="inlineStr">
        <is>
          <t>M101</t>
        </is>
      </c>
      <c r="C529" s="37" t="inlineStr">
        <is>
          <t>Head Light Switch(HLS)</t>
        </is>
      </c>
      <c r="D529" s="29" t="inlineStr">
        <is>
          <t>boolean</t>
        </is>
      </c>
      <c r="E529" s="533" t="inlineStr">
        <is>
          <t>Cab</t>
        </is>
      </c>
      <c r="F529" s="533" t="n"/>
      <c r="G529" s="533" t="n"/>
      <c r="K529" s="20" t="n">
        <v>1</v>
      </c>
      <c r="L529" s="20" t="inlineStr">
        <is>
          <t>M201</t>
        </is>
      </c>
      <c r="M529" s="20" t="inlineStr">
        <is>
          <t>Driver Brake valve (D07L)</t>
        </is>
      </c>
      <c r="N529" s="29" t="inlineStr">
        <is>
          <t>Boolean</t>
        </is>
      </c>
      <c r="O529" s="533" t="inlineStr">
        <is>
          <t>Cab</t>
        </is>
      </c>
      <c r="P529" s="534" t="n"/>
      <c r="Q529" s="533" t="n"/>
      <c r="U529" s="20" t="n">
        <v>1</v>
      </c>
      <c r="V529" s="669" t="inlineStr">
        <is>
          <t>M301</t>
        </is>
      </c>
      <c r="W529" s="37" t="inlineStr">
        <is>
          <t>P max</t>
        </is>
      </c>
      <c r="X529" s="29" t="inlineStr">
        <is>
          <t>Integer</t>
        </is>
      </c>
      <c r="Y529" s="533" t="inlineStr">
        <is>
          <t>Cab</t>
        </is>
      </c>
      <c r="Z529" s="535" t="n"/>
      <c r="AA529" s="535" t="n"/>
      <c r="AD529" s="20" t="n">
        <v>1</v>
      </c>
      <c r="AE529" s="20" t="inlineStr">
        <is>
          <t>M401</t>
        </is>
      </c>
      <c r="AF529" s="20" t="inlineStr">
        <is>
          <t xml:space="preserve">Bmin </t>
        </is>
      </c>
      <c r="AG529" s="29" t="n"/>
      <c r="AH529" s="533" t="inlineStr">
        <is>
          <t>Cab</t>
        </is>
      </c>
      <c r="AI529" s="534" t="n"/>
      <c r="AJ529" s="535" t="n"/>
    </row>
    <row r="530" ht="27" customHeight="1">
      <c r="A530" s="20" t="n">
        <v>2</v>
      </c>
      <c r="B530" s="669" t="inlineStr">
        <is>
          <t>M101</t>
        </is>
      </c>
      <c r="C530" s="37" t="inlineStr">
        <is>
          <t>Head Light Switch(HLS)</t>
        </is>
      </c>
      <c r="D530" s="29" t="inlineStr">
        <is>
          <t>boolean</t>
        </is>
      </c>
      <c r="E530" s="533" t="inlineStr">
        <is>
          <t>Cab</t>
        </is>
      </c>
      <c r="F530" s="533" t="n"/>
      <c r="G530" s="533" t="n"/>
      <c r="K530" s="20" t="n">
        <v>2</v>
      </c>
      <c r="L530" s="20" t="inlineStr">
        <is>
          <t>M202</t>
        </is>
      </c>
      <c r="M530" s="20" t="inlineStr">
        <is>
          <t>Dead Man BUZ</t>
        </is>
      </c>
      <c r="N530" s="29" t="inlineStr">
        <is>
          <t>Boolean</t>
        </is>
      </c>
      <c r="O530" s="533" t="inlineStr">
        <is>
          <t>Cab</t>
        </is>
      </c>
      <c r="P530" s="534" t="n"/>
      <c r="Q530" s="533" t="n"/>
      <c r="U530" s="20" t="n">
        <v>2</v>
      </c>
      <c r="V530" s="669" t="inlineStr">
        <is>
          <t>M302</t>
        </is>
      </c>
      <c r="W530" s="37" t="inlineStr">
        <is>
          <t>Pmin</t>
        </is>
      </c>
      <c r="X530" s="29" t="inlineStr">
        <is>
          <t>Integer</t>
        </is>
      </c>
      <c r="Y530" s="533" t="inlineStr">
        <is>
          <t>Cab</t>
        </is>
      </c>
      <c r="Z530" s="535" t="n"/>
      <c r="AA530" s="535" t="n"/>
      <c r="AD530" s="20" t="n">
        <v>2</v>
      </c>
      <c r="AE530" s="20" t="inlineStr">
        <is>
          <t>M402</t>
        </is>
      </c>
      <c r="AF530" s="20" t="inlineStr">
        <is>
          <t>Dummy</t>
        </is>
      </c>
      <c r="AG530" s="29" t="n"/>
      <c r="AH530" s="533" t="inlineStr">
        <is>
          <t>Cab</t>
        </is>
      </c>
      <c r="AI530" s="534" t="n"/>
      <c r="AJ530" s="535" t="n"/>
    </row>
    <row r="531" ht="32.25" customHeight="1">
      <c r="A531" s="20" t="n">
        <v>3</v>
      </c>
      <c r="B531" s="669" t="inlineStr">
        <is>
          <t>M102</t>
        </is>
      </c>
      <c r="C531" s="37" t="inlineStr">
        <is>
          <t>Wiper Selector Switch (WSS)</t>
        </is>
      </c>
      <c r="D531" s="29" t="inlineStr">
        <is>
          <t>boolean</t>
        </is>
      </c>
      <c r="E531" s="533" t="inlineStr">
        <is>
          <t>Cab</t>
        </is>
      </c>
      <c r="F531" s="533" t="n"/>
      <c r="G531" s="533" t="n"/>
      <c r="K531" s="20" t="n">
        <v>3</v>
      </c>
      <c r="L531" s="20" t="inlineStr">
        <is>
          <t>M203</t>
        </is>
      </c>
      <c r="M531" s="20" t="inlineStr">
        <is>
          <t>All Door Closed Lamp (ADCL)</t>
        </is>
      </c>
      <c r="N531" s="29" t="inlineStr">
        <is>
          <t>Boolean</t>
        </is>
      </c>
      <c r="O531" s="533" t="inlineStr">
        <is>
          <t>Cab</t>
        </is>
      </c>
      <c r="P531" s="534" t="n"/>
      <c r="Q531" s="533" t="n"/>
      <c r="U531" s="20" t="n">
        <v>3</v>
      </c>
      <c r="V531" s="669" t="inlineStr">
        <is>
          <t>M303</t>
        </is>
      </c>
      <c r="W531" s="37" t="inlineStr">
        <is>
          <t>Bmax</t>
        </is>
      </c>
      <c r="X531" s="29" t="inlineStr">
        <is>
          <t>Integer</t>
        </is>
      </c>
      <c r="Y531" s="533" t="inlineStr">
        <is>
          <t>cab</t>
        </is>
      </c>
      <c r="Z531" s="535" t="n"/>
      <c r="AA531" s="535" t="n"/>
      <c r="AD531" s="20" t="n">
        <v>3</v>
      </c>
      <c r="AE531" s="20" t="inlineStr">
        <is>
          <t>M403</t>
        </is>
      </c>
      <c r="AF531" s="20" t="inlineStr">
        <is>
          <t>Dummy</t>
        </is>
      </c>
      <c r="AG531" s="29" t="n"/>
      <c r="AH531" s="533" t="inlineStr">
        <is>
          <t>Cab</t>
        </is>
      </c>
      <c r="AI531" s="534" t="n"/>
      <c r="AJ531" s="535" t="n"/>
    </row>
    <row r="532" ht="30.75" customHeight="1">
      <c r="A532" s="20" t="n">
        <v>4</v>
      </c>
      <c r="B532" s="669" t="inlineStr">
        <is>
          <t>M102</t>
        </is>
      </c>
      <c r="C532" s="37" t="inlineStr">
        <is>
          <t>Wiper Selector Switch (WSS)</t>
        </is>
      </c>
      <c r="D532" s="29" t="inlineStr">
        <is>
          <t>boolean</t>
        </is>
      </c>
      <c r="E532" s="533" t="inlineStr">
        <is>
          <t>Cab</t>
        </is>
      </c>
      <c r="F532" s="533" t="n"/>
      <c r="G532" s="533" t="n"/>
      <c r="K532" s="20" t="n">
        <v>4</v>
      </c>
      <c r="L532" s="20" t="inlineStr">
        <is>
          <t>M204</t>
        </is>
      </c>
      <c r="M532" s="20" t="inlineStr">
        <is>
          <t>ATC Cut-Out Lamp (ATCCL)</t>
        </is>
      </c>
      <c r="N532" s="29" t="inlineStr">
        <is>
          <t>Boolean</t>
        </is>
      </c>
      <c r="O532" s="533" t="inlineStr">
        <is>
          <t>Cab</t>
        </is>
      </c>
      <c r="P532" s="534" t="n"/>
      <c r="Q532" s="533" t="n"/>
      <c r="U532" s="20" t="n">
        <v>4</v>
      </c>
      <c r="V532" s="669" t="inlineStr">
        <is>
          <t>M304</t>
        </is>
      </c>
      <c r="W532" s="37" t="inlineStr">
        <is>
          <t>Dummy</t>
        </is>
      </c>
      <c r="X532" s="29" t="inlineStr">
        <is>
          <t>Integer</t>
        </is>
      </c>
      <c r="Y532" s="533" t="n"/>
      <c r="Z532" s="535" t="n"/>
      <c r="AA532" s="535" t="n"/>
      <c r="AD532" s="20" t="n">
        <v>4</v>
      </c>
      <c r="AE532" s="20" t="inlineStr">
        <is>
          <t>M404</t>
        </is>
      </c>
      <c r="AF532" s="20" t="inlineStr">
        <is>
          <t>Dummy</t>
        </is>
      </c>
      <c r="AG532" s="29" t="n"/>
      <c r="AH532" s="533" t="inlineStr">
        <is>
          <t>Cab</t>
        </is>
      </c>
      <c r="AI532" s="534" t="n"/>
      <c r="AJ532" s="535" t="n"/>
    </row>
    <row r="533" ht="33.75" customHeight="1">
      <c r="A533" s="20" t="n">
        <v>5</v>
      </c>
      <c r="B533" s="669" t="inlineStr">
        <is>
          <t>M103</t>
        </is>
      </c>
      <c r="C533" s="37" t="inlineStr">
        <is>
          <t>HVAC Fresh Air Dumper Switch(SMDRB)</t>
        </is>
      </c>
      <c r="D533" s="29" t="inlineStr">
        <is>
          <t>boolean</t>
        </is>
      </c>
      <c r="E533" s="533" t="inlineStr">
        <is>
          <t>Cab</t>
        </is>
      </c>
      <c r="F533" s="533" t="n"/>
      <c r="G533" s="533" t="n"/>
      <c r="K533" s="20" t="n">
        <v>5</v>
      </c>
      <c r="L533" s="20" t="inlineStr">
        <is>
          <t>M205</t>
        </is>
      </c>
      <c r="M533" s="20" t="inlineStr">
        <is>
          <t>Major Fault Lamp (MJFL)</t>
        </is>
      </c>
      <c r="N533" s="29" t="inlineStr">
        <is>
          <t>Boolean</t>
        </is>
      </c>
      <c r="O533" s="533" t="inlineStr">
        <is>
          <t>Cab</t>
        </is>
      </c>
      <c r="P533" s="535" t="n"/>
      <c r="Q533" s="533" t="n"/>
      <c r="U533" s="20" t="n">
        <v>5</v>
      </c>
      <c r="V533" s="669" t="inlineStr">
        <is>
          <t>M305</t>
        </is>
      </c>
      <c r="W533" s="37" t="inlineStr">
        <is>
          <t>Dummy</t>
        </is>
      </c>
      <c r="X533" s="29" t="inlineStr">
        <is>
          <t>Integer</t>
        </is>
      </c>
      <c r="Y533" s="533" t="inlineStr">
        <is>
          <t>Cab</t>
        </is>
      </c>
      <c r="Z533" s="535" t="n"/>
      <c r="AA533" s="535" t="n"/>
      <c r="AD533" s="20" t="n">
        <v>5</v>
      </c>
      <c r="AE533" s="20" t="inlineStr">
        <is>
          <t>M405</t>
        </is>
      </c>
      <c r="AF533" s="20" t="inlineStr">
        <is>
          <t>Dummy</t>
        </is>
      </c>
      <c r="AG533" s="29" t="n"/>
      <c r="AH533" s="533" t="inlineStr">
        <is>
          <t>Cab</t>
        </is>
      </c>
      <c r="AI533" s="535" t="n"/>
      <c r="AJ533" s="535" t="n"/>
    </row>
    <row r="534" ht="34.5" customHeight="1">
      <c r="A534" s="20" t="n">
        <v>6</v>
      </c>
      <c r="B534" s="669" t="inlineStr">
        <is>
          <t>M103</t>
        </is>
      </c>
      <c r="C534" s="37" t="inlineStr">
        <is>
          <t>HVAC Fresh Air Dumper Switch(SMDRB)</t>
        </is>
      </c>
      <c r="D534" s="29" t="inlineStr">
        <is>
          <t>boolean</t>
        </is>
      </c>
      <c r="E534" s="533" t="inlineStr">
        <is>
          <t>Cab</t>
        </is>
      </c>
      <c r="F534" s="533" t="n"/>
      <c r="G534" s="533" t="n"/>
      <c r="K534" s="20" t="n">
        <v>6</v>
      </c>
      <c r="L534" s="20" t="inlineStr">
        <is>
          <t>M206</t>
        </is>
      </c>
      <c r="M534" s="20" t="inlineStr">
        <is>
          <t>Major Event Lamp (MJEL)</t>
        </is>
      </c>
      <c r="N534" s="29" t="inlineStr">
        <is>
          <t>Boolean</t>
        </is>
      </c>
      <c r="O534" s="533" t="inlineStr">
        <is>
          <t>Cab</t>
        </is>
      </c>
      <c r="P534" s="535" t="n"/>
      <c r="Q534" s="533" t="n"/>
      <c r="U534" s="20" t="n">
        <v>6</v>
      </c>
      <c r="V534" s="669" t="inlineStr">
        <is>
          <t>M306</t>
        </is>
      </c>
      <c r="W534" s="37" t="inlineStr">
        <is>
          <t>Dummy</t>
        </is>
      </c>
      <c r="X534" s="29" t="inlineStr">
        <is>
          <t>Integer</t>
        </is>
      </c>
      <c r="Y534" s="533" t="inlineStr">
        <is>
          <t>Cab</t>
        </is>
      </c>
      <c r="Z534" s="535" t="n"/>
      <c r="AA534" s="535" t="n"/>
      <c r="AD534" s="20" t="n">
        <v>6</v>
      </c>
      <c r="AE534" s="20" t="inlineStr">
        <is>
          <t>M406</t>
        </is>
      </c>
      <c r="AF534" s="20" t="inlineStr">
        <is>
          <t>Dummy</t>
        </is>
      </c>
      <c r="AG534" s="29" t="n"/>
      <c r="AH534" s="533" t="inlineStr">
        <is>
          <t>Cab</t>
        </is>
      </c>
      <c r="AI534" s="535" t="n"/>
      <c r="AJ534" s="535" t="n"/>
    </row>
    <row r="535" ht="27.75" customHeight="1">
      <c r="A535" s="20" t="n">
        <v>7</v>
      </c>
      <c r="B535" s="669" t="inlineStr">
        <is>
          <t>M103</t>
        </is>
      </c>
      <c r="C535" s="37" t="inlineStr">
        <is>
          <t>HVAC Fresh Air Dumper Switch(SMDRB)</t>
        </is>
      </c>
      <c r="D535" s="29" t="inlineStr">
        <is>
          <t>boolean</t>
        </is>
      </c>
      <c r="E535" s="533" t="inlineStr">
        <is>
          <t>Cab</t>
        </is>
      </c>
      <c r="F535" s="533" t="n"/>
      <c r="G535" s="533" t="n"/>
      <c r="K535" s="20" t="n">
        <v>7</v>
      </c>
      <c r="L535" s="20" t="inlineStr">
        <is>
          <t>M207</t>
        </is>
      </c>
      <c r="M535" s="20" t="inlineStr">
        <is>
          <t>Line Fault Lamp (LFL)</t>
        </is>
      </c>
      <c r="N535" s="29" t="inlineStr">
        <is>
          <t>Boolean</t>
        </is>
      </c>
      <c r="O535" s="533" t="inlineStr">
        <is>
          <t>Cab</t>
        </is>
      </c>
      <c r="P535" s="535" t="n"/>
      <c r="Q535" s="533" t="n"/>
      <c r="U535" s="20" t="n">
        <v>7</v>
      </c>
      <c r="V535" s="669" t="inlineStr">
        <is>
          <t>M307</t>
        </is>
      </c>
      <c r="W535" s="37" t="inlineStr">
        <is>
          <t>Dummy</t>
        </is>
      </c>
      <c r="X535" s="29" t="inlineStr">
        <is>
          <t>Integer</t>
        </is>
      </c>
      <c r="Y535" s="533" t="inlineStr">
        <is>
          <t>Cab</t>
        </is>
      </c>
      <c r="Z535" s="535" t="n"/>
      <c r="AA535" s="535" t="n"/>
      <c r="AD535" s="20" t="n">
        <v>7</v>
      </c>
      <c r="AE535" s="20" t="inlineStr">
        <is>
          <t>M407</t>
        </is>
      </c>
      <c r="AF535" s="20" t="inlineStr">
        <is>
          <t>Dummy</t>
        </is>
      </c>
      <c r="AG535" s="29" t="n"/>
      <c r="AH535" s="533" t="inlineStr">
        <is>
          <t>Cab</t>
        </is>
      </c>
      <c r="AI535" s="535" t="n"/>
      <c r="AJ535" s="535" t="n"/>
    </row>
    <row r="536" ht="30" customHeight="1">
      <c r="A536" s="20" t="n">
        <v>8</v>
      </c>
      <c r="B536" s="20" t="inlineStr">
        <is>
          <t>M104</t>
        </is>
      </c>
      <c r="C536" s="38" t="inlineStr">
        <is>
          <t>Washer Push Button (WPB)</t>
        </is>
      </c>
      <c r="D536" s="29" t="inlineStr">
        <is>
          <t>boolean</t>
        </is>
      </c>
      <c r="E536" s="533" t="inlineStr">
        <is>
          <t>Cab</t>
        </is>
      </c>
      <c r="F536" s="533" t="n"/>
      <c r="G536" s="533" t="n"/>
      <c r="K536" s="20" t="n">
        <v>8</v>
      </c>
      <c r="L536" s="20" t="inlineStr">
        <is>
          <t>M208</t>
        </is>
      </c>
      <c r="M536" s="20" t="inlineStr">
        <is>
          <t>Auxiliary Power Supply Fault Lamp (APSF)</t>
        </is>
      </c>
      <c r="N536" s="29" t="inlineStr">
        <is>
          <t>Boolean</t>
        </is>
      </c>
      <c r="O536" s="533" t="inlineStr">
        <is>
          <t>Cab</t>
        </is>
      </c>
      <c r="P536" s="535" t="n"/>
      <c r="Q536" s="533" t="n"/>
      <c r="U536" s="20" t="n">
        <v>8</v>
      </c>
      <c r="V536" s="669" t="inlineStr">
        <is>
          <t>M308</t>
        </is>
      </c>
      <c r="W536" s="38" t="inlineStr">
        <is>
          <t>Dummy</t>
        </is>
      </c>
      <c r="X536" s="29" t="inlineStr">
        <is>
          <t>Integer</t>
        </is>
      </c>
      <c r="Y536" s="533" t="inlineStr">
        <is>
          <t>Cab</t>
        </is>
      </c>
      <c r="Z536" s="535" t="n"/>
      <c r="AA536" s="535" t="n"/>
      <c r="AD536" s="20" t="n">
        <v>8</v>
      </c>
      <c r="AE536" s="20" t="inlineStr">
        <is>
          <t>M408</t>
        </is>
      </c>
      <c r="AF536" s="20" t="inlineStr">
        <is>
          <t>Dummy</t>
        </is>
      </c>
      <c r="AG536" s="29" t="n"/>
      <c r="AH536" s="533" t="inlineStr">
        <is>
          <t>Cab</t>
        </is>
      </c>
      <c r="AI536" s="535" t="n"/>
      <c r="AJ536" s="535" t="n"/>
    </row>
    <row r="537" ht="30" customHeight="1">
      <c r="A537" s="20" t="n">
        <v>9</v>
      </c>
      <c r="B537" s="20" t="inlineStr">
        <is>
          <t>M105</t>
        </is>
      </c>
      <c r="C537" s="38" t="inlineStr">
        <is>
          <t>Air Horn High Button (AHHB)</t>
        </is>
      </c>
      <c r="D537" s="29" t="inlineStr">
        <is>
          <t>boolean</t>
        </is>
      </c>
      <c r="E537" s="533" t="inlineStr">
        <is>
          <t>Cab</t>
        </is>
      </c>
      <c r="F537" s="533" t="n"/>
      <c r="G537" s="533" t="n"/>
      <c r="K537" s="20" t="n">
        <v>9</v>
      </c>
      <c r="L537" s="20" t="inlineStr">
        <is>
          <t>M209</t>
        </is>
      </c>
      <c r="M537" s="20" t="inlineStr">
        <is>
          <t>Parking Brake Lamp (PBL)</t>
        </is>
      </c>
      <c r="N537" s="29" t="inlineStr">
        <is>
          <t>Boolean</t>
        </is>
      </c>
      <c r="O537" s="533" t="inlineStr">
        <is>
          <t>Cab</t>
        </is>
      </c>
      <c r="P537" s="535" t="n"/>
      <c r="Q537" s="533" t="n"/>
      <c r="U537" s="20" t="n">
        <v>9</v>
      </c>
      <c r="V537" s="669" t="inlineStr">
        <is>
          <t>M309</t>
        </is>
      </c>
      <c r="W537" s="38" t="inlineStr">
        <is>
          <t>spare</t>
        </is>
      </c>
      <c r="X537" s="29" t="inlineStr">
        <is>
          <t>Integer</t>
        </is>
      </c>
      <c r="Y537" s="533" t="inlineStr">
        <is>
          <t>Cab</t>
        </is>
      </c>
      <c r="Z537" s="535" t="n"/>
      <c r="AA537" s="535" t="n"/>
      <c r="AD537" s="20" t="n">
        <v>9</v>
      </c>
      <c r="AE537" s="20" t="n"/>
      <c r="AF537" s="20" t="inlineStr">
        <is>
          <t>Spare</t>
        </is>
      </c>
      <c r="AG537" s="29" t="n"/>
      <c r="AH537" s="533" t="inlineStr">
        <is>
          <t>Cab</t>
        </is>
      </c>
      <c r="AI537" s="535" t="n"/>
      <c r="AJ537" s="535" t="n"/>
    </row>
    <row r="538" ht="30" customHeight="1">
      <c r="A538" s="20" t="n">
        <v>10</v>
      </c>
      <c r="B538" s="20" t="inlineStr">
        <is>
          <t>M106</t>
        </is>
      </c>
      <c r="C538" s="38" t="inlineStr">
        <is>
          <t>Air Horn Low Button(AHLB)</t>
        </is>
      </c>
      <c r="D538" s="29" t="inlineStr">
        <is>
          <t>boolean</t>
        </is>
      </c>
      <c r="E538" s="533" t="inlineStr">
        <is>
          <t>Cab</t>
        </is>
      </c>
      <c r="F538" s="533" t="n"/>
      <c r="G538" s="533" t="n"/>
      <c r="K538" s="20" t="n">
        <v>10</v>
      </c>
      <c r="L538" s="20" t="inlineStr">
        <is>
          <t>M210</t>
        </is>
      </c>
      <c r="M538" s="20" t="inlineStr">
        <is>
          <t>VCB Trip Lamp (VCBTL)</t>
        </is>
      </c>
      <c r="N538" s="29" t="inlineStr">
        <is>
          <t>Boolean</t>
        </is>
      </c>
      <c r="O538" s="533" t="inlineStr">
        <is>
          <t>Cab</t>
        </is>
      </c>
      <c r="P538" s="535" t="n"/>
      <c r="Q538" s="533" t="n"/>
      <c r="U538" s="20" t="n">
        <v>10</v>
      </c>
      <c r="V538" s="669" t="inlineStr">
        <is>
          <t>M310</t>
        </is>
      </c>
      <c r="W538" s="38" t="inlineStr">
        <is>
          <t>spare</t>
        </is>
      </c>
      <c r="X538" s="29" t="inlineStr">
        <is>
          <t>Integer</t>
        </is>
      </c>
      <c r="Y538" s="533" t="inlineStr">
        <is>
          <t>Cab</t>
        </is>
      </c>
      <c r="Z538" s="535" t="n"/>
      <c r="AA538" s="535" t="n"/>
      <c r="AD538" s="20" t="n">
        <v>10</v>
      </c>
      <c r="AE538" s="20" t="n"/>
      <c r="AF538" s="20" t="inlineStr">
        <is>
          <t>Spare</t>
        </is>
      </c>
      <c r="AG538" s="29" t="n"/>
      <c r="AH538" s="533" t="inlineStr">
        <is>
          <t>Cab</t>
        </is>
      </c>
      <c r="AI538" s="535" t="n"/>
      <c r="AJ538" s="535" t="n"/>
    </row>
    <row r="539" ht="30" customHeight="1">
      <c r="A539" s="20" t="n">
        <v>11</v>
      </c>
      <c r="B539" s="20" t="inlineStr">
        <is>
          <t>M107</t>
        </is>
      </c>
      <c r="C539" s="38" t="inlineStr">
        <is>
          <t>Call On Button (COLB) Maintained PB red</t>
        </is>
      </c>
      <c r="D539" s="29" t="inlineStr">
        <is>
          <t>boolean</t>
        </is>
      </c>
      <c r="E539" s="533" t="inlineStr">
        <is>
          <t>Cab</t>
        </is>
      </c>
      <c r="F539" s="533" t="n"/>
      <c r="G539" s="533" t="n"/>
      <c r="K539" s="20" t="n">
        <v>11</v>
      </c>
      <c r="L539" s="20" t="inlineStr">
        <is>
          <t>M211</t>
        </is>
      </c>
      <c r="M539" s="20" t="inlineStr">
        <is>
          <t>EB Apply Lamp (EBAL)</t>
        </is>
      </c>
      <c r="N539" s="29" t="inlineStr">
        <is>
          <t>Boolean</t>
        </is>
      </c>
      <c r="O539" s="533" t="inlineStr">
        <is>
          <t>Cab</t>
        </is>
      </c>
      <c r="P539" s="535" t="n"/>
      <c r="Q539" s="533" t="n"/>
      <c r="U539" s="20" t="n">
        <v>11</v>
      </c>
      <c r="V539" s="669" t="inlineStr">
        <is>
          <t>M311</t>
        </is>
      </c>
      <c r="W539" s="38" t="inlineStr">
        <is>
          <t>spare</t>
        </is>
      </c>
      <c r="X539" s="29" t="inlineStr">
        <is>
          <t>Integer</t>
        </is>
      </c>
      <c r="Y539" s="533" t="inlineStr">
        <is>
          <t>Cab</t>
        </is>
      </c>
      <c r="Z539" s="535" t="n"/>
      <c r="AA539" s="535" t="n"/>
      <c r="AD539" s="20" t="n">
        <v>11</v>
      </c>
      <c r="AE539" s="20" t="n"/>
      <c r="AF539" s="20" t="inlineStr">
        <is>
          <t>Spare</t>
        </is>
      </c>
      <c r="AG539" s="29" t="n"/>
      <c r="AH539" s="533" t="inlineStr">
        <is>
          <t>Cab</t>
        </is>
      </c>
      <c r="AI539" s="535" t="n"/>
      <c r="AJ539" s="535" t="n"/>
    </row>
    <row r="540" ht="30" customHeight="1">
      <c r="A540" s="20" t="n">
        <v>12</v>
      </c>
      <c r="B540" s="20" t="inlineStr">
        <is>
          <t>M108</t>
        </is>
      </c>
      <c r="C540" s="38" t="inlineStr">
        <is>
          <t>Lamp Test Button(PLS)</t>
        </is>
      </c>
      <c r="D540" s="29" t="inlineStr">
        <is>
          <t>boolean</t>
        </is>
      </c>
      <c r="E540" s="533" t="inlineStr">
        <is>
          <t>Cab</t>
        </is>
      </c>
      <c r="F540" s="533" t="n"/>
      <c r="G540" s="533" t="n"/>
      <c r="K540" s="20" t="n">
        <v>12</v>
      </c>
      <c r="L540" s="20" t="inlineStr">
        <is>
          <t>M212</t>
        </is>
      </c>
      <c r="M540" s="20" t="inlineStr">
        <is>
          <t>Door Open Lamp (DOL)</t>
        </is>
      </c>
      <c r="N540" s="29" t="inlineStr">
        <is>
          <t>Boolean</t>
        </is>
      </c>
      <c r="O540" s="533" t="inlineStr">
        <is>
          <t>Cab</t>
        </is>
      </c>
      <c r="P540" s="535" t="n"/>
      <c r="Q540" s="533" t="n"/>
      <c r="U540" s="20" t="n">
        <v>12</v>
      </c>
      <c r="V540" s="669" t="inlineStr">
        <is>
          <t>M312</t>
        </is>
      </c>
      <c r="W540" s="38" t="inlineStr">
        <is>
          <t>spare</t>
        </is>
      </c>
      <c r="X540" s="29" t="inlineStr">
        <is>
          <t>Integer</t>
        </is>
      </c>
      <c r="Y540" s="533" t="inlineStr">
        <is>
          <t>Cab</t>
        </is>
      </c>
      <c r="Z540" s="535" t="n"/>
      <c r="AA540" s="535" t="n"/>
      <c r="AD540" s="20" t="n">
        <v>12</v>
      </c>
      <c r="AE540" s="20" t="n"/>
      <c r="AF540" s="20" t="inlineStr">
        <is>
          <t>Spare</t>
        </is>
      </c>
      <c r="AG540" s="29" t="n"/>
      <c r="AH540" s="533" t="inlineStr">
        <is>
          <t>Cab</t>
        </is>
      </c>
      <c r="AI540" s="535" t="n"/>
      <c r="AJ540" s="535" t="n"/>
    </row>
    <row r="541" ht="30" customHeight="1">
      <c r="A541" s="20" t="n">
        <v>13</v>
      </c>
      <c r="B541" s="20" t="inlineStr">
        <is>
          <t>M109</t>
        </is>
      </c>
      <c r="C541" s="38" t="inlineStr">
        <is>
          <t>ATB/ATO Start Button(PBS)</t>
        </is>
      </c>
      <c r="D541" s="29" t="inlineStr">
        <is>
          <t>boolean</t>
        </is>
      </c>
      <c r="E541" s="533" t="inlineStr">
        <is>
          <t>Cab</t>
        </is>
      </c>
      <c r="F541" s="533" t="n"/>
      <c r="G541" s="533" t="n"/>
      <c r="K541" s="20" t="n">
        <v>13</v>
      </c>
      <c r="L541" s="20" t="inlineStr">
        <is>
          <t>M213</t>
        </is>
      </c>
      <c r="M541" s="20" t="inlineStr">
        <is>
          <t>Right Door open</t>
        </is>
      </c>
      <c r="N541" s="29" t="inlineStr">
        <is>
          <t>Boolean</t>
        </is>
      </c>
      <c r="O541" s="533" t="inlineStr">
        <is>
          <t>Cab</t>
        </is>
      </c>
      <c r="P541" s="535" t="n"/>
      <c r="Q541" s="533" t="n"/>
      <c r="U541" s="20" t="n">
        <v>13</v>
      </c>
      <c r="V541" s="669" t="inlineStr">
        <is>
          <t>M313</t>
        </is>
      </c>
      <c r="W541" s="38" t="inlineStr">
        <is>
          <t>spare</t>
        </is>
      </c>
      <c r="X541" s="29" t="inlineStr">
        <is>
          <t>Integer</t>
        </is>
      </c>
      <c r="Y541" s="533" t="inlineStr">
        <is>
          <t>Cab</t>
        </is>
      </c>
      <c r="Z541" s="535" t="n"/>
      <c r="AA541" s="535" t="n"/>
      <c r="AD541" s="20" t="n">
        <v>13</v>
      </c>
      <c r="AE541" s="20" t="n"/>
      <c r="AF541" s="20" t="inlineStr">
        <is>
          <t>Spare</t>
        </is>
      </c>
      <c r="AG541" s="29" t="n"/>
      <c r="AH541" s="533" t="inlineStr">
        <is>
          <t>Cab</t>
        </is>
      </c>
      <c r="AI541" s="535" t="n"/>
      <c r="AJ541" s="535" t="n"/>
    </row>
    <row r="542" ht="30" customHeight="1">
      <c r="A542" s="20" t="n">
        <v>14</v>
      </c>
      <c r="B542" s="20" t="inlineStr">
        <is>
          <t>M110</t>
        </is>
      </c>
      <c r="C542" s="37" t="inlineStr">
        <is>
          <t>Run on Sight Button(ROSPB)</t>
        </is>
      </c>
      <c r="D542" s="29" t="inlineStr">
        <is>
          <t>boolean</t>
        </is>
      </c>
      <c r="E542" s="533" t="inlineStr">
        <is>
          <t>Cab</t>
        </is>
      </c>
      <c r="F542" s="533" t="n"/>
      <c r="G542" s="533" t="n"/>
      <c r="K542" s="20" t="n">
        <v>14</v>
      </c>
      <c r="L542" s="20" t="n"/>
      <c r="M542" s="20" t="inlineStr">
        <is>
          <t>Dummy</t>
        </is>
      </c>
      <c r="N542" s="533" t="n"/>
      <c r="O542" s="533" t="inlineStr">
        <is>
          <t>Cab</t>
        </is>
      </c>
      <c r="P542" s="535" t="n"/>
      <c r="Q542" s="533" t="n"/>
      <c r="U542" s="20" t="n">
        <v>14</v>
      </c>
      <c r="V542" s="20" t="n"/>
      <c r="W542" s="38" t="inlineStr">
        <is>
          <t>spare</t>
        </is>
      </c>
      <c r="X542" s="29" t="inlineStr">
        <is>
          <t>Integer</t>
        </is>
      </c>
      <c r="Y542" s="533" t="inlineStr">
        <is>
          <t>Cab</t>
        </is>
      </c>
      <c r="Z542" s="535" t="n"/>
      <c r="AA542" s="535" t="n"/>
      <c r="AD542" s="20" t="n">
        <v>14</v>
      </c>
      <c r="AE542" s="20" t="n"/>
      <c r="AF542" s="20" t="inlineStr">
        <is>
          <t>Spare</t>
        </is>
      </c>
      <c r="AG542" s="535" t="n"/>
      <c r="AH542" s="533" t="inlineStr">
        <is>
          <t>Cab</t>
        </is>
      </c>
      <c r="AI542" s="535" t="n"/>
      <c r="AJ542" s="535" t="n"/>
    </row>
    <row r="543" ht="30" customHeight="1">
      <c r="A543" s="20" t="n">
        <v>15</v>
      </c>
      <c r="B543" s="168" t="n"/>
      <c r="C543" s="37" t="inlineStr">
        <is>
          <t>Run on Sight Button(ROSPB)</t>
        </is>
      </c>
      <c r="D543" s="29" t="inlineStr">
        <is>
          <t>boolean</t>
        </is>
      </c>
      <c r="E543" s="533" t="inlineStr">
        <is>
          <t>Cab</t>
        </is>
      </c>
      <c r="F543" s="533" t="n"/>
      <c r="G543" s="533" t="n"/>
      <c r="K543" s="20" t="n">
        <v>15</v>
      </c>
      <c r="L543" s="20" t="n"/>
      <c r="M543" s="20" t="inlineStr">
        <is>
          <t>Dummy</t>
        </is>
      </c>
      <c r="N543" s="533" t="n"/>
      <c r="O543" s="533" t="inlineStr">
        <is>
          <t>Cab</t>
        </is>
      </c>
      <c r="P543" s="535" t="n"/>
      <c r="Q543" s="533" t="n"/>
      <c r="U543" s="20" t="n">
        <v>15</v>
      </c>
      <c r="V543" s="168" t="n"/>
      <c r="W543" s="38" t="inlineStr">
        <is>
          <t>spare</t>
        </is>
      </c>
      <c r="X543" s="29" t="n"/>
      <c r="Y543" s="533" t="inlineStr">
        <is>
          <t>Cab</t>
        </is>
      </c>
      <c r="Z543" s="535" t="n"/>
      <c r="AA543" s="535" t="n"/>
      <c r="AD543" s="20" t="n">
        <v>15</v>
      </c>
      <c r="AE543" s="20" t="n"/>
      <c r="AF543" s="20" t="inlineStr">
        <is>
          <t>Spare</t>
        </is>
      </c>
      <c r="AG543" s="535" t="n"/>
      <c r="AH543" s="533" t="inlineStr">
        <is>
          <t>Cab</t>
        </is>
      </c>
      <c r="AI543" s="535" t="n"/>
      <c r="AJ543" s="535" t="n"/>
    </row>
    <row r="544" ht="30" customHeight="1">
      <c r="A544" s="20" t="n">
        <v>16</v>
      </c>
      <c r="B544" s="20" t="inlineStr">
        <is>
          <t>M111</t>
        </is>
      </c>
      <c r="C544" s="38" t="inlineStr">
        <is>
          <t>Right Door Open Button 1(RDOB1)</t>
        </is>
      </c>
      <c r="D544" s="29" t="inlineStr">
        <is>
          <t>boolean</t>
        </is>
      </c>
      <c r="E544" s="533" t="inlineStr">
        <is>
          <t>Cab</t>
        </is>
      </c>
      <c r="F544" s="533" t="n"/>
      <c r="G544" s="533" t="n"/>
      <c r="K544" s="20" t="n">
        <v>16</v>
      </c>
      <c r="L544" s="20" t="n"/>
      <c r="M544" s="20" t="inlineStr">
        <is>
          <t>Dummy</t>
        </is>
      </c>
      <c r="N544" s="533" t="n"/>
      <c r="O544" s="533" t="inlineStr">
        <is>
          <t>Cab</t>
        </is>
      </c>
      <c r="P544" s="535" t="n"/>
      <c r="Q544" s="533" t="n"/>
      <c r="U544" s="20" t="n">
        <v>16</v>
      </c>
      <c r="V544" s="20" t="n"/>
      <c r="W544" s="38" t="inlineStr">
        <is>
          <t>spare</t>
        </is>
      </c>
      <c r="X544" s="29" t="n"/>
      <c r="Y544" s="533" t="inlineStr">
        <is>
          <t>Cab</t>
        </is>
      </c>
      <c r="Z544" s="535" t="n"/>
      <c r="AA544" s="535" t="n"/>
      <c r="AD544" s="20" t="n">
        <v>16</v>
      </c>
      <c r="AE544" s="20" t="n"/>
      <c r="AF544" s="20" t="inlineStr">
        <is>
          <t>Spare</t>
        </is>
      </c>
      <c r="AG544" s="535" t="n"/>
      <c r="AH544" s="533" t="inlineStr">
        <is>
          <t>Cab</t>
        </is>
      </c>
      <c r="AI544" s="535" t="n"/>
      <c r="AJ544" s="535" t="n"/>
    </row>
    <row r="545" ht="30" customHeight="1">
      <c r="A545" s="20" t="n">
        <v>17</v>
      </c>
      <c r="B545" s="20" t="inlineStr">
        <is>
          <t>M112</t>
        </is>
      </c>
      <c r="C545" s="38" t="inlineStr">
        <is>
          <t>Left Door Open Button (LDOB1)</t>
        </is>
      </c>
      <c r="D545" s="29" t="inlineStr">
        <is>
          <t>boolean</t>
        </is>
      </c>
      <c r="E545" s="533" t="inlineStr">
        <is>
          <t>Cab</t>
        </is>
      </c>
      <c r="F545" s="533" t="n"/>
      <c r="G545" s="533" t="n"/>
      <c r="K545" s="20" t="n">
        <v>17</v>
      </c>
      <c r="L545" s="20" t="n"/>
      <c r="M545" s="20" t="inlineStr">
        <is>
          <t>Dummy</t>
        </is>
      </c>
      <c r="N545" s="533" t="n"/>
      <c r="O545" s="533" t="inlineStr">
        <is>
          <t>Cab</t>
        </is>
      </c>
      <c r="P545" s="535" t="n"/>
      <c r="Q545" s="533" t="n"/>
      <c r="U545" s="20" t="n">
        <v>17</v>
      </c>
      <c r="V545" s="20" t="n"/>
      <c r="W545" s="38" t="inlineStr">
        <is>
          <t>spare</t>
        </is>
      </c>
      <c r="X545" s="29" t="n"/>
      <c r="Y545" s="533" t="inlineStr">
        <is>
          <t>Cab</t>
        </is>
      </c>
      <c r="Z545" s="535" t="n"/>
      <c r="AA545" s="535" t="n"/>
      <c r="AD545" s="20" t="n">
        <v>17</v>
      </c>
      <c r="AE545" s="20" t="n"/>
      <c r="AF545" s="20" t="inlineStr">
        <is>
          <t>Spare</t>
        </is>
      </c>
      <c r="AG545" s="535" t="n"/>
      <c r="AH545" s="533" t="inlineStr">
        <is>
          <t>Cab</t>
        </is>
      </c>
      <c r="AI545" s="535" t="n"/>
      <c r="AJ545" s="535" t="n"/>
    </row>
    <row r="546" ht="30" customHeight="1">
      <c r="A546" s="20" t="n">
        <v>18</v>
      </c>
      <c r="B546" s="20" t="inlineStr">
        <is>
          <t>M113</t>
        </is>
      </c>
      <c r="C546" s="38" t="inlineStr">
        <is>
          <t>Right Door Close Button 1(RDCB1)</t>
        </is>
      </c>
      <c r="D546" s="29" t="inlineStr">
        <is>
          <t>boolean</t>
        </is>
      </c>
      <c r="E546" s="533" t="inlineStr">
        <is>
          <t>Cab</t>
        </is>
      </c>
      <c r="F546" s="533" t="n"/>
      <c r="G546" s="533" t="n"/>
      <c r="K546" s="20" t="n">
        <v>18</v>
      </c>
      <c r="L546" s="20" t="n"/>
      <c r="M546" s="20" t="inlineStr">
        <is>
          <t>Dummy</t>
        </is>
      </c>
      <c r="N546" s="533" t="n"/>
      <c r="O546" s="533" t="inlineStr">
        <is>
          <t>Cab</t>
        </is>
      </c>
      <c r="P546" s="535" t="n"/>
      <c r="Q546" s="533" t="n"/>
      <c r="U546" s="20" t="n">
        <v>18</v>
      </c>
      <c r="V546" s="20" t="n"/>
      <c r="W546" s="38" t="inlineStr">
        <is>
          <t>spare</t>
        </is>
      </c>
      <c r="X546" s="29" t="n"/>
      <c r="Y546" s="533" t="inlineStr">
        <is>
          <t>Cab</t>
        </is>
      </c>
      <c r="Z546" s="535" t="n"/>
      <c r="AA546" s="535" t="n"/>
      <c r="AD546" s="20" t="n">
        <v>18</v>
      </c>
      <c r="AE546" s="20" t="n"/>
      <c r="AF546" s="20" t="inlineStr">
        <is>
          <t>Spare</t>
        </is>
      </c>
      <c r="AG546" s="535" t="n"/>
      <c r="AH546" s="533" t="inlineStr">
        <is>
          <t>Cab</t>
        </is>
      </c>
      <c r="AI546" s="535" t="n"/>
      <c r="AJ546" s="535" t="n"/>
    </row>
    <row r="547" ht="30" customHeight="1">
      <c r="A547" s="20" t="n">
        <v>19</v>
      </c>
      <c r="B547" s="20" t="inlineStr">
        <is>
          <t>M114</t>
        </is>
      </c>
      <c r="C547" s="38" t="inlineStr">
        <is>
          <t>Left Door Close Button 1(LDCB1)</t>
        </is>
      </c>
      <c r="D547" s="29" t="inlineStr">
        <is>
          <t>boolean</t>
        </is>
      </c>
      <c r="E547" s="533" t="inlineStr">
        <is>
          <t>Cab</t>
        </is>
      </c>
      <c r="F547" s="533" t="n"/>
      <c r="G547" s="533" t="n"/>
      <c r="K547" s="20" t="n">
        <v>19</v>
      </c>
      <c r="L547" s="20" t="n"/>
      <c r="M547" s="20" t="inlineStr">
        <is>
          <t>Dummy</t>
        </is>
      </c>
      <c r="N547" s="533" t="n"/>
      <c r="O547" s="533" t="inlineStr">
        <is>
          <t>Cab</t>
        </is>
      </c>
      <c r="P547" s="535" t="n"/>
      <c r="Q547" s="533" t="n"/>
      <c r="U547" s="20" t="n">
        <v>19</v>
      </c>
      <c r="V547" s="20" t="n"/>
      <c r="W547" s="38" t="inlineStr">
        <is>
          <t>spare</t>
        </is>
      </c>
      <c r="X547" s="29" t="n"/>
      <c r="Y547" s="533" t="inlineStr">
        <is>
          <t>Cab</t>
        </is>
      </c>
      <c r="Z547" s="535" t="n"/>
      <c r="AA547" s="535" t="n"/>
      <c r="AD547" s="20" t="n">
        <v>19</v>
      </c>
      <c r="AE547" s="20" t="n"/>
      <c r="AF547" s="20" t="inlineStr">
        <is>
          <t>Spare</t>
        </is>
      </c>
      <c r="AG547" s="535" t="n"/>
      <c r="AH547" s="533" t="inlineStr">
        <is>
          <t>Cab</t>
        </is>
      </c>
      <c r="AI547" s="535" t="n"/>
      <c r="AJ547" s="535" t="n"/>
    </row>
    <row r="548" ht="30" customHeight="1">
      <c r="A548" s="20" t="n">
        <v>20</v>
      </c>
      <c r="B548" s="20" t="inlineStr">
        <is>
          <t>M115</t>
        </is>
      </c>
      <c r="C548" s="37" t="inlineStr">
        <is>
          <t>Emergency Brake Button (EBB1)</t>
        </is>
      </c>
      <c r="D548" s="29" t="inlineStr">
        <is>
          <t>boolean</t>
        </is>
      </c>
      <c r="E548" s="533" t="inlineStr">
        <is>
          <t>Cab</t>
        </is>
      </c>
      <c r="F548" s="533" t="n"/>
      <c r="G548" s="533" t="n"/>
      <c r="K548" s="20" t="n">
        <v>20</v>
      </c>
      <c r="L548" s="20" t="n"/>
      <c r="M548" s="20" t="inlineStr">
        <is>
          <t>Dummy</t>
        </is>
      </c>
      <c r="N548" s="533" t="n"/>
      <c r="O548" s="533" t="inlineStr">
        <is>
          <t>Cab</t>
        </is>
      </c>
      <c r="P548" s="535" t="n"/>
      <c r="Q548" s="533" t="n"/>
      <c r="U548" s="20" t="n">
        <v>20</v>
      </c>
      <c r="V548" s="20" t="n"/>
      <c r="W548" s="38" t="inlineStr">
        <is>
          <t>spare</t>
        </is>
      </c>
      <c r="X548" s="29" t="n"/>
      <c r="Y548" s="533" t="inlineStr">
        <is>
          <t>Cab</t>
        </is>
      </c>
      <c r="Z548" s="535" t="n"/>
      <c r="AA548" s="535" t="n"/>
      <c r="AD548" s="20" t="n">
        <v>20</v>
      </c>
      <c r="AE548" s="20" t="n"/>
      <c r="AF548" s="20" t="inlineStr">
        <is>
          <t>Spare</t>
        </is>
      </c>
      <c r="AG548" s="535" t="n"/>
      <c r="AH548" s="533" t="inlineStr">
        <is>
          <t>Cab</t>
        </is>
      </c>
      <c r="AI548" s="535" t="n"/>
      <c r="AJ548" s="535" t="n"/>
    </row>
    <row r="549" ht="30" customHeight="1" thickBot="1">
      <c r="A549" s="20" t="n">
        <v>21</v>
      </c>
      <c r="B549" s="168" t="n"/>
      <c r="C549" s="37" t="inlineStr">
        <is>
          <t>Emergency Brake Button (EBB1)</t>
        </is>
      </c>
      <c r="D549" s="29" t="inlineStr">
        <is>
          <t>boolean</t>
        </is>
      </c>
      <c r="E549" s="533" t="inlineStr">
        <is>
          <t>Cab</t>
        </is>
      </c>
      <c r="F549" s="533" t="n"/>
      <c r="G549" s="533" t="n"/>
      <c r="K549" s="20" t="n">
        <v>21</v>
      </c>
      <c r="L549" s="20" t="n"/>
      <c r="M549" s="20" t="inlineStr">
        <is>
          <t>Dummy</t>
        </is>
      </c>
      <c r="N549" s="533" t="n"/>
      <c r="O549" s="533" t="inlineStr">
        <is>
          <t>Cab</t>
        </is>
      </c>
      <c r="P549" s="535" t="n"/>
      <c r="Q549" s="533" t="n"/>
      <c r="U549" s="20" t="n">
        <v>21</v>
      </c>
      <c r="V549" s="168" t="n"/>
      <c r="W549" s="38" t="inlineStr">
        <is>
          <t>spare</t>
        </is>
      </c>
      <c r="X549" s="29" t="n"/>
      <c r="Y549" s="533" t="inlineStr">
        <is>
          <t>Cab</t>
        </is>
      </c>
      <c r="Z549" s="535" t="n"/>
      <c r="AA549" s="535" t="n"/>
    </row>
    <row r="550" ht="30" customHeight="1" thickBot="1">
      <c r="A550" s="20" t="n">
        <v>22</v>
      </c>
      <c r="B550" s="20" t="inlineStr">
        <is>
          <t>M108</t>
        </is>
      </c>
      <c r="C550" s="38" t="inlineStr">
        <is>
          <t>Lamp Test Button(PLS)</t>
        </is>
      </c>
      <c r="D550" s="29" t="inlineStr">
        <is>
          <t>boolean</t>
        </is>
      </c>
      <c r="E550" s="533" t="inlineStr">
        <is>
          <t>Cab</t>
        </is>
      </c>
      <c r="F550" s="533" t="n"/>
      <c r="G550" s="533" t="n"/>
      <c r="K550" s="20" t="n">
        <v>22</v>
      </c>
      <c r="L550" s="20" t="n"/>
      <c r="M550" s="20" t="inlineStr">
        <is>
          <t>Dummy</t>
        </is>
      </c>
      <c r="N550" s="533" t="n"/>
      <c r="O550" s="533" t="inlineStr">
        <is>
          <t>Cab</t>
        </is>
      </c>
      <c r="P550" s="535" t="n"/>
      <c r="Q550" s="533" t="n"/>
      <c r="U550" s="20" t="n">
        <v>22</v>
      </c>
      <c r="V550" s="20" t="n"/>
      <c r="W550" s="38" t="inlineStr">
        <is>
          <t>spare</t>
        </is>
      </c>
      <c r="X550" s="29" t="n"/>
      <c r="Y550" s="533" t="inlineStr">
        <is>
          <t>Cab</t>
        </is>
      </c>
      <c r="Z550" s="535" t="n"/>
      <c r="AA550" s="535" t="n"/>
      <c r="AD550" s="536" t="inlineStr">
        <is>
          <t>Analog outputs (DO)</t>
        </is>
      </c>
      <c r="AE550" s="537" t="inlineStr">
        <is>
          <t>Output Description</t>
        </is>
      </c>
      <c r="AF550" s="537" t="inlineStr">
        <is>
          <t>Remarks / special comments if any</t>
        </is>
      </c>
      <c r="AG550" s="538" t="inlineStr">
        <is>
          <t>Status</t>
        </is>
      </c>
      <c r="AH550" s="539" t="n"/>
      <c r="AI550" s="454" t="n"/>
      <c r="AJ550" s="454" t="n"/>
      <c r="AK550" s="540" t="n"/>
      <c r="AL550" s="454" t="n"/>
    </row>
    <row r="551" ht="30" customHeight="1">
      <c r="A551" s="20" t="n">
        <v>23</v>
      </c>
      <c r="B551" s="20" t="inlineStr">
        <is>
          <t>M109</t>
        </is>
      </c>
      <c r="C551" s="38" t="inlineStr">
        <is>
          <t>ATB/ATO Start Button(PBS)</t>
        </is>
      </c>
      <c r="D551" s="29" t="inlineStr">
        <is>
          <t>boolean</t>
        </is>
      </c>
      <c r="E551" s="533" t="inlineStr">
        <is>
          <t>Cab</t>
        </is>
      </c>
      <c r="F551" s="533" t="n"/>
      <c r="G551" s="533" t="n"/>
      <c r="K551" s="20" t="n">
        <v>23</v>
      </c>
      <c r="L551" s="20" t="n"/>
      <c r="M551" s="20" t="inlineStr">
        <is>
          <t>Dummy</t>
        </is>
      </c>
      <c r="N551" s="533" t="n"/>
      <c r="O551" s="533" t="inlineStr">
        <is>
          <t>Cab</t>
        </is>
      </c>
      <c r="P551" s="535" t="n"/>
      <c r="Q551" s="533" t="n"/>
      <c r="U551" s="20" t="n">
        <v>23</v>
      </c>
      <c r="V551" s="20" t="n"/>
      <c r="W551" s="38" t="inlineStr">
        <is>
          <t>spare</t>
        </is>
      </c>
      <c r="X551" s="29" t="n"/>
      <c r="Y551" s="533" t="inlineStr">
        <is>
          <t>Cab</t>
        </is>
      </c>
      <c r="Z551" s="535" t="n"/>
      <c r="AA551" s="535" t="n"/>
      <c r="AD551" s="541" t="inlineStr">
        <is>
          <t>AO00</t>
        </is>
      </c>
      <c r="AE551" s="542" t="inlineStr">
        <is>
          <t>Spare</t>
        </is>
      </c>
      <c r="AF551" s="543" t="n"/>
      <c r="AG551" s="544" t="n"/>
      <c r="AH551" s="539" t="n"/>
      <c r="AI551" s="454" t="n"/>
    </row>
    <row r="552" ht="19.5" customHeight="1">
      <c r="A552" s="20" t="n">
        <v>24</v>
      </c>
      <c r="B552" s="20" t="inlineStr">
        <is>
          <t>M110</t>
        </is>
      </c>
      <c r="C552" s="37" t="inlineStr">
        <is>
          <t>Run on Sight Button(ROSPB)</t>
        </is>
      </c>
      <c r="D552" s="29" t="inlineStr">
        <is>
          <t>boolean</t>
        </is>
      </c>
      <c r="E552" s="533" t="inlineStr">
        <is>
          <t>Cab</t>
        </is>
      </c>
      <c r="F552" s="533" t="n"/>
      <c r="G552" s="533" t="n"/>
      <c r="K552" s="20" t="n">
        <v>24</v>
      </c>
      <c r="L552" s="20" t="n"/>
      <c r="M552" s="20" t="inlineStr">
        <is>
          <t>Dummy</t>
        </is>
      </c>
      <c r="N552" s="533" t="n"/>
      <c r="O552" s="533" t="inlineStr">
        <is>
          <t>Cab</t>
        </is>
      </c>
      <c r="P552" s="535" t="n"/>
      <c r="Q552" s="533" t="n"/>
      <c r="U552" s="20" t="n">
        <v>24</v>
      </c>
      <c r="V552" s="20" t="n"/>
      <c r="W552" s="38" t="inlineStr">
        <is>
          <t>spare</t>
        </is>
      </c>
      <c r="X552" s="29" t="n"/>
      <c r="Y552" s="533" t="inlineStr">
        <is>
          <t>Cab</t>
        </is>
      </c>
      <c r="Z552" s="535" t="n"/>
      <c r="AA552" s="535" t="n"/>
      <c r="AD552" s="545" t="inlineStr">
        <is>
          <t>AO01</t>
        </is>
      </c>
      <c r="AE552" s="457" t="inlineStr">
        <is>
          <t>Spare</t>
        </is>
      </c>
      <c r="AF552" s="454" t="n"/>
      <c r="AG552" s="546" t="n"/>
      <c r="AH552" s="539" t="n"/>
      <c r="AI552" s="454" t="n"/>
    </row>
    <row r="553" ht="19.5" customHeight="1">
      <c r="A553" s="20" t="n">
        <v>25</v>
      </c>
      <c r="B553" s="168" t="n"/>
      <c r="C553" s="37" t="inlineStr">
        <is>
          <t>Run on Sight Button(ROSPB)</t>
        </is>
      </c>
      <c r="D553" s="29" t="inlineStr">
        <is>
          <t>boolean</t>
        </is>
      </c>
      <c r="E553" s="533" t="inlineStr">
        <is>
          <t>Cab</t>
        </is>
      </c>
      <c r="F553" s="533" t="n"/>
      <c r="G553" s="533" t="n"/>
      <c r="K553" s="20" t="n">
        <v>25</v>
      </c>
      <c r="L553" s="20" t="n"/>
      <c r="M553" s="20" t="inlineStr">
        <is>
          <t>Dummy</t>
        </is>
      </c>
      <c r="N553" s="533" t="n"/>
      <c r="O553" s="533" t="inlineStr">
        <is>
          <t>Cab</t>
        </is>
      </c>
      <c r="P553" s="535" t="n"/>
      <c r="Q553" s="533" t="n"/>
      <c r="U553" s="20" t="n">
        <v>25</v>
      </c>
      <c r="V553" s="168" t="n"/>
      <c r="W553" s="38" t="inlineStr">
        <is>
          <t>spare</t>
        </is>
      </c>
      <c r="X553" s="29" t="n"/>
      <c r="Y553" s="533" t="inlineStr">
        <is>
          <t>Cab</t>
        </is>
      </c>
      <c r="Z553" s="535" t="n"/>
      <c r="AA553" s="535" t="n"/>
      <c r="AD553" s="545" t="inlineStr">
        <is>
          <t>AO02</t>
        </is>
      </c>
      <c r="AE553" s="457" t="inlineStr">
        <is>
          <t>Spare</t>
        </is>
      </c>
      <c r="AF553" s="454" t="n"/>
      <c r="AG553" s="546" t="n"/>
      <c r="AH553" s="539" t="n"/>
      <c r="AI553" s="454" t="n"/>
    </row>
    <row r="554" ht="19.5" customHeight="1">
      <c r="A554" s="20" t="n">
        <v>26</v>
      </c>
      <c r="B554" s="20" t="inlineStr">
        <is>
          <t>M111</t>
        </is>
      </c>
      <c r="C554" s="38" t="inlineStr">
        <is>
          <t>Right Door Open Button 1(RDOB1)</t>
        </is>
      </c>
      <c r="D554" s="29" t="inlineStr">
        <is>
          <t>boolean</t>
        </is>
      </c>
      <c r="E554" s="533" t="inlineStr">
        <is>
          <t>Cab</t>
        </is>
      </c>
      <c r="F554" s="533" t="n"/>
      <c r="G554" s="533" t="n"/>
      <c r="K554" s="20" t="n">
        <v>26</v>
      </c>
      <c r="L554" s="20" t="n"/>
      <c r="M554" s="20" t="inlineStr">
        <is>
          <t>Dummy</t>
        </is>
      </c>
      <c r="N554" s="533" t="n"/>
      <c r="O554" s="533" t="inlineStr">
        <is>
          <t>Cab</t>
        </is>
      </c>
      <c r="P554" s="535" t="n"/>
      <c r="Q554" s="533" t="n"/>
      <c r="U554" s="20" t="n">
        <v>26</v>
      </c>
      <c r="V554" s="20" t="n"/>
      <c r="W554" s="38" t="inlineStr">
        <is>
          <t>spare</t>
        </is>
      </c>
      <c r="X554" s="29" t="n"/>
      <c r="Y554" s="533" t="inlineStr">
        <is>
          <t>Cab</t>
        </is>
      </c>
      <c r="Z554" s="535" t="n"/>
      <c r="AA554" s="535" t="n"/>
      <c r="AD554" s="545" t="inlineStr">
        <is>
          <t>AO03</t>
        </is>
      </c>
      <c r="AE554" s="457" t="inlineStr">
        <is>
          <t>Spare</t>
        </is>
      </c>
      <c r="AF554" s="454" t="n"/>
      <c r="AG554" s="546" t="n"/>
      <c r="AH554" s="539" t="n"/>
      <c r="AI554" s="454" t="n"/>
    </row>
    <row r="555" ht="19.5" customHeight="1">
      <c r="A555" s="20" t="n">
        <v>27</v>
      </c>
      <c r="B555" s="20" t="inlineStr">
        <is>
          <t>M112</t>
        </is>
      </c>
      <c r="C555" s="38" t="inlineStr">
        <is>
          <t>Left Door Open Button (LDOB1)</t>
        </is>
      </c>
      <c r="D555" s="29" t="inlineStr">
        <is>
          <t>boolean</t>
        </is>
      </c>
      <c r="E555" s="533" t="inlineStr">
        <is>
          <t>Cab</t>
        </is>
      </c>
      <c r="F555" s="533" t="n"/>
      <c r="G555" s="533" t="n"/>
      <c r="K555" s="20" t="n">
        <v>27</v>
      </c>
      <c r="L555" s="20" t="n"/>
      <c r="M555" s="20" t="inlineStr">
        <is>
          <t>Dummy</t>
        </is>
      </c>
      <c r="N555" s="533" t="n"/>
      <c r="O555" s="533" t="inlineStr">
        <is>
          <t>Cab</t>
        </is>
      </c>
      <c r="P555" s="535" t="n"/>
      <c r="Q555" s="533" t="n"/>
      <c r="U555" s="20" t="n">
        <v>27</v>
      </c>
      <c r="V555" s="20" t="n"/>
      <c r="W555" s="38" t="inlineStr">
        <is>
          <t>spare</t>
        </is>
      </c>
      <c r="X555" s="29" t="n"/>
      <c r="Y555" s="533" t="inlineStr">
        <is>
          <t>Cab</t>
        </is>
      </c>
      <c r="Z555" s="535" t="n"/>
      <c r="AA555" s="535" t="n"/>
      <c r="AD555" s="545" t="inlineStr">
        <is>
          <t>AO04</t>
        </is>
      </c>
      <c r="AE555" s="457" t="inlineStr">
        <is>
          <t>Spare</t>
        </is>
      </c>
      <c r="AF555" s="454" t="n"/>
      <c r="AG555" s="546" t="n"/>
      <c r="AH555" s="539" t="n"/>
      <c r="AI555" s="454" t="n"/>
    </row>
    <row r="556" ht="15.75" customHeight="1">
      <c r="A556" s="20" t="n">
        <v>28</v>
      </c>
      <c r="B556" s="20" t="inlineStr">
        <is>
          <t>M113</t>
        </is>
      </c>
      <c r="C556" s="38" t="inlineStr">
        <is>
          <t>Right Door Close Button 1(RDCB1)</t>
        </is>
      </c>
      <c r="D556" s="29" t="inlineStr">
        <is>
          <t>boolean</t>
        </is>
      </c>
      <c r="E556" s="533" t="inlineStr">
        <is>
          <t>Cab</t>
        </is>
      </c>
      <c r="F556" s="533" t="n"/>
      <c r="G556" s="533" t="n"/>
      <c r="K556" s="20" t="n">
        <v>28</v>
      </c>
      <c r="L556" s="20" t="n"/>
      <c r="M556" s="20" t="inlineStr">
        <is>
          <t>Dummy</t>
        </is>
      </c>
      <c r="N556" s="533" t="n"/>
      <c r="O556" s="533" t="inlineStr">
        <is>
          <t>Cab</t>
        </is>
      </c>
      <c r="P556" s="535" t="n"/>
      <c r="Q556" s="533" t="n"/>
      <c r="U556" s="20" t="n">
        <v>28</v>
      </c>
      <c r="V556" s="20" t="n"/>
      <c r="W556" s="38" t="inlineStr">
        <is>
          <t>spare</t>
        </is>
      </c>
      <c r="X556" s="29" t="n"/>
      <c r="Y556" s="533" t="inlineStr">
        <is>
          <t>Cab</t>
        </is>
      </c>
      <c r="Z556" s="535" t="n"/>
      <c r="AA556" s="535" t="n"/>
      <c r="AD556" s="545" t="inlineStr">
        <is>
          <t>AO05</t>
        </is>
      </c>
      <c r="AE556" s="457" t="inlineStr">
        <is>
          <t>Spare</t>
        </is>
      </c>
      <c r="AF556" s="454" t="n"/>
      <c r="AG556" s="546" t="n"/>
      <c r="AH556" s="539" t="n"/>
      <c r="AI556" s="454" t="n"/>
    </row>
    <row r="557" ht="15.75" customHeight="1">
      <c r="A557" s="20" t="n">
        <v>29</v>
      </c>
      <c r="B557" s="20" t="inlineStr">
        <is>
          <t>M114</t>
        </is>
      </c>
      <c r="C557" s="38" t="inlineStr">
        <is>
          <t>Left Door Close Button 1(LDCB1)</t>
        </is>
      </c>
      <c r="D557" s="29" t="inlineStr">
        <is>
          <t>boolean</t>
        </is>
      </c>
      <c r="E557" s="533" t="inlineStr">
        <is>
          <t>Cab</t>
        </is>
      </c>
      <c r="F557" s="533" t="n"/>
      <c r="G557" s="533" t="n"/>
      <c r="K557" s="20" t="n">
        <v>29</v>
      </c>
      <c r="L557" s="20" t="n"/>
      <c r="M557" s="20" t="inlineStr">
        <is>
          <t>Dummy</t>
        </is>
      </c>
      <c r="N557" s="533" t="n"/>
      <c r="O557" s="533" t="inlineStr">
        <is>
          <t>Cab</t>
        </is>
      </c>
      <c r="P557" s="535" t="n"/>
      <c r="Q557" s="533" t="n"/>
      <c r="U557" s="20" t="n">
        <v>29</v>
      </c>
      <c r="V557" s="20" t="n"/>
      <c r="W557" s="38" t="inlineStr">
        <is>
          <t>spare</t>
        </is>
      </c>
      <c r="X557" s="29" t="n"/>
      <c r="Y557" s="533" t="inlineStr">
        <is>
          <t>Cab</t>
        </is>
      </c>
      <c r="Z557" s="535" t="n"/>
      <c r="AA557" s="535" t="n"/>
      <c r="AD557" s="545" t="inlineStr">
        <is>
          <t>AO06</t>
        </is>
      </c>
      <c r="AE557" s="457" t="inlineStr">
        <is>
          <t>Spare</t>
        </is>
      </c>
      <c r="AF557" s="454" t="n"/>
      <c r="AG557" s="546" t="n"/>
      <c r="AH557" s="539" t="n"/>
      <c r="AI557" s="454" t="n"/>
    </row>
    <row r="558" ht="15.75" customHeight="1">
      <c r="A558" s="20" t="n">
        <v>30</v>
      </c>
      <c r="B558" s="669" t="inlineStr">
        <is>
          <t>M115</t>
        </is>
      </c>
      <c r="C558" s="37" t="inlineStr">
        <is>
          <t>Emergency Brake Button (EBB1)</t>
        </is>
      </c>
      <c r="D558" s="29" t="inlineStr">
        <is>
          <t>boolean</t>
        </is>
      </c>
      <c r="E558" s="533" t="inlineStr">
        <is>
          <t>Cab</t>
        </is>
      </c>
      <c r="F558" s="533" t="n"/>
      <c r="G558" s="533" t="n"/>
      <c r="K558" s="20" t="n">
        <v>30</v>
      </c>
      <c r="L558" s="20" t="n"/>
      <c r="M558" s="20" t="inlineStr">
        <is>
          <t>Dummy</t>
        </is>
      </c>
      <c r="N558" s="533" t="n"/>
      <c r="O558" s="533" t="inlineStr">
        <is>
          <t>Cab</t>
        </is>
      </c>
      <c r="P558" s="535" t="n"/>
      <c r="Q558" s="533" t="n"/>
      <c r="U558" s="20" t="n">
        <v>30</v>
      </c>
      <c r="V558" s="669" t="n"/>
      <c r="W558" s="38" t="inlineStr">
        <is>
          <t>spare</t>
        </is>
      </c>
      <c r="X558" s="29" t="n"/>
      <c r="Y558" s="533" t="inlineStr">
        <is>
          <t>Cab</t>
        </is>
      </c>
      <c r="Z558" s="535" t="n"/>
      <c r="AA558" s="535" t="n"/>
      <c r="AD558" s="545" t="inlineStr">
        <is>
          <t>AO07</t>
        </is>
      </c>
      <c r="AE558" s="457" t="inlineStr">
        <is>
          <t>Spare</t>
        </is>
      </c>
      <c r="AF558" s="454" t="n"/>
      <c r="AG558" s="546" t="n"/>
      <c r="AH558" s="539" t="n"/>
      <c r="AI558" s="454" t="n"/>
    </row>
    <row r="559" ht="15.75" customHeight="1">
      <c r="A559" s="20" t="n">
        <v>31</v>
      </c>
      <c r="B559" s="669" t="inlineStr">
        <is>
          <t>M115</t>
        </is>
      </c>
      <c r="C559" s="37" t="inlineStr">
        <is>
          <t>Emergency Brake Button (EBB1)</t>
        </is>
      </c>
      <c r="D559" s="29" t="inlineStr">
        <is>
          <t>boolean</t>
        </is>
      </c>
      <c r="E559" s="533" t="inlineStr">
        <is>
          <t>Cab</t>
        </is>
      </c>
      <c r="F559" s="533" t="n"/>
      <c r="G559" s="533" t="n"/>
      <c r="K559" s="20" t="n">
        <v>31</v>
      </c>
      <c r="L559" s="20" t="n"/>
      <c r="M559" s="20" t="inlineStr">
        <is>
          <t>Dummy</t>
        </is>
      </c>
      <c r="N559" s="533" t="n"/>
      <c r="O559" s="533" t="inlineStr">
        <is>
          <t>Cab</t>
        </is>
      </c>
      <c r="P559" s="535" t="n"/>
      <c r="Q559" s="533" t="n"/>
      <c r="U559" s="20" t="n">
        <v>31</v>
      </c>
      <c r="V559" s="669" t="n"/>
      <c r="W559" s="38" t="inlineStr">
        <is>
          <t>spare</t>
        </is>
      </c>
      <c r="X559" s="29" t="n"/>
      <c r="Y559" s="533" t="inlineStr">
        <is>
          <t>Cab</t>
        </is>
      </c>
      <c r="Z559" s="535" t="n"/>
      <c r="AA559" s="535" t="n"/>
      <c r="AD559" s="545" t="inlineStr">
        <is>
          <t>AO08</t>
        </is>
      </c>
      <c r="AE559" s="457" t="inlineStr">
        <is>
          <t>Spare</t>
        </is>
      </c>
      <c r="AF559" s="454" t="n"/>
      <c r="AG559" s="546" t="n"/>
      <c r="AH559" s="539" t="n"/>
      <c r="AI559" s="454" t="n"/>
    </row>
    <row r="560" ht="15.75" customHeight="1">
      <c r="A560" s="20" t="n">
        <v>32</v>
      </c>
      <c r="B560" s="20" t="inlineStr">
        <is>
          <t>M116</t>
        </is>
      </c>
      <c r="C560" s="38" t="inlineStr">
        <is>
          <t>Fire Reset</t>
        </is>
      </c>
      <c r="D560" s="29" t="inlineStr">
        <is>
          <t>boolean</t>
        </is>
      </c>
      <c r="E560" s="533" t="inlineStr">
        <is>
          <t>Cab</t>
        </is>
      </c>
      <c r="F560" s="533" t="n"/>
      <c r="G560" s="533" t="n"/>
      <c r="K560" s="20" t="n">
        <v>32</v>
      </c>
      <c r="L560" s="20" t="n"/>
      <c r="M560" s="20" t="inlineStr">
        <is>
          <t>Dummy</t>
        </is>
      </c>
      <c r="N560" s="533" t="n"/>
      <c r="O560" s="533" t="inlineStr">
        <is>
          <t>Cab</t>
        </is>
      </c>
      <c r="P560" s="535" t="n"/>
      <c r="Q560" s="533" t="n"/>
      <c r="U560" s="20" t="n">
        <v>32</v>
      </c>
      <c r="V560" s="20" t="n"/>
      <c r="W560" s="38" t="inlineStr">
        <is>
          <t>spare</t>
        </is>
      </c>
      <c r="X560" s="29" t="n"/>
      <c r="Y560" s="533" t="inlineStr">
        <is>
          <t>Cab</t>
        </is>
      </c>
      <c r="Z560" s="535" t="n"/>
      <c r="AA560" s="535" t="n"/>
      <c r="AD560" s="545" t="inlineStr">
        <is>
          <t>AO09</t>
        </is>
      </c>
      <c r="AE560" s="457" t="inlineStr">
        <is>
          <t>Spare</t>
        </is>
      </c>
      <c r="AF560" s="454" t="n"/>
      <c r="AG560" s="546" t="n"/>
      <c r="AH560" s="539" t="n"/>
      <c r="AI560" s="454" t="n"/>
    </row>
    <row r="561" ht="15.75" customHeight="1">
      <c r="A561" s="20" t="n">
        <v>33</v>
      </c>
      <c r="B561" s="669" t="inlineStr">
        <is>
          <t>M117</t>
        </is>
      </c>
      <c r="C561" s="37" t="inlineStr">
        <is>
          <t>Stop HVAC Bypass</t>
        </is>
      </c>
      <c r="D561" s="29" t="inlineStr">
        <is>
          <t>boolean</t>
        </is>
      </c>
      <c r="E561" s="533" t="inlineStr">
        <is>
          <t>Cab</t>
        </is>
      </c>
      <c r="F561" s="533" t="n"/>
      <c r="G561" s="533" t="n"/>
      <c r="K561" s="20" t="n">
        <v>33</v>
      </c>
      <c r="L561" s="20" t="n"/>
      <c r="M561" s="20" t="inlineStr">
        <is>
          <t>Dummy</t>
        </is>
      </c>
      <c r="N561" s="533" t="n"/>
      <c r="O561" s="533" t="inlineStr">
        <is>
          <t>Cab</t>
        </is>
      </c>
      <c r="P561" s="535" t="n"/>
      <c r="Q561" s="533" t="n"/>
      <c r="U561" s="20" t="n">
        <v>33</v>
      </c>
      <c r="V561" s="669" t="n"/>
      <c r="W561" s="38" t="inlineStr">
        <is>
          <t>spare</t>
        </is>
      </c>
      <c r="X561" s="29" t="n"/>
      <c r="Y561" s="533" t="inlineStr">
        <is>
          <t>Cab</t>
        </is>
      </c>
      <c r="Z561" s="535" t="n"/>
      <c r="AA561" s="535" t="n"/>
      <c r="AD561" s="545" t="inlineStr">
        <is>
          <t>AO10</t>
        </is>
      </c>
      <c r="AE561" s="457" t="inlineStr">
        <is>
          <t>Spare</t>
        </is>
      </c>
      <c r="AF561" s="454" t="n"/>
      <c r="AG561" s="546" t="n"/>
      <c r="AH561" s="539" t="n"/>
      <c r="AI561" s="454" t="n"/>
    </row>
    <row r="562" ht="15.75" customHeight="1">
      <c r="A562" s="20" t="n">
        <v>34</v>
      </c>
      <c r="B562" s="669" t="inlineStr">
        <is>
          <t>M117</t>
        </is>
      </c>
      <c r="C562" s="37" t="inlineStr">
        <is>
          <t>Stop HVAC Bypass</t>
        </is>
      </c>
      <c r="D562" s="29" t="inlineStr">
        <is>
          <t>boolean</t>
        </is>
      </c>
      <c r="E562" s="533" t="inlineStr">
        <is>
          <t>Cab</t>
        </is>
      </c>
      <c r="F562" s="533" t="n"/>
      <c r="G562" s="533" t="n"/>
      <c r="K562" s="20" t="n">
        <v>34</v>
      </c>
      <c r="L562" s="20" t="n"/>
      <c r="M562" s="20" t="inlineStr">
        <is>
          <t>Dummy</t>
        </is>
      </c>
      <c r="N562" s="533" t="n"/>
      <c r="O562" s="533" t="inlineStr">
        <is>
          <t>Cab</t>
        </is>
      </c>
      <c r="P562" s="535" t="n"/>
      <c r="Q562" s="533" t="n"/>
      <c r="U562" s="20" t="n">
        <v>34</v>
      </c>
      <c r="V562" s="669" t="n"/>
      <c r="W562" s="38" t="inlineStr">
        <is>
          <t>spare</t>
        </is>
      </c>
      <c r="X562" s="29" t="n"/>
      <c r="Y562" s="533" t="inlineStr">
        <is>
          <t>Cab</t>
        </is>
      </c>
      <c r="Z562" s="535" t="n"/>
      <c r="AA562" s="535" t="n"/>
      <c r="AD562" s="545" t="inlineStr">
        <is>
          <t>AO11</t>
        </is>
      </c>
      <c r="AE562" s="457" t="inlineStr">
        <is>
          <t>Spare</t>
        </is>
      </c>
      <c r="AF562" s="454" t="n"/>
      <c r="AG562" s="546" t="n"/>
      <c r="AH562" s="539" t="n"/>
      <c r="AI562" s="454" t="n"/>
    </row>
    <row r="563" ht="15.75" customHeight="1">
      <c r="A563" s="20" t="n">
        <v>35</v>
      </c>
      <c r="B563" s="21" t="inlineStr">
        <is>
          <t>M118</t>
        </is>
      </c>
      <c r="C563" s="39" t="inlineStr">
        <is>
          <t>Key switch</t>
        </is>
      </c>
      <c r="D563" s="29" t="inlineStr">
        <is>
          <t>boolean</t>
        </is>
      </c>
      <c r="E563" s="533" t="inlineStr">
        <is>
          <t>Cab</t>
        </is>
      </c>
      <c r="F563" s="533" t="n">
        <v>1</v>
      </c>
      <c r="G563" s="533" t="n"/>
      <c r="K563" s="20" t="n">
        <v>35</v>
      </c>
      <c r="L563" s="20" t="n"/>
      <c r="M563" s="20" t="inlineStr">
        <is>
          <t>Dummy</t>
        </is>
      </c>
      <c r="N563" s="533" t="n"/>
      <c r="O563" s="533" t="inlineStr">
        <is>
          <t>Cab</t>
        </is>
      </c>
      <c r="P563" s="535" t="n"/>
      <c r="Q563" s="533" t="n"/>
      <c r="U563" s="20" t="n">
        <v>35</v>
      </c>
      <c r="V563" s="21" t="n"/>
      <c r="W563" s="38" t="inlineStr">
        <is>
          <t>spare</t>
        </is>
      </c>
      <c r="X563" s="29" t="n"/>
      <c r="Y563" s="533" t="inlineStr">
        <is>
          <t>Cab</t>
        </is>
      </c>
      <c r="Z563" s="535" t="n"/>
      <c r="AA563" s="535" t="n"/>
      <c r="AD563" s="545" t="inlineStr">
        <is>
          <t>AO12</t>
        </is>
      </c>
      <c r="AE563" s="457" t="inlineStr">
        <is>
          <t>Spare</t>
        </is>
      </c>
      <c r="AF563" s="454" t="n"/>
      <c r="AG563" s="546" t="n"/>
      <c r="AH563" s="539" t="n"/>
      <c r="AI563" s="454" t="n"/>
    </row>
    <row r="564" ht="15.75" customHeight="1">
      <c r="A564" s="20" t="n">
        <v>36</v>
      </c>
      <c r="B564" s="21" t="inlineStr">
        <is>
          <t>M119</t>
        </is>
      </c>
      <c r="C564" s="39" t="inlineStr">
        <is>
          <t>ATO</t>
        </is>
      </c>
      <c r="D564" s="29" t="inlineStr">
        <is>
          <t>boolean</t>
        </is>
      </c>
      <c r="E564" s="533" t="inlineStr">
        <is>
          <t>Cab</t>
        </is>
      </c>
      <c r="F564" s="533" t="n"/>
      <c r="G564" s="533" t="n"/>
      <c r="K564" s="20" t="n">
        <v>36</v>
      </c>
      <c r="L564" s="20" t="n"/>
      <c r="M564" s="20" t="inlineStr">
        <is>
          <t>Dummy</t>
        </is>
      </c>
      <c r="N564" s="533" t="n"/>
      <c r="O564" s="533" t="inlineStr">
        <is>
          <t>Cab</t>
        </is>
      </c>
      <c r="P564" s="535" t="n"/>
      <c r="Q564" s="533" t="n"/>
      <c r="U564" s="20" t="n">
        <v>36</v>
      </c>
      <c r="V564" s="21" t="n"/>
      <c r="W564" s="38" t="inlineStr">
        <is>
          <t>spare</t>
        </is>
      </c>
      <c r="X564" s="29" t="n"/>
      <c r="Y564" s="533" t="inlineStr">
        <is>
          <t>Cab</t>
        </is>
      </c>
      <c r="Z564" s="535" t="n"/>
      <c r="AA564" s="535" t="n"/>
      <c r="AD564" s="545" t="inlineStr">
        <is>
          <t>AO13</t>
        </is>
      </c>
      <c r="AE564" s="457" t="inlineStr">
        <is>
          <t>Spare</t>
        </is>
      </c>
      <c r="AF564" s="454" t="n"/>
      <c r="AG564" s="546" t="n"/>
      <c r="AH564" s="539" t="n"/>
      <c r="AI564" s="454" t="n"/>
    </row>
    <row r="565" ht="15.75" customHeight="1">
      <c r="A565" s="20" t="n">
        <v>37</v>
      </c>
      <c r="B565" s="21" t="inlineStr">
        <is>
          <t>M120</t>
        </is>
      </c>
      <c r="C565" s="39" t="inlineStr">
        <is>
          <t>ATP</t>
        </is>
      </c>
      <c r="D565" s="29" t="inlineStr">
        <is>
          <t>boolean</t>
        </is>
      </c>
      <c r="E565" s="533" t="inlineStr">
        <is>
          <t>Cab</t>
        </is>
      </c>
      <c r="F565" s="533" t="n"/>
      <c r="G565" s="533" t="n"/>
      <c r="K565" s="20" t="n">
        <v>37</v>
      </c>
      <c r="L565" s="20" t="n"/>
      <c r="M565" s="20" t="inlineStr">
        <is>
          <t>Dummy</t>
        </is>
      </c>
      <c r="N565" s="533" t="n"/>
      <c r="O565" s="533" t="inlineStr">
        <is>
          <t>Cab</t>
        </is>
      </c>
      <c r="P565" s="535" t="n"/>
      <c r="Q565" s="533" t="n"/>
      <c r="U565" s="20" t="n">
        <v>37</v>
      </c>
      <c r="V565" s="21" t="n"/>
      <c r="W565" s="38" t="inlineStr">
        <is>
          <t>spare</t>
        </is>
      </c>
      <c r="X565" s="29" t="n"/>
      <c r="Y565" s="533" t="inlineStr">
        <is>
          <t>Cab</t>
        </is>
      </c>
      <c r="Z565" s="535" t="n"/>
      <c r="AA565" s="535" t="n"/>
      <c r="AD565" s="545" t="inlineStr">
        <is>
          <t>AO14</t>
        </is>
      </c>
      <c r="AE565" s="457" t="inlineStr">
        <is>
          <t>Spare</t>
        </is>
      </c>
      <c r="AF565" s="454" t="n"/>
      <c r="AG565" s="546" t="n"/>
      <c r="AH565" s="539" t="n"/>
      <c r="AI565" s="454" t="n"/>
    </row>
    <row r="566" ht="15.75" customHeight="1">
      <c r="A566" s="20" t="n">
        <v>38</v>
      </c>
      <c r="B566" s="21" t="inlineStr">
        <is>
          <t>M121</t>
        </is>
      </c>
      <c r="C566" s="39" t="inlineStr">
        <is>
          <t>FWD</t>
        </is>
      </c>
      <c r="D566" s="29" t="inlineStr">
        <is>
          <t>boolean</t>
        </is>
      </c>
      <c r="E566" s="533" t="inlineStr">
        <is>
          <t>Cab</t>
        </is>
      </c>
      <c r="F566" s="533" t="n"/>
      <c r="G566" s="533" t="n"/>
      <c r="K566" s="20" t="n">
        <v>38</v>
      </c>
      <c r="L566" s="20" t="n"/>
      <c r="M566" s="20" t="inlineStr">
        <is>
          <t>Dummy</t>
        </is>
      </c>
      <c r="N566" s="533" t="n"/>
      <c r="O566" s="533" t="inlineStr">
        <is>
          <t>Cab</t>
        </is>
      </c>
      <c r="P566" s="535" t="n"/>
      <c r="Q566" s="533" t="n"/>
      <c r="U566" s="20" t="n">
        <v>38</v>
      </c>
      <c r="V566" s="21" t="n"/>
      <c r="W566" s="38" t="inlineStr">
        <is>
          <t>spare</t>
        </is>
      </c>
      <c r="X566" s="29" t="n"/>
      <c r="Y566" s="533" t="inlineStr">
        <is>
          <t>Cab</t>
        </is>
      </c>
      <c r="Z566" s="535" t="n"/>
      <c r="AA566" s="535" t="n"/>
      <c r="AD566" s="545" t="inlineStr">
        <is>
          <t>AO15</t>
        </is>
      </c>
      <c r="AE566" s="457" t="inlineStr">
        <is>
          <t>Spare</t>
        </is>
      </c>
      <c r="AF566" s="454" t="n"/>
      <c r="AG566" s="546" t="n"/>
      <c r="AH566" s="539" t="n"/>
      <c r="AI566" s="454" t="n"/>
    </row>
    <row r="567" ht="15.75" customHeight="1">
      <c r="A567" s="20" t="n">
        <v>39</v>
      </c>
      <c r="B567" s="21" t="inlineStr">
        <is>
          <t>M122</t>
        </is>
      </c>
      <c r="C567" s="39" t="inlineStr">
        <is>
          <t>STANDBY</t>
        </is>
      </c>
      <c r="D567" s="29" t="inlineStr">
        <is>
          <t>boolean</t>
        </is>
      </c>
      <c r="E567" s="533" t="inlineStr">
        <is>
          <t>Cab</t>
        </is>
      </c>
      <c r="F567" s="533" t="n"/>
      <c r="G567" s="533" t="n"/>
      <c r="K567" s="20" t="n">
        <v>39</v>
      </c>
      <c r="L567" s="20" t="n"/>
      <c r="M567" s="20" t="inlineStr">
        <is>
          <t>Dummy</t>
        </is>
      </c>
      <c r="N567" s="533" t="n"/>
      <c r="O567" s="533" t="inlineStr">
        <is>
          <t>Cab</t>
        </is>
      </c>
      <c r="P567" s="535" t="n"/>
      <c r="Q567" s="533" t="n"/>
      <c r="U567" s="20" t="n">
        <v>39</v>
      </c>
      <c r="V567" s="21" t="n"/>
      <c r="W567" s="38" t="inlineStr">
        <is>
          <t>spare</t>
        </is>
      </c>
      <c r="X567" s="29" t="n"/>
      <c r="Y567" s="533" t="inlineStr">
        <is>
          <t>Cab</t>
        </is>
      </c>
      <c r="Z567" s="535" t="n"/>
      <c r="AA567" s="535" t="n"/>
      <c r="AD567" s="545" t="inlineStr">
        <is>
          <t>AO16</t>
        </is>
      </c>
      <c r="AE567" s="457" t="inlineStr">
        <is>
          <t>Spare</t>
        </is>
      </c>
      <c r="AF567" s="454" t="n"/>
      <c r="AG567" s="546" t="n"/>
      <c r="AH567" s="539" t="n"/>
      <c r="AI567" s="454" t="n"/>
    </row>
    <row r="568" ht="15.75" customHeight="1">
      <c r="A568" s="20" t="n">
        <v>40</v>
      </c>
      <c r="B568" s="21" t="inlineStr">
        <is>
          <t>M123</t>
        </is>
      </c>
      <c r="C568" s="39" t="inlineStr">
        <is>
          <t>REV</t>
        </is>
      </c>
      <c r="D568" s="29" t="inlineStr">
        <is>
          <t>boolean</t>
        </is>
      </c>
      <c r="E568" s="533" t="inlineStr">
        <is>
          <t>Cab</t>
        </is>
      </c>
      <c r="F568" s="533" t="n"/>
      <c r="G568" s="533" t="n"/>
      <c r="K568" s="20" t="n">
        <v>40</v>
      </c>
      <c r="L568" s="20" t="n"/>
      <c r="M568" s="20" t="inlineStr">
        <is>
          <t>Dummy</t>
        </is>
      </c>
      <c r="N568" s="533" t="n"/>
      <c r="O568" s="533" t="inlineStr">
        <is>
          <t>Cab</t>
        </is>
      </c>
      <c r="P568" s="535" t="n"/>
      <c r="Q568" s="533" t="n"/>
      <c r="U568" s="20" t="n">
        <v>40</v>
      </c>
      <c r="V568" s="21" t="n"/>
      <c r="W568" s="38" t="inlineStr">
        <is>
          <t>spare</t>
        </is>
      </c>
      <c r="X568" s="29" t="n"/>
      <c r="Y568" s="533" t="inlineStr">
        <is>
          <t>Cab</t>
        </is>
      </c>
      <c r="Z568" s="535" t="n"/>
      <c r="AA568" s="535" t="n"/>
      <c r="AD568" s="545" t="inlineStr">
        <is>
          <t>AO17</t>
        </is>
      </c>
      <c r="AE568" s="457" t="inlineStr">
        <is>
          <t>Spare</t>
        </is>
      </c>
      <c r="AF568" s="454" t="n"/>
      <c r="AG568" s="546" t="n"/>
      <c r="AH568" s="539" t="n"/>
      <c r="AI568" s="454" t="n"/>
    </row>
    <row r="569" ht="15.75" customHeight="1">
      <c r="A569" s="20" t="n">
        <v>41</v>
      </c>
      <c r="B569" s="21" t="inlineStr">
        <is>
          <t>M124</t>
        </is>
      </c>
      <c r="C569" s="39" t="inlineStr">
        <is>
          <t>OFF</t>
        </is>
      </c>
      <c r="D569" s="29" t="inlineStr">
        <is>
          <t>boolean</t>
        </is>
      </c>
      <c r="E569" s="533" t="inlineStr">
        <is>
          <t>Cab</t>
        </is>
      </c>
      <c r="F569" s="533" t="n"/>
      <c r="G569" s="533" t="n"/>
      <c r="K569" s="20" t="n">
        <v>41</v>
      </c>
      <c r="L569" s="20" t="n"/>
      <c r="M569" s="20" t="inlineStr">
        <is>
          <t>Dummy</t>
        </is>
      </c>
      <c r="N569" s="533" t="n"/>
      <c r="O569" s="533" t="inlineStr">
        <is>
          <t>Cab</t>
        </is>
      </c>
      <c r="P569" s="535" t="n"/>
      <c r="Q569" s="533" t="n"/>
      <c r="U569" s="20" t="n">
        <v>41</v>
      </c>
      <c r="V569" s="21" t="n"/>
      <c r="W569" s="38" t="inlineStr">
        <is>
          <t>spare</t>
        </is>
      </c>
      <c r="X569" s="29" t="n"/>
      <c r="Y569" s="533" t="inlineStr">
        <is>
          <t>Cab</t>
        </is>
      </c>
      <c r="Z569" s="535" t="n"/>
      <c r="AA569" s="535" t="n"/>
      <c r="AD569" s="545" t="inlineStr">
        <is>
          <t>AO18</t>
        </is>
      </c>
      <c r="AE569" s="457" t="inlineStr">
        <is>
          <t>Spare</t>
        </is>
      </c>
      <c r="AF569" s="454" t="n"/>
      <c r="AG569" s="546" t="n"/>
      <c r="AH569" s="539" t="n"/>
      <c r="AI569" s="454" t="n"/>
    </row>
    <row r="570" ht="15.75" customHeight="1">
      <c r="A570" s="20" t="n">
        <v>42</v>
      </c>
      <c r="B570" s="21" t="inlineStr">
        <is>
          <t>M125</t>
        </is>
      </c>
      <c r="C570" s="39" t="inlineStr">
        <is>
          <t>Pmax</t>
        </is>
      </c>
      <c r="D570" s="29" t="inlineStr">
        <is>
          <t>boolean</t>
        </is>
      </c>
      <c r="E570" s="533" t="inlineStr">
        <is>
          <t>Cab</t>
        </is>
      </c>
      <c r="F570" s="533" t="n"/>
      <c r="G570" s="533" t="n"/>
      <c r="K570" s="20" t="n">
        <v>42</v>
      </c>
      <c r="L570" s="20" t="n"/>
      <c r="M570" s="20" t="inlineStr">
        <is>
          <t>Dummy</t>
        </is>
      </c>
      <c r="N570" s="533" t="n"/>
      <c r="O570" s="533" t="inlineStr">
        <is>
          <t>Cab</t>
        </is>
      </c>
      <c r="P570" s="535" t="n"/>
      <c r="Q570" s="533" t="n"/>
      <c r="U570" s="20" t="n">
        <v>42</v>
      </c>
      <c r="V570" s="21" t="n"/>
      <c r="W570" s="38" t="inlineStr">
        <is>
          <t>spare</t>
        </is>
      </c>
      <c r="X570" s="29" t="n"/>
      <c r="Y570" s="533" t="inlineStr">
        <is>
          <t>Cab</t>
        </is>
      </c>
      <c r="Z570" s="535" t="n"/>
      <c r="AA570" s="535" t="n"/>
      <c r="AD570" s="545" t="inlineStr">
        <is>
          <t>AO19</t>
        </is>
      </c>
      <c r="AE570" s="457" t="inlineStr">
        <is>
          <t>Spare</t>
        </is>
      </c>
      <c r="AF570" s="454" t="n"/>
      <c r="AG570" s="546" t="n"/>
      <c r="AH570" s="539" t="n"/>
      <c r="AI570" s="454" t="n"/>
    </row>
    <row r="571" ht="15.75" customHeight="1">
      <c r="A571" s="20" t="n">
        <v>43</v>
      </c>
      <c r="B571" s="21" t="inlineStr">
        <is>
          <t>M126</t>
        </is>
      </c>
      <c r="C571" s="39" t="inlineStr">
        <is>
          <t>Pmin</t>
        </is>
      </c>
      <c r="D571" s="29" t="inlineStr">
        <is>
          <t>boolean</t>
        </is>
      </c>
      <c r="E571" s="533" t="inlineStr">
        <is>
          <t>Cab</t>
        </is>
      </c>
      <c r="F571" s="533" t="n"/>
      <c r="G571" s="533" t="n"/>
      <c r="K571" s="20" t="n">
        <v>43</v>
      </c>
      <c r="L571" s="20" t="n"/>
      <c r="M571" s="20" t="inlineStr">
        <is>
          <t>Dummy</t>
        </is>
      </c>
      <c r="N571" s="533" t="n"/>
      <c r="O571" s="533" t="inlineStr">
        <is>
          <t>Cab</t>
        </is>
      </c>
      <c r="P571" s="535" t="n"/>
      <c r="Q571" s="533" t="n"/>
      <c r="U571" s="20" t="n">
        <v>43</v>
      </c>
      <c r="V571" s="21" t="n"/>
      <c r="W571" s="38" t="inlineStr">
        <is>
          <t>spare</t>
        </is>
      </c>
      <c r="X571" s="29" t="n"/>
      <c r="Y571" s="533" t="inlineStr">
        <is>
          <t>Cab</t>
        </is>
      </c>
      <c r="Z571" s="535" t="n"/>
      <c r="AA571" s="535" t="n"/>
      <c r="AD571" s="545" t="inlineStr">
        <is>
          <t>AO20</t>
        </is>
      </c>
      <c r="AE571" s="457" t="inlineStr">
        <is>
          <t>Spare</t>
        </is>
      </c>
      <c r="AF571" s="454" t="n"/>
      <c r="AG571" s="546" t="n"/>
      <c r="AH571" s="539" t="n"/>
      <c r="AI571" s="454" t="n"/>
    </row>
    <row r="572" ht="15.75" customHeight="1">
      <c r="A572" s="20" t="n">
        <v>44</v>
      </c>
      <c r="B572" s="21" t="inlineStr">
        <is>
          <t>M127</t>
        </is>
      </c>
      <c r="C572" s="39" t="inlineStr">
        <is>
          <t>OFF</t>
        </is>
      </c>
      <c r="D572" s="29" t="inlineStr">
        <is>
          <t>boolean</t>
        </is>
      </c>
      <c r="E572" s="533" t="inlineStr">
        <is>
          <t>Cab</t>
        </is>
      </c>
      <c r="F572" s="533" t="n"/>
      <c r="G572" s="533" t="n"/>
      <c r="K572" s="20" t="n">
        <v>44</v>
      </c>
      <c r="L572" s="20" t="n"/>
      <c r="M572" s="20" t="inlineStr">
        <is>
          <t>Dummy</t>
        </is>
      </c>
      <c r="N572" s="533" t="n"/>
      <c r="O572" s="533" t="inlineStr">
        <is>
          <t>Cab</t>
        </is>
      </c>
      <c r="P572" s="535" t="n"/>
      <c r="Q572" s="533" t="n"/>
      <c r="U572" s="20" t="n">
        <v>44</v>
      </c>
      <c r="V572" s="21" t="n"/>
      <c r="W572" s="38" t="inlineStr">
        <is>
          <t>spare</t>
        </is>
      </c>
      <c r="X572" s="29" t="n"/>
      <c r="Y572" s="533" t="inlineStr">
        <is>
          <t>Cab</t>
        </is>
      </c>
      <c r="Z572" s="535" t="n"/>
      <c r="AA572" s="535" t="n"/>
      <c r="AD572" s="545" t="inlineStr">
        <is>
          <t>AO21</t>
        </is>
      </c>
      <c r="AE572" s="457" t="inlineStr">
        <is>
          <t>Spare</t>
        </is>
      </c>
      <c r="AF572" s="454" t="n"/>
      <c r="AG572" s="546" t="n"/>
      <c r="AH572" s="539" t="n"/>
      <c r="AI572" s="454" t="n"/>
      <c r="AJ572" s="454" t="n"/>
      <c r="AK572" s="540" t="n"/>
      <c r="AL572" s="454" t="n"/>
    </row>
    <row r="573" ht="15.75" customHeight="1">
      <c r="A573" s="20" t="n">
        <v>45</v>
      </c>
      <c r="B573" s="21" t="inlineStr">
        <is>
          <t>M128</t>
        </is>
      </c>
      <c r="C573" s="39" t="inlineStr">
        <is>
          <t>Bmin</t>
        </is>
      </c>
      <c r="D573" s="29" t="inlineStr">
        <is>
          <t>boolean</t>
        </is>
      </c>
      <c r="E573" s="533" t="inlineStr">
        <is>
          <t>Cab</t>
        </is>
      </c>
      <c r="F573" s="533" t="n"/>
      <c r="G573" s="533" t="n"/>
      <c r="K573" s="20" t="n">
        <v>45</v>
      </c>
      <c r="L573" s="20" t="n"/>
      <c r="M573" s="20" t="inlineStr">
        <is>
          <t>Dummy</t>
        </is>
      </c>
      <c r="N573" s="533" t="n"/>
      <c r="O573" s="533" t="inlineStr">
        <is>
          <t>Cab</t>
        </is>
      </c>
      <c r="P573" s="535" t="n"/>
      <c r="Q573" s="533" t="n"/>
      <c r="U573" s="20" t="n">
        <v>45</v>
      </c>
      <c r="V573" s="21" t="n"/>
      <c r="W573" s="38" t="inlineStr">
        <is>
          <t>spare</t>
        </is>
      </c>
      <c r="X573" s="29" t="n"/>
      <c r="Y573" s="533" t="inlineStr">
        <is>
          <t>Cab</t>
        </is>
      </c>
      <c r="Z573" s="535" t="n"/>
      <c r="AA573" s="535" t="n"/>
      <c r="AD573" s="545" t="inlineStr">
        <is>
          <t>AO22</t>
        </is>
      </c>
      <c r="AE573" s="457" t="inlineStr">
        <is>
          <t>Spare</t>
        </is>
      </c>
      <c r="AF573" s="454" t="n"/>
      <c r="AG573" s="546" t="n"/>
      <c r="AH573" s="539" t="n"/>
      <c r="AI573" s="454" t="n"/>
      <c r="AJ573" s="454" t="n"/>
      <c r="AK573" s="540" t="n"/>
      <c r="AL573" s="454" t="n"/>
    </row>
    <row r="574" ht="15.75" customHeight="1">
      <c r="A574" s="20" t="n">
        <v>46</v>
      </c>
      <c r="B574" s="21" t="inlineStr">
        <is>
          <t>M129</t>
        </is>
      </c>
      <c r="C574" s="39" t="inlineStr">
        <is>
          <t>Bmax</t>
        </is>
      </c>
      <c r="D574" s="29" t="inlineStr">
        <is>
          <t>boolean</t>
        </is>
      </c>
      <c r="E574" s="533" t="inlineStr">
        <is>
          <t>Cab</t>
        </is>
      </c>
      <c r="F574" s="533" t="n"/>
      <c r="G574" s="533" t="n"/>
      <c r="K574" s="20" t="n">
        <v>46</v>
      </c>
      <c r="L574" s="20" t="n"/>
      <c r="M574" s="20" t="inlineStr">
        <is>
          <t>Dummy</t>
        </is>
      </c>
      <c r="N574" s="533" t="n"/>
      <c r="O574" s="533" t="inlineStr">
        <is>
          <t>Cab</t>
        </is>
      </c>
      <c r="P574" s="535" t="n"/>
      <c r="Q574" s="533" t="n"/>
      <c r="U574" s="20" t="n">
        <v>46</v>
      </c>
      <c r="V574" s="21" t="n"/>
      <c r="W574" s="38" t="inlineStr">
        <is>
          <t>spare</t>
        </is>
      </c>
      <c r="X574" s="29" t="n"/>
      <c r="Y574" s="533" t="inlineStr">
        <is>
          <t>Cab</t>
        </is>
      </c>
      <c r="Z574" s="535" t="n"/>
      <c r="AA574" s="535" t="n"/>
      <c r="AD574" s="545" t="inlineStr">
        <is>
          <t>AO23</t>
        </is>
      </c>
      <c r="AE574" s="457" t="inlineStr">
        <is>
          <t>Spare</t>
        </is>
      </c>
      <c r="AF574" s="454" t="n"/>
      <c r="AG574" s="546" t="n"/>
      <c r="AH574" s="539" t="n"/>
      <c r="AI574" s="454" t="n"/>
      <c r="AJ574" s="454" t="n"/>
      <c r="AK574" s="540" t="n"/>
      <c r="AL574" s="454" t="n"/>
    </row>
    <row r="575" ht="16.5" customHeight="1" thickBot="1">
      <c r="A575" s="20" t="n">
        <v>47</v>
      </c>
      <c r="B575" s="21" t="inlineStr">
        <is>
          <t>M130</t>
        </is>
      </c>
      <c r="C575" s="39" t="inlineStr">
        <is>
          <t>Emergency</t>
        </is>
      </c>
      <c r="D575" s="29" t="inlineStr">
        <is>
          <t>boolean</t>
        </is>
      </c>
      <c r="E575" s="533" t="inlineStr">
        <is>
          <t>Cab</t>
        </is>
      </c>
      <c r="F575" s="533" t="n"/>
      <c r="G575" s="533" t="n"/>
      <c r="K575" s="20" t="n">
        <v>47</v>
      </c>
      <c r="L575" s="20" t="n"/>
      <c r="M575" s="20" t="inlineStr">
        <is>
          <t>Dummy</t>
        </is>
      </c>
      <c r="N575" s="533" t="n"/>
      <c r="O575" s="533" t="inlineStr">
        <is>
          <t>Cab</t>
        </is>
      </c>
      <c r="P575" s="535" t="n"/>
      <c r="Q575" s="533" t="n"/>
      <c r="U575" s="20" t="n">
        <v>47</v>
      </c>
      <c r="V575" s="21" t="n"/>
      <c r="W575" s="38" t="inlineStr">
        <is>
          <t>spare</t>
        </is>
      </c>
      <c r="X575" s="29" t="n"/>
      <c r="Y575" s="533" t="inlineStr">
        <is>
          <t>Cab</t>
        </is>
      </c>
      <c r="Z575" s="535" t="n"/>
      <c r="AA575" s="535" t="n"/>
      <c r="AD575" s="547" t="inlineStr">
        <is>
          <t>AO24</t>
        </is>
      </c>
      <c r="AE575" s="548" t="inlineStr">
        <is>
          <t>Spare</t>
        </is>
      </c>
      <c r="AF575" s="549" t="n"/>
      <c r="AG575" s="550" t="n"/>
      <c r="AH575" s="539" t="n"/>
      <c r="AI575" s="454" t="n"/>
      <c r="AJ575" s="454" t="n"/>
      <c r="AK575" s="540" t="n"/>
      <c r="AL575" s="454" t="n"/>
    </row>
    <row r="576" ht="15.75" customHeight="1">
      <c r="A576" s="20" t="n">
        <v>48</v>
      </c>
      <c r="B576" s="21" t="inlineStr">
        <is>
          <t>M131</t>
        </is>
      </c>
      <c r="C576" s="39" t="inlineStr">
        <is>
          <t xml:space="preserve">Release </t>
        </is>
      </c>
      <c r="D576" s="29" t="inlineStr">
        <is>
          <t>boolean</t>
        </is>
      </c>
      <c r="E576" s="533" t="inlineStr">
        <is>
          <t>Cab</t>
        </is>
      </c>
      <c r="F576" s="533" t="n"/>
      <c r="G576" s="533" t="n"/>
      <c r="K576" s="20" t="n">
        <v>48</v>
      </c>
      <c r="L576" s="20" t="n"/>
      <c r="M576" s="20" t="inlineStr">
        <is>
          <t>Dummy</t>
        </is>
      </c>
      <c r="N576" s="533" t="n"/>
      <c r="O576" s="533" t="inlineStr">
        <is>
          <t>Cab</t>
        </is>
      </c>
      <c r="P576" s="535" t="n"/>
      <c r="Q576" s="533" t="n"/>
      <c r="U576" s="20" t="n">
        <v>48</v>
      </c>
      <c r="V576" s="21" t="n"/>
      <c r="W576" s="38" t="inlineStr">
        <is>
          <t>spare</t>
        </is>
      </c>
      <c r="X576" s="29" t="n"/>
      <c r="Y576" s="533" t="inlineStr">
        <is>
          <t>Cab</t>
        </is>
      </c>
      <c r="Z576" s="535" t="n"/>
      <c r="AA576" s="535" t="n"/>
    </row>
    <row r="577" ht="15.75" customHeight="1">
      <c r="A577" s="20" t="n">
        <v>49</v>
      </c>
      <c r="B577" s="21" t="inlineStr">
        <is>
          <t>M132</t>
        </is>
      </c>
      <c r="C577" s="39" t="inlineStr">
        <is>
          <t>II</t>
        </is>
      </c>
      <c r="D577" s="29" t="inlineStr">
        <is>
          <t>boolean</t>
        </is>
      </c>
      <c r="E577" s="533" t="inlineStr">
        <is>
          <t>Cab</t>
        </is>
      </c>
      <c r="F577" s="533" t="n"/>
      <c r="G577" s="533" t="n"/>
      <c r="K577" s="20" t="n">
        <v>49</v>
      </c>
      <c r="L577" s="20" t="n"/>
      <c r="M577" s="20" t="inlineStr">
        <is>
          <t>Dummy</t>
        </is>
      </c>
      <c r="N577" s="533" t="n"/>
      <c r="O577" s="533" t="inlineStr">
        <is>
          <t>Cab</t>
        </is>
      </c>
      <c r="P577" s="535" t="n"/>
      <c r="Q577" s="533" t="n"/>
      <c r="U577" s="20" t="n">
        <v>49</v>
      </c>
      <c r="V577" s="21" t="n"/>
      <c r="W577" s="38" t="inlineStr">
        <is>
          <t>spare</t>
        </is>
      </c>
      <c r="X577" s="29" t="n"/>
      <c r="Y577" s="533" t="inlineStr">
        <is>
          <t>Cab</t>
        </is>
      </c>
      <c r="Z577" s="535" t="n"/>
      <c r="AA577" s="535" t="n"/>
    </row>
    <row r="578" ht="15.75" customHeight="1">
      <c r="A578" s="20" t="n">
        <v>50</v>
      </c>
      <c r="B578" s="21" t="inlineStr">
        <is>
          <t>M133</t>
        </is>
      </c>
      <c r="C578" s="39" t="n">
        <v>0</v>
      </c>
      <c r="D578" s="29" t="inlineStr">
        <is>
          <t>boolean</t>
        </is>
      </c>
      <c r="E578" s="533" t="inlineStr">
        <is>
          <t>Cab</t>
        </is>
      </c>
      <c r="F578" s="533" t="n"/>
      <c r="G578" s="533" t="n"/>
      <c r="K578" s="20" t="n">
        <v>50</v>
      </c>
      <c r="L578" s="20" t="n"/>
      <c r="M578" s="20" t="inlineStr">
        <is>
          <t>Dummy</t>
        </is>
      </c>
      <c r="N578" s="533" t="n"/>
      <c r="O578" s="533" t="inlineStr">
        <is>
          <t>Cab</t>
        </is>
      </c>
      <c r="P578" s="535" t="n"/>
      <c r="Q578" s="533" t="n"/>
      <c r="U578" s="20" t="n">
        <v>50</v>
      </c>
      <c r="V578" s="21" t="n"/>
      <c r="W578" s="38" t="inlineStr">
        <is>
          <t>spare</t>
        </is>
      </c>
      <c r="X578" s="29" t="n"/>
      <c r="Y578" s="533" t="inlineStr">
        <is>
          <t>Cab</t>
        </is>
      </c>
      <c r="Z578" s="535" t="n"/>
      <c r="AA578" s="535" t="n"/>
    </row>
    <row r="579" ht="15.75" customHeight="1">
      <c r="A579" s="20" t="n">
        <v>51</v>
      </c>
      <c r="B579" s="21" t="inlineStr">
        <is>
          <t>M134</t>
        </is>
      </c>
      <c r="C579" s="39" t="inlineStr">
        <is>
          <t>III</t>
        </is>
      </c>
      <c r="D579" s="29" t="inlineStr">
        <is>
          <t>boolean</t>
        </is>
      </c>
      <c r="E579" s="533" t="inlineStr">
        <is>
          <t>Cab</t>
        </is>
      </c>
      <c r="F579" s="533" t="n"/>
      <c r="G579" s="533" t="n"/>
      <c r="K579" s="20" t="n">
        <v>51</v>
      </c>
      <c r="L579" s="20" t="n"/>
      <c r="M579" s="20" t="inlineStr">
        <is>
          <t>Dummy</t>
        </is>
      </c>
      <c r="N579" s="533" t="n"/>
      <c r="O579" s="533" t="inlineStr">
        <is>
          <t>Cab</t>
        </is>
      </c>
      <c r="P579" s="535" t="n"/>
      <c r="Q579" s="533" t="n"/>
      <c r="U579" s="20" t="n">
        <v>51</v>
      </c>
      <c r="V579" s="38" t="inlineStr">
        <is>
          <t>AI00</t>
        </is>
      </c>
      <c r="W579" s="43" t="inlineStr">
        <is>
          <t>LP Sensor 1</t>
        </is>
      </c>
      <c r="X579" s="29" t="n"/>
      <c r="Y579" s="533" t="inlineStr">
        <is>
          <t xml:space="preserve">HVAC Replica </t>
        </is>
      </c>
      <c r="Z579" s="535" t="n"/>
      <c r="AA579" s="535" t="n"/>
    </row>
    <row r="580" ht="15.75" customHeight="1">
      <c r="A580" s="20" t="n">
        <v>52</v>
      </c>
      <c r="B580" s="21" t="inlineStr">
        <is>
          <t>M135</t>
        </is>
      </c>
      <c r="C580" s="39" t="inlineStr">
        <is>
          <t>Emergency</t>
        </is>
      </c>
      <c r="D580" s="29" t="inlineStr">
        <is>
          <t>boolean</t>
        </is>
      </c>
      <c r="E580" s="533" t="inlineStr">
        <is>
          <t>Cab</t>
        </is>
      </c>
      <c r="F580" s="533" t="n"/>
      <c r="G580" s="533" t="n"/>
      <c r="K580" s="20" t="n">
        <v>52</v>
      </c>
      <c r="L580" s="20" t="n"/>
      <c r="M580" s="20" t="inlineStr">
        <is>
          <t>Dummy</t>
        </is>
      </c>
      <c r="N580" s="533" t="n"/>
      <c r="O580" s="533" t="inlineStr">
        <is>
          <t>Cab</t>
        </is>
      </c>
      <c r="P580" s="535" t="n"/>
      <c r="Q580" s="533" t="n"/>
      <c r="U580" s="20" t="n">
        <v>52</v>
      </c>
      <c r="V580" s="38" t="inlineStr">
        <is>
          <t>AI01</t>
        </is>
      </c>
      <c r="W580" s="43" t="inlineStr">
        <is>
          <t>HP Sensor 1</t>
        </is>
      </c>
      <c r="X580" s="29" t="n"/>
      <c r="Y580" s="533" t="inlineStr">
        <is>
          <t xml:space="preserve">HVAC Replica </t>
        </is>
      </c>
      <c r="Z580" s="535" t="n"/>
      <c r="AA580" s="535" t="n"/>
    </row>
    <row r="581" ht="15.75" customHeight="1">
      <c r="A581" s="20" t="n">
        <v>53</v>
      </c>
      <c r="B581" s="21" t="inlineStr">
        <is>
          <t>M136</t>
        </is>
      </c>
      <c r="C581" s="39" t="inlineStr">
        <is>
          <t>V</t>
        </is>
      </c>
      <c r="D581" s="29" t="inlineStr">
        <is>
          <t>boolean</t>
        </is>
      </c>
      <c r="E581" s="533" t="inlineStr">
        <is>
          <t>Cab</t>
        </is>
      </c>
      <c r="F581" s="533" t="n"/>
      <c r="G581" s="533" t="n"/>
      <c r="K581" s="20" t="n">
        <v>53</v>
      </c>
      <c r="L581" s="20" t="n"/>
      <c r="M581" s="20" t="inlineStr">
        <is>
          <t>Dummy</t>
        </is>
      </c>
      <c r="N581" s="533" t="n"/>
      <c r="O581" s="533" t="inlineStr">
        <is>
          <t>Cab</t>
        </is>
      </c>
      <c r="P581" s="535" t="n"/>
      <c r="Q581" s="533" t="n"/>
      <c r="U581" s="20" t="n">
        <v>53</v>
      </c>
      <c r="V581" s="38" t="inlineStr">
        <is>
          <t>AI02</t>
        </is>
      </c>
      <c r="W581" s="43" t="inlineStr">
        <is>
          <t>LP Sensor 2</t>
        </is>
      </c>
      <c r="X581" s="29" t="n"/>
      <c r="Y581" s="533" t="inlineStr">
        <is>
          <t xml:space="preserve">HVAC Replica </t>
        </is>
      </c>
      <c r="Z581" s="535" t="n"/>
      <c r="AA581" s="535" t="n"/>
    </row>
    <row r="582" ht="15.75" customHeight="1">
      <c r="A582" s="20" t="n">
        <v>54</v>
      </c>
      <c r="B582" s="22" t="inlineStr">
        <is>
          <t>M136</t>
        </is>
      </c>
      <c r="C582" s="38" t="inlineStr">
        <is>
          <t>Left Door Close Button (LDCB2)</t>
        </is>
      </c>
      <c r="D582" s="29" t="inlineStr">
        <is>
          <t>boolean</t>
        </is>
      </c>
      <c r="E582" s="533" t="inlineStr">
        <is>
          <t>Cab</t>
        </is>
      </c>
      <c r="F582" s="533" t="n"/>
      <c r="G582" s="533" t="n"/>
      <c r="K582" s="20" t="n">
        <v>54</v>
      </c>
      <c r="L582" s="20" t="n"/>
      <c r="M582" s="20" t="inlineStr">
        <is>
          <t>Dummy</t>
        </is>
      </c>
      <c r="N582" s="533" t="n"/>
      <c r="O582" s="533" t="inlineStr">
        <is>
          <t>Cab</t>
        </is>
      </c>
      <c r="P582" s="535" t="n"/>
      <c r="Q582" s="533" t="n"/>
      <c r="U582" s="20" t="n">
        <v>54</v>
      </c>
      <c r="V582" s="38" t="inlineStr">
        <is>
          <t>AI03</t>
        </is>
      </c>
      <c r="W582" s="43" t="inlineStr">
        <is>
          <t>HP Sensor 2</t>
        </is>
      </c>
      <c r="X582" s="29" t="n"/>
      <c r="Y582" s="533" t="inlineStr">
        <is>
          <t xml:space="preserve">HVAC Replica </t>
        </is>
      </c>
      <c r="Z582" s="535" t="n"/>
      <c r="AA582" s="535" t="n"/>
    </row>
    <row r="583" ht="15.75" customHeight="1">
      <c r="A583" s="20" t="n">
        <v>55</v>
      </c>
      <c r="B583" s="22" t="inlineStr">
        <is>
          <t>M137</t>
        </is>
      </c>
      <c r="C583" s="38" t="inlineStr">
        <is>
          <t>Left Door Open Button (LDOB2)</t>
        </is>
      </c>
      <c r="D583" s="29" t="inlineStr">
        <is>
          <t>boolean</t>
        </is>
      </c>
      <c r="E583" s="533" t="inlineStr">
        <is>
          <t>Cab</t>
        </is>
      </c>
      <c r="F583" s="533" t="n"/>
      <c r="G583" s="533" t="n"/>
      <c r="K583" s="20" t="n">
        <v>55</v>
      </c>
      <c r="L583" s="20" t="n"/>
      <c r="M583" s="20" t="inlineStr">
        <is>
          <t>Dummy</t>
        </is>
      </c>
      <c r="N583" s="533" t="n"/>
      <c r="O583" s="533" t="inlineStr">
        <is>
          <t>Cab</t>
        </is>
      </c>
      <c r="P583" s="535" t="n"/>
      <c r="Q583" s="533" t="n"/>
      <c r="U583" s="20" t="n">
        <v>55</v>
      </c>
      <c r="V583" s="38" t="inlineStr">
        <is>
          <t>AI04</t>
        </is>
      </c>
      <c r="W583" s="43" t="inlineStr">
        <is>
          <t>FAT Sensor</t>
        </is>
      </c>
      <c r="X583" s="29" t="n"/>
      <c r="Y583" s="533" t="inlineStr">
        <is>
          <t xml:space="preserve">HVAC Replica </t>
        </is>
      </c>
      <c r="Z583" s="535" t="n"/>
      <c r="AA583" s="535" t="n"/>
    </row>
    <row r="584" ht="15.75" customHeight="1">
      <c r="A584" s="20" t="n">
        <v>56</v>
      </c>
      <c r="B584" s="22" t="inlineStr">
        <is>
          <t>M138</t>
        </is>
      </c>
      <c r="C584" s="38" t="inlineStr">
        <is>
          <t>Left Door Close Button (LDCB3)</t>
        </is>
      </c>
      <c r="D584" s="29" t="inlineStr">
        <is>
          <t>boolean</t>
        </is>
      </c>
      <c r="E584" s="533" t="inlineStr">
        <is>
          <t>Cab</t>
        </is>
      </c>
      <c r="F584" s="533" t="n"/>
      <c r="G584" s="533" t="n"/>
      <c r="K584" s="20" t="n">
        <v>56</v>
      </c>
      <c r="L584" s="20" t="n"/>
      <c r="M584" s="20" t="inlineStr">
        <is>
          <t>RAT</t>
        </is>
      </c>
      <c r="N584" s="533" t="n"/>
      <c r="O584" s="533" t="inlineStr">
        <is>
          <t>Cab</t>
        </is>
      </c>
      <c r="P584" s="535" t="n"/>
      <c r="Q584" s="533" t="n">
        <v>296.653708288</v>
      </c>
      <c r="R584" s="265">
        <f>Calculation!B36</f>
        <v/>
      </c>
      <c r="U584" s="20" t="n">
        <v>56</v>
      </c>
      <c r="V584" s="38" t="inlineStr">
        <is>
          <t>AI05</t>
        </is>
      </c>
      <c r="W584" s="43" t="inlineStr">
        <is>
          <t>Supply Air Temp Sensor</t>
        </is>
      </c>
      <c r="X584" s="29" t="n"/>
      <c r="Y584" s="533" t="inlineStr">
        <is>
          <t xml:space="preserve">HVAC Replica </t>
        </is>
      </c>
      <c r="Z584" s="535" t="n"/>
      <c r="AA584" s="535" t="n"/>
    </row>
    <row r="585" ht="15.75" customHeight="1">
      <c r="A585" s="20" t="n">
        <v>57</v>
      </c>
      <c r="B585" s="22" t="inlineStr">
        <is>
          <t>M139</t>
        </is>
      </c>
      <c r="C585" s="38" t="inlineStr">
        <is>
          <t>Left Door Enable (PBDEL)</t>
        </is>
      </c>
      <c r="D585" s="29" t="inlineStr">
        <is>
          <t>boolean</t>
        </is>
      </c>
      <c r="E585" s="533" t="inlineStr">
        <is>
          <t>Cab</t>
        </is>
      </c>
      <c r="F585" s="533" t="n"/>
      <c r="G585" s="533" t="n"/>
      <c r="K585" s="20" t="n">
        <v>57</v>
      </c>
      <c r="L585" s="20" t="n"/>
      <c r="M585" s="20" t="inlineStr">
        <is>
          <t>Rat Loop</t>
        </is>
      </c>
      <c r="N585" s="533" t="n"/>
      <c r="O585" s="533" t="inlineStr">
        <is>
          <t>Cab</t>
        </is>
      </c>
      <c r="P585" s="535" t="n"/>
      <c r="Q585" s="533" t="n">
        <v>0</v>
      </c>
      <c r="R585" s="265">
        <f>Calculation!I51</f>
        <v/>
      </c>
      <c r="U585" s="20" t="n">
        <v>57</v>
      </c>
      <c r="V585" s="38" t="inlineStr">
        <is>
          <t>AI06</t>
        </is>
      </c>
      <c r="W585" s="43" t="inlineStr">
        <is>
          <t>RAT Sensor</t>
        </is>
      </c>
      <c r="X585" s="29" t="n"/>
      <c r="Y585" s="533" t="inlineStr">
        <is>
          <t xml:space="preserve">HVAC Replica </t>
        </is>
      </c>
      <c r="Z585" s="535" t="n"/>
      <c r="AA585" s="535" t="n"/>
    </row>
    <row r="586" ht="15.75" customHeight="1">
      <c r="A586" s="20" t="n">
        <v>58</v>
      </c>
      <c r="B586" s="22" t="inlineStr">
        <is>
          <t>M140</t>
        </is>
      </c>
      <c r="C586" s="40" t="inlineStr">
        <is>
          <t>Right Door Close(RDCB2)</t>
        </is>
      </c>
      <c r="D586" s="29" t="inlineStr">
        <is>
          <t>boolean</t>
        </is>
      </c>
      <c r="E586" s="533" t="inlineStr">
        <is>
          <t>Cab</t>
        </is>
      </c>
      <c r="F586" s="533" t="n"/>
      <c r="G586" s="533" t="n"/>
      <c r="K586" s="20" t="n">
        <v>58</v>
      </c>
      <c r="L586" s="20" t="n"/>
      <c r="M586" s="20" t="inlineStr">
        <is>
          <t>Pre-Conditioning Time Start</t>
        </is>
      </c>
      <c r="N586" s="533" t="n"/>
      <c r="O586" s="533" t="inlineStr">
        <is>
          <t>Cab</t>
        </is>
      </c>
      <c r="P586" s="535" t="n"/>
      <c r="Q586" s="533" t="n">
        <v>19263</v>
      </c>
      <c r="R586" s="265">
        <f>Q586+1</f>
        <v/>
      </c>
      <c r="U586" s="20" t="n">
        <v>58</v>
      </c>
      <c r="V586" s="38" t="inlineStr">
        <is>
          <t>AI07</t>
        </is>
      </c>
      <c r="W586" s="43" t="inlineStr">
        <is>
          <t xml:space="preserve">Humidity Sensor </t>
        </is>
      </c>
      <c r="X586" s="29" t="n"/>
      <c r="Y586" s="533" t="inlineStr">
        <is>
          <t xml:space="preserve">HVAC Replica </t>
        </is>
      </c>
      <c r="Z586" s="535" t="n"/>
      <c r="AA586" s="535" t="n"/>
    </row>
    <row r="587" ht="15.75" customHeight="1">
      <c r="A587" s="20" t="n">
        <v>59</v>
      </c>
      <c r="B587" s="22" t="inlineStr">
        <is>
          <t>M141</t>
        </is>
      </c>
      <c r="C587" s="40" t="inlineStr">
        <is>
          <t>Right Door Open(RDOB2)</t>
        </is>
      </c>
      <c r="D587" s="29" t="inlineStr">
        <is>
          <t>boolean</t>
        </is>
      </c>
      <c r="E587" s="533" t="inlineStr">
        <is>
          <t>Cab</t>
        </is>
      </c>
      <c r="F587" s="533" t="n"/>
      <c r="G587" s="533" t="n"/>
      <c r="K587" s="20" t="n">
        <v>59</v>
      </c>
      <c r="L587" s="20" t="n"/>
      <c r="M587" s="20" t="inlineStr">
        <is>
          <t>Staggered Start HVAC</t>
        </is>
      </c>
      <c r="N587" s="533" t="n"/>
      <c r="O587" s="533" t="inlineStr">
        <is>
          <t>Cab</t>
        </is>
      </c>
      <c r="P587" s="535" t="n"/>
      <c r="Q587" s="533" t="n">
        <v>130037</v>
      </c>
      <c r="R587" s="265">
        <f>IF(AND(F727=1,F728=1,CP23=1),Q587+1,0)</f>
        <v/>
      </c>
      <c r="U587" s="20" t="n">
        <v>59</v>
      </c>
      <c r="V587" s="38" t="inlineStr">
        <is>
          <t>AI08</t>
        </is>
      </c>
      <c r="W587" s="43" t="inlineStr">
        <is>
          <t>Spare</t>
        </is>
      </c>
      <c r="X587" s="29" t="n"/>
      <c r="Y587" s="533" t="inlineStr">
        <is>
          <t xml:space="preserve">HVAC Replica </t>
        </is>
      </c>
      <c r="Z587" s="535" t="n"/>
      <c r="AA587" s="535" t="n"/>
    </row>
    <row r="588" ht="15.75" customHeight="1">
      <c r="A588" s="20" t="n">
        <v>60</v>
      </c>
      <c r="B588" s="26" t="inlineStr">
        <is>
          <t>M142</t>
        </is>
      </c>
      <c r="C588" s="41" t="inlineStr">
        <is>
          <t>Emergency Brake 2(EBB2)</t>
        </is>
      </c>
      <c r="D588" s="29" t="inlineStr">
        <is>
          <t>boolean</t>
        </is>
      </c>
      <c r="E588" s="533" t="inlineStr">
        <is>
          <t>Cab</t>
        </is>
      </c>
      <c r="F588" s="533" t="n"/>
      <c r="G588" s="533" t="n"/>
      <c r="K588" s="20" t="n">
        <v>60</v>
      </c>
      <c r="L588" s="20" t="n"/>
      <c r="M588" s="20" t="inlineStr">
        <is>
          <t>Dummy</t>
        </is>
      </c>
      <c r="N588" s="533" t="n"/>
      <c r="O588" s="533" t="inlineStr">
        <is>
          <t>Cab</t>
        </is>
      </c>
      <c r="P588" s="535" t="n"/>
      <c r="Q588" s="533" t="n">
        <v>5</v>
      </c>
      <c r="R588" s="265" t="n">
        <v>5</v>
      </c>
      <c r="U588" s="20" t="n">
        <v>60</v>
      </c>
      <c r="V588" s="26" t="n"/>
      <c r="W588" s="38" t="inlineStr">
        <is>
          <t>spare</t>
        </is>
      </c>
      <c r="X588" s="29" t="n"/>
      <c r="Y588" s="533" t="inlineStr">
        <is>
          <t xml:space="preserve">HVAC Replica </t>
        </is>
      </c>
      <c r="Z588" s="535" t="n"/>
      <c r="AA588" s="535" t="n"/>
    </row>
    <row r="589" ht="15.75" customHeight="1">
      <c r="A589" s="20" t="n">
        <v>61</v>
      </c>
      <c r="B589" s="26" t="inlineStr">
        <is>
          <t>M142</t>
        </is>
      </c>
      <c r="C589" s="41" t="inlineStr">
        <is>
          <t>Emergency Brake 2(EBB2)</t>
        </is>
      </c>
      <c r="D589" s="29" t="inlineStr">
        <is>
          <t>boolean</t>
        </is>
      </c>
      <c r="E589" s="533" t="inlineStr">
        <is>
          <t>Cab</t>
        </is>
      </c>
      <c r="F589" s="533" t="n"/>
      <c r="G589" s="533" t="n"/>
      <c r="K589" s="20" t="n">
        <v>61</v>
      </c>
      <c r="L589" s="20" t="n"/>
      <c r="M589" s="20" t="inlineStr">
        <is>
          <t>Dummy</t>
        </is>
      </c>
      <c r="N589" s="533" t="n"/>
      <c r="O589" s="533" t="inlineStr">
        <is>
          <t>Cab</t>
        </is>
      </c>
      <c r="P589" s="535" t="n"/>
      <c r="Q589" s="533" t="n">
        <v>6</v>
      </c>
      <c r="R589" s="265" t="n">
        <v>6</v>
      </c>
      <c r="U589" s="20" t="n">
        <v>61</v>
      </c>
      <c r="V589" s="26" t="n"/>
      <c r="W589" s="38" t="inlineStr">
        <is>
          <t>spare</t>
        </is>
      </c>
      <c r="X589" s="29" t="n"/>
      <c r="Y589" s="533" t="inlineStr">
        <is>
          <t xml:space="preserve">HVAC Replica </t>
        </is>
      </c>
      <c r="Z589" s="535" t="n"/>
      <c r="AA589" s="535" t="n"/>
    </row>
    <row r="590" ht="15.75" customHeight="1">
      <c r="A590" s="20" t="n">
        <v>62</v>
      </c>
      <c r="B590" s="22" t="inlineStr">
        <is>
          <t>M143</t>
        </is>
      </c>
      <c r="C590" s="40" t="inlineStr">
        <is>
          <t>Right Door Close 3 (RDCB3)</t>
        </is>
      </c>
      <c r="D590" s="29" t="inlineStr">
        <is>
          <t>boolean</t>
        </is>
      </c>
      <c r="E590" s="533" t="inlineStr">
        <is>
          <t>Cab</t>
        </is>
      </c>
      <c r="F590" s="533" t="n"/>
      <c r="G590" s="533" t="n"/>
      <c r="K590" s="20" t="n">
        <v>62</v>
      </c>
      <c r="L590" s="20" t="n"/>
      <c r="M590" s="20" t="inlineStr">
        <is>
          <t>Dummy</t>
        </is>
      </c>
      <c r="N590" s="533" t="n"/>
      <c r="O590" s="533" t="inlineStr">
        <is>
          <t>Cab</t>
        </is>
      </c>
      <c r="P590" s="535" t="n"/>
      <c r="Q590" s="533" t="n">
        <v>7</v>
      </c>
      <c r="R590" s="265" t="n">
        <v>7</v>
      </c>
      <c r="U590" s="20" t="n">
        <v>62</v>
      </c>
      <c r="V590" s="22" t="n"/>
      <c r="W590" s="38" t="inlineStr">
        <is>
          <t>spare</t>
        </is>
      </c>
      <c r="X590" s="29" t="n"/>
      <c r="Y590" s="533" t="inlineStr">
        <is>
          <t xml:space="preserve">HVAC Replica </t>
        </is>
      </c>
      <c r="Z590" s="535" t="n"/>
      <c r="AA590" s="535" t="n"/>
    </row>
    <row r="591" ht="15.75" customHeight="1">
      <c r="A591" s="20" t="n">
        <v>63</v>
      </c>
      <c r="B591" s="22" t="inlineStr">
        <is>
          <t>M144</t>
        </is>
      </c>
      <c r="C591" s="40" t="inlineStr">
        <is>
          <t>Right Door Enable (PBDER)</t>
        </is>
      </c>
      <c r="D591" s="29" t="inlineStr">
        <is>
          <t>boolean</t>
        </is>
      </c>
      <c r="E591" s="533" t="inlineStr">
        <is>
          <t>Cab</t>
        </is>
      </c>
      <c r="F591" s="533" t="n"/>
      <c r="G591" s="533" t="n"/>
      <c r="K591" s="20" t="n">
        <v>63</v>
      </c>
      <c r="L591" s="20" t="n"/>
      <c r="M591" s="20" t="inlineStr">
        <is>
          <t>Dummy</t>
        </is>
      </c>
      <c r="N591" s="533" t="n"/>
      <c r="O591" s="533" t="inlineStr">
        <is>
          <t>Cab</t>
        </is>
      </c>
      <c r="P591" s="535" t="n"/>
      <c r="Q591" s="533" t="n">
        <v>8</v>
      </c>
      <c r="R591" s="265" t="n">
        <v>8</v>
      </c>
      <c r="U591" s="20" t="n">
        <v>63</v>
      </c>
      <c r="V591" s="22" t="n"/>
      <c r="W591" s="38" t="inlineStr">
        <is>
          <t>spare</t>
        </is>
      </c>
      <c r="X591" s="29" t="n"/>
      <c r="Y591" s="533" t="inlineStr">
        <is>
          <t xml:space="preserve">HVAC Replica </t>
        </is>
      </c>
      <c r="Z591" s="535" t="n"/>
      <c r="AA591" s="535" t="n"/>
    </row>
    <row r="592" ht="15.75" customHeight="1">
      <c r="A592" s="20" t="n">
        <v>64</v>
      </c>
      <c r="B592" s="20" t="inlineStr">
        <is>
          <t>M145</t>
        </is>
      </c>
      <c r="C592" s="40" t="inlineStr">
        <is>
          <t>VCB close (VCBCB)</t>
        </is>
      </c>
      <c r="D592" s="29" t="inlineStr">
        <is>
          <t>boolean</t>
        </is>
      </c>
      <c r="E592" s="533" t="inlineStr">
        <is>
          <t>Cab</t>
        </is>
      </c>
      <c r="F592" s="533" t="n"/>
      <c r="G592" s="533" t="n"/>
      <c r="K592" s="20" t="n">
        <v>64</v>
      </c>
      <c r="L592" s="20" t="n"/>
      <c r="M592" s="20" t="inlineStr">
        <is>
          <t>Dummy</t>
        </is>
      </c>
      <c r="N592" s="533" t="n"/>
      <c r="O592" s="533" t="inlineStr">
        <is>
          <t>Cab</t>
        </is>
      </c>
      <c r="P592" s="535" t="n"/>
      <c r="Q592" s="533" t="n">
        <v>9</v>
      </c>
      <c r="R592" s="265" t="n">
        <v>9</v>
      </c>
      <c r="U592" s="20" t="n">
        <v>64</v>
      </c>
      <c r="V592" s="22" t="n"/>
      <c r="W592" s="38" t="inlineStr">
        <is>
          <t>spare</t>
        </is>
      </c>
      <c r="X592" s="29" t="n"/>
      <c r="Y592" s="533" t="inlineStr">
        <is>
          <t xml:space="preserve">HVAC Replica </t>
        </is>
      </c>
      <c r="Z592" s="535" t="n"/>
      <c r="AA592" s="535" t="n"/>
    </row>
    <row r="593" ht="15.75" customHeight="1">
      <c r="A593" s="20" t="n">
        <v>65</v>
      </c>
      <c r="B593" s="20" t="inlineStr">
        <is>
          <t>M146</t>
        </is>
      </c>
      <c r="C593" s="40" t="inlineStr">
        <is>
          <t>VCB Open (VCBOB)</t>
        </is>
      </c>
      <c r="D593" s="29" t="inlineStr">
        <is>
          <t>boolean</t>
        </is>
      </c>
      <c r="E593" s="533" t="inlineStr">
        <is>
          <t>Cab</t>
        </is>
      </c>
      <c r="F593" s="533" t="n"/>
      <c r="G593" s="533" t="n"/>
      <c r="K593" s="20" t="n">
        <v>65</v>
      </c>
      <c r="L593" s="20" t="n"/>
      <c r="M593" s="20" t="inlineStr">
        <is>
          <t>Dummy</t>
        </is>
      </c>
      <c r="N593" s="533" t="n"/>
      <c r="O593" s="533" t="inlineStr">
        <is>
          <t>Cab</t>
        </is>
      </c>
      <c r="P593" s="535" t="n"/>
      <c r="Q593" s="533" t="n">
        <v>10</v>
      </c>
      <c r="R593" s="265" t="n">
        <v>10</v>
      </c>
      <c r="U593" s="20" t="n">
        <v>65</v>
      </c>
      <c r="V593" s="22" t="n"/>
      <c r="W593" s="38" t="inlineStr">
        <is>
          <t>spare</t>
        </is>
      </c>
      <c r="X593" s="29" t="n"/>
      <c r="Y593" s="533" t="inlineStr">
        <is>
          <t xml:space="preserve">HVAC Replica </t>
        </is>
      </c>
      <c r="Z593" s="535" t="n"/>
      <c r="AA593" s="535" t="n"/>
    </row>
    <row r="594" ht="15.75" customHeight="1">
      <c r="A594" s="20" t="n">
        <v>66</v>
      </c>
      <c r="B594" s="20" t="inlineStr">
        <is>
          <t>M147</t>
        </is>
      </c>
      <c r="C594" s="40" t="inlineStr">
        <is>
          <t>VCB Rest (VCBRB)</t>
        </is>
      </c>
      <c r="D594" s="29" t="inlineStr">
        <is>
          <t>boolean</t>
        </is>
      </c>
      <c r="E594" s="533" t="inlineStr">
        <is>
          <t>Cab</t>
        </is>
      </c>
      <c r="F594" s="533" t="n"/>
      <c r="G594" s="533" t="n"/>
      <c r="K594" s="20" t="n">
        <v>66</v>
      </c>
      <c r="L594" s="20" t="n"/>
      <c r="M594" s="20" t="inlineStr">
        <is>
          <t>Dummy</t>
        </is>
      </c>
      <c r="N594" s="533" t="n"/>
      <c r="O594" s="533" t="inlineStr">
        <is>
          <t>Cab</t>
        </is>
      </c>
      <c r="P594" s="535" t="n"/>
      <c r="Q594" s="533" t="n"/>
      <c r="U594" s="20" t="n">
        <v>66</v>
      </c>
      <c r="V594" s="22" t="n"/>
      <c r="W594" s="38" t="inlineStr">
        <is>
          <t>spare</t>
        </is>
      </c>
      <c r="X594" s="29" t="n"/>
      <c r="Y594" s="533" t="inlineStr">
        <is>
          <t xml:space="preserve">HVAC Replica </t>
        </is>
      </c>
      <c r="Z594" s="535" t="n"/>
      <c r="AA594" s="535" t="n"/>
    </row>
    <row r="595" ht="15.75" customHeight="1">
      <c r="A595" s="20" t="n">
        <v>67</v>
      </c>
      <c r="B595" s="20" t="inlineStr">
        <is>
          <t>M148</t>
        </is>
      </c>
      <c r="C595" s="40" t="inlineStr">
        <is>
          <t>Battery close (BATCB)</t>
        </is>
      </c>
      <c r="D595" s="29" t="inlineStr">
        <is>
          <t>boolean</t>
        </is>
      </c>
      <c r="E595" s="533" t="inlineStr">
        <is>
          <t>Cab</t>
        </is>
      </c>
      <c r="F595" s="533" t="n">
        <v>1</v>
      </c>
      <c r="G595" s="533" t="n"/>
      <c r="K595" s="20" t="n">
        <v>67</v>
      </c>
      <c r="L595" s="20" t="n"/>
      <c r="M595" s="20" t="inlineStr">
        <is>
          <t>Dummy</t>
        </is>
      </c>
      <c r="N595" s="533" t="n"/>
      <c r="O595" s="533" t="inlineStr">
        <is>
          <t>Cab</t>
        </is>
      </c>
      <c r="P595" s="535" t="n"/>
      <c r="Q595" s="533" t="n"/>
      <c r="U595" s="20" t="n">
        <v>67</v>
      </c>
      <c r="V595" s="22" t="n"/>
      <c r="W595" s="38" t="inlineStr">
        <is>
          <t>spare</t>
        </is>
      </c>
      <c r="X595" s="29" t="n"/>
      <c r="Y595" s="533" t="inlineStr">
        <is>
          <t xml:space="preserve">HVAC Replica </t>
        </is>
      </c>
      <c r="Z595" s="535" t="n"/>
      <c r="AA595" s="535" t="n"/>
    </row>
    <row r="596" ht="15.75" customHeight="1">
      <c r="A596" s="20" t="n">
        <v>68</v>
      </c>
      <c r="B596" s="20" t="inlineStr">
        <is>
          <t>M149</t>
        </is>
      </c>
      <c r="C596" s="40" t="inlineStr">
        <is>
          <t>Battery Open (BATOB)</t>
        </is>
      </c>
      <c r="D596" s="29" t="inlineStr">
        <is>
          <t>boolean</t>
        </is>
      </c>
      <c r="E596" s="533" t="inlineStr">
        <is>
          <t>Cab</t>
        </is>
      </c>
      <c r="F596" s="533" t="n"/>
      <c r="G596" s="533" t="n"/>
      <c r="K596" s="20" t="n">
        <v>68</v>
      </c>
      <c r="L596" s="20" t="n"/>
      <c r="M596" s="20" t="inlineStr">
        <is>
          <t>Dummy</t>
        </is>
      </c>
      <c r="N596" s="533" t="n"/>
      <c r="O596" s="533" t="inlineStr">
        <is>
          <t>Cab</t>
        </is>
      </c>
      <c r="P596" s="535" t="n"/>
      <c r="Q596" s="533" t="n"/>
      <c r="U596" s="20" t="n">
        <v>68</v>
      </c>
      <c r="V596" s="22" t="n"/>
      <c r="W596" s="38" t="inlineStr">
        <is>
          <t>spare</t>
        </is>
      </c>
      <c r="X596" s="29" t="n"/>
      <c r="Y596" s="533" t="inlineStr">
        <is>
          <t xml:space="preserve">HVAC Replica </t>
        </is>
      </c>
      <c r="Z596" s="535" t="n"/>
      <c r="AA596" s="535" t="n"/>
    </row>
    <row r="597" ht="15" customHeight="1">
      <c r="A597" s="20" t="n">
        <v>69</v>
      </c>
      <c r="B597" s="20" t="inlineStr">
        <is>
          <t>M150</t>
        </is>
      </c>
      <c r="C597" s="41" t="inlineStr">
        <is>
          <t>Pantograph Selection (PSS)</t>
        </is>
      </c>
      <c r="D597" s="29" t="inlineStr">
        <is>
          <t>boolean</t>
        </is>
      </c>
      <c r="E597" s="533" t="inlineStr">
        <is>
          <t>Cab</t>
        </is>
      </c>
      <c r="F597" s="533" t="n"/>
      <c r="G597" s="533" t="n"/>
      <c r="K597" s="20" t="n">
        <v>69</v>
      </c>
      <c r="L597" s="20" t="n"/>
      <c r="M597" s="20" t="inlineStr">
        <is>
          <t>Dummy</t>
        </is>
      </c>
      <c r="N597" s="533" t="n"/>
      <c r="O597" s="533" t="inlineStr">
        <is>
          <t>Cab</t>
        </is>
      </c>
      <c r="P597" s="535" t="n"/>
      <c r="Q597" s="533" t="n"/>
      <c r="U597" s="20" t="n">
        <v>69</v>
      </c>
      <c r="V597" s="22" t="n"/>
      <c r="W597" s="38" t="inlineStr">
        <is>
          <t>spare</t>
        </is>
      </c>
      <c r="X597" s="29" t="n"/>
      <c r="Y597" s="533" t="inlineStr">
        <is>
          <t xml:space="preserve">HVAC Replica </t>
        </is>
      </c>
      <c r="Z597" s="535" t="n"/>
      <c r="AA597" s="535" t="n"/>
    </row>
    <row r="598" ht="15" customHeight="1">
      <c r="A598" s="20" t="n">
        <v>70</v>
      </c>
      <c r="B598" s="800" t="n"/>
      <c r="C598" s="41" t="inlineStr">
        <is>
          <t>Pantograph Selection (PSS)</t>
        </is>
      </c>
      <c r="D598" s="29" t="inlineStr">
        <is>
          <t>boolean</t>
        </is>
      </c>
      <c r="E598" s="533" t="inlineStr">
        <is>
          <t>Cab</t>
        </is>
      </c>
      <c r="F598" s="533" t="n"/>
      <c r="G598" s="533" t="n"/>
      <c r="K598" s="20" t="n">
        <v>70</v>
      </c>
      <c r="L598" s="20" t="n"/>
      <c r="M598" s="20" t="inlineStr">
        <is>
          <t>Dummy</t>
        </is>
      </c>
      <c r="N598" s="533" t="n"/>
      <c r="O598" s="533" t="inlineStr">
        <is>
          <t>Cab</t>
        </is>
      </c>
      <c r="P598" s="535" t="n"/>
      <c r="Q598" s="533" t="n"/>
      <c r="U598" s="20" t="n">
        <v>70</v>
      </c>
      <c r="V598" s="22" t="n"/>
      <c r="W598" s="38" t="inlineStr">
        <is>
          <t>spare</t>
        </is>
      </c>
      <c r="X598" s="29" t="n"/>
      <c r="Y598" s="533" t="n"/>
      <c r="Z598" s="535" t="n"/>
      <c r="AA598" s="535" t="n"/>
    </row>
    <row r="599" ht="15" customHeight="1">
      <c r="A599" s="20" t="n">
        <v>71</v>
      </c>
      <c r="B599" s="168" t="n"/>
      <c r="C599" s="41" t="inlineStr">
        <is>
          <t>Pantograph Selection (PSS)</t>
        </is>
      </c>
      <c r="D599" s="29" t="inlineStr">
        <is>
          <t>boolean</t>
        </is>
      </c>
      <c r="E599" s="533" t="inlineStr">
        <is>
          <t>Cab</t>
        </is>
      </c>
      <c r="F599" s="533" t="n"/>
      <c r="G599" s="533" t="n"/>
      <c r="K599" s="20" t="n">
        <v>71</v>
      </c>
      <c r="L599" s="20" t="n"/>
      <c r="M599" s="20" t="inlineStr">
        <is>
          <t>Dummy</t>
        </is>
      </c>
      <c r="N599" s="533" t="n"/>
      <c r="O599" s="533" t="inlineStr">
        <is>
          <t>Cab</t>
        </is>
      </c>
      <c r="P599" s="535" t="n"/>
      <c r="Q599" s="533" t="n"/>
      <c r="U599" s="20" t="n">
        <v>71</v>
      </c>
      <c r="V599" s="22" t="n"/>
      <c r="W599" s="38" t="inlineStr">
        <is>
          <t>spare</t>
        </is>
      </c>
      <c r="X599" s="29" t="n"/>
      <c r="Y599" s="533" t="n"/>
      <c r="Z599" s="535" t="n"/>
      <c r="AA599" s="535" t="n"/>
    </row>
    <row r="600" ht="15.75" customHeight="1">
      <c r="A600" s="20" t="n">
        <v>72</v>
      </c>
      <c r="B600" s="20" t="inlineStr">
        <is>
          <t>M151</t>
        </is>
      </c>
      <c r="C600" s="40" t="inlineStr">
        <is>
          <t>Pantograph Down (PDB)</t>
        </is>
      </c>
      <c r="D600" s="29" t="inlineStr">
        <is>
          <t>boolean</t>
        </is>
      </c>
      <c r="E600" s="533" t="inlineStr">
        <is>
          <t>Cab</t>
        </is>
      </c>
      <c r="F600" s="533" t="n"/>
      <c r="G600" s="533" t="n"/>
      <c r="K600" s="20" t="n">
        <v>72</v>
      </c>
      <c r="L600" s="20" t="n"/>
      <c r="M600" s="20" t="inlineStr">
        <is>
          <t>Dummy</t>
        </is>
      </c>
      <c r="N600" s="533" t="n"/>
      <c r="O600" s="533" t="inlineStr">
        <is>
          <t>Cab</t>
        </is>
      </c>
      <c r="P600" s="535" t="n"/>
      <c r="Q600" s="533" t="n"/>
      <c r="U600" s="20" t="n">
        <v>72</v>
      </c>
      <c r="V600" s="22" t="n"/>
      <c r="W600" s="38" t="inlineStr">
        <is>
          <t>spare</t>
        </is>
      </c>
      <c r="X600" s="29" t="n"/>
      <c r="Y600" s="533" t="n"/>
      <c r="Z600" s="535" t="n"/>
      <c r="AA600" s="535" t="n"/>
    </row>
    <row r="601" ht="15.75" customHeight="1">
      <c r="A601" s="20" t="n">
        <v>73</v>
      </c>
      <c r="B601" s="20" t="inlineStr">
        <is>
          <t>M152</t>
        </is>
      </c>
      <c r="C601" s="40" t="inlineStr">
        <is>
          <t>Pantograph Up (PUB)</t>
        </is>
      </c>
      <c r="D601" s="29" t="inlineStr">
        <is>
          <t>boolean</t>
        </is>
      </c>
      <c r="E601" s="533" t="inlineStr">
        <is>
          <t>Cab</t>
        </is>
      </c>
      <c r="F601" s="533" t="n"/>
      <c r="G601" s="533" t="n"/>
      <c r="K601" s="20" t="n">
        <v>73</v>
      </c>
      <c r="L601" s="20" t="n"/>
      <c r="M601" s="20" t="inlineStr">
        <is>
          <t>Dummy</t>
        </is>
      </c>
      <c r="N601" s="533" t="n"/>
      <c r="O601" s="533" t="inlineStr">
        <is>
          <t>Cab</t>
        </is>
      </c>
      <c r="P601" s="535" t="n"/>
      <c r="Q601" s="533" t="n"/>
      <c r="U601" s="20" t="n">
        <v>73</v>
      </c>
      <c r="V601" s="22" t="n"/>
      <c r="W601" s="38" t="inlineStr">
        <is>
          <t>spare</t>
        </is>
      </c>
      <c r="X601" s="29" t="n"/>
      <c r="Y601" s="533" t="n"/>
      <c r="Z601" s="535" t="n"/>
      <c r="AA601" s="535" t="n"/>
    </row>
    <row r="602" ht="15.75" customHeight="1">
      <c r="A602" s="20" t="n">
        <v>74</v>
      </c>
      <c r="B602" s="20" t="inlineStr">
        <is>
          <t>M153</t>
        </is>
      </c>
      <c r="C602" s="41" t="inlineStr">
        <is>
          <t>Compressor Mode(COMS)</t>
        </is>
      </c>
      <c r="D602" s="29" t="inlineStr">
        <is>
          <t>boolean</t>
        </is>
      </c>
      <c r="E602" s="533" t="inlineStr">
        <is>
          <t>Cab</t>
        </is>
      </c>
      <c r="F602" s="533" t="n"/>
      <c r="G602" s="533" t="n"/>
      <c r="K602" s="20" t="n">
        <v>74</v>
      </c>
      <c r="L602" s="20" t="n"/>
      <c r="M602" s="20" t="inlineStr">
        <is>
          <t>Dummy</t>
        </is>
      </c>
      <c r="N602" s="533" t="n"/>
      <c r="O602" s="533" t="inlineStr">
        <is>
          <t>Cab</t>
        </is>
      </c>
      <c r="P602" s="535" t="n"/>
      <c r="Q602" s="533" t="n"/>
      <c r="U602" s="20" t="n">
        <v>74</v>
      </c>
      <c r="V602" s="22" t="n"/>
      <c r="W602" s="38" t="inlineStr">
        <is>
          <t>spare</t>
        </is>
      </c>
      <c r="X602" s="29" t="n"/>
      <c r="Y602" s="533" t="n"/>
      <c r="Z602" s="535" t="n"/>
      <c r="AA602" s="535" t="n"/>
    </row>
    <row r="603" ht="15.75" customHeight="1">
      <c r="A603" s="20" t="n">
        <v>75</v>
      </c>
      <c r="B603" s="168" t="n"/>
      <c r="C603" s="41" t="inlineStr">
        <is>
          <t>Compressor Mode(COMS)</t>
        </is>
      </c>
      <c r="D603" s="29" t="inlineStr">
        <is>
          <t>boolean</t>
        </is>
      </c>
      <c r="E603" s="533" t="inlineStr">
        <is>
          <t>Cab</t>
        </is>
      </c>
      <c r="F603" s="533" t="n"/>
      <c r="G603" s="533" t="n"/>
      <c r="K603" s="20" t="n">
        <v>75</v>
      </c>
      <c r="L603" s="20" t="n"/>
      <c r="M603" s="20" t="inlineStr">
        <is>
          <t>Dummy</t>
        </is>
      </c>
      <c r="N603" s="533" t="n"/>
      <c r="O603" s="533" t="inlineStr">
        <is>
          <t>Cab</t>
        </is>
      </c>
      <c r="P603" s="535" t="n"/>
      <c r="Q603" s="533" t="n"/>
      <c r="U603" s="20" t="n">
        <v>75</v>
      </c>
      <c r="V603" s="22" t="n"/>
      <c r="W603" s="38" t="inlineStr">
        <is>
          <t>spare</t>
        </is>
      </c>
      <c r="X603" s="29" t="n"/>
      <c r="Y603" s="533" t="n"/>
      <c r="Z603" s="535" t="n"/>
      <c r="AA603" s="535" t="n"/>
    </row>
    <row r="604" ht="15.75" customHeight="1">
      <c r="A604" s="20" t="n">
        <v>76</v>
      </c>
      <c r="B604" s="20" t="inlineStr">
        <is>
          <t>M154</t>
        </is>
      </c>
      <c r="C604" s="40" t="inlineStr">
        <is>
          <t>HVAC Reset (SRRB)</t>
        </is>
      </c>
      <c r="D604" s="29" t="inlineStr">
        <is>
          <t>boolean</t>
        </is>
      </c>
      <c r="E604" s="533" t="inlineStr">
        <is>
          <t>Cab</t>
        </is>
      </c>
      <c r="F604" s="533" t="n"/>
      <c r="G604" s="533" t="n"/>
      <c r="K604" s="20" t="n">
        <v>76</v>
      </c>
      <c r="L604" s="20" t="n"/>
      <c r="M604" s="20" t="inlineStr">
        <is>
          <t>Dummy</t>
        </is>
      </c>
      <c r="N604" s="533" t="n"/>
      <c r="O604" s="533" t="inlineStr">
        <is>
          <t>Cab</t>
        </is>
      </c>
      <c r="P604" s="535" t="n"/>
      <c r="Q604" s="533" t="n"/>
      <c r="U604" s="20" t="n">
        <v>76</v>
      </c>
      <c r="V604" s="22" t="n"/>
      <c r="W604" s="38" t="inlineStr">
        <is>
          <t>spare</t>
        </is>
      </c>
      <c r="X604" s="29" t="n"/>
      <c r="Y604" s="533" t="n"/>
      <c r="Z604" s="535" t="n"/>
      <c r="AA604" s="535" t="n"/>
    </row>
    <row r="605" ht="15.75" customHeight="1">
      <c r="A605" s="20" t="n">
        <v>77</v>
      </c>
      <c r="B605" s="20" t="inlineStr">
        <is>
          <t>M155</t>
        </is>
      </c>
      <c r="C605" s="41" t="inlineStr">
        <is>
          <t xml:space="preserve">Right Doors Auto - Manual Mode Selection (DOMSR) </t>
        </is>
      </c>
      <c r="D605" s="29" t="inlineStr">
        <is>
          <t>boolean</t>
        </is>
      </c>
      <c r="E605" s="533" t="inlineStr">
        <is>
          <t>Cab</t>
        </is>
      </c>
      <c r="F605" s="533" t="n"/>
      <c r="G605" s="533" t="n"/>
      <c r="K605" s="20" t="n">
        <v>77</v>
      </c>
      <c r="L605" s="20" t="n"/>
      <c r="M605" s="20" t="inlineStr">
        <is>
          <t>Dummy</t>
        </is>
      </c>
      <c r="N605" s="533" t="n"/>
      <c r="O605" s="533" t="inlineStr">
        <is>
          <t>Cab</t>
        </is>
      </c>
      <c r="P605" s="535" t="n"/>
      <c r="Q605" s="533" t="n"/>
      <c r="U605" s="20" t="n">
        <v>77</v>
      </c>
      <c r="V605" s="22" t="n"/>
      <c r="W605" s="38" t="inlineStr">
        <is>
          <t>spare</t>
        </is>
      </c>
      <c r="X605" s="29" t="n"/>
      <c r="Y605" s="533" t="n"/>
      <c r="Z605" s="535" t="n"/>
      <c r="AA605" s="535" t="n"/>
    </row>
    <row r="606" ht="15.75" customHeight="1">
      <c r="A606" s="20" t="n">
        <v>78</v>
      </c>
      <c r="B606" s="168" t="n"/>
      <c r="C606" s="41" t="inlineStr">
        <is>
          <t xml:space="preserve">Right Doors Auto - Manual Mode Selection (DOMSR) </t>
        </is>
      </c>
      <c r="D606" s="29" t="inlineStr">
        <is>
          <t>boolean</t>
        </is>
      </c>
      <c r="E606" s="533" t="inlineStr">
        <is>
          <t>Cab</t>
        </is>
      </c>
      <c r="F606" s="533" t="n"/>
      <c r="G606" s="533" t="n"/>
      <c r="K606" s="20" t="n">
        <v>78</v>
      </c>
      <c r="L606" s="20" t="n"/>
      <c r="M606" s="20" t="inlineStr">
        <is>
          <t>Dummy</t>
        </is>
      </c>
      <c r="N606" s="533" t="n"/>
      <c r="O606" s="533" t="inlineStr">
        <is>
          <t>Cab</t>
        </is>
      </c>
      <c r="P606" s="535" t="n"/>
      <c r="Q606" s="533" t="n"/>
    </row>
    <row r="607" ht="15.75" customHeight="1">
      <c r="A607" s="20" t="n">
        <v>79</v>
      </c>
      <c r="B607" s="20" t="inlineStr">
        <is>
          <t>M156</t>
        </is>
      </c>
      <c r="C607" s="41" t="inlineStr">
        <is>
          <t xml:space="preserve">Left Doors Auto - Manual Mode Selection (DOMSL) </t>
        </is>
      </c>
      <c r="D607" s="29" t="inlineStr">
        <is>
          <t>boolean</t>
        </is>
      </c>
      <c r="E607" s="533" t="inlineStr">
        <is>
          <t>Cab</t>
        </is>
      </c>
      <c r="F607" s="533" t="n"/>
      <c r="G607" s="533" t="n"/>
      <c r="K607" s="20" t="n">
        <v>79</v>
      </c>
      <c r="L607" s="20" t="n"/>
      <c r="M607" s="20" t="inlineStr">
        <is>
          <t>Dummy</t>
        </is>
      </c>
      <c r="N607" s="533" t="n"/>
      <c r="O607" s="533" t="inlineStr">
        <is>
          <t>Cab</t>
        </is>
      </c>
      <c r="P607" s="535" t="n"/>
      <c r="Q607" s="533" t="n"/>
    </row>
    <row r="608" ht="15.75" customHeight="1">
      <c r="A608" s="20" t="n">
        <v>80</v>
      </c>
      <c r="B608" s="168" t="n"/>
      <c r="C608" s="41" t="inlineStr">
        <is>
          <t xml:space="preserve">Left Doors Auto - Manual Mode Selection (DOMSL) </t>
        </is>
      </c>
      <c r="D608" s="29" t="inlineStr">
        <is>
          <t>boolean</t>
        </is>
      </c>
      <c r="E608" s="533" t="inlineStr">
        <is>
          <t>Cab</t>
        </is>
      </c>
      <c r="F608" s="533" t="n"/>
      <c r="G608" s="533" t="n"/>
      <c r="K608" s="20" t="n">
        <v>80</v>
      </c>
      <c r="L608" s="20" t="n"/>
      <c r="M608" s="20" t="inlineStr">
        <is>
          <t>Dummy</t>
        </is>
      </c>
      <c r="N608" s="533" t="n"/>
      <c r="O608" s="533" t="inlineStr">
        <is>
          <t>Cab</t>
        </is>
      </c>
      <c r="P608" s="535" t="n"/>
      <c r="Q608" s="533" t="n"/>
    </row>
    <row r="609" ht="15.75" customHeight="1">
      <c r="A609" s="20" t="n">
        <v>81</v>
      </c>
      <c r="B609" s="20" t="inlineStr">
        <is>
          <t>M157</t>
        </is>
      </c>
      <c r="C609" s="40" t="inlineStr">
        <is>
          <t>Door Open Traction Block Bypass (DOBB)</t>
        </is>
      </c>
      <c r="D609" s="29" t="inlineStr">
        <is>
          <t>boolean</t>
        </is>
      </c>
      <c r="E609" s="533" t="inlineStr">
        <is>
          <t>Cab</t>
        </is>
      </c>
      <c r="F609" s="533" t="n"/>
      <c r="G609" s="533" t="n"/>
      <c r="K609" s="20" t="n">
        <v>81</v>
      </c>
      <c r="L609" s="20" t="n"/>
      <c r="M609" s="20" t="inlineStr">
        <is>
          <t>Dummy</t>
        </is>
      </c>
      <c r="N609" s="533" t="n"/>
      <c r="O609" s="533" t="inlineStr">
        <is>
          <t>Cab</t>
        </is>
      </c>
      <c r="P609" s="535" t="n"/>
      <c r="Q609" s="533" t="n"/>
    </row>
    <row r="610" ht="15.75" customHeight="1">
      <c r="A610" s="20" t="n">
        <v>82</v>
      </c>
      <c r="B610" s="20" t="inlineStr">
        <is>
          <t>M158</t>
        </is>
      </c>
      <c r="C610" s="41" t="inlineStr">
        <is>
          <t>Saloon Light (SLS)</t>
        </is>
      </c>
      <c r="D610" s="29" t="inlineStr">
        <is>
          <t>boolean</t>
        </is>
      </c>
      <c r="E610" s="533" t="inlineStr">
        <is>
          <t>Cab</t>
        </is>
      </c>
      <c r="F610" s="533" t="n"/>
      <c r="G610" s="533" t="n"/>
      <c r="K610" s="20" t="n">
        <v>82</v>
      </c>
      <c r="L610" s="20" t="n"/>
      <c r="M610" s="20" t="inlineStr">
        <is>
          <t>Dummy</t>
        </is>
      </c>
      <c r="N610" s="335" t="n"/>
      <c r="O610" s="533" t="inlineStr">
        <is>
          <t>Cab</t>
        </is>
      </c>
      <c r="P610" s="535" t="n"/>
      <c r="Q610" s="533" t="n"/>
    </row>
    <row r="611" ht="21.75" customHeight="1">
      <c r="A611" s="20" t="n">
        <v>83</v>
      </c>
      <c r="B611" s="168" t="n"/>
      <c r="C611" s="41" t="inlineStr">
        <is>
          <t>Saloon Light (SLS)</t>
        </is>
      </c>
      <c r="D611" s="29" t="inlineStr">
        <is>
          <t>boolean</t>
        </is>
      </c>
      <c r="E611" s="533" t="inlineStr">
        <is>
          <t>Cab</t>
        </is>
      </c>
      <c r="F611" s="533" t="n"/>
      <c r="G611" s="533" t="n"/>
      <c r="K611" s="20" t="n">
        <v>83</v>
      </c>
      <c r="L611" s="20" t="n"/>
      <c r="M611" s="20" t="inlineStr">
        <is>
          <t>Dummy</t>
        </is>
      </c>
      <c r="N611" s="533" t="n"/>
      <c r="O611" s="533" t="inlineStr">
        <is>
          <t>Cab</t>
        </is>
      </c>
      <c r="P611" s="535" t="n"/>
      <c r="Q611" s="533" t="n"/>
    </row>
    <row r="612" ht="21.75" customHeight="1">
      <c r="A612" s="20" t="n">
        <v>84</v>
      </c>
      <c r="B612" s="20" t="inlineStr">
        <is>
          <t>M159</t>
        </is>
      </c>
      <c r="C612" s="41" t="inlineStr">
        <is>
          <t>Cab Light (CLB)</t>
        </is>
      </c>
      <c r="D612" s="29" t="inlineStr">
        <is>
          <t>boolean</t>
        </is>
      </c>
      <c r="E612" s="533" t="inlineStr">
        <is>
          <t>Cab</t>
        </is>
      </c>
      <c r="F612" s="533" t="n"/>
      <c r="G612" s="533" t="n"/>
      <c r="K612" s="20" t="n">
        <v>84</v>
      </c>
      <c r="L612" s="20" t="n"/>
      <c r="M612" s="20" t="inlineStr">
        <is>
          <t>Dummy</t>
        </is>
      </c>
      <c r="N612" s="533" t="n"/>
      <c r="O612" s="533" t="inlineStr">
        <is>
          <t>Cab</t>
        </is>
      </c>
      <c r="P612" s="535" t="n"/>
      <c r="Q612" s="533" t="n"/>
    </row>
    <row r="613" ht="21.75" customHeight="1">
      <c r="A613" s="20" t="n">
        <v>85</v>
      </c>
      <c r="B613" s="168" t="n"/>
      <c r="C613" s="41" t="inlineStr">
        <is>
          <t>Cab Light (CLB)</t>
        </is>
      </c>
      <c r="D613" s="29" t="inlineStr">
        <is>
          <t>boolean</t>
        </is>
      </c>
      <c r="E613" s="533" t="inlineStr">
        <is>
          <t>Cab</t>
        </is>
      </c>
      <c r="F613" s="533" t="n"/>
      <c r="G613" s="533" t="n"/>
      <c r="K613" s="20" t="n">
        <v>85</v>
      </c>
      <c r="L613" s="20" t="n"/>
      <c r="M613" s="20" t="inlineStr">
        <is>
          <t>Dummy</t>
        </is>
      </c>
      <c r="N613" s="533" t="n"/>
      <c r="O613" s="533" t="inlineStr">
        <is>
          <t>Cab</t>
        </is>
      </c>
      <c r="P613" s="535" t="n"/>
      <c r="Q613" s="533" t="n"/>
    </row>
    <row r="614" ht="21.75" customHeight="1">
      <c r="A614" s="20" t="n">
        <v>86</v>
      </c>
      <c r="B614" s="20" t="inlineStr">
        <is>
          <t>M160</t>
        </is>
      </c>
      <c r="C614" s="40" t="inlineStr">
        <is>
          <t>Parking Brake Release (PBRB)</t>
        </is>
      </c>
      <c r="D614" s="29" t="inlineStr">
        <is>
          <t>boolean</t>
        </is>
      </c>
      <c r="E614" s="533" t="inlineStr">
        <is>
          <t>Cab</t>
        </is>
      </c>
      <c r="F614" s="533" t="n"/>
      <c r="G614" s="533" t="n"/>
      <c r="K614" s="20" t="n">
        <v>86</v>
      </c>
      <c r="L614" s="20" t="n"/>
      <c r="M614" s="20" t="inlineStr">
        <is>
          <t>Dummy</t>
        </is>
      </c>
      <c r="N614" s="533" t="n"/>
      <c r="O614" s="533" t="inlineStr">
        <is>
          <t>Cab</t>
        </is>
      </c>
      <c r="P614" s="535" t="n"/>
      <c r="Q614" s="533" t="n"/>
    </row>
    <row r="615" ht="21.75" customHeight="1">
      <c r="A615" s="20" t="n">
        <v>87</v>
      </c>
      <c r="B615" s="20" t="inlineStr">
        <is>
          <t>M161</t>
        </is>
      </c>
      <c r="C615" s="40" t="inlineStr">
        <is>
          <t>Parking Brake Applied (PBAB)</t>
        </is>
      </c>
      <c r="D615" s="29" t="inlineStr">
        <is>
          <t>boolean</t>
        </is>
      </c>
      <c r="E615" s="533" t="inlineStr">
        <is>
          <t>Cab</t>
        </is>
      </c>
      <c r="F615" s="533" t="n"/>
      <c r="G615" s="533" t="n"/>
      <c r="K615" s="20" t="n">
        <v>87</v>
      </c>
      <c r="L615" s="20" t="n"/>
      <c r="M615" s="20" t="inlineStr">
        <is>
          <t>Dummy</t>
        </is>
      </c>
      <c r="N615" s="533" t="n"/>
      <c r="O615" s="533" t="inlineStr">
        <is>
          <t>Cab</t>
        </is>
      </c>
      <c r="P615" s="535" t="n"/>
      <c r="Q615" s="533" t="n"/>
    </row>
    <row r="616" ht="21.75" customHeight="1">
      <c r="A616" s="20" t="n">
        <v>88</v>
      </c>
      <c r="B616" s="20" t="inlineStr">
        <is>
          <t>M162</t>
        </is>
      </c>
      <c r="C616" s="40" t="inlineStr">
        <is>
          <t>Parking Brake Applied Traction Block Bypass (PBABB)</t>
        </is>
      </c>
      <c r="D616" s="29" t="inlineStr">
        <is>
          <t>boolean</t>
        </is>
      </c>
      <c r="E616" s="533" t="inlineStr">
        <is>
          <t>Cab</t>
        </is>
      </c>
      <c r="F616" s="533" t="n"/>
      <c r="G616" s="533" t="n"/>
      <c r="K616" s="20" t="n">
        <v>88</v>
      </c>
      <c r="L616" s="20" t="n"/>
      <c r="M616" s="20" t="inlineStr">
        <is>
          <t>Dummy</t>
        </is>
      </c>
      <c r="N616" s="533" t="n"/>
      <c r="O616" s="533" t="inlineStr">
        <is>
          <t>Cab</t>
        </is>
      </c>
      <c r="P616" s="535" t="n"/>
      <c r="Q616" s="533" t="n"/>
    </row>
    <row r="617" ht="21.75" customHeight="1">
      <c r="A617" s="20" t="n">
        <v>89</v>
      </c>
      <c r="B617" s="20" t="inlineStr">
        <is>
          <t>M163</t>
        </is>
      </c>
      <c r="C617" s="41" t="inlineStr">
        <is>
          <t>CAB Heating &amp; Ventilation (CACS)</t>
        </is>
      </c>
      <c r="D617" s="29" t="inlineStr">
        <is>
          <t>boolean</t>
        </is>
      </c>
      <c r="E617" s="533" t="inlineStr">
        <is>
          <t>Cab</t>
        </is>
      </c>
      <c r="F617" s="533" t="n"/>
      <c r="G617" s="533" t="n"/>
      <c r="K617" s="20" t="n">
        <v>89</v>
      </c>
      <c r="L617" s="20" t="n"/>
      <c r="M617" s="20" t="inlineStr">
        <is>
          <t>Dummy</t>
        </is>
      </c>
      <c r="N617" s="533" t="n"/>
      <c r="O617" s="533" t="inlineStr">
        <is>
          <t>Cab</t>
        </is>
      </c>
      <c r="P617" s="535" t="n"/>
      <c r="Q617" s="533" t="n"/>
    </row>
    <row r="618" ht="21.75" customHeight="1">
      <c r="A618" s="20" t="n">
        <v>90</v>
      </c>
      <c r="B618" s="168" t="n"/>
      <c r="C618" s="41" t="inlineStr">
        <is>
          <t>CAB Heating &amp; Ventilation (CACS)</t>
        </is>
      </c>
      <c r="D618" s="29" t="inlineStr">
        <is>
          <t>boolean</t>
        </is>
      </c>
      <c r="E618" s="533" t="inlineStr">
        <is>
          <t>Cab</t>
        </is>
      </c>
      <c r="F618" s="533" t="n"/>
      <c r="G618" s="533" t="n"/>
      <c r="K618" s="20" t="n">
        <v>90</v>
      </c>
      <c r="L618" s="20" t="n"/>
      <c r="M618" s="20" t="inlineStr">
        <is>
          <t>Dummy</t>
        </is>
      </c>
      <c r="N618" s="533" t="n"/>
      <c r="O618" s="533" t="inlineStr">
        <is>
          <t>Cab</t>
        </is>
      </c>
      <c r="P618" s="535" t="n"/>
      <c r="Q618" s="533" t="n"/>
    </row>
    <row r="619" ht="21.75" customHeight="1">
      <c r="A619" s="20" t="n">
        <v>91</v>
      </c>
      <c r="B619" s="20" t="inlineStr">
        <is>
          <t>M164</t>
        </is>
      </c>
      <c r="C619" s="40" t="inlineStr">
        <is>
          <t>Train Decoupling (TDB)</t>
        </is>
      </c>
      <c r="D619" s="29" t="inlineStr">
        <is>
          <t>boolean</t>
        </is>
      </c>
      <c r="E619" s="533" t="inlineStr">
        <is>
          <t>Cab</t>
        </is>
      </c>
      <c r="F619" s="533" t="n"/>
      <c r="G619" s="533" t="n"/>
      <c r="K619" s="20" t="n">
        <v>91</v>
      </c>
      <c r="L619" s="20" t="n"/>
      <c r="M619" s="20" t="inlineStr">
        <is>
          <t>Dummy</t>
        </is>
      </c>
      <c r="N619" s="533" t="n"/>
      <c r="O619" s="533" t="inlineStr">
        <is>
          <t>Cab</t>
        </is>
      </c>
      <c r="P619" s="535" t="n"/>
      <c r="Q619" s="533" t="n"/>
    </row>
    <row r="620" ht="21.75" customHeight="1">
      <c r="A620" s="20" t="n">
        <v>92</v>
      </c>
      <c r="B620" s="20" t="inlineStr">
        <is>
          <t>M165</t>
        </is>
      </c>
      <c r="C620" s="41" t="inlineStr">
        <is>
          <t>Emergency Brake Loop Selection (EBLS)</t>
        </is>
      </c>
      <c r="D620" s="29" t="inlineStr">
        <is>
          <t>boolean</t>
        </is>
      </c>
      <c r="E620" s="533" t="inlineStr">
        <is>
          <t>Cab</t>
        </is>
      </c>
      <c r="F620" s="533" t="n"/>
      <c r="G620" s="533" t="n"/>
      <c r="K620" s="20" t="n">
        <v>92</v>
      </c>
      <c r="L620" s="20" t="n"/>
      <c r="M620" s="20" t="inlineStr">
        <is>
          <t>Dummy</t>
        </is>
      </c>
      <c r="N620" s="533" t="n"/>
      <c r="O620" s="533" t="inlineStr">
        <is>
          <t>Cab</t>
        </is>
      </c>
      <c r="P620" s="535" t="n"/>
      <c r="Q620" s="533" t="n"/>
    </row>
    <row r="621" ht="21.75" customHeight="1">
      <c r="A621" s="20" t="n">
        <v>93</v>
      </c>
      <c r="B621" s="168" t="n"/>
      <c r="C621" s="41" t="inlineStr">
        <is>
          <t>Emergency Brake Loop Selection (EBLS)</t>
        </is>
      </c>
      <c r="D621" s="29" t="inlineStr">
        <is>
          <t>boolean</t>
        </is>
      </c>
      <c r="E621" s="533" t="inlineStr">
        <is>
          <t>Cab</t>
        </is>
      </c>
      <c r="F621" s="533" t="n"/>
      <c r="G621" s="533" t="n"/>
      <c r="K621" s="20" t="n">
        <v>93</v>
      </c>
      <c r="L621" s="20" t="n"/>
      <c r="M621" s="20" t="inlineStr">
        <is>
          <t>Dummy</t>
        </is>
      </c>
      <c r="N621" s="533" t="n"/>
      <c r="O621" s="533" t="inlineStr">
        <is>
          <t>Cab</t>
        </is>
      </c>
      <c r="P621" s="535" t="n"/>
      <c r="Q621" s="533" t="n"/>
    </row>
    <row r="622" ht="21.75" customHeight="1">
      <c r="A622" s="20" t="n">
        <v>94</v>
      </c>
      <c r="B622" s="20" t="inlineStr">
        <is>
          <t>M166</t>
        </is>
      </c>
      <c r="C622" s="40" t="inlineStr">
        <is>
          <t>ATC Bypass (ATCBYP)</t>
        </is>
      </c>
      <c r="D622" s="29" t="inlineStr">
        <is>
          <t>boolean</t>
        </is>
      </c>
      <c r="E622" s="533" t="inlineStr">
        <is>
          <t>Cab</t>
        </is>
      </c>
      <c r="F622" s="533" t="n"/>
      <c r="G622" s="533" t="n"/>
      <c r="K622" s="20" t="n">
        <v>94</v>
      </c>
      <c r="L622" s="20" t="n"/>
      <c r="M622" s="20" t="inlineStr">
        <is>
          <t>Dummy</t>
        </is>
      </c>
      <c r="N622" s="533" t="n"/>
      <c r="O622" s="533" t="inlineStr">
        <is>
          <t>Cab</t>
        </is>
      </c>
      <c r="P622" s="535" t="n"/>
      <c r="Q622" s="533" t="n"/>
    </row>
    <row r="623" ht="21.75" customHeight="1">
      <c r="A623" s="20" t="n">
        <v>95</v>
      </c>
      <c r="B623" s="20" t="inlineStr">
        <is>
          <t>M167</t>
        </is>
      </c>
      <c r="C623" s="40" t="inlineStr">
        <is>
          <t>Major brake Event Traction black Bypass (MJEBB)</t>
        </is>
      </c>
      <c r="D623" s="29" t="inlineStr">
        <is>
          <t>boolean</t>
        </is>
      </c>
      <c r="E623" s="533" t="inlineStr">
        <is>
          <t>Cab</t>
        </is>
      </c>
      <c r="F623" s="533" t="n"/>
      <c r="G623" s="533" t="n"/>
      <c r="K623" s="20" t="n">
        <v>95</v>
      </c>
      <c r="L623" s="20" t="n"/>
      <c r="M623" s="20" t="inlineStr">
        <is>
          <t>Dummy</t>
        </is>
      </c>
      <c r="N623" s="533" t="n"/>
      <c r="O623" s="533" t="inlineStr">
        <is>
          <t>Cab</t>
        </is>
      </c>
      <c r="P623" s="535" t="n"/>
      <c r="Q623" s="533" t="n"/>
    </row>
    <row r="624" ht="21.75" customHeight="1">
      <c r="A624" s="20" t="n">
        <v>96</v>
      </c>
      <c r="B624" s="20" t="inlineStr">
        <is>
          <t>M168</t>
        </is>
      </c>
      <c r="C624" s="37" t="inlineStr">
        <is>
          <t>Rescue mode Train Status (CPLM)</t>
        </is>
      </c>
      <c r="D624" s="29" t="inlineStr">
        <is>
          <t>boolean</t>
        </is>
      </c>
      <c r="E624" s="533" t="inlineStr">
        <is>
          <t>Cab</t>
        </is>
      </c>
      <c r="F624" s="533" t="n"/>
      <c r="G624" s="533" t="n"/>
      <c r="K624" s="20" t="n">
        <v>96</v>
      </c>
      <c r="L624" s="20" t="n"/>
      <c r="M624" s="20" t="inlineStr">
        <is>
          <t>Dummy</t>
        </is>
      </c>
      <c r="N624" s="533" t="n"/>
      <c r="O624" s="533" t="inlineStr">
        <is>
          <t>Cab</t>
        </is>
      </c>
      <c r="P624" s="535" t="n"/>
      <c r="Q624" s="533" t="n"/>
    </row>
    <row r="625" ht="21.75" customHeight="1">
      <c r="A625" s="20" t="n">
        <v>97</v>
      </c>
      <c r="B625" s="168" t="n"/>
      <c r="C625" s="37" t="inlineStr">
        <is>
          <t>Rescue mode Train Status (CPLM)</t>
        </is>
      </c>
      <c r="D625" s="29" t="inlineStr">
        <is>
          <t>boolean</t>
        </is>
      </c>
      <c r="E625" s="533" t="inlineStr">
        <is>
          <t>Cab</t>
        </is>
      </c>
      <c r="F625" s="533" t="n"/>
      <c r="G625" s="533" t="n"/>
      <c r="K625" s="20" t="n">
        <v>97</v>
      </c>
      <c r="L625" s="20" t="n"/>
      <c r="M625" s="20" t="inlineStr">
        <is>
          <t>Dummy</t>
        </is>
      </c>
      <c r="N625" s="533" t="n"/>
      <c r="O625" s="533" t="inlineStr">
        <is>
          <t>Cab</t>
        </is>
      </c>
      <c r="P625" s="535" t="n"/>
      <c r="Q625" s="533" t="n"/>
    </row>
    <row r="626" ht="21.75" customHeight="1">
      <c r="A626" s="20" t="n">
        <v>98</v>
      </c>
      <c r="B626" s="20" t="inlineStr">
        <is>
          <t>M169</t>
        </is>
      </c>
      <c r="C626" s="38" t="inlineStr">
        <is>
          <t>Major Fault  Bypass (MJFBB)</t>
        </is>
      </c>
      <c r="D626" s="29" t="inlineStr">
        <is>
          <t>boolean</t>
        </is>
      </c>
      <c r="E626" s="533" t="inlineStr">
        <is>
          <t>Cab</t>
        </is>
      </c>
      <c r="F626" s="533" t="n"/>
      <c r="G626" s="533" t="n"/>
      <c r="K626" s="20" t="n">
        <v>98</v>
      </c>
      <c r="L626" s="20" t="n"/>
      <c r="M626" s="20" t="inlineStr">
        <is>
          <t>Dummy</t>
        </is>
      </c>
      <c r="N626" s="533" t="n"/>
      <c r="O626" s="533" t="inlineStr">
        <is>
          <t>Cab</t>
        </is>
      </c>
      <c r="P626" s="535" t="n"/>
      <c r="Q626" s="533" t="n"/>
    </row>
    <row r="627" ht="21.75" customHeight="1">
      <c r="A627" s="20" t="n">
        <v>99</v>
      </c>
      <c r="B627" s="22" t="inlineStr">
        <is>
          <t>M170</t>
        </is>
      </c>
      <c r="C627" s="40" t="inlineStr">
        <is>
          <t>CAB Control3</t>
        </is>
      </c>
      <c r="D627" s="29" t="inlineStr">
        <is>
          <t>boolean</t>
        </is>
      </c>
      <c r="E627" s="533" t="inlineStr">
        <is>
          <t>Cab</t>
        </is>
      </c>
      <c r="F627" s="533" t="n"/>
      <c r="G627" s="533" t="n"/>
      <c r="K627" s="20" t="n">
        <v>99</v>
      </c>
      <c r="L627" s="20" t="n"/>
      <c r="M627" s="20" t="inlineStr">
        <is>
          <t>Dummy</t>
        </is>
      </c>
      <c r="N627" s="533" t="n"/>
      <c r="O627" s="533" t="inlineStr">
        <is>
          <t>Cab</t>
        </is>
      </c>
      <c r="P627" s="535" t="n"/>
      <c r="Q627" s="533" t="n"/>
    </row>
    <row r="628" ht="21.75" customHeight="1">
      <c r="A628" s="20" t="n">
        <v>100</v>
      </c>
      <c r="B628" s="22" t="inlineStr">
        <is>
          <t>M171</t>
        </is>
      </c>
      <c r="C628" s="38" t="inlineStr">
        <is>
          <t>Master controller TL</t>
        </is>
      </c>
      <c r="D628" s="29" t="inlineStr">
        <is>
          <t>boolean</t>
        </is>
      </c>
      <c r="E628" s="533" t="inlineStr">
        <is>
          <t>Cab</t>
        </is>
      </c>
      <c r="F628" s="533" t="n"/>
      <c r="G628" s="533" t="n"/>
      <c r="K628" s="20" t="n">
        <v>100</v>
      </c>
      <c r="L628" s="20" t="n"/>
      <c r="M628" s="20" t="n"/>
      <c r="N628" s="533" t="n"/>
      <c r="O628" s="533" t="n"/>
      <c r="P628" s="535" t="n"/>
      <c r="Q628" s="533" t="n"/>
    </row>
    <row r="629" ht="21.75" customHeight="1">
      <c r="A629" s="20" t="n">
        <v>101</v>
      </c>
      <c r="B629" s="22" t="inlineStr">
        <is>
          <t>M172</t>
        </is>
      </c>
      <c r="C629" s="38" t="inlineStr">
        <is>
          <t>Master controller TL1</t>
        </is>
      </c>
      <c r="D629" s="29" t="inlineStr">
        <is>
          <t>boolean</t>
        </is>
      </c>
      <c r="E629" s="533" t="inlineStr">
        <is>
          <t>Cab</t>
        </is>
      </c>
      <c r="F629" s="533" t="n"/>
      <c r="G629" s="533" t="n"/>
      <c r="K629" s="551" t="n">
        <v>101</v>
      </c>
      <c r="L629" s="552" t="inlineStr">
        <is>
          <t>DO00</t>
        </is>
      </c>
      <c r="M629" s="551" t="inlineStr">
        <is>
          <t>Saloon Lights</t>
        </is>
      </c>
      <c r="N629" s="551" t="n"/>
      <c r="O629" s="551" t="inlineStr">
        <is>
          <t>HVAC Replica</t>
        </is>
      </c>
      <c r="P629" s="551">
        <f>HVAC_IOs!O172</f>
        <v/>
      </c>
      <c r="Q629" s="551" t="n"/>
    </row>
    <row r="630" ht="21.75" customHeight="1">
      <c r="A630" s="20" t="n">
        <v>102</v>
      </c>
      <c r="B630" s="22" t="inlineStr">
        <is>
          <t>M173</t>
        </is>
      </c>
      <c r="C630" s="38" t="inlineStr">
        <is>
          <t>Brake Major Event</t>
        </is>
      </c>
      <c r="D630" s="29" t="inlineStr">
        <is>
          <t>boolean</t>
        </is>
      </c>
      <c r="E630" s="533" t="inlineStr">
        <is>
          <t>Cab</t>
        </is>
      </c>
      <c r="F630" s="533" t="n"/>
      <c r="G630" s="533" t="n"/>
      <c r="K630" s="551" t="n">
        <v>102</v>
      </c>
      <c r="L630" s="552" t="inlineStr">
        <is>
          <t>DO01</t>
        </is>
      </c>
      <c r="M630" s="551" t="inlineStr">
        <is>
          <t>Int 1</t>
        </is>
      </c>
      <c r="N630" s="551" t="n"/>
      <c r="O630" s="551" t="inlineStr">
        <is>
          <t>HVAC Replica</t>
        </is>
      </c>
      <c r="P630" s="551">
        <f>HVAC_IOs!O173</f>
        <v/>
      </c>
      <c r="Q630" s="551" t="n"/>
    </row>
    <row r="631" ht="21.75" customHeight="1">
      <c r="A631" s="20" t="n">
        <v>103</v>
      </c>
      <c r="B631" s="22" t="inlineStr">
        <is>
          <t>M174</t>
        </is>
      </c>
      <c r="C631" s="38" t="inlineStr">
        <is>
          <t>Propulsion Enable Control</t>
        </is>
      </c>
      <c r="D631" s="29" t="inlineStr">
        <is>
          <t>boolean</t>
        </is>
      </c>
      <c r="E631" s="533" t="inlineStr">
        <is>
          <t>Cab</t>
        </is>
      </c>
      <c r="F631" s="533" t="n"/>
      <c r="G631" s="533" t="n"/>
      <c r="K631" s="551" t="n">
        <v>103</v>
      </c>
      <c r="L631" s="552" t="inlineStr">
        <is>
          <t>DO02</t>
        </is>
      </c>
      <c r="M631" s="551" t="inlineStr">
        <is>
          <t>Door(close)</t>
        </is>
      </c>
      <c r="N631" s="551" t="n"/>
      <c r="O631" s="551" t="inlineStr">
        <is>
          <t>HVAC Replica</t>
        </is>
      </c>
      <c r="P631" s="551">
        <f>HVAC_IOs!O174</f>
        <v/>
      </c>
      <c r="Q631" s="551" t="n"/>
    </row>
    <row r="632" ht="21.75" customHeight="1">
      <c r="A632" s="20" t="n">
        <v>104</v>
      </c>
      <c r="B632" s="22" t="inlineStr">
        <is>
          <t>M175</t>
        </is>
      </c>
      <c r="C632" s="38" t="inlineStr">
        <is>
          <t>Propulsion Enable DI</t>
        </is>
      </c>
      <c r="D632" s="29" t="inlineStr">
        <is>
          <t>boolean</t>
        </is>
      </c>
      <c r="E632" s="533" t="inlineStr">
        <is>
          <t>Cab</t>
        </is>
      </c>
      <c r="F632" s="533" t="n"/>
      <c r="G632" s="533" t="n"/>
      <c r="K632" s="551" t="n">
        <v>104</v>
      </c>
      <c r="L632" s="552" t="inlineStr">
        <is>
          <t>DO03</t>
        </is>
      </c>
      <c r="M632" s="551" t="inlineStr">
        <is>
          <t>Door(open)</t>
        </is>
      </c>
      <c r="N632" s="551" t="n"/>
      <c r="O632" s="551" t="inlineStr">
        <is>
          <t>HVAC Replica</t>
        </is>
      </c>
      <c r="P632" s="551">
        <f>HVAC_IOs!O175</f>
        <v/>
      </c>
      <c r="Q632" s="551" t="n"/>
    </row>
    <row r="633" ht="21.75" customHeight="1">
      <c r="A633" s="20" t="n">
        <v>105</v>
      </c>
      <c r="B633" s="22" t="inlineStr">
        <is>
          <t>M176</t>
        </is>
      </c>
      <c r="C633" s="38" t="inlineStr">
        <is>
          <t>Direction Control</t>
        </is>
      </c>
      <c r="D633" s="29" t="inlineStr">
        <is>
          <t>boolean</t>
        </is>
      </c>
      <c r="E633" s="533" t="inlineStr">
        <is>
          <t>Cab</t>
        </is>
      </c>
      <c r="F633" s="533" t="n"/>
      <c r="G633" s="533" t="n"/>
      <c r="K633" s="551" t="n">
        <v>105</v>
      </c>
      <c r="L633" s="552" t="inlineStr">
        <is>
          <t>DO04</t>
        </is>
      </c>
      <c r="M633" s="551" t="inlineStr">
        <is>
          <t>Door(Open-RIGHT)</t>
        </is>
      </c>
      <c r="N633" s="551" t="n"/>
      <c r="O633" s="551" t="inlineStr">
        <is>
          <t>HVAC Replica</t>
        </is>
      </c>
      <c r="P633" s="551">
        <f>HVAC_IOs!O176</f>
        <v/>
      </c>
      <c r="Q633" s="551" t="n"/>
    </row>
    <row r="634" ht="21.75" customHeight="1">
      <c r="A634" s="20" t="n">
        <v>106</v>
      </c>
      <c r="B634" s="22" t="inlineStr">
        <is>
          <t>M177</t>
        </is>
      </c>
      <c r="C634" s="38" t="inlineStr">
        <is>
          <t>Immobilization Control</t>
        </is>
      </c>
      <c r="D634" s="29" t="inlineStr">
        <is>
          <t>boolean</t>
        </is>
      </c>
      <c r="E634" s="533" t="inlineStr">
        <is>
          <t>Cab</t>
        </is>
      </c>
      <c r="F634" s="533" t="n"/>
      <c r="G634" s="533" t="n"/>
      <c r="K634" s="551" t="n">
        <v>106</v>
      </c>
      <c r="L634" s="552" t="inlineStr">
        <is>
          <t>DO05</t>
        </is>
      </c>
      <c r="M634" s="551" t="inlineStr">
        <is>
          <t>Door(CLOSE-RIGHT)</t>
        </is>
      </c>
      <c r="N634" s="551" t="n"/>
      <c r="O634" s="551" t="inlineStr">
        <is>
          <t>HVAC Replica</t>
        </is>
      </c>
      <c r="P634" s="551">
        <f>HVAC_IOs!O177</f>
        <v/>
      </c>
      <c r="Q634" s="551" t="n"/>
    </row>
    <row r="635" ht="21.75" customHeight="1">
      <c r="A635" s="20" t="n">
        <v>107</v>
      </c>
      <c r="B635" s="22" t="inlineStr">
        <is>
          <t>M178</t>
        </is>
      </c>
      <c r="C635" s="38" t="inlineStr">
        <is>
          <t>Parking Brake Control</t>
        </is>
      </c>
      <c r="D635" s="29" t="inlineStr">
        <is>
          <t>boolean</t>
        </is>
      </c>
      <c r="E635" s="533" t="inlineStr">
        <is>
          <t>Cab</t>
        </is>
      </c>
      <c r="F635" s="533" t="n"/>
      <c r="G635" s="533" t="n"/>
      <c r="K635" s="551" t="n">
        <v>107</v>
      </c>
      <c r="L635" s="552" t="inlineStr">
        <is>
          <t>DO06</t>
        </is>
      </c>
      <c r="M635" s="551" t="inlineStr">
        <is>
          <t>Comp 1</t>
        </is>
      </c>
      <c r="N635" s="551" t="n"/>
      <c r="O635" s="551" t="inlineStr">
        <is>
          <t>HVAC Replica</t>
        </is>
      </c>
      <c r="P635" s="551">
        <f>HVAC_IOs!O178</f>
        <v/>
      </c>
      <c r="Q635" s="551" t="n"/>
    </row>
    <row r="636" ht="21.75" customHeight="1">
      <c r="A636" s="20" t="n">
        <v>108</v>
      </c>
      <c r="B636" s="22" t="inlineStr">
        <is>
          <t>M179</t>
        </is>
      </c>
      <c r="C636" s="38" t="inlineStr">
        <is>
          <t>Call ON Light Control</t>
        </is>
      </c>
      <c r="D636" s="29" t="inlineStr">
        <is>
          <t>boolean</t>
        </is>
      </c>
      <c r="E636" s="533" t="inlineStr">
        <is>
          <t>Cab</t>
        </is>
      </c>
      <c r="F636" s="533" t="n"/>
      <c r="G636" s="533" t="n"/>
      <c r="K636" s="551" t="n">
        <v>108</v>
      </c>
      <c r="L636" s="552" t="inlineStr">
        <is>
          <t>DO07</t>
        </is>
      </c>
      <c r="M636" s="551" t="inlineStr">
        <is>
          <t>Comp2</t>
        </is>
      </c>
      <c r="N636" s="551" t="n"/>
      <c r="O636" s="551" t="inlineStr">
        <is>
          <t>HVAC Replica</t>
        </is>
      </c>
      <c r="P636" s="551">
        <f>HVAC_IOs!O179</f>
        <v/>
      </c>
      <c r="Q636" s="551" t="n"/>
    </row>
    <row r="637" ht="21.75" customHeight="1">
      <c r="A637" s="20" t="n">
        <v>109</v>
      </c>
      <c r="B637" s="22" t="inlineStr">
        <is>
          <t>M180</t>
        </is>
      </c>
      <c r="C637" s="38" t="inlineStr">
        <is>
          <t>Cab Control 6</t>
        </is>
      </c>
      <c r="D637" s="29" t="inlineStr">
        <is>
          <t>boolean</t>
        </is>
      </c>
      <c r="E637" s="533" t="inlineStr">
        <is>
          <t>Cab</t>
        </is>
      </c>
      <c r="F637" s="533" t="n"/>
      <c r="G637" s="533" t="n"/>
      <c r="K637" s="551" t="n">
        <v>109</v>
      </c>
      <c r="L637" s="552" t="inlineStr">
        <is>
          <t>DO08</t>
        </is>
      </c>
      <c r="M637" s="551" t="inlineStr">
        <is>
          <t>Comp3</t>
        </is>
      </c>
      <c r="N637" s="551" t="n"/>
      <c r="O637" s="551" t="inlineStr">
        <is>
          <t>HVAC Replica</t>
        </is>
      </c>
      <c r="P637" s="551">
        <f>HVAC_IOs!O180</f>
        <v/>
      </c>
      <c r="Q637" s="551" t="n"/>
    </row>
    <row r="638" ht="21.75" customHeight="1">
      <c r="A638" s="20" t="n">
        <v>110</v>
      </c>
      <c r="B638" s="22" t="inlineStr">
        <is>
          <t>M181</t>
        </is>
      </c>
      <c r="C638" s="38" t="inlineStr">
        <is>
          <t>Brake Major Fault</t>
        </is>
      </c>
      <c r="D638" s="29" t="inlineStr">
        <is>
          <t>boolean</t>
        </is>
      </c>
      <c r="E638" s="533" t="inlineStr">
        <is>
          <t>Cab</t>
        </is>
      </c>
      <c r="F638" s="533" t="n"/>
      <c r="G638" s="533" t="n"/>
      <c r="K638" s="551" t="n">
        <v>110</v>
      </c>
      <c r="L638" s="552" t="inlineStr">
        <is>
          <t>DO09</t>
        </is>
      </c>
      <c r="M638" s="551" t="inlineStr">
        <is>
          <t>Comp4</t>
        </is>
      </c>
      <c r="N638" s="551" t="n"/>
      <c r="O638" s="551" t="inlineStr">
        <is>
          <t>HVAC Replica</t>
        </is>
      </c>
      <c r="P638" s="551">
        <f>HVAC_IOs!O181</f>
        <v/>
      </c>
      <c r="Q638" s="551" t="n"/>
    </row>
    <row r="639" ht="21.75" customHeight="1">
      <c r="A639" s="20" t="n">
        <v>111</v>
      </c>
      <c r="B639" s="22" t="inlineStr">
        <is>
          <t>M182</t>
        </is>
      </c>
      <c r="C639" s="38" t="inlineStr">
        <is>
          <t>Air spring control</t>
        </is>
      </c>
      <c r="D639" s="29" t="inlineStr">
        <is>
          <t>boolean</t>
        </is>
      </c>
      <c r="E639" s="533" t="inlineStr">
        <is>
          <t>Cab</t>
        </is>
      </c>
      <c r="F639" s="533" t="n"/>
      <c r="G639" s="533" t="n"/>
      <c r="K639" s="551" t="n">
        <v>111</v>
      </c>
      <c r="L639" s="552" t="inlineStr">
        <is>
          <t>DO10</t>
        </is>
      </c>
      <c r="M639" s="551" t="inlineStr">
        <is>
          <t>SAF 1 HW LED</t>
        </is>
      </c>
      <c r="N639" s="551" t="n"/>
      <c r="O639" s="551" t="inlineStr">
        <is>
          <t>HVAC Replica</t>
        </is>
      </c>
      <c r="P639" s="551">
        <f>HVAC_IOs!O182</f>
        <v/>
      </c>
      <c r="Q639" s="551" t="n"/>
    </row>
    <row r="640" ht="21.75" customHeight="1">
      <c r="A640" s="20" t="n">
        <v>112</v>
      </c>
      <c r="B640" s="22" t="inlineStr">
        <is>
          <t>M183</t>
        </is>
      </c>
      <c r="C640" s="38" t="inlineStr">
        <is>
          <t>Cab desk Light Indicator</t>
        </is>
      </c>
      <c r="D640" s="29" t="inlineStr">
        <is>
          <t>boolean</t>
        </is>
      </c>
      <c r="E640" s="533" t="inlineStr">
        <is>
          <t>Cab</t>
        </is>
      </c>
      <c r="F640" s="533" t="n"/>
      <c r="G640" s="533" t="n"/>
      <c r="K640" s="551" t="n">
        <v>112</v>
      </c>
      <c r="L640" s="552" t="inlineStr">
        <is>
          <t>DO11</t>
        </is>
      </c>
      <c r="M640" s="551" t="inlineStr">
        <is>
          <t>SAF 2 HW LED</t>
        </is>
      </c>
      <c r="N640" s="551" t="n"/>
      <c r="O640" s="551" t="inlineStr">
        <is>
          <t>HVAC Replica</t>
        </is>
      </c>
      <c r="P640" s="551">
        <f>HVAC_IOs!O183</f>
        <v/>
      </c>
      <c r="Q640" s="551" t="n"/>
    </row>
    <row r="641" ht="21.75" customHeight="1">
      <c r="A641" s="20" t="n">
        <v>113</v>
      </c>
      <c r="B641" s="22" t="inlineStr">
        <is>
          <t>M184</t>
        </is>
      </c>
      <c r="C641" s="38" t="inlineStr">
        <is>
          <t>Dead Man control 1</t>
        </is>
      </c>
      <c r="D641" s="29" t="inlineStr">
        <is>
          <t>boolean</t>
        </is>
      </c>
      <c r="E641" s="533" t="inlineStr">
        <is>
          <t>Cab</t>
        </is>
      </c>
      <c r="F641" s="533" t="n"/>
      <c r="G641" s="533" t="n"/>
      <c r="K641" s="551" t="n">
        <v>113</v>
      </c>
      <c r="L641" s="552" t="inlineStr">
        <is>
          <t>DO12</t>
        </is>
      </c>
      <c r="M641" s="551" t="inlineStr">
        <is>
          <t>Low Pressure Solenoid 1</t>
        </is>
      </c>
      <c r="N641" s="551" t="n"/>
      <c r="O641" s="551" t="inlineStr">
        <is>
          <t>HVAC Replica</t>
        </is>
      </c>
      <c r="P641" s="551">
        <f>HVAC_IOs!O184</f>
        <v/>
      </c>
      <c r="Q641" s="551" t="n"/>
    </row>
    <row r="642" ht="21.75" customHeight="1">
      <c r="A642" s="20" t="n">
        <v>114</v>
      </c>
      <c r="B642" s="22" t="inlineStr">
        <is>
          <t>M185</t>
        </is>
      </c>
      <c r="C642" s="38" t="inlineStr">
        <is>
          <t>Train Radio Interface Unit control</t>
        </is>
      </c>
      <c r="D642" s="29" t="inlineStr">
        <is>
          <t>boolean</t>
        </is>
      </c>
      <c r="E642" s="533" t="inlineStr">
        <is>
          <t>Cab</t>
        </is>
      </c>
      <c r="F642" s="533" t="n"/>
      <c r="G642" s="533" t="n"/>
      <c r="K642" s="551" t="n">
        <v>114</v>
      </c>
      <c r="L642" s="552" t="inlineStr">
        <is>
          <t>DO13</t>
        </is>
      </c>
      <c r="M642" s="551" t="inlineStr">
        <is>
          <t>Low Pressure Solenoid 2</t>
        </is>
      </c>
      <c r="N642" s="551" t="n"/>
      <c r="O642" s="551" t="inlineStr">
        <is>
          <t>HVAC Replica</t>
        </is>
      </c>
      <c r="P642" s="551">
        <f>HVAC_IOs!O185</f>
        <v/>
      </c>
      <c r="Q642" s="551" t="n"/>
    </row>
    <row r="643" ht="21.75" customHeight="1">
      <c r="A643" s="20" t="n">
        <v>115</v>
      </c>
      <c r="B643" s="22" t="inlineStr">
        <is>
          <t>M186</t>
        </is>
      </c>
      <c r="C643" s="38" t="inlineStr">
        <is>
          <t>Wiper control</t>
        </is>
      </c>
      <c r="D643" s="29" t="inlineStr">
        <is>
          <t>boolean</t>
        </is>
      </c>
      <c r="E643" s="533" t="inlineStr">
        <is>
          <t>Cab</t>
        </is>
      </c>
      <c r="F643" s="533" t="n"/>
      <c r="G643" s="533" t="n"/>
      <c r="K643" s="551" t="n">
        <v>115</v>
      </c>
      <c r="L643" s="552" t="inlineStr">
        <is>
          <t>DO14</t>
        </is>
      </c>
      <c r="M643" s="551" t="inlineStr">
        <is>
          <t>Blower 1</t>
        </is>
      </c>
      <c r="N643" s="551" t="n"/>
      <c r="O643" s="551" t="inlineStr">
        <is>
          <t>HVAC Replica</t>
        </is>
      </c>
      <c r="P643" s="551">
        <f>HVAC_IOs!O186</f>
        <v/>
      </c>
      <c r="Q643" s="551" t="n"/>
    </row>
    <row r="644" ht="21.75" customHeight="1">
      <c r="A644" s="20" t="n">
        <v>116</v>
      </c>
      <c r="B644" s="22" t="inlineStr">
        <is>
          <t>M187</t>
        </is>
      </c>
      <c r="C644" s="38" t="inlineStr">
        <is>
          <t>Head Light and cab light control</t>
        </is>
      </c>
      <c r="D644" s="29" t="inlineStr">
        <is>
          <t>boolean</t>
        </is>
      </c>
      <c r="E644" s="533" t="inlineStr">
        <is>
          <t>Cab</t>
        </is>
      </c>
      <c r="F644" s="533" t="n"/>
      <c r="G644" s="533" t="n"/>
      <c r="K644" s="551" t="n">
        <v>116</v>
      </c>
      <c r="L644" s="552" t="inlineStr">
        <is>
          <t>DO15</t>
        </is>
      </c>
      <c r="M644" s="551" t="inlineStr">
        <is>
          <t>Blower 2</t>
        </is>
      </c>
      <c r="N644" s="551" t="n"/>
      <c r="O644" s="551" t="inlineStr">
        <is>
          <t>HVAC Replica</t>
        </is>
      </c>
      <c r="P644" s="551">
        <f>HVAC_IOs!O187</f>
        <v/>
      </c>
      <c r="Q644" s="551" t="n"/>
    </row>
    <row r="645" ht="21.75" customHeight="1">
      <c r="A645" s="20" t="n">
        <v>117</v>
      </c>
      <c r="B645" s="22" t="inlineStr">
        <is>
          <t>M188</t>
        </is>
      </c>
      <c r="C645" s="38" t="inlineStr">
        <is>
          <t>Flasher Light Control</t>
        </is>
      </c>
      <c r="D645" s="29" t="inlineStr">
        <is>
          <t>boolean</t>
        </is>
      </c>
      <c r="E645" s="533" t="inlineStr">
        <is>
          <t>Cab</t>
        </is>
      </c>
      <c r="F645" s="533" t="n"/>
      <c r="G645" s="533" t="n"/>
      <c r="K645" s="551" t="n">
        <v>117</v>
      </c>
      <c r="L645" s="552" t="inlineStr">
        <is>
          <t>DO16</t>
        </is>
      </c>
      <c r="M645" s="551" t="inlineStr">
        <is>
          <t>Condenser Fan 1 On Command</t>
        </is>
      </c>
      <c r="N645" s="551" t="n"/>
      <c r="O645" s="551" t="inlineStr">
        <is>
          <t>HVAC Replica</t>
        </is>
      </c>
      <c r="P645" s="551">
        <f>HVAC_IOs!O188</f>
        <v/>
      </c>
      <c r="Q645" s="551" t="n"/>
    </row>
    <row r="646" ht="21.75" customHeight="1">
      <c r="A646" s="20" t="n">
        <v>118</v>
      </c>
      <c r="B646" s="22" t="inlineStr">
        <is>
          <t>M189</t>
        </is>
      </c>
      <c r="C646" s="38" t="inlineStr">
        <is>
          <t>Cab Booster Control</t>
        </is>
      </c>
      <c r="D646" s="29" t="inlineStr">
        <is>
          <t>boolean</t>
        </is>
      </c>
      <c r="E646" s="533" t="inlineStr">
        <is>
          <t>Cab</t>
        </is>
      </c>
      <c r="F646" s="533" t="n"/>
      <c r="G646" s="533" t="n"/>
      <c r="K646" s="551" t="n">
        <v>118</v>
      </c>
      <c r="L646" s="552" t="inlineStr">
        <is>
          <t>DO17</t>
        </is>
      </c>
      <c r="M646" s="551" t="inlineStr">
        <is>
          <t xml:space="preserve">High Pressure Transducer 1 </t>
        </is>
      </c>
      <c r="N646" s="551" t="n"/>
      <c r="O646" s="551" t="inlineStr">
        <is>
          <t>HVAC Replica</t>
        </is>
      </c>
      <c r="P646" s="551">
        <f>HVAC_IOs!O189</f>
        <v/>
      </c>
      <c r="Q646" s="551" t="n"/>
    </row>
    <row r="647" ht="21.75" customHeight="1">
      <c r="A647" s="20" t="n">
        <v>119</v>
      </c>
      <c r="B647" s="22" t="inlineStr">
        <is>
          <t>M190</t>
        </is>
      </c>
      <c r="C647" s="38" t="inlineStr">
        <is>
          <t>Door Open Control</t>
        </is>
      </c>
      <c r="D647" s="29" t="inlineStr">
        <is>
          <t>boolean</t>
        </is>
      </c>
      <c r="E647" s="533" t="inlineStr">
        <is>
          <t>Cab</t>
        </is>
      </c>
      <c r="F647" s="533" t="n"/>
      <c r="G647" s="533" t="n"/>
      <c r="K647" s="551" t="n">
        <v>119</v>
      </c>
      <c r="L647" s="552" t="inlineStr">
        <is>
          <t>DO18</t>
        </is>
      </c>
      <c r="M647" s="551" t="inlineStr">
        <is>
          <t>High Pressure Transducer 2</t>
        </is>
      </c>
      <c r="N647" s="551" t="n"/>
      <c r="O647" s="551" t="inlineStr">
        <is>
          <t>HVAC Replica</t>
        </is>
      </c>
      <c r="P647" s="551">
        <f>HVAC_IOs!O190</f>
        <v/>
      </c>
      <c r="Q647" s="551" t="n"/>
    </row>
    <row r="648" ht="21.75" customHeight="1">
      <c r="A648" s="20" t="n">
        <v>120</v>
      </c>
      <c r="B648" s="22" t="inlineStr">
        <is>
          <t>M191</t>
        </is>
      </c>
      <c r="C648" s="38" t="inlineStr">
        <is>
          <t>Door Close Control</t>
        </is>
      </c>
      <c r="D648" s="29" t="inlineStr">
        <is>
          <t>boolean</t>
        </is>
      </c>
      <c r="E648" s="533" t="inlineStr">
        <is>
          <t>Cab</t>
        </is>
      </c>
      <c r="F648" s="533" t="n"/>
      <c r="G648" s="533" t="n"/>
      <c r="K648" s="551" t="n">
        <v>120</v>
      </c>
      <c r="L648" s="552" t="inlineStr">
        <is>
          <t>DO18</t>
        </is>
      </c>
      <c r="M648" s="551" t="inlineStr">
        <is>
          <t>COMP 1 HW LED</t>
        </is>
      </c>
      <c r="N648" s="551" t="n"/>
      <c r="O648" s="551" t="inlineStr">
        <is>
          <t>HVAC Replica</t>
        </is>
      </c>
      <c r="P648" s="551">
        <f>HVAC_IOs!O191</f>
        <v/>
      </c>
      <c r="Q648" s="551" t="n"/>
    </row>
    <row r="649" ht="21.75" customHeight="1">
      <c r="A649" s="20" t="n">
        <v>121</v>
      </c>
      <c r="B649" s="22" t="inlineStr">
        <is>
          <t>M192</t>
        </is>
      </c>
      <c r="C649" s="38" t="inlineStr">
        <is>
          <t>Door Zero Speed Control</t>
        </is>
      </c>
      <c r="D649" s="29" t="inlineStr">
        <is>
          <t>boolean</t>
        </is>
      </c>
      <c r="E649" s="533" t="inlineStr">
        <is>
          <t>Cab</t>
        </is>
      </c>
      <c r="F649" s="533" t="n"/>
      <c r="G649" s="533" t="n"/>
      <c r="K649" s="551" t="n">
        <v>121</v>
      </c>
      <c r="L649" s="552" t="inlineStr">
        <is>
          <t>DO19</t>
        </is>
      </c>
      <c r="M649" s="551" t="inlineStr">
        <is>
          <t>COMP 2 HW LED</t>
        </is>
      </c>
      <c r="N649" s="551" t="n"/>
      <c r="O649" s="551" t="inlineStr">
        <is>
          <t>HVAC Replica</t>
        </is>
      </c>
      <c r="P649" s="551">
        <f>HVAC_IOs!O192</f>
        <v/>
      </c>
      <c r="Q649" s="551" t="n"/>
    </row>
    <row r="650" ht="21.75" customHeight="1">
      <c r="A650" s="20" t="n">
        <v>122</v>
      </c>
      <c r="B650" s="22" t="inlineStr">
        <is>
          <t>M193</t>
        </is>
      </c>
      <c r="C650" s="38" t="inlineStr">
        <is>
          <t>Door Enable Control 1</t>
        </is>
      </c>
      <c r="D650" s="29" t="inlineStr">
        <is>
          <t>boolean</t>
        </is>
      </c>
      <c r="E650" s="533" t="inlineStr">
        <is>
          <t>Cab</t>
        </is>
      </c>
      <c r="F650" s="533" t="n"/>
      <c r="G650" s="533" t="n"/>
      <c r="K650" s="551" t="n">
        <v>122</v>
      </c>
      <c r="L650" s="552" t="inlineStr">
        <is>
          <t>DO20</t>
        </is>
      </c>
      <c r="M650" s="551" t="inlineStr">
        <is>
          <t>COMP 3 HW LED</t>
        </is>
      </c>
      <c r="N650" s="551" t="n"/>
      <c r="O650" s="551" t="inlineStr">
        <is>
          <t>HVAC Replica</t>
        </is>
      </c>
      <c r="P650" s="551">
        <f>HVAC_IOs!O193</f>
        <v/>
      </c>
      <c r="Q650" s="551" t="n"/>
    </row>
    <row r="651" ht="21.75" customHeight="1">
      <c r="A651" s="20" t="n">
        <v>123</v>
      </c>
      <c r="B651" s="22" t="inlineStr">
        <is>
          <t>M194</t>
        </is>
      </c>
      <c r="C651" s="38" t="inlineStr">
        <is>
          <t>Door Enable Control 2</t>
        </is>
      </c>
      <c r="D651" s="29" t="inlineStr">
        <is>
          <t>boolean</t>
        </is>
      </c>
      <c r="E651" s="533" t="inlineStr">
        <is>
          <t>Cab</t>
        </is>
      </c>
      <c r="F651" s="533" t="n"/>
      <c r="G651" s="533" t="n"/>
      <c r="K651" s="551" t="n">
        <v>123</v>
      </c>
      <c r="L651" s="552" t="inlineStr">
        <is>
          <t>DO21</t>
        </is>
      </c>
      <c r="M651" s="551" t="inlineStr">
        <is>
          <t>COMP 4 HW LED</t>
        </is>
      </c>
      <c r="N651" s="551" t="n"/>
      <c r="O651" s="551" t="inlineStr">
        <is>
          <t>HVAC Replica</t>
        </is>
      </c>
      <c r="P651" s="551">
        <f>HVAC_IOs!O194</f>
        <v/>
      </c>
      <c r="Q651" s="551" t="n"/>
    </row>
    <row r="652" ht="21.75" customHeight="1">
      <c r="A652" s="20" t="n">
        <v>124</v>
      </c>
      <c r="B652" s="22" t="inlineStr">
        <is>
          <t>M195</t>
        </is>
      </c>
      <c r="C652" s="38" t="inlineStr">
        <is>
          <t>Saloon Door Close</t>
        </is>
      </c>
      <c r="D652" s="29" t="inlineStr">
        <is>
          <t>boolean</t>
        </is>
      </c>
      <c r="E652" s="533" t="inlineStr">
        <is>
          <t>Cab</t>
        </is>
      </c>
      <c r="F652" s="533" t="n"/>
      <c r="G652" s="533" t="n"/>
      <c r="K652" s="551" t="n">
        <v>124</v>
      </c>
      <c r="L652" s="552" t="inlineStr">
        <is>
          <t>DO22</t>
        </is>
      </c>
      <c r="M652" s="551" t="inlineStr">
        <is>
          <t>RAD HW LED</t>
        </is>
      </c>
      <c r="N652" s="551" t="n"/>
      <c r="O652" s="551" t="inlineStr">
        <is>
          <t>HVAC Replica</t>
        </is>
      </c>
      <c r="P652" s="551">
        <f>HVAC_IOs!O195</f>
        <v/>
      </c>
      <c r="Q652" s="551" t="n"/>
    </row>
    <row r="653" ht="21.75" customHeight="1">
      <c r="A653" s="20" t="n">
        <v>125</v>
      </c>
      <c r="B653" s="22" t="inlineStr">
        <is>
          <t>M196</t>
        </is>
      </c>
      <c r="C653" s="38" t="inlineStr">
        <is>
          <t>Cab Door and emergency door control</t>
        </is>
      </c>
      <c r="D653" s="29" t="inlineStr">
        <is>
          <t>boolean</t>
        </is>
      </c>
      <c r="E653" s="533" t="inlineStr">
        <is>
          <t>Cab</t>
        </is>
      </c>
      <c r="F653" s="533" t="n"/>
      <c r="G653" s="533" t="n"/>
      <c r="K653" s="551" t="n">
        <v>125</v>
      </c>
      <c r="L653" s="552" t="inlineStr">
        <is>
          <t>DO23</t>
        </is>
      </c>
      <c r="M653" s="551" t="inlineStr">
        <is>
          <t>Compressor 1 Replica HW</t>
        </is>
      </c>
      <c r="N653" s="551" t="n"/>
      <c r="O653" s="551" t="inlineStr">
        <is>
          <t>HVAC Replica</t>
        </is>
      </c>
      <c r="P653" s="551">
        <f>HVAC_IOs!O196</f>
        <v/>
      </c>
      <c r="Q653" s="551" t="n"/>
    </row>
    <row r="654" ht="21.75" customHeight="1">
      <c r="A654" s="20" t="n">
        <v>126</v>
      </c>
      <c r="B654" s="22" t="inlineStr">
        <is>
          <t>M197</t>
        </is>
      </c>
      <c r="C654" s="38" t="inlineStr">
        <is>
          <t>All Door Closed Control</t>
        </is>
      </c>
      <c r="D654" s="29" t="inlineStr">
        <is>
          <t>boolean</t>
        </is>
      </c>
      <c r="E654" s="533" t="inlineStr">
        <is>
          <t>Cab</t>
        </is>
      </c>
      <c r="F654" s="533" t="n"/>
      <c r="G654" s="533" t="n"/>
      <c r="K654" s="551" t="n">
        <v>126</v>
      </c>
      <c r="L654" s="552" t="inlineStr">
        <is>
          <t>DO24</t>
        </is>
      </c>
      <c r="M654" s="551" t="inlineStr">
        <is>
          <t>Compressor 2 Replica HW</t>
        </is>
      </c>
      <c r="N654" s="551" t="n"/>
      <c r="O654" s="551" t="inlineStr">
        <is>
          <t>HVAC Replica</t>
        </is>
      </c>
      <c r="P654" s="551">
        <f>HVAC_IOs!O197</f>
        <v/>
      </c>
      <c r="Q654" s="551" t="n"/>
    </row>
    <row r="655" ht="21.75" customHeight="1">
      <c r="A655" s="20" t="n">
        <v>127</v>
      </c>
      <c r="B655" s="22" t="inlineStr">
        <is>
          <t>M198</t>
        </is>
      </c>
      <c r="C655" s="38" t="inlineStr">
        <is>
          <t>Coupler Control</t>
        </is>
      </c>
      <c r="D655" s="29" t="inlineStr">
        <is>
          <t>boolean</t>
        </is>
      </c>
      <c r="E655" s="533" t="inlineStr">
        <is>
          <t>Cab</t>
        </is>
      </c>
      <c r="F655" s="533" t="n"/>
      <c r="G655" s="533" t="n"/>
      <c r="K655" s="551" t="n">
        <v>127</v>
      </c>
      <c r="L655" s="552" t="inlineStr">
        <is>
          <t>DO25</t>
        </is>
      </c>
      <c r="M655" s="551" t="inlineStr">
        <is>
          <t>Compressor 3 Replica HW</t>
        </is>
      </c>
      <c r="N655" s="551" t="n"/>
      <c r="O655" s="551" t="inlineStr">
        <is>
          <t>HVAC Replica</t>
        </is>
      </c>
      <c r="P655" s="551">
        <f>HVAC_IOs!O198</f>
        <v/>
      </c>
      <c r="Q655" s="551" t="n"/>
    </row>
    <row r="656" ht="21.75" customHeight="1">
      <c r="A656" s="20" t="n">
        <v>128</v>
      </c>
      <c r="B656" s="22" t="inlineStr">
        <is>
          <t>M199</t>
        </is>
      </c>
      <c r="C656" s="38" t="inlineStr">
        <is>
          <t>Dead man Control 2</t>
        </is>
      </c>
      <c r="D656" s="29" t="inlineStr">
        <is>
          <t>boolean</t>
        </is>
      </c>
      <c r="E656" s="533" t="inlineStr">
        <is>
          <t>Cab</t>
        </is>
      </c>
      <c r="F656" s="533" t="n"/>
      <c r="G656" s="533" t="n"/>
      <c r="K656" s="551" t="n">
        <v>128</v>
      </c>
      <c r="L656" s="552" t="inlineStr">
        <is>
          <t>DO26</t>
        </is>
      </c>
      <c r="M656" s="551" t="inlineStr">
        <is>
          <t>Compressor 4 Replica HW</t>
        </is>
      </c>
      <c r="N656" s="551" t="n"/>
      <c r="O656" s="551" t="inlineStr">
        <is>
          <t>HVAC Replica</t>
        </is>
      </c>
      <c r="P656" s="551">
        <f>HVAC_IOs!O199</f>
        <v/>
      </c>
      <c r="Q656" s="551" t="n"/>
    </row>
    <row r="657" ht="21.75" customHeight="1">
      <c r="A657" s="20" t="n">
        <v>129</v>
      </c>
      <c r="B657" s="22" t="inlineStr">
        <is>
          <t>M200</t>
        </is>
      </c>
      <c r="C657" s="38" t="inlineStr">
        <is>
          <t>TL control</t>
        </is>
      </c>
      <c r="D657" s="29" t="inlineStr">
        <is>
          <t>boolean</t>
        </is>
      </c>
      <c r="E657" s="533" t="inlineStr">
        <is>
          <t>Cab</t>
        </is>
      </c>
      <c r="F657" s="533" t="n"/>
      <c r="G657" s="533" t="n"/>
      <c r="K657" s="551" t="n">
        <v>129</v>
      </c>
      <c r="L657" s="552" t="inlineStr">
        <is>
          <t>DO27</t>
        </is>
      </c>
      <c r="M657" s="551" t="inlineStr">
        <is>
          <t>Condensor fan 1</t>
        </is>
      </c>
      <c r="N657" s="551" t="n"/>
      <c r="O657" s="551" t="inlineStr">
        <is>
          <t>HVAC Replica</t>
        </is>
      </c>
      <c r="P657" s="551">
        <f>HVAC_IOs!O200</f>
        <v/>
      </c>
      <c r="Q657" s="551" t="n"/>
    </row>
    <row r="658" ht="21.75" customHeight="1">
      <c r="A658" s="20" t="n">
        <v>130</v>
      </c>
      <c r="B658" s="22" t="inlineStr">
        <is>
          <t>M201</t>
        </is>
      </c>
      <c r="C658" s="38" t="inlineStr">
        <is>
          <t>Fresh air LA.F03</t>
        </is>
      </c>
      <c r="D658" s="29" t="inlineStr">
        <is>
          <t>boolean</t>
        </is>
      </c>
      <c r="E658" s="533" t="inlineStr">
        <is>
          <t>Cab</t>
        </is>
      </c>
      <c r="F658" s="533" t="n"/>
      <c r="G658" s="533" t="n"/>
      <c r="K658" s="551" t="n">
        <v>130</v>
      </c>
      <c r="L658" s="552" t="inlineStr">
        <is>
          <t>DO28</t>
        </is>
      </c>
      <c r="M658" s="551" t="inlineStr">
        <is>
          <t>Condensor fan 2</t>
        </is>
      </c>
      <c r="N658" s="551" t="n"/>
      <c r="O658" s="551" t="inlineStr">
        <is>
          <t>HVAC Replica</t>
        </is>
      </c>
      <c r="P658" s="551">
        <f>HVAC_IOs!O201</f>
        <v/>
      </c>
      <c r="Q658" s="551" t="n"/>
    </row>
    <row r="659" ht="21.75" customHeight="1">
      <c r="A659" s="20" t="n">
        <v>131</v>
      </c>
      <c r="B659" s="22" t="inlineStr">
        <is>
          <t>M202</t>
        </is>
      </c>
      <c r="C659" s="38" t="inlineStr">
        <is>
          <t>Door control ATP mode</t>
        </is>
      </c>
      <c r="D659" s="29" t="inlineStr">
        <is>
          <t>boolean</t>
        </is>
      </c>
      <c r="E659" s="533" t="inlineStr">
        <is>
          <t>Cab</t>
        </is>
      </c>
      <c r="F659" s="533" t="n"/>
      <c r="G659" s="533" t="n"/>
      <c r="K659" s="551" t="n">
        <v>131</v>
      </c>
      <c r="L659" s="552" t="inlineStr">
        <is>
          <t>DO29</t>
        </is>
      </c>
      <c r="M659" s="551" t="inlineStr">
        <is>
          <t xml:space="preserve">Humidifier </t>
        </is>
      </c>
      <c r="N659" s="551" t="n"/>
      <c r="O659" s="551" t="inlineStr">
        <is>
          <t>HVAC Replica</t>
        </is>
      </c>
      <c r="P659" s="551">
        <f>HVAC_IOs!O202</f>
        <v/>
      </c>
      <c r="Q659" s="551" t="n"/>
    </row>
    <row r="660" ht="21.75" customHeight="1">
      <c r="A660" s="20" t="n">
        <v>132</v>
      </c>
      <c r="B660" s="22" t="inlineStr">
        <is>
          <t>M203</t>
        </is>
      </c>
      <c r="C660" s="38" t="inlineStr">
        <is>
          <t>Door control TCMS mode</t>
        </is>
      </c>
      <c r="D660" s="29" t="inlineStr">
        <is>
          <t>boolean</t>
        </is>
      </c>
      <c r="E660" s="533" t="inlineStr">
        <is>
          <t>Cab</t>
        </is>
      </c>
      <c r="F660" s="533" t="n"/>
      <c r="G660" s="533" t="n"/>
      <c r="K660" s="551" t="n">
        <v>132</v>
      </c>
      <c r="L660" s="552" t="inlineStr">
        <is>
          <t>DO30</t>
        </is>
      </c>
      <c r="M660" s="551" t="inlineStr">
        <is>
          <t>Room Heater 1</t>
        </is>
      </c>
      <c r="N660" s="551" t="n"/>
      <c r="O660" s="551" t="inlineStr">
        <is>
          <t>HVAC Replica</t>
        </is>
      </c>
      <c r="P660" s="551">
        <f>HVAC_IOs!O203</f>
        <v/>
      </c>
      <c r="Q660" s="551" t="n"/>
    </row>
    <row r="661" ht="21.75" customHeight="1">
      <c r="A661" s="20" t="n">
        <v>133</v>
      </c>
      <c r="B661" s="22" t="inlineStr">
        <is>
          <t>M204</t>
        </is>
      </c>
      <c r="C661" s="38" t="inlineStr">
        <is>
          <t>Cab booster Fan Control 1</t>
        </is>
      </c>
      <c r="D661" s="29" t="inlineStr">
        <is>
          <t>boolean</t>
        </is>
      </c>
      <c r="E661" s="533" t="inlineStr">
        <is>
          <t>Cab</t>
        </is>
      </c>
      <c r="F661" s="533" t="n"/>
      <c r="G661" s="533" t="n"/>
      <c r="K661" s="551" t="n">
        <v>133</v>
      </c>
      <c r="L661" s="552" t="inlineStr">
        <is>
          <t>DO31</t>
        </is>
      </c>
      <c r="M661" s="551" t="inlineStr">
        <is>
          <t>Room Heater 2</t>
        </is>
      </c>
      <c r="N661" s="551" t="n"/>
      <c r="O661" s="551" t="inlineStr">
        <is>
          <t>HVAC Replica</t>
        </is>
      </c>
      <c r="P661" s="551">
        <f>HVAC_IOs!O204</f>
        <v/>
      </c>
      <c r="Q661" s="551" t="n"/>
    </row>
    <row r="662" ht="21.75" customHeight="1">
      <c r="A662" s="20" t="n">
        <v>134</v>
      </c>
      <c r="B662" s="22" t="inlineStr">
        <is>
          <t>M205</t>
        </is>
      </c>
      <c r="C662" s="38" t="inlineStr">
        <is>
          <t>Cab booster Fan Control 2</t>
        </is>
      </c>
      <c r="D662" s="29" t="inlineStr">
        <is>
          <t>boolean</t>
        </is>
      </c>
      <c r="E662" s="533" t="inlineStr">
        <is>
          <t>Cab</t>
        </is>
      </c>
      <c r="F662" s="533" t="n"/>
      <c r="G662" s="533" t="n"/>
      <c r="K662" s="551" t="n">
        <v>134</v>
      </c>
      <c r="L662" s="552" t="inlineStr">
        <is>
          <t>DO32</t>
        </is>
      </c>
      <c r="M662" s="551" t="inlineStr">
        <is>
          <t>Evaporator Solenoid Valve 1</t>
        </is>
      </c>
      <c r="N662" s="551" t="n"/>
      <c r="O662" s="551" t="inlineStr">
        <is>
          <t>HVAC Replica</t>
        </is>
      </c>
      <c r="P662" s="551">
        <f>HVAC_IOs!O205</f>
        <v/>
      </c>
      <c r="Q662" s="551" t="n"/>
    </row>
    <row r="663" ht="21.75" customHeight="1">
      <c r="A663" s="20" t="n">
        <v>135</v>
      </c>
      <c r="B663" s="22" t="inlineStr">
        <is>
          <t>M206</t>
        </is>
      </c>
      <c r="C663" s="38" t="inlineStr">
        <is>
          <t>Propulsion Control 1</t>
        </is>
      </c>
      <c r="D663" s="29" t="inlineStr">
        <is>
          <t>boolean</t>
        </is>
      </c>
      <c r="E663" s="533" t="inlineStr">
        <is>
          <t>Cab</t>
        </is>
      </c>
      <c r="F663" s="533" t="n"/>
      <c r="G663" s="533" t="n"/>
      <c r="K663" s="551" t="n">
        <v>135</v>
      </c>
      <c r="L663" s="552" t="inlineStr">
        <is>
          <t>DO33</t>
        </is>
      </c>
      <c r="M663" s="551" t="inlineStr">
        <is>
          <t>Evaporator Solenoid Valve 2</t>
        </is>
      </c>
      <c r="N663" s="551" t="n"/>
      <c r="O663" s="551" t="inlineStr">
        <is>
          <t>HVAC Replica</t>
        </is>
      </c>
      <c r="P663" s="551">
        <f>HVAC_IOs!O206</f>
        <v/>
      </c>
      <c r="Q663" s="551" t="n"/>
    </row>
    <row r="664" ht="21.75" customHeight="1">
      <c r="A664" s="20" t="n">
        <v>136</v>
      </c>
      <c r="B664" s="22" t="inlineStr">
        <is>
          <t>M207</t>
        </is>
      </c>
      <c r="C664" s="38" t="inlineStr">
        <is>
          <t>Propulsion Control 2</t>
        </is>
      </c>
      <c r="D664" s="29" t="inlineStr">
        <is>
          <t>boolean</t>
        </is>
      </c>
      <c r="E664" s="533" t="inlineStr">
        <is>
          <t>Cab</t>
        </is>
      </c>
      <c r="F664" s="533" t="n"/>
      <c r="G664" s="533" t="n"/>
      <c r="K664" s="551" t="n">
        <v>136</v>
      </c>
      <c r="L664" s="552" t="inlineStr">
        <is>
          <t>DO34</t>
        </is>
      </c>
      <c r="M664" s="551" t="inlineStr">
        <is>
          <t>Liquid Line Solenoid Valve 1</t>
        </is>
      </c>
      <c r="N664" s="551" t="n"/>
      <c r="O664" s="551" t="inlineStr">
        <is>
          <t>HVAC Replica</t>
        </is>
      </c>
      <c r="P664" s="551">
        <f>HVAC_IOs!O207</f>
        <v/>
      </c>
      <c r="Q664" s="551" t="n"/>
    </row>
    <row r="665" ht="21.75" customHeight="1">
      <c r="A665" s="20" t="n">
        <v>137</v>
      </c>
      <c r="B665" s="22" t="inlineStr">
        <is>
          <t>M208</t>
        </is>
      </c>
      <c r="C665" s="38" t="inlineStr">
        <is>
          <t xml:space="preserve">Key control </t>
        </is>
      </c>
      <c r="D665" s="29" t="inlineStr">
        <is>
          <t>boolean</t>
        </is>
      </c>
      <c r="E665" s="533" t="inlineStr">
        <is>
          <t>Cab</t>
        </is>
      </c>
      <c r="F665" s="533" t="n"/>
      <c r="G665" s="533" t="n"/>
      <c r="K665" s="551" t="n">
        <v>137</v>
      </c>
      <c r="L665" s="552" t="inlineStr">
        <is>
          <t>DO35</t>
        </is>
      </c>
      <c r="M665" s="551" t="inlineStr">
        <is>
          <t>Liquid Line Solenoid Valve 2</t>
        </is>
      </c>
      <c r="N665" s="551" t="n"/>
      <c r="O665" s="551" t="inlineStr">
        <is>
          <t>HVAC Replica</t>
        </is>
      </c>
      <c r="P665" s="551">
        <f>HVAC_IOs!O208</f>
        <v/>
      </c>
      <c r="Q665" s="551" t="n"/>
    </row>
    <row r="666" ht="21.75" customHeight="1">
      <c r="A666" s="20" t="n">
        <v>138</v>
      </c>
      <c r="B666" s="22" t="inlineStr">
        <is>
          <t>M209</t>
        </is>
      </c>
      <c r="C666" s="38" t="inlineStr">
        <is>
          <t xml:space="preserve">mode selector control </t>
        </is>
      </c>
      <c r="D666" s="29" t="inlineStr">
        <is>
          <t>boolean</t>
        </is>
      </c>
      <c r="E666" s="533" t="inlineStr">
        <is>
          <t>Cab</t>
        </is>
      </c>
      <c r="F666" s="533" t="n"/>
      <c r="G666" s="533" t="n"/>
      <c r="K666" s="551" t="n">
        <v>138</v>
      </c>
      <c r="L666" s="552" t="inlineStr">
        <is>
          <t>DO36</t>
        </is>
      </c>
      <c r="M666" s="551" t="inlineStr">
        <is>
          <t>CF1 AND 2 HW LED</t>
        </is>
      </c>
      <c r="N666" s="551" t="n"/>
      <c r="O666" s="551" t="inlineStr">
        <is>
          <t>HVAC Replica</t>
        </is>
      </c>
      <c r="P666" s="551">
        <f>HVAC_IOs!O209</f>
        <v/>
      </c>
      <c r="Q666" s="551" t="n"/>
    </row>
    <row r="667" ht="21.75" customHeight="1">
      <c r="A667" s="20" t="n">
        <v>139</v>
      </c>
      <c r="B667" s="22" t="inlineStr">
        <is>
          <t>M210</t>
        </is>
      </c>
      <c r="C667" s="38" t="inlineStr">
        <is>
          <t>ATB Control</t>
        </is>
      </c>
      <c r="D667" s="29" t="inlineStr">
        <is>
          <t>boolean</t>
        </is>
      </c>
      <c r="E667" s="533" t="inlineStr">
        <is>
          <t>Cab</t>
        </is>
      </c>
      <c r="F667" s="533" t="n"/>
      <c r="G667" s="533" t="n"/>
      <c r="K667" s="551" t="n">
        <v>139</v>
      </c>
      <c r="L667" s="552" t="inlineStr">
        <is>
          <t>DO37</t>
        </is>
      </c>
      <c r="M667" s="551" t="inlineStr">
        <is>
          <t>HP Switch 1</t>
        </is>
      </c>
      <c r="N667" s="551" t="n"/>
      <c r="O667" s="551" t="inlineStr">
        <is>
          <t>HVAC Replica</t>
        </is>
      </c>
      <c r="P667" s="551">
        <f>HVAC_IOs!O210</f>
        <v/>
      </c>
      <c r="Q667" s="551" t="n"/>
    </row>
    <row r="668" ht="21.75" customHeight="1">
      <c r="A668" s="20" t="n">
        <v>140</v>
      </c>
      <c r="B668" s="22" t="inlineStr">
        <is>
          <t>M211</t>
        </is>
      </c>
      <c r="C668" s="38" t="inlineStr">
        <is>
          <t>ATO Feedback/ATB Control</t>
        </is>
      </c>
      <c r="D668" s="29" t="inlineStr">
        <is>
          <t>boolean</t>
        </is>
      </c>
      <c r="E668" s="533" t="inlineStr">
        <is>
          <t>Cab</t>
        </is>
      </c>
      <c r="F668" s="533" t="n"/>
      <c r="G668" s="533" t="n"/>
      <c r="K668" s="551" t="n">
        <v>140</v>
      </c>
      <c r="L668" s="552" t="inlineStr">
        <is>
          <t>DO38</t>
        </is>
      </c>
      <c r="M668" s="551" t="inlineStr">
        <is>
          <t>HP Switch 2</t>
        </is>
      </c>
      <c r="N668" s="551" t="n"/>
      <c r="O668" s="551" t="inlineStr">
        <is>
          <t>HVAC Replica</t>
        </is>
      </c>
      <c r="P668" s="551">
        <f>HVAC_IOs!O211</f>
        <v/>
      </c>
      <c r="Q668" s="551" t="n"/>
    </row>
    <row r="669" ht="21.75" customHeight="1">
      <c r="A669" s="20" t="n">
        <v>141</v>
      </c>
      <c r="B669" s="22" t="inlineStr">
        <is>
          <t>M212</t>
        </is>
      </c>
      <c r="C669" s="38" t="inlineStr">
        <is>
          <t xml:space="preserve">Coulper </t>
        </is>
      </c>
      <c r="D669" s="29" t="inlineStr">
        <is>
          <t>boolean</t>
        </is>
      </c>
      <c r="E669" s="533" t="inlineStr">
        <is>
          <t>Cab</t>
        </is>
      </c>
      <c r="F669" s="533" t="n"/>
      <c r="G669" s="533" t="n"/>
      <c r="K669" s="551" t="n">
        <v>141</v>
      </c>
      <c r="L669" s="552" t="inlineStr">
        <is>
          <t>DO39</t>
        </is>
      </c>
      <c r="M669" s="551" t="inlineStr">
        <is>
          <t>Sight Galss 1</t>
        </is>
      </c>
      <c r="N669" s="551" t="n"/>
      <c r="O669" s="551" t="inlineStr">
        <is>
          <t>HVAC Replica</t>
        </is>
      </c>
      <c r="P669" s="551">
        <f>HVAC_IOs!O212</f>
        <v/>
      </c>
      <c r="Q669" s="551" t="n"/>
    </row>
    <row r="670" ht="21.75" customHeight="1">
      <c r="A670" s="20" t="n">
        <v>142</v>
      </c>
      <c r="B670" s="22" t="inlineStr">
        <is>
          <t>M213</t>
        </is>
      </c>
      <c r="C670" s="38" t="inlineStr">
        <is>
          <t>Brake Electronic Control 2</t>
        </is>
      </c>
      <c r="D670" s="29" t="inlineStr">
        <is>
          <t>boolean</t>
        </is>
      </c>
      <c r="E670" s="533" t="inlineStr">
        <is>
          <t>Cab</t>
        </is>
      </c>
      <c r="F670" s="533" t="n"/>
      <c r="G670" s="533" t="n"/>
      <c r="K670" s="551" t="n">
        <v>142</v>
      </c>
      <c r="L670" s="552" t="inlineStr">
        <is>
          <t>DO40</t>
        </is>
      </c>
      <c r="M670" s="551" t="inlineStr">
        <is>
          <t>Sight Galss 2</t>
        </is>
      </c>
      <c r="N670" s="551" t="n"/>
      <c r="O670" s="551" t="inlineStr">
        <is>
          <t>HVAC Replica</t>
        </is>
      </c>
      <c r="P670" s="551">
        <f>HVAC_IOs!O213</f>
        <v/>
      </c>
      <c r="Q670" s="551" t="n"/>
    </row>
    <row r="671" ht="21.75" customHeight="1">
      <c r="A671" s="20" t="n">
        <v>143</v>
      </c>
      <c r="B671" s="22" t="inlineStr">
        <is>
          <t>M214</t>
        </is>
      </c>
      <c r="C671" s="38" t="inlineStr">
        <is>
          <t>Brake Control 1</t>
        </is>
      </c>
      <c r="D671" s="29" t="inlineStr">
        <is>
          <t>boolean</t>
        </is>
      </c>
      <c r="E671" s="533" t="inlineStr">
        <is>
          <t>Cab</t>
        </is>
      </c>
      <c r="F671" s="533" t="n"/>
      <c r="G671" s="533" t="n"/>
      <c r="K671" s="551" t="n">
        <v>143</v>
      </c>
      <c r="L671" s="552" t="inlineStr">
        <is>
          <t>DO41</t>
        </is>
      </c>
      <c r="M671" s="551" t="inlineStr">
        <is>
          <t xml:space="preserve"> FAD 1 HW LED</t>
        </is>
      </c>
      <c r="N671" s="551" t="n"/>
      <c r="O671" s="551" t="inlineStr">
        <is>
          <t>HVAC Replica</t>
        </is>
      </c>
      <c r="P671" s="551">
        <f>HVAC_IOs!O214</f>
        <v/>
      </c>
      <c r="Q671" s="551" t="n"/>
    </row>
    <row r="672" ht="21.75" customHeight="1">
      <c r="A672" s="20" t="n">
        <v>144</v>
      </c>
      <c r="B672" s="22" t="inlineStr">
        <is>
          <t>M215</t>
        </is>
      </c>
      <c r="C672" s="38" t="inlineStr">
        <is>
          <t>ATO Mode</t>
        </is>
      </c>
      <c r="D672" s="29" t="inlineStr">
        <is>
          <t>boolean</t>
        </is>
      </c>
      <c r="E672" s="533" t="inlineStr">
        <is>
          <t>Cab</t>
        </is>
      </c>
      <c r="F672" s="533" t="n"/>
      <c r="G672" s="533" t="n"/>
      <c r="K672" s="551" t="n">
        <v>144</v>
      </c>
      <c r="L672" s="552" t="inlineStr">
        <is>
          <t>DO42</t>
        </is>
      </c>
      <c r="M672" s="551" t="inlineStr">
        <is>
          <t xml:space="preserve"> FAD 2 HW LED</t>
        </is>
      </c>
      <c r="N672" s="551" t="n"/>
      <c r="O672" s="551" t="inlineStr">
        <is>
          <t>HVAC Replica</t>
        </is>
      </c>
      <c r="P672" s="551">
        <f>HVAC_IOs!O215</f>
        <v/>
      </c>
      <c r="Q672" s="551" t="n"/>
    </row>
    <row r="673" ht="21.75" customHeight="1">
      <c r="A673" s="20" t="n">
        <v>145</v>
      </c>
      <c r="B673" s="22" t="inlineStr">
        <is>
          <t>M216</t>
        </is>
      </c>
      <c r="C673" s="38" t="inlineStr">
        <is>
          <t xml:space="preserve">Emergency Brake Loop </t>
        </is>
      </c>
      <c r="D673" s="29" t="inlineStr">
        <is>
          <t>boolean</t>
        </is>
      </c>
      <c r="E673" s="533" t="inlineStr">
        <is>
          <t>Cab</t>
        </is>
      </c>
      <c r="F673" s="533" t="n"/>
      <c r="G673" s="533" t="n"/>
      <c r="K673" s="551" t="n">
        <v>145</v>
      </c>
      <c r="L673" s="552" t="inlineStr">
        <is>
          <t>DO43</t>
        </is>
      </c>
      <c r="M673" s="551" t="inlineStr">
        <is>
          <t>Condensor Coil  1</t>
        </is>
      </c>
      <c r="N673" s="551" t="n"/>
      <c r="O673" s="551" t="inlineStr">
        <is>
          <t>HVAC Replica</t>
        </is>
      </c>
      <c r="P673" s="551">
        <f>HVAC_IOs!O216</f>
        <v/>
      </c>
      <c r="Q673" s="551" t="n"/>
    </row>
    <row r="674" ht="21.75" customHeight="1">
      <c r="A674" s="20" t="n">
        <v>146</v>
      </c>
      <c r="B674" s="22" t="inlineStr">
        <is>
          <t>M217</t>
        </is>
      </c>
      <c r="C674" s="38" t="inlineStr">
        <is>
          <t>Brake Control 2</t>
        </is>
      </c>
      <c r="D674" s="29" t="inlineStr">
        <is>
          <t>boolean</t>
        </is>
      </c>
      <c r="E674" s="533" t="inlineStr">
        <is>
          <t>Cab</t>
        </is>
      </c>
      <c r="F674" s="533" t="n"/>
      <c r="G674" s="533" t="n"/>
      <c r="K674" s="551" t="n">
        <v>146</v>
      </c>
      <c r="L674" s="552" t="inlineStr">
        <is>
          <t>DO44</t>
        </is>
      </c>
      <c r="M674" s="551" t="inlineStr">
        <is>
          <t>Condensor Coil  2</t>
        </is>
      </c>
      <c r="N674" s="551" t="n"/>
      <c r="O674" s="551" t="inlineStr">
        <is>
          <t>HVAC Replica</t>
        </is>
      </c>
      <c r="P674" s="551">
        <f>HVAC_IOs!O217</f>
        <v/>
      </c>
      <c r="Q674" s="551" t="n"/>
    </row>
    <row r="675" ht="21.75" customHeight="1">
      <c r="A675" s="20" t="n">
        <v>147</v>
      </c>
      <c r="B675" s="22" t="inlineStr">
        <is>
          <t>M218</t>
        </is>
      </c>
      <c r="C675" s="38" t="inlineStr">
        <is>
          <t>Master Controller Control</t>
        </is>
      </c>
      <c r="D675" s="29" t="inlineStr">
        <is>
          <t>boolean</t>
        </is>
      </c>
      <c r="E675" s="533" t="inlineStr">
        <is>
          <t>Cab</t>
        </is>
      </c>
      <c r="F675" s="533" t="n"/>
      <c r="G675" s="533" t="n"/>
      <c r="K675" s="551" t="n">
        <v>147</v>
      </c>
      <c r="L675" s="552" t="inlineStr">
        <is>
          <t>DO45</t>
        </is>
      </c>
      <c r="M675" s="551" t="inlineStr">
        <is>
          <t>Inverter HW LED</t>
        </is>
      </c>
      <c r="N675" s="551" t="n"/>
      <c r="O675" s="551" t="inlineStr">
        <is>
          <t>HVAC Replica</t>
        </is>
      </c>
      <c r="P675" s="551">
        <f>HVAC_IOs!O218</f>
        <v/>
      </c>
      <c r="Q675" s="551" t="n"/>
    </row>
    <row r="676" ht="21.75" customHeight="1">
      <c r="A676" s="20" t="n">
        <v>148</v>
      </c>
      <c r="B676" s="22" t="inlineStr">
        <is>
          <t>M219</t>
        </is>
      </c>
      <c r="C676" s="38" t="inlineStr">
        <is>
          <t>Horn Control</t>
        </is>
      </c>
      <c r="D676" s="29" t="inlineStr">
        <is>
          <t>boolean</t>
        </is>
      </c>
      <c r="E676" s="533" t="inlineStr">
        <is>
          <t>Cab</t>
        </is>
      </c>
      <c r="F676" s="533" t="n"/>
      <c r="G676" s="533" t="n"/>
      <c r="K676" s="551" t="n">
        <v>148</v>
      </c>
      <c r="L676" s="552" t="inlineStr">
        <is>
          <t>DO46</t>
        </is>
      </c>
      <c r="M676" s="551" t="inlineStr">
        <is>
          <t>comp 1</t>
        </is>
      </c>
      <c r="N676" s="551" t="n"/>
      <c r="O676" s="551" t="inlineStr">
        <is>
          <t>HVAC Replica</t>
        </is>
      </c>
      <c r="P676" s="551">
        <f>HVAC_IOs!O219</f>
        <v/>
      </c>
      <c r="Q676" s="551" t="n"/>
    </row>
    <row r="677" ht="21.75" customHeight="1">
      <c r="A677" s="20" t="n">
        <v>149</v>
      </c>
      <c r="B677" s="22" t="inlineStr">
        <is>
          <t>M220</t>
        </is>
      </c>
      <c r="C677" s="38" t="inlineStr">
        <is>
          <t>ATC Bypass</t>
        </is>
      </c>
      <c r="D677" s="29" t="inlineStr">
        <is>
          <t>boolean</t>
        </is>
      </c>
      <c r="E677" s="533" t="inlineStr">
        <is>
          <t>Cab</t>
        </is>
      </c>
      <c r="F677" s="533" t="n"/>
      <c r="G677" s="533" t="n"/>
      <c r="K677" s="551" t="n">
        <v>149</v>
      </c>
      <c r="L677" s="552" t="inlineStr">
        <is>
          <t>DO47</t>
        </is>
      </c>
      <c r="M677" s="551" t="inlineStr">
        <is>
          <t>comp 2</t>
        </is>
      </c>
      <c r="N677" s="551" t="n"/>
      <c r="O677" s="551" t="inlineStr">
        <is>
          <t>HVAC Replica</t>
        </is>
      </c>
      <c r="P677" s="551">
        <f>HVAC_IOs!O220</f>
        <v/>
      </c>
      <c r="Q677" s="551" t="n"/>
    </row>
    <row r="678" ht="21.75" customHeight="1">
      <c r="A678" s="20" t="n">
        <v>150</v>
      </c>
      <c r="B678" s="22" t="inlineStr">
        <is>
          <t>M221</t>
        </is>
      </c>
      <c r="C678" s="38" t="inlineStr">
        <is>
          <t>Full Service Brake TL</t>
        </is>
      </c>
      <c r="D678" s="29" t="inlineStr">
        <is>
          <t>boolean</t>
        </is>
      </c>
      <c r="E678" s="533" t="inlineStr">
        <is>
          <t>Cab</t>
        </is>
      </c>
      <c r="F678" s="533" t="n"/>
      <c r="G678" s="533" t="n"/>
      <c r="K678" s="551" t="n">
        <v>150</v>
      </c>
      <c r="L678" s="552" t="inlineStr">
        <is>
          <t>DO48</t>
        </is>
      </c>
      <c r="M678" s="551" t="inlineStr">
        <is>
          <t>comp 3</t>
        </is>
      </c>
      <c r="N678" s="551" t="n"/>
      <c r="O678" s="551" t="inlineStr">
        <is>
          <t>HVAC Replica</t>
        </is>
      </c>
      <c r="P678" s="551">
        <f>HVAC_IOs!O221</f>
        <v/>
      </c>
      <c r="Q678" s="551" t="n"/>
    </row>
    <row r="679" ht="21.75" customHeight="1">
      <c r="A679" s="20" t="n">
        <v>151</v>
      </c>
      <c r="B679" s="22" t="inlineStr">
        <is>
          <t>M222</t>
        </is>
      </c>
      <c r="C679" s="38" t="inlineStr">
        <is>
          <t>MOP Control</t>
        </is>
      </c>
      <c r="D679" s="29" t="inlineStr">
        <is>
          <t>boolean</t>
        </is>
      </c>
      <c r="E679" s="533" t="inlineStr">
        <is>
          <t>Cab</t>
        </is>
      </c>
      <c r="F679" s="533" t="n"/>
      <c r="G679" s="533" t="n"/>
      <c r="K679" s="551" t="n">
        <v>151</v>
      </c>
      <c r="L679" s="552" t="inlineStr">
        <is>
          <t>DO49</t>
        </is>
      </c>
      <c r="M679" s="551" t="inlineStr">
        <is>
          <t>comp 4</t>
        </is>
      </c>
      <c r="N679" s="551" t="n"/>
      <c r="O679" s="551" t="inlineStr">
        <is>
          <t>HVAC Replica</t>
        </is>
      </c>
      <c r="P679" s="551">
        <f>HVAC_IOs!O222</f>
        <v/>
      </c>
      <c r="Q679" s="551" t="n"/>
    </row>
    <row r="680" ht="21.75" customHeight="1">
      <c r="A680" s="20" t="n">
        <v>152</v>
      </c>
      <c r="B680" s="22" t="inlineStr">
        <is>
          <t>M223</t>
        </is>
      </c>
      <c r="C680" s="38" t="inlineStr">
        <is>
          <t>Driver Desk Fan</t>
        </is>
      </c>
      <c r="D680" s="29" t="inlineStr">
        <is>
          <t>boolean</t>
        </is>
      </c>
      <c r="E680" s="533" t="inlineStr">
        <is>
          <t>Cab</t>
        </is>
      </c>
      <c r="F680" s="533" t="n"/>
      <c r="G680" s="533" t="n"/>
      <c r="K680" s="551" t="n">
        <v>152</v>
      </c>
      <c r="L680" s="552" t="inlineStr">
        <is>
          <t>DO50</t>
        </is>
      </c>
      <c r="M680" s="551" t="inlineStr">
        <is>
          <t>SAF</t>
        </is>
      </c>
      <c r="N680" s="551" t="n"/>
      <c r="O680" s="551" t="inlineStr">
        <is>
          <t>HVAC Replica</t>
        </is>
      </c>
      <c r="P680" s="551">
        <f>HVAC_IOs!O223</f>
        <v/>
      </c>
      <c r="Q680" s="551" t="n"/>
    </row>
    <row r="681" ht="21.75" customHeight="1">
      <c r="A681" s="20" t="n">
        <v>153</v>
      </c>
      <c r="B681" s="22" t="inlineStr">
        <is>
          <t>M224</t>
        </is>
      </c>
      <c r="C681" s="38" t="inlineStr">
        <is>
          <t>DMI Power</t>
        </is>
      </c>
      <c r="D681" s="29" t="inlineStr">
        <is>
          <t>boolean</t>
        </is>
      </c>
      <c r="E681" s="533" t="inlineStr">
        <is>
          <t>Cab</t>
        </is>
      </c>
      <c r="F681" s="533" t="n"/>
      <c r="G681" s="533" t="n"/>
      <c r="K681" s="551" t="n">
        <v>153</v>
      </c>
      <c r="L681" s="552" t="inlineStr">
        <is>
          <t>DO51</t>
        </is>
      </c>
      <c r="M681" s="551" t="inlineStr">
        <is>
          <t>Emergency Inverter</t>
        </is>
      </c>
      <c r="N681" s="551" t="n"/>
      <c r="O681" s="551" t="inlineStr">
        <is>
          <t>HVAC Replica</t>
        </is>
      </c>
      <c r="P681" s="551">
        <f>HVAC_IOs!O224</f>
        <v/>
      </c>
      <c r="Q681" s="551" t="n"/>
    </row>
    <row r="682" ht="21.75" customHeight="1">
      <c r="A682" s="20" t="n">
        <v>154</v>
      </c>
      <c r="B682" s="22" t="inlineStr">
        <is>
          <t>M225</t>
        </is>
      </c>
      <c r="C682" s="38" t="inlineStr">
        <is>
          <t>ATC Power Supply Control</t>
        </is>
      </c>
      <c r="D682" s="29" t="inlineStr">
        <is>
          <t>boolean</t>
        </is>
      </c>
      <c r="E682" s="533" t="inlineStr">
        <is>
          <t>Cab</t>
        </is>
      </c>
      <c r="F682" s="533" t="n"/>
      <c r="G682" s="533" t="n"/>
      <c r="K682" s="551" t="n">
        <v>154</v>
      </c>
      <c r="L682" s="552" t="inlineStr">
        <is>
          <t>DO52</t>
        </is>
      </c>
      <c r="M682" s="551" t="inlineStr">
        <is>
          <t>Condensor Fan</t>
        </is>
      </c>
      <c r="N682" s="551" t="n"/>
      <c r="O682" s="551" t="inlineStr">
        <is>
          <t>HVAC Replica</t>
        </is>
      </c>
      <c r="P682" s="551">
        <f>HVAC_IOs!O225</f>
        <v/>
      </c>
      <c r="Q682" s="551" t="n"/>
    </row>
    <row r="683" ht="21.75" customHeight="1">
      <c r="A683" s="25" t="n">
        <v>155</v>
      </c>
      <c r="B683" s="25" t="n"/>
      <c r="C683" s="42" t="n"/>
      <c r="D683" s="29" t="inlineStr">
        <is>
          <t>boolean</t>
        </is>
      </c>
      <c r="E683" s="25" t="n"/>
      <c r="F683" s="25" t="n"/>
      <c r="G683" s="25" t="n"/>
      <c r="K683" s="551" t="n">
        <v>155</v>
      </c>
      <c r="L683" s="552" t="inlineStr">
        <is>
          <t>DO53</t>
        </is>
      </c>
      <c r="M683" s="551" t="inlineStr">
        <is>
          <t>Mixed Air</t>
        </is>
      </c>
      <c r="N683" s="551" t="n"/>
      <c r="O683" s="551" t="inlineStr">
        <is>
          <t>HVAC Replica</t>
        </is>
      </c>
      <c r="P683" s="551">
        <f>HVAC_IOs!O226</f>
        <v/>
      </c>
      <c r="Q683" s="551" t="n"/>
    </row>
    <row r="684" ht="21.75" customHeight="1">
      <c r="A684" s="552" t="n">
        <v>156</v>
      </c>
      <c r="B684" s="552" t="inlineStr">
        <is>
          <t>DI00</t>
        </is>
      </c>
      <c r="C684" s="553" t="inlineStr">
        <is>
          <t>Door 1 LH Limit Switch</t>
        </is>
      </c>
      <c r="D684" s="554" t="inlineStr">
        <is>
          <t>boolean</t>
        </is>
      </c>
      <c r="E684" s="551" t="inlineStr">
        <is>
          <t>HVAC Replica</t>
        </is>
      </c>
      <c r="F684" s="551" t="n"/>
      <c r="G684" s="551" t="n"/>
      <c r="K684" s="551" t="n">
        <v>156</v>
      </c>
      <c r="L684" s="552" t="inlineStr">
        <is>
          <t>DO54</t>
        </is>
      </c>
      <c r="M684" s="551" t="inlineStr">
        <is>
          <t>FAD</t>
        </is>
      </c>
      <c r="N684" s="551" t="n"/>
      <c r="O684" s="551" t="inlineStr">
        <is>
          <t>HVAC Replica</t>
        </is>
      </c>
      <c r="P684" s="551">
        <f>HVAC_IOs!O227</f>
        <v/>
      </c>
      <c r="Q684" s="551" t="n"/>
    </row>
    <row r="685" ht="21.75" customHeight="1">
      <c r="A685" s="552" t="n">
        <v>157</v>
      </c>
      <c r="B685" s="552" t="inlineStr">
        <is>
          <t>DI01</t>
        </is>
      </c>
      <c r="C685" s="553" t="inlineStr">
        <is>
          <t>Door 1 RH Limit Switch</t>
        </is>
      </c>
      <c r="D685" s="554" t="inlineStr">
        <is>
          <t>boolean</t>
        </is>
      </c>
      <c r="E685" s="551" t="inlineStr">
        <is>
          <t>HVAC Replica</t>
        </is>
      </c>
      <c r="F685" s="551" t="n"/>
      <c r="G685" s="551" t="n"/>
      <c r="K685" s="551" t="n">
        <v>157</v>
      </c>
      <c r="L685" s="552" t="inlineStr">
        <is>
          <t>DO55</t>
        </is>
      </c>
      <c r="M685" s="551" t="inlineStr">
        <is>
          <t>Evaporator Coil</t>
        </is>
      </c>
      <c r="N685" s="551" t="n"/>
      <c r="O685" s="551" t="inlineStr">
        <is>
          <t>HVAC Replica</t>
        </is>
      </c>
      <c r="P685" s="551">
        <f>HVAC_IOs!O228</f>
        <v/>
      </c>
      <c r="Q685" s="551" t="n"/>
    </row>
    <row r="686" ht="21.75" customHeight="1">
      <c r="A686" s="552" t="n">
        <v>158</v>
      </c>
      <c r="B686" s="552" t="inlineStr">
        <is>
          <t>DI02</t>
        </is>
      </c>
      <c r="C686" s="553" t="inlineStr">
        <is>
          <t>Door 2 LH Limit Switch</t>
        </is>
      </c>
      <c r="D686" s="554" t="inlineStr">
        <is>
          <t>boolean</t>
        </is>
      </c>
      <c r="E686" s="551" t="inlineStr">
        <is>
          <t>HVAC Replica</t>
        </is>
      </c>
      <c r="F686" s="551" t="n"/>
      <c r="G686" s="551" t="n"/>
      <c r="K686" s="551" t="n">
        <v>158</v>
      </c>
      <c r="L686" s="552" t="inlineStr">
        <is>
          <t>DO56</t>
        </is>
      </c>
      <c r="M686" s="551" t="inlineStr">
        <is>
          <t>HP/LP</t>
        </is>
      </c>
      <c r="N686" s="551" t="n"/>
      <c r="O686" s="551" t="inlineStr">
        <is>
          <t>HVAC Replica</t>
        </is>
      </c>
      <c r="P686" s="551">
        <f>HVAC_IOs!O229</f>
        <v/>
      </c>
      <c r="Q686" s="551" t="n"/>
    </row>
    <row r="687" ht="21.75" customHeight="1">
      <c r="A687" s="552" t="n">
        <v>159</v>
      </c>
      <c r="B687" s="552" t="inlineStr">
        <is>
          <t>DI03</t>
        </is>
      </c>
      <c r="C687" s="553" t="inlineStr">
        <is>
          <t>Door 2 RH Limit Switch</t>
        </is>
      </c>
      <c r="D687" s="554" t="inlineStr">
        <is>
          <t>boolean</t>
        </is>
      </c>
      <c r="E687" s="551" t="inlineStr">
        <is>
          <t>HVAC Replica</t>
        </is>
      </c>
      <c r="F687" s="551" t="n"/>
      <c r="G687" s="551" t="n"/>
      <c r="K687" s="551" t="n">
        <v>159</v>
      </c>
      <c r="L687" s="552" t="inlineStr">
        <is>
          <t>DO57</t>
        </is>
      </c>
      <c r="M687" s="551" t="inlineStr">
        <is>
          <t>Blank</t>
        </is>
      </c>
      <c r="N687" s="551" t="n"/>
      <c r="O687" s="551" t="inlineStr">
        <is>
          <t>HVAC Replica</t>
        </is>
      </c>
      <c r="P687" s="551">
        <f>HVAC_IOs!O230</f>
        <v/>
      </c>
      <c r="Q687" s="551" t="n"/>
    </row>
    <row r="688" ht="21.75" customHeight="1">
      <c r="A688" s="552" t="n">
        <v>160</v>
      </c>
      <c r="B688" s="552" t="inlineStr">
        <is>
          <t>DI04</t>
        </is>
      </c>
      <c r="C688" s="553" t="inlineStr">
        <is>
          <t>Door 1 Center Limit Switch (Centre)</t>
        </is>
      </c>
      <c r="D688" s="554" t="inlineStr">
        <is>
          <t>boolean</t>
        </is>
      </c>
      <c r="E688" s="551" t="inlineStr">
        <is>
          <t>HVAC Replica</t>
        </is>
      </c>
      <c r="F688" s="551" t="n"/>
      <c r="G688" s="551" t="n"/>
      <c r="K688" s="551" t="n">
        <v>160</v>
      </c>
      <c r="L688" s="552" t="inlineStr">
        <is>
          <t>DO58</t>
        </is>
      </c>
      <c r="M688" s="551" t="inlineStr">
        <is>
          <t>Blank</t>
        </is>
      </c>
      <c r="N688" s="551" t="n"/>
      <c r="O688" s="551" t="inlineStr">
        <is>
          <t>HVAC Replica</t>
        </is>
      </c>
      <c r="P688" s="551">
        <f>HVAC_IOs!O231</f>
        <v/>
      </c>
      <c r="Q688" s="551" t="n"/>
    </row>
    <row r="689" ht="21.75" customHeight="1">
      <c r="A689" s="552" t="n">
        <v>161</v>
      </c>
      <c r="B689" s="552" t="inlineStr">
        <is>
          <t>DI05</t>
        </is>
      </c>
      <c r="C689" s="553" t="inlineStr">
        <is>
          <t>Door 2 Center Limit Switch (right side)</t>
        </is>
      </c>
      <c r="D689" s="554" t="inlineStr">
        <is>
          <t>boolean</t>
        </is>
      </c>
      <c r="E689" s="551" t="inlineStr">
        <is>
          <t>HVAC Replica</t>
        </is>
      </c>
      <c r="F689" s="551" t="n"/>
      <c r="G689" s="551" t="n"/>
      <c r="K689" s="551" t="n">
        <v>161</v>
      </c>
      <c r="L689" s="551" t="n"/>
      <c r="M689" s="551" t="inlineStr">
        <is>
          <t>spare</t>
        </is>
      </c>
      <c r="N689" s="551" t="n"/>
      <c r="O689" s="555" t="n"/>
      <c r="P689" s="555" t="n"/>
      <c r="Q689" s="551" t="n"/>
    </row>
    <row r="690" ht="21.75" customHeight="1">
      <c r="A690" s="552" t="n">
        <v>162</v>
      </c>
      <c r="B690" s="552" t="inlineStr">
        <is>
          <t>DI06</t>
        </is>
      </c>
      <c r="C690" s="553" t="inlineStr">
        <is>
          <t>Spare</t>
        </is>
      </c>
      <c r="D690" s="554" t="inlineStr">
        <is>
          <t>boolean</t>
        </is>
      </c>
      <c r="E690" s="551" t="inlineStr">
        <is>
          <t>HVAC Replica</t>
        </is>
      </c>
      <c r="F690" s="551" t="n"/>
      <c r="G690" s="551" t="n"/>
      <c r="K690" s="551" t="n">
        <v>162</v>
      </c>
      <c r="L690" s="551" t="n"/>
      <c r="M690" s="551" t="inlineStr">
        <is>
          <t>spare</t>
        </is>
      </c>
      <c r="N690" s="551" t="n"/>
      <c r="O690" s="555" t="n"/>
      <c r="P690" s="555" t="n"/>
      <c r="Q690" s="551" t="n"/>
    </row>
    <row r="691" ht="21.75" customHeight="1">
      <c r="A691" s="552" t="n">
        <v>163</v>
      </c>
      <c r="B691" s="552" t="inlineStr">
        <is>
          <t>DI07</t>
        </is>
      </c>
      <c r="C691" s="553" t="inlineStr">
        <is>
          <t>Spare</t>
        </is>
      </c>
      <c r="D691" s="554" t="inlineStr">
        <is>
          <t>boolean</t>
        </is>
      </c>
      <c r="E691" s="551" t="inlineStr">
        <is>
          <t>HVAC Replica</t>
        </is>
      </c>
      <c r="F691" s="551" t="n"/>
      <c r="G691" s="551" t="n"/>
      <c r="K691" s="551" t="n">
        <v>163</v>
      </c>
      <c r="L691" s="551" t="n"/>
      <c r="M691" s="551" t="inlineStr">
        <is>
          <t>spare</t>
        </is>
      </c>
      <c r="N691" s="551" t="n"/>
      <c r="O691" s="555" t="n"/>
      <c r="P691" s="555" t="n"/>
      <c r="Q691" s="551" t="n"/>
    </row>
    <row r="692" ht="21.75" customHeight="1">
      <c r="A692" s="552" t="n">
        <v>164</v>
      </c>
      <c r="B692" s="552" t="inlineStr">
        <is>
          <t>DI08</t>
        </is>
      </c>
      <c r="C692" s="553" t="inlineStr">
        <is>
          <t>Spare</t>
        </is>
      </c>
      <c r="D692" s="554" t="inlineStr">
        <is>
          <t>boolean</t>
        </is>
      </c>
      <c r="E692" s="551" t="inlineStr">
        <is>
          <t>HVAC Replica</t>
        </is>
      </c>
      <c r="F692" s="551" t="n"/>
      <c r="G692" s="551" t="n"/>
      <c r="K692" s="551" t="n">
        <v>164</v>
      </c>
      <c r="L692" s="551" t="n"/>
      <c r="M692" s="551" t="inlineStr">
        <is>
          <t>spare</t>
        </is>
      </c>
      <c r="N692" s="551" t="n"/>
      <c r="O692" s="555" t="n"/>
      <c r="P692" s="555" t="n"/>
      <c r="Q692" s="551" t="n"/>
    </row>
    <row r="693" ht="21.75" customHeight="1">
      <c r="A693" s="552" t="n">
        <v>165</v>
      </c>
      <c r="B693" s="552" t="inlineStr">
        <is>
          <t>DI09</t>
        </is>
      </c>
      <c r="C693" s="553" t="inlineStr">
        <is>
          <t>Spare</t>
        </is>
      </c>
      <c r="D693" s="554" t="inlineStr">
        <is>
          <t>boolean</t>
        </is>
      </c>
      <c r="E693" s="551" t="inlineStr">
        <is>
          <t>HVAC Replica</t>
        </is>
      </c>
      <c r="F693" s="551" t="n"/>
      <c r="G693" s="551" t="n"/>
      <c r="K693" s="551" t="n">
        <v>165</v>
      </c>
      <c r="L693" s="551" t="n"/>
      <c r="M693" s="551" t="inlineStr">
        <is>
          <t>spare</t>
        </is>
      </c>
      <c r="N693" s="551" t="n"/>
      <c r="O693" s="555" t="n"/>
      <c r="P693" s="555" t="n"/>
      <c r="Q693" s="551" t="n"/>
    </row>
    <row r="694" ht="21.75" customHeight="1">
      <c r="A694" s="552" t="n">
        <v>166</v>
      </c>
      <c r="B694" s="552" t="inlineStr">
        <is>
          <t>DI10</t>
        </is>
      </c>
      <c r="C694" s="553" t="inlineStr">
        <is>
          <t>Spare</t>
        </is>
      </c>
      <c r="D694" s="554" t="inlineStr">
        <is>
          <t>boolean</t>
        </is>
      </c>
      <c r="E694" s="551" t="inlineStr">
        <is>
          <t>HVAC Replica</t>
        </is>
      </c>
      <c r="F694" s="551" t="n"/>
      <c r="G694" s="551" t="n"/>
      <c r="K694" s="551" t="n">
        <v>166</v>
      </c>
      <c r="L694" s="551" t="n"/>
      <c r="M694" s="551" t="inlineStr">
        <is>
          <t>spare</t>
        </is>
      </c>
      <c r="N694" s="551" t="n"/>
      <c r="O694" s="555" t="n"/>
      <c r="P694" s="555" t="n"/>
      <c r="Q694" s="551" t="n"/>
    </row>
    <row r="695" ht="21.75" customHeight="1">
      <c r="A695" s="552" t="n">
        <v>167</v>
      </c>
      <c r="B695" s="552" t="inlineStr">
        <is>
          <t>DI11</t>
        </is>
      </c>
      <c r="C695" s="553" t="inlineStr">
        <is>
          <t>Spare</t>
        </is>
      </c>
      <c r="D695" s="554" t="inlineStr">
        <is>
          <t>boolean</t>
        </is>
      </c>
      <c r="E695" s="551" t="inlineStr">
        <is>
          <t>HVAC Replica</t>
        </is>
      </c>
      <c r="F695" s="551" t="n"/>
      <c r="G695" s="551" t="n"/>
      <c r="K695" s="551" t="n">
        <v>167</v>
      </c>
      <c r="L695" s="551" t="n"/>
      <c r="M695" s="551" t="inlineStr">
        <is>
          <t>spare</t>
        </is>
      </c>
      <c r="N695" s="551" t="n"/>
      <c r="O695" s="555" t="n"/>
      <c r="P695" s="555" t="n"/>
      <c r="Q695" s="551" t="n"/>
    </row>
    <row r="696" ht="21.75" customHeight="1">
      <c r="A696" s="552" t="n">
        <v>168</v>
      </c>
      <c r="B696" s="552" t="inlineStr">
        <is>
          <t>DI12</t>
        </is>
      </c>
      <c r="C696" s="553" t="inlineStr">
        <is>
          <t>Spare</t>
        </is>
      </c>
      <c r="D696" s="554" t="inlineStr">
        <is>
          <t>boolean</t>
        </is>
      </c>
      <c r="E696" s="551" t="inlineStr">
        <is>
          <t>HVAC Replica</t>
        </is>
      </c>
      <c r="F696" s="551" t="n"/>
      <c r="G696" s="551" t="n"/>
      <c r="K696" s="551" t="n">
        <v>168</v>
      </c>
      <c r="L696" s="551" t="n"/>
      <c r="M696" s="551" t="inlineStr">
        <is>
          <t>spare</t>
        </is>
      </c>
      <c r="N696" s="551" t="n"/>
      <c r="O696" s="555" t="n"/>
      <c r="P696" s="555" t="n"/>
      <c r="Q696" s="551" t="n"/>
    </row>
    <row r="697" ht="21.75" customHeight="1">
      <c r="A697" s="552" t="n">
        <v>169</v>
      </c>
      <c r="B697" s="552" t="inlineStr">
        <is>
          <t>DI13</t>
        </is>
      </c>
      <c r="C697" s="553" t="inlineStr">
        <is>
          <t>Spare</t>
        </is>
      </c>
      <c r="D697" s="554" t="inlineStr">
        <is>
          <t>boolean</t>
        </is>
      </c>
      <c r="E697" s="551" t="inlineStr">
        <is>
          <t>HVAC Replica</t>
        </is>
      </c>
      <c r="F697" s="551" t="n"/>
      <c r="G697" s="551" t="n"/>
      <c r="K697" s="551" t="n">
        <v>169</v>
      </c>
      <c r="L697" s="551" t="n"/>
      <c r="M697" s="551" t="inlineStr">
        <is>
          <t>spare</t>
        </is>
      </c>
      <c r="N697" s="551" t="n"/>
      <c r="O697" s="555" t="n"/>
      <c r="P697" s="555" t="n"/>
      <c r="Q697" s="551" t="n"/>
    </row>
    <row r="698" ht="21.75" customHeight="1">
      <c r="A698" s="552" t="n">
        <v>170</v>
      </c>
      <c r="B698" s="552" t="inlineStr">
        <is>
          <t>DI14</t>
        </is>
      </c>
      <c r="C698" s="553" t="inlineStr">
        <is>
          <t>Spare</t>
        </is>
      </c>
      <c r="D698" s="554" t="inlineStr">
        <is>
          <t>boolean</t>
        </is>
      </c>
      <c r="E698" s="551" t="inlineStr">
        <is>
          <t>HVAC Replica</t>
        </is>
      </c>
      <c r="F698" s="551" t="n"/>
      <c r="G698" s="551" t="n"/>
      <c r="K698" s="551" t="n">
        <v>170</v>
      </c>
      <c r="L698" s="551" t="n"/>
      <c r="M698" s="551" t="inlineStr">
        <is>
          <t>spare</t>
        </is>
      </c>
      <c r="N698" s="551" t="n"/>
      <c r="O698" s="555" t="n"/>
      <c r="P698" s="555" t="n"/>
      <c r="Q698" s="551" t="n"/>
    </row>
    <row r="699" ht="21.75" customHeight="1">
      <c r="A699" s="552" t="n">
        <v>171</v>
      </c>
      <c r="B699" s="552" t="inlineStr">
        <is>
          <t>DI15</t>
        </is>
      </c>
      <c r="C699" s="553" t="inlineStr">
        <is>
          <t>Spare</t>
        </is>
      </c>
      <c r="D699" s="554" t="inlineStr">
        <is>
          <t>boolean</t>
        </is>
      </c>
      <c r="E699" s="551" t="inlineStr">
        <is>
          <t>HVAC Replica</t>
        </is>
      </c>
      <c r="F699" s="551" t="n"/>
      <c r="G699" s="551" t="n"/>
      <c r="K699" s="551" t="n">
        <v>171</v>
      </c>
      <c r="L699" s="551" t="n"/>
      <c r="M699" s="551" t="inlineStr">
        <is>
          <t>spare</t>
        </is>
      </c>
      <c r="N699" s="551" t="n"/>
      <c r="O699" s="555" t="n"/>
      <c r="P699" s="555" t="n"/>
      <c r="Q699" s="551" t="n"/>
    </row>
    <row r="700" ht="21.75" customHeight="1">
      <c r="A700" s="552" t="n">
        <v>172</v>
      </c>
      <c r="B700" s="552" t="inlineStr">
        <is>
          <t>DI16</t>
        </is>
      </c>
      <c r="C700" s="553" t="inlineStr">
        <is>
          <t>Spare</t>
        </is>
      </c>
      <c r="D700" s="554" t="inlineStr">
        <is>
          <t>boolean</t>
        </is>
      </c>
      <c r="E700" s="551" t="inlineStr">
        <is>
          <t>HVAC Replica</t>
        </is>
      </c>
      <c r="F700" s="551" t="n"/>
      <c r="G700" s="551" t="n"/>
      <c r="K700" s="551" t="n">
        <v>172</v>
      </c>
      <c r="L700" s="551" t="n"/>
      <c r="M700" s="551" t="inlineStr">
        <is>
          <t>spare</t>
        </is>
      </c>
      <c r="N700" s="551" t="n"/>
      <c r="O700" s="555" t="n"/>
      <c r="P700" s="555" t="n"/>
      <c r="Q700" s="551" t="n"/>
    </row>
    <row r="701" ht="21.75" customHeight="1">
      <c r="A701" s="552" t="n">
        <v>173</v>
      </c>
      <c r="B701" s="552" t="inlineStr">
        <is>
          <t>DI17</t>
        </is>
      </c>
      <c r="C701" s="553" t="inlineStr">
        <is>
          <t>Spare</t>
        </is>
      </c>
      <c r="D701" s="554" t="inlineStr">
        <is>
          <t>boolean</t>
        </is>
      </c>
      <c r="E701" s="551" t="inlineStr">
        <is>
          <t>HVAC Replica</t>
        </is>
      </c>
      <c r="F701" s="551" t="n"/>
      <c r="G701" s="551" t="n"/>
      <c r="K701" s="551" t="n">
        <v>173</v>
      </c>
      <c r="L701" s="551" t="n"/>
      <c r="M701" s="551" t="inlineStr">
        <is>
          <t>spare</t>
        </is>
      </c>
      <c r="N701" s="551" t="n"/>
      <c r="O701" s="555" t="n"/>
      <c r="P701" s="555" t="n"/>
      <c r="Q701" s="551" t="n"/>
    </row>
    <row r="702" ht="21.75" customHeight="1">
      <c r="A702" s="552" t="n">
        <v>174</v>
      </c>
      <c r="B702" s="552" t="inlineStr">
        <is>
          <t>DI18</t>
        </is>
      </c>
      <c r="C702" s="553" t="inlineStr">
        <is>
          <t>Spare</t>
        </is>
      </c>
      <c r="D702" s="554" t="inlineStr">
        <is>
          <t>boolean</t>
        </is>
      </c>
      <c r="E702" s="551" t="inlineStr">
        <is>
          <t>HVAC Replica</t>
        </is>
      </c>
      <c r="F702" s="551" t="n"/>
      <c r="G702" s="551" t="n"/>
      <c r="K702" s="551" t="n">
        <v>174</v>
      </c>
      <c r="L702" s="551" t="n"/>
      <c r="M702" s="551" t="inlineStr">
        <is>
          <t>spare</t>
        </is>
      </c>
      <c r="N702" s="551" t="n"/>
      <c r="O702" s="555" t="n"/>
      <c r="P702" s="555" t="n"/>
      <c r="Q702" s="551" t="n"/>
    </row>
    <row r="703" ht="21.75" customHeight="1">
      <c r="A703" s="552" t="n">
        <v>175</v>
      </c>
      <c r="B703" s="552" t="inlineStr">
        <is>
          <t>DI19</t>
        </is>
      </c>
      <c r="C703" s="553" t="inlineStr">
        <is>
          <t>Spare</t>
        </is>
      </c>
      <c r="D703" s="554" t="inlineStr">
        <is>
          <t>boolean</t>
        </is>
      </c>
      <c r="E703" s="551" t="inlineStr">
        <is>
          <t>HVAC Replica</t>
        </is>
      </c>
      <c r="F703" s="551" t="n"/>
      <c r="G703" s="551" t="n"/>
      <c r="K703" s="551" t="n">
        <v>175</v>
      </c>
      <c r="L703" s="551" t="n"/>
      <c r="M703" s="551" t="inlineStr">
        <is>
          <t>spare</t>
        </is>
      </c>
      <c r="N703" s="551" t="n"/>
      <c r="O703" s="555" t="n"/>
      <c r="P703" s="555" t="n"/>
      <c r="Q703" s="551" t="n"/>
    </row>
    <row r="704" ht="21.75" customHeight="1">
      <c r="A704" s="552" t="n">
        <v>176</v>
      </c>
      <c r="B704" s="552" t="inlineStr">
        <is>
          <t>DI20</t>
        </is>
      </c>
      <c r="C704" s="553" t="inlineStr">
        <is>
          <t>Spare</t>
        </is>
      </c>
      <c r="D704" s="554" t="inlineStr">
        <is>
          <t>boolean</t>
        </is>
      </c>
      <c r="E704" s="551" t="inlineStr">
        <is>
          <t>HVAC Replica</t>
        </is>
      </c>
      <c r="F704" s="551" t="n"/>
      <c r="G704" s="551" t="n"/>
      <c r="K704" s="551" t="n">
        <v>176</v>
      </c>
      <c r="L704" s="551" t="n"/>
      <c r="M704" s="551" t="inlineStr">
        <is>
          <t>spare</t>
        </is>
      </c>
      <c r="N704" s="551" t="n"/>
      <c r="O704" s="555" t="n"/>
      <c r="P704" s="555" t="n"/>
      <c r="Q704" s="551" t="n"/>
    </row>
    <row r="705" ht="21.75" customHeight="1">
      <c r="A705" s="552" t="n">
        <v>177</v>
      </c>
      <c r="B705" s="552" t="inlineStr">
        <is>
          <t>DI21</t>
        </is>
      </c>
      <c r="C705" s="553" t="inlineStr">
        <is>
          <t>Spare</t>
        </is>
      </c>
      <c r="D705" s="554" t="inlineStr">
        <is>
          <t>boolean</t>
        </is>
      </c>
      <c r="E705" s="551" t="inlineStr">
        <is>
          <t>HVAC Replica</t>
        </is>
      </c>
      <c r="F705" s="551" t="n"/>
      <c r="G705" s="551" t="n"/>
      <c r="K705" s="551" t="n">
        <v>177</v>
      </c>
      <c r="L705" s="551" t="n"/>
      <c r="M705" s="551" t="inlineStr">
        <is>
          <t>spare</t>
        </is>
      </c>
      <c r="N705" s="551" t="n"/>
      <c r="O705" s="555" t="n"/>
      <c r="P705" s="555" t="n"/>
      <c r="Q705" s="551" t="n"/>
    </row>
    <row r="706" ht="21.75" customHeight="1">
      <c r="A706" s="552" t="n">
        <v>178</v>
      </c>
      <c r="B706" s="552" t="inlineStr">
        <is>
          <t>DI22</t>
        </is>
      </c>
      <c r="C706" s="553" t="inlineStr">
        <is>
          <t>Compressor 1 Feedback</t>
        </is>
      </c>
      <c r="D706" s="554" t="inlineStr">
        <is>
          <t>boolean</t>
        </is>
      </c>
      <c r="E706" s="551" t="inlineStr">
        <is>
          <t>HVAC Replica</t>
        </is>
      </c>
      <c r="F706" s="551" t="n"/>
      <c r="G706" s="551" t="n"/>
      <c r="K706" s="551" t="n">
        <v>178</v>
      </c>
      <c r="L706" s="551" t="n"/>
      <c r="M706" s="551" t="inlineStr">
        <is>
          <t>spare</t>
        </is>
      </c>
      <c r="N706" s="551" t="n"/>
      <c r="O706" s="555" t="n"/>
      <c r="P706" s="555" t="n"/>
      <c r="Q706" s="551" t="n"/>
    </row>
    <row r="707" ht="21.75" customHeight="1">
      <c r="A707" s="552" t="n">
        <v>179</v>
      </c>
      <c r="B707" s="552" t="inlineStr">
        <is>
          <t>DI23</t>
        </is>
      </c>
      <c r="C707" s="553" t="inlineStr">
        <is>
          <t>Compressor 2 Feedback</t>
        </is>
      </c>
      <c r="D707" s="554" t="inlineStr">
        <is>
          <t>boolean</t>
        </is>
      </c>
      <c r="E707" s="551" t="inlineStr">
        <is>
          <t>HVAC Replica</t>
        </is>
      </c>
      <c r="F707" s="551" t="n"/>
      <c r="G707" s="551" t="n"/>
      <c r="K707" s="551" t="n">
        <v>179</v>
      </c>
      <c r="L707" s="551" t="n"/>
      <c r="M707" s="551" t="inlineStr">
        <is>
          <t>spare</t>
        </is>
      </c>
      <c r="N707" s="551" t="n"/>
      <c r="O707" s="555" t="n"/>
      <c r="P707" s="555" t="n"/>
      <c r="Q707" s="551" t="n"/>
    </row>
    <row r="708" ht="21.75" customHeight="1">
      <c r="A708" s="552" t="n">
        <v>180</v>
      </c>
      <c r="B708" s="552" t="inlineStr">
        <is>
          <t>DI24</t>
        </is>
      </c>
      <c r="C708" s="553" t="inlineStr">
        <is>
          <t>Spare</t>
        </is>
      </c>
      <c r="D708" s="554" t="inlineStr">
        <is>
          <t>boolean</t>
        </is>
      </c>
      <c r="E708" s="551" t="inlineStr">
        <is>
          <t>HVAC Replica</t>
        </is>
      </c>
      <c r="F708" s="551" t="n"/>
      <c r="G708" s="551" t="n"/>
      <c r="K708" s="551" t="n">
        <v>180</v>
      </c>
      <c r="L708" s="551" t="n"/>
      <c r="M708" s="551" t="inlineStr">
        <is>
          <t>spare</t>
        </is>
      </c>
      <c r="N708" s="551" t="n"/>
      <c r="O708" s="555" t="n"/>
      <c r="P708" s="555" t="n"/>
      <c r="Q708" s="551" t="n"/>
    </row>
    <row r="709" ht="21.75" customHeight="1">
      <c r="A709" s="552" t="n">
        <v>181</v>
      </c>
      <c r="B709" s="552" t="inlineStr">
        <is>
          <t>DI25</t>
        </is>
      </c>
      <c r="C709" s="553" t="inlineStr">
        <is>
          <t>Spare</t>
        </is>
      </c>
      <c r="D709" s="554" t="inlineStr">
        <is>
          <t>boolean</t>
        </is>
      </c>
      <c r="E709" s="551" t="inlineStr">
        <is>
          <t>HVAC Replica</t>
        </is>
      </c>
      <c r="F709" s="551" t="n"/>
      <c r="G709" s="551" t="n"/>
      <c r="K709" s="551" t="n">
        <v>181</v>
      </c>
      <c r="L709" s="551" t="n"/>
      <c r="M709" s="551" t="inlineStr">
        <is>
          <t>spare</t>
        </is>
      </c>
      <c r="N709" s="551" t="n"/>
      <c r="O709" s="555" t="n"/>
      <c r="P709" s="555" t="n"/>
      <c r="Q709" s="551" t="n"/>
    </row>
    <row r="710" ht="21.75" customHeight="1">
      <c r="A710" s="552" t="n">
        <v>182</v>
      </c>
      <c r="B710" s="552" t="inlineStr">
        <is>
          <t>DI26</t>
        </is>
      </c>
      <c r="C710" s="553" t="inlineStr">
        <is>
          <t xml:space="preserve">Heater 1 Feedback </t>
        </is>
      </c>
      <c r="D710" s="554" t="inlineStr">
        <is>
          <t>boolean</t>
        </is>
      </c>
      <c r="E710" s="551" t="inlineStr">
        <is>
          <t>HVAC Replica</t>
        </is>
      </c>
      <c r="F710" s="551" t="n"/>
      <c r="G710" s="551" t="n"/>
      <c r="K710" s="551" t="n">
        <v>182</v>
      </c>
      <c r="L710" s="551" t="n"/>
      <c r="M710" s="551" t="inlineStr">
        <is>
          <t>spare</t>
        </is>
      </c>
      <c r="N710" s="551" t="n"/>
      <c r="O710" s="555" t="n"/>
      <c r="P710" s="555" t="n"/>
      <c r="Q710" s="551" t="n"/>
    </row>
    <row r="711" ht="21.75" customHeight="1">
      <c r="A711" s="552" t="n">
        <v>183</v>
      </c>
      <c r="B711" s="552" t="inlineStr">
        <is>
          <t>DI27</t>
        </is>
      </c>
      <c r="C711" s="553" t="inlineStr">
        <is>
          <t>Spare</t>
        </is>
      </c>
      <c r="D711" s="554" t="inlineStr">
        <is>
          <t>boolean</t>
        </is>
      </c>
      <c r="E711" s="551" t="inlineStr">
        <is>
          <t>HVAC Replica</t>
        </is>
      </c>
      <c r="F711" s="551" t="n"/>
      <c r="G711" s="551" t="n"/>
      <c r="K711" s="551" t="n">
        <v>183</v>
      </c>
      <c r="L711" s="551" t="n"/>
      <c r="M711" s="551" t="inlineStr">
        <is>
          <t>spare</t>
        </is>
      </c>
      <c r="N711" s="551" t="n"/>
      <c r="O711" s="555" t="n"/>
      <c r="P711" s="555" t="n"/>
      <c r="Q711" s="551" t="n"/>
    </row>
    <row r="712" ht="21.75" customHeight="1">
      <c r="A712" s="552" t="n">
        <v>184</v>
      </c>
      <c r="B712" s="552" t="inlineStr">
        <is>
          <t>DI28</t>
        </is>
      </c>
      <c r="C712" s="553" t="inlineStr">
        <is>
          <t>Supply Fan 1 Feedback</t>
        </is>
      </c>
      <c r="D712" s="554" t="inlineStr">
        <is>
          <t>boolean</t>
        </is>
      </c>
      <c r="E712" s="551" t="inlineStr">
        <is>
          <t>HVAC Replica</t>
        </is>
      </c>
      <c r="F712" s="551" t="n"/>
      <c r="G712" s="551" t="n"/>
      <c r="K712" s="551" t="n">
        <v>184</v>
      </c>
      <c r="L712" s="551" t="n"/>
      <c r="M712" s="551" t="inlineStr">
        <is>
          <t>spare</t>
        </is>
      </c>
      <c r="N712" s="551" t="n"/>
      <c r="O712" s="555" t="n"/>
      <c r="P712" s="555" t="n"/>
      <c r="Q712" s="551" t="n"/>
    </row>
    <row r="713" ht="21.75" customHeight="1">
      <c r="A713" s="552" t="n">
        <v>185</v>
      </c>
      <c r="B713" s="552" t="inlineStr">
        <is>
          <t>DI29</t>
        </is>
      </c>
      <c r="C713" s="553" t="inlineStr">
        <is>
          <t>Supply Fan 2 Feedback</t>
        </is>
      </c>
      <c r="D713" s="554" t="inlineStr">
        <is>
          <t>boolean</t>
        </is>
      </c>
      <c r="E713" s="551" t="inlineStr">
        <is>
          <t>HVAC Replica</t>
        </is>
      </c>
      <c r="F713" s="551" t="n"/>
      <c r="G713" s="551" t="n"/>
      <c r="K713" s="551" t="n">
        <v>185</v>
      </c>
      <c r="L713" s="551" t="n"/>
      <c r="M713" s="551" t="inlineStr">
        <is>
          <t>spare</t>
        </is>
      </c>
      <c r="N713" s="551" t="n"/>
      <c r="O713" s="555" t="n"/>
      <c r="P713" s="555" t="n"/>
      <c r="Q713" s="551" t="n"/>
    </row>
    <row r="714" ht="21.75" customHeight="1">
      <c r="A714" s="552" t="n">
        <v>186</v>
      </c>
      <c r="B714" s="552" t="inlineStr">
        <is>
          <t>DI30</t>
        </is>
      </c>
      <c r="C714" s="553" t="inlineStr">
        <is>
          <t>Spare</t>
        </is>
      </c>
      <c r="D714" s="554" t="inlineStr">
        <is>
          <t>boolean</t>
        </is>
      </c>
      <c r="E714" s="551" t="inlineStr">
        <is>
          <t>HVAC Replica</t>
        </is>
      </c>
      <c r="F714" s="551" t="n"/>
      <c r="G714" s="551" t="n"/>
      <c r="K714" s="551" t="n">
        <v>186</v>
      </c>
      <c r="L714" s="551" t="n"/>
      <c r="M714" s="551" t="inlineStr">
        <is>
          <t>spare</t>
        </is>
      </c>
      <c r="N714" s="551" t="n"/>
      <c r="O714" s="555" t="n"/>
      <c r="P714" s="555" t="n"/>
      <c r="Q714" s="551" t="n"/>
    </row>
    <row r="715" ht="21.75" customHeight="1">
      <c r="A715" s="552" t="n">
        <v>187</v>
      </c>
      <c r="B715" s="552" t="inlineStr">
        <is>
          <t>DI31</t>
        </is>
      </c>
      <c r="C715" s="553" t="inlineStr">
        <is>
          <t>Spare</t>
        </is>
      </c>
      <c r="D715" s="554" t="inlineStr">
        <is>
          <t>boolean</t>
        </is>
      </c>
      <c r="E715" s="551" t="inlineStr">
        <is>
          <t>HVAC Replica</t>
        </is>
      </c>
      <c r="F715" s="551" t="n"/>
      <c r="G715" s="551" t="n"/>
      <c r="K715" s="551" t="n">
        <v>187</v>
      </c>
      <c r="L715" s="551" t="n"/>
      <c r="M715" s="551" t="inlineStr">
        <is>
          <t>spare</t>
        </is>
      </c>
      <c r="N715" s="551" t="n"/>
      <c r="O715" s="555" t="n"/>
      <c r="P715" s="555" t="n"/>
      <c r="Q715" s="551" t="n"/>
    </row>
    <row r="716" ht="21.75" customHeight="1">
      <c r="A716" s="552" t="n">
        <v>188</v>
      </c>
      <c r="B716" s="552" t="inlineStr">
        <is>
          <t>DI32</t>
        </is>
      </c>
      <c r="C716" s="553" t="inlineStr">
        <is>
          <t>Spare</t>
        </is>
      </c>
      <c r="D716" s="554" t="inlineStr">
        <is>
          <t>boolean</t>
        </is>
      </c>
      <c r="E716" s="551" t="inlineStr">
        <is>
          <t>HVAC Replica</t>
        </is>
      </c>
      <c r="F716" s="551" t="n"/>
      <c r="G716" s="551" t="n"/>
      <c r="K716" s="551" t="n">
        <v>188</v>
      </c>
      <c r="L716" s="551" t="n"/>
      <c r="M716" s="551" t="inlineStr">
        <is>
          <t>spare</t>
        </is>
      </c>
      <c r="N716" s="551" t="n"/>
      <c r="O716" s="555" t="n"/>
      <c r="P716" s="555" t="n"/>
      <c r="Q716" s="551" t="n"/>
    </row>
    <row r="717" ht="21.75" customHeight="1">
      <c r="A717" s="434" t="n">
        <v>189</v>
      </c>
      <c r="B717" s="434" t="inlineStr">
        <is>
          <t>DI33</t>
        </is>
      </c>
      <c r="C717" s="523" t="inlineStr">
        <is>
          <t>Spare</t>
        </is>
      </c>
      <c r="D717" s="522" t="inlineStr">
        <is>
          <t>boolean</t>
        </is>
      </c>
      <c r="E717" s="432" t="n"/>
      <c r="F717" s="432">
        <f>R584</f>
        <v/>
      </c>
      <c r="G717" s="432" t="n"/>
      <c r="K717" s="551" t="n">
        <v>189</v>
      </c>
      <c r="L717" s="551" t="n"/>
      <c r="M717" s="551" t="inlineStr">
        <is>
          <t>spare</t>
        </is>
      </c>
      <c r="N717" s="551" t="n"/>
      <c r="O717" s="555" t="n"/>
      <c r="P717" s="555" t="n"/>
      <c r="Q717" s="551" t="n"/>
    </row>
    <row r="718" ht="21.75" customHeight="1">
      <c r="A718" s="434" t="n">
        <v>190</v>
      </c>
      <c r="B718" s="434" t="inlineStr">
        <is>
          <t>DI34</t>
        </is>
      </c>
      <c r="C718" s="523" t="inlineStr">
        <is>
          <t>Spare</t>
        </is>
      </c>
      <c r="D718" s="522" t="inlineStr">
        <is>
          <t>boolean</t>
        </is>
      </c>
      <c r="E718" s="432" t="n"/>
      <c r="F718" s="432">
        <f>R585</f>
        <v/>
      </c>
      <c r="G718" s="432" t="n"/>
      <c r="K718" s="551" t="n">
        <v>190</v>
      </c>
      <c r="L718" s="551" t="n"/>
      <c r="M718" s="551" t="inlineStr">
        <is>
          <t>spare</t>
        </is>
      </c>
      <c r="N718" s="551" t="n"/>
      <c r="O718" s="555" t="n"/>
      <c r="P718" s="555" t="n"/>
      <c r="Q718" s="551" t="n"/>
    </row>
    <row r="719" ht="21.75" customHeight="1">
      <c r="A719" s="434" t="n">
        <v>191</v>
      </c>
      <c r="B719" s="434" t="inlineStr">
        <is>
          <t>DI35</t>
        </is>
      </c>
      <c r="C719" s="523" t="inlineStr">
        <is>
          <t>Spare</t>
        </is>
      </c>
      <c r="D719" s="522" t="inlineStr">
        <is>
          <t>boolean</t>
        </is>
      </c>
      <c r="E719" s="432" t="n"/>
      <c r="F719" s="432">
        <f>R586</f>
        <v/>
      </c>
      <c r="G719" s="432" t="n"/>
      <c r="K719" s="551" t="n">
        <v>191</v>
      </c>
      <c r="L719" s="551" t="n"/>
      <c r="M719" s="551" t="inlineStr">
        <is>
          <t>spare</t>
        </is>
      </c>
      <c r="N719" s="551" t="n"/>
      <c r="O719" s="555" t="n"/>
      <c r="P719" s="555" t="n"/>
      <c r="Q719" s="551" t="n"/>
    </row>
    <row r="720" ht="21.75" customHeight="1">
      <c r="A720" s="434" t="n">
        <v>192</v>
      </c>
      <c r="B720" s="434" t="inlineStr">
        <is>
          <t>DI36</t>
        </is>
      </c>
      <c r="C720" s="523" t="inlineStr">
        <is>
          <t>Spare</t>
        </is>
      </c>
      <c r="D720" s="522" t="inlineStr">
        <is>
          <t>boolean</t>
        </is>
      </c>
      <c r="E720" s="432" t="n"/>
      <c r="F720" s="432">
        <f>R587</f>
        <v/>
      </c>
      <c r="G720" s="432" t="n"/>
      <c r="K720" s="551" t="n">
        <v>192</v>
      </c>
      <c r="L720" s="551" t="n"/>
      <c r="M720" s="551" t="inlineStr">
        <is>
          <t>spare</t>
        </is>
      </c>
      <c r="N720" s="551" t="n"/>
      <c r="O720" s="555" t="n"/>
      <c r="P720" s="555" t="n"/>
      <c r="Q720" s="551" t="n"/>
    </row>
    <row r="721" ht="21.75" customHeight="1">
      <c r="A721" s="434" t="n">
        <v>193</v>
      </c>
      <c r="B721" s="434" t="inlineStr">
        <is>
          <t>DI37</t>
        </is>
      </c>
      <c r="C721" s="523" t="inlineStr">
        <is>
          <t>Spare</t>
        </is>
      </c>
      <c r="D721" s="522" t="inlineStr">
        <is>
          <t>boolean</t>
        </is>
      </c>
      <c r="E721" s="432" t="n"/>
      <c r="F721" s="432">
        <f>R588</f>
        <v/>
      </c>
      <c r="G721" s="432" t="n"/>
      <c r="K721" s="551" t="n">
        <v>193</v>
      </c>
      <c r="L721" s="551" t="n"/>
      <c r="M721" s="551" t="inlineStr">
        <is>
          <t>spare</t>
        </is>
      </c>
      <c r="N721" s="551" t="n"/>
      <c r="O721" s="555" t="n"/>
      <c r="P721" s="555" t="n"/>
      <c r="Q721" s="551" t="n"/>
    </row>
    <row r="722" ht="21.75" customHeight="1">
      <c r="A722" s="434" t="n">
        <v>194</v>
      </c>
      <c r="B722" s="434" t="inlineStr">
        <is>
          <t>DI38</t>
        </is>
      </c>
      <c r="C722" s="523" t="inlineStr">
        <is>
          <t>Spare</t>
        </is>
      </c>
      <c r="D722" s="522" t="inlineStr">
        <is>
          <t>boolean</t>
        </is>
      </c>
      <c r="E722" s="432" t="n"/>
      <c r="F722" s="432">
        <f>R589</f>
        <v/>
      </c>
      <c r="G722" s="432" t="n"/>
      <c r="K722" s="551" t="n">
        <v>194</v>
      </c>
      <c r="L722" s="551" t="n"/>
      <c r="M722" s="551" t="inlineStr">
        <is>
          <t>spare</t>
        </is>
      </c>
      <c r="N722" s="551" t="n"/>
      <c r="O722" s="555" t="n"/>
      <c r="P722" s="555" t="n"/>
      <c r="Q722" s="551" t="n"/>
    </row>
    <row r="723" ht="28.5" customHeight="1">
      <c r="A723" s="434" t="n">
        <v>195</v>
      </c>
      <c r="B723" s="434" t="inlineStr">
        <is>
          <t>DI39</t>
        </is>
      </c>
      <c r="C723" s="523" t="inlineStr">
        <is>
          <t>Spare</t>
        </is>
      </c>
      <c r="D723" s="522" t="inlineStr">
        <is>
          <t>boolean</t>
        </is>
      </c>
      <c r="E723" s="432" t="n"/>
      <c r="F723" s="432">
        <f>R590</f>
        <v/>
      </c>
      <c r="G723" s="432" t="n"/>
      <c r="K723" s="551" t="n">
        <v>195</v>
      </c>
      <c r="L723" s="551" t="n"/>
      <c r="M723" s="551" t="inlineStr">
        <is>
          <t>spare</t>
        </is>
      </c>
      <c r="N723" s="551" t="n"/>
      <c r="O723" s="555" t="n"/>
      <c r="P723" s="555" t="n"/>
      <c r="Q723" s="551" t="n"/>
    </row>
    <row r="724" ht="28.5" customHeight="1">
      <c r="A724" s="434" t="n">
        <v>196</v>
      </c>
      <c r="B724" s="434" t="inlineStr">
        <is>
          <t>DI40</t>
        </is>
      </c>
      <c r="C724" s="523" t="inlineStr">
        <is>
          <t>Spare</t>
        </is>
      </c>
      <c r="D724" s="522" t="inlineStr">
        <is>
          <t>boolean</t>
        </is>
      </c>
      <c r="E724" s="432" t="n"/>
      <c r="F724" s="432">
        <f>R591</f>
        <v/>
      </c>
      <c r="G724" s="432" t="n"/>
      <c r="K724" s="551" t="n">
        <v>196</v>
      </c>
      <c r="L724" s="551" t="n"/>
      <c r="M724" s="551" t="inlineStr">
        <is>
          <t>spare</t>
        </is>
      </c>
      <c r="N724" s="551" t="n"/>
      <c r="O724" s="555" t="n"/>
      <c r="P724" s="555" t="n"/>
      <c r="Q724" s="551" t="n"/>
    </row>
    <row r="725" ht="28.5" customHeight="1">
      <c r="A725" s="434" t="n">
        <v>197</v>
      </c>
      <c r="B725" s="434" t="inlineStr">
        <is>
          <t>DI41</t>
        </is>
      </c>
      <c r="C725" s="523" t="inlineStr">
        <is>
          <t>Spare</t>
        </is>
      </c>
      <c r="D725" s="522" t="inlineStr">
        <is>
          <t>boolean</t>
        </is>
      </c>
      <c r="E725" s="432" t="n"/>
      <c r="F725" s="432">
        <f>R592</f>
        <v/>
      </c>
      <c r="G725" s="432" t="n"/>
      <c r="K725" s="551" t="n">
        <v>197</v>
      </c>
      <c r="L725" s="551" t="n"/>
      <c r="M725" s="551" t="inlineStr">
        <is>
          <t>spare</t>
        </is>
      </c>
      <c r="N725" s="551" t="n"/>
      <c r="O725" s="555" t="n"/>
      <c r="P725" s="555" t="n"/>
      <c r="Q725" s="551" t="n"/>
    </row>
    <row r="726" ht="28.5" customHeight="1">
      <c r="A726" s="434" t="n">
        <v>198</v>
      </c>
      <c r="B726" s="434" t="inlineStr">
        <is>
          <t>DI42</t>
        </is>
      </c>
      <c r="C726" s="523" t="inlineStr">
        <is>
          <t>Spare</t>
        </is>
      </c>
      <c r="D726" s="522" t="inlineStr">
        <is>
          <t>boolean</t>
        </is>
      </c>
      <c r="E726" s="432" t="n"/>
      <c r="F726" s="432">
        <f>R593</f>
        <v/>
      </c>
      <c r="G726" s="432" t="n"/>
      <c r="K726" s="551" t="n">
        <v>198</v>
      </c>
      <c r="L726" s="551" t="n"/>
      <c r="M726" s="551" t="inlineStr">
        <is>
          <t>spare</t>
        </is>
      </c>
      <c r="N726" s="551" t="n"/>
      <c r="O726" s="555" t="n"/>
      <c r="P726" s="555" t="n"/>
      <c r="Q726" s="551" t="n"/>
    </row>
    <row r="727" ht="28.5" customHeight="1">
      <c r="A727" s="552" t="n">
        <v>199</v>
      </c>
      <c r="B727" s="552" t="inlineStr">
        <is>
          <t>DI43</t>
        </is>
      </c>
      <c r="C727" s="553" t="inlineStr">
        <is>
          <t>APS 1</t>
        </is>
      </c>
      <c r="D727" s="554" t="inlineStr">
        <is>
          <t>boolean</t>
        </is>
      </c>
      <c r="E727" s="551" t="n"/>
      <c r="F727" s="551" t="n">
        <v>1</v>
      </c>
      <c r="G727" s="551" t="inlineStr">
        <is>
          <t>LV LOGIC TO BE MADE FOR STAGGERED START</t>
        </is>
      </c>
      <c r="K727" s="551" t="n">
        <v>199</v>
      </c>
      <c r="L727" s="551" t="n"/>
      <c r="M727" s="551" t="inlineStr">
        <is>
          <t>spare</t>
        </is>
      </c>
      <c r="N727" s="551" t="n"/>
      <c r="O727" s="555" t="n"/>
      <c r="P727" s="555" t="n"/>
      <c r="Q727" s="551" t="n"/>
    </row>
    <row r="728" ht="28.5" customHeight="1">
      <c r="A728" s="552" t="n">
        <v>200</v>
      </c>
      <c r="B728" s="552" t="inlineStr">
        <is>
          <t>DI44</t>
        </is>
      </c>
      <c r="C728" s="553" t="inlineStr">
        <is>
          <t>APS 2</t>
        </is>
      </c>
      <c r="D728" s="554" t="inlineStr">
        <is>
          <t>boolean</t>
        </is>
      </c>
      <c r="E728" s="551" t="n"/>
      <c r="F728" s="551" t="n">
        <v>1</v>
      </c>
      <c r="G728" s="551" t="n"/>
      <c r="K728" s="551" t="n">
        <v>200</v>
      </c>
      <c r="L728" s="551" t="n"/>
      <c r="M728" s="551" t="inlineStr">
        <is>
          <t>spare</t>
        </is>
      </c>
      <c r="N728" s="551" t="n"/>
      <c r="O728" s="555" t="n"/>
      <c r="P728" s="555" t="n"/>
      <c r="Q728" s="551" t="n"/>
    </row>
    <row r="729" ht="28.5" customHeight="1">
      <c r="A729" s="552" t="n">
        <v>201</v>
      </c>
      <c r="B729" s="552" t="inlineStr">
        <is>
          <t>DI45</t>
        </is>
      </c>
      <c r="C729" s="553" t="inlineStr">
        <is>
          <t>Spare</t>
        </is>
      </c>
      <c r="D729" s="554" t="inlineStr">
        <is>
          <t>boolean</t>
        </is>
      </c>
      <c r="E729" s="551" t="n"/>
      <c r="F729" s="551" t="n"/>
      <c r="G729" s="551" t="n"/>
      <c r="K729" s="551" t="n">
        <v>201</v>
      </c>
      <c r="L729" s="551" t="n"/>
      <c r="M729" s="551" t="inlineStr">
        <is>
          <t>spare</t>
        </is>
      </c>
      <c r="N729" s="551" t="n"/>
      <c r="O729" s="555" t="n"/>
      <c r="P729" s="555" t="n"/>
      <c r="Q729" s="551" t="n"/>
    </row>
    <row r="730" ht="28.5" customHeight="1">
      <c r="A730" s="552" t="n">
        <v>202</v>
      </c>
      <c r="B730" s="552" t="inlineStr">
        <is>
          <t>DI46</t>
        </is>
      </c>
      <c r="C730" s="553" t="inlineStr">
        <is>
          <t>Spare</t>
        </is>
      </c>
      <c r="D730" s="554" t="inlineStr">
        <is>
          <t>boolean</t>
        </is>
      </c>
      <c r="E730" s="551" t="n"/>
      <c r="F730" s="551" t="n"/>
      <c r="G730" s="551" t="n"/>
      <c r="K730" s="551" t="n">
        <v>202</v>
      </c>
      <c r="L730" s="551" t="n"/>
      <c r="M730" s="551" t="inlineStr">
        <is>
          <t>spare</t>
        </is>
      </c>
      <c r="N730" s="551" t="n"/>
      <c r="O730" s="555" t="n"/>
      <c r="P730" s="555" t="n"/>
      <c r="Q730" s="551" t="n"/>
    </row>
    <row r="731" ht="38.25" customFormat="1" customHeight="1" s="265">
      <c r="A731" s="10" t="n">
        <v>1</v>
      </c>
      <c r="B731" s="11" t="inlineStr">
        <is>
          <t>MODE SETTING SCREEN- CAR Select</t>
        </is>
      </c>
      <c r="C731" s="12" t="inlineStr">
        <is>
          <t>ALL CAR</t>
        </is>
      </c>
      <c r="D731" s="34" t="inlineStr">
        <is>
          <t>boolean</t>
        </is>
      </c>
      <c r="E731" s="32" t="inlineStr">
        <is>
          <t>TCMS</t>
        </is>
      </c>
      <c r="F731" s="32" t="n"/>
      <c r="G731" s="11" t="inlineStr">
        <is>
          <t>ALL CAR/ DMA/ TCA /DMB</t>
        </is>
      </c>
      <c r="K731" s="10" t="n">
        <v>1</v>
      </c>
      <c r="L731" s="10" t="inlineStr">
        <is>
          <t>HVAC STATUS SCREEN</t>
        </is>
      </c>
      <c r="M731" s="10" t="inlineStr">
        <is>
          <t>HVAC_1_DMA_Status</t>
        </is>
      </c>
      <c r="N731" s="33" t="inlineStr">
        <is>
          <t>Integer</t>
        </is>
      </c>
      <c r="O731" s="10" t="inlineStr">
        <is>
          <t>TCMS</t>
        </is>
      </c>
      <c r="P731" s="10">
        <f>HVAC_IOs!O94</f>
        <v/>
      </c>
      <c r="Q731" s="10" t="inlineStr">
        <is>
          <t>0-10</t>
        </is>
      </c>
      <c r="CE731" s="321" t="n"/>
    </row>
    <row r="732" ht="38.25" customFormat="1" customHeight="1" s="265">
      <c r="A732" s="10" t="n">
        <v>2</v>
      </c>
      <c r="B732" s="11" t="inlineStr">
        <is>
          <t>MODE SETTING SCREEN- CAR Select</t>
        </is>
      </c>
      <c r="C732" s="12" t="inlineStr">
        <is>
          <t>DMA</t>
        </is>
      </c>
      <c r="D732" s="33" t="inlineStr">
        <is>
          <t>boolean</t>
        </is>
      </c>
      <c r="E732" s="32" t="inlineStr">
        <is>
          <t>TCMS</t>
        </is>
      </c>
      <c r="F732" s="32" t="n"/>
      <c r="G732" s="11" t="inlineStr">
        <is>
          <t>ALL HVAC /UNIT1 /UNIT2</t>
        </is>
      </c>
      <c r="K732" s="10" t="n">
        <v>2</v>
      </c>
      <c r="L732" s="10" t="inlineStr">
        <is>
          <t>HVAC STATUS SCREEN</t>
        </is>
      </c>
      <c r="M732" s="10" t="inlineStr">
        <is>
          <t>HVAC_2_DMA_Status</t>
        </is>
      </c>
      <c r="N732" s="33" t="inlineStr">
        <is>
          <t>Integer</t>
        </is>
      </c>
      <c r="O732" s="10" t="inlineStr">
        <is>
          <t>TCMS</t>
        </is>
      </c>
      <c r="P732" s="10">
        <f>HVAC_IOs!O95</f>
        <v/>
      </c>
      <c r="Q732" s="10" t="inlineStr">
        <is>
          <t>0-10</t>
        </is>
      </c>
      <c r="CE732" s="321" t="n"/>
    </row>
    <row r="733" ht="38.25" customFormat="1" customHeight="1" s="265">
      <c r="A733" s="10" t="n">
        <v>3</v>
      </c>
      <c r="B733" s="11" t="inlineStr">
        <is>
          <t>MODE SETTING SCREEN- CAR Select</t>
        </is>
      </c>
      <c r="C733" s="12" t="inlineStr">
        <is>
          <t>TCA</t>
        </is>
      </c>
      <c r="D733" s="33" t="inlineStr">
        <is>
          <t>boolean</t>
        </is>
      </c>
      <c r="E733" s="32" t="inlineStr">
        <is>
          <t>TCMS</t>
        </is>
      </c>
      <c r="F733" s="32" t="n"/>
      <c r="G733" s="11" t="inlineStr">
        <is>
          <t>OFF,VENT,AUTO ,ALL OFF,ALLVENT,ALL AUTO,CLEAR</t>
        </is>
      </c>
      <c r="K733" s="10" t="n">
        <v>3</v>
      </c>
      <c r="L733" s="10" t="inlineStr">
        <is>
          <t>HVAC STATUS SCREEN</t>
        </is>
      </c>
      <c r="M733" s="10" t="inlineStr">
        <is>
          <t>HVAC_3_TCA_Status</t>
        </is>
      </c>
      <c r="N733" s="33" t="inlineStr">
        <is>
          <t>Integer</t>
        </is>
      </c>
      <c r="O733" s="10" t="inlineStr">
        <is>
          <t>TCMS</t>
        </is>
      </c>
      <c r="P733" s="10">
        <f>HVAC_IOs!O96</f>
        <v/>
      </c>
      <c r="Q733" s="10" t="inlineStr">
        <is>
          <t>0-10</t>
        </is>
      </c>
      <c r="CE733" s="321" t="n"/>
    </row>
    <row r="734" ht="38.25" customFormat="1" customHeight="1" s="265">
      <c r="A734" s="10" t="n">
        <v>4</v>
      </c>
      <c r="B734" s="11" t="inlineStr">
        <is>
          <t>MODE SETTING SCREEN- CAR Select</t>
        </is>
      </c>
      <c r="C734" s="12" t="inlineStr">
        <is>
          <t>DMB</t>
        </is>
      </c>
      <c r="D734" s="33" t="inlineStr">
        <is>
          <t>boolean</t>
        </is>
      </c>
      <c r="E734" s="32" t="inlineStr">
        <is>
          <t>TCMS</t>
        </is>
      </c>
      <c r="F734" s="32" t="n"/>
      <c r="G734" s="11" t="n"/>
      <c r="K734" s="10" t="n">
        <v>4</v>
      </c>
      <c r="L734" s="10" t="inlineStr">
        <is>
          <t>HVAC STATUS SCREEN</t>
        </is>
      </c>
      <c r="M734" s="10" t="inlineStr">
        <is>
          <t>HVAC_4_TCA_Status</t>
        </is>
      </c>
      <c r="N734" s="33" t="inlineStr">
        <is>
          <t>Integer</t>
        </is>
      </c>
      <c r="O734" s="10" t="inlineStr">
        <is>
          <t>TCMS</t>
        </is>
      </c>
      <c r="P734" s="10">
        <f>HVAC_IOs!O97</f>
        <v/>
      </c>
      <c r="Q734" s="10" t="inlineStr">
        <is>
          <t>0-10</t>
        </is>
      </c>
      <c r="CE734" s="321" t="n"/>
    </row>
    <row r="735" ht="38.25" customFormat="1" customHeight="1" s="265">
      <c r="A735" s="11" t="n">
        <v>5</v>
      </c>
      <c r="B735" s="11" t="inlineStr">
        <is>
          <t>MODE SETTING SCREEN-HVAC Select</t>
        </is>
      </c>
      <c r="C735" s="12" t="inlineStr">
        <is>
          <t>ALL HVAC</t>
        </is>
      </c>
      <c r="D735" s="33" t="inlineStr">
        <is>
          <t>boolean</t>
        </is>
      </c>
      <c r="E735" s="32" t="inlineStr">
        <is>
          <t>TCMS</t>
        </is>
      </c>
      <c r="F735" s="32" t="n"/>
      <c r="G735" s="11" t="n"/>
      <c r="K735" s="10" t="n">
        <v>5</v>
      </c>
      <c r="L735" s="10" t="inlineStr">
        <is>
          <t>HVAC STATUS SCREEN</t>
        </is>
      </c>
      <c r="M735" s="10" t="inlineStr">
        <is>
          <t>HVAC_5_DMB_Status</t>
        </is>
      </c>
      <c r="N735" s="33" t="inlineStr">
        <is>
          <t>Integer</t>
        </is>
      </c>
      <c r="O735" s="10" t="inlineStr">
        <is>
          <t>TCMS</t>
        </is>
      </c>
      <c r="P735" s="10">
        <f>HVAC_IOs!O98</f>
        <v/>
      </c>
      <c r="Q735" s="10" t="inlineStr">
        <is>
          <t>0-10</t>
        </is>
      </c>
      <c r="CE735" s="321" t="n"/>
    </row>
    <row r="736" ht="38.25" customFormat="1" customHeight="1" s="265">
      <c r="A736" s="11" t="n">
        <v>6</v>
      </c>
      <c r="B736" s="11" t="inlineStr">
        <is>
          <t>MODE SETTING SCREEN-HVAC Select</t>
        </is>
      </c>
      <c r="C736" s="12" t="inlineStr">
        <is>
          <t>UNIT1</t>
        </is>
      </c>
      <c r="D736" s="33" t="inlineStr">
        <is>
          <t>boolean</t>
        </is>
      </c>
      <c r="E736" s="32" t="inlineStr">
        <is>
          <t>TCMS</t>
        </is>
      </c>
      <c r="F736" s="32" t="n"/>
      <c r="G736" s="11" t="n"/>
      <c r="K736" s="10" t="n">
        <v>6</v>
      </c>
      <c r="L736" s="10" t="inlineStr">
        <is>
          <t>HVAC STATUS SCREEN</t>
        </is>
      </c>
      <c r="M736" s="10" t="inlineStr">
        <is>
          <t>HVAC_6_DMB_Status</t>
        </is>
      </c>
      <c r="N736" s="33" t="inlineStr">
        <is>
          <t>Integer</t>
        </is>
      </c>
      <c r="O736" s="10" t="inlineStr">
        <is>
          <t>TCMS</t>
        </is>
      </c>
      <c r="P736" s="10">
        <f>HVAC_IOs!O99</f>
        <v/>
      </c>
      <c r="Q736" s="10" t="inlineStr">
        <is>
          <t>0-10</t>
        </is>
      </c>
      <c r="CE736" s="321" t="n"/>
    </row>
    <row r="737" ht="38.25" customFormat="1" customHeight="1" s="265">
      <c r="A737" s="11" t="n">
        <v>7</v>
      </c>
      <c r="B737" s="11" t="inlineStr">
        <is>
          <t>MODE SETTING SCREEN-HVAC Select</t>
        </is>
      </c>
      <c r="C737" s="12" t="inlineStr">
        <is>
          <t>UNIT2</t>
        </is>
      </c>
      <c r="D737" s="33" t="inlineStr">
        <is>
          <t>boolean</t>
        </is>
      </c>
      <c r="E737" s="32" t="inlineStr">
        <is>
          <t>TCMS</t>
        </is>
      </c>
      <c r="F737" s="32" t="n"/>
      <c r="G737" s="11" t="n"/>
      <c r="K737" s="724" t="n">
        <v>7</v>
      </c>
      <c r="L737" s="724" t="n"/>
      <c r="N737" s="92" t="n"/>
      <c r="O737" s="724" t="n"/>
      <c r="P737" s="724" t="n"/>
      <c r="Q737" s="724" t="n"/>
      <c r="CE737" s="321" t="n"/>
    </row>
    <row r="738" ht="38.25" customFormat="1" customHeight="1" s="265">
      <c r="A738" s="11" t="n">
        <v>8</v>
      </c>
      <c r="B738" s="11" t="inlineStr">
        <is>
          <t>MODE SETTING SCREEN-MODE Select</t>
        </is>
      </c>
      <c r="C738" s="12" t="inlineStr">
        <is>
          <t>OFF</t>
        </is>
      </c>
      <c r="D738" s="33" t="inlineStr">
        <is>
          <t>boolean</t>
        </is>
      </c>
      <c r="E738" s="32" t="inlineStr">
        <is>
          <t>TCMS</t>
        </is>
      </c>
      <c r="F738" s="32" t="n"/>
      <c r="G738" s="11" t="n"/>
      <c r="K738" s="10" t="n">
        <v>8</v>
      </c>
      <c r="L738" s="10" t="inlineStr">
        <is>
          <t>HVAC INFO SCREEN</t>
        </is>
      </c>
      <c r="M738" s="10" t="inlineStr">
        <is>
          <t>Current Outside Temperature _DMA</t>
        </is>
      </c>
      <c r="N738" s="33" t="inlineStr">
        <is>
          <t>Float</t>
        </is>
      </c>
      <c r="O738" s="10" t="inlineStr">
        <is>
          <t>TCMS</t>
        </is>
      </c>
      <c r="P738" s="10">
        <f>HVAC_IOs!O101</f>
        <v/>
      </c>
      <c r="Q738" s="10" t="inlineStr">
        <is>
          <t>(degC)</t>
        </is>
      </c>
      <c r="CE738" s="321" t="n"/>
    </row>
    <row r="739" ht="38.25" customFormat="1" customHeight="1" s="265">
      <c r="A739" s="11" t="n">
        <v>9</v>
      </c>
      <c r="B739" s="11" t="inlineStr">
        <is>
          <t>MODE SETTING SCREEN-MODE Select</t>
        </is>
      </c>
      <c r="C739" s="12" t="inlineStr">
        <is>
          <t>VENT</t>
        </is>
      </c>
      <c r="D739" s="33" t="inlineStr">
        <is>
          <t>boolean</t>
        </is>
      </c>
      <c r="E739" s="32" t="inlineStr">
        <is>
          <t>TCMS</t>
        </is>
      </c>
      <c r="F739" s="32" t="n"/>
      <c r="G739" s="11" t="n"/>
      <c r="K739" s="10" t="n">
        <v>9</v>
      </c>
      <c r="L739" s="10" t="inlineStr">
        <is>
          <t>HVAC INFO SCREEN</t>
        </is>
      </c>
      <c r="M739" s="10" t="inlineStr">
        <is>
          <t>Current Outside Temperature _TCA</t>
        </is>
      </c>
      <c r="N739" s="33" t="inlineStr">
        <is>
          <t>Float</t>
        </is>
      </c>
      <c r="O739" s="10" t="inlineStr">
        <is>
          <t>TCMS</t>
        </is>
      </c>
      <c r="P739" s="10">
        <f>HVAC_IOs!O102</f>
        <v/>
      </c>
      <c r="Q739" s="10" t="inlineStr">
        <is>
          <t>(degC)</t>
        </is>
      </c>
      <c r="CE739" s="321" t="n"/>
    </row>
    <row r="740" ht="38.25" customFormat="1" customHeight="1" s="265">
      <c r="A740" s="11" t="n">
        <v>10</v>
      </c>
      <c r="B740" s="11" t="inlineStr">
        <is>
          <t>MODE SETTING SCREEN-MODE Select</t>
        </is>
      </c>
      <c r="C740" s="12" t="inlineStr">
        <is>
          <t>AUTO</t>
        </is>
      </c>
      <c r="D740" s="33" t="inlineStr">
        <is>
          <t>boolean</t>
        </is>
      </c>
      <c r="E740" s="32" t="inlineStr">
        <is>
          <t>TCMS</t>
        </is>
      </c>
      <c r="F740" s="32" t="n">
        <v>1</v>
      </c>
      <c r="G740" s="11" t="n"/>
      <c r="K740" s="10" t="n">
        <v>10</v>
      </c>
      <c r="L740" s="10" t="inlineStr">
        <is>
          <t>HVAC INFO SCREEN</t>
        </is>
      </c>
      <c r="M740" s="10" t="inlineStr">
        <is>
          <t>Current Outside Temperature _DMB</t>
        </is>
      </c>
      <c r="N740" s="33" t="inlineStr">
        <is>
          <t>Float</t>
        </is>
      </c>
      <c r="O740" s="10" t="inlineStr">
        <is>
          <t>TCMS</t>
        </is>
      </c>
      <c r="P740" s="10">
        <f>HVAC_IOs!O103</f>
        <v/>
      </c>
      <c r="Q740" s="10" t="n"/>
      <c r="CE740" s="321" t="n"/>
    </row>
    <row r="741" ht="38.25" customFormat="1" customHeight="1" s="265">
      <c r="A741" s="11" t="n">
        <v>11</v>
      </c>
      <c r="B741" s="11" t="inlineStr">
        <is>
          <t>MODE SETTING SCREEN-MODE Select</t>
        </is>
      </c>
      <c r="C741" s="12" t="inlineStr">
        <is>
          <t>ALL OFF</t>
        </is>
      </c>
      <c r="D741" s="33" t="inlineStr">
        <is>
          <t>boolean</t>
        </is>
      </c>
      <c r="E741" s="32" t="inlineStr">
        <is>
          <t>TCMS</t>
        </is>
      </c>
      <c r="F741" s="32" t="n"/>
      <c r="G741" s="11" t="n"/>
      <c r="K741" s="10" t="n">
        <v>11</v>
      </c>
      <c r="L741" s="10" t="inlineStr">
        <is>
          <t>HVAC INFO SCREEN</t>
        </is>
      </c>
      <c r="M741" s="10" t="inlineStr">
        <is>
          <t>Current Inside Temperature (degC)_UNIT 1_DMA</t>
        </is>
      </c>
      <c r="N741" s="33" t="inlineStr">
        <is>
          <t>Float</t>
        </is>
      </c>
      <c r="O741" s="10" t="inlineStr">
        <is>
          <t>TCMS</t>
        </is>
      </c>
      <c r="P741" s="10">
        <f>HVAC_IOs!O104</f>
        <v/>
      </c>
      <c r="Q741" s="10" t="inlineStr">
        <is>
          <t>(MPa)</t>
        </is>
      </c>
      <c r="CE741" s="321" t="n"/>
    </row>
    <row r="742" ht="38.25" customFormat="1" customHeight="1" s="265">
      <c r="A742" s="11" t="n">
        <v>12</v>
      </c>
      <c r="B742" s="11" t="inlineStr">
        <is>
          <t>MODE SETTING SCREEN-MODE Select</t>
        </is>
      </c>
      <c r="C742" s="12" t="inlineStr">
        <is>
          <t>ALL VENT</t>
        </is>
      </c>
      <c r="D742" s="33" t="inlineStr">
        <is>
          <t>boolean</t>
        </is>
      </c>
      <c r="E742" s="32" t="inlineStr">
        <is>
          <t>TCMS</t>
        </is>
      </c>
      <c r="F742" s="32" t="n"/>
      <c r="G742" s="11" t="n"/>
      <c r="K742" s="10" t="n">
        <v>12</v>
      </c>
      <c r="L742" s="10" t="inlineStr">
        <is>
          <t>HVAC INFO SCREEN</t>
        </is>
      </c>
      <c r="M742" s="10" t="inlineStr">
        <is>
          <t>Current Inside Temperature (degC)_UNIT 1_TCA</t>
        </is>
      </c>
      <c r="N742" s="33" t="inlineStr">
        <is>
          <t>Float</t>
        </is>
      </c>
      <c r="O742" s="10" t="inlineStr">
        <is>
          <t>TCMS</t>
        </is>
      </c>
      <c r="P742" s="10">
        <f>HVAC_IOs!O105</f>
        <v/>
      </c>
      <c r="Q742" s="10" t="inlineStr">
        <is>
          <t>(MPa)</t>
        </is>
      </c>
      <c r="CE742" s="321" t="n"/>
    </row>
    <row r="743" ht="38.25" customFormat="1" customHeight="1" s="265">
      <c r="A743" s="11" t="n">
        <v>13</v>
      </c>
      <c r="B743" s="11" t="inlineStr">
        <is>
          <t>MODE SETTING SCREEN-MODE Select</t>
        </is>
      </c>
      <c r="C743" s="12" t="inlineStr">
        <is>
          <t>ALL AUTO</t>
        </is>
      </c>
      <c r="D743" s="33" t="inlineStr">
        <is>
          <t>boolean</t>
        </is>
      </c>
      <c r="E743" s="32" t="inlineStr">
        <is>
          <t>TCMS</t>
        </is>
      </c>
      <c r="F743" s="32" t="n"/>
      <c r="G743" s="11" t="n"/>
      <c r="K743" s="10" t="n">
        <v>13</v>
      </c>
      <c r="L743" s="10" t="inlineStr">
        <is>
          <t>HVAC INFO SCREEN</t>
        </is>
      </c>
      <c r="M743" s="10" t="inlineStr">
        <is>
          <t>Current Inside Temperature (degC)_UNIT 1_DMB</t>
        </is>
      </c>
      <c r="N743" s="33" t="inlineStr">
        <is>
          <t>Integer</t>
        </is>
      </c>
      <c r="O743" s="10" t="inlineStr">
        <is>
          <t>TCMS</t>
        </is>
      </c>
      <c r="P743" s="10">
        <f>HVAC_IOs!O106</f>
        <v/>
      </c>
      <c r="Q743" s="10" t="inlineStr">
        <is>
          <t>0-7</t>
        </is>
      </c>
      <c r="CE743" s="321" t="n"/>
    </row>
    <row r="744" ht="38.25" customFormat="1" customHeight="1" s="265">
      <c r="A744" s="11" t="n">
        <v>14</v>
      </c>
      <c r="B744" s="90" t="n"/>
      <c r="C744" s="89" t="n"/>
      <c r="D744" s="90" t="n"/>
      <c r="E744" s="93" t="n"/>
      <c r="F744" s="90" t="n"/>
      <c r="G744" s="90" t="n"/>
      <c r="K744" s="10" t="n">
        <v>14</v>
      </c>
      <c r="L744" s="10" t="inlineStr">
        <is>
          <t>HVAC INFO SCREEN</t>
        </is>
      </c>
      <c r="M744" s="10" t="inlineStr">
        <is>
          <t>Current Inside Temperature (degC)_UNIT 2_DMA</t>
        </is>
      </c>
      <c r="N744" s="33" t="n"/>
      <c r="O744" s="10" t="inlineStr">
        <is>
          <t>TCMS</t>
        </is>
      </c>
      <c r="P744" s="10">
        <f>HVAC_IOs!O107</f>
        <v/>
      </c>
      <c r="Q744" s="10" t="n"/>
      <c r="CE744" s="321" t="n"/>
    </row>
    <row r="745" ht="38.25" customFormat="1" customHeight="1" s="265">
      <c r="A745" s="11" t="n">
        <v>15</v>
      </c>
      <c r="B745" s="11" t="inlineStr">
        <is>
          <t>TEMP SETTING SCREEN-CAR Select</t>
        </is>
      </c>
      <c r="C745" s="12" t="inlineStr">
        <is>
          <t>ALL CAR</t>
        </is>
      </c>
      <c r="D745" s="33" t="inlineStr">
        <is>
          <t>boolean</t>
        </is>
      </c>
      <c r="E745" s="32" t="inlineStr">
        <is>
          <t>TCMS</t>
        </is>
      </c>
      <c r="F745" s="11" t="n"/>
      <c r="G745" s="11" t="n"/>
      <c r="K745" s="10" t="n">
        <v>15</v>
      </c>
      <c r="L745" s="10" t="inlineStr">
        <is>
          <t>HVAC INFO SCREEN</t>
        </is>
      </c>
      <c r="M745" s="10" t="inlineStr">
        <is>
          <t>Current Inside Temperature (degC)_UNIT 2_TCA</t>
        </is>
      </c>
      <c r="N745" s="33" t="n"/>
      <c r="O745" s="10" t="inlineStr">
        <is>
          <t>TCMS</t>
        </is>
      </c>
      <c r="P745" s="10">
        <f>HVAC_IOs!O108</f>
        <v/>
      </c>
      <c r="Q745" s="10" t="n"/>
      <c r="CE745" s="321" t="n"/>
    </row>
    <row r="746" ht="38.25" customFormat="1" customHeight="1" s="265">
      <c r="A746" s="11" t="n">
        <v>16</v>
      </c>
      <c r="B746" s="11" t="inlineStr">
        <is>
          <t>TEMP SETTING SCREEN-CAR Select</t>
        </is>
      </c>
      <c r="C746" s="12" t="inlineStr">
        <is>
          <t>DMA</t>
        </is>
      </c>
      <c r="D746" s="33" t="inlineStr">
        <is>
          <t>boolean</t>
        </is>
      </c>
      <c r="E746" s="32" t="inlineStr">
        <is>
          <t>TCMS</t>
        </is>
      </c>
      <c r="F746" s="11" t="n"/>
      <c r="G746" s="11" t="n"/>
      <c r="K746" s="10" t="n">
        <v>16</v>
      </c>
      <c r="L746" s="10" t="inlineStr">
        <is>
          <t>HVAC INFO SCREEN</t>
        </is>
      </c>
      <c r="M746" s="10" t="inlineStr">
        <is>
          <t>Current Inside Temperature (degC)_UNIT 2_DMB</t>
        </is>
      </c>
      <c r="N746" s="33" t="n"/>
      <c r="O746" s="10" t="inlineStr">
        <is>
          <t>TCMS</t>
        </is>
      </c>
      <c r="P746" s="10">
        <f>HVAC_IOs!O109</f>
        <v/>
      </c>
      <c r="Q746" s="10" t="n"/>
      <c r="CE746" s="321" t="n"/>
    </row>
    <row r="747" ht="28.5" customHeight="1">
      <c r="A747" s="11" t="n">
        <v>17</v>
      </c>
      <c r="B747" s="11" t="inlineStr">
        <is>
          <t>TEMP SETTING SCREEN-CAR Select</t>
        </is>
      </c>
      <c r="C747" s="12" t="inlineStr">
        <is>
          <t>TCA</t>
        </is>
      </c>
      <c r="D747" s="33" t="inlineStr">
        <is>
          <t>boolean</t>
        </is>
      </c>
      <c r="E747" s="32" t="inlineStr">
        <is>
          <t>TCMS</t>
        </is>
      </c>
      <c r="F747" s="11" t="n"/>
      <c r="G747" s="11" t="n"/>
      <c r="K747" s="10" t="n">
        <v>17</v>
      </c>
      <c r="L747" s="10" t="inlineStr">
        <is>
          <t>HVAC INFO SCREEN</t>
        </is>
      </c>
      <c r="M747" s="10" t="inlineStr">
        <is>
          <t>Target Temperature (degC)_UNIT 1_DMA</t>
        </is>
      </c>
      <c r="N747" s="33" t="n"/>
      <c r="O747" s="10" t="inlineStr">
        <is>
          <t>TCMS</t>
        </is>
      </c>
      <c r="P747" s="10">
        <f>HVAC_IOs!O110</f>
        <v/>
      </c>
      <c r="Q747" s="10" t="n"/>
    </row>
    <row r="748" ht="28.5" customHeight="1">
      <c r="A748" s="11" t="n">
        <v>18</v>
      </c>
      <c r="B748" s="11" t="inlineStr">
        <is>
          <t>TEMP SETTING SCREEN-CAR Select</t>
        </is>
      </c>
      <c r="C748" s="12" t="inlineStr">
        <is>
          <t>DMB</t>
        </is>
      </c>
      <c r="D748" s="33" t="inlineStr">
        <is>
          <t>boolean</t>
        </is>
      </c>
      <c r="E748" s="32" t="inlineStr">
        <is>
          <t>TCMS</t>
        </is>
      </c>
      <c r="F748" s="11" t="n"/>
      <c r="G748" s="11" t="n"/>
      <c r="K748" s="10" t="n">
        <v>18</v>
      </c>
      <c r="L748" s="10" t="inlineStr">
        <is>
          <t>HVAC INFO SCREEN</t>
        </is>
      </c>
      <c r="M748" s="10" t="inlineStr">
        <is>
          <t>Target Temperature (degC)_UNIT 1_TCA</t>
        </is>
      </c>
      <c r="N748" s="33" t="n"/>
      <c r="O748" s="10" t="inlineStr">
        <is>
          <t>TCMS</t>
        </is>
      </c>
      <c r="P748" s="10">
        <f>HVAC_IOs!O111</f>
        <v/>
      </c>
      <c r="Q748" s="10" t="n"/>
    </row>
    <row r="749" ht="28.5" customHeight="1">
      <c r="A749" s="11" t="n">
        <v>19</v>
      </c>
      <c r="B749" s="11" t="inlineStr">
        <is>
          <t>TEMP SETTING SCREEN-HVAC Select</t>
        </is>
      </c>
      <c r="C749" s="12" t="inlineStr">
        <is>
          <t>ALL HVAC</t>
        </is>
      </c>
      <c r="D749" s="33" t="inlineStr">
        <is>
          <t>boolean</t>
        </is>
      </c>
      <c r="E749" s="32" t="inlineStr">
        <is>
          <t>TCMS</t>
        </is>
      </c>
      <c r="F749" s="11" t="n"/>
      <c r="G749" s="11" t="n"/>
      <c r="K749" s="10" t="n">
        <v>19</v>
      </c>
      <c r="L749" s="10" t="inlineStr">
        <is>
          <t>HVAC INFO SCREEN</t>
        </is>
      </c>
      <c r="M749" s="10" t="inlineStr">
        <is>
          <t>Target Temperature (degC)_UNIT 1_DMB</t>
        </is>
      </c>
      <c r="N749" s="33" t="n"/>
      <c r="O749" s="10" t="inlineStr">
        <is>
          <t>TCMS</t>
        </is>
      </c>
      <c r="P749" s="10">
        <f>HVAC_IOs!O112</f>
        <v/>
      </c>
      <c r="Q749" s="10" t="n"/>
    </row>
    <row r="750" ht="28.5" customHeight="1">
      <c r="A750" s="11" t="n">
        <v>20</v>
      </c>
      <c r="B750" s="11" t="inlineStr">
        <is>
          <t>TEMP SETTING SCREEN-HVAC Select</t>
        </is>
      </c>
      <c r="C750" s="12" t="inlineStr">
        <is>
          <t>UNIT1</t>
        </is>
      </c>
      <c r="D750" s="33" t="inlineStr">
        <is>
          <t>boolean</t>
        </is>
      </c>
      <c r="E750" s="32" t="inlineStr">
        <is>
          <t>TCMS</t>
        </is>
      </c>
      <c r="F750" s="11" t="n"/>
      <c r="G750" s="11" t="n"/>
      <c r="K750" s="10" t="n">
        <v>20</v>
      </c>
      <c r="L750" s="10" t="inlineStr">
        <is>
          <t>HVAC INFO SCREEN</t>
        </is>
      </c>
      <c r="M750" s="10" t="inlineStr">
        <is>
          <t>Target Temperature (degC)_UNIT 2_DMA</t>
        </is>
      </c>
      <c r="N750" s="33" t="n"/>
      <c r="O750" s="10" t="inlineStr">
        <is>
          <t>TCMS</t>
        </is>
      </c>
      <c r="P750" s="10">
        <f>HVAC_IOs!O113</f>
        <v/>
      </c>
      <c r="Q750" s="10" t="n"/>
    </row>
    <row r="751" ht="28.5" customHeight="1">
      <c r="A751" s="11" t="n">
        <v>21</v>
      </c>
      <c r="B751" s="11" t="inlineStr">
        <is>
          <t>TEMP SETTING SCREEN-HVAC Select</t>
        </is>
      </c>
      <c r="C751" s="12" t="inlineStr">
        <is>
          <t>UNIT2</t>
        </is>
      </c>
      <c r="D751" s="33" t="inlineStr">
        <is>
          <t>boolean</t>
        </is>
      </c>
      <c r="E751" s="32" t="inlineStr">
        <is>
          <t>TCMS</t>
        </is>
      </c>
      <c r="F751" s="11" t="n"/>
      <c r="G751" s="11" t="n"/>
      <c r="K751" s="10" t="n">
        <v>21</v>
      </c>
      <c r="L751" s="10" t="inlineStr">
        <is>
          <t>HVAC INFO SCREEN</t>
        </is>
      </c>
      <c r="M751" s="10" t="inlineStr">
        <is>
          <t>Target Temperature (degC)_UNIT 2_TCA</t>
        </is>
      </c>
      <c r="N751" s="33" t="n"/>
      <c r="O751" s="10" t="inlineStr">
        <is>
          <t>TCMS</t>
        </is>
      </c>
      <c r="P751" s="10">
        <f>HVAC_IOs!O114</f>
        <v/>
      </c>
      <c r="Q751" s="10" t="n"/>
    </row>
    <row r="752" ht="28.5" customHeight="1">
      <c r="A752" s="11" t="n">
        <v>22</v>
      </c>
      <c r="B752" s="90" t="n"/>
      <c r="C752" s="89" t="n"/>
      <c r="D752" s="90" t="n"/>
      <c r="E752" s="93" t="n"/>
      <c r="F752" s="90" t="n"/>
      <c r="G752" s="90" t="n"/>
      <c r="K752" s="10" t="n">
        <v>22</v>
      </c>
      <c r="L752" s="10" t="inlineStr">
        <is>
          <t>HVAC INFO SCREEN</t>
        </is>
      </c>
      <c r="M752" s="10" t="inlineStr">
        <is>
          <t>Target Temperature (degC)_UNIT 2_DMB</t>
        </is>
      </c>
      <c r="N752" s="33" t="n"/>
      <c r="O752" s="10" t="inlineStr">
        <is>
          <t>TCMS</t>
        </is>
      </c>
      <c r="P752" s="10">
        <f>HVAC_IOs!O115</f>
        <v/>
      </c>
      <c r="Q752" s="10" t="n"/>
    </row>
    <row r="753" ht="28.5" customHeight="1">
      <c r="A753" s="11" t="n">
        <v>23</v>
      </c>
      <c r="B753" s="11" t="inlineStr">
        <is>
          <t>HVAC ISO- HVAC 1 TARGET CAR</t>
        </is>
      </c>
      <c r="C753" s="12" t="inlineStr">
        <is>
          <t>DMA</t>
        </is>
      </c>
      <c r="D753" s="33" t="inlineStr">
        <is>
          <t>boolean</t>
        </is>
      </c>
      <c r="E753" s="32" t="inlineStr">
        <is>
          <t>TCMS</t>
        </is>
      </c>
      <c r="F753" s="11" t="n"/>
      <c r="G753" s="11" t="n"/>
      <c r="K753" s="10" t="n">
        <v>23</v>
      </c>
      <c r="L753" s="10" t="inlineStr">
        <is>
          <t>HVAC INFO SCREEN</t>
        </is>
      </c>
      <c r="M753" s="10" t="inlineStr">
        <is>
          <t>Fresh Air Damper_UNIT 1_DMA</t>
        </is>
      </c>
      <c r="N753" s="33" t="n"/>
      <c r="O753" s="10" t="inlineStr">
        <is>
          <t>TCMS</t>
        </is>
      </c>
      <c r="P753" s="10">
        <f>HVAC_IOs!O116</f>
        <v/>
      </c>
      <c r="Q753" s="10" t="n"/>
    </row>
    <row r="754" ht="28.5" customHeight="1">
      <c r="A754" s="11" t="n">
        <v>24</v>
      </c>
      <c r="B754" s="11" t="inlineStr">
        <is>
          <t>HVAC ISO- HVAC 1 TARGET CAR</t>
        </is>
      </c>
      <c r="C754" s="12" t="inlineStr">
        <is>
          <t>TCA</t>
        </is>
      </c>
      <c r="D754" s="33" t="inlineStr">
        <is>
          <t>boolean</t>
        </is>
      </c>
      <c r="E754" s="32" t="inlineStr">
        <is>
          <t>TCMS</t>
        </is>
      </c>
      <c r="F754" s="11" t="n"/>
      <c r="G754" s="11" t="n"/>
      <c r="K754" s="10" t="n">
        <v>24</v>
      </c>
      <c r="L754" s="10" t="inlineStr">
        <is>
          <t>HVAC INFO SCREEN</t>
        </is>
      </c>
      <c r="M754" s="10" t="inlineStr">
        <is>
          <t>Fresh Air Damper_UNIT 1_TCA</t>
        </is>
      </c>
      <c r="N754" s="33" t="n"/>
      <c r="O754" s="10" t="inlineStr">
        <is>
          <t>TCMS</t>
        </is>
      </c>
      <c r="P754" s="10">
        <f>HVAC_IOs!O117</f>
        <v/>
      </c>
      <c r="Q754" s="10" t="n"/>
    </row>
    <row r="755" ht="28.5" customHeight="1">
      <c r="A755" s="11" t="n">
        <v>25</v>
      </c>
      <c r="B755" s="11" t="inlineStr">
        <is>
          <t>HVAC ISO- HVAC 1 TARGET CAR</t>
        </is>
      </c>
      <c r="C755" s="12" t="inlineStr">
        <is>
          <t>DMB</t>
        </is>
      </c>
      <c r="D755" s="33" t="inlineStr">
        <is>
          <t>boolean</t>
        </is>
      </c>
      <c r="E755" s="32" t="inlineStr">
        <is>
          <t>TCMS</t>
        </is>
      </c>
      <c r="F755" s="11" t="n"/>
      <c r="G755" s="11" t="n"/>
      <c r="K755" s="10" t="n">
        <v>25</v>
      </c>
      <c r="L755" s="10" t="inlineStr">
        <is>
          <t>HVAC INFO SCREEN</t>
        </is>
      </c>
      <c r="M755" s="10" t="inlineStr">
        <is>
          <t>Fresh Air Damper_UNIT 1_DMB</t>
        </is>
      </c>
      <c r="N755" s="33" t="n"/>
      <c r="O755" s="10" t="inlineStr">
        <is>
          <t>TCMS</t>
        </is>
      </c>
      <c r="P755" s="10">
        <f>HVAC_IOs!O118</f>
        <v/>
      </c>
      <c r="Q755" s="10" t="n"/>
    </row>
    <row r="756" ht="28.5" customHeight="1">
      <c r="A756" s="11" t="n">
        <v>26</v>
      </c>
      <c r="B756" s="11" t="inlineStr">
        <is>
          <t>HVAC ISO- HVAC 2 TARGET CAR</t>
        </is>
      </c>
      <c r="C756" s="12" t="inlineStr">
        <is>
          <t>DMA</t>
        </is>
      </c>
      <c r="D756" s="33" t="inlineStr">
        <is>
          <t>boolean</t>
        </is>
      </c>
      <c r="E756" s="32" t="inlineStr">
        <is>
          <t>TCMS</t>
        </is>
      </c>
      <c r="F756" s="11" t="n"/>
      <c r="G756" s="11" t="n"/>
      <c r="K756" s="10" t="n">
        <v>26</v>
      </c>
      <c r="L756" s="10" t="inlineStr">
        <is>
          <t>HVAC INFO SCREEN</t>
        </is>
      </c>
      <c r="M756" s="10" t="inlineStr">
        <is>
          <t>Fresh Air Damper_UNIT 2_DMA</t>
        </is>
      </c>
      <c r="N756" s="33" t="n"/>
      <c r="O756" s="10" t="inlineStr">
        <is>
          <t>TCMS</t>
        </is>
      </c>
      <c r="P756" s="10">
        <f>HVAC_IOs!O119</f>
        <v/>
      </c>
      <c r="Q756" s="10" t="n"/>
    </row>
    <row r="757" ht="28.5" customHeight="1">
      <c r="A757" s="11" t="n">
        <v>27</v>
      </c>
      <c r="B757" s="11" t="inlineStr">
        <is>
          <t>HVAC ISO- HVAC 2 TARGET CAR</t>
        </is>
      </c>
      <c r="C757" s="12" t="inlineStr">
        <is>
          <t>TCA</t>
        </is>
      </c>
      <c r="D757" s="33" t="inlineStr">
        <is>
          <t>boolean</t>
        </is>
      </c>
      <c r="E757" s="32" t="inlineStr">
        <is>
          <t>TCMS</t>
        </is>
      </c>
      <c r="F757" s="11" t="n"/>
      <c r="G757" s="11" t="n"/>
      <c r="K757" s="10" t="n">
        <v>27</v>
      </c>
      <c r="L757" s="10" t="inlineStr">
        <is>
          <t>HVAC INFO SCREEN</t>
        </is>
      </c>
      <c r="M757" s="10" t="inlineStr">
        <is>
          <t>Fresh Air Damper_UNIT 2_TCA</t>
        </is>
      </c>
      <c r="N757" s="33" t="n"/>
      <c r="O757" s="10" t="inlineStr">
        <is>
          <t>TCMS</t>
        </is>
      </c>
      <c r="P757" s="10">
        <f>HVAC_IOs!O120</f>
        <v/>
      </c>
      <c r="Q757" s="10" t="n"/>
    </row>
    <row r="758" ht="36.75" customHeight="1">
      <c r="A758" s="11" t="n">
        <v>28</v>
      </c>
      <c r="B758" s="11" t="inlineStr">
        <is>
          <t>HVAC ISO- HVAC 2 TARGET CAR</t>
        </is>
      </c>
      <c r="C758" s="12" t="inlineStr">
        <is>
          <t>DMB</t>
        </is>
      </c>
      <c r="D758" s="33" t="inlineStr">
        <is>
          <t>boolean</t>
        </is>
      </c>
      <c r="E758" s="32" t="inlineStr">
        <is>
          <t>TCMS</t>
        </is>
      </c>
      <c r="F758" s="11" t="n"/>
      <c r="G758" s="11" t="n"/>
      <c r="K758" s="10" t="n">
        <v>28</v>
      </c>
      <c r="L758" s="10" t="inlineStr">
        <is>
          <t>HVAC INFO SCREEN</t>
        </is>
      </c>
      <c r="M758" s="10" t="inlineStr">
        <is>
          <t>Fresh Air Damper_UNIT 2_DMB</t>
        </is>
      </c>
      <c r="N758" s="33" t="n"/>
      <c r="O758" s="10" t="inlineStr">
        <is>
          <t>TCMS</t>
        </is>
      </c>
      <c r="P758" s="10">
        <f>HVAC_IOs!O121</f>
        <v/>
      </c>
      <c r="Q758" s="10" t="n"/>
    </row>
    <row r="759" ht="30.75" customHeight="1">
      <c r="A759" s="11" t="n">
        <v>29</v>
      </c>
      <c r="B759" s="11" t="inlineStr">
        <is>
          <t>HVAC ISO</t>
        </is>
      </c>
      <c r="C759" s="12" t="inlineStr">
        <is>
          <t>HVAC Reset</t>
        </is>
      </c>
      <c r="D759" s="33" t="inlineStr">
        <is>
          <t>boolean</t>
        </is>
      </c>
      <c r="E759" s="32" t="inlineStr">
        <is>
          <t>TCMS</t>
        </is>
      </c>
      <c r="F759" s="11" t="n"/>
      <c r="G759" s="11" t="n"/>
      <c r="K759" s="10" t="n">
        <v>29</v>
      </c>
      <c r="L759" s="10" t="inlineStr">
        <is>
          <t>HVAC INFO SCREEN</t>
        </is>
      </c>
      <c r="M759" s="10" t="inlineStr">
        <is>
          <t>Low-pressure value on Compressor_UNIT 1_DMA</t>
        </is>
      </c>
      <c r="N759" s="33" t="n"/>
      <c r="O759" s="10" t="inlineStr">
        <is>
          <t>TCMS</t>
        </is>
      </c>
      <c r="P759" s="10">
        <f>HVAC_IOs!O122</f>
        <v/>
      </c>
      <c r="Q759" s="10" t="n"/>
    </row>
    <row r="760" ht="36" customHeight="1">
      <c r="A760" s="11" t="n">
        <v>30</v>
      </c>
      <c r="B760" s="11" t="inlineStr">
        <is>
          <t>HVAC ISO</t>
        </is>
      </c>
      <c r="C760" s="12" t="inlineStr">
        <is>
          <t>ISOLATE</t>
        </is>
      </c>
      <c r="D760" s="33" t="inlineStr">
        <is>
          <t>boolean</t>
        </is>
      </c>
      <c r="E760" s="32" t="inlineStr">
        <is>
          <t>TCMS</t>
        </is>
      </c>
      <c r="F760" s="11" t="n"/>
      <c r="G760" s="11" t="n"/>
      <c r="K760" s="10" t="n">
        <v>30</v>
      </c>
      <c r="L760" s="10" t="inlineStr">
        <is>
          <t>HVAC INFO SCREEN</t>
        </is>
      </c>
      <c r="M760" s="10" t="inlineStr">
        <is>
          <t>Low-pressure value on Compressor_UNIT 1_TCA</t>
        </is>
      </c>
      <c r="N760" s="33" t="n"/>
      <c r="O760" s="10" t="inlineStr">
        <is>
          <t>TCMS</t>
        </is>
      </c>
      <c r="P760" s="10">
        <f>HVAC_IOs!O123</f>
        <v/>
      </c>
      <c r="Q760" s="10" t="n"/>
    </row>
    <row r="761" ht="28.5" customHeight="1">
      <c r="A761" s="11" t="n">
        <v>31</v>
      </c>
      <c r="B761" s="11" t="inlineStr">
        <is>
          <t>HVAC ISO</t>
        </is>
      </c>
      <c r="C761" s="12" t="inlineStr">
        <is>
          <t>ISOLATE RESET</t>
        </is>
      </c>
      <c r="D761" s="33" t="inlineStr">
        <is>
          <t>boolean</t>
        </is>
      </c>
      <c r="E761" s="32" t="inlineStr">
        <is>
          <t>TCMS</t>
        </is>
      </c>
      <c r="F761" s="11" t="n"/>
      <c r="G761" s="11" t="n"/>
      <c r="K761" s="10" t="n">
        <v>31</v>
      </c>
      <c r="L761" s="10" t="inlineStr">
        <is>
          <t>HVAC INFO SCREEN</t>
        </is>
      </c>
      <c r="M761" s="10" t="inlineStr">
        <is>
          <t>Low-pressure value on Compressor_UNIT 1_DMB</t>
        </is>
      </c>
      <c r="N761" s="33" t="n"/>
      <c r="O761" s="10" t="inlineStr">
        <is>
          <t>TCMS</t>
        </is>
      </c>
      <c r="P761" s="10">
        <f>HVAC_IOs!O124</f>
        <v/>
      </c>
      <c r="Q761" s="10" t="n"/>
    </row>
    <row r="762" ht="28.5" customHeight="1">
      <c r="A762" s="11" t="n">
        <v>32</v>
      </c>
      <c r="B762" s="11" t="n"/>
      <c r="C762" s="12" t="inlineStr">
        <is>
          <t>spare</t>
        </is>
      </c>
      <c r="D762" s="33" t="inlineStr">
        <is>
          <t>boolean</t>
        </is>
      </c>
      <c r="E762" s="32" t="inlineStr">
        <is>
          <t>TCMS</t>
        </is>
      </c>
      <c r="F762" s="11" t="n"/>
      <c r="G762" s="11" t="n"/>
      <c r="K762" s="10" t="n">
        <v>32</v>
      </c>
      <c r="L762" s="10" t="inlineStr">
        <is>
          <t>HVAC INFO SCREEN</t>
        </is>
      </c>
      <c r="M762" s="10" t="inlineStr">
        <is>
          <t>Low-pressure value on Compressor_UNIT 2_DMA</t>
        </is>
      </c>
      <c r="N762" s="33" t="n"/>
      <c r="O762" s="10" t="inlineStr">
        <is>
          <t>TCMS</t>
        </is>
      </c>
      <c r="P762" s="10">
        <f>HVAC_IOs!O125</f>
        <v/>
      </c>
      <c r="Q762" s="10" t="n"/>
    </row>
    <row r="763" ht="31.5" customHeight="1">
      <c r="A763" s="11" t="n">
        <v>33</v>
      </c>
      <c r="B763" s="11" t="n"/>
      <c r="C763" s="12" t="inlineStr">
        <is>
          <t>spare</t>
        </is>
      </c>
      <c r="D763" s="33" t="inlineStr">
        <is>
          <t>boolean</t>
        </is>
      </c>
      <c r="E763" s="32" t="inlineStr">
        <is>
          <t>TCMS</t>
        </is>
      </c>
      <c r="F763" s="11" t="n"/>
      <c r="G763" s="11" t="n"/>
      <c r="K763" s="10" t="n">
        <v>33</v>
      </c>
      <c r="L763" s="10" t="inlineStr">
        <is>
          <t>HVAC INFO SCREEN</t>
        </is>
      </c>
      <c r="M763" s="10" t="inlineStr">
        <is>
          <t>Low-pressure value on Compressor_UNIT 2_TCA</t>
        </is>
      </c>
      <c r="N763" s="33" t="n"/>
      <c r="O763" s="10" t="inlineStr">
        <is>
          <t>TCMS</t>
        </is>
      </c>
      <c r="P763" s="10">
        <f>HVAC_IOs!O126</f>
        <v/>
      </c>
      <c r="Q763" s="10" t="n"/>
    </row>
    <row r="764" ht="31.5" customHeight="1">
      <c r="A764" s="11" t="n">
        <v>34</v>
      </c>
      <c r="B764" s="11" t="n"/>
      <c r="C764" s="12" t="inlineStr">
        <is>
          <t>spare</t>
        </is>
      </c>
      <c r="D764" s="33" t="inlineStr">
        <is>
          <t>boolean</t>
        </is>
      </c>
      <c r="E764" s="32" t="inlineStr">
        <is>
          <t>TCMS</t>
        </is>
      </c>
      <c r="F764" s="11" t="n"/>
      <c r="G764" s="11" t="n"/>
      <c r="K764" s="10" t="n">
        <v>34</v>
      </c>
      <c r="L764" s="10" t="inlineStr">
        <is>
          <t>HVAC INFO SCREEN</t>
        </is>
      </c>
      <c r="M764" s="10" t="inlineStr">
        <is>
          <t>Low-pressure value on Compressor_UNIT 2_DMB</t>
        </is>
      </c>
      <c r="N764" s="33" t="n"/>
      <c r="O764" s="10" t="inlineStr">
        <is>
          <t>TCMS</t>
        </is>
      </c>
      <c r="P764" s="10">
        <f>HVAC_IOs!O127</f>
        <v/>
      </c>
      <c r="Q764" s="10" t="n"/>
    </row>
    <row r="765" ht="31.5" customHeight="1">
      <c r="A765" s="11" t="n">
        <v>35</v>
      </c>
      <c r="B765" s="11" t="n"/>
      <c r="C765" s="12" t="inlineStr">
        <is>
          <t>spare</t>
        </is>
      </c>
      <c r="D765" s="33" t="inlineStr">
        <is>
          <t>boolean</t>
        </is>
      </c>
      <c r="E765" s="32" t="inlineStr">
        <is>
          <t>TCMS</t>
        </is>
      </c>
      <c r="F765" s="11" t="n"/>
      <c r="G765" s="11" t="n"/>
      <c r="K765" s="10" t="n">
        <v>35</v>
      </c>
      <c r="L765" s="10" t="inlineStr">
        <is>
          <t>HVAC INFO SCREEN</t>
        </is>
      </c>
      <c r="M765" s="10" t="inlineStr">
        <is>
          <t>High-pressure value on Compressor_UNIT 1_DMA</t>
        </is>
      </c>
      <c r="N765" s="33" t="n"/>
      <c r="O765" s="10" t="inlineStr">
        <is>
          <t>TCMS</t>
        </is>
      </c>
      <c r="P765" s="10">
        <f>HVAC_IOs!O128</f>
        <v/>
      </c>
      <c r="Q765" s="10" t="n"/>
    </row>
    <row r="766" ht="31.5" customHeight="1">
      <c r="A766" s="11" t="n">
        <v>36</v>
      </c>
      <c r="B766" s="11" t="n"/>
      <c r="C766" s="12" t="inlineStr">
        <is>
          <t>spare</t>
        </is>
      </c>
      <c r="D766" s="33" t="inlineStr">
        <is>
          <t>boolean</t>
        </is>
      </c>
      <c r="E766" s="32" t="inlineStr">
        <is>
          <t>TCMS</t>
        </is>
      </c>
      <c r="F766" s="11" t="n"/>
      <c r="G766" s="11" t="n"/>
      <c r="K766" s="10" t="n">
        <v>36</v>
      </c>
      <c r="L766" s="10" t="inlineStr">
        <is>
          <t>HVAC INFO SCREEN</t>
        </is>
      </c>
      <c r="M766" s="10" t="inlineStr">
        <is>
          <t>High-pressure value on Compressor_UNIT 1_TCA</t>
        </is>
      </c>
      <c r="N766" s="33" t="n"/>
      <c r="O766" s="10" t="inlineStr">
        <is>
          <t>TCMS</t>
        </is>
      </c>
      <c r="P766" s="10">
        <f>HVAC_IOs!O129</f>
        <v/>
      </c>
      <c r="Q766" s="10" t="n"/>
    </row>
    <row r="767" ht="31.5" customHeight="1">
      <c r="A767" s="11" t="n">
        <v>37</v>
      </c>
      <c r="B767" s="11" t="n"/>
      <c r="C767" s="12" t="inlineStr">
        <is>
          <t>spare</t>
        </is>
      </c>
      <c r="D767" s="33" t="inlineStr">
        <is>
          <t>boolean</t>
        </is>
      </c>
      <c r="E767" s="32" t="inlineStr">
        <is>
          <t>TCMS</t>
        </is>
      </c>
      <c r="F767" s="11" t="n"/>
      <c r="G767" s="11" t="n"/>
      <c r="K767" s="10" t="n">
        <v>37</v>
      </c>
      <c r="L767" s="10" t="inlineStr">
        <is>
          <t>HVAC INFO SCREEN</t>
        </is>
      </c>
      <c r="M767" s="10" t="inlineStr">
        <is>
          <t>High-pressure value on Compressor_UNIT 1_DMB</t>
        </is>
      </c>
      <c r="N767" s="33" t="n"/>
      <c r="O767" s="10" t="inlineStr">
        <is>
          <t>TCMS</t>
        </is>
      </c>
      <c r="P767" s="10">
        <f>HVAC_IOs!O130</f>
        <v/>
      </c>
      <c r="Q767" s="10" t="n"/>
    </row>
    <row r="768" ht="31.5" customHeight="1">
      <c r="A768" s="11" t="n">
        <v>38</v>
      </c>
      <c r="B768" s="11" t="n"/>
      <c r="C768" s="12" t="inlineStr">
        <is>
          <t>spare</t>
        </is>
      </c>
      <c r="D768" s="33" t="inlineStr">
        <is>
          <t>boolean</t>
        </is>
      </c>
      <c r="E768" s="32" t="inlineStr">
        <is>
          <t>TCMS</t>
        </is>
      </c>
      <c r="F768" s="11" t="n"/>
      <c r="G768" s="11" t="n"/>
      <c r="K768" s="10" t="n">
        <v>38</v>
      </c>
      <c r="L768" s="10" t="inlineStr">
        <is>
          <t>HVAC INFO SCREEN</t>
        </is>
      </c>
      <c r="M768" s="10" t="inlineStr">
        <is>
          <t>High-pressure value on Compressor_UNIT 2_DMA</t>
        </is>
      </c>
      <c r="N768" s="33" t="n"/>
      <c r="O768" s="10" t="inlineStr">
        <is>
          <t>TCMS</t>
        </is>
      </c>
      <c r="P768" s="10">
        <f>HVAC_IOs!O131</f>
        <v/>
      </c>
      <c r="Q768" s="10" t="n"/>
    </row>
    <row r="769" ht="31.5" customHeight="1">
      <c r="A769" s="11" t="n">
        <v>39</v>
      </c>
      <c r="B769" s="11" t="n"/>
      <c r="C769" s="12" t="inlineStr">
        <is>
          <t>spare</t>
        </is>
      </c>
      <c r="D769" s="33" t="inlineStr">
        <is>
          <t>boolean</t>
        </is>
      </c>
      <c r="E769" s="32" t="inlineStr">
        <is>
          <t>TCMS</t>
        </is>
      </c>
      <c r="F769" s="11" t="n"/>
      <c r="G769" s="11" t="n"/>
      <c r="K769" s="10" t="n">
        <v>39</v>
      </c>
      <c r="L769" s="10" t="inlineStr">
        <is>
          <t>HVAC INFO SCREEN</t>
        </is>
      </c>
      <c r="M769" s="10" t="inlineStr">
        <is>
          <t>High-pressure value on Compressor_UNIT 2_TCA</t>
        </is>
      </c>
      <c r="N769" s="33" t="n"/>
      <c r="O769" s="10" t="inlineStr">
        <is>
          <t>TCMS</t>
        </is>
      </c>
      <c r="P769" s="10">
        <f>HVAC_IOs!O132</f>
        <v/>
      </c>
      <c r="Q769" s="10" t="n"/>
    </row>
    <row r="770" ht="31.5" customHeight="1">
      <c r="A770" s="11" t="n">
        <v>40</v>
      </c>
      <c r="B770" s="11" t="n"/>
      <c r="C770" s="12" t="inlineStr">
        <is>
          <t>spare</t>
        </is>
      </c>
      <c r="D770" s="33" t="inlineStr">
        <is>
          <t>boolean</t>
        </is>
      </c>
      <c r="E770" s="32" t="inlineStr">
        <is>
          <t>TCMS</t>
        </is>
      </c>
      <c r="F770" s="11" t="n"/>
      <c r="G770" s="11" t="n"/>
      <c r="K770" s="10" t="n">
        <v>40</v>
      </c>
      <c r="L770" s="10" t="inlineStr">
        <is>
          <t>HVAC INFO SCREEN</t>
        </is>
      </c>
      <c r="M770" s="10" t="inlineStr">
        <is>
          <t>High-pressure value on Compressor_UNIT 2_DMB</t>
        </is>
      </c>
      <c r="N770" s="33" t="n"/>
      <c r="O770" s="10" t="inlineStr">
        <is>
          <t>TCMS</t>
        </is>
      </c>
      <c r="P770" s="10">
        <f>HVAC_IOs!O133</f>
        <v/>
      </c>
      <c r="Q770" s="10" t="n"/>
    </row>
    <row r="771" ht="33.75" customHeight="1">
      <c r="A771" s="11" t="n">
        <v>41</v>
      </c>
      <c r="B771" s="11" t="n"/>
      <c r="C771" s="12" t="inlineStr">
        <is>
          <t>spare</t>
        </is>
      </c>
      <c r="D771" s="33" t="inlineStr">
        <is>
          <t>boolean</t>
        </is>
      </c>
      <c r="E771" s="32" t="inlineStr">
        <is>
          <t>TCMS</t>
        </is>
      </c>
      <c r="F771" s="11" t="n"/>
      <c r="G771" s="11" t="n"/>
      <c r="K771" s="724" t="n">
        <v>41</v>
      </c>
      <c r="L771" s="724" t="n"/>
      <c r="N771" s="92" t="n"/>
      <c r="O771" s="724" t="n"/>
      <c r="P771" s="724" t="n"/>
      <c r="Q771" s="724" t="n"/>
    </row>
    <row r="772" ht="15.75" customHeight="1">
      <c r="A772" s="11" t="n">
        <v>42</v>
      </c>
      <c r="B772" s="11" t="n"/>
      <c r="C772" s="12" t="inlineStr">
        <is>
          <t>spare</t>
        </is>
      </c>
      <c r="D772" s="33" t="inlineStr">
        <is>
          <t>boolean</t>
        </is>
      </c>
      <c r="E772" s="32" t="inlineStr">
        <is>
          <t>TCMS</t>
        </is>
      </c>
      <c r="F772" s="11" t="n"/>
      <c r="G772" s="11" t="n"/>
      <c r="K772" s="10" t="n">
        <v>42</v>
      </c>
      <c r="L772" s="10" t="inlineStr">
        <is>
          <t>MODE SETTING  SCREEN</t>
        </is>
      </c>
      <c r="M772" s="10" t="inlineStr">
        <is>
          <t>Current Mode Status_UNIT 1_DMA</t>
        </is>
      </c>
      <c r="N772" s="33" t="n"/>
      <c r="O772" s="10" t="inlineStr">
        <is>
          <t>TCMS</t>
        </is>
      </c>
      <c r="P772" s="10">
        <f>HVAC_IOs!O135</f>
        <v/>
      </c>
      <c r="Q772" s="10" t="n"/>
    </row>
    <row r="773" ht="15.75" customHeight="1">
      <c r="A773" s="11" t="n">
        <v>43</v>
      </c>
      <c r="B773" s="11" t="n"/>
      <c r="C773" s="12" t="inlineStr">
        <is>
          <t>spare</t>
        </is>
      </c>
      <c r="D773" s="33" t="inlineStr">
        <is>
          <t>boolean</t>
        </is>
      </c>
      <c r="E773" s="32" t="inlineStr">
        <is>
          <t>TCMS</t>
        </is>
      </c>
      <c r="F773" s="11" t="n"/>
      <c r="G773" s="11" t="n"/>
      <c r="K773" s="10" t="n">
        <v>43</v>
      </c>
      <c r="L773" s="10" t="inlineStr">
        <is>
          <t>MODE SETTING  SCREEN</t>
        </is>
      </c>
      <c r="M773" s="10" t="inlineStr">
        <is>
          <t>Current Mode Status_UNIT 1_TCA</t>
        </is>
      </c>
      <c r="N773" s="33" t="n"/>
      <c r="O773" s="10" t="inlineStr">
        <is>
          <t>TCMS</t>
        </is>
      </c>
      <c r="P773" s="10">
        <f>HVAC_IOs!O136</f>
        <v/>
      </c>
      <c r="Q773" s="10" t="n"/>
    </row>
    <row r="774" ht="15.75" customHeight="1">
      <c r="A774" s="11" t="n">
        <v>44</v>
      </c>
      <c r="B774" s="11" t="n"/>
      <c r="C774" s="12" t="inlineStr">
        <is>
          <t>spare</t>
        </is>
      </c>
      <c r="D774" s="33" t="inlineStr">
        <is>
          <t>boolean</t>
        </is>
      </c>
      <c r="E774" s="32" t="inlineStr">
        <is>
          <t>TCMS</t>
        </is>
      </c>
      <c r="F774" s="11" t="n"/>
      <c r="G774" s="11" t="n"/>
      <c r="K774" s="10" t="n">
        <v>44</v>
      </c>
      <c r="L774" s="10" t="inlineStr">
        <is>
          <t>MODE SETTING  SCREEN</t>
        </is>
      </c>
      <c r="M774" s="10" t="inlineStr">
        <is>
          <t>Current Mode Status_UNIT 1_DMB</t>
        </is>
      </c>
      <c r="N774" s="33" t="n"/>
      <c r="O774" s="10" t="inlineStr">
        <is>
          <t>TCMS</t>
        </is>
      </c>
      <c r="P774" s="10">
        <f>HVAC_IOs!O137</f>
        <v/>
      </c>
      <c r="Q774" s="10" t="n"/>
    </row>
    <row r="775" ht="15.75" customHeight="1">
      <c r="K775" s="10" t="n">
        <v>45</v>
      </c>
      <c r="L775" s="10" t="inlineStr">
        <is>
          <t>MODE SETTING  SCREEN</t>
        </is>
      </c>
      <c r="M775" s="10" t="inlineStr">
        <is>
          <t>Current Mode Status_UNIT 2_DMA</t>
        </is>
      </c>
      <c r="N775" s="33" t="n"/>
      <c r="O775" s="10" t="inlineStr">
        <is>
          <t>TCMS</t>
        </is>
      </c>
      <c r="P775" s="10">
        <f>HVAC_IOs!O138</f>
        <v/>
      </c>
      <c r="Q775" s="10" t="n"/>
    </row>
    <row r="776" ht="15.75" customHeight="1">
      <c r="K776" s="10" t="n">
        <v>46</v>
      </c>
      <c r="L776" s="10" t="inlineStr">
        <is>
          <t>MODE SETTING  SCREEN</t>
        </is>
      </c>
      <c r="M776" s="10" t="inlineStr">
        <is>
          <t>Current Mode Status_UNIT 2_TCA</t>
        </is>
      </c>
      <c r="N776" s="33" t="n"/>
      <c r="O776" s="10" t="inlineStr">
        <is>
          <t>TCMS</t>
        </is>
      </c>
      <c r="P776" s="10">
        <f>HVAC_IOs!O139</f>
        <v/>
      </c>
      <c r="Q776" s="10" t="n"/>
    </row>
    <row r="777" ht="15.75" customHeight="1">
      <c r="K777" s="10" t="n">
        <v>47</v>
      </c>
      <c r="L777" s="10" t="inlineStr">
        <is>
          <t>MODE SETTING  SCREEN</t>
        </is>
      </c>
      <c r="M777" s="10" t="inlineStr">
        <is>
          <t>Current Mode Status_UNIT 2_DMB</t>
        </is>
      </c>
      <c r="N777" s="33" t="n"/>
      <c r="O777" s="10" t="inlineStr">
        <is>
          <t>TCMS</t>
        </is>
      </c>
      <c r="P777" s="10">
        <f>HVAC_IOs!O140</f>
        <v/>
      </c>
      <c r="Q777" s="10" t="n"/>
    </row>
    <row r="778" ht="15.75" customHeight="1">
      <c r="K778" s="724" t="n">
        <v>48</v>
      </c>
      <c r="L778" s="724" t="n"/>
      <c r="N778" s="92" t="n"/>
      <c r="O778" s="724" t="n"/>
      <c r="P778" s="724" t="n"/>
      <c r="Q778" s="724" t="n"/>
    </row>
    <row r="779" ht="31.5" customHeight="1">
      <c r="K779" s="10" t="n">
        <v>49</v>
      </c>
      <c r="L779" s="10" t="inlineStr">
        <is>
          <t>TEMP SETTING SCREEN</t>
        </is>
      </c>
      <c r="M779" s="10" t="inlineStr">
        <is>
          <t>Target Temperature (degC)_UNIT 1_DMA</t>
        </is>
      </c>
      <c r="N779" s="33" t="n"/>
      <c r="O779" s="10" t="inlineStr">
        <is>
          <t>TCMS</t>
        </is>
      </c>
      <c r="P779" s="10">
        <f>HVAC_IOs!O142</f>
        <v/>
      </c>
      <c r="Q779" s="10" t="n"/>
    </row>
    <row r="780" ht="31.5" customHeight="1">
      <c r="K780" s="10" t="n">
        <v>50</v>
      </c>
      <c r="L780" s="10" t="inlineStr">
        <is>
          <t>TEMP SETTING SCREEN</t>
        </is>
      </c>
      <c r="M780" s="10" t="inlineStr">
        <is>
          <t>Target Temperature (degC)_UNIT 1_TCA</t>
        </is>
      </c>
      <c r="N780" s="33" t="n"/>
      <c r="O780" s="10" t="inlineStr">
        <is>
          <t>TCMS</t>
        </is>
      </c>
      <c r="P780" s="10">
        <f>HVAC_IOs!O143</f>
        <v/>
      </c>
      <c r="Q780" s="10" t="n"/>
    </row>
    <row r="781" ht="31.5" customHeight="1">
      <c r="K781" s="10" t="n">
        <v>51</v>
      </c>
      <c r="L781" s="10" t="inlineStr">
        <is>
          <t>TEMP SETTING SCREEN</t>
        </is>
      </c>
      <c r="M781" s="10" t="inlineStr">
        <is>
          <t>Target Temperature (degC)_UNIT 1_DMB</t>
        </is>
      </c>
      <c r="N781" s="33" t="n"/>
      <c r="O781" s="10" t="inlineStr">
        <is>
          <t>TCMS</t>
        </is>
      </c>
      <c r="P781" s="10">
        <f>HVAC_IOs!O144</f>
        <v/>
      </c>
      <c r="Q781" s="10" t="n"/>
    </row>
    <row r="782" ht="31.5" customHeight="1">
      <c r="K782" s="10" t="n">
        <v>52</v>
      </c>
      <c r="L782" s="10" t="inlineStr">
        <is>
          <t>TEMP SETTING SCREEN</t>
        </is>
      </c>
      <c r="M782" s="10" t="inlineStr">
        <is>
          <t>Target Temperature (degC)_UNIT 2_DMA</t>
        </is>
      </c>
      <c r="N782" s="33" t="n"/>
      <c r="O782" s="10" t="inlineStr">
        <is>
          <t>TCMS</t>
        </is>
      </c>
      <c r="P782" s="10">
        <f>HVAC_IOs!O145</f>
        <v/>
      </c>
      <c r="Q782" s="10" t="n"/>
    </row>
    <row r="783" ht="31.5" customHeight="1">
      <c r="K783" s="10" t="n">
        <v>53</v>
      </c>
      <c r="L783" s="10" t="inlineStr">
        <is>
          <t>TEMP SETTING SCREEN</t>
        </is>
      </c>
      <c r="M783" s="10" t="inlineStr">
        <is>
          <t>Target Temperature (degC)_UNIT 2_TCA</t>
        </is>
      </c>
      <c r="N783" s="33" t="n"/>
      <c r="O783" s="10" t="inlineStr">
        <is>
          <t>TCMS</t>
        </is>
      </c>
      <c r="P783" s="10">
        <f>HVAC_IOs!O146</f>
        <v/>
      </c>
      <c r="Q783" s="10" t="n"/>
    </row>
    <row r="784" ht="31.5" customHeight="1">
      <c r="K784" s="10" t="n">
        <v>54</v>
      </c>
      <c r="L784" s="10" t="inlineStr">
        <is>
          <t>TEMP SETTING SCREEN</t>
        </is>
      </c>
      <c r="M784" s="10" t="inlineStr">
        <is>
          <t>Target Temperature (degC)_UNIT 2_DMB</t>
        </is>
      </c>
      <c r="N784" s="33" t="n"/>
      <c r="O784" s="10" t="inlineStr">
        <is>
          <t>TCMS</t>
        </is>
      </c>
      <c r="P784" s="10">
        <f>HVAC_IOs!O147</f>
        <v/>
      </c>
      <c r="Q784" s="10" t="n"/>
    </row>
    <row r="785" ht="15.75" customHeight="1">
      <c r="K785" s="10" t="n">
        <v>55</v>
      </c>
      <c r="L785" s="10" t="inlineStr">
        <is>
          <t>TEMP SETTING SCREEN</t>
        </is>
      </c>
      <c r="M785" s="10" t="inlineStr">
        <is>
          <t>Request Temp</t>
        </is>
      </c>
      <c r="N785" s="33" t="n"/>
      <c r="O785" s="10" t="inlineStr">
        <is>
          <t>TCMS</t>
        </is>
      </c>
      <c r="P785" s="10">
        <f>HVAC_IOs!O148</f>
        <v/>
      </c>
      <c r="Q785" s="10" t="n"/>
    </row>
    <row r="786" ht="15.75" customHeight="1">
      <c r="K786" s="10" t="n">
        <v>56</v>
      </c>
      <c r="L786" s="10" t="n"/>
      <c r="M786" s="33" t="n"/>
      <c r="N786" s="33" t="n"/>
      <c r="O786" s="10" t="n"/>
      <c r="P786" s="10" t="n"/>
      <c r="Q786" s="10" t="n"/>
    </row>
    <row r="787" ht="15.75" customHeight="1">
      <c r="K787" s="724" t="n">
        <v>57</v>
      </c>
      <c r="L787" s="724" t="n"/>
      <c r="N787" s="92" t="n"/>
      <c r="O787" s="724" t="n"/>
      <c r="P787" s="724" t="n"/>
      <c r="Q787" s="724" t="n"/>
    </row>
    <row r="788" ht="15.75" customHeight="1">
      <c r="K788" s="10" t="n">
        <v>58</v>
      </c>
      <c r="L788" s="10" t="inlineStr">
        <is>
          <t>HVAC ISOLATION SCREEN</t>
        </is>
      </c>
      <c r="M788" s="10" t="inlineStr">
        <is>
          <t>HVAC 1 _DMA</t>
        </is>
      </c>
      <c r="N788" s="33" t="n"/>
      <c r="O788" s="10" t="inlineStr">
        <is>
          <t>TCMS</t>
        </is>
      </c>
      <c r="P788" s="10">
        <f>HVAC_IOs!O150</f>
        <v/>
      </c>
      <c r="Q788" s="10" t="n"/>
    </row>
    <row r="789" ht="15.75" customHeight="1">
      <c r="K789" s="10" t="n">
        <v>59</v>
      </c>
      <c r="L789" s="10" t="inlineStr">
        <is>
          <t>HVAC ISOLATION SCREEN</t>
        </is>
      </c>
      <c r="M789" s="10" t="inlineStr">
        <is>
          <t>HVAC 1 _TCA</t>
        </is>
      </c>
      <c r="N789" s="33" t="n"/>
      <c r="O789" s="10" t="inlineStr">
        <is>
          <t>TCMS</t>
        </is>
      </c>
      <c r="P789" s="10">
        <f>HVAC_IOs!O151</f>
        <v/>
      </c>
      <c r="Q789" s="10" t="n"/>
    </row>
    <row r="790" ht="15.75" customHeight="1">
      <c r="K790" s="10" t="n">
        <v>60</v>
      </c>
      <c r="L790" s="10" t="inlineStr">
        <is>
          <t>HVAC ISOLATION SCREEN</t>
        </is>
      </c>
      <c r="M790" s="10" t="inlineStr">
        <is>
          <t>HVAC 1 _DMB</t>
        </is>
      </c>
      <c r="N790" s="33" t="n"/>
      <c r="O790" s="10" t="inlineStr">
        <is>
          <t>TCMS</t>
        </is>
      </c>
      <c r="P790" s="10">
        <f>HVAC_IOs!O152</f>
        <v/>
      </c>
      <c r="Q790" s="10" t="n"/>
    </row>
    <row r="791" ht="15.75" customHeight="1">
      <c r="K791" s="10" t="n">
        <v>61</v>
      </c>
      <c r="L791" s="10" t="inlineStr">
        <is>
          <t>HVAC ISOLATION SCREEN</t>
        </is>
      </c>
      <c r="M791" s="10" t="inlineStr">
        <is>
          <t>HVAC 2 _DMA</t>
        </is>
      </c>
      <c r="N791" s="33" t="n"/>
      <c r="O791" s="10" t="inlineStr">
        <is>
          <t>TCMS</t>
        </is>
      </c>
      <c r="P791" s="10">
        <f>HVAC_IOs!O153</f>
        <v/>
      </c>
      <c r="Q791" s="10" t="n"/>
    </row>
    <row r="792" ht="15.75" customHeight="1">
      <c r="K792" s="10" t="n">
        <v>62</v>
      </c>
      <c r="L792" s="10" t="inlineStr">
        <is>
          <t>HVAC ISOLATION SCREEN</t>
        </is>
      </c>
      <c r="M792" s="10" t="inlineStr">
        <is>
          <t>HVAC 2 _TCA</t>
        </is>
      </c>
      <c r="N792" s="33" t="n"/>
      <c r="O792" s="10" t="inlineStr">
        <is>
          <t>TCMS</t>
        </is>
      </c>
      <c r="P792" s="10">
        <f>HVAC_IOs!O154</f>
        <v/>
      </c>
      <c r="Q792" s="10" t="n"/>
    </row>
    <row r="793" ht="15.75" customHeight="1">
      <c r="K793" s="10" t="n">
        <v>63</v>
      </c>
      <c r="L793" s="10" t="inlineStr">
        <is>
          <t>HVAC ISOLATION SCREEN</t>
        </is>
      </c>
      <c r="M793" s="10" t="inlineStr">
        <is>
          <t>HVAC 2 _DMB</t>
        </is>
      </c>
      <c r="N793" s="33" t="n"/>
      <c r="O793" s="10" t="inlineStr">
        <is>
          <t>TCMS</t>
        </is>
      </c>
      <c r="P793" s="10">
        <f>HVAC_IOs!O155</f>
        <v/>
      </c>
      <c r="Q793" s="10" t="n"/>
    </row>
    <row r="816" ht="48" customHeight="1">
      <c r="A816" s="687" t="inlineStr">
        <is>
          <t>Unity_DS3D (CPU_WS)</t>
        </is>
      </c>
      <c r="B816" s="798" t="n"/>
      <c r="C816" s="798" t="n"/>
      <c r="D816" s="798" t="n"/>
      <c r="E816" s="798" t="n"/>
      <c r="F816" s="798" t="n"/>
      <c r="G816" s="798" t="n"/>
      <c r="H816" s="798" t="n"/>
      <c r="I816" s="798" t="n"/>
      <c r="J816" s="798" t="n"/>
      <c r="K816" s="798" t="n"/>
      <c r="L816" s="798" t="n"/>
      <c r="M816" s="798" t="n"/>
      <c r="N816" s="798" t="n"/>
      <c r="O816" s="309" t="n"/>
    </row>
    <row r="817" hidden="1"/>
    <row r="818" ht="42.75" customHeight="1"/>
    <row r="819" ht="66.75" customHeight="1">
      <c r="A819" s="803" t="inlineStr">
        <is>
          <t>Unity INPUTS from DS3D</t>
        </is>
      </c>
      <c r="B819" s="798" t="n"/>
      <c r="C819" s="798" t="n"/>
      <c r="D819" s="798" t="n"/>
      <c r="E819" s="798" t="n"/>
      <c r="F819" s="798" t="n"/>
      <c r="G819" s="309" t="n"/>
      <c r="I819" s="803" t="inlineStr">
        <is>
          <t>OUTPUT TO DS3D</t>
        </is>
      </c>
      <c r="J819" s="798" t="n"/>
      <c r="K819" s="798" t="n"/>
      <c r="L819" s="798" t="n"/>
      <c r="M819" s="798" t="n"/>
      <c r="N819" s="798" t="n"/>
      <c r="O819" s="309" t="n"/>
    </row>
    <row r="820" ht="27" customHeight="1">
      <c r="A820" s="5" t="inlineStr">
        <is>
          <t>SR.No</t>
        </is>
      </c>
      <c r="B820" s="5" t="inlineStr">
        <is>
          <t>Variable</t>
        </is>
      </c>
      <c r="C820" s="19" t="inlineStr">
        <is>
          <t>Labels</t>
        </is>
      </c>
      <c r="D820" s="5" t="inlineStr">
        <is>
          <t xml:space="preserve">Units </t>
        </is>
      </c>
      <c r="E820" s="5" t="inlineStr">
        <is>
          <t>Data Type</t>
        </is>
      </c>
      <c r="F820" s="5" t="inlineStr">
        <is>
          <t>Value</t>
        </is>
      </c>
      <c r="G820" s="5" t="inlineStr">
        <is>
          <t>Remark</t>
        </is>
      </c>
      <c r="I820" s="5" t="inlineStr">
        <is>
          <t>SR.No</t>
        </is>
      </c>
      <c r="J820" s="5" t="inlineStr">
        <is>
          <t>Variable</t>
        </is>
      </c>
      <c r="K820" s="5" t="inlineStr">
        <is>
          <t>Labels</t>
        </is>
      </c>
      <c r="L820" s="5" t="inlineStr">
        <is>
          <t xml:space="preserve">Units </t>
        </is>
      </c>
      <c r="M820" s="5" t="inlineStr">
        <is>
          <t>Data Type</t>
        </is>
      </c>
      <c r="N820" s="5" t="inlineStr">
        <is>
          <t>Value</t>
        </is>
      </c>
      <c r="O820" s="5" t="inlineStr">
        <is>
          <t>Remark</t>
        </is>
      </c>
      <c r="P820" s="556" t="inlineStr">
        <is>
          <t>Do not touch</t>
        </is>
      </c>
    </row>
    <row r="821" ht="17.25" customFormat="1" customHeight="1" s="265">
      <c r="A821" s="804" t="n">
        <v>1</v>
      </c>
      <c r="B821" s="805" t="inlineStr">
        <is>
          <t>Active_Fault_Code</t>
        </is>
      </c>
      <c r="C821" s="805" t="inlineStr">
        <is>
          <t>Active Fault Scenario Code</t>
        </is>
      </c>
      <c r="D821" s="804" t="inlineStr">
        <is>
          <t>Code</t>
        </is>
      </c>
      <c r="E821" s="804" t="inlineStr">
        <is>
          <t>Integer</t>
        </is>
      </c>
      <c r="F821" s="804" t="n">
        <v>0</v>
      </c>
      <c r="G821" s="805" t="inlineStr">
        <is>
          <t>Current active fault (101-114 active, 115-116 reserved)</t>
        </is>
      </c>
      <c r="I821" s="804" t="n">
        <v>1</v>
      </c>
      <c r="J821" s="805" t="inlineStr">
        <is>
          <t>BlueArrowOut</t>
        </is>
      </c>
      <c r="K821" s="805" t="inlineStr">
        <is>
          <t>Fresh Air blue arrow</t>
        </is>
      </c>
      <c r="L821" s="804" t="inlineStr">
        <is>
          <t>Fresh Air blue arrow</t>
        </is>
      </c>
      <c r="M821" s="804" t="inlineStr">
        <is>
          <t>Integer</t>
        </is>
      </c>
      <c r="N821" s="804">
        <f>P821</f>
        <v/>
      </c>
      <c r="O821" s="805" t="inlineStr">
        <is>
          <t>0-10 (Speed)</t>
        </is>
      </c>
      <c r="P821" s="265">
        <f>IF('Mode Logic'!U18=1,5,0)</f>
        <v/>
      </c>
      <c r="R821" s="429" t="n"/>
    </row>
    <row r="822" ht="17.25" customFormat="1" customHeight="1" s="265">
      <c r="A822" s="804" t="n">
        <v>2</v>
      </c>
      <c r="B822" s="805" t="inlineStr">
        <is>
          <t>Current_Step_Number</t>
        </is>
      </c>
      <c r="C822" s="805" t="inlineStr">
        <is>
          <t>Current Step Number</t>
        </is>
      </c>
      <c r="D822" s="804" t="inlineStr">
        <is>
          <t>Step</t>
        </is>
      </c>
      <c r="E822" s="804" t="inlineStr">
        <is>
          <t>Integer</t>
        </is>
      </c>
      <c r="F822" s="804" t="n">
        <v>0</v>
      </c>
      <c r="G822" s="805" t="inlineStr">
        <is>
          <t>1-based step index in procedure (0 = reset/unstarted)</t>
        </is>
      </c>
      <c r="I822" s="804" t="n">
        <v>2</v>
      </c>
      <c r="J822" s="805" t="inlineStr">
        <is>
          <t>Fan1</t>
        </is>
      </c>
      <c r="K822" s="805" t="inlineStr">
        <is>
          <t>Condensor Fan RedArrow Set 1</t>
        </is>
      </c>
      <c r="L822" s="804" t="inlineStr">
        <is>
          <t>Condensor Fan RedArrow Set 1</t>
        </is>
      </c>
      <c r="M822" s="804" t="inlineStr">
        <is>
          <t>Integer</t>
        </is>
      </c>
      <c r="N822" s="804">
        <f>P822</f>
        <v/>
      </c>
      <c r="O822" s="805" t="inlineStr">
        <is>
          <t>0-10 (Speed)</t>
        </is>
      </c>
      <c r="P822" s="265">
        <f>IF('Mode Logic'!S18=1,5,0)</f>
        <v/>
      </c>
    </row>
    <row r="823" ht="17.25" customFormat="1" customHeight="1" s="265">
      <c r="A823" s="804" t="n">
        <v>3</v>
      </c>
      <c r="B823" s="805" t="inlineStr">
        <is>
          <t>Total_Steps</t>
        </is>
      </c>
      <c r="C823" s="805" t="inlineStr">
        <is>
          <t>Total Steps in Procedure</t>
        </is>
      </c>
      <c r="D823" s="804" t="inlineStr">
        <is>
          <t>Steps</t>
        </is>
      </c>
      <c r="E823" s="804" t="inlineStr">
        <is>
          <t>Integer</t>
        </is>
      </c>
      <c r="F823" s="804" t="n">
        <v>0</v>
      </c>
      <c r="G823" s="805" t="inlineStr">
        <is>
          <t>Total steps for active fault</t>
        </is>
      </c>
      <c r="I823" s="804" t="n">
        <v>3</v>
      </c>
      <c r="J823" s="805" t="inlineStr">
        <is>
          <t>Fan2</t>
        </is>
      </c>
      <c r="K823" s="805" t="inlineStr">
        <is>
          <t>Evaporator Fan RedArrow Set 2</t>
        </is>
      </c>
      <c r="L823" s="804" t="inlineStr">
        <is>
          <t>Evaporator Fan RedArrow Set 2</t>
        </is>
      </c>
      <c r="M823" s="804" t="inlineStr">
        <is>
          <t>Integer</t>
        </is>
      </c>
      <c r="N823" s="804">
        <f>P823</f>
        <v/>
      </c>
      <c r="O823" s="805" t="inlineStr">
        <is>
          <t>0-10 (Speed)</t>
        </is>
      </c>
      <c r="P823" s="265">
        <f>IF('Mode Logic'!T18=1,5,0)</f>
        <v/>
      </c>
    </row>
    <row r="824" ht="17.25" customFormat="1" customHeight="1" s="265">
      <c r="A824" s="804" t="n">
        <v>4</v>
      </c>
      <c r="B824" s="805" t="inlineStr">
        <is>
          <t>Wrong_Attempts</t>
        </is>
      </c>
      <c r="C824" s="805" t="inlineStr">
        <is>
          <t>Wrong Tool Attempts Counter</t>
        </is>
      </c>
      <c r="D824" s="804" t="inlineStr">
        <is>
          <t>Count</t>
        </is>
      </c>
      <c r="E824" s="804" t="inlineStr">
        <is>
          <t>Integer</t>
        </is>
      </c>
      <c r="F824" s="804" t="n">
        <v>0</v>
      </c>
      <c r="G824" s="805" t="inlineStr">
        <is>
          <t>Mistakes count before step success</t>
        </is>
      </c>
      <c r="I824" s="804" t="n">
        <v>4</v>
      </c>
      <c r="J824" s="805" t="inlineStr">
        <is>
          <t>GreenArrowIN1</t>
        </is>
      </c>
      <c r="K824" s="805" t="inlineStr">
        <is>
          <t>Fresh Air Damper Right</t>
        </is>
      </c>
      <c r="L824" s="804" t="inlineStr">
        <is>
          <t>Fresh Air Damper Right</t>
        </is>
      </c>
      <c r="M824" s="804" t="inlineStr">
        <is>
          <t>Integer</t>
        </is>
      </c>
      <c r="N824" s="804">
        <f>P824</f>
        <v/>
      </c>
      <c r="O824" s="805" t="inlineStr">
        <is>
          <t>0-10 (Speed)</t>
        </is>
      </c>
      <c r="P824" s="265">
        <f>IF('Mode Logic'!P18=1,5,0)</f>
        <v/>
      </c>
    </row>
    <row r="825" ht="17.25" customFormat="1" customHeight="1" s="265">
      <c r="A825" s="804" t="n">
        <v>5</v>
      </c>
      <c r="B825" s="805" t="inlineStr">
        <is>
          <t>Step_Accomplished</t>
        </is>
      </c>
      <c r="C825" s="805" t="inlineStr">
        <is>
          <t>Step Accomplished Status</t>
        </is>
      </c>
      <c r="D825" s="804" t="inlineStr">
        <is>
          <t>State</t>
        </is>
      </c>
      <c r="E825" s="804" t="inlineStr">
        <is>
          <t>Boolean</t>
        </is>
      </c>
      <c r="F825" s="804" t="n">
        <v>0</v>
      </c>
      <c r="G825" s="805" t="inlineStr">
        <is>
          <t>0: In progress, 1: Step complete</t>
        </is>
      </c>
      <c r="I825" s="804" t="n">
        <v>5</v>
      </c>
      <c r="J825" s="805" t="inlineStr">
        <is>
          <t>GreenArrowIN2</t>
        </is>
      </c>
      <c r="K825" s="805" t="inlineStr">
        <is>
          <t>Fresh Air Damper left</t>
        </is>
      </c>
      <c r="L825" s="804" t="inlineStr">
        <is>
          <t>Fresh Air Damper left</t>
        </is>
      </c>
      <c r="M825" s="804" t="inlineStr">
        <is>
          <t>Integer</t>
        </is>
      </c>
      <c r="N825" s="804">
        <f>P825</f>
        <v/>
      </c>
      <c r="O825" s="805" t="inlineStr">
        <is>
          <t>0-10 (Speed)</t>
        </is>
      </c>
      <c r="P825" s="265">
        <f>IF('Mode Logic'!P18=1,5,0)</f>
        <v/>
      </c>
    </row>
    <row r="826" ht="17.25" customHeight="1">
      <c r="A826" s="804" t="n">
        <v>6</v>
      </c>
      <c r="B826" s="805" t="inlineStr">
        <is>
          <t>Fault_Completed</t>
        </is>
      </c>
      <c r="C826" s="805" t="inlineStr">
        <is>
          <t>Fault Procedure Finished Flag</t>
        </is>
      </c>
      <c r="D826" s="804" t="inlineStr">
        <is>
          <t>State</t>
        </is>
      </c>
      <c r="E826" s="804" t="inlineStr">
        <is>
          <t>Boolean</t>
        </is>
      </c>
      <c r="F826" s="804" t="n">
        <v>0</v>
      </c>
      <c r="G826" s="805" t="inlineStr">
        <is>
          <t>0: In progress, 1: Fault finished</t>
        </is>
      </c>
      <c r="I826" s="804" t="n">
        <v>6</v>
      </c>
      <c r="J826" s="805" t="inlineStr">
        <is>
          <t>YellowArrowIn</t>
        </is>
      </c>
      <c r="K826" s="805" t="inlineStr">
        <is>
          <t>Return Air Damper</t>
        </is>
      </c>
      <c r="L826" s="804" t="inlineStr">
        <is>
          <t>Return Air Damper</t>
        </is>
      </c>
      <c r="M826" s="804" t="inlineStr">
        <is>
          <t>Integer</t>
        </is>
      </c>
      <c r="N826" s="804">
        <f>P826</f>
        <v/>
      </c>
      <c r="O826" s="805" t="inlineStr">
        <is>
          <t>0-10 (Speed)</t>
        </is>
      </c>
      <c r="P826" s="265">
        <f>IF('Mode Logic'!Q18=1,5,0)</f>
        <v/>
      </c>
    </row>
    <row r="827" ht="17.25" customHeight="1">
      <c r="A827" s="804" t="n">
        <v>7</v>
      </c>
      <c r="B827" s="805" t="inlineStr">
        <is>
          <t>Fault_101_Status</t>
        </is>
      </c>
      <c r="C827" s="805" t="inlineStr">
        <is>
          <t>Fault 101: No HVAC operations</t>
        </is>
      </c>
      <c r="D827" s="804" t="inlineStr">
        <is>
          <t>State</t>
        </is>
      </c>
      <c r="E827" s="804" t="inlineStr">
        <is>
          <t>Boolean</t>
        </is>
      </c>
      <c r="F827" s="804" t="n">
        <v>0</v>
      </c>
      <c r="G827" s="805" t="inlineStr">
        <is>
          <t>0: Inactive, 1: Active (14 steps)</t>
        </is>
      </c>
      <c r="I827" s="804" t="n">
        <v>7</v>
      </c>
      <c r="J827" s="805" t="inlineStr">
        <is>
          <t>RedArrow_Inlet</t>
        </is>
      </c>
      <c r="K827" s="805" t="inlineStr">
        <is>
          <t>Hot Air Inlet Color Intensity</t>
        </is>
      </c>
      <c r="L827" s="804" t="inlineStr">
        <is>
          <t>Intensity</t>
        </is>
      </c>
      <c r="M827" s="804" t="inlineStr">
        <is>
          <t>Float</t>
        </is>
      </c>
      <c r="N827" s="804" t="n">
        <v>0</v>
      </c>
      <c r="O827" s="805" t="inlineStr">
        <is>
          <t>0-10 (Material color lerp)</t>
        </is>
      </c>
    </row>
    <row r="828" ht="17.25" customHeight="1">
      <c r="A828" s="804" t="n">
        <v>8</v>
      </c>
      <c r="B828" s="805" t="inlineStr">
        <is>
          <t>Fault_102_Status</t>
        </is>
      </c>
      <c r="C828" s="805" t="inlineStr">
        <is>
          <t>Fault 102: No ventilation</t>
        </is>
      </c>
      <c r="D828" s="804" t="inlineStr">
        <is>
          <t>State</t>
        </is>
      </c>
      <c r="E828" s="804" t="inlineStr">
        <is>
          <t>Boolean</t>
        </is>
      </c>
      <c r="F828" s="804" t="n">
        <v>0</v>
      </c>
      <c r="G828" s="805" t="inlineStr">
        <is>
          <t>0: Inactive, 1: Active (22 steps)</t>
        </is>
      </c>
      <c r="I828" s="804" t="n">
        <v>8</v>
      </c>
      <c r="J828" s="805" t="inlineStr">
        <is>
          <t>RedArrow_Outlet</t>
        </is>
      </c>
      <c r="K828" s="805" t="inlineStr">
        <is>
          <t>Hot Air Outlet Color Intensity</t>
        </is>
      </c>
      <c r="L828" s="804" t="inlineStr">
        <is>
          <t>Intensity</t>
        </is>
      </c>
      <c r="M828" s="804" t="inlineStr">
        <is>
          <t>Float</t>
        </is>
      </c>
      <c r="N828" s="804" t="n">
        <v>0</v>
      </c>
      <c r="O828" s="805" t="inlineStr">
        <is>
          <t>0-10 (Material color lerp)</t>
        </is>
      </c>
    </row>
    <row r="829" ht="17.25" customHeight="1">
      <c r="A829" s="804" t="n">
        <v>9</v>
      </c>
      <c r="B829" s="805" t="inlineStr">
        <is>
          <t>Fault_103_Status</t>
        </is>
      </c>
      <c r="C829" s="805" t="inlineStr">
        <is>
          <t>Fault 103: Reduced ventilation</t>
        </is>
      </c>
      <c r="D829" s="804" t="inlineStr">
        <is>
          <t>State</t>
        </is>
      </c>
      <c r="E829" s="804" t="inlineStr">
        <is>
          <t>Boolean</t>
        </is>
      </c>
      <c r="F829" s="804" t="n">
        <v>0</v>
      </c>
      <c r="G829" s="805" t="inlineStr">
        <is>
          <t>0: Inactive, 1: Active (15 steps)</t>
        </is>
      </c>
      <c r="I829" s="804" t="n">
        <v>9</v>
      </c>
      <c r="J829" s="805" t="inlineStr">
        <is>
          <t>BlueArrow_Outlet</t>
        </is>
      </c>
      <c r="K829" s="805" t="inlineStr">
        <is>
          <t>Cool Air Outlet Color Intensity</t>
        </is>
      </c>
      <c r="L829" s="804" t="inlineStr">
        <is>
          <t>Intensity</t>
        </is>
      </c>
      <c r="M829" s="804" t="inlineStr">
        <is>
          <t>Float</t>
        </is>
      </c>
      <c r="N829" s="804" t="n">
        <v>0</v>
      </c>
      <c r="O829" s="805" t="inlineStr">
        <is>
          <t>0-10 (Material color lerp)</t>
        </is>
      </c>
    </row>
    <row r="830" ht="17.25" customHeight="1">
      <c r="A830" s="804" t="n">
        <v>10</v>
      </c>
      <c r="B830" s="805" t="inlineStr">
        <is>
          <t>Fault_104_Status</t>
        </is>
      </c>
      <c r="C830" s="805" t="inlineStr">
        <is>
          <t>Fault 104: Suction low and discharge low (C1)</t>
        </is>
      </c>
      <c r="D830" s="804" t="inlineStr">
        <is>
          <t>State</t>
        </is>
      </c>
      <c r="E830" s="804" t="inlineStr">
        <is>
          <t>Boolean</t>
        </is>
      </c>
      <c r="F830" s="804" t="n">
        <v>0</v>
      </c>
      <c r="G830" s="805" t="inlineStr">
        <is>
          <t>0: Inactive, 1: Active (15 steps)</t>
        </is>
      </c>
      <c r="I830" s="804" t="n">
        <v>10</v>
      </c>
      <c r="J830" s="805" t="inlineStr">
        <is>
          <t>GreenArrow_Inlet</t>
        </is>
      </c>
      <c r="K830" s="805" t="inlineStr">
        <is>
          <t>Fresh Air Inlet Color Intensity</t>
        </is>
      </c>
      <c r="L830" s="804" t="inlineStr">
        <is>
          <t>Intensity</t>
        </is>
      </c>
      <c r="M830" s="804" t="inlineStr">
        <is>
          <t>Float</t>
        </is>
      </c>
      <c r="N830" s="804" t="n">
        <v>0</v>
      </c>
      <c r="O830" s="805" t="inlineStr">
        <is>
          <t>0-10 (Material color lerp)</t>
        </is>
      </c>
    </row>
    <row r="831" ht="17.25" customHeight="1">
      <c r="A831" s="804" t="n">
        <v>11</v>
      </c>
      <c r="B831" s="805" t="inlineStr">
        <is>
          <t>Fault_105_Status</t>
        </is>
      </c>
      <c r="C831" s="805" t="inlineStr">
        <is>
          <t>Fault 105: Suction low and discharge low (C2)</t>
        </is>
      </c>
      <c r="D831" s="804" t="inlineStr">
        <is>
          <t>State</t>
        </is>
      </c>
      <c r="E831" s="804" t="inlineStr">
        <is>
          <t>Boolean</t>
        </is>
      </c>
      <c r="F831" s="804" t="n">
        <v>0</v>
      </c>
      <c r="G831" s="805" t="inlineStr">
        <is>
          <t>0: Inactive, 1: Active (14 steps)</t>
        </is>
      </c>
      <c r="I831" s="804" t="n">
        <v>11</v>
      </c>
      <c r="J831" s="805" t="inlineStr">
        <is>
          <t>YellowArrow_Inlet</t>
        </is>
      </c>
      <c r="K831" s="805" t="inlineStr">
        <is>
          <t>Return Air Inlet Color Intensity</t>
        </is>
      </c>
      <c r="L831" s="804" t="inlineStr">
        <is>
          <t>Intensity</t>
        </is>
      </c>
      <c r="M831" s="804" t="inlineStr">
        <is>
          <t>Float</t>
        </is>
      </c>
      <c r="N831" s="804" t="n">
        <v>0</v>
      </c>
      <c r="O831" s="805" t="inlineStr">
        <is>
          <t>0-10 (Material color lerp)</t>
        </is>
      </c>
    </row>
    <row r="832" ht="17.25" customHeight="1">
      <c r="A832" s="804" t="n">
        <v>12</v>
      </c>
      <c r="B832" s="805" t="inlineStr">
        <is>
          <t>Fault_106_Status</t>
        </is>
      </c>
      <c r="C832" s="805" t="inlineStr">
        <is>
          <t>Fault 106: High suction and high discharge</t>
        </is>
      </c>
      <c r="D832" s="804" t="inlineStr">
        <is>
          <t>State</t>
        </is>
      </c>
      <c r="E832" s="804" t="inlineStr">
        <is>
          <t>Boolean</t>
        </is>
      </c>
      <c r="F832" s="804" t="n">
        <v>0</v>
      </c>
      <c r="G832" s="805" t="inlineStr">
        <is>
          <t>0: Inactive, 1: Active (26 steps)</t>
        </is>
      </c>
      <c r="I832" s="804" t="n">
        <v>12</v>
      </c>
      <c r="J832" s="805" t="inlineStr">
        <is>
          <t>FADL</t>
        </is>
      </c>
      <c r="K832" s="805" t="inlineStr">
        <is>
          <t>Fresh Air Damper Left Position</t>
        </is>
      </c>
      <c r="L832" s="804" t="inlineStr">
        <is>
          <t>Position</t>
        </is>
      </c>
      <c r="M832" s="804" t="inlineStr">
        <is>
          <t>Float</t>
        </is>
      </c>
      <c r="N832" s="804" t="n">
        <v>0</v>
      </c>
      <c r="O832" s="805" t="inlineStr">
        <is>
          <t>0-10 (Mesh blendshape weight)</t>
        </is>
      </c>
    </row>
    <row r="833" ht="17.25" customHeight="1">
      <c r="A833" s="804" t="n">
        <v>13</v>
      </c>
      <c r="B833" s="805" t="inlineStr">
        <is>
          <t>Fault_107_Status</t>
        </is>
      </c>
      <c r="C833" s="805" t="inlineStr">
        <is>
          <t>Fault 107: Compressor not operating</t>
        </is>
      </c>
      <c r="D833" s="804" t="inlineStr">
        <is>
          <t>State</t>
        </is>
      </c>
      <c r="E833" s="804" t="inlineStr">
        <is>
          <t>Boolean</t>
        </is>
      </c>
      <c r="F833" s="804" t="n">
        <v>0</v>
      </c>
      <c r="G833" s="805" t="inlineStr">
        <is>
          <t>0: Inactive, 1: Active (40 steps)</t>
        </is>
      </c>
      <c r="I833" s="804" t="n">
        <v>13</v>
      </c>
      <c r="J833" s="805" t="inlineStr">
        <is>
          <t>FADR</t>
        </is>
      </c>
      <c r="K833" s="805" t="inlineStr">
        <is>
          <t>Fresh Air Damper Right Position</t>
        </is>
      </c>
      <c r="L833" s="804" t="inlineStr">
        <is>
          <t>Position</t>
        </is>
      </c>
      <c r="M833" s="804" t="inlineStr">
        <is>
          <t>Float</t>
        </is>
      </c>
      <c r="N833" s="804" t="n">
        <v>0</v>
      </c>
      <c r="O833" s="805" t="inlineStr">
        <is>
          <t>0-10 (Mesh blendshape weight)</t>
        </is>
      </c>
    </row>
    <row r="834" ht="17.25" customHeight="1">
      <c r="A834" s="804" t="n">
        <v>14</v>
      </c>
      <c r="B834" s="805" t="inlineStr">
        <is>
          <t>Fault_108_Status</t>
        </is>
      </c>
      <c r="C834" s="805" t="inlineStr">
        <is>
          <t>Fault 108: Reduced cooling</t>
        </is>
      </c>
      <c r="D834" s="804" t="inlineStr">
        <is>
          <t>State</t>
        </is>
      </c>
      <c r="E834" s="804" t="inlineStr">
        <is>
          <t>Boolean</t>
        </is>
      </c>
      <c r="F834" s="804" t="n">
        <v>0</v>
      </c>
      <c r="G834" s="805" t="inlineStr">
        <is>
          <t>0: Inactive, 1: Active (33 steps)</t>
        </is>
      </c>
      <c r="I834" s="804" t="n">
        <v>14</v>
      </c>
      <c r="J834" s="805" t="inlineStr">
        <is>
          <t>RAD</t>
        </is>
      </c>
      <c r="K834" s="805" t="inlineStr">
        <is>
          <t>Return Air Damper Position</t>
        </is>
      </c>
      <c r="L834" s="804" t="inlineStr">
        <is>
          <t>Position</t>
        </is>
      </c>
      <c r="M834" s="804" t="inlineStr">
        <is>
          <t>Float</t>
        </is>
      </c>
      <c r="N834" s="804" t="n">
        <v>0</v>
      </c>
      <c r="O834" s="805" t="inlineStr">
        <is>
          <t>0-10 (Mesh blendshape weight)</t>
        </is>
      </c>
    </row>
    <row r="835" ht="17.25" customHeight="1">
      <c r="A835" s="804" t="n">
        <v>15</v>
      </c>
      <c r="B835" s="805" t="inlineStr">
        <is>
          <t>Fault_109_Status</t>
        </is>
      </c>
      <c r="C835" s="805" t="inlineStr">
        <is>
          <t>Fault 109: No Heating</t>
        </is>
      </c>
      <c r="D835" s="804" t="inlineStr">
        <is>
          <t>State</t>
        </is>
      </c>
      <c r="E835" s="804" t="inlineStr">
        <is>
          <t>Boolean</t>
        </is>
      </c>
      <c r="F835" s="804" t="n">
        <v>0</v>
      </c>
      <c r="G835" s="805" t="inlineStr">
        <is>
          <t>0: Inactive, 1: Active (15 steps)</t>
        </is>
      </c>
      <c r="I835" s="804" t="n">
        <v>15</v>
      </c>
      <c r="J835" s="805" t="inlineStr">
        <is>
          <t>DS3D_OFF</t>
        </is>
      </c>
      <c r="K835" s="805" t="inlineStr">
        <is>
          <t>DS3D Application Quit</t>
        </is>
      </c>
      <c r="L835" s="804" t="inlineStr">
        <is>
          <t>DS3D OFF</t>
        </is>
      </c>
      <c r="M835" s="804" t="inlineStr">
        <is>
          <t>Integer</t>
        </is>
      </c>
      <c r="N835" s="804" t="n">
        <v>0</v>
      </c>
      <c r="O835" s="805" t="inlineStr">
        <is>
          <t>0: Running, 1: Shutdown</t>
        </is>
      </c>
    </row>
    <row r="836" ht="17.25" customHeight="1">
      <c r="A836" s="804" t="n">
        <v>16</v>
      </c>
      <c r="B836" s="805" t="inlineStr">
        <is>
          <t>Fault_110_Status</t>
        </is>
      </c>
      <c r="C836" s="805" t="inlineStr">
        <is>
          <t>Fault 110: Over Cooling</t>
        </is>
      </c>
      <c r="D836" s="804" t="inlineStr">
        <is>
          <t>State</t>
        </is>
      </c>
      <c r="E836" s="804" t="inlineStr">
        <is>
          <t>Boolean</t>
        </is>
      </c>
      <c r="F836" s="804" t="n">
        <v>0</v>
      </c>
      <c r="G836" s="805" t="inlineStr">
        <is>
          <t>0: Inactive, 1: Active (8 steps)</t>
        </is>
      </c>
      <c r="I836" s="804" t="n">
        <v>16</v>
      </c>
      <c r="J836" s="805" t="inlineStr">
        <is>
          <t>Fault_Code_Trigger</t>
        </is>
      </c>
      <c r="K836" s="805" t="inlineStr">
        <is>
          <t>Fault Trigger Scenario Code</t>
        </is>
      </c>
      <c r="L836" s="804" t="inlineStr">
        <is>
          <t>Code</t>
        </is>
      </c>
      <c r="M836" s="804" t="inlineStr">
        <is>
          <t>Integer</t>
        </is>
      </c>
      <c r="N836" s="804">
        <f>'DATA TRANSFER'!F1209</f>
        <v/>
      </c>
      <c r="O836" s="805" t="inlineStr">
        <is>
          <t>Active Fault to Unity (101-114 active)</t>
        </is>
      </c>
    </row>
    <row r="837" ht="17.25" customHeight="1">
      <c r="A837" s="804" t="n">
        <v>17</v>
      </c>
      <c r="B837" s="805" t="inlineStr">
        <is>
          <t>Fault_111_Status</t>
        </is>
      </c>
      <c r="C837" s="805" t="inlineStr">
        <is>
          <t>Fault 111: Over Heating</t>
        </is>
      </c>
      <c r="D837" s="804" t="inlineStr">
        <is>
          <t>State</t>
        </is>
      </c>
      <c r="E837" s="804" t="inlineStr">
        <is>
          <t>Boolean</t>
        </is>
      </c>
      <c r="F837" s="804" t="n">
        <v>0</v>
      </c>
      <c r="G837" s="805" t="inlineStr">
        <is>
          <t>0: Inactive, 1: Active (7 steps)</t>
        </is>
      </c>
      <c r="I837" s="804" t="n">
        <v>17</v>
      </c>
      <c r="J837" s="805" t="inlineStr">
        <is>
          <t>Fault_Cause_Trigger</t>
        </is>
      </c>
      <c r="K837" s="805" t="inlineStr">
        <is>
          <t>Fault Cause Code</t>
        </is>
      </c>
      <c r="L837" s="804" t="inlineStr">
        <is>
          <t>Code</t>
        </is>
      </c>
      <c r="M837" s="804" t="inlineStr">
        <is>
          <t>Integer</t>
        </is>
      </c>
      <c r="N837" s="804">
        <f>'DATA TRANSFER'!F1210</f>
        <v/>
      </c>
      <c r="O837" s="805" t="inlineStr">
        <is>
          <t>Active Cause to Unity (10101-11401 active)</t>
        </is>
      </c>
    </row>
    <row r="838" ht="17.25" customHeight="1">
      <c r="A838" s="804" t="n">
        <v>18</v>
      </c>
      <c r="B838" s="805" t="inlineStr">
        <is>
          <t>Fault_112_Status</t>
        </is>
      </c>
      <c r="C838" s="805" t="inlineStr">
        <is>
          <t>Fault 112: No emergency ventilation</t>
        </is>
      </c>
      <c r="D838" s="804" t="inlineStr">
        <is>
          <t>State</t>
        </is>
      </c>
      <c r="E838" s="804" t="inlineStr">
        <is>
          <t>Boolean</t>
        </is>
      </c>
      <c r="F838" s="804" t="n">
        <v>0</v>
      </c>
      <c r="G838" s="805" t="inlineStr">
        <is>
          <t>0: Inactive, 1: Active (14 steps)</t>
        </is>
      </c>
      <c r="I838" s="804" t="n">
        <v>18</v>
      </c>
      <c r="J838" s="805" t="inlineStr">
        <is>
          <t>Fault_Command_Action</t>
        </is>
      </c>
      <c r="K838" s="806" t="inlineStr">
        <is>
          <t>Fault Command Action</t>
        </is>
      </c>
      <c r="L838" s="807" t="inlineStr">
        <is>
          <t>Command</t>
        </is>
      </c>
      <c r="M838" s="807" t="inlineStr">
        <is>
          <t>Integer</t>
        </is>
      </c>
      <c r="N838" s="807">
        <f>'DATA TRANSFER'!F1211</f>
        <v/>
      </c>
      <c r="O838" s="806" t="inlineStr">
        <is>
          <t>0: Idle, 1: Trigger, 2: Reset</t>
        </is>
      </c>
    </row>
    <row r="839" ht="17.25" customHeight="1">
      <c r="A839" s="804" t="n">
        <v>19</v>
      </c>
      <c r="B839" s="805" t="inlineStr">
        <is>
          <t>Fault_113_Status</t>
        </is>
      </c>
      <c r="C839" s="805" t="inlineStr">
        <is>
          <t>Fault 113: Smoke identified in saloon</t>
        </is>
      </c>
      <c r="D839" s="804" t="inlineStr">
        <is>
          <t>State</t>
        </is>
      </c>
      <c r="E839" s="804" t="inlineStr">
        <is>
          <t>Boolean</t>
        </is>
      </c>
      <c r="F839" s="804" t="n">
        <v>0</v>
      </c>
      <c r="G839" s="805" t="inlineStr">
        <is>
          <t>0: Inactive, 1: Active (13 steps)</t>
        </is>
      </c>
      <c r="I839" s="804" t="n">
        <v>19</v>
      </c>
      <c r="J839" s="805" t="inlineStr">
        <is>
          <t>Spare</t>
        </is>
      </c>
      <c r="K839" s="805" t="inlineStr">
        <is>
          <t>Spare</t>
        </is>
      </c>
      <c r="L839" s="804" t="inlineStr">
        <is>
          <t>Spare</t>
        </is>
      </c>
      <c r="M839" s="804" t="inlineStr">
        <is>
          <t>Integer</t>
        </is>
      </c>
      <c r="N839" s="804" t="n">
        <v>0</v>
      </c>
      <c r="O839" s="805" t="inlineStr">
        <is>
          <t>Spare</t>
        </is>
      </c>
    </row>
    <row r="840" ht="17.25" customHeight="1">
      <c r="A840" s="804" t="n">
        <v>20</v>
      </c>
      <c r="B840" s="805" t="inlineStr">
        <is>
          <t>Fault_114_Status</t>
        </is>
      </c>
      <c r="C840" s="805" t="inlineStr">
        <is>
          <t>Fault 114: Compressor / Blower noisy</t>
        </is>
      </c>
      <c r="D840" s="804" t="inlineStr">
        <is>
          <t>State</t>
        </is>
      </c>
      <c r="E840" s="804" t="inlineStr">
        <is>
          <t>Boolean</t>
        </is>
      </c>
      <c r="F840" s="804" t="n">
        <v>0</v>
      </c>
      <c r="G840" s="805" t="inlineStr">
        <is>
          <t>0: Inactive, 1: Active (36 steps)</t>
        </is>
      </c>
      <c r="I840" s="804" t="n">
        <v>20</v>
      </c>
      <c r="J840" s="805" t="inlineStr">
        <is>
          <t>Spare</t>
        </is>
      </c>
      <c r="K840" s="805" t="inlineStr">
        <is>
          <t>Spare</t>
        </is>
      </c>
      <c r="L840" s="804" t="inlineStr">
        <is>
          <t>Spare</t>
        </is>
      </c>
      <c r="M840" s="804" t="inlineStr">
        <is>
          <t>Integer</t>
        </is>
      </c>
      <c r="N840" s="804" t="n">
        <v>0</v>
      </c>
      <c r="O840" s="805" t="inlineStr">
        <is>
          <t>Spare (Compression highlights excluded)</t>
        </is>
      </c>
    </row>
    <row r="841" ht="17.25" customHeight="1">
      <c r="A841" s="804" t="n">
        <v>21</v>
      </c>
      <c r="B841" s="805" t="inlineStr">
        <is>
          <t>Fault_115_Status</t>
        </is>
      </c>
      <c r="C841" s="805" t="inlineStr">
        <is>
          <t>Fault 115: Spare Fault Scenario</t>
        </is>
      </c>
      <c r="D841" s="804" t="inlineStr">
        <is>
          <t>State</t>
        </is>
      </c>
      <c r="E841" s="804" t="inlineStr">
        <is>
          <t>Boolean</t>
        </is>
      </c>
      <c r="F841" s="804" t="n">
        <v>0</v>
      </c>
      <c r="G841" s="805" t="inlineStr">
        <is>
          <t>0: Inactive, 1: Active (Reserved in Excel)</t>
        </is>
      </c>
      <c r="I841" s="804" t="n">
        <v>21</v>
      </c>
      <c r="J841" s="805" t="n"/>
      <c r="K841" s="805" t="inlineStr">
        <is>
          <t>Spare</t>
        </is>
      </c>
      <c r="L841" s="804" t="n"/>
      <c r="M841" s="804" t="inlineStr">
        <is>
          <t>Integer</t>
        </is>
      </c>
      <c r="N841" s="804" t="n">
        <v>0</v>
      </c>
      <c r="O841" s="805" t="inlineStr">
        <is>
          <t>0-10 (Speed)</t>
        </is>
      </c>
    </row>
    <row r="842" ht="17.25" customHeight="1">
      <c r="A842" s="804" t="n">
        <v>22</v>
      </c>
      <c r="B842" s="805" t="inlineStr">
        <is>
          <t>Fault_116_Status</t>
        </is>
      </c>
      <c r="C842" s="805" t="inlineStr">
        <is>
          <t>Fault 116: Spare Fault Scenario</t>
        </is>
      </c>
      <c r="D842" s="804" t="inlineStr">
        <is>
          <t>State</t>
        </is>
      </c>
      <c r="E842" s="804" t="inlineStr">
        <is>
          <t>Boolean</t>
        </is>
      </c>
      <c r="F842" s="804" t="n">
        <v>0</v>
      </c>
      <c r="G842" s="805" t="inlineStr">
        <is>
          <t>0: Inactive, 1: Active (Reserved in Excel)</t>
        </is>
      </c>
      <c r="I842" s="804" t="n">
        <v>22</v>
      </c>
      <c r="J842" s="805" t="n"/>
      <c r="K842" s="805" t="inlineStr">
        <is>
          <t>Spare</t>
        </is>
      </c>
      <c r="L842" s="804" t="n"/>
      <c r="M842" s="804" t="inlineStr">
        <is>
          <t>Integer</t>
        </is>
      </c>
      <c r="N842" s="804" t="n">
        <v>0</v>
      </c>
      <c r="O842" s="805" t="inlineStr">
        <is>
          <t>0-10 (Speed)</t>
        </is>
      </c>
    </row>
    <row r="843" ht="17.25" customHeight="1">
      <c r="A843" s="804" t="n">
        <v>23</v>
      </c>
      <c r="B843" s="805" t="inlineStr">
        <is>
          <t>Fault_Submit_Status</t>
        </is>
      </c>
      <c r="C843" s="805" t="inlineStr">
        <is>
          <t>Repaired Fault Submit Status</t>
        </is>
      </c>
      <c r="D843" s="804" t="inlineStr">
        <is>
          <t>State</t>
        </is>
      </c>
      <c r="E843" s="804" t="inlineStr">
        <is>
          <t>Boolean</t>
        </is>
      </c>
      <c r="F843" s="804" t="n">
        <v>0</v>
      </c>
      <c r="G843" s="805" t="inlineStr">
        <is>
          <t>0: In Progress, 1: Submitted via UI Submit Button</t>
        </is>
      </c>
      <c r="I843" s="804" t="n">
        <v>23</v>
      </c>
      <c r="J843" s="805" t="n"/>
      <c r="K843" s="805" t="inlineStr">
        <is>
          <t>Spare</t>
        </is>
      </c>
      <c r="L843" s="804" t="n"/>
      <c r="M843" s="804" t="inlineStr">
        <is>
          <t>Integer</t>
        </is>
      </c>
      <c r="N843" s="804" t="n">
        <v>0</v>
      </c>
      <c r="O843" s="805" t="inlineStr">
        <is>
          <t>0-10 (Amplitude)</t>
        </is>
      </c>
    </row>
    <row r="844" ht="17.25" customHeight="1">
      <c r="A844" s="804" t="n">
        <v>24</v>
      </c>
      <c r="B844" s="805" t="inlineStr">
        <is>
          <t>Steps_Attempts_Summary</t>
        </is>
      </c>
      <c r="C844" s="805" t="inlineStr">
        <is>
          <t>Step Attempts Summary Payload</t>
        </is>
      </c>
      <c r="D844" s="804" t="inlineStr">
        <is>
          <t>Telemetry</t>
        </is>
      </c>
      <c r="E844" s="804" t="inlineStr">
        <is>
          <t>String</t>
        </is>
      </c>
      <c r="F844" s="804" t="inlineStr">
        <is>
          <t>0</t>
        </is>
      </c>
      <c r="G844" s="805" t="inlineStr">
        <is>
          <t>Byte-serialized or comma-separated attempt history per step</t>
        </is>
      </c>
      <c r="I844" s="804" t="n">
        <v>24</v>
      </c>
      <c r="J844" s="805" t="n"/>
      <c r="K844" s="805" t="inlineStr">
        <is>
          <t>Spare</t>
        </is>
      </c>
      <c r="L844" s="804" t="n"/>
      <c r="M844" s="804" t="inlineStr">
        <is>
          <t>Integer</t>
        </is>
      </c>
      <c r="N844" s="804" t="n">
        <v>0</v>
      </c>
      <c r="O844" s="805" t="inlineStr">
        <is>
          <t>0-10 (Amplitude)</t>
        </is>
      </c>
    </row>
    <row r="845" ht="17.25" customHeight="1">
      <c r="A845" s="804" t="n">
        <v>25</v>
      </c>
      <c r="B845" s="805" t="n"/>
      <c r="C845" s="805" t="inlineStr">
        <is>
          <t xml:space="preserve">Spare </t>
        </is>
      </c>
      <c r="D845" s="804" t="n"/>
      <c r="E845" s="804" t="inlineStr">
        <is>
          <t>Boolean</t>
        </is>
      </c>
      <c r="F845" s="804" t="n"/>
      <c r="G845" s="805" t="n"/>
      <c r="I845" s="804" t="n">
        <v>25</v>
      </c>
      <c r="J845" s="805" t="n"/>
      <c r="K845" s="805" t="inlineStr">
        <is>
          <t>Spare</t>
        </is>
      </c>
      <c r="L845" s="804" t="n"/>
      <c r="M845" s="804" t="inlineStr">
        <is>
          <t>Integer</t>
        </is>
      </c>
      <c r="N845" s="804" t="n">
        <v>0</v>
      </c>
      <c r="O845" s="805" t="inlineStr">
        <is>
          <t>0-10 (Amplitude)</t>
        </is>
      </c>
    </row>
    <row r="846" ht="17.25" customHeight="1">
      <c r="A846" s="804" t="n">
        <v>26</v>
      </c>
      <c r="B846" s="805" t="n"/>
      <c r="C846" s="805" t="inlineStr">
        <is>
          <t xml:space="preserve">Spare </t>
        </is>
      </c>
      <c r="D846" s="804" t="n"/>
      <c r="E846" s="804" t="inlineStr">
        <is>
          <t>Boolean</t>
        </is>
      </c>
      <c r="F846" s="804" t="n"/>
      <c r="G846" s="805" t="n"/>
      <c r="I846" s="804" t="n">
        <v>26</v>
      </c>
      <c r="J846" s="805" t="n"/>
      <c r="K846" s="805" t="inlineStr">
        <is>
          <t>Spare</t>
        </is>
      </c>
      <c r="L846" s="804" t="n"/>
      <c r="M846" s="804" t="inlineStr">
        <is>
          <t>Integer</t>
        </is>
      </c>
      <c r="N846" s="804" t="n">
        <v>0</v>
      </c>
      <c r="O846" s="805" t="inlineStr">
        <is>
          <t>0-10 (Amplitude)</t>
        </is>
      </c>
    </row>
    <row r="847" ht="17.25" customHeight="1">
      <c r="A847" s="804" t="n">
        <v>27</v>
      </c>
      <c r="B847" s="805" t="n"/>
      <c r="C847" s="805" t="inlineStr">
        <is>
          <t xml:space="preserve">Spare </t>
        </is>
      </c>
      <c r="D847" s="804" t="n"/>
      <c r="E847" s="804" t="inlineStr">
        <is>
          <t>Boolean</t>
        </is>
      </c>
      <c r="F847" s="804" t="n"/>
      <c r="G847" s="805" t="n"/>
      <c r="I847" s="804" t="n">
        <v>27</v>
      </c>
      <c r="J847" s="805" t="n"/>
      <c r="K847" s="805" t="inlineStr">
        <is>
          <t>Spare</t>
        </is>
      </c>
      <c r="L847" s="804" t="n"/>
      <c r="M847" s="804" t="inlineStr">
        <is>
          <t>Integer</t>
        </is>
      </c>
      <c r="N847" s="804" t="n">
        <v>0</v>
      </c>
      <c r="O847" s="805" t="inlineStr">
        <is>
          <t>0-10 (Amplitude)</t>
        </is>
      </c>
    </row>
    <row r="848" ht="17.25" customHeight="1">
      <c r="A848" s="804" t="n">
        <v>28</v>
      </c>
      <c r="B848" s="805" t="n"/>
      <c r="C848" s="805" t="inlineStr">
        <is>
          <t xml:space="preserve">Spare </t>
        </is>
      </c>
      <c r="D848" s="804" t="n"/>
      <c r="E848" s="804" t="inlineStr">
        <is>
          <t>Boolean</t>
        </is>
      </c>
      <c r="F848" s="804" t="n"/>
      <c r="G848" s="805" t="n"/>
      <c r="I848" s="804" t="n">
        <v>28</v>
      </c>
      <c r="J848" s="805" t="n"/>
      <c r="K848" s="805" t="inlineStr">
        <is>
          <t>Spare</t>
        </is>
      </c>
      <c r="L848" s="804" t="n"/>
      <c r="M848" s="804" t="inlineStr">
        <is>
          <t>Integer</t>
        </is>
      </c>
      <c r="N848" s="804" t="n">
        <v>0</v>
      </c>
      <c r="O848" s="805" t="inlineStr">
        <is>
          <t>0-10 (Amplitude)</t>
        </is>
      </c>
    </row>
    <row r="849" ht="17.25" customHeight="1">
      <c r="A849" s="804" t="n">
        <v>29</v>
      </c>
      <c r="B849" s="805" t="n"/>
      <c r="C849" s="805" t="inlineStr">
        <is>
          <t xml:space="preserve">Spare </t>
        </is>
      </c>
      <c r="D849" s="804" t="n"/>
      <c r="E849" s="804" t="inlineStr">
        <is>
          <t>Boolean</t>
        </is>
      </c>
      <c r="F849" s="804" t="n"/>
      <c r="G849" s="805" t="n"/>
      <c r="I849" s="804" t="n">
        <v>29</v>
      </c>
      <c r="J849" s="805" t="n"/>
      <c r="K849" s="805" t="inlineStr">
        <is>
          <t>Spare</t>
        </is>
      </c>
      <c r="L849" s="804" t="n"/>
      <c r="M849" s="804" t="inlineStr">
        <is>
          <t>Integer</t>
        </is>
      </c>
      <c r="N849" s="804" t="n">
        <v>0</v>
      </c>
      <c r="O849" s="805" t="inlineStr">
        <is>
          <t>0-10 (Amplitude)</t>
        </is>
      </c>
    </row>
    <row r="850" ht="17.25" customHeight="1">
      <c r="A850" s="804" t="n">
        <v>30</v>
      </c>
      <c r="B850" s="805" t="n"/>
      <c r="C850" s="805" t="inlineStr">
        <is>
          <t xml:space="preserve">Spare </t>
        </is>
      </c>
      <c r="D850" s="804" t="n"/>
      <c r="E850" s="804" t="inlineStr">
        <is>
          <t>Boolean</t>
        </is>
      </c>
      <c r="F850" s="804" t="n"/>
      <c r="G850" s="805" t="n"/>
      <c r="I850" s="804" t="n">
        <v>30</v>
      </c>
      <c r="J850" s="805" t="n"/>
      <c r="K850" s="805" t="inlineStr">
        <is>
          <t>Spare</t>
        </is>
      </c>
      <c r="L850" s="804" t="n"/>
      <c r="M850" s="804" t="inlineStr">
        <is>
          <t>Integer</t>
        </is>
      </c>
      <c r="N850" s="804" t="n">
        <v>0</v>
      </c>
      <c r="O850" s="805" t="inlineStr">
        <is>
          <t>0-10 (Amplitude)</t>
        </is>
      </c>
    </row>
    <row r="851" ht="17.25" customHeight="1">
      <c r="A851" s="804" t="n">
        <v>31</v>
      </c>
      <c r="B851" s="805" t="n"/>
      <c r="C851" s="805" t="inlineStr">
        <is>
          <t xml:space="preserve">Spare </t>
        </is>
      </c>
      <c r="D851" s="804" t="n"/>
      <c r="E851" s="804" t="inlineStr">
        <is>
          <t>Boolean</t>
        </is>
      </c>
      <c r="F851" s="804" t="n"/>
      <c r="G851" s="805" t="n"/>
      <c r="I851" s="804" t="n">
        <v>31</v>
      </c>
      <c r="J851" s="805" t="n"/>
      <c r="K851" s="805" t="inlineStr">
        <is>
          <t>Spare</t>
        </is>
      </c>
      <c r="L851" s="804" t="n"/>
      <c r="M851" s="804" t="inlineStr">
        <is>
          <t>Integer</t>
        </is>
      </c>
      <c r="N851" s="804" t="n">
        <v>0</v>
      </c>
      <c r="O851" s="805" t="inlineStr">
        <is>
          <t>0-10 (Amplitude)</t>
        </is>
      </c>
    </row>
    <row r="852" ht="17.25" customHeight="1">
      <c r="A852" s="804" t="n">
        <v>32</v>
      </c>
      <c r="B852" s="805" t="n"/>
      <c r="C852" s="805" t="inlineStr">
        <is>
          <t xml:space="preserve">Spare </t>
        </is>
      </c>
      <c r="D852" s="804" t="n"/>
      <c r="E852" s="804" t="inlineStr">
        <is>
          <t>Boolean</t>
        </is>
      </c>
      <c r="F852" s="804" t="n"/>
      <c r="G852" s="805" t="n"/>
      <c r="I852" s="804" t="n">
        <v>32</v>
      </c>
      <c r="J852" s="805" t="n"/>
      <c r="K852" s="805" t="inlineStr">
        <is>
          <t>Spare</t>
        </is>
      </c>
      <c r="L852" s="804" t="n"/>
      <c r="M852" s="804" t="inlineStr">
        <is>
          <t>Integer</t>
        </is>
      </c>
      <c r="N852" s="804" t="n">
        <v>0</v>
      </c>
      <c r="O852" s="805" t="inlineStr">
        <is>
          <t>0-10 (Amplitude)</t>
        </is>
      </c>
    </row>
    <row r="853" ht="17.25" customHeight="1">
      <c r="A853" s="804" t="n">
        <v>33</v>
      </c>
      <c r="B853" s="805" t="n"/>
      <c r="C853" s="805" t="inlineStr">
        <is>
          <t xml:space="preserve">Spare </t>
        </is>
      </c>
      <c r="D853" s="804" t="n"/>
      <c r="E853" s="804" t="inlineStr">
        <is>
          <t>Boolean</t>
        </is>
      </c>
      <c r="F853" s="804" t="n"/>
      <c r="G853" s="805" t="n"/>
      <c r="I853" s="804" t="n">
        <v>33</v>
      </c>
      <c r="J853" s="805" t="n"/>
      <c r="K853" s="805" t="inlineStr">
        <is>
          <t>Spare</t>
        </is>
      </c>
      <c r="L853" s="804" t="n"/>
      <c r="M853" s="804" t="inlineStr">
        <is>
          <t>Integer</t>
        </is>
      </c>
      <c r="N853" s="804" t="n">
        <v>0</v>
      </c>
      <c r="O853" s="805" t="inlineStr">
        <is>
          <t>0-10 (Speed)</t>
        </is>
      </c>
    </row>
    <row r="854" ht="17.25" customHeight="1">
      <c r="A854" s="804" t="n">
        <v>34</v>
      </c>
      <c r="B854" s="805" t="inlineStr">
        <is>
          <t>Telemetry_Event</t>
        </is>
      </c>
      <c r="C854" s="805" t="inlineStr">
        <is>
          <t>Telemetry Event Name</t>
        </is>
      </c>
      <c r="D854" s="804" t="inlineStr">
        <is>
          <t>String</t>
        </is>
      </c>
      <c r="E854" s="804" t="inlineStr">
        <is>
          <t>String</t>
        </is>
      </c>
      <c r="F854" s="804" t="inlineStr">
        <is>
          <t>idle</t>
        </is>
      </c>
      <c r="G854" s="805" t="inlineStr">
        <is>
          <t>fault_started / step_completed / fault_completed</t>
        </is>
      </c>
      <c r="I854" s="804" t="n">
        <v>34</v>
      </c>
      <c r="J854" s="805" t="n"/>
      <c r="K854" s="805" t="inlineStr">
        <is>
          <t>Spare</t>
        </is>
      </c>
      <c r="L854" s="804" t="n"/>
      <c r="M854" s="804" t="inlineStr">
        <is>
          <t>Integer</t>
        </is>
      </c>
      <c r="N854" s="804" t="n">
        <v>0</v>
      </c>
      <c r="O854" s="805" t="inlineStr">
        <is>
          <t>0-10 (Speed)</t>
        </is>
      </c>
    </row>
    <row r="855" ht="17.25" customHeight="1">
      <c r="I855" s="804" t="n">
        <v>35</v>
      </c>
      <c r="J855" s="805" t="n"/>
      <c r="K855" s="805" t="inlineStr">
        <is>
          <t>Spare</t>
        </is>
      </c>
      <c r="L855" s="804" t="n"/>
      <c r="M855" s="804" t="inlineStr">
        <is>
          <t>Integer</t>
        </is>
      </c>
      <c r="N855" s="804" t="n">
        <v>0</v>
      </c>
      <c r="O855" s="805" t="inlineStr">
        <is>
          <t>0-10 (Speed)</t>
        </is>
      </c>
    </row>
    <row r="856" ht="17.25" customHeight="1">
      <c r="I856" s="804" t="n">
        <v>36</v>
      </c>
      <c r="J856" s="805" t="n"/>
      <c r="K856" s="805" t="inlineStr">
        <is>
          <t>Spare</t>
        </is>
      </c>
      <c r="L856" s="804" t="n"/>
      <c r="M856" s="804" t="inlineStr">
        <is>
          <t>Integer</t>
        </is>
      </c>
      <c r="N856" s="804" t="n">
        <v>0</v>
      </c>
      <c r="O856" s="805" t="inlineStr">
        <is>
          <t>0-10 (Speed)</t>
        </is>
      </c>
    </row>
    <row r="857" ht="17.25" customHeight="1">
      <c r="I857" s="804" t="n">
        <v>37</v>
      </c>
      <c r="J857" s="805" t="n"/>
      <c r="K857" s="805" t="inlineStr">
        <is>
          <t>Spare</t>
        </is>
      </c>
      <c r="L857" s="804" t="n"/>
      <c r="M857" s="804" t="inlineStr">
        <is>
          <t>Integer</t>
        </is>
      </c>
      <c r="N857" s="804" t="n">
        <v>0</v>
      </c>
      <c r="O857" s="805" t="inlineStr">
        <is>
          <t>0-10 (Speed)</t>
        </is>
      </c>
    </row>
    <row r="858" ht="17.25" customHeight="1">
      <c r="I858" s="804" t="n">
        <v>38</v>
      </c>
      <c r="J858" s="805" t="n"/>
      <c r="K858" s="805" t="inlineStr">
        <is>
          <t>Spare</t>
        </is>
      </c>
      <c r="L858" s="804" t="n"/>
      <c r="M858" s="804" t="inlineStr">
        <is>
          <t>Integer</t>
        </is>
      </c>
      <c r="N858" s="804" t="n">
        <v>0</v>
      </c>
      <c r="O858" s="805" t="inlineStr">
        <is>
          <t>0-10 (Speed)</t>
        </is>
      </c>
    </row>
    <row r="859" ht="17.25" customHeight="1">
      <c r="I859" s="804" t="n">
        <v>39</v>
      </c>
      <c r="J859" s="805" t="n"/>
      <c r="K859" s="805" t="inlineStr">
        <is>
          <t>Spare</t>
        </is>
      </c>
      <c r="L859" s="804" t="n"/>
      <c r="M859" s="804" t="inlineStr">
        <is>
          <t>Integer</t>
        </is>
      </c>
      <c r="N859" s="804" t="n">
        <v>0</v>
      </c>
      <c r="O859" s="805" t="inlineStr">
        <is>
          <t>0-10 (Speed)</t>
        </is>
      </c>
    </row>
    <row r="860" ht="17.25" customHeight="1">
      <c r="I860" s="804" t="n">
        <v>40</v>
      </c>
      <c r="J860" s="805" t="n"/>
      <c r="K860" s="805" t="inlineStr">
        <is>
          <t>Spare</t>
        </is>
      </c>
      <c r="L860" s="804" t="n"/>
      <c r="M860" s="804" t="inlineStr">
        <is>
          <t>Integer</t>
        </is>
      </c>
      <c r="N860" s="804" t="n">
        <v>0</v>
      </c>
      <c r="O860" s="805" t="inlineStr">
        <is>
          <t>0-10 (Amplitude)</t>
        </is>
      </c>
    </row>
    <row r="861" ht="17.25" customHeight="1">
      <c r="I861" s="804" t="n">
        <v>41</v>
      </c>
      <c r="J861" s="805" t="n"/>
      <c r="K861" s="805" t="inlineStr">
        <is>
          <t>Spare</t>
        </is>
      </c>
      <c r="L861" s="804" t="n"/>
      <c r="M861" s="804" t="inlineStr">
        <is>
          <t>Integer</t>
        </is>
      </c>
      <c r="N861" s="804" t="n">
        <v>0</v>
      </c>
      <c r="O861" s="805" t="inlineStr">
        <is>
          <t>0-10 (Amplitude)</t>
        </is>
      </c>
    </row>
    <row r="862" ht="17.25" customHeight="1">
      <c r="I862" s="804" t="n">
        <v>42</v>
      </c>
      <c r="J862" s="805" t="n"/>
      <c r="K862" s="805" t="inlineStr">
        <is>
          <t>Spare</t>
        </is>
      </c>
      <c r="L862" s="804" t="n"/>
      <c r="M862" s="804" t="inlineStr">
        <is>
          <t>Integer</t>
        </is>
      </c>
      <c r="N862" s="804" t="n">
        <v>0</v>
      </c>
      <c r="O862" s="805" t="inlineStr">
        <is>
          <t>0-10 (Amplitude)</t>
        </is>
      </c>
    </row>
    <row r="863" ht="17.25" customHeight="1">
      <c r="I863" s="804" t="n">
        <v>43</v>
      </c>
      <c r="J863" s="805" t="n"/>
      <c r="K863" s="805" t="inlineStr">
        <is>
          <t>Spare</t>
        </is>
      </c>
      <c r="L863" s="804" t="n"/>
      <c r="M863" s="804" t="inlineStr">
        <is>
          <t>Integer</t>
        </is>
      </c>
      <c r="N863" s="804" t="n">
        <v>0</v>
      </c>
      <c r="O863" s="805" t="inlineStr">
        <is>
          <t>0-10 (Amplitude)</t>
        </is>
      </c>
    </row>
    <row r="864" ht="17.25" customHeight="1">
      <c r="I864" s="804" t="n">
        <v>44</v>
      </c>
      <c r="J864" s="805" t="n"/>
      <c r="K864" s="805" t="inlineStr">
        <is>
          <t>Spare</t>
        </is>
      </c>
      <c r="L864" s="804" t="n"/>
      <c r="M864" s="804" t="inlineStr">
        <is>
          <t>Integer</t>
        </is>
      </c>
      <c r="N864" s="804" t="n">
        <v>0</v>
      </c>
      <c r="O864" s="805" t="inlineStr">
        <is>
          <t>0-10 (Amplitude)</t>
        </is>
      </c>
    </row>
    <row r="865" ht="17.25" customHeight="1">
      <c r="I865" s="804" t="n">
        <v>45</v>
      </c>
      <c r="J865" s="805" t="n"/>
      <c r="K865" s="805" t="inlineStr">
        <is>
          <t>Spare</t>
        </is>
      </c>
      <c r="L865" s="804" t="n"/>
      <c r="M865" s="804" t="inlineStr">
        <is>
          <t>Integer</t>
        </is>
      </c>
      <c r="N865" s="804" t="n">
        <v>0</v>
      </c>
      <c r="O865" s="805" t="inlineStr">
        <is>
          <t>0-10 (Amplitude)</t>
        </is>
      </c>
    </row>
    <row r="866" ht="17.25" customHeight="1">
      <c r="I866" s="804" t="n">
        <v>46</v>
      </c>
      <c r="J866" s="805" t="n"/>
      <c r="K866" s="805" t="inlineStr">
        <is>
          <t>Spare</t>
        </is>
      </c>
      <c r="L866" s="804" t="n"/>
      <c r="M866" s="804" t="inlineStr">
        <is>
          <t>Integer</t>
        </is>
      </c>
      <c r="N866" s="804" t="n">
        <v>0</v>
      </c>
      <c r="O866" s="805" t="inlineStr">
        <is>
          <t>0-10 (Amplitude)</t>
        </is>
      </c>
    </row>
    <row r="867" ht="17.25" customHeight="1">
      <c r="I867" s="804" t="n">
        <v>47</v>
      </c>
      <c r="J867" s="805" t="n"/>
      <c r="K867" s="805" t="inlineStr">
        <is>
          <t>Spare</t>
        </is>
      </c>
      <c r="L867" s="804" t="n"/>
      <c r="M867" s="804" t="inlineStr">
        <is>
          <t>Integer</t>
        </is>
      </c>
      <c r="N867" s="804" t="n">
        <v>0</v>
      </c>
      <c r="O867" s="805" t="inlineStr">
        <is>
          <t>0-10 (Amplitude)</t>
        </is>
      </c>
    </row>
    <row r="868" ht="17.25" customHeight="1">
      <c r="I868" s="804" t="n">
        <v>48</v>
      </c>
      <c r="J868" s="805" t="n"/>
      <c r="K868" s="805" t="inlineStr">
        <is>
          <t>Spare</t>
        </is>
      </c>
      <c r="L868" s="804" t="n"/>
      <c r="M868" s="804" t="inlineStr">
        <is>
          <t>Integer</t>
        </is>
      </c>
      <c r="N868" s="804" t="n">
        <v>0</v>
      </c>
      <c r="O868" s="805" t="inlineStr">
        <is>
          <t>0-10 (Amplitude)</t>
        </is>
      </c>
    </row>
    <row r="869" ht="17.25" customHeight="1">
      <c r="I869" s="804" t="n">
        <v>49</v>
      </c>
      <c r="J869" s="805" t="n"/>
      <c r="K869" s="805" t="inlineStr">
        <is>
          <t>Spare</t>
        </is>
      </c>
      <c r="L869" s="804" t="n"/>
      <c r="M869" s="804" t="inlineStr">
        <is>
          <t>Integer</t>
        </is>
      </c>
      <c r="N869" s="804" t="n">
        <v>0</v>
      </c>
      <c r="O869" s="805" t="inlineStr">
        <is>
          <t>0-10 (Amplitude)</t>
        </is>
      </c>
    </row>
    <row r="870" ht="17.25" customHeight="1">
      <c r="I870" s="804" t="n">
        <v>50</v>
      </c>
      <c r="J870" s="805" t="n"/>
      <c r="K870" s="805" t="inlineStr">
        <is>
          <t>Spare</t>
        </is>
      </c>
      <c r="L870" s="804" t="n"/>
      <c r="M870" s="804" t="inlineStr">
        <is>
          <t>Integer</t>
        </is>
      </c>
      <c r="N870" s="804" t="n">
        <v>0</v>
      </c>
      <c r="O870" s="805" t="n"/>
    </row>
    <row r="871" ht="17.25" customHeight="1">
      <c r="J871" s="330" t="n"/>
    </row>
    <row r="872" ht="17.25" customHeight="1">
      <c r="J872" s="330" t="n"/>
    </row>
    <row r="873" ht="17.25" customHeight="1">
      <c r="J873" s="330" t="n"/>
    </row>
    <row r="874" ht="17.25" customHeight="1">
      <c r="J874" s="330" t="n"/>
    </row>
    <row r="875" ht="17.25" customHeight="1">
      <c r="J875" s="330" t="n"/>
    </row>
    <row r="876" ht="17.25" customHeight="1">
      <c r="J876" s="330" t="n"/>
    </row>
    <row r="877" ht="17.25" customHeight="1">
      <c r="J877" s="330" t="n"/>
    </row>
    <row r="878" ht="17.25" customHeight="1">
      <c r="J878" s="330" t="n"/>
    </row>
    <row r="879" ht="17.25" customHeight="1">
      <c r="J879" s="330" t="n"/>
    </row>
    <row r="880" ht="17.25" customHeight="1">
      <c r="J880" s="330" t="n"/>
    </row>
    <row r="881" ht="17.25" customHeight="1">
      <c r="J881" s="330" t="n"/>
    </row>
    <row r="882" ht="17.25" customHeight="1">
      <c r="J882" s="330" t="n"/>
    </row>
    <row r="883" ht="17.25" customHeight="1">
      <c r="J883" s="330" t="n"/>
    </row>
    <row r="884" ht="17.25" customHeight="1">
      <c r="J884" s="330" t="n"/>
    </row>
    <row r="885" ht="17.25" customHeight="1">
      <c r="J885" s="330" t="n"/>
    </row>
    <row r="886" ht="17.25" customHeight="1">
      <c r="J886" s="330" t="n"/>
    </row>
    <row r="887" ht="17.25" customHeight="1">
      <c r="J887" s="330" t="n"/>
    </row>
    <row r="888" ht="17.25" customHeight="1">
      <c r="J888" s="330" t="n"/>
    </row>
    <row r="889" ht="17.25" customHeight="1">
      <c r="J889" s="330" t="n"/>
    </row>
    <row r="890" ht="17.25" customHeight="1">
      <c r="J890" s="330" t="n"/>
    </row>
    <row r="891" ht="17.25" customHeight="1">
      <c r="J891" s="330" t="n"/>
    </row>
    <row r="892" ht="17.25" customHeight="1">
      <c r="J892" s="330" t="n"/>
    </row>
    <row r="893" ht="17.25" customHeight="1">
      <c r="J893" s="330" t="n"/>
    </row>
    <row r="894" ht="17.25" customHeight="1">
      <c r="J894" s="330" t="n"/>
    </row>
    <row r="895" ht="17.25" customHeight="1">
      <c r="J895" s="330" t="n"/>
    </row>
    <row r="896" ht="17.25" customHeight="1">
      <c r="J896" s="330" t="n"/>
    </row>
    <row r="897" ht="17.25" customHeight="1">
      <c r="J897" s="330" t="n"/>
    </row>
    <row r="898" ht="17.25" customHeight="1">
      <c r="J898" s="330" t="n"/>
    </row>
    <row r="899" ht="17.25" customHeight="1">
      <c r="J899" s="330" t="n"/>
    </row>
    <row r="900" ht="17.25" customHeight="1">
      <c r="J900" s="330" t="n"/>
    </row>
    <row r="901" ht="17.25" customHeight="1">
      <c r="J901" s="330" t="n"/>
    </row>
    <row r="902" ht="17.25" customHeight="1">
      <c r="J902" s="330" t="n"/>
    </row>
    <row r="903" ht="17.25" customHeight="1">
      <c r="J903" s="330" t="n"/>
    </row>
    <row r="904" ht="17.25" customHeight="1">
      <c r="J904" s="330" t="n"/>
    </row>
    <row r="905" ht="17.25" customHeight="1">
      <c r="J905" s="330" t="n"/>
    </row>
    <row r="906" ht="17.25" customHeight="1">
      <c r="J906" s="330" t="n"/>
    </row>
    <row r="907" ht="46.5" customHeight="1">
      <c r="A907" s="671" t="inlineStr">
        <is>
          <t>CIRCUIT SIMULATION (CPU_WS)</t>
        </is>
      </c>
    </row>
    <row r="908" ht="17.25" customHeight="1">
      <c r="J908" s="330" t="n"/>
    </row>
    <row r="909" ht="17.25" customHeight="1">
      <c r="J909" s="330" t="n"/>
    </row>
    <row r="910" ht="17.25" customHeight="1">
      <c r="C910" s="265" t="n"/>
      <c r="D910" s="265" t="n"/>
      <c r="H910" s="265" t="n"/>
      <c r="I910" s="265" t="n"/>
      <c r="J910" s="265" t="n"/>
      <c r="M910" s="265" t="n"/>
      <c r="P910" s="265" t="n"/>
      <c r="S910" s="265" t="n"/>
      <c r="T910" s="265" t="n"/>
      <c r="V910" s="265" t="n"/>
      <c r="W910" s="265" t="n"/>
      <c r="X910" s="265" t="n"/>
      <c r="Y910" s="265" t="n"/>
      <c r="Z910" s="265" t="n"/>
      <c r="AA910" s="265" t="n"/>
      <c r="AB910" s="265" t="n"/>
      <c r="AC910" s="265" t="n"/>
      <c r="AD910" s="265" t="n"/>
      <c r="AE910" s="265" t="n"/>
      <c r="AF910" s="265" t="n"/>
      <c r="AG910" s="265" t="n"/>
      <c r="AH910" s="265" t="n"/>
      <c r="AI910" s="265" t="n"/>
      <c r="AJ910" s="265" t="n"/>
      <c r="AK910" s="265" t="n"/>
      <c r="AL910" s="265" t="n"/>
      <c r="AM910" s="265" t="n"/>
      <c r="AN910" s="265" t="n"/>
      <c r="AO910" s="265" t="n"/>
      <c r="AP910" s="265" t="n"/>
      <c r="AQ910" s="265" t="n"/>
      <c r="AR910" s="265" t="n"/>
      <c r="AS910" s="265" t="n"/>
      <c r="AT910" s="265" t="n"/>
      <c r="AU910" s="265" t="n"/>
      <c r="AV910" s="265" t="n"/>
      <c r="AW910" s="265" t="n"/>
      <c r="AX910" s="265" t="n"/>
      <c r="AY910" s="265" t="n"/>
      <c r="AZ910" s="265" t="n"/>
      <c r="BA910" s="265" t="n"/>
      <c r="BB910" s="265" t="n"/>
      <c r="BC910" s="265" t="n"/>
      <c r="BD910" s="265" t="n"/>
      <c r="BE910" s="265" t="n"/>
      <c r="BF910" s="265" t="n"/>
      <c r="BG910" s="265" t="n"/>
      <c r="BH910" s="265" t="n"/>
      <c r="BI910" s="265" t="n"/>
      <c r="BJ910" s="265" t="n"/>
      <c r="BK910" s="265" t="n"/>
      <c r="BL910" s="265" t="n"/>
      <c r="BM910" s="265" t="n"/>
      <c r="BN910" s="265" t="n"/>
      <c r="BO910" s="265" t="n"/>
      <c r="BP910" s="265" t="n"/>
      <c r="BQ910" s="265" t="n"/>
      <c r="BR910" s="265" t="n"/>
      <c r="BS910" s="265" t="n"/>
      <c r="BT910" s="265" t="n"/>
      <c r="BU910" s="265" t="n"/>
      <c r="BV910" s="265" t="n"/>
      <c r="BW910" s="265" t="n"/>
      <c r="BX910" s="265" t="n"/>
      <c r="BY910" s="265" t="n"/>
      <c r="BZ910" s="265" t="n"/>
      <c r="CA910" s="265" t="n"/>
      <c r="CB910" s="265" t="n"/>
      <c r="CC910" s="265" t="n"/>
      <c r="CD910" s="265" t="n"/>
      <c r="CE910" s="265" t="n"/>
      <c r="CF910" s="265" t="n"/>
      <c r="CG910" s="265" t="n"/>
      <c r="CH910" s="265" t="n"/>
      <c r="CI910" s="265" t="n"/>
      <c r="CJ910" s="265" t="n"/>
      <c r="CK910" s="265" t="n"/>
      <c r="CL910" s="265" t="n"/>
      <c r="CM910" s="265" t="n"/>
      <c r="CN910" s="265" t="n"/>
      <c r="CO910" s="265" t="n"/>
      <c r="CP910" s="265" t="n"/>
      <c r="CQ910" s="265" t="n"/>
      <c r="CR910" s="265" t="n"/>
      <c r="CS910" s="265" t="n"/>
      <c r="CT910" s="265" t="n"/>
      <c r="CU910" s="265" t="n"/>
    </row>
    <row r="911" ht="33.75" customHeight="1">
      <c r="A911" s="808" t="inlineStr">
        <is>
          <t>CIRCUIT SIMULATION OUTPUTs</t>
        </is>
      </c>
      <c r="B911" s="798" t="n"/>
      <c r="C911" s="798" t="n"/>
      <c r="D911" s="798" t="n"/>
      <c r="E911" s="798" t="n"/>
      <c r="F911" s="798" t="n"/>
      <c r="G911" s="309" t="n"/>
      <c r="I911" s="257" t="inlineStr">
        <is>
          <t>CIRCUIT SIMULATION OUTPUTs</t>
        </is>
      </c>
      <c r="J911" s="258" t="n"/>
      <c r="K911" s="258" t="n"/>
      <c r="L911" s="258" t="n"/>
      <c r="M911" s="258" t="n"/>
      <c r="N911" s="258" t="n"/>
      <c r="O911" s="259" t="n"/>
      <c r="Q911" s="257" t="inlineStr">
        <is>
          <t>CIRCUIT SIMULATION OUTPUTs</t>
        </is>
      </c>
      <c r="R911" s="258" t="n"/>
      <c r="S911" s="258" t="n"/>
      <c r="T911" s="258" t="n"/>
      <c r="U911" s="258" t="n"/>
      <c r="V911" s="258" t="n"/>
      <c r="W911" s="259" t="n"/>
      <c r="Y911" s="257" t="inlineStr">
        <is>
          <t>CIRCUIT SIMULATION OUTPUTs</t>
        </is>
      </c>
      <c r="Z911" s="258" t="n"/>
      <c r="AA911" s="258" t="n"/>
      <c r="AB911" s="258" t="n"/>
      <c r="AC911" s="258" t="n"/>
      <c r="AD911" s="258" t="n"/>
      <c r="AE911" s="259" t="n"/>
      <c r="AG911" s="257" t="inlineStr">
        <is>
          <t>CIRCUIT SIMULATION OUTPUTs</t>
        </is>
      </c>
      <c r="AH911" s="258" t="n"/>
      <c r="AI911" s="258" t="n"/>
      <c r="AJ911" s="258" t="n"/>
      <c r="AK911" s="258" t="n"/>
      <c r="AL911" s="258" t="n"/>
      <c r="AM911" s="259" t="n"/>
      <c r="AO911" s="257" t="inlineStr">
        <is>
          <t>CIRCUIT SIMULATION OUTPUTs</t>
        </is>
      </c>
      <c r="AP911" s="258" t="n"/>
      <c r="AQ911" s="258" t="n"/>
      <c r="AR911" s="258" t="n"/>
      <c r="AS911" s="258" t="n"/>
      <c r="AT911" s="258" t="n"/>
      <c r="AU911" s="259" t="n"/>
      <c r="AW911" s="257" t="inlineStr">
        <is>
          <t>CIRCUIT SIMULATION OUTPUTs</t>
        </is>
      </c>
      <c r="AX911" s="258" t="n"/>
      <c r="AY911" s="258" t="n"/>
      <c r="AZ911" s="258" t="n"/>
      <c r="BA911" s="258" t="n"/>
      <c r="BB911" s="258" t="n"/>
      <c r="BC911" s="259" t="n"/>
      <c r="BE911" s="257" t="inlineStr">
        <is>
          <t>CIRCUIT SIMULATION OUTPUTs</t>
        </is>
      </c>
      <c r="BF911" s="258" t="n"/>
      <c r="BG911" s="258" t="n"/>
      <c r="BH911" s="258" t="n"/>
      <c r="BI911" s="258" t="n"/>
      <c r="BJ911" s="258" t="n"/>
      <c r="BK911" s="259" t="n"/>
      <c r="BM911" s="257" t="inlineStr">
        <is>
          <t>CIRCUIT SIMULATION OUTPUTs</t>
        </is>
      </c>
      <c r="BN911" s="258" t="n"/>
      <c r="BO911" s="258" t="n"/>
      <c r="BP911" s="258" t="n"/>
      <c r="BQ911" s="258" t="n"/>
      <c r="BR911" s="258" t="n"/>
      <c r="BS911" s="259" t="n"/>
      <c r="BU911" s="257" t="inlineStr">
        <is>
          <t>CIRCUIT SIMULATION OUTPUTs</t>
        </is>
      </c>
      <c r="BV911" s="258" t="n"/>
      <c r="BW911" s="258" t="n"/>
      <c r="BX911" s="258" t="n"/>
      <c r="BY911" s="258" t="n"/>
      <c r="BZ911" s="258" t="n"/>
      <c r="CA911" s="259" t="n"/>
      <c r="CC911" s="257" t="inlineStr">
        <is>
          <t>CIRCUIT SIMULATION OUTPUTs</t>
        </is>
      </c>
      <c r="CD911" s="258" t="n"/>
      <c r="CE911" s="258" t="n"/>
      <c r="CF911" s="258" t="n"/>
      <c r="CG911" s="258" t="n"/>
      <c r="CH911" s="258" t="n"/>
      <c r="CI911" s="259" t="n"/>
      <c r="CK911" s="257" t="inlineStr">
        <is>
          <t>CIRCUIT SIMULATION OUTPUTs</t>
        </is>
      </c>
      <c r="CL911" s="258" t="n"/>
      <c r="CM911" s="258" t="n"/>
      <c r="CN911" s="258" t="n"/>
      <c r="CO911" s="258" t="n"/>
      <c r="CP911" s="258" t="n"/>
      <c r="CQ911" s="259" t="n"/>
      <c r="CS911" s="257" t="inlineStr">
        <is>
          <t>CIRCUIT SIMULATION OUTPUTs</t>
        </is>
      </c>
      <c r="CT911" s="258" t="n"/>
      <c r="CU911" s="258" t="n"/>
      <c r="CV911" s="258" t="n"/>
      <c r="CW911" s="258" t="n"/>
      <c r="CX911" s="258" t="n"/>
      <c r="CY911" s="259" t="n"/>
      <c r="DA911" s="257" t="inlineStr">
        <is>
          <t>CIRCUIT SIMULATION OUTPUTs</t>
        </is>
      </c>
      <c r="DB911" s="258" t="n"/>
      <c r="DC911" s="258" t="n"/>
      <c r="DD911" s="258" t="n"/>
      <c r="DE911" s="258" t="n"/>
      <c r="DF911" s="258" t="n"/>
      <c r="DG911" s="259" t="n"/>
      <c r="DI911" s="257" t="inlineStr">
        <is>
          <t>CIRCUIT SIMULATION OUTPUTs</t>
        </is>
      </c>
      <c r="DJ911" s="258" t="n"/>
      <c r="DK911" s="258" t="n"/>
      <c r="DL911" s="258" t="n"/>
      <c r="DM911" s="700" t="n"/>
      <c r="DN911" s="258" t="n"/>
      <c r="DO911" s="259" t="n"/>
      <c r="DQ911" s="257" t="inlineStr">
        <is>
          <t>CIRCUIT SIMULATION OUTPUTs</t>
        </is>
      </c>
      <c r="DR911" s="258" t="n"/>
      <c r="DS911" s="258" t="n"/>
      <c r="DT911" s="258" t="n"/>
      <c r="DU911" s="258" t="n"/>
      <c r="DV911" s="258" t="n"/>
      <c r="DW911" s="259" t="n"/>
      <c r="DY911" s="257" t="inlineStr">
        <is>
          <t>CIRCUIT SIMULATION OUTPUTs</t>
        </is>
      </c>
      <c r="DZ911" s="258" t="n"/>
      <c r="EA911" s="258" t="n"/>
      <c r="EB911" s="258" t="n"/>
      <c r="EC911" s="258" t="n"/>
      <c r="ED911" s="258" t="n"/>
      <c r="EE911" s="259" t="n"/>
      <c r="EG911" s="257" t="inlineStr">
        <is>
          <t>CIRCUIT SIMULATION OUTPUTs</t>
        </is>
      </c>
      <c r="EH911" s="258" t="n"/>
      <c r="EI911" s="258" t="n"/>
      <c r="EJ911" s="258" t="n"/>
      <c r="EK911" s="258" t="n"/>
      <c r="EL911" s="258" t="n"/>
      <c r="EM911" s="259" t="n"/>
      <c r="EO911" s="257" t="inlineStr">
        <is>
          <t>CIRCUIT SIMULATION OUTPUTs</t>
        </is>
      </c>
      <c r="EP911" s="258" t="n"/>
      <c r="EQ911" s="258" t="n"/>
      <c r="ER911" s="258" t="n"/>
      <c r="ES911" s="258" t="n"/>
      <c r="ET911" s="258" t="n"/>
      <c r="EU911" s="259" t="n"/>
      <c r="EW911" s="257" t="inlineStr">
        <is>
          <t>CIRCUIT SIMULATION OUTPUTs</t>
        </is>
      </c>
      <c r="EX911" s="258" t="n"/>
      <c r="EY911" s="258" t="n"/>
      <c r="EZ911" s="258" t="n"/>
      <c r="FA911" s="258" t="n"/>
      <c r="FB911" s="258" t="n"/>
      <c r="FC911" s="259" t="n"/>
      <c r="FE911" s="257" t="inlineStr">
        <is>
          <t>CIRCUIT SIMULATION OUTPUTs</t>
        </is>
      </c>
      <c r="FF911" s="258" t="n"/>
      <c r="FG911" s="258" t="n"/>
      <c r="FH911" s="258" t="n"/>
      <c r="FI911" s="258" t="n"/>
      <c r="FJ911" s="258" t="n"/>
      <c r="FK911" s="259" t="n"/>
      <c r="FM911" s="257" t="inlineStr">
        <is>
          <t>CIRCUIT SIMULATION OUTPUTs</t>
        </is>
      </c>
      <c r="FN911" s="258" t="n"/>
      <c r="FO911" s="258" t="n"/>
      <c r="FP911" s="258" t="n"/>
      <c r="FQ911" s="258" t="n"/>
      <c r="FR911" s="258" t="n"/>
      <c r="FS911" s="259" t="n"/>
      <c r="FU911" s="257" t="inlineStr">
        <is>
          <t>CIRCUIT SIMULATION OUTPUTs</t>
        </is>
      </c>
      <c r="FV911" s="258" t="n"/>
      <c r="FW911" s="258" t="n"/>
      <c r="FX911" s="258" t="n"/>
      <c r="FY911" s="258" t="n"/>
      <c r="FZ911" s="258" t="n"/>
      <c r="GA911" s="259" t="n"/>
      <c r="GC911" s="257" t="inlineStr">
        <is>
          <t>CIRCUIT SIMULATION OUTPUTs</t>
        </is>
      </c>
      <c r="GD911" s="258" t="n"/>
      <c r="GE911" s="258" t="n"/>
      <c r="GF911" s="258" t="n"/>
      <c r="GG911" s="258" t="n"/>
      <c r="GH911" s="258" t="n"/>
      <c r="GI911" s="259" t="n"/>
      <c r="GK911" s="257" t="inlineStr">
        <is>
          <t>CIRCUIT SIMULATION OUTPUTs</t>
        </is>
      </c>
      <c r="GL911" s="258" t="n"/>
      <c r="GM911" s="258" t="n"/>
      <c r="GN911" s="258" t="n"/>
      <c r="GO911" s="258" t="n"/>
      <c r="GP911" s="258" t="n"/>
      <c r="GQ911" s="259" t="n"/>
      <c r="GS911" s="257" t="inlineStr">
        <is>
          <t>CIRCUIT SIMULATION OUTPUTs</t>
        </is>
      </c>
      <c r="GT911" s="258" t="n"/>
      <c r="GU911" s="258" t="n"/>
      <c r="GV911" s="258" t="n"/>
      <c r="GW911" s="258" t="n"/>
      <c r="GX911" s="258" t="n"/>
      <c r="GY911" s="259" t="n"/>
      <c r="HA911" s="257" t="inlineStr">
        <is>
          <t>CIRCUIT SIMULATION OUTPUTs</t>
        </is>
      </c>
      <c r="HB911" s="258" t="n"/>
      <c r="HC911" s="258" t="n"/>
      <c r="HD911" s="258" t="n"/>
      <c r="HE911" s="258" t="n"/>
      <c r="HF911" s="258" t="n"/>
      <c r="HG911" s="259" t="n"/>
    </row>
    <row r="912">
      <c r="A912" s="5" t="inlineStr">
        <is>
          <t>SR.No</t>
        </is>
      </c>
      <c r="B912" s="5" t="inlineStr">
        <is>
          <t>Variable</t>
        </is>
      </c>
      <c r="C912" s="19" t="inlineStr">
        <is>
          <t>Labels</t>
        </is>
      </c>
      <c r="D912" s="5" t="inlineStr">
        <is>
          <t>Data Type</t>
        </is>
      </c>
      <c r="E912" s="5" t="inlineStr">
        <is>
          <t>Source</t>
        </is>
      </c>
      <c r="F912" s="386" t="n"/>
      <c r="G912" s="5" t="inlineStr">
        <is>
          <t>Remark</t>
        </is>
      </c>
      <c r="I912" s="5" t="inlineStr">
        <is>
          <t>SR.No</t>
        </is>
      </c>
      <c r="J912" s="5" t="inlineStr">
        <is>
          <t>Variable</t>
        </is>
      </c>
      <c r="K912" s="5" t="inlineStr">
        <is>
          <t>Labels</t>
        </is>
      </c>
      <c r="L912" s="5" t="inlineStr">
        <is>
          <t>Data Type</t>
        </is>
      </c>
      <c r="M912" s="5" t="inlineStr">
        <is>
          <t>Source</t>
        </is>
      </c>
      <c r="N912" s="386" t="inlineStr">
        <is>
          <t>value</t>
        </is>
      </c>
      <c r="O912" s="5" t="inlineStr">
        <is>
          <t>Remark</t>
        </is>
      </c>
      <c r="Q912" s="5" t="inlineStr">
        <is>
          <t>SR.No</t>
        </is>
      </c>
      <c r="R912" s="5" t="inlineStr">
        <is>
          <t>Variable</t>
        </is>
      </c>
      <c r="S912" s="5" t="inlineStr">
        <is>
          <t>Labels</t>
        </is>
      </c>
      <c r="T912" s="5" t="inlineStr">
        <is>
          <t>Data Type</t>
        </is>
      </c>
      <c r="U912" s="5" t="inlineStr">
        <is>
          <t>Source</t>
        </is>
      </c>
      <c r="V912" s="386" t="inlineStr">
        <is>
          <t>value</t>
        </is>
      </c>
      <c r="W912" s="5" t="inlineStr">
        <is>
          <t>Remark</t>
        </is>
      </c>
      <c r="Y912" s="5" t="inlineStr">
        <is>
          <t>SR.No</t>
        </is>
      </c>
      <c r="Z912" s="5" t="inlineStr">
        <is>
          <t>Variable</t>
        </is>
      </c>
      <c r="AA912" s="5" t="inlineStr">
        <is>
          <t>Labels</t>
        </is>
      </c>
      <c r="AB912" s="5" t="inlineStr">
        <is>
          <t>Data Type</t>
        </is>
      </c>
      <c r="AC912" s="5" t="inlineStr">
        <is>
          <t>Source</t>
        </is>
      </c>
      <c r="AD912" s="5" t="inlineStr">
        <is>
          <t>Value</t>
        </is>
      </c>
      <c r="AE912" s="5" t="inlineStr">
        <is>
          <t>Remark</t>
        </is>
      </c>
      <c r="AG912" s="5" t="inlineStr">
        <is>
          <t>SR.No</t>
        </is>
      </c>
      <c r="AH912" s="5" t="inlineStr">
        <is>
          <t>Variable</t>
        </is>
      </c>
      <c r="AI912" s="5" t="inlineStr">
        <is>
          <t>Labels</t>
        </is>
      </c>
      <c r="AJ912" s="5" t="inlineStr">
        <is>
          <t>Data Type</t>
        </is>
      </c>
      <c r="AK912" s="5" t="inlineStr">
        <is>
          <t>Source</t>
        </is>
      </c>
      <c r="AL912" s="5" t="inlineStr">
        <is>
          <t>Value</t>
        </is>
      </c>
      <c r="AM912" s="5" t="inlineStr">
        <is>
          <t>Remark</t>
        </is>
      </c>
      <c r="AO912" s="5" t="inlineStr">
        <is>
          <t>SR.No</t>
        </is>
      </c>
      <c r="AP912" s="5" t="inlineStr">
        <is>
          <t>Variable</t>
        </is>
      </c>
      <c r="AQ912" s="5" t="inlineStr">
        <is>
          <t>Labels</t>
        </is>
      </c>
      <c r="AR912" s="5" t="inlineStr">
        <is>
          <t>Data Type</t>
        </is>
      </c>
      <c r="AS912" s="5" t="inlineStr">
        <is>
          <t>Source</t>
        </is>
      </c>
      <c r="AT912" s="5" t="n"/>
      <c r="AU912" s="5" t="inlineStr">
        <is>
          <t>Remark</t>
        </is>
      </c>
      <c r="AW912" s="5" t="inlineStr">
        <is>
          <t>SR.No</t>
        </is>
      </c>
      <c r="AX912" s="5" t="inlineStr">
        <is>
          <t>Variable</t>
        </is>
      </c>
      <c r="AY912" s="5" t="inlineStr">
        <is>
          <t>Labels</t>
        </is>
      </c>
      <c r="AZ912" s="5" t="inlineStr">
        <is>
          <t>Data Type</t>
        </is>
      </c>
      <c r="BA912" s="5" t="inlineStr">
        <is>
          <t>Source</t>
        </is>
      </c>
      <c r="BB912" s="5" t="inlineStr">
        <is>
          <t>Value</t>
        </is>
      </c>
      <c r="BC912" s="5" t="inlineStr">
        <is>
          <t>Remark</t>
        </is>
      </c>
      <c r="BE912" s="5" t="inlineStr">
        <is>
          <t>SR.No</t>
        </is>
      </c>
      <c r="BF912" s="5" t="inlineStr">
        <is>
          <t>Variable</t>
        </is>
      </c>
      <c r="BG912" s="5" t="inlineStr">
        <is>
          <t>Labels</t>
        </is>
      </c>
      <c r="BH912" s="5" t="inlineStr">
        <is>
          <t>Data Type</t>
        </is>
      </c>
      <c r="BI912" s="5" t="inlineStr">
        <is>
          <t>Source</t>
        </is>
      </c>
      <c r="BJ912" s="5" t="inlineStr">
        <is>
          <t>Value</t>
        </is>
      </c>
      <c r="BK912" s="5" t="inlineStr">
        <is>
          <t>Remark</t>
        </is>
      </c>
      <c r="BM912" s="5" t="inlineStr">
        <is>
          <t>SR.No</t>
        </is>
      </c>
      <c r="BN912" s="5" t="inlineStr">
        <is>
          <t>Variable</t>
        </is>
      </c>
      <c r="BO912" s="5" t="inlineStr">
        <is>
          <t>Labels</t>
        </is>
      </c>
      <c r="BP912" s="5" t="inlineStr">
        <is>
          <t>Data Type</t>
        </is>
      </c>
      <c r="BQ912" s="5" t="inlineStr">
        <is>
          <t>Source</t>
        </is>
      </c>
      <c r="BR912" s="5" t="inlineStr">
        <is>
          <t>Value</t>
        </is>
      </c>
      <c r="BS912" s="5" t="inlineStr">
        <is>
          <t>Remark</t>
        </is>
      </c>
      <c r="BU912" s="5" t="inlineStr">
        <is>
          <t>SR.No</t>
        </is>
      </c>
      <c r="BV912" s="5" t="inlineStr">
        <is>
          <t>Variable</t>
        </is>
      </c>
      <c r="BW912" s="5" t="inlineStr">
        <is>
          <t>Labels</t>
        </is>
      </c>
      <c r="BX912" s="5" t="inlineStr">
        <is>
          <t>Data Type</t>
        </is>
      </c>
      <c r="BY912" s="5" t="inlineStr">
        <is>
          <t>Source</t>
        </is>
      </c>
      <c r="BZ912" s="5" t="inlineStr">
        <is>
          <t>Value</t>
        </is>
      </c>
      <c r="CA912" s="5" t="inlineStr">
        <is>
          <t>Remark</t>
        </is>
      </c>
      <c r="CC912" s="5" t="inlineStr">
        <is>
          <t>SR.No</t>
        </is>
      </c>
      <c r="CD912" s="5" t="inlineStr">
        <is>
          <t>Variable</t>
        </is>
      </c>
      <c r="CE912" s="19" t="inlineStr">
        <is>
          <t>Labels</t>
        </is>
      </c>
      <c r="CF912" s="5" t="inlineStr">
        <is>
          <t>Data Type</t>
        </is>
      </c>
      <c r="CG912" s="5" t="inlineStr">
        <is>
          <t>Source</t>
        </is>
      </c>
      <c r="CH912" s="5" t="inlineStr">
        <is>
          <t>Value</t>
        </is>
      </c>
      <c r="CI912" s="5" t="inlineStr">
        <is>
          <t>Remark</t>
        </is>
      </c>
      <c r="CK912" s="5" t="inlineStr">
        <is>
          <t>SR.No</t>
        </is>
      </c>
      <c r="CL912" s="5" t="inlineStr">
        <is>
          <t>Variable</t>
        </is>
      </c>
      <c r="CM912" s="19" t="inlineStr">
        <is>
          <t>Labels</t>
        </is>
      </c>
      <c r="CN912" s="5" t="inlineStr">
        <is>
          <t>Data Type</t>
        </is>
      </c>
      <c r="CO912" s="5" t="inlineStr">
        <is>
          <t>Source</t>
        </is>
      </c>
      <c r="CP912" s="5" t="inlineStr">
        <is>
          <t>Value</t>
        </is>
      </c>
      <c r="CQ912" s="5" t="inlineStr">
        <is>
          <t>Remark</t>
        </is>
      </c>
      <c r="CS912" s="5" t="inlineStr">
        <is>
          <t>SR.No</t>
        </is>
      </c>
      <c r="CT912" s="5" t="inlineStr">
        <is>
          <t>Variable</t>
        </is>
      </c>
      <c r="CU912" s="19" t="inlineStr">
        <is>
          <t>Labels</t>
        </is>
      </c>
      <c r="CV912" s="5" t="inlineStr">
        <is>
          <t>Data Type</t>
        </is>
      </c>
      <c r="CW912" s="5" t="inlineStr">
        <is>
          <t>Source</t>
        </is>
      </c>
      <c r="CX912" s="5" t="inlineStr">
        <is>
          <t>Value</t>
        </is>
      </c>
      <c r="CY912" s="5" t="inlineStr">
        <is>
          <t>Remark</t>
        </is>
      </c>
      <c r="DA912" s="5" t="inlineStr">
        <is>
          <t>SR.No</t>
        </is>
      </c>
      <c r="DB912" s="5" t="inlineStr">
        <is>
          <t>Variable</t>
        </is>
      </c>
      <c r="DC912" s="19" t="inlineStr">
        <is>
          <t>Labels</t>
        </is>
      </c>
      <c r="DD912" s="5" t="inlineStr">
        <is>
          <t>Data Type</t>
        </is>
      </c>
      <c r="DE912" s="5" t="inlineStr">
        <is>
          <t>Source</t>
        </is>
      </c>
      <c r="DF912" s="5" t="inlineStr">
        <is>
          <t>Value</t>
        </is>
      </c>
      <c r="DG912" s="5" t="inlineStr">
        <is>
          <t>Remark</t>
        </is>
      </c>
      <c r="DI912" s="5" t="inlineStr">
        <is>
          <t>SR.No</t>
        </is>
      </c>
      <c r="DJ912" s="5" t="inlineStr">
        <is>
          <t>Variable</t>
        </is>
      </c>
      <c r="DK912" s="19" t="inlineStr">
        <is>
          <t>Labels</t>
        </is>
      </c>
      <c r="DL912" s="5" t="inlineStr">
        <is>
          <t>Data Type</t>
        </is>
      </c>
      <c r="DM912" s="5" t="inlineStr">
        <is>
          <t>Source</t>
        </is>
      </c>
      <c r="DN912" s="5" t="inlineStr">
        <is>
          <t>Value</t>
        </is>
      </c>
      <c r="DO912" s="5" t="inlineStr">
        <is>
          <t>Remark</t>
        </is>
      </c>
      <c r="DQ912" s="5" t="inlineStr">
        <is>
          <t>SR.No</t>
        </is>
      </c>
      <c r="DR912" s="5" t="inlineStr">
        <is>
          <t>Variable</t>
        </is>
      </c>
      <c r="DS912" s="19" t="inlineStr">
        <is>
          <t>Labels</t>
        </is>
      </c>
      <c r="DT912" s="5" t="inlineStr">
        <is>
          <t>Data Type</t>
        </is>
      </c>
      <c r="DU912" s="5" t="inlineStr">
        <is>
          <t>Source</t>
        </is>
      </c>
      <c r="DV912" s="5" t="inlineStr">
        <is>
          <t>Value</t>
        </is>
      </c>
      <c r="DW912" s="5" t="inlineStr">
        <is>
          <t>Remark</t>
        </is>
      </c>
      <c r="DY912" s="5" t="inlineStr">
        <is>
          <t>SR.No</t>
        </is>
      </c>
      <c r="DZ912" s="5" t="inlineStr">
        <is>
          <t>Variable</t>
        </is>
      </c>
      <c r="EA912" s="19" t="inlineStr">
        <is>
          <t>Labels</t>
        </is>
      </c>
      <c r="EB912" s="5" t="inlineStr">
        <is>
          <t>Data Type</t>
        </is>
      </c>
      <c r="EC912" s="5" t="inlineStr">
        <is>
          <t>Source</t>
        </is>
      </c>
      <c r="ED912" s="5" t="inlineStr">
        <is>
          <t>Value</t>
        </is>
      </c>
      <c r="EE912" s="5" t="inlineStr">
        <is>
          <t>Remark</t>
        </is>
      </c>
      <c r="EG912" s="5" t="inlineStr">
        <is>
          <t>SR.No</t>
        </is>
      </c>
      <c r="EH912" s="5" t="inlineStr">
        <is>
          <t>Variable</t>
        </is>
      </c>
      <c r="EI912" s="19" t="inlineStr">
        <is>
          <t>Labels</t>
        </is>
      </c>
      <c r="EJ912" s="5" t="inlineStr">
        <is>
          <t>Data Type</t>
        </is>
      </c>
      <c r="EK912" s="5" t="inlineStr">
        <is>
          <t>Source</t>
        </is>
      </c>
      <c r="EL912" s="5" t="inlineStr">
        <is>
          <t>Value</t>
        </is>
      </c>
      <c r="EM912" s="5" t="inlineStr">
        <is>
          <t>Remark</t>
        </is>
      </c>
      <c r="EO912" s="5" t="inlineStr">
        <is>
          <t>SR.No</t>
        </is>
      </c>
      <c r="EP912" s="5" t="inlineStr">
        <is>
          <t>Variable</t>
        </is>
      </c>
      <c r="EQ912" s="19" t="inlineStr">
        <is>
          <t>Labels</t>
        </is>
      </c>
      <c r="ER912" s="5" t="inlineStr">
        <is>
          <t>Data Type</t>
        </is>
      </c>
      <c r="ES912" s="5" t="inlineStr">
        <is>
          <t>Source</t>
        </is>
      </c>
      <c r="ET912" s="5" t="inlineStr">
        <is>
          <t>Value</t>
        </is>
      </c>
      <c r="EU912" s="5" t="inlineStr">
        <is>
          <t>Remark</t>
        </is>
      </c>
      <c r="EW912" s="5" t="inlineStr">
        <is>
          <t>SR.No</t>
        </is>
      </c>
      <c r="EX912" s="5" t="inlineStr">
        <is>
          <t>Variable</t>
        </is>
      </c>
      <c r="EY912" s="19" t="inlineStr">
        <is>
          <t>Labels</t>
        </is>
      </c>
      <c r="EZ912" s="5" t="inlineStr">
        <is>
          <t>Data Type</t>
        </is>
      </c>
      <c r="FA912" s="5" t="inlineStr">
        <is>
          <t>Source</t>
        </is>
      </c>
      <c r="FB912" s="5" t="inlineStr">
        <is>
          <t>Value</t>
        </is>
      </c>
      <c r="FC912" s="5" t="inlineStr">
        <is>
          <t>Remark</t>
        </is>
      </c>
      <c r="FE912" s="5" t="inlineStr">
        <is>
          <t>SR.No</t>
        </is>
      </c>
      <c r="FF912" s="5" t="inlineStr">
        <is>
          <t>Variable</t>
        </is>
      </c>
      <c r="FG912" s="19" t="inlineStr">
        <is>
          <t>Labels</t>
        </is>
      </c>
      <c r="FH912" s="5" t="inlineStr">
        <is>
          <t>Data Type</t>
        </is>
      </c>
      <c r="FI912" s="5" t="inlineStr">
        <is>
          <t>Source</t>
        </is>
      </c>
      <c r="FJ912" s="5" t="inlineStr">
        <is>
          <t>Value</t>
        </is>
      </c>
      <c r="FK912" s="5" t="inlineStr">
        <is>
          <t>Remark</t>
        </is>
      </c>
      <c r="FM912" s="5" t="inlineStr">
        <is>
          <t>SR.No</t>
        </is>
      </c>
      <c r="FN912" s="5" t="inlineStr">
        <is>
          <t>Variable</t>
        </is>
      </c>
      <c r="FO912" s="19" t="inlineStr">
        <is>
          <t>Labels</t>
        </is>
      </c>
      <c r="FP912" s="5" t="inlineStr">
        <is>
          <t>Data Type</t>
        </is>
      </c>
      <c r="FQ912" s="5" t="inlineStr">
        <is>
          <t>Source</t>
        </is>
      </c>
      <c r="FR912" s="5" t="inlineStr">
        <is>
          <t>Value</t>
        </is>
      </c>
      <c r="FS912" s="5" t="inlineStr">
        <is>
          <t>Remark</t>
        </is>
      </c>
      <c r="FU912" s="5" t="inlineStr">
        <is>
          <t>SR.No</t>
        </is>
      </c>
      <c r="FV912" s="5" t="inlineStr">
        <is>
          <t>Variable</t>
        </is>
      </c>
      <c r="FW912" s="19" t="inlineStr">
        <is>
          <t>Labels</t>
        </is>
      </c>
      <c r="FX912" s="5" t="inlineStr">
        <is>
          <t>Data Type</t>
        </is>
      </c>
      <c r="FY912" s="5" t="inlineStr">
        <is>
          <t>Source</t>
        </is>
      </c>
      <c r="FZ912" s="5" t="inlineStr">
        <is>
          <t>Value</t>
        </is>
      </c>
      <c r="GA912" s="5" t="inlineStr">
        <is>
          <t>Remark</t>
        </is>
      </c>
      <c r="GC912" s="5" t="inlineStr">
        <is>
          <t>SR.No</t>
        </is>
      </c>
      <c r="GD912" s="5" t="inlineStr">
        <is>
          <t>Variable</t>
        </is>
      </c>
      <c r="GE912" s="19" t="inlineStr">
        <is>
          <t>Labels</t>
        </is>
      </c>
      <c r="GF912" s="5" t="inlineStr">
        <is>
          <t>Data Type</t>
        </is>
      </c>
      <c r="GG912" s="5" t="inlineStr">
        <is>
          <t>Source</t>
        </is>
      </c>
      <c r="GH912" s="5" t="inlineStr">
        <is>
          <t>Value</t>
        </is>
      </c>
      <c r="GI912" s="5" t="inlineStr">
        <is>
          <t>Remark</t>
        </is>
      </c>
      <c r="GK912" s="5" t="inlineStr">
        <is>
          <t>SR.No</t>
        </is>
      </c>
      <c r="GL912" s="5" t="inlineStr">
        <is>
          <t>Variable</t>
        </is>
      </c>
      <c r="GM912" s="19" t="inlineStr">
        <is>
          <t>Labels</t>
        </is>
      </c>
      <c r="GN912" s="5" t="inlineStr">
        <is>
          <t>Data Type</t>
        </is>
      </c>
      <c r="GO912" s="5" t="inlineStr">
        <is>
          <t>Source</t>
        </is>
      </c>
      <c r="GP912" s="5" t="inlineStr">
        <is>
          <t>Value</t>
        </is>
      </c>
      <c r="GQ912" s="5" t="inlineStr">
        <is>
          <t>Remark</t>
        </is>
      </c>
      <c r="GS912" s="5" t="inlineStr">
        <is>
          <t>SR.No</t>
        </is>
      </c>
      <c r="GT912" s="5" t="inlineStr">
        <is>
          <t>Variable</t>
        </is>
      </c>
      <c r="GU912" s="19" t="inlineStr">
        <is>
          <t>Labels</t>
        </is>
      </c>
      <c r="GV912" s="5" t="inlineStr">
        <is>
          <t>Data Type</t>
        </is>
      </c>
      <c r="GW912" s="5" t="inlineStr">
        <is>
          <t>Source</t>
        </is>
      </c>
      <c r="GX912" s="5" t="inlineStr">
        <is>
          <t>Value</t>
        </is>
      </c>
      <c r="GY912" s="5" t="inlineStr">
        <is>
          <t>Remark</t>
        </is>
      </c>
      <c r="HA912" s="5" t="inlineStr">
        <is>
          <t>SR.No</t>
        </is>
      </c>
      <c r="HB912" s="5" t="inlineStr">
        <is>
          <t>Variable</t>
        </is>
      </c>
      <c r="HC912" s="19" t="inlineStr">
        <is>
          <t>Labels</t>
        </is>
      </c>
      <c r="HD912" s="5" t="inlineStr">
        <is>
          <t>Data Type</t>
        </is>
      </c>
      <c r="HE912" s="5" t="inlineStr">
        <is>
          <t>Source</t>
        </is>
      </c>
      <c r="HF912" s="5" t="inlineStr">
        <is>
          <t>Value</t>
        </is>
      </c>
      <c r="HG912" s="5" t="inlineStr">
        <is>
          <t>Remark</t>
        </is>
      </c>
    </row>
    <row r="913" ht="22.5" customHeight="1">
      <c r="A913" s="383" t="inlineStr">
        <is>
          <t>CIRCUIT 1</t>
        </is>
      </c>
      <c r="B913" s="684" t="n"/>
      <c r="C913" s="384" t="n"/>
      <c r="D913" s="384" t="n"/>
      <c r="E913" s="384" t="n"/>
      <c r="F913" s="384" t="n"/>
      <c r="G913" s="684" t="n"/>
      <c r="I913" s="809" t="inlineStr">
        <is>
          <t>CIRCUIT 2</t>
        </is>
      </c>
      <c r="J913" s="798" t="n"/>
      <c r="K913" s="798" t="n"/>
      <c r="L913" s="798" t="n"/>
      <c r="M913" s="798" t="n"/>
      <c r="N913" s="798" t="n"/>
      <c r="O913" s="309" t="n"/>
      <c r="Q913" s="809" t="inlineStr">
        <is>
          <t>CIRCUIT 3</t>
        </is>
      </c>
      <c r="R913" s="798" t="n"/>
      <c r="S913" s="798" t="n"/>
      <c r="T913" s="798" t="n"/>
      <c r="U913" s="798" t="n"/>
      <c r="V913" s="798" t="n"/>
      <c r="W913" s="309" t="n"/>
      <c r="Y913" s="809" t="inlineStr">
        <is>
          <t>CIRCUIT 4</t>
        </is>
      </c>
      <c r="Z913" s="798" t="n"/>
      <c r="AA913" s="798" t="n"/>
      <c r="AB913" s="798" t="n"/>
      <c r="AC913" s="798" t="n"/>
      <c r="AD913" s="798" t="n"/>
      <c r="AE913" s="309" t="n"/>
      <c r="AG913" s="809" t="inlineStr">
        <is>
          <t>CIRCUIT 5</t>
        </is>
      </c>
      <c r="AH913" s="798" t="n"/>
      <c r="AI913" s="798" t="n"/>
      <c r="AJ913" s="798" t="n"/>
      <c r="AK913" s="798" t="n"/>
      <c r="AL913" s="798" t="n"/>
      <c r="AM913" s="309" t="n"/>
      <c r="AO913" s="383" t="inlineStr">
        <is>
          <t>CIRCUIT 6</t>
        </is>
      </c>
      <c r="AP913" s="384" t="n"/>
      <c r="AQ913" s="384" t="n"/>
      <c r="AR913" s="384" t="n"/>
      <c r="AS913" s="384" t="n"/>
      <c r="AT913" s="385" t="n"/>
      <c r="AU913" s="385" t="n"/>
      <c r="AW913" s="383" t="inlineStr">
        <is>
          <t>CIRCUIT 7</t>
        </is>
      </c>
      <c r="AX913" s="384" t="n"/>
      <c r="AY913" s="384" t="n"/>
      <c r="AZ913" s="384" t="n"/>
      <c r="BA913" s="384" t="n"/>
      <c r="BB913" s="384" t="n"/>
      <c r="BC913" s="385" t="n"/>
      <c r="BE913" s="809" t="inlineStr">
        <is>
          <t>CIRCUIT 8</t>
        </is>
      </c>
      <c r="BF913" s="798" t="n"/>
      <c r="BG913" s="798" t="n"/>
      <c r="BH913" s="798" t="n"/>
      <c r="BI913" s="798" t="n"/>
      <c r="BJ913" s="798" t="n"/>
      <c r="BK913" s="309" t="n"/>
      <c r="BM913" s="383" t="inlineStr">
        <is>
          <t>CIRCUIT 9</t>
        </is>
      </c>
      <c r="BN913" s="384" t="n"/>
      <c r="BO913" s="384" t="n"/>
      <c r="BP913" s="384" t="n"/>
      <c r="BQ913" s="384" t="n"/>
      <c r="BR913" s="384" t="n"/>
      <c r="BS913" s="385" t="n"/>
      <c r="BU913" s="809" t="inlineStr">
        <is>
          <t>CIRCUIT 10</t>
        </is>
      </c>
      <c r="BV913" s="798" t="n"/>
      <c r="BW913" s="798" t="n"/>
      <c r="BX913" s="798" t="n"/>
      <c r="BY913" s="798" t="n"/>
      <c r="BZ913" s="798" t="n"/>
      <c r="CA913" s="309" t="n"/>
      <c r="CC913" s="383" t="inlineStr">
        <is>
          <t>CIRCUIT 11</t>
        </is>
      </c>
      <c r="CD913" s="384" t="n"/>
      <c r="CE913" s="384" t="n"/>
      <c r="CF913" s="384" t="n"/>
      <c r="CG913" s="384" t="n"/>
      <c r="CH913" s="384" t="n"/>
      <c r="CI913" s="385" t="n"/>
      <c r="CK913" s="383" t="inlineStr">
        <is>
          <t>CIRCUIT 12</t>
        </is>
      </c>
      <c r="CL913" s="384" t="n"/>
      <c r="CM913" s="384" t="n"/>
      <c r="CN913" s="384" t="n"/>
      <c r="CO913" s="384" t="n"/>
      <c r="CP913" s="384" t="n"/>
      <c r="CQ913" s="385" t="n"/>
      <c r="CS913" s="383" t="inlineStr">
        <is>
          <t>CIRCUIT 13</t>
        </is>
      </c>
      <c r="CT913" s="384" t="n"/>
      <c r="CU913" s="384" t="n"/>
      <c r="CV913" s="384" t="n"/>
      <c r="CW913" s="384" t="n"/>
      <c r="CX913" s="384" t="n"/>
      <c r="CY913" s="385" t="n"/>
      <c r="DA913" s="383" t="inlineStr">
        <is>
          <t>CIRCUIT 14</t>
        </is>
      </c>
      <c r="DB913" s="384" t="n"/>
      <c r="DC913" s="384" t="n"/>
      <c r="DD913" s="384" t="n"/>
      <c r="DE913" s="384" t="n"/>
      <c r="DF913" s="384" t="n"/>
      <c r="DG913" s="385" t="n"/>
      <c r="DI913" s="383" t="inlineStr">
        <is>
          <t>CIRCUIT 15</t>
        </is>
      </c>
      <c r="DJ913" s="384" t="n"/>
      <c r="DK913" s="384" t="n"/>
      <c r="DL913" s="384" t="n"/>
      <c r="DM913" s="684" t="n"/>
      <c r="DN913" s="384" t="n"/>
      <c r="DO913" s="385" t="n"/>
      <c r="DQ913" s="383" t="inlineStr">
        <is>
          <t>CIRCUIT 16</t>
        </is>
      </c>
      <c r="DR913" s="384" t="n"/>
      <c r="DS913" s="384" t="n"/>
      <c r="DT913" s="384" t="n"/>
      <c r="DU913" s="384" t="n"/>
      <c r="DV913" s="384" t="n"/>
      <c r="DW913" s="385" t="n"/>
      <c r="DY913" s="383" t="inlineStr">
        <is>
          <t>CIRCUIT 17</t>
        </is>
      </c>
      <c r="DZ913" s="384" t="n"/>
      <c r="EA913" s="384" t="n"/>
      <c r="EB913" s="384" t="n"/>
      <c r="EC913" s="384" t="n"/>
      <c r="ED913" s="384" t="n"/>
      <c r="EE913" s="385" t="n"/>
      <c r="EG913" s="383" t="inlineStr">
        <is>
          <t>CIRCUIT 18</t>
        </is>
      </c>
      <c r="EH913" s="384" t="n"/>
      <c r="EI913" s="384" t="n"/>
      <c r="EJ913" s="384" t="n"/>
      <c r="EK913" s="384" t="n"/>
      <c r="EL913" s="384" t="n"/>
      <c r="EM913" s="385" t="n"/>
      <c r="EO913" s="383" t="inlineStr">
        <is>
          <t>CIRCUIT 19</t>
        </is>
      </c>
      <c r="EP913" s="384" t="n"/>
      <c r="EQ913" s="384" t="n"/>
      <c r="ER913" s="384" t="n"/>
      <c r="ES913" s="384" t="n"/>
      <c r="ET913" s="384" t="n"/>
      <c r="EU913" s="385" t="n"/>
      <c r="EW913" s="383" t="inlineStr">
        <is>
          <t>CIRCUIT 20</t>
        </is>
      </c>
      <c r="EX913" s="384" t="n"/>
      <c r="EY913" s="384" t="n"/>
      <c r="EZ913" s="384" t="n"/>
      <c r="FA913" s="384" t="n"/>
      <c r="FB913" s="384" t="n"/>
      <c r="FC913" s="385" t="n"/>
      <c r="FE913" s="383" t="inlineStr">
        <is>
          <t>CIRCUIT 21</t>
        </is>
      </c>
      <c r="FF913" s="384" t="n"/>
      <c r="FG913" s="384" t="n"/>
      <c r="FH913" s="384" t="n"/>
      <c r="FI913" s="384" t="n"/>
      <c r="FJ913" s="384" t="n"/>
      <c r="FK913" s="385" t="n"/>
      <c r="FM913" s="383" t="inlineStr">
        <is>
          <t>CIRCUIT 22</t>
        </is>
      </c>
      <c r="FN913" s="384" t="n"/>
      <c r="FO913" s="384" t="n"/>
      <c r="FP913" s="384" t="n"/>
      <c r="FQ913" s="384" t="n"/>
      <c r="FR913" s="384" t="n"/>
      <c r="FS913" s="385" t="n"/>
      <c r="FU913" s="383" t="inlineStr">
        <is>
          <t>CIRCUIT 23</t>
        </is>
      </c>
      <c r="FV913" s="384" t="n"/>
      <c r="FW913" s="384" t="n"/>
      <c r="FX913" s="384" t="n"/>
      <c r="FY913" s="384" t="n"/>
      <c r="FZ913" s="384" t="n"/>
      <c r="GA913" s="385" t="n"/>
      <c r="GC913" s="383" t="inlineStr">
        <is>
          <t>CIRCUIT 24</t>
        </is>
      </c>
      <c r="GD913" s="384" t="n"/>
      <c r="GE913" s="384" t="n"/>
      <c r="GF913" s="384" t="n"/>
      <c r="GG913" s="384" t="n"/>
      <c r="GH913" s="384" t="n"/>
      <c r="GI913" s="385" t="n"/>
      <c r="GK913" s="383" t="inlineStr">
        <is>
          <t>CIRCUIT 25</t>
        </is>
      </c>
      <c r="GL913" s="384" t="n"/>
      <c r="GM913" s="384" t="n"/>
      <c r="GN913" s="384" t="n"/>
      <c r="GO913" s="384" t="n"/>
      <c r="GP913" s="384" t="n"/>
      <c r="GQ913" s="385" t="n"/>
      <c r="GS913" s="383" t="inlineStr">
        <is>
          <t>CIRCUIT 26</t>
        </is>
      </c>
      <c r="GT913" s="384" t="n"/>
      <c r="GU913" s="384" t="n"/>
      <c r="GV913" s="384" t="n"/>
      <c r="GW913" s="384" t="n"/>
      <c r="GX913" s="384" t="n"/>
      <c r="GY913" s="385" t="n"/>
      <c r="HA913" s="383" t="inlineStr">
        <is>
          <t>CIRCUIT 27</t>
        </is>
      </c>
      <c r="HB913" s="384" t="n"/>
      <c r="HC913" s="384" t="n"/>
      <c r="HD913" s="384" t="n"/>
      <c r="HE913" s="384" t="n"/>
      <c r="HF913" s="384" t="n"/>
      <c r="HG913" s="385" t="n"/>
    </row>
    <row r="914">
      <c r="A914" s="429" t="n">
        <v>1</v>
      </c>
      <c r="B914" s="431" t="n">
        <v>1</v>
      </c>
      <c r="C914" s="688" t="n"/>
      <c r="D914" s="431" t="inlineStr">
        <is>
          <t>Boolean</t>
        </is>
      </c>
      <c r="E914" s="429" t="n"/>
      <c r="F914" s="422">
        <f>'CIRCUIT SIM'!J4</f>
        <v/>
      </c>
      <c r="G914" s="429" t="n"/>
      <c r="H914" s="335" t="inlineStr">
        <is>
          <t> </t>
        </is>
      </c>
      <c r="I914" s="429" t="n">
        <v>1</v>
      </c>
      <c r="J914" s="431" t="n">
        <v>1</v>
      </c>
      <c r="K914" s="429" t="n"/>
      <c r="L914" s="431" t="inlineStr">
        <is>
          <t>Boolean</t>
        </is>
      </c>
      <c r="M914" s="451" t="n"/>
      <c r="N914" s="422">
        <f>'CIRCUIT SIM'!Y4</f>
        <v/>
      </c>
      <c r="Q914" s="429" t="n">
        <v>1</v>
      </c>
      <c r="R914" s="431" t="n">
        <v>1</v>
      </c>
      <c r="S914" s="429" t="n"/>
      <c r="T914" s="431" t="inlineStr">
        <is>
          <t>Boolean</t>
        </is>
      </c>
      <c r="U914" s="429" t="n"/>
      <c r="V914" s="386">
        <f>'CIRCUIT SIM'!AO4</f>
        <v/>
      </c>
      <c r="W914" s="451" t="n"/>
      <c r="Y914" s="429" t="n">
        <v>1</v>
      </c>
      <c r="Z914" s="431" t="n">
        <v>1</v>
      </c>
      <c r="AB914" s="431" t="inlineStr">
        <is>
          <t>Boolean</t>
        </is>
      </c>
      <c r="AC914" s="451" t="n"/>
      <c r="AD914" s="562">
        <f>'CIRCUIT SIM'!BB4</f>
        <v/>
      </c>
      <c r="AE914" s="451" t="n"/>
      <c r="AG914" s="429" t="n">
        <v>1</v>
      </c>
      <c r="AH914" s="431" t="n">
        <v>1</v>
      </c>
      <c r="AI914" s="429" t="n"/>
      <c r="AJ914" s="431" t="inlineStr">
        <is>
          <t>Boolean</t>
        </is>
      </c>
      <c r="AK914" s="451" t="n"/>
      <c r="AL914" s="450">
        <f>'CIRCUIT SIM'!CR4</f>
        <v/>
      </c>
      <c r="AM914" s="451" t="n"/>
      <c r="AO914" s="429" t="n">
        <v>1</v>
      </c>
      <c r="AP914" s="431" t="n">
        <v>1</v>
      </c>
      <c r="AQ914" s="429" t="n"/>
      <c r="AR914" s="431" t="inlineStr">
        <is>
          <t>Boolean</t>
        </is>
      </c>
      <c r="AS914" s="451" t="n"/>
      <c r="AT914" s="386">
        <f>'CIRCUIT SIM'!BR4</f>
        <v/>
      </c>
      <c r="AU914" s="451" t="n"/>
      <c r="AW914" s="429" t="n">
        <v>1</v>
      </c>
      <c r="AX914" s="431" t="n">
        <v>1</v>
      </c>
      <c r="AY914" s="429" t="n"/>
      <c r="AZ914" s="431" t="inlineStr">
        <is>
          <t>Boolean</t>
        </is>
      </c>
      <c r="BA914" s="451" t="n"/>
      <c r="BB914" s="451">
        <f>'CIRCUIT SIM'!CG4</f>
        <v/>
      </c>
      <c r="BC914" s="451" t="n"/>
      <c r="BE914" s="429" t="n">
        <v>1</v>
      </c>
      <c r="BF914" s="431" t="n">
        <v>1</v>
      </c>
      <c r="BG914" s="470" t="n"/>
      <c r="BH914" s="431" t="inlineStr">
        <is>
          <t>Boolean</t>
        </is>
      </c>
      <c r="BI914" s="451" t="n"/>
      <c r="BJ914" s="451">
        <f>'CIRCUIT SIM'!DH4</f>
        <v/>
      </c>
      <c r="BK914" s="451" t="inlineStr">
        <is>
          <t> </t>
        </is>
      </c>
      <c r="BM914" s="429" t="n">
        <v>1</v>
      </c>
      <c r="BN914" s="431" t="n">
        <v>1</v>
      </c>
      <c r="BO914" s="429" t="n"/>
      <c r="BP914" s="431" t="inlineStr">
        <is>
          <t>Boolean</t>
        </is>
      </c>
      <c r="BQ914" s="451" t="n"/>
      <c r="BR914" s="451">
        <f>'CIRCUIT SIM'!DT4</f>
        <v/>
      </c>
      <c r="BS914" s="451" t="n"/>
      <c r="BU914" s="429" t="n">
        <v>1</v>
      </c>
      <c r="BV914" s="431" t="n">
        <v>1</v>
      </c>
      <c r="BW914" s="429" t="n"/>
      <c r="BX914" s="431" t="inlineStr">
        <is>
          <t>Boolean</t>
        </is>
      </c>
      <c r="BY914" s="451" t="n"/>
      <c r="BZ914" s="451">
        <f>'CIRCUIT SIM'!EI4</f>
        <v/>
      </c>
      <c r="CA914" s="451" t="n"/>
      <c r="CC914" s="429" t="n">
        <v>1</v>
      </c>
      <c r="CD914" s="431" t="n">
        <v>1</v>
      </c>
      <c r="CE914" s="688" t="n"/>
      <c r="CF914" s="431" t="inlineStr">
        <is>
          <t>Boolean</t>
        </is>
      </c>
      <c r="CG914" s="451" t="n"/>
      <c r="CH914" s="562">
        <f>'CIRCUIT SIM'!LK4</f>
        <v/>
      </c>
      <c r="CI914" s="451" t="n"/>
      <c r="CK914" s="429" t="n">
        <v>1</v>
      </c>
      <c r="CL914" s="431" t="n">
        <v>1</v>
      </c>
      <c r="CM914" s="688" t="n"/>
      <c r="CN914" s="431" t="inlineStr">
        <is>
          <t>Boolean</t>
        </is>
      </c>
      <c r="CO914" s="451" t="n"/>
      <c r="CP914" s="451">
        <f>'CIRCUIT SIM'!MA4</f>
        <v/>
      </c>
      <c r="CQ914" s="451" t="n"/>
      <c r="CS914" s="429" t="n">
        <v>1</v>
      </c>
      <c r="CT914" s="431" t="n">
        <v>1</v>
      </c>
      <c r="CU914" s="688" t="n"/>
      <c r="CV914" s="431" t="inlineStr">
        <is>
          <t>Boolean</t>
        </is>
      </c>
      <c r="CW914" s="451" t="n"/>
      <c r="CX914" s="451">
        <f>'CIRCUIT SIM'!MQ4</f>
        <v/>
      </c>
      <c r="CY914" s="451" t="n"/>
      <c r="DA914" s="429" t="n">
        <v>1</v>
      </c>
      <c r="DB914" s="431" t="n">
        <v>1</v>
      </c>
      <c r="DC914" s="688" t="n"/>
      <c r="DD914" s="431" t="inlineStr">
        <is>
          <t>Boolean</t>
        </is>
      </c>
      <c r="DE914" s="451" t="n"/>
      <c r="DF914" s="451">
        <f>'CIRCUIT SIM'!EX4</f>
        <v/>
      </c>
      <c r="DG914" s="451" t="n"/>
      <c r="DI914" s="429" t="n">
        <v>1</v>
      </c>
      <c r="DJ914" s="431" t="n">
        <v>1</v>
      </c>
      <c r="DK914" s="688" t="n"/>
      <c r="DL914" s="431" t="inlineStr">
        <is>
          <t>Boolean</t>
        </is>
      </c>
      <c r="DM914" s="429" t="n"/>
      <c r="DN914" s="451">
        <f>'CIRCUIT SIM'!FN4</f>
        <v/>
      </c>
      <c r="DO914" s="451" t="n"/>
      <c r="DQ914" s="429" t="n">
        <v>1</v>
      </c>
      <c r="DR914" s="431" t="n">
        <v>1</v>
      </c>
      <c r="DS914" s="688" t="n"/>
      <c r="DT914" s="431" t="inlineStr">
        <is>
          <t>Boolean</t>
        </is>
      </c>
      <c r="DU914" s="451" t="n"/>
      <c r="DV914" s="451">
        <f>'CIRCUIT SIM'!HT4</f>
        <v/>
      </c>
      <c r="DW914" s="451" t="n"/>
      <c r="DY914" s="429" t="n">
        <v>1</v>
      </c>
      <c r="DZ914" s="431" t="n">
        <v>1</v>
      </c>
      <c r="EA914" s="688" t="n"/>
      <c r="EB914" s="431" t="inlineStr">
        <is>
          <t>Boolean</t>
        </is>
      </c>
      <c r="EC914" s="451" t="n"/>
      <c r="ED914" s="335">
        <f>'CIRCUIT SIM'!GO4</f>
        <v/>
      </c>
      <c r="EE914" s="451" t="n"/>
      <c r="EG914" s="429" t="n">
        <v>1</v>
      </c>
      <c r="EH914" s="431" t="n">
        <v>1</v>
      </c>
      <c r="EI914" s="688" t="n"/>
      <c r="EJ914" s="431" t="inlineStr">
        <is>
          <t>Boolean</t>
        </is>
      </c>
      <c r="EK914" s="451" t="n"/>
      <c r="EL914" s="451">
        <f>'CIRCUIT SIM'!HD4</f>
        <v/>
      </c>
      <c r="EM914" s="451" t="n"/>
      <c r="EO914" s="429" t="n">
        <v>1</v>
      </c>
      <c r="EP914" s="431" t="n">
        <v>1</v>
      </c>
      <c r="EQ914" s="688" t="n"/>
      <c r="ER914" s="431" t="inlineStr">
        <is>
          <t>Boolean</t>
        </is>
      </c>
      <c r="ES914" s="451" t="n"/>
      <c r="ET914" s="451">
        <f>'CIRCUIT SIM'!HT4</f>
        <v/>
      </c>
      <c r="EU914" s="451" t="n"/>
      <c r="EW914" s="429" t="n">
        <v>1</v>
      </c>
      <c r="EX914" s="431" t="n">
        <v>1</v>
      </c>
      <c r="EY914" s="688" t="n"/>
      <c r="EZ914" s="431" t="inlineStr">
        <is>
          <t>Boolean</t>
        </is>
      </c>
      <c r="FA914" s="451" t="n"/>
      <c r="FB914" s="451">
        <f>'CIRCUIT SIM'!II4</f>
        <v/>
      </c>
      <c r="FC914" s="451" t="n"/>
      <c r="FE914" s="429" t="n">
        <v>1</v>
      </c>
      <c r="FF914" s="431" t="n">
        <v>1</v>
      </c>
      <c r="FG914" s="688" t="n"/>
      <c r="FH914" s="431" t="inlineStr">
        <is>
          <t>Boolean</t>
        </is>
      </c>
      <c r="FI914" s="451" t="n"/>
      <c r="FJ914" s="451">
        <f>'CIRCUIT SIM'!IU4</f>
        <v/>
      </c>
      <c r="FK914" s="451" t="n"/>
      <c r="FM914" s="429" t="n">
        <v>1</v>
      </c>
      <c r="FN914" s="431" t="n">
        <v>1</v>
      </c>
      <c r="FO914" s="688" t="n"/>
      <c r="FP914" s="431" t="inlineStr">
        <is>
          <t>Boolean</t>
        </is>
      </c>
      <c r="FQ914" s="451" t="n"/>
      <c r="FR914" s="451">
        <f>'CIRCUIT SIM'!KY4</f>
        <v/>
      </c>
      <c r="FS914" s="451" t="n"/>
      <c r="FU914" s="429" t="n">
        <v>1</v>
      </c>
      <c r="FV914" s="431" t="n">
        <v>1</v>
      </c>
      <c r="FW914" s="688" t="n"/>
      <c r="FX914" s="431" t="inlineStr">
        <is>
          <t>Boolean</t>
        </is>
      </c>
      <c r="FY914" s="451" t="n"/>
      <c r="FZ914" s="562">
        <f>'CIRCUIT SIM'!JG4</f>
        <v/>
      </c>
      <c r="GA914" s="451" t="n"/>
      <c r="GC914" s="429" t="n">
        <v>1</v>
      </c>
      <c r="GD914" s="431" t="n">
        <v>1</v>
      </c>
      <c r="GE914" s="688" t="n"/>
      <c r="GF914" s="431" t="inlineStr">
        <is>
          <t>Boolean</t>
        </is>
      </c>
      <c r="GG914" s="451" t="n"/>
      <c r="GH914" s="451">
        <f>'CIRCUIT SIM'!JW4</f>
        <v/>
      </c>
      <c r="GI914" s="451" t="n"/>
      <c r="GK914" s="429" t="n">
        <v>1</v>
      </c>
      <c r="GL914" s="431" t="n">
        <v>1</v>
      </c>
      <c r="GM914" s="688" t="n"/>
      <c r="GN914" s="431" t="inlineStr">
        <is>
          <t>Boolean</t>
        </is>
      </c>
      <c r="GO914" s="451" t="n"/>
      <c r="GP914" s="451">
        <f>'CIRCUIT SIM'!KI4</f>
        <v/>
      </c>
      <c r="GQ914" s="451" t="n"/>
      <c r="GS914" s="429" t="n">
        <v>1</v>
      </c>
      <c r="GT914" s="431" t="n">
        <v>1</v>
      </c>
      <c r="GU914" s="688" t="n"/>
      <c r="GV914" s="431" t="inlineStr">
        <is>
          <t>Boolean</t>
        </is>
      </c>
      <c r="GW914" s="451" t="n"/>
      <c r="GX914" s="451">
        <f>'CIRCUIT SIM'!KY4</f>
        <v/>
      </c>
      <c r="GY914" s="451" t="n"/>
      <c r="HA914" s="429" t="n">
        <v>1</v>
      </c>
      <c r="HB914" s="431" t="n">
        <v>1</v>
      </c>
      <c r="HC914" s="688" t="n"/>
      <c r="HD914" s="431" t="n"/>
      <c r="HE914" s="451" t="n"/>
      <c r="HF914" s="451" t="n"/>
      <c r="HG914" s="451" t="n"/>
    </row>
    <row r="915">
      <c r="A915" s="429" t="n">
        <v>2</v>
      </c>
      <c r="B915" s="431" t="n">
        <v>2</v>
      </c>
      <c r="C915" s="335" t="n"/>
      <c r="D915" s="431" t="inlineStr">
        <is>
          <t>Boolean</t>
        </is>
      </c>
      <c r="E915" s="429" t="n"/>
      <c r="F915" s="422">
        <f>'CIRCUIT SIM'!J5</f>
        <v/>
      </c>
      <c r="G915" s="429" t="n"/>
      <c r="I915" s="429" t="n">
        <v>2</v>
      </c>
      <c r="J915" s="431" t="n">
        <v>2</v>
      </c>
      <c r="K915" s="429" t="n"/>
      <c r="L915" s="431" t="inlineStr">
        <is>
          <t>Boolean</t>
        </is>
      </c>
      <c r="M915" s="451" t="n"/>
      <c r="N915" s="422">
        <f>'CIRCUIT SIM'!Y5</f>
        <v/>
      </c>
      <c r="O915" s="451" t="n"/>
      <c r="Q915" s="429" t="n">
        <v>2</v>
      </c>
      <c r="R915" s="431" t="n">
        <v>2</v>
      </c>
      <c r="S915" s="429" t="n"/>
      <c r="T915" s="431" t="inlineStr">
        <is>
          <t>Boolean</t>
        </is>
      </c>
      <c r="U915" s="429" t="n"/>
      <c r="V915" s="386">
        <f>'CIRCUIT SIM'!AO5</f>
        <v/>
      </c>
      <c r="W915" s="451" t="inlineStr">
        <is>
          <t> </t>
        </is>
      </c>
      <c r="Y915" s="429" t="n">
        <v>2</v>
      </c>
      <c r="Z915" s="431" t="n">
        <v>2</v>
      </c>
      <c r="AB915" s="431" t="inlineStr">
        <is>
          <t>Boolean</t>
        </is>
      </c>
      <c r="AC915" s="451" t="n"/>
      <c r="AD915" s="562">
        <f>'CIRCUIT SIM'!BB5</f>
        <v/>
      </c>
      <c r="AE915" s="451" t="n"/>
      <c r="AG915" s="429" t="n">
        <v>2</v>
      </c>
      <c r="AH915" s="431" t="n">
        <v>2</v>
      </c>
      <c r="AI915" s="429" t="n"/>
      <c r="AJ915" s="431" t="inlineStr">
        <is>
          <t>Boolean</t>
        </is>
      </c>
      <c r="AK915" s="451" t="n"/>
      <c r="AL915" s="450">
        <f>'CIRCUIT SIM'!CR5</f>
        <v/>
      </c>
      <c r="AM915" s="451" t="n"/>
      <c r="AO915" s="429" t="n">
        <v>2</v>
      </c>
      <c r="AP915" s="431" t="n">
        <v>2</v>
      </c>
      <c r="AQ915" s="429" t="n"/>
      <c r="AR915" s="431" t="inlineStr">
        <is>
          <t>Boolean</t>
        </is>
      </c>
      <c r="AS915" s="451" t="n"/>
      <c r="AT915" s="386">
        <f>'CIRCUIT SIM'!BR5</f>
        <v/>
      </c>
      <c r="AU915" s="451" t="n"/>
      <c r="AW915" s="429" t="n">
        <v>2</v>
      </c>
      <c r="AX915" s="431" t="n">
        <v>2</v>
      </c>
      <c r="AY915" s="429" t="n"/>
      <c r="AZ915" s="431" t="inlineStr">
        <is>
          <t>Boolean</t>
        </is>
      </c>
      <c r="BA915" s="451" t="n"/>
      <c r="BB915" s="451">
        <f>'CIRCUIT SIM'!CG5</f>
        <v/>
      </c>
      <c r="BC915" s="451" t="n"/>
      <c r="BE915" s="429" t="n">
        <v>2</v>
      </c>
      <c r="BF915" s="431" t="n">
        <v>2</v>
      </c>
      <c r="BG915" s="563" t="n"/>
      <c r="BH915" s="431" t="inlineStr">
        <is>
          <t>Boolean</t>
        </is>
      </c>
      <c r="BI915" s="451" t="n"/>
      <c r="BJ915" s="451">
        <f>'CIRCUIT SIM'!DH5</f>
        <v/>
      </c>
      <c r="BK915" s="451" t="inlineStr">
        <is>
          <t> </t>
        </is>
      </c>
      <c r="BM915" s="429" t="n">
        <v>2</v>
      </c>
      <c r="BN915" s="431" t="n">
        <v>2</v>
      </c>
      <c r="BO915" s="429" t="n"/>
      <c r="BP915" s="431" t="inlineStr">
        <is>
          <t>Boolean</t>
        </is>
      </c>
      <c r="BQ915" s="451" t="n"/>
      <c r="BR915" s="451">
        <f>'CIRCUIT SIM'!DT5</f>
        <v/>
      </c>
      <c r="BS915" s="451" t="n"/>
      <c r="BU915" s="429" t="n">
        <v>2</v>
      </c>
      <c r="BV915" s="431" t="n">
        <v>2</v>
      </c>
      <c r="BW915" s="429" t="n"/>
      <c r="BX915" s="431" t="inlineStr">
        <is>
          <t>Boolean</t>
        </is>
      </c>
      <c r="BY915" s="451" t="n"/>
      <c r="BZ915" s="451">
        <f>'CIRCUIT SIM'!EI5</f>
        <v/>
      </c>
      <c r="CA915" s="451" t="n"/>
      <c r="CC915" s="429" t="n">
        <v>2</v>
      </c>
      <c r="CD915" s="431" t="n">
        <v>2</v>
      </c>
      <c r="CE915" s="688" t="n"/>
      <c r="CF915" s="431" t="inlineStr">
        <is>
          <t>Boolean</t>
        </is>
      </c>
      <c r="CG915" s="451" t="n"/>
      <c r="CH915" s="562">
        <f>'CIRCUIT SIM'!LK5</f>
        <v/>
      </c>
      <c r="CI915" s="451" t="n"/>
      <c r="CK915" s="429" t="n">
        <v>2</v>
      </c>
      <c r="CL915" s="431" t="n">
        <v>2</v>
      </c>
      <c r="CM915" s="688" t="n"/>
      <c r="CN915" s="431" t="inlineStr">
        <is>
          <t>Boolean</t>
        </is>
      </c>
      <c r="CO915" s="451" t="n"/>
      <c r="CP915" s="451">
        <f>'CIRCUIT SIM'!MA5</f>
        <v/>
      </c>
      <c r="CQ915" s="451" t="n"/>
      <c r="CS915" s="429" t="n">
        <v>2</v>
      </c>
      <c r="CT915" s="431" t="n">
        <v>2</v>
      </c>
      <c r="CU915" s="688" t="n"/>
      <c r="CV915" s="431" t="inlineStr">
        <is>
          <t>Boolean</t>
        </is>
      </c>
      <c r="CW915" s="451" t="n"/>
      <c r="CX915" s="451">
        <f>'CIRCUIT SIM'!MQ5</f>
        <v/>
      </c>
      <c r="CY915" s="451" t="n"/>
      <c r="DA915" s="429" t="n">
        <v>2</v>
      </c>
      <c r="DB915" s="431" t="n">
        <v>2</v>
      </c>
      <c r="DC915" s="688" t="n"/>
      <c r="DD915" s="431" t="inlineStr">
        <is>
          <t>Boolean</t>
        </is>
      </c>
      <c r="DE915" s="451" t="n"/>
      <c r="DF915" s="451">
        <f>'CIRCUIT SIM'!EX5</f>
        <v/>
      </c>
      <c r="DG915" s="451" t="n"/>
      <c r="DI915" s="429" t="n">
        <v>2</v>
      </c>
      <c r="DJ915" s="431" t="n">
        <v>2</v>
      </c>
      <c r="DK915" s="688" t="n"/>
      <c r="DL915" s="431" t="inlineStr">
        <is>
          <t>Boolean</t>
        </is>
      </c>
      <c r="DM915" s="429" t="n"/>
      <c r="DN915" s="451">
        <f>'CIRCUIT SIM'!FN5</f>
        <v/>
      </c>
      <c r="DO915" s="451" t="n"/>
      <c r="DQ915" s="429" t="n">
        <v>2</v>
      </c>
      <c r="DR915" s="431" t="n">
        <v>2</v>
      </c>
      <c r="DS915" s="688" t="n"/>
      <c r="DT915" s="431" t="inlineStr">
        <is>
          <t>Boolean</t>
        </is>
      </c>
      <c r="DU915" s="451" t="n"/>
      <c r="DV915" s="451">
        <f>'CIRCUIT SIM'!HT5</f>
        <v/>
      </c>
      <c r="DW915" s="451" t="n"/>
      <c r="DY915" s="429" t="n">
        <v>2</v>
      </c>
      <c r="DZ915" s="431" t="n">
        <v>2</v>
      </c>
      <c r="EA915" s="688" t="n"/>
      <c r="EB915" s="431" t="inlineStr">
        <is>
          <t>Boolean</t>
        </is>
      </c>
      <c r="EC915" s="451" t="n"/>
      <c r="ED915" s="335">
        <f>'CIRCUIT SIM'!GO5</f>
        <v/>
      </c>
      <c r="EE915" s="451" t="n"/>
      <c r="EG915" s="429" t="n">
        <v>2</v>
      </c>
      <c r="EH915" s="431" t="n">
        <v>2</v>
      </c>
      <c r="EI915" s="688" t="n"/>
      <c r="EJ915" s="431" t="inlineStr">
        <is>
          <t>Boolean</t>
        </is>
      </c>
      <c r="EK915" s="451" t="n"/>
      <c r="EL915" s="451">
        <f>'CIRCUIT SIM'!HD5</f>
        <v/>
      </c>
      <c r="EM915" s="451" t="n"/>
      <c r="EO915" s="429" t="n">
        <v>2</v>
      </c>
      <c r="EP915" s="431" t="n">
        <v>2</v>
      </c>
      <c r="EQ915" s="688" t="n"/>
      <c r="ER915" s="431" t="inlineStr">
        <is>
          <t>Boolean</t>
        </is>
      </c>
      <c r="ES915" s="451" t="n"/>
      <c r="ET915" s="451">
        <f>'CIRCUIT SIM'!HT5</f>
        <v/>
      </c>
      <c r="EU915" s="451" t="n"/>
      <c r="EW915" s="429" t="n">
        <v>2</v>
      </c>
      <c r="EX915" s="431" t="n">
        <v>2</v>
      </c>
      <c r="EY915" s="688" t="n"/>
      <c r="EZ915" s="431" t="inlineStr">
        <is>
          <t>Boolean</t>
        </is>
      </c>
      <c r="FA915" s="451" t="n"/>
      <c r="FB915" s="451">
        <f>'CIRCUIT SIM'!II5</f>
        <v/>
      </c>
      <c r="FC915" s="451" t="n"/>
      <c r="FE915" s="429" t="n">
        <v>2</v>
      </c>
      <c r="FF915" s="431" t="n">
        <v>2</v>
      </c>
      <c r="FG915" s="688" t="n"/>
      <c r="FH915" s="431" t="inlineStr">
        <is>
          <t>Boolean</t>
        </is>
      </c>
      <c r="FI915" s="451" t="n"/>
      <c r="FJ915" s="451">
        <f>'CIRCUIT SIM'!IU5</f>
        <v/>
      </c>
      <c r="FK915" s="451" t="n"/>
      <c r="FM915" s="429" t="n">
        <v>2</v>
      </c>
      <c r="FN915" s="431" t="n">
        <v>2</v>
      </c>
      <c r="FO915" s="688" t="n"/>
      <c r="FP915" s="431" t="inlineStr">
        <is>
          <t>Boolean</t>
        </is>
      </c>
      <c r="FQ915" s="451" t="n"/>
      <c r="FR915" s="451">
        <f>'CIRCUIT SIM'!KY5</f>
        <v/>
      </c>
      <c r="FS915" s="451" t="n"/>
      <c r="FU915" s="429" t="n">
        <v>2</v>
      </c>
      <c r="FV915" s="431" t="n">
        <v>2</v>
      </c>
      <c r="FW915" s="688" t="n"/>
      <c r="FX915" s="431" t="inlineStr">
        <is>
          <t>Boolean</t>
        </is>
      </c>
      <c r="FY915" s="451" t="n"/>
      <c r="FZ915" s="562">
        <f>'CIRCUIT SIM'!JG5</f>
        <v/>
      </c>
      <c r="GA915" s="451" t="n"/>
      <c r="GC915" s="429" t="n">
        <v>2</v>
      </c>
      <c r="GD915" s="431" t="n">
        <v>2</v>
      </c>
      <c r="GE915" s="688" t="n"/>
      <c r="GF915" s="431" t="inlineStr">
        <is>
          <t>Boolean</t>
        </is>
      </c>
      <c r="GG915" s="451" t="n"/>
      <c r="GH915" s="451">
        <f>'CIRCUIT SIM'!JW5</f>
        <v/>
      </c>
      <c r="GI915" s="451" t="n"/>
      <c r="GK915" s="429" t="n">
        <v>2</v>
      </c>
      <c r="GL915" s="431" t="n">
        <v>2</v>
      </c>
      <c r="GM915" s="688" t="n"/>
      <c r="GN915" s="431" t="inlineStr">
        <is>
          <t>Boolean</t>
        </is>
      </c>
      <c r="GO915" s="451" t="n"/>
      <c r="GP915" s="451">
        <f>'CIRCUIT SIM'!KI5</f>
        <v/>
      </c>
      <c r="GQ915" s="451" t="n"/>
      <c r="GS915" s="429" t="n">
        <v>2</v>
      </c>
      <c r="GT915" s="431" t="n">
        <v>2</v>
      </c>
      <c r="GU915" s="688" t="n"/>
      <c r="GV915" s="431" t="inlineStr">
        <is>
          <t>Boolean</t>
        </is>
      </c>
      <c r="GW915" s="451" t="n"/>
      <c r="GX915" s="451">
        <f>'CIRCUIT SIM'!KY5</f>
        <v/>
      </c>
      <c r="GY915" s="451" t="n"/>
      <c r="HA915" s="429" t="n">
        <v>2</v>
      </c>
      <c r="HB915" s="431" t="n">
        <v>2</v>
      </c>
      <c r="HC915" s="688" t="n"/>
      <c r="HD915" s="431" t="n"/>
      <c r="HE915" s="451" t="n"/>
      <c r="HF915" s="451" t="n"/>
      <c r="HG915" s="451" t="n"/>
    </row>
    <row r="916">
      <c r="A916" s="429" t="n">
        <v>3</v>
      </c>
      <c r="B916" s="431" t="n">
        <v>3</v>
      </c>
      <c r="C916" s="335" t="n"/>
      <c r="D916" s="431" t="inlineStr">
        <is>
          <t>Boolean</t>
        </is>
      </c>
      <c r="E916" s="429" t="n"/>
      <c r="F916" s="422">
        <f>'CIRCUIT SIM'!J6</f>
        <v/>
      </c>
      <c r="G916" s="429" t="n"/>
      <c r="I916" s="429" t="n">
        <v>3</v>
      </c>
      <c r="J916" s="431" t="n">
        <v>3</v>
      </c>
      <c r="K916" s="429" t="n"/>
      <c r="L916" s="431" t="inlineStr">
        <is>
          <t>Boolean</t>
        </is>
      </c>
      <c r="M916" s="451" t="n"/>
      <c r="N916" s="422">
        <f>'CIRCUIT SIM'!Y6</f>
        <v/>
      </c>
      <c r="O916" s="451" t="n"/>
      <c r="Q916" s="429" t="n">
        <v>3</v>
      </c>
      <c r="R916" s="431" t="n">
        <v>3</v>
      </c>
      <c r="S916" s="429" t="n"/>
      <c r="T916" s="431" t="inlineStr">
        <is>
          <t>Boolean</t>
        </is>
      </c>
      <c r="U916" s="429" t="n"/>
      <c r="V916" s="386">
        <f>'CIRCUIT SIM'!AO6</f>
        <v/>
      </c>
      <c r="W916" s="451" t="n"/>
      <c r="Y916" s="429" t="n">
        <v>3</v>
      </c>
      <c r="Z916" s="431" t="n">
        <v>3</v>
      </c>
      <c r="AB916" s="431" t="inlineStr">
        <is>
          <t>Boolean</t>
        </is>
      </c>
      <c r="AC916" s="451" t="n"/>
      <c r="AD916" s="562">
        <f>'CIRCUIT SIM'!BB6</f>
        <v/>
      </c>
      <c r="AE916" s="451" t="n"/>
      <c r="AG916" s="429" t="n">
        <v>3</v>
      </c>
      <c r="AH916" s="431" t="n">
        <v>3</v>
      </c>
      <c r="AI916" s="429" t="n"/>
      <c r="AJ916" s="431" t="inlineStr">
        <is>
          <t>Boolean</t>
        </is>
      </c>
      <c r="AK916" s="451" t="n"/>
      <c r="AL916" s="450">
        <f>'CIRCUIT SIM'!CR6</f>
        <v/>
      </c>
      <c r="AM916" s="451" t="n"/>
      <c r="AO916" s="429" t="n">
        <v>3</v>
      </c>
      <c r="AP916" s="431" t="n">
        <v>3</v>
      </c>
      <c r="AQ916" s="429" t="n"/>
      <c r="AR916" s="431" t="inlineStr">
        <is>
          <t>Boolean</t>
        </is>
      </c>
      <c r="AS916" s="451" t="n"/>
      <c r="AT916" s="386">
        <f>'CIRCUIT SIM'!BR6</f>
        <v/>
      </c>
      <c r="AU916" s="451" t="n"/>
      <c r="AW916" s="429" t="n">
        <v>3</v>
      </c>
      <c r="AX916" s="431" t="n">
        <v>3</v>
      </c>
      <c r="AY916" s="429" t="n"/>
      <c r="AZ916" s="431" t="inlineStr">
        <is>
          <t>Boolean</t>
        </is>
      </c>
      <c r="BA916" s="451" t="n"/>
      <c r="BB916" s="451">
        <f>'CIRCUIT SIM'!CG6</f>
        <v/>
      </c>
      <c r="BC916" s="451" t="n"/>
      <c r="BE916" s="429" t="n">
        <v>3</v>
      </c>
      <c r="BF916" s="431" t="n">
        <v>3</v>
      </c>
      <c r="BG916" s="563" t="n"/>
      <c r="BH916" s="431" t="inlineStr">
        <is>
          <t>Boolean</t>
        </is>
      </c>
      <c r="BI916" s="451" t="n"/>
      <c r="BJ916" s="451">
        <f>'CIRCUIT SIM'!DH6</f>
        <v/>
      </c>
      <c r="BK916" s="451" t="n"/>
      <c r="BM916" s="429" t="n">
        <v>3</v>
      </c>
      <c r="BN916" s="431" t="n">
        <v>3</v>
      </c>
      <c r="BO916" s="429" t="n"/>
      <c r="BP916" s="431" t="inlineStr">
        <is>
          <t>Boolean</t>
        </is>
      </c>
      <c r="BQ916" s="451" t="n"/>
      <c r="BR916" s="451">
        <f>'CIRCUIT SIM'!DT6</f>
        <v/>
      </c>
      <c r="BS916" s="451" t="n"/>
      <c r="BU916" s="429" t="n">
        <v>3</v>
      </c>
      <c r="BV916" s="431" t="n">
        <v>3</v>
      </c>
      <c r="BW916" s="429" t="n"/>
      <c r="BX916" s="431" t="inlineStr">
        <is>
          <t>Boolean</t>
        </is>
      </c>
      <c r="BY916" s="451" t="n"/>
      <c r="BZ916" s="451">
        <f>'CIRCUIT SIM'!EI6</f>
        <v/>
      </c>
      <c r="CA916" s="451" t="n"/>
      <c r="CC916" s="429" t="n">
        <v>3</v>
      </c>
      <c r="CD916" s="431" t="n">
        <v>3</v>
      </c>
      <c r="CE916" s="688" t="n"/>
      <c r="CF916" s="431" t="inlineStr">
        <is>
          <t>Boolean</t>
        </is>
      </c>
      <c r="CG916" s="451" t="n"/>
      <c r="CH916" s="562">
        <f>'CIRCUIT SIM'!LK6</f>
        <v/>
      </c>
      <c r="CI916" s="451" t="n"/>
      <c r="CK916" s="429" t="n">
        <v>3</v>
      </c>
      <c r="CL916" s="431" t="n">
        <v>3</v>
      </c>
      <c r="CM916" s="688" t="n"/>
      <c r="CN916" s="431" t="inlineStr">
        <is>
          <t>Boolean</t>
        </is>
      </c>
      <c r="CO916" s="451" t="n"/>
      <c r="CP916" s="451">
        <f>'CIRCUIT SIM'!MA6</f>
        <v/>
      </c>
      <c r="CQ916" s="451" t="n"/>
      <c r="CS916" s="429" t="n">
        <v>3</v>
      </c>
      <c r="CT916" s="431" t="n">
        <v>3</v>
      </c>
      <c r="CU916" s="688" t="n"/>
      <c r="CV916" s="431" t="inlineStr">
        <is>
          <t>Boolean</t>
        </is>
      </c>
      <c r="CW916" s="451" t="n"/>
      <c r="CX916" s="451">
        <f>'CIRCUIT SIM'!MQ6</f>
        <v/>
      </c>
      <c r="CY916" s="451" t="n"/>
      <c r="DA916" s="429" t="n">
        <v>3</v>
      </c>
      <c r="DB916" s="431" t="n">
        <v>3</v>
      </c>
      <c r="DC916" s="688" t="n"/>
      <c r="DD916" s="431" t="inlineStr">
        <is>
          <t>Boolean</t>
        </is>
      </c>
      <c r="DE916" s="451" t="n"/>
      <c r="DF916" s="451">
        <f>'CIRCUIT SIM'!EX6</f>
        <v/>
      </c>
      <c r="DG916" s="451" t="n"/>
      <c r="DI916" s="429" t="n">
        <v>3</v>
      </c>
      <c r="DJ916" s="431" t="n">
        <v>3</v>
      </c>
      <c r="DK916" s="688" t="n"/>
      <c r="DL916" s="431" t="inlineStr">
        <is>
          <t>Boolean</t>
        </is>
      </c>
      <c r="DM916" s="429" t="n"/>
      <c r="DN916" s="451">
        <f>'CIRCUIT SIM'!FN6</f>
        <v/>
      </c>
      <c r="DO916" s="451" t="n"/>
      <c r="DQ916" s="429" t="n">
        <v>3</v>
      </c>
      <c r="DR916" s="431" t="n">
        <v>3</v>
      </c>
      <c r="DS916" s="688" t="n"/>
      <c r="DT916" s="431" t="inlineStr">
        <is>
          <t>Boolean</t>
        </is>
      </c>
      <c r="DU916" s="451" t="n"/>
      <c r="DV916" s="451">
        <f>'CIRCUIT SIM'!HT6</f>
        <v/>
      </c>
      <c r="DW916" s="451" t="n"/>
      <c r="DY916" s="429" t="n">
        <v>3</v>
      </c>
      <c r="DZ916" s="431" t="n">
        <v>3</v>
      </c>
      <c r="EA916" s="688" t="n"/>
      <c r="EB916" s="431" t="inlineStr">
        <is>
          <t>Boolean</t>
        </is>
      </c>
      <c r="EC916" s="451" t="n"/>
      <c r="ED916" s="335">
        <f>'CIRCUIT SIM'!GO6</f>
        <v/>
      </c>
      <c r="EE916" s="451" t="n"/>
      <c r="EG916" s="429" t="n">
        <v>3</v>
      </c>
      <c r="EH916" s="431" t="n">
        <v>3</v>
      </c>
      <c r="EI916" s="688" t="n"/>
      <c r="EJ916" s="431" t="inlineStr">
        <is>
          <t>Boolean</t>
        </is>
      </c>
      <c r="EK916" s="451" t="n"/>
      <c r="EL916" s="451">
        <f>'CIRCUIT SIM'!HD6</f>
        <v/>
      </c>
      <c r="EM916" s="451" t="n"/>
      <c r="EO916" s="429" t="n">
        <v>3</v>
      </c>
      <c r="EP916" s="431" t="n">
        <v>3</v>
      </c>
      <c r="EQ916" s="688" t="n"/>
      <c r="ER916" s="431" t="inlineStr">
        <is>
          <t>Boolean</t>
        </is>
      </c>
      <c r="ES916" s="451" t="n"/>
      <c r="ET916" s="451">
        <f>'CIRCUIT SIM'!HT6</f>
        <v/>
      </c>
      <c r="EU916" s="451" t="n"/>
      <c r="EW916" s="429" t="n">
        <v>3</v>
      </c>
      <c r="EX916" s="431" t="n">
        <v>3</v>
      </c>
      <c r="EY916" s="688" t="n"/>
      <c r="EZ916" s="431" t="inlineStr">
        <is>
          <t>Boolean</t>
        </is>
      </c>
      <c r="FA916" s="451" t="n"/>
      <c r="FB916" s="451">
        <f>'CIRCUIT SIM'!II6</f>
        <v/>
      </c>
      <c r="FC916" s="451" t="n"/>
      <c r="FE916" s="429" t="n">
        <v>3</v>
      </c>
      <c r="FF916" s="431" t="n">
        <v>3</v>
      </c>
      <c r="FG916" s="688" t="n"/>
      <c r="FH916" s="431" t="inlineStr">
        <is>
          <t>Boolean</t>
        </is>
      </c>
      <c r="FI916" s="451" t="n"/>
      <c r="FJ916" s="451">
        <f>'CIRCUIT SIM'!IU6</f>
        <v/>
      </c>
      <c r="FK916" s="451" t="n"/>
      <c r="FM916" s="429" t="n">
        <v>3</v>
      </c>
      <c r="FN916" s="431" t="n">
        <v>3</v>
      </c>
      <c r="FO916" s="688" t="n"/>
      <c r="FP916" s="431" t="inlineStr">
        <is>
          <t>Boolean</t>
        </is>
      </c>
      <c r="FQ916" s="451" t="n"/>
      <c r="FR916" s="451">
        <f>'CIRCUIT SIM'!KY6</f>
        <v/>
      </c>
      <c r="FS916" s="451" t="n"/>
      <c r="FU916" s="429" t="n">
        <v>3</v>
      </c>
      <c r="FV916" s="431" t="n">
        <v>3</v>
      </c>
      <c r="FW916" s="688" t="n"/>
      <c r="FX916" s="431" t="inlineStr">
        <is>
          <t>Boolean</t>
        </is>
      </c>
      <c r="FY916" s="451" t="n"/>
      <c r="FZ916" s="562">
        <f>'CIRCUIT SIM'!JG6</f>
        <v/>
      </c>
      <c r="GA916" s="451" t="n"/>
      <c r="GC916" s="429" t="n">
        <v>3</v>
      </c>
      <c r="GD916" s="431" t="n">
        <v>3</v>
      </c>
      <c r="GE916" s="688" t="n"/>
      <c r="GF916" s="431" t="inlineStr">
        <is>
          <t>Boolean</t>
        </is>
      </c>
      <c r="GG916" s="451" t="n"/>
      <c r="GH916" s="451">
        <f>'CIRCUIT SIM'!JW6</f>
        <v/>
      </c>
      <c r="GI916" s="451" t="n"/>
      <c r="GK916" s="429" t="n">
        <v>3</v>
      </c>
      <c r="GL916" s="431" t="n">
        <v>3</v>
      </c>
      <c r="GM916" s="688" t="n"/>
      <c r="GN916" s="431" t="inlineStr">
        <is>
          <t>Boolean</t>
        </is>
      </c>
      <c r="GO916" s="451" t="n"/>
      <c r="GP916" s="451">
        <f>'CIRCUIT SIM'!KI6</f>
        <v/>
      </c>
      <c r="GQ916" s="451" t="n"/>
      <c r="GS916" s="429" t="n">
        <v>3</v>
      </c>
      <c r="GT916" s="431" t="n">
        <v>3</v>
      </c>
      <c r="GU916" s="688" t="n"/>
      <c r="GV916" s="431" t="inlineStr">
        <is>
          <t>Boolean</t>
        </is>
      </c>
      <c r="GW916" s="451" t="n"/>
      <c r="GX916" s="451">
        <f>'CIRCUIT SIM'!KY6</f>
        <v/>
      </c>
      <c r="GY916" s="451" t="n"/>
      <c r="HA916" s="429" t="n">
        <v>3</v>
      </c>
      <c r="HB916" s="431" t="n">
        <v>3</v>
      </c>
      <c r="HC916" s="688" t="n"/>
      <c r="HD916" s="431" t="n"/>
      <c r="HE916" s="451" t="n"/>
      <c r="HF916" s="451" t="n"/>
      <c r="HG916" s="451" t="n"/>
    </row>
    <row r="917">
      <c r="A917" s="429" t="n">
        <v>4</v>
      </c>
      <c r="B917" s="431" t="n">
        <v>4</v>
      </c>
      <c r="C917" s="688" t="n"/>
      <c r="D917" s="431" t="inlineStr">
        <is>
          <t>Boolean</t>
        </is>
      </c>
      <c r="E917" s="429" t="n"/>
      <c r="F917" s="422">
        <f>'CIRCUIT SIM'!J7</f>
        <v/>
      </c>
      <c r="G917" s="429" t="n"/>
      <c r="I917" s="429" t="n">
        <v>4</v>
      </c>
      <c r="J917" s="431" t="n">
        <v>4</v>
      </c>
      <c r="K917" s="429" t="n"/>
      <c r="L917" s="431" t="inlineStr">
        <is>
          <t>Boolean</t>
        </is>
      </c>
      <c r="M917" s="451" t="n"/>
      <c r="N917" s="422">
        <f>'CIRCUIT SIM'!Y7</f>
        <v/>
      </c>
      <c r="O917" s="451" t="n"/>
      <c r="Q917" s="429" t="n">
        <v>4</v>
      </c>
      <c r="R917" s="431" t="n">
        <v>4</v>
      </c>
      <c r="S917" s="429" t="n"/>
      <c r="T917" s="431" t="inlineStr">
        <is>
          <t>Boolean</t>
        </is>
      </c>
      <c r="U917" s="429" t="n"/>
      <c r="V917" s="386">
        <f>'CIRCUIT SIM'!AO7</f>
        <v/>
      </c>
      <c r="W917" s="451" t="n"/>
      <c r="Y917" s="429" t="n">
        <v>4</v>
      </c>
      <c r="Z917" s="431" t="n">
        <v>4</v>
      </c>
      <c r="AB917" s="431" t="inlineStr">
        <is>
          <t>Boolean</t>
        </is>
      </c>
      <c r="AC917" s="451" t="n"/>
      <c r="AD917" s="562">
        <f>'CIRCUIT SIM'!BB7</f>
        <v/>
      </c>
      <c r="AE917" s="451" t="n"/>
      <c r="AG917" s="429" t="n">
        <v>4</v>
      </c>
      <c r="AH917" s="431" t="n">
        <v>4</v>
      </c>
      <c r="AI917" s="429" t="n"/>
      <c r="AJ917" s="431" t="inlineStr">
        <is>
          <t>Boolean</t>
        </is>
      </c>
      <c r="AK917" s="451" t="n"/>
      <c r="AL917" s="450">
        <f>'CIRCUIT SIM'!CR7</f>
        <v/>
      </c>
      <c r="AM917" s="451" t="n"/>
      <c r="AO917" s="429" t="n">
        <v>4</v>
      </c>
      <c r="AP917" s="431" t="n">
        <v>4</v>
      </c>
      <c r="AQ917" s="429" t="n"/>
      <c r="AR917" s="431" t="inlineStr">
        <is>
          <t>Boolean</t>
        </is>
      </c>
      <c r="AS917" s="451" t="n"/>
      <c r="AT917" s="386">
        <f>'CIRCUIT SIM'!BR7</f>
        <v/>
      </c>
      <c r="AU917" s="451" t="n"/>
      <c r="AW917" s="429" t="n">
        <v>4</v>
      </c>
      <c r="AX917" s="431" t="n">
        <v>4</v>
      </c>
      <c r="AY917" s="429" t="n"/>
      <c r="AZ917" s="431" t="inlineStr">
        <is>
          <t>Boolean</t>
        </is>
      </c>
      <c r="BA917" s="451" t="n"/>
      <c r="BB917" s="451">
        <f>'CIRCUIT SIM'!CG7</f>
        <v/>
      </c>
      <c r="BC917" s="451" t="n"/>
      <c r="BE917" s="429" t="n">
        <v>4</v>
      </c>
      <c r="BF917" s="431" t="n">
        <v>4</v>
      </c>
      <c r="BG917" s="563" t="n"/>
      <c r="BH917" s="431" t="inlineStr">
        <is>
          <t>Boolean</t>
        </is>
      </c>
      <c r="BI917" s="451" t="n"/>
      <c r="BJ917" s="451">
        <f>'CIRCUIT SIM'!DH7</f>
        <v/>
      </c>
      <c r="BK917" s="451" t="n"/>
      <c r="BM917" s="429" t="n">
        <v>4</v>
      </c>
      <c r="BN917" s="431" t="n">
        <v>4</v>
      </c>
      <c r="BO917" s="429" t="n"/>
      <c r="BP917" s="431" t="inlineStr">
        <is>
          <t>Boolean</t>
        </is>
      </c>
      <c r="BQ917" s="451" t="n"/>
      <c r="BR917" s="451">
        <f>'CIRCUIT SIM'!DT7</f>
        <v/>
      </c>
      <c r="BS917" s="451" t="n"/>
      <c r="BU917" s="429" t="n">
        <v>4</v>
      </c>
      <c r="BV917" s="431" t="n">
        <v>4</v>
      </c>
      <c r="BW917" s="429" t="n"/>
      <c r="BX917" s="431" t="inlineStr">
        <is>
          <t>Boolean</t>
        </is>
      </c>
      <c r="BY917" s="451" t="n"/>
      <c r="BZ917" s="451">
        <f>'CIRCUIT SIM'!EI7</f>
        <v/>
      </c>
      <c r="CA917" s="451" t="n"/>
      <c r="CC917" s="429" t="n">
        <v>4</v>
      </c>
      <c r="CD917" s="431" t="n">
        <v>4</v>
      </c>
      <c r="CE917" s="688" t="n"/>
      <c r="CF917" s="431" t="inlineStr">
        <is>
          <t>Boolean</t>
        </is>
      </c>
      <c r="CG917" s="451" t="n"/>
      <c r="CH917" s="562">
        <f>'CIRCUIT SIM'!LK7</f>
        <v/>
      </c>
      <c r="CI917" s="451" t="n"/>
      <c r="CK917" s="429" t="n">
        <v>4</v>
      </c>
      <c r="CL917" s="431" t="n">
        <v>4</v>
      </c>
      <c r="CM917" s="688" t="n"/>
      <c r="CN917" s="431" t="inlineStr">
        <is>
          <t>Boolean</t>
        </is>
      </c>
      <c r="CO917" s="451" t="n"/>
      <c r="CP917" s="451">
        <f>'CIRCUIT SIM'!MA7</f>
        <v/>
      </c>
      <c r="CQ917" s="451" t="n"/>
      <c r="CS917" s="429" t="n">
        <v>4</v>
      </c>
      <c r="CT917" s="431" t="n">
        <v>4</v>
      </c>
      <c r="CU917" s="688" t="n"/>
      <c r="CV917" s="431" t="inlineStr">
        <is>
          <t>Boolean</t>
        </is>
      </c>
      <c r="CW917" s="451" t="n"/>
      <c r="CX917" s="451">
        <f>'CIRCUIT SIM'!MQ7</f>
        <v/>
      </c>
      <c r="CY917" s="451" t="n"/>
      <c r="DA917" s="429" t="n">
        <v>4</v>
      </c>
      <c r="DB917" s="431" t="n">
        <v>4</v>
      </c>
      <c r="DC917" s="688" t="n"/>
      <c r="DD917" s="431" t="inlineStr">
        <is>
          <t>Boolean</t>
        </is>
      </c>
      <c r="DE917" s="451" t="n"/>
      <c r="DF917" s="451">
        <f>'CIRCUIT SIM'!EX7</f>
        <v/>
      </c>
      <c r="DG917" s="451" t="n"/>
      <c r="DI917" s="429" t="n">
        <v>4</v>
      </c>
      <c r="DJ917" s="431" t="n">
        <v>4</v>
      </c>
      <c r="DK917" s="688" t="n"/>
      <c r="DL917" s="431" t="inlineStr">
        <is>
          <t>Boolean</t>
        </is>
      </c>
      <c r="DM917" s="429" t="n"/>
      <c r="DN917" s="451">
        <f>'CIRCUIT SIM'!FN7</f>
        <v/>
      </c>
      <c r="DO917" s="451" t="n"/>
      <c r="DQ917" s="429" t="n">
        <v>4</v>
      </c>
      <c r="DR917" s="431" t="n">
        <v>4</v>
      </c>
      <c r="DS917" s="688" t="n"/>
      <c r="DT917" s="431" t="inlineStr">
        <is>
          <t>Boolean</t>
        </is>
      </c>
      <c r="DU917" s="451" t="n"/>
      <c r="DV917" s="451">
        <f>'CIRCUIT SIM'!HT7</f>
        <v/>
      </c>
      <c r="DW917" s="451" t="n"/>
      <c r="DY917" s="429" t="n">
        <v>4</v>
      </c>
      <c r="DZ917" s="431" t="n">
        <v>4</v>
      </c>
      <c r="EA917" s="688" t="n"/>
      <c r="EB917" s="431" t="inlineStr">
        <is>
          <t>Boolean</t>
        </is>
      </c>
      <c r="EC917" s="451" t="n"/>
      <c r="ED917" s="335">
        <f>'CIRCUIT SIM'!GO7</f>
        <v/>
      </c>
      <c r="EE917" s="451" t="n"/>
      <c r="EG917" s="429" t="n">
        <v>4</v>
      </c>
      <c r="EH917" s="431" t="n">
        <v>4</v>
      </c>
      <c r="EI917" s="688" t="n"/>
      <c r="EJ917" s="431" t="inlineStr">
        <is>
          <t>Boolean</t>
        </is>
      </c>
      <c r="EK917" s="451" t="n"/>
      <c r="EL917" s="451">
        <f>'CIRCUIT SIM'!HD7</f>
        <v/>
      </c>
      <c r="EM917" s="451" t="n"/>
      <c r="EO917" s="429" t="n">
        <v>4</v>
      </c>
      <c r="EP917" s="431" t="n">
        <v>4</v>
      </c>
      <c r="EQ917" s="688" t="n"/>
      <c r="ER917" s="431" t="inlineStr">
        <is>
          <t>Boolean</t>
        </is>
      </c>
      <c r="ES917" s="451" t="n"/>
      <c r="ET917" s="451">
        <f>'CIRCUIT SIM'!HT7</f>
        <v/>
      </c>
      <c r="EU917" s="451" t="n"/>
      <c r="EW917" s="429" t="n">
        <v>4</v>
      </c>
      <c r="EX917" s="431" t="n">
        <v>4</v>
      </c>
      <c r="EY917" s="688" t="n"/>
      <c r="EZ917" s="431" t="inlineStr">
        <is>
          <t>Boolean</t>
        </is>
      </c>
      <c r="FA917" s="451" t="n"/>
      <c r="FB917" s="451">
        <f>'CIRCUIT SIM'!II7</f>
        <v/>
      </c>
      <c r="FC917" s="451" t="n"/>
      <c r="FE917" s="429" t="n">
        <v>4</v>
      </c>
      <c r="FF917" s="431" t="n">
        <v>4</v>
      </c>
      <c r="FG917" s="688" t="n"/>
      <c r="FH917" s="431" t="inlineStr">
        <is>
          <t>Boolean</t>
        </is>
      </c>
      <c r="FI917" s="451" t="n"/>
      <c r="FJ917" s="451">
        <f>'CIRCUIT SIM'!IU7</f>
        <v/>
      </c>
      <c r="FK917" s="451" t="n"/>
      <c r="FM917" s="429" t="n">
        <v>4</v>
      </c>
      <c r="FN917" s="431" t="n">
        <v>4</v>
      </c>
      <c r="FO917" s="688" t="n"/>
      <c r="FP917" s="431" t="inlineStr">
        <is>
          <t>Boolean</t>
        </is>
      </c>
      <c r="FQ917" s="451" t="n"/>
      <c r="FR917" s="451">
        <f>'CIRCUIT SIM'!KY7</f>
        <v/>
      </c>
      <c r="FS917" s="451" t="n"/>
      <c r="FU917" s="429" t="n">
        <v>4</v>
      </c>
      <c r="FV917" s="431" t="n">
        <v>4</v>
      </c>
      <c r="FW917" s="688" t="n"/>
      <c r="FX917" s="431" t="inlineStr">
        <is>
          <t>Boolean</t>
        </is>
      </c>
      <c r="FY917" s="451" t="n"/>
      <c r="FZ917" s="562">
        <f>'CIRCUIT SIM'!JG7</f>
        <v/>
      </c>
      <c r="GA917" s="451" t="n"/>
      <c r="GC917" s="429" t="n">
        <v>4</v>
      </c>
      <c r="GD917" s="431" t="n">
        <v>4</v>
      </c>
      <c r="GE917" s="688" t="n"/>
      <c r="GF917" s="431" t="inlineStr">
        <is>
          <t>Boolean</t>
        </is>
      </c>
      <c r="GG917" s="451" t="n"/>
      <c r="GH917" s="451">
        <f>'CIRCUIT SIM'!JW7</f>
        <v/>
      </c>
      <c r="GI917" s="451" t="n"/>
      <c r="GK917" s="429" t="n">
        <v>4</v>
      </c>
      <c r="GL917" s="431" t="n">
        <v>4</v>
      </c>
      <c r="GM917" s="688" t="n"/>
      <c r="GN917" s="431" t="inlineStr">
        <is>
          <t>Boolean</t>
        </is>
      </c>
      <c r="GO917" s="451" t="n"/>
      <c r="GP917" s="451">
        <f>'CIRCUIT SIM'!KI7</f>
        <v/>
      </c>
      <c r="GQ917" s="451" t="n"/>
      <c r="GS917" s="429" t="n">
        <v>4</v>
      </c>
      <c r="GT917" s="431" t="n">
        <v>4</v>
      </c>
      <c r="GU917" s="688" t="n"/>
      <c r="GV917" s="431" t="inlineStr">
        <is>
          <t>Boolean</t>
        </is>
      </c>
      <c r="GW917" s="451" t="n"/>
      <c r="GX917" s="451">
        <f>'CIRCUIT SIM'!KY7</f>
        <v/>
      </c>
      <c r="GY917" s="451" t="n"/>
      <c r="HA917" s="429" t="n">
        <v>4</v>
      </c>
      <c r="HB917" s="431" t="n">
        <v>4</v>
      </c>
      <c r="HC917" s="688" t="n"/>
      <c r="HD917" s="431" t="n"/>
      <c r="HE917" s="451" t="n"/>
      <c r="HF917" s="451" t="n"/>
      <c r="HG917" s="451" t="n"/>
    </row>
    <row r="918">
      <c r="A918" s="429" t="n">
        <v>5</v>
      </c>
      <c r="B918" s="431" t="n">
        <v>5</v>
      </c>
      <c r="C918" s="688" t="n"/>
      <c r="D918" s="431" t="inlineStr">
        <is>
          <t>Boolean</t>
        </is>
      </c>
      <c r="E918" s="429" t="n"/>
      <c r="F918" s="422">
        <f>'CIRCUIT SIM'!J8</f>
        <v/>
      </c>
      <c r="G918" s="429" t="n"/>
      <c r="I918" s="429" t="n">
        <v>5</v>
      </c>
      <c r="J918" s="431" t="n">
        <v>5</v>
      </c>
      <c r="K918" s="429" t="n"/>
      <c r="L918" s="431" t="inlineStr">
        <is>
          <t>Boolean</t>
        </is>
      </c>
      <c r="M918" s="451" t="n"/>
      <c r="N918" s="422">
        <f>'CIRCUIT SIM'!Y8</f>
        <v/>
      </c>
      <c r="O918" s="451" t="n"/>
      <c r="Q918" s="429" t="n">
        <v>5</v>
      </c>
      <c r="R918" s="431" t="n">
        <v>5</v>
      </c>
      <c r="S918" s="429" t="n"/>
      <c r="T918" s="431" t="inlineStr">
        <is>
          <t>Boolean</t>
        </is>
      </c>
      <c r="U918" s="429" t="n"/>
      <c r="V918" s="386">
        <f>'CIRCUIT SIM'!AO8</f>
        <v/>
      </c>
      <c r="W918" s="451" t="n"/>
      <c r="Y918" s="429" t="n">
        <v>5</v>
      </c>
      <c r="Z918" s="431" t="n">
        <v>5</v>
      </c>
      <c r="AB918" s="431" t="inlineStr">
        <is>
          <t>Boolean</t>
        </is>
      </c>
      <c r="AC918" s="451" t="n"/>
      <c r="AD918" s="562">
        <f>'CIRCUIT SIM'!BB8</f>
        <v/>
      </c>
      <c r="AE918" s="451" t="n"/>
      <c r="AF918" s="335" t="inlineStr">
        <is>
          <t> </t>
        </is>
      </c>
      <c r="AG918" s="429" t="n">
        <v>5</v>
      </c>
      <c r="AH918" s="431" t="n">
        <v>5</v>
      </c>
      <c r="AI918" s="429" t="n"/>
      <c r="AJ918" s="431" t="inlineStr">
        <is>
          <t>Boolean</t>
        </is>
      </c>
      <c r="AK918" s="451" t="n"/>
      <c r="AL918" s="450">
        <f>'CIRCUIT SIM'!CR8</f>
        <v/>
      </c>
      <c r="AM918" s="451" t="n"/>
      <c r="AO918" s="429" t="n">
        <v>5</v>
      </c>
      <c r="AP918" s="431" t="n">
        <v>5</v>
      </c>
      <c r="AQ918" s="429" t="n"/>
      <c r="AR918" s="431" t="inlineStr">
        <is>
          <t>Boolean</t>
        </is>
      </c>
      <c r="AS918" s="451" t="n"/>
      <c r="AT918" s="386">
        <f>'CIRCUIT SIM'!BR8</f>
        <v/>
      </c>
      <c r="AU918" s="451" t="n"/>
      <c r="AW918" s="429" t="n">
        <v>5</v>
      </c>
      <c r="AX918" s="431" t="n">
        <v>5</v>
      </c>
      <c r="AY918" s="429" t="n"/>
      <c r="AZ918" s="431" t="inlineStr">
        <is>
          <t>Boolean</t>
        </is>
      </c>
      <c r="BA918" s="451" t="n"/>
      <c r="BB918" s="451">
        <f>'CIRCUIT SIM'!CG8</f>
        <v/>
      </c>
      <c r="BC918" s="451" t="n"/>
      <c r="BE918" s="429" t="n">
        <v>5</v>
      </c>
      <c r="BF918" s="431" t="n">
        <v>5</v>
      </c>
      <c r="BG918" s="563" t="n"/>
      <c r="BH918" s="431" t="inlineStr">
        <is>
          <t>Boolean</t>
        </is>
      </c>
      <c r="BI918" s="451" t="n"/>
      <c r="BJ918" s="451">
        <f>'CIRCUIT SIM'!DH8</f>
        <v/>
      </c>
      <c r="BK918" s="451" t="n"/>
      <c r="BM918" s="429" t="n">
        <v>5</v>
      </c>
      <c r="BN918" s="431" t="n">
        <v>5</v>
      </c>
      <c r="BO918" s="429" t="n"/>
      <c r="BP918" s="431" t="inlineStr">
        <is>
          <t>Boolean</t>
        </is>
      </c>
      <c r="BQ918" s="451" t="n"/>
      <c r="BR918" s="451">
        <f>'CIRCUIT SIM'!DT8</f>
        <v/>
      </c>
      <c r="BS918" s="451" t="n"/>
      <c r="BU918" s="429" t="n">
        <v>5</v>
      </c>
      <c r="BV918" s="431" t="n">
        <v>5</v>
      </c>
      <c r="BW918" s="429" t="n"/>
      <c r="BX918" s="431" t="inlineStr">
        <is>
          <t>Boolean</t>
        </is>
      </c>
      <c r="BY918" s="451" t="n"/>
      <c r="BZ918" s="451">
        <f>'CIRCUIT SIM'!EI8</f>
        <v/>
      </c>
      <c r="CA918" s="451" t="n"/>
      <c r="CC918" s="429" t="n">
        <v>5</v>
      </c>
      <c r="CD918" s="431" t="n">
        <v>5</v>
      </c>
      <c r="CE918" s="688" t="n"/>
      <c r="CF918" s="431" t="inlineStr">
        <is>
          <t>Boolean</t>
        </is>
      </c>
      <c r="CG918" s="451" t="n"/>
      <c r="CH918" s="562">
        <f>'CIRCUIT SIM'!LK8</f>
        <v/>
      </c>
      <c r="CI918" s="451" t="n"/>
      <c r="CK918" s="429" t="n">
        <v>5</v>
      </c>
      <c r="CL918" s="431" t="n">
        <v>5</v>
      </c>
      <c r="CM918" s="688" t="n"/>
      <c r="CN918" s="431" t="inlineStr">
        <is>
          <t>Boolean</t>
        </is>
      </c>
      <c r="CO918" s="451" t="n"/>
      <c r="CP918" s="451">
        <f>'CIRCUIT SIM'!MA8</f>
        <v/>
      </c>
      <c r="CQ918" s="451" t="n"/>
      <c r="CS918" s="429" t="n">
        <v>5</v>
      </c>
      <c r="CT918" s="431" t="n">
        <v>5</v>
      </c>
      <c r="CU918" s="688" t="n"/>
      <c r="CV918" s="431" t="inlineStr">
        <is>
          <t>Boolean</t>
        </is>
      </c>
      <c r="CW918" s="451" t="n"/>
      <c r="CX918" s="451">
        <f>'CIRCUIT SIM'!MQ8</f>
        <v/>
      </c>
      <c r="CY918" s="451" t="n"/>
      <c r="DA918" s="429" t="n">
        <v>5</v>
      </c>
      <c r="DB918" s="431" t="n">
        <v>5</v>
      </c>
      <c r="DC918" s="688" t="n"/>
      <c r="DD918" s="431" t="inlineStr">
        <is>
          <t>Boolean</t>
        </is>
      </c>
      <c r="DE918" s="451" t="n"/>
      <c r="DF918" s="451">
        <f>'CIRCUIT SIM'!EX8</f>
        <v/>
      </c>
      <c r="DG918" s="451" t="n"/>
      <c r="DI918" s="429" t="n">
        <v>5</v>
      </c>
      <c r="DJ918" s="431" t="n">
        <v>5</v>
      </c>
      <c r="DK918" s="688" t="n"/>
      <c r="DL918" s="431" t="inlineStr">
        <is>
          <t>Boolean</t>
        </is>
      </c>
      <c r="DM918" s="429" t="n"/>
      <c r="DN918" s="451">
        <f>'CIRCUIT SIM'!FN8</f>
        <v/>
      </c>
      <c r="DO918" s="451" t="n"/>
      <c r="DQ918" s="429" t="n">
        <v>5</v>
      </c>
      <c r="DR918" s="431" t="n">
        <v>5</v>
      </c>
      <c r="DS918" s="688" t="n"/>
      <c r="DT918" s="431" t="inlineStr">
        <is>
          <t>Boolean</t>
        </is>
      </c>
      <c r="DU918" s="451" t="n"/>
      <c r="DV918" s="451">
        <f>'CIRCUIT SIM'!HT8</f>
        <v/>
      </c>
      <c r="DW918" s="451" t="n"/>
      <c r="DY918" s="429" t="n">
        <v>5</v>
      </c>
      <c r="DZ918" s="431" t="n">
        <v>5</v>
      </c>
      <c r="EA918" s="688" t="n"/>
      <c r="EB918" s="431" t="inlineStr">
        <is>
          <t>Boolean</t>
        </is>
      </c>
      <c r="EC918" s="451" t="n"/>
      <c r="ED918" s="335">
        <f>'CIRCUIT SIM'!GO8</f>
        <v/>
      </c>
      <c r="EE918" s="451" t="n"/>
      <c r="EG918" s="429" t="n">
        <v>5</v>
      </c>
      <c r="EH918" s="431" t="n">
        <v>5</v>
      </c>
      <c r="EI918" s="688" t="n"/>
      <c r="EJ918" s="431" t="inlineStr">
        <is>
          <t>Boolean</t>
        </is>
      </c>
      <c r="EK918" s="451" t="n"/>
      <c r="EL918" s="451">
        <f>'CIRCUIT SIM'!HD8</f>
        <v/>
      </c>
      <c r="EM918" s="451" t="n"/>
      <c r="EO918" s="429" t="n">
        <v>5</v>
      </c>
      <c r="EP918" s="431" t="n">
        <v>5</v>
      </c>
      <c r="EQ918" s="688" t="n"/>
      <c r="ER918" s="431" t="inlineStr">
        <is>
          <t>Boolean</t>
        </is>
      </c>
      <c r="ES918" s="451" t="n"/>
      <c r="ET918" s="451">
        <f>'CIRCUIT SIM'!HT8</f>
        <v/>
      </c>
      <c r="EU918" s="451" t="n"/>
      <c r="EW918" s="429" t="n">
        <v>5</v>
      </c>
      <c r="EX918" s="431" t="n">
        <v>5</v>
      </c>
      <c r="EY918" s="688" t="n"/>
      <c r="EZ918" s="431" t="inlineStr">
        <is>
          <t>Boolean</t>
        </is>
      </c>
      <c r="FA918" s="451" t="n"/>
      <c r="FB918" s="451">
        <f>'CIRCUIT SIM'!II8</f>
        <v/>
      </c>
      <c r="FC918" s="451" t="n"/>
      <c r="FE918" s="429" t="n">
        <v>5</v>
      </c>
      <c r="FF918" s="431" t="n">
        <v>5</v>
      </c>
      <c r="FG918" s="688" t="n"/>
      <c r="FH918" s="431" t="inlineStr">
        <is>
          <t>Boolean</t>
        </is>
      </c>
      <c r="FI918" s="451" t="n"/>
      <c r="FJ918" s="451">
        <f>'CIRCUIT SIM'!IU8</f>
        <v/>
      </c>
      <c r="FK918" s="451" t="n"/>
      <c r="FM918" s="429" t="n">
        <v>5</v>
      </c>
      <c r="FN918" s="431" t="n">
        <v>5</v>
      </c>
      <c r="FO918" s="688" t="n"/>
      <c r="FP918" s="431" t="inlineStr">
        <is>
          <t>Boolean</t>
        </is>
      </c>
      <c r="FQ918" s="451" t="n"/>
      <c r="FR918" s="451">
        <f>'CIRCUIT SIM'!KY8</f>
        <v/>
      </c>
      <c r="FS918" s="451" t="n"/>
      <c r="FU918" s="429" t="n">
        <v>5</v>
      </c>
      <c r="FV918" s="431" t="n">
        <v>5</v>
      </c>
      <c r="FW918" s="688" t="n"/>
      <c r="FX918" s="431" t="inlineStr">
        <is>
          <t>Boolean</t>
        </is>
      </c>
      <c r="FY918" s="451" t="n"/>
      <c r="FZ918" s="562">
        <f>'CIRCUIT SIM'!JG8</f>
        <v/>
      </c>
      <c r="GA918" s="451" t="n"/>
      <c r="GC918" s="429" t="n">
        <v>5</v>
      </c>
      <c r="GD918" s="431" t="n">
        <v>5</v>
      </c>
      <c r="GE918" s="688" t="n"/>
      <c r="GF918" s="431" t="inlineStr">
        <is>
          <t>Boolean</t>
        </is>
      </c>
      <c r="GG918" s="451" t="n"/>
      <c r="GH918" s="451">
        <f>'CIRCUIT SIM'!JW8</f>
        <v/>
      </c>
      <c r="GI918" s="451" t="n"/>
      <c r="GK918" s="429" t="n">
        <v>5</v>
      </c>
      <c r="GL918" s="431" t="n">
        <v>5</v>
      </c>
      <c r="GM918" s="688" t="n"/>
      <c r="GN918" s="431" t="inlineStr">
        <is>
          <t>Boolean</t>
        </is>
      </c>
      <c r="GO918" s="451" t="n"/>
      <c r="GP918" s="451">
        <f>'CIRCUIT SIM'!KI8</f>
        <v/>
      </c>
      <c r="GQ918" s="451" t="n"/>
      <c r="GS918" s="429" t="n">
        <v>5</v>
      </c>
      <c r="GT918" s="431" t="n">
        <v>5</v>
      </c>
      <c r="GU918" s="688" t="n"/>
      <c r="GV918" s="431" t="inlineStr">
        <is>
          <t>Boolean</t>
        </is>
      </c>
      <c r="GW918" s="451" t="n"/>
      <c r="GX918" s="451">
        <f>'CIRCUIT SIM'!KY8</f>
        <v/>
      </c>
      <c r="GY918" s="451" t="n"/>
      <c r="HA918" s="429" t="n">
        <v>5</v>
      </c>
      <c r="HB918" s="431" t="n">
        <v>5</v>
      </c>
      <c r="HC918" s="688" t="n"/>
      <c r="HD918" s="431" t="n"/>
      <c r="HE918" s="451" t="n"/>
      <c r="HF918" s="451" t="n"/>
      <c r="HG918" s="451" t="n"/>
    </row>
    <row r="919" ht="24.75" customHeight="1">
      <c r="A919" s="429" t="n">
        <v>6</v>
      </c>
      <c r="B919" s="431" t="n">
        <v>6</v>
      </c>
      <c r="C919" s="688" t="n"/>
      <c r="D919" s="431" t="inlineStr">
        <is>
          <t>Boolean</t>
        </is>
      </c>
      <c r="E919" s="429" t="n"/>
      <c r="F919" s="422">
        <f>'CIRCUIT SIM'!J9</f>
        <v/>
      </c>
      <c r="G919" s="429" t="n"/>
      <c r="I919" s="429" t="n">
        <v>6</v>
      </c>
      <c r="J919" s="431" t="n">
        <v>6</v>
      </c>
      <c r="K919" s="429" t="n"/>
      <c r="L919" s="431" t="inlineStr">
        <is>
          <t>Boolean</t>
        </is>
      </c>
      <c r="M919" s="451" t="n"/>
      <c r="N919" s="422">
        <f>'CIRCUIT SIM'!Y9</f>
        <v/>
      </c>
      <c r="O919" s="451" t="n"/>
      <c r="Q919" s="429" t="n">
        <v>6</v>
      </c>
      <c r="R919" s="431" t="n">
        <v>6</v>
      </c>
      <c r="S919" s="429" t="n"/>
      <c r="T919" s="431" t="inlineStr">
        <is>
          <t>Boolean</t>
        </is>
      </c>
      <c r="U919" s="429" t="n"/>
      <c r="V919" s="386">
        <f>'CIRCUIT SIM'!AO9</f>
        <v/>
      </c>
      <c r="W919" s="451" t="n"/>
      <c r="Y919" s="429" t="n">
        <v>6</v>
      </c>
      <c r="Z919" s="431" t="n">
        <v>6</v>
      </c>
      <c r="AB919" s="431" t="inlineStr">
        <is>
          <t>Boolean</t>
        </is>
      </c>
      <c r="AC919" s="451" t="n"/>
      <c r="AD919" s="562">
        <f>'CIRCUIT SIM'!BB9</f>
        <v/>
      </c>
      <c r="AE919" s="451" t="n"/>
      <c r="AG919" s="429" t="n">
        <v>6</v>
      </c>
      <c r="AH919" s="431" t="n">
        <v>6</v>
      </c>
      <c r="AI919" s="429" t="n"/>
      <c r="AJ919" s="431" t="inlineStr">
        <is>
          <t>Boolean</t>
        </is>
      </c>
      <c r="AK919" s="451" t="n"/>
      <c r="AL919" s="450">
        <f>'CIRCUIT SIM'!CR9</f>
        <v/>
      </c>
      <c r="AM919" s="451" t="n"/>
      <c r="AO919" s="429" t="n">
        <v>6</v>
      </c>
      <c r="AP919" s="431" t="n">
        <v>6</v>
      </c>
      <c r="AQ919" s="429" t="n"/>
      <c r="AR919" s="431" t="inlineStr">
        <is>
          <t>Boolean</t>
        </is>
      </c>
      <c r="AS919" s="451" t="n"/>
      <c r="AT919" s="386">
        <f>'CIRCUIT SIM'!BR9</f>
        <v/>
      </c>
      <c r="AU919" s="451" t="n"/>
      <c r="AW919" s="429" t="n">
        <v>6</v>
      </c>
      <c r="AX919" s="431" t="n">
        <v>6</v>
      </c>
      <c r="AY919" s="429" t="n"/>
      <c r="AZ919" s="431" t="inlineStr">
        <is>
          <t>Boolean</t>
        </is>
      </c>
      <c r="BA919" s="451" t="n"/>
      <c r="BB919" s="451">
        <f>'CIRCUIT SIM'!CG9</f>
        <v/>
      </c>
      <c r="BC919" s="451" t="n"/>
      <c r="BE919" s="429" t="n">
        <v>6</v>
      </c>
      <c r="BF919" s="431" t="n">
        <v>6</v>
      </c>
      <c r="BG919" s="563" t="n"/>
      <c r="BH919" s="431" t="inlineStr">
        <is>
          <t>Boolean</t>
        </is>
      </c>
      <c r="BI919" s="451" t="n"/>
      <c r="BJ919" s="451">
        <f>'CIRCUIT SIM'!DH9</f>
        <v/>
      </c>
      <c r="BK919" s="451" t="n"/>
      <c r="BM919" s="429" t="n">
        <v>6</v>
      </c>
      <c r="BN919" s="431" t="n">
        <v>6</v>
      </c>
      <c r="BO919" s="429" t="n"/>
      <c r="BP919" s="431" t="inlineStr">
        <is>
          <t>Boolean</t>
        </is>
      </c>
      <c r="BQ919" s="451" t="n"/>
      <c r="BR919" s="451">
        <f>'CIRCUIT SIM'!DT9</f>
        <v/>
      </c>
      <c r="BS919" s="451" t="n"/>
      <c r="BU919" s="429" t="n">
        <v>6</v>
      </c>
      <c r="BV919" s="431" t="n">
        <v>6</v>
      </c>
      <c r="BW919" s="429" t="n"/>
      <c r="BX919" s="431" t="inlineStr">
        <is>
          <t>Boolean</t>
        </is>
      </c>
      <c r="BY919" s="451" t="n"/>
      <c r="BZ919" s="451">
        <f>'CIRCUIT SIM'!EI9</f>
        <v/>
      </c>
      <c r="CA919" s="451" t="n"/>
      <c r="CC919" s="429" t="n">
        <v>6</v>
      </c>
      <c r="CD919" s="431" t="n">
        <v>6</v>
      </c>
      <c r="CE919" s="688" t="n"/>
      <c r="CF919" s="431" t="inlineStr">
        <is>
          <t>Boolean</t>
        </is>
      </c>
      <c r="CG919" s="451" t="n"/>
      <c r="CH919" s="562">
        <f>'CIRCUIT SIM'!LK9</f>
        <v/>
      </c>
      <c r="CI919" s="451" t="n"/>
      <c r="CK919" s="429" t="n">
        <v>6</v>
      </c>
      <c r="CL919" s="431" t="n">
        <v>6</v>
      </c>
      <c r="CM919" s="688" t="n"/>
      <c r="CN919" s="431" t="inlineStr">
        <is>
          <t>Boolean</t>
        </is>
      </c>
      <c r="CO919" s="451" t="n"/>
      <c r="CP919" s="451">
        <f>'CIRCUIT SIM'!MA9</f>
        <v/>
      </c>
      <c r="CQ919" s="451" t="n"/>
      <c r="CS919" s="429" t="n">
        <v>6</v>
      </c>
      <c r="CT919" s="431" t="n">
        <v>6</v>
      </c>
      <c r="CU919" s="688" t="n"/>
      <c r="CV919" s="431" t="inlineStr">
        <is>
          <t>Boolean</t>
        </is>
      </c>
      <c r="CW919" s="451" t="n"/>
      <c r="CX919" s="451">
        <f>'CIRCUIT SIM'!MQ9</f>
        <v/>
      </c>
      <c r="CY919" s="451" t="n"/>
      <c r="DA919" s="429" t="n">
        <v>6</v>
      </c>
      <c r="DB919" s="431" t="n">
        <v>6</v>
      </c>
      <c r="DC919" s="688" t="n"/>
      <c r="DD919" s="431" t="inlineStr">
        <is>
          <t>Boolean</t>
        </is>
      </c>
      <c r="DE919" s="451" t="n"/>
      <c r="DF919" s="451">
        <f>'CIRCUIT SIM'!EX9</f>
        <v/>
      </c>
      <c r="DG919" s="451" t="n"/>
      <c r="DI919" s="429" t="n">
        <v>6</v>
      </c>
      <c r="DJ919" s="431" t="n">
        <v>6</v>
      </c>
      <c r="DK919" s="688" t="n"/>
      <c r="DL919" s="431" t="inlineStr">
        <is>
          <t>Boolean</t>
        </is>
      </c>
      <c r="DM919" s="429" t="n"/>
      <c r="DN919" s="451">
        <f>'CIRCUIT SIM'!FN9</f>
        <v/>
      </c>
      <c r="DO919" s="451" t="n"/>
      <c r="DQ919" s="429" t="n">
        <v>6</v>
      </c>
      <c r="DR919" s="431" t="n">
        <v>6</v>
      </c>
      <c r="DS919" s="688" t="n"/>
      <c r="DT919" s="431" t="inlineStr">
        <is>
          <t>Boolean</t>
        </is>
      </c>
      <c r="DU919" s="451" t="n"/>
      <c r="DV919" s="451">
        <f>'CIRCUIT SIM'!HT9</f>
        <v/>
      </c>
      <c r="DW919" s="451" t="n"/>
      <c r="DY919" s="429" t="n">
        <v>6</v>
      </c>
      <c r="DZ919" s="431" t="n">
        <v>6</v>
      </c>
      <c r="EA919" s="688" t="n"/>
      <c r="EB919" s="431" t="inlineStr">
        <is>
          <t>Boolean</t>
        </is>
      </c>
      <c r="EC919" s="451" t="n"/>
      <c r="ED919" s="335">
        <f>'CIRCUIT SIM'!GO9</f>
        <v/>
      </c>
      <c r="EE919" s="451" t="n"/>
      <c r="EG919" s="429" t="n">
        <v>6</v>
      </c>
      <c r="EH919" s="431" t="n">
        <v>6</v>
      </c>
      <c r="EI919" s="688" t="n"/>
      <c r="EJ919" s="431" t="inlineStr">
        <is>
          <t>Boolean</t>
        </is>
      </c>
      <c r="EK919" s="451" t="n"/>
      <c r="EL919" s="451">
        <f>'CIRCUIT SIM'!HD9</f>
        <v/>
      </c>
      <c r="EM919" s="451" t="n"/>
      <c r="EO919" s="429" t="n">
        <v>6</v>
      </c>
      <c r="EP919" s="431" t="n">
        <v>6</v>
      </c>
      <c r="EQ919" s="688" t="n"/>
      <c r="ER919" s="431" t="inlineStr">
        <is>
          <t>Boolean</t>
        </is>
      </c>
      <c r="ES919" s="451" t="n"/>
      <c r="ET919" s="451">
        <f>'CIRCUIT SIM'!HT9</f>
        <v/>
      </c>
      <c r="EU919" s="451" t="n"/>
      <c r="EW919" s="429" t="n">
        <v>6</v>
      </c>
      <c r="EX919" s="431" t="n">
        <v>6</v>
      </c>
      <c r="EY919" s="688" t="n"/>
      <c r="EZ919" s="431" t="inlineStr">
        <is>
          <t>Boolean</t>
        </is>
      </c>
      <c r="FA919" s="451" t="n"/>
      <c r="FB919" s="451">
        <f>'CIRCUIT SIM'!II9</f>
        <v/>
      </c>
      <c r="FC919" s="451" t="n"/>
      <c r="FE919" s="429" t="n">
        <v>6</v>
      </c>
      <c r="FF919" s="431" t="n">
        <v>6</v>
      </c>
      <c r="FG919" s="688" t="n"/>
      <c r="FH919" s="431" t="inlineStr">
        <is>
          <t>Boolean</t>
        </is>
      </c>
      <c r="FI919" s="451" t="n"/>
      <c r="FJ919" s="451">
        <f>'CIRCUIT SIM'!IU9</f>
        <v/>
      </c>
      <c r="FK919" s="451" t="n"/>
      <c r="FM919" s="429" t="n">
        <v>6</v>
      </c>
      <c r="FN919" s="431" t="n">
        <v>6</v>
      </c>
      <c r="FO919" s="688" t="n"/>
      <c r="FP919" s="431" t="inlineStr">
        <is>
          <t>Boolean</t>
        </is>
      </c>
      <c r="FQ919" s="451" t="n"/>
      <c r="FR919" s="451">
        <f>'CIRCUIT SIM'!KY9</f>
        <v/>
      </c>
      <c r="FS919" s="451" t="n"/>
      <c r="FU919" s="429" t="n">
        <v>6</v>
      </c>
      <c r="FV919" s="431" t="n">
        <v>6</v>
      </c>
      <c r="FW919" s="688" t="n"/>
      <c r="FX919" s="431" t="inlineStr">
        <is>
          <t>Boolean</t>
        </is>
      </c>
      <c r="FY919" s="451" t="n"/>
      <c r="FZ919" s="562">
        <f>'CIRCUIT SIM'!JG9</f>
        <v/>
      </c>
      <c r="GA919" s="451" t="n"/>
      <c r="GC919" s="429" t="n">
        <v>6</v>
      </c>
      <c r="GD919" s="431" t="n">
        <v>6</v>
      </c>
      <c r="GE919" s="688" t="n"/>
      <c r="GF919" s="431" t="inlineStr">
        <is>
          <t>Boolean</t>
        </is>
      </c>
      <c r="GG919" s="451" t="n"/>
      <c r="GH919" s="451">
        <f>'CIRCUIT SIM'!JW9</f>
        <v/>
      </c>
      <c r="GI919" s="451" t="n"/>
      <c r="GK919" s="429" t="n">
        <v>6</v>
      </c>
      <c r="GL919" s="431" t="n">
        <v>6</v>
      </c>
      <c r="GM919" s="688" t="n"/>
      <c r="GN919" s="431" t="inlineStr">
        <is>
          <t>Boolean</t>
        </is>
      </c>
      <c r="GO919" s="451" t="n"/>
      <c r="GP919" s="451">
        <f>'CIRCUIT SIM'!KI9</f>
        <v/>
      </c>
      <c r="GQ919" s="451" t="n"/>
      <c r="GS919" s="429" t="n">
        <v>6</v>
      </c>
      <c r="GT919" s="431" t="n">
        <v>6</v>
      </c>
      <c r="GU919" s="688" t="n"/>
      <c r="GV919" s="431" t="inlineStr">
        <is>
          <t>Boolean</t>
        </is>
      </c>
      <c r="GW919" s="451" t="n"/>
      <c r="GX919" s="451">
        <f>'CIRCUIT SIM'!KY9</f>
        <v/>
      </c>
      <c r="GY919" s="451" t="n"/>
      <c r="HA919" s="429" t="n">
        <v>6</v>
      </c>
      <c r="HB919" s="431" t="n">
        <v>6</v>
      </c>
      <c r="HC919" s="688" t="n"/>
      <c r="HD919" s="431" t="n"/>
      <c r="HE919" s="451" t="n"/>
      <c r="HF919" s="451" t="n"/>
      <c r="HG919" s="451" t="n"/>
    </row>
    <row r="920">
      <c r="A920" s="429" t="n">
        <v>7</v>
      </c>
      <c r="B920" s="431" t="n">
        <v>7</v>
      </c>
      <c r="C920" s="688" t="n"/>
      <c r="D920" s="431" t="inlineStr">
        <is>
          <t>Boolean</t>
        </is>
      </c>
      <c r="E920" s="429" t="n"/>
      <c r="F920" s="422">
        <f>'CIRCUIT SIM'!J10</f>
        <v/>
      </c>
      <c r="G920" s="429" t="n"/>
      <c r="I920" s="429" t="n">
        <v>7</v>
      </c>
      <c r="J920" s="431" t="n">
        <v>7</v>
      </c>
      <c r="K920" s="429" t="n"/>
      <c r="L920" s="431" t="inlineStr">
        <is>
          <t>Boolean</t>
        </is>
      </c>
      <c r="M920" s="451" t="n"/>
      <c r="N920" s="422">
        <f>'CIRCUIT SIM'!Y10</f>
        <v/>
      </c>
      <c r="O920" s="451" t="n"/>
      <c r="Q920" s="429" t="n">
        <v>7</v>
      </c>
      <c r="R920" s="431" t="n">
        <v>7</v>
      </c>
      <c r="S920" s="429" t="n"/>
      <c r="T920" s="431" t="inlineStr">
        <is>
          <t>Boolean</t>
        </is>
      </c>
      <c r="U920" s="429" t="n"/>
      <c r="V920" s="386">
        <f>'CIRCUIT SIM'!AO10</f>
        <v/>
      </c>
      <c r="W920" s="451" t="n"/>
      <c r="Y920" s="429" t="n">
        <v>7</v>
      </c>
      <c r="Z920" s="431" t="n">
        <v>7</v>
      </c>
      <c r="AB920" s="431" t="inlineStr">
        <is>
          <t>Boolean</t>
        </is>
      </c>
      <c r="AC920" s="451" t="n"/>
      <c r="AD920" s="562">
        <f>'CIRCUIT SIM'!BB10</f>
        <v/>
      </c>
      <c r="AE920" s="451" t="n"/>
      <c r="AG920" s="429" t="n">
        <v>7</v>
      </c>
      <c r="AH920" s="431" t="n">
        <v>7</v>
      </c>
      <c r="AI920" s="429" t="n"/>
      <c r="AJ920" s="431" t="inlineStr">
        <is>
          <t>Boolean</t>
        </is>
      </c>
      <c r="AK920" s="451" t="n"/>
      <c r="AL920" s="450">
        <f>'CIRCUIT SIM'!CR10</f>
        <v/>
      </c>
      <c r="AM920" s="451" t="n"/>
      <c r="AO920" s="429" t="n">
        <v>7</v>
      </c>
      <c r="AP920" s="431" t="n">
        <v>7</v>
      </c>
      <c r="AQ920" s="429" t="n"/>
      <c r="AR920" s="431" t="inlineStr">
        <is>
          <t>Boolean</t>
        </is>
      </c>
      <c r="AS920" s="451" t="n"/>
      <c r="AT920" s="386">
        <f>'CIRCUIT SIM'!BR10</f>
        <v/>
      </c>
      <c r="AU920" s="451" t="n"/>
      <c r="AW920" s="429" t="n">
        <v>7</v>
      </c>
      <c r="AX920" s="431" t="n">
        <v>7</v>
      </c>
      <c r="AY920" s="429" t="n"/>
      <c r="AZ920" s="431" t="inlineStr">
        <is>
          <t>Boolean</t>
        </is>
      </c>
      <c r="BA920" s="451" t="n"/>
      <c r="BB920" s="451">
        <f>'CIRCUIT SIM'!CG10</f>
        <v/>
      </c>
      <c r="BC920" s="451" t="n"/>
      <c r="BE920" s="429" t="n">
        <v>7</v>
      </c>
      <c r="BF920" s="431" t="n">
        <v>7</v>
      </c>
      <c r="BG920" s="563" t="n"/>
      <c r="BH920" s="431" t="inlineStr">
        <is>
          <t>Boolean</t>
        </is>
      </c>
      <c r="BI920" s="451" t="n"/>
      <c r="BJ920" s="451">
        <f>'CIRCUIT SIM'!DH10</f>
        <v/>
      </c>
      <c r="BK920" s="451" t="n"/>
      <c r="BM920" s="429" t="n">
        <v>7</v>
      </c>
      <c r="BN920" s="431" t="n">
        <v>7</v>
      </c>
      <c r="BO920" s="429" t="n"/>
      <c r="BP920" s="431" t="inlineStr">
        <is>
          <t>Boolean</t>
        </is>
      </c>
      <c r="BQ920" s="451" t="n"/>
      <c r="BR920" s="451">
        <f>'CIRCUIT SIM'!DT10</f>
        <v/>
      </c>
      <c r="BS920" s="451" t="n"/>
      <c r="BU920" s="429" t="n">
        <v>7</v>
      </c>
      <c r="BV920" s="431" t="n">
        <v>7</v>
      </c>
      <c r="BW920" s="429" t="n"/>
      <c r="BX920" s="431" t="inlineStr">
        <is>
          <t>Boolean</t>
        </is>
      </c>
      <c r="BY920" s="451" t="n"/>
      <c r="BZ920" s="451">
        <f>'CIRCUIT SIM'!EI10</f>
        <v/>
      </c>
      <c r="CA920" s="451" t="n"/>
      <c r="CC920" s="429" t="n">
        <v>7</v>
      </c>
      <c r="CD920" s="431" t="n">
        <v>7</v>
      </c>
      <c r="CE920" s="688" t="n"/>
      <c r="CF920" s="431" t="inlineStr">
        <is>
          <t>Boolean</t>
        </is>
      </c>
      <c r="CG920" s="451" t="n"/>
      <c r="CH920" s="562">
        <f>'CIRCUIT SIM'!LK10</f>
        <v/>
      </c>
      <c r="CI920" s="451" t="n"/>
      <c r="CK920" s="429" t="n">
        <v>7</v>
      </c>
      <c r="CL920" s="431" t="n">
        <v>7</v>
      </c>
      <c r="CM920" s="688" t="n"/>
      <c r="CN920" s="431" t="inlineStr">
        <is>
          <t>Boolean</t>
        </is>
      </c>
      <c r="CO920" s="451" t="n"/>
      <c r="CP920" s="451">
        <f>'CIRCUIT SIM'!MA10</f>
        <v/>
      </c>
      <c r="CQ920" s="451" t="n"/>
      <c r="CS920" s="429" t="n">
        <v>7</v>
      </c>
      <c r="CT920" s="431" t="n">
        <v>7</v>
      </c>
      <c r="CU920" s="688" t="n"/>
      <c r="CV920" s="431" t="inlineStr">
        <is>
          <t>Boolean</t>
        </is>
      </c>
      <c r="CW920" s="451" t="n"/>
      <c r="CX920" s="451">
        <f>'CIRCUIT SIM'!MQ10</f>
        <v/>
      </c>
      <c r="CY920" s="451" t="n"/>
      <c r="DA920" s="429" t="n">
        <v>7</v>
      </c>
      <c r="DB920" s="431" t="n">
        <v>7</v>
      </c>
      <c r="DC920" s="688" t="n"/>
      <c r="DD920" s="431" t="inlineStr">
        <is>
          <t>Boolean</t>
        </is>
      </c>
      <c r="DE920" s="451" t="n"/>
      <c r="DF920" s="451">
        <f>'CIRCUIT SIM'!EX10</f>
        <v/>
      </c>
      <c r="DG920" s="451" t="n"/>
      <c r="DI920" s="429" t="n">
        <v>7</v>
      </c>
      <c r="DJ920" s="431" t="n">
        <v>7</v>
      </c>
      <c r="DK920" s="688" t="n"/>
      <c r="DL920" s="431" t="inlineStr">
        <is>
          <t>Boolean</t>
        </is>
      </c>
      <c r="DM920" s="429" t="n"/>
      <c r="DN920" s="451">
        <f>'CIRCUIT SIM'!FN10</f>
        <v/>
      </c>
      <c r="DO920" s="451" t="n"/>
      <c r="DQ920" s="429" t="n">
        <v>7</v>
      </c>
      <c r="DR920" s="431" t="n">
        <v>7</v>
      </c>
      <c r="DS920" s="688" t="n"/>
      <c r="DT920" s="431" t="inlineStr">
        <is>
          <t>Boolean</t>
        </is>
      </c>
      <c r="DU920" s="451" t="n"/>
      <c r="DV920" s="451">
        <f>'CIRCUIT SIM'!HT10</f>
        <v/>
      </c>
      <c r="DW920" s="451" t="n"/>
      <c r="DY920" s="429" t="n">
        <v>7</v>
      </c>
      <c r="DZ920" s="431" t="n">
        <v>7</v>
      </c>
      <c r="EA920" s="688" t="n"/>
      <c r="EB920" s="431" t="inlineStr">
        <is>
          <t>Boolean</t>
        </is>
      </c>
      <c r="EC920" s="451" t="n"/>
      <c r="ED920" s="335">
        <f>'CIRCUIT SIM'!GO10</f>
        <v/>
      </c>
      <c r="EE920" s="451" t="n"/>
      <c r="EG920" s="429" t="n">
        <v>7</v>
      </c>
      <c r="EH920" s="431" t="n">
        <v>7</v>
      </c>
      <c r="EI920" s="688" t="n"/>
      <c r="EJ920" s="431" t="inlineStr">
        <is>
          <t>Boolean</t>
        </is>
      </c>
      <c r="EK920" s="451" t="n"/>
      <c r="EL920" s="451">
        <f>'CIRCUIT SIM'!HD10</f>
        <v/>
      </c>
      <c r="EM920" s="451" t="n"/>
      <c r="EO920" s="429" t="n">
        <v>7</v>
      </c>
      <c r="EP920" s="431" t="n">
        <v>7</v>
      </c>
      <c r="EQ920" s="688" t="n"/>
      <c r="ER920" s="431" t="inlineStr">
        <is>
          <t>Boolean</t>
        </is>
      </c>
      <c r="ES920" s="451" t="n"/>
      <c r="ET920" s="451">
        <f>'CIRCUIT SIM'!HT10</f>
        <v/>
      </c>
      <c r="EU920" s="451" t="n"/>
      <c r="EW920" s="429" t="n">
        <v>7</v>
      </c>
      <c r="EX920" s="431" t="n">
        <v>7</v>
      </c>
      <c r="EY920" s="688" t="n"/>
      <c r="EZ920" s="431" t="inlineStr">
        <is>
          <t>Boolean</t>
        </is>
      </c>
      <c r="FA920" s="451" t="n"/>
      <c r="FB920" s="451">
        <f>'CIRCUIT SIM'!II10</f>
        <v/>
      </c>
      <c r="FC920" s="451" t="n"/>
      <c r="FE920" s="429" t="n">
        <v>7</v>
      </c>
      <c r="FF920" s="431" t="n">
        <v>7</v>
      </c>
      <c r="FG920" s="688" t="n"/>
      <c r="FH920" s="431" t="inlineStr">
        <is>
          <t>Boolean</t>
        </is>
      </c>
      <c r="FI920" s="451" t="n"/>
      <c r="FJ920" s="451">
        <f>'CIRCUIT SIM'!IU10</f>
        <v/>
      </c>
      <c r="FK920" s="451" t="n"/>
      <c r="FM920" s="429" t="n">
        <v>7</v>
      </c>
      <c r="FN920" s="431" t="n">
        <v>7</v>
      </c>
      <c r="FO920" s="688" t="n"/>
      <c r="FP920" s="431" t="inlineStr">
        <is>
          <t>Boolean</t>
        </is>
      </c>
      <c r="FQ920" s="451" t="n"/>
      <c r="FR920" s="451">
        <f>'CIRCUIT SIM'!KY10</f>
        <v/>
      </c>
      <c r="FS920" s="451" t="n"/>
      <c r="FU920" s="429" t="n">
        <v>7</v>
      </c>
      <c r="FV920" s="431" t="n">
        <v>7</v>
      </c>
      <c r="FW920" s="688" t="n"/>
      <c r="FX920" s="431" t="inlineStr">
        <is>
          <t>Boolean</t>
        </is>
      </c>
      <c r="FY920" s="451" t="n"/>
      <c r="FZ920" s="562">
        <f>'CIRCUIT SIM'!JG10</f>
        <v/>
      </c>
      <c r="GA920" s="451" t="n"/>
      <c r="GC920" s="429" t="n">
        <v>7</v>
      </c>
      <c r="GD920" s="431" t="n">
        <v>7</v>
      </c>
      <c r="GE920" s="688" t="n"/>
      <c r="GF920" s="431" t="inlineStr">
        <is>
          <t>Boolean</t>
        </is>
      </c>
      <c r="GG920" s="451" t="n"/>
      <c r="GH920" s="451">
        <f>'CIRCUIT SIM'!JW10</f>
        <v/>
      </c>
      <c r="GI920" s="451" t="n"/>
      <c r="GK920" s="429" t="n">
        <v>7</v>
      </c>
      <c r="GL920" s="431" t="n">
        <v>7</v>
      </c>
      <c r="GM920" s="688" t="n"/>
      <c r="GN920" s="431" t="inlineStr">
        <is>
          <t>Boolean</t>
        </is>
      </c>
      <c r="GO920" s="451" t="n"/>
      <c r="GP920" s="451">
        <f>'CIRCUIT SIM'!KI10</f>
        <v/>
      </c>
      <c r="GQ920" s="451" t="n"/>
      <c r="GS920" s="429" t="n">
        <v>7</v>
      </c>
      <c r="GT920" s="431" t="n">
        <v>7</v>
      </c>
      <c r="GU920" s="688" t="n"/>
      <c r="GV920" s="431" t="inlineStr">
        <is>
          <t>Boolean</t>
        </is>
      </c>
      <c r="GW920" s="451" t="n"/>
      <c r="GX920" s="451">
        <f>'CIRCUIT SIM'!KY10</f>
        <v/>
      </c>
      <c r="GY920" s="451" t="n"/>
      <c r="HA920" s="429" t="n">
        <v>7</v>
      </c>
      <c r="HB920" s="431" t="n">
        <v>7</v>
      </c>
      <c r="HC920" s="688" t="n"/>
      <c r="HD920" s="431" t="n"/>
      <c r="HE920" s="451" t="n"/>
      <c r="HF920" s="451" t="n"/>
      <c r="HG920" s="451" t="n"/>
    </row>
    <row r="921">
      <c r="A921" s="429" t="n">
        <v>8</v>
      </c>
      <c r="B921" s="431" t="n">
        <v>8</v>
      </c>
      <c r="C921" s="688" t="n"/>
      <c r="D921" s="431" t="inlineStr">
        <is>
          <t>Boolean</t>
        </is>
      </c>
      <c r="E921" s="429" t="n"/>
      <c r="F921" s="422">
        <f>'CIRCUIT SIM'!J11</f>
        <v/>
      </c>
      <c r="G921" s="429" t="n"/>
      <c r="I921" s="429" t="n">
        <v>8</v>
      </c>
      <c r="J921" s="431" t="n">
        <v>8</v>
      </c>
      <c r="K921" s="429" t="n"/>
      <c r="L921" s="431" t="inlineStr">
        <is>
          <t>Boolean</t>
        </is>
      </c>
      <c r="M921" s="451" t="n"/>
      <c r="N921" s="422">
        <f>'CIRCUIT SIM'!Y11</f>
        <v/>
      </c>
      <c r="O921" s="451" t="n"/>
      <c r="Q921" s="429" t="n">
        <v>8</v>
      </c>
      <c r="R921" s="431" t="n">
        <v>8</v>
      </c>
      <c r="S921" s="429" t="n"/>
      <c r="T921" s="431" t="inlineStr">
        <is>
          <t>Boolean</t>
        </is>
      </c>
      <c r="U921" s="429" t="inlineStr">
        <is>
          <t> </t>
        </is>
      </c>
      <c r="V921" s="386">
        <f>'CIRCUIT SIM'!AO11</f>
        <v/>
      </c>
      <c r="W921" s="451" t="n"/>
      <c r="Y921" s="429" t="n">
        <v>8</v>
      </c>
      <c r="Z921" s="431" t="n">
        <v>8</v>
      </c>
      <c r="AB921" s="431" t="inlineStr">
        <is>
          <t>Boolean</t>
        </is>
      </c>
      <c r="AC921" s="451" t="n"/>
      <c r="AD921" s="562">
        <f>'CIRCUIT SIM'!BB11</f>
        <v/>
      </c>
      <c r="AE921" s="451" t="n"/>
      <c r="AG921" s="429" t="n">
        <v>8</v>
      </c>
      <c r="AH921" s="431" t="n">
        <v>8</v>
      </c>
      <c r="AI921" s="429" t="n"/>
      <c r="AJ921" s="431" t="inlineStr">
        <is>
          <t>Boolean</t>
        </is>
      </c>
      <c r="AK921" s="451" t="n"/>
      <c r="AL921" s="450">
        <f>'CIRCUIT SIM'!CR11</f>
        <v/>
      </c>
      <c r="AM921" s="451" t="n"/>
      <c r="AO921" s="429" t="n">
        <v>8</v>
      </c>
      <c r="AP921" s="431" t="n">
        <v>8</v>
      </c>
      <c r="AQ921" s="429" t="n"/>
      <c r="AR921" s="431" t="inlineStr">
        <is>
          <t>Boolean</t>
        </is>
      </c>
      <c r="AS921" s="451" t="n"/>
      <c r="AT921" s="386">
        <f>'CIRCUIT SIM'!BR11</f>
        <v/>
      </c>
      <c r="AU921" s="451" t="n"/>
      <c r="AW921" s="429" t="n">
        <v>8</v>
      </c>
      <c r="AX921" s="431" t="n">
        <v>8</v>
      </c>
      <c r="AY921" s="429" t="n"/>
      <c r="AZ921" s="431" t="inlineStr">
        <is>
          <t>Boolean</t>
        </is>
      </c>
      <c r="BA921" s="451" t="n"/>
      <c r="BB921" s="451">
        <f>'CIRCUIT SIM'!CG11</f>
        <v/>
      </c>
      <c r="BC921" s="451" t="n"/>
      <c r="BE921" s="429" t="n">
        <v>8</v>
      </c>
      <c r="BF921" s="431" t="n">
        <v>8</v>
      </c>
      <c r="BG921" s="563" t="n"/>
      <c r="BH921" s="431" t="inlineStr">
        <is>
          <t>Boolean</t>
        </is>
      </c>
      <c r="BI921" s="451" t="n"/>
      <c r="BJ921" s="451">
        <f>'CIRCUIT SIM'!DH11</f>
        <v/>
      </c>
      <c r="BK921" s="451" t="n"/>
      <c r="BM921" s="429" t="n">
        <v>8</v>
      </c>
      <c r="BN921" s="431" t="n">
        <v>8</v>
      </c>
      <c r="BO921" s="429" t="n"/>
      <c r="BP921" s="431" t="inlineStr">
        <is>
          <t>Boolean</t>
        </is>
      </c>
      <c r="BQ921" s="451" t="n"/>
      <c r="BR921" s="451">
        <f>'CIRCUIT SIM'!DT11</f>
        <v/>
      </c>
      <c r="BS921" s="451" t="n"/>
      <c r="BU921" s="429" t="n">
        <v>8</v>
      </c>
      <c r="BV921" s="431" t="n">
        <v>8</v>
      </c>
      <c r="BW921" s="429" t="n"/>
      <c r="BX921" s="431" t="inlineStr">
        <is>
          <t>Boolean</t>
        </is>
      </c>
      <c r="BY921" s="451" t="n"/>
      <c r="BZ921" s="451">
        <f>'CIRCUIT SIM'!EI11</f>
        <v/>
      </c>
      <c r="CA921" s="451" t="n"/>
      <c r="CC921" s="429" t="n">
        <v>8</v>
      </c>
      <c r="CD921" s="431" t="n">
        <v>8</v>
      </c>
      <c r="CE921" s="688" t="n"/>
      <c r="CF921" s="431" t="inlineStr">
        <is>
          <t>Boolean</t>
        </is>
      </c>
      <c r="CG921" s="451" t="n"/>
      <c r="CH921" s="562">
        <f>'CIRCUIT SIM'!LK11</f>
        <v/>
      </c>
      <c r="CI921" s="451" t="n"/>
      <c r="CK921" s="429" t="n">
        <v>8</v>
      </c>
      <c r="CL921" s="431" t="n">
        <v>8</v>
      </c>
      <c r="CM921" s="688" t="n"/>
      <c r="CN921" s="431" t="inlineStr">
        <is>
          <t>Boolean</t>
        </is>
      </c>
      <c r="CO921" s="451" t="n"/>
      <c r="CP921" s="451">
        <f>'CIRCUIT SIM'!MA11</f>
        <v/>
      </c>
      <c r="CQ921" s="451" t="n"/>
      <c r="CS921" s="429" t="n">
        <v>8</v>
      </c>
      <c r="CT921" s="431" t="n">
        <v>8</v>
      </c>
      <c r="CU921" s="688" t="n"/>
      <c r="CV921" s="431" t="inlineStr">
        <is>
          <t>Boolean</t>
        </is>
      </c>
      <c r="CW921" s="451" t="n"/>
      <c r="CX921" s="451">
        <f>'CIRCUIT SIM'!MQ11</f>
        <v/>
      </c>
      <c r="CY921" s="451" t="n"/>
      <c r="DA921" s="429" t="n">
        <v>8</v>
      </c>
      <c r="DB921" s="431" t="n">
        <v>8</v>
      </c>
      <c r="DC921" s="688" t="n"/>
      <c r="DD921" s="431" t="inlineStr">
        <is>
          <t>Boolean</t>
        </is>
      </c>
      <c r="DE921" s="451" t="n"/>
      <c r="DF921" s="451">
        <f>'CIRCUIT SIM'!EX11</f>
        <v/>
      </c>
      <c r="DG921" s="451" t="n"/>
      <c r="DI921" s="429" t="n">
        <v>8</v>
      </c>
      <c r="DJ921" s="431" t="n">
        <v>8</v>
      </c>
      <c r="DK921" s="688" t="n"/>
      <c r="DL921" s="431" t="inlineStr">
        <is>
          <t>Boolean</t>
        </is>
      </c>
      <c r="DM921" s="429" t="n"/>
      <c r="DN921" s="451">
        <f>'CIRCUIT SIM'!FN11</f>
        <v/>
      </c>
      <c r="DO921" s="451" t="n"/>
      <c r="DQ921" s="429" t="n">
        <v>8</v>
      </c>
      <c r="DR921" s="431" t="n">
        <v>8</v>
      </c>
      <c r="DS921" s="688" t="n"/>
      <c r="DT921" s="431" t="inlineStr">
        <is>
          <t>Boolean</t>
        </is>
      </c>
      <c r="DU921" s="451" t="n"/>
      <c r="DV921" s="451">
        <f>'CIRCUIT SIM'!HT11</f>
        <v/>
      </c>
      <c r="DW921" s="451" t="n"/>
      <c r="DY921" s="429" t="n">
        <v>8</v>
      </c>
      <c r="DZ921" s="431" t="n">
        <v>8</v>
      </c>
      <c r="EA921" s="688" t="n"/>
      <c r="EB921" s="431" t="inlineStr">
        <is>
          <t>Boolean</t>
        </is>
      </c>
      <c r="EC921" s="451" t="n"/>
      <c r="ED921" s="335">
        <f>'CIRCUIT SIM'!GO11</f>
        <v/>
      </c>
      <c r="EE921" s="451" t="n"/>
      <c r="EG921" s="429" t="n">
        <v>8</v>
      </c>
      <c r="EH921" s="431" t="n">
        <v>8</v>
      </c>
      <c r="EI921" s="688" t="n"/>
      <c r="EJ921" s="431" t="inlineStr">
        <is>
          <t>Boolean</t>
        </is>
      </c>
      <c r="EK921" s="451" t="n"/>
      <c r="EL921" s="451">
        <f>'CIRCUIT SIM'!HD11</f>
        <v/>
      </c>
      <c r="EM921" s="451" t="n"/>
      <c r="EO921" s="429" t="n">
        <v>8</v>
      </c>
      <c r="EP921" s="431" t="n">
        <v>8</v>
      </c>
      <c r="EQ921" s="688" t="n"/>
      <c r="ER921" s="431" t="inlineStr">
        <is>
          <t>Boolean</t>
        </is>
      </c>
      <c r="ES921" s="451" t="n"/>
      <c r="ET921" s="451">
        <f>'CIRCUIT SIM'!HT11</f>
        <v/>
      </c>
      <c r="EU921" s="451" t="n"/>
      <c r="EW921" s="429" t="n">
        <v>8</v>
      </c>
      <c r="EX921" s="431" t="n">
        <v>8</v>
      </c>
      <c r="EY921" s="688" t="n"/>
      <c r="EZ921" s="431" t="inlineStr">
        <is>
          <t>Boolean</t>
        </is>
      </c>
      <c r="FA921" s="451" t="n"/>
      <c r="FB921" s="451">
        <f>'CIRCUIT SIM'!II11</f>
        <v/>
      </c>
      <c r="FC921" s="451" t="n"/>
      <c r="FE921" s="429" t="n">
        <v>8</v>
      </c>
      <c r="FF921" s="431" t="n">
        <v>8</v>
      </c>
      <c r="FG921" s="688" t="n"/>
      <c r="FH921" s="431" t="inlineStr">
        <is>
          <t>Boolean</t>
        </is>
      </c>
      <c r="FI921" s="451" t="n"/>
      <c r="FJ921" s="451">
        <f>'CIRCUIT SIM'!IU11</f>
        <v/>
      </c>
      <c r="FK921" s="451" t="n"/>
      <c r="FM921" s="429" t="n">
        <v>8</v>
      </c>
      <c r="FN921" s="431" t="n">
        <v>8</v>
      </c>
      <c r="FO921" s="688" t="n"/>
      <c r="FP921" s="431" t="inlineStr">
        <is>
          <t>Boolean</t>
        </is>
      </c>
      <c r="FQ921" s="451" t="n"/>
      <c r="FR921" s="451">
        <f>'CIRCUIT SIM'!KY11</f>
        <v/>
      </c>
      <c r="FS921" s="451" t="n"/>
      <c r="FU921" s="429" t="n">
        <v>8</v>
      </c>
      <c r="FV921" s="431" t="n">
        <v>8</v>
      </c>
      <c r="FW921" s="688" t="n"/>
      <c r="FX921" s="431" t="inlineStr">
        <is>
          <t>Boolean</t>
        </is>
      </c>
      <c r="FY921" s="451" t="n"/>
      <c r="FZ921" s="562">
        <f>'CIRCUIT SIM'!JG11</f>
        <v/>
      </c>
      <c r="GA921" s="451" t="n"/>
      <c r="GC921" s="429" t="n">
        <v>8</v>
      </c>
      <c r="GD921" s="431" t="n">
        <v>8</v>
      </c>
      <c r="GE921" s="688" t="n"/>
      <c r="GF921" s="431" t="inlineStr">
        <is>
          <t>Boolean</t>
        </is>
      </c>
      <c r="GG921" s="451" t="n"/>
      <c r="GH921" s="451">
        <f>'CIRCUIT SIM'!JW11</f>
        <v/>
      </c>
      <c r="GI921" s="451" t="n"/>
      <c r="GK921" s="429" t="n">
        <v>8</v>
      </c>
      <c r="GL921" s="431" t="n">
        <v>8</v>
      </c>
      <c r="GM921" s="688" t="n"/>
      <c r="GN921" s="431" t="inlineStr">
        <is>
          <t>Boolean</t>
        </is>
      </c>
      <c r="GO921" s="451" t="n"/>
      <c r="GP921" s="451">
        <f>'CIRCUIT SIM'!KI11</f>
        <v/>
      </c>
      <c r="GQ921" s="451" t="n"/>
      <c r="GS921" s="429" t="n">
        <v>8</v>
      </c>
      <c r="GT921" s="431" t="n">
        <v>8</v>
      </c>
      <c r="GU921" s="688" t="n"/>
      <c r="GV921" s="431" t="inlineStr">
        <is>
          <t>Boolean</t>
        </is>
      </c>
      <c r="GW921" s="451" t="n"/>
      <c r="GX921" s="451">
        <f>'CIRCUIT SIM'!KY11</f>
        <v/>
      </c>
      <c r="GY921" s="451" t="n"/>
      <c r="HA921" s="429" t="n">
        <v>8</v>
      </c>
      <c r="HB921" s="431" t="n">
        <v>8</v>
      </c>
      <c r="HC921" s="688" t="n"/>
      <c r="HD921" s="431" t="n"/>
      <c r="HE921" s="451" t="n"/>
      <c r="HF921" s="451" t="n"/>
      <c r="HG921" s="451" t="n"/>
    </row>
    <row r="922">
      <c r="A922" s="429" t="n">
        <v>9</v>
      </c>
      <c r="B922" s="431" t="n">
        <v>9</v>
      </c>
      <c r="C922" s="688" t="n"/>
      <c r="D922" s="431" t="inlineStr">
        <is>
          <t>Boolean</t>
        </is>
      </c>
      <c r="E922" s="429" t="n"/>
      <c r="F922" s="422">
        <f>'CIRCUIT SIM'!J12</f>
        <v/>
      </c>
      <c r="G922" s="429" t="n"/>
      <c r="I922" s="429" t="n">
        <v>9</v>
      </c>
      <c r="J922" s="431" t="n">
        <v>9</v>
      </c>
      <c r="K922" s="429" t="n"/>
      <c r="L922" s="431" t="inlineStr">
        <is>
          <t>Boolean</t>
        </is>
      </c>
      <c r="M922" s="451" t="n"/>
      <c r="N922" s="422">
        <f>'CIRCUIT SIM'!Y12</f>
        <v/>
      </c>
      <c r="O922" s="451" t="n"/>
      <c r="Q922" s="429" t="n">
        <v>9</v>
      </c>
      <c r="R922" s="431" t="n">
        <v>9</v>
      </c>
      <c r="S922" s="429" t="n"/>
      <c r="T922" s="431" t="inlineStr">
        <is>
          <t>Boolean</t>
        </is>
      </c>
      <c r="U922" s="429" t="n"/>
      <c r="V922" s="386">
        <f>'CIRCUIT SIM'!AO12</f>
        <v/>
      </c>
      <c r="W922" s="451" t="n"/>
      <c r="Y922" s="429" t="n">
        <v>9</v>
      </c>
      <c r="Z922" s="431" t="n">
        <v>9</v>
      </c>
      <c r="AA922" s="429" t="n"/>
      <c r="AB922" s="431" t="inlineStr">
        <is>
          <t>Boolean</t>
        </is>
      </c>
      <c r="AC922" s="451" t="n"/>
      <c r="AD922" s="562">
        <f>'CIRCUIT SIM'!BB12</f>
        <v/>
      </c>
      <c r="AE922" s="451" t="n"/>
      <c r="AG922" s="429" t="n">
        <v>9</v>
      </c>
      <c r="AH922" s="431" t="n">
        <v>9</v>
      </c>
      <c r="AI922" s="429" t="n"/>
      <c r="AJ922" s="431" t="inlineStr">
        <is>
          <t>Boolean</t>
        </is>
      </c>
      <c r="AK922" s="451" t="n"/>
      <c r="AL922" s="450">
        <f>'CIRCUIT SIM'!CR12</f>
        <v/>
      </c>
      <c r="AM922" s="451" t="n"/>
      <c r="AO922" s="429" t="n">
        <v>9</v>
      </c>
      <c r="AP922" s="431" t="n">
        <v>9</v>
      </c>
      <c r="AQ922" s="429" t="n"/>
      <c r="AR922" s="431" t="inlineStr">
        <is>
          <t>Boolean</t>
        </is>
      </c>
      <c r="AS922" s="451" t="n"/>
      <c r="AT922" s="386">
        <f>'CIRCUIT SIM'!BR12</f>
        <v/>
      </c>
      <c r="AU922" s="451" t="n"/>
      <c r="AW922" s="429" t="n">
        <v>9</v>
      </c>
      <c r="AX922" s="431" t="n">
        <v>9</v>
      </c>
      <c r="AY922" s="429" t="n"/>
      <c r="AZ922" s="431" t="inlineStr">
        <is>
          <t>Boolean</t>
        </is>
      </c>
      <c r="BA922" s="451" t="n"/>
      <c r="BB922" s="451">
        <f>'CIRCUIT SIM'!CG12</f>
        <v/>
      </c>
      <c r="BC922" s="451" t="n"/>
      <c r="BD922" s="335" t="inlineStr">
        <is>
          <t> </t>
        </is>
      </c>
      <c r="BE922" s="429" t="n">
        <v>9</v>
      </c>
      <c r="BF922" s="431" t="n">
        <v>9</v>
      </c>
      <c r="BG922" s="563" t="n"/>
      <c r="BH922" s="431" t="inlineStr">
        <is>
          <t>Boolean</t>
        </is>
      </c>
      <c r="BI922" s="451" t="n"/>
      <c r="BJ922" s="451">
        <f>'CIRCUIT SIM'!DH12</f>
        <v/>
      </c>
      <c r="BK922" s="451" t="n"/>
      <c r="BM922" s="429" t="n">
        <v>9</v>
      </c>
      <c r="BN922" s="431" t="n">
        <v>9</v>
      </c>
      <c r="BO922" s="429" t="n"/>
      <c r="BP922" s="431" t="inlineStr">
        <is>
          <t>Boolean</t>
        </is>
      </c>
      <c r="BQ922" s="451" t="n"/>
      <c r="BR922" s="451">
        <f>'CIRCUIT SIM'!DT12</f>
        <v/>
      </c>
      <c r="BS922" s="451" t="n"/>
      <c r="BU922" s="429" t="n">
        <v>9</v>
      </c>
      <c r="BV922" s="431" t="n">
        <v>9</v>
      </c>
      <c r="BW922" s="429" t="n"/>
      <c r="BX922" s="431" t="inlineStr">
        <is>
          <t>Boolean</t>
        </is>
      </c>
      <c r="BY922" s="451" t="n"/>
      <c r="BZ922" s="451">
        <f>'CIRCUIT SIM'!EI12</f>
        <v/>
      </c>
      <c r="CA922" s="451" t="n"/>
      <c r="CC922" s="429" t="n">
        <v>9</v>
      </c>
      <c r="CD922" s="431" t="n">
        <v>9</v>
      </c>
      <c r="CE922" s="688" t="n"/>
      <c r="CF922" s="431" t="inlineStr">
        <is>
          <t>Boolean</t>
        </is>
      </c>
      <c r="CG922" s="451" t="n"/>
      <c r="CH922" s="562">
        <f>'CIRCUIT SIM'!LK12</f>
        <v/>
      </c>
      <c r="CI922" s="451" t="n"/>
      <c r="CK922" s="429" t="n">
        <v>9</v>
      </c>
      <c r="CL922" s="431" t="n">
        <v>9</v>
      </c>
      <c r="CM922" s="688" t="n"/>
      <c r="CN922" s="431" t="inlineStr">
        <is>
          <t>Boolean</t>
        </is>
      </c>
      <c r="CO922" s="451" t="n"/>
      <c r="CP922" s="451">
        <f>'CIRCUIT SIM'!MA12</f>
        <v/>
      </c>
      <c r="CQ922" s="451" t="n"/>
      <c r="CS922" s="429" t="n">
        <v>9</v>
      </c>
      <c r="CT922" s="431" t="n">
        <v>9</v>
      </c>
      <c r="CU922" s="688" t="n"/>
      <c r="CV922" s="431" t="inlineStr">
        <is>
          <t>Boolean</t>
        </is>
      </c>
      <c r="CW922" s="451" t="n"/>
      <c r="CX922" s="451">
        <f>'CIRCUIT SIM'!MQ12</f>
        <v/>
      </c>
      <c r="CY922" s="451" t="n"/>
      <c r="DA922" s="429" t="n">
        <v>9</v>
      </c>
      <c r="DB922" s="431" t="n">
        <v>9</v>
      </c>
      <c r="DC922" s="688" t="n"/>
      <c r="DD922" s="431" t="inlineStr">
        <is>
          <t>Boolean</t>
        </is>
      </c>
      <c r="DE922" s="451" t="n"/>
      <c r="DF922" s="451">
        <f>'CIRCUIT SIM'!EX12</f>
        <v/>
      </c>
      <c r="DG922" s="451" t="n"/>
      <c r="DI922" s="429" t="n">
        <v>9</v>
      </c>
      <c r="DJ922" s="431" t="n">
        <v>9</v>
      </c>
      <c r="DK922" s="688" t="n"/>
      <c r="DL922" s="431" t="inlineStr">
        <is>
          <t>Boolean</t>
        </is>
      </c>
      <c r="DM922" s="429" t="n"/>
      <c r="DN922" s="451">
        <f>'CIRCUIT SIM'!FN12</f>
        <v/>
      </c>
      <c r="DO922" s="451" t="n"/>
      <c r="DQ922" s="429" t="n">
        <v>9</v>
      </c>
      <c r="DR922" s="431" t="n">
        <v>9</v>
      </c>
      <c r="DS922" s="688" t="n"/>
      <c r="DT922" s="431" t="inlineStr">
        <is>
          <t>Boolean</t>
        </is>
      </c>
      <c r="DU922" s="451" t="n"/>
      <c r="DV922" s="451">
        <f>'CIRCUIT SIM'!HT12</f>
        <v/>
      </c>
      <c r="DW922" s="451" t="n"/>
      <c r="DY922" s="429" t="n">
        <v>9</v>
      </c>
      <c r="DZ922" s="431" t="n">
        <v>9</v>
      </c>
      <c r="EA922" s="688" t="n"/>
      <c r="EB922" s="431" t="inlineStr">
        <is>
          <t>Boolean</t>
        </is>
      </c>
      <c r="EC922" s="451" t="n"/>
      <c r="ED922" s="335">
        <f>'CIRCUIT SIM'!GO12</f>
        <v/>
      </c>
      <c r="EE922" s="451" t="n"/>
      <c r="EG922" s="429" t="n">
        <v>9</v>
      </c>
      <c r="EH922" s="431" t="n">
        <v>9</v>
      </c>
      <c r="EI922" s="688" t="n"/>
      <c r="EJ922" s="431" t="inlineStr">
        <is>
          <t>Boolean</t>
        </is>
      </c>
      <c r="EK922" s="451" t="n"/>
      <c r="EL922" s="451">
        <f>'CIRCUIT SIM'!HD12</f>
        <v/>
      </c>
      <c r="EM922" s="451" t="n"/>
      <c r="EO922" s="429" t="n">
        <v>9</v>
      </c>
      <c r="EP922" s="431" t="n">
        <v>9</v>
      </c>
      <c r="EQ922" s="688" t="n"/>
      <c r="ER922" s="431" t="inlineStr">
        <is>
          <t>Boolean</t>
        </is>
      </c>
      <c r="ES922" s="451" t="n"/>
      <c r="ET922" s="451">
        <f>'CIRCUIT SIM'!HT12</f>
        <v/>
      </c>
      <c r="EU922" s="451" t="n"/>
      <c r="EW922" s="429" t="n">
        <v>9</v>
      </c>
      <c r="EX922" s="431" t="n">
        <v>9</v>
      </c>
      <c r="EY922" s="688" t="n"/>
      <c r="EZ922" s="431" t="inlineStr">
        <is>
          <t>Boolean</t>
        </is>
      </c>
      <c r="FA922" s="451" t="n"/>
      <c r="FB922" s="451">
        <f>'CIRCUIT SIM'!II12</f>
        <v/>
      </c>
      <c r="FC922" s="451" t="n"/>
      <c r="FE922" s="429" t="n">
        <v>9</v>
      </c>
      <c r="FF922" s="431" t="n">
        <v>9</v>
      </c>
      <c r="FG922" s="688" t="n"/>
      <c r="FH922" s="431" t="inlineStr">
        <is>
          <t>Boolean</t>
        </is>
      </c>
      <c r="FI922" s="451" t="n"/>
      <c r="FJ922" s="451">
        <f>'CIRCUIT SIM'!IU12</f>
        <v/>
      </c>
      <c r="FK922" s="451" t="n"/>
      <c r="FM922" s="429" t="n">
        <v>9</v>
      </c>
      <c r="FN922" s="431" t="n">
        <v>9</v>
      </c>
      <c r="FO922" s="688" t="n"/>
      <c r="FP922" s="431" t="inlineStr">
        <is>
          <t>Boolean</t>
        </is>
      </c>
      <c r="FQ922" s="451" t="n"/>
      <c r="FR922" s="451">
        <f>'CIRCUIT SIM'!KY12</f>
        <v/>
      </c>
      <c r="FS922" s="451" t="n"/>
      <c r="FU922" s="429" t="n">
        <v>9</v>
      </c>
      <c r="FV922" s="431" t="n">
        <v>9</v>
      </c>
      <c r="FW922" s="688" t="n"/>
      <c r="FX922" s="431" t="inlineStr">
        <is>
          <t>Boolean</t>
        </is>
      </c>
      <c r="FY922" s="451" t="n"/>
      <c r="FZ922" s="562">
        <f>'CIRCUIT SIM'!JG12</f>
        <v/>
      </c>
      <c r="GA922" s="451" t="n"/>
      <c r="GC922" s="429" t="n">
        <v>9</v>
      </c>
      <c r="GD922" s="431" t="n">
        <v>9</v>
      </c>
      <c r="GE922" s="688" t="n"/>
      <c r="GF922" s="431" t="inlineStr">
        <is>
          <t>Boolean</t>
        </is>
      </c>
      <c r="GG922" s="451" t="n"/>
      <c r="GH922" s="451">
        <f>'CIRCUIT SIM'!JW12</f>
        <v/>
      </c>
      <c r="GI922" s="451" t="n"/>
      <c r="GK922" s="429" t="n">
        <v>9</v>
      </c>
      <c r="GL922" s="431" t="n">
        <v>9</v>
      </c>
      <c r="GM922" s="688" t="n"/>
      <c r="GN922" s="431" t="inlineStr">
        <is>
          <t>Boolean</t>
        </is>
      </c>
      <c r="GO922" s="451" t="n"/>
      <c r="GP922" s="451">
        <f>'CIRCUIT SIM'!KI12</f>
        <v/>
      </c>
      <c r="GQ922" s="451" t="n"/>
      <c r="GS922" s="429" t="n">
        <v>9</v>
      </c>
      <c r="GT922" s="431" t="n">
        <v>9</v>
      </c>
      <c r="GU922" s="688" t="n"/>
      <c r="GV922" s="431" t="inlineStr">
        <is>
          <t>Boolean</t>
        </is>
      </c>
      <c r="GW922" s="451" t="n"/>
      <c r="GX922" s="451">
        <f>'CIRCUIT SIM'!KY12</f>
        <v/>
      </c>
      <c r="GY922" s="451" t="n"/>
      <c r="HA922" s="429" t="n">
        <v>9</v>
      </c>
      <c r="HB922" s="431" t="n">
        <v>9</v>
      </c>
      <c r="HC922" s="688" t="n"/>
      <c r="HD922" s="431" t="n"/>
      <c r="HE922" s="451" t="n"/>
      <c r="HF922" s="451" t="n"/>
      <c r="HG922" s="451" t="n"/>
    </row>
    <row r="923">
      <c r="A923" s="429" t="n">
        <v>10</v>
      </c>
      <c r="B923" s="431" t="n">
        <v>10</v>
      </c>
      <c r="C923" s="335" t="n"/>
      <c r="D923" s="431" t="inlineStr">
        <is>
          <t>Boolean</t>
        </is>
      </c>
      <c r="E923" s="429" t="n"/>
      <c r="F923" s="422">
        <f>'CIRCUIT SIM'!J13</f>
        <v/>
      </c>
      <c r="G923" s="429" t="n"/>
      <c r="I923" s="429" t="n">
        <v>10</v>
      </c>
      <c r="J923" s="431" t="n">
        <v>10</v>
      </c>
      <c r="K923" s="429" t="n"/>
      <c r="L923" s="431" t="inlineStr">
        <is>
          <t>Boolean</t>
        </is>
      </c>
      <c r="M923" s="451" t="n"/>
      <c r="N923" s="422">
        <f>'CIRCUIT SIM'!Y13</f>
        <v/>
      </c>
      <c r="O923" s="451" t="n"/>
      <c r="Q923" s="429" t="n">
        <v>10</v>
      </c>
      <c r="R923" s="431" t="n">
        <v>10</v>
      </c>
      <c r="S923" s="429" t="n"/>
      <c r="T923" s="431" t="inlineStr">
        <is>
          <t>Boolean</t>
        </is>
      </c>
      <c r="U923" s="429" t="n"/>
      <c r="V923" s="386">
        <f>'CIRCUIT SIM'!AO13</f>
        <v/>
      </c>
      <c r="W923" s="451" t="n"/>
      <c r="Y923" s="429" t="n">
        <v>10</v>
      </c>
      <c r="Z923" s="431" t="n">
        <v>10</v>
      </c>
      <c r="AA923" s="429" t="n"/>
      <c r="AB923" s="431" t="inlineStr">
        <is>
          <t>Boolean</t>
        </is>
      </c>
      <c r="AC923" s="451" t="n"/>
      <c r="AD923" s="562">
        <f>'CIRCUIT SIM'!BB13</f>
        <v/>
      </c>
      <c r="AE923" s="451" t="n"/>
      <c r="AG923" s="429" t="n">
        <v>10</v>
      </c>
      <c r="AH923" s="431" t="n">
        <v>10</v>
      </c>
      <c r="AI923" s="429" t="n"/>
      <c r="AJ923" s="431" t="inlineStr">
        <is>
          <t>Boolean</t>
        </is>
      </c>
      <c r="AK923" s="451" t="n"/>
      <c r="AL923" s="450">
        <f>'CIRCUIT SIM'!CR13</f>
        <v/>
      </c>
      <c r="AM923" s="451" t="n"/>
      <c r="AO923" s="429" t="n">
        <v>10</v>
      </c>
      <c r="AP923" s="431" t="n">
        <v>10</v>
      </c>
      <c r="AQ923" s="429" t="n"/>
      <c r="AR923" s="431" t="inlineStr">
        <is>
          <t>Boolean</t>
        </is>
      </c>
      <c r="AS923" s="451" t="n"/>
      <c r="AT923" s="386">
        <f>'CIRCUIT SIM'!BR13</f>
        <v/>
      </c>
      <c r="AU923" s="451" t="n"/>
      <c r="AW923" s="429" t="n">
        <v>10</v>
      </c>
      <c r="AX923" s="431" t="n">
        <v>10</v>
      </c>
      <c r="AY923" s="429" t="n"/>
      <c r="AZ923" s="431" t="inlineStr">
        <is>
          <t>Boolean</t>
        </is>
      </c>
      <c r="BA923" s="451" t="n"/>
      <c r="BB923" s="451">
        <f>'CIRCUIT SIM'!CG13</f>
        <v/>
      </c>
      <c r="BC923" s="451" t="n"/>
      <c r="BE923" s="429" t="n">
        <v>10</v>
      </c>
      <c r="BF923" s="431" t="n">
        <v>10</v>
      </c>
      <c r="BG923" s="563" t="n"/>
      <c r="BH923" s="431" t="inlineStr">
        <is>
          <t>Boolean</t>
        </is>
      </c>
      <c r="BI923" s="451" t="n"/>
      <c r="BJ923" s="451">
        <f>'CIRCUIT SIM'!DH13</f>
        <v/>
      </c>
      <c r="BK923" s="451" t="inlineStr">
        <is>
          <t> </t>
        </is>
      </c>
      <c r="BM923" s="429" t="n">
        <v>10</v>
      </c>
      <c r="BN923" s="431" t="n">
        <v>10</v>
      </c>
      <c r="BO923" s="429" t="n"/>
      <c r="BP923" s="431" t="inlineStr">
        <is>
          <t>Boolean</t>
        </is>
      </c>
      <c r="BQ923" s="451" t="n"/>
      <c r="BR923" s="451">
        <f>'CIRCUIT SIM'!DT13</f>
        <v/>
      </c>
      <c r="BS923" s="451" t="n"/>
      <c r="BU923" s="429" t="n">
        <v>10</v>
      </c>
      <c r="BV923" s="431" t="n">
        <v>10</v>
      </c>
      <c r="BW923" s="429" t="n"/>
      <c r="BX923" s="431" t="inlineStr">
        <is>
          <t>Boolean</t>
        </is>
      </c>
      <c r="BY923" s="451" t="n"/>
      <c r="BZ923" s="451">
        <f>'CIRCUIT SIM'!EI13</f>
        <v/>
      </c>
      <c r="CA923" s="451" t="n"/>
      <c r="CC923" s="429" t="n">
        <v>10</v>
      </c>
      <c r="CD923" s="431" t="n">
        <v>10</v>
      </c>
      <c r="CE923" s="688" t="n"/>
      <c r="CF923" s="431" t="inlineStr">
        <is>
          <t>Boolean</t>
        </is>
      </c>
      <c r="CG923" s="451" t="n"/>
      <c r="CH923" s="562">
        <f>'CIRCUIT SIM'!LK13</f>
        <v/>
      </c>
      <c r="CI923" s="451" t="n"/>
      <c r="CK923" s="429" t="n">
        <v>10</v>
      </c>
      <c r="CL923" s="431" t="n">
        <v>10</v>
      </c>
      <c r="CM923" s="688" t="n"/>
      <c r="CN923" s="431" t="inlineStr">
        <is>
          <t>Boolean</t>
        </is>
      </c>
      <c r="CO923" s="451" t="n"/>
      <c r="CP923" s="451">
        <f>'CIRCUIT SIM'!MA13</f>
        <v/>
      </c>
      <c r="CQ923" s="451" t="n"/>
      <c r="CS923" s="429" t="n">
        <v>10</v>
      </c>
      <c r="CT923" s="431" t="n">
        <v>10</v>
      </c>
      <c r="CU923" s="688" t="n"/>
      <c r="CV923" s="431" t="inlineStr">
        <is>
          <t>Boolean</t>
        </is>
      </c>
      <c r="CW923" s="451" t="n"/>
      <c r="CX923" s="451">
        <f>'CIRCUIT SIM'!MQ13</f>
        <v/>
      </c>
      <c r="CY923" s="451" t="n"/>
      <c r="DA923" s="429" t="n">
        <v>10</v>
      </c>
      <c r="DB923" s="431" t="n">
        <v>10</v>
      </c>
      <c r="DC923" s="688" t="n"/>
      <c r="DD923" s="431" t="inlineStr">
        <is>
          <t>Boolean</t>
        </is>
      </c>
      <c r="DE923" s="451" t="n"/>
      <c r="DF923" s="451">
        <f>'CIRCUIT SIM'!EX13</f>
        <v/>
      </c>
      <c r="DG923" s="451" t="n"/>
      <c r="DI923" s="429" t="n">
        <v>10</v>
      </c>
      <c r="DJ923" s="431" t="n">
        <v>10</v>
      </c>
      <c r="DK923" s="688" t="n"/>
      <c r="DL923" s="431" t="inlineStr">
        <is>
          <t>Boolean</t>
        </is>
      </c>
      <c r="DM923" s="429" t="n"/>
      <c r="DN923" s="451">
        <f>'CIRCUIT SIM'!FN13</f>
        <v/>
      </c>
      <c r="DO923" s="451" t="n"/>
      <c r="DQ923" s="429" t="n">
        <v>10</v>
      </c>
      <c r="DR923" s="431" t="n">
        <v>10</v>
      </c>
      <c r="DS923" s="688" t="n"/>
      <c r="DT923" s="431" t="inlineStr">
        <is>
          <t>Boolean</t>
        </is>
      </c>
      <c r="DU923" s="451" t="n"/>
      <c r="DV923" s="451">
        <f>'CIRCUIT SIM'!HT13</f>
        <v/>
      </c>
      <c r="DW923" s="451" t="n"/>
      <c r="DY923" s="429" t="n">
        <v>10</v>
      </c>
      <c r="DZ923" s="431" t="n">
        <v>10</v>
      </c>
      <c r="EA923" s="688" t="n"/>
      <c r="EB923" s="431" t="inlineStr">
        <is>
          <t>Boolean</t>
        </is>
      </c>
      <c r="EC923" s="451" t="n"/>
      <c r="ED923" s="335">
        <f>'CIRCUIT SIM'!GO13</f>
        <v/>
      </c>
      <c r="EE923" s="451" t="n"/>
      <c r="EG923" s="429" t="n">
        <v>10</v>
      </c>
      <c r="EH923" s="431" t="n">
        <v>10</v>
      </c>
      <c r="EI923" s="688" t="n"/>
      <c r="EJ923" s="431" t="inlineStr">
        <is>
          <t>Boolean</t>
        </is>
      </c>
      <c r="EK923" s="451" t="n"/>
      <c r="EL923" s="451">
        <f>'CIRCUIT SIM'!HD13</f>
        <v/>
      </c>
      <c r="EM923" s="451" t="n"/>
      <c r="EO923" s="429" t="n">
        <v>10</v>
      </c>
      <c r="EP923" s="431" t="n">
        <v>10</v>
      </c>
      <c r="EQ923" s="688" t="n"/>
      <c r="ER923" s="431" t="inlineStr">
        <is>
          <t>Boolean</t>
        </is>
      </c>
      <c r="ES923" s="451" t="n"/>
      <c r="ET923" s="451">
        <f>'CIRCUIT SIM'!HT13</f>
        <v/>
      </c>
      <c r="EU923" s="451" t="n"/>
      <c r="EW923" s="429" t="n">
        <v>10</v>
      </c>
      <c r="EX923" s="431" t="n">
        <v>10</v>
      </c>
      <c r="EY923" s="688" t="n"/>
      <c r="EZ923" s="431" t="inlineStr">
        <is>
          <t>Boolean</t>
        </is>
      </c>
      <c r="FA923" s="451" t="n"/>
      <c r="FB923" s="451">
        <f>'CIRCUIT SIM'!II13</f>
        <v/>
      </c>
      <c r="FC923" s="451" t="n"/>
      <c r="FE923" s="429" t="n">
        <v>10</v>
      </c>
      <c r="FF923" s="431" t="n">
        <v>10</v>
      </c>
      <c r="FG923" s="688" t="n"/>
      <c r="FH923" s="431" t="inlineStr">
        <is>
          <t>Boolean</t>
        </is>
      </c>
      <c r="FI923" s="451" t="n"/>
      <c r="FJ923" s="451">
        <f>'CIRCUIT SIM'!IU13</f>
        <v/>
      </c>
      <c r="FK923" s="451" t="n"/>
      <c r="FM923" s="429" t="n">
        <v>10</v>
      </c>
      <c r="FN923" s="431" t="n">
        <v>10</v>
      </c>
      <c r="FO923" s="688" t="n"/>
      <c r="FP923" s="431" t="inlineStr">
        <is>
          <t>Boolean</t>
        </is>
      </c>
      <c r="FQ923" s="451" t="n"/>
      <c r="FR923" s="451">
        <f>'CIRCUIT SIM'!KY13</f>
        <v/>
      </c>
      <c r="FS923" s="451" t="n"/>
      <c r="FU923" s="429" t="n">
        <v>10</v>
      </c>
      <c r="FV923" s="431" t="n">
        <v>10</v>
      </c>
      <c r="FW923" s="688" t="n"/>
      <c r="FX923" s="431" t="inlineStr">
        <is>
          <t>Boolean</t>
        </is>
      </c>
      <c r="FY923" s="451" t="n"/>
      <c r="FZ923" s="562">
        <f>'CIRCUIT SIM'!JG13</f>
        <v/>
      </c>
      <c r="GA923" s="451" t="n"/>
      <c r="GC923" s="429" t="n">
        <v>10</v>
      </c>
      <c r="GD923" s="431" t="n">
        <v>10</v>
      </c>
      <c r="GE923" s="688" t="n"/>
      <c r="GF923" s="431" t="inlineStr">
        <is>
          <t>Boolean</t>
        </is>
      </c>
      <c r="GG923" s="451" t="n"/>
      <c r="GH923" s="451">
        <f>'CIRCUIT SIM'!JW13</f>
        <v/>
      </c>
      <c r="GI923" s="451" t="n"/>
      <c r="GK923" s="429" t="n">
        <v>10</v>
      </c>
      <c r="GL923" s="431" t="n">
        <v>10</v>
      </c>
      <c r="GM923" s="688" t="n"/>
      <c r="GN923" s="431" t="inlineStr">
        <is>
          <t>Boolean</t>
        </is>
      </c>
      <c r="GO923" s="451" t="n"/>
      <c r="GP923" s="451">
        <f>'CIRCUIT SIM'!KI13</f>
        <v/>
      </c>
      <c r="GQ923" s="451" t="n"/>
      <c r="GS923" s="429" t="n">
        <v>10</v>
      </c>
      <c r="GT923" s="431" t="n">
        <v>10</v>
      </c>
      <c r="GU923" s="688" t="n"/>
      <c r="GV923" s="431" t="inlineStr">
        <is>
          <t>Boolean</t>
        </is>
      </c>
      <c r="GW923" s="451" t="n"/>
      <c r="GX923" s="451">
        <f>'CIRCUIT SIM'!KY13</f>
        <v/>
      </c>
      <c r="GY923" s="451" t="n"/>
      <c r="HA923" s="429" t="n">
        <v>10</v>
      </c>
      <c r="HB923" s="431" t="n">
        <v>10</v>
      </c>
      <c r="HC923" s="688" t="n"/>
      <c r="HD923" s="431" t="n"/>
      <c r="HE923" s="451" t="n"/>
      <c r="HF923" s="451" t="n"/>
      <c r="HG923" s="451" t="n"/>
    </row>
    <row r="924">
      <c r="A924" s="429" t="n">
        <v>11</v>
      </c>
      <c r="B924" s="431" t="n">
        <v>11</v>
      </c>
      <c r="C924" s="688" t="n"/>
      <c r="D924" s="431" t="inlineStr">
        <is>
          <t>Boolean</t>
        </is>
      </c>
      <c r="E924" s="429" t="n"/>
      <c r="F924" s="422">
        <f>'CIRCUIT SIM'!J14</f>
        <v/>
      </c>
      <c r="G924" s="429" t="n"/>
      <c r="I924" s="429" t="n">
        <v>11</v>
      </c>
      <c r="J924" s="431" t="n">
        <v>11</v>
      </c>
      <c r="K924" s="429" t="n"/>
      <c r="L924" s="431" t="inlineStr">
        <is>
          <t>Boolean</t>
        </is>
      </c>
      <c r="M924" s="451" t="n"/>
      <c r="N924" s="422">
        <f>'CIRCUIT SIM'!Y14</f>
        <v/>
      </c>
      <c r="O924" s="451" t="n"/>
      <c r="Q924" s="429" t="n">
        <v>11</v>
      </c>
      <c r="R924" s="431" t="n">
        <v>11</v>
      </c>
      <c r="S924" s="429" t="n"/>
      <c r="T924" s="431" t="inlineStr">
        <is>
          <t>Boolean</t>
        </is>
      </c>
      <c r="U924" s="429" t="n"/>
      <c r="V924" s="386">
        <f>'CIRCUIT SIM'!AO14</f>
        <v/>
      </c>
      <c r="W924" s="451" t="n"/>
      <c r="Y924" s="429" t="n">
        <v>11</v>
      </c>
      <c r="Z924" s="431" t="n">
        <v>11</v>
      </c>
      <c r="AA924" s="429" t="n"/>
      <c r="AB924" s="431" t="inlineStr">
        <is>
          <t>Boolean</t>
        </is>
      </c>
      <c r="AC924" s="451" t="n"/>
      <c r="AD924" s="562">
        <f>'CIRCUIT SIM'!BB14</f>
        <v/>
      </c>
      <c r="AE924" s="451" t="n"/>
      <c r="AG924" s="429" t="n">
        <v>11</v>
      </c>
      <c r="AH924" s="431" t="n">
        <v>11</v>
      </c>
      <c r="AI924" s="429" t="n"/>
      <c r="AJ924" s="431" t="inlineStr">
        <is>
          <t>Boolean</t>
        </is>
      </c>
      <c r="AK924" s="451" t="n"/>
      <c r="AL924" s="450">
        <f>'CIRCUIT SIM'!CR14</f>
        <v/>
      </c>
      <c r="AM924" s="451" t="n"/>
      <c r="AO924" s="429" t="n">
        <v>11</v>
      </c>
      <c r="AP924" s="431" t="n">
        <v>11</v>
      </c>
      <c r="AQ924" s="429" t="n"/>
      <c r="AR924" s="431" t="inlineStr">
        <is>
          <t>Boolean</t>
        </is>
      </c>
      <c r="AS924" s="451" t="n"/>
      <c r="AT924" s="386">
        <f>'CIRCUIT SIM'!BR14</f>
        <v/>
      </c>
      <c r="AU924" s="451" t="n"/>
      <c r="AW924" s="429" t="n">
        <v>11</v>
      </c>
      <c r="AX924" s="431" t="n">
        <v>11</v>
      </c>
      <c r="AY924" s="429" t="n"/>
      <c r="AZ924" s="431" t="inlineStr">
        <is>
          <t>Boolean</t>
        </is>
      </c>
      <c r="BA924" s="451" t="n"/>
      <c r="BB924" s="451">
        <f>'CIRCUIT SIM'!CG14</f>
        <v/>
      </c>
      <c r="BC924" s="451" t="n"/>
      <c r="BD924" s="335" t="inlineStr">
        <is>
          <t> </t>
        </is>
      </c>
      <c r="BE924" s="429" t="n">
        <v>11</v>
      </c>
      <c r="BF924" s="431" t="n">
        <v>11</v>
      </c>
      <c r="BG924" s="563" t="n"/>
      <c r="BH924" s="431" t="inlineStr">
        <is>
          <t>Boolean</t>
        </is>
      </c>
      <c r="BI924" s="451" t="n"/>
      <c r="BJ924" s="451">
        <f>'CIRCUIT SIM'!DH14</f>
        <v/>
      </c>
      <c r="BK924" s="451" t="n"/>
      <c r="BM924" s="429" t="n">
        <v>11</v>
      </c>
      <c r="BN924" s="431" t="n">
        <v>11</v>
      </c>
      <c r="BO924" s="429" t="n"/>
      <c r="BP924" s="431" t="inlineStr">
        <is>
          <t>Boolean</t>
        </is>
      </c>
      <c r="BQ924" s="451" t="n"/>
      <c r="BR924" s="451">
        <f>'CIRCUIT SIM'!DT14</f>
        <v/>
      </c>
      <c r="BS924" s="451" t="n"/>
      <c r="BU924" s="429" t="n">
        <v>11</v>
      </c>
      <c r="BV924" s="431" t="n">
        <v>11</v>
      </c>
      <c r="BW924" s="429" t="n"/>
      <c r="BX924" s="431" t="inlineStr">
        <is>
          <t>Boolean</t>
        </is>
      </c>
      <c r="BY924" s="451" t="inlineStr">
        <is>
          <t> </t>
        </is>
      </c>
      <c r="BZ924" s="451">
        <f>'CIRCUIT SIM'!EI14</f>
        <v/>
      </c>
      <c r="CA924" s="451" t="n"/>
      <c r="CC924" s="429" t="n">
        <v>11</v>
      </c>
      <c r="CD924" s="431" t="n">
        <v>11</v>
      </c>
      <c r="CE924" s="688" t="n"/>
      <c r="CF924" s="431" t="inlineStr">
        <is>
          <t>Boolean</t>
        </is>
      </c>
      <c r="CG924" s="451" t="n"/>
      <c r="CH924" s="562">
        <f>'CIRCUIT SIM'!LK14</f>
        <v/>
      </c>
      <c r="CI924" s="451" t="n"/>
      <c r="CK924" s="429" t="n">
        <v>11</v>
      </c>
      <c r="CL924" s="431" t="n">
        <v>11</v>
      </c>
      <c r="CM924" s="688" t="n"/>
      <c r="CN924" s="431" t="inlineStr">
        <is>
          <t>Boolean</t>
        </is>
      </c>
      <c r="CO924" s="451" t="n"/>
      <c r="CP924" s="451">
        <f>'CIRCUIT SIM'!MA14</f>
        <v/>
      </c>
      <c r="CQ924" s="451" t="n"/>
      <c r="CS924" s="429" t="n">
        <v>11</v>
      </c>
      <c r="CT924" s="431" t="n">
        <v>11</v>
      </c>
      <c r="CU924" s="688" t="n"/>
      <c r="CV924" s="431" t="inlineStr">
        <is>
          <t>Boolean</t>
        </is>
      </c>
      <c r="CW924" s="451" t="n"/>
      <c r="CX924" s="451">
        <f>'CIRCUIT SIM'!MQ14</f>
        <v/>
      </c>
      <c r="CY924" s="451" t="n"/>
      <c r="DA924" s="429" t="n">
        <v>11</v>
      </c>
      <c r="DB924" s="431" t="n">
        <v>11</v>
      </c>
      <c r="DC924" s="688" t="n"/>
      <c r="DD924" s="431" t="inlineStr">
        <is>
          <t>Boolean</t>
        </is>
      </c>
      <c r="DE924" s="451" t="n"/>
      <c r="DF924" s="451">
        <f>'CIRCUIT SIM'!EX14</f>
        <v/>
      </c>
      <c r="DG924" s="451" t="n"/>
      <c r="DI924" s="429" t="n">
        <v>11</v>
      </c>
      <c r="DJ924" s="431" t="n">
        <v>11</v>
      </c>
      <c r="DK924" s="688" t="n"/>
      <c r="DL924" s="431" t="inlineStr">
        <is>
          <t>Boolean</t>
        </is>
      </c>
      <c r="DM924" s="429" t="n"/>
      <c r="DN924" s="451">
        <f>'CIRCUIT SIM'!FN14</f>
        <v/>
      </c>
      <c r="DO924" s="451" t="n"/>
      <c r="DQ924" s="429" t="n">
        <v>11</v>
      </c>
      <c r="DR924" s="431" t="n">
        <v>11</v>
      </c>
      <c r="DS924" s="688" t="n"/>
      <c r="DT924" s="431" t="inlineStr">
        <is>
          <t>Boolean</t>
        </is>
      </c>
      <c r="DU924" s="451" t="n"/>
      <c r="DV924" s="451">
        <f>'CIRCUIT SIM'!HT14</f>
        <v/>
      </c>
      <c r="DW924" s="451" t="n"/>
      <c r="DY924" s="429" t="n">
        <v>11</v>
      </c>
      <c r="DZ924" s="431" t="n">
        <v>11</v>
      </c>
      <c r="EA924" s="688" t="n"/>
      <c r="EB924" s="431" t="inlineStr">
        <is>
          <t>Boolean</t>
        </is>
      </c>
      <c r="EC924" s="451" t="n"/>
      <c r="ED924" s="335">
        <f>'CIRCUIT SIM'!GO14</f>
        <v/>
      </c>
      <c r="EE924" s="451" t="n"/>
      <c r="EG924" s="429" t="n">
        <v>11</v>
      </c>
      <c r="EH924" s="431" t="n">
        <v>11</v>
      </c>
      <c r="EI924" s="688" t="n"/>
      <c r="EJ924" s="431" t="inlineStr">
        <is>
          <t>Boolean</t>
        </is>
      </c>
      <c r="EK924" s="451" t="n"/>
      <c r="EL924" s="451">
        <f>'CIRCUIT SIM'!HD14</f>
        <v/>
      </c>
      <c r="EM924" s="451" t="n"/>
      <c r="EO924" s="429" t="n">
        <v>11</v>
      </c>
      <c r="EP924" s="431" t="n">
        <v>11</v>
      </c>
      <c r="EQ924" s="688" t="n"/>
      <c r="ER924" s="431" t="inlineStr">
        <is>
          <t>Boolean</t>
        </is>
      </c>
      <c r="ES924" s="451" t="n"/>
      <c r="ET924" s="451">
        <f>'CIRCUIT SIM'!HT14</f>
        <v/>
      </c>
      <c r="EU924" s="451" t="n"/>
      <c r="EW924" s="429" t="n">
        <v>11</v>
      </c>
      <c r="EX924" s="431" t="n">
        <v>11</v>
      </c>
      <c r="EY924" s="688" t="n"/>
      <c r="EZ924" s="431" t="inlineStr">
        <is>
          <t>Boolean</t>
        </is>
      </c>
      <c r="FA924" s="451" t="n"/>
      <c r="FB924" s="451">
        <f>'CIRCUIT SIM'!II14</f>
        <v/>
      </c>
      <c r="FC924" s="451" t="n"/>
      <c r="FE924" s="429" t="n">
        <v>11</v>
      </c>
      <c r="FF924" s="431" t="n">
        <v>11</v>
      </c>
      <c r="FG924" s="688" t="n"/>
      <c r="FH924" s="431" t="inlineStr">
        <is>
          <t>Boolean</t>
        </is>
      </c>
      <c r="FI924" s="451" t="n"/>
      <c r="FJ924" s="451">
        <f>'CIRCUIT SIM'!IU14</f>
        <v/>
      </c>
      <c r="FK924" s="451" t="n"/>
      <c r="FM924" s="429" t="n">
        <v>11</v>
      </c>
      <c r="FN924" s="431" t="n">
        <v>11</v>
      </c>
      <c r="FO924" s="688" t="n"/>
      <c r="FP924" s="431" t="inlineStr">
        <is>
          <t>Boolean</t>
        </is>
      </c>
      <c r="FQ924" s="451" t="n"/>
      <c r="FR924" s="451">
        <f>'CIRCUIT SIM'!KY14</f>
        <v/>
      </c>
      <c r="FS924" s="451" t="n"/>
      <c r="FU924" s="429" t="n">
        <v>11</v>
      </c>
      <c r="FV924" s="431" t="n">
        <v>11</v>
      </c>
      <c r="FW924" s="688" t="n"/>
      <c r="FX924" s="431" t="inlineStr">
        <is>
          <t>Boolean</t>
        </is>
      </c>
      <c r="FY924" s="451" t="n"/>
      <c r="FZ924" s="562">
        <f>'CIRCUIT SIM'!JG14</f>
        <v/>
      </c>
      <c r="GA924" s="451" t="n"/>
      <c r="GC924" s="429" t="n">
        <v>11</v>
      </c>
      <c r="GD924" s="431" t="n">
        <v>11</v>
      </c>
      <c r="GE924" s="688" t="n"/>
      <c r="GF924" s="431" t="inlineStr">
        <is>
          <t>Boolean</t>
        </is>
      </c>
      <c r="GG924" s="451" t="n"/>
      <c r="GH924" s="451">
        <f>'CIRCUIT SIM'!JW14</f>
        <v/>
      </c>
      <c r="GI924" s="451" t="n"/>
      <c r="GK924" s="429" t="n">
        <v>11</v>
      </c>
      <c r="GL924" s="431" t="n">
        <v>11</v>
      </c>
      <c r="GM924" s="688" t="n"/>
      <c r="GN924" s="431" t="inlineStr">
        <is>
          <t>Boolean</t>
        </is>
      </c>
      <c r="GO924" s="451" t="n"/>
      <c r="GP924" s="451">
        <f>'CIRCUIT SIM'!KI14</f>
        <v/>
      </c>
      <c r="GQ924" s="451" t="n"/>
      <c r="GS924" s="429" t="n">
        <v>11</v>
      </c>
      <c r="GT924" s="431" t="n">
        <v>11</v>
      </c>
      <c r="GU924" s="688" t="n"/>
      <c r="GV924" s="431" t="inlineStr">
        <is>
          <t>Boolean</t>
        </is>
      </c>
      <c r="GW924" s="451" t="n"/>
      <c r="GX924" s="451">
        <f>'CIRCUIT SIM'!KY14</f>
        <v/>
      </c>
      <c r="GY924" s="451" t="n"/>
      <c r="HA924" s="429" t="n">
        <v>11</v>
      </c>
      <c r="HB924" s="431" t="n">
        <v>11</v>
      </c>
      <c r="HC924" s="688" t="n"/>
      <c r="HD924" s="431" t="n"/>
      <c r="HE924" s="451" t="n"/>
      <c r="HF924" s="451" t="n"/>
      <c r="HG924" s="451" t="n"/>
    </row>
    <row r="925">
      <c r="A925" s="429" t="n">
        <v>12</v>
      </c>
      <c r="B925" s="431" t="n">
        <v>12</v>
      </c>
      <c r="C925" s="688" t="n"/>
      <c r="D925" s="431" t="inlineStr">
        <is>
          <t>Boolean</t>
        </is>
      </c>
      <c r="E925" s="429" t="n"/>
      <c r="F925" s="422">
        <f>'CIRCUIT SIM'!J15</f>
        <v/>
      </c>
      <c r="G925" s="429" t="n"/>
      <c r="I925" s="429" t="n">
        <v>12</v>
      </c>
      <c r="J925" s="431" t="n">
        <v>12</v>
      </c>
      <c r="K925" s="429" t="n"/>
      <c r="L925" s="431" t="inlineStr">
        <is>
          <t>Boolean</t>
        </is>
      </c>
      <c r="M925" s="451" t="n"/>
      <c r="N925" s="422">
        <f>'CIRCUIT SIM'!Y15</f>
        <v/>
      </c>
      <c r="O925" s="451" t="n"/>
      <c r="Q925" s="429" t="n">
        <v>12</v>
      </c>
      <c r="R925" s="431" t="n">
        <v>12</v>
      </c>
      <c r="S925" s="429" t="n"/>
      <c r="T925" s="431" t="inlineStr">
        <is>
          <t>Boolean</t>
        </is>
      </c>
      <c r="U925" s="429" t="n"/>
      <c r="V925" s="386">
        <f>'CIRCUIT SIM'!AO15</f>
        <v/>
      </c>
      <c r="W925" s="451" t="n"/>
      <c r="Y925" s="429" t="n">
        <v>12</v>
      </c>
      <c r="Z925" s="431" t="n">
        <v>12</v>
      </c>
      <c r="AA925" s="429" t="n"/>
      <c r="AB925" s="431" t="inlineStr">
        <is>
          <t>Boolean</t>
        </is>
      </c>
      <c r="AC925" s="451" t="n"/>
      <c r="AD925" s="562">
        <f>'CIRCUIT SIM'!BB15</f>
        <v/>
      </c>
      <c r="AE925" s="451" t="n"/>
      <c r="AG925" s="429" t="n">
        <v>12</v>
      </c>
      <c r="AH925" s="431" t="n">
        <v>12</v>
      </c>
      <c r="AI925" s="429" t="n"/>
      <c r="AJ925" s="431" t="inlineStr">
        <is>
          <t>Boolean</t>
        </is>
      </c>
      <c r="AK925" s="451" t="n"/>
      <c r="AL925" s="450">
        <f>'CIRCUIT SIM'!CR15</f>
        <v/>
      </c>
      <c r="AM925" s="451" t="n"/>
      <c r="AO925" s="429" t="n">
        <v>12</v>
      </c>
      <c r="AP925" s="431" t="n">
        <v>12</v>
      </c>
      <c r="AQ925" s="429" t="n"/>
      <c r="AR925" s="431" t="inlineStr">
        <is>
          <t>Boolean</t>
        </is>
      </c>
      <c r="AS925" s="451" t="n"/>
      <c r="AT925" s="386">
        <f>'CIRCUIT SIM'!BR15</f>
        <v/>
      </c>
      <c r="AU925" s="451" t="n"/>
      <c r="AW925" s="429" t="n">
        <v>12</v>
      </c>
      <c r="AX925" s="431" t="n">
        <v>12</v>
      </c>
      <c r="AY925" s="429" t="n"/>
      <c r="AZ925" s="431" t="inlineStr">
        <is>
          <t>Boolean</t>
        </is>
      </c>
      <c r="BA925" s="451" t="n"/>
      <c r="BB925" s="451">
        <f>'CIRCUIT SIM'!CG15</f>
        <v/>
      </c>
      <c r="BC925" s="451" t="n"/>
      <c r="BE925" s="429" t="n">
        <v>12</v>
      </c>
      <c r="BF925" s="431" t="n">
        <v>12</v>
      </c>
      <c r="BG925" s="563" t="n"/>
      <c r="BH925" s="431" t="inlineStr">
        <is>
          <t>Boolean</t>
        </is>
      </c>
      <c r="BI925" s="451" t="n"/>
      <c r="BJ925" s="451">
        <f>'CIRCUIT SIM'!DH15</f>
        <v/>
      </c>
      <c r="BK925" s="451" t="n"/>
      <c r="BM925" s="429" t="n">
        <v>12</v>
      </c>
      <c r="BN925" s="431" t="n">
        <v>12</v>
      </c>
      <c r="BO925" s="429" t="n"/>
      <c r="BP925" s="431" t="inlineStr">
        <is>
          <t>Boolean</t>
        </is>
      </c>
      <c r="BQ925" s="451" t="n"/>
      <c r="BR925" s="451">
        <f>'CIRCUIT SIM'!DT15</f>
        <v/>
      </c>
      <c r="BS925" s="451" t="n"/>
      <c r="BU925" s="429" t="n">
        <v>12</v>
      </c>
      <c r="BV925" s="431" t="n">
        <v>12</v>
      </c>
      <c r="BW925" s="429" t="n"/>
      <c r="BX925" s="431" t="inlineStr">
        <is>
          <t>Boolean</t>
        </is>
      </c>
      <c r="BY925" s="451" t="n"/>
      <c r="BZ925" s="451">
        <f>'CIRCUIT SIM'!EI15</f>
        <v/>
      </c>
      <c r="CA925" s="451" t="n"/>
      <c r="CC925" s="429" t="n">
        <v>12</v>
      </c>
      <c r="CD925" s="431" t="n">
        <v>12</v>
      </c>
      <c r="CE925" s="688" t="n"/>
      <c r="CF925" s="431" t="inlineStr">
        <is>
          <t>Boolean</t>
        </is>
      </c>
      <c r="CG925" s="451" t="n"/>
      <c r="CH925" s="562">
        <f>'CIRCUIT SIM'!LK15</f>
        <v/>
      </c>
      <c r="CI925" s="451" t="n"/>
      <c r="CK925" s="429" t="n">
        <v>12</v>
      </c>
      <c r="CL925" s="431" t="n">
        <v>12</v>
      </c>
      <c r="CM925" s="688" t="n"/>
      <c r="CN925" s="431" t="inlineStr">
        <is>
          <t>Boolean</t>
        </is>
      </c>
      <c r="CO925" s="451" t="n"/>
      <c r="CP925" s="451">
        <f>'CIRCUIT SIM'!MA15</f>
        <v/>
      </c>
      <c r="CQ925" s="451" t="n"/>
      <c r="CS925" s="429" t="n">
        <v>12</v>
      </c>
      <c r="CT925" s="431" t="n">
        <v>12</v>
      </c>
      <c r="CU925" s="688" t="n"/>
      <c r="CV925" s="431" t="inlineStr">
        <is>
          <t>Boolean</t>
        </is>
      </c>
      <c r="CW925" s="451" t="n"/>
      <c r="CX925" s="451">
        <f>'CIRCUIT SIM'!MQ15</f>
        <v/>
      </c>
      <c r="CY925" s="451" t="n"/>
      <c r="DA925" s="429" t="n">
        <v>12</v>
      </c>
      <c r="DB925" s="431" t="n">
        <v>12</v>
      </c>
      <c r="DC925" s="688" t="n"/>
      <c r="DD925" s="431" t="inlineStr">
        <is>
          <t>Boolean</t>
        </is>
      </c>
      <c r="DE925" s="451" t="n"/>
      <c r="DF925" s="451">
        <f>'CIRCUIT SIM'!EX15</f>
        <v/>
      </c>
      <c r="DG925" s="451" t="n"/>
      <c r="DI925" s="429" t="n">
        <v>12</v>
      </c>
      <c r="DJ925" s="431" t="n">
        <v>12</v>
      </c>
      <c r="DK925" s="688" t="n"/>
      <c r="DL925" s="431" t="inlineStr">
        <is>
          <t>Boolean</t>
        </is>
      </c>
      <c r="DM925" s="429" t="n"/>
      <c r="DN925" s="451">
        <f>'CIRCUIT SIM'!FN15</f>
        <v/>
      </c>
      <c r="DO925" s="451" t="n"/>
      <c r="DQ925" s="429" t="n">
        <v>12</v>
      </c>
      <c r="DR925" s="431" t="n">
        <v>12</v>
      </c>
      <c r="DS925" s="688" t="n"/>
      <c r="DT925" s="431" t="inlineStr">
        <is>
          <t>Boolean</t>
        </is>
      </c>
      <c r="DU925" s="451" t="n"/>
      <c r="DV925" s="451">
        <f>'CIRCUIT SIM'!HT15</f>
        <v/>
      </c>
      <c r="DW925" s="451" t="n"/>
      <c r="DY925" s="429" t="n">
        <v>12</v>
      </c>
      <c r="DZ925" s="431" t="n">
        <v>12</v>
      </c>
      <c r="EA925" s="688" t="n"/>
      <c r="EB925" s="431" t="inlineStr">
        <is>
          <t>Boolean</t>
        </is>
      </c>
      <c r="EC925" s="451" t="n"/>
      <c r="ED925" s="335">
        <f>'CIRCUIT SIM'!GO15</f>
        <v/>
      </c>
      <c r="EE925" s="451" t="n"/>
      <c r="EG925" s="429" t="n">
        <v>12</v>
      </c>
      <c r="EH925" s="431" t="n">
        <v>12</v>
      </c>
      <c r="EI925" s="688" t="n"/>
      <c r="EJ925" s="431" t="inlineStr">
        <is>
          <t>Boolean</t>
        </is>
      </c>
      <c r="EK925" s="451" t="n"/>
      <c r="EL925" s="451">
        <f>'CIRCUIT SIM'!HD15</f>
        <v/>
      </c>
      <c r="EM925" s="451" t="n"/>
      <c r="EO925" s="429" t="n">
        <v>12</v>
      </c>
      <c r="EP925" s="431" t="n">
        <v>12</v>
      </c>
      <c r="EQ925" s="688" t="n"/>
      <c r="ER925" s="431" t="inlineStr">
        <is>
          <t>Boolean</t>
        </is>
      </c>
      <c r="ES925" s="451" t="n"/>
      <c r="ET925" s="451">
        <f>'CIRCUIT SIM'!HT15</f>
        <v/>
      </c>
      <c r="EU925" s="451" t="n"/>
      <c r="EW925" s="429" t="n">
        <v>12</v>
      </c>
      <c r="EX925" s="431" t="n">
        <v>12</v>
      </c>
      <c r="EY925" s="688" t="n"/>
      <c r="EZ925" s="431" t="inlineStr">
        <is>
          <t>Boolean</t>
        </is>
      </c>
      <c r="FA925" s="451" t="n"/>
      <c r="FB925" s="451">
        <f>'CIRCUIT SIM'!II15</f>
        <v/>
      </c>
      <c r="FC925" s="451" t="n"/>
      <c r="FE925" s="429" t="n">
        <v>12</v>
      </c>
      <c r="FF925" s="431" t="n">
        <v>12</v>
      </c>
      <c r="FG925" s="688" t="n"/>
      <c r="FH925" s="431" t="inlineStr">
        <is>
          <t>Boolean</t>
        </is>
      </c>
      <c r="FI925" s="451" t="n"/>
      <c r="FJ925" s="451">
        <f>'CIRCUIT SIM'!IU15</f>
        <v/>
      </c>
      <c r="FK925" s="451" t="n"/>
      <c r="FM925" s="429" t="n">
        <v>12</v>
      </c>
      <c r="FN925" s="431" t="n">
        <v>12</v>
      </c>
      <c r="FO925" s="688" t="n"/>
      <c r="FP925" s="431" t="inlineStr">
        <is>
          <t>Boolean</t>
        </is>
      </c>
      <c r="FQ925" s="451" t="n"/>
      <c r="FR925" s="451">
        <f>'CIRCUIT SIM'!KY15</f>
        <v/>
      </c>
      <c r="FS925" s="451" t="n"/>
      <c r="FU925" s="429" t="n">
        <v>12</v>
      </c>
      <c r="FV925" s="431" t="n">
        <v>12</v>
      </c>
      <c r="FW925" s="688" t="n"/>
      <c r="FX925" s="431" t="inlineStr">
        <is>
          <t>Boolean</t>
        </is>
      </c>
      <c r="FY925" s="451" t="n"/>
      <c r="FZ925" s="562">
        <f>'CIRCUIT SIM'!JG15</f>
        <v/>
      </c>
      <c r="GA925" s="451" t="n"/>
      <c r="GC925" s="429" t="n">
        <v>12</v>
      </c>
      <c r="GD925" s="431" t="n">
        <v>12</v>
      </c>
      <c r="GE925" s="688" t="n"/>
      <c r="GF925" s="431" t="inlineStr">
        <is>
          <t>Boolean</t>
        </is>
      </c>
      <c r="GG925" s="451" t="n"/>
      <c r="GH925" s="451">
        <f>'CIRCUIT SIM'!JW15</f>
        <v/>
      </c>
      <c r="GI925" s="451" t="n"/>
      <c r="GK925" s="429" t="n">
        <v>12</v>
      </c>
      <c r="GL925" s="431" t="n">
        <v>12</v>
      </c>
      <c r="GM925" s="688" t="n"/>
      <c r="GN925" s="431" t="inlineStr">
        <is>
          <t>Boolean</t>
        </is>
      </c>
      <c r="GO925" s="451" t="n"/>
      <c r="GP925" s="451">
        <f>'CIRCUIT SIM'!KI15</f>
        <v/>
      </c>
      <c r="GQ925" s="451" t="n"/>
      <c r="GS925" s="429" t="n">
        <v>12</v>
      </c>
      <c r="GT925" s="431" t="n">
        <v>12</v>
      </c>
      <c r="GU925" s="688" t="n"/>
      <c r="GV925" s="431" t="inlineStr">
        <is>
          <t>Boolean</t>
        </is>
      </c>
      <c r="GW925" s="451" t="n"/>
      <c r="GX925" s="451">
        <f>'CIRCUIT SIM'!KY15</f>
        <v/>
      </c>
      <c r="GY925" s="451" t="n"/>
      <c r="HA925" s="429" t="n">
        <v>12</v>
      </c>
      <c r="HB925" s="431" t="n">
        <v>12</v>
      </c>
      <c r="HC925" s="688" t="n"/>
      <c r="HD925" s="431" t="n"/>
      <c r="HE925" s="451" t="n"/>
      <c r="HF925" s="451" t="n"/>
      <c r="HG925" s="451" t="n"/>
    </row>
    <row r="926">
      <c r="A926" s="429" t="n">
        <v>13</v>
      </c>
      <c r="B926" s="431" t="n">
        <v>13</v>
      </c>
      <c r="C926" s="688" t="n"/>
      <c r="D926" s="431" t="inlineStr">
        <is>
          <t>Boolean</t>
        </is>
      </c>
      <c r="E926" s="429" t="n"/>
      <c r="F926" s="422">
        <f>'CIRCUIT SIM'!J16</f>
        <v/>
      </c>
      <c r="G926" s="429" t="n"/>
      <c r="I926" s="429" t="n">
        <v>13</v>
      </c>
      <c r="J926" s="431" t="n">
        <v>13</v>
      </c>
      <c r="K926" s="429" t="n"/>
      <c r="L926" s="431" t="inlineStr">
        <is>
          <t>Boolean</t>
        </is>
      </c>
      <c r="M926" s="451" t="n"/>
      <c r="N926" s="422">
        <f>'CIRCUIT SIM'!Y16</f>
        <v/>
      </c>
      <c r="O926" s="451" t="n"/>
      <c r="Q926" s="429" t="n">
        <v>13</v>
      </c>
      <c r="R926" s="431" t="n">
        <v>13</v>
      </c>
      <c r="S926" s="429" t="n"/>
      <c r="T926" s="431" t="inlineStr">
        <is>
          <t>Boolean</t>
        </is>
      </c>
      <c r="U926" s="429" t="n"/>
      <c r="V926" s="386">
        <f>'CIRCUIT SIM'!AO16</f>
        <v/>
      </c>
      <c r="W926" s="451" t="n"/>
      <c r="Y926" s="429" t="n">
        <v>13</v>
      </c>
      <c r="Z926" s="431" t="n">
        <v>13</v>
      </c>
      <c r="AA926" s="429" t="n"/>
      <c r="AB926" s="431" t="inlineStr">
        <is>
          <t>Boolean</t>
        </is>
      </c>
      <c r="AC926" s="451" t="n"/>
      <c r="AD926" s="562">
        <f>'CIRCUIT SIM'!BB16</f>
        <v/>
      </c>
      <c r="AE926" s="451" t="n"/>
      <c r="AG926" s="429" t="n">
        <v>13</v>
      </c>
      <c r="AH926" s="431" t="n">
        <v>13</v>
      </c>
      <c r="AI926" s="429" t="n"/>
      <c r="AJ926" s="431" t="inlineStr">
        <is>
          <t>Boolean</t>
        </is>
      </c>
      <c r="AK926" s="451" t="n"/>
      <c r="AL926" s="450">
        <f>'CIRCUIT SIM'!CR16</f>
        <v/>
      </c>
      <c r="AM926" s="451" t="n"/>
      <c r="AO926" s="429" t="n">
        <v>13</v>
      </c>
      <c r="AP926" s="431" t="n">
        <v>13</v>
      </c>
      <c r="AQ926" s="429" t="n"/>
      <c r="AR926" s="431" t="inlineStr">
        <is>
          <t>Boolean</t>
        </is>
      </c>
      <c r="AS926" s="451" t="n"/>
      <c r="AT926" s="386">
        <f>'CIRCUIT SIM'!BR16</f>
        <v/>
      </c>
      <c r="AU926" s="451" t="n"/>
      <c r="AW926" s="429" t="n">
        <v>13</v>
      </c>
      <c r="AX926" s="431" t="n">
        <v>13</v>
      </c>
      <c r="AY926" s="429" t="n"/>
      <c r="AZ926" s="431" t="inlineStr">
        <is>
          <t>Boolean</t>
        </is>
      </c>
      <c r="BA926" s="451" t="n"/>
      <c r="BB926" s="451">
        <f>'CIRCUIT SIM'!CG16</f>
        <v/>
      </c>
      <c r="BC926" s="451" t="n"/>
      <c r="BE926" s="429" t="n">
        <v>13</v>
      </c>
      <c r="BF926" s="431" t="n">
        <v>13</v>
      </c>
      <c r="BG926" s="563" t="n"/>
      <c r="BH926" s="431" t="inlineStr">
        <is>
          <t>Boolean</t>
        </is>
      </c>
      <c r="BI926" s="451" t="n"/>
      <c r="BJ926" s="451">
        <f>'CIRCUIT SIM'!DH16</f>
        <v/>
      </c>
      <c r="BK926" s="451" t="n"/>
      <c r="BM926" s="429" t="n">
        <v>13</v>
      </c>
      <c r="BN926" s="431" t="n">
        <v>13</v>
      </c>
      <c r="BO926" s="429" t="n"/>
      <c r="BP926" s="431" t="inlineStr">
        <is>
          <t>Boolean</t>
        </is>
      </c>
      <c r="BQ926" s="451" t="n"/>
      <c r="BR926" s="451">
        <f>'CIRCUIT SIM'!DT16</f>
        <v/>
      </c>
      <c r="BS926" s="451" t="n"/>
      <c r="BU926" s="429" t="n">
        <v>13</v>
      </c>
      <c r="BV926" s="431" t="n">
        <v>13</v>
      </c>
      <c r="BW926" s="429" t="n"/>
      <c r="BX926" s="431" t="inlineStr">
        <is>
          <t>Boolean</t>
        </is>
      </c>
      <c r="BY926" s="451" t="n"/>
      <c r="BZ926" s="451">
        <f>'CIRCUIT SIM'!EI16</f>
        <v/>
      </c>
      <c r="CA926" s="451" t="n"/>
      <c r="CC926" s="429" t="n">
        <v>13</v>
      </c>
      <c r="CD926" s="431" t="n">
        <v>13</v>
      </c>
      <c r="CE926" s="688" t="n"/>
      <c r="CF926" s="431" t="inlineStr">
        <is>
          <t>Boolean</t>
        </is>
      </c>
      <c r="CG926" s="451" t="n"/>
      <c r="CH926" s="562">
        <f>'CIRCUIT SIM'!LK16</f>
        <v/>
      </c>
      <c r="CI926" s="451" t="n"/>
      <c r="CK926" s="429" t="n">
        <v>13</v>
      </c>
      <c r="CL926" s="431" t="n">
        <v>13</v>
      </c>
      <c r="CM926" s="688" t="n"/>
      <c r="CN926" s="431" t="inlineStr">
        <is>
          <t>Boolean</t>
        </is>
      </c>
      <c r="CO926" s="451" t="n"/>
      <c r="CP926" s="451">
        <f>'CIRCUIT SIM'!MA16</f>
        <v/>
      </c>
      <c r="CQ926" s="451" t="n"/>
      <c r="CS926" s="429" t="n">
        <v>13</v>
      </c>
      <c r="CT926" s="431" t="n">
        <v>13</v>
      </c>
      <c r="CU926" s="688" t="n"/>
      <c r="CV926" s="431" t="inlineStr">
        <is>
          <t>Boolean</t>
        </is>
      </c>
      <c r="CW926" s="451" t="n"/>
      <c r="CX926" s="451">
        <f>'CIRCUIT SIM'!MQ16</f>
        <v/>
      </c>
      <c r="CY926" s="451" t="n"/>
      <c r="DA926" s="429" t="n">
        <v>13</v>
      </c>
      <c r="DB926" s="431" t="n">
        <v>13</v>
      </c>
      <c r="DC926" s="688" t="n"/>
      <c r="DD926" s="431" t="inlineStr">
        <is>
          <t>Boolean</t>
        </is>
      </c>
      <c r="DE926" s="451" t="n"/>
      <c r="DF926" s="451">
        <f>'CIRCUIT SIM'!EX16</f>
        <v/>
      </c>
      <c r="DG926" s="451" t="n"/>
      <c r="DI926" s="429" t="n">
        <v>13</v>
      </c>
      <c r="DJ926" s="431" t="n">
        <v>13</v>
      </c>
      <c r="DK926" s="688" t="n"/>
      <c r="DL926" s="431" t="inlineStr">
        <is>
          <t>Boolean</t>
        </is>
      </c>
      <c r="DM926" s="429" t="n"/>
      <c r="DN926" s="451">
        <f>'CIRCUIT SIM'!FN16</f>
        <v/>
      </c>
      <c r="DO926" s="451" t="n"/>
      <c r="DQ926" s="429" t="n">
        <v>13</v>
      </c>
      <c r="DR926" s="431" t="n">
        <v>13</v>
      </c>
      <c r="DS926" s="688" t="n"/>
      <c r="DT926" s="431" t="inlineStr">
        <is>
          <t>Boolean</t>
        </is>
      </c>
      <c r="DU926" s="451" t="n"/>
      <c r="DV926" s="451">
        <f>'CIRCUIT SIM'!HT16</f>
        <v/>
      </c>
      <c r="DW926" s="451" t="n"/>
      <c r="DY926" s="429" t="n">
        <v>13</v>
      </c>
      <c r="DZ926" s="431" t="n">
        <v>13</v>
      </c>
      <c r="EA926" s="688" t="n"/>
      <c r="EB926" s="431" t="inlineStr">
        <is>
          <t>Boolean</t>
        </is>
      </c>
      <c r="EC926" s="451" t="n"/>
      <c r="ED926" s="335">
        <f>'CIRCUIT SIM'!GO16</f>
        <v/>
      </c>
      <c r="EE926" s="451" t="n"/>
      <c r="EG926" s="429" t="n">
        <v>13</v>
      </c>
      <c r="EH926" s="431" t="n">
        <v>13</v>
      </c>
      <c r="EI926" s="688" t="n"/>
      <c r="EJ926" s="431" t="inlineStr">
        <is>
          <t>Boolean</t>
        </is>
      </c>
      <c r="EK926" s="451" t="n"/>
      <c r="EL926" s="451">
        <f>'CIRCUIT SIM'!HD16</f>
        <v/>
      </c>
      <c r="EM926" s="451" t="n"/>
      <c r="EO926" s="429" t="n">
        <v>13</v>
      </c>
      <c r="EP926" s="431" t="n">
        <v>13</v>
      </c>
      <c r="EQ926" s="688" t="n"/>
      <c r="ER926" s="431" t="inlineStr">
        <is>
          <t>Boolean</t>
        </is>
      </c>
      <c r="ES926" s="451" t="n"/>
      <c r="ET926" s="451">
        <f>'CIRCUIT SIM'!HT16</f>
        <v/>
      </c>
      <c r="EU926" s="451" t="n"/>
      <c r="EW926" s="429" t="n">
        <v>13</v>
      </c>
      <c r="EX926" s="431" t="n">
        <v>13</v>
      </c>
      <c r="EY926" s="688" t="n"/>
      <c r="EZ926" s="431" t="inlineStr">
        <is>
          <t>Boolean</t>
        </is>
      </c>
      <c r="FA926" s="451" t="n"/>
      <c r="FB926" s="451">
        <f>'CIRCUIT SIM'!II16</f>
        <v/>
      </c>
      <c r="FC926" s="451" t="n"/>
      <c r="FE926" s="429" t="n">
        <v>13</v>
      </c>
      <c r="FF926" s="431" t="n">
        <v>13</v>
      </c>
      <c r="FG926" s="688" t="n"/>
      <c r="FH926" s="431" t="inlineStr">
        <is>
          <t>Boolean</t>
        </is>
      </c>
      <c r="FI926" s="451" t="n"/>
      <c r="FJ926" s="451">
        <f>'CIRCUIT SIM'!IU16</f>
        <v/>
      </c>
      <c r="FK926" s="451" t="n"/>
      <c r="FM926" s="429" t="n">
        <v>13</v>
      </c>
      <c r="FN926" s="431" t="n">
        <v>13</v>
      </c>
      <c r="FO926" s="688" t="n"/>
      <c r="FP926" s="431" t="inlineStr">
        <is>
          <t>Boolean</t>
        </is>
      </c>
      <c r="FQ926" s="451" t="n"/>
      <c r="FR926" s="451">
        <f>'CIRCUIT SIM'!KY16</f>
        <v/>
      </c>
      <c r="FS926" s="451" t="n"/>
      <c r="FU926" s="429" t="n">
        <v>13</v>
      </c>
      <c r="FV926" s="431" t="n">
        <v>13</v>
      </c>
      <c r="FW926" s="688" t="n"/>
      <c r="FX926" s="431" t="inlineStr">
        <is>
          <t>Boolean</t>
        </is>
      </c>
      <c r="FY926" s="451" t="n"/>
      <c r="FZ926" s="562">
        <f>'CIRCUIT SIM'!JG16</f>
        <v/>
      </c>
      <c r="GA926" s="451" t="n"/>
      <c r="GC926" s="429" t="n">
        <v>13</v>
      </c>
      <c r="GD926" s="431" t="n">
        <v>13</v>
      </c>
      <c r="GE926" s="688" t="n"/>
      <c r="GF926" s="431" t="inlineStr">
        <is>
          <t>Boolean</t>
        </is>
      </c>
      <c r="GG926" s="451" t="n"/>
      <c r="GH926" s="451">
        <f>'CIRCUIT SIM'!JW16</f>
        <v/>
      </c>
      <c r="GI926" s="451" t="n"/>
      <c r="GK926" s="429" t="n">
        <v>13</v>
      </c>
      <c r="GL926" s="431" t="n">
        <v>13</v>
      </c>
      <c r="GM926" s="688" t="n"/>
      <c r="GN926" s="431" t="inlineStr">
        <is>
          <t>Boolean</t>
        </is>
      </c>
      <c r="GO926" s="451" t="n"/>
      <c r="GP926" s="451">
        <f>'CIRCUIT SIM'!KI16</f>
        <v/>
      </c>
      <c r="GQ926" s="451" t="n"/>
      <c r="GS926" s="429" t="n">
        <v>13</v>
      </c>
      <c r="GT926" s="431" t="n">
        <v>13</v>
      </c>
      <c r="GU926" s="688" t="n"/>
      <c r="GV926" s="431" t="inlineStr">
        <is>
          <t>Boolean</t>
        </is>
      </c>
      <c r="GW926" s="451" t="n"/>
      <c r="GX926" s="451">
        <f>'CIRCUIT SIM'!KY16</f>
        <v/>
      </c>
      <c r="GY926" s="451" t="n"/>
      <c r="HA926" s="429" t="n">
        <v>13</v>
      </c>
      <c r="HB926" s="431" t="n">
        <v>13</v>
      </c>
      <c r="HC926" s="688" t="n"/>
      <c r="HD926" s="431" t="n"/>
      <c r="HE926" s="451" t="n"/>
      <c r="HF926" s="451" t="n"/>
      <c r="HG926" s="451" t="n"/>
    </row>
    <row r="927">
      <c r="A927" s="429" t="n">
        <v>14</v>
      </c>
      <c r="B927" s="431" t="n">
        <v>14</v>
      </c>
      <c r="C927" s="688" t="n"/>
      <c r="D927" s="431" t="inlineStr">
        <is>
          <t>Boolean</t>
        </is>
      </c>
      <c r="E927" s="429" t="n"/>
      <c r="F927" s="422">
        <f>'CIRCUIT SIM'!J17</f>
        <v/>
      </c>
      <c r="G927" s="429" t="n"/>
      <c r="I927" s="429" t="n">
        <v>14</v>
      </c>
      <c r="J927" s="431" t="n">
        <v>14</v>
      </c>
      <c r="K927" s="429" t="n"/>
      <c r="L927" s="431" t="inlineStr">
        <is>
          <t>Boolean</t>
        </is>
      </c>
      <c r="M927" s="451" t="n"/>
      <c r="N927" s="422">
        <f>'CIRCUIT SIM'!Y17</f>
        <v/>
      </c>
      <c r="O927" s="451" t="n"/>
      <c r="Q927" s="429" t="n">
        <v>14</v>
      </c>
      <c r="R927" s="431" t="n">
        <v>14</v>
      </c>
      <c r="S927" s="429" t="n"/>
      <c r="T927" s="431" t="inlineStr">
        <is>
          <t>Boolean</t>
        </is>
      </c>
      <c r="U927" s="429" t="n"/>
      <c r="V927" s="386">
        <f>'CIRCUIT SIM'!AO17</f>
        <v/>
      </c>
      <c r="W927" s="451" t="n"/>
      <c r="Y927" s="429" t="n">
        <v>14</v>
      </c>
      <c r="Z927" s="431" t="n">
        <v>14</v>
      </c>
      <c r="AA927" s="429" t="n"/>
      <c r="AB927" s="431" t="inlineStr">
        <is>
          <t>Boolean</t>
        </is>
      </c>
      <c r="AC927" s="451" t="inlineStr">
        <is>
          <t> </t>
        </is>
      </c>
      <c r="AD927" s="562">
        <f>'CIRCUIT SIM'!BB17</f>
        <v/>
      </c>
      <c r="AE927" s="451" t="n"/>
      <c r="AG927" s="429" t="n">
        <v>14</v>
      </c>
      <c r="AH927" s="431" t="n">
        <v>14</v>
      </c>
      <c r="AI927" s="429" t="n"/>
      <c r="AJ927" s="431" t="inlineStr">
        <is>
          <t>Boolean</t>
        </is>
      </c>
      <c r="AK927" s="451" t="n"/>
      <c r="AL927" s="450">
        <f>'CIRCUIT SIM'!CR17</f>
        <v/>
      </c>
      <c r="AM927" s="451" t="n"/>
      <c r="AO927" s="429" t="n">
        <v>14</v>
      </c>
      <c r="AP927" s="431" t="n">
        <v>14</v>
      </c>
      <c r="AQ927" s="429" t="n"/>
      <c r="AR927" s="431" t="inlineStr">
        <is>
          <t>Boolean</t>
        </is>
      </c>
      <c r="AS927" s="451" t="n"/>
      <c r="AT927" s="386">
        <f>'CIRCUIT SIM'!BR17</f>
        <v/>
      </c>
      <c r="AU927" s="451" t="n"/>
      <c r="AW927" s="429" t="n">
        <v>14</v>
      </c>
      <c r="AX927" s="431" t="n">
        <v>14</v>
      </c>
      <c r="AY927" s="429" t="n"/>
      <c r="AZ927" s="431" t="inlineStr">
        <is>
          <t>Boolean</t>
        </is>
      </c>
      <c r="BA927" s="451" t="n"/>
      <c r="BB927" s="451">
        <f>'CIRCUIT SIM'!CG17</f>
        <v/>
      </c>
      <c r="BC927" s="451" t="n"/>
      <c r="BE927" s="429" t="n">
        <v>14</v>
      </c>
      <c r="BF927" s="431" t="n">
        <v>14</v>
      </c>
      <c r="BG927" s="563" t="n"/>
      <c r="BH927" s="431" t="inlineStr">
        <is>
          <t>Boolean</t>
        </is>
      </c>
      <c r="BI927" s="451" t="n"/>
      <c r="BJ927" s="451">
        <f>'CIRCUIT SIM'!DH17</f>
        <v/>
      </c>
      <c r="BK927" s="451" t="n"/>
      <c r="BM927" s="429" t="n">
        <v>14</v>
      </c>
      <c r="BN927" s="431" t="n">
        <v>14</v>
      </c>
      <c r="BO927" s="429" t="n"/>
      <c r="BP927" s="431" t="inlineStr">
        <is>
          <t>Boolean</t>
        </is>
      </c>
      <c r="BQ927" s="451" t="n"/>
      <c r="BR927" s="451">
        <f>'CIRCUIT SIM'!DT17</f>
        <v/>
      </c>
      <c r="BS927" s="451" t="n"/>
      <c r="BU927" s="429" t="n">
        <v>14</v>
      </c>
      <c r="BV927" s="431" t="n">
        <v>14</v>
      </c>
      <c r="BW927" s="429" t="n"/>
      <c r="BX927" s="431" t="inlineStr">
        <is>
          <t>Boolean</t>
        </is>
      </c>
      <c r="BY927" s="451" t="n"/>
      <c r="BZ927" s="451">
        <f>'CIRCUIT SIM'!EI17</f>
        <v/>
      </c>
      <c r="CA927" s="451" t="n"/>
      <c r="CC927" s="429" t="n">
        <v>14</v>
      </c>
      <c r="CD927" s="431" t="n">
        <v>14</v>
      </c>
      <c r="CE927" s="688" t="n"/>
      <c r="CF927" s="431" t="inlineStr">
        <is>
          <t>Boolean</t>
        </is>
      </c>
      <c r="CG927" s="451" t="n"/>
      <c r="CH927" s="562">
        <f>'CIRCUIT SIM'!LK17</f>
        <v/>
      </c>
      <c r="CI927" s="451" t="n"/>
      <c r="CK927" s="429" t="n">
        <v>14</v>
      </c>
      <c r="CL927" s="431" t="n">
        <v>14</v>
      </c>
      <c r="CM927" s="688" t="n"/>
      <c r="CN927" s="431" t="inlineStr">
        <is>
          <t>Boolean</t>
        </is>
      </c>
      <c r="CO927" s="451" t="n"/>
      <c r="CP927" s="451">
        <f>'CIRCUIT SIM'!MA17</f>
        <v/>
      </c>
      <c r="CQ927" s="451" t="n"/>
      <c r="CS927" s="429" t="n">
        <v>14</v>
      </c>
      <c r="CT927" s="431" t="n">
        <v>14</v>
      </c>
      <c r="CU927" s="688" t="n"/>
      <c r="CV927" s="431" t="inlineStr">
        <is>
          <t>Boolean</t>
        </is>
      </c>
      <c r="CW927" s="451" t="n"/>
      <c r="CX927" s="451">
        <f>'CIRCUIT SIM'!MQ17</f>
        <v/>
      </c>
      <c r="CY927" s="451" t="n"/>
      <c r="DA927" s="429" t="n">
        <v>14</v>
      </c>
      <c r="DB927" s="431" t="n">
        <v>14</v>
      </c>
      <c r="DC927" s="688" t="n"/>
      <c r="DD927" s="431" t="inlineStr">
        <is>
          <t>Boolean</t>
        </is>
      </c>
      <c r="DE927" s="451" t="n"/>
      <c r="DF927" s="451">
        <f>'CIRCUIT SIM'!EX17</f>
        <v/>
      </c>
      <c r="DG927" s="451" t="n"/>
      <c r="DI927" s="429" t="n">
        <v>14</v>
      </c>
      <c r="DJ927" s="431" t="n">
        <v>14</v>
      </c>
      <c r="DK927" s="688" t="n"/>
      <c r="DL927" s="431" t="inlineStr">
        <is>
          <t>Boolean</t>
        </is>
      </c>
      <c r="DM927" s="429" t="n"/>
      <c r="DN927" s="451">
        <f>'CIRCUIT SIM'!FN17</f>
        <v/>
      </c>
      <c r="DO927" s="451" t="n"/>
      <c r="DQ927" s="429" t="n">
        <v>14</v>
      </c>
      <c r="DR927" s="431" t="n">
        <v>14</v>
      </c>
      <c r="DS927" s="688" t="n"/>
      <c r="DT927" s="431" t="inlineStr">
        <is>
          <t>Boolean</t>
        </is>
      </c>
      <c r="DU927" s="451" t="n"/>
      <c r="DV927" s="451">
        <f>'CIRCUIT SIM'!HT17</f>
        <v/>
      </c>
      <c r="DW927" s="451" t="n"/>
      <c r="DY927" s="429" t="n">
        <v>14</v>
      </c>
      <c r="DZ927" s="431" t="n">
        <v>14</v>
      </c>
      <c r="EA927" s="688" t="n"/>
      <c r="EB927" s="431" t="inlineStr">
        <is>
          <t>Boolean</t>
        </is>
      </c>
      <c r="EC927" s="451" t="n"/>
      <c r="ED927" s="335">
        <f>'CIRCUIT SIM'!GO17</f>
        <v/>
      </c>
      <c r="EE927" s="451" t="n"/>
      <c r="EG927" s="429" t="n">
        <v>14</v>
      </c>
      <c r="EH927" s="431" t="n">
        <v>14</v>
      </c>
      <c r="EI927" s="688" t="n"/>
      <c r="EJ927" s="431" t="inlineStr">
        <is>
          <t>Boolean</t>
        </is>
      </c>
      <c r="EK927" s="451" t="n"/>
      <c r="EL927" s="451">
        <f>'CIRCUIT SIM'!HD17</f>
        <v/>
      </c>
      <c r="EM927" s="451" t="n"/>
      <c r="EO927" s="429" t="n">
        <v>14</v>
      </c>
      <c r="EP927" s="431" t="n">
        <v>14</v>
      </c>
      <c r="EQ927" s="688" t="n"/>
      <c r="ER927" s="431" t="inlineStr">
        <is>
          <t>Boolean</t>
        </is>
      </c>
      <c r="ES927" s="451" t="n"/>
      <c r="ET927" s="451">
        <f>'CIRCUIT SIM'!HT17</f>
        <v/>
      </c>
      <c r="EU927" s="451" t="n"/>
      <c r="EW927" s="429" t="n">
        <v>14</v>
      </c>
      <c r="EX927" s="431" t="n">
        <v>14</v>
      </c>
      <c r="EY927" s="688" t="n"/>
      <c r="EZ927" s="431" t="inlineStr">
        <is>
          <t>Boolean</t>
        </is>
      </c>
      <c r="FA927" s="451" t="n"/>
      <c r="FB927" s="451">
        <f>'CIRCUIT SIM'!II17</f>
        <v/>
      </c>
      <c r="FC927" s="451" t="n"/>
      <c r="FE927" s="429" t="n">
        <v>14</v>
      </c>
      <c r="FF927" s="431" t="n">
        <v>14</v>
      </c>
      <c r="FG927" s="688" t="n"/>
      <c r="FH927" s="431" t="inlineStr">
        <is>
          <t>Boolean</t>
        </is>
      </c>
      <c r="FI927" s="451" t="n"/>
      <c r="FJ927" s="451">
        <f>'CIRCUIT SIM'!IU17</f>
        <v/>
      </c>
      <c r="FK927" s="451" t="n"/>
      <c r="FM927" s="429" t="n">
        <v>14</v>
      </c>
      <c r="FN927" s="431" t="n">
        <v>14</v>
      </c>
      <c r="FO927" s="688" t="n"/>
      <c r="FP927" s="431" t="inlineStr">
        <is>
          <t>Boolean</t>
        </is>
      </c>
      <c r="FQ927" s="451" t="n"/>
      <c r="FR927" s="451">
        <f>'CIRCUIT SIM'!KY17</f>
        <v/>
      </c>
      <c r="FS927" s="451" t="n"/>
      <c r="FU927" s="429" t="n">
        <v>14</v>
      </c>
      <c r="FV927" s="431" t="n">
        <v>14</v>
      </c>
      <c r="FW927" s="688" t="n"/>
      <c r="FX927" s="431" t="inlineStr">
        <is>
          <t>Boolean</t>
        </is>
      </c>
      <c r="FY927" s="451" t="n"/>
      <c r="FZ927" s="562">
        <f>'CIRCUIT SIM'!JG17</f>
        <v/>
      </c>
      <c r="GA927" s="451" t="n"/>
      <c r="GC927" s="429" t="n">
        <v>14</v>
      </c>
      <c r="GD927" s="431" t="n">
        <v>14</v>
      </c>
      <c r="GE927" s="688" t="n"/>
      <c r="GF927" s="431" t="inlineStr">
        <is>
          <t>Boolean</t>
        </is>
      </c>
      <c r="GG927" s="451" t="n"/>
      <c r="GH927" s="451">
        <f>'CIRCUIT SIM'!JW17</f>
        <v/>
      </c>
      <c r="GI927" s="451" t="n"/>
      <c r="GK927" s="429" t="n">
        <v>14</v>
      </c>
      <c r="GL927" s="431" t="n">
        <v>14</v>
      </c>
      <c r="GM927" s="688" t="n"/>
      <c r="GN927" s="431" t="inlineStr">
        <is>
          <t>Boolean</t>
        </is>
      </c>
      <c r="GO927" s="451" t="n"/>
      <c r="GP927" s="451">
        <f>'CIRCUIT SIM'!KI17</f>
        <v/>
      </c>
      <c r="GQ927" s="451" t="n"/>
      <c r="GS927" s="429" t="n">
        <v>14</v>
      </c>
      <c r="GT927" s="431" t="n">
        <v>14</v>
      </c>
      <c r="GU927" s="688" t="n"/>
      <c r="GV927" s="431" t="inlineStr">
        <is>
          <t>Boolean</t>
        </is>
      </c>
      <c r="GW927" s="451" t="n"/>
      <c r="GX927" s="451">
        <f>'CIRCUIT SIM'!KY17</f>
        <v/>
      </c>
      <c r="GY927" s="451" t="n"/>
      <c r="HA927" s="429" t="n">
        <v>14</v>
      </c>
      <c r="HB927" s="431" t="n">
        <v>14</v>
      </c>
      <c r="HC927" s="688" t="n"/>
      <c r="HD927" s="431" t="n"/>
      <c r="HE927" s="451" t="n"/>
      <c r="HF927" s="451" t="n"/>
      <c r="HG927" s="451" t="n"/>
    </row>
    <row r="928">
      <c r="A928" s="429" t="n">
        <v>15</v>
      </c>
      <c r="B928" s="431" t="n">
        <v>15</v>
      </c>
      <c r="C928" s="688" t="n"/>
      <c r="D928" s="431" t="inlineStr">
        <is>
          <t>Boolean</t>
        </is>
      </c>
      <c r="E928" s="429" t="n"/>
      <c r="F928" s="422">
        <f>'CIRCUIT SIM'!J18</f>
        <v/>
      </c>
      <c r="G928" s="429" t="n"/>
      <c r="I928" s="429" t="n">
        <v>15</v>
      </c>
      <c r="J928" s="431" t="n">
        <v>15</v>
      </c>
      <c r="K928" s="429" t="n"/>
      <c r="L928" s="431" t="inlineStr">
        <is>
          <t>Boolean</t>
        </is>
      </c>
      <c r="M928" s="451" t="n"/>
      <c r="N928" s="422">
        <f>'CIRCUIT SIM'!Y18</f>
        <v/>
      </c>
      <c r="O928" s="451" t="n"/>
      <c r="Q928" s="429" t="n">
        <v>15</v>
      </c>
      <c r="R928" s="431" t="n">
        <v>15</v>
      </c>
      <c r="S928" s="429" t="n"/>
      <c r="T928" s="431" t="inlineStr">
        <is>
          <t>Boolean</t>
        </is>
      </c>
      <c r="U928" s="429" t="n"/>
      <c r="V928" s="386">
        <f>'CIRCUIT SIM'!AO18</f>
        <v/>
      </c>
      <c r="W928" s="451" t="n"/>
      <c r="Y928" s="429" t="n">
        <v>15</v>
      </c>
      <c r="Z928" s="431" t="n">
        <v>15</v>
      </c>
      <c r="AA928" s="429" t="n"/>
      <c r="AB928" s="431" t="inlineStr">
        <is>
          <t>Boolean</t>
        </is>
      </c>
      <c r="AC928" s="451" t="n"/>
      <c r="AD928" s="562">
        <f>'CIRCUIT SIM'!BB18</f>
        <v/>
      </c>
      <c r="AE928" s="451" t="n"/>
      <c r="AG928" s="429" t="n">
        <v>15</v>
      </c>
      <c r="AH928" s="431" t="n">
        <v>15</v>
      </c>
      <c r="AI928" s="429" t="n"/>
      <c r="AJ928" s="431" t="inlineStr">
        <is>
          <t>Boolean</t>
        </is>
      </c>
      <c r="AK928" s="451" t="n"/>
      <c r="AL928" s="450">
        <f>'CIRCUIT SIM'!CR18</f>
        <v/>
      </c>
      <c r="AM928" s="451" t="n"/>
      <c r="AO928" s="429" t="n">
        <v>15</v>
      </c>
      <c r="AP928" s="431" t="n">
        <v>15</v>
      </c>
      <c r="AQ928" s="429" t="n"/>
      <c r="AR928" s="431" t="inlineStr">
        <is>
          <t>Boolean</t>
        </is>
      </c>
      <c r="AS928" s="451" t="n"/>
      <c r="AT928" s="386">
        <f>'CIRCUIT SIM'!BR18</f>
        <v/>
      </c>
      <c r="AU928" s="451" t="n"/>
      <c r="AW928" s="429" t="n">
        <v>15</v>
      </c>
      <c r="AX928" s="431" t="n">
        <v>15</v>
      </c>
      <c r="AY928" s="429" t="n"/>
      <c r="AZ928" s="431" t="inlineStr">
        <is>
          <t>Boolean</t>
        </is>
      </c>
      <c r="BA928" s="451" t="n"/>
      <c r="BB928" s="451">
        <f>'CIRCUIT SIM'!CG18</f>
        <v/>
      </c>
      <c r="BC928" s="451" t="n"/>
      <c r="BE928" s="429" t="n">
        <v>15</v>
      </c>
      <c r="BF928" s="431" t="n"/>
      <c r="BG928" s="564" t="n"/>
      <c r="BH928" s="431" t="n"/>
      <c r="BI928" s="451" t="n"/>
      <c r="BJ928" s="451">
        <f>'CIRCUIT SIM'!DH18</f>
        <v/>
      </c>
      <c r="BK928" s="451" t="n"/>
      <c r="BM928" s="429" t="n">
        <v>15</v>
      </c>
      <c r="BN928" s="431" t="n">
        <v>15</v>
      </c>
      <c r="BO928" s="429" t="n"/>
      <c r="BP928" s="431" t="inlineStr">
        <is>
          <t>Boolean</t>
        </is>
      </c>
      <c r="BQ928" s="451" t="n"/>
      <c r="BR928" s="451">
        <f>'CIRCUIT SIM'!DT18</f>
        <v/>
      </c>
      <c r="BS928" s="451" t="n"/>
      <c r="BU928" s="429" t="n">
        <v>15</v>
      </c>
      <c r="BV928" s="431" t="n">
        <v>15</v>
      </c>
      <c r="BW928" s="429" t="n"/>
      <c r="BX928" s="431" t="inlineStr">
        <is>
          <t>Boolean</t>
        </is>
      </c>
      <c r="BY928" s="451" t="n"/>
      <c r="BZ928" s="451">
        <f>'CIRCUIT SIM'!EI18</f>
        <v/>
      </c>
      <c r="CA928" s="451" t="n"/>
      <c r="CC928" s="429" t="n">
        <v>15</v>
      </c>
      <c r="CD928" s="431" t="n">
        <v>15</v>
      </c>
      <c r="CE928" s="688" t="n"/>
      <c r="CF928" s="431" t="inlineStr">
        <is>
          <t>Boolean</t>
        </is>
      </c>
      <c r="CG928" s="451" t="n"/>
      <c r="CH928" s="562">
        <f>'CIRCUIT SIM'!LK18</f>
        <v/>
      </c>
      <c r="CI928" s="451" t="n"/>
      <c r="CK928" s="429" t="n">
        <v>15</v>
      </c>
      <c r="CL928" s="431" t="n">
        <v>15</v>
      </c>
      <c r="CM928" s="688" t="n"/>
      <c r="CN928" s="431" t="inlineStr">
        <is>
          <t>Boolean</t>
        </is>
      </c>
      <c r="CO928" s="451" t="n"/>
      <c r="CP928" s="451">
        <f>'CIRCUIT SIM'!MA18</f>
        <v/>
      </c>
      <c r="CQ928" s="451" t="n"/>
      <c r="CS928" s="429" t="n">
        <v>15</v>
      </c>
      <c r="CT928" s="431" t="n">
        <v>15</v>
      </c>
      <c r="CU928" s="688" t="n"/>
      <c r="CV928" s="431" t="inlineStr">
        <is>
          <t>Boolean</t>
        </is>
      </c>
      <c r="CW928" s="451" t="n"/>
      <c r="CX928" s="451">
        <f>'CIRCUIT SIM'!MQ18</f>
        <v/>
      </c>
      <c r="CY928" s="451" t="n"/>
      <c r="DA928" s="429" t="n">
        <v>15</v>
      </c>
      <c r="DB928" s="431" t="n">
        <v>15</v>
      </c>
      <c r="DC928" s="688" t="n"/>
      <c r="DD928" s="431" t="inlineStr">
        <is>
          <t>Boolean</t>
        </is>
      </c>
      <c r="DE928" s="451" t="n"/>
      <c r="DF928" s="451">
        <f>'CIRCUIT SIM'!EX18</f>
        <v/>
      </c>
      <c r="DG928" s="451" t="n"/>
      <c r="DI928" s="429" t="n">
        <v>15</v>
      </c>
      <c r="DJ928" s="431" t="n">
        <v>15</v>
      </c>
      <c r="DK928" s="688" t="n"/>
      <c r="DL928" s="431" t="inlineStr">
        <is>
          <t>Boolean</t>
        </is>
      </c>
      <c r="DM928" s="429" t="n"/>
      <c r="DN928" s="451">
        <f>'CIRCUIT SIM'!FN18</f>
        <v/>
      </c>
      <c r="DO928" s="451" t="n"/>
      <c r="DQ928" s="429" t="n">
        <v>15</v>
      </c>
      <c r="DR928" s="431" t="n">
        <v>15</v>
      </c>
      <c r="DS928" s="688" t="n"/>
      <c r="DT928" s="431" t="inlineStr">
        <is>
          <t>Boolean</t>
        </is>
      </c>
      <c r="DU928" s="451" t="n"/>
      <c r="DV928" s="451">
        <f>'CIRCUIT SIM'!HT18</f>
        <v/>
      </c>
      <c r="DW928" s="451" t="n"/>
      <c r="DY928" s="429" t="n">
        <v>15</v>
      </c>
      <c r="DZ928" s="431" t="n">
        <v>15</v>
      </c>
      <c r="EA928" s="688" t="n"/>
      <c r="EB928" s="431" t="inlineStr">
        <is>
          <t>Boolean</t>
        </is>
      </c>
      <c r="EC928" s="451" t="n"/>
      <c r="ED928" s="335">
        <f>'CIRCUIT SIM'!GO18</f>
        <v/>
      </c>
      <c r="EE928" s="451" t="n"/>
      <c r="EG928" s="429" t="n">
        <v>15</v>
      </c>
      <c r="EH928" s="431" t="n">
        <v>15</v>
      </c>
      <c r="EI928" s="688" t="n"/>
      <c r="EJ928" s="431" t="inlineStr">
        <is>
          <t>Boolean</t>
        </is>
      </c>
      <c r="EK928" s="451" t="n"/>
      <c r="EL928" s="451">
        <f>'CIRCUIT SIM'!HD18</f>
        <v/>
      </c>
      <c r="EM928" s="451" t="n"/>
      <c r="EO928" s="429" t="n">
        <v>15</v>
      </c>
      <c r="EP928" s="431" t="n">
        <v>15</v>
      </c>
      <c r="EQ928" s="688" t="n"/>
      <c r="ER928" s="431" t="inlineStr">
        <is>
          <t>Boolean</t>
        </is>
      </c>
      <c r="ES928" s="451" t="n"/>
      <c r="ET928" s="451">
        <f>'CIRCUIT SIM'!HT18</f>
        <v/>
      </c>
      <c r="EU928" s="451" t="n"/>
      <c r="EW928" s="429" t="n">
        <v>15</v>
      </c>
      <c r="EX928" s="431" t="n">
        <v>15</v>
      </c>
      <c r="EY928" s="688" t="n"/>
      <c r="EZ928" s="431" t="inlineStr">
        <is>
          <t>Boolean</t>
        </is>
      </c>
      <c r="FA928" s="451" t="n"/>
      <c r="FB928" s="451">
        <f>'CIRCUIT SIM'!II18</f>
        <v/>
      </c>
      <c r="FC928" s="451" t="n"/>
      <c r="FE928" s="429" t="n">
        <v>15</v>
      </c>
      <c r="FF928" s="431" t="n">
        <v>15</v>
      </c>
      <c r="FG928" s="688" t="n"/>
      <c r="FH928" s="431" t="inlineStr">
        <is>
          <t>Boolean</t>
        </is>
      </c>
      <c r="FI928" s="451" t="n"/>
      <c r="FJ928" s="451">
        <f>'CIRCUIT SIM'!IU18</f>
        <v/>
      </c>
      <c r="FK928" s="451" t="n"/>
      <c r="FM928" s="429" t="n">
        <v>15</v>
      </c>
      <c r="FN928" s="431" t="n">
        <v>15</v>
      </c>
      <c r="FO928" s="688" t="n"/>
      <c r="FP928" s="431" t="inlineStr">
        <is>
          <t>Boolean</t>
        </is>
      </c>
      <c r="FQ928" s="451" t="n"/>
      <c r="FR928" s="451">
        <f>'CIRCUIT SIM'!KY18</f>
        <v/>
      </c>
      <c r="FS928" s="451" t="n"/>
      <c r="FU928" s="429" t="n">
        <v>15</v>
      </c>
      <c r="FV928" s="431" t="n">
        <v>15</v>
      </c>
      <c r="FW928" s="688" t="n"/>
      <c r="FX928" s="431" t="inlineStr">
        <is>
          <t>Boolean</t>
        </is>
      </c>
      <c r="FY928" s="451" t="n"/>
      <c r="FZ928" s="562">
        <f>'CIRCUIT SIM'!JG18</f>
        <v/>
      </c>
      <c r="GA928" s="451" t="n"/>
      <c r="GC928" s="429" t="n">
        <v>15</v>
      </c>
      <c r="GD928" s="431" t="n">
        <v>15</v>
      </c>
      <c r="GE928" s="688" t="n"/>
      <c r="GF928" s="431" t="inlineStr">
        <is>
          <t>Boolean</t>
        </is>
      </c>
      <c r="GG928" s="451" t="n"/>
      <c r="GH928" s="451">
        <f>'CIRCUIT SIM'!JW18</f>
        <v/>
      </c>
      <c r="GI928" s="451" t="n"/>
      <c r="GK928" s="429" t="n">
        <v>15</v>
      </c>
      <c r="GL928" s="431" t="n">
        <v>15</v>
      </c>
      <c r="GM928" s="688" t="n"/>
      <c r="GN928" s="431" t="inlineStr">
        <is>
          <t>Boolean</t>
        </is>
      </c>
      <c r="GO928" s="451" t="n"/>
      <c r="GP928" s="451">
        <f>'CIRCUIT SIM'!KI18</f>
        <v/>
      </c>
      <c r="GQ928" s="451" t="n"/>
      <c r="GS928" s="429" t="n">
        <v>15</v>
      </c>
      <c r="GT928" s="431" t="n">
        <v>15</v>
      </c>
      <c r="GU928" s="688" t="n"/>
      <c r="GV928" s="431" t="inlineStr">
        <is>
          <t>Boolean</t>
        </is>
      </c>
      <c r="GW928" s="451" t="n"/>
      <c r="GX928" s="451">
        <f>'CIRCUIT SIM'!KY18</f>
        <v/>
      </c>
      <c r="GY928" s="451" t="n"/>
      <c r="HA928" s="429" t="n">
        <v>15</v>
      </c>
      <c r="HB928" s="431" t="n">
        <v>15</v>
      </c>
      <c r="HC928" s="688" t="n"/>
      <c r="HD928" s="431" t="n"/>
      <c r="HE928" s="451" t="n"/>
      <c r="HF928" s="451" t="n"/>
      <c r="HG928" s="451" t="n"/>
    </row>
    <row r="929">
      <c r="A929" s="429" t="n">
        <v>16</v>
      </c>
      <c r="B929" s="431" t="n">
        <v>16</v>
      </c>
      <c r="C929" s="688" t="n"/>
      <c r="D929" s="431" t="inlineStr">
        <is>
          <t>Boolean</t>
        </is>
      </c>
      <c r="E929" s="429" t="n"/>
      <c r="F929" s="422">
        <f>'CIRCUIT SIM'!J19</f>
        <v/>
      </c>
      <c r="G929" s="429" t="n"/>
      <c r="I929" s="429" t="n">
        <v>16</v>
      </c>
      <c r="J929" s="431" t="n">
        <v>16</v>
      </c>
      <c r="K929" s="429" t="n"/>
      <c r="L929" s="431" t="inlineStr">
        <is>
          <t>Boolean</t>
        </is>
      </c>
      <c r="M929" s="451" t="n"/>
      <c r="N929" s="422">
        <f>'CIRCUIT SIM'!Y19</f>
        <v/>
      </c>
      <c r="O929" s="451" t="n"/>
      <c r="Q929" s="429" t="n">
        <v>16</v>
      </c>
      <c r="R929" s="431" t="n">
        <v>16</v>
      </c>
      <c r="S929" s="429" t="n"/>
      <c r="T929" s="431" t="inlineStr">
        <is>
          <t>Boolean</t>
        </is>
      </c>
      <c r="U929" s="429" t="n"/>
      <c r="V929" s="386">
        <f>'CIRCUIT SIM'!AO19</f>
        <v/>
      </c>
      <c r="W929" s="451" t="n"/>
      <c r="Y929" s="429" t="n">
        <v>16</v>
      </c>
      <c r="Z929" s="431" t="n">
        <v>16</v>
      </c>
      <c r="AA929" s="429" t="n"/>
      <c r="AB929" s="431" t="inlineStr">
        <is>
          <t>Boolean</t>
        </is>
      </c>
      <c r="AC929" s="451" t="n"/>
      <c r="AD929" s="562">
        <f>'CIRCUIT SIM'!BB19</f>
        <v/>
      </c>
      <c r="AE929" s="451" t="n"/>
      <c r="AG929" s="429" t="n">
        <v>16</v>
      </c>
      <c r="AH929" s="431" t="n">
        <v>16</v>
      </c>
      <c r="AI929" s="429" t="n"/>
      <c r="AJ929" s="431" t="inlineStr">
        <is>
          <t>Boolean</t>
        </is>
      </c>
      <c r="AK929" s="451" t="n"/>
      <c r="AL929" s="450">
        <f>'CIRCUIT SIM'!CR19</f>
        <v/>
      </c>
      <c r="AM929" s="451" t="n"/>
      <c r="AO929" s="429" t="n">
        <v>16</v>
      </c>
      <c r="AP929" s="431" t="n">
        <v>16</v>
      </c>
      <c r="AQ929" s="429" t="n"/>
      <c r="AR929" s="431" t="inlineStr">
        <is>
          <t>Boolean</t>
        </is>
      </c>
      <c r="AS929" s="451" t="n"/>
      <c r="AT929" s="386">
        <f>'CIRCUIT SIM'!BR19</f>
        <v/>
      </c>
      <c r="AU929" s="451" t="n"/>
      <c r="AW929" s="429" t="n">
        <v>16</v>
      </c>
      <c r="AX929" s="431" t="n">
        <v>16</v>
      </c>
      <c r="AY929" s="429" t="n"/>
      <c r="AZ929" s="431" t="inlineStr">
        <is>
          <t>Boolean</t>
        </is>
      </c>
      <c r="BA929" s="451" t="n"/>
      <c r="BB929" s="451">
        <f>'CIRCUIT SIM'!CG19</f>
        <v/>
      </c>
      <c r="BC929" s="451" t="n"/>
      <c r="BE929" s="429" t="n">
        <v>16</v>
      </c>
      <c r="BF929" s="431" t="n"/>
      <c r="BG929" s="429" t="n"/>
      <c r="BH929" s="431" t="n"/>
      <c r="BI929" s="451" t="n"/>
      <c r="BJ929" s="451">
        <f>'CIRCUIT SIM'!DH19</f>
        <v/>
      </c>
      <c r="BK929" s="451" t="n"/>
      <c r="BM929" s="429" t="n">
        <v>16</v>
      </c>
      <c r="BN929" s="431" t="n">
        <v>16</v>
      </c>
      <c r="BO929" s="429" t="n"/>
      <c r="BP929" s="431" t="inlineStr">
        <is>
          <t>Boolean</t>
        </is>
      </c>
      <c r="BQ929" s="451" t="n"/>
      <c r="BR929" s="451">
        <f>'CIRCUIT SIM'!DT19</f>
        <v/>
      </c>
      <c r="BS929" s="451" t="n"/>
      <c r="BU929" s="429" t="n">
        <v>16</v>
      </c>
      <c r="BV929" s="431" t="n">
        <v>16</v>
      </c>
      <c r="BW929" s="429" t="n"/>
      <c r="BX929" s="431" t="inlineStr">
        <is>
          <t>Boolean</t>
        </is>
      </c>
      <c r="BY929" s="451" t="inlineStr">
        <is>
          <t> </t>
        </is>
      </c>
      <c r="BZ929" s="451">
        <f>'CIRCUIT SIM'!EI19</f>
        <v/>
      </c>
      <c r="CA929" s="451" t="n"/>
      <c r="CC929" s="429" t="n">
        <v>16</v>
      </c>
      <c r="CD929" s="431" t="n">
        <v>16</v>
      </c>
      <c r="CE929" s="688" t="n"/>
      <c r="CF929" s="431" t="inlineStr">
        <is>
          <t>Boolean</t>
        </is>
      </c>
      <c r="CG929" s="451" t="n"/>
      <c r="CH929" s="562">
        <f>'CIRCUIT SIM'!LK19</f>
        <v/>
      </c>
      <c r="CI929" s="451" t="n"/>
      <c r="CK929" s="429" t="n">
        <v>16</v>
      </c>
      <c r="CL929" s="431" t="n">
        <v>16</v>
      </c>
      <c r="CM929" s="688" t="n"/>
      <c r="CN929" s="431" t="inlineStr">
        <is>
          <t>Boolean</t>
        </is>
      </c>
      <c r="CO929" s="451" t="n"/>
      <c r="CP929" s="451">
        <f>'CIRCUIT SIM'!MA19</f>
        <v/>
      </c>
      <c r="CQ929" s="451" t="n"/>
      <c r="CS929" s="429" t="n">
        <v>16</v>
      </c>
      <c r="CT929" s="431" t="n">
        <v>16</v>
      </c>
      <c r="CU929" s="688" t="n"/>
      <c r="CV929" s="431" t="inlineStr">
        <is>
          <t>Boolean</t>
        </is>
      </c>
      <c r="CW929" s="451" t="n"/>
      <c r="CX929" s="451">
        <f>'CIRCUIT SIM'!MQ19</f>
        <v/>
      </c>
      <c r="CY929" s="451" t="n"/>
      <c r="DA929" s="429" t="n">
        <v>16</v>
      </c>
      <c r="DB929" s="431" t="n">
        <v>16</v>
      </c>
      <c r="DC929" s="688" t="n"/>
      <c r="DD929" s="431" t="inlineStr">
        <is>
          <t>Boolean</t>
        </is>
      </c>
      <c r="DE929" s="451" t="n"/>
      <c r="DF929" s="451">
        <f>'CIRCUIT SIM'!EX19</f>
        <v/>
      </c>
      <c r="DG929" s="451" t="n"/>
      <c r="DI929" s="429" t="n">
        <v>16</v>
      </c>
      <c r="DJ929" s="431" t="n">
        <v>16</v>
      </c>
      <c r="DK929" s="688" t="n"/>
      <c r="DL929" s="431" t="inlineStr">
        <is>
          <t>Boolean</t>
        </is>
      </c>
      <c r="DM929" s="429" t="n"/>
      <c r="DN929" s="451">
        <f>'CIRCUIT SIM'!FN19</f>
        <v/>
      </c>
      <c r="DO929" s="451" t="n"/>
      <c r="DQ929" s="429" t="n">
        <v>16</v>
      </c>
      <c r="DR929" s="431" t="n">
        <v>16</v>
      </c>
      <c r="DS929" s="688" t="n"/>
      <c r="DT929" s="431" t="inlineStr">
        <is>
          <t>Boolean</t>
        </is>
      </c>
      <c r="DU929" s="451" t="n"/>
      <c r="DV929" s="451">
        <f>'CIRCUIT SIM'!HT19</f>
        <v/>
      </c>
      <c r="DW929" s="451" t="n"/>
      <c r="DY929" s="429" t="n">
        <v>16</v>
      </c>
      <c r="DZ929" s="431" t="n">
        <v>16</v>
      </c>
      <c r="EA929" s="688" t="n"/>
      <c r="EB929" s="431" t="inlineStr">
        <is>
          <t>Boolean</t>
        </is>
      </c>
      <c r="EC929" s="451" t="n"/>
      <c r="ED929" s="335">
        <f>'CIRCUIT SIM'!GO19</f>
        <v/>
      </c>
      <c r="EE929" s="451" t="n"/>
      <c r="EG929" s="429" t="n">
        <v>16</v>
      </c>
      <c r="EH929" s="431" t="n">
        <v>16</v>
      </c>
      <c r="EI929" s="688" t="n"/>
      <c r="EJ929" s="431" t="inlineStr">
        <is>
          <t>Boolean</t>
        </is>
      </c>
      <c r="EK929" s="451" t="n"/>
      <c r="EL929" s="451">
        <f>'CIRCUIT SIM'!HD19</f>
        <v/>
      </c>
      <c r="EM929" s="451" t="n"/>
      <c r="EO929" s="429" t="n">
        <v>16</v>
      </c>
      <c r="EP929" s="431" t="n">
        <v>16</v>
      </c>
      <c r="EQ929" s="688" t="n"/>
      <c r="ER929" s="431" t="inlineStr">
        <is>
          <t>Boolean</t>
        </is>
      </c>
      <c r="ES929" s="451" t="n"/>
      <c r="ET929" s="451">
        <f>'CIRCUIT SIM'!HT19</f>
        <v/>
      </c>
      <c r="EU929" s="451" t="n"/>
      <c r="EW929" s="429" t="n">
        <v>16</v>
      </c>
      <c r="EX929" s="431" t="n">
        <v>16</v>
      </c>
      <c r="EY929" s="688" t="n"/>
      <c r="EZ929" s="431" t="inlineStr">
        <is>
          <t>Boolean</t>
        </is>
      </c>
      <c r="FA929" s="451" t="n"/>
      <c r="FB929" s="451">
        <f>'CIRCUIT SIM'!II19</f>
        <v/>
      </c>
      <c r="FC929" s="451" t="n"/>
      <c r="FE929" s="429" t="n">
        <v>16</v>
      </c>
      <c r="FF929" s="431" t="n">
        <v>16</v>
      </c>
      <c r="FG929" s="688" t="n"/>
      <c r="FH929" s="431" t="inlineStr">
        <is>
          <t>Boolean</t>
        </is>
      </c>
      <c r="FI929" s="451" t="n"/>
      <c r="FJ929" s="451">
        <f>'CIRCUIT SIM'!IU19</f>
        <v/>
      </c>
      <c r="FK929" s="451" t="n"/>
      <c r="FM929" s="429" t="n">
        <v>16</v>
      </c>
      <c r="FN929" s="431" t="n">
        <v>16</v>
      </c>
      <c r="FO929" s="688" t="n"/>
      <c r="FP929" s="431" t="inlineStr">
        <is>
          <t>Boolean</t>
        </is>
      </c>
      <c r="FQ929" s="451" t="n"/>
      <c r="FR929" s="451">
        <f>'CIRCUIT SIM'!KY19</f>
        <v/>
      </c>
      <c r="FS929" s="451" t="n"/>
      <c r="FU929" s="429" t="n">
        <v>16</v>
      </c>
      <c r="FV929" s="431" t="n">
        <v>16</v>
      </c>
      <c r="FW929" s="688" t="n"/>
      <c r="FX929" s="431" t="inlineStr">
        <is>
          <t>Boolean</t>
        </is>
      </c>
      <c r="FY929" s="451" t="n"/>
      <c r="FZ929" s="562">
        <f>'CIRCUIT SIM'!JG19</f>
        <v/>
      </c>
      <c r="GA929" s="451" t="n"/>
      <c r="GC929" s="429" t="n">
        <v>16</v>
      </c>
      <c r="GD929" s="431" t="n">
        <v>16</v>
      </c>
      <c r="GE929" s="688" t="n"/>
      <c r="GF929" s="431" t="inlineStr">
        <is>
          <t>Boolean</t>
        </is>
      </c>
      <c r="GG929" s="451" t="n"/>
      <c r="GH929" s="451">
        <f>'CIRCUIT SIM'!JW19</f>
        <v/>
      </c>
      <c r="GI929" s="451" t="n"/>
      <c r="GK929" s="429" t="n">
        <v>16</v>
      </c>
      <c r="GL929" s="431" t="n">
        <v>16</v>
      </c>
      <c r="GM929" s="688" t="n"/>
      <c r="GN929" s="431" t="inlineStr">
        <is>
          <t>Boolean</t>
        </is>
      </c>
      <c r="GO929" s="451" t="n"/>
      <c r="GP929" s="451">
        <f>'CIRCUIT SIM'!KI19</f>
        <v/>
      </c>
      <c r="GQ929" s="451" t="n"/>
      <c r="GS929" s="429" t="n">
        <v>16</v>
      </c>
      <c r="GT929" s="431" t="n">
        <v>16</v>
      </c>
      <c r="GU929" s="688" t="n"/>
      <c r="GV929" s="431" t="inlineStr">
        <is>
          <t>Boolean</t>
        </is>
      </c>
      <c r="GW929" s="451" t="n"/>
      <c r="GX929" s="451">
        <f>'CIRCUIT SIM'!KY19</f>
        <v/>
      </c>
      <c r="GY929" s="451" t="n"/>
      <c r="HA929" s="429" t="n">
        <v>16</v>
      </c>
      <c r="HB929" s="431" t="n">
        <v>16</v>
      </c>
      <c r="HC929" s="688" t="n"/>
      <c r="HD929" s="431" t="n"/>
      <c r="HE929" s="451" t="n"/>
      <c r="HF929" s="451" t="n"/>
      <c r="HG929" s="451" t="n"/>
    </row>
    <row r="930">
      <c r="A930" s="429" t="n">
        <v>17</v>
      </c>
      <c r="B930" s="431" t="n">
        <v>17</v>
      </c>
      <c r="C930" s="688" t="n"/>
      <c r="D930" s="431" t="inlineStr">
        <is>
          <t>Boolean</t>
        </is>
      </c>
      <c r="E930" s="429" t="n"/>
      <c r="F930" s="422">
        <f>'CIRCUIT SIM'!J20</f>
        <v/>
      </c>
      <c r="G930" s="429" t="n"/>
      <c r="I930" s="429" t="n">
        <v>17</v>
      </c>
      <c r="J930" s="431" t="n">
        <v>17</v>
      </c>
      <c r="K930" s="429" t="n"/>
      <c r="L930" s="431" t="inlineStr">
        <is>
          <t>Boolean</t>
        </is>
      </c>
      <c r="M930" s="451" t="n"/>
      <c r="N930" s="422">
        <f>'CIRCUIT SIM'!Y20</f>
        <v/>
      </c>
      <c r="O930" s="451" t="n"/>
      <c r="Q930" s="429" t="n">
        <v>17</v>
      </c>
      <c r="R930" s="431" t="n">
        <v>17</v>
      </c>
      <c r="S930" s="429" t="n"/>
      <c r="T930" s="431" t="inlineStr">
        <is>
          <t>Boolean</t>
        </is>
      </c>
      <c r="U930" s="429" t="n"/>
      <c r="V930" s="386">
        <f>'CIRCUIT SIM'!AO20</f>
        <v/>
      </c>
      <c r="W930" s="451" t="n"/>
      <c r="Y930" s="429" t="n">
        <v>17</v>
      </c>
      <c r="Z930" s="431" t="n">
        <v>17</v>
      </c>
      <c r="AA930" s="429" t="n"/>
      <c r="AB930" s="431" t="inlineStr">
        <is>
          <t>Boolean</t>
        </is>
      </c>
      <c r="AC930" s="451" t="n"/>
      <c r="AD930" s="562">
        <f>'CIRCUIT SIM'!BB20</f>
        <v/>
      </c>
      <c r="AE930" s="451" t="n"/>
      <c r="AG930" s="429" t="n">
        <v>17</v>
      </c>
      <c r="AH930" s="431" t="n">
        <v>17</v>
      </c>
      <c r="AI930" s="429" t="n"/>
      <c r="AJ930" s="431" t="inlineStr">
        <is>
          <t>Boolean</t>
        </is>
      </c>
      <c r="AK930" s="451" t="n"/>
      <c r="AL930" s="450">
        <f>'CIRCUIT SIM'!CR20</f>
        <v/>
      </c>
      <c r="AM930" s="451" t="n"/>
      <c r="AO930" s="429" t="n">
        <v>17</v>
      </c>
      <c r="AP930" s="431" t="n">
        <v>17</v>
      </c>
      <c r="AQ930" s="429" t="n"/>
      <c r="AR930" s="431" t="inlineStr">
        <is>
          <t>Boolean</t>
        </is>
      </c>
      <c r="AS930" s="451" t="n"/>
      <c r="AT930" s="386">
        <f>'CIRCUIT SIM'!BR20</f>
        <v/>
      </c>
      <c r="AU930" s="451" t="n"/>
      <c r="AW930" s="429" t="n">
        <v>17</v>
      </c>
      <c r="AX930" s="431" t="n">
        <v>17</v>
      </c>
      <c r="AY930" s="429" t="n"/>
      <c r="AZ930" s="431" t="inlineStr">
        <is>
          <t>Boolean</t>
        </is>
      </c>
      <c r="BA930" s="451" t="n"/>
      <c r="BB930" s="451">
        <f>'CIRCUIT SIM'!CG20</f>
        <v/>
      </c>
      <c r="BC930" s="451" t="n"/>
      <c r="BE930" s="429" t="n">
        <v>17</v>
      </c>
      <c r="BF930" s="431" t="n"/>
      <c r="BG930" s="429" t="n"/>
      <c r="BH930" s="431" t="n"/>
      <c r="BI930" s="451" t="n"/>
      <c r="BJ930" s="451">
        <f>'CIRCUIT SIM'!DH20</f>
        <v/>
      </c>
      <c r="BK930" s="451" t="n"/>
      <c r="BM930" s="429" t="n">
        <v>17</v>
      </c>
      <c r="BN930" s="431" t="n">
        <v>17</v>
      </c>
      <c r="BO930" s="429" t="n"/>
      <c r="BP930" s="431" t="inlineStr">
        <is>
          <t>Boolean</t>
        </is>
      </c>
      <c r="BQ930" s="451" t="n"/>
      <c r="BR930" s="451">
        <f>'CIRCUIT SIM'!DT20</f>
        <v/>
      </c>
      <c r="BS930" s="451" t="n"/>
      <c r="BU930" s="429" t="n">
        <v>17</v>
      </c>
      <c r="BV930" s="431" t="n">
        <v>17</v>
      </c>
      <c r="BW930" s="429" t="n"/>
      <c r="BX930" s="431" t="inlineStr">
        <is>
          <t>Boolean</t>
        </is>
      </c>
      <c r="BY930" s="451" t="n"/>
      <c r="BZ930" s="451">
        <f>'CIRCUIT SIM'!EI20</f>
        <v/>
      </c>
      <c r="CA930" s="451" t="n"/>
      <c r="CC930" s="429" t="n">
        <v>17</v>
      </c>
      <c r="CD930" s="431" t="n">
        <v>17</v>
      </c>
      <c r="CE930" s="688" t="n"/>
      <c r="CF930" s="431" t="inlineStr">
        <is>
          <t>Boolean</t>
        </is>
      </c>
      <c r="CG930" s="451" t="n"/>
      <c r="CH930" s="562">
        <f>'CIRCUIT SIM'!LK20</f>
        <v/>
      </c>
      <c r="CI930" s="451" t="n"/>
      <c r="CK930" s="429" t="n">
        <v>17</v>
      </c>
      <c r="CL930" s="431" t="n">
        <v>17</v>
      </c>
      <c r="CM930" s="688" t="n"/>
      <c r="CN930" s="431" t="inlineStr">
        <is>
          <t>Boolean</t>
        </is>
      </c>
      <c r="CO930" s="451" t="n"/>
      <c r="CP930" s="451">
        <f>'CIRCUIT SIM'!MA20</f>
        <v/>
      </c>
      <c r="CQ930" s="451" t="n"/>
      <c r="CS930" s="429" t="n">
        <v>17</v>
      </c>
      <c r="CT930" s="431" t="n">
        <v>17</v>
      </c>
      <c r="CU930" s="688" t="n"/>
      <c r="CV930" s="431" t="inlineStr">
        <is>
          <t>Boolean</t>
        </is>
      </c>
      <c r="CW930" s="451" t="n"/>
      <c r="CX930" s="451">
        <f>'CIRCUIT SIM'!MQ20</f>
        <v/>
      </c>
      <c r="CY930" s="451" t="n"/>
      <c r="DA930" s="429" t="n">
        <v>17</v>
      </c>
      <c r="DB930" s="431" t="n">
        <v>17</v>
      </c>
      <c r="DC930" s="688" t="n"/>
      <c r="DD930" s="431" t="inlineStr">
        <is>
          <t>Boolean</t>
        </is>
      </c>
      <c r="DE930" s="451" t="n"/>
      <c r="DF930" s="451">
        <f>'CIRCUIT SIM'!EX20</f>
        <v/>
      </c>
      <c r="DG930" s="451" t="n"/>
      <c r="DI930" s="429" t="n">
        <v>17</v>
      </c>
      <c r="DJ930" s="431" t="n">
        <v>17</v>
      </c>
      <c r="DK930" s="688" t="n"/>
      <c r="DL930" s="431" t="inlineStr">
        <is>
          <t>Boolean</t>
        </is>
      </c>
      <c r="DM930" s="429" t="n"/>
      <c r="DN930" s="451">
        <f>'CIRCUIT SIM'!FN20</f>
        <v/>
      </c>
      <c r="DO930" s="451" t="n"/>
      <c r="DQ930" s="429" t="n">
        <v>17</v>
      </c>
      <c r="DR930" s="431" t="n">
        <v>17</v>
      </c>
      <c r="DS930" s="688" t="n"/>
      <c r="DT930" s="431" t="inlineStr">
        <is>
          <t>Boolean</t>
        </is>
      </c>
      <c r="DU930" s="451" t="n"/>
      <c r="DV930" s="451">
        <f>'CIRCUIT SIM'!HT20</f>
        <v/>
      </c>
      <c r="DW930" s="451" t="n"/>
      <c r="DY930" s="429" t="n">
        <v>17</v>
      </c>
      <c r="DZ930" s="431" t="n">
        <v>17</v>
      </c>
      <c r="EA930" s="688" t="n"/>
      <c r="EB930" s="431" t="inlineStr">
        <is>
          <t>Boolean</t>
        </is>
      </c>
      <c r="EC930" s="451" t="n"/>
      <c r="ED930" s="335">
        <f>'CIRCUIT SIM'!GO20</f>
        <v/>
      </c>
      <c r="EE930" s="451" t="n"/>
      <c r="EG930" s="429" t="n">
        <v>17</v>
      </c>
      <c r="EH930" s="431" t="n">
        <v>17</v>
      </c>
      <c r="EI930" s="688" t="n"/>
      <c r="EJ930" s="431" t="inlineStr">
        <is>
          <t>Boolean</t>
        </is>
      </c>
      <c r="EK930" s="451" t="n"/>
      <c r="EL930" s="451">
        <f>'CIRCUIT SIM'!HD20</f>
        <v/>
      </c>
      <c r="EM930" s="451" t="n"/>
      <c r="EO930" s="429" t="n">
        <v>17</v>
      </c>
      <c r="EP930" s="431" t="n">
        <v>17</v>
      </c>
      <c r="EQ930" s="688" t="n"/>
      <c r="ER930" s="431" t="inlineStr">
        <is>
          <t>Boolean</t>
        </is>
      </c>
      <c r="ES930" s="451" t="n"/>
      <c r="ET930" s="451">
        <f>'CIRCUIT SIM'!HT20</f>
        <v/>
      </c>
      <c r="EU930" s="451" t="n"/>
      <c r="EW930" s="429" t="n">
        <v>17</v>
      </c>
      <c r="EX930" s="431" t="n">
        <v>17</v>
      </c>
      <c r="EY930" s="688" t="n"/>
      <c r="EZ930" s="431" t="inlineStr">
        <is>
          <t>Boolean</t>
        </is>
      </c>
      <c r="FA930" s="451" t="n"/>
      <c r="FB930" s="451">
        <f>'CIRCUIT SIM'!II20</f>
        <v/>
      </c>
      <c r="FC930" s="451" t="n"/>
      <c r="FE930" s="429" t="n">
        <v>17</v>
      </c>
      <c r="FF930" s="431" t="n">
        <v>17</v>
      </c>
      <c r="FG930" s="688" t="n"/>
      <c r="FH930" s="431" t="inlineStr">
        <is>
          <t>Boolean</t>
        </is>
      </c>
      <c r="FI930" s="451" t="n"/>
      <c r="FJ930" s="451">
        <f>'CIRCUIT SIM'!IU20</f>
        <v/>
      </c>
      <c r="FK930" s="451" t="n"/>
      <c r="FM930" s="429" t="n">
        <v>17</v>
      </c>
      <c r="FN930" s="431" t="n">
        <v>17</v>
      </c>
      <c r="FO930" s="688" t="n"/>
      <c r="FP930" s="431" t="inlineStr">
        <is>
          <t>Boolean</t>
        </is>
      </c>
      <c r="FQ930" s="451" t="n"/>
      <c r="FR930" s="451">
        <f>'CIRCUIT SIM'!KY20</f>
        <v/>
      </c>
      <c r="FS930" s="451" t="n"/>
      <c r="FU930" s="429" t="n">
        <v>17</v>
      </c>
      <c r="FV930" s="431" t="n">
        <v>17</v>
      </c>
      <c r="FW930" s="688" t="n"/>
      <c r="FX930" s="431" t="inlineStr">
        <is>
          <t>Boolean</t>
        </is>
      </c>
      <c r="FY930" s="451" t="n"/>
      <c r="FZ930" s="562">
        <f>'CIRCUIT SIM'!JG20</f>
        <v/>
      </c>
      <c r="GA930" s="451" t="n"/>
      <c r="GC930" s="429" t="n">
        <v>17</v>
      </c>
      <c r="GD930" s="431" t="n">
        <v>17</v>
      </c>
      <c r="GE930" s="688" t="n"/>
      <c r="GF930" s="431" t="inlineStr">
        <is>
          <t>Boolean</t>
        </is>
      </c>
      <c r="GG930" s="451" t="n"/>
      <c r="GH930" s="451">
        <f>'CIRCUIT SIM'!JW20</f>
        <v/>
      </c>
      <c r="GI930" s="451" t="n"/>
      <c r="GK930" s="429" t="n">
        <v>17</v>
      </c>
      <c r="GL930" s="431" t="n">
        <v>17</v>
      </c>
      <c r="GM930" s="688" t="n"/>
      <c r="GN930" s="431" t="inlineStr">
        <is>
          <t>Boolean</t>
        </is>
      </c>
      <c r="GO930" s="451" t="n"/>
      <c r="GP930" s="451">
        <f>'CIRCUIT SIM'!KI20</f>
        <v/>
      </c>
      <c r="GQ930" s="451" t="n"/>
      <c r="GS930" s="429" t="n">
        <v>17</v>
      </c>
      <c r="GT930" s="431" t="n">
        <v>17</v>
      </c>
      <c r="GU930" s="688" t="n"/>
      <c r="GV930" s="431" t="inlineStr">
        <is>
          <t>Boolean</t>
        </is>
      </c>
      <c r="GW930" s="451" t="n"/>
      <c r="GX930" s="451">
        <f>'CIRCUIT SIM'!KY20</f>
        <v/>
      </c>
      <c r="GY930" s="451" t="n"/>
      <c r="HA930" s="429" t="n">
        <v>17</v>
      </c>
      <c r="HB930" s="431" t="n">
        <v>17</v>
      </c>
      <c r="HC930" s="688" t="n"/>
      <c r="HD930" s="431" t="n"/>
      <c r="HE930" s="451" t="n"/>
      <c r="HF930" s="451" t="n"/>
      <c r="HG930" s="451" t="n"/>
    </row>
    <row r="931">
      <c r="A931" s="429" t="n">
        <v>18</v>
      </c>
      <c r="B931" s="431" t="n">
        <v>18</v>
      </c>
      <c r="C931" s="688" t="n"/>
      <c r="D931" s="431" t="inlineStr">
        <is>
          <t>Boolean</t>
        </is>
      </c>
      <c r="E931" s="429" t="n"/>
      <c r="F931" s="422">
        <f>'CIRCUIT SIM'!J21</f>
        <v/>
      </c>
      <c r="G931" s="429" t="n"/>
      <c r="I931" s="429" t="n">
        <v>18</v>
      </c>
      <c r="J931" s="431" t="n">
        <v>18</v>
      </c>
      <c r="K931" s="429" t="n"/>
      <c r="L931" s="431" t="inlineStr">
        <is>
          <t>Boolean</t>
        </is>
      </c>
      <c r="M931" s="451" t="n"/>
      <c r="N931" s="422">
        <f>'CIRCUIT SIM'!Y21</f>
        <v/>
      </c>
      <c r="O931" s="451" t="n"/>
      <c r="Q931" s="429" t="n">
        <v>18</v>
      </c>
      <c r="R931" s="431" t="n">
        <v>18</v>
      </c>
      <c r="S931" s="429" t="n"/>
      <c r="T931" s="431" t="inlineStr">
        <is>
          <t>Boolean</t>
        </is>
      </c>
      <c r="U931" s="429" t="n"/>
      <c r="V931" s="386">
        <f>'CIRCUIT SIM'!AO21</f>
        <v/>
      </c>
      <c r="W931" s="451" t="n"/>
      <c r="Y931" s="429" t="n">
        <v>18</v>
      </c>
      <c r="Z931" s="431" t="n">
        <v>18</v>
      </c>
      <c r="AA931" s="429" t="n"/>
      <c r="AB931" s="431" t="inlineStr">
        <is>
          <t>Boolean</t>
        </is>
      </c>
      <c r="AC931" s="451" t="n"/>
      <c r="AD931" s="562">
        <f>'CIRCUIT SIM'!BB21</f>
        <v/>
      </c>
      <c r="AE931" s="451" t="n"/>
      <c r="AG931" s="429" t="n">
        <v>18</v>
      </c>
      <c r="AH931" s="431" t="n">
        <v>18</v>
      </c>
      <c r="AI931" s="429" t="n"/>
      <c r="AJ931" s="431" t="inlineStr">
        <is>
          <t>Boolean</t>
        </is>
      </c>
      <c r="AK931" s="451" t="n"/>
      <c r="AL931" s="450">
        <f>'CIRCUIT SIM'!CR21</f>
        <v/>
      </c>
      <c r="AM931" s="451" t="n"/>
      <c r="AO931" s="429" t="n">
        <v>18</v>
      </c>
      <c r="AP931" s="431" t="n">
        <v>18</v>
      </c>
      <c r="AQ931" s="429" t="n"/>
      <c r="AR931" s="431" t="inlineStr">
        <is>
          <t>Boolean</t>
        </is>
      </c>
      <c r="AS931" s="451" t="n"/>
      <c r="AT931" s="386">
        <f>'CIRCUIT SIM'!BR21</f>
        <v/>
      </c>
      <c r="AU931" s="451" t="n"/>
      <c r="AW931" s="429" t="n">
        <v>18</v>
      </c>
      <c r="AX931" s="431" t="n">
        <v>18</v>
      </c>
      <c r="AY931" s="429" t="n"/>
      <c r="AZ931" s="431" t="inlineStr">
        <is>
          <t>Boolean</t>
        </is>
      </c>
      <c r="BA931" s="451" t="n"/>
      <c r="BB931" s="451">
        <f>'CIRCUIT SIM'!CG21</f>
        <v/>
      </c>
      <c r="BC931" s="451" t="n"/>
      <c r="BE931" s="429" t="n">
        <v>18</v>
      </c>
      <c r="BF931" s="431" t="n"/>
      <c r="BG931" s="429" t="n"/>
      <c r="BH931" s="431" t="n"/>
      <c r="BI931" s="451" t="inlineStr">
        <is>
          <t> </t>
        </is>
      </c>
      <c r="BJ931" s="451" t="n"/>
      <c r="BK931" s="451" t="n"/>
      <c r="BM931" s="429" t="n">
        <v>18</v>
      </c>
      <c r="BN931" s="431" t="n">
        <v>18</v>
      </c>
      <c r="BO931" s="429" t="n"/>
      <c r="BP931" s="431" t="inlineStr">
        <is>
          <t>Boolean</t>
        </is>
      </c>
      <c r="BQ931" s="451" t="n"/>
      <c r="BR931" s="451">
        <f>'CIRCUIT SIM'!DT21</f>
        <v/>
      </c>
      <c r="BS931" s="451" t="n"/>
      <c r="BU931" s="429" t="n">
        <v>18</v>
      </c>
      <c r="BV931" s="431" t="n">
        <v>18</v>
      </c>
      <c r="BW931" s="429" t="n"/>
      <c r="BX931" s="431" t="inlineStr">
        <is>
          <t>Boolean</t>
        </is>
      </c>
      <c r="BY931" s="451" t="n"/>
      <c r="BZ931" s="451">
        <f>'CIRCUIT SIM'!EI21</f>
        <v/>
      </c>
      <c r="CA931" s="451" t="n"/>
      <c r="CC931" s="429" t="n">
        <v>18</v>
      </c>
      <c r="CD931" s="431" t="n">
        <v>18</v>
      </c>
      <c r="CE931" s="688" t="n"/>
      <c r="CF931" s="431" t="inlineStr">
        <is>
          <t>Boolean</t>
        </is>
      </c>
      <c r="CG931" s="451" t="n"/>
      <c r="CH931" s="562">
        <f>'CIRCUIT SIM'!LK21</f>
        <v/>
      </c>
      <c r="CI931" s="451" t="n"/>
      <c r="CK931" s="429" t="n">
        <v>18</v>
      </c>
      <c r="CL931" s="431" t="n">
        <v>18</v>
      </c>
      <c r="CM931" s="688" t="n"/>
      <c r="CN931" s="431" t="inlineStr">
        <is>
          <t>Boolean</t>
        </is>
      </c>
      <c r="CO931" s="451" t="n"/>
      <c r="CP931" s="451">
        <f>'CIRCUIT SIM'!MA21</f>
        <v/>
      </c>
      <c r="CQ931" s="451" t="n"/>
      <c r="CS931" s="429" t="n">
        <v>18</v>
      </c>
      <c r="CT931" s="431" t="n">
        <v>18</v>
      </c>
      <c r="CU931" s="688" t="n"/>
      <c r="CV931" s="431" t="inlineStr">
        <is>
          <t>Boolean</t>
        </is>
      </c>
      <c r="CW931" s="451" t="n"/>
      <c r="CX931" s="451">
        <f>'CIRCUIT SIM'!MQ21</f>
        <v/>
      </c>
      <c r="CY931" s="451" t="n"/>
      <c r="DA931" s="429" t="n">
        <v>18</v>
      </c>
      <c r="DB931" s="431" t="n">
        <v>18</v>
      </c>
      <c r="DC931" s="688" t="n"/>
      <c r="DD931" s="431" t="inlineStr">
        <is>
          <t>Boolean</t>
        </is>
      </c>
      <c r="DE931" s="451" t="n"/>
      <c r="DF931" s="451">
        <f>'CIRCUIT SIM'!EX21</f>
        <v/>
      </c>
      <c r="DG931" s="451" t="n"/>
      <c r="DI931" s="429" t="n">
        <v>18</v>
      </c>
      <c r="DJ931" s="431" t="n">
        <v>18</v>
      </c>
      <c r="DK931" s="688" t="n"/>
      <c r="DL931" s="431" t="inlineStr">
        <is>
          <t>Boolean</t>
        </is>
      </c>
      <c r="DM931" s="429" t="n"/>
      <c r="DN931" s="451">
        <f>'CIRCUIT SIM'!FN21</f>
        <v/>
      </c>
      <c r="DO931" s="451" t="n"/>
      <c r="DQ931" s="429" t="n">
        <v>18</v>
      </c>
      <c r="DR931" s="431" t="n">
        <v>18</v>
      </c>
      <c r="DS931" s="688" t="n"/>
      <c r="DT931" s="431" t="inlineStr">
        <is>
          <t>Boolean</t>
        </is>
      </c>
      <c r="DU931" s="451" t="n"/>
      <c r="DV931" s="451">
        <f>'CIRCUIT SIM'!HT21</f>
        <v/>
      </c>
      <c r="DW931" s="451" t="n"/>
      <c r="DY931" s="429" t="n">
        <v>18</v>
      </c>
      <c r="DZ931" s="431" t="n">
        <v>18</v>
      </c>
      <c r="EA931" s="688" t="n"/>
      <c r="EB931" s="431" t="inlineStr">
        <is>
          <t>Boolean</t>
        </is>
      </c>
      <c r="EC931" s="451" t="n"/>
      <c r="ED931" s="335">
        <f>'CIRCUIT SIM'!GO21</f>
        <v/>
      </c>
      <c r="EE931" s="451" t="n"/>
      <c r="EG931" s="429" t="n">
        <v>18</v>
      </c>
      <c r="EH931" s="431" t="n">
        <v>18</v>
      </c>
      <c r="EI931" s="688" t="n"/>
      <c r="EJ931" s="431" t="inlineStr">
        <is>
          <t>Boolean</t>
        </is>
      </c>
      <c r="EK931" s="451" t="n"/>
      <c r="EL931" s="451">
        <f>'CIRCUIT SIM'!HD21</f>
        <v/>
      </c>
      <c r="EM931" s="451" t="n"/>
      <c r="EO931" s="429" t="n">
        <v>18</v>
      </c>
      <c r="EP931" s="431" t="n">
        <v>18</v>
      </c>
      <c r="EQ931" s="688" t="n"/>
      <c r="ER931" s="431" t="inlineStr">
        <is>
          <t>Boolean</t>
        </is>
      </c>
      <c r="ES931" s="451" t="n"/>
      <c r="ET931" s="451">
        <f>'CIRCUIT SIM'!HT21</f>
        <v/>
      </c>
      <c r="EU931" s="451" t="n"/>
      <c r="EW931" s="429" t="n">
        <v>18</v>
      </c>
      <c r="EX931" s="431" t="n">
        <v>18</v>
      </c>
      <c r="EY931" s="688" t="n"/>
      <c r="EZ931" s="431" t="inlineStr">
        <is>
          <t>Boolean</t>
        </is>
      </c>
      <c r="FA931" s="451" t="n"/>
      <c r="FB931" s="451">
        <f>'CIRCUIT SIM'!II21</f>
        <v/>
      </c>
      <c r="FC931" s="451" t="n"/>
      <c r="FE931" s="429" t="n">
        <v>18</v>
      </c>
      <c r="FF931" s="431" t="n">
        <v>18</v>
      </c>
      <c r="FG931" s="688" t="n"/>
      <c r="FH931" s="431" t="inlineStr">
        <is>
          <t>Boolean</t>
        </is>
      </c>
      <c r="FI931" s="451" t="n"/>
      <c r="FJ931" s="451">
        <f>'CIRCUIT SIM'!IU21</f>
        <v/>
      </c>
      <c r="FK931" s="451" t="n"/>
      <c r="FM931" s="429" t="n">
        <v>18</v>
      </c>
      <c r="FN931" s="431" t="n">
        <v>18</v>
      </c>
      <c r="FO931" s="688" t="n"/>
      <c r="FP931" s="431" t="inlineStr">
        <is>
          <t>Boolean</t>
        </is>
      </c>
      <c r="FQ931" s="451" t="n"/>
      <c r="FR931" s="451">
        <f>'CIRCUIT SIM'!KY21</f>
        <v/>
      </c>
      <c r="FS931" s="451" t="n"/>
      <c r="FU931" s="429" t="n">
        <v>18</v>
      </c>
      <c r="FV931" s="431" t="n">
        <v>18</v>
      </c>
      <c r="FW931" s="688" t="n"/>
      <c r="FX931" s="431" t="inlineStr">
        <is>
          <t>Boolean</t>
        </is>
      </c>
      <c r="FY931" s="451" t="n"/>
      <c r="FZ931" s="562">
        <f>'CIRCUIT SIM'!JG21</f>
        <v/>
      </c>
      <c r="GA931" s="451" t="n"/>
      <c r="GC931" s="429" t="n">
        <v>18</v>
      </c>
      <c r="GD931" s="431" t="n">
        <v>18</v>
      </c>
      <c r="GE931" s="688" t="n"/>
      <c r="GF931" s="431" t="inlineStr">
        <is>
          <t>Boolean</t>
        </is>
      </c>
      <c r="GG931" s="451" t="n"/>
      <c r="GH931" s="451">
        <f>'CIRCUIT SIM'!JW21</f>
        <v/>
      </c>
      <c r="GI931" s="451" t="n"/>
      <c r="GK931" s="429" t="n">
        <v>18</v>
      </c>
      <c r="GL931" s="431" t="n">
        <v>18</v>
      </c>
      <c r="GM931" s="688" t="n"/>
      <c r="GN931" s="431" t="inlineStr">
        <is>
          <t>Boolean</t>
        </is>
      </c>
      <c r="GO931" s="451" t="n"/>
      <c r="GP931" s="451">
        <f>'CIRCUIT SIM'!KI21</f>
        <v/>
      </c>
      <c r="GQ931" s="451" t="n"/>
      <c r="GS931" s="429" t="n">
        <v>18</v>
      </c>
      <c r="GT931" s="431" t="n">
        <v>18</v>
      </c>
      <c r="GU931" s="688" t="n"/>
      <c r="GV931" s="431" t="inlineStr">
        <is>
          <t>Boolean</t>
        </is>
      </c>
      <c r="GW931" s="451" t="n"/>
      <c r="GX931" s="451">
        <f>'CIRCUIT SIM'!KY21</f>
        <v/>
      </c>
      <c r="GY931" s="451" t="n"/>
      <c r="HA931" s="429" t="n">
        <v>18</v>
      </c>
      <c r="HB931" s="431" t="n">
        <v>18</v>
      </c>
      <c r="HC931" s="688" t="n"/>
      <c r="HD931" s="431" t="n"/>
      <c r="HE931" s="451" t="n"/>
      <c r="HF931" s="451" t="n"/>
      <c r="HG931" s="451" t="n"/>
    </row>
    <row r="932">
      <c r="A932" s="429" t="n">
        <v>19</v>
      </c>
      <c r="B932" s="431" t="n">
        <v>19</v>
      </c>
      <c r="C932" s="688" t="n"/>
      <c r="D932" s="431" t="inlineStr">
        <is>
          <t>Boolean</t>
        </is>
      </c>
      <c r="E932" s="429" t="n"/>
      <c r="F932" s="422">
        <f>'CIRCUIT SIM'!J22</f>
        <v/>
      </c>
      <c r="G932" s="429" t="n"/>
      <c r="I932" s="429" t="n">
        <v>19</v>
      </c>
      <c r="J932" s="431" t="n">
        <v>19</v>
      </c>
      <c r="K932" s="429" t="n"/>
      <c r="L932" s="431" t="inlineStr">
        <is>
          <t>Boolean</t>
        </is>
      </c>
      <c r="M932" s="451" t="n"/>
      <c r="N932" s="422">
        <f>'CIRCUIT SIM'!Y22</f>
        <v/>
      </c>
      <c r="O932" s="451" t="n"/>
      <c r="Q932" s="429" t="n">
        <v>19</v>
      </c>
      <c r="R932" s="431" t="n">
        <v>19</v>
      </c>
      <c r="S932" s="429" t="n"/>
      <c r="T932" s="431" t="inlineStr">
        <is>
          <t>Boolean</t>
        </is>
      </c>
      <c r="U932" s="429" t="n"/>
      <c r="V932" s="386">
        <f>'CIRCUIT SIM'!AO22</f>
        <v/>
      </c>
      <c r="W932" s="451" t="n"/>
      <c r="Y932" s="429" t="n">
        <v>19</v>
      </c>
      <c r="Z932" s="431" t="n">
        <v>19</v>
      </c>
      <c r="AA932" s="429" t="n"/>
      <c r="AB932" s="431" t="inlineStr">
        <is>
          <t>Boolean</t>
        </is>
      </c>
      <c r="AC932" s="451" t="n"/>
      <c r="AD932" s="562">
        <f>'CIRCUIT SIM'!BB22</f>
        <v/>
      </c>
      <c r="AE932" s="451" t="n"/>
      <c r="AG932" s="429" t="n">
        <v>19</v>
      </c>
      <c r="AH932" s="431" t="n">
        <v>19</v>
      </c>
      <c r="AI932" s="429" t="n"/>
      <c r="AJ932" s="431" t="inlineStr">
        <is>
          <t>Boolean</t>
        </is>
      </c>
      <c r="AK932" s="451" t="n"/>
      <c r="AL932" s="450">
        <f>'CIRCUIT SIM'!CR22</f>
        <v/>
      </c>
      <c r="AM932" s="451" t="n"/>
      <c r="AO932" s="429" t="n">
        <v>19</v>
      </c>
      <c r="AP932" s="431" t="n">
        <v>19</v>
      </c>
      <c r="AQ932" s="429" t="n"/>
      <c r="AR932" s="431" t="inlineStr">
        <is>
          <t>Boolean</t>
        </is>
      </c>
      <c r="AS932" s="451" t="n"/>
      <c r="AT932" s="386">
        <f>'CIRCUIT SIM'!BR22</f>
        <v/>
      </c>
      <c r="AU932" s="451" t="n"/>
      <c r="AW932" s="429" t="n">
        <v>19</v>
      </c>
      <c r="AX932" s="431" t="n">
        <v>19</v>
      </c>
      <c r="AY932" s="429" t="n"/>
      <c r="AZ932" s="431" t="inlineStr">
        <is>
          <t>Boolean</t>
        </is>
      </c>
      <c r="BA932" s="451" t="n"/>
      <c r="BB932" s="451">
        <f>'CIRCUIT SIM'!CG22</f>
        <v/>
      </c>
      <c r="BC932" s="451" t="n"/>
      <c r="BE932" s="429" t="n">
        <v>19</v>
      </c>
      <c r="BF932" s="431" t="n"/>
      <c r="BG932" s="429" t="n"/>
      <c r="BH932" s="431" t="n"/>
      <c r="BI932" s="451" t="n"/>
      <c r="BJ932" s="451" t="n"/>
      <c r="BK932" s="451" t="n"/>
      <c r="BM932" s="429" t="n">
        <v>19</v>
      </c>
      <c r="BN932" s="431" t="n">
        <v>19</v>
      </c>
      <c r="BO932" s="429" t="n"/>
      <c r="BP932" s="431" t="inlineStr">
        <is>
          <t>Boolean</t>
        </is>
      </c>
      <c r="BQ932" s="451" t="n"/>
      <c r="BR932" s="451">
        <f>'CIRCUIT SIM'!DT22</f>
        <v/>
      </c>
      <c r="BS932" s="451" t="n"/>
      <c r="BU932" s="429" t="n">
        <v>19</v>
      </c>
      <c r="BV932" s="431" t="n">
        <v>19</v>
      </c>
      <c r="BW932" s="429" t="n"/>
      <c r="BX932" s="431" t="inlineStr">
        <is>
          <t>Boolean</t>
        </is>
      </c>
      <c r="BY932" s="451" t="n"/>
      <c r="BZ932" s="451">
        <f>'CIRCUIT SIM'!EI22</f>
        <v/>
      </c>
      <c r="CA932" s="451" t="n"/>
      <c r="CC932" s="429" t="n">
        <v>19</v>
      </c>
      <c r="CD932" s="431" t="n">
        <v>19</v>
      </c>
      <c r="CE932" s="688" t="n"/>
      <c r="CF932" s="431" t="inlineStr">
        <is>
          <t>Boolean</t>
        </is>
      </c>
      <c r="CG932" s="451" t="n"/>
      <c r="CH932" s="562">
        <f>'CIRCUIT SIM'!LK22</f>
        <v/>
      </c>
      <c r="CI932" s="451" t="n"/>
      <c r="CK932" s="429" t="n">
        <v>19</v>
      </c>
      <c r="CL932" s="431" t="n">
        <v>19</v>
      </c>
      <c r="CM932" s="688" t="n"/>
      <c r="CN932" s="431" t="inlineStr">
        <is>
          <t>Boolean</t>
        </is>
      </c>
      <c r="CO932" s="451" t="n"/>
      <c r="CP932" s="451">
        <f>'CIRCUIT SIM'!MA22</f>
        <v/>
      </c>
      <c r="CQ932" s="451" t="n"/>
      <c r="CS932" s="429" t="n">
        <v>19</v>
      </c>
      <c r="CT932" s="431" t="n">
        <v>19</v>
      </c>
      <c r="CU932" s="688" t="n"/>
      <c r="CV932" s="431" t="inlineStr">
        <is>
          <t>Boolean</t>
        </is>
      </c>
      <c r="CW932" s="451" t="n"/>
      <c r="CX932" s="451">
        <f>'CIRCUIT SIM'!MQ22</f>
        <v/>
      </c>
      <c r="CY932" s="451" t="n"/>
      <c r="DA932" s="429" t="n">
        <v>19</v>
      </c>
      <c r="DB932" s="431" t="n">
        <v>19</v>
      </c>
      <c r="DC932" s="688" t="n"/>
      <c r="DD932" s="431" t="inlineStr">
        <is>
          <t>Boolean</t>
        </is>
      </c>
      <c r="DE932" s="451" t="n"/>
      <c r="DF932" s="451">
        <f>'CIRCUIT SIM'!EX22</f>
        <v/>
      </c>
      <c r="DG932" s="451" t="n"/>
      <c r="DI932" s="429" t="n">
        <v>19</v>
      </c>
      <c r="DJ932" s="431" t="n">
        <v>19</v>
      </c>
      <c r="DK932" s="688" t="n"/>
      <c r="DL932" s="431" t="inlineStr">
        <is>
          <t>Boolean</t>
        </is>
      </c>
      <c r="DM932" s="429" t="n"/>
      <c r="DN932" s="451">
        <f>'CIRCUIT SIM'!FN22</f>
        <v/>
      </c>
      <c r="DO932" s="451" t="n"/>
      <c r="DQ932" s="429" t="n">
        <v>19</v>
      </c>
      <c r="DR932" s="431" t="n">
        <v>19</v>
      </c>
      <c r="DS932" s="688" t="n"/>
      <c r="DT932" s="431" t="inlineStr">
        <is>
          <t>Boolean</t>
        </is>
      </c>
      <c r="DU932" s="451" t="n"/>
      <c r="DV932" s="451">
        <f>'CIRCUIT SIM'!HT22</f>
        <v/>
      </c>
      <c r="DW932" s="451" t="n"/>
      <c r="DY932" s="429" t="n">
        <v>19</v>
      </c>
      <c r="DZ932" s="431" t="n">
        <v>19</v>
      </c>
      <c r="EA932" s="688" t="n"/>
      <c r="EB932" s="431" t="inlineStr">
        <is>
          <t>Boolean</t>
        </is>
      </c>
      <c r="EC932" s="451" t="n"/>
      <c r="ED932" s="335">
        <f>'CIRCUIT SIM'!GO22</f>
        <v/>
      </c>
      <c r="EE932" s="451" t="n"/>
      <c r="EG932" s="429" t="n">
        <v>19</v>
      </c>
      <c r="EH932" s="431" t="n">
        <v>19</v>
      </c>
      <c r="EI932" s="688" t="n"/>
      <c r="EJ932" s="431" t="inlineStr">
        <is>
          <t>Boolean</t>
        </is>
      </c>
      <c r="EK932" s="451" t="n"/>
      <c r="EL932" s="451">
        <f>'CIRCUIT SIM'!HD22</f>
        <v/>
      </c>
      <c r="EM932" s="451" t="n"/>
      <c r="EO932" s="429" t="n">
        <v>19</v>
      </c>
      <c r="EP932" s="431" t="n">
        <v>19</v>
      </c>
      <c r="EQ932" s="688" t="n"/>
      <c r="ER932" s="431" t="inlineStr">
        <is>
          <t>Boolean</t>
        </is>
      </c>
      <c r="ES932" s="451" t="n"/>
      <c r="ET932" s="451">
        <f>'CIRCUIT SIM'!HT22</f>
        <v/>
      </c>
      <c r="EU932" s="451" t="n"/>
      <c r="EW932" s="429" t="n">
        <v>19</v>
      </c>
      <c r="EX932" s="431" t="n">
        <v>19</v>
      </c>
      <c r="EY932" s="688" t="n"/>
      <c r="EZ932" s="431" t="inlineStr">
        <is>
          <t>Boolean</t>
        </is>
      </c>
      <c r="FA932" s="451" t="n"/>
      <c r="FB932" s="451">
        <f>'CIRCUIT SIM'!II22</f>
        <v/>
      </c>
      <c r="FC932" s="451" t="n"/>
      <c r="FE932" s="429" t="n">
        <v>19</v>
      </c>
      <c r="FF932" s="431" t="n">
        <v>19</v>
      </c>
      <c r="FG932" s="688" t="n"/>
      <c r="FH932" s="431" t="inlineStr">
        <is>
          <t>Boolean</t>
        </is>
      </c>
      <c r="FI932" s="451" t="n"/>
      <c r="FJ932" s="451">
        <f>'CIRCUIT SIM'!IU22</f>
        <v/>
      </c>
      <c r="FK932" s="451" t="n"/>
      <c r="FM932" s="429" t="n">
        <v>19</v>
      </c>
      <c r="FN932" s="431" t="n">
        <v>19</v>
      </c>
      <c r="FO932" s="688" t="n"/>
      <c r="FP932" s="431" t="inlineStr">
        <is>
          <t>Boolean</t>
        </is>
      </c>
      <c r="FQ932" s="451" t="n"/>
      <c r="FR932" s="451">
        <f>'CIRCUIT SIM'!KY22</f>
        <v/>
      </c>
      <c r="FS932" s="451" t="n"/>
      <c r="FU932" s="429" t="n">
        <v>19</v>
      </c>
      <c r="FV932" s="431" t="n">
        <v>19</v>
      </c>
      <c r="FW932" s="688" t="n"/>
      <c r="FX932" s="431" t="inlineStr">
        <is>
          <t>Boolean</t>
        </is>
      </c>
      <c r="FY932" s="451" t="n"/>
      <c r="FZ932" s="562">
        <f>'CIRCUIT SIM'!JG22</f>
        <v/>
      </c>
      <c r="GA932" s="451" t="n"/>
      <c r="GC932" s="429" t="n">
        <v>19</v>
      </c>
      <c r="GD932" s="431" t="n">
        <v>19</v>
      </c>
      <c r="GE932" s="688" t="n"/>
      <c r="GF932" s="431" t="inlineStr">
        <is>
          <t>Boolean</t>
        </is>
      </c>
      <c r="GG932" s="451" t="n"/>
      <c r="GH932" s="451">
        <f>'CIRCUIT SIM'!JW22</f>
        <v/>
      </c>
      <c r="GI932" s="451" t="n"/>
      <c r="GK932" s="429" t="n">
        <v>19</v>
      </c>
      <c r="GL932" s="431" t="n">
        <v>19</v>
      </c>
      <c r="GM932" s="688" t="n"/>
      <c r="GN932" s="431" t="inlineStr">
        <is>
          <t>Boolean</t>
        </is>
      </c>
      <c r="GO932" s="451" t="n"/>
      <c r="GP932" s="451">
        <f>'CIRCUIT SIM'!KI22</f>
        <v/>
      </c>
      <c r="GQ932" s="451" t="n"/>
      <c r="GS932" s="429" t="n">
        <v>19</v>
      </c>
      <c r="GT932" s="431" t="n">
        <v>19</v>
      </c>
      <c r="GU932" s="688" t="n"/>
      <c r="GV932" s="431" t="inlineStr">
        <is>
          <t>Boolean</t>
        </is>
      </c>
      <c r="GW932" s="451" t="n"/>
      <c r="GX932" s="451">
        <f>'CIRCUIT SIM'!KY22</f>
        <v/>
      </c>
      <c r="GY932" s="451" t="n"/>
      <c r="HA932" s="429" t="n">
        <v>19</v>
      </c>
      <c r="HB932" s="431" t="n">
        <v>19</v>
      </c>
      <c r="HC932" s="688" t="n"/>
      <c r="HD932" s="431" t="n"/>
      <c r="HE932" s="451" t="n"/>
      <c r="HF932" s="451" t="n"/>
      <c r="HG932" s="451" t="n"/>
    </row>
    <row r="933">
      <c r="A933" s="429" t="n">
        <v>20</v>
      </c>
      <c r="B933" s="431" t="n">
        <v>20</v>
      </c>
      <c r="C933" s="688" t="n"/>
      <c r="D933" s="431" t="inlineStr">
        <is>
          <t>Boolean</t>
        </is>
      </c>
      <c r="E933" s="429" t="n"/>
      <c r="F933" s="422">
        <f>'CIRCUIT SIM'!J23</f>
        <v/>
      </c>
      <c r="G933" s="429" t="n"/>
      <c r="I933" s="429" t="n">
        <v>20</v>
      </c>
      <c r="J933" s="431" t="n">
        <v>20</v>
      </c>
      <c r="K933" s="429" t="n"/>
      <c r="L933" s="431" t="inlineStr">
        <is>
          <t>Boolean</t>
        </is>
      </c>
      <c r="M933" s="451" t="n"/>
      <c r="N933" s="422">
        <f>'CIRCUIT SIM'!Y23</f>
        <v/>
      </c>
      <c r="O933" s="451" t="n"/>
      <c r="Q933" s="429" t="n">
        <v>20</v>
      </c>
      <c r="R933" s="431" t="n">
        <v>20</v>
      </c>
      <c r="S933" s="429" t="n"/>
      <c r="T933" s="431" t="inlineStr">
        <is>
          <t>Boolean</t>
        </is>
      </c>
      <c r="U933" s="429" t="n"/>
      <c r="V933" s="386">
        <f>'CIRCUIT SIM'!AO23</f>
        <v/>
      </c>
      <c r="W933" s="451" t="n"/>
      <c r="Y933" s="429" t="n">
        <v>20</v>
      </c>
      <c r="Z933" s="431" t="n">
        <v>20</v>
      </c>
      <c r="AA933" s="429" t="n"/>
      <c r="AB933" s="431" t="inlineStr">
        <is>
          <t>Boolean</t>
        </is>
      </c>
      <c r="AC933" s="451" t="n"/>
      <c r="AD933" s="562">
        <f>'CIRCUIT SIM'!BB23</f>
        <v/>
      </c>
      <c r="AE933" s="451" t="n"/>
      <c r="AG933" s="429" t="n">
        <v>20</v>
      </c>
      <c r="AH933" s="431" t="n">
        <v>20</v>
      </c>
      <c r="AI933" s="429" t="n"/>
      <c r="AJ933" s="431" t="inlineStr">
        <is>
          <t>Boolean</t>
        </is>
      </c>
      <c r="AK933" s="451" t="n"/>
      <c r="AL933" s="450">
        <f>'CIRCUIT SIM'!CR23</f>
        <v/>
      </c>
      <c r="AM933" s="451" t="n"/>
      <c r="AO933" s="429" t="n">
        <v>20</v>
      </c>
      <c r="AP933" s="431" t="n">
        <v>20</v>
      </c>
      <c r="AQ933" s="429" t="n"/>
      <c r="AR933" s="431" t="inlineStr">
        <is>
          <t>Boolean</t>
        </is>
      </c>
      <c r="AS933" s="451" t="n"/>
      <c r="AT933" s="386">
        <f>'CIRCUIT SIM'!BR23</f>
        <v/>
      </c>
      <c r="AU933" s="451" t="n"/>
      <c r="AW933" s="429" t="n">
        <v>20</v>
      </c>
      <c r="AX933" s="431" t="n">
        <v>20</v>
      </c>
      <c r="AY933" s="429" t="n"/>
      <c r="AZ933" s="431" t="inlineStr">
        <is>
          <t>Boolean</t>
        </is>
      </c>
      <c r="BA933" s="451" t="n"/>
      <c r="BB933" s="451">
        <f>'CIRCUIT SIM'!CG23</f>
        <v/>
      </c>
      <c r="BC933" s="451" t="n"/>
      <c r="BE933" s="429" t="n">
        <v>20</v>
      </c>
      <c r="BF933" s="431" t="n"/>
      <c r="BG933" s="429" t="n"/>
      <c r="BH933" s="431" t="n"/>
      <c r="BI933" s="451" t="n"/>
      <c r="BJ933" s="451" t="n"/>
      <c r="BK933" s="451" t="n"/>
      <c r="BM933" s="429" t="n">
        <v>20</v>
      </c>
      <c r="BN933" s="431" t="n">
        <v>20</v>
      </c>
      <c r="BO933" s="429" t="n"/>
      <c r="BP933" s="431" t="inlineStr">
        <is>
          <t>Boolean</t>
        </is>
      </c>
      <c r="BQ933" s="451" t="n"/>
      <c r="BR933" s="451">
        <f>'CIRCUIT SIM'!DT23</f>
        <v/>
      </c>
      <c r="BS933" s="451" t="n"/>
      <c r="BU933" s="429" t="n">
        <v>20</v>
      </c>
      <c r="BV933" s="431" t="n">
        <v>20</v>
      </c>
      <c r="BW933" s="429" t="n"/>
      <c r="BX933" s="431" t="inlineStr">
        <is>
          <t>Boolean</t>
        </is>
      </c>
      <c r="BY933" s="451" t="n"/>
      <c r="BZ933" s="451">
        <f>'CIRCUIT SIM'!EI23</f>
        <v/>
      </c>
      <c r="CA933" s="451" t="n"/>
      <c r="CC933" s="429" t="n">
        <v>20</v>
      </c>
      <c r="CD933" s="431" t="n">
        <v>20</v>
      </c>
      <c r="CE933" s="688" t="n"/>
      <c r="CF933" s="431" t="inlineStr">
        <is>
          <t>Boolean</t>
        </is>
      </c>
      <c r="CG933" s="451" t="n"/>
      <c r="CH933" s="562">
        <f>'CIRCUIT SIM'!LK23</f>
        <v/>
      </c>
      <c r="CI933" s="451" t="n"/>
      <c r="CK933" s="429" t="n">
        <v>20</v>
      </c>
      <c r="CL933" s="431" t="n">
        <v>20</v>
      </c>
      <c r="CM933" s="688" t="n"/>
      <c r="CN933" s="431" t="inlineStr">
        <is>
          <t>Boolean</t>
        </is>
      </c>
      <c r="CO933" s="451" t="n"/>
      <c r="CP933" s="451">
        <f>'CIRCUIT SIM'!MA23</f>
        <v/>
      </c>
      <c r="CQ933" s="451" t="n"/>
      <c r="CS933" s="429" t="n">
        <v>20</v>
      </c>
      <c r="CT933" s="431" t="n">
        <v>20</v>
      </c>
      <c r="CU933" s="688" t="n"/>
      <c r="CV933" s="431" t="inlineStr">
        <is>
          <t>Boolean</t>
        </is>
      </c>
      <c r="CW933" s="451" t="n"/>
      <c r="CX933" s="451">
        <f>'CIRCUIT SIM'!MQ23</f>
        <v/>
      </c>
      <c r="CY933" s="451" t="n"/>
      <c r="DA933" s="429" t="n">
        <v>20</v>
      </c>
      <c r="DB933" s="431" t="n">
        <v>20</v>
      </c>
      <c r="DC933" s="688" t="n"/>
      <c r="DD933" s="431" t="inlineStr">
        <is>
          <t>Boolean</t>
        </is>
      </c>
      <c r="DE933" s="451" t="n"/>
      <c r="DF933" s="451">
        <f>'CIRCUIT SIM'!EX23</f>
        <v/>
      </c>
      <c r="DG933" s="451" t="n"/>
      <c r="DI933" s="429" t="n">
        <v>20</v>
      </c>
      <c r="DJ933" s="431" t="n">
        <v>20</v>
      </c>
      <c r="DK933" s="688" t="n"/>
      <c r="DL933" s="431" t="inlineStr">
        <is>
          <t>Boolean</t>
        </is>
      </c>
      <c r="DM933" s="429" t="n"/>
      <c r="DN933" s="451">
        <f>'CIRCUIT SIM'!FN23</f>
        <v/>
      </c>
      <c r="DO933" s="451" t="n"/>
      <c r="DQ933" s="429" t="n">
        <v>20</v>
      </c>
      <c r="DR933" s="431" t="n">
        <v>20</v>
      </c>
      <c r="DS933" s="688" t="n"/>
      <c r="DT933" s="431" t="inlineStr">
        <is>
          <t>Boolean</t>
        </is>
      </c>
      <c r="DU933" s="451" t="n"/>
      <c r="DV933" s="451">
        <f>'CIRCUIT SIM'!HT23</f>
        <v/>
      </c>
      <c r="DW933" s="451" t="n"/>
      <c r="DY933" s="429" t="n">
        <v>20</v>
      </c>
      <c r="DZ933" s="431" t="n">
        <v>20</v>
      </c>
      <c r="EA933" s="688" t="n"/>
      <c r="EB933" s="431" t="inlineStr">
        <is>
          <t>Boolean</t>
        </is>
      </c>
      <c r="EC933" s="451" t="n"/>
      <c r="ED933" s="335">
        <f>'CIRCUIT SIM'!GO23</f>
        <v/>
      </c>
      <c r="EE933" s="451" t="n"/>
      <c r="EG933" s="429" t="n">
        <v>20</v>
      </c>
      <c r="EH933" s="431" t="n">
        <v>20</v>
      </c>
      <c r="EI933" s="688" t="n"/>
      <c r="EJ933" s="431" t="inlineStr">
        <is>
          <t>Boolean</t>
        </is>
      </c>
      <c r="EK933" s="451" t="n"/>
      <c r="EL933" s="451">
        <f>'CIRCUIT SIM'!HD23</f>
        <v/>
      </c>
      <c r="EM933" s="451" t="n"/>
      <c r="EO933" s="429" t="n">
        <v>20</v>
      </c>
      <c r="EP933" s="431" t="n">
        <v>20</v>
      </c>
      <c r="EQ933" s="688" t="n"/>
      <c r="ER933" s="431" t="inlineStr">
        <is>
          <t>Boolean</t>
        </is>
      </c>
      <c r="ES933" s="451" t="n"/>
      <c r="ET933" s="451">
        <f>'CIRCUIT SIM'!HT23</f>
        <v/>
      </c>
      <c r="EU933" s="451" t="n"/>
      <c r="EW933" s="429" t="n">
        <v>20</v>
      </c>
      <c r="EX933" s="431" t="n">
        <v>20</v>
      </c>
      <c r="EY933" s="688" t="n"/>
      <c r="EZ933" s="431" t="inlineStr">
        <is>
          <t>Boolean</t>
        </is>
      </c>
      <c r="FA933" s="451" t="n"/>
      <c r="FB933" s="451">
        <f>'CIRCUIT SIM'!II23</f>
        <v/>
      </c>
      <c r="FC933" s="451" t="n"/>
      <c r="FE933" s="429" t="n">
        <v>20</v>
      </c>
      <c r="FF933" s="431" t="n">
        <v>20</v>
      </c>
      <c r="FG933" s="688" t="n"/>
      <c r="FH933" s="431" t="inlineStr">
        <is>
          <t>Boolean</t>
        </is>
      </c>
      <c r="FI933" s="451" t="n"/>
      <c r="FJ933" s="451">
        <f>'CIRCUIT SIM'!IU23</f>
        <v/>
      </c>
      <c r="FK933" s="451" t="n"/>
      <c r="FM933" s="429" t="n">
        <v>20</v>
      </c>
      <c r="FN933" s="431" t="n">
        <v>20</v>
      </c>
      <c r="FO933" s="688" t="n"/>
      <c r="FP933" s="431" t="inlineStr">
        <is>
          <t>Boolean</t>
        </is>
      </c>
      <c r="FQ933" s="451" t="n"/>
      <c r="FR933" s="451">
        <f>'CIRCUIT SIM'!KY23</f>
        <v/>
      </c>
      <c r="FS933" s="451" t="n"/>
      <c r="FU933" s="429" t="n">
        <v>20</v>
      </c>
      <c r="FV933" s="431" t="n">
        <v>20</v>
      </c>
      <c r="FW933" s="688" t="n"/>
      <c r="FX933" s="431" t="inlineStr">
        <is>
          <t>Boolean</t>
        </is>
      </c>
      <c r="FY933" s="451" t="n"/>
      <c r="FZ933" s="562">
        <f>'CIRCUIT SIM'!JG23</f>
        <v/>
      </c>
      <c r="GA933" s="451" t="n"/>
      <c r="GC933" s="429" t="n">
        <v>20</v>
      </c>
      <c r="GD933" s="431" t="n">
        <v>20</v>
      </c>
      <c r="GE933" s="688" t="n"/>
      <c r="GF933" s="431" t="inlineStr">
        <is>
          <t>Boolean</t>
        </is>
      </c>
      <c r="GG933" s="451" t="n"/>
      <c r="GH933" s="451">
        <f>'CIRCUIT SIM'!JW23</f>
        <v/>
      </c>
      <c r="GI933" s="451" t="n"/>
      <c r="GK933" s="429" t="n">
        <v>20</v>
      </c>
      <c r="GL933" s="431" t="n">
        <v>20</v>
      </c>
      <c r="GM933" s="688" t="n"/>
      <c r="GN933" s="431" t="inlineStr">
        <is>
          <t>Boolean</t>
        </is>
      </c>
      <c r="GO933" s="451" t="n"/>
      <c r="GP933" s="451">
        <f>'CIRCUIT SIM'!KI23</f>
        <v/>
      </c>
      <c r="GQ933" s="451" t="n"/>
      <c r="GS933" s="429" t="n">
        <v>20</v>
      </c>
      <c r="GT933" s="431" t="n">
        <v>20</v>
      </c>
      <c r="GU933" s="688" t="n"/>
      <c r="GV933" s="431" t="inlineStr">
        <is>
          <t>Boolean</t>
        </is>
      </c>
      <c r="GW933" s="451" t="n"/>
      <c r="GX933" s="451">
        <f>'CIRCUIT SIM'!KY23</f>
        <v/>
      </c>
      <c r="GY933" s="451" t="n"/>
      <c r="HA933" s="429" t="n">
        <v>20</v>
      </c>
      <c r="HB933" s="431" t="n">
        <v>20</v>
      </c>
      <c r="HC933" s="688" t="n"/>
      <c r="HD933" s="431" t="n"/>
      <c r="HE933" s="451" t="n"/>
      <c r="HF933" s="451" t="n"/>
      <c r="HG933" s="451" t="n"/>
    </row>
    <row r="934">
      <c r="A934" s="429" t="n">
        <v>21</v>
      </c>
      <c r="B934" s="431" t="n">
        <v>21</v>
      </c>
      <c r="C934" s="688" t="n"/>
      <c r="D934" s="431" t="inlineStr">
        <is>
          <t>Boolean</t>
        </is>
      </c>
      <c r="E934" s="429" t="n"/>
      <c r="F934" s="422">
        <f>'CIRCUIT SIM'!J24</f>
        <v/>
      </c>
      <c r="G934" s="429" t="n"/>
      <c r="H934" s="335" t="inlineStr">
        <is>
          <t> </t>
        </is>
      </c>
      <c r="I934" s="429" t="n">
        <v>21</v>
      </c>
      <c r="J934" s="431" t="n">
        <v>21</v>
      </c>
      <c r="K934" s="429" t="n"/>
      <c r="L934" s="431" t="inlineStr">
        <is>
          <t>Boolean</t>
        </is>
      </c>
      <c r="M934" s="451" t="n"/>
      <c r="N934" s="422">
        <f>'CIRCUIT SIM'!Y24</f>
        <v/>
      </c>
      <c r="O934" s="451" t="n"/>
      <c r="Q934" s="429" t="n">
        <v>21</v>
      </c>
      <c r="R934" s="431" t="n">
        <v>21</v>
      </c>
      <c r="S934" s="429" t="n"/>
      <c r="T934" s="431" t="inlineStr">
        <is>
          <t>Boolean</t>
        </is>
      </c>
      <c r="U934" s="429" t="n"/>
      <c r="V934" s="386">
        <f>'CIRCUIT SIM'!AO24</f>
        <v/>
      </c>
      <c r="W934" s="451" t="n"/>
      <c r="Y934" s="429" t="n">
        <v>21</v>
      </c>
      <c r="Z934" s="431" t="n">
        <v>21</v>
      </c>
      <c r="AA934" s="429" t="inlineStr">
        <is>
          <t> </t>
        </is>
      </c>
      <c r="AB934" s="431" t="inlineStr">
        <is>
          <t>Boolean</t>
        </is>
      </c>
      <c r="AC934" s="451" t="n"/>
      <c r="AD934" s="562">
        <f>'CIRCUIT SIM'!BB24</f>
        <v/>
      </c>
      <c r="AE934" s="451" t="n"/>
      <c r="AG934" s="429" t="n">
        <v>21</v>
      </c>
      <c r="AH934" s="431" t="n">
        <v>21</v>
      </c>
      <c r="AI934" s="429" t="n"/>
      <c r="AJ934" s="431" t="inlineStr">
        <is>
          <t>Boolean</t>
        </is>
      </c>
      <c r="AK934" s="451" t="n"/>
      <c r="AL934" s="450">
        <f>'CIRCUIT SIM'!CR24</f>
        <v/>
      </c>
      <c r="AM934" s="451" t="n"/>
      <c r="AO934" s="429" t="n">
        <v>21</v>
      </c>
      <c r="AP934" s="431" t="n">
        <v>21</v>
      </c>
      <c r="AQ934" s="429" t="n"/>
      <c r="AR934" s="431" t="inlineStr">
        <is>
          <t>Boolean</t>
        </is>
      </c>
      <c r="AS934" s="451" t="n"/>
      <c r="AT934" s="386">
        <f>'CIRCUIT SIM'!BR24</f>
        <v/>
      </c>
      <c r="AU934" s="451" t="n"/>
      <c r="AW934" s="429" t="n">
        <v>21</v>
      </c>
      <c r="AX934" s="431" t="n">
        <v>21</v>
      </c>
      <c r="AY934" s="429" t="n"/>
      <c r="AZ934" s="431" t="inlineStr">
        <is>
          <t>Boolean</t>
        </is>
      </c>
      <c r="BA934" s="451" t="n"/>
      <c r="BB934" s="451">
        <f>'CIRCUIT SIM'!CG24</f>
        <v/>
      </c>
      <c r="BC934" s="451" t="n"/>
      <c r="BE934" s="429" t="n">
        <v>21</v>
      </c>
      <c r="BF934" s="431" t="n"/>
      <c r="BG934" s="429" t="n"/>
      <c r="BH934" s="431" t="n"/>
      <c r="BI934" s="451" t="n"/>
      <c r="BJ934" s="451" t="n"/>
      <c r="BK934" s="451" t="n"/>
      <c r="BM934" s="429" t="n">
        <v>21</v>
      </c>
      <c r="BN934" s="431" t="n">
        <v>21</v>
      </c>
      <c r="BO934" s="429" t="n"/>
      <c r="BP934" s="431" t="inlineStr">
        <is>
          <t>Boolean</t>
        </is>
      </c>
      <c r="BQ934" s="451" t="n"/>
      <c r="BR934" s="451">
        <f>'CIRCUIT SIM'!DT24</f>
        <v/>
      </c>
      <c r="BS934" s="451" t="n"/>
      <c r="BU934" s="429" t="n">
        <v>21</v>
      </c>
      <c r="BV934" s="431" t="n">
        <v>21</v>
      </c>
      <c r="BW934" s="429" t="n"/>
      <c r="BX934" s="431" t="inlineStr">
        <is>
          <t>Boolean</t>
        </is>
      </c>
      <c r="BY934" s="451" t="inlineStr">
        <is>
          <t> </t>
        </is>
      </c>
      <c r="BZ934" s="451">
        <f>'CIRCUIT SIM'!EI24</f>
        <v/>
      </c>
      <c r="CA934" s="451" t="n"/>
      <c r="CC934" s="429" t="n">
        <v>21</v>
      </c>
      <c r="CD934" s="431" t="n">
        <v>21</v>
      </c>
      <c r="CE934" s="688" t="n"/>
      <c r="CF934" s="431" t="inlineStr">
        <is>
          <t>Boolean</t>
        </is>
      </c>
      <c r="CG934" s="451" t="n"/>
      <c r="CH934" s="562">
        <f>'CIRCUIT SIM'!LK24</f>
        <v/>
      </c>
      <c r="CI934" s="451" t="n"/>
      <c r="CK934" s="429" t="n">
        <v>21</v>
      </c>
      <c r="CL934" s="431" t="n">
        <v>21</v>
      </c>
      <c r="CM934" s="688" t="n"/>
      <c r="CN934" s="431" t="inlineStr">
        <is>
          <t>Boolean</t>
        </is>
      </c>
      <c r="CO934" s="451" t="n"/>
      <c r="CP934" s="451">
        <f>'CIRCUIT SIM'!MA24</f>
        <v/>
      </c>
      <c r="CQ934" s="451" t="n"/>
      <c r="CS934" s="429" t="n">
        <v>21</v>
      </c>
      <c r="CT934" s="431" t="n">
        <v>21</v>
      </c>
      <c r="CU934" s="688" t="n"/>
      <c r="CV934" s="431" t="inlineStr">
        <is>
          <t>Boolean</t>
        </is>
      </c>
      <c r="CW934" s="451" t="n"/>
      <c r="CX934" s="451">
        <f>'CIRCUIT SIM'!MQ24</f>
        <v/>
      </c>
      <c r="CY934" s="451" t="n"/>
      <c r="DA934" s="429" t="n">
        <v>21</v>
      </c>
      <c r="DB934" s="431" t="n">
        <v>21</v>
      </c>
      <c r="DC934" s="688" t="n"/>
      <c r="DD934" s="431" t="inlineStr">
        <is>
          <t>Boolean</t>
        </is>
      </c>
      <c r="DE934" s="451" t="n"/>
      <c r="DF934" s="451">
        <f>'CIRCUIT SIM'!EX24</f>
        <v/>
      </c>
      <c r="DG934" s="451" t="n"/>
      <c r="DI934" s="429" t="n">
        <v>21</v>
      </c>
      <c r="DJ934" s="431" t="n">
        <v>21</v>
      </c>
      <c r="DK934" s="688" t="n"/>
      <c r="DL934" s="431" t="inlineStr">
        <is>
          <t>Boolean</t>
        </is>
      </c>
      <c r="DM934" s="429" t="n"/>
      <c r="DN934" s="451">
        <f>'CIRCUIT SIM'!FN24</f>
        <v/>
      </c>
      <c r="DO934" s="451" t="n"/>
      <c r="DQ934" s="429" t="n">
        <v>21</v>
      </c>
      <c r="DR934" s="431" t="n">
        <v>21</v>
      </c>
      <c r="DS934" s="688" t="n"/>
      <c r="DT934" s="431" t="inlineStr">
        <is>
          <t>Boolean</t>
        </is>
      </c>
      <c r="DU934" s="451" t="n"/>
      <c r="DV934" s="451">
        <f>'CIRCUIT SIM'!HT24</f>
        <v/>
      </c>
      <c r="DW934" s="451" t="n"/>
      <c r="DY934" s="429" t="n">
        <v>21</v>
      </c>
      <c r="DZ934" s="431" t="n">
        <v>21</v>
      </c>
      <c r="EA934" s="688" t="n"/>
      <c r="EB934" s="431" t="inlineStr">
        <is>
          <t>Boolean</t>
        </is>
      </c>
      <c r="EC934" s="451" t="n"/>
      <c r="ED934" s="335">
        <f>'CIRCUIT SIM'!GO24</f>
        <v/>
      </c>
      <c r="EE934" s="451" t="n"/>
      <c r="EG934" s="429" t="n">
        <v>21</v>
      </c>
      <c r="EH934" s="431" t="n">
        <v>21</v>
      </c>
      <c r="EI934" s="688" t="n"/>
      <c r="EJ934" s="431" t="inlineStr">
        <is>
          <t>Boolean</t>
        </is>
      </c>
      <c r="EK934" s="451" t="n"/>
      <c r="EL934" s="451">
        <f>'CIRCUIT SIM'!HD24</f>
        <v/>
      </c>
      <c r="EM934" s="451" t="n"/>
      <c r="EO934" s="429" t="n">
        <v>21</v>
      </c>
      <c r="EP934" s="431" t="n">
        <v>21</v>
      </c>
      <c r="EQ934" s="688" t="n"/>
      <c r="ER934" s="431" t="inlineStr">
        <is>
          <t>Boolean</t>
        </is>
      </c>
      <c r="ES934" s="451" t="n"/>
      <c r="ET934" s="451">
        <f>'CIRCUIT SIM'!HT24</f>
        <v/>
      </c>
      <c r="EU934" s="451" t="n"/>
      <c r="EW934" s="429" t="n">
        <v>21</v>
      </c>
      <c r="EX934" s="431" t="n">
        <v>21</v>
      </c>
      <c r="EY934" s="688" t="n"/>
      <c r="EZ934" s="431" t="inlineStr">
        <is>
          <t>Boolean</t>
        </is>
      </c>
      <c r="FA934" s="451" t="n"/>
      <c r="FB934" s="451">
        <f>'CIRCUIT SIM'!II24</f>
        <v/>
      </c>
      <c r="FC934" s="451" t="n"/>
      <c r="FE934" s="429" t="n">
        <v>21</v>
      </c>
      <c r="FF934" s="431" t="n">
        <v>21</v>
      </c>
      <c r="FG934" s="688" t="n"/>
      <c r="FH934" s="431" t="inlineStr">
        <is>
          <t>Boolean</t>
        </is>
      </c>
      <c r="FI934" s="451" t="n"/>
      <c r="FJ934" s="451">
        <f>'CIRCUIT SIM'!IU24</f>
        <v/>
      </c>
      <c r="FK934" s="451" t="n"/>
      <c r="FM934" s="429" t="n">
        <v>21</v>
      </c>
      <c r="FN934" s="431" t="n">
        <v>21</v>
      </c>
      <c r="FO934" s="688" t="n"/>
      <c r="FP934" s="431" t="inlineStr">
        <is>
          <t>Boolean</t>
        </is>
      </c>
      <c r="FQ934" s="451" t="n"/>
      <c r="FR934" s="451">
        <f>'CIRCUIT SIM'!KY24</f>
        <v/>
      </c>
      <c r="FS934" s="451" t="n"/>
      <c r="FU934" s="429" t="n">
        <v>21</v>
      </c>
      <c r="FV934" s="431" t="n">
        <v>21</v>
      </c>
      <c r="FW934" s="688" t="n"/>
      <c r="FX934" s="431" t="inlineStr">
        <is>
          <t>Boolean</t>
        </is>
      </c>
      <c r="FY934" s="451" t="n"/>
      <c r="FZ934" s="562">
        <f>'CIRCUIT SIM'!JG24</f>
        <v/>
      </c>
      <c r="GA934" s="451" t="n"/>
      <c r="GC934" s="429" t="n">
        <v>21</v>
      </c>
      <c r="GD934" s="431" t="n">
        <v>21</v>
      </c>
      <c r="GE934" s="688" t="n"/>
      <c r="GF934" s="431" t="inlineStr">
        <is>
          <t>Boolean</t>
        </is>
      </c>
      <c r="GG934" s="451" t="n"/>
      <c r="GH934" s="451">
        <f>'CIRCUIT SIM'!JW24</f>
        <v/>
      </c>
      <c r="GI934" s="451" t="n"/>
      <c r="GK934" s="429" t="n">
        <v>21</v>
      </c>
      <c r="GL934" s="431" t="n">
        <v>21</v>
      </c>
      <c r="GM934" s="688" t="n"/>
      <c r="GN934" s="431" t="inlineStr">
        <is>
          <t>Boolean</t>
        </is>
      </c>
      <c r="GO934" s="451" t="n"/>
      <c r="GP934" s="451">
        <f>'CIRCUIT SIM'!KI24</f>
        <v/>
      </c>
      <c r="GQ934" s="451" t="n"/>
      <c r="GS934" s="429" t="n">
        <v>21</v>
      </c>
      <c r="GT934" s="431" t="n">
        <v>21</v>
      </c>
      <c r="GU934" s="688" t="n"/>
      <c r="GV934" s="431" t="inlineStr">
        <is>
          <t>Boolean</t>
        </is>
      </c>
      <c r="GW934" s="451" t="n"/>
      <c r="GX934" s="451">
        <f>'CIRCUIT SIM'!KY24</f>
        <v/>
      </c>
      <c r="GY934" s="451" t="n"/>
      <c r="HA934" s="429" t="n">
        <v>21</v>
      </c>
      <c r="HB934" s="431" t="n">
        <v>21</v>
      </c>
      <c r="HC934" s="688" t="n"/>
      <c r="HD934" s="431" t="n"/>
      <c r="HE934" s="451" t="n"/>
      <c r="HF934" s="451" t="n"/>
      <c r="HG934" s="451" t="n"/>
    </row>
    <row r="935">
      <c r="A935" s="429" t="n">
        <v>22</v>
      </c>
      <c r="B935" s="431" t="n">
        <v>22</v>
      </c>
      <c r="C935" s="688" t="n"/>
      <c r="D935" s="431" t="inlineStr">
        <is>
          <t>Boolean</t>
        </is>
      </c>
      <c r="E935" s="429" t="n"/>
      <c r="F935" s="422">
        <f>'CIRCUIT SIM'!J25</f>
        <v/>
      </c>
      <c r="G935" s="429" t="n"/>
      <c r="I935" s="429" t="n">
        <v>22</v>
      </c>
      <c r="J935" s="431" t="n">
        <v>22</v>
      </c>
      <c r="K935" s="429" t="n"/>
      <c r="L935" s="431" t="inlineStr">
        <is>
          <t>Boolean</t>
        </is>
      </c>
      <c r="M935" s="451" t="n"/>
      <c r="N935" s="422">
        <f>'CIRCUIT SIM'!Y25</f>
        <v/>
      </c>
      <c r="O935" s="451" t="n"/>
      <c r="Q935" s="429" t="n">
        <v>22</v>
      </c>
      <c r="R935" s="431" t="n">
        <v>22</v>
      </c>
      <c r="S935" s="429" t="n"/>
      <c r="T935" s="431" t="inlineStr">
        <is>
          <t>Boolean</t>
        </is>
      </c>
      <c r="U935" s="429" t="n"/>
      <c r="V935" s="386">
        <f>'CIRCUIT SIM'!AO25</f>
        <v/>
      </c>
      <c r="W935" s="451" t="n"/>
      <c r="Y935" s="429" t="n">
        <v>22</v>
      </c>
      <c r="Z935" s="431" t="n">
        <v>22</v>
      </c>
      <c r="AA935" s="429" t="n"/>
      <c r="AB935" s="431" t="inlineStr">
        <is>
          <t>Boolean</t>
        </is>
      </c>
      <c r="AC935" s="451" t="n"/>
      <c r="AD935" s="562">
        <f>'CIRCUIT SIM'!BB25</f>
        <v/>
      </c>
      <c r="AE935" s="451" t="n"/>
      <c r="AG935" s="429" t="n">
        <v>22</v>
      </c>
      <c r="AH935" s="431" t="n">
        <v>22</v>
      </c>
      <c r="AI935" s="429" t="n"/>
      <c r="AJ935" s="431" t="inlineStr">
        <is>
          <t>Boolean</t>
        </is>
      </c>
      <c r="AK935" s="451" t="n"/>
      <c r="AL935" s="450">
        <f>'CIRCUIT SIM'!CR25</f>
        <v/>
      </c>
      <c r="AM935" s="451" t="n"/>
      <c r="AO935" s="429" t="n">
        <v>22</v>
      </c>
      <c r="AP935" s="431" t="n">
        <v>22</v>
      </c>
      <c r="AQ935" s="429" t="n"/>
      <c r="AR935" s="431" t="inlineStr">
        <is>
          <t>Boolean</t>
        </is>
      </c>
      <c r="AS935" s="451" t="n"/>
      <c r="AT935" s="386">
        <f>'CIRCUIT SIM'!BR25</f>
        <v/>
      </c>
      <c r="AU935" s="451" t="n"/>
      <c r="AW935" s="429" t="n">
        <v>22</v>
      </c>
      <c r="AX935" s="431" t="n">
        <v>22</v>
      </c>
      <c r="AY935" s="429" t="n"/>
      <c r="AZ935" s="431" t="inlineStr">
        <is>
          <t>Boolean</t>
        </is>
      </c>
      <c r="BA935" s="451" t="n"/>
      <c r="BB935" s="451">
        <f>'CIRCUIT SIM'!CG25</f>
        <v/>
      </c>
      <c r="BC935" s="451" t="n"/>
      <c r="BE935" s="429" t="n">
        <v>22</v>
      </c>
      <c r="BF935" s="431" t="n"/>
      <c r="BG935" s="429" t="n"/>
      <c r="BH935" s="431" t="n"/>
      <c r="BI935" s="451" t="n"/>
      <c r="BJ935" s="451" t="n"/>
      <c r="BK935" s="451" t="n"/>
      <c r="BM935" s="429" t="n">
        <v>22</v>
      </c>
      <c r="BN935" s="431" t="n">
        <v>22</v>
      </c>
      <c r="BO935" s="429" t="n"/>
      <c r="BP935" s="431" t="inlineStr">
        <is>
          <t>Boolean</t>
        </is>
      </c>
      <c r="BQ935" s="451" t="n"/>
      <c r="BR935" s="451">
        <f>'CIRCUIT SIM'!DT25</f>
        <v/>
      </c>
      <c r="BS935" s="451" t="n"/>
      <c r="BU935" s="429" t="n">
        <v>22</v>
      </c>
      <c r="BV935" s="431" t="n">
        <v>22</v>
      </c>
      <c r="BW935" s="429" t="n"/>
      <c r="BX935" s="431" t="inlineStr">
        <is>
          <t>Boolean</t>
        </is>
      </c>
      <c r="BY935" s="451" t="n"/>
      <c r="BZ935" s="451">
        <f>'CIRCUIT SIM'!EI25</f>
        <v/>
      </c>
      <c r="CA935" s="451" t="n"/>
      <c r="CC935" s="429" t="n">
        <v>22</v>
      </c>
      <c r="CD935" s="431" t="n">
        <v>22</v>
      </c>
      <c r="CE935" s="688" t="n"/>
      <c r="CF935" s="431" t="inlineStr">
        <is>
          <t>Boolean</t>
        </is>
      </c>
      <c r="CG935" s="451" t="n"/>
      <c r="CH935" s="562">
        <f>'CIRCUIT SIM'!LK25</f>
        <v/>
      </c>
      <c r="CI935" s="451" t="n"/>
      <c r="CK935" s="429" t="n">
        <v>22</v>
      </c>
      <c r="CL935" s="431" t="n">
        <v>22</v>
      </c>
      <c r="CM935" s="688" t="n"/>
      <c r="CN935" s="431" t="inlineStr">
        <is>
          <t>Boolean</t>
        </is>
      </c>
      <c r="CO935" s="451" t="n"/>
      <c r="CP935" s="451">
        <f>'CIRCUIT SIM'!MA25</f>
        <v/>
      </c>
      <c r="CQ935" s="451" t="n"/>
      <c r="CS935" s="429" t="n">
        <v>22</v>
      </c>
      <c r="CT935" s="431" t="n">
        <v>22</v>
      </c>
      <c r="CU935" s="688" t="n"/>
      <c r="CV935" s="431" t="inlineStr">
        <is>
          <t>Boolean</t>
        </is>
      </c>
      <c r="CW935" s="451" t="n"/>
      <c r="CX935" s="451">
        <f>'CIRCUIT SIM'!MQ25</f>
        <v/>
      </c>
      <c r="CY935" s="451" t="n"/>
      <c r="DA935" s="429" t="n">
        <v>22</v>
      </c>
      <c r="DB935" s="431" t="n">
        <v>22</v>
      </c>
      <c r="DC935" s="688" t="n"/>
      <c r="DD935" s="431" t="inlineStr">
        <is>
          <t>Boolean</t>
        </is>
      </c>
      <c r="DE935" s="451" t="n"/>
      <c r="DF935" s="451">
        <f>'CIRCUIT SIM'!EX25</f>
        <v/>
      </c>
      <c r="DG935" s="451" t="n"/>
      <c r="DI935" s="429" t="n">
        <v>22</v>
      </c>
      <c r="DJ935" s="431" t="n">
        <v>22</v>
      </c>
      <c r="DK935" s="688" t="n"/>
      <c r="DL935" s="431" t="inlineStr">
        <is>
          <t>Boolean</t>
        </is>
      </c>
      <c r="DM935" s="429" t="n"/>
      <c r="DN935" s="451">
        <f>'CIRCUIT SIM'!FN25</f>
        <v/>
      </c>
      <c r="DO935" s="451" t="n"/>
      <c r="DQ935" s="429" t="n">
        <v>22</v>
      </c>
      <c r="DR935" s="431" t="n">
        <v>22</v>
      </c>
      <c r="DS935" s="688" t="n"/>
      <c r="DT935" s="431" t="inlineStr">
        <is>
          <t>Boolean</t>
        </is>
      </c>
      <c r="DU935" s="451" t="n"/>
      <c r="DV935" s="451">
        <f>'CIRCUIT SIM'!HT25</f>
        <v/>
      </c>
      <c r="DW935" s="451" t="n"/>
      <c r="DY935" s="429" t="n">
        <v>22</v>
      </c>
      <c r="DZ935" s="431" t="n">
        <v>22</v>
      </c>
      <c r="EA935" s="688" t="n"/>
      <c r="EB935" s="431" t="inlineStr">
        <is>
          <t>Boolean</t>
        </is>
      </c>
      <c r="EC935" s="451" t="n"/>
      <c r="ED935" s="335">
        <f>'CIRCUIT SIM'!GO25</f>
        <v/>
      </c>
      <c r="EE935" s="451" t="n"/>
      <c r="EG935" s="429" t="n">
        <v>22</v>
      </c>
      <c r="EH935" s="431" t="n">
        <v>22</v>
      </c>
      <c r="EI935" s="688" t="n"/>
      <c r="EJ935" s="431" t="inlineStr">
        <is>
          <t>Boolean</t>
        </is>
      </c>
      <c r="EK935" s="451" t="n"/>
      <c r="EL935" s="451">
        <f>'CIRCUIT SIM'!HD25</f>
        <v/>
      </c>
      <c r="EM935" s="451" t="n"/>
      <c r="EO935" s="429" t="n">
        <v>22</v>
      </c>
      <c r="EP935" s="431" t="n">
        <v>22</v>
      </c>
      <c r="EQ935" s="688" t="n"/>
      <c r="ER935" s="431" t="inlineStr">
        <is>
          <t>Boolean</t>
        </is>
      </c>
      <c r="ES935" s="451" t="n"/>
      <c r="ET935" s="451">
        <f>'CIRCUIT SIM'!HT25</f>
        <v/>
      </c>
      <c r="EU935" s="451" t="n"/>
      <c r="EW935" s="429" t="n">
        <v>22</v>
      </c>
      <c r="EX935" s="431" t="n">
        <v>22</v>
      </c>
      <c r="EY935" s="688" t="n"/>
      <c r="EZ935" s="431" t="inlineStr">
        <is>
          <t>Boolean</t>
        </is>
      </c>
      <c r="FA935" s="451" t="n"/>
      <c r="FB935" s="451">
        <f>'CIRCUIT SIM'!II25</f>
        <v/>
      </c>
      <c r="FC935" s="451" t="n"/>
      <c r="FE935" s="429" t="n">
        <v>22</v>
      </c>
      <c r="FF935" s="431" t="n">
        <v>22</v>
      </c>
      <c r="FG935" s="688" t="n"/>
      <c r="FH935" s="431" t="inlineStr">
        <is>
          <t>Boolean</t>
        </is>
      </c>
      <c r="FI935" s="451" t="n"/>
      <c r="FJ935" s="451">
        <f>'CIRCUIT SIM'!IU25</f>
        <v/>
      </c>
      <c r="FK935" s="451" t="n"/>
      <c r="FM935" s="429" t="n">
        <v>22</v>
      </c>
      <c r="FN935" s="431" t="n">
        <v>22</v>
      </c>
      <c r="FO935" s="688" t="n"/>
      <c r="FP935" s="431" t="inlineStr">
        <is>
          <t>Boolean</t>
        </is>
      </c>
      <c r="FQ935" s="451" t="n"/>
      <c r="FR935" s="451">
        <f>'CIRCUIT SIM'!KY25</f>
        <v/>
      </c>
      <c r="FS935" s="451" t="n"/>
      <c r="FU935" s="429" t="n">
        <v>22</v>
      </c>
      <c r="FV935" s="431" t="n">
        <v>22</v>
      </c>
      <c r="FW935" s="688" t="n"/>
      <c r="FX935" s="431" t="inlineStr">
        <is>
          <t>Boolean</t>
        </is>
      </c>
      <c r="FY935" s="451" t="n"/>
      <c r="FZ935" s="562">
        <f>'CIRCUIT SIM'!JG25</f>
        <v/>
      </c>
      <c r="GA935" s="451" t="n"/>
      <c r="GC935" s="429" t="n">
        <v>22</v>
      </c>
      <c r="GD935" s="431" t="n">
        <v>22</v>
      </c>
      <c r="GE935" s="688" t="n"/>
      <c r="GF935" s="431" t="inlineStr">
        <is>
          <t>Boolean</t>
        </is>
      </c>
      <c r="GG935" s="451" t="n"/>
      <c r="GH935" s="451">
        <f>'CIRCUIT SIM'!JW25</f>
        <v/>
      </c>
      <c r="GI935" s="451" t="n"/>
      <c r="GK935" s="429" t="n">
        <v>22</v>
      </c>
      <c r="GL935" s="431" t="n">
        <v>22</v>
      </c>
      <c r="GM935" s="688" t="n"/>
      <c r="GN935" s="431" t="inlineStr">
        <is>
          <t>Boolean</t>
        </is>
      </c>
      <c r="GO935" s="451" t="n"/>
      <c r="GP935" s="451">
        <f>'CIRCUIT SIM'!KI25</f>
        <v/>
      </c>
      <c r="GQ935" s="451" t="n"/>
      <c r="GS935" s="429" t="n">
        <v>22</v>
      </c>
      <c r="GT935" s="431" t="n">
        <v>22</v>
      </c>
      <c r="GU935" s="688" t="n"/>
      <c r="GV935" s="431" t="inlineStr">
        <is>
          <t>Boolean</t>
        </is>
      </c>
      <c r="GW935" s="451" t="n"/>
      <c r="GX935" s="451">
        <f>'CIRCUIT SIM'!KY25</f>
        <v/>
      </c>
      <c r="GY935" s="451" t="n"/>
      <c r="HA935" s="429" t="n">
        <v>22</v>
      </c>
      <c r="HB935" s="431" t="n">
        <v>22</v>
      </c>
      <c r="HC935" s="688" t="n"/>
      <c r="HD935" s="431" t="n"/>
      <c r="HE935" s="451" t="n"/>
      <c r="HF935" s="451" t="n"/>
      <c r="HG935" s="451" t="n"/>
    </row>
    <row r="936">
      <c r="A936" s="429" t="n">
        <v>23</v>
      </c>
      <c r="B936" s="431" t="n">
        <v>23</v>
      </c>
      <c r="C936" s="688" t="n"/>
      <c r="D936" s="431" t="inlineStr">
        <is>
          <t>Boolean</t>
        </is>
      </c>
      <c r="E936" s="429" t="n"/>
      <c r="F936" s="422">
        <f>'CIRCUIT SIM'!J26</f>
        <v/>
      </c>
      <c r="G936" s="429" t="n"/>
      <c r="I936" s="429" t="n">
        <v>23</v>
      </c>
      <c r="J936" s="431" t="n">
        <v>23</v>
      </c>
      <c r="K936" s="429" t="n"/>
      <c r="L936" s="431" t="inlineStr">
        <is>
          <t>Boolean</t>
        </is>
      </c>
      <c r="M936" s="451" t="n"/>
      <c r="N936" s="422">
        <f>'CIRCUIT SIM'!Y26</f>
        <v/>
      </c>
      <c r="O936" s="451" t="n"/>
      <c r="Q936" s="429" t="n">
        <v>23</v>
      </c>
      <c r="R936" s="431" t="n">
        <v>23</v>
      </c>
      <c r="S936" s="429" t="n"/>
      <c r="T936" s="431" t="inlineStr">
        <is>
          <t>Boolean</t>
        </is>
      </c>
      <c r="U936" s="429" t="n"/>
      <c r="V936" s="386">
        <f>'CIRCUIT SIM'!AO26</f>
        <v/>
      </c>
      <c r="W936" s="451" t="n"/>
      <c r="Y936" s="429" t="n">
        <v>23</v>
      </c>
      <c r="Z936" s="431" t="n">
        <v>23</v>
      </c>
      <c r="AA936" s="429" t="n"/>
      <c r="AB936" s="431" t="inlineStr">
        <is>
          <t>Boolean</t>
        </is>
      </c>
      <c r="AC936" s="451" t="n"/>
      <c r="AD936" s="562">
        <f>'CIRCUIT SIM'!BB26</f>
        <v/>
      </c>
      <c r="AE936" s="451" t="n"/>
      <c r="AG936" s="429" t="n">
        <v>23</v>
      </c>
      <c r="AH936" s="431" t="n">
        <v>23</v>
      </c>
      <c r="AI936" s="429" t="n"/>
      <c r="AJ936" s="431" t="inlineStr">
        <is>
          <t>Boolean</t>
        </is>
      </c>
      <c r="AK936" s="451" t="n"/>
      <c r="AL936" s="450">
        <f>'CIRCUIT SIM'!CR26</f>
        <v/>
      </c>
      <c r="AM936" s="451" t="n"/>
      <c r="AO936" s="429" t="n">
        <v>23</v>
      </c>
      <c r="AP936" s="431" t="n">
        <v>23</v>
      </c>
      <c r="AQ936" s="429" t="n"/>
      <c r="AR936" s="431" t="inlineStr">
        <is>
          <t>Boolean</t>
        </is>
      </c>
      <c r="AS936" s="451" t="n"/>
      <c r="AT936" s="386">
        <f>'CIRCUIT SIM'!BR26</f>
        <v/>
      </c>
      <c r="AU936" s="451" t="n"/>
      <c r="AW936" s="429" t="n">
        <v>23</v>
      </c>
      <c r="AX936" s="431" t="n">
        <v>23</v>
      </c>
      <c r="AY936" s="429" t="n"/>
      <c r="AZ936" s="431" t="inlineStr">
        <is>
          <t>Boolean</t>
        </is>
      </c>
      <c r="BA936" s="451" t="n"/>
      <c r="BB936" s="451">
        <f>'CIRCUIT SIM'!CG26</f>
        <v/>
      </c>
      <c r="BC936" s="451" t="n"/>
      <c r="BE936" s="429" t="n">
        <v>23</v>
      </c>
      <c r="BF936" s="431" t="n"/>
      <c r="BG936" s="429" t="n"/>
      <c r="BH936" s="431" t="n"/>
      <c r="BI936" s="451" t="n"/>
      <c r="BJ936" s="451" t="n"/>
      <c r="BK936" s="451" t="n"/>
      <c r="BM936" s="429" t="n">
        <v>23</v>
      </c>
      <c r="BN936" s="431" t="n">
        <v>23</v>
      </c>
      <c r="BO936" s="429" t="n"/>
      <c r="BP936" s="431" t="inlineStr">
        <is>
          <t>Boolean</t>
        </is>
      </c>
      <c r="BQ936" s="451" t="n"/>
      <c r="BR936" s="451">
        <f>'CIRCUIT SIM'!DT26</f>
        <v/>
      </c>
      <c r="BS936" s="451" t="n"/>
      <c r="BU936" s="429" t="n">
        <v>23</v>
      </c>
      <c r="BV936" s="431" t="n">
        <v>23</v>
      </c>
      <c r="BW936" s="429" t="n"/>
      <c r="BX936" s="431" t="inlineStr">
        <is>
          <t>Boolean</t>
        </is>
      </c>
      <c r="BY936" s="451" t="n"/>
      <c r="BZ936" s="451">
        <f>'CIRCUIT SIM'!EI26</f>
        <v/>
      </c>
      <c r="CA936" s="451" t="n"/>
      <c r="CC936" s="429" t="n">
        <v>23</v>
      </c>
      <c r="CD936" s="431" t="n">
        <v>23</v>
      </c>
      <c r="CE936" s="688" t="n"/>
      <c r="CF936" s="431" t="inlineStr">
        <is>
          <t>Boolean</t>
        </is>
      </c>
      <c r="CG936" s="451" t="n"/>
      <c r="CH936" s="562">
        <f>'CIRCUIT SIM'!LK26</f>
        <v/>
      </c>
      <c r="CI936" s="451" t="n"/>
      <c r="CK936" s="429" t="n">
        <v>23</v>
      </c>
      <c r="CL936" s="431" t="n">
        <v>23</v>
      </c>
      <c r="CM936" s="688" t="n"/>
      <c r="CN936" s="431" t="inlineStr">
        <is>
          <t>Boolean</t>
        </is>
      </c>
      <c r="CO936" s="451" t="n"/>
      <c r="CP936" s="451">
        <f>'CIRCUIT SIM'!MA26</f>
        <v/>
      </c>
      <c r="CQ936" s="451" t="n"/>
      <c r="CS936" s="429" t="n">
        <v>23</v>
      </c>
      <c r="CT936" s="431" t="n">
        <v>23</v>
      </c>
      <c r="CU936" s="688" t="n"/>
      <c r="CV936" s="431" t="inlineStr">
        <is>
          <t>Boolean</t>
        </is>
      </c>
      <c r="CW936" s="451" t="n"/>
      <c r="CX936" s="451">
        <f>'CIRCUIT SIM'!MQ26</f>
        <v/>
      </c>
      <c r="CY936" s="451" t="n"/>
      <c r="DA936" s="429" t="n">
        <v>23</v>
      </c>
      <c r="DB936" s="431" t="n">
        <v>23</v>
      </c>
      <c r="DC936" s="688" t="n"/>
      <c r="DD936" s="431" t="inlineStr">
        <is>
          <t>Boolean</t>
        </is>
      </c>
      <c r="DE936" s="451" t="n"/>
      <c r="DF936" s="451">
        <f>'CIRCUIT SIM'!EX26</f>
        <v/>
      </c>
      <c r="DG936" s="451" t="n"/>
      <c r="DI936" s="429" t="n">
        <v>23</v>
      </c>
      <c r="DJ936" s="431" t="n">
        <v>23</v>
      </c>
      <c r="DK936" s="688" t="n"/>
      <c r="DL936" s="431" t="inlineStr">
        <is>
          <t>Boolean</t>
        </is>
      </c>
      <c r="DM936" s="429" t="n"/>
      <c r="DN936" s="451">
        <f>'CIRCUIT SIM'!FN26</f>
        <v/>
      </c>
      <c r="DO936" s="451" t="n"/>
      <c r="DQ936" s="429" t="n">
        <v>23</v>
      </c>
      <c r="DR936" s="431" t="n">
        <v>23</v>
      </c>
      <c r="DS936" s="688" t="n"/>
      <c r="DT936" s="431" t="inlineStr">
        <is>
          <t>Boolean</t>
        </is>
      </c>
      <c r="DU936" s="451" t="n"/>
      <c r="DV936" s="451">
        <f>'CIRCUIT SIM'!HT26</f>
        <v/>
      </c>
      <c r="DW936" s="451" t="n"/>
      <c r="DY936" s="429" t="n">
        <v>23</v>
      </c>
      <c r="DZ936" s="431" t="n">
        <v>23</v>
      </c>
      <c r="EA936" s="688" t="n"/>
      <c r="EB936" s="431" t="inlineStr">
        <is>
          <t>Boolean</t>
        </is>
      </c>
      <c r="EC936" s="451" t="n"/>
      <c r="ED936" s="335">
        <f>'CIRCUIT SIM'!GO26</f>
        <v/>
      </c>
      <c r="EE936" s="451" t="n"/>
      <c r="EG936" s="429" t="n">
        <v>23</v>
      </c>
      <c r="EH936" s="431" t="n">
        <v>23</v>
      </c>
      <c r="EI936" s="688" t="n"/>
      <c r="EJ936" s="431" t="inlineStr">
        <is>
          <t>Boolean</t>
        </is>
      </c>
      <c r="EK936" s="451" t="n"/>
      <c r="EL936" s="451">
        <f>'CIRCUIT SIM'!HD26</f>
        <v/>
      </c>
      <c r="EM936" s="451" t="n"/>
      <c r="EO936" s="429" t="n">
        <v>23</v>
      </c>
      <c r="EP936" s="431" t="n">
        <v>23</v>
      </c>
      <c r="EQ936" s="688" t="n"/>
      <c r="ER936" s="431" t="inlineStr">
        <is>
          <t>Boolean</t>
        </is>
      </c>
      <c r="ES936" s="451" t="n"/>
      <c r="ET936" s="451">
        <f>'CIRCUIT SIM'!HT26</f>
        <v/>
      </c>
      <c r="EU936" s="451" t="n"/>
      <c r="EW936" s="429" t="n">
        <v>23</v>
      </c>
      <c r="EX936" s="431" t="n">
        <v>23</v>
      </c>
      <c r="EY936" s="688" t="n"/>
      <c r="EZ936" s="431" t="inlineStr">
        <is>
          <t>Boolean</t>
        </is>
      </c>
      <c r="FA936" s="451" t="n"/>
      <c r="FB936" s="451">
        <f>'CIRCUIT SIM'!II26</f>
        <v/>
      </c>
      <c r="FC936" s="451" t="n"/>
      <c r="FE936" s="429" t="n">
        <v>23</v>
      </c>
      <c r="FF936" s="431" t="n">
        <v>23</v>
      </c>
      <c r="FG936" s="688" t="n"/>
      <c r="FH936" s="431" t="inlineStr">
        <is>
          <t>Boolean</t>
        </is>
      </c>
      <c r="FI936" s="451" t="n"/>
      <c r="FJ936" s="451">
        <f>'CIRCUIT SIM'!IU26</f>
        <v/>
      </c>
      <c r="FK936" s="451" t="n"/>
      <c r="FM936" s="429" t="n">
        <v>23</v>
      </c>
      <c r="FN936" s="431" t="n">
        <v>23</v>
      </c>
      <c r="FO936" s="688" t="n"/>
      <c r="FP936" s="431" t="inlineStr">
        <is>
          <t>Boolean</t>
        </is>
      </c>
      <c r="FQ936" s="451" t="n"/>
      <c r="FR936" s="451">
        <f>'CIRCUIT SIM'!KY26</f>
        <v/>
      </c>
      <c r="FS936" s="451" t="n"/>
      <c r="FU936" s="429" t="n">
        <v>23</v>
      </c>
      <c r="FV936" s="431" t="n">
        <v>23</v>
      </c>
      <c r="FW936" s="688" t="n"/>
      <c r="FX936" s="431" t="inlineStr">
        <is>
          <t>Boolean</t>
        </is>
      </c>
      <c r="FY936" s="451" t="n"/>
      <c r="FZ936" s="562">
        <f>'CIRCUIT SIM'!JG26</f>
        <v/>
      </c>
      <c r="GA936" s="451" t="n"/>
      <c r="GC936" s="429" t="n">
        <v>23</v>
      </c>
      <c r="GD936" s="431" t="n">
        <v>23</v>
      </c>
      <c r="GE936" s="688" t="n"/>
      <c r="GF936" s="431" t="inlineStr">
        <is>
          <t>Boolean</t>
        </is>
      </c>
      <c r="GG936" s="451" t="n"/>
      <c r="GH936" s="451">
        <f>'CIRCUIT SIM'!JW26</f>
        <v/>
      </c>
      <c r="GI936" s="451" t="n"/>
      <c r="GK936" s="429" t="n">
        <v>23</v>
      </c>
      <c r="GL936" s="431" t="n">
        <v>23</v>
      </c>
      <c r="GM936" s="688" t="n"/>
      <c r="GN936" s="431" t="n"/>
      <c r="GO936" s="451" t="n"/>
      <c r="GP936" s="451">
        <f>'CIRCUIT SIM'!KI26</f>
        <v/>
      </c>
      <c r="GQ936" s="451" t="n"/>
      <c r="GS936" s="429" t="n">
        <v>23</v>
      </c>
      <c r="GT936" s="431" t="n">
        <v>23</v>
      </c>
      <c r="GU936" s="688" t="n"/>
      <c r="GV936" s="431" t="inlineStr">
        <is>
          <t>Boolean</t>
        </is>
      </c>
      <c r="GW936" s="451" t="n"/>
      <c r="GX936" s="451">
        <f>'CIRCUIT SIM'!KY26</f>
        <v/>
      </c>
      <c r="GY936" s="451" t="n"/>
      <c r="HA936" s="429" t="n">
        <v>23</v>
      </c>
      <c r="HB936" s="431" t="n">
        <v>23</v>
      </c>
      <c r="HC936" s="688" t="n"/>
      <c r="HD936" s="431" t="n"/>
      <c r="HE936" s="451" t="n"/>
      <c r="HF936" s="451" t="n"/>
      <c r="HG936" s="451" t="n"/>
    </row>
    <row r="937">
      <c r="A937" s="429" t="n">
        <v>24</v>
      </c>
      <c r="B937" s="431" t="n">
        <v>24</v>
      </c>
      <c r="C937" s="688" t="n"/>
      <c r="D937" s="431" t="inlineStr">
        <is>
          <t>Boolean</t>
        </is>
      </c>
      <c r="E937" s="429" t="n"/>
      <c r="F937" s="422">
        <f>'CIRCUIT SIM'!J27</f>
        <v/>
      </c>
      <c r="G937" s="429" t="n"/>
      <c r="I937" s="429" t="n">
        <v>24</v>
      </c>
      <c r="J937" s="431" t="n">
        <v>24</v>
      </c>
      <c r="K937" s="429" t="n"/>
      <c r="L937" s="431" t="inlineStr">
        <is>
          <t>Boolean</t>
        </is>
      </c>
      <c r="M937" s="451" t="n"/>
      <c r="N937" s="422">
        <f>'CIRCUIT SIM'!Y27</f>
        <v/>
      </c>
      <c r="O937" s="451" t="n"/>
      <c r="Q937" s="429" t="n">
        <v>24</v>
      </c>
      <c r="R937" s="431" t="n">
        <v>24</v>
      </c>
      <c r="S937" s="429" t="n"/>
      <c r="T937" s="431" t="inlineStr">
        <is>
          <t>Boolean</t>
        </is>
      </c>
      <c r="U937" s="429" t="n"/>
      <c r="V937" s="386">
        <f>'CIRCUIT SIM'!AO27</f>
        <v/>
      </c>
      <c r="W937" s="451" t="n"/>
      <c r="Y937" s="429" t="n">
        <v>24</v>
      </c>
      <c r="Z937" s="431" t="n">
        <v>24</v>
      </c>
      <c r="AA937" s="429" t="n"/>
      <c r="AB937" s="431" t="inlineStr">
        <is>
          <t>Boolean</t>
        </is>
      </c>
      <c r="AC937" s="451" t="n"/>
      <c r="AD937" s="562">
        <f>'CIRCUIT SIM'!BB27</f>
        <v/>
      </c>
      <c r="AE937" s="451" t="n"/>
      <c r="AG937" s="429" t="n">
        <v>24</v>
      </c>
      <c r="AH937" s="431" t="n">
        <v>24</v>
      </c>
      <c r="AI937" s="429" t="n"/>
      <c r="AJ937" s="431" t="inlineStr">
        <is>
          <t>Boolean</t>
        </is>
      </c>
      <c r="AK937" s="451" t="n"/>
      <c r="AL937" s="450">
        <f>'CIRCUIT SIM'!CR27</f>
        <v/>
      </c>
      <c r="AM937" s="451" t="n"/>
      <c r="AO937" s="429" t="n">
        <v>24</v>
      </c>
      <c r="AP937" s="431" t="n">
        <v>24</v>
      </c>
      <c r="AQ937" s="429" t="n"/>
      <c r="AR937" s="431" t="inlineStr">
        <is>
          <t>Boolean</t>
        </is>
      </c>
      <c r="AS937" s="451" t="n"/>
      <c r="AT937" s="386">
        <f>'CIRCUIT SIM'!BR27</f>
        <v/>
      </c>
      <c r="AU937" s="451" t="n"/>
      <c r="AW937" s="429" t="n">
        <v>24</v>
      </c>
      <c r="AX937" s="431" t="n">
        <v>24</v>
      </c>
      <c r="AY937" s="429" t="n"/>
      <c r="AZ937" s="431" t="inlineStr">
        <is>
          <t>Boolean</t>
        </is>
      </c>
      <c r="BA937" s="451" t="n"/>
      <c r="BB937" s="451">
        <f>'CIRCUIT SIM'!CG27</f>
        <v/>
      </c>
      <c r="BC937" s="451" t="n"/>
      <c r="BE937" s="429" t="n">
        <v>24</v>
      </c>
      <c r="BF937" s="431" t="n"/>
      <c r="BG937" s="429" t="n"/>
      <c r="BH937" s="431" t="n"/>
      <c r="BI937" s="451" t="n"/>
      <c r="BJ937" s="451" t="n"/>
      <c r="BK937" s="451" t="n"/>
      <c r="BM937" s="429" t="n">
        <v>24</v>
      </c>
      <c r="BN937" s="431" t="n">
        <v>24</v>
      </c>
      <c r="BO937" s="429" t="n"/>
      <c r="BP937" s="431" t="inlineStr">
        <is>
          <t>Boolean</t>
        </is>
      </c>
      <c r="BQ937" s="451" t="n"/>
      <c r="BR937" s="451">
        <f>'CIRCUIT SIM'!DT27</f>
        <v/>
      </c>
      <c r="BS937" s="451" t="n"/>
      <c r="BU937" s="429" t="n">
        <v>24</v>
      </c>
      <c r="BV937" s="431" t="n">
        <v>24</v>
      </c>
      <c r="BW937" s="429" t="n"/>
      <c r="BX937" s="431" t="inlineStr">
        <is>
          <t>Boolean</t>
        </is>
      </c>
      <c r="BY937" s="451" t="n"/>
      <c r="BZ937" s="451">
        <f>'CIRCUIT SIM'!EI27</f>
        <v/>
      </c>
      <c r="CA937" s="451" t="n"/>
      <c r="CC937" s="429" t="n">
        <v>24</v>
      </c>
      <c r="CD937" s="431" t="n">
        <v>24</v>
      </c>
      <c r="CE937" s="688" t="n"/>
      <c r="CF937" s="431" t="inlineStr">
        <is>
          <t>Boolean</t>
        </is>
      </c>
      <c r="CG937" s="451" t="n"/>
      <c r="CH937" s="562">
        <f>'CIRCUIT SIM'!LK27</f>
        <v/>
      </c>
      <c r="CI937" s="451" t="n"/>
      <c r="CK937" s="429" t="n">
        <v>24</v>
      </c>
      <c r="CL937" s="431" t="n">
        <v>24</v>
      </c>
      <c r="CM937" s="688" t="n"/>
      <c r="CN937" s="431" t="inlineStr">
        <is>
          <t>Boolean</t>
        </is>
      </c>
      <c r="CO937" s="451" t="n"/>
      <c r="CP937" s="451">
        <f>'CIRCUIT SIM'!MA27</f>
        <v/>
      </c>
      <c r="CQ937" s="451" t="n"/>
      <c r="CS937" s="429" t="n">
        <v>24</v>
      </c>
      <c r="CT937" s="431" t="n">
        <v>24</v>
      </c>
      <c r="CU937" s="688" t="n"/>
      <c r="CV937" s="431" t="inlineStr">
        <is>
          <t>Boolean</t>
        </is>
      </c>
      <c r="CW937" s="451" t="n"/>
      <c r="CX937" s="451">
        <f>'CIRCUIT SIM'!MQ27</f>
        <v/>
      </c>
      <c r="CY937" s="451" t="n"/>
      <c r="DA937" s="429" t="n">
        <v>24</v>
      </c>
      <c r="DB937" s="431" t="n">
        <v>24</v>
      </c>
      <c r="DC937" s="688" t="n"/>
      <c r="DD937" s="431" t="inlineStr">
        <is>
          <t>Boolean</t>
        </is>
      </c>
      <c r="DE937" s="451" t="n"/>
      <c r="DF937" s="451">
        <f>'CIRCUIT SIM'!EX27</f>
        <v/>
      </c>
      <c r="DG937" s="451" t="n"/>
      <c r="DI937" s="429" t="n">
        <v>24</v>
      </c>
      <c r="DJ937" s="431" t="n">
        <v>24</v>
      </c>
      <c r="DK937" s="688" t="n"/>
      <c r="DL937" s="431" t="inlineStr">
        <is>
          <t>Boolean</t>
        </is>
      </c>
      <c r="DM937" s="429" t="n"/>
      <c r="DN937" s="451">
        <f>'CIRCUIT SIM'!FN27</f>
        <v/>
      </c>
      <c r="DO937" s="451" t="n"/>
      <c r="DQ937" s="429" t="n">
        <v>24</v>
      </c>
      <c r="DR937" s="431" t="n">
        <v>24</v>
      </c>
      <c r="DS937" s="688" t="n"/>
      <c r="DT937" s="431" t="inlineStr">
        <is>
          <t>Boolean</t>
        </is>
      </c>
      <c r="DU937" s="451" t="n"/>
      <c r="DV937" s="451">
        <f>'CIRCUIT SIM'!HT27</f>
        <v/>
      </c>
      <c r="DW937" s="451" t="n"/>
      <c r="DY937" s="429" t="n">
        <v>24</v>
      </c>
      <c r="DZ937" s="431" t="n">
        <v>24</v>
      </c>
      <c r="EA937" s="688" t="n"/>
      <c r="EB937" s="431" t="inlineStr">
        <is>
          <t>Boolean</t>
        </is>
      </c>
      <c r="EC937" s="451" t="n"/>
      <c r="ED937" s="335">
        <f>'CIRCUIT SIM'!GO27</f>
        <v/>
      </c>
      <c r="EE937" s="451" t="n"/>
      <c r="EG937" s="429" t="n">
        <v>24</v>
      </c>
      <c r="EH937" s="431" t="n">
        <v>24</v>
      </c>
      <c r="EI937" s="688" t="n"/>
      <c r="EJ937" s="431" t="inlineStr">
        <is>
          <t>Boolean</t>
        </is>
      </c>
      <c r="EK937" s="451" t="n"/>
      <c r="EL937" s="451">
        <f>'CIRCUIT SIM'!HD27</f>
        <v/>
      </c>
      <c r="EM937" s="451" t="n"/>
      <c r="EO937" s="429" t="n">
        <v>24</v>
      </c>
      <c r="EP937" s="431" t="n">
        <v>24</v>
      </c>
      <c r="EQ937" s="688" t="n"/>
      <c r="ER937" s="431" t="inlineStr">
        <is>
          <t>Boolean</t>
        </is>
      </c>
      <c r="ES937" s="451" t="n"/>
      <c r="ET937" s="451">
        <f>'CIRCUIT SIM'!HT27</f>
        <v/>
      </c>
      <c r="EU937" s="451" t="n"/>
      <c r="EW937" s="429" t="n">
        <v>24</v>
      </c>
      <c r="EX937" s="431" t="n">
        <v>24</v>
      </c>
      <c r="EY937" s="688" t="n"/>
      <c r="EZ937" s="431" t="inlineStr">
        <is>
          <t>Boolean</t>
        </is>
      </c>
      <c r="FA937" s="451" t="n"/>
      <c r="FB937" s="451">
        <f>'CIRCUIT SIM'!II27</f>
        <v/>
      </c>
      <c r="FC937" s="451" t="n"/>
      <c r="FE937" s="429" t="n">
        <v>24</v>
      </c>
      <c r="FF937" s="431" t="n">
        <v>24</v>
      </c>
      <c r="FG937" s="688" t="n"/>
      <c r="FH937" s="431" t="inlineStr">
        <is>
          <t>Boolean</t>
        </is>
      </c>
      <c r="FI937" s="451" t="n"/>
      <c r="FJ937" s="451">
        <f>'CIRCUIT SIM'!IU27</f>
        <v/>
      </c>
      <c r="FK937" s="451" t="n"/>
      <c r="FM937" s="429" t="n">
        <v>24</v>
      </c>
      <c r="FN937" s="431" t="n">
        <v>24</v>
      </c>
      <c r="FO937" s="688" t="n"/>
      <c r="FP937" s="431" t="inlineStr">
        <is>
          <t>Boolean</t>
        </is>
      </c>
      <c r="FQ937" s="451" t="n"/>
      <c r="FR937" s="451">
        <f>'CIRCUIT SIM'!KY27</f>
        <v/>
      </c>
      <c r="FS937" s="451" t="n"/>
      <c r="FU937" s="429" t="n">
        <v>24</v>
      </c>
      <c r="FV937" s="431" t="n">
        <v>24</v>
      </c>
      <c r="FW937" s="688" t="n"/>
      <c r="FX937" s="431" t="inlineStr">
        <is>
          <t>Boolean</t>
        </is>
      </c>
      <c r="FY937" s="451" t="n"/>
      <c r="FZ937" s="562">
        <f>'CIRCUIT SIM'!JG27</f>
        <v/>
      </c>
      <c r="GA937" s="451" t="n"/>
      <c r="GC937" s="429" t="n">
        <v>24</v>
      </c>
      <c r="GD937" s="431" t="n">
        <v>24</v>
      </c>
      <c r="GE937" s="688" t="n"/>
      <c r="GF937" s="431" t="inlineStr">
        <is>
          <t>Boolean</t>
        </is>
      </c>
      <c r="GG937" s="451" t="n"/>
      <c r="GH937" s="451">
        <f>'CIRCUIT SIM'!JW27</f>
        <v/>
      </c>
      <c r="GI937" s="451" t="n"/>
      <c r="GK937" s="429" t="n">
        <v>24</v>
      </c>
      <c r="GL937" s="431" t="n">
        <v>24</v>
      </c>
      <c r="GM937" s="688" t="n"/>
      <c r="GN937" s="431" t="n"/>
      <c r="GO937" s="451" t="n"/>
      <c r="GP937" s="451">
        <f>'CIRCUIT SIM'!KI27</f>
        <v/>
      </c>
      <c r="GQ937" s="451" t="n"/>
      <c r="GS937" s="429" t="n">
        <v>24</v>
      </c>
      <c r="GT937" s="431" t="n">
        <v>24</v>
      </c>
      <c r="GU937" s="688" t="n"/>
      <c r="GV937" s="431" t="inlineStr">
        <is>
          <t>Boolean</t>
        </is>
      </c>
      <c r="GW937" s="451" t="n"/>
      <c r="GX937" s="451">
        <f>'CIRCUIT SIM'!KY27</f>
        <v/>
      </c>
      <c r="GY937" s="451" t="n"/>
      <c r="HA937" s="429" t="n">
        <v>24</v>
      </c>
      <c r="HB937" s="431" t="n">
        <v>24</v>
      </c>
      <c r="HC937" s="688" t="n"/>
      <c r="HD937" s="431" t="n"/>
      <c r="HE937" s="451" t="n"/>
      <c r="HF937" s="451" t="n"/>
      <c r="HG937" s="451" t="n"/>
    </row>
    <row r="938">
      <c r="A938" s="429" t="n">
        <v>25</v>
      </c>
      <c r="B938" s="431" t="n">
        <v>25</v>
      </c>
      <c r="C938" s="688" t="n"/>
      <c r="D938" s="431" t="inlineStr">
        <is>
          <t>Boolean</t>
        </is>
      </c>
      <c r="E938" s="429" t="n"/>
      <c r="F938" s="422">
        <f>'CIRCUIT SIM'!J28</f>
        <v/>
      </c>
      <c r="G938" s="429" t="n"/>
      <c r="I938" s="429" t="n">
        <v>25</v>
      </c>
      <c r="J938" s="431" t="n">
        <v>25</v>
      </c>
      <c r="K938" s="429" t="n"/>
      <c r="L938" s="431" t="inlineStr">
        <is>
          <t>Boolean</t>
        </is>
      </c>
      <c r="M938" s="451" t="n"/>
      <c r="N938" s="422">
        <f>'CIRCUIT SIM'!Y28</f>
        <v/>
      </c>
      <c r="O938" s="451" t="n"/>
      <c r="Q938" s="429" t="n">
        <v>25</v>
      </c>
      <c r="R938" s="431" t="n">
        <v>25</v>
      </c>
      <c r="S938" s="429" t="n"/>
      <c r="T938" s="431" t="inlineStr">
        <is>
          <t>Boolean</t>
        </is>
      </c>
      <c r="U938" s="429" t="n"/>
      <c r="V938" s="386">
        <f>'CIRCUIT SIM'!AO28</f>
        <v/>
      </c>
      <c r="W938" s="451" t="n"/>
      <c r="Y938" s="429" t="n">
        <v>25</v>
      </c>
      <c r="Z938" s="431" t="n">
        <v>25</v>
      </c>
      <c r="AA938" s="429" t="inlineStr">
        <is>
          <t> </t>
        </is>
      </c>
      <c r="AB938" s="431" t="inlineStr">
        <is>
          <t>Boolean</t>
        </is>
      </c>
      <c r="AC938" s="451" t="n"/>
      <c r="AD938" s="562">
        <f>'CIRCUIT SIM'!BB28</f>
        <v/>
      </c>
      <c r="AE938" s="451" t="n"/>
      <c r="AG938" s="429" t="n">
        <v>25</v>
      </c>
      <c r="AH938" s="431" t="n">
        <v>25</v>
      </c>
      <c r="AI938" s="429" t="n"/>
      <c r="AJ938" s="431" t="inlineStr">
        <is>
          <t>Boolean</t>
        </is>
      </c>
      <c r="AK938" s="451" t="n"/>
      <c r="AL938" s="450">
        <f>'CIRCUIT SIM'!CR28</f>
        <v/>
      </c>
      <c r="AM938" s="451" t="n"/>
      <c r="AO938" s="429" t="n">
        <v>25</v>
      </c>
      <c r="AP938" s="431" t="n">
        <v>25</v>
      </c>
      <c r="AQ938" s="429" t="n"/>
      <c r="AR938" s="431" t="inlineStr">
        <is>
          <t>Boolean</t>
        </is>
      </c>
      <c r="AS938" s="451" t="n"/>
      <c r="AT938" s="386">
        <f>'CIRCUIT SIM'!BR28</f>
        <v/>
      </c>
      <c r="AU938" s="451" t="n"/>
      <c r="AW938" s="429" t="n">
        <v>25</v>
      </c>
      <c r="AX938" s="431" t="n">
        <v>25</v>
      </c>
      <c r="AY938" s="429" t="n"/>
      <c r="AZ938" s="431" t="inlineStr">
        <is>
          <t>Boolean</t>
        </is>
      </c>
      <c r="BA938" s="451" t="n"/>
      <c r="BB938" s="451">
        <f>'CIRCUIT SIM'!CG28</f>
        <v/>
      </c>
      <c r="BC938" s="451" t="n"/>
      <c r="BE938" s="429" t="n">
        <v>25</v>
      </c>
      <c r="BF938" s="431" t="n"/>
      <c r="BG938" s="429" t="n"/>
      <c r="BH938" s="431" t="n"/>
      <c r="BI938" s="451" t="n"/>
      <c r="BJ938" s="451" t="n"/>
      <c r="BK938" s="451" t="n"/>
      <c r="BM938" s="429" t="n">
        <v>25</v>
      </c>
      <c r="BN938" s="431" t="n">
        <v>25</v>
      </c>
      <c r="BO938" s="429" t="n"/>
      <c r="BP938" s="431" t="inlineStr">
        <is>
          <t>Boolean</t>
        </is>
      </c>
      <c r="BQ938" s="451" t="n"/>
      <c r="BR938" s="451">
        <f>'CIRCUIT SIM'!DT28</f>
        <v/>
      </c>
      <c r="BS938" s="451" t="n"/>
      <c r="BU938" s="429" t="n">
        <v>25</v>
      </c>
      <c r="BV938" s="431" t="n">
        <v>25</v>
      </c>
      <c r="BW938" s="429" t="n"/>
      <c r="BX938" s="431" t="inlineStr">
        <is>
          <t>Boolean</t>
        </is>
      </c>
      <c r="BY938" s="451" t="n"/>
      <c r="BZ938" s="451">
        <f>'CIRCUIT SIM'!EI28</f>
        <v/>
      </c>
      <c r="CA938" s="451" t="n"/>
      <c r="CC938" s="429" t="n">
        <v>25</v>
      </c>
      <c r="CD938" s="431" t="n">
        <v>25</v>
      </c>
      <c r="CE938" s="688" t="n"/>
      <c r="CF938" s="431" t="inlineStr">
        <is>
          <t>Boolean</t>
        </is>
      </c>
      <c r="CG938" s="451" t="n"/>
      <c r="CH938" s="562">
        <f>'CIRCUIT SIM'!LK28</f>
        <v/>
      </c>
      <c r="CI938" s="451" t="n"/>
      <c r="CK938" s="429" t="n">
        <v>25</v>
      </c>
      <c r="CL938" s="431" t="n">
        <v>25</v>
      </c>
      <c r="CM938" s="688" t="n"/>
      <c r="CN938" s="431" t="inlineStr">
        <is>
          <t>Boolean</t>
        </is>
      </c>
      <c r="CO938" s="451" t="n"/>
      <c r="CP938" s="451">
        <f>'CIRCUIT SIM'!MA28</f>
        <v/>
      </c>
      <c r="CQ938" s="451" t="n"/>
      <c r="CS938" s="429" t="n">
        <v>25</v>
      </c>
      <c r="CT938" s="431" t="n">
        <v>25</v>
      </c>
      <c r="CU938" s="688" t="n"/>
      <c r="CV938" s="431" t="inlineStr">
        <is>
          <t>Boolean</t>
        </is>
      </c>
      <c r="CW938" s="451" t="n"/>
      <c r="CX938" s="451">
        <f>'CIRCUIT SIM'!MQ28</f>
        <v/>
      </c>
      <c r="CY938" s="451" t="n"/>
      <c r="DA938" s="429" t="n">
        <v>25</v>
      </c>
      <c r="DB938" s="431" t="n">
        <v>25</v>
      </c>
      <c r="DC938" s="688" t="n"/>
      <c r="DD938" s="431" t="inlineStr">
        <is>
          <t>Boolean</t>
        </is>
      </c>
      <c r="DE938" s="451" t="n"/>
      <c r="DF938" s="451">
        <f>'CIRCUIT SIM'!EX28</f>
        <v/>
      </c>
      <c r="DG938" s="451" t="n"/>
      <c r="DI938" s="429" t="n">
        <v>25</v>
      </c>
      <c r="DJ938" s="431" t="n">
        <v>25</v>
      </c>
      <c r="DK938" s="688" t="n"/>
      <c r="DL938" s="431" t="inlineStr">
        <is>
          <t>Boolean</t>
        </is>
      </c>
      <c r="DM938" s="429" t="n"/>
      <c r="DN938" s="451">
        <f>'CIRCUIT SIM'!FN28</f>
        <v/>
      </c>
      <c r="DO938" s="451" t="n"/>
      <c r="DQ938" s="429" t="n">
        <v>25</v>
      </c>
      <c r="DR938" s="431" t="n">
        <v>25</v>
      </c>
      <c r="DS938" s="688" t="n"/>
      <c r="DT938" s="431" t="inlineStr">
        <is>
          <t>Boolean</t>
        </is>
      </c>
      <c r="DU938" s="451" t="n"/>
      <c r="DV938" s="451">
        <f>'CIRCUIT SIM'!HT28</f>
        <v/>
      </c>
      <c r="DW938" s="451" t="n"/>
      <c r="DY938" s="429" t="n">
        <v>25</v>
      </c>
      <c r="DZ938" s="431" t="n">
        <v>25</v>
      </c>
      <c r="EA938" s="688" t="n"/>
      <c r="EB938" s="431" t="inlineStr">
        <is>
          <t>Boolean</t>
        </is>
      </c>
      <c r="EC938" s="451" t="n"/>
      <c r="ED938" s="335">
        <f>'CIRCUIT SIM'!GO28</f>
        <v/>
      </c>
      <c r="EE938" s="451" t="n"/>
      <c r="EG938" s="429" t="n">
        <v>25</v>
      </c>
      <c r="EH938" s="431" t="n">
        <v>25</v>
      </c>
      <c r="EI938" s="688" t="n"/>
      <c r="EJ938" s="431" t="inlineStr">
        <is>
          <t>Boolean</t>
        </is>
      </c>
      <c r="EK938" s="451" t="n"/>
      <c r="EL938" s="451">
        <f>'CIRCUIT SIM'!HD28</f>
        <v/>
      </c>
      <c r="EM938" s="451" t="n"/>
      <c r="EO938" s="429" t="n">
        <v>25</v>
      </c>
      <c r="EP938" s="431" t="n">
        <v>25</v>
      </c>
      <c r="EQ938" s="688" t="n"/>
      <c r="ER938" s="431" t="inlineStr">
        <is>
          <t>Boolean</t>
        </is>
      </c>
      <c r="ES938" s="451" t="n"/>
      <c r="ET938" s="451">
        <f>'CIRCUIT SIM'!HT28</f>
        <v/>
      </c>
      <c r="EU938" s="451" t="n"/>
      <c r="EW938" s="429" t="n">
        <v>25</v>
      </c>
      <c r="EX938" s="431" t="n">
        <v>25</v>
      </c>
      <c r="EY938" s="688" t="n"/>
      <c r="EZ938" s="431" t="inlineStr">
        <is>
          <t>Boolean</t>
        </is>
      </c>
      <c r="FA938" s="451" t="n"/>
      <c r="FB938" s="451">
        <f>'CIRCUIT SIM'!II28</f>
        <v/>
      </c>
      <c r="FC938" s="451" t="n"/>
      <c r="FE938" s="429" t="n">
        <v>25</v>
      </c>
      <c r="FF938" s="431" t="n">
        <v>25</v>
      </c>
      <c r="FG938" s="688" t="n"/>
      <c r="FH938" s="431" t="inlineStr">
        <is>
          <t>Boolean</t>
        </is>
      </c>
      <c r="FI938" s="451" t="n"/>
      <c r="FJ938" s="451">
        <f>'CIRCUIT SIM'!IU28</f>
        <v/>
      </c>
      <c r="FK938" s="451" t="n"/>
      <c r="FM938" s="429" t="n">
        <v>25</v>
      </c>
      <c r="FN938" s="431" t="n">
        <v>25</v>
      </c>
      <c r="FO938" s="688" t="n"/>
      <c r="FP938" s="431" t="inlineStr">
        <is>
          <t>Boolean</t>
        </is>
      </c>
      <c r="FQ938" s="451" t="n"/>
      <c r="FR938" s="451">
        <f>'CIRCUIT SIM'!KY28</f>
        <v/>
      </c>
      <c r="FS938" s="451" t="n"/>
      <c r="FU938" s="429" t="n">
        <v>25</v>
      </c>
      <c r="FV938" s="431" t="n">
        <v>25</v>
      </c>
      <c r="FW938" s="688" t="n"/>
      <c r="FX938" s="431" t="inlineStr">
        <is>
          <t>Boolean</t>
        </is>
      </c>
      <c r="FY938" s="451" t="n"/>
      <c r="FZ938" s="562">
        <f>'CIRCUIT SIM'!JG28</f>
        <v/>
      </c>
      <c r="GA938" s="451" t="n"/>
      <c r="GC938" s="429" t="n">
        <v>25</v>
      </c>
      <c r="GD938" s="431" t="n">
        <v>25</v>
      </c>
      <c r="GE938" s="688" t="n"/>
      <c r="GF938" s="431" t="inlineStr">
        <is>
          <t>Boolean</t>
        </is>
      </c>
      <c r="GG938" s="451" t="n"/>
      <c r="GH938" s="451">
        <f>'CIRCUIT SIM'!JW28</f>
        <v/>
      </c>
      <c r="GI938" s="451" t="n"/>
      <c r="GK938" s="429" t="n">
        <v>25</v>
      </c>
      <c r="GL938" s="431" t="n">
        <v>25</v>
      </c>
      <c r="GM938" s="688" t="n"/>
      <c r="GN938" s="431" t="n"/>
      <c r="GO938" s="451" t="n"/>
      <c r="GP938" s="451">
        <f>'CIRCUIT SIM'!KI28</f>
        <v/>
      </c>
      <c r="GQ938" s="451" t="n"/>
      <c r="GS938" s="429" t="n">
        <v>25</v>
      </c>
      <c r="GT938" s="431" t="n">
        <v>25</v>
      </c>
      <c r="GU938" s="688" t="n"/>
      <c r="GV938" s="431" t="inlineStr">
        <is>
          <t>Boolean</t>
        </is>
      </c>
      <c r="GW938" s="451" t="n"/>
      <c r="GX938" s="451">
        <f>'CIRCUIT SIM'!KY28</f>
        <v/>
      </c>
      <c r="GY938" s="451" t="n"/>
      <c r="HA938" s="429" t="n">
        <v>25</v>
      </c>
      <c r="HB938" s="431" t="n">
        <v>25</v>
      </c>
      <c r="HC938" s="688" t="n"/>
      <c r="HD938" s="431" t="n"/>
      <c r="HE938" s="451" t="n"/>
      <c r="HF938" s="451" t="n"/>
      <c r="HG938" s="451" t="n"/>
    </row>
    <row r="939">
      <c r="A939" s="429" t="n">
        <v>26</v>
      </c>
      <c r="B939" s="431" t="n">
        <v>26</v>
      </c>
      <c r="C939" s="688" t="n"/>
      <c r="D939" s="431" t="inlineStr">
        <is>
          <t>Boolean</t>
        </is>
      </c>
      <c r="E939" s="429" t="n"/>
      <c r="F939" s="422">
        <f>'CIRCUIT SIM'!J29</f>
        <v/>
      </c>
      <c r="G939" s="429" t="n"/>
      <c r="I939" s="429" t="n">
        <v>26</v>
      </c>
      <c r="J939" s="431" t="n">
        <v>26</v>
      </c>
      <c r="K939" s="429" t="n"/>
      <c r="L939" s="431" t="inlineStr">
        <is>
          <t>Boolean</t>
        </is>
      </c>
      <c r="M939" s="451" t="n"/>
      <c r="N939" s="422">
        <f>'CIRCUIT SIM'!Y29</f>
        <v/>
      </c>
      <c r="O939" s="451" t="n"/>
      <c r="Q939" s="429" t="n">
        <v>26</v>
      </c>
      <c r="R939" s="431" t="n">
        <v>26</v>
      </c>
      <c r="S939" s="429" t="n"/>
      <c r="T939" s="431" t="inlineStr">
        <is>
          <t>Boolean</t>
        </is>
      </c>
      <c r="U939" s="429" t="n"/>
      <c r="V939" s="386">
        <f>'CIRCUIT SIM'!AO29</f>
        <v/>
      </c>
      <c r="W939" s="451" t="n"/>
      <c r="Y939" s="429" t="n">
        <v>26</v>
      </c>
      <c r="Z939" s="431" t="n">
        <v>26</v>
      </c>
      <c r="AA939" s="429" t="n"/>
      <c r="AB939" s="431" t="inlineStr">
        <is>
          <t>Boolean</t>
        </is>
      </c>
      <c r="AC939" s="451" t="n"/>
      <c r="AD939" s="562">
        <f>'CIRCUIT SIM'!BB29</f>
        <v/>
      </c>
      <c r="AE939" s="451" t="n"/>
      <c r="AG939" s="429" t="n">
        <v>26</v>
      </c>
      <c r="AH939" s="431" t="n">
        <v>26</v>
      </c>
      <c r="AI939" s="429" t="n"/>
      <c r="AJ939" s="431" t="inlineStr">
        <is>
          <t>Boolean</t>
        </is>
      </c>
      <c r="AK939" s="451" t="n"/>
      <c r="AL939" s="450">
        <f>'CIRCUIT SIM'!CR29</f>
        <v/>
      </c>
      <c r="AM939" s="451" t="n"/>
      <c r="AO939" s="429" t="n">
        <v>26</v>
      </c>
      <c r="AP939" s="431" t="n">
        <v>26</v>
      </c>
      <c r="AQ939" s="429" t="n"/>
      <c r="AR939" s="431" t="inlineStr">
        <is>
          <t>Boolean</t>
        </is>
      </c>
      <c r="AS939" s="451" t="n"/>
      <c r="AT939" s="386">
        <f>'CIRCUIT SIM'!BR29</f>
        <v/>
      </c>
      <c r="AU939" s="451" t="n"/>
      <c r="AW939" s="429" t="n">
        <v>26</v>
      </c>
      <c r="AX939" s="431" t="n">
        <v>26</v>
      </c>
      <c r="AY939" s="429" t="n"/>
      <c r="AZ939" s="431" t="inlineStr">
        <is>
          <t>Boolean</t>
        </is>
      </c>
      <c r="BA939" s="451" t="n"/>
      <c r="BB939" s="451">
        <f>'CIRCUIT SIM'!CG29</f>
        <v/>
      </c>
      <c r="BC939" s="451" t="n"/>
      <c r="BE939" s="429" t="n">
        <v>26</v>
      </c>
      <c r="BF939" s="431" t="n"/>
      <c r="BG939" s="429" t="n"/>
      <c r="BH939" s="431" t="n"/>
      <c r="BI939" s="451" t="n"/>
      <c r="BJ939" s="451" t="n"/>
      <c r="BK939" s="451" t="n"/>
      <c r="BM939" s="429" t="n">
        <v>26</v>
      </c>
      <c r="BN939" s="431" t="n">
        <v>26</v>
      </c>
      <c r="BO939" s="429" t="n"/>
      <c r="BP939" s="431" t="inlineStr">
        <is>
          <t>Boolean</t>
        </is>
      </c>
      <c r="BQ939" s="451" t="n"/>
      <c r="BR939" s="451">
        <f>'CIRCUIT SIM'!DT29</f>
        <v/>
      </c>
      <c r="BS939" s="451" t="n"/>
      <c r="BU939" s="429" t="n">
        <v>26</v>
      </c>
      <c r="BV939" s="431" t="n">
        <v>26</v>
      </c>
      <c r="BW939" s="429" t="n"/>
      <c r="BX939" s="431" t="inlineStr">
        <is>
          <t>Boolean</t>
        </is>
      </c>
      <c r="BY939" s="451" t="n"/>
      <c r="BZ939" s="451">
        <f>'CIRCUIT SIM'!EI29</f>
        <v/>
      </c>
      <c r="CA939" s="451" t="n"/>
      <c r="CC939" s="429" t="n">
        <v>26</v>
      </c>
      <c r="CD939" s="431" t="n">
        <v>26</v>
      </c>
      <c r="CE939" s="688" t="n"/>
      <c r="CF939" s="431" t="inlineStr">
        <is>
          <t>Boolean</t>
        </is>
      </c>
      <c r="CG939" s="451" t="n"/>
      <c r="CH939" s="562">
        <f>'CIRCUIT SIM'!LK29</f>
        <v/>
      </c>
      <c r="CI939" s="451" t="n"/>
      <c r="CK939" s="429" t="n">
        <v>26</v>
      </c>
      <c r="CL939" s="431" t="n">
        <v>26</v>
      </c>
      <c r="CM939" s="688" t="n"/>
      <c r="CN939" s="431" t="inlineStr">
        <is>
          <t>Boolean</t>
        </is>
      </c>
      <c r="CO939" s="451" t="n"/>
      <c r="CP939" s="451">
        <f>'CIRCUIT SIM'!MA29</f>
        <v/>
      </c>
      <c r="CQ939" s="451" t="n"/>
      <c r="CS939" s="429" t="n">
        <v>26</v>
      </c>
      <c r="CT939" s="431" t="n">
        <v>26</v>
      </c>
      <c r="CU939" s="688" t="n"/>
      <c r="CV939" s="431" t="inlineStr">
        <is>
          <t>Boolean</t>
        </is>
      </c>
      <c r="CW939" s="451" t="n"/>
      <c r="CX939" s="451">
        <f>'CIRCUIT SIM'!MQ29</f>
        <v/>
      </c>
      <c r="CY939" s="451" t="n"/>
      <c r="DA939" s="429" t="n">
        <v>26</v>
      </c>
      <c r="DB939" s="431" t="n">
        <v>26</v>
      </c>
      <c r="DC939" s="688" t="n"/>
      <c r="DD939" s="431" t="inlineStr">
        <is>
          <t>Boolean</t>
        </is>
      </c>
      <c r="DE939" s="451" t="n"/>
      <c r="DF939" s="451">
        <f>'CIRCUIT SIM'!EX29</f>
        <v/>
      </c>
      <c r="DG939" s="451" t="n"/>
      <c r="DI939" s="429" t="n">
        <v>26</v>
      </c>
      <c r="DJ939" s="431" t="n">
        <v>26</v>
      </c>
      <c r="DK939" s="688" t="n"/>
      <c r="DL939" s="431" t="inlineStr">
        <is>
          <t>Boolean</t>
        </is>
      </c>
      <c r="DM939" s="429" t="n"/>
      <c r="DN939" s="451">
        <f>'CIRCUIT SIM'!FN29</f>
        <v/>
      </c>
      <c r="DO939" s="451" t="n"/>
      <c r="DQ939" s="429" t="n">
        <v>26</v>
      </c>
      <c r="DR939" s="431" t="n">
        <v>26</v>
      </c>
      <c r="DS939" s="688" t="n"/>
      <c r="DT939" s="431" t="inlineStr">
        <is>
          <t>Boolean</t>
        </is>
      </c>
      <c r="DU939" s="451" t="n"/>
      <c r="DV939" s="451">
        <f>'CIRCUIT SIM'!HT29</f>
        <v/>
      </c>
      <c r="DW939" s="451" t="n"/>
      <c r="DY939" s="429" t="n">
        <v>26</v>
      </c>
      <c r="DZ939" s="431" t="n">
        <v>26</v>
      </c>
      <c r="EA939" s="688" t="n"/>
      <c r="EB939" s="431" t="inlineStr">
        <is>
          <t>Boolean</t>
        </is>
      </c>
      <c r="EC939" s="451" t="n"/>
      <c r="ED939" s="335">
        <f>'CIRCUIT SIM'!GO29</f>
        <v/>
      </c>
      <c r="EE939" s="451" t="n"/>
      <c r="EG939" s="429" t="n">
        <v>26</v>
      </c>
      <c r="EH939" s="431" t="n">
        <v>26</v>
      </c>
      <c r="EI939" s="688" t="n"/>
      <c r="EJ939" s="431" t="inlineStr">
        <is>
          <t>Boolean</t>
        </is>
      </c>
      <c r="EK939" s="451" t="n"/>
      <c r="EL939" s="451">
        <f>'CIRCUIT SIM'!HD29</f>
        <v/>
      </c>
      <c r="EM939" s="451" t="n"/>
      <c r="EO939" s="429" t="n">
        <v>26</v>
      </c>
      <c r="EP939" s="431" t="n">
        <v>26</v>
      </c>
      <c r="EQ939" s="688" t="n"/>
      <c r="ER939" s="431" t="inlineStr">
        <is>
          <t>Boolean</t>
        </is>
      </c>
      <c r="ES939" s="451" t="n"/>
      <c r="ET939" s="451">
        <f>'CIRCUIT SIM'!HT29</f>
        <v/>
      </c>
      <c r="EU939" s="451" t="n"/>
      <c r="EW939" s="429" t="n">
        <v>26</v>
      </c>
      <c r="EX939" s="431" t="n">
        <v>26</v>
      </c>
      <c r="EY939" s="688" t="n"/>
      <c r="EZ939" s="431" t="inlineStr">
        <is>
          <t>Boolean</t>
        </is>
      </c>
      <c r="FA939" s="451" t="n"/>
      <c r="FB939" s="451">
        <f>'CIRCUIT SIM'!II29</f>
        <v/>
      </c>
      <c r="FC939" s="451" t="n"/>
      <c r="FE939" s="429" t="n">
        <v>26</v>
      </c>
      <c r="FF939" s="431" t="n">
        <v>26</v>
      </c>
      <c r="FG939" s="688" t="n"/>
      <c r="FH939" s="431" t="inlineStr">
        <is>
          <t>Boolean</t>
        </is>
      </c>
      <c r="FI939" s="451" t="n"/>
      <c r="FJ939" s="451">
        <f>'CIRCUIT SIM'!IU29</f>
        <v/>
      </c>
      <c r="FK939" s="451" t="n"/>
      <c r="FM939" s="429" t="n">
        <v>26</v>
      </c>
      <c r="FN939" s="431" t="n">
        <v>26</v>
      </c>
      <c r="FO939" s="688" t="n"/>
      <c r="FP939" s="431" t="inlineStr">
        <is>
          <t>Boolean</t>
        </is>
      </c>
      <c r="FQ939" s="451" t="n"/>
      <c r="FR939" s="451">
        <f>'CIRCUIT SIM'!KY29</f>
        <v/>
      </c>
      <c r="FS939" s="451" t="n"/>
      <c r="FU939" s="429" t="n">
        <v>26</v>
      </c>
      <c r="FV939" s="431" t="n">
        <v>26</v>
      </c>
      <c r="FW939" s="688" t="n"/>
      <c r="FX939" s="431" t="inlineStr">
        <is>
          <t>Boolean</t>
        </is>
      </c>
      <c r="FY939" s="451" t="n"/>
      <c r="FZ939" s="562">
        <f>'CIRCUIT SIM'!JG29</f>
        <v/>
      </c>
      <c r="GA939" s="451" t="n"/>
      <c r="GC939" s="429" t="n">
        <v>26</v>
      </c>
      <c r="GD939" s="431" t="n">
        <v>26</v>
      </c>
      <c r="GE939" s="688" t="n"/>
      <c r="GF939" s="431" t="inlineStr">
        <is>
          <t>Boolean</t>
        </is>
      </c>
      <c r="GG939" s="451" t="n"/>
      <c r="GH939" s="451">
        <f>'CIRCUIT SIM'!JW29</f>
        <v/>
      </c>
      <c r="GI939" s="451" t="n"/>
      <c r="GK939" s="429" t="n">
        <v>26</v>
      </c>
      <c r="GL939" s="431" t="n">
        <v>26</v>
      </c>
      <c r="GM939" s="688" t="n"/>
      <c r="GN939" s="431" t="n"/>
      <c r="GO939" s="451" t="n"/>
      <c r="GP939" s="451">
        <f>'CIRCUIT SIM'!KI29</f>
        <v/>
      </c>
      <c r="GQ939" s="451" t="n"/>
      <c r="GS939" s="429" t="n">
        <v>26</v>
      </c>
      <c r="GT939" s="431" t="n">
        <v>26</v>
      </c>
      <c r="GU939" s="688" t="n"/>
      <c r="GV939" s="431" t="inlineStr">
        <is>
          <t>Boolean</t>
        </is>
      </c>
      <c r="GW939" s="451" t="n"/>
      <c r="GX939" s="451">
        <f>'CIRCUIT SIM'!KY29</f>
        <v/>
      </c>
      <c r="GY939" s="451" t="n"/>
      <c r="HA939" s="429" t="n">
        <v>26</v>
      </c>
      <c r="HB939" s="431" t="n">
        <v>26</v>
      </c>
      <c r="HC939" s="688" t="n"/>
      <c r="HD939" s="431" t="n"/>
      <c r="HE939" s="451" t="n"/>
      <c r="HF939" s="451" t="n"/>
      <c r="HG939" s="451" t="n"/>
    </row>
    <row r="940">
      <c r="A940" s="429" t="n">
        <v>27</v>
      </c>
      <c r="B940" s="431" t="n">
        <v>27</v>
      </c>
      <c r="C940" s="688" t="n"/>
      <c r="D940" s="431" t="inlineStr">
        <is>
          <t>Boolean</t>
        </is>
      </c>
      <c r="E940" s="429" t="n"/>
      <c r="F940" s="422">
        <f>'CIRCUIT SIM'!J30</f>
        <v/>
      </c>
      <c r="G940" s="429" t="n"/>
      <c r="I940" s="429" t="n">
        <v>27</v>
      </c>
      <c r="J940" s="431" t="n">
        <v>27</v>
      </c>
      <c r="K940" s="429" t="n"/>
      <c r="L940" s="431" t="inlineStr">
        <is>
          <t>Boolean</t>
        </is>
      </c>
      <c r="M940" s="451" t="n"/>
      <c r="N940" s="422">
        <f>'CIRCUIT SIM'!Y30</f>
        <v/>
      </c>
      <c r="O940" s="451" t="n"/>
      <c r="Q940" s="429" t="n">
        <v>27</v>
      </c>
      <c r="R940" s="431" t="n">
        <v>27</v>
      </c>
      <c r="S940" s="429" t="n"/>
      <c r="T940" s="431" t="inlineStr">
        <is>
          <t>Boolean</t>
        </is>
      </c>
      <c r="U940" s="429" t="n"/>
      <c r="V940" s="386">
        <f>'CIRCUIT SIM'!AO30</f>
        <v/>
      </c>
      <c r="W940" s="451" t="n"/>
      <c r="Y940" s="429" t="n">
        <v>27</v>
      </c>
      <c r="Z940" s="431" t="n">
        <v>27</v>
      </c>
      <c r="AA940" s="429" t="inlineStr">
        <is>
          <t> </t>
        </is>
      </c>
      <c r="AB940" s="431" t="inlineStr">
        <is>
          <t>Boolean</t>
        </is>
      </c>
      <c r="AC940" s="451" t="n"/>
      <c r="AD940" s="562">
        <f>'CIRCUIT SIM'!BB30</f>
        <v/>
      </c>
      <c r="AE940" s="451" t="n"/>
      <c r="AG940" s="429" t="n">
        <v>27</v>
      </c>
      <c r="AH940" s="431" t="n">
        <v>27</v>
      </c>
      <c r="AI940" s="429" t="n"/>
      <c r="AJ940" s="431" t="inlineStr">
        <is>
          <t>Boolean</t>
        </is>
      </c>
      <c r="AK940" s="451" t="n"/>
      <c r="AL940" s="450">
        <f>'CIRCUIT SIM'!CR30</f>
        <v/>
      </c>
      <c r="AM940" s="451" t="n"/>
      <c r="AO940" s="429" t="n">
        <v>27</v>
      </c>
      <c r="AP940" s="431" t="n">
        <v>27</v>
      </c>
      <c r="AQ940" s="429" t="n"/>
      <c r="AR940" s="431" t="inlineStr">
        <is>
          <t>Boolean</t>
        </is>
      </c>
      <c r="AS940" s="451" t="n"/>
      <c r="AT940" s="386">
        <f>'CIRCUIT SIM'!BR30</f>
        <v/>
      </c>
      <c r="AU940" s="451" t="n"/>
      <c r="AW940" s="429" t="n">
        <v>27</v>
      </c>
      <c r="AX940" s="431" t="n">
        <v>27</v>
      </c>
      <c r="AY940" s="429" t="n"/>
      <c r="AZ940" s="431" t="inlineStr">
        <is>
          <t>Boolean</t>
        </is>
      </c>
      <c r="BA940" s="451" t="n"/>
      <c r="BB940" s="451">
        <f>'CIRCUIT SIM'!CG30</f>
        <v/>
      </c>
      <c r="BC940" s="451" t="n"/>
      <c r="BE940" s="429" t="n">
        <v>27</v>
      </c>
      <c r="BF940" s="431" t="n"/>
      <c r="BG940" s="429" t="n"/>
      <c r="BH940" s="431" t="n"/>
      <c r="BI940" s="451" t="n"/>
      <c r="BJ940" s="451" t="n"/>
      <c r="BK940" s="451" t="n"/>
      <c r="BM940" s="429" t="n">
        <v>27</v>
      </c>
      <c r="BN940" s="431" t="n">
        <v>27</v>
      </c>
      <c r="BO940" s="429" t="n"/>
      <c r="BP940" s="431" t="inlineStr">
        <is>
          <t>Boolean</t>
        </is>
      </c>
      <c r="BQ940" s="451" t="n"/>
      <c r="BR940" s="451">
        <f>'CIRCUIT SIM'!DT30</f>
        <v/>
      </c>
      <c r="BS940" s="451" t="n"/>
      <c r="BU940" s="429" t="n">
        <v>27</v>
      </c>
      <c r="BV940" s="431" t="n">
        <v>27</v>
      </c>
      <c r="BW940" s="429" t="n"/>
      <c r="BX940" s="431" t="inlineStr">
        <is>
          <t>Boolean</t>
        </is>
      </c>
      <c r="BY940" s="451" t="n"/>
      <c r="BZ940" s="451">
        <f>'CIRCUIT SIM'!EI30</f>
        <v/>
      </c>
      <c r="CA940" s="451" t="n"/>
      <c r="CC940" s="429" t="n">
        <v>27</v>
      </c>
      <c r="CD940" s="431" t="n">
        <v>27</v>
      </c>
      <c r="CE940" s="688" t="n"/>
      <c r="CF940" s="431" t="inlineStr">
        <is>
          <t>Boolean</t>
        </is>
      </c>
      <c r="CG940" s="451" t="n"/>
      <c r="CH940" s="562">
        <f>'CIRCUIT SIM'!LK30</f>
        <v/>
      </c>
      <c r="CI940" s="451" t="n"/>
      <c r="CK940" s="429" t="n">
        <v>27</v>
      </c>
      <c r="CL940" s="431" t="n">
        <v>27</v>
      </c>
      <c r="CM940" s="688" t="n"/>
      <c r="CN940" s="431" t="inlineStr">
        <is>
          <t>Boolean</t>
        </is>
      </c>
      <c r="CO940" s="451" t="n"/>
      <c r="CP940" s="451">
        <f>'CIRCUIT SIM'!MA30</f>
        <v/>
      </c>
      <c r="CQ940" s="451" t="n"/>
      <c r="CS940" s="429" t="n">
        <v>27</v>
      </c>
      <c r="CT940" s="431" t="n">
        <v>27</v>
      </c>
      <c r="CU940" s="688" t="n"/>
      <c r="CV940" s="431" t="inlineStr">
        <is>
          <t>Boolean</t>
        </is>
      </c>
      <c r="CW940" s="451" t="n"/>
      <c r="CX940" s="451">
        <f>'CIRCUIT SIM'!MQ30</f>
        <v/>
      </c>
      <c r="CY940" s="451" t="n"/>
      <c r="DA940" s="429" t="n">
        <v>27</v>
      </c>
      <c r="DB940" s="431" t="n">
        <v>27</v>
      </c>
      <c r="DC940" s="688" t="n"/>
      <c r="DD940" s="431" t="inlineStr">
        <is>
          <t>Boolean</t>
        </is>
      </c>
      <c r="DE940" s="451" t="n"/>
      <c r="DF940" s="451">
        <f>'CIRCUIT SIM'!EX30</f>
        <v/>
      </c>
      <c r="DG940" s="451" t="n"/>
      <c r="DI940" s="429" t="n">
        <v>27</v>
      </c>
      <c r="DJ940" s="431" t="n">
        <v>27</v>
      </c>
      <c r="DK940" s="688" t="n"/>
      <c r="DL940" s="431" t="inlineStr">
        <is>
          <t>Boolean</t>
        </is>
      </c>
      <c r="DM940" s="429" t="n"/>
      <c r="DN940" s="451">
        <f>'CIRCUIT SIM'!FN30</f>
        <v/>
      </c>
      <c r="DO940" s="451" t="n"/>
      <c r="DQ940" s="429" t="n">
        <v>27</v>
      </c>
      <c r="DR940" s="431" t="n">
        <v>27</v>
      </c>
      <c r="DS940" s="688" t="n"/>
      <c r="DT940" s="431" t="inlineStr">
        <is>
          <t>Boolean</t>
        </is>
      </c>
      <c r="DU940" s="451" t="n"/>
      <c r="DV940" s="451">
        <f>'CIRCUIT SIM'!HT30</f>
        <v/>
      </c>
      <c r="DW940" s="451" t="n"/>
      <c r="DY940" s="429" t="n">
        <v>27</v>
      </c>
      <c r="DZ940" s="431" t="n">
        <v>27</v>
      </c>
      <c r="EA940" s="688" t="n"/>
      <c r="EB940" s="431" t="inlineStr">
        <is>
          <t>Boolean</t>
        </is>
      </c>
      <c r="EC940" s="451" t="n"/>
      <c r="ED940" s="335">
        <f>'CIRCUIT SIM'!GO30</f>
        <v/>
      </c>
      <c r="EE940" s="451" t="n"/>
      <c r="EG940" s="429" t="n">
        <v>27</v>
      </c>
      <c r="EH940" s="431" t="n">
        <v>27</v>
      </c>
      <c r="EI940" s="688" t="n"/>
      <c r="EJ940" s="431" t="inlineStr">
        <is>
          <t>Boolean</t>
        </is>
      </c>
      <c r="EK940" s="451" t="n"/>
      <c r="EL940" s="451">
        <f>'CIRCUIT SIM'!HD30</f>
        <v/>
      </c>
      <c r="EM940" s="451" t="n"/>
      <c r="EO940" s="429" t="n">
        <v>27</v>
      </c>
      <c r="EP940" s="431" t="n">
        <v>27</v>
      </c>
      <c r="EQ940" s="688" t="n"/>
      <c r="ER940" s="431" t="inlineStr">
        <is>
          <t>Boolean</t>
        </is>
      </c>
      <c r="ES940" s="451" t="n"/>
      <c r="ET940" s="451">
        <f>'CIRCUIT SIM'!HT30</f>
        <v/>
      </c>
      <c r="EU940" s="451" t="n"/>
      <c r="EW940" s="429" t="n">
        <v>27</v>
      </c>
      <c r="EX940" s="431" t="n">
        <v>27</v>
      </c>
      <c r="EY940" s="688" t="n"/>
      <c r="EZ940" s="431" t="inlineStr">
        <is>
          <t>Boolean</t>
        </is>
      </c>
      <c r="FA940" s="451" t="n"/>
      <c r="FB940" s="451">
        <f>'CIRCUIT SIM'!II30</f>
        <v/>
      </c>
      <c r="FC940" s="451" t="n"/>
      <c r="FE940" s="429" t="n">
        <v>27</v>
      </c>
      <c r="FF940" s="431" t="n">
        <v>27</v>
      </c>
      <c r="FG940" s="688" t="n"/>
      <c r="FH940" s="431" t="inlineStr">
        <is>
          <t>Boolean</t>
        </is>
      </c>
      <c r="FI940" s="451" t="n"/>
      <c r="FJ940" s="451">
        <f>'CIRCUIT SIM'!IU30</f>
        <v/>
      </c>
      <c r="FK940" s="451" t="n"/>
      <c r="FM940" s="429" t="n">
        <v>27</v>
      </c>
      <c r="FN940" s="431" t="n">
        <v>27</v>
      </c>
      <c r="FO940" s="688" t="n"/>
      <c r="FP940" s="431" t="inlineStr">
        <is>
          <t>Boolean</t>
        </is>
      </c>
      <c r="FQ940" s="451" t="n"/>
      <c r="FR940" s="451">
        <f>'CIRCUIT SIM'!KY30</f>
        <v/>
      </c>
      <c r="FS940" s="451" t="n"/>
      <c r="FU940" s="429" t="n">
        <v>27</v>
      </c>
      <c r="FV940" s="431" t="n">
        <v>27</v>
      </c>
      <c r="FW940" s="688" t="n"/>
      <c r="FX940" s="431" t="inlineStr">
        <is>
          <t>Boolean</t>
        </is>
      </c>
      <c r="FY940" s="451" t="n"/>
      <c r="FZ940" s="562">
        <f>'CIRCUIT SIM'!JG30</f>
        <v/>
      </c>
      <c r="GA940" s="451" t="n"/>
      <c r="GC940" s="429" t="n">
        <v>27</v>
      </c>
      <c r="GD940" s="431" t="n">
        <v>27</v>
      </c>
      <c r="GE940" s="688" t="n"/>
      <c r="GF940" s="431" t="inlineStr">
        <is>
          <t>Boolean</t>
        </is>
      </c>
      <c r="GG940" s="451" t="n"/>
      <c r="GH940" s="451">
        <f>'CIRCUIT SIM'!JW30</f>
        <v/>
      </c>
      <c r="GI940" s="451" t="n"/>
      <c r="GK940" s="429" t="n">
        <v>27</v>
      </c>
      <c r="GL940" s="431" t="n">
        <v>27</v>
      </c>
      <c r="GM940" s="688" t="n"/>
      <c r="GN940" s="431" t="n"/>
      <c r="GO940" s="451" t="n"/>
      <c r="GP940" s="451">
        <f>'CIRCUIT SIM'!KI30</f>
        <v/>
      </c>
      <c r="GQ940" s="451" t="n"/>
      <c r="GS940" s="429" t="n">
        <v>27</v>
      </c>
      <c r="GT940" s="431" t="n">
        <v>27</v>
      </c>
      <c r="GU940" s="688" t="n"/>
      <c r="GV940" s="431" t="inlineStr">
        <is>
          <t>Boolean</t>
        </is>
      </c>
      <c r="GW940" s="451" t="n"/>
      <c r="GX940" s="451">
        <f>'CIRCUIT SIM'!KY30</f>
        <v/>
      </c>
      <c r="GY940" s="451" t="n"/>
      <c r="HA940" s="429" t="n">
        <v>27</v>
      </c>
      <c r="HB940" s="431" t="n">
        <v>27</v>
      </c>
      <c r="HC940" s="688" t="n"/>
      <c r="HD940" s="431" t="n"/>
      <c r="HE940" s="451" t="n"/>
      <c r="HF940" s="451" t="n"/>
      <c r="HG940" s="451" t="n"/>
    </row>
    <row r="941">
      <c r="A941" s="429" t="n">
        <v>28</v>
      </c>
      <c r="B941" s="431" t="n">
        <v>28</v>
      </c>
      <c r="C941" s="688" t="n"/>
      <c r="D941" s="431" t="inlineStr">
        <is>
          <t>Boolean</t>
        </is>
      </c>
      <c r="E941" s="429" t="n"/>
      <c r="F941" s="422">
        <f>'CIRCUIT SIM'!J31</f>
        <v/>
      </c>
      <c r="G941" s="429" t="n"/>
      <c r="I941" s="429" t="n">
        <v>28</v>
      </c>
      <c r="J941" s="431" t="n">
        <v>28</v>
      </c>
      <c r="K941" s="429" t="n"/>
      <c r="L941" s="431" t="inlineStr">
        <is>
          <t>Boolean</t>
        </is>
      </c>
      <c r="M941" s="451" t="n"/>
      <c r="N941" s="422">
        <f>'CIRCUIT SIM'!Y31</f>
        <v/>
      </c>
      <c r="O941" s="451" t="n"/>
      <c r="Q941" s="429" t="n">
        <v>28</v>
      </c>
      <c r="R941" s="431" t="n">
        <v>28</v>
      </c>
      <c r="S941" s="429" t="n"/>
      <c r="T941" s="431" t="inlineStr">
        <is>
          <t>Boolean</t>
        </is>
      </c>
      <c r="U941" s="429" t="n"/>
      <c r="V941" s="386">
        <f>'CIRCUIT SIM'!AO31</f>
        <v/>
      </c>
      <c r="W941" s="451" t="n"/>
      <c r="Y941" s="429" t="n">
        <v>28</v>
      </c>
      <c r="Z941" s="431" t="n">
        <v>28</v>
      </c>
      <c r="AA941" s="429" t="n"/>
      <c r="AB941" s="431" t="inlineStr">
        <is>
          <t>Boolean</t>
        </is>
      </c>
      <c r="AC941" s="451" t="n"/>
      <c r="AD941" s="562">
        <f>'CIRCUIT SIM'!BB31</f>
        <v/>
      </c>
      <c r="AE941" s="451" t="n"/>
      <c r="AG941" s="429" t="n">
        <v>28</v>
      </c>
      <c r="AH941" s="431" t="n">
        <v>28</v>
      </c>
      <c r="AI941" s="429" t="n"/>
      <c r="AJ941" s="431" t="inlineStr">
        <is>
          <t>Boolean</t>
        </is>
      </c>
      <c r="AK941" s="451" t="n"/>
      <c r="AL941" s="450">
        <f>'CIRCUIT SIM'!CR31</f>
        <v/>
      </c>
      <c r="AM941" s="451" t="n"/>
      <c r="AO941" s="429" t="n">
        <v>28</v>
      </c>
      <c r="AP941" s="431" t="n">
        <v>28</v>
      </c>
      <c r="AQ941" s="429" t="n"/>
      <c r="AR941" s="431" t="inlineStr">
        <is>
          <t>Boolean</t>
        </is>
      </c>
      <c r="AS941" s="451" t="n"/>
      <c r="AT941" s="386">
        <f>'CIRCUIT SIM'!BR31</f>
        <v/>
      </c>
      <c r="AU941" s="451" t="n"/>
      <c r="AW941" s="429" t="n">
        <v>28</v>
      </c>
      <c r="AX941" s="431" t="n">
        <v>28</v>
      </c>
      <c r="AY941" s="429" t="n"/>
      <c r="AZ941" s="431" t="inlineStr">
        <is>
          <t>Boolean</t>
        </is>
      </c>
      <c r="BA941" s="451" t="n"/>
      <c r="BB941" s="451">
        <f>'CIRCUIT SIM'!CG31</f>
        <v/>
      </c>
      <c r="BC941" s="451" t="n"/>
      <c r="BE941" s="429" t="n">
        <v>28</v>
      </c>
      <c r="BF941" s="431" t="n"/>
      <c r="BG941" s="429" t="n"/>
      <c r="BH941" s="431" t="n"/>
      <c r="BI941" s="451" t="n"/>
      <c r="BJ941" s="451" t="n"/>
      <c r="BK941" s="451" t="n"/>
      <c r="BM941" s="429" t="n">
        <v>28</v>
      </c>
      <c r="BN941" s="431" t="n">
        <v>28</v>
      </c>
      <c r="BO941" s="429" t="n"/>
      <c r="BP941" s="431" t="inlineStr">
        <is>
          <t>Boolean</t>
        </is>
      </c>
      <c r="BQ941" s="451" t="n"/>
      <c r="BR941" s="451">
        <f>'CIRCUIT SIM'!DT31</f>
        <v/>
      </c>
      <c r="BS941" s="451" t="n"/>
      <c r="BU941" s="429" t="n">
        <v>28</v>
      </c>
      <c r="BV941" s="431" t="n">
        <v>28</v>
      </c>
      <c r="BW941" s="429" t="n"/>
      <c r="BX941" s="431" t="inlineStr">
        <is>
          <t>Boolean</t>
        </is>
      </c>
      <c r="BY941" s="451" t="n"/>
      <c r="BZ941" s="451">
        <f>'CIRCUIT SIM'!EI31</f>
        <v/>
      </c>
      <c r="CA941" s="451" t="n"/>
      <c r="CC941" s="429" t="n">
        <v>28</v>
      </c>
      <c r="CD941" s="431" t="n">
        <v>28</v>
      </c>
      <c r="CE941" s="688" t="n"/>
      <c r="CF941" s="431" t="inlineStr">
        <is>
          <t>Boolean</t>
        </is>
      </c>
      <c r="CG941" s="451" t="n"/>
      <c r="CH941" s="562">
        <f>'CIRCUIT SIM'!LK31</f>
        <v/>
      </c>
      <c r="CI941" s="451" t="n"/>
      <c r="CK941" s="429" t="n">
        <v>28</v>
      </c>
      <c r="CL941" s="431" t="n">
        <v>28</v>
      </c>
      <c r="CM941" s="565" t="n">
        <v>26</v>
      </c>
      <c r="CN941" s="431" t="inlineStr">
        <is>
          <t>Boolean</t>
        </is>
      </c>
      <c r="CO941" s="451" t="n"/>
      <c r="CP941" s="451">
        <f>'CIRCUIT SIM'!MA31</f>
        <v/>
      </c>
      <c r="CQ941" s="451" t="n"/>
      <c r="CS941" s="429" t="n">
        <v>28</v>
      </c>
      <c r="CT941" s="431" t="n">
        <v>28</v>
      </c>
      <c r="CU941" s="688" t="n"/>
      <c r="CV941" s="431" t="inlineStr">
        <is>
          <t>Boolean</t>
        </is>
      </c>
      <c r="CW941" s="451" t="n"/>
      <c r="CX941" s="451">
        <f>'CIRCUIT SIM'!MQ31</f>
        <v/>
      </c>
      <c r="CY941" s="451" t="n"/>
      <c r="DA941" s="429" t="n">
        <v>28</v>
      </c>
      <c r="DB941" s="431" t="n">
        <v>28</v>
      </c>
      <c r="DC941" s="688" t="n"/>
      <c r="DD941" s="431" t="inlineStr">
        <is>
          <t>Boolean</t>
        </is>
      </c>
      <c r="DE941" s="451" t="n"/>
      <c r="DF941" s="451">
        <f>'CIRCUIT SIM'!EX31</f>
        <v/>
      </c>
      <c r="DG941" s="451" t="n"/>
      <c r="DI941" s="429" t="n">
        <v>28</v>
      </c>
      <c r="DJ941" s="431" t="n">
        <v>28</v>
      </c>
      <c r="DK941" s="688" t="n"/>
      <c r="DL941" s="431" t="inlineStr">
        <is>
          <t>Boolean</t>
        </is>
      </c>
      <c r="DM941" s="429" t="n"/>
      <c r="DN941" s="451">
        <f>'CIRCUIT SIM'!FN31</f>
        <v/>
      </c>
      <c r="DO941" s="451" t="n"/>
      <c r="DQ941" s="429" t="n">
        <v>28</v>
      </c>
      <c r="DR941" s="431" t="n">
        <v>28</v>
      </c>
      <c r="DS941" s="688" t="n"/>
      <c r="DT941" s="431" t="inlineStr">
        <is>
          <t>Boolean</t>
        </is>
      </c>
      <c r="DU941" s="451" t="n"/>
      <c r="DV941" s="451">
        <f>'CIRCUIT SIM'!HT31</f>
        <v/>
      </c>
      <c r="DW941" s="451" t="n"/>
      <c r="DY941" s="429" t="n">
        <v>28</v>
      </c>
      <c r="DZ941" s="431" t="n">
        <v>28</v>
      </c>
      <c r="EA941" s="688" t="n"/>
      <c r="EB941" s="431" t="inlineStr">
        <is>
          <t>Boolean</t>
        </is>
      </c>
      <c r="EC941" s="451" t="n"/>
      <c r="ED941" s="335">
        <f>'CIRCUIT SIM'!GO31</f>
        <v/>
      </c>
      <c r="EE941" s="451" t="n"/>
      <c r="EG941" s="429" t="n">
        <v>28</v>
      </c>
      <c r="EH941" s="431" t="n">
        <v>28</v>
      </c>
      <c r="EI941" s="688" t="n"/>
      <c r="EJ941" s="431" t="inlineStr">
        <is>
          <t>Boolean</t>
        </is>
      </c>
      <c r="EK941" s="451" t="n"/>
      <c r="EL941" s="451">
        <f>'CIRCUIT SIM'!HD31</f>
        <v/>
      </c>
      <c r="EM941" s="451" t="n"/>
      <c r="EO941" s="429" t="n">
        <v>28</v>
      </c>
      <c r="EP941" s="431" t="n">
        <v>28</v>
      </c>
      <c r="EQ941" s="688" t="n"/>
      <c r="ER941" s="431" t="inlineStr">
        <is>
          <t>Boolean</t>
        </is>
      </c>
      <c r="ES941" s="451" t="n"/>
      <c r="ET941" s="451">
        <f>'CIRCUIT SIM'!HT31</f>
        <v/>
      </c>
      <c r="EU941" s="451" t="n"/>
      <c r="EW941" s="429" t="n">
        <v>28</v>
      </c>
      <c r="EX941" s="431" t="n">
        <v>28</v>
      </c>
      <c r="EY941" s="688" t="n"/>
      <c r="EZ941" s="431" t="inlineStr">
        <is>
          <t>Boolean</t>
        </is>
      </c>
      <c r="FA941" s="451" t="n"/>
      <c r="FB941" s="451">
        <f>'CIRCUIT SIM'!II31</f>
        <v/>
      </c>
      <c r="FC941" s="451" t="n"/>
      <c r="FE941" s="429" t="n">
        <v>28</v>
      </c>
      <c r="FF941" s="431" t="n">
        <v>28</v>
      </c>
      <c r="FG941" s="688" t="n"/>
      <c r="FH941" s="431" t="inlineStr">
        <is>
          <t>Boolean</t>
        </is>
      </c>
      <c r="FI941" s="451" t="n"/>
      <c r="FJ941" s="451">
        <f>'CIRCUIT SIM'!IU31</f>
        <v/>
      </c>
      <c r="FK941" s="451" t="n"/>
      <c r="FM941" s="429" t="n">
        <v>28</v>
      </c>
      <c r="FN941" s="431" t="n">
        <v>28</v>
      </c>
      <c r="FO941" s="688" t="n"/>
      <c r="FP941" s="431" t="n"/>
      <c r="FQ941" s="451" t="n"/>
      <c r="FR941" s="451">
        <f>'CIRCUIT SIM'!KY31</f>
        <v/>
      </c>
      <c r="FS941" s="451" t="n"/>
      <c r="FU941" s="429" t="n">
        <v>28</v>
      </c>
      <c r="FV941" s="431" t="n">
        <v>28</v>
      </c>
      <c r="FW941" s="688" t="n"/>
      <c r="FX941" s="431" t="inlineStr">
        <is>
          <t>Boolean</t>
        </is>
      </c>
      <c r="FY941" s="451" t="n"/>
      <c r="FZ941" s="562">
        <f>'CIRCUIT SIM'!JG31</f>
        <v/>
      </c>
      <c r="GA941" s="451" t="n"/>
      <c r="GC941" s="429" t="n">
        <v>28</v>
      </c>
      <c r="GD941" s="431" t="n">
        <v>28</v>
      </c>
      <c r="GE941" s="688" t="n"/>
      <c r="GF941" s="431" t="inlineStr">
        <is>
          <t>Boolean</t>
        </is>
      </c>
      <c r="GG941" s="451" t="n"/>
      <c r="GH941" s="451">
        <f>'CIRCUIT SIM'!JW31</f>
        <v/>
      </c>
      <c r="GI941" s="451" t="n"/>
      <c r="GK941" s="429" t="n">
        <v>28</v>
      </c>
      <c r="GL941" s="431" t="n">
        <v>28</v>
      </c>
      <c r="GM941" s="688" t="n"/>
      <c r="GN941" s="431" t="n"/>
      <c r="GO941" s="451" t="n"/>
      <c r="GP941" s="451">
        <f>'CIRCUIT SIM'!KI31</f>
        <v/>
      </c>
      <c r="GQ941" s="451" t="n"/>
      <c r="GS941" s="429" t="n">
        <v>28</v>
      </c>
      <c r="GT941" s="431" t="n">
        <v>28</v>
      </c>
      <c r="GU941" s="688" t="n"/>
      <c r="GV941" s="431" t="inlineStr">
        <is>
          <t>Boolean</t>
        </is>
      </c>
      <c r="GW941" s="451" t="n"/>
      <c r="GX941" s="451">
        <f>'CIRCUIT SIM'!KY31</f>
        <v/>
      </c>
      <c r="GY941" s="451" t="n"/>
      <c r="HA941" s="429" t="n">
        <v>28</v>
      </c>
      <c r="HB941" s="431" t="n">
        <v>28</v>
      </c>
      <c r="HC941" s="688" t="n"/>
      <c r="HD941" s="431" t="n"/>
      <c r="HE941" s="451" t="n"/>
      <c r="HF941" s="451" t="n"/>
      <c r="HG941" s="451" t="n"/>
    </row>
    <row r="942">
      <c r="A942" s="429" t="n">
        <v>29</v>
      </c>
      <c r="B942" s="431" t="n">
        <v>29</v>
      </c>
      <c r="C942" s="688" t="n"/>
      <c r="D942" s="431" t="inlineStr">
        <is>
          <t>Boolean</t>
        </is>
      </c>
      <c r="E942" s="429" t="n"/>
      <c r="F942" s="422">
        <f>'CIRCUIT SIM'!J32</f>
        <v/>
      </c>
      <c r="G942" s="429" t="n"/>
      <c r="I942" s="429" t="n">
        <v>29</v>
      </c>
      <c r="J942" s="431" t="n">
        <v>29</v>
      </c>
      <c r="K942" s="429" t="n"/>
      <c r="L942" s="431" t="inlineStr">
        <is>
          <t>Boolean</t>
        </is>
      </c>
      <c r="M942" s="451" t="n"/>
      <c r="N942" s="422">
        <f>'CIRCUIT SIM'!Y32</f>
        <v/>
      </c>
      <c r="O942" s="451" t="n"/>
      <c r="Q942" s="429" t="n">
        <v>29</v>
      </c>
      <c r="R942" s="431" t="n">
        <v>29</v>
      </c>
      <c r="S942" s="429" t="n"/>
      <c r="T942" s="431" t="inlineStr">
        <is>
          <t>Boolean</t>
        </is>
      </c>
      <c r="U942" s="429" t="n"/>
      <c r="V942" s="386">
        <f>'CIRCUIT SIM'!AO32</f>
        <v/>
      </c>
      <c r="W942" s="451" t="n"/>
      <c r="Y942" s="429" t="n">
        <v>29</v>
      </c>
      <c r="Z942" s="431" t="n">
        <v>29</v>
      </c>
      <c r="AA942" s="429" t="n"/>
      <c r="AB942" s="431" t="inlineStr">
        <is>
          <t>Boolean</t>
        </is>
      </c>
      <c r="AC942" s="451" t="n"/>
      <c r="AD942" s="562">
        <f>'CIRCUIT SIM'!BB32</f>
        <v/>
      </c>
      <c r="AE942" s="451" t="n"/>
      <c r="AG942" s="429" t="n">
        <v>29</v>
      </c>
      <c r="AH942" s="431" t="n">
        <v>29</v>
      </c>
      <c r="AI942" s="429" t="n"/>
      <c r="AJ942" s="431" t="inlineStr">
        <is>
          <t>Boolean</t>
        </is>
      </c>
      <c r="AK942" s="451" t="n"/>
      <c r="AL942" s="450">
        <f>'CIRCUIT SIM'!CR32</f>
        <v/>
      </c>
      <c r="AM942" s="451" t="n"/>
      <c r="AO942" s="429" t="n">
        <v>29</v>
      </c>
      <c r="AP942" s="431" t="n">
        <v>29</v>
      </c>
      <c r="AQ942" s="429" t="n"/>
      <c r="AR942" s="431" t="inlineStr">
        <is>
          <t>Boolean</t>
        </is>
      </c>
      <c r="AS942" s="451" t="n"/>
      <c r="AT942" s="386">
        <f>'CIRCUIT SIM'!BR32</f>
        <v/>
      </c>
      <c r="AU942" s="451" t="n"/>
      <c r="AW942" s="429" t="n">
        <v>29</v>
      </c>
      <c r="AX942" s="431" t="n">
        <v>29</v>
      </c>
      <c r="AY942" s="429" t="n"/>
      <c r="AZ942" s="431" t="inlineStr">
        <is>
          <t>Boolean</t>
        </is>
      </c>
      <c r="BA942" s="451" t="n"/>
      <c r="BB942" s="451">
        <f>'CIRCUIT SIM'!CG32</f>
        <v/>
      </c>
      <c r="BC942" s="451" t="n"/>
      <c r="BE942" s="429" t="n">
        <v>29</v>
      </c>
      <c r="BF942" s="431" t="n"/>
      <c r="BG942" s="429" t="n"/>
      <c r="BH942" s="431" t="n"/>
      <c r="BI942" s="451" t="n"/>
      <c r="BJ942" s="451" t="n"/>
      <c r="BK942" s="451" t="n"/>
      <c r="BM942" s="429" t="n">
        <v>29</v>
      </c>
      <c r="BN942" s="431" t="n">
        <v>29</v>
      </c>
      <c r="BO942" s="429" t="n"/>
      <c r="BP942" s="431" t="inlineStr">
        <is>
          <t>Boolean</t>
        </is>
      </c>
      <c r="BQ942" s="451" t="n"/>
      <c r="BR942" s="451">
        <f>'CIRCUIT SIM'!DT32</f>
        <v/>
      </c>
      <c r="BS942" s="451" t="n"/>
      <c r="BU942" s="429" t="n">
        <v>29</v>
      </c>
      <c r="BV942" s="431" t="n">
        <v>29</v>
      </c>
      <c r="BW942" s="429" t="n"/>
      <c r="BX942" s="431" t="inlineStr">
        <is>
          <t>Boolean</t>
        </is>
      </c>
      <c r="BY942" s="451" t="n"/>
      <c r="BZ942" s="451">
        <f>'CIRCUIT SIM'!EI32</f>
        <v/>
      </c>
      <c r="CA942" s="451" t="n"/>
      <c r="CC942" s="429" t="n">
        <v>29</v>
      </c>
      <c r="CD942" s="431" t="n">
        <v>29</v>
      </c>
      <c r="CE942" s="688" t="n"/>
      <c r="CF942" s="431" t="inlineStr">
        <is>
          <t>Boolean</t>
        </is>
      </c>
      <c r="CG942" s="451" t="n"/>
      <c r="CH942" s="562">
        <f>'CIRCUIT SIM'!LK32</f>
        <v/>
      </c>
      <c r="CI942" s="451" t="n"/>
      <c r="CK942" s="429" t="n">
        <v>29</v>
      </c>
      <c r="CL942" s="431" t="n">
        <v>29</v>
      </c>
      <c r="CM942" s="565" t="n">
        <v>28</v>
      </c>
      <c r="CN942" s="431" t="inlineStr">
        <is>
          <t>Boolean</t>
        </is>
      </c>
      <c r="CO942" s="451" t="n"/>
      <c r="CP942" s="451">
        <f>'CIRCUIT SIM'!MA32</f>
        <v/>
      </c>
      <c r="CQ942" s="451" t="n"/>
      <c r="CS942" s="429" t="n">
        <v>29</v>
      </c>
      <c r="CT942" s="431" t="n">
        <v>29</v>
      </c>
      <c r="CU942" s="688" t="n"/>
      <c r="CV942" s="431" t="inlineStr">
        <is>
          <t>Boolean</t>
        </is>
      </c>
      <c r="CW942" s="451" t="n"/>
      <c r="CX942" s="451">
        <f>'CIRCUIT SIM'!MQ32</f>
        <v/>
      </c>
      <c r="CY942" s="451" t="n"/>
      <c r="DA942" s="429" t="n">
        <v>29</v>
      </c>
      <c r="DB942" s="431" t="n">
        <v>29</v>
      </c>
      <c r="DC942" s="688" t="n"/>
      <c r="DD942" s="431" t="inlineStr">
        <is>
          <t>Boolean</t>
        </is>
      </c>
      <c r="DE942" s="451" t="n"/>
      <c r="DF942" s="451">
        <f>'CIRCUIT SIM'!EX32</f>
        <v/>
      </c>
      <c r="DG942" s="451" t="n"/>
      <c r="DI942" s="429" t="n">
        <v>29</v>
      </c>
      <c r="DJ942" s="431" t="n">
        <v>29</v>
      </c>
      <c r="DK942" s="688" t="n"/>
      <c r="DL942" s="431" t="inlineStr">
        <is>
          <t>Boolean</t>
        </is>
      </c>
      <c r="DM942" s="429" t="n"/>
      <c r="DN942" s="451">
        <f>'CIRCUIT SIM'!FN32</f>
        <v/>
      </c>
      <c r="DO942" s="451" t="n"/>
      <c r="DQ942" s="429" t="n">
        <v>29</v>
      </c>
      <c r="DR942" s="431" t="n">
        <v>29</v>
      </c>
      <c r="DS942" s="688" t="n"/>
      <c r="DT942" s="431" t="inlineStr">
        <is>
          <t>Boolean</t>
        </is>
      </c>
      <c r="DU942" s="451" t="n"/>
      <c r="DV942" s="451">
        <f>'CIRCUIT SIM'!HT32</f>
        <v/>
      </c>
      <c r="DW942" s="451" t="n"/>
      <c r="DY942" s="429" t="n">
        <v>29</v>
      </c>
      <c r="DZ942" s="431" t="n">
        <v>29</v>
      </c>
      <c r="EA942" s="688" t="n"/>
      <c r="EB942" s="431" t="inlineStr">
        <is>
          <t>Boolean</t>
        </is>
      </c>
      <c r="EC942" s="451" t="n"/>
      <c r="ED942" s="335">
        <f>'CIRCUIT SIM'!GO32</f>
        <v/>
      </c>
      <c r="EE942" s="451" t="n"/>
      <c r="EG942" s="429" t="n">
        <v>29</v>
      </c>
      <c r="EH942" s="431" t="n">
        <v>29</v>
      </c>
      <c r="EI942" s="688" t="n"/>
      <c r="EJ942" s="431" t="inlineStr">
        <is>
          <t>Boolean</t>
        </is>
      </c>
      <c r="EK942" s="451" t="n"/>
      <c r="EL942" s="451">
        <f>'CIRCUIT SIM'!HD32</f>
        <v/>
      </c>
      <c r="EM942" s="451" t="n"/>
      <c r="EO942" s="429" t="n">
        <v>29</v>
      </c>
      <c r="EP942" s="431" t="n">
        <v>29</v>
      </c>
      <c r="EQ942" s="688" t="n"/>
      <c r="ER942" s="431" t="inlineStr">
        <is>
          <t>Boolean</t>
        </is>
      </c>
      <c r="ES942" s="451" t="n"/>
      <c r="ET942" s="451">
        <f>'CIRCUIT SIM'!HT32</f>
        <v/>
      </c>
      <c r="EU942" s="451" t="n"/>
      <c r="EW942" s="429" t="n">
        <v>29</v>
      </c>
      <c r="EX942" s="431" t="n">
        <v>29</v>
      </c>
      <c r="EY942" s="688" t="n"/>
      <c r="EZ942" s="431" t="inlineStr">
        <is>
          <t>Boolean</t>
        </is>
      </c>
      <c r="FA942" s="451" t="n"/>
      <c r="FB942" s="451">
        <f>'CIRCUIT SIM'!II32</f>
        <v/>
      </c>
      <c r="FC942" s="451" t="n"/>
      <c r="FE942" s="429" t="n">
        <v>29</v>
      </c>
      <c r="FF942" s="431" t="n">
        <v>29</v>
      </c>
      <c r="FG942" s="688" t="n"/>
      <c r="FH942" s="431" t="inlineStr">
        <is>
          <t>Boolean</t>
        </is>
      </c>
      <c r="FI942" s="451" t="n"/>
      <c r="FJ942" s="451">
        <f>'CIRCUIT SIM'!IU32</f>
        <v/>
      </c>
      <c r="FK942" s="451" t="n"/>
      <c r="FM942" s="429" t="n">
        <v>29</v>
      </c>
      <c r="FN942" s="431" t="n">
        <v>29</v>
      </c>
      <c r="FO942" s="688" t="n"/>
      <c r="FP942" s="431" t="n"/>
      <c r="FQ942" s="451" t="n"/>
      <c r="FR942" s="451">
        <f>'CIRCUIT SIM'!KY32</f>
        <v/>
      </c>
      <c r="FS942" s="451" t="n"/>
      <c r="FU942" s="429" t="n">
        <v>29</v>
      </c>
      <c r="FV942" s="431" t="n">
        <v>29</v>
      </c>
      <c r="FW942" s="688" t="n"/>
      <c r="FX942" s="431" t="inlineStr">
        <is>
          <t>Boolean</t>
        </is>
      </c>
      <c r="FY942" s="451" t="n"/>
      <c r="FZ942" s="562">
        <f>'CIRCUIT SIM'!JG32</f>
        <v/>
      </c>
      <c r="GA942" s="451" t="n"/>
      <c r="GC942" s="429" t="n">
        <v>29</v>
      </c>
      <c r="GD942" s="431" t="n">
        <v>29</v>
      </c>
      <c r="GE942" s="688" t="n"/>
      <c r="GF942" s="431" t="inlineStr">
        <is>
          <t>Boolean</t>
        </is>
      </c>
      <c r="GG942" s="451" t="n"/>
      <c r="GH942" s="451">
        <f>'CIRCUIT SIM'!JW32</f>
        <v/>
      </c>
      <c r="GI942" s="451" t="n"/>
      <c r="GK942" s="429" t="n">
        <v>29</v>
      </c>
      <c r="GL942" s="431" t="n">
        <v>29</v>
      </c>
      <c r="GM942" s="688" t="n"/>
      <c r="GN942" s="431" t="n"/>
      <c r="GO942" s="451" t="n"/>
      <c r="GP942" s="451">
        <f>'CIRCUIT SIM'!KI32</f>
        <v/>
      </c>
      <c r="GQ942" s="451" t="n"/>
      <c r="GS942" s="429" t="n">
        <v>29</v>
      </c>
      <c r="GT942" s="431" t="n">
        <v>29</v>
      </c>
      <c r="GU942" s="688" t="n"/>
      <c r="GV942" s="431" t="inlineStr">
        <is>
          <t>Boolean</t>
        </is>
      </c>
      <c r="GW942" s="451" t="n"/>
      <c r="GX942" s="451">
        <f>'CIRCUIT SIM'!KY32</f>
        <v/>
      </c>
      <c r="GY942" s="451" t="n"/>
      <c r="HA942" s="429" t="n">
        <v>29</v>
      </c>
      <c r="HB942" s="431" t="n">
        <v>29</v>
      </c>
      <c r="HC942" s="688" t="n"/>
      <c r="HD942" s="431" t="n"/>
      <c r="HE942" s="451" t="n"/>
      <c r="HF942" s="451" t="n"/>
      <c r="HG942" s="451" t="n"/>
    </row>
    <row r="943">
      <c r="A943" s="429" t="n">
        <v>30</v>
      </c>
      <c r="B943" s="431" t="n">
        <v>30</v>
      </c>
      <c r="C943" s="688" t="n"/>
      <c r="D943" s="431" t="inlineStr">
        <is>
          <t>Boolean</t>
        </is>
      </c>
      <c r="E943" s="429" t="n"/>
      <c r="F943" s="422">
        <f>'CIRCUIT SIM'!J33</f>
        <v/>
      </c>
      <c r="G943" s="429" t="n"/>
      <c r="I943" s="429" t="n">
        <v>30</v>
      </c>
      <c r="J943" s="431" t="n">
        <v>30</v>
      </c>
      <c r="K943" s="429" t="n"/>
      <c r="L943" s="431" t="inlineStr">
        <is>
          <t>Boolean</t>
        </is>
      </c>
      <c r="M943" s="451" t="n"/>
      <c r="N943" s="422">
        <f>'CIRCUIT SIM'!Y33</f>
        <v/>
      </c>
      <c r="O943" s="451" t="n"/>
      <c r="Q943" s="429" t="n">
        <v>30</v>
      </c>
      <c r="R943" s="431" t="n">
        <v>30</v>
      </c>
      <c r="S943" s="429" t="n"/>
      <c r="T943" s="431" t="inlineStr">
        <is>
          <t>Boolean</t>
        </is>
      </c>
      <c r="U943" s="429" t="n"/>
      <c r="V943" s="386">
        <f>'CIRCUIT SIM'!AO33</f>
        <v/>
      </c>
      <c r="W943" s="451" t="n"/>
      <c r="Y943" s="429" t="n">
        <v>30</v>
      </c>
      <c r="Z943" s="431" t="n">
        <v>30</v>
      </c>
      <c r="AA943" s="429" t="n"/>
      <c r="AB943" s="431" t="inlineStr">
        <is>
          <t>Boolean</t>
        </is>
      </c>
      <c r="AC943" s="451" t="n"/>
      <c r="AD943" s="562">
        <f>'CIRCUIT SIM'!BB33</f>
        <v/>
      </c>
      <c r="AE943" s="451" t="n"/>
      <c r="AG943" s="429" t="n">
        <v>30</v>
      </c>
      <c r="AH943" s="431" t="n">
        <v>30</v>
      </c>
      <c r="AI943" s="429" t="n"/>
      <c r="AJ943" s="431" t="inlineStr">
        <is>
          <t>Boolean</t>
        </is>
      </c>
      <c r="AK943" s="451" t="n"/>
      <c r="AL943" s="450">
        <f>'CIRCUIT SIM'!CR33</f>
        <v/>
      </c>
      <c r="AM943" s="451" t="n"/>
      <c r="AO943" s="429" t="n">
        <v>30</v>
      </c>
      <c r="AP943" s="431" t="n">
        <v>30</v>
      </c>
      <c r="AQ943" s="429" t="n"/>
      <c r="AR943" s="431" t="inlineStr">
        <is>
          <t>Boolean</t>
        </is>
      </c>
      <c r="AS943" s="451" t="n"/>
      <c r="AT943" s="386">
        <f>'CIRCUIT SIM'!BR33</f>
        <v/>
      </c>
      <c r="AU943" s="451" t="n"/>
      <c r="AW943" s="429" t="n">
        <v>30</v>
      </c>
      <c r="AX943" s="431" t="n">
        <v>30</v>
      </c>
      <c r="AY943" s="429" t="n"/>
      <c r="AZ943" s="431" t="inlineStr">
        <is>
          <t>Boolean</t>
        </is>
      </c>
      <c r="BA943" s="451" t="n"/>
      <c r="BB943" s="451">
        <f>'CIRCUIT SIM'!CG33</f>
        <v/>
      </c>
      <c r="BC943" s="451" t="n"/>
      <c r="BE943" s="429" t="n">
        <v>30</v>
      </c>
      <c r="BF943" s="431" t="n"/>
      <c r="BG943" s="429" t="n"/>
      <c r="BH943" s="431" t="n"/>
      <c r="BI943" s="451" t="n"/>
      <c r="BJ943" s="451" t="n"/>
      <c r="BK943" s="451" t="n"/>
      <c r="BM943" s="429" t="n">
        <v>30</v>
      </c>
      <c r="BN943" s="431" t="n">
        <v>30</v>
      </c>
      <c r="BO943" s="429" t="n"/>
      <c r="BP943" s="431" t="inlineStr">
        <is>
          <t>Boolean</t>
        </is>
      </c>
      <c r="BQ943" s="451" t="n"/>
      <c r="BR943" s="451">
        <f>'CIRCUIT SIM'!DT33</f>
        <v/>
      </c>
      <c r="BS943" s="451" t="n"/>
      <c r="BU943" s="429" t="n">
        <v>30</v>
      </c>
      <c r="BV943" s="431" t="n">
        <v>30</v>
      </c>
      <c r="BW943" s="429" t="n"/>
      <c r="BX943" s="431" t="inlineStr">
        <is>
          <t>Boolean</t>
        </is>
      </c>
      <c r="BY943" s="451" t="n"/>
      <c r="BZ943" s="451">
        <f>'CIRCUIT SIM'!EI33</f>
        <v/>
      </c>
      <c r="CA943" s="451" t="n"/>
      <c r="CC943" s="429" t="n">
        <v>30</v>
      </c>
      <c r="CD943" s="431" t="n">
        <v>30</v>
      </c>
      <c r="CE943" s="688" t="n"/>
      <c r="CF943" s="431" t="inlineStr">
        <is>
          <t>Boolean</t>
        </is>
      </c>
      <c r="CG943" s="451" t="n"/>
      <c r="CH943" s="562">
        <f>'CIRCUIT SIM'!LK33</f>
        <v/>
      </c>
      <c r="CI943" s="451" t="n"/>
      <c r="CK943" s="429" t="n">
        <v>30</v>
      </c>
      <c r="CL943" s="431" t="n">
        <v>30</v>
      </c>
      <c r="CM943" s="565" t="n">
        <v>29</v>
      </c>
      <c r="CN943" s="431" t="inlineStr">
        <is>
          <t>Boolean</t>
        </is>
      </c>
      <c r="CO943" s="451" t="n"/>
      <c r="CP943" s="451">
        <f>'CIRCUIT SIM'!MA33</f>
        <v/>
      </c>
      <c r="CQ943" s="451" t="n"/>
      <c r="CS943" s="429" t="n">
        <v>30</v>
      </c>
      <c r="CT943" s="431" t="n">
        <v>30</v>
      </c>
      <c r="CU943" s="688" t="n"/>
      <c r="CV943" s="431" t="inlineStr">
        <is>
          <t>Boolean</t>
        </is>
      </c>
      <c r="CW943" s="451" t="n"/>
      <c r="CX943" s="451">
        <f>'CIRCUIT SIM'!MQ33</f>
        <v/>
      </c>
      <c r="CY943" s="451" t="n"/>
      <c r="DA943" s="429" t="n">
        <v>30</v>
      </c>
      <c r="DB943" s="431" t="n">
        <v>30</v>
      </c>
      <c r="DC943" s="688" t="n"/>
      <c r="DD943" s="431" t="inlineStr">
        <is>
          <t>Boolean</t>
        </is>
      </c>
      <c r="DE943" s="451" t="n"/>
      <c r="DF943" s="451">
        <f>'CIRCUIT SIM'!EX33</f>
        <v/>
      </c>
      <c r="DG943" s="451" t="n"/>
      <c r="DI943" s="429" t="n">
        <v>30</v>
      </c>
      <c r="DJ943" s="431" t="n">
        <v>30</v>
      </c>
      <c r="DK943" s="688" t="n"/>
      <c r="DL943" s="431" t="inlineStr">
        <is>
          <t>Boolean</t>
        </is>
      </c>
      <c r="DM943" s="429" t="n"/>
      <c r="DN943" s="451">
        <f>'CIRCUIT SIM'!FN33</f>
        <v/>
      </c>
      <c r="DO943" s="451" t="n"/>
      <c r="DQ943" s="429" t="n">
        <v>30</v>
      </c>
      <c r="DR943" s="431" t="n">
        <v>30</v>
      </c>
      <c r="DS943" s="688" t="n"/>
      <c r="DT943" s="431" t="inlineStr">
        <is>
          <t>Boolean</t>
        </is>
      </c>
      <c r="DU943" s="451" t="n"/>
      <c r="DV943" s="451">
        <f>'CIRCUIT SIM'!HT33</f>
        <v/>
      </c>
      <c r="DW943" s="451" t="n"/>
      <c r="DY943" s="429" t="n">
        <v>30</v>
      </c>
      <c r="DZ943" s="431" t="n">
        <v>30</v>
      </c>
      <c r="EA943" s="688" t="n"/>
      <c r="EB943" s="431" t="inlineStr">
        <is>
          <t>Boolean</t>
        </is>
      </c>
      <c r="EC943" s="451" t="n"/>
      <c r="ED943" s="335">
        <f>'CIRCUIT SIM'!GO33</f>
        <v/>
      </c>
      <c r="EE943" s="451" t="n"/>
      <c r="EG943" s="429" t="n">
        <v>30</v>
      </c>
      <c r="EH943" s="431" t="n">
        <v>30</v>
      </c>
      <c r="EI943" s="688" t="n"/>
      <c r="EJ943" s="431" t="inlineStr">
        <is>
          <t>Boolean</t>
        </is>
      </c>
      <c r="EK943" s="451" t="n"/>
      <c r="EL943" s="451">
        <f>'CIRCUIT SIM'!HD33</f>
        <v/>
      </c>
      <c r="EM943" s="451" t="n"/>
      <c r="EO943" s="429" t="n">
        <v>30</v>
      </c>
      <c r="EP943" s="431" t="n">
        <v>30</v>
      </c>
      <c r="EQ943" s="688" t="n"/>
      <c r="ER943" s="431" t="inlineStr">
        <is>
          <t>Boolean</t>
        </is>
      </c>
      <c r="ES943" s="451" t="n"/>
      <c r="ET943" s="451">
        <f>'CIRCUIT SIM'!HT33</f>
        <v/>
      </c>
      <c r="EU943" s="451" t="n"/>
      <c r="EW943" s="429" t="n">
        <v>30</v>
      </c>
      <c r="EX943" s="431" t="n">
        <v>30</v>
      </c>
      <c r="EY943" s="688" t="n"/>
      <c r="EZ943" s="431" t="inlineStr">
        <is>
          <t>Boolean</t>
        </is>
      </c>
      <c r="FA943" s="451" t="n"/>
      <c r="FB943" s="451">
        <f>'CIRCUIT SIM'!II33</f>
        <v/>
      </c>
      <c r="FC943" s="451" t="n"/>
      <c r="FE943" s="429" t="n">
        <v>30</v>
      </c>
      <c r="FF943" s="431" t="n">
        <v>30</v>
      </c>
      <c r="FG943" s="688" t="n"/>
      <c r="FH943" s="431" t="inlineStr">
        <is>
          <t>Boolean</t>
        </is>
      </c>
      <c r="FI943" s="451" t="n"/>
      <c r="FJ943" s="451">
        <f>'CIRCUIT SIM'!IU33</f>
        <v/>
      </c>
      <c r="FK943" s="451" t="n"/>
      <c r="FM943" s="429" t="n">
        <v>30</v>
      </c>
      <c r="FN943" s="431" t="n">
        <v>30</v>
      </c>
      <c r="FO943" s="688" t="n"/>
      <c r="FP943" s="431" t="n"/>
      <c r="FQ943" s="451" t="n"/>
      <c r="FR943" s="451">
        <f>'CIRCUIT SIM'!KY33</f>
        <v/>
      </c>
      <c r="FS943" s="451" t="n"/>
      <c r="FU943" s="429" t="n">
        <v>30</v>
      </c>
      <c r="FV943" s="431" t="n">
        <v>30</v>
      </c>
      <c r="FW943" s="688" t="n"/>
      <c r="FX943" s="431" t="inlineStr">
        <is>
          <t>Boolean</t>
        </is>
      </c>
      <c r="FY943" s="451" t="n"/>
      <c r="FZ943" s="562">
        <f>'CIRCUIT SIM'!JG33</f>
        <v/>
      </c>
      <c r="GA943" s="451" t="n"/>
      <c r="GC943" s="429" t="n">
        <v>30</v>
      </c>
      <c r="GD943" s="431" t="n">
        <v>30</v>
      </c>
      <c r="GE943" s="688" t="n"/>
      <c r="GF943" s="431" t="inlineStr">
        <is>
          <t>Boolean</t>
        </is>
      </c>
      <c r="GG943" s="451" t="n"/>
      <c r="GH943" s="451">
        <f>'CIRCUIT SIM'!JW33</f>
        <v/>
      </c>
      <c r="GI943" s="451" t="n"/>
      <c r="GK943" s="429" t="n">
        <v>30</v>
      </c>
      <c r="GL943" s="431" t="n">
        <v>30</v>
      </c>
      <c r="GM943" s="688" t="n"/>
      <c r="GN943" s="431" t="n"/>
      <c r="GO943" s="451" t="n"/>
      <c r="GP943" s="451">
        <f>'CIRCUIT SIM'!KI33</f>
        <v/>
      </c>
      <c r="GQ943" s="451" t="inlineStr">
        <is>
          <t> </t>
        </is>
      </c>
      <c r="GS943" s="429" t="n">
        <v>30</v>
      </c>
      <c r="GT943" s="431" t="n">
        <v>30</v>
      </c>
      <c r="GU943" s="688" t="n"/>
      <c r="GV943" s="431" t="inlineStr">
        <is>
          <t>Boolean</t>
        </is>
      </c>
      <c r="GW943" s="451" t="n"/>
      <c r="GX943" s="451">
        <f>'CIRCUIT SIM'!KY33</f>
        <v/>
      </c>
      <c r="GY943" s="451" t="n"/>
      <c r="HA943" s="429" t="n">
        <v>30</v>
      </c>
      <c r="HB943" s="431" t="n">
        <v>30</v>
      </c>
      <c r="HC943" s="688" t="n"/>
      <c r="HD943" s="431" t="n"/>
      <c r="HE943" s="451" t="n"/>
      <c r="HF943" s="451" t="n"/>
      <c r="HG943" s="451" t="n"/>
    </row>
    <row r="944">
      <c r="A944" s="429" t="n">
        <v>31</v>
      </c>
      <c r="B944" s="431" t="n">
        <v>31</v>
      </c>
      <c r="C944" s="688" t="n"/>
      <c r="D944" s="431" t="inlineStr">
        <is>
          <t>Boolean</t>
        </is>
      </c>
      <c r="E944" s="429" t="n"/>
      <c r="F944" s="422">
        <f>'CIRCUIT SIM'!J34</f>
        <v/>
      </c>
      <c r="G944" s="429" t="n"/>
      <c r="I944" s="429" t="n">
        <v>31</v>
      </c>
      <c r="J944" s="431" t="n">
        <v>31</v>
      </c>
      <c r="K944" s="429" t="n"/>
      <c r="L944" s="431" t="inlineStr">
        <is>
          <t>Boolean</t>
        </is>
      </c>
      <c r="M944" s="451" t="n"/>
      <c r="N944" s="422">
        <f>'CIRCUIT SIM'!Y34</f>
        <v/>
      </c>
      <c r="O944" s="451" t="n"/>
      <c r="Q944" s="429" t="n">
        <v>31</v>
      </c>
      <c r="R944" s="431" t="n">
        <v>31</v>
      </c>
      <c r="S944" s="429" t="n"/>
      <c r="T944" s="431" t="inlineStr">
        <is>
          <t>Boolean</t>
        </is>
      </c>
      <c r="U944" s="429" t="n"/>
      <c r="V944" s="386">
        <f>'CIRCUIT SIM'!AO34</f>
        <v/>
      </c>
      <c r="W944" s="451" t="n"/>
      <c r="Y944" s="429" t="n">
        <v>31</v>
      </c>
      <c r="Z944" s="431" t="n">
        <v>31</v>
      </c>
      <c r="AA944" s="429" t="n"/>
      <c r="AB944" s="431" t="inlineStr">
        <is>
          <t>Boolean</t>
        </is>
      </c>
      <c r="AC944" s="451" t="n"/>
      <c r="AD944" s="562">
        <f>'CIRCUIT SIM'!BB34</f>
        <v/>
      </c>
      <c r="AE944" s="451" t="n"/>
      <c r="AG944" s="429" t="n">
        <v>31</v>
      </c>
      <c r="AH944" s="431" t="n">
        <v>31</v>
      </c>
      <c r="AI944" s="429" t="n"/>
      <c r="AJ944" s="431" t="inlineStr">
        <is>
          <t>Boolean</t>
        </is>
      </c>
      <c r="AK944" s="451" t="n"/>
      <c r="AL944" s="450">
        <f>'CIRCUIT SIM'!CR34</f>
        <v/>
      </c>
      <c r="AM944" s="451" t="n"/>
      <c r="AO944" s="429" t="n">
        <v>31</v>
      </c>
      <c r="AP944" s="431" t="n">
        <v>31</v>
      </c>
      <c r="AQ944" s="429" t="n"/>
      <c r="AR944" s="431" t="inlineStr">
        <is>
          <t>Boolean</t>
        </is>
      </c>
      <c r="AS944" s="451" t="n"/>
      <c r="AT944" s="386">
        <f>'CIRCUIT SIM'!BR34</f>
        <v/>
      </c>
      <c r="AU944" s="451" t="n"/>
      <c r="AW944" s="429" t="n">
        <v>31</v>
      </c>
      <c r="AX944" s="431" t="n">
        <v>31</v>
      </c>
      <c r="AY944" s="429" t="n"/>
      <c r="AZ944" s="431" t="inlineStr">
        <is>
          <t>Boolean</t>
        </is>
      </c>
      <c r="BA944" s="451" t="n"/>
      <c r="BB944" s="451">
        <f>'CIRCUIT SIM'!CG34</f>
        <v/>
      </c>
      <c r="BC944" s="451" t="n"/>
      <c r="BE944" s="429" t="n">
        <v>31</v>
      </c>
      <c r="BF944" s="431" t="n"/>
      <c r="BG944" s="429" t="n"/>
      <c r="BH944" s="431" t="n"/>
      <c r="BI944" s="451" t="n"/>
      <c r="BJ944" s="451" t="n"/>
      <c r="BK944" s="451" t="n"/>
      <c r="BM944" s="429" t="n">
        <v>31</v>
      </c>
      <c r="BN944" s="431" t="n">
        <v>31</v>
      </c>
      <c r="BO944" s="429" t="n"/>
      <c r="BP944" s="431" t="inlineStr">
        <is>
          <t>Boolean</t>
        </is>
      </c>
      <c r="BQ944" s="451" t="n"/>
      <c r="BR944" s="451">
        <f>'CIRCUIT SIM'!DT34</f>
        <v/>
      </c>
      <c r="BS944" s="451" t="n"/>
      <c r="BU944" s="429" t="n">
        <v>31</v>
      </c>
      <c r="BV944" s="431" t="n">
        <v>31</v>
      </c>
      <c r="BW944" s="429" t="n"/>
      <c r="BX944" s="431" t="inlineStr">
        <is>
          <t>Boolean</t>
        </is>
      </c>
      <c r="BY944" s="451" t="n"/>
      <c r="BZ944" s="451">
        <f>'CIRCUIT SIM'!EI34</f>
        <v/>
      </c>
      <c r="CA944" s="451" t="n"/>
      <c r="CC944" s="429" t="n">
        <v>31</v>
      </c>
      <c r="CD944" s="431" t="n">
        <v>31</v>
      </c>
      <c r="CE944" s="688" t="n"/>
      <c r="CF944" s="431" t="inlineStr">
        <is>
          <t>Boolean</t>
        </is>
      </c>
      <c r="CG944" s="451" t="n"/>
      <c r="CH944" s="562">
        <f>'CIRCUIT SIM'!LK34</f>
        <v/>
      </c>
      <c r="CI944" s="451" t="n"/>
      <c r="CK944" s="429" t="n">
        <v>31</v>
      </c>
      <c r="CL944" s="431" t="n">
        <v>31</v>
      </c>
      <c r="CM944" s="565" t="n">
        <v>30</v>
      </c>
      <c r="CN944" s="431" t="inlineStr">
        <is>
          <t>Boolean</t>
        </is>
      </c>
      <c r="CO944" s="451" t="n"/>
      <c r="CP944" s="451">
        <f>'CIRCUIT SIM'!MA34</f>
        <v/>
      </c>
      <c r="CQ944" s="451" t="n"/>
      <c r="CS944" s="429" t="n">
        <v>31</v>
      </c>
      <c r="CT944" s="431" t="n">
        <v>31</v>
      </c>
      <c r="CU944" s="688" t="n"/>
      <c r="CV944" s="431" t="inlineStr">
        <is>
          <t>Boolean</t>
        </is>
      </c>
      <c r="CW944" s="451" t="n"/>
      <c r="CX944" s="451">
        <f>'CIRCUIT SIM'!MQ34</f>
        <v/>
      </c>
      <c r="CY944" s="451" t="n"/>
      <c r="DA944" s="429" t="n">
        <v>31</v>
      </c>
      <c r="DB944" s="431" t="n">
        <v>31</v>
      </c>
      <c r="DC944" s="688" t="n"/>
      <c r="DD944" s="431" t="inlineStr">
        <is>
          <t>Boolean</t>
        </is>
      </c>
      <c r="DE944" s="451" t="n"/>
      <c r="DF944" s="451">
        <f>'CIRCUIT SIM'!EX34</f>
        <v/>
      </c>
      <c r="DG944" s="451" t="n"/>
      <c r="DI944" s="429" t="n">
        <v>31</v>
      </c>
      <c r="DJ944" s="431" t="n">
        <v>31</v>
      </c>
      <c r="DK944" s="688" t="n"/>
      <c r="DL944" s="431" t="inlineStr">
        <is>
          <t>Boolean</t>
        </is>
      </c>
      <c r="DM944" s="429" t="n"/>
      <c r="DN944" s="451">
        <f>'CIRCUIT SIM'!FN34</f>
        <v/>
      </c>
      <c r="DO944" s="451" t="n"/>
      <c r="DQ944" s="429" t="n">
        <v>31</v>
      </c>
      <c r="DR944" s="431" t="n">
        <v>31</v>
      </c>
      <c r="DS944" s="688" t="n"/>
      <c r="DT944" s="431" t="inlineStr">
        <is>
          <t>Boolean</t>
        </is>
      </c>
      <c r="DU944" s="451" t="n"/>
      <c r="DV944" s="451">
        <f>'CIRCUIT SIM'!HT34</f>
        <v/>
      </c>
      <c r="DW944" s="451" t="n"/>
      <c r="DY944" s="429" t="n">
        <v>31</v>
      </c>
      <c r="DZ944" s="431" t="n">
        <v>31</v>
      </c>
      <c r="EA944" s="688" t="n"/>
      <c r="EB944" s="431" t="inlineStr">
        <is>
          <t>Boolean</t>
        </is>
      </c>
      <c r="EC944" s="451" t="n"/>
      <c r="ED944" s="335">
        <f>'CIRCUIT SIM'!GO34</f>
        <v/>
      </c>
      <c r="EE944" s="451" t="n"/>
      <c r="EG944" s="429" t="n">
        <v>31</v>
      </c>
      <c r="EH944" s="431" t="n">
        <v>31</v>
      </c>
      <c r="EI944" s="688" t="n"/>
      <c r="EJ944" s="431" t="inlineStr">
        <is>
          <t>Boolean</t>
        </is>
      </c>
      <c r="EK944" s="451" t="n"/>
      <c r="EL944" s="451">
        <f>'CIRCUIT SIM'!HD34</f>
        <v/>
      </c>
      <c r="EM944" s="451" t="n"/>
      <c r="EO944" s="429" t="n">
        <v>31</v>
      </c>
      <c r="EP944" s="431" t="n">
        <v>31</v>
      </c>
      <c r="EQ944" s="688" t="n"/>
      <c r="ER944" s="431" t="inlineStr">
        <is>
          <t>Boolean</t>
        </is>
      </c>
      <c r="ES944" s="451" t="n"/>
      <c r="ET944" s="451">
        <f>'CIRCUIT SIM'!HT34</f>
        <v/>
      </c>
      <c r="EU944" s="451" t="n"/>
      <c r="EW944" s="429" t="n">
        <v>31</v>
      </c>
      <c r="EX944" s="431" t="n">
        <v>31</v>
      </c>
      <c r="EY944" s="688" t="n"/>
      <c r="EZ944" s="431" t="n"/>
      <c r="FA944" s="451" t="n"/>
      <c r="FB944" s="451">
        <f>'CIRCUIT SIM'!II34</f>
        <v/>
      </c>
      <c r="FC944" s="451" t="n"/>
      <c r="FE944" s="429" t="n">
        <v>31</v>
      </c>
      <c r="FF944" s="431" t="n">
        <v>31</v>
      </c>
      <c r="FG944" s="688" t="n"/>
      <c r="FH944" s="431" t="inlineStr">
        <is>
          <t>Boolean</t>
        </is>
      </c>
      <c r="FI944" s="451" t="n"/>
      <c r="FJ944" s="451">
        <f>'CIRCUIT SIM'!IU34</f>
        <v/>
      </c>
      <c r="FK944" s="451" t="n"/>
      <c r="FM944" s="429" t="n">
        <v>31</v>
      </c>
      <c r="FN944" s="431" t="n">
        <v>31</v>
      </c>
      <c r="FO944" s="688" t="n"/>
      <c r="FP944" s="431" t="n"/>
      <c r="FQ944" s="451" t="n"/>
      <c r="FR944" s="451">
        <f>'CIRCUIT SIM'!KY34</f>
        <v/>
      </c>
      <c r="FS944" s="451" t="n"/>
      <c r="FU944" s="429" t="n">
        <v>31</v>
      </c>
      <c r="FV944" s="431" t="n">
        <v>31</v>
      </c>
      <c r="FW944" s="688" t="n"/>
      <c r="FX944" s="431" t="inlineStr">
        <is>
          <t>Boolean</t>
        </is>
      </c>
      <c r="FY944" s="451" t="n"/>
      <c r="FZ944" s="562">
        <f>'CIRCUIT SIM'!JG34</f>
        <v/>
      </c>
      <c r="GA944" s="451" t="n"/>
      <c r="GC944" s="429" t="n">
        <v>31</v>
      </c>
      <c r="GD944" s="431" t="n">
        <v>31</v>
      </c>
      <c r="GE944" s="688" t="n"/>
      <c r="GF944" s="431" t="inlineStr">
        <is>
          <t>Boolean</t>
        </is>
      </c>
      <c r="GG944" s="451" t="n"/>
      <c r="GH944" s="451">
        <f>'CIRCUIT SIM'!JW34</f>
        <v/>
      </c>
      <c r="GI944" s="451" t="n"/>
      <c r="GK944" s="429" t="n">
        <v>31</v>
      </c>
      <c r="GL944" s="431" t="n">
        <v>31</v>
      </c>
      <c r="GM944" s="688" t="n"/>
      <c r="GN944" s="431" t="n"/>
      <c r="GO944" s="451" t="inlineStr">
        <is>
          <t> </t>
        </is>
      </c>
      <c r="GP944" s="451">
        <f>'CIRCUIT SIM'!KI34</f>
        <v/>
      </c>
      <c r="GQ944" s="451" t="n"/>
      <c r="GS944" s="429" t="n">
        <v>31</v>
      </c>
      <c r="GT944" s="431" t="n">
        <v>31</v>
      </c>
      <c r="GU944" s="688" t="n"/>
      <c r="GV944" s="431" t="inlineStr">
        <is>
          <t>Boolean</t>
        </is>
      </c>
      <c r="GW944" s="451" t="n"/>
      <c r="GX944" s="451">
        <f>'CIRCUIT SIM'!KY34</f>
        <v/>
      </c>
      <c r="GY944" s="451" t="n"/>
      <c r="HA944" s="429" t="n">
        <v>31</v>
      </c>
      <c r="HB944" s="431" t="n">
        <v>31</v>
      </c>
      <c r="HC944" s="688" t="n"/>
      <c r="HD944" s="431" t="n"/>
      <c r="HE944" s="451" t="n"/>
      <c r="HF944" s="451" t="n"/>
      <c r="HG944" s="451" t="n"/>
    </row>
    <row r="945" ht="15.75" customHeight="1">
      <c r="A945" s="429" t="n">
        <v>32</v>
      </c>
      <c r="B945" s="431" t="n">
        <v>32</v>
      </c>
      <c r="C945" s="688" t="n"/>
      <c r="D945" s="431" t="inlineStr">
        <is>
          <t>Boolean</t>
        </is>
      </c>
      <c r="E945" s="429" t="n"/>
      <c r="F945" s="422">
        <f>'CIRCUIT SIM'!J35</f>
        <v/>
      </c>
      <c r="G945" s="429" t="n"/>
      <c r="I945" s="429" t="n">
        <v>32</v>
      </c>
      <c r="J945" s="431" t="n">
        <v>32</v>
      </c>
      <c r="K945" s="429" t="n"/>
      <c r="L945" s="431" t="inlineStr">
        <is>
          <t>Boolean</t>
        </is>
      </c>
      <c r="M945" s="451" t="n"/>
      <c r="N945" s="422">
        <f>'CIRCUIT SIM'!Y35</f>
        <v/>
      </c>
      <c r="O945" s="451" t="n"/>
      <c r="Q945" s="429" t="n">
        <v>32</v>
      </c>
      <c r="R945" s="431" t="n">
        <v>32</v>
      </c>
      <c r="S945" s="429" t="n"/>
      <c r="T945" s="431" t="inlineStr">
        <is>
          <t>Boolean</t>
        </is>
      </c>
      <c r="U945" s="429" t="n"/>
      <c r="V945" s="386">
        <f>'CIRCUIT SIM'!AO35</f>
        <v/>
      </c>
      <c r="W945" s="451" t="n"/>
      <c r="Y945" s="429" t="n">
        <v>32</v>
      </c>
      <c r="Z945" s="431" t="n">
        <v>32</v>
      </c>
      <c r="AA945" s="429" t="n"/>
      <c r="AB945" s="431" t="n"/>
      <c r="AC945" s="451" t="n"/>
      <c r="AD945" s="562">
        <f>'CIRCUIT SIM'!BB35</f>
        <v/>
      </c>
      <c r="AE945" s="451" t="n"/>
      <c r="AG945" s="429" t="n">
        <v>32</v>
      </c>
      <c r="AH945" s="431" t="n">
        <v>32</v>
      </c>
      <c r="AI945" s="429" t="n"/>
      <c r="AJ945" s="431" t="inlineStr">
        <is>
          <t>Boolean</t>
        </is>
      </c>
      <c r="AK945" s="451" t="n"/>
      <c r="AL945" s="450">
        <f>'CIRCUIT SIM'!CR35</f>
        <v/>
      </c>
      <c r="AM945" s="451" t="n"/>
      <c r="AO945" s="429" t="n">
        <v>32</v>
      </c>
      <c r="AP945" s="431" t="n">
        <v>32</v>
      </c>
      <c r="AQ945" s="429" t="n"/>
      <c r="AR945" s="431" t="inlineStr">
        <is>
          <t>Boolean</t>
        </is>
      </c>
      <c r="AS945" s="451" t="n"/>
      <c r="AT945" s="386">
        <f>'CIRCUIT SIM'!BR35</f>
        <v/>
      </c>
      <c r="AU945" s="451" t="n"/>
      <c r="AW945" s="429" t="n">
        <v>32</v>
      </c>
      <c r="AX945" s="431" t="n">
        <v>32</v>
      </c>
      <c r="AY945" s="429" t="n"/>
      <c r="AZ945" s="431" t="inlineStr">
        <is>
          <t>Boolean</t>
        </is>
      </c>
      <c r="BA945" s="451" t="n"/>
      <c r="BB945" s="451">
        <f>'CIRCUIT SIM'!CG35</f>
        <v/>
      </c>
      <c r="BC945" s="451" t="n"/>
      <c r="BD945" s="335" t="inlineStr">
        <is>
          <t> </t>
        </is>
      </c>
      <c r="BE945" s="429" t="n">
        <v>32</v>
      </c>
      <c r="BF945" s="431" t="n"/>
      <c r="BG945" s="429" t="n"/>
      <c r="BH945" s="431" t="n"/>
      <c r="BI945" s="451" t="n"/>
      <c r="BJ945" s="451" t="n"/>
      <c r="BK945" s="451" t="n"/>
      <c r="BM945" s="429" t="n">
        <v>32</v>
      </c>
      <c r="BN945" s="431" t="n">
        <v>32</v>
      </c>
      <c r="BO945" s="429" t="n"/>
      <c r="BP945" s="431" t="inlineStr">
        <is>
          <t>Boolean</t>
        </is>
      </c>
      <c r="BQ945" s="451" t="n"/>
      <c r="BR945" s="451">
        <f>'CIRCUIT SIM'!DT35</f>
        <v/>
      </c>
      <c r="BS945" s="451" t="n"/>
      <c r="BU945" s="429" t="n">
        <v>32</v>
      </c>
      <c r="BV945" s="431" t="n">
        <v>32</v>
      </c>
      <c r="BW945" s="429" t="n"/>
      <c r="BX945" s="431" t="inlineStr">
        <is>
          <t>Boolean</t>
        </is>
      </c>
      <c r="BY945" s="451" t="n"/>
      <c r="BZ945" s="451">
        <f>'CIRCUIT SIM'!EI35</f>
        <v/>
      </c>
      <c r="CA945" s="451" t="n"/>
      <c r="CC945" s="429" t="n">
        <v>32</v>
      </c>
      <c r="CD945" s="431" t="n">
        <v>32</v>
      </c>
      <c r="CE945" s="688" t="n"/>
      <c r="CF945" s="431" t="inlineStr">
        <is>
          <t>Boolean</t>
        </is>
      </c>
      <c r="CG945" s="451" t="n"/>
      <c r="CH945" s="562">
        <f>'CIRCUIT SIM'!LK35</f>
        <v/>
      </c>
      <c r="CI945" s="451" t="n"/>
      <c r="CK945" s="429" t="n">
        <v>32</v>
      </c>
      <c r="CL945" s="431" t="n">
        <v>32</v>
      </c>
      <c r="CM945" s="565" t="n">
        <v>31</v>
      </c>
      <c r="CN945" s="431" t="inlineStr">
        <is>
          <t>Boolean</t>
        </is>
      </c>
      <c r="CO945" s="451" t="n"/>
      <c r="CP945" s="451">
        <f>'CIRCUIT SIM'!MA35</f>
        <v/>
      </c>
      <c r="CQ945" s="451" t="n"/>
      <c r="CS945" s="429" t="n">
        <v>32</v>
      </c>
      <c r="CT945" s="431" t="n">
        <v>32</v>
      </c>
      <c r="CU945" s="688" t="n"/>
      <c r="CV945" s="431" t="inlineStr">
        <is>
          <t>Boolean</t>
        </is>
      </c>
      <c r="CW945" s="451" t="n"/>
      <c r="CX945" s="451">
        <f>'CIRCUIT SIM'!MQ35</f>
        <v/>
      </c>
      <c r="CY945" s="451" t="n"/>
      <c r="DA945" s="429" t="n">
        <v>32</v>
      </c>
      <c r="DB945" s="431" t="n">
        <v>32</v>
      </c>
      <c r="DC945" s="688" t="n"/>
      <c r="DD945" s="431" t="inlineStr">
        <is>
          <t>Boolean</t>
        </is>
      </c>
      <c r="DE945" s="451" t="n"/>
      <c r="DF945" s="451">
        <f>'CIRCUIT SIM'!EX35</f>
        <v/>
      </c>
      <c r="DG945" s="451" t="n"/>
      <c r="DI945" s="429" t="n">
        <v>32</v>
      </c>
      <c r="DJ945" s="431" t="n">
        <v>32</v>
      </c>
      <c r="DK945" s="688" t="n"/>
      <c r="DL945" s="431" t="inlineStr">
        <is>
          <t>Boolean</t>
        </is>
      </c>
      <c r="DM945" s="429" t="n"/>
      <c r="DN945" s="451">
        <f>'CIRCUIT SIM'!FN35</f>
        <v/>
      </c>
      <c r="DO945" s="451" t="n"/>
      <c r="DQ945" s="429" t="n">
        <v>32</v>
      </c>
      <c r="DR945" s="431" t="n">
        <v>32</v>
      </c>
      <c r="DS945" s="688" t="n"/>
      <c r="DT945" s="431" t="inlineStr">
        <is>
          <t>Boolean</t>
        </is>
      </c>
      <c r="DU945" s="451" t="n"/>
      <c r="DV945" s="451">
        <f>'CIRCUIT SIM'!HT35</f>
        <v/>
      </c>
      <c r="DW945" s="451" t="n"/>
      <c r="DY945" s="429" t="n">
        <v>32</v>
      </c>
      <c r="DZ945" s="431" t="n">
        <v>32</v>
      </c>
      <c r="EA945" s="688" t="n"/>
      <c r="EB945" s="431" t="inlineStr">
        <is>
          <t>Boolean</t>
        </is>
      </c>
      <c r="EC945" s="451" t="n"/>
      <c r="ED945" s="335">
        <f>'CIRCUIT SIM'!GO35</f>
        <v/>
      </c>
      <c r="EE945" s="451" t="n"/>
      <c r="EF945" s="335" t="inlineStr">
        <is>
          <t> </t>
        </is>
      </c>
      <c r="EG945" s="429" t="n">
        <v>32</v>
      </c>
      <c r="EH945" s="431" t="n">
        <v>32</v>
      </c>
      <c r="EI945" s="688" t="n"/>
      <c r="EJ945" s="431" t="inlineStr">
        <is>
          <t>Boolean</t>
        </is>
      </c>
      <c r="EK945" s="451" t="n"/>
      <c r="EL945" s="451">
        <f>'CIRCUIT SIM'!HD35</f>
        <v/>
      </c>
      <c r="EM945" s="451" t="n"/>
      <c r="EO945" s="429" t="n">
        <v>32</v>
      </c>
      <c r="EP945" s="431" t="n">
        <v>32</v>
      </c>
      <c r="EQ945" s="688" t="n"/>
      <c r="ER945" s="431" t="inlineStr">
        <is>
          <t>Boolean</t>
        </is>
      </c>
      <c r="ES945" s="451" t="n"/>
      <c r="ET945" s="451">
        <f>'CIRCUIT SIM'!HT35</f>
        <v/>
      </c>
      <c r="EU945" s="451" t="n"/>
      <c r="EW945" s="429" t="n">
        <v>32</v>
      </c>
      <c r="EX945" s="431" t="n">
        <v>32</v>
      </c>
      <c r="EY945" s="688" t="n"/>
      <c r="EZ945" s="431" t="n"/>
      <c r="FA945" s="451" t="n"/>
      <c r="FB945" s="451">
        <f>'CIRCUIT SIM'!II35</f>
        <v/>
      </c>
      <c r="FC945" s="451" t="n"/>
      <c r="FE945" s="429" t="n">
        <v>32</v>
      </c>
      <c r="FF945" s="431" t="n">
        <v>32</v>
      </c>
      <c r="FG945" s="688" t="n"/>
      <c r="FH945" s="431" t="inlineStr">
        <is>
          <t>Boolean</t>
        </is>
      </c>
      <c r="FI945" s="451" t="n"/>
      <c r="FJ945" s="451">
        <f>'CIRCUIT SIM'!IU35</f>
        <v/>
      </c>
      <c r="FK945" s="451" t="n"/>
      <c r="FM945" s="429" t="n">
        <v>32</v>
      </c>
      <c r="FN945" s="431" t="n">
        <v>32</v>
      </c>
      <c r="FO945" s="688" t="n"/>
      <c r="FP945" s="431" t="n"/>
      <c r="FQ945" s="451" t="n"/>
      <c r="FR945" s="451">
        <f>'CIRCUIT SIM'!KY35</f>
        <v/>
      </c>
      <c r="FS945" s="451" t="n"/>
      <c r="FU945" s="429" t="n">
        <v>32</v>
      </c>
      <c r="FV945" s="431" t="n">
        <v>32</v>
      </c>
      <c r="FW945" s="688" t="n"/>
      <c r="FX945" s="431" t="inlineStr">
        <is>
          <t>Boolean</t>
        </is>
      </c>
      <c r="FY945" s="451" t="n"/>
      <c r="FZ945" s="562">
        <f>'CIRCUIT SIM'!JG35</f>
        <v/>
      </c>
      <c r="GA945" s="451" t="n"/>
      <c r="GC945" s="429" t="n">
        <v>32</v>
      </c>
      <c r="GD945" s="431" t="n">
        <v>32</v>
      </c>
      <c r="GE945" s="688" t="n"/>
      <c r="GF945" s="431" t="inlineStr">
        <is>
          <t>Boolean</t>
        </is>
      </c>
      <c r="GG945" s="451" t="n"/>
      <c r="GH945" s="451">
        <f>'CIRCUIT SIM'!JW35</f>
        <v/>
      </c>
      <c r="GI945" s="451" t="n"/>
      <c r="GK945" s="429" t="n">
        <v>32</v>
      </c>
      <c r="GL945" s="431" t="n">
        <v>32</v>
      </c>
      <c r="GM945" s="688" t="n"/>
      <c r="GN945" s="431" t="n"/>
      <c r="GO945" s="451" t="n"/>
      <c r="GP945" s="451">
        <f>'CIRCUIT SIM'!KI35</f>
        <v/>
      </c>
      <c r="GQ945" s="451" t="n"/>
      <c r="GS945" s="429" t="n">
        <v>32</v>
      </c>
      <c r="GT945" s="431" t="n">
        <v>32</v>
      </c>
      <c r="GU945" s="688" t="n"/>
      <c r="GV945" s="431" t="inlineStr">
        <is>
          <t>Boolean</t>
        </is>
      </c>
      <c r="GW945" s="451" t="n"/>
      <c r="GX945" s="451">
        <f>'CIRCUIT SIM'!KY35</f>
        <v/>
      </c>
      <c r="GY945" s="451" t="n"/>
      <c r="HA945" s="429" t="n">
        <v>32</v>
      </c>
      <c r="HB945" s="431" t="n">
        <v>32</v>
      </c>
      <c r="HC945" s="688" t="n"/>
      <c r="HD945" s="431" t="n"/>
      <c r="HE945" s="451" t="n"/>
      <c r="HF945" s="451" t="n"/>
      <c r="HG945" s="451" t="n"/>
    </row>
    <row r="946">
      <c r="A946" s="429" t="n">
        <v>33</v>
      </c>
      <c r="B946" s="431" t="n">
        <v>33</v>
      </c>
      <c r="C946" s="688" t="n"/>
      <c r="D946" s="431" t="inlineStr">
        <is>
          <t>Boolean</t>
        </is>
      </c>
      <c r="E946" s="429" t="n"/>
      <c r="F946" s="422">
        <f>'CIRCUIT SIM'!J36</f>
        <v/>
      </c>
      <c r="G946" s="429" t="n"/>
      <c r="I946" s="429" t="n">
        <v>33</v>
      </c>
      <c r="J946" s="431" t="n">
        <v>33</v>
      </c>
      <c r="K946" s="429" t="n"/>
      <c r="L946" s="431" t="inlineStr">
        <is>
          <t>Boolean</t>
        </is>
      </c>
      <c r="M946" s="451" t="n"/>
      <c r="N946" s="422">
        <f>'CIRCUIT SIM'!Y36</f>
        <v/>
      </c>
      <c r="O946" s="451" t="n"/>
      <c r="Q946" s="429" t="n">
        <v>33</v>
      </c>
      <c r="R946" s="431" t="n">
        <v>33</v>
      </c>
      <c r="S946" s="429" t="n"/>
      <c r="T946" s="431" t="inlineStr">
        <is>
          <t>Boolean</t>
        </is>
      </c>
      <c r="U946" s="429" t="n"/>
      <c r="V946" s="386">
        <f>'CIRCUIT SIM'!AO36</f>
        <v/>
      </c>
      <c r="W946" s="451" t="n"/>
      <c r="Y946" s="429" t="n">
        <v>33</v>
      </c>
      <c r="Z946" s="431" t="n">
        <v>33</v>
      </c>
      <c r="AA946" s="429" t="n"/>
      <c r="AB946" s="431" t="n"/>
      <c r="AC946" s="451" t="n"/>
      <c r="AD946" s="562">
        <f>'CIRCUIT SIM'!BB36</f>
        <v/>
      </c>
      <c r="AE946" s="451" t="n"/>
      <c r="AG946" s="429" t="n">
        <v>33</v>
      </c>
      <c r="AH946" s="431" t="n">
        <v>33</v>
      </c>
      <c r="AI946" s="429" t="n"/>
      <c r="AJ946" s="431" t="inlineStr">
        <is>
          <t>Boolean</t>
        </is>
      </c>
      <c r="AK946" s="451" t="n"/>
      <c r="AL946" s="450">
        <f>'CIRCUIT SIM'!CR36</f>
        <v/>
      </c>
      <c r="AM946" s="451" t="n"/>
      <c r="AO946" s="429" t="n">
        <v>33</v>
      </c>
      <c r="AP946" s="431" t="n">
        <v>33</v>
      </c>
      <c r="AQ946" s="429" t="n"/>
      <c r="AR946" s="431" t="inlineStr">
        <is>
          <t>Boolean</t>
        </is>
      </c>
      <c r="AS946" s="451" t="n"/>
      <c r="AT946" s="386">
        <f>'CIRCUIT SIM'!BR36</f>
        <v/>
      </c>
      <c r="AU946" s="451" t="n"/>
      <c r="AW946" s="429" t="n">
        <v>33</v>
      </c>
      <c r="AX946" s="431" t="n">
        <v>33</v>
      </c>
      <c r="AY946" s="429" t="n"/>
      <c r="AZ946" s="431" t="inlineStr">
        <is>
          <t>Boolean</t>
        </is>
      </c>
      <c r="BA946" s="451" t="n"/>
      <c r="BB946" s="451">
        <f>'CIRCUIT SIM'!CG36</f>
        <v/>
      </c>
      <c r="BC946" s="451" t="n"/>
      <c r="BE946" s="429" t="n">
        <v>33</v>
      </c>
      <c r="BF946" s="431" t="n"/>
      <c r="BG946" s="429" t="n"/>
      <c r="BH946" s="431" t="n"/>
      <c r="BI946" s="451" t="n"/>
      <c r="BJ946" s="451" t="n"/>
      <c r="BK946" s="451" t="n"/>
      <c r="BM946" s="429" t="n">
        <v>33</v>
      </c>
      <c r="BN946" s="431" t="n">
        <v>33</v>
      </c>
      <c r="BO946" s="429" t="n"/>
      <c r="BP946" s="431" t="inlineStr">
        <is>
          <t>Boolean</t>
        </is>
      </c>
      <c r="BQ946" s="451" t="n"/>
      <c r="BR946" s="451">
        <f>'CIRCUIT SIM'!DT36</f>
        <v/>
      </c>
      <c r="BS946" s="451" t="n"/>
      <c r="BU946" s="429" t="n">
        <v>33</v>
      </c>
      <c r="BV946" s="431" t="n">
        <v>33</v>
      </c>
      <c r="BW946" s="429" t="n"/>
      <c r="BX946" s="431" t="inlineStr">
        <is>
          <t>Boolean</t>
        </is>
      </c>
      <c r="BY946" s="451" t="n"/>
      <c r="BZ946" s="451">
        <f>'CIRCUIT SIM'!EI36</f>
        <v/>
      </c>
      <c r="CA946" s="451" t="n"/>
      <c r="CC946" s="429" t="n">
        <v>33</v>
      </c>
      <c r="CD946" s="431" t="n">
        <v>33</v>
      </c>
      <c r="CE946" s="688" t="n"/>
      <c r="CF946" s="431" t="inlineStr">
        <is>
          <t>Boolean</t>
        </is>
      </c>
      <c r="CG946" s="451" t="n"/>
      <c r="CH946" s="562">
        <f>'CIRCUIT SIM'!LK36</f>
        <v/>
      </c>
      <c r="CI946" s="451" t="n"/>
      <c r="CK946" s="429" t="n">
        <v>33</v>
      </c>
      <c r="CL946" s="431" t="n">
        <v>33</v>
      </c>
      <c r="CM946" s="565" t="n">
        <v>32</v>
      </c>
      <c r="CN946" s="431" t="inlineStr">
        <is>
          <t>Boolean</t>
        </is>
      </c>
      <c r="CO946" s="451" t="n"/>
      <c r="CP946" s="451">
        <f>'CIRCUIT SIM'!MA36</f>
        <v/>
      </c>
      <c r="CQ946" s="451" t="n"/>
      <c r="CS946" s="429" t="n">
        <v>33</v>
      </c>
      <c r="CT946" s="431" t="n">
        <v>33</v>
      </c>
      <c r="CU946" s="688" t="n"/>
      <c r="CV946" s="431" t="inlineStr">
        <is>
          <t>Boolean</t>
        </is>
      </c>
      <c r="CW946" s="451" t="n"/>
      <c r="CX946" s="451">
        <f>'CIRCUIT SIM'!MQ36</f>
        <v/>
      </c>
      <c r="CY946" s="451" t="n"/>
      <c r="DA946" s="429" t="n">
        <v>33</v>
      </c>
      <c r="DB946" s="431" t="n">
        <v>33</v>
      </c>
      <c r="DC946" s="688" t="n"/>
      <c r="DD946" s="431" t="inlineStr">
        <is>
          <t>Boolean</t>
        </is>
      </c>
      <c r="DE946" s="451" t="n"/>
      <c r="DF946" s="451">
        <f>'CIRCUIT SIM'!EX36</f>
        <v/>
      </c>
      <c r="DG946" s="451" t="n"/>
      <c r="DI946" s="429" t="n">
        <v>33</v>
      </c>
      <c r="DJ946" s="431" t="n">
        <v>33</v>
      </c>
      <c r="DK946" s="688" t="n"/>
      <c r="DL946" s="431" t="inlineStr">
        <is>
          <t>Boolean</t>
        </is>
      </c>
      <c r="DM946" s="429" t="n"/>
      <c r="DN946" s="451">
        <f>'CIRCUIT SIM'!FN36</f>
        <v/>
      </c>
      <c r="DO946" s="451" t="n"/>
      <c r="DQ946" s="429" t="n">
        <v>33</v>
      </c>
      <c r="DR946" s="431" t="n">
        <v>33</v>
      </c>
      <c r="DS946" s="688" t="n"/>
      <c r="DT946" s="431" t="inlineStr">
        <is>
          <t>Boolean</t>
        </is>
      </c>
      <c r="DU946" s="451" t="n"/>
      <c r="DV946" s="451">
        <f>'CIRCUIT SIM'!HT36</f>
        <v/>
      </c>
      <c r="DW946" s="451" t="n"/>
      <c r="DY946" s="429" t="n">
        <v>33</v>
      </c>
      <c r="DZ946" s="431" t="n">
        <v>33</v>
      </c>
      <c r="EA946" s="688" t="n"/>
      <c r="EB946" s="431" t="inlineStr">
        <is>
          <t>Boolean</t>
        </is>
      </c>
      <c r="EC946" s="451" t="n"/>
      <c r="ED946" s="335">
        <f>'CIRCUIT SIM'!GO36</f>
        <v/>
      </c>
      <c r="EE946" s="451" t="n"/>
      <c r="EG946" s="429" t="n">
        <v>33</v>
      </c>
      <c r="EH946" s="431" t="n">
        <v>33</v>
      </c>
      <c r="EI946" s="688" t="n"/>
      <c r="EJ946" s="431" t="inlineStr">
        <is>
          <t>Boolean</t>
        </is>
      </c>
      <c r="EK946" s="451" t="n"/>
      <c r="EL946" s="451">
        <f>'CIRCUIT SIM'!HD36</f>
        <v/>
      </c>
      <c r="EM946" s="451" t="n"/>
      <c r="EO946" s="429" t="n">
        <v>33</v>
      </c>
      <c r="EP946" s="431" t="n">
        <v>33</v>
      </c>
      <c r="EQ946" s="688" t="n"/>
      <c r="ER946" s="431" t="inlineStr">
        <is>
          <t>Boolean</t>
        </is>
      </c>
      <c r="ES946" s="451" t="n"/>
      <c r="ET946" s="451">
        <f>'CIRCUIT SIM'!HT36</f>
        <v/>
      </c>
      <c r="EU946" s="451" t="n"/>
      <c r="EW946" s="429" t="n">
        <v>33</v>
      </c>
      <c r="EX946" s="431" t="n">
        <v>33</v>
      </c>
      <c r="EY946" s="688" t="n"/>
      <c r="EZ946" s="431" t="n"/>
      <c r="FA946" s="451" t="n"/>
      <c r="FB946" s="451">
        <f>'CIRCUIT SIM'!II36</f>
        <v/>
      </c>
      <c r="FC946" s="451" t="n"/>
      <c r="FE946" s="429" t="n">
        <v>33</v>
      </c>
      <c r="FF946" s="431" t="n">
        <v>33</v>
      </c>
      <c r="FG946" s="688" t="n"/>
      <c r="FH946" s="431" t="inlineStr">
        <is>
          <t>Boolean</t>
        </is>
      </c>
      <c r="FI946" s="451" t="n"/>
      <c r="FJ946" s="451">
        <f>'CIRCUIT SIM'!IU36</f>
        <v/>
      </c>
      <c r="FK946" s="451" t="n"/>
      <c r="FM946" s="429" t="n">
        <v>33</v>
      </c>
      <c r="FN946" s="431" t="n">
        <v>33</v>
      </c>
      <c r="FO946" s="688" t="n"/>
      <c r="FP946" s="431" t="n"/>
      <c r="FQ946" s="451" t="n"/>
      <c r="FR946" s="451">
        <f>'CIRCUIT SIM'!KY36</f>
        <v/>
      </c>
      <c r="FS946" s="451" t="n"/>
      <c r="FU946" s="429" t="n">
        <v>33</v>
      </c>
      <c r="FV946" s="431" t="n">
        <v>33</v>
      </c>
      <c r="FW946" s="688" t="n"/>
      <c r="FX946" s="431" t="inlineStr">
        <is>
          <t>Boolean</t>
        </is>
      </c>
      <c r="FY946" s="451" t="n"/>
      <c r="FZ946" s="562">
        <f>'CIRCUIT SIM'!JG36</f>
        <v/>
      </c>
      <c r="GA946" s="451" t="n"/>
      <c r="GC946" s="429" t="n">
        <v>33</v>
      </c>
      <c r="GD946" s="431" t="n">
        <v>33</v>
      </c>
      <c r="GE946" s="688" t="n"/>
      <c r="GF946" s="431" t="inlineStr">
        <is>
          <t>Boolean</t>
        </is>
      </c>
      <c r="GG946" s="451" t="n"/>
      <c r="GH946" s="451">
        <f>'CIRCUIT SIM'!JW36</f>
        <v/>
      </c>
      <c r="GI946" s="451" t="n"/>
      <c r="GK946" s="429" t="n">
        <v>33</v>
      </c>
      <c r="GL946" s="431" t="n">
        <v>33</v>
      </c>
      <c r="GM946" s="688" t="n"/>
      <c r="GN946" s="431" t="n"/>
      <c r="GO946" s="451" t="n"/>
      <c r="GP946" s="451">
        <f>'CIRCUIT SIM'!KI36</f>
        <v/>
      </c>
      <c r="GQ946" s="451" t="n"/>
      <c r="GS946" s="429" t="n">
        <v>33</v>
      </c>
      <c r="GT946" s="431" t="n">
        <v>33</v>
      </c>
      <c r="GU946" s="688" t="n"/>
      <c r="GV946" s="431" t="inlineStr">
        <is>
          <t>Boolean</t>
        </is>
      </c>
      <c r="GW946" s="451" t="n"/>
      <c r="GX946" s="451">
        <f>'CIRCUIT SIM'!KY36</f>
        <v/>
      </c>
      <c r="GY946" s="451" t="n"/>
      <c r="HA946" s="429" t="n">
        <v>33</v>
      </c>
      <c r="HB946" s="431" t="n">
        <v>33</v>
      </c>
      <c r="HC946" s="688" t="n"/>
      <c r="HD946" s="431" t="n"/>
      <c r="HE946" s="451" t="n"/>
      <c r="HF946" s="451" t="n"/>
      <c r="HG946" s="451" t="n"/>
    </row>
    <row r="947">
      <c r="A947" s="429" t="n">
        <v>34</v>
      </c>
      <c r="B947" s="431" t="n">
        <v>34</v>
      </c>
      <c r="C947" s="688" t="n"/>
      <c r="D947" s="431" t="inlineStr">
        <is>
          <t>Boolean</t>
        </is>
      </c>
      <c r="E947" s="429" t="n"/>
      <c r="F947" s="422">
        <f>'CIRCUIT SIM'!J37</f>
        <v/>
      </c>
      <c r="G947" s="429" t="n"/>
      <c r="I947" s="429" t="n">
        <v>34</v>
      </c>
      <c r="J947" s="431" t="n">
        <v>34</v>
      </c>
      <c r="K947" s="429" t="n"/>
      <c r="L947" s="431" t="inlineStr">
        <is>
          <t>Boolean</t>
        </is>
      </c>
      <c r="M947" s="451" t="n"/>
      <c r="N947" s="422">
        <f>'CIRCUIT SIM'!Y37</f>
        <v/>
      </c>
      <c r="O947" s="451" t="n"/>
      <c r="Q947" s="429" t="n">
        <v>34</v>
      </c>
      <c r="R947" s="431" t="n">
        <v>34</v>
      </c>
      <c r="S947" s="429" t="n"/>
      <c r="T947" s="431" t="inlineStr">
        <is>
          <t>Boolean</t>
        </is>
      </c>
      <c r="U947" s="429" t="n"/>
      <c r="V947" s="386">
        <f>'CIRCUIT SIM'!AO37</f>
        <v/>
      </c>
      <c r="W947" s="451" t="n"/>
      <c r="Y947" s="429" t="n">
        <v>34</v>
      </c>
      <c r="Z947" s="431" t="n">
        <v>34</v>
      </c>
      <c r="AA947" s="429" t="n"/>
      <c r="AB947" s="431" t="n"/>
      <c r="AC947" s="451" t="n"/>
      <c r="AD947" s="562">
        <f>'CIRCUIT SIM'!BB37</f>
        <v/>
      </c>
      <c r="AE947" s="451" t="n"/>
      <c r="AG947" s="429" t="n">
        <v>34</v>
      </c>
      <c r="AH947" s="431" t="n">
        <v>34</v>
      </c>
      <c r="AI947" s="429" t="n"/>
      <c r="AJ947" s="431" t="inlineStr">
        <is>
          <t>Boolean</t>
        </is>
      </c>
      <c r="AK947" s="451" t="n"/>
      <c r="AL947" s="450">
        <f>'CIRCUIT SIM'!CR37</f>
        <v/>
      </c>
      <c r="AM947" s="451" t="n"/>
      <c r="AO947" s="429" t="n">
        <v>34</v>
      </c>
      <c r="AP947" s="431" t="n">
        <v>34</v>
      </c>
      <c r="AQ947" s="429" t="n"/>
      <c r="AR947" s="431" t="inlineStr">
        <is>
          <t>Boolean</t>
        </is>
      </c>
      <c r="AS947" s="451" t="n"/>
      <c r="AT947" s="386">
        <f>'CIRCUIT SIM'!BR37</f>
        <v/>
      </c>
      <c r="AU947" s="451" t="n"/>
      <c r="AW947" s="429" t="n">
        <v>34</v>
      </c>
      <c r="AX947" s="431" t="n">
        <v>34</v>
      </c>
      <c r="AY947" s="429" t="n"/>
      <c r="AZ947" s="431" t="inlineStr">
        <is>
          <t>Boolean</t>
        </is>
      </c>
      <c r="BA947" s="451" t="n"/>
      <c r="BB947" s="451">
        <f>'CIRCUIT SIM'!CG37</f>
        <v/>
      </c>
      <c r="BC947" s="451" t="n"/>
      <c r="BE947" s="429" t="n">
        <v>34</v>
      </c>
      <c r="BF947" s="431" t="n"/>
      <c r="BG947" s="429" t="n"/>
      <c r="BH947" s="431" t="n"/>
      <c r="BI947" s="451" t="n"/>
      <c r="BJ947" s="451" t="n"/>
      <c r="BK947" s="451" t="n"/>
      <c r="BM947" s="429" t="n">
        <v>34</v>
      </c>
      <c r="BN947" s="431" t="n">
        <v>34</v>
      </c>
      <c r="BO947" s="429" t="n"/>
      <c r="BP947" s="431" t="inlineStr">
        <is>
          <t>Boolean</t>
        </is>
      </c>
      <c r="BQ947" s="451" t="n"/>
      <c r="BR947" s="451">
        <f>'CIRCUIT SIM'!DT37</f>
        <v/>
      </c>
      <c r="BS947" s="451" t="n"/>
      <c r="BU947" s="429" t="n">
        <v>34</v>
      </c>
      <c r="BV947" s="431" t="n">
        <v>34</v>
      </c>
      <c r="BW947" s="429" t="n"/>
      <c r="BX947" s="431" t="inlineStr">
        <is>
          <t>Boolean</t>
        </is>
      </c>
      <c r="BY947" s="451" t="n"/>
      <c r="BZ947" s="451">
        <f>'CIRCUIT SIM'!EI37</f>
        <v/>
      </c>
      <c r="CA947" s="451" t="n"/>
      <c r="CC947" s="429" t="n">
        <v>34</v>
      </c>
      <c r="CD947" s="431" t="n">
        <v>34</v>
      </c>
      <c r="CE947" s="688" t="n"/>
      <c r="CF947" s="431" t="inlineStr">
        <is>
          <t>Boolean</t>
        </is>
      </c>
      <c r="CG947" s="451" t="n"/>
      <c r="CH947" s="562">
        <f>'CIRCUIT SIM'!LK37</f>
        <v/>
      </c>
      <c r="CI947" s="451" t="n"/>
      <c r="CK947" s="429" t="n">
        <v>34</v>
      </c>
      <c r="CL947" s="431" t="n">
        <v>34</v>
      </c>
      <c r="CM947" s="565" t="n">
        <v>33</v>
      </c>
      <c r="CN947" s="431" t="inlineStr">
        <is>
          <t>Boolean</t>
        </is>
      </c>
      <c r="CO947" s="451" t="n"/>
      <c r="CP947" s="451">
        <f>'CIRCUIT SIM'!MA37</f>
        <v/>
      </c>
      <c r="CQ947" s="451" t="n"/>
      <c r="CS947" s="429" t="n">
        <v>34</v>
      </c>
      <c r="CT947" s="431" t="n">
        <v>34</v>
      </c>
      <c r="CU947" s="688" t="n"/>
      <c r="CV947" s="431" t="inlineStr">
        <is>
          <t>Boolean</t>
        </is>
      </c>
      <c r="CW947" s="451" t="n"/>
      <c r="CX947" s="451">
        <f>'CIRCUIT SIM'!MQ37</f>
        <v/>
      </c>
      <c r="CY947" s="451" t="n"/>
      <c r="DA947" s="429" t="n">
        <v>34</v>
      </c>
      <c r="DB947" s="431" t="n">
        <v>34</v>
      </c>
      <c r="DC947" s="688" t="n"/>
      <c r="DD947" s="431" t="inlineStr">
        <is>
          <t>Boolean</t>
        </is>
      </c>
      <c r="DE947" s="451" t="n"/>
      <c r="DF947" s="451">
        <f>'CIRCUIT SIM'!EX37</f>
        <v/>
      </c>
      <c r="DG947" s="451" t="n"/>
      <c r="DI947" s="429" t="n">
        <v>34</v>
      </c>
      <c r="DJ947" s="431" t="n">
        <v>34</v>
      </c>
      <c r="DK947" s="688" t="n"/>
      <c r="DL947" s="431" t="inlineStr">
        <is>
          <t>Boolean</t>
        </is>
      </c>
      <c r="DM947" s="429" t="n"/>
      <c r="DN947" s="451">
        <f>'CIRCUIT SIM'!FN37</f>
        <v/>
      </c>
      <c r="DO947" s="451" t="n"/>
      <c r="DQ947" s="429" t="n">
        <v>34</v>
      </c>
      <c r="DR947" s="431" t="n">
        <v>34</v>
      </c>
      <c r="DS947" s="688" t="n"/>
      <c r="DT947" s="431" t="inlineStr">
        <is>
          <t>Boolean</t>
        </is>
      </c>
      <c r="DU947" s="451" t="n"/>
      <c r="DV947" s="451">
        <f>'CIRCUIT SIM'!HT37</f>
        <v/>
      </c>
      <c r="DW947" s="451" t="n"/>
      <c r="DY947" s="429" t="n">
        <v>34</v>
      </c>
      <c r="DZ947" s="431" t="n">
        <v>34</v>
      </c>
      <c r="EA947" s="688" t="n"/>
      <c r="EB947" s="431" t="inlineStr">
        <is>
          <t>Boolean</t>
        </is>
      </c>
      <c r="EC947" s="451" t="n"/>
      <c r="ED947" s="335">
        <f>'CIRCUIT SIM'!GO37</f>
        <v/>
      </c>
      <c r="EE947" s="451" t="n"/>
      <c r="EG947" s="429" t="n">
        <v>34</v>
      </c>
      <c r="EH947" s="431" t="n">
        <v>34</v>
      </c>
      <c r="EI947" s="688" t="n"/>
      <c r="EJ947" s="431" t="inlineStr">
        <is>
          <t>Boolean</t>
        </is>
      </c>
      <c r="EK947" s="451" t="n"/>
      <c r="EL947" s="451">
        <f>'CIRCUIT SIM'!HD37</f>
        <v/>
      </c>
      <c r="EM947" s="451" t="n"/>
      <c r="EO947" s="429" t="n">
        <v>34</v>
      </c>
      <c r="EP947" s="431" t="n">
        <v>34</v>
      </c>
      <c r="EQ947" s="688" t="n"/>
      <c r="ER947" s="431" t="inlineStr">
        <is>
          <t>Boolean</t>
        </is>
      </c>
      <c r="ES947" s="451" t="n"/>
      <c r="ET947" s="451">
        <f>'CIRCUIT SIM'!HT37</f>
        <v/>
      </c>
      <c r="EU947" s="451" t="n"/>
      <c r="EW947" s="429" t="n">
        <v>34</v>
      </c>
      <c r="EX947" s="431" t="n">
        <v>34</v>
      </c>
      <c r="EY947" s="688" t="n"/>
      <c r="EZ947" s="431" t="n"/>
      <c r="FA947" s="451" t="n"/>
      <c r="FB947" s="451">
        <f>'CIRCUIT SIM'!II37</f>
        <v/>
      </c>
      <c r="FC947" s="451" t="n"/>
      <c r="FE947" s="429" t="n">
        <v>34</v>
      </c>
      <c r="FF947" s="431" t="n">
        <v>34</v>
      </c>
      <c r="FG947" s="688" t="n"/>
      <c r="FH947" s="431" t="inlineStr">
        <is>
          <t>Boolean</t>
        </is>
      </c>
      <c r="FI947" s="451" t="n"/>
      <c r="FJ947" s="451">
        <f>'CIRCUIT SIM'!IU37</f>
        <v/>
      </c>
      <c r="FK947" s="451" t="n"/>
      <c r="FM947" s="429" t="n">
        <v>34</v>
      </c>
      <c r="FN947" s="431" t="n">
        <v>34</v>
      </c>
      <c r="FO947" s="688" t="n"/>
      <c r="FP947" s="431" t="n"/>
      <c r="FQ947" s="451" t="n"/>
      <c r="FR947" s="451">
        <f>'CIRCUIT SIM'!KY37</f>
        <v/>
      </c>
      <c r="FS947" s="451" t="n"/>
      <c r="FU947" s="429" t="n">
        <v>34</v>
      </c>
      <c r="FV947" s="431" t="n">
        <v>34</v>
      </c>
      <c r="FW947" s="688" t="n"/>
      <c r="FX947" s="431" t="inlineStr">
        <is>
          <t>Boolean</t>
        </is>
      </c>
      <c r="FY947" s="451" t="n"/>
      <c r="FZ947" s="562">
        <f>'CIRCUIT SIM'!JG37</f>
        <v/>
      </c>
      <c r="GA947" s="451" t="n"/>
      <c r="GC947" s="429" t="n">
        <v>34</v>
      </c>
      <c r="GD947" s="431" t="n">
        <v>34</v>
      </c>
      <c r="GE947" s="688" t="n"/>
      <c r="GF947" s="431" t="inlineStr">
        <is>
          <t>Boolean</t>
        </is>
      </c>
      <c r="GG947" s="451" t="n"/>
      <c r="GH947" s="451">
        <f>'CIRCUIT SIM'!JW37</f>
        <v/>
      </c>
      <c r="GI947" s="451" t="n"/>
      <c r="GK947" s="429" t="n">
        <v>34</v>
      </c>
      <c r="GL947" s="431" t="n">
        <v>34</v>
      </c>
      <c r="GM947" s="688" t="n"/>
      <c r="GN947" s="431" t="n"/>
      <c r="GO947" s="451" t="n"/>
      <c r="GP947" s="451" t="n"/>
      <c r="GQ947" s="451" t="n"/>
      <c r="GS947" s="429" t="n">
        <v>34</v>
      </c>
      <c r="GT947" s="431" t="n">
        <v>34</v>
      </c>
      <c r="GU947" s="688" t="n"/>
      <c r="GV947" s="431" t="inlineStr">
        <is>
          <t>Boolean</t>
        </is>
      </c>
      <c r="GW947" s="451" t="n"/>
      <c r="GX947" s="451">
        <f>'CIRCUIT SIM'!KY37</f>
        <v/>
      </c>
      <c r="GY947" s="451" t="n"/>
      <c r="HA947" s="429" t="n">
        <v>34</v>
      </c>
      <c r="HB947" s="431" t="n">
        <v>34</v>
      </c>
      <c r="HC947" s="688" t="n"/>
      <c r="HD947" s="431" t="n"/>
      <c r="HE947" s="451" t="n"/>
      <c r="HF947" s="451" t="n"/>
      <c r="HG947" s="451" t="n"/>
    </row>
    <row r="948">
      <c r="A948" s="429" t="n">
        <v>35</v>
      </c>
      <c r="B948" s="431" t="n">
        <v>35</v>
      </c>
      <c r="C948" s="688" t="n"/>
      <c r="D948" s="431" t="inlineStr">
        <is>
          <t>Boolean</t>
        </is>
      </c>
      <c r="E948" s="429" t="n"/>
      <c r="F948" s="422">
        <f>'CIRCUIT SIM'!J38</f>
        <v/>
      </c>
      <c r="G948" s="429" t="n"/>
      <c r="I948" s="429" t="n">
        <v>35</v>
      </c>
      <c r="J948" s="431" t="n">
        <v>35</v>
      </c>
      <c r="K948" s="429" t="n"/>
      <c r="L948" s="431" t="inlineStr">
        <is>
          <t>Boolean</t>
        </is>
      </c>
      <c r="M948" s="451" t="n"/>
      <c r="N948" s="422">
        <f>'CIRCUIT SIM'!Y38</f>
        <v/>
      </c>
      <c r="O948" s="451" t="n"/>
      <c r="Q948" s="429" t="n">
        <v>35</v>
      </c>
      <c r="R948" s="431" t="n">
        <v>35</v>
      </c>
      <c r="S948" s="429" t="n"/>
      <c r="T948" s="431" t="inlineStr">
        <is>
          <t>Boolean</t>
        </is>
      </c>
      <c r="U948" s="429" t="n"/>
      <c r="V948" s="386">
        <f>'CIRCUIT SIM'!AO38</f>
        <v/>
      </c>
      <c r="W948" s="451" t="n"/>
      <c r="Y948" s="429" t="n">
        <v>35</v>
      </c>
      <c r="Z948" s="431" t="n">
        <v>35</v>
      </c>
      <c r="AA948" s="429" t="n"/>
      <c r="AB948" s="431" t="n"/>
      <c r="AC948" s="451" t="n"/>
      <c r="AD948" s="562">
        <f>'CIRCUIT SIM'!BB38</f>
        <v/>
      </c>
      <c r="AE948" s="451" t="n"/>
      <c r="AG948" s="429" t="n">
        <v>35</v>
      </c>
      <c r="AH948" s="431" t="n">
        <v>35</v>
      </c>
      <c r="AI948" s="429" t="n"/>
      <c r="AJ948" s="431" t="inlineStr">
        <is>
          <t>Boolean</t>
        </is>
      </c>
      <c r="AK948" s="451" t="n"/>
      <c r="AL948" s="450">
        <f>'CIRCUIT SIM'!CR38</f>
        <v/>
      </c>
      <c r="AM948" s="451" t="n"/>
      <c r="AO948" s="429" t="n">
        <v>35</v>
      </c>
      <c r="AP948" s="431" t="n">
        <v>35</v>
      </c>
      <c r="AQ948" s="429" t="n"/>
      <c r="AR948" s="431" t="inlineStr">
        <is>
          <t>Boolean</t>
        </is>
      </c>
      <c r="AS948" s="451" t="n"/>
      <c r="AT948" s="386">
        <f>'CIRCUIT SIM'!BR38</f>
        <v/>
      </c>
      <c r="AU948" s="451" t="n"/>
      <c r="AW948" s="429" t="n">
        <v>35</v>
      </c>
      <c r="AX948" s="431" t="n">
        <v>35</v>
      </c>
      <c r="AY948" s="429" t="n"/>
      <c r="AZ948" s="431" t="inlineStr">
        <is>
          <t>Boolean</t>
        </is>
      </c>
      <c r="BA948" s="451" t="n"/>
      <c r="BB948" s="451">
        <f>'CIRCUIT SIM'!CG38</f>
        <v/>
      </c>
      <c r="BC948" s="451" t="n"/>
      <c r="BE948" s="429" t="n">
        <v>35</v>
      </c>
      <c r="BF948" s="431" t="n"/>
      <c r="BG948" s="429" t="n"/>
      <c r="BH948" s="431" t="n"/>
      <c r="BI948" s="451" t="n"/>
      <c r="BJ948" s="451" t="n"/>
      <c r="BK948" s="451" t="n"/>
      <c r="BM948" s="429" t="n">
        <v>35</v>
      </c>
      <c r="BN948" s="431" t="n">
        <v>35</v>
      </c>
      <c r="BO948" s="429" t="n"/>
      <c r="BP948" s="431" t="inlineStr">
        <is>
          <t>Boolean</t>
        </is>
      </c>
      <c r="BQ948" s="451" t="n"/>
      <c r="BR948" s="451">
        <f>'CIRCUIT SIM'!DT38</f>
        <v/>
      </c>
      <c r="BS948" s="451" t="n"/>
      <c r="BU948" s="429" t="n">
        <v>35</v>
      </c>
      <c r="BV948" s="431" t="n">
        <v>35</v>
      </c>
      <c r="BW948" s="429" t="n"/>
      <c r="BX948" s="431" t="inlineStr">
        <is>
          <t>Boolean</t>
        </is>
      </c>
      <c r="BY948" s="451" t="n"/>
      <c r="BZ948" s="451">
        <f>'CIRCUIT SIM'!EI38</f>
        <v/>
      </c>
      <c r="CA948" s="451" t="n"/>
      <c r="CC948" s="429" t="n">
        <v>35</v>
      </c>
      <c r="CD948" s="431" t="n">
        <v>35</v>
      </c>
      <c r="CE948" s="688" t="n"/>
      <c r="CF948" s="431" t="inlineStr">
        <is>
          <t>Boolean</t>
        </is>
      </c>
      <c r="CG948" s="451" t="n"/>
      <c r="CH948" s="562">
        <f>'CIRCUIT SIM'!LK38</f>
        <v/>
      </c>
      <c r="CI948" s="451" t="n"/>
      <c r="CK948" s="429" t="n">
        <v>35</v>
      </c>
      <c r="CL948" s="431" t="n">
        <v>35</v>
      </c>
      <c r="CM948" s="565" t="n">
        <v>34</v>
      </c>
      <c r="CN948" s="431" t="inlineStr">
        <is>
          <t>Boolean</t>
        </is>
      </c>
      <c r="CO948" s="451" t="n"/>
      <c r="CP948" s="451">
        <f>'CIRCUIT SIM'!MA38</f>
        <v/>
      </c>
      <c r="CQ948" s="451" t="n"/>
      <c r="CS948" s="429" t="n">
        <v>35</v>
      </c>
      <c r="CT948" s="431" t="n">
        <v>35</v>
      </c>
      <c r="CU948" s="688" t="n"/>
      <c r="CV948" s="431" t="inlineStr">
        <is>
          <t>Boolean</t>
        </is>
      </c>
      <c r="CW948" s="451" t="n"/>
      <c r="CX948" s="451">
        <f>'CIRCUIT SIM'!MQ38</f>
        <v/>
      </c>
      <c r="CY948" s="451" t="n"/>
      <c r="DA948" s="429" t="n">
        <v>35</v>
      </c>
      <c r="DB948" s="431" t="n">
        <v>35</v>
      </c>
      <c r="DC948" s="688" t="n"/>
      <c r="DD948" s="431" t="inlineStr">
        <is>
          <t>Boolean</t>
        </is>
      </c>
      <c r="DE948" s="451" t="n"/>
      <c r="DF948" s="451">
        <f>'CIRCUIT SIM'!EX38</f>
        <v/>
      </c>
      <c r="DG948" s="451" t="n"/>
      <c r="DI948" s="429" t="n">
        <v>35</v>
      </c>
      <c r="DJ948" s="431" t="n">
        <v>35</v>
      </c>
      <c r="DK948" s="688" t="n"/>
      <c r="DL948" s="431" t="inlineStr">
        <is>
          <t>Boolean</t>
        </is>
      </c>
      <c r="DM948" s="429" t="n"/>
      <c r="DN948" s="451">
        <f>'CIRCUIT SIM'!FN38</f>
        <v/>
      </c>
      <c r="DO948" s="451" t="n"/>
      <c r="DQ948" s="429" t="n">
        <v>35</v>
      </c>
      <c r="DR948" s="431" t="n">
        <v>35</v>
      </c>
      <c r="DS948" s="688" t="n"/>
      <c r="DT948" s="431" t="inlineStr">
        <is>
          <t>Boolean</t>
        </is>
      </c>
      <c r="DU948" s="451" t="n"/>
      <c r="DV948" s="451">
        <f>'CIRCUIT SIM'!HT38</f>
        <v/>
      </c>
      <c r="DW948" s="451" t="n"/>
      <c r="DY948" s="429" t="n">
        <v>35</v>
      </c>
      <c r="DZ948" s="431" t="n">
        <v>35</v>
      </c>
      <c r="EA948" s="688" t="n"/>
      <c r="EB948" s="431" t="inlineStr">
        <is>
          <t>Boolean</t>
        </is>
      </c>
      <c r="EC948" s="451" t="n"/>
      <c r="ED948" s="335">
        <f>'CIRCUIT SIM'!GO38</f>
        <v/>
      </c>
      <c r="EE948" s="451" t="n"/>
      <c r="EG948" s="429" t="n">
        <v>35</v>
      </c>
      <c r="EH948" s="431" t="n">
        <v>35</v>
      </c>
      <c r="EI948" s="688" t="n"/>
      <c r="EJ948" s="431" t="inlineStr">
        <is>
          <t>Boolean</t>
        </is>
      </c>
      <c r="EK948" s="451" t="n"/>
      <c r="EL948" s="451">
        <f>'CIRCUIT SIM'!HD38</f>
        <v/>
      </c>
      <c r="EM948" s="451" t="n"/>
      <c r="EO948" s="429" t="n">
        <v>35</v>
      </c>
      <c r="EP948" s="431" t="n">
        <v>35</v>
      </c>
      <c r="EQ948" s="688" t="n"/>
      <c r="ER948" s="431" t="inlineStr">
        <is>
          <t>Boolean</t>
        </is>
      </c>
      <c r="ES948" s="451" t="n"/>
      <c r="ET948" s="451">
        <f>'CIRCUIT SIM'!HT38</f>
        <v/>
      </c>
      <c r="EU948" s="451" t="n"/>
      <c r="EW948" s="429" t="n">
        <v>35</v>
      </c>
      <c r="EX948" s="431" t="n">
        <v>35</v>
      </c>
      <c r="EY948" s="688" t="n"/>
      <c r="EZ948" s="431" t="n"/>
      <c r="FA948" s="451" t="n"/>
      <c r="FB948" s="451">
        <f>'CIRCUIT SIM'!II38</f>
        <v/>
      </c>
      <c r="FC948" s="451" t="n"/>
      <c r="FE948" s="429" t="n">
        <v>35</v>
      </c>
      <c r="FF948" s="431" t="n">
        <v>35</v>
      </c>
      <c r="FG948" s="688" t="n"/>
      <c r="FH948" s="431" t="inlineStr">
        <is>
          <t>Boolean</t>
        </is>
      </c>
      <c r="FI948" s="451" t="n"/>
      <c r="FJ948" s="451">
        <f>'CIRCUIT SIM'!IU38</f>
        <v/>
      </c>
      <c r="FK948" s="451" t="n"/>
      <c r="FM948" s="429" t="n">
        <v>35</v>
      </c>
      <c r="FN948" s="431" t="n">
        <v>35</v>
      </c>
      <c r="FO948" s="688" t="n"/>
      <c r="FP948" s="431" t="n"/>
      <c r="FQ948" s="451" t="n"/>
      <c r="FR948" s="451">
        <f>'CIRCUIT SIM'!KY38</f>
        <v/>
      </c>
      <c r="FS948" s="451" t="n"/>
      <c r="FU948" s="429" t="n">
        <v>35</v>
      </c>
      <c r="FV948" s="431" t="n">
        <v>35</v>
      </c>
      <c r="FW948" s="688" t="n"/>
      <c r="FX948" s="431" t="inlineStr">
        <is>
          <t>Boolean</t>
        </is>
      </c>
      <c r="FY948" s="451" t="n"/>
      <c r="FZ948" s="562">
        <f>'CIRCUIT SIM'!JG38</f>
        <v/>
      </c>
      <c r="GA948" s="451" t="n"/>
      <c r="GC948" s="429" t="n">
        <v>35</v>
      </c>
      <c r="GD948" s="431" t="n">
        <v>35</v>
      </c>
      <c r="GE948" s="688" t="n"/>
      <c r="GF948" s="431" t="inlineStr">
        <is>
          <t>Boolean</t>
        </is>
      </c>
      <c r="GG948" s="451" t="n"/>
      <c r="GH948" s="451">
        <f>'CIRCUIT SIM'!JW38</f>
        <v/>
      </c>
      <c r="GI948" s="451" t="n"/>
      <c r="GK948" s="429" t="n">
        <v>35</v>
      </c>
      <c r="GL948" s="431" t="n">
        <v>35</v>
      </c>
      <c r="GM948" s="688" t="n"/>
      <c r="GN948" s="431" t="n"/>
      <c r="GO948" s="451" t="n"/>
      <c r="GP948" s="451" t="n"/>
      <c r="GQ948" s="451" t="n"/>
      <c r="GS948" s="429" t="n">
        <v>35</v>
      </c>
      <c r="GT948" s="431" t="n">
        <v>35</v>
      </c>
      <c r="GU948" s="688" t="n"/>
      <c r="GV948" s="431" t="inlineStr">
        <is>
          <t>Boolean</t>
        </is>
      </c>
      <c r="GW948" s="451" t="n"/>
      <c r="GX948" s="451">
        <f>'CIRCUIT SIM'!KY38</f>
        <v/>
      </c>
      <c r="GY948" s="451" t="n"/>
      <c r="HA948" s="429" t="n">
        <v>35</v>
      </c>
      <c r="HB948" s="431" t="n">
        <v>35</v>
      </c>
      <c r="HC948" s="688" t="n"/>
      <c r="HD948" s="431" t="n"/>
      <c r="HE948" s="451" t="n"/>
      <c r="HF948" s="451" t="n"/>
      <c r="HG948" s="451" t="n"/>
    </row>
    <row r="949">
      <c r="A949" s="429" t="n">
        <v>36</v>
      </c>
      <c r="B949" s="431" t="n">
        <v>36</v>
      </c>
      <c r="C949" s="688" t="n"/>
      <c r="D949" s="431" t="inlineStr">
        <is>
          <t>Boolean</t>
        </is>
      </c>
      <c r="E949" s="429" t="n"/>
      <c r="F949" s="422">
        <f>'CIRCUIT SIM'!J39</f>
        <v/>
      </c>
      <c r="G949" s="429" t="n"/>
      <c r="I949" s="429" t="n">
        <v>36</v>
      </c>
      <c r="J949" s="431" t="n">
        <v>36</v>
      </c>
      <c r="K949" s="429" t="n"/>
      <c r="L949" s="431" t="inlineStr">
        <is>
          <t>Boolean</t>
        </is>
      </c>
      <c r="M949" s="451" t="n"/>
      <c r="N949" s="422">
        <f>'CIRCUIT SIM'!Y39</f>
        <v/>
      </c>
      <c r="O949" s="451" t="n"/>
      <c r="Q949" s="429" t="n">
        <v>36</v>
      </c>
      <c r="R949" s="431" t="n">
        <v>36</v>
      </c>
      <c r="S949" s="429" t="n"/>
      <c r="T949" s="431" t="inlineStr">
        <is>
          <t>Boolean</t>
        </is>
      </c>
      <c r="U949" s="429" t="n"/>
      <c r="V949" s="386">
        <f>'CIRCUIT SIM'!AO39</f>
        <v/>
      </c>
      <c r="W949" s="451" t="n"/>
      <c r="Y949" s="429" t="n">
        <v>36</v>
      </c>
      <c r="Z949" s="431" t="n">
        <v>36</v>
      </c>
      <c r="AA949" s="429" t="n"/>
      <c r="AB949" s="431" t="n"/>
      <c r="AC949" s="451" t="n"/>
      <c r="AD949" s="451" t="n"/>
      <c r="AE949" s="451" t="n"/>
      <c r="AG949" s="429" t="n">
        <v>36</v>
      </c>
      <c r="AH949" s="431" t="n">
        <v>36</v>
      </c>
      <c r="AI949" s="429" t="n"/>
      <c r="AJ949" s="431" t="inlineStr">
        <is>
          <t>Boolean</t>
        </is>
      </c>
      <c r="AK949" s="451" t="n"/>
      <c r="AL949" s="450">
        <f>'CIRCUIT SIM'!CR39</f>
        <v/>
      </c>
      <c r="AM949" s="451" t="n"/>
      <c r="AO949" s="429" t="n">
        <v>36</v>
      </c>
      <c r="AP949" s="431" t="n">
        <v>36</v>
      </c>
      <c r="AQ949" s="429" t="n"/>
      <c r="AR949" s="431" t="inlineStr">
        <is>
          <t>Boolean</t>
        </is>
      </c>
      <c r="AS949" s="451" t="n"/>
      <c r="AT949" s="386">
        <f>'CIRCUIT SIM'!BR39</f>
        <v/>
      </c>
      <c r="AU949" s="451" t="n"/>
      <c r="AW949" s="429" t="n">
        <v>36</v>
      </c>
      <c r="AX949" s="431" t="n">
        <v>36</v>
      </c>
      <c r="AY949" s="429" t="n"/>
      <c r="AZ949" s="431" t="inlineStr">
        <is>
          <t>Boolean</t>
        </is>
      </c>
      <c r="BA949" s="451" t="n"/>
      <c r="BB949" s="451">
        <f>'CIRCUIT SIM'!CG39</f>
        <v/>
      </c>
      <c r="BC949" s="451" t="n"/>
      <c r="BE949" s="429" t="n">
        <v>36</v>
      </c>
      <c r="BF949" s="431" t="n"/>
      <c r="BG949" s="429" t="n"/>
      <c r="BH949" s="431" t="n"/>
      <c r="BI949" s="451" t="n"/>
      <c r="BJ949" s="451" t="n"/>
      <c r="BK949" s="451" t="n"/>
      <c r="BM949" s="429" t="n">
        <v>36</v>
      </c>
      <c r="BN949" s="431" t="n">
        <v>36</v>
      </c>
      <c r="BO949" s="429" t="n"/>
      <c r="BP949" s="431" t="inlineStr">
        <is>
          <t>Boolean</t>
        </is>
      </c>
      <c r="BQ949" s="451" t="n"/>
      <c r="BR949" s="451">
        <f>'CIRCUIT SIM'!DT39</f>
        <v/>
      </c>
      <c r="BS949" s="451" t="n"/>
      <c r="BU949" s="429" t="n">
        <v>36</v>
      </c>
      <c r="BV949" s="431" t="n">
        <v>36</v>
      </c>
      <c r="BW949" s="429" t="n"/>
      <c r="BX949" s="431" t="inlineStr">
        <is>
          <t>Boolean</t>
        </is>
      </c>
      <c r="BY949" s="451" t="inlineStr">
        <is>
          <t> </t>
        </is>
      </c>
      <c r="BZ949" s="451">
        <f>'CIRCUIT SIM'!EI39</f>
        <v/>
      </c>
      <c r="CA949" s="451" t="n"/>
      <c r="CC949" s="429" t="n">
        <v>36</v>
      </c>
      <c r="CD949" s="431" t="n">
        <v>36</v>
      </c>
      <c r="CE949" s="688" t="n"/>
      <c r="CF949" s="431" t="inlineStr">
        <is>
          <t>Boolean</t>
        </is>
      </c>
      <c r="CG949" s="451" t="n"/>
      <c r="CH949" s="562">
        <f>'CIRCUIT SIM'!LK39</f>
        <v/>
      </c>
      <c r="CI949" s="451" t="n"/>
      <c r="CK949" s="429" t="n">
        <v>36</v>
      </c>
      <c r="CL949" s="431" t="n">
        <v>36</v>
      </c>
      <c r="CM949" s="565" t="n">
        <v>35</v>
      </c>
      <c r="CN949" s="431" t="inlineStr">
        <is>
          <t>Boolean</t>
        </is>
      </c>
      <c r="CO949" s="451" t="n"/>
      <c r="CP949" s="451">
        <f>'CIRCUIT SIM'!MA39</f>
        <v/>
      </c>
      <c r="CQ949" s="451" t="n"/>
      <c r="CS949" s="429" t="n">
        <v>36</v>
      </c>
      <c r="CT949" s="431" t="n">
        <v>36</v>
      </c>
      <c r="CU949" s="688" t="n"/>
      <c r="CV949" s="431" t="inlineStr">
        <is>
          <t>Boolean</t>
        </is>
      </c>
      <c r="CW949" s="451" t="n"/>
      <c r="CX949" s="451">
        <f>'CIRCUIT SIM'!MQ39</f>
        <v/>
      </c>
      <c r="CY949" s="451" t="n"/>
      <c r="DA949" s="429" t="n">
        <v>36</v>
      </c>
      <c r="DB949" s="431" t="n">
        <v>36</v>
      </c>
      <c r="DC949" s="688" t="n"/>
      <c r="DD949" s="431" t="inlineStr">
        <is>
          <t>Boolean</t>
        </is>
      </c>
      <c r="DE949" s="451" t="n"/>
      <c r="DF949" s="451">
        <f>'CIRCUIT SIM'!EX39</f>
        <v/>
      </c>
      <c r="DG949" s="451" t="n"/>
      <c r="DI949" s="429" t="n">
        <v>36</v>
      </c>
      <c r="DJ949" s="431" t="n">
        <v>36</v>
      </c>
      <c r="DK949" s="688" t="n"/>
      <c r="DL949" s="431" t="inlineStr">
        <is>
          <t>Boolean</t>
        </is>
      </c>
      <c r="DM949" s="429" t="n"/>
      <c r="DN949" s="451">
        <f>'CIRCUIT SIM'!FN39</f>
        <v/>
      </c>
      <c r="DO949" s="451" t="n"/>
      <c r="DQ949" s="429" t="n">
        <v>36</v>
      </c>
      <c r="DR949" s="431" t="n">
        <v>36</v>
      </c>
      <c r="DS949" s="688" t="n"/>
      <c r="DT949" s="431" t="inlineStr">
        <is>
          <t>Boolean</t>
        </is>
      </c>
      <c r="DU949" s="451" t="n"/>
      <c r="DV949" s="451">
        <f>'CIRCUIT SIM'!HT39</f>
        <v/>
      </c>
      <c r="DW949" s="451" t="n"/>
      <c r="DY949" s="429" t="n">
        <v>36</v>
      </c>
      <c r="DZ949" s="431" t="n">
        <v>36</v>
      </c>
      <c r="EA949" s="688" t="n"/>
      <c r="EB949" s="431" t="inlineStr">
        <is>
          <t>Boolean</t>
        </is>
      </c>
      <c r="EC949" s="451" t="n"/>
      <c r="ED949" s="335">
        <f>'CIRCUIT SIM'!GO39</f>
        <v/>
      </c>
      <c r="EE949" s="451" t="n"/>
      <c r="EG949" s="429" t="n">
        <v>36</v>
      </c>
      <c r="EH949" s="431" t="n">
        <v>36</v>
      </c>
      <c r="EI949" s="688" t="n"/>
      <c r="EJ949" s="431" t="inlineStr">
        <is>
          <t>Boolean</t>
        </is>
      </c>
      <c r="EK949" s="451" t="n"/>
      <c r="EL949" s="451">
        <f>'CIRCUIT SIM'!HD39</f>
        <v/>
      </c>
      <c r="EM949" s="451" t="n"/>
      <c r="EO949" s="429" t="n">
        <v>36</v>
      </c>
      <c r="EP949" s="431" t="n">
        <v>36</v>
      </c>
      <c r="EQ949" s="688" t="n"/>
      <c r="ER949" s="431" t="inlineStr">
        <is>
          <t>Boolean</t>
        </is>
      </c>
      <c r="ES949" s="451" t="n"/>
      <c r="ET949" s="451">
        <f>'CIRCUIT SIM'!HT39</f>
        <v/>
      </c>
      <c r="EU949" s="451" t="n"/>
      <c r="EW949" s="429" t="n">
        <v>36</v>
      </c>
      <c r="EX949" s="431" t="n">
        <v>36</v>
      </c>
      <c r="EY949" s="688" t="n"/>
      <c r="EZ949" s="431" t="n"/>
      <c r="FA949" s="451" t="n"/>
      <c r="FB949" s="451">
        <f>'CIRCUIT SIM'!II39</f>
        <v/>
      </c>
      <c r="FC949" s="451" t="n"/>
      <c r="FE949" s="429" t="n">
        <v>36</v>
      </c>
      <c r="FF949" s="431" t="n">
        <v>36</v>
      </c>
      <c r="FG949" s="688" t="n"/>
      <c r="FH949" s="431" t="inlineStr">
        <is>
          <t>Boolean</t>
        </is>
      </c>
      <c r="FI949" s="451" t="n"/>
      <c r="FJ949" s="451">
        <f>'CIRCUIT SIM'!IU39</f>
        <v/>
      </c>
      <c r="FK949" s="451" t="n"/>
      <c r="FM949" s="429" t="n">
        <v>36</v>
      </c>
      <c r="FN949" s="431" t="n">
        <v>36</v>
      </c>
      <c r="FO949" s="688" t="n"/>
      <c r="FP949" s="431" t="n"/>
      <c r="FQ949" s="451" t="n"/>
      <c r="FR949" s="451">
        <f>'CIRCUIT SIM'!KY39</f>
        <v/>
      </c>
      <c r="FS949" s="451" t="n"/>
      <c r="FU949" s="429" t="n">
        <v>36</v>
      </c>
      <c r="FV949" s="431" t="n">
        <v>36</v>
      </c>
      <c r="FW949" s="688" t="n"/>
      <c r="FX949" s="431" t="n"/>
      <c r="FY949" s="451" t="n"/>
      <c r="FZ949" s="562">
        <f>'CIRCUIT SIM'!JG39</f>
        <v/>
      </c>
      <c r="GA949" s="451" t="n"/>
      <c r="GC949" s="429" t="n">
        <v>36</v>
      </c>
      <c r="GD949" s="431" t="n">
        <v>36</v>
      </c>
      <c r="GE949" s="688" t="n"/>
      <c r="GF949" s="431" t="inlineStr">
        <is>
          <t>Boolean</t>
        </is>
      </c>
      <c r="GG949" s="451" t="n"/>
      <c r="GH949" s="451">
        <f>'CIRCUIT SIM'!JW39</f>
        <v/>
      </c>
      <c r="GI949" s="451" t="n"/>
      <c r="GK949" s="429" t="n">
        <v>36</v>
      </c>
      <c r="GL949" s="431" t="n">
        <v>36</v>
      </c>
      <c r="GM949" s="688" t="n"/>
      <c r="GN949" s="431" t="n"/>
      <c r="GO949" s="451" t="n"/>
      <c r="GP949" s="451" t="n"/>
      <c r="GQ949" s="451" t="n"/>
      <c r="GS949" s="429" t="n">
        <v>36</v>
      </c>
      <c r="GT949" s="431" t="n">
        <v>36</v>
      </c>
      <c r="GU949" s="688" t="n"/>
      <c r="GV949" s="431" t="inlineStr">
        <is>
          <t>Boolean</t>
        </is>
      </c>
      <c r="GW949" s="451" t="n"/>
      <c r="GX949" s="451">
        <f>'CIRCUIT SIM'!KY39</f>
        <v/>
      </c>
      <c r="GY949" s="451" t="n"/>
      <c r="HA949" s="429" t="n">
        <v>36</v>
      </c>
      <c r="HB949" s="431" t="n">
        <v>36</v>
      </c>
      <c r="HC949" s="688" t="n"/>
      <c r="HD949" s="431" t="n"/>
      <c r="HE949" s="451" t="n"/>
      <c r="HF949" s="451" t="n"/>
      <c r="HG949" s="451" t="n"/>
    </row>
    <row r="950">
      <c r="A950" s="429" t="n">
        <v>37</v>
      </c>
      <c r="B950" s="431" t="n">
        <v>37</v>
      </c>
      <c r="C950" s="688" t="n"/>
      <c r="D950" s="431" t="inlineStr">
        <is>
          <t>Boolean</t>
        </is>
      </c>
      <c r="E950" s="429" t="n"/>
      <c r="F950" s="422">
        <f>'CIRCUIT SIM'!J40</f>
        <v/>
      </c>
      <c r="G950" s="429" t="n"/>
      <c r="I950" s="429" t="n">
        <v>37</v>
      </c>
      <c r="J950" s="431" t="n">
        <v>37</v>
      </c>
      <c r="K950" s="429" t="n"/>
      <c r="L950" s="431" t="inlineStr">
        <is>
          <t>Boolean</t>
        </is>
      </c>
      <c r="M950" s="451" t="n"/>
      <c r="N950" s="422">
        <f>'CIRCUIT SIM'!Y40</f>
        <v/>
      </c>
      <c r="O950" s="451" t="n"/>
      <c r="Q950" s="429" t="n">
        <v>37</v>
      </c>
      <c r="R950" s="431" t="n">
        <v>37</v>
      </c>
      <c r="S950" s="429" t="n"/>
      <c r="T950" s="431" t="inlineStr">
        <is>
          <t>Boolean</t>
        </is>
      </c>
      <c r="U950" s="429" t="n"/>
      <c r="V950" s="386">
        <f>'CIRCUIT SIM'!AO40</f>
        <v/>
      </c>
      <c r="W950" s="451" t="n"/>
      <c r="Y950" s="429" t="n">
        <v>37</v>
      </c>
      <c r="Z950" s="431" t="n">
        <v>37</v>
      </c>
      <c r="AA950" s="429" t="n"/>
      <c r="AB950" s="431" t="n"/>
      <c r="AC950" s="451" t="n"/>
      <c r="AD950" s="451" t="n"/>
      <c r="AE950" s="451" t="n"/>
      <c r="AG950" s="429" t="n">
        <v>37</v>
      </c>
      <c r="AH950" s="431" t="n">
        <v>37</v>
      </c>
      <c r="AI950" s="429" t="n"/>
      <c r="AJ950" s="431" t="inlineStr">
        <is>
          <t>Boolean</t>
        </is>
      </c>
      <c r="AK950" s="451" t="n"/>
      <c r="AL950" s="450">
        <f>'CIRCUIT SIM'!CR40</f>
        <v/>
      </c>
      <c r="AM950" s="451" t="n"/>
      <c r="AO950" s="429" t="n">
        <v>37</v>
      </c>
      <c r="AP950" s="431" t="n">
        <v>37</v>
      </c>
      <c r="AQ950" s="429" t="n"/>
      <c r="AR950" s="431" t="inlineStr">
        <is>
          <t>Boolean</t>
        </is>
      </c>
      <c r="AS950" s="451" t="n"/>
      <c r="AT950" s="386">
        <f>'CIRCUIT SIM'!BR40</f>
        <v/>
      </c>
      <c r="AU950" s="451" t="n"/>
      <c r="AW950" s="429" t="n">
        <v>37</v>
      </c>
      <c r="AX950" s="431" t="n">
        <v>37</v>
      </c>
      <c r="AY950" s="429" t="n"/>
      <c r="AZ950" s="431" t="inlineStr">
        <is>
          <t>Boolean</t>
        </is>
      </c>
      <c r="BA950" s="451" t="n"/>
      <c r="BB950" s="451">
        <f>'CIRCUIT SIM'!CG40</f>
        <v/>
      </c>
      <c r="BC950" s="451" t="n"/>
      <c r="BE950" s="429" t="n">
        <v>37</v>
      </c>
      <c r="BF950" s="431" t="n"/>
      <c r="BG950" s="429" t="n"/>
      <c r="BH950" s="431" t="n"/>
      <c r="BI950" s="451" t="n"/>
      <c r="BJ950" s="451" t="n"/>
      <c r="BK950" s="451" t="n"/>
      <c r="BM950" s="429" t="n">
        <v>37</v>
      </c>
      <c r="BN950" s="431" t="n">
        <v>37</v>
      </c>
      <c r="BO950" s="429" t="n"/>
      <c r="BP950" s="431" t="inlineStr">
        <is>
          <t>Boolean</t>
        </is>
      </c>
      <c r="BQ950" s="451" t="n"/>
      <c r="BR950" s="451">
        <f>'CIRCUIT SIM'!DT40</f>
        <v/>
      </c>
      <c r="BS950" s="451" t="n"/>
      <c r="BU950" s="429" t="n">
        <v>37</v>
      </c>
      <c r="BV950" s="431" t="n">
        <v>37</v>
      </c>
      <c r="BW950" s="429" t="n"/>
      <c r="BX950" s="431" t="inlineStr">
        <is>
          <t>Boolean</t>
        </is>
      </c>
      <c r="BY950" s="451" t="n"/>
      <c r="BZ950" s="451">
        <f>'CIRCUIT SIM'!EI40</f>
        <v/>
      </c>
      <c r="CA950" s="451" t="n"/>
      <c r="CC950" s="429" t="n">
        <v>37</v>
      </c>
      <c r="CD950" s="431" t="n">
        <v>37</v>
      </c>
      <c r="CE950" s="688" t="n"/>
      <c r="CF950" s="431" t="inlineStr">
        <is>
          <t>Boolean</t>
        </is>
      </c>
      <c r="CG950" s="451" t="n"/>
      <c r="CH950" s="562">
        <f>'CIRCUIT SIM'!LK40</f>
        <v/>
      </c>
      <c r="CI950" s="451" t="n"/>
      <c r="CK950" s="429" t="n">
        <v>37</v>
      </c>
      <c r="CL950" s="431" t="n">
        <v>37</v>
      </c>
      <c r="CM950" s="565" t="n">
        <v>36</v>
      </c>
      <c r="CN950" s="431" t="inlineStr">
        <is>
          <t>Boolean</t>
        </is>
      </c>
      <c r="CO950" s="451" t="n"/>
      <c r="CP950" s="451">
        <f>'CIRCUIT SIM'!MA40</f>
        <v/>
      </c>
      <c r="CQ950" s="451" t="n"/>
      <c r="CS950" s="429" t="n">
        <v>37</v>
      </c>
      <c r="CT950" s="431" t="n">
        <v>37</v>
      </c>
      <c r="CU950" s="688" t="n"/>
      <c r="CV950" s="431" t="inlineStr">
        <is>
          <t>Boolean</t>
        </is>
      </c>
      <c r="CW950" s="451" t="n"/>
      <c r="CX950" s="451">
        <f>'CIRCUIT SIM'!MQ40</f>
        <v/>
      </c>
      <c r="CY950" s="451" t="n"/>
      <c r="DA950" s="429" t="n">
        <v>37</v>
      </c>
      <c r="DB950" s="431" t="n">
        <v>37</v>
      </c>
      <c r="DC950" s="688" t="n"/>
      <c r="DD950" s="431" t="inlineStr">
        <is>
          <t>Boolean</t>
        </is>
      </c>
      <c r="DE950" s="451" t="n"/>
      <c r="DF950" s="451">
        <f>'CIRCUIT SIM'!EX40</f>
        <v/>
      </c>
      <c r="DG950" s="451" t="n"/>
      <c r="DI950" s="429" t="n">
        <v>37</v>
      </c>
      <c r="DJ950" s="431" t="n">
        <v>37</v>
      </c>
      <c r="DK950" s="688" t="n"/>
      <c r="DL950" s="431" t="inlineStr">
        <is>
          <t>Boolean</t>
        </is>
      </c>
      <c r="DM950" s="429" t="n"/>
      <c r="DN950" s="451">
        <f>'CIRCUIT SIM'!FN40</f>
        <v/>
      </c>
      <c r="DO950" s="451" t="n"/>
      <c r="DQ950" s="429" t="n">
        <v>37</v>
      </c>
      <c r="DR950" s="431" t="n">
        <v>37</v>
      </c>
      <c r="DS950" s="688" t="n"/>
      <c r="DT950" s="431" t="inlineStr">
        <is>
          <t>Boolean</t>
        </is>
      </c>
      <c r="DU950" s="451" t="n"/>
      <c r="DV950" s="451">
        <f>'CIRCUIT SIM'!HT40</f>
        <v/>
      </c>
      <c r="DW950" s="451" t="n"/>
      <c r="DY950" s="429" t="n">
        <v>37</v>
      </c>
      <c r="DZ950" s="431" t="n">
        <v>37</v>
      </c>
      <c r="EA950" s="688" t="n"/>
      <c r="EB950" s="431" t="inlineStr">
        <is>
          <t>Boolean</t>
        </is>
      </c>
      <c r="EC950" s="451" t="n"/>
      <c r="ED950" s="335">
        <f>'CIRCUIT SIM'!GO40</f>
        <v/>
      </c>
      <c r="EE950" s="451" t="n"/>
      <c r="EG950" s="429" t="n">
        <v>37</v>
      </c>
      <c r="EH950" s="431" t="n">
        <v>37</v>
      </c>
      <c r="EI950" s="688" t="n"/>
      <c r="EJ950" s="431" t="inlineStr">
        <is>
          <t>Boolean</t>
        </is>
      </c>
      <c r="EK950" s="451" t="n"/>
      <c r="EL950" s="451">
        <f>'CIRCUIT SIM'!HD40</f>
        <v/>
      </c>
      <c r="EM950" s="451" t="n"/>
      <c r="EO950" s="429" t="n">
        <v>37</v>
      </c>
      <c r="EP950" s="431" t="n">
        <v>37</v>
      </c>
      <c r="EQ950" s="688" t="n"/>
      <c r="ER950" s="431" t="inlineStr">
        <is>
          <t>Boolean</t>
        </is>
      </c>
      <c r="ES950" s="451" t="n"/>
      <c r="ET950" s="451">
        <f>'CIRCUIT SIM'!HT40</f>
        <v/>
      </c>
      <c r="EU950" s="451" t="n"/>
      <c r="EW950" s="429" t="n">
        <v>37</v>
      </c>
      <c r="EX950" s="431" t="n">
        <v>37</v>
      </c>
      <c r="EY950" s="688" t="n"/>
      <c r="EZ950" s="431" t="n"/>
      <c r="FA950" s="451" t="n"/>
      <c r="FB950" s="451">
        <f>'CIRCUIT SIM'!II40</f>
        <v/>
      </c>
      <c r="FC950" s="451" t="n"/>
      <c r="FE950" s="429" t="n">
        <v>37</v>
      </c>
      <c r="FF950" s="431" t="n">
        <v>37</v>
      </c>
      <c r="FG950" s="688" t="n"/>
      <c r="FH950" s="431" t="inlineStr">
        <is>
          <t>Boolean</t>
        </is>
      </c>
      <c r="FI950" s="451" t="n"/>
      <c r="FJ950" s="451">
        <f>'CIRCUIT SIM'!IU40</f>
        <v/>
      </c>
      <c r="FK950" s="451" t="n"/>
      <c r="FM950" s="429" t="n">
        <v>37</v>
      </c>
      <c r="FN950" s="431" t="n">
        <v>37</v>
      </c>
      <c r="FO950" s="688" t="n"/>
      <c r="FP950" s="431" t="n"/>
      <c r="FQ950" s="451" t="n"/>
      <c r="FR950" s="451">
        <f>'CIRCUIT SIM'!KY40</f>
        <v/>
      </c>
      <c r="FS950" s="451" t="n"/>
      <c r="FU950" s="429" t="n">
        <v>37</v>
      </c>
      <c r="FV950" s="431" t="n">
        <v>37</v>
      </c>
      <c r="FW950" s="688" t="n"/>
      <c r="FX950" s="431" t="n"/>
      <c r="FY950" s="451" t="n"/>
      <c r="FZ950" s="562">
        <f>'CIRCUIT SIM'!JG40</f>
        <v/>
      </c>
      <c r="GA950" s="451" t="n"/>
      <c r="GC950" s="429" t="n">
        <v>37</v>
      </c>
      <c r="GD950" s="431" t="n">
        <v>37</v>
      </c>
      <c r="GE950" s="688" t="n"/>
      <c r="GF950" s="431" t="inlineStr">
        <is>
          <t>Boolean</t>
        </is>
      </c>
      <c r="GG950" s="451" t="n"/>
      <c r="GH950" s="451">
        <f>'CIRCUIT SIM'!JW40</f>
        <v/>
      </c>
      <c r="GI950" s="451" t="n"/>
      <c r="GK950" s="429" t="n">
        <v>37</v>
      </c>
      <c r="GL950" s="431" t="n">
        <v>37</v>
      </c>
      <c r="GM950" s="688" t="n"/>
      <c r="GN950" s="431" t="n"/>
      <c r="GO950" s="451" t="n"/>
      <c r="GP950" s="451" t="n"/>
      <c r="GQ950" s="451" t="n"/>
      <c r="GS950" s="429" t="n">
        <v>37</v>
      </c>
      <c r="GT950" s="431" t="n">
        <v>37</v>
      </c>
      <c r="GU950" s="688" t="n"/>
      <c r="GV950" s="431" t="inlineStr">
        <is>
          <t>Boolean</t>
        </is>
      </c>
      <c r="GW950" s="451" t="n"/>
      <c r="GX950" s="451">
        <f>'CIRCUIT SIM'!KY40</f>
        <v/>
      </c>
      <c r="GY950" s="451" t="n"/>
      <c r="HA950" s="429" t="n">
        <v>37</v>
      </c>
      <c r="HB950" s="431" t="n">
        <v>37</v>
      </c>
      <c r="HC950" s="688" t="n"/>
      <c r="HD950" s="431" t="n"/>
      <c r="HE950" s="451" t="n"/>
      <c r="HF950" s="451" t="n"/>
      <c r="HG950" s="451" t="n"/>
    </row>
    <row r="951">
      <c r="A951" s="429" t="n">
        <v>38</v>
      </c>
      <c r="B951" s="431" t="n">
        <v>38</v>
      </c>
      <c r="C951" s="688" t="n"/>
      <c r="D951" s="431" t="inlineStr">
        <is>
          <t>Boolean</t>
        </is>
      </c>
      <c r="E951" s="429" t="n"/>
      <c r="F951" s="422">
        <f>'CIRCUIT SIM'!J41</f>
        <v/>
      </c>
      <c r="G951" s="429" t="n"/>
      <c r="I951" s="429" t="n">
        <v>38</v>
      </c>
      <c r="J951" s="431" t="n">
        <v>38</v>
      </c>
      <c r="K951" s="429" t="n"/>
      <c r="L951" s="431" t="inlineStr">
        <is>
          <t>Boolean</t>
        </is>
      </c>
      <c r="M951" s="451" t="n"/>
      <c r="N951" s="422">
        <f>'CIRCUIT SIM'!Y41</f>
        <v/>
      </c>
      <c r="O951" s="451" t="n"/>
      <c r="Q951" s="429" t="n">
        <v>38</v>
      </c>
      <c r="R951" s="431" t="n">
        <v>38</v>
      </c>
      <c r="S951" s="429" t="n"/>
      <c r="T951" s="431" t="inlineStr">
        <is>
          <t>Boolean</t>
        </is>
      </c>
      <c r="U951" s="429" t="n"/>
      <c r="V951" s="386">
        <f>'CIRCUIT SIM'!AO41</f>
        <v/>
      </c>
      <c r="W951" s="451" t="n"/>
      <c r="Y951" s="429" t="n">
        <v>38</v>
      </c>
      <c r="Z951" s="431" t="n">
        <v>38</v>
      </c>
      <c r="AA951" s="429" t="n"/>
      <c r="AB951" s="431" t="n"/>
      <c r="AC951" s="451" t="n"/>
      <c r="AD951" s="451" t="n"/>
      <c r="AE951" s="451" t="n"/>
      <c r="AG951" s="429" t="n">
        <v>38</v>
      </c>
      <c r="AH951" s="431" t="n">
        <v>38</v>
      </c>
      <c r="AI951" s="429" t="n"/>
      <c r="AJ951" s="431" t="inlineStr">
        <is>
          <t>Boolean</t>
        </is>
      </c>
      <c r="AK951" s="451" t="n"/>
      <c r="AL951" s="450">
        <f>'CIRCUIT SIM'!CR41</f>
        <v/>
      </c>
      <c r="AM951" s="451" t="n"/>
      <c r="AO951" s="429" t="n">
        <v>38</v>
      </c>
      <c r="AP951" s="431" t="n">
        <v>38</v>
      </c>
      <c r="AQ951" s="429" t="n"/>
      <c r="AR951" s="431" t="inlineStr">
        <is>
          <t>Boolean</t>
        </is>
      </c>
      <c r="AS951" s="451" t="n"/>
      <c r="AT951" s="386">
        <f>'CIRCUIT SIM'!BR41</f>
        <v/>
      </c>
      <c r="AU951" s="451" t="n"/>
      <c r="AW951" s="429" t="n">
        <v>38</v>
      </c>
      <c r="AX951" s="431" t="n">
        <v>38</v>
      </c>
      <c r="AY951" s="429" t="n"/>
      <c r="AZ951" s="431" t="inlineStr">
        <is>
          <t>Boolean</t>
        </is>
      </c>
      <c r="BA951" s="451" t="n"/>
      <c r="BB951" s="451">
        <f>'CIRCUIT SIM'!CG41</f>
        <v/>
      </c>
      <c r="BC951" s="451" t="n"/>
      <c r="BE951" s="429" t="n">
        <v>38</v>
      </c>
      <c r="BF951" s="431" t="n"/>
      <c r="BG951" s="429" t="n"/>
      <c r="BH951" s="431" t="n"/>
      <c r="BI951" s="451" t="n"/>
      <c r="BJ951" s="451" t="n"/>
      <c r="BK951" s="451" t="n"/>
      <c r="BM951" s="429" t="n">
        <v>38</v>
      </c>
      <c r="BN951" s="431" t="n">
        <v>38</v>
      </c>
      <c r="BO951" s="429" t="n"/>
      <c r="BP951" s="431" t="inlineStr">
        <is>
          <t>Boolean</t>
        </is>
      </c>
      <c r="BQ951" s="451" t="n"/>
      <c r="BR951" s="451">
        <f>'CIRCUIT SIM'!DT41</f>
        <v/>
      </c>
      <c r="BS951" s="451" t="n"/>
      <c r="BU951" s="429" t="n">
        <v>38</v>
      </c>
      <c r="BV951" s="431" t="n">
        <v>38</v>
      </c>
      <c r="BW951" s="429" t="n"/>
      <c r="BX951" s="431" t="inlineStr">
        <is>
          <t>Boolean</t>
        </is>
      </c>
      <c r="BY951" s="451" t="n"/>
      <c r="BZ951" s="451">
        <f>'CIRCUIT SIM'!EI41</f>
        <v/>
      </c>
      <c r="CA951" s="451" t="n"/>
      <c r="CC951" s="429" t="n">
        <v>38</v>
      </c>
      <c r="CD951" s="431" t="n">
        <v>38</v>
      </c>
      <c r="CE951" s="688" t="n"/>
      <c r="CF951" s="431" t="inlineStr">
        <is>
          <t>Boolean</t>
        </is>
      </c>
      <c r="CG951" s="451" t="n"/>
      <c r="CH951" s="562">
        <f>'CIRCUIT SIM'!LK41</f>
        <v/>
      </c>
      <c r="CI951" s="451" t="n"/>
      <c r="CK951" s="429" t="n">
        <v>38</v>
      </c>
      <c r="CL951" s="431" t="n">
        <v>38</v>
      </c>
      <c r="CM951" s="565" t="n">
        <v>37</v>
      </c>
      <c r="CN951" s="431" t="inlineStr">
        <is>
          <t>Boolean</t>
        </is>
      </c>
      <c r="CO951" s="451" t="n"/>
      <c r="CP951" s="451">
        <f>'CIRCUIT SIM'!MA41</f>
        <v/>
      </c>
      <c r="CQ951" s="451" t="n"/>
      <c r="CS951" s="429" t="n">
        <v>38</v>
      </c>
      <c r="CT951" s="431" t="n">
        <v>38</v>
      </c>
      <c r="CU951" s="688" t="n"/>
      <c r="CV951" s="431" t="inlineStr">
        <is>
          <t>Boolean</t>
        </is>
      </c>
      <c r="CW951" s="451" t="n"/>
      <c r="CX951" s="451">
        <f>'CIRCUIT SIM'!MQ41</f>
        <v/>
      </c>
      <c r="CY951" s="451" t="n"/>
      <c r="DA951" s="429" t="n">
        <v>38</v>
      </c>
      <c r="DB951" s="431" t="n">
        <v>38</v>
      </c>
      <c r="DC951" s="688" t="n"/>
      <c r="DD951" s="431" t="inlineStr">
        <is>
          <t>Boolean</t>
        </is>
      </c>
      <c r="DE951" s="451" t="n"/>
      <c r="DF951" s="451">
        <f>'CIRCUIT SIM'!EX41</f>
        <v/>
      </c>
      <c r="DG951" s="451" t="n"/>
      <c r="DI951" s="429" t="n">
        <v>38</v>
      </c>
      <c r="DJ951" s="431" t="n">
        <v>38</v>
      </c>
      <c r="DK951" s="688" t="n"/>
      <c r="DL951" s="431" t="inlineStr">
        <is>
          <t>Boolean</t>
        </is>
      </c>
      <c r="DM951" s="429" t="n"/>
      <c r="DN951" s="451">
        <f>'CIRCUIT SIM'!FN41</f>
        <v/>
      </c>
      <c r="DO951" s="451" t="n"/>
      <c r="DQ951" s="429" t="n">
        <v>38</v>
      </c>
      <c r="DR951" s="431" t="n">
        <v>38</v>
      </c>
      <c r="DS951" s="688" t="n"/>
      <c r="DT951" s="431" t="inlineStr">
        <is>
          <t>Boolean</t>
        </is>
      </c>
      <c r="DU951" s="451" t="n"/>
      <c r="DV951" s="451">
        <f>'CIRCUIT SIM'!HT41</f>
        <v/>
      </c>
      <c r="DW951" s="451" t="n"/>
      <c r="DY951" s="429" t="n">
        <v>38</v>
      </c>
      <c r="DZ951" s="431" t="n">
        <v>38</v>
      </c>
      <c r="EA951" s="688" t="n"/>
      <c r="EB951" s="431" t="inlineStr">
        <is>
          <t>Boolean</t>
        </is>
      </c>
      <c r="EC951" s="451" t="n"/>
      <c r="ED951" s="335">
        <f>'CIRCUIT SIM'!GO41</f>
        <v/>
      </c>
      <c r="EE951" s="451" t="n"/>
      <c r="EG951" s="429" t="n">
        <v>38</v>
      </c>
      <c r="EH951" s="431" t="n">
        <v>38</v>
      </c>
      <c r="EI951" s="688" t="n"/>
      <c r="EJ951" s="431" t="inlineStr">
        <is>
          <t>Boolean</t>
        </is>
      </c>
      <c r="EK951" s="451" t="n"/>
      <c r="EL951" s="451">
        <f>'CIRCUIT SIM'!HD41</f>
        <v/>
      </c>
      <c r="EM951" s="451" t="n"/>
      <c r="EO951" s="429" t="n">
        <v>38</v>
      </c>
      <c r="EP951" s="431" t="n">
        <v>38</v>
      </c>
      <c r="EQ951" s="688" t="n"/>
      <c r="ER951" s="431" t="inlineStr">
        <is>
          <t>Boolean</t>
        </is>
      </c>
      <c r="ES951" s="451" t="n"/>
      <c r="ET951" s="451">
        <f>'CIRCUIT SIM'!HT41</f>
        <v/>
      </c>
      <c r="EU951" s="451" t="n"/>
      <c r="EW951" s="429" t="n">
        <v>38</v>
      </c>
      <c r="EX951" s="431" t="n">
        <v>38</v>
      </c>
      <c r="EY951" s="688" t="n"/>
      <c r="EZ951" s="431" t="n"/>
      <c r="FA951" s="451" t="n"/>
      <c r="FB951" s="451">
        <f>'CIRCUIT SIM'!II41</f>
        <v/>
      </c>
      <c r="FC951" s="451" t="n"/>
      <c r="FE951" s="429" t="n">
        <v>38</v>
      </c>
      <c r="FF951" s="431" t="n">
        <v>38</v>
      </c>
      <c r="FG951" s="688" t="n"/>
      <c r="FH951" s="431" t="inlineStr">
        <is>
          <t>Boolean</t>
        </is>
      </c>
      <c r="FI951" s="451" t="n"/>
      <c r="FJ951" s="451">
        <f>'CIRCUIT SIM'!IU41</f>
        <v/>
      </c>
      <c r="FK951" s="451" t="n"/>
      <c r="FM951" s="429" t="n">
        <v>38</v>
      </c>
      <c r="FN951" s="431" t="n">
        <v>38</v>
      </c>
      <c r="FO951" s="688" t="n"/>
      <c r="FP951" s="431" t="n"/>
      <c r="FQ951" s="451" t="n"/>
      <c r="FR951" s="451">
        <f>'CIRCUIT SIM'!KY41</f>
        <v/>
      </c>
      <c r="FS951" s="451" t="n"/>
      <c r="FU951" s="429" t="n">
        <v>38</v>
      </c>
      <c r="FV951" s="431" t="n">
        <v>38</v>
      </c>
      <c r="FW951" s="688" t="n"/>
      <c r="FX951" s="431" t="n"/>
      <c r="FY951" s="451" t="n"/>
      <c r="FZ951" s="562">
        <f>'CIRCUIT SIM'!JG41</f>
        <v/>
      </c>
      <c r="GA951" s="451" t="n"/>
      <c r="GC951" s="429" t="n">
        <v>38</v>
      </c>
      <c r="GD951" s="431" t="n">
        <v>38</v>
      </c>
      <c r="GE951" s="688" t="n"/>
      <c r="GF951" s="431" t="inlineStr">
        <is>
          <t>Boolean</t>
        </is>
      </c>
      <c r="GG951" s="451" t="n"/>
      <c r="GH951" s="451">
        <f>'CIRCUIT SIM'!JW41</f>
        <v/>
      </c>
      <c r="GI951" s="451" t="n"/>
      <c r="GK951" s="429" t="n">
        <v>38</v>
      </c>
      <c r="GL951" s="431" t="n">
        <v>38</v>
      </c>
      <c r="GM951" s="688" t="n"/>
      <c r="GN951" s="431" t="n"/>
      <c r="GO951" s="451" t="n"/>
      <c r="GP951" s="451" t="n"/>
      <c r="GQ951" s="451" t="n"/>
      <c r="GS951" s="429" t="n">
        <v>38</v>
      </c>
      <c r="GT951" s="431" t="n">
        <v>38</v>
      </c>
      <c r="GU951" s="688" t="n"/>
      <c r="GV951" s="431" t="inlineStr">
        <is>
          <t>Boolean</t>
        </is>
      </c>
      <c r="GW951" s="451" t="n"/>
      <c r="GX951" s="451">
        <f>'CIRCUIT SIM'!KY41</f>
        <v/>
      </c>
      <c r="GY951" s="451" t="n"/>
      <c r="HA951" s="429" t="n">
        <v>38</v>
      </c>
      <c r="HB951" s="431" t="n">
        <v>38</v>
      </c>
      <c r="HC951" s="688" t="n"/>
      <c r="HD951" s="431" t="n"/>
      <c r="HE951" s="451" t="n"/>
      <c r="HF951" s="451" t="n"/>
      <c r="HG951" s="451" t="n"/>
    </row>
    <row r="952">
      <c r="A952" s="429" t="n">
        <v>39</v>
      </c>
      <c r="B952" s="431" t="n">
        <v>39</v>
      </c>
      <c r="C952" s="688" t="n"/>
      <c r="D952" s="431" t="inlineStr">
        <is>
          <t>Boolean</t>
        </is>
      </c>
      <c r="E952" s="429" t="n"/>
      <c r="F952" s="422">
        <f>'CIRCUIT SIM'!J42</f>
        <v/>
      </c>
      <c r="G952" s="429" t="n"/>
      <c r="I952" s="429" t="n">
        <v>39</v>
      </c>
      <c r="J952" s="431" t="n">
        <v>39</v>
      </c>
      <c r="K952" s="429" t="n"/>
      <c r="L952" s="431" t="inlineStr">
        <is>
          <t>Boolean</t>
        </is>
      </c>
      <c r="M952" s="451" t="n"/>
      <c r="N952" s="422">
        <f>'CIRCUIT SIM'!Y42</f>
        <v/>
      </c>
      <c r="O952" s="451" t="n"/>
      <c r="Q952" s="429" t="n">
        <v>39</v>
      </c>
      <c r="R952" s="431" t="n">
        <v>39</v>
      </c>
      <c r="S952" s="429" t="n"/>
      <c r="T952" s="431" t="inlineStr">
        <is>
          <t>Boolean</t>
        </is>
      </c>
      <c r="U952" s="429" t="n"/>
      <c r="V952" s="386">
        <f>'CIRCUIT SIM'!AO42</f>
        <v/>
      </c>
      <c r="W952" s="451" t="n"/>
      <c r="Y952" s="429" t="n">
        <v>39</v>
      </c>
      <c r="Z952" s="431" t="n">
        <v>39</v>
      </c>
      <c r="AA952" s="429" t="n"/>
      <c r="AB952" s="431" t="n"/>
      <c r="AC952" s="451" t="n"/>
      <c r="AD952" s="451" t="n"/>
      <c r="AE952" s="451" t="n"/>
      <c r="AG952" s="429" t="n">
        <v>39</v>
      </c>
      <c r="AH952" s="431" t="n">
        <v>39</v>
      </c>
      <c r="AI952" s="429" t="n"/>
      <c r="AJ952" s="431" t="inlineStr">
        <is>
          <t>Boolean</t>
        </is>
      </c>
      <c r="AK952" s="451" t="n"/>
      <c r="AL952" s="450">
        <f>'CIRCUIT SIM'!CR42</f>
        <v/>
      </c>
      <c r="AM952" s="451" t="n"/>
      <c r="AO952" s="429" t="n">
        <v>39</v>
      </c>
      <c r="AP952" s="431" t="n">
        <v>39</v>
      </c>
      <c r="AQ952" s="429" t="n"/>
      <c r="AR952" s="431" t="inlineStr">
        <is>
          <t>Boolean</t>
        </is>
      </c>
      <c r="AS952" s="451" t="n"/>
      <c r="AT952" s="386">
        <f>'CIRCUIT SIM'!BR42</f>
        <v/>
      </c>
      <c r="AU952" s="451" t="n"/>
      <c r="AW952" s="429" t="n">
        <v>39</v>
      </c>
      <c r="AX952" s="431" t="n">
        <v>39</v>
      </c>
      <c r="AY952" s="429" t="n"/>
      <c r="AZ952" s="431" t="inlineStr">
        <is>
          <t>Boolean</t>
        </is>
      </c>
      <c r="BA952" s="451" t="n"/>
      <c r="BB952" s="451">
        <f>'CIRCUIT SIM'!CG42</f>
        <v/>
      </c>
      <c r="BC952" s="451" t="n"/>
      <c r="BE952" s="429" t="n">
        <v>39</v>
      </c>
      <c r="BF952" s="431" t="n"/>
      <c r="BG952" s="429" t="n"/>
      <c r="BH952" s="431" t="n"/>
      <c r="BI952" s="451" t="n"/>
      <c r="BJ952" s="451" t="n"/>
      <c r="BK952" s="451" t="n"/>
      <c r="BM952" s="429" t="n">
        <v>39</v>
      </c>
      <c r="BN952" s="431" t="n">
        <v>39</v>
      </c>
      <c r="BO952" s="429" t="n"/>
      <c r="BP952" s="431" t="inlineStr">
        <is>
          <t>Boolean</t>
        </is>
      </c>
      <c r="BQ952" s="451" t="n"/>
      <c r="BR952" s="451">
        <f>'CIRCUIT SIM'!DT42</f>
        <v/>
      </c>
      <c r="BS952" s="451" t="n"/>
      <c r="BU952" s="429" t="n">
        <v>39</v>
      </c>
      <c r="BV952" s="431" t="n">
        <v>39</v>
      </c>
      <c r="BW952" s="429" t="n"/>
      <c r="BX952" s="431" t="inlineStr">
        <is>
          <t>Boolean</t>
        </is>
      </c>
      <c r="BY952" s="451" t="n"/>
      <c r="BZ952" s="451">
        <f>'CIRCUIT SIM'!EI42</f>
        <v/>
      </c>
      <c r="CA952" s="451" t="n"/>
      <c r="CC952" s="429" t="n">
        <v>39</v>
      </c>
      <c r="CD952" s="431" t="n">
        <v>39</v>
      </c>
      <c r="CE952" s="688" t="n"/>
      <c r="CF952" s="431" t="inlineStr">
        <is>
          <t>Boolean</t>
        </is>
      </c>
      <c r="CG952" s="451" t="n"/>
      <c r="CH952" s="562">
        <f>'CIRCUIT SIM'!LK42</f>
        <v/>
      </c>
      <c r="CI952" s="451" t="n"/>
      <c r="CK952" s="429" t="n">
        <v>39</v>
      </c>
      <c r="CL952" s="431" t="n">
        <v>39</v>
      </c>
      <c r="CM952" s="565" t="n">
        <v>38</v>
      </c>
      <c r="CN952" s="431" t="inlineStr">
        <is>
          <t>Boolean</t>
        </is>
      </c>
      <c r="CO952" s="451" t="n"/>
      <c r="CP952" s="451">
        <f>'CIRCUIT SIM'!MA42</f>
        <v/>
      </c>
      <c r="CQ952" s="451" t="n"/>
      <c r="CS952" s="429" t="n">
        <v>39</v>
      </c>
      <c r="CT952" s="431" t="n">
        <v>39</v>
      </c>
      <c r="CU952" s="688" t="n"/>
      <c r="CV952" s="431" t="inlineStr">
        <is>
          <t>Boolean</t>
        </is>
      </c>
      <c r="CW952" s="451" t="n"/>
      <c r="CX952" s="451">
        <f>'CIRCUIT SIM'!MQ42</f>
        <v/>
      </c>
      <c r="CY952" s="451" t="n"/>
      <c r="DA952" s="429" t="n">
        <v>39</v>
      </c>
      <c r="DB952" s="431" t="n">
        <v>39</v>
      </c>
      <c r="DC952" s="688" t="n"/>
      <c r="DD952" s="431" t="inlineStr">
        <is>
          <t>Boolean</t>
        </is>
      </c>
      <c r="DE952" s="451" t="n"/>
      <c r="DF952" s="451">
        <f>'CIRCUIT SIM'!EX42</f>
        <v/>
      </c>
      <c r="DG952" s="451" t="n"/>
      <c r="DI952" s="429" t="n">
        <v>39</v>
      </c>
      <c r="DJ952" s="431" t="n">
        <v>39</v>
      </c>
      <c r="DK952" s="688" t="n"/>
      <c r="DL952" s="431" t="inlineStr">
        <is>
          <t>Boolean</t>
        </is>
      </c>
      <c r="DM952" s="429" t="n"/>
      <c r="DN952" s="451">
        <f>'CIRCUIT SIM'!FN42</f>
        <v/>
      </c>
      <c r="DO952" s="451" t="n"/>
      <c r="DQ952" s="429" t="n">
        <v>39</v>
      </c>
      <c r="DR952" s="431" t="n">
        <v>39</v>
      </c>
      <c r="DS952" s="688" t="n"/>
      <c r="DT952" s="431" t="inlineStr">
        <is>
          <t>Boolean</t>
        </is>
      </c>
      <c r="DU952" s="451" t="n"/>
      <c r="DV952" s="451">
        <f>'CIRCUIT SIM'!HT42</f>
        <v/>
      </c>
      <c r="DW952" s="451" t="n"/>
      <c r="DY952" s="429" t="n">
        <v>39</v>
      </c>
      <c r="DZ952" s="431" t="n">
        <v>39</v>
      </c>
      <c r="EA952" s="688" t="n"/>
      <c r="EB952" s="431" t="inlineStr">
        <is>
          <t>Boolean</t>
        </is>
      </c>
      <c r="EC952" s="451" t="n"/>
      <c r="ED952" s="335">
        <f>'CIRCUIT SIM'!GO42</f>
        <v/>
      </c>
      <c r="EE952" s="451" t="n"/>
      <c r="EG952" s="429" t="n">
        <v>39</v>
      </c>
      <c r="EH952" s="431" t="n">
        <v>39</v>
      </c>
      <c r="EI952" s="688" t="n"/>
      <c r="EJ952" s="431" t="inlineStr">
        <is>
          <t>Boolean</t>
        </is>
      </c>
      <c r="EK952" s="451" t="n"/>
      <c r="EL952" s="451">
        <f>'CIRCUIT SIM'!HD42</f>
        <v/>
      </c>
      <c r="EM952" s="451" t="n"/>
      <c r="EO952" s="429" t="n">
        <v>39</v>
      </c>
      <c r="EP952" s="431" t="n">
        <v>39</v>
      </c>
      <c r="EQ952" s="688" t="n"/>
      <c r="ER952" s="431" t="inlineStr">
        <is>
          <t>Boolean</t>
        </is>
      </c>
      <c r="ES952" s="451" t="n"/>
      <c r="ET952" s="451">
        <f>'CIRCUIT SIM'!HT42</f>
        <v/>
      </c>
      <c r="EU952" s="451" t="n"/>
      <c r="EW952" s="429" t="n">
        <v>39</v>
      </c>
      <c r="EX952" s="431" t="n">
        <v>39</v>
      </c>
      <c r="EY952" s="688" t="n"/>
      <c r="EZ952" s="431" t="n"/>
      <c r="FA952" s="451" t="n"/>
      <c r="FB952" s="451">
        <f>'CIRCUIT SIM'!II42</f>
        <v/>
      </c>
      <c r="FC952" s="451" t="n"/>
      <c r="FE952" s="429" t="n">
        <v>39</v>
      </c>
      <c r="FF952" s="431" t="n">
        <v>39</v>
      </c>
      <c r="FG952" s="688" t="n"/>
      <c r="FH952" s="431" t="inlineStr">
        <is>
          <t>Boolean</t>
        </is>
      </c>
      <c r="FI952" s="451" t="n"/>
      <c r="FJ952" s="451">
        <f>'CIRCUIT SIM'!IU42</f>
        <v/>
      </c>
      <c r="FK952" s="451" t="n"/>
      <c r="FM952" s="429" t="n">
        <v>39</v>
      </c>
      <c r="FN952" s="431" t="n">
        <v>39</v>
      </c>
      <c r="FO952" s="688" t="n"/>
      <c r="FP952" s="431" t="n"/>
      <c r="FQ952" s="451" t="n"/>
      <c r="FR952" s="451">
        <f>'CIRCUIT SIM'!KY42</f>
        <v/>
      </c>
      <c r="FS952" s="451" t="n"/>
      <c r="FU952" s="429" t="n">
        <v>39</v>
      </c>
      <c r="FV952" s="431" t="n">
        <v>39</v>
      </c>
      <c r="FW952" s="688" t="n"/>
      <c r="FX952" s="431" t="n"/>
      <c r="FY952" s="451" t="inlineStr">
        <is>
          <t> </t>
        </is>
      </c>
      <c r="FZ952" s="562">
        <f>'CIRCUIT SIM'!JG42</f>
        <v/>
      </c>
      <c r="GA952" s="451" t="n"/>
      <c r="GC952" s="429" t="n">
        <v>39</v>
      </c>
      <c r="GD952" s="431" t="n">
        <v>39</v>
      </c>
      <c r="GE952" s="688" t="n"/>
      <c r="GF952" s="431" t="inlineStr">
        <is>
          <t>Boolean</t>
        </is>
      </c>
      <c r="GG952" s="451" t="n"/>
      <c r="GH952" s="451">
        <f>'CIRCUIT SIM'!JW42</f>
        <v/>
      </c>
      <c r="GI952" s="451" t="n"/>
      <c r="GK952" s="429" t="n">
        <v>39</v>
      </c>
      <c r="GL952" s="431" t="n">
        <v>39</v>
      </c>
      <c r="GM952" s="688" t="n"/>
      <c r="GN952" s="431" t="n"/>
      <c r="GO952" s="451" t="n"/>
      <c r="GP952" s="451" t="n"/>
      <c r="GQ952" s="451" t="n"/>
      <c r="GS952" s="429" t="n">
        <v>39</v>
      </c>
      <c r="GT952" s="431" t="n">
        <v>39</v>
      </c>
      <c r="GU952" s="688" t="n"/>
      <c r="GV952" s="431" t="inlineStr">
        <is>
          <t>Boolean</t>
        </is>
      </c>
      <c r="GW952" s="451" t="n"/>
      <c r="GX952" s="451">
        <f>'CIRCUIT SIM'!KY42</f>
        <v/>
      </c>
      <c r="GY952" s="451" t="n"/>
      <c r="HA952" s="429" t="n">
        <v>39</v>
      </c>
      <c r="HB952" s="431" t="n">
        <v>39</v>
      </c>
      <c r="HC952" s="688" t="n"/>
      <c r="HD952" s="431" t="n"/>
      <c r="HE952" s="451" t="n"/>
      <c r="HF952" s="451" t="n"/>
      <c r="HG952" s="451" t="n"/>
    </row>
    <row r="953">
      <c r="A953" s="429" t="n">
        <v>40</v>
      </c>
      <c r="B953" s="431" t="n">
        <v>40</v>
      </c>
      <c r="C953" s="688" t="n"/>
      <c r="D953" s="431" t="inlineStr">
        <is>
          <t>Boolean</t>
        </is>
      </c>
      <c r="E953" s="429" t="n"/>
      <c r="F953" s="422">
        <f>'CIRCUIT SIM'!J43</f>
        <v/>
      </c>
      <c r="G953" s="429" t="n"/>
      <c r="I953" s="429" t="n">
        <v>40</v>
      </c>
      <c r="J953" s="431" t="n">
        <v>40</v>
      </c>
      <c r="K953" s="429" t="n"/>
      <c r="L953" s="431" t="inlineStr">
        <is>
          <t>Boolean</t>
        </is>
      </c>
      <c r="M953" s="451" t="n"/>
      <c r="N953" s="422">
        <f>'CIRCUIT SIM'!Y43</f>
        <v/>
      </c>
      <c r="O953" s="451" t="n"/>
      <c r="Q953" s="429" t="n">
        <v>40</v>
      </c>
      <c r="R953" s="431" t="n">
        <v>40</v>
      </c>
      <c r="S953" s="429" t="n"/>
      <c r="T953" s="431" t="inlineStr">
        <is>
          <t>Boolean</t>
        </is>
      </c>
      <c r="U953" s="429" t="n"/>
      <c r="V953" s="386">
        <f>'CIRCUIT SIM'!AO43</f>
        <v/>
      </c>
      <c r="W953" s="451" t="n"/>
      <c r="Y953" s="429" t="n">
        <v>40</v>
      </c>
      <c r="Z953" s="431" t="n">
        <v>40</v>
      </c>
      <c r="AA953" s="429" t="n"/>
      <c r="AB953" s="431" t="n"/>
      <c r="AC953" s="451" t="n"/>
      <c r="AD953" s="451" t="n"/>
      <c r="AE953" s="451" t="n"/>
      <c r="AG953" s="429" t="n">
        <v>40</v>
      </c>
      <c r="AH953" s="431" t="n">
        <v>40</v>
      </c>
      <c r="AI953" s="429" t="n"/>
      <c r="AJ953" s="431" t="inlineStr">
        <is>
          <t>Boolean</t>
        </is>
      </c>
      <c r="AK953" s="451" t="n"/>
      <c r="AL953" s="450">
        <f>'CIRCUIT SIM'!CR43</f>
        <v/>
      </c>
      <c r="AM953" s="451" t="n"/>
      <c r="AO953" s="429" t="n">
        <v>40</v>
      </c>
      <c r="AP953" s="431" t="n">
        <v>40</v>
      </c>
      <c r="AQ953" s="429" t="n"/>
      <c r="AR953" s="431" t="inlineStr">
        <is>
          <t>Boolean</t>
        </is>
      </c>
      <c r="AS953" s="451" t="n"/>
      <c r="AT953" s="386">
        <f>'CIRCUIT SIM'!BR43</f>
        <v/>
      </c>
      <c r="AU953" s="451" t="n"/>
      <c r="AW953" s="429" t="n">
        <v>40</v>
      </c>
      <c r="AX953" s="431" t="n">
        <v>40</v>
      </c>
      <c r="AY953" s="429" t="n"/>
      <c r="AZ953" s="431" t="inlineStr">
        <is>
          <t>Boolean</t>
        </is>
      </c>
      <c r="BA953" s="451" t="n"/>
      <c r="BB953" s="451">
        <f>'CIRCUIT SIM'!CG43</f>
        <v/>
      </c>
      <c r="BC953" s="451" t="n"/>
      <c r="BE953" s="429" t="n">
        <v>40</v>
      </c>
      <c r="BF953" s="431" t="n"/>
      <c r="BG953" s="429" t="n"/>
      <c r="BH953" s="431" t="n"/>
      <c r="BI953" s="451" t="n"/>
      <c r="BJ953" s="451" t="n"/>
      <c r="BK953" s="451" t="n"/>
      <c r="BM953" s="429" t="n">
        <v>40</v>
      </c>
      <c r="BN953" s="431" t="n">
        <v>40</v>
      </c>
      <c r="BO953" s="429" t="n"/>
      <c r="BP953" s="431" t="inlineStr">
        <is>
          <t>Boolean</t>
        </is>
      </c>
      <c r="BQ953" s="451" t="n"/>
      <c r="BR953" s="451">
        <f>'CIRCUIT SIM'!DT43</f>
        <v/>
      </c>
      <c r="BS953" s="451" t="n"/>
      <c r="BU953" s="429" t="n">
        <v>40</v>
      </c>
      <c r="BV953" s="431" t="n">
        <v>40</v>
      </c>
      <c r="BW953" s="429" t="n"/>
      <c r="BX953" s="431" t="inlineStr">
        <is>
          <t>Boolean</t>
        </is>
      </c>
      <c r="BY953" s="451" t="n"/>
      <c r="BZ953" s="451">
        <f>'CIRCUIT SIM'!EI43</f>
        <v/>
      </c>
      <c r="CA953" s="451" t="n"/>
      <c r="CC953" s="429" t="n">
        <v>40</v>
      </c>
      <c r="CD953" s="431" t="n">
        <v>40</v>
      </c>
      <c r="CE953" s="688" t="n"/>
      <c r="CF953" s="431" t="inlineStr">
        <is>
          <t>Boolean</t>
        </is>
      </c>
      <c r="CG953" s="451" t="n"/>
      <c r="CH953" s="562">
        <f>'CIRCUIT SIM'!LK43</f>
        <v/>
      </c>
      <c r="CI953" s="451" t="n"/>
      <c r="CK953" s="429" t="n">
        <v>40</v>
      </c>
      <c r="CL953" s="431" t="n">
        <v>40</v>
      </c>
      <c r="CM953" s="565" t="n">
        <v>39</v>
      </c>
      <c r="CN953" s="431" t="inlineStr">
        <is>
          <t>Boolean</t>
        </is>
      </c>
      <c r="CO953" s="451" t="n"/>
      <c r="CP953" s="451">
        <f>'CIRCUIT SIM'!MA43</f>
        <v/>
      </c>
      <c r="CQ953" s="451" t="n"/>
      <c r="CS953" s="429" t="n">
        <v>40</v>
      </c>
      <c r="CT953" s="431" t="n">
        <v>40</v>
      </c>
      <c r="CU953" s="688" t="n"/>
      <c r="CV953" s="431" t="inlineStr">
        <is>
          <t>Boolean</t>
        </is>
      </c>
      <c r="CW953" s="451" t="n"/>
      <c r="CX953" s="451">
        <f>'CIRCUIT SIM'!MQ43</f>
        <v/>
      </c>
      <c r="CY953" s="451" t="n"/>
      <c r="DA953" s="429" t="n">
        <v>40</v>
      </c>
      <c r="DB953" s="431" t="n">
        <v>40</v>
      </c>
      <c r="DC953" s="688" t="n"/>
      <c r="DD953" s="431" t="inlineStr">
        <is>
          <t>Boolean</t>
        </is>
      </c>
      <c r="DE953" s="451" t="n"/>
      <c r="DF953" s="451">
        <f>'CIRCUIT SIM'!EX43</f>
        <v/>
      </c>
      <c r="DG953" s="451" t="n"/>
      <c r="DI953" s="429" t="n">
        <v>40</v>
      </c>
      <c r="DJ953" s="431" t="n">
        <v>40</v>
      </c>
      <c r="DK953" s="688" t="n"/>
      <c r="DL953" s="431" t="inlineStr">
        <is>
          <t>Boolean</t>
        </is>
      </c>
      <c r="DM953" s="429" t="n"/>
      <c r="DN953" s="451">
        <f>'CIRCUIT SIM'!FN43</f>
        <v/>
      </c>
      <c r="DO953" s="451" t="n"/>
      <c r="DQ953" s="429" t="n">
        <v>40</v>
      </c>
      <c r="DR953" s="431" t="n">
        <v>40</v>
      </c>
      <c r="DS953" s="688" t="n"/>
      <c r="DT953" s="431" t="inlineStr">
        <is>
          <t>Boolean</t>
        </is>
      </c>
      <c r="DU953" s="451" t="n"/>
      <c r="DV953" s="451">
        <f>'CIRCUIT SIM'!HT43</f>
        <v/>
      </c>
      <c r="DW953" s="451" t="n"/>
      <c r="DY953" s="429" t="n">
        <v>40</v>
      </c>
      <c r="DZ953" s="431" t="n">
        <v>40</v>
      </c>
      <c r="EA953" s="688" t="n"/>
      <c r="EB953" s="431" t="inlineStr">
        <is>
          <t>Boolean</t>
        </is>
      </c>
      <c r="EC953" s="451" t="n"/>
      <c r="ED953" s="335">
        <f>'CIRCUIT SIM'!GO43</f>
        <v/>
      </c>
      <c r="EE953" s="451" t="n"/>
      <c r="EG953" s="429" t="n">
        <v>40</v>
      </c>
      <c r="EH953" s="431" t="n">
        <v>40</v>
      </c>
      <c r="EI953" s="688" t="n"/>
      <c r="EJ953" s="431" t="inlineStr">
        <is>
          <t>Boolean</t>
        </is>
      </c>
      <c r="EK953" s="451" t="n"/>
      <c r="EL953" s="451">
        <f>'CIRCUIT SIM'!HD43</f>
        <v/>
      </c>
      <c r="EM953" s="451" t="n"/>
      <c r="EO953" s="429" t="n">
        <v>40</v>
      </c>
      <c r="EP953" s="431" t="n">
        <v>40</v>
      </c>
      <c r="EQ953" s="688" t="n"/>
      <c r="ER953" s="431" t="inlineStr">
        <is>
          <t>Boolean</t>
        </is>
      </c>
      <c r="ES953" s="451" t="n"/>
      <c r="ET953" s="451">
        <f>'CIRCUIT SIM'!HT43</f>
        <v/>
      </c>
      <c r="EU953" s="451" t="n"/>
      <c r="EW953" s="429" t="n">
        <v>40</v>
      </c>
      <c r="EX953" s="431" t="n">
        <v>40</v>
      </c>
      <c r="EY953" s="688" t="n"/>
      <c r="EZ953" s="431" t="n"/>
      <c r="FA953" s="451" t="n"/>
      <c r="FB953" s="451" t="n"/>
      <c r="FC953" s="451" t="n"/>
      <c r="FE953" s="429" t="n">
        <v>40</v>
      </c>
      <c r="FF953" s="431" t="n">
        <v>40</v>
      </c>
      <c r="FG953" s="688" t="n"/>
      <c r="FH953" s="431" t="inlineStr">
        <is>
          <t>Boolean</t>
        </is>
      </c>
      <c r="FI953" s="451" t="n"/>
      <c r="FJ953" s="451">
        <f>'CIRCUIT SIM'!IU43</f>
        <v/>
      </c>
      <c r="FK953" s="451" t="n"/>
      <c r="FM953" s="429" t="n">
        <v>40</v>
      </c>
      <c r="FN953" s="431" t="n">
        <v>40</v>
      </c>
      <c r="FO953" s="688" t="n"/>
      <c r="FP953" s="431" t="n"/>
      <c r="FQ953" s="451" t="n"/>
      <c r="FR953" s="451">
        <f>'CIRCUIT SIM'!KY43</f>
        <v/>
      </c>
      <c r="FS953" s="451" t="n"/>
      <c r="FU953" s="429" t="n">
        <v>40</v>
      </c>
      <c r="FV953" s="431" t="n">
        <v>40</v>
      </c>
      <c r="FW953" s="688" t="n"/>
      <c r="FX953" s="431" t="inlineStr">
        <is>
          <t> </t>
        </is>
      </c>
      <c r="FY953" s="451" t="n"/>
      <c r="FZ953" s="562">
        <f>'CIRCUIT SIM'!JG43</f>
        <v/>
      </c>
      <c r="GA953" s="451" t="n"/>
      <c r="GC953" s="429" t="n">
        <v>40</v>
      </c>
      <c r="GD953" s="431" t="n">
        <v>40</v>
      </c>
      <c r="GE953" s="688" t="n"/>
      <c r="GF953" s="431" t="n"/>
      <c r="GG953" s="451" t="n"/>
      <c r="GH953" s="451">
        <f>'CIRCUIT SIM'!JW43</f>
        <v/>
      </c>
      <c r="GI953" s="451" t="n"/>
      <c r="GK953" s="429" t="n">
        <v>40</v>
      </c>
      <c r="GL953" s="431" t="n">
        <v>40</v>
      </c>
      <c r="GM953" s="688" t="n"/>
      <c r="GN953" s="431" t="n"/>
      <c r="GO953" s="451" t="n"/>
      <c r="GP953" s="451" t="n"/>
      <c r="GQ953" s="451" t="n"/>
      <c r="GS953" s="429" t="n">
        <v>40</v>
      </c>
      <c r="GT953" s="431" t="n">
        <v>40</v>
      </c>
      <c r="GU953" s="688" t="n"/>
      <c r="GV953" s="431" t="inlineStr">
        <is>
          <t>Boolean</t>
        </is>
      </c>
      <c r="GW953" s="451" t="n"/>
      <c r="GX953" s="451">
        <f>'CIRCUIT SIM'!KY43</f>
        <v/>
      </c>
      <c r="GY953" s="451" t="n"/>
      <c r="HA953" s="429" t="n">
        <v>40</v>
      </c>
      <c r="HB953" s="431" t="n">
        <v>40</v>
      </c>
      <c r="HC953" s="688" t="n"/>
      <c r="HD953" s="431" t="n"/>
      <c r="HE953" s="451" t="n"/>
      <c r="HF953" s="451" t="n"/>
      <c r="HG953" s="451" t="n"/>
    </row>
    <row r="954">
      <c r="A954" s="429" t="n">
        <v>41</v>
      </c>
      <c r="B954" s="431" t="n">
        <v>41</v>
      </c>
      <c r="C954" s="688" t="n"/>
      <c r="D954" s="431" t="inlineStr">
        <is>
          <t>Boolean</t>
        </is>
      </c>
      <c r="E954" s="429" t="n"/>
      <c r="F954" s="422">
        <f>'CIRCUIT SIM'!J44</f>
        <v/>
      </c>
      <c r="G954" s="429" t="n"/>
      <c r="I954" s="429" t="n">
        <v>41</v>
      </c>
      <c r="J954" s="431" t="n">
        <v>41</v>
      </c>
      <c r="K954" s="429" t="n"/>
      <c r="L954" s="431" t="inlineStr">
        <is>
          <t>Boolean</t>
        </is>
      </c>
      <c r="M954" s="451" t="n"/>
      <c r="N954" s="422">
        <f>'CIRCUIT SIM'!Y44</f>
        <v/>
      </c>
      <c r="O954" s="451" t="n"/>
      <c r="Q954" s="429" t="n">
        <v>41</v>
      </c>
      <c r="R954" s="431" t="n">
        <v>41</v>
      </c>
      <c r="S954" s="429" t="n"/>
      <c r="T954" s="431" t="inlineStr">
        <is>
          <t>Boolean</t>
        </is>
      </c>
      <c r="U954" s="429" t="n"/>
      <c r="V954" s="386">
        <f>'CIRCUIT SIM'!AO44</f>
        <v/>
      </c>
      <c r="W954" s="451" t="n"/>
      <c r="Y954" s="429" t="n">
        <v>41</v>
      </c>
      <c r="Z954" s="431" t="n">
        <v>41</v>
      </c>
      <c r="AA954" s="429" t="n"/>
      <c r="AB954" s="431" t="n"/>
      <c r="AC954" s="451" t="n"/>
      <c r="AD954" s="451" t="n"/>
      <c r="AE954" s="451" t="n"/>
      <c r="AG954" s="429" t="n">
        <v>41</v>
      </c>
      <c r="AH954" s="431" t="n">
        <v>41</v>
      </c>
      <c r="AI954" s="429" t="n"/>
      <c r="AJ954" s="431" t="inlineStr">
        <is>
          <t>Boolean</t>
        </is>
      </c>
      <c r="AK954" s="451" t="n"/>
      <c r="AL954" s="450">
        <f>'CIRCUIT SIM'!CR44</f>
        <v/>
      </c>
      <c r="AM954" s="451" t="n"/>
      <c r="AO954" s="429" t="n">
        <v>41</v>
      </c>
      <c r="AP954" s="431" t="n">
        <v>41</v>
      </c>
      <c r="AQ954" s="429" t="n"/>
      <c r="AR954" s="431" t="inlineStr">
        <is>
          <t>Boolean</t>
        </is>
      </c>
      <c r="AS954" s="451" t="n"/>
      <c r="AT954" s="386">
        <f>'CIRCUIT SIM'!BR44</f>
        <v/>
      </c>
      <c r="AU954" s="451" t="n"/>
      <c r="AW954" s="429" t="n">
        <v>41</v>
      </c>
      <c r="AX954" s="431" t="n">
        <v>41</v>
      </c>
      <c r="AY954" s="429" t="n"/>
      <c r="AZ954" s="431" t="inlineStr">
        <is>
          <t>Boolean</t>
        </is>
      </c>
      <c r="BA954" s="451" t="n"/>
      <c r="BB954" s="451">
        <f>'CIRCUIT SIM'!CG44</f>
        <v/>
      </c>
      <c r="BC954" s="451" t="n"/>
      <c r="BE954" s="429" t="n">
        <v>41</v>
      </c>
      <c r="BF954" s="431" t="n"/>
      <c r="BG954" s="429" t="n"/>
      <c r="BH954" s="431" t="n"/>
      <c r="BI954" s="451" t="n"/>
      <c r="BJ954" s="451" t="n"/>
      <c r="BK954" s="451" t="n"/>
      <c r="BM954" s="429" t="n">
        <v>41</v>
      </c>
      <c r="BN954" s="431" t="n">
        <v>41</v>
      </c>
      <c r="BO954" s="429" t="n"/>
      <c r="BP954" s="431" t="inlineStr">
        <is>
          <t>Boolean</t>
        </is>
      </c>
      <c r="BQ954" s="451" t="n"/>
      <c r="BR954" s="451">
        <f>'CIRCUIT SIM'!DT44</f>
        <v/>
      </c>
      <c r="BS954" s="451" t="n"/>
      <c r="BU954" s="429" t="n">
        <v>41</v>
      </c>
      <c r="BV954" s="431" t="n">
        <v>41</v>
      </c>
      <c r="BW954" s="429" t="n"/>
      <c r="BX954" s="431" t="inlineStr">
        <is>
          <t>Boolean</t>
        </is>
      </c>
      <c r="BY954" s="451" t="n"/>
      <c r="BZ954" s="451">
        <f>'CIRCUIT SIM'!EI44</f>
        <v/>
      </c>
      <c r="CA954" s="451" t="n"/>
      <c r="CC954" s="429" t="n">
        <v>41</v>
      </c>
      <c r="CD954" s="431" t="n">
        <v>41</v>
      </c>
      <c r="CE954" s="688" t="n"/>
      <c r="CF954" s="431" t="inlineStr">
        <is>
          <t>Boolean</t>
        </is>
      </c>
      <c r="CG954" s="451" t="n"/>
      <c r="CH954" s="562">
        <f>'CIRCUIT SIM'!LK44</f>
        <v/>
      </c>
      <c r="CI954" s="451" t="n"/>
      <c r="CK954" s="429" t="n">
        <v>41</v>
      </c>
      <c r="CL954" s="431" t="n">
        <v>41</v>
      </c>
      <c r="CM954" s="565" t="n">
        <v>40</v>
      </c>
      <c r="CN954" s="431" t="inlineStr">
        <is>
          <t>Boolean</t>
        </is>
      </c>
      <c r="CO954" s="451" t="n"/>
      <c r="CP954" s="451">
        <f>'CIRCUIT SIM'!MA44</f>
        <v/>
      </c>
      <c r="CQ954" s="451" t="n"/>
      <c r="CS954" s="429" t="n">
        <v>41</v>
      </c>
      <c r="CT954" s="431" t="n">
        <v>41</v>
      </c>
      <c r="CU954" s="688" t="n"/>
      <c r="CV954" s="431" t="inlineStr">
        <is>
          <t>Boolean</t>
        </is>
      </c>
      <c r="CW954" s="451" t="n"/>
      <c r="CX954" s="451">
        <f>'CIRCUIT SIM'!MQ44</f>
        <v/>
      </c>
      <c r="CY954" s="451" t="n"/>
      <c r="DA954" s="429" t="n">
        <v>41</v>
      </c>
      <c r="DB954" s="431" t="n">
        <v>41</v>
      </c>
      <c r="DC954" s="688" t="n"/>
      <c r="DD954" s="431" t="inlineStr">
        <is>
          <t>Boolean</t>
        </is>
      </c>
      <c r="DE954" s="451" t="n"/>
      <c r="DF954" s="451">
        <f>'CIRCUIT SIM'!EX44</f>
        <v/>
      </c>
      <c r="DG954" s="451" t="n"/>
      <c r="DI954" s="429" t="n">
        <v>41</v>
      </c>
      <c r="DJ954" s="431" t="n">
        <v>41</v>
      </c>
      <c r="DK954" s="688" t="n"/>
      <c r="DL954" s="431" t="inlineStr">
        <is>
          <t>Boolean</t>
        </is>
      </c>
      <c r="DM954" s="429" t="n"/>
      <c r="DN954" s="451">
        <f>'CIRCUIT SIM'!FN44</f>
        <v/>
      </c>
      <c r="DO954" s="451" t="n"/>
      <c r="DQ954" s="429" t="n">
        <v>41</v>
      </c>
      <c r="DR954" s="431" t="n">
        <v>41</v>
      </c>
      <c r="DS954" s="688" t="n"/>
      <c r="DT954" s="431" t="inlineStr">
        <is>
          <t>Boolean</t>
        </is>
      </c>
      <c r="DU954" s="451" t="n"/>
      <c r="DV954" s="451">
        <f>'CIRCUIT SIM'!HT44</f>
        <v/>
      </c>
      <c r="DW954" s="451" t="n"/>
      <c r="DY954" s="429" t="n">
        <v>41</v>
      </c>
      <c r="DZ954" s="431" t="n">
        <v>41</v>
      </c>
      <c r="EA954" s="688" t="n"/>
      <c r="EB954" s="431" t="inlineStr">
        <is>
          <t>Boolean</t>
        </is>
      </c>
      <c r="EC954" s="451" t="n"/>
      <c r="ED954" s="335">
        <f>'CIRCUIT SIM'!GO44</f>
        <v/>
      </c>
      <c r="EE954" s="451" t="n"/>
      <c r="EG954" s="429" t="n">
        <v>41</v>
      </c>
      <c r="EH954" s="431" t="n">
        <v>41</v>
      </c>
      <c r="EI954" s="688" t="n"/>
      <c r="EJ954" s="431" t="inlineStr">
        <is>
          <t>Boolean</t>
        </is>
      </c>
      <c r="EK954" s="451" t="n"/>
      <c r="EL954" s="451">
        <f>'CIRCUIT SIM'!HD44</f>
        <v/>
      </c>
      <c r="EM954" s="451" t="n"/>
      <c r="EO954" s="429" t="n">
        <v>41</v>
      </c>
      <c r="EP954" s="431" t="n">
        <v>41</v>
      </c>
      <c r="EQ954" s="688" t="n"/>
      <c r="ER954" s="431" t="inlineStr">
        <is>
          <t>Boolean</t>
        </is>
      </c>
      <c r="ES954" s="451" t="n"/>
      <c r="ET954" s="451">
        <f>'CIRCUIT SIM'!HT44</f>
        <v/>
      </c>
      <c r="EU954" s="451" t="n"/>
      <c r="EW954" s="429" t="n">
        <v>41</v>
      </c>
      <c r="EX954" s="431" t="n">
        <v>41</v>
      </c>
      <c r="EY954" s="688" t="n"/>
      <c r="EZ954" s="431" t="n"/>
      <c r="FA954" s="451" t="n"/>
      <c r="FB954" s="451" t="n"/>
      <c r="FC954" s="451" t="n"/>
      <c r="FE954" s="429" t="n">
        <v>41</v>
      </c>
      <c r="FF954" s="431" t="n">
        <v>41</v>
      </c>
      <c r="FG954" s="688" t="n"/>
      <c r="FH954" s="431" t="n"/>
      <c r="FI954" s="451" t="n"/>
      <c r="FJ954" s="451">
        <f>'CIRCUIT SIM'!IU44</f>
        <v/>
      </c>
      <c r="FK954" s="451" t="n"/>
      <c r="FM954" s="429" t="n">
        <v>41</v>
      </c>
      <c r="FN954" s="431" t="n">
        <v>41</v>
      </c>
      <c r="FO954" s="688" t="n"/>
      <c r="FP954" s="431" t="n"/>
      <c r="FQ954" s="451" t="inlineStr">
        <is>
          <t> </t>
        </is>
      </c>
      <c r="FR954" s="451">
        <f>'CIRCUIT SIM'!KY44</f>
        <v/>
      </c>
      <c r="FS954" s="451" t="n"/>
      <c r="FU954" s="429" t="n">
        <v>41</v>
      </c>
      <c r="FV954" s="431" t="n">
        <v>41</v>
      </c>
      <c r="FW954" s="688" t="n"/>
      <c r="FX954" s="431" t="n"/>
      <c r="FY954" s="451" t="inlineStr">
        <is>
          <t> </t>
        </is>
      </c>
      <c r="FZ954" s="562">
        <f>'CIRCUIT SIM'!JG44</f>
        <v/>
      </c>
      <c r="GA954" s="451" t="n"/>
      <c r="GC954" s="429" t="n">
        <v>41</v>
      </c>
      <c r="GD954" s="431" t="n">
        <v>41</v>
      </c>
      <c r="GE954" s="688" t="n"/>
      <c r="GF954" s="431" t="n"/>
      <c r="GG954" s="451" t="n"/>
      <c r="GH954" s="451">
        <f>'CIRCUIT SIM'!JW44</f>
        <v/>
      </c>
      <c r="GI954" s="451" t="inlineStr">
        <is>
          <t> </t>
        </is>
      </c>
      <c r="GK954" s="429" t="n">
        <v>41</v>
      </c>
      <c r="GL954" s="431" t="n">
        <v>41</v>
      </c>
      <c r="GM954" s="688" t="n"/>
      <c r="GN954" s="431" t="n"/>
      <c r="GO954" s="451" t="n"/>
      <c r="GP954" s="451" t="n"/>
      <c r="GQ954" s="451" t="n"/>
      <c r="GS954" s="429" t="n">
        <v>41</v>
      </c>
      <c r="GT954" s="431" t="n">
        <v>41</v>
      </c>
      <c r="GU954" s="688" t="n"/>
      <c r="GV954" s="431" t="inlineStr">
        <is>
          <t>Boolean</t>
        </is>
      </c>
      <c r="GW954" s="451" t="n"/>
      <c r="GX954" s="451">
        <f>'CIRCUIT SIM'!KY44</f>
        <v/>
      </c>
      <c r="GY954" s="451" t="n"/>
      <c r="HA954" s="429" t="n">
        <v>41</v>
      </c>
      <c r="HB954" s="431" t="n">
        <v>41</v>
      </c>
      <c r="HC954" s="688" t="n"/>
      <c r="HD954" s="431" t="n"/>
      <c r="HE954" s="451" t="n"/>
      <c r="HF954" s="451" t="n"/>
      <c r="HG954" s="451" t="n"/>
    </row>
    <row r="955">
      <c r="A955" s="429" t="n">
        <v>42</v>
      </c>
      <c r="B955" s="431" t="n">
        <v>42</v>
      </c>
      <c r="C955" s="688" t="n"/>
      <c r="D955" s="431" t="inlineStr">
        <is>
          <t>Boolean</t>
        </is>
      </c>
      <c r="E955" s="429" t="n"/>
      <c r="F955" s="422">
        <f>'CIRCUIT SIM'!J45</f>
        <v/>
      </c>
      <c r="G955" s="429" t="n"/>
      <c r="I955" s="429" t="n">
        <v>42</v>
      </c>
      <c r="J955" s="431" t="n">
        <v>42</v>
      </c>
      <c r="K955" s="429" t="n"/>
      <c r="L955" s="431" t="inlineStr">
        <is>
          <t>Boolean</t>
        </is>
      </c>
      <c r="M955" s="451" t="n"/>
      <c r="N955" s="422">
        <f>'CIRCUIT SIM'!Y45</f>
        <v/>
      </c>
      <c r="O955" s="451" t="n"/>
      <c r="Q955" s="429" t="n">
        <v>42</v>
      </c>
      <c r="R955" s="431" t="n">
        <v>42</v>
      </c>
      <c r="S955" s="429" t="n"/>
      <c r="T955" s="431" t="inlineStr">
        <is>
          <t>Boolean</t>
        </is>
      </c>
      <c r="U955" s="429" t="n"/>
      <c r="V955" s="386">
        <f>'CIRCUIT SIM'!AO45</f>
        <v/>
      </c>
      <c r="W955" s="451" t="n"/>
      <c r="Y955" s="429" t="n">
        <v>42</v>
      </c>
      <c r="Z955" s="431" t="n">
        <v>42</v>
      </c>
      <c r="AA955" s="429" t="n"/>
      <c r="AB955" s="431" t="n"/>
      <c r="AC955" s="451" t="n"/>
      <c r="AD955" s="451" t="n"/>
      <c r="AE955" s="451" t="n"/>
      <c r="AG955" s="429" t="n">
        <v>42</v>
      </c>
      <c r="AH955" s="431" t="n">
        <v>42</v>
      </c>
      <c r="AI955" s="429" t="n"/>
      <c r="AJ955" s="431" t="inlineStr">
        <is>
          <t>Boolean</t>
        </is>
      </c>
      <c r="AK955" s="451" t="n"/>
      <c r="AL955" s="450">
        <f>'CIRCUIT SIM'!CR45</f>
        <v/>
      </c>
      <c r="AM955" s="451" t="n"/>
      <c r="AO955" s="429" t="n">
        <v>42</v>
      </c>
      <c r="AP955" s="431" t="n">
        <v>42</v>
      </c>
      <c r="AQ955" s="429" t="n"/>
      <c r="AR955" s="431" t="inlineStr">
        <is>
          <t>Boolean</t>
        </is>
      </c>
      <c r="AS955" s="451" t="n"/>
      <c r="AT955" s="386">
        <f>'CIRCUIT SIM'!BR45</f>
        <v/>
      </c>
      <c r="AU955" s="451" t="n"/>
      <c r="AW955" s="429" t="n">
        <v>42</v>
      </c>
      <c r="AX955" s="431" t="n">
        <v>42</v>
      </c>
      <c r="AY955" s="429" t="n"/>
      <c r="AZ955" s="431" t="inlineStr">
        <is>
          <t>Boolean</t>
        </is>
      </c>
      <c r="BA955" s="451" t="n"/>
      <c r="BB955" s="451">
        <f>'CIRCUIT SIM'!CG45</f>
        <v/>
      </c>
      <c r="BC955" s="451" t="n"/>
      <c r="BE955" s="429" t="n">
        <v>42</v>
      </c>
      <c r="BF955" s="431" t="n"/>
      <c r="BG955" s="429" t="n"/>
      <c r="BH955" s="431" t="n"/>
      <c r="BI955" s="451" t="n"/>
      <c r="BJ955" s="451" t="n"/>
      <c r="BK955" s="451" t="n"/>
      <c r="BM955" s="429" t="n">
        <v>42</v>
      </c>
      <c r="BN955" s="431" t="n">
        <v>42</v>
      </c>
      <c r="BO955" s="429" t="n"/>
      <c r="BP955" s="431" t="inlineStr">
        <is>
          <t>Boolean</t>
        </is>
      </c>
      <c r="BQ955" s="451" t="n"/>
      <c r="BR955" s="451">
        <f>'CIRCUIT SIM'!DT45</f>
        <v/>
      </c>
      <c r="BS955" s="451" t="n"/>
      <c r="BU955" s="429" t="n">
        <v>42</v>
      </c>
      <c r="BV955" s="431" t="n">
        <v>42</v>
      </c>
      <c r="BW955" s="429" t="n"/>
      <c r="BX955" s="431" t="inlineStr">
        <is>
          <t>Boolean</t>
        </is>
      </c>
      <c r="BY955" s="451" t="n"/>
      <c r="BZ955" s="451">
        <f>'CIRCUIT SIM'!EI45</f>
        <v/>
      </c>
      <c r="CA955" s="451" t="n"/>
      <c r="CC955" s="429" t="n">
        <v>42</v>
      </c>
      <c r="CD955" s="431" t="n">
        <v>42</v>
      </c>
      <c r="CE955" s="688" t="n"/>
      <c r="CF955" s="431" t="inlineStr">
        <is>
          <t>Boolean</t>
        </is>
      </c>
      <c r="CG955" s="451" t="n"/>
      <c r="CH955" s="562">
        <f>'CIRCUIT SIM'!LK45</f>
        <v/>
      </c>
      <c r="CI955" s="451" t="n"/>
      <c r="CK955" s="429" t="n">
        <v>42</v>
      </c>
      <c r="CL955" s="431" t="n">
        <v>42</v>
      </c>
      <c r="CM955" s="565" t="n">
        <v>41</v>
      </c>
      <c r="CN955" s="431" t="inlineStr">
        <is>
          <t>Boolean</t>
        </is>
      </c>
      <c r="CO955" s="451" t="n"/>
      <c r="CP955" s="451">
        <f>'CIRCUIT SIM'!MA45</f>
        <v/>
      </c>
      <c r="CQ955" s="451" t="n"/>
      <c r="CS955" s="429" t="n">
        <v>42</v>
      </c>
      <c r="CT955" s="431" t="n">
        <v>42</v>
      </c>
      <c r="CU955" s="688" t="n"/>
      <c r="CV955" s="431" t="inlineStr">
        <is>
          <t>Boolean</t>
        </is>
      </c>
      <c r="CW955" s="451" t="n"/>
      <c r="CX955" s="451">
        <f>'CIRCUIT SIM'!MQ45</f>
        <v/>
      </c>
      <c r="CY955" s="451" t="n"/>
      <c r="DA955" s="429" t="n">
        <v>42</v>
      </c>
      <c r="DB955" s="431" t="n">
        <v>42</v>
      </c>
      <c r="DC955" s="688" t="n"/>
      <c r="DD955" s="431" t="inlineStr">
        <is>
          <t>Boolean</t>
        </is>
      </c>
      <c r="DE955" s="451" t="n"/>
      <c r="DF955" s="451">
        <f>'CIRCUIT SIM'!EX45</f>
        <v/>
      </c>
      <c r="DG955" s="451" t="n"/>
      <c r="DI955" s="429" t="n">
        <v>42</v>
      </c>
      <c r="DJ955" s="431" t="n">
        <v>42</v>
      </c>
      <c r="DK955" s="688" t="n"/>
      <c r="DL955" s="431" t="inlineStr">
        <is>
          <t>Boolean</t>
        </is>
      </c>
      <c r="DM955" s="429" t="n"/>
      <c r="DN955" s="451">
        <f>'CIRCUIT SIM'!FN45</f>
        <v/>
      </c>
      <c r="DO955" s="451" t="n"/>
      <c r="DQ955" s="429" t="n">
        <v>42</v>
      </c>
      <c r="DR955" s="431" t="n">
        <v>42</v>
      </c>
      <c r="DS955" s="688" t="n"/>
      <c r="DT955" s="431" t="inlineStr">
        <is>
          <t>Boolean</t>
        </is>
      </c>
      <c r="DU955" s="451" t="n"/>
      <c r="DV955" s="451">
        <f>'CIRCUIT SIM'!HT45</f>
        <v/>
      </c>
      <c r="DW955" s="451" t="n"/>
      <c r="DY955" s="429" t="n">
        <v>42</v>
      </c>
      <c r="DZ955" s="431" t="n">
        <v>42</v>
      </c>
      <c r="EA955" s="688" t="n"/>
      <c r="EB955" s="431" t="inlineStr">
        <is>
          <t>Boolean</t>
        </is>
      </c>
      <c r="EC955" s="451" t="n"/>
      <c r="ED955" s="335">
        <f>'CIRCUIT SIM'!GO45</f>
        <v/>
      </c>
      <c r="EE955" s="451" t="n"/>
      <c r="EG955" s="429" t="n">
        <v>42</v>
      </c>
      <c r="EH955" s="431" t="n">
        <v>42</v>
      </c>
      <c r="EI955" s="688" t="n"/>
      <c r="EJ955" s="431" t="inlineStr">
        <is>
          <t>Boolean</t>
        </is>
      </c>
      <c r="EK955" s="451" t="n"/>
      <c r="EL955" s="451">
        <f>'CIRCUIT SIM'!HD45</f>
        <v/>
      </c>
      <c r="EM955" s="451" t="n"/>
      <c r="EO955" s="429" t="n">
        <v>42</v>
      </c>
      <c r="EP955" s="431" t="n">
        <v>42</v>
      </c>
      <c r="EQ955" s="688" t="n"/>
      <c r="ER955" s="431" t="inlineStr">
        <is>
          <t>Boolean</t>
        </is>
      </c>
      <c r="ES955" s="451" t="n"/>
      <c r="ET955" s="451">
        <f>'CIRCUIT SIM'!HT45</f>
        <v/>
      </c>
      <c r="EU955" s="451" t="n"/>
      <c r="EW955" s="429" t="n">
        <v>42</v>
      </c>
      <c r="EX955" s="431" t="n">
        <v>42</v>
      </c>
      <c r="EY955" s="688" t="n"/>
      <c r="EZ955" s="431" t="n"/>
      <c r="FA955" s="451" t="n"/>
      <c r="FB955" s="451" t="n"/>
      <c r="FC955" s="451" t="n"/>
      <c r="FE955" s="429" t="n">
        <v>42</v>
      </c>
      <c r="FF955" s="431" t="n">
        <v>42</v>
      </c>
      <c r="FG955" s="688" t="n"/>
      <c r="FH955" s="431" t="n"/>
      <c r="FI955" s="451" t="n"/>
      <c r="FJ955" s="451">
        <f>'CIRCUIT SIM'!IU45</f>
        <v/>
      </c>
      <c r="FK955" s="451" t="n"/>
      <c r="FM955" s="429" t="n">
        <v>42</v>
      </c>
      <c r="FN955" s="431" t="n">
        <v>42</v>
      </c>
      <c r="FO955" s="688" t="n"/>
      <c r="FP955" s="431" t="n"/>
      <c r="FQ955" s="451" t="n"/>
      <c r="FR955" s="451">
        <f>'CIRCUIT SIM'!KY45</f>
        <v/>
      </c>
      <c r="FS955" s="451" t="n"/>
      <c r="FU955" s="429" t="n">
        <v>42</v>
      </c>
      <c r="FV955" s="431" t="n">
        <v>42</v>
      </c>
      <c r="FW955" s="688" t="n"/>
      <c r="FX955" s="431" t="n"/>
      <c r="FY955" s="451" t="inlineStr">
        <is>
          <t> </t>
        </is>
      </c>
      <c r="FZ955" s="562">
        <f>'CIRCUIT SIM'!JG45</f>
        <v/>
      </c>
      <c r="GA955" s="451" t="n"/>
      <c r="GC955" s="429" t="n">
        <v>42</v>
      </c>
      <c r="GD955" s="431" t="n">
        <v>42</v>
      </c>
      <c r="GE955" s="688" t="n"/>
      <c r="GF955" s="431" t="n"/>
      <c r="GG955" s="451" t="n"/>
      <c r="GH955" s="451">
        <f>'CIRCUIT SIM'!JW45</f>
        <v/>
      </c>
      <c r="GI955" s="451" t="n"/>
      <c r="GK955" s="429" t="n">
        <v>42</v>
      </c>
      <c r="GL955" s="431" t="n">
        <v>42</v>
      </c>
      <c r="GM955" s="688" t="n"/>
      <c r="GN955" s="431" t="n"/>
      <c r="GO955" s="451" t="n"/>
      <c r="GP955" s="451" t="n"/>
      <c r="GQ955" s="451" t="n"/>
      <c r="GS955" s="429" t="n">
        <v>42</v>
      </c>
      <c r="GT955" s="431" t="n">
        <v>42</v>
      </c>
      <c r="GU955" s="688" t="n"/>
      <c r="GV955" s="431" t="inlineStr">
        <is>
          <t>Boolean</t>
        </is>
      </c>
      <c r="GW955" s="451" t="n"/>
      <c r="GX955" s="451">
        <f>'CIRCUIT SIM'!KY45</f>
        <v/>
      </c>
      <c r="GY955" s="451" t="n"/>
      <c r="HA955" s="429" t="n">
        <v>42</v>
      </c>
      <c r="HB955" s="431" t="n">
        <v>42</v>
      </c>
      <c r="HC955" s="688" t="n"/>
      <c r="HD955" s="431" t="n"/>
      <c r="HE955" s="451" t="n"/>
      <c r="HF955" s="451" t="n"/>
      <c r="HG955" s="451" t="n"/>
    </row>
    <row r="956">
      <c r="A956" s="429" t="n">
        <v>43</v>
      </c>
      <c r="B956" s="431" t="n">
        <v>43</v>
      </c>
      <c r="C956" s="688" t="n"/>
      <c r="D956" s="431" t="inlineStr">
        <is>
          <t>Boolean</t>
        </is>
      </c>
      <c r="E956" s="429" t="n"/>
      <c r="F956" s="422">
        <f>'CIRCUIT SIM'!J46</f>
        <v/>
      </c>
      <c r="G956" s="429" t="n"/>
      <c r="I956" s="429" t="n">
        <v>43</v>
      </c>
      <c r="J956" s="431" t="n">
        <v>43</v>
      </c>
      <c r="K956" s="429" t="n"/>
      <c r="L956" s="431" t="inlineStr">
        <is>
          <t>Boolean</t>
        </is>
      </c>
      <c r="M956" s="451" t="n"/>
      <c r="N956" s="422">
        <f>'CIRCUIT SIM'!Y46</f>
        <v/>
      </c>
      <c r="O956" s="451" t="n"/>
      <c r="Q956" s="429" t="n">
        <v>43</v>
      </c>
      <c r="R956" s="431" t="n">
        <v>43</v>
      </c>
      <c r="S956" s="429" t="n"/>
      <c r="T956" s="431" t="inlineStr">
        <is>
          <t>Boolean</t>
        </is>
      </c>
      <c r="U956" s="429" t="n"/>
      <c r="V956" s="386">
        <f>'CIRCUIT SIM'!AO46</f>
        <v/>
      </c>
      <c r="W956" s="451" t="n"/>
      <c r="Y956" s="429" t="n">
        <v>43</v>
      </c>
      <c r="Z956" s="431" t="n">
        <v>43</v>
      </c>
      <c r="AA956" s="429" t="n"/>
      <c r="AB956" s="431" t="n"/>
      <c r="AC956" s="451" t="n"/>
      <c r="AD956" s="451" t="n"/>
      <c r="AE956" s="451" t="n"/>
      <c r="AG956" s="429" t="n">
        <v>43</v>
      </c>
      <c r="AH956" s="431" t="n">
        <v>43</v>
      </c>
      <c r="AI956" s="429" t="n"/>
      <c r="AJ956" s="431" t="inlineStr">
        <is>
          <t>Boolean</t>
        </is>
      </c>
      <c r="AK956" s="451" t="n"/>
      <c r="AL956" s="450">
        <f>'CIRCUIT SIM'!CR46</f>
        <v/>
      </c>
      <c r="AM956" s="451" t="n"/>
      <c r="AO956" s="429" t="n">
        <v>43</v>
      </c>
      <c r="AP956" s="431" t="n">
        <v>43</v>
      </c>
      <c r="AQ956" s="429" t="n"/>
      <c r="AR956" s="431" t="inlineStr">
        <is>
          <t>Boolean</t>
        </is>
      </c>
      <c r="AS956" s="451" t="n"/>
      <c r="AT956" s="386">
        <f>'CIRCUIT SIM'!BR46</f>
        <v/>
      </c>
      <c r="AU956" s="451" t="n"/>
      <c r="AW956" s="429" t="n">
        <v>43</v>
      </c>
      <c r="AX956" s="431" t="n">
        <v>43</v>
      </c>
      <c r="AY956" s="429" t="n"/>
      <c r="AZ956" s="431" t="inlineStr">
        <is>
          <t>Boolean</t>
        </is>
      </c>
      <c r="BA956" s="451" t="n"/>
      <c r="BB956" s="451">
        <f>'CIRCUIT SIM'!CG46</f>
        <v/>
      </c>
      <c r="BC956" s="451" t="n"/>
      <c r="BE956" s="429" t="n">
        <v>43</v>
      </c>
      <c r="BF956" s="431" t="n"/>
      <c r="BG956" s="429" t="n"/>
      <c r="BH956" s="431" t="n"/>
      <c r="BI956" s="451" t="n"/>
      <c r="BJ956" s="451" t="n"/>
      <c r="BK956" s="451" t="n"/>
      <c r="BM956" s="429" t="n">
        <v>43</v>
      </c>
      <c r="BN956" s="431" t="n">
        <v>43</v>
      </c>
      <c r="BO956" s="429" t="n"/>
      <c r="BP956" s="431" t="inlineStr">
        <is>
          <t>Boolean</t>
        </is>
      </c>
      <c r="BQ956" s="451" t="n"/>
      <c r="BR956" s="451">
        <f>'CIRCUIT SIM'!DT46</f>
        <v/>
      </c>
      <c r="BS956" s="451" t="n"/>
      <c r="BU956" s="429" t="n">
        <v>43</v>
      </c>
      <c r="BV956" s="431" t="n">
        <v>43</v>
      </c>
      <c r="BW956" s="429" t="n"/>
      <c r="BX956" s="431" t="inlineStr">
        <is>
          <t>Boolean</t>
        </is>
      </c>
      <c r="BY956" s="451" t="n"/>
      <c r="BZ956" s="451">
        <f>'CIRCUIT SIM'!EI46</f>
        <v/>
      </c>
      <c r="CA956" s="451" t="n"/>
      <c r="CC956" s="429" t="n">
        <v>43</v>
      </c>
      <c r="CD956" s="431" t="n">
        <v>43</v>
      </c>
      <c r="CE956" s="688" t="n"/>
      <c r="CF956" s="431" t="inlineStr">
        <is>
          <t>Boolean</t>
        </is>
      </c>
      <c r="CG956" s="451" t="n"/>
      <c r="CH956" s="562">
        <f>'CIRCUIT SIM'!LK46</f>
        <v/>
      </c>
      <c r="CI956" s="451" t="n"/>
      <c r="CK956" s="429" t="n">
        <v>43</v>
      </c>
      <c r="CL956" s="431" t="n">
        <v>43</v>
      </c>
      <c r="CM956" s="565" t="n">
        <v>42</v>
      </c>
      <c r="CN956" s="431" t="inlineStr">
        <is>
          <t>Boolean</t>
        </is>
      </c>
      <c r="CO956" s="451" t="n"/>
      <c r="CP956" s="451">
        <f>'CIRCUIT SIM'!MA46</f>
        <v/>
      </c>
      <c r="CQ956" s="451" t="n"/>
      <c r="CS956" s="429" t="n">
        <v>43</v>
      </c>
      <c r="CT956" s="431" t="n">
        <v>43</v>
      </c>
      <c r="CU956" s="688" t="n"/>
      <c r="CV956" s="431" t="inlineStr">
        <is>
          <t>Boolean</t>
        </is>
      </c>
      <c r="CW956" s="451" t="n"/>
      <c r="CX956" s="451">
        <f>'CIRCUIT SIM'!MQ46</f>
        <v/>
      </c>
      <c r="CY956" s="451" t="n"/>
      <c r="DA956" s="429" t="n">
        <v>43</v>
      </c>
      <c r="DB956" s="431" t="n">
        <v>43</v>
      </c>
      <c r="DC956" s="688" t="n"/>
      <c r="DD956" s="431" t="inlineStr">
        <is>
          <t>Boolean</t>
        </is>
      </c>
      <c r="DE956" s="451" t="n"/>
      <c r="DF956" s="451">
        <f>'CIRCUIT SIM'!EX46</f>
        <v/>
      </c>
      <c r="DG956" s="451" t="n"/>
      <c r="DI956" s="429" t="n">
        <v>43</v>
      </c>
      <c r="DJ956" s="431" t="n">
        <v>43</v>
      </c>
      <c r="DK956" s="688" t="n"/>
      <c r="DL956" s="431" t="inlineStr">
        <is>
          <t>Boolean</t>
        </is>
      </c>
      <c r="DM956" s="429" t="n"/>
      <c r="DN956" s="451">
        <f>'CIRCUIT SIM'!FN46</f>
        <v/>
      </c>
      <c r="DO956" s="451" t="n"/>
      <c r="DQ956" s="429" t="n">
        <v>43</v>
      </c>
      <c r="DR956" s="431" t="n">
        <v>43</v>
      </c>
      <c r="DS956" s="688" t="n"/>
      <c r="DT956" s="431" t="inlineStr">
        <is>
          <t>Boolean</t>
        </is>
      </c>
      <c r="DU956" s="451" t="n"/>
      <c r="DV956" s="451">
        <f>'CIRCUIT SIM'!HT46</f>
        <v/>
      </c>
      <c r="DW956" s="451" t="n"/>
      <c r="DY956" s="429" t="n">
        <v>43</v>
      </c>
      <c r="DZ956" s="431" t="n">
        <v>43</v>
      </c>
      <c r="EA956" s="688" t="n"/>
      <c r="EB956" s="431" t="inlineStr">
        <is>
          <t>Boolean</t>
        </is>
      </c>
      <c r="EC956" s="451" t="n"/>
      <c r="ED956" s="335">
        <f>'CIRCUIT SIM'!GO46</f>
        <v/>
      </c>
      <c r="EE956" s="451" t="n"/>
      <c r="EG956" s="429" t="n">
        <v>43</v>
      </c>
      <c r="EH956" s="431" t="n">
        <v>43</v>
      </c>
      <c r="EI956" s="688" t="n"/>
      <c r="EJ956" s="431" t="inlineStr">
        <is>
          <t>Boolean</t>
        </is>
      </c>
      <c r="EK956" s="451" t="n"/>
      <c r="EL956" s="451">
        <f>'CIRCUIT SIM'!HD46</f>
        <v/>
      </c>
      <c r="EM956" s="451" t="n"/>
      <c r="EO956" s="429" t="n">
        <v>43</v>
      </c>
      <c r="EP956" s="431" t="n">
        <v>43</v>
      </c>
      <c r="EQ956" s="688" t="n"/>
      <c r="ER956" s="431" t="inlineStr">
        <is>
          <t>Boolean</t>
        </is>
      </c>
      <c r="ES956" s="451" t="n"/>
      <c r="ET956" s="451">
        <f>'CIRCUIT SIM'!HT46</f>
        <v/>
      </c>
      <c r="EU956" s="451" t="n"/>
      <c r="EW956" s="429" t="n">
        <v>43</v>
      </c>
      <c r="EX956" s="431" t="n">
        <v>43</v>
      </c>
      <c r="EY956" s="688" t="n"/>
      <c r="EZ956" s="431" t="n"/>
      <c r="FA956" s="451" t="n"/>
      <c r="FB956" s="451" t="n"/>
      <c r="FC956" s="451" t="n"/>
      <c r="FE956" s="429" t="n">
        <v>43</v>
      </c>
      <c r="FF956" s="431" t="n">
        <v>43</v>
      </c>
      <c r="FG956" s="688" t="n"/>
      <c r="FH956" s="431" t="n"/>
      <c r="FI956" s="451" t="n"/>
      <c r="FJ956" s="451">
        <f>'CIRCUIT SIM'!IU46</f>
        <v/>
      </c>
      <c r="FK956" s="451" t="n"/>
      <c r="FM956" s="429" t="n">
        <v>43</v>
      </c>
      <c r="FN956" s="431" t="n">
        <v>43</v>
      </c>
      <c r="FO956" s="688" t="n"/>
      <c r="FP956" s="431" t="n"/>
      <c r="FQ956" s="451" t="n"/>
      <c r="FR956" s="451">
        <f>'CIRCUIT SIM'!KY46</f>
        <v/>
      </c>
      <c r="FS956" s="451" t="n"/>
      <c r="FU956" s="429" t="n">
        <v>43</v>
      </c>
      <c r="FV956" s="431" t="n">
        <v>43</v>
      </c>
      <c r="FW956" s="688" t="n"/>
      <c r="FX956" s="431" t="n"/>
      <c r="FY956" s="451" t="n"/>
      <c r="FZ956" s="562">
        <f>'CIRCUIT SIM'!JG46</f>
        <v/>
      </c>
      <c r="GA956" s="451" t="n"/>
      <c r="GC956" s="429" t="n">
        <v>43</v>
      </c>
      <c r="GD956" s="431" t="n">
        <v>43</v>
      </c>
      <c r="GE956" s="688" t="n"/>
      <c r="GF956" s="431" t="n"/>
      <c r="GG956" s="451" t="n"/>
      <c r="GH956" s="451">
        <f>'CIRCUIT SIM'!JW46</f>
        <v/>
      </c>
      <c r="GI956" s="451" t="n"/>
      <c r="GK956" s="429" t="n">
        <v>43</v>
      </c>
      <c r="GL956" s="431" t="n">
        <v>43</v>
      </c>
      <c r="GM956" s="688" t="n"/>
      <c r="GN956" s="431" t="n"/>
      <c r="GO956" s="451" t="n"/>
      <c r="GP956" s="451" t="n"/>
      <c r="GQ956" s="451" t="n"/>
      <c r="GS956" s="429" t="n">
        <v>43</v>
      </c>
      <c r="GT956" s="431" t="n">
        <v>43</v>
      </c>
      <c r="GU956" s="688" t="n"/>
      <c r="GV956" s="431" t="inlineStr">
        <is>
          <t>Boolean</t>
        </is>
      </c>
      <c r="GW956" s="451" t="n"/>
      <c r="GX956" s="451">
        <f>'CIRCUIT SIM'!KY46</f>
        <v/>
      </c>
      <c r="GY956" s="451" t="n"/>
      <c r="HA956" s="429" t="n">
        <v>43</v>
      </c>
      <c r="HB956" s="431" t="n">
        <v>43</v>
      </c>
      <c r="HC956" s="688" t="n"/>
      <c r="HD956" s="431" t="n"/>
      <c r="HE956" s="451" t="n"/>
      <c r="HF956" s="451" t="n"/>
      <c r="HG956" s="451" t="n"/>
    </row>
    <row r="957">
      <c r="A957" s="429" t="n">
        <v>44</v>
      </c>
      <c r="B957" s="431" t="n">
        <v>44</v>
      </c>
      <c r="C957" s="688" t="n"/>
      <c r="D957" s="431" t="inlineStr">
        <is>
          <t>Boolean</t>
        </is>
      </c>
      <c r="E957" s="429" t="n"/>
      <c r="F957" s="422">
        <f>'CIRCUIT SIM'!J47</f>
        <v/>
      </c>
      <c r="G957" s="429" t="n"/>
      <c r="I957" s="429" t="n">
        <v>44</v>
      </c>
      <c r="J957" s="431" t="n">
        <v>44</v>
      </c>
      <c r="K957" s="429" t="n"/>
      <c r="L957" s="431" t="inlineStr">
        <is>
          <t>Boolean</t>
        </is>
      </c>
      <c r="M957" s="451" t="n"/>
      <c r="N957" s="422">
        <f>'CIRCUIT SIM'!Y47</f>
        <v/>
      </c>
      <c r="O957" s="451" t="n"/>
      <c r="Q957" s="429" t="n">
        <v>44</v>
      </c>
      <c r="R957" s="431" t="n">
        <v>44</v>
      </c>
      <c r="S957" s="429" t="n"/>
      <c r="T957" s="431" t="inlineStr">
        <is>
          <t>Boolean</t>
        </is>
      </c>
      <c r="U957" s="429" t="n"/>
      <c r="V957" s="386">
        <f>'CIRCUIT SIM'!AO47</f>
        <v/>
      </c>
      <c r="W957" s="451" t="n"/>
      <c r="Y957" s="429" t="n">
        <v>44</v>
      </c>
      <c r="Z957" s="431" t="n">
        <v>44</v>
      </c>
      <c r="AA957" s="429" t="n"/>
      <c r="AB957" s="431" t="n"/>
      <c r="AC957" s="451" t="n"/>
      <c r="AD957" s="451" t="n"/>
      <c r="AE957" s="451" t="n"/>
      <c r="AG957" s="429" t="n">
        <v>44</v>
      </c>
      <c r="AH957" s="431" t="n">
        <v>44</v>
      </c>
      <c r="AI957" s="429" t="n"/>
      <c r="AJ957" s="431" t="inlineStr">
        <is>
          <t>Boolean</t>
        </is>
      </c>
      <c r="AK957" s="451" t="n"/>
      <c r="AL957" s="450">
        <f>'CIRCUIT SIM'!CR47</f>
        <v/>
      </c>
      <c r="AM957" s="451" t="n"/>
      <c r="AO957" s="429" t="n">
        <v>44</v>
      </c>
      <c r="AP957" s="431" t="n">
        <v>44</v>
      </c>
      <c r="AQ957" s="429" t="n"/>
      <c r="AR957" s="431" t="inlineStr">
        <is>
          <t>Boolean</t>
        </is>
      </c>
      <c r="AS957" s="451" t="n"/>
      <c r="AT957" s="386">
        <f>'CIRCUIT SIM'!BR47</f>
        <v/>
      </c>
      <c r="AU957" s="451" t="n"/>
      <c r="AW957" s="429" t="n">
        <v>44</v>
      </c>
      <c r="AX957" s="431" t="n">
        <v>44</v>
      </c>
      <c r="AY957" s="429" t="n"/>
      <c r="AZ957" s="431" t="inlineStr">
        <is>
          <t>Boolean</t>
        </is>
      </c>
      <c r="BA957" s="451" t="n"/>
      <c r="BB957" s="451">
        <f>'CIRCUIT SIM'!CG47</f>
        <v/>
      </c>
      <c r="BC957" s="451" t="n"/>
      <c r="BE957" s="429" t="n">
        <v>44</v>
      </c>
      <c r="BF957" s="431" t="n"/>
      <c r="BG957" s="429" t="n"/>
      <c r="BH957" s="431" t="n"/>
      <c r="BI957" s="451" t="n"/>
      <c r="BJ957" s="451" t="n"/>
      <c r="BK957" s="451" t="n"/>
      <c r="BM957" s="429" t="n">
        <v>44</v>
      </c>
      <c r="BN957" s="431" t="n">
        <v>44</v>
      </c>
      <c r="BO957" s="429" t="n"/>
      <c r="BP957" s="431" t="inlineStr">
        <is>
          <t>Boolean</t>
        </is>
      </c>
      <c r="BQ957" s="451" t="n"/>
      <c r="BR957" s="451">
        <f>'CIRCUIT SIM'!DT47</f>
        <v/>
      </c>
      <c r="BS957" s="451" t="n"/>
      <c r="BU957" s="429" t="n">
        <v>44</v>
      </c>
      <c r="BV957" s="431" t="n">
        <v>44</v>
      </c>
      <c r="BW957" s="429" t="n"/>
      <c r="BX957" s="431" t="inlineStr">
        <is>
          <t>Boolean</t>
        </is>
      </c>
      <c r="BY957" s="451" t="n"/>
      <c r="BZ957" s="451">
        <f>'CIRCUIT SIM'!EI47</f>
        <v/>
      </c>
      <c r="CA957" s="451" t="n"/>
      <c r="CC957" s="429" t="n">
        <v>44</v>
      </c>
      <c r="CD957" s="431" t="n">
        <v>44</v>
      </c>
      <c r="CE957" s="688" t="n"/>
      <c r="CF957" s="431" t="inlineStr">
        <is>
          <t>Boolean</t>
        </is>
      </c>
      <c r="CG957" s="451" t="n"/>
      <c r="CH957" s="562">
        <f>'CIRCUIT SIM'!LK47</f>
        <v/>
      </c>
      <c r="CI957" s="451" t="n"/>
      <c r="CK957" s="429" t="n">
        <v>44</v>
      </c>
      <c r="CL957" s="431" t="n">
        <v>44</v>
      </c>
      <c r="CM957" s="565" t="n">
        <v>43</v>
      </c>
      <c r="CN957" s="431" t="inlineStr">
        <is>
          <t>Boolean</t>
        </is>
      </c>
      <c r="CO957" s="451" t="n"/>
      <c r="CP957" s="451">
        <f>'CIRCUIT SIM'!MA47</f>
        <v/>
      </c>
      <c r="CQ957" s="451" t="n"/>
      <c r="CS957" s="429" t="n">
        <v>44</v>
      </c>
      <c r="CT957" s="431" t="n">
        <v>44</v>
      </c>
      <c r="CU957" s="688" t="n"/>
      <c r="CV957" s="431" t="inlineStr">
        <is>
          <t>Boolean</t>
        </is>
      </c>
      <c r="CW957" s="451" t="n"/>
      <c r="CX957" s="451">
        <f>'CIRCUIT SIM'!MQ47</f>
        <v/>
      </c>
      <c r="CY957" s="451" t="n"/>
      <c r="DA957" s="429" t="n">
        <v>44</v>
      </c>
      <c r="DB957" s="431" t="n">
        <v>44</v>
      </c>
      <c r="DC957" s="688" t="n"/>
      <c r="DD957" s="431" t="inlineStr">
        <is>
          <t>Boolean</t>
        </is>
      </c>
      <c r="DE957" s="451" t="n"/>
      <c r="DF957" s="451">
        <f>'CIRCUIT SIM'!EX47</f>
        <v/>
      </c>
      <c r="DG957" s="451" t="n"/>
      <c r="DI957" s="429" t="n">
        <v>44</v>
      </c>
      <c r="DJ957" s="431" t="n">
        <v>44</v>
      </c>
      <c r="DK957" s="688" t="n"/>
      <c r="DL957" s="431" t="inlineStr">
        <is>
          <t>Boolean</t>
        </is>
      </c>
      <c r="DM957" s="429" t="n"/>
      <c r="DN957" s="451">
        <f>'CIRCUIT SIM'!FN47</f>
        <v/>
      </c>
      <c r="DO957" s="451" t="n"/>
      <c r="DQ957" s="429" t="n">
        <v>44</v>
      </c>
      <c r="DR957" s="431" t="n">
        <v>44</v>
      </c>
      <c r="DS957" s="688" t="n"/>
      <c r="DT957" s="431" t="inlineStr">
        <is>
          <t>Boolean</t>
        </is>
      </c>
      <c r="DU957" s="451" t="n"/>
      <c r="DV957" s="451">
        <f>'CIRCUIT SIM'!HT47</f>
        <v/>
      </c>
      <c r="DW957" s="451" t="n"/>
      <c r="DY957" s="429" t="n">
        <v>44</v>
      </c>
      <c r="DZ957" s="431" t="n">
        <v>44</v>
      </c>
      <c r="EA957" s="688" t="n"/>
      <c r="EB957" s="431" t="inlineStr">
        <is>
          <t>Boolean</t>
        </is>
      </c>
      <c r="EC957" s="451" t="n"/>
      <c r="ED957" s="335">
        <f>'CIRCUIT SIM'!GO47</f>
        <v/>
      </c>
      <c r="EE957" s="451" t="n"/>
      <c r="EG957" s="429" t="n">
        <v>44</v>
      </c>
      <c r="EH957" s="431" t="n">
        <v>44</v>
      </c>
      <c r="EI957" s="688" t="n"/>
      <c r="EJ957" s="431" t="inlineStr">
        <is>
          <t>Boolean</t>
        </is>
      </c>
      <c r="EK957" s="451" t="n"/>
      <c r="EL957" s="451">
        <f>'CIRCUIT SIM'!HD47</f>
        <v/>
      </c>
      <c r="EM957" s="451" t="n"/>
      <c r="EO957" s="429" t="n">
        <v>44</v>
      </c>
      <c r="EP957" s="431" t="n">
        <v>44</v>
      </c>
      <c r="EQ957" s="688" t="n"/>
      <c r="ER957" s="431" t="inlineStr">
        <is>
          <t>Boolean</t>
        </is>
      </c>
      <c r="ES957" s="451" t="n"/>
      <c r="ET957" s="451">
        <f>'CIRCUIT SIM'!HT47</f>
        <v/>
      </c>
      <c r="EU957" s="451" t="n"/>
      <c r="EW957" s="429" t="n">
        <v>44</v>
      </c>
      <c r="EX957" s="431" t="n">
        <v>44</v>
      </c>
      <c r="EY957" s="688" t="n"/>
      <c r="EZ957" s="431" t="n"/>
      <c r="FA957" s="451" t="n"/>
      <c r="FB957" s="451" t="n"/>
      <c r="FC957" s="451" t="n"/>
      <c r="FE957" s="429" t="n">
        <v>44</v>
      </c>
      <c r="FF957" s="431" t="n">
        <v>44</v>
      </c>
      <c r="FG957" s="688" t="n"/>
      <c r="FH957" s="431" t="n"/>
      <c r="FI957" s="451" t="n"/>
      <c r="FJ957" s="451">
        <f>'CIRCUIT SIM'!IU47</f>
        <v/>
      </c>
      <c r="FK957" s="451" t="n"/>
      <c r="FM957" s="429" t="n">
        <v>44</v>
      </c>
      <c r="FN957" s="431" t="n">
        <v>44</v>
      </c>
      <c r="FO957" s="688" t="n"/>
      <c r="FP957" s="431" t="n"/>
      <c r="FQ957" s="451" t="n"/>
      <c r="FR957" s="451">
        <f>'CIRCUIT SIM'!KY47</f>
        <v/>
      </c>
      <c r="FS957" s="451" t="n"/>
      <c r="FU957" s="429" t="n">
        <v>44</v>
      </c>
      <c r="FV957" s="431" t="n">
        <v>44</v>
      </c>
      <c r="FW957" s="688" t="n"/>
      <c r="FX957" s="431" t="n"/>
      <c r="FY957" s="451" t="n"/>
      <c r="FZ957" s="562">
        <f>'CIRCUIT SIM'!JG47</f>
        <v/>
      </c>
      <c r="GA957" s="451" t="n"/>
      <c r="GC957" s="429" t="n">
        <v>44</v>
      </c>
      <c r="GD957" s="431" t="n">
        <v>44</v>
      </c>
      <c r="GE957" s="688" t="n"/>
      <c r="GF957" s="431" t="n"/>
      <c r="GG957" s="451" t="n"/>
      <c r="GH957" s="451" t="n"/>
      <c r="GI957" s="451" t="n"/>
      <c r="GK957" s="429" t="n">
        <v>44</v>
      </c>
      <c r="GL957" s="431" t="n">
        <v>44</v>
      </c>
      <c r="GM957" s="688" t="n"/>
      <c r="GN957" s="431" t="n"/>
      <c r="GO957" s="451" t="n"/>
      <c r="GP957" s="451" t="n"/>
      <c r="GQ957" s="451" t="n"/>
      <c r="GS957" s="429" t="n">
        <v>44</v>
      </c>
      <c r="GT957" s="431" t="n">
        <v>44</v>
      </c>
      <c r="GU957" s="688" t="n"/>
      <c r="GV957" s="431" t="inlineStr">
        <is>
          <t>Boolean</t>
        </is>
      </c>
      <c r="GW957" s="451" t="n"/>
      <c r="GX957" s="451">
        <f>'CIRCUIT SIM'!KY47</f>
        <v/>
      </c>
      <c r="GY957" s="451" t="n"/>
      <c r="HA957" s="429" t="n">
        <v>44</v>
      </c>
      <c r="HB957" s="431" t="n">
        <v>44</v>
      </c>
      <c r="HC957" s="688" t="n"/>
      <c r="HD957" s="431" t="n"/>
      <c r="HE957" s="451" t="n"/>
      <c r="HF957" s="451" t="n"/>
      <c r="HG957" s="451" t="n"/>
    </row>
    <row r="958">
      <c r="A958" s="429" t="n">
        <v>45</v>
      </c>
      <c r="B958" s="431" t="n">
        <v>45</v>
      </c>
      <c r="C958" s="688" t="n"/>
      <c r="D958" s="431" t="inlineStr">
        <is>
          <t>Boolean</t>
        </is>
      </c>
      <c r="E958" s="429" t="n"/>
      <c r="F958" s="422">
        <f>'CIRCUIT SIM'!J48</f>
        <v/>
      </c>
      <c r="G958" s="429" t="n"/>
      <c r="I958" s="429" t="n">
        <v>45</v>
      </c>
      <c r="J958" s="431" t="n">
        <v>45</v>
      </c>
      <c r="K958" s="429" t="n"/>
      <c r="L958" s="431" t="inlineStr">
        <is>
          <t>Boolean</t>
        </is>
      </c>
      <c r="M958" s="451" t="n"/>
      <c r="N958" s="422">
        <f>'CIRCUIT SIM'!Y48</f>
        <v/>
      </c>
      <c r="O958" s="451" t="n"/>
      <c r="Q958" s="429" t="n">
        <v>45</v>
      </c>
      <c r="R958" s="431" t="n">
        <v>45</v>
      </c>
      <c r="S958" s="429" t="n"/>
      <c r="T958" s="431" t="inlineStr">
        <is>
          <t>Boolean</t>
        </is>
      </c>
      <c r="U958" s="429" t="n"/>
      <c r="V958" s="386">
        <f>'CIRCUIT SIM'!AO48</f>
        <v/>
      </c>
      <c r="W958" s="451" t="n"/>
      <c r="Y958" s="429" t="n">
        <v>45</v>
      </c>
      <c r="Z958" s="431" t="n">
        <v>45</v>
      </c>
      <c r="AA958" s="429" t="n"/>
      <c r="AB958" s="431" t="n"/>
      <c r="AC958" s="451" t="n"/>
      <c r="AD958" s="451" t="n"/>
      <c r="AE958" s="451" t="n"/>
      <c r="AG958" s="429" t="n">
        <v>45</v>
      </c>
      <c r="AH958" s="431" t="n">
        <v>45</v>
      </c>
      <c r="AI958" s="429" t="n"/>
      <c r="AJ958" s="431" t="inlineStr">
        <is>
          <t>Boolean</t>
        </is>
      </c>
      <c r="AK958" s="451" t="n"/>
      <c r="AL958" s="450">
        <f>'CIRCUIT SIM'!CR48</f>
        <v/>
      </c>
      <c r="AM958" s="451" t="n"/>
      <c r="AO958" s="429" t="n">
        <v>45</v>
      </c>
      <c r="AP958" s="431" t="n">
        <v>45</v>
      </c>
      <c r="AQ958" s="429" t="n"/>
      <c r="AR958" s="431" t="inlineStr">
        <is>
          <t>Boolean</t>
        </is>
      </c>
      <c r="AS958" s="451" t="n"/>
      <c r="AT958" s="386">
        <f>'CIRCUIT SIM'!BR48</f>
        <v/>
      </c>
      <c r="AU958" s="451" t="n"/>
      <c r="AW958" s="429" t="n">
        <v>45</v>
      </c>
      <c r="AX958" s="431" t="n">
        <v>45</v>
      </c>
      <c r="AY958" s="429" t="n"/>
      <c r="AZ958" s="431" t="inlineStr">
        <is>
          <t>Boolean</t>
        </is>
      </c>
      <c r="BA958" s="451" t="n"/>
      <c r="BB958" s="451">
        <f>'CIRCUIT SIM'!CG48</f>
        <v/>
      </c>
      <c r="BC958" s="451" t="n"/>
      <c r="BE958" s="429" t="n">
        <v>45</v>
      </c>
      <c r="BF958" s="431" t="n"/>
      <c r="BG958" s="429" t="n"/>
      <c r="BH958" s="431" t="n"/>
      <c r="BI958" s="451" t="n"/>
      <c r="BJ958" s="451" t="n"/>
      <c r="BK958" s="451" t="n"/>
      <c r="BM958" s="429" t="n">
        <v>45</v>
      </c>
      <c r="BN958" s="431" t="n">
        <v>45</v>
      </c>
      <c r="BO958" s="429" t="n"/>
      <c r="BP958" s="431" t="inlineStr">
        <is>
          <t>Boolean</t>
        </is>
      </c>
      <c r="BQ958" s="451" t="n"/>
      <c r="BR958" s="451">
        <f>'CIRCUIT SIM'!DT48</f>
        <v/>
      </c>
      <c r="BS958" s="451" t="n"/>
      <c r="BU958" s="429" t="n">
        <v>45</v>
      </c>
      <c r="BV958" s="431" t="n">
        <v>45</v>
      </c>
      <c r="BW958" s="429" t="n"/>
      <c r="BX958" s="431" t="inlineStr">
        <is>
          <t>Boolean</t>
        </is>
      </c>
      <c r="BY958" s="451" t="inlineStr">
        <is>
          <t> </t>
        </is>
      </c>
      <c r="BZ958" s="451">
        <f>'CIRCUIT SIM'!EI48</f>
        <v/>
      </c>
      <c r="CA958" s="451" t="n"/>
      <c r="CC958" s="429" t="n">
        <v>45</v>
      </c>
      <c r="CD958" s="431" t="n">
        <v>45</v>
      </c>
      <c r="CE958" s="688" t="n"/>
      <c r="CF958" s="431" t="inlineStr">
        <is>
          <t>Boolean</t>
        </is>
      </c>
      <c r="CG958" s="451" t="n"/>
      <c r="CH958" s="562">
        <f>'CIRCUIT SIM'!LK48</f>
        <v/>
      </c>
      <c r="CI958" s="451" t="n"/>
      <c r="CK958" s="429" t="n">
        <v>45</v>
      </c>
      <c r="CL958" s="431" t="n">
        <v>45</v>
      </c>
      <c r="CM958" s="565" t="n">
        <v>44</v>
      </c>
      <c r="CN958" s="431" t="inlineStr">
        <is>
          <t>Boolean</t>
        </is>
      </c>
      <c r="CO958" s="451" t="n"/>
      <c r="CP958" s="451">
        <f>'CIRCUIT SIM'!MA48</f>
        <v/>
      </c>
      <c r="CQ958" s="451" t="n"/>
      <c r="CS958" s="429" t="n">
        <v>45</v>
      </c>
      <c r="CT958" s="431" t="n">
        <v>45</v>
      </c>
      <c r="CU958" s="688" t="n"/>
      <c r="CV958" s="431" t="inlineStr">
        <is>
          <t>Boolean</t>
        </is>
      </c>
      <c r="CW958" s="451" t="n"/>
      <c r="CX958" s="451">
        <f>'CIRCUIT SIM'!MQ48</f>
        <v/>
      </c>
      <c r="CY958" s="451" t="n"/>
      <c r="DA958" s="429" t="n">
        <v>45</v>
      </c>
      <c r="DB958" s="431" t="n">
        <v>45</v>
      </c>
      <c r="DC958" s="688" t="n"/>
      <c r="DD958" s="431" t="inlineStr">
        <is>
          <t>Boolean</t>
        </is>
      </c>
      <c r="DE958" s="451" t="n"/>
      <c r="DF958" s="451">
        <f>'CIRCUIT SIM'!EX48</f>
        <v/>
      </c>
      <c r="DG958" s="451" t="n"/>
      <c r="DI958" s="429" t="n">
        <v>45</v>
      </c>
      <c r="DJ958" s="431" t="n">
        <v>45</v>
      </c>
      <c r="DK958" s="688" t="n"/>
      <c r="DL958" s="431" t="inlineStr">
        <is>
          <t>Boolean</t>
        </is>
      </c>
      <c r="DM958" s="429" t="n"/>
      <c r="DN958" s="451">
        <f>'CIRCUIT SIM'!FN48</f>
        <v/>
      </c>
      <c r="DO958" s="451" t="n"/>
      <c r="DQ958" s="429" t="n">
        <v>45</v>
      </c>
      <c r="DR958" s="431" t="n">
        <v>45</v>
      </c>
      <c r="DS958" s="688" t="n"/>
      <c r="DT958" s="431" t="inlineStr">
        <is>
          <t>Boolean</t>
        </is>
      </c>
      <c r="DU958" s="451" t="n"/>
      <c r="DV958" s="451">
        <f>'CIRCUIT SIM'!HT48</f>
        <v/>
      </c>
      <c r="DW958" s="451" t="n"/>
      <c r="DY958" s="429" t="n">
        <v>45</v>
      </c>
      <c r="DZ958" s="431" t="n">
        <v>45</v>
      </c>
      <c r="EA958" s="688" t="n"/>
      <c r="EB958" s="431" t="inlineStr">
        <is>
          <t>Boolean</t>
        </is>
      </c>
      <c r="EC958" s="451" t="n"/>
      <c r="ED958" s="335">
        <f>'CIRCUIT SIM'!GO48</f>
        <v/>
      </c>
      <c r="EE958" s="451" t="n"/>
      <c r="EG958" s="429" t="n">
        <v>45</v>
      </c>
      <c r="EH958" s="431" t="n">
        <v>45</v>
      </c>
      <c r="EI958" s="688" t="n"/>
      <c r="EJ958" s="431" t="inlineStr">
        <is>
          <t>Boolean</t>
        </is>
      </c>
      <c r="EK958" s="451" t="n"/>
      <c r="EL958" s="451">
        <f>'CIRCUIT SIM'!HD48</f>
        <v/>
      </c>
      <c r="EM958" s="451" t="n"/>
      <c r="EO958" s="429" t="n">
        <v>45</v>
      </c>
      <c r="EP958" s="431" t="n">
        <v>45</v>
      </c>
      <c r="EQ958" s="688" t="n"/>
      <c r="ER958" s="431" t="inlineStr">
        <is>
          <t>Boolean</t>
        </is>
      </c>
      <c r="ES958" s="451" t="n"/>
      <c r="ET958" s="451">
        <f>'CIRCUIT SIM'!HT48</f>
        <v/>
      </c>
      <c r="EU958" s="451" t="n"/>
      <c r="EW958" s="429" t="n">
        <v>45</v>
      </c>
      <c r="EX958" s="431" t="n">
        <v>45</v>
      </c>
      <c r="EY958" s="688" t="n"/>
      <c r="EZ958" s="431" t="n"/>
      <c r="FA958" s="451" t="n"/>
      <c r="FB958" s="451" t="n"/>
      <c r="FC958" s="451" t="n"/>
      <c r="FE958" s="429" t="n">
        <v>45</v>
      </c>
      <c r="FF958" s="431" t="n">
        <v>45</v>
      </c>
      <c r="FG958" s="688" t="n"/>
      <c r="FH958" s="431" t="n"/>
      <c r="FI958" s="451" t="n"/>
      <c r="FJ958" s="451">
        <f>'CIRCUIT SIM'!IU48</f>
        <v/>
      </c>
      <c r="FK958" s="451" t="n"/>
      <c r="FM958" s="429" t="n">
        <v>45</v>
      </c>
      <c r="FN958" s="431" t="n">
        <v>45</v>
      </c>
      <c r="FO958" s="688" t="n"/>
      <c r="FP958" s="431" t="n"/>
      <c r="FQ958" s="451" t="n"/>
      <c r="FR958" s="451">
        <f>'CIRCUIT SIM'!KY48</f>
        <v/>
      </c>
      <c r="FS958" s="451" t="n"/>
      <c r="FU958" s="429" t="n">
        <v>45</v>
      </c>
      <c r="FV958" s="431" t="n">
        <v>45</v>
      </c>
      <c r="FW958" s="688" t="n"/>
      <c r="FX958" s="431" t="n"/>
      <c r="FY958" s="451" t="n"/>
      <c r="FZ958" s="562">
        <f>'CIRCUIT SIM'!JG48</f>
        <v/>
      </c>
      <c r="GA958" s="451" t="n"/>
      <c r="GC958" s="429" t="n">
        <v>45</v>
      </c>
      <c r="GD958" s="431" t="n">
        <v>45</v>
      </c>
      <c r="GE958" s="688" t="n"/>
      <c r="GF958" s="431" t="n"/>
      <c r="GG958" s="451" t="n"/>
      <c r="GH958" s="451" t="n"/>
      <c r="GI958" s="451" t="n"/>
      <c r="GK958" s="429" t="n">
        <v>45</v>
      </c>
      <c r="GL958" s="431" t="n">
        <v>45</v>
      </c>
      <c r="GM958" s="688" t="n"/>
      <c r="GN958" s="431" t="n"/>
      <c r="GO958" s="451" t="n"/>
      <c r="GP958" s="451" t="n"/>
      <c r="GQ958" s="451" t="n"/>
      <c r="GS958" s="429" t="n">
        <v>45</v>
      </c>
      <c r="GT958" s="431" t="n">
        <v>45</v>
      </c>
      <c r="GU958" s="688" t="n"/>
      <c r="GV958" s="431" t="inlineStr">
        <is>
          <t>Boolean</t>
        </is>
      </c>
      <c r="GW958" s="451" t="n"/>
      <c r="GX958" s="451">
        <f>'CIRCUIT SIM'!KY48</f>
        <v/>
      </c>
      <c r="GY958" s="451" t="n"/>
      <c r="HA958" s="429" t="n">
        <v>45</v>
      </c>
      <c r="HB958" s="431" t="n">
        <v>45</v>
      </c>
      <c r="HC958" s="688" t="n"/>
      <c r="HD958" s="431" t="n"/>
      <c r="HE958" s="451" t="n"/>
      <c r="HF958" s="451" t="n"/>
      <c r="HG958" s="451" t="n"/>
    </row>
    <row r="959">
      <c r="A959" s="429" t="n">
        <v>46</v>
      </c>
      <c r="B959" s="431" t="n">
        <v>46</v>
      </c>
      <c r="C959" s="688" t="n"/>
      <c r="D959" s="431" t="inlineStr">
        <is>
          <t>Boolean</t>
        </is>
      </c>
      <c r="E959" s="429" t="n"/>
      <c r="F959" s="422">
        <f>'CIRCUIT SIM'!J49</f>
        <v/>
      </c>
      <c r="G959" s="429" t="n"/>
      <c r="I959" s="429" t="n">
        <v>46</v>
      </c>
      <c r="J959" s="431" t="n">
        <v>46</v>
      </c>
      <c r="K959" s="429" t="n"/>
      <c r="L959" s="431" t="inlineStr">
        <is>
          <t>Boolean</t>
        </is>
      </c>
      <c r="M959" s="451" t="n"/>
      <c r="N959" s="422">
        <f>'CIRCUIT SIM'!Y49</f>
        <v/>
      </c>
      <c r="O959" s="451" t="n"/>
      <c r="Q959" s="429" t="n">
        <v>46</v>
      </c>
      <c r="R959" s="431" t="n">
        <v>46</v>
      </c>
      <c r="S959" s="429" t="n"/>
      <c r="T959" s="431" t="inlineStr">
        <is>
          <t>Boolean</t>
        </is>
      </c>
      <c r="U959" s="429" t="n"/>
      <c r="V959" s="386">
        <f>'CIRCUIT SIM'!AO49</f>
        <v/>
      </c>
      <c r="W959" s="451" t="n"/>
      <c r="Y959" s="429" t="n">
        <v>46</v>
      </c>
      <c r="Z959" s="431" t="n">
        <v>46</v>
      </c>
      <c r="AA959" s="429" t="n"/>
      <c r="AB959" s="431" t="n"/>
      <c r="AC959" s="451" t="n"/>
      <c r="AD959" s="451" t="n"/>
      <c r="AE959" s="451" t="n"/>
      <c r="AG959" s="429" t="n">
        <v>46</v>
      </c>
      <c r="AH959" s="431" t="n">
        <v>46</v>
      </c>
      <c r="AI959" s="429" t="n"/>
      <c r="AJ959" s="431" t="inlineStr">
        <is>
          <t>Boolean</t>
        </is>
      </c>
      <c r="AK959" s="451" t="n"/>
      <c r="AL959" s="450">
        <f>'CIRCUIT SIM'!CR49</f>
        <v/>
      </c>
      <c r="AM959" s="451" t="n"/>
      <c r="AO959" s="429" t="n">
        <v>46</v>
      </c>
      <c r="AP959" s="431" t="n">
        <v>46</v>
      </c>
      <c r="AQ959" s="429" t="n"/>
      <c r="AR959" s="431" t="inlineStr">
        <is>
          <t>Boolean</t>
        </is>
      </c>
      <c r="AS959" s="451" t="n"/>
      <c r="AT959" s="386">
        <f>'CIRCUIT SIM'!BR49</f>
        <v/>
      </c>
      <c r="AU959" s="451" t="n"/>
      <c r="AW959" s="429" t="n">
        <v>46</v>
      </c>
      <c r="AX959" s="431" t="n">
        <v>46</v>
      </c>
      <c r="AY959" s="429" t="n"/>
      <c r="AZ959" s="431" t="inlineStr">
        <is>
          <t>Boolean</t>
        </is>
      </c>
      <c r="BA959" s="451" t="n"/>
      <c r="BB959" s="451">
        <f>'CIRCUIT SIM'!CG49</f>
        <v/>
      </c>
      <c r="BC959" s="451" t="n"/>
      <c r="BE959" s="429" t="n">
        <v>46</v>
      </c>
      <c r="BF959" s="431" t="n"/>
      <c r="BG959" s="429" t="n"/>
      <c r="BH959" s="431" t="n"/>
      <c r="BI959" s="451" t="n"/>
      <c r="BJ959" s="451" t="n"/>
      <c r="BK959" s="451" t="n"/>
      <c r="BM959" s="429" t="n">
        <v>46</v>
      </c>
      <c r="BN959" s="431" t="n">
        <v>46</v>
      </c>
      <c r="BO959" s="429" t="n"/>
      <c r="BP959" s="431" t="inlineStr">
        <is>
          <t>Boolean</t>
        </is>
      </c>
      <c r="BQ959" s="451" t="n"/>
      <c r="BR959" s="451">
        <f>'CIRCUIT SIM'!DT49</f>
        <v/>
      </c>
      <c r="BS959" s="451" t="n"/>
      <c r="BU959" s="429" t="n">
        <v>46</v>
      </c>
      <c r="BV959" s="431" t="n">
        <v>46</v>
      </c>
      <c r="BW959" s="429" t="n"/>
      <c r="BX959" s="431" t="inlineStr">
        <is>
          <t>Boolean</t>
        </is>
      </c>
      <c r="BY959" s="451" t="n"/>
      <c r="BZ959" s="451">
        <f>'CIRCUIT SIM'!EI49</f>
        <v/>
      </c>
      <c r="CA959" s="451" t="n"/>
      <c r="CC959" s="429" t="n">
        <v>46</v>
      </c>
      <c r="CD959" s="431" t="n">
        <v>46</v>
      </c>
      <c r="CE959" s="688" t="n"/>
      <c r="CF959" s="431" t="inlineStr">
        <is>
          <t>Boolean</t>
        </is>
      </c>
      <c r="CG959" s="451" t="n"/>
      <c r="CH959" s="562">
        <f>'CIRCUIT SIM'!LK49</f>
        <v/>
      </c>
      <c r="CI959" s="451" t="n"/>
      <c r="CK959" s="429" t="n">
        <v>46</v>
      </c>
      <c r="CL959" s="431" t="n">
        <v>46</v>
      </c>
      <c r="CM959" s="565" t="n">
        <v>45</v>
      </c>
      <c r="CN959" s="431" t="inlineStr">
        <is>
          <t>Boolean</t>
        </is>
      </c>
      <c r="CO959" s="451" t="n"/>
      <c r="CP959" s="451">
        <f>'CIRCUIT SIM'!MA49</f>
        <v/>
      </c>
      <c r="CQ959" s="451" t="n"/>
      <c r="CS959" s="429" t="n">
        <v>46</v>
      </c>
      <c r="CT959" s="431" t="n">
        <v>46</v>
      </c>
      <c r="CU959" s="688" t="n"/>
      <c r="CV959" s="431" t="inlineStr">
        <is>
          <t>Boolean</t>
        </is>
      </c>
      <c r="CW959" s="451" t="n"/>
      <c r="CX959" s="451">
        <f>'CIRCUIT SIM'!MQ49</f>
        <v/>
      </c>
      <c r="CY959" s="451" t="n"/>
      <c r="DA959" s="429" t="n">
        <v>46</v>
      </c>
      <c r="DB959" s="431" t="n">
        <v>46</v>
      </c>
      <c r="DC959" s="688" t="n"/>
      <c r="DD959" s="431" t="inlineStr">
        <is>
          <t>Boolean</t>
        </is>
      </c>
      <c r="DE959" s="451" t="n"/>
      <c r="DF959" s="451">
        <f>'CIRCUIT SIM'!EX49</f>
        <v/>
      </c>
      <c r="DG959" s="451" t="n"/>
      <c r="DI959" s="429" t="n">
        <v>46</v>
      </c>
      <c r="DJ959" s="431" t="n">
        <v>46</v>
      </c>
      <c r="DK959" s="688" t="n"/>
      <c r="DL959" s="431" t="inlineStr">
        <is>
          <t>Boolean</t>
        </is>
      </c>
      <c r="DM959" s="429" t="n"/>
      <c r="DN959" s="451">
        <f>'CIRCUIT SIM'!FN49</f>
        <v/>
      </c>
      <c r="DO959" s="451" t="n"/>
      <c r="DQ959" s="429" t="n">
        <v>46</v>
      </c>
      <c r="DR959" s="431" t="n">
        <v>46</v>
      </c>
      <c r="DS959" s="688" t="n"/>
      <c r="DT959" s="431" t="inlineStr">
        <is>
          <t>Boolean</t>
        </is>
      </c>
      <c r="DU959" s="451" t="n"/>
      <c r="DV959" s="451">
        <f>'CIRCUIT SIM'!HT49</f>
        <v/>
      </c>
      <c r="DW959" s="451" t="n"/>
      <c r="DY959" s="429" t="n">
        <v>46</v>
      </c>
      <c r="DZ959" s="431" t="n">
        <v>46</v>
      </c>
      <c r="EA959" s="688" t="n"/>
      <c r="EB959" s="431" t="inlineStr">
        <is>
          <t>Boolean</t>
        </is>
      </c>
      <c r="EC959" s="451" t="n"/>
      <c r="ED959" s="335">
        <f>'CIRCUIT SIM'!GO49</f>
        <v/>
      </c>
      <c r="EE959" s="451" t="n"/>
      <c r="EG959" s="429" t="n">
        <v>46</v>
      </c>
      <c r="EH959" s="431" t="n">
        <v>46</v>
      </c>
      <c r="EI959" s="688" t="n"/>
      <c r="EJ959" s="431" t="inlineStr">
        <is>
          <t>Boolean</t>
        </is>
      </c>
      <c r="EK959" s="451" t="n"/>
      <c r="EL959" s="451">
        <f>'CIRCUIT SIM'!HD49</f>
        <v/>
      </c>
      <c r="EM959" s="451" t="n"/>
      <c r="EO959" s="429" t="n">
        <v>46</v>
      </c>
      <c r="EP959" s="431" t="n">
        <v>46</v>
      </c>
      <c r="EQ959" s="688" t="n"/>
      <c r="ER959" s="431" t="inlineStr">
        <is>
          <t>Boolean</t>
        </is>
      </c>
      <c r="ES959" s="451" t="n"/>
      <c r="ET959" s="451">
        <f>'CIRCUIT SIM'!HT49</f>
        <v/>
      </c>
      <c r="EU959" s="451" t="n"/>
      <c r="EW959" s="429" t="n">
        <v>46</v>
      </c>
      <c r="EX959" s="431" t="n">
        <v>46</v>
      </c>
      <c r="EY959" s="688" t="n"/>
      <c r="EZ959" s="431" t="n"/>
      <c r="FA959" s="451" t="n"/>
      <c r="FB959" s="451" t="n"/>
      <c r="FC959" s="451" t="n"/>
      <c r="FE959" s="429" t="n">
        <v>46</v>
      </c>
      <c r="FF959" s="431" t="n">
        <v>46</v>
      </c>
      <c r="FG959" s="688" t="n"/>
      <c r="FH959" s="431" t="n"/>
      <c r="FI959" s="451" t="inlineStr">
        <is>
          <t> </t>
        </is>
      </c>
      <c r="FJ959" s="451">
        <f>'CIRCUIT SIM'!IU49</f>
        <v/>
      </c>
      <c r="FK959" s="451" t="n"/>
      <c r="FM959" s="429" t="n">
        <v>46</v>
      </c>
      <c r="FN959" s="431" t="n">
        <v>46</v>
      </c>
      <c r="FO959" s="688" t="n"/>
      <c r="FP959" s="431" t="n"/>
      <c r="FQ959" s="451" t="n"/>
      <c r="FR959" s="451">
        <f>'CIRCUIT SIM'!KY49</f>
        <v/>
      </c>
      <c r="FS959" s="451" t="n"/>
      <c r="FU959" s="429" t="n">
        <v>46</v>
      </c>
      <c r="FV959" s="431" t="n">
        <v>46</v>
      </c>
      <c r="FW959" s="688" t="n"/>
      <c r="FX959" s="431" t="n"/>
      <c r="FY959" s="451" t="n"/>
      <c r="FZ959" s="562">
        <f>'CIRCUIT SIM'!JG49</f>
        <v/>
      </c>
      <c r="GA959" s="451" t="n"/>
      <c r="GC959" s="429" t="n">
        <v>46</v>
      </c>
      <c r="GD959" s="431" t="n">
        <v>46</v>
      </c>
      <c r="GE959" s="688" t="n"/>
      <c r="GF959" s="431" t="n"/>
      <c r="GG959" s="451" t="n"/>
      <c r="GH959" s="451" t="n"/>
      <c r="GI959" s="451" t="n"/>
      <c r="GK959" s="429" t="n">
        <v>46</v>
      </c>
      <c r="GL959" s="431" t="n">
        <v>46</v>
      </c>
      <c r="GM959" s="688" t="n"/>
      <c r="GN959" s="431" t="n"/>
      <c r="GO959" s="451" t="n"/>
      <c r="GP959" s="451" t="n"/>
      <c r="GQ959" s="451" t="n"/>
      <c r="GS959" s="429" t="n">
        <v>46</v>
      </c>
      <c r="GT959" s="431" t="n">
        <v>46</v>
      </c>
      <c r="GU959" s="688" t="n"/>
      <c r="GV959" s="431" t="inlineStr">
        <is>
          <t>Boolean</t>
        </is>
      </c>
      <c r="GW959" s="451" t="n"/>
      <c r="GX959" s="451">
        <f>'CIRCUIT SIM'!KY49</f>
        <v/>
      </c>
      <c r="GY959" s="451" t="n"/>
      <c r="HA959" s="429" t="n">
        <v>46</v>
      </c>
      <c r="HB959" s="431" t="n">
        <v>46</v>
      </c>
      <c r="HC959" s="688" t="n"/>
      <c r="HD959" s="431" t="n"/>
      <c r="HE959" s="451" t="n"/>
      <c r="HF959" s="451" t="n"/>
      <c r="HG959" s="451" t="n"/>
    </row>
    <row r="960">
      <c r="A960" s="429" t="n">
        <v>47</v>
      </c>
      <c r="B960" s="431" t="n">
        <v>47</v>
      </c>
      <c r="C960" s="688" t="n"/>
      <c r="D960" s="431" t="inlineStr">
        <is>
          <t>Boolean</t>
        </is>
      </c>
      <c r="E960" s="429" t="n"/>
      <c r="F960" s="422">
        <f>'CIRCUIT SIM'!J50</f>
        <v/>
      </c>
      <c r="G960" s="429" t="n"/>
      <c r="I960" s="429" t="n">
        <v>47</v>
      </c>
      <c r="J960" s="431" t="n">
        <v>47</v>
      </c>
      <c r="K960" s="429" t="n"/>
      <c r="L960" s="431" t="inlineStr">
        <is>
          <t>Boolean</t>
        </is>
      </c>
      <c r="M960" s="451" t="n"/>
      <c r="N960" s="422">
        <f>'CIRCUIT SIM'!Y50</f>
        <v/>
      </c>
      <c r="O960" s="451" t="n"/>
      <c r="Q960" s="429" t="n">
        <v>47</v>
      </c>
      <c r="R960" s="431" t="n">
        <v>47</v>
      </c>
      <c r="S960" s="429" t="n"/>
      <c r="T960" s="431" t="inlineStr">
        <is>
          <t>Boolean</t>
        </is>
      </c>
      <c r="U960" s="429" t="n"/>
      <c r="V960" s="386">
        <f>'CIRCUIT SIM'!AO50</f>
        <v/>
      </c>
      <c r="W960" s="451" t="n"/>
      <c r="Y960" s="429" t="n">
        <v>47</v>
      </c>
      <c r="Z960" s="431" t="n">
        <v>47</v>
      </c>
      <c r="AA960" s="429" t="n"/>
      <c r="AB960" s="431" t="n"/>
      <c r="AC960" s="451" t="n"/>
      <c r="AD960" s="451" t="n"/>
      <c r="AE960" s="451" t="n"/>
      <c r="AG960" s="429" t="n">
        <v>47</v>
      </c>
      <c r="AH960" s="431" t="n">
        <v>47</v>
      </c>
      <c r="AI960" s="429" t="n"/>
      <c r="AJ960" s="431" t="inlineStr">
        <is>
          <t>Boolean</t>
        </is>
      </c>
      <c r="AK960" s="451" t="n"/>
      <c r="AL960" s="450">
        <f>'CIRCUIT SIM'!CR50</f>
        <v/>
      </c>
      <c r="AM960" s="451" t="n"/>
      <c r="AO960" s="429" t="n">
        <v>47</v>
      </c>
      <c r="AP960" s="431" t="n">
        <v>47</v>
      </c>
      <c r="AQ960" s="429" t="n"/>
      <c r="AR960" s="431" t="inlineStr">
        <is>
          <t>Boolean</t>
        </is>
      </c>
      <c r="AS960" s="451" t="n"/>
      <c r="AT960" s="386">
        <f>'CIRCUIT SIM'!BR50</f>
        <v/>
      </c>
      <c r="AU960" s="451" t="n"/>
      <c r="AW960" s="429" t="n">
        <v>47</v>
      </c>
      <c r="AX960" s="431" t="n">
        <v>47</v>
      </c>
      <c r="AY960" s="429" t="n"/>
      <c r="AZ960" s="431" t="inlineStr">
        <is>
          <t>Boolean</t>
        </is>
      </c>
      <c r="BA960" s="451" t="n"/>
      <c r="BB960" s="451">
        <f>'CIRCUIT SIM'!CG50</f>
        <v/>
      </c>
      <c r="BC960" s="451" t="n"/>
      <c r="BE960" s="429" t="n">
        <v>47</v>
      </c>
      <c r="BF960" s="431" t="n"/>
      <c r="BG960" s="429" t="n"/>
      <c r="BH960" s="431" t="n"/>
      <c r="BI960" s="451" t="n"/>
      <c r="BJ960" s="451" t="n"/>
      <c r="BK960" s="451" t="n"/>
      <c r="BM960" s="429" t="n">
        <v>47</v>
      </c>
      <c r="BN960" s="431" t="n">
        <v>47</v>
      </c>
      <c r="BO960" s="429" t="n"/>
      <c r="BP960" s="431" t="inlineStr">
        <is>
          <t>Boolean</t>
        </is>
      </c>
      <c r="BQ960" s="451" t="n"/>
      <c r="BR960" s="451">
        <f>'CIRCUIT SIM'!DT50</f>
        <v/>
      </c>
      <c r="BS960" s="451" t="n"/>
      <c r="BU960" s="429" t="n">
        <v>47</v>
      </c>
      <c r="BV960" s="431" t="n">
        <v>47</v>
      </c>
      <c r="BW960" s="429" t="n"/>
      <c r="BX960" s="431" t="inlineStr">
        <is>
          <t>Boolean</t>
        </is>
      </c>
      <c r="BY960" s="451" t="n"/>
      <c r="BZ960" s="451">
        <f>'CIRCUIT SIM'!EI50</f>
        <v/>
      </c>
      <c r="CA960" s="451" t="n"/>
      <c r="CC960" s="429" t="n">
        <v>47</v>
      </c>
      <c r="CD960" s="431" t="n">
        <v>47</v>
      </c>
      <c r="CE960" s="688" t="n"/>
      <c r="CF960" s="431" t="inlineStr">
        <is>
          <t>Boolean</t>
        </is>
      </c>
      <c r="CG960" s="451" t="n"/>
      <c r="CH960" s="562">
        <f>'CIRCUIT SIM'!LK50</f>
        <v/>
      </c>
      <c r="CI960" s="451" t="n"/>
      <c r="CK960" s="429" t="n">
        <v>47</v>
      </c>
      <c r="CL960" s="431" t="n">
        <v>47</v>
      </c>
      <c r="CM960" s="565" t="n">
        <v>46</v>
      </c>
      <c r="CN960" s="431" t="inlineStr">
        <is>
          <t>Boolean</t>
        </is>
      </c>
      <c r="CO960" s="451" t="n"/>
      <c r="CP960" s="451">
        <f>'CIRCUIT SIM'!MA50</f>
        <v/>
      </c>
      <c r="CQ960" s="451" t="n"/>
      <c r="CS960" s="429" t="n">
        <v>47</v>
      </c>
      <c r="CT960" s="431" t="n">
        <v>47</v>
      </c>
      <c r="CU960" s="688" t="n"/>
      <c r="CV960" s="431" t="inlineStr">
        <is>
          <t>Boolean</t>
        </is>
      </c>
      <c r="CW960" s="451" t="n"/>
      <c r="CX960" s="451">
        <f>'CIRCUIT SIM'!MQ50</f>
        <v/>
      </c>
      <c r="CY960" s="451" t="n"/>
      <c r="DA960" s="429" t="n">
        <v>47</v>
      </c>
      <c r="DB960" s="431" t="n">
        <v>47</v>
      </c>
      <c r="DC960" s="688" t="n"/>
      <c r="DD960" s="431" t="inlineStr">
        <is>
          <t>Boolean</t>
        </is>
      </c>
      <c r="DE960" s="451" t="n"/>
      <c r="DF960" s="451">
        <f>'CIRCUIT SIM'!EX50</f>
        <v/>
      </c>
      <c r="DG960" s="451" t="n"/>
      <c r="DI960" s="429" t="n">
        <v>47</v>
      </c>
      <c r="DJ960" s="431" t="n">
        <v>47</v>
      </c>
      <c r="DK960" s="688" t="n"/>
      <c r="DL960" s="431" t="inlineStr">
        <is>
          <t>Boolean</t>
        </is>
      </c>
      <c r="DM960" s="429" t="n"/>
      <c r="DN960" s="451">
        <f>'CIRCUIT SIM'!FN50</f>
        <v/>
      </c>
      <c r="DO960" s="451" t="n"/>
      <c r="DQ960" s="429" t="n">
        <v>47</v>
      </c>
      <c r="DR960" s="431" t="n">
        <v>47</v>
      </c>
      <c r="DS960" s="688" t="n"/>
      <c r="DT960" s="431" t="inlineStr">
        <is>
          <t>Boolean</t>
        </is>
      </c>
      <c r="DU960" s="451" t="n"/>
      <c r="DV960" s="451">
        <f>'CIRCUIT SIM'!HT50</f>
        <v/>
      </c>
      <c r="DW960" s="451" t="n"/>
      <c r="DY960" s="429" t="n">
        <v>47</v>
      </c>
      <c r="DZ960" s="431" t="n">
        <v>47</v>
      </c>
      <c r="EA960" s="688" t="n"/>
      <c r="EB960" s="431" t="inlineStr">
        <is>
          <t>Boolean</t>
        </is>
      </c>
      <c r="EC960" s="451" t="n"/>
      <c r="ED960" s="335">
        <f>'CIRCUIT SIM'!GO50</f>
        <v/>
      </c>
      <c r="EE960" s="451" t="n"/>
      <c r="EG960" s="429" t="n">
        <v>47</v>
      </c>
      <c r="EH960" s="431" t="n">
        <v>47</v>
      </c>
      <c r="EI960" s="688" t="n"/>
      <c r="EJ960" s="431" t="inlineStr">
        <is>
          <t>Boolean</t>
        </is>
      </c>
      <c r="EK960" s="451" t="n"/>
      <c r="EL960" s="451">
        <f>'CIRCUIT SIM'!HD50</f>
        <v/>
      </c>
      <c r="EM960" s="451" t="n"/>
      <c r="EO960" s="429" t="n">
        <v>47</v>
      </c>
      <c r="EP960" s="431" t="n">
        <v>47</v>
      </c>
      <c r="EQ960" s="688" t="n"/>
      <c r="ER960" s="431" t="inlineStr">
        <is>
          <t>Boolean</t>
        </is>
      </c>
      <c r="ES960" s="451" t="n"/>
      <c r="ET960" s="451">
        <f>'CIRCUIT SIM'!HT50</f>
        <v/>
      </c>
      <c r="EU960" s="451" t="n"/>
      <c r="EW960" s="429" t="n">
        <v>47</v>
      </c>
      <c r="EX960" s="431" t="n">
        <v>47</v>
      </c>
      <c r="EY960" s="688" t="n"/>
      <c r="EZ960" s="431" t="n"/>
      <c r="FA960" s="451" t="n"/>
      <c r="FB960" s="451" t="n"/>
      <c r="FC960" s="451" t="n"/>
      <c r="FE960" s="429" t="n">
        <v>47</v>
      </c>
      <c r="FF960" s="431" t="n">
        <v>47</v>
      </c>
      <c r="FG960" s="688" t="n"/>
      <c r="FH960" s="431" t="n"/>
      <c r="FI960" s="451" t="n"/>
      <c r="FJ960" s="451">
        <f>'CIRCUIT SIM'!IU50</f>
        <v/>
      </c>
      <c r="FK960" s="451" t="n"/>
      <c r="FM960" s="429" t="n">
        <v>47</v>
      </c>
      <c r="FN960" s="431" t="n">
        <v>47</v>
      </c>
      <c r="FO960" s="688" t="n"/>
      <c r="FP960" s="431" t="n"/>
      <c r="FQ960" s="451" t="n"/>
      <c r="FR960" s="451">
        <f>'CIRCUIT SIM'!KY50</f>
        <v/>
      </c>
      <c r="FS960" s="451" t="n"/>
      <c r="FU960" s="429" t="n">
        <v>47</v>
      </c>
      <c r="FV960" s="431" t="n">
        <v>47</v>
      </c>
      <c r="FW960" s="688" t="n"/>
      <c r="FX960" s="431" t="n"/>
      <c r="FY960" s="451" t="n"/>
      <c r="FZ960" s="562">
        <f>'CIRCUIT SIM'!JG50</f>
        <v/>
      </c>
      <c r="GA960" s="451" t="n"/>
      <c r="GC960" s="429" t="n">
        <v>47</v>
      </c>
      <c r="GD960" s="431" t="n">
        <v>47</v>
      </c>
      <c r="GE960" s="688" t="n"/>
      <c r="GF960" s="431" t="n"/>
      <c r="GG960" s="451" t="n"/>
      <c r="GH960" s="451" t="n"/>
      <c r="GI960" s="451" t="n"/>
      <c r="GK960" s="429" t="n">
        <v>47</v>
      </c>
      <c r="GL960" s="431" t="n">
        <v>47</v>
      </c>
      <c r="GM960" s="688" t="n"/>
      <c r="GN960" s="431" t="n"/>
      <c r="GO960" s="451" t="n"/>
      <c r="GP960" s="451" t="n"/>
      <c r="GQ960" s="451" t="n"/>
      <c r="GS960" s="429" t="n">
        <v>47</v>
      </c>
      <c r="GT960" s="431" t="n">
        <v>47</v>
      </c>
      <c r="GU960" s="688" t="n"/>
      <c r="GV960" s="431" t="inlineStr">
        <is>
          <t>Boolean</t>
        </is>
      </c>
      <c r="GW960" s="451" t="n"/>
      <c r="GX960" s="451">
        <f>'CIRCUIT SIM'!KY50</f>
        <v/>
      </c>
      <c r="GY960" s="451" t="n"/>
      <c r="HA960" s="429" t="n">
        <v>47</v>
      </c>
      <c r="HB960" s="431" t="n">
        <v>47</v>
      </c>
      <c r="HC960" s="688" t="n"/>
      <c r="HD960" s="431" t="n"/>
      <c r="HE960" s="451" t="n"/>
      <c r="HF960" s="451" t="n"/>
      <c r="HG960" s="451" t="n"/>
    </row>
    <row r="961">
      <c r="A961" s="429" t="n">
        <v>48</v>
      </c>
      <c r="B961" s="431" t="n">
        <v>48</v>
      </c>
      <c r="C961" s="688" t="n"/>
      <c r="D961" s="431" t="inlineStr">
        <is>
          <t>Boolean</t>
        </is>
      </c>
      <c r="E961" s="429" t="n"/>
      <c r="F961" s="422">
        <f>'CIRCUIT SIM'!J51</f>
        <v/>
      </c>
      <c r="G961" s="429" t="n"/>
      <c r="I961" s="429" t="n">
        <v>48</v>
      </c>
      <c r="J961" s="431" t="n">
        <v>48</v>
      </c>
      <c r="K961" s="429" t="n"/>
      <c r="L961" s="431" t="inlineStr">
        <is>
          <t>Boolean</t>
        </is>
      </c>
      <c r="M961" s="451" t="n"/>
      <c r="N961" s="422">
        <f>'CIRCUIT SIM'!Y51</f>
        <v/>
      </c>
      <c r="O961" s="451" t="n"/>
      <c r="Q961" s="429" t="n">
        <v>48</v>
      </c>
      <c r="R961" s="431" t="n">
        <v>48</v>
      </c>
      <c r="S961" s="429" t="n"/>
      <c r="T961" s="431" t="inlineStr">
        <is>
          <t>Boolean</t>
        </is>
      </c>
      <c r="U961" s="429" t="n"/>
      <c r="V961" s="386">
        <f>'CIRCUIT SIM'!AO51</f>
        <v/>
      </c>
      <c r="W961" s="451" t="n"/>
      <c r="Y961" s="429" t="n">
        <v>48</v>
      </c>
      <c r="Z961" s="431" t="n">
        <v>48</v>
      </c>
      <c r="AA961" s="429" t="n"/>
      <c r="AB961" s="431" t="n"/>
      <c r="AC961" s="451" t="n"/>
      <c r="AD961" s="451" t="n"/>
      <c r="AE961" s="451" t="n"/>
      <c r="AG961" s="429" t="n">
        <v>48</v>
      </c>
      <c r="AH961" s="431" t="n">
        <v>48</v>
      </c>
      <c r="AI961" s="429" t="n"/>
      <c r="AJ961" s="431" t="inlineStr">
        <is>
          <t>Boolean</t>
        </is>
      </c>
      <c r="AK961" s="451" t="n"/>
      <c r="AL961" s="450">
        <f>'CIRCUIT SIM'!CR51</f>
        <v/>
      </c>
      <c r="AM961" s="451" t="n"/>
      <c r="AO961" s="429" t="n">
        <v>48</v>
      </c>
      <c r="AP961" s="431" t="n">
        <v>48</v>
      </c>
      <c r="AQ961" s="429" t="n"/>
      <c r="AR961" s="431" t="inlineStr">
        <is>
          <t>Boolean</t>
        </is>
      </c>
      <c r="AS961" s="451" t="n"/>
      <c r="AT961" s="386">
        <f>'CIRCUIT SIM'!BR51</f>
        <v/>
      </c>
      <c r="AU961" s="451" t="n"/>
      <c r="AW961" s="429" t="n">
        <v>48</v>
      </c>
      <c r="AX961" s="431" t="n">
        <v>48</v>
      </c>
      <c r="AY961" s="429" t="n"/>
      <c r="AZ961" s="431" t="inlineStr">
        <is>
          <t>Boolean</t>
        </is>
      </c>
      <c r="BA961" s="451" t="n"/>
      <c r="BB961" s="451">
        <f>'CIRCUIT SIM'!CG51</f>
        <v/>
      </c>
      <c r="BC961" s="451" t="n"/>
      <c r="BE961" s="429" t="n">
        <v>48</v>
      </c>
      <c r="BF961" s="431" t="n"/>
      <c r="BG961" s="429" t="n"/>
      <c r="BH961" s="431" t="n"/>
      <c r="BI961" s="451" t="n"/>
      <c r="BJ961" s="451" t="n"/>
      <c r="BK961" s="451" t="n"/>
      <c r="BM961" s="429" t="n">
        <v>48</v>
      </c>
      <c r="BN961" s="431" t="n">
        <v>48</v>
      </c>
      <c r="BO961" s="429" t="n"/>
      <c r="BP961" s="431" t="inlineStr">
        <is>
          <t>Boolean</t>
        </is>
      </c>
      <c r="BQ961" s="451" t="n"/>
      <c r="BR961" s="451">
        <f>'CIRCUIT SIM'!DT51</f>
        <v/>
      </c>
      <c r="BS961" s="451" t="n"/>
      <c r="BU961" s="429" t="n">
        <v>48</v>
      </c>
      <c r="BV961" s="431" t="n">
        <v>48</v>
      </c>
      <c r="BW961" s="429" t="n"/>
      <c r="BX961" s="431" t="inlineStr">
        <is>
          <t>Boolean</t>
        </is>
      </c>
      <c r="BY961" s="451" t="n"/>
      <c r="BZ961" s="451">
        <f>'CIRCUIT SIM'!EI51</f>
        <v/>
      </c>
      <c r="CA961" s="451" t="n"/>
      <c r="CC961" s="429" t="n">
        <v>48</v>
      </c>
      <c r="CD961" s="431" t="n">
        <v>48</v>
      </c>
      <c r="CE961" s="688" t="n"/>
      <c r="CF961" s="431" t="inlineStr">
        <is>
          <t>Boolean</t>
        </is>
      </c>
      <c r="CG961" s="451" t="n"/>
      <c r="CH961" s="562">
        <f>'CIRCUIT SIM'!LK51</f>
        <v/>
      </c>
      <c r="CI961" s="451" t="n"/>
      <c r="CK961" s="429" t="n">
        <v>48</v>
      </c>
      <c r="CL961" s="431" t="n">
        <v>48</v>
      </c>
      <c r="CM961" s="565" t="n">
        <v>47</v>
      </c>
      <c r="CN961" s="431" t="inlineStr">
        <is>
          <t>Boolean</t>
        </is>
      </c>
      <c r="CO961" s="451" t="n"/>
      <c r="CP961" s="451">
        <f>'CIRCUIT SIM'!MA51</f>
        <v/>
      </c>
      <c r="CQ961" s="451" t="n"/>
      <c r="CS961" s="429" t="n">
        <v>48</v>
      </c>
      <c r="CT961" s="431" t="n">
        <v>48</v>
      </c>
      <c r="CU961" s="688" t="n"/>
      <c r="CV961" s="431" t="inlineStr">
        <is>
          <t>Boolean</t>
        </is>
      </c>
      <c r="CW961" s="451" t="n"/>
      <c r="CX961" s="451">
        <f>'CIRCUIT SIM'!MQ51</f>
        <v/>
      </c>
      <c r="CY961" s="451" t="n"/>
      <c r="DA961" s="429" t="n">
        <v>48</v>
      </c>
      <c r="DB961" s="431" t="n">
        <v>48</v>
      </c>
      <c r="DC961" s="688" t="n"/>
      <c r="DD961" s="431" t="inlineStr">
        <is>
          <t>Boolean</t>
        </is>
      </c>
      <c r="DE961" s="451" t="n"/>
      <c r="DF961" s="451">
        <f>'CIRCUIT SIM'!EX51</f>
        <v/>
      </c>
      <c r="DG961" s="451" t="n"/>
      <c r="DI961" s="429" t="n">
        <v>48</v>
      </c>
      <c r="DJ961" s="431" t="n">
        <v>48</v>
      </c>
      <c r="DK961" s="688" t="n"/>
      <c r="DL961" s="431" t="inlineStr">
        <is>
          <t>Boolean</t>
        </is>
      </c>
      <c r="DM961" s="429" t="n"/>
      <c r="DN961" s="451">
        <f>'CIRCUIT SIM'!FN51</f>
        <v/>
      </c>
      <c r="DO961" s="451" t="n"/>
      <c r="DQ961" s="429" t="n">
        <v>48</v>
      </c>
      <c r="DR961" s="431" t="n">
        <v>48</v>
      </c>
      <c r="DS961" s="688" t="n"/>
      <c r="DT961" s="431" t="inlineStr">
        <is>
          <t>Boolean</t>
        </is>
      </c>
      <c r="DU961" s="451" t="n"/>
      <c r="DV961" s="451">
        <f>'CIRCUIT SIM'!HT51</f>
        <v/>
      </c>
      <c r="DW961" s="451" t="n"/>
      <c r="DY961" s="429" t="n">
        <v>48</v>
      </c>
      <c r="DZ961" s="431" t="n">
        <v>48</v>
      </c>
      <c r="EA961" s="688" t="n"/>
      <c r="EB961" s="431" t="inlineStr">
        <is>
          <t>Boolean</t>
        </is>
      </c>
      <c r="EC961" s="451" t="n"/>
      <c r="ED961" s="335">
        <f>'CIRCUIT SIM'!GO51</f>
        <v/>
      </c>
      <c r="EE961" s="451" t="n"/>
      <c r="EG961" s="429" t="n">
        <v>48</v>
      </c>
      <c r="EH961" s="431" t="n">
        <v>48</v>
      </c>
      <c r="EI961" s="688" t="n"/>
      <c r="EJ961" s="431" t="inlineStr">
        <is>
          <t>Boolean</t>
        </is>
      </c>
      <c r="EK961" s="451" t="n"/>
      <c r="EL961" s="451">
        <f>'CIRCUIT SIM'!HD51</f>
        <v/>
      </c>
      <c r="EM961" s="451" t="n"/>
      <c r="EO961" s="429" t="n">
        <v>48</v>
      </c>
      <c r="EP961" s="431" t="n">
        <v>48</v>
      </c>
      <c r="EQ961" s="688" t="n"/>
      <c r="ER961" s="431" t="inlineStr">
        <is>
          <t>Boolean</t>
        </is>
      </c>
      <c r="ES961" s="451" t="n"/>
      <c r="ET961" s="451">
        <f>'CIRCUIT SIM'!HT51</f>
        <v/>
      </c>
      <c r="EU961" s="451" t="n"/>
      <c r="EW961" s="429" t="n">
        <v>48</v>
      </c>
      <c r="EX961" s="431" t="n">
        <v>48</v>
      </c>
      <c r="EY961" s="688" t="n"/>
      <c r="EZ961" s="431" t="n"/>
      <c r="FA961" s="451" t="n"/>
      <c r="FB961" s="451" t="n"/>
      <c r="FC961" s="451" t="n"/>
      <c r="FE961" s="429" t="n">
        <v>48</v>
      </c>
      <c r="FF961" s="431" t="n">
        <v>48</v>
      </c>
      <c r="FG961" s="688" t="n"/>
      <c r="FH961" s="431" t="n"/>
      <c r="FI961" s="451" t="n"/>
      <c r="FJ961" s="451">
        <f>'CIRCUIT SIM'!IU51</f>
        <v/>
      </c>
      <c r="FK961" s="451" t="n"/>
      <c r="FM961" s="429" t="n">
        <v>48</v>
      </c>
      <c r="FN961" s="431" t="n">
        <v>48</v>
      </c>
      <c r="FO961" s="688" t="n"/>
      <c r="FP961" s="431" t="n"/>
      <c r="FQ961" s="451" t="n"/>
      <c r="FR961" s="451">
        <f>'CIRCUIT SIM'!KY51</f>
        <v/>
      </c>
      <c r="FS961" s="451" t="n"/>
      <c r="FU961" s="429" t="n">
        <v>48</v>
      </c>
      <c r="FV961" s="431" t="n">
        <v>48</v>
      </c>
      <c r="FW961" s="688" t="n"/>
      <c r="FX961" s="431" t="n"/>
      <c r="FY961" s="451" t="inlineStr">
        <is>
          <t> </t>
        </is>
      </c>
      <c r="FZ961" s="562">
        <f>'CIRCUIT SIM'!JG51</f>
        <v/>
      </c>
      <c r="GA961" s="451" t="n"/>
      <c r="GC961" s="429" t="n">
        <v>48</v>
      </c>
      <c r="GD961" s="431" t="n">
        <v>48</v>
      </c>
      <c r="GE961" s="688" t="n"/>
      <c r="GF961" s="431" t="n"/>
      <c r="GG961" s="451" t="n"/>
      <c r="GH961" s="451" t="n"/>
      <c r="GI961" s="451" t="n"/>
      <c r="GK961" s="429" t="n">
        <v>48</v>
      </c>
      <c r="GL961" s="431" t="n">
        <v>48</v>
      </c>
      <c r="GM961" s="688" t="n"/>
      <c r="GN961" s="431" t="n"/>
      <c r="GO961" s="451" t="n"/>
      <c r="GP961" s="451" t="n"/>
      <c r="GQ961" s="451" t="n"/>
      <c r="GS961" s="429" t="n">
        <v>48</v>
      </c>
      <c r="GT961" s="431" t="n">
        <v>48</v>
      </c>
      <c r="GU961" s="688" t="n"/>
      <c r="GV961" s="431" t="inlineStr">
        <is>
          <t>Boolean</t>
        </is>
      </c>
      <c r="GW961" s="451" t="n"/>
      <c r="GX961" s="451">
        <f>'CIRCUIT SIM'!KY51</f>
        <v/>
      </c>
      <c r="GY961" s="451" t="n"/>
      <c r="HA961" s="429" t="n">
        <v>48</v>
      </c>
      <c r="HB961" s="431" t="n">
        <v>48</v>
      </c>
      <c r="HC961" s="688" t="n"/>
      <c r="HD961" s="431" t="n"/>
      <c r="HE961" s="451" t="n"/>
      <c r="HF961" s="451" t="n"/>
      <c r="HG961" s="451" t="n"/>
    </row>
    <row r="962">
      <c r="A962" s="429" t="n">
        <v>49</v>
      </c>
      <c r="B962" s="431" t="n">
        <v>49</v>
      </c>
      <c r="C962" s="688" t="n"/>
      <c r="D962" s="431" t="inlineStr">
        <is>
          <t>Boolean</t>
        </is>
      </c>
      <c r="E962" s="429" t="n"/>
      <c r="F962" s="422">
        <f>'CIRCUIT SIM'!J52</f>
        <v/>
      </c>
      <c r="G962" s="429" t="n"/>
      <c r="I962" s="429" t="n">
        <v>49</v>
      </c>
      <c r="J962" s="431" t="n">
        <v>49</v>
      </c>
      <c r="K962" s="429" t="n"/>
      <c r="L962" s="431" t="inlineStr">
        <is>
          <t>Boolean</t>
        </is>
      </c>
      <c r="M962" s="451" t="n"/>
      <c r="N962" s="422">
        <f>'CIRCUIT SIM'!Y52</f>
        <v/>
      </c>
      <c r="O962" s="451" t="n"/>
      <c r="Q962" s="429" t="n">
        <v>49</v>
      </c>
      <c r="R962" s="431" t="n">
        <v>49</v>
      </c>
      <c r="S962" s="429" t="n"/>
      <c r="T962" s="431" t="inlineStr">
        <is>
          <t>Boolean</t>
        </is>
      </c>
      <c r="U962" s="429" t="n"/>
      <c r="V962" s="386">
        <f>'CIRCUIT SIM'!AO52</f>
        <v/>
      </c>
      <c r="W962" s="451" t="n"/>
      <c r="Y962" s="429" t="n">
        <v>49</v>
      </c>
      <c r="Z962" s="431" t="n">
        <v>49</v>
      </c>
      <c r="AA962" s="429" t="n"/>
      <c r="AB962" s="431" t="n"/>
      <c r="AC962" s="451" t="n"/>
      <c r="AD962" s="451" t="n"/>
      <c r="AE962" s="451" t="n"/>
      <c r="AG962" s="429" t="n">
        <v>49</v>
      </c>
      <c r="AH962" s="431" t="n">
        <v>49</v>
      </c>
      <c r="AI962" s="429" t="n"/>
      <c r="AJ962" s="431" t="inlineStr">
        <is>
          <t>Boolean</t>
        </is>
      </c>
      <c r="AK962" s="451" t="n"/>
      <c r="AL962" s="450">
        <f>'CIRCUIT SIM'!CR52</f>
        <v/>
      </c>
      <c r="AM962" s="451" t="n"/>
      <c r="AO962" s="429" t="n">
        <v>49</v>
      </c>
      <c r="AP962" s="431" t="n">
        <v>49</v>
      </c>
      <c r="AQ962" s="429" t="n"/>
      <c r="AR962" s="431" t="inlineStr">
        <is>
          <t>Boolean</t>
        </is>
      </c>
      <c r="AS962" s="451" t="n"/>
      <c r="AT962" s="386">
        <f>'CIRCUIT SIM'!BR52</f>
        <v/>
      </c>
      <c r="AU962" s="451" t="n"/>
      <c r="AW962" s="429" t="n">
        <v>49</v>
      </c>
      <c r="AX962" s="431" t="n">
        <v>49</v>
      </c>
      <c r="AY962" s="429" t="n"/>
      <c r="AZ962" s="431" t="inlineStr">
        <is>
          <t>Boolean</t>
        </is>
      </c>
      <c r="BA962" s="451" t="n"/>
      <c r="BB962" s="451">
        <f>'CIRCUIT SIM'!CG52</f>
        <v/>
      </c>
      <c r="BC962" s="451" t="n"/>
      <c r="BE962" s="429" t="n">
        <v>49</v>
      </c>
      <c r="BF962" s="431" t="n"/>
      <c r="BG962" s="429" t="n"/>
      <c r="BH962" s="431" t="n"/>
      <c r="BI962" s="451" t="n"/>
      <c r="BJ962" s="451" t="n"/>
      <c r="BK962" s="451" t="n"/>
      <c r="BM962" s="429" t="n">
        <v>49</v>
      </c>
      <c r="BN962" s="431" t="n">
        <v>49</v>
      </c>
      <c r="BO962" s="429" t="n"/>
      <c r="BP962" s="431" t="inlineStr">
        <is>
          <t>Boolean</t>
        </is>
      </c>
      <c r="BQ962" s="451" t="n"/>
      <c r="BR962" s="451">
        <f>'CIRCUIT SIM'!DT52</f>
        <v/>
      </c>
      <c r="BS962" s="451" t="n"/>
      <c r="BU962" s="429" t="n">
        <v>49</v>
      </c>
      <c r="BV962" s="431" t="n">
        <v>49</v>
      </c>
      <c r="BW962" s="429" t="n"/>
      <c r="BX962" s="431" t="inlineStr">
        <is>
          <t>Boolean</t>
        </is>
      </c>
      <c r="BY962" s="451" t="inlineStr">
        <is>
          <t> </t>
        </is>
      </c>
      <c r="BZ962" s="451">
        <f>'CIRCUIT SIM'!EI52</f>
        <v/>
      </c>
      <c r="CA962" s="451" t="n"/>
      <c r="CC962" s="429" t="n">
        <v>49</v>
      </c>
      <c r="CD962" s="431" t="n">
        <v>49</v>
      </c>
      <c r="CE962" s="688" t="n"/>
      <c r="CF962" s="431" t="inlineStr">
        <is>
          <t>Boolean</t>
        </is>
      </c>
      <c r="CG962" s="451" t="n"/>
      <c r="CH962" s="562">
        <f>'CIRCUIT SIM'!LK52</f>
        <v/>
      </c>
      <c r="CI962" s="451" t="n"/>
      <c r="CK962" s="429" t="n">
        <v>49</v>
      </c>
      <c r="CL962" s="431" t="n">
        <v>49</v>
      </c>
      <c r="CM962" s="565" t="n">
        <v>48</v>
      </c>
      <c r="CN962" s="431" t="inlineStr">
        <is>
          <t>Boolean</t>
        </is>
      </c>
      <c r="CO962" s="451" t="n"/>
      <c r="CP962" s="451">
        <f>'CIRCUIT SIM'!MA52</f>
        <v/>
      </c>
      <c r="CQ962" s="451" t="n"/>
      <c r="CS962" s="429" t="n">
        <v>49</v>
      </c>
      <c r="CT962" s="431" t="n">
        <v>49</v>
      </c>
      <c r="CU962" s="688" t="n"/>
      <c r="CV962" s="431" t="inlineStr">
        <is>
          <t>Boolean</t>
        </is>
      </c>
      <c r="CW962" s="451" t="n"/>
      <c r="CX962" s="451">
        <f>'CIRCUIT SIM'!MQ52</f>
        <v/>
      </c>
      <c r="CY962" s="451" t="n"/>
      <c r="DA962" s="429" t="n">
        <v>49</v>
      </c>
      <c r="DB962" s="431" t="n">
        <v>49</v>
      </c>
      <c r="DC962" s="688" t="n"/>
      <c r="DD962" s="431" t="inlineStr">
        <is>
          <t>Boolean</t>
        </is>
      </c>
      <c r="DE962" s="451" t="n"/>
      <c r="DF962" s="451">
        <f>'CIRCUIT SIM'!EX52</f>
        <v/>
      </c>
      <c r="DG962" s="451" t="n"/>
      <c r="DI962" s="429" t="n">
        <v>49</v>
      </c>
      <c r="DJ962" s="431" t="n">
        <v>49</v>
      </c>
      <c r="DK962" s="688" t="n"/>
      <c r="DL962" s="431" t="inlineStr">
        <is>
          <t>Boolean</t>
        </is>
      </c>
      <c r="DM962" s="429" t="n"/>
      <c r="DN962" s="451">
        <f>'CIRCUIT SIM'!FN52</f>
        <v/>
      </c>
      <c r="DO962" s="451" t="n"/>
      <c r="DQ962" s="429" t="n">
        <v>49</v>
      </c>
      <c r="DR962" s="431" t="n">
        <v>49</v>
      </c>
      <c r="DS962" s="688" t="n"/>
      <c r="DT962" s="431" t="inlineStr">
        <is>
          <t>Boolean</t>
        </is>
      </c>
      <c r="DU962" s="451" t="n"/>
      <c r="DV962" s="451">
        <f>'CIRCUIT SIM'!HT52</f>
        <v/>
      </c>
      <c r="DW962" s="451" t="n"/>
      <c r="DY962" s="429" t="n">
        <v>49</v>
      </c>
      <c r="DZ962" s="431" t="n">
        <v>49</v>
      </c>
      <c r="EA962" s="688" t="n"/>
      <c r="EB962" s="431" t="inlineStr">
        <is>
          <t>Boolean</t>
        </is>
      </c>
      <c r="EC962" s="451" t="n"/>
      <c r="ED962" s="335">
        <f>'CIRCUIT SIM'!GO52</f>
        <v/>
      </c>
      <c r="EE962" s="451" t="n"/>
      <c r="EG962" s="429" t="n">
        <v>49</v>
      </c>
      <c r="EH962" s="431" t="n">
        <v>49</v>
      </c>
      <c r="EI962" s="688" t="n"/>
      <c r="EJ962" s="431" t="inlineStr">
        <is>
          <t>Boolean</t>
        </is>
      </c>
      <c r="EK962" s="451" t="n"/>
      <c r="EL962" s="451">
        <f>'CIRCUIT SIM'!HD52</f>
        <v/>
      </c>
      <c r="EM962" s="451" t="n"/>
      <c r="EO962" s="429" t="n">
        <v>49</v>
      </c>
      <c r="EP962" s="431" t="n">
        <v>49</v>
      </c>
      <c r="EQ962" s="688" t="n"/>
      <c r="ER962" s="431" t="inlineStr">
        <is>
          <t>Boolean</t>
        </is>
      </c>
      <c r="ES962" s="451" t="n"/>
      <c r="ET962" s="451">
        <f>'CIRCUIT SIM'!HT52</f>
        <v/>
      </c>
      <c r="EU962" s="451" t="n"/>
      <c r="EW962" s="429" t="n">
        <v>49</v>
      </c>
      <c r="EX962" s="431" t="n">
        <v>49</v>
      </c>
      <c r="EY962" s="688" t="n"/>
      <c r="EZ962" s="431" t="n"/>
      <c r="FA962" s="451" t="n"/>
      <c r="FB962" s="451" t="n"/>
      <c r="FC962" s="451" t="n"/>
      <c r="FE962" s="429" t="n">
        <v>49</v>
      </c>
      <c r="FF962" s="431" t="n">
        <v>49</v>
      </c>
      <c r="FG962" s="688" t="n"/>
      <c r="FH962" s="431" t="n"/>
      <c r="FI962" s="451" t="n"/>
      <c r="FJ962" s="451">
        <f>'CIRCUIT SIM'!IU52</f>
        <v/>
      </c>
      <c r="FK962" s="451" t="n"/>
      <c r="FM962" s="429" t="n">
        <v>49</v>
      </c>
      <c r="FN962" s="431" t="n">
        <v>49</v>
      </c>
      <c r="FO962" s="688" t="n"/>
      <c r="FP962" s="431" t="n"/>
      <c r="FQ962" s="451" t="n"/>
      <c r="FR962" s="451">
        <f>'CIRCUIT SIM'!KY52</f>
        <v/>
      </c>
      <c r="FS962" s="451" t="n"/>
      <c r="FU962" s="429" t="n">
        <v>49</v>
      </c>
      <c r="FV962" s="431" t="n">
        <v>49</v>
      </c>
      <c r="FW962" s="688" t="n"/>
      <c r="FX962" s="431" t="n"/>
      <c r="FY962" s="451" t="n"/>
      <c r="FZ962" s="562">
        <f>'CIRCUIT SIM'!JG52</f>
        <v/>
      </c>
      <c r="GA962" s="451" t="n"/>
      <c r="GC962" s="429" t="n">
        <v>49</v>
      </c>
      <c r="GD962" s="431" t="n">
        <v>49</v>
      </c>
      <c r="GE962" s="688" t="n"/>
      <c r="GF962" s="431" t="n"/>
      <c r="GG962" s="451" t="n"/>
      <c r="GH962" s="451" t="n"/>
      <c r="GI962" s="451" t="n"/>
      <c r="GK962" s="429" t="n">
        <v>49</v>
      </c>
      <c r="GL962" s="431" t="n">
        <v>49</v>
      </c>
      <c r="GM962" s="688" t="n"/>
      <c r="GN962" s="431" t="n"/>
      <c r="GO962" s="451" t="n"/>
      <c r="GP962" s="451" t="n"/>
      <c r="GQ962" s="451" t="n"/>
      <c r="GS962" s="429" t="n">
        <v>49</v>
      </c>
      <c r="GT962" s="431" t="n">
        <v>49</v>
      </c>
      <c r="GU962" s="688" t="n"/>
      <c r="GV962" s="431" t="inlineStr">
        <is>
          <t>Boolean</t>
        </is>
      </c>
      <c r="GW962" s="451" t="n"/>
      <c r="GX962" s="451">
        <f>'CIRCUIT SIM'!KY52</f>
        <v/>
      </c>
      <c r="GY962" s="451" t="n"/>
      <c r="HA962" s="429" t="n">
        <v>49</v>
      </c>
      <c r="HB962" s="431" t="n">
        <v>49</v>
      </c>
      <c r="HC962" s="688" t="n"/>
      <c r="HD962" s="431" t="n"/>
      <c r="HE962" s="451" t="n"/>
      <c r="HF962" s="451" t="n"/>
      <c r="HG962" s="451" t="n"/>
    </row>
    <row r="963">
      <c r="A963" s="429" t="n">
        <v>50</v>
      </c>
      <c r="B963" s="431" t="n">
        <v>50</v>
      </c>
      <c r="C963" s="688" t="n"/>
      <c r="D963" s="431" t="inlineStr">
        <is>
          <t>Boolean</t>
        </is>
      </c>
      <c r="E963" s="429" t="n"/>
      <c r="F963" s="422">
        <f>'CIRCUIT SIM'!J53</f>
        <v/>
      </c>
      <c r="G963" s="429" t="n"/>
      <c r="I963" s="429" t="n">
        <v>50</v>
      </c>
      <c r="J963" s="431" t="n">
        <v>50</v>
      </c>
      <c r="K963" s="429" t="n"/>
      <c r="L963" s="431" t="inlineStr">
        <is>
          <t>Boolean</t>
        </is>
      </c>
      <c r="M963" s="451" t="n"/>
      <c r="N963" s="422">
        <f>'CIRCUIT SIM'!Y53</f>
        <v/>
      </c>
      <c r="O963" s="451" t="n"/>
      <c r="Q963" s="429" t="n">
        <v>50</v>
      </c>
      <c r="R963" s="431" t="n">
        <v>50</v>
      </c>
      <c r="S963" s="429" t="n"/>
      <c r="T963" s="431" t="inlineStr">
        <is>
          <t>Boolean</t>
        </is>
      </c>
      <c r="U963" s="429" t="n"/>
      <c r="V963" s="386">
        <f>'CIRCUIT SIM'!AO53</f>
        <v/>
      </c>
      <c r="W963" s="451" t="n"/>
      <c r="Y963" s="429" t="n">
        <v>50</v>
      </c>
      <c r="Z963" s="431" t="n">
        <v>50</v>
      </c>
      <c r="AA963" s="429" t="n"/>
      <c r="AB963" s="431" t="n"/>
      <c r="AC963" s="451" t="n"/>
      <c r="AD963" s="451" t="n"/>
      <c r="AE963" s="451" t="n"/>
      <c r="AG963" s="429" t="n">
        <v>50</v>
      </c>
      <c r="AH963" s="431" t="n">
        <v>50</v>
      </c>
      <c r="AI963" s="429" t="n"/>
      <c r="AJ963" s="431" t="inlineStr">
        <is>
          <t>Boolean</t>
        </is>
      </c>
      <c r="AK963" s="451" t="n"/>
      <c r="AL963" s="450">
        <f>'CIRCUIT SIM'!CR53</f>
        <v/>
      </c>
      <c r="AM963" s="451" t="n"/>
      <c r="AO963" s="429" t="n">
        <v>50</v>
      </c>
      <c r="AP963" s="431" t="n">
        <v>50</v>
      </c>
      <c r="AQ963" s="429" t="n"/>
      <c r="AR963" s="431" t="inlineStr">
        <is>
          <t>Boolean</t>
        </is>
      </c>
      <c r="AS963" s="451" t="n"/>
      <c r="AT963" s="386">
        <f>'CIRCUIT SIM'!BR53</f>
        <v/>
      </c>
      <c r="AU963" s="451" t="n"/>
      <c r="AW963" s="429" t="n">
        <v>50</v>
      </c>
      <c r="AX963" s="431" t="n">
        <v>50</v>
      </c>
      <c r="AY963" s="429" t="n"/>
      <c r="AZ963" s="431" t="inlineStr">
        <is>
          <t>Boolean</t>
        </is>
      </c>
      <c r="BA963" s="451" t="n"/>
      <c r="BB963" s="451">
        <f>'CIRCUIT SIM'!CG53</f>
        <v/>
      </c>
      <c r="BC963" s="451" t="n"/>
      <c r="BE963" s="429" t="n">
        <v>50</v>
      </c>
      <c r="BF963" s="431" t="n"/>
      <c r="BG963" s="429" t="n"/>
      <c r="BH963" s="431" t="n"/>
      <c r="BI963" s="451" t="n"/>
      <c r="BJ963" s="451" t="n"/>
      <c r="BK963" s="451" t="n"/>
      <c r="BM963" s="429" t="n">
        <v>50</v>
      </c>
      <c r="BN963" s="431" t="n">
        <v>50</v>
      </c>
      <c r="BO963" s="429" t="n"/>
      <c r="BP963" s="431" t="inlineStr">
        <is>
          <t>Boolean</t>
        </is>
      </c>
      <c r="BQ963" s="451" t="n"/>
      <c r="BR963" s="451">
        <f>'CIRCUIT SIM'!DT53</f>
        <v/>
      </c>
      <c r="BS963" s="451" t="n"/>
      <c r="BU963" s="429" t="n">
        <v>50</v>
      </c>
      <c r="BV963" s="431" t="n">
        <v>50</v>
      </c>
      <c r="BW963" s="429" t="n"/>
      <c r="BX963" s="431" t="inlineStr">
        <is>
          <t>Boolean</t>
        </is>
      </c>
      <c r="BY963" s="451" t="n"/>
      <c r="BZ963" s="451">
        <f>'CIRCUIT SIM'!EI53</f>
        <v/>
      </c>
      <c r="CA963" s="451" t="n"/>
      <c r="CC963" s="429" t="n">
        <v>50</v>
      </c>
      <c r="CD963" s="431" t="n">
        <v>50</v>
      </c>
      <c r="CE963" s="688" t="n"/>
      <c r="CF963" s="431" t="inlineStr">
        <is>
          <t>Boolean</t>
        </is>
      </c>
      <c r="CG963" s="451" t="n"/>
      <c r="CH963" s="562">
        <f>'CIRCUIT SIM'!LK53</f>
        <v/>
      </c>
      <c r="CI963" s="451" t="n"/>
      <c r="CK963" s="429" t="n">
        <v>50</v>
      </c>
      <c r="CL963" s="431" t="n">
        <v>50</v>
      </c>
      <c r="CM963" s="565" t="n">
        <v>49</v>
      </c>
      <c r="CN963" s="431" t="inlineStr">
        <is>
          <t>Boolean</t>
        </is>
      </c>
      <c r="CO963" s="451" t="n"/>
      <c r="CP963" s="451">
        <f>'CIRCUIT SIM'!MA53</f>
        <v/>
      </c>
      <c r="CQ963" s="451" t="n"/>
      <c r="CS963" s="429" t="n">
        <v>50</v>
      </c>
      <c r="CT963" s="431" t="n">
        <v>50</v>
      </c>
      <c r="CU963" s="688" t="n"/>
      <c r="CV963" s="431" t="inlineStr">
        <is>
          <t>Boolean</t>
        </is>
      </c>
      <c r="CW963" s="451" t="n"/>
      <c r="CX963" s="451">
        <f>'CIRCUIT SIM'!MQ53</f>
        <v/>
      </c>
      <c r="CY963" s="451" t="n"/>
      <c r="DA963" s="429" t="n">
        <v>50</v>
      </c>
      <c r="DB963" s="431" t="n">
        <v>50</v>
      </c>
      <c r="DC963" s="688" t="n"/>
      <c r="DD963" s="431" t="inlineStr">
        <is>
          <t>Boolean</t>
        </is>
      </c>
      <c r="DE963" s="451" t="n"/>
      <c r="DF963" s="451">
        <f>'CIRCUIT SIM'!EX53</f>
        <v/>
      </c>
      <c r="DG963" s="451" t="n"/>
      <c r="DI963" s="429" t="n">
        <v>50</v>
      </c>
      <c r="DJ963" s="431" t="n">
        <v>50</v>
      </c>
      <c r="DK963" s="688" t="n"/>
      <c r="DL963" s="431" t="inlineStr">
        <is>
          <t>Boolean</t>
        </is>
      </c>
      <c r="DM963" s="429" t="n"/>
      <c r="DN963" s="451">
        <f>'CIRCUIT SIM'!FN53</f>
        <v/>
      </c>
      <c r="DO963" s="451" t="n"/>
      <c r="DQ963" s="429" t="n">
        <v>50</v>
      </c>
      <c r="DR963" s="431" t="n">
        <v>50</v>
      </c>
      <c r="DS963" s="688" t="n"/>
      <c r="DT963" s="431" t="inlineStr">
        <is>
          <t>Boolean</t>
        </is>
      </c>
      <c r="DU963" s="451" t="n"/>
      <c r="DV963" s="451">
        <f>'CIRCUIT SIM'!HT53</f>
        <v/>
      </c>
      <c r="DW963" s="451" t="n"/>
      <c r="DY963" s="429" t="n">
        <v>50</v>
      </c>
      <c r="DZ963" s="431" t="n">
        <v>50</v>
      </c>
      <c r="EA963" s="688" t="n"/>
      <c r="EB963" s="431" t="inlineStr">
        <is>
          <t>Boolean</t>
        </is>
      </c>
      <c r="EC963" s="451" t="n"/>
      <c r="ED963" s="335">
        <f>'CIRCUIT SIM'!GO53</f>
        <v/>
      </c>
      <c r="EE963" s="451" t="n"/>
      <c r="EG963" s="429" t="n">
        <v>50</v>
      </c>
      <c r="EH963" s="431" t="n">
        <v>50</v>
      </c>
      <c r="EI963" s="688" t="n"/>
      <c r="EJ963" s="431" t="inlineStr">
        <is>
          <t>Boolean</t>
        </is>
      </c>
      <c r="EK963" s="451" t="n"/>
      <c r="EL963" s="451">
        <f>'CIRCUIT SIM'!HD53</f>
        <v/>
      </c>
      <c r="EM963" s="451" t="n"/>
      <c r="EO963" s="429" t="n">
        <v>50</v>
      </c>
      <c r="EP963" s="431" t="n">
        <v>50</v>
      </c>
      <c r="EQ963" s="688" t="n"/>
      <c r="ER963" s="431" t="inlineStr">
        <is>
          <t>Boolean</t>
        </is>
      </c>
      <c r="ES963" s="451" t="n"/>
      <c r="ET963" s="451">
        <f>'CIRCUIT SIM'!HT53</f>
        <v/>
      </c>
      <c r="EU963" s="451" t="n"/>
      <c r="EW963" s="429" t="n">
        <v>50</v>
      </c>
      <c r="EX963" s="431" t="n">
        <v>50</v>
      </c>
      <c r="EY963" s="688" t="n"/>
      <c r="EZ963" s="431" t="n"/>
      <c r="FA963" s="451" t="n"/>
      <c r="FB963" s="451" t="n"/>
      <c r="FC963" s="451" t="n"/>
      <c r="FE963" s="429" t="n">
        <v>50</v>
      </c>
      <c r="FF963" s="431" t="n">
        <v>50</v>
      </c>
      <c r="FG963" s="688" t="n"/>
      <c r="FH963" s="431" t="n"/>
      <c r="FI963" s="451" t="n"/>
      <c r="FJ963" s="451">
        <f>'CIRCUIT SIM'!IU53</f>
        <v/>
      </c>
      <c r="FK963" s="451" t="n"/>
      <c r="FM963" s="429" t="n">
        <v>50</v>
      </c>
      <c r="FN963" s="431" t="n">
        <v>50</v>
      </c>
      <c r="FO963" s="688" t="n"/>
      <c r="FP963" s="431" t="n"/>
      <c r="FQ963" s="451" t="n"/>
      <c r="FR963" s="451">
        <f>'CIRCUIT SIM'!KY53</f>
        <v/>
      </c>
      <c r="FS963" s="451" t="n"/>
      <c r="FU963" s="429" t="n">
        <v>50</v>
      </c>
      <c r="FV963" s="431" t="n">
        <v>50</v>
      </c>
      <c r="FW963" s="688" t="n"/>
      <c r="FX963" s="431" t="n"/>
      <c r="FY963" s="451" t="n"/>
      <c r="FZ963" s="562">
        <f>'CIRCUIT SIM'!JG53</f>
        <v/>
      </c>
      <c r="GA963" s="451" t="n"/>
      <c r="GC963" s="429" t="n">
        <v>50</v>
      </c>
      <c r="GD963" s="431" t="n">
        <v>50</v>
      </c>
      <c r="GE963" s="688" t="n"/>
      <c r="GF963" s="431" t="n"/>
      <c r="GG963" s="451" t="n"/>
      <c r="GH963" s="451" t="n"/>
      <c r="GI963" s="451" t="n"/>
      <c r="GK963" s="429" t="n">
        <v>50</v>
      </c>
      <c r="GL963" s="431" t="n">
        <v>50</v>
      </c>
      <c r="GM963" s="688" t="n"/>
      <c r="GN963" s="431" t="n"/>
      <c r="GO963" s="451" t="n"/>
      <c r="GP963" s="451" t="n"/>
      <c r="GQ963" s="451" t="n"/>
      <c r="GS963" s="429" t="n">
        <v>50</v>
      </c>
      <c r="GT963" s="431" t="n">
        <v>50</v>
      </c>
      <c r="GU963" s="688" t="n"/>
      <c r="GV963" s="431" t="inlineStr">
        <is>
          <t>Boolean</t>
        </is>
      </c>
      <c r="GW963" s="451" t="n"/>
      <c r="GX963" s="451">
        <f>'CIRCUIT SIM'!KY53</f>
        <v/>
      </c>
      <c r="GY963" s="451" t="n"/>
      <c r="HA963" s="429" t="n">
        <v>50</v>
      </c>
      <c r="HB963" s="431" t="n">
        <v>50</v>
      </c>
      <c r="HC963" s="688" t="n"/>
      <c r="HD963" s="431" t="n"/>
      <c r="HE963" s="451" t="n"/>
      <c r="HF963" s="451" t="n"/>
      <c r="HG963" s="451" t="n"/>
    </row>
    <row r="964">
      <c r="A964" s="429" t="n">
        <v>51</v>
      </c>
      <c r="B964" s="431" t="n">
        <v>51</v>
      </c>
      <c r="C964" s="688" t="n"/>
      <c r="D964" s="431" t="inlineStr">
        <is>
          <t>Boolean</t>
        </is>
      </c>
      <c r="E964" s="429" t="n"/>
      <c r="F964" s="422">
        <f>'CIRCUIT SIM'!J54</f>
        <v/>
      </c>
      <c r="G964" s="429" t="n"/>
      <c r="I964" s="429" t="n">
        <v>51</v>
      </c>
      <c r="J964" s="431" t="n">
        <v>51</v>
      </c>
      <c r="K964" s="429" t="n"/>
      <c r="L964" s="431" t="inlineStr">
        <is>
          <t>Boolean</t>
        </is>
      </c>
      <c r="M964" s="451" t="n"/>
      <c r="N964" s="422">
        <f>'CIRCUIT SIM'!Y54</f>
        <v/>
      </c>
      <c r="O964" s="451" t="n"/>
      <c r="Q964" s="429" t="n">
        <v>51</v>
      </c>
      <c r="R964" s="431" t="n">
        <v>51</v>
      </c>
      <c r="S964" s="429" t="n"/>
      <c r="T964" s="431" t="inlineStr">
        <is>
          <t>Boolean</t>
        </is>
      </c>
      <c r="U964" s="429" t="n"/>
      <c r="V964" s="386">
        <f>'CIRCUIT SIM'!AO54</f>
        <v/>
      </c>
      <c r="W964" s="451" t="n"/>
      <c r="Y964" s="429" t="n">
        <v>51</v>
      </c>
      <c r="Z964" s="431" t="n">
        <v>51</v>
      </c>
      <c r="AA964" s="429" t="n"/>
      <c r="AB964" s="431" t="n"/>
      <c r="AC964" s="451" t="n"/>
      <c r="AD964" s="451" t="n"/>
      <c r="AE964" s="451" t="n"/>
      <c r="AG964" s="429" t="n">
        <v>51</v>
      </c>
      <c r="AH964" s="431" t="n">
        <v>51</v>
      </c>
      <c r="AI964" s="429" t="n"/>
      <c r="AJ964" s="431" t="inlineStr">
        <is>
          <t>Boolean</t>
        </is>
      </c>
      <c r="AK964" s="451" t="n"/>
      <c r="AL964" s="450">
        <f>'CIRCUIT SIM'!CR54</f>
        <v/>
      </c>
      <c r="AM964" s="451" t="n"/>
      <c r="AO964" s="429" t="n">
        <v>51</v>
      </c>
      <c r="AP964" s="431" t="n">
        <v>51</v>
      </c>
      <c r="AQ964" s="429" t="n"/>
      <c r="AR964" s="431" t="inlineStr">
        <is>
          <t>Boolean</t>
        </is>
      </c>
      <c r="AS964" s="451" t="n"/>
      <c r="AT964" s="386">
        <f>'CIRCUIT SIM'!BR54</f>
        <v/>
      </c>
      <c r="AU964" s="451" t="n"/>
      <c r="AW964" s="429" t="n">
        <v>51</v>
      </c>
      <c r="AX964" s="431" t="n">
        <v>51</v>
      </c>
      <c r="AY964" s="429" t="n"/>
      <c r="AZ964" s="431" t="inlineStr">
        <is>
          <t>Boolean</t>
        </is>
      </c>
      <c r="BA964" s="451" t="n"/>
      <c r="BB964" s="451">
        <f>'CIRCUIT SIM'!CG54</f>
        <v/>
      </c>
      <c r="BC964" s="451" t="n"/>
      <c r="BE964" s="429" t="n">
        <v>51</v>
      </c>
      <c r="BF964" s="431" t="n"/>
      <c r="BG964" s="429" t="n"/>
      <c r="BH964" s="431" t="n"/>
      <c r="BI964" s="451" t="n"/>
      <c r="BJ964" s="451" t="n"/>
      <c r="BK964" s="451" t="n"/>
      <c r="BM964" s="429" t="n">
        <v>51</v>
      </c>
      <c r="BN964" s="431" t="n">
        <v>51</v>
      </c>
      <c r="BO964" s="429" t="n"/>
      <c r="BP964" s="431" t="inlineStr">
        <is>
          <t>Boolean</t>
        </is>
      </c>
      <c r="BQ964" s="451" t="n"/>
      <c r="BR964" s="451">
        <f>'CIRCUIT SIM'!DT54</f>
        <v/>
      </c>
      <c r="BS964" s="451" t="n"/>
      <c r="BU964" s="429" t="n">
        <v>51</v>
      </c>
      <c r="BV964" s="431" t="n">
        <v>51</v>
      </c>
      <c r="BW964" s="429" t="n"/>
      <c r="BX964" s="431" t="inlineStr">
        <is>
          <t>Boolean</t>
        </is>
      </c>
      <c r="BY964" s="451" t="n"/>
      <c r="BZ964" s="451">
        <f>'CIRCUIT SIM'!EI54</f>
        <v/>
      </c>
      <c r="CA964" s="451" t="n"/>
      <c r="CC964" s="429" t="n">
        <v>51</v>
      </c>
      <c r="CD964" s="431" t="n">
        <v>51</v>
      </c>
      <c r="CE964" s="688" t="n"/>
      <c r="CF964" s="431" t="inlineStr">
        <is>
          <t>Boolean</t>
        </is>
      </c>
      <c r="CG964" s="451" t="n"/>
      <c r="CH964" s="562">
        <f>'CIRCUIT SIM'!LK54</f>
        <v/>
      </c>
      <c r="CI964" s="451" t="n"/>
      <c r="CK964" s="429" t="n">
        <v>51</v>
      </c>
      <c r="CL964" s="431" t="n">
        <v>51</v>
      </c>
      <c r="CM964" s="565" t="n">
        <v>50</v>
      </c>
      <c r="CN964" s="431" t="inlineStr">
        <is>
          <t>Boolean</t>
        </is>
      </c>
      <c r="CO964" s="451" t="n"/>
      <c r="CP964" s="451">
        <f>'CIRCUIT SIM'!MA54</f>
        <v/>
      </c>
      <c r="CQ964" s="451" t="n"/>
      <c r="CS964" s="429" t="n">
        <v>51</v>
      </c>
      <c r="CT964" s="431" t="n">
        <v>51</v>
      </c>
      <c r="CU964" s="688" t="n"/>
      <c r="CV964" s="431" t="inlineStr">
        <is>
          <t>Boolean</t>
        </is>
      </c>
      <c r="CW964" s="451" t="n"/>
      <c r="CX964" s="451">
        <f>'CIRCUIT SIM'!MQ54</f>
        <v/>
      </c>
      <c r="CY964" s="451" t="n"/>
      <c r="DA964" s="429" t="n">
        <v>51</v>
      </c>
      <c r="DB964" s="431" t="n">
        <v>51</v>
      </c>
      <c r="DC964" s="688" t="n"/>
      <c r="DD964" s="431" t="inlineStr">
        <is>
          <t>Boolean</t>
        </is>
      </c>
      <c r="DE964" s="451" t="n"/>
      <c r="DF964" s="451">
        <f>'CIRCUIT SIM'!EX54</f>
        <v/>
      </c>
      <c r="DG964" s="451" t="n"/>
      <c r="DI964" s="429" t="n">
        <v>51</v>
      </c>
      <c r="DJ964" s="431" t="n">
        <v>51</v>
      </c>
      <c r="DK964" s="688" t="n"/>
      <c r="DL964" s="431" t="inlineStr">
        <is>
          <t>Boolean</t>
        </is>
      </c>
      <c r="DM964" s="429" t="n"/>
      <c r="DN964" s="451">
        <f>'CIRCUIT SIM'!FN54</f>
        <v/>
      </c>
      <c r="DO964" s="451" t="n"/>
      <c r="DQ964" s="429" t="n">
        <v>51</v>
      </c>
      <c r="DR964" s="431" t="n">
        <v>51</v>
      </c>
      <c r="DS964" s="688" t="n"/>
      <c r="DT964" s="431" t="inlineStr">
        <is>
          <t>Boolean</t>
        </is>
      </c>
      <c r="DU964" s="451" t="n"/>
      <c r="DV964" s="451">
        <f>'CIRCUIT SIM'!HT54</f>
        <v/>
      </c>
      <c r="DW964" s="451" t="n"/>
      <c r="DY964" s="429" t="n">
        <v>51</v>
      </c>
      <c r="DZ964" s="431" t="n">
        <v>51</v>
      </c>
      <c r="EA964" s="688" t="n"/>
      <c r="EB964" s="431" t="inlineStr">
        <is>
          <t>Boolean</t>
        </is>
      </c>
      <c r="EC964" s="451" t="n"/>
      <c r="ED964" s="335">
        <f>'CIRCUIT SIM'!GO54</f>
        <v/>
      </c>
      <c r="EE964" s="451" t="n"/>
      <c r="EG964" s="429" t="n">
        <v>51</v>
      </c>
      <c r="EH964" s="431" t="n">
        <v>51</v>
      </c>
      <c r="EI964" s="688" t="n"/>
      <c r="EJ964" s="431" t="inlineStr">
        <is>
          <t>Boolean</t>
        </is>
      </c>
      <c r="EK964" s="451" t="n"/>
      <c r="EL964" s="451">
        <f>'CIRCUIT SIM'!HD54</f>
        <v/>
      </c>
      <c r="EM964" s="451" t="n"/>
      <c r="EO964" s="429" t="n">
        <v>51</v>
      </c>
      <c r="EP964" s="431" t="n">
        <v>51</v>
      </c>
      <c r="EQ964" s="688" t="n"/>
      <c r="ER964" s="431" t="inlineStr">
        <is>
          <t>Boolean</t>
        </is>
      </c>
      <c r="ES964" s="451" t="n"/>
      <c r="ET964" s="451">
        <f>'CIRCUIT SIM'!HT54</f>
        <v/>
      </c>
      <c r="EU964" s="451" t="n"/>
      <c r="EW964" s="429" t="n">
        <v>51</v>
      </c>
      <c r="EX964" s="431" t="n">
        <v>51</v>
      </c>
      <c r="EY964" s="688" t="n"/>
      <c r="EZ964" s="431" t="n"/>
      <c r="FA964" s="451" t="n"/>
      <c r="FB964" s="451" t="n"/>
      <c r="FC964" s="451" t="n"/>
      <c r="FE964" s="429" t="n">
        <v>51</v>
      </c>
      <c r="FF964" s="431" t="n">
        <v>51</v>
      </c>
      <c r="FG964" s="688" t="n"/>
      <c r="FH964" s="431" t="n"/>
      <c r="FI964" s="451" t="n"/>
      <c r="FJ964" s="451">
        <f>'CIRCUIT SIM'!IU54</f>
        <v/>
      </c>
      <c r="FK964" s="451" t="n"/>
      <c r="FM964" s="429" t="n">
        <v>51</v>
      </c>
      <c r="FN964" s="431" t="n">
        <v>51</v>
      </c>
      <c r="FO964" s="688" t="n"/>
      <c r="FP964" s="431" t="n"/>
      <c r="FQ964" s="451" t="n"/>
      <c r="FR964" s="451">
        <f>'CIRCUIT SIM'!KY54</f>
        <v/>
      </c>
      <c r="FS964" s="451" t="n"/>
      <c r="FU964" s="429" t="n">
        <v>51</v>
      </c>
      <c r="FV964" s="431" t="n">
        <v>51</v>
      </c>
      <c r="FW964" s="688" t="n"/>
      <c r="FX964" s="431" t="n"/>
      <c r="FY964" s="451" t="n"/>
      <c r="FZ964" s="562">
        <f>'CIRCUIT SIM'!JG54</f>
        <v/>
      </c>
      <c r="GA964" s="451" t="n"/>
      <c r="GC964" s="429" t="n">
        <v>51</v>
      </c>
      <c r="GD964" s="431" t="n">
        <v>51</v>
      </c>
      <c r="GE964" s="688" t="n"/>
      <c r="GF964" s="431" t="n"/>
      <c r="GG964" s="451" t="n"/>
      <c r="GH964" s="451" t="n"/>
      <c r="GI964" s="451" t="n"/>
      <c r="GK964" s="429" t="n">
        <v>51</v>
      </c>
      <c r="GL964" s="431" t="n">
        <v>51</v>
      </c>
      <c r="GM964" s="688" t="n"/>
      <c r="GN964" s="431" t="n"/>
      <c r="GO964" s="451" t="n"/>
      <c r="GP964" s="451" t="n"/>
      <c r="GQ964" s="451" t="n"/>
      <c r="GS964" s="429" t="n">
        <v>51</v>
      </c>
      <c r="GT964" s="431" t="n">
        <v>51</v>
      </c>
      <c r="GU964" s="688" t="n"/>
      <c r="GV964" s="431" t="inlineStr">
        <is>
          <t>Boolean</t>
        </is>
      </c>
      <c r="GW964" s="451" t="n"/>
      <c r="GX964" s="451">
        <f>'CIRCUIT SIM'!KY54</f>
        <v/>
      </c>
      <c r="GY964" s="451" t="n"/>
      <c r="HA964" s="429" t="n">
        <v>51</v>
      </c>
      <c r="HB964" s="431" t="n">
        <v>51</v>
      </c>
      <c r="HC964" s="688" t="n"/>
      <c r="HD964" s="431" t="n"/>
      <c r="HE964" s="451" t="n"/>
      <c r="HF964" s="451" t="n"/>
      <c r="HG964" s="451" t="n"/>
    </row>
    <row r="965">
      <c r="A965" s="429" t="n">
        <v>52</v>
      </c>
      <c r="B965" s="431" t="n">
        <v>52</v>
      </c>
      <c r="C965" s="688" t="n"/>
      <c r="D965" s="431" t="inlineStr">
        <is>
          <t>Boolean</t>
        </is>
      </c>
      <c r="E965" s="429" t="n"/>
      <c r="F965" s="422">
        <f>'CIRCUIT SIM'!J55</f>
        <v/>
      </c>
      <c r="G965" s="429" t="n"/>
      <c r="I965" s="429" t="n">
        <v>52</v>
      </c>
      <c r="J965" s="431" t="n">
        <v>52</v>
      </c>
      <c r="K965" s="429" t="n"/>
      <c r="L965" s="431" t="inlineStr">
        <is>
          <t>Boolean</t>
        </is>
      </c>
      <c r="M965" s="451" t="n"/>
      <c r="N965" s="422">
        <f>'CIRCUIT SIM'!Y55</f>
        <v/>
      </c>
      <c r="O965" s="451" t="n"/>
      <c r="Q965" s="429" t="n">
        <v>52</v>
      </c>
      <c r="R965" s="431" t="n">
        <v>52</v>
      </c>
      <c r="S965" s="429" t="n"/>
      <c r="T965" s="431" t="inlineStr">
        <is>
          <t>Boolean</t>
        </is>
      </c>
      <c r="U965" s="429" t="n"/>
      <c r="V965" s="386">
        <f>'CIRCUIT SIM'!AO55</f>
        <v/>
      </c>
      <c r="W965" s="451" t="n"/>
      <c r="Y965" s="429" t="n">
        <v>52</v>
      </c>
      <c r="Z965" s="431" t="n">
        <v>52</v>
      </c>
      <c r="AA965" s="429" t="n"/>
      <c r="AB965" s="431" t="n"/>
      <c r="AC965" s="451" t="n"/>
      <c r="AD965" s="451" t="n"/>
      <c r="AE965" s="451" t="n"/>
      <c r="AG965" s="429" t="n">
        <v>52</v>
      </c>
      <c r="AH965" s="431" t="n">
        <v>52</v>
      </c>
      <c r="AI965" s="429" t="n"/>
      <c r="AJ965" s="431" t="inlineStr">
        <is>
          <t>Boolean</t>
        </is>
      </c>
      <c r="AK965" s="451" t="n"/>
      <c r="AL965" s="450">
        <f>'CIRCUIT SIM'!CR55</f>
        <v/>
      </c>
      <c r="AM965" s="451" t="n"/>
      <c r="AO965" s="429" t="n">
        <v>52</v>
      </c>
      <c r="AP965" s="431" t="n">
        <v>52</v>
      </c>
      <c r="AQ965" s="429" t="n"/>
      <c r="AR965" s="431" t="inlineStr">
        <is>
          <t>Boolean</t>
        </is>
      </c>
      <c r="AS965" s="451" t="n"/>
      <c r="AT965" s="386">
        <f>'CIRCUIT SIM'!BR55</f>
        <v/>
      </c>
      <c r="AU965" s="451" t="n"/>
      <c r="AW965" s="429" t="n">
        <v>52</v>
      </c>
      <c r="AX965" s="431" t="n">
        <v>52</v>
      </c>
      <c r="AY965" s="429" t="n"/>
      <c r="AZ965" s="431" t="inlineStr">
        <is>
          <t>Boolean</t>
        </is>
      </c>
      <c r="BA965" s="451" t="n"/>
      <c r="BB965" s="451">
        <f>'CIRCUIT SIM'!CG55</f>
        <v/>
      </c>
      <c r="BC965" s="451" t="n"/>
      <c r="BE965" s="429" t="n">
        <v>52</v>
      </c>
      <c r="BF965" s="431" t="n"/>
      <c r="BG965" s="429" t="n"/>
      <c r="BH965" s="431" t="n"/>
      <c r="BI965" s="451" t="n"/>
      <c r="BJ965" s="451" t="n"/>
      <c r="BK965" s="451" t="n"/>
      <c r="BM965" s="429" t="n">
        <v>52</v>
      </c>
      <c r="BN965" s="431" t="n">
        <v>52</v>
      </c>
      <c r="BO965" s="429" t="n"/>
      <c r="BP965" s="431" t="inlineStr">
        <is>
          <t>Boolean</t>
        </is>
      </c>
      <c r="BQ965" s="451" t="n"/>
      <c r="BR965" s="451">
        <f>'CIRCUIT SIM'!DT55</f>
        <v/>
      </c>
      <c r="BS965" s="451" t="n"/>
      <c r="BU965" s="429" t="n">
        <v>52</v>
      </c>
      <c r="BV965" s="431" t="n">
        <v>52</v>
      </c>
      <c r="BW965" s="429" t="n"/>
      <c r="BX965" s="431" t="inlineStr">
        <is>
          <t>Boolean</t>
        </is>
      </c>
      <c r="BY965" s="451" t="n"/>
      <c r="BZ965" s="451">
        <f>'CIRCUIT SIM'!EI55</f>
        <v/>
      </c>
      <c r="CA965" s="451" t="n"/>
      <c r="CC965" s="429" t="n">
        <v>52</v>
      </c>
      <c r="CD965" s="431" t="n">
        <v>52</v>
      </c>
      <c r="CE965" s="688" t="n"/>
      <c r="CF965" s="431" t="inlineStr">
        <is>
          <t>Boolean</t>
        </is>
      </c>
      <c r="CG965" s="451" t="n"/>
      <c r="CH965" s="562">
        <f>'CIRCUIT SIM'!LK55</f>
        <v/>
      </c>
      <c r="CI965" s="451" t="n"/>
      <c r="CK965" s="429" t="n">
        <v>52</v>
      </c>
      <c r="CL965" s="431" t="n">
        <v>52</v>
      </c>
      <c r="CM965" s="565" t="n">
        <v>51</v>
      </c>
      <c r="CN965" s="431" t="inlineStr">
        <is>
          <t>Boolean</t>
        </is>
      </c>
      <c r="CO965" s="451" t="n"/>
      <c r="CP965" s="451">
        <f>'CIRCUIT SIM'!MA55</f>
        <v/>
      </c>
      <c r="CQ965" s="451" t="n"/>
      <c r="CS965" s="429" t="n">
        <v>52</v>
      </c>
      <c r="CT965" s="431" t="n">
        <v>52</v>
      </c>
      <c r="CU965" s="688" t="n"/>
      <c r="CV965" s="431" t="inlineStr">
        <is>
          <t>Boolean</t>
        </is>
      </c>
      <c r="CW965" s="451" t="n"/>
      <c r="CX965" s="451">
        <f>'CIRCUIT SIM'!MQ55</f>
        <v/>
      </c>
      <c r="CY965" s="451" t="n"/>
      <c r="DA965" s="429" t="n">
        <v>52</v>
      </c>
      <c r="DB965" s="431" t="n">
        <v>52</v>
      </c>
      <c r="DC965" s="688" t="n"/>
      <c r="DD965" s="431" t="inlineStr">
        <is>
          <t>Boolean</t>
        </is>
      </c>
      <c r="DE965" s="451" t="n"/>
      <c r="DF965" s="451">
        <f>'CIRCUIT SIM'!EX55</f>
        <v/>
      </c>
      <c r="DG965" s="451" t="n"/>
      <c r="DI965" s="429" t="n">
        <v>52</v>
      </c>
      <c r="DJ965" s="431" t="n">
        <v>52</v>
      </c>
      <c r="DK965" s="688" t="n"/>
      <c r="DL965" s="431" t="inlineStr">
        <is>
          <t>Boolean</t>
        </is>
      </c>
      <c r="DM965" s="429" t="n"/>
      <c r="DN965" s="451">
        <f>'CIRCUIT SIM'!FN55</f>
        <v/>
      </c>
      <c r="DO965" s="451" t="n"/>
      <c r="DQ965" s="429" t="n">
        <v>52</v>
      </c>
      <c r="DR965" s="431" t="n">
        <v>52</v>
      </c>
      <c r="DS965" s="688" t="n"/>
      <c r="DT965" s="431" t="inlineStr">
        <is>
          <t>Boolean</t>
        </is>
      </c>
      <c r="DU965" s="451" t="n"/>
      <c r="DV965" s="451">
        <f>'CIRCUIT SIM'!HT55</f>
        <v/>
      </c>
      <c r="DW965" s="451" t="n"/>
      <c r="DY965" s="429" t="n">
        <v>52</v>
      </c>
      <c r="DZ965" s="431" t="n">
        <v>52</v>
      </c>
      <c r="EA965" s="688" t="n"/>
      <c r="EB965" s="431" t="inlineStr">
        <is>
          <t>Boolean</t>
        </is>
      </c>
      <c r="EC965" s="451" t="n"/>
      <c r="ED965" s="335">
        <f>'CIRCUIT SIM'!GO55</f>
        <v/>
      </c>
      <c r="EE965" s="451" t="n"/>
      <c r="EG965" s="429" t="n">
        <v>52</v>
      </c>
      <c r="EH965" s="431" t="n">
        <v>52</v>
      </c>
      <c r="EI965" s="688" t="n"/>
      <c r="EJ965" s="431" t="inlineStr">
        <is>
          <t>Boolean</t>
        </is>
      </c>
      <c r="EK965" s="451" t="n"/>
      <c r="EL965" s="451">
        <f>'CIRCUIT SIM'!HD55</f>
        <v/>
      </c>
      <c r="EM965" s="451" t="n"/>
      <c r="EO965" s="429" t="n">
        <v>52</v>
      </c>
      <c r="EP965" s="431" t="n">
        <v>52</v>
      </c>
      <c r="EQ965" s="688" t="n"/>
      <c r="ER965" s="431" t="inlineStr">
        <is>
          <t>Boolean</t>
        </is>
      </c>
      <c r="ES965" s="451" t="n"/>
      <c r="ET965" s="451">
        <f>'CIRCUIT SIM'!HT55</f>
        <v/>
      </c>
      <c r="EU965" s="451" t="n"/>
      <c r="EW965" s="429" t="n">
        <v>52</v>
      </c>
      <c r="EX965" s="431" t="n">
        <v>52</v>
      </c>
      <c r="EY965" s="688" t="n"/>
      <c r="EZ965" s="431" t="n"/>
      <c r="FA965" s="451" t="n"/>
      <c r="FB965" s="451" t="n"/>
      <c r="FC965" s="451" t="n"/>
      <c r="FE965" s="429" t="n">
        <v>52</v>
      </c>
      <c r="FF965" s="431" t="n">
        <v>52</v>
      </c>
      <c r="FG965" s="688" t="n"/>
      <c r="FH965" s="431" t="n"/>
      <c r="FI965" s="451" t="n"/>
      <c r="FJ965" s="451">
        <f>'CIRCUIT SIM'!IU55</f>
        <v/>
      </c>
      <c r="FK965" s="451" t="n"/>
      <c r="FM965" s="429" t="n">
        <v>52</v>
      </c>
      <c r="FN965" s="431" t="n">
        <v>52</v>
      </c>
      <c r="FO965" s="688" t="n"/>
      <c r="FP965" s="431" t="n"/>
      <c r="FQ965" s="451" t="n"/>
      <c r="FR965" s="451">
        <f>'CIRCUIT SIM'!KY55</f>
        <v/>
      </c>
      <c r="FS965" s="451" t="n"/>
      <c r="FU965" s="429" t="n">
        <v>52</v>
      </c>
      <c r="FV965" s="431" t="n">
        <v>52</v>
      </c>
      <c r="FW965" s="688" t="n"/>
      <c r="FX965" s="431" t="n"/>
      <c r="FY965" s="451" t="n"/>
      <c r="FZ965" s="562">
        <f>'CIRCUIT SIM'!JG55</f>
        <v/>
      </c>
      <c r="GA965" s="451" t="n"/>
      <c r="GC965" s="429" t="n">
        <v>52</v>
      </c>
      <c r="GD965" s="431" t="n">
        <v>52</v>
      </c>
      <c r="GE965" s="688" t="n"/>
      <c r="GF965" s="431" t="n"/>
      <c r="GG965" s="451" t="n"/>
      <c r="GH965" s="451" t="n"/>
      <c r="GI965" s="451" t="n"/>
      <c r="GK965" s="429" t="n">
        <v>52</v>
      </c>
      <c r="GL965" s="431" t="n">
        <v>52</v>
      </c>
      <c r="GM965" s="688" t="n"/>
      <c r="GN965" s="431" t="n"/>
      <c r="GO965" s="451" t="n"/>
      <c r="GP965" s="451" t="n"/>
      <c r="GQ965" s="451" t="n"/>
      <c r="GS965" s="429" t="n">
        <v>52</v>
      </c>
      <c r="GT965" s="431" t="n">
        <v>52</v>
      </c>
      <c r="GU965" s="688" t="n"/>
      <c r="GV965" s="431" t="inlineStr">
        <is>
          <t>Boolean</t>
        </is>
      </c>
      <c r="GW965" s="451" t="n"/>
      <c r="GX965" s="451">
        <f>'CIRCUIT SIM'!KY55</f>
        <v/>
      </c>
      <c r="GY965" s="451" t="n"/>
      <c r="HA965" s="429" t="n">
        <v>52</v>
      </c>
      <c r="HB965" s="431" t="n">
        <v>52</v>
      </c>
      <c r="HC965" s="688" t="n"/>
      <c r="HD965" s="431" t="n"/>
      <c r="HE965" s="451" t="n"/>
      <c r="HF965" s="451" t="n"/>
      <c r="HG965" s="451" t="n"/>
    </row>
    <row r="966">
      <c r="A966" s="429" t="n">
        <v>53</v>
      </c>
      <c r="B966" s="431" t="n">
        <v>53</v>
      </c>
      <c r="C966" s="688" t="n"/>
      <c r="D966" s="431" t="inlineStr">
        <is>
          <t>Boolean</t>
        </is>
      </c>
      <c r="E966" s="429" t="n"/>
      <c r="F966" s="422">
        <f>'CIRCUIT SIM'!J56</f>
        <v/>
      </c>
      <c r="G966" s="429" t="n"/>
      <c r="I966" s="429" t="n">
        <v>53</v>
      </c>
      <c r="J966" s="431" t="n">
        <v>53</v>
      </c>
      <c r="K966" s="429" t="n"/>
      <c r="L966" s="431" t="inlineStr">
        <is>
          <t>Boolean</t>
        </is>
      </c>
      <c r="M966" s="451" t="n"/>
      <c r="N966" s="422">
        <f>'CIRCUIT SIM'!Y56</f>
        <v/>
      </c>
      <c r="O966" s="451" t="n"/>
      <c r="Q966" s="429" t="n">
        <v>53</v>
      </c>
      <c r="R966" s="431" t="n">
        <v>53</v>
      </c>
      <c r="S966" s="429" t="n"/>
      <c r="T966" s="431" t="inlineStr">
        <is>
          <t>Boolean</t>
        </is>
      </c>
      <c r="U966" s="429" t="n"/>
      <c r="V966" s="386">
        <f>'CIRCUIT SIM'!AO56</f>
        <v/>
      </c>
      <c r="W966" s="451" t="n"/>
      <c r="Y966" s="429" t="n">
        <v>53</v>
      </c>
      <c r="Z966" s="431" t="n">
        <v>53</v>
      </c>
      <c r="AA966" s="429" t="n"/>
      <c r="AB966" s="431" t="n"/>
      <c r="AC966" s="451" t="n"/>
      <c r="AD966" s="451" t="n"/>
      <c r="AE966" s="451" t="n"/>
      <c r="AG966" s="429" t="n">
        <v>53</v>
      </c>
      <c r="AH966" s="431" t="n">
        <v>53</v>
      </c>
      <c r="AI966" s="429" t="n"/>
      <c r="AJ966" s="431" t="inlineStr">
        <is>
          <t>Boolean</t>
        </is>
      </c>
      <c r="AK966" s="451" t="n"/>
      <c r="AL966" s="450">
        <f>'CIRCUIT SIM'!CR56</f>
        <v/>
      </c>
      <c r="AM966" s="451" t="n"/>
      <c r="AO966" s="429" t="n">
        <v>53</v>
      </c>
      <c r="AP966" s="431" t="n">
        <v>53</v>
      </c>
      <c r="AQ966" s="429" t="n"/>
      <c r="AR966" s="431" t="inlineStr">
        <is>
          <t>Boolean</t>
        </is>
      </c>
      <c r="AS966" s="451" t="n"/>
      <c r="AT966" s="386">
        <f>'CIRCUIT SIM'!BR56</f>
        <v/>
      </c>
      <c r="AU966" s="451" t="n"/>
      <c r="AW966" s="429" t="n">
        <v>53</v>
      </c>
      <c r="AX966" s="431" t="n">
        <v>53</v>
      </c>
      <c r="AY966" s="429" t="n"/>
      <c r="AZ966" s="431" t="inlineStr">
        <is>
          <t>Boolean</t>
        </is>
      </c>
      <c r="BA966" s="451" t="n"/>
      <c r="BB966" s="451">
        <f>'CIRCUIT SIM'!CG56</f>
        <v/>
      </c>
      <c r="BC966" s="451" t="n"/>
      <c r="BE966" s="429" t="n">
        <v>53</v>
      </c>
      <c r="BF966" s="431" t="n"/>
      <c r="BG966" s="429" t="n"/>
      <c r="BH966" s="431" t="n"/>
      <c r="BI966" s="451" t="n"/>
      <c r="BJ966" s="451" t="n"/>
      <c r="BK966" s="451" t="n"/>
      <c r="BM966" s="429" t="n">
        <v>53</v>
      </c>
      <c r="BN966" s="431" t="n">
        <v>53</v>
      </c>
      <c r="BO966" s="429" t="n"/>
      <c r="BP966" s="431" t="inlineStr">
        <is>
          <t>Boolean</t>
        </is>
      </c>
      <c r="BQ966" s="451" t="n"/>
      <c r="BR966" s="451">
        <f>'CIRCUIT SIM'!DT56</f>
        <v/>
      </c>
      <c r="BS966" s="451" t="n"/>
      <c r="BU966" s="429" t="n">
        <v>53</v>
      </c>
      <c r="BV966" s="431" t="n">
        <v>53</v>
      </c>
      <c r="BW966" s="429" t="n"/>
      <c r="BX966" s="431" t="inlineStr">
        <is>
          <t>Boolean</t>
        </is>
      </c>
      <c r="BY966" s="451" t="n"/>
      <c r="BZ966" s="451">
        <f>'CIRCUIT SIM'!EI56</f>
        <v/>
      </c>
      <c r="CA966" s="451" t="n"/>
      <c r="CC966" s="429" t="n">
        <v>53</v>
      </c>
      <c r="CD966" s="431" t="n">
        <v>53</v>
      </c>
      <c r="CE966" s="688" t="n"/>
      <c r="CF966" s="431" t="inlineStr">
        <is>
          <t>Boolean</t>
        </is>
      </c>
      <c r="CG966" s="451" t="n"/>
      <c r="CH966" s="562">
        <f>'CIRCUIT SIM'!LK56</f>
        <v/>
      </c>
      <c r="CI966" s="451" t="n"/>
      <c r="CK966" s="429" t="n">
        <v>53</v>
      </c>
      <c r="CL966" s="431" t="n">
        <v>53</v>
      </c>
      <c r="CM966" s="565" t="n">
        <v>52</v>
      </c>
      <c r="CN966" s="431" t="inlineStr">
        <is>
          <t>Boolean</t>
        </is>
      </c>
      <c r="CO966" s="451" t="n"/>
      <c r="CP966" s="451">
        <f>'CIRCUIT SIM'!MA56</f>
        <v/>
      </c>
      <c r="CQ966" s="451" t="n"/>
      <c r="CS966" s="429" t="n">
        <v>53</v>
      </c>
      <c r="CT966" s="431" t="n">
        <v>53</v>
      </c>
      <c r="CU966" s="688" t="n"/>
      <c r="CV966" s="431" t="inlineStr">
        <is>
          <t>Boolean</t>
        </is>
      </c>
      <c r="CW966" s="451" t="n"/>
      <c r="CX966" s="451">
        <f>'CIRCUIT SIM'!MQ56</f>
        <v/>
      </c>
      <c r="CY966" s="451" t="n"/>
      <c r="DA966" s="429" t="n">
        <v>53</v>
      </c>
      <c r="DB966" s="431" t="n">
        <v>53</v>
      </c>
      <c r="DC966" s="688" t="n"/>
      <c r="DD966" s="431" t="inlineStr">
        <is>
          <t>Boolean</t>
        </is>
      </c>
      <c r="DE966" s="451" t="n"/>
      <c r="DF966" s="451">
        <f>'CIRCUIT SIM'!EX56</f>
        <v/>
      </c>
      <c r="DG966" s="451" t="n"/>
      <c r="DI966" s="429" t="n">
        <v>53</v>
      </c>
      <c r="DJ966" s="431" t="n">
        <v>53</v>
      </c>
      <c r="DK966" s="688" t="n"/>
      <c r="DL966" s="431" t="inlineStr">
        <is>
          <t>Boolean</t>
        </is>
      </c>
      <c r="DM966" s="429" t="n"/>
      <c r="DN966" s="451">
        <f>'CIRCUIT SIM'!FN56</f>
        <v/>
      </c>
      <c r="DO966" s="451" t="n"/>
      <c r="DQ966" s="429" t="n">
        <v>53</v>
      </c>
      <c r="DR966" s="431" t="n">
        <v>53</v>
      </c>
      <c r="DS966" s="688" t="n"/>
      <c r="DT966" s="431" t="inlineStr">
        <is>
          <t>Boolean</t>
        </is>
      </c>
      <c r="DU966" s="451" t="n"/>
      <c r="DV966" s="451">
        <f>'CIRCUIT SIM'!HT56</f>
        <v/>
      </c>
      <c r="DW966" s="451" t="n"/>
      <c r="DY966" s="429" t="n">
        <v>53</v>
      </c>
      <c r="DZ966" s="431" t="n">
        <v>53</v>
      </c>
      <c r="EA966" s="688" t="n"/>
      <c r="EB966" s="431" t="inlineStr">
        <is>
          <t>Boolean</t>
        </is>
      </c>
      <c r="EC966" s="451" t="n"/>
      <c r="ED966" s="335">
        <f>'CIRCUIT SIM'!GO56</f>
        <v/>
      </c>
      <c r="EE966" s="451" t="n"/>
      <c r="EG966" s="429" t="n">
        <v>53</v>
      </c>
      <c r="EH966" s="431" t="n">
        <v>53</v>
      </c>
      <c r="EI966" s="688" t="n"/>
      <c r="EJ966" s="431" t="inlineStr">
        <is>
          <t>Boolean</t>
        </is>
      </c>
      <c r="EK966" s="451" t="n"/>
      <c r="EL966" s="451">
        <f>'CIRCUIT SIM'!HD56</f>
        <v/>
      </c>
      <c r="EM966" s="451" t="n"/>
      <c r="EO966" s="429" t="n">
        <v>53</v>
      </c>
      <c r="EP966" s="431" t="n">
        <v>53</v>
      </c>
      <c r="EQ966" s="688" t="n"/>
      <c r="ER966" s="431" t="inlineStr">
        <is>
          <t>Boolean</t>
        </is>
      </c>
      <c r="ES966" s="451" t="n"/>
      <c r="ET966" s="451">
        <f>'CIRCUIT SIM'!HT56</f>
        <v/>
      </c>
      <c r="EU966" s="451" t="n"/>
      <c r="EW966" s="429" t="n">
        <v>53</v>
      </c>
      <c r="EX966" s="431" t="n">
        <v>53</v>
      </c>
      <c r="EY966" s="688" t="n"/>
      <c r="EZ966" s="431" t="n"/>
      <c r="FA966" s="451" t="n"/>
      <c r="FB966" s="451" t="n"/>
      <c r="FC966" s="451" t="n"/>
      <c r="FE966" s="429" t="n">
        <v>53</v>
      </c>
      <c r="FF966" s="431" t="n">
        <v>53</v>
      </c>
      <c r="FG966" s="688" t="n"/>
      <c r="FH966" s="431" t="n"/>
      <c r="FI966" s="451" t="n"/>
      <c r="FJ966" s="451" t="n"/>
      <c r="FK966" s="451" t="n"/>
      <c r="FM966" s="429" t="n">
        <v>53</v>
      </c>
      <c r="FN966" s="431" t="n">
        <v>53</v>
      </c>
      <c r="FO966" s="688" t="n"/>
      <c r="FP966" s="431" t="n"/>
      <c r="FQ966" s="451" t="n"/>
      <c r="FR966" s="451">
        <f>'CIRCUIT SIM'!KY56</f>
        <v/>
      </c>
      <c r="FS966" s="451" t="n"/>
      <c r="FU966" s="429" t="n">
        <v>53</v>
      </c>
      <c r="FV966" s="431" t="n">
        <v>53</v>
      </c>
      <c r="FW966" s="688" t="n"/>
      <c r="FX966" s="431" t="n"/>
      <c r="FY966" s="451" t="n"/>
      <c r="FZ966" s="562">
        <f>'CIRCUIT SIM'!JG56</f>
        <v/>
      </c>
      <c r="GA966" s="451" t="n"/>
      <c r="GC966" s="429" t="n">
        <v>53</v>
      </c>
      <c r="GD966" s="431" t="n">
        <v>53</v>
      </c>
      <c r="GE966" s="688" t="n"/>
      <c r="GF966" s="431" t="n"/>
      <c r="GG966" s="451" t="n"/>
      <c r="GH966" s="451" t="n"/>
      <c r="GI966" s="451" t="n"/>
      <c r="GK966" s="429" t="n">
        <v>53</v>
      </c>
      <c r="GL966" s="431" t="n">
        <v>53</v>
      </c>
      <c r="GM966" s="688" t="n"/>
      <c r="GN966" s="431" t="n"/>
      <c r="GO966" s="451" t="n"/>
      <c r="GP966" s="451" t="n"/>
      <c r="GQ966" s="451" t="n"/>
      <c r="GS966" s="429" t="n">
        <v>53</v>
      </c>
      <c r="GT966" s="431" t="n">
        <v>53</v>
      </c>
      <c r="GU966" s="688" t="n"/>
      <c r="GV966" s="431" t="inlineStr">
        <is>
          <t>Boolean</t>
        </is>
      </c>
      <c r="GW966" s="451" t="n"/>
      <c r="GX966" s="451">
        <f>'CIRCUIT SIM'!KY56</f>
        <v/>
      </c>
      <c r="GY966" s="451" t="n"/>
      <c r="HA966" s="429" t="n">
        <v>53</v>
      </c>
      <c r="HB966" s="431" t="n">
        <v>53</v>
      </c>
      <c r="HC966" s="688" t="n"/>
      <c r="HD966" s="431" t="n"/>
      <c r="HE966" s="451" t="n"/>
      <c r="HF966" s="451" t="n"/>
      <c r="HG966" s="451" t="n"/>
    </row>
    <row r="967">
      <c r="A967" s="429" t="n">
        <v>54</v>
      </c>
      <c r="B967" s="431" t="n">
        <v>54</v>
      </c>
      <c r="C967" s="688" t="n"/>
      <c r="D967" s="431" t="inlineStr">
        <is>
          <t>Boolean</t>
        </is>
      </c>
      <c r="E967" s="429" t="n"/>
      <c r="F967" s="422">
        <f>'CIRCUIT SIM'!J57</f>
        <v/>
      </c>
      <c r="G967" s="429" t="n"/>
      <c r="I967" s="429" t="n">
        <v>54</v>
      </c>
      <c r="J967" s="431" t="n">
        <v>54</v>
      </c>
      <c r="K967" s="429" t="n"/>
      <c r="L967" s="431" t="inlineStr">
        <is>
          <t>Boolean</t>
        </is>
      </c>
      <c r="M967" s="451" t="n"/>
      <c r="N967" s="422">
        <f>'CIRCUIT SIM'!Y57</f>
        <v/>
      </c>
      <c r="O967" s="451" t="n"/>
      <c r="Q967" s="429" t="n">
        <v>54</v>
      </c>
      <c r="R967" s="431" t="n">
        <v>54</v>
      </c>
      <c r="S967" s="429" t="n"/>
      <c r="T967" s="431" t="inlineStr">
        <is>
          <t>Boolean</t>
        </is>
      </c>
      <c r="U967" s="429" t="n"/>
      <c r="V967" s="386">
        <f>'CIRCUIT SIM'!AO57</f>
        <v/>
      </c>
      <c r="W967" s="451" t="n"/>
      <c r="Y967" s="429" t="n">
        <v>54</v>
      </c>
      <c r="Z967" s="431" t="n">
        <v>54</v>
      </c>
      <c r="AA967" s="429" t="n"/>
      <c r="AB967" s="431" t="n"/>
      <c r="AC967" s="451" t="n"/>
      <c r="AD967" s="451" t="n"/>
      <c r="AE967" s="451" t="n"/>
      <c r="AG967" s="429" t="n">
        <v>54</v>
      </c>
      <c r="AH967" s="431" t="n">
        <v>54</v>
      </c>
      <c r="AI967" s="429" t="n"/>
      <c r="AJ967" s="431" t="inlineStr">
        <is>
          <t>Boolean</t>
        </is>
      </c>
      <c r="AK967" s="451" t="n"/>
      <c r="AL967" s="450">
        <f>'CIRCUIT SIM'!CR57</f>
        <v/>
      </c>
      <c r="AM967" s="451" t="n"/>
      <c r="AO967" s="429" t="n">
        <v>54</v>
      </c>
      <c r="AP967" s="431" t="n">
        <v>54</v>
      </c>
      <c r="AQ967" s="429" t="n"/>
      <c r="AR967" s="431" t="inlineStr">
        <is>
          <t>Boolean</t>
        </is>
      </c>
      <c r="AS967" s="451" t="n"/>
      <c r="AT967" s="386">
        <f>'CIRCUIT SIM'!BR57</f>
        <v/>
      </c>
      <c r="AU967" s="451" t="n"/>
      <c r="AW967" s="429" t="n">
        <v>54</v>
      </c>
      <c r="AX967" s="431" t="n">
        <v>54</v>
      </c>
      <c r="AY967" s="429" t="n"/>
      <c r="AZ967" s="431" t="inlineStr">
        <is>
          <t>Boolean</t>
        </is>
      </c>
      <c r="BA967" s="451" t="n"/>
      <c r="BB967" s="451">
        <f>'CIRCUIT SIM'!CG57</f>
        <v/>
      </c>
      <c r="BC967" s="451" t="n"/>
      <c r="BE967" s="429" t="n">
        <v>54</v>
      </c>
      <c r="BF967" s="431" t="n"/>
      <c r="BG967" s="429" t="n"/>
      <c r="BH967" s="431" t="n"/>
      <c r="BI967" s="451" t="n"/>
      <c r="BJ967" s="451" t="n"/>
      <c r="BK967" s="451" t="n"/>
      <c r="BM967" s="429" t="n">
        <v>54</v>
      </c>
      <c r="BN967" s="431" t="n">
        <v>54</v>
      </c>
      <c r="BO967" s="429" t="n"/>
      <c r="BP967" s="431" t="inlineStr">
        <is>
          <t>Boolean</t>
        </is>
      </c>
      <c r="BQ967" s="451" t="n"/>
      <c r="BR967" s="451">
        <f>'CIRCUIT SIM'!DT57</f>
        <v/>
      </c>
      <c r="BS967" s="451" t="n"/>
      <c r="BU967" s="429" t="n">
        <v>54</v>
      </c>
      <c r="BV967" s="431" t="n">
        <v>54</v>
      </c>
      <c r="BW967" s="429" t="n"/>
      <c r="BX967" s="431" t="inlineStr">
        <is>
          <t>Boolean</t>
        </is>
      </c>
      <c r="BY967" s="451" t="n"/>
      <c r="BZ967" s="451">
        <f>'CIRCUIT SIM'!EI57</f>
        <v/>
      </c>
      <c r="CA967" s="451" t="n"/>
      <c r="CC967" s="429" t="n">
        <v>54</v>
      </c>
      <c r="CD967" s="431" t="n">
        <v>54</v>
      </c>
      <c r="CE967" s="688" t="n"/>
      <c r="CF967" s="431" t="inlineStr">
        <is>
          <t>Boolean</t>
        </is>
      </c>
      <c r="CG967" s="451" t="n"/>
      <c r="CH967" s="562">
        <f>'CIRCUIT SIM'!LK57</f>
        <v/>
      </c>
      <c r="CI967" s="451" t="n"/>
      <c r="CK967" s="429" t="n">
        <v>54</v>
      </c>
      <c r="CL967" s="431" t="n">
        <v>54</v>
      </c>
      <c r="CM967" s="565" t="n">
        <v>53</v>
      </c>
      <c r="CN967" s="431" t="inlineStr">
        <is>
          <t>Boolean</t>
        </is>
      </c>
      <c r="CO967" s="451" t="n"/>
      <c r="CP967" s="451">
        <f>'CIRCUIT SIM'!MA57</f>
        <v/>
      </c>
      <c r="CQ967" s="451" t="n"/>
      <c r="CS967" s="429" t="n">
        <v>54</v>
      </c>
      <c r="CT967" s="431" t="n">
        <v>54</v>
      </c>
      <c r="CU967" s="688" t="n"/>
      <c r="CV967" s="431" t="inlineStr">
        <is>
          <t>Boolean</t>
        </is>
      </c>
      <c r="CW967" s="451" t="n"/>
      <c r="CX967" s="451">
        <f>'CIRCUIT SIM'!MQ57</f>
        <v/>
      </c>
      <c r="CY967" s="451" t="n"/>
      <c r="DA967" s="429" t="n">
        <v>54</v>
      </c>
      <c r="DB967" s="431" t="n">
        <v>54</v>
      </c>
      <c r="DC967" s="688" t="n"/>
      <c r="DD967" s="431" t="inlineStr">
        <is>
          <t>Boolean</t>
        </is>
      </c>
      <c r="DE967" s="451" t="n"/>
      <c r="DF967" s="451">
        <f>'CIRCUIT SIM'!EX57</f>
        <v/>
      </c>
      <c r="DG967" s="451" t="n"/>
      <c r="DI967" s="429" t="n">
        <v>54</v>
      </c>
      <c r="DJ967" s="431" t="n">
        <v>54</v>
      </c>
      <c r="DK967" s="688" t="n"/>
      <c r="DL967" s="431" t="inlineStr">
        <is>
          <t>Boolean</t>
        </is>
      </c>
      <c r="DM967" s="429" t="n"/>
      <c r="DN967" s="451">
        <f>'CIRCUIT SIM'!FN57</f>
        <v/>
      </c>
      <c r="DO967" s="451" t="n"/>
      <c r="DQ967" s="429" t="n">
        <v>54</v>
      </c>
      <c r="DR967" s="431" t="n">
        <v>54</v>
      </c>
      <c r="DS967" s="688" t="n"/>
      <c r="DT967" s="431" t="inlineStr">
        <is>
          <t>Boolean</t>
        </is>
      </c>
      <c r="DU967" s="451" t="n"/>
      <c r="DV967" s="451">
        <f>'CIRCUIT SIM'!HT57</f>
        <v/>
      </c>
      <c r="DW967" s="451" t="n"/>
      <c r="DY967" s="429" t="n">
        <v>54</v>
      </c>
      <c r="DZ967" s="431" t="n">
        <v>54</v>
      </c>
      <c r="EA967" s="688" t="n"/>
      <c r="EB967" s="431" t="inlineStr">
        <is>
          <t>Boolean</t>
        </is>
      </c>
      <c r="EC967" s="451" t="n"/>
      <c r="ED967" s="335">
        <f>'CIRCUIT SIM'!GO57</f>
        <v/>
      </c>
      <c r="EE967" s="451" t="n"/>
      <c r="EG967" s="429" t="n">
        <v>54</v>
      </c>
      <c r="EH967" s="431" t="n">
        <v>54</v>
      </c>
      <c r="EI967" s="688" t="n"/>
      <c r="EJ967" s="431" t="inlineStr">
        <is>
          <t>Boolean</t>
        </is>
      </c>
      <c r="EK967" s="451" t="n"/>
      <c r="EL967" s="451">
        <f>'CIRCUIT SIM'!HD57</f>
        <v/>
      </c>
      <c r="EM967" s="451" t="n"/>
      <c r="EO967" s="429" t="n">
        <v>54</v>
      </c>
      <c r="EP967" s="431" t="n">
        <v>54</v>
      </c>
      <c r="EQ967" s="688" t="n"/>
      <c r="ER967" s="431" t="inlineStr">
        <is>
          <t>Boolean</t>
        </is>
      </c>
      <c r="ES967" s="451" t="n"/>
      <c r="ET967" s="451">
        <f>'CIRCUIT SIM'!HT57</f>
        <v/>
      </c>
      <c r="EU967" s="451" t="n"/>
      <c r="EW967" s="429" t="n">
        <v>54</v>
      </c>
      <c r="EX967" s="431" t="n">
        <v>54</v>
      </c>
      <c r="EY967" s="688" t="n"/>
      <c r="EZ967" s="431" t="n"/>
      <c r="FA967" s="451" t="n"/>
      <c r="FB967" s="451" t="n"/>
      <c r="FC967" s="451" t="n"/>
      <c r="FE967" s="429" t="n">
        <v>54</v>
      </c>
      <c r="FF967" s="431" t="n">
        <v>54</v>
      </c>
      <c r="FG967" s="688" t="n"/>
      <c r="FH967" s="431" t="n"/>
      <c r="FI967" s="451" t="n"/>
      <c r="FJ967" s="451" t="n"/>
      <c r="FK967" s="451" t="n"/>
      <c r="FM967" s="429" t="n">
        <v>54</v>
      </c>
      <c r="FN967" s="431" t="n">
        <v>54</v>
      </c>
      <c r="FO967" s="688" t="n"/>
      <c r="FP967" s="431" t="n"/>
      <c r="FQ967" s="451" t="n"/>
      <c r="FR967" s="451">
        <f>'CIRCUIT SIM'!KY57</f>
        <v/>
      </c>
      <c r="FS967" s="451" t="n"/>
      <c r="FU967" s="429" t="n">
        <v>54</v>
      </c>
      <c r="FV967" s="431" t="n">
        <v>54</v>
      </c>
      <c r="FW967" s="688" t="n"/>
      <c r="FX967" s="431" t="n"/>
      <c r="FY967" s="451" t="n"/>
      <c r="FZ967" s="562">
        <f>'CIRCUIT SIM'!JG57</f>
        <v/>
      </c>
      <c r="GA967" s="451" t="n"/>
      <c r="GC967" s="429" t="n">
        <v>54</v>
      </c>
      <c r="GD967" s="431" t="n">
        <v>54</v>
      </c>
      <c r="GE967" s="688" t="n"/>
      <c r="GF967" s="431" t="n"/>
      <c r="GG967" s="451" t="n"/>
      <c r="GH967" s="451" t="n"/>
      <c r="GI967" s="451" t="n"/>
      <c r="GK967" s="429" t="n">
        <v>54</v>
      </c>
      <c r="GL967" s="431" t="n">
        <v>54</v>
      </c>
      <c r="GM967" s="688" t="n"/>
      <c r="GN967" s="431" t="n"/>
      <c r="GO967" s="451" t="n"/>
      <c r="GP967" s="451" t="n"/>
      <c r="GQ967" s="451" t="n"/>
      <c r="GS967" s="429" t="n">
        <v>54</v>
      </c>
      <c r="GT967" s="431" t="n">
        <v>54</v>
      </c>
      <c r="GU967" s="688" t="n"/>
      <c r="GV967" s="431" t="inlineStr">
        <is>
          <t>Boolean</t>
        </is>
      </c>
      <c r="GW967" s="451" t="n"/>
      <c r="GX967" s="451">
        <f>'CIRCUIT SIM'!KY57</f>
        <v/>
      </c>
      <c r="GY967" s="451" t="n"/>
      <c r="HA967" s="429" t="n">
        <v>54</v>
      </c>
      <c r="HB967" s="431" t="n">
        <v>54</v>
      </c>
      <c r="HC967" s="688" t="n"/>
      <c r="HD967" s="431" t="n"/>
      <c r="HE967" s="451" t="n"/>
      <c r="HF967" s="451" t="n"/>
      <c r="HG967" s="451" t="n"/>
    </row>
    <row r="968">
      <c r="A968" s="429" t="n">
        <v>55</v>
      </c>
      <c r="B968" s="431" t="n">
        <v>55</v>
      </c>
      <c r="C968" s="688" t="n"/>
      <c r="D968" s="431" t="inlineStr">
        <is>
          <t>Boolean</t>
        </is>
      </c>
      <c r="E968" s="429" t="n"/>
      <c r="F968" s="422">
        <f>'CIRCUIT SIM'!J58</f>
        <v/>
      </c>
      <c r="G968" s="429" t="n"/>
      <c r="I968" s="429" t="n">
        <v>55</v>
      </c>
      <c r="J968" s="431" t="n">
        <v>55</v>
      </c>
      <c r="K968" s="429" t="n"/>
      <c r="L968" s="431" t="inlineStr">
        <is>
          <t>Boolean</t>
        </is>
      </c>
      <c r="M968" s="451" t="n"/>
      <c r="N968" s="422">
        <f>'CIRCUIT SIM'!Y58</f>
        <v/>
      </c>
      <c r="O968" s="451" t="n"/>
      <c r="Q968" s="429" t="n">
        <v>55</v>
      </c>
      <c r="R968" s="431" t="n">
        <v>55</v>
      </c>
      <c r="S968" s="429" t="n"/>
      <c r="T968" s="431" t="inlineStr">
        <is>
          <t>Boolean</t>
        </is>
      </c>
      <c r="U968" s="429" t="n"/>
      <c r="V968" s="386">
        <f>'CIRCUIT SIM'!AO58</f>
        <v/>
      </c>
      <c r="W968" s="451" t="n"/>
      <c r="Y968" s="429" t="n">
        <v>55</v>
      </c>
      <c r="Z968" s="431" t="n">
        <v>55</v>
      </c>
      <c r="AA968" s="429" t="n"/>
      <c r="AB968" s="431" t="n"/>
      <c r="AC968" s="451" t="n"/>
      <c r="AD968" s="451" t="n"/>
      <c r="AE968" s="451" t="n"/>
      <c r="AG968" s="429" t="n">
        <v>55</v>
      </c>
      <c r="AH968" s="431" t="n">
        <v>55</v>
      </c>
      <c r="AI968" s="429" t="n"/>
      <c r="AJ968" s="431" t="inlineStr">
        <is>
          <t>Boolean</t>
        </is>
      </c>
      <c r="AK968" s="451" t="n"/>
      <c r="AL968" s="450">
        <f>'CIRCUIT SIM'!CR58</f>
        <v/>
      </c>
      <c r="AM968" s="451" t="n"/>
      <c r="AO968" s="429" t="n">
        <v>55</v>
      </c>
      <c r="AP968" s="431" t="n">
        <v>55</v>
      </c>
      <c r="AQ968" s="429" t="n"/>
      <c r="AR968" s="431" t="inlineStr">
        <is>
          <t>Boolean</t>
        </is>
      </c>
      <c r="AS968" s="451" t="n"/>
      <c r="AT968" s="386">
        <f>'CIRCUIT SIM'!BR58</f>
        <v/>
      </c>
      <c r="AU968" s="451" t="n"/>
      <c r="AW968" s="429" t="n">
        <v>55</v>
      </c>
      <c r="AX968" s="431" t="n">
        <v>55</v>
      </c>
      <c r="AY968" s="429" t="n"/>
      <c r="AZ968" s="431" t="inlineStr">
        <is>
          <t>Boolean</t>
        </is>
      </c>
      <c r="BA968" s="451" t="n"/>
      <c r="BB968" s="451">
        <f>'CIRCUIT SIM'!CG58</f>
        <v/>
      </c>
      <c r="BC968" s="451" t="n"/>
      <c r="BE968" s="429" t="n">
        <v>55</v>
      </c>
      <c r="BF968" s="431" t="n"/>
      <c r="BG968" s="429" t="n"/>
      <c r="BH968" s="431" t="n"/>
      <c r="BI968" s="451" t="n"/>
      <c r="BJ968" s="451" t="n"/>
      <c r="BK968" s="451" t="n"/>
      <c r="BM968" s="429" t="n">
        <v>55</v>
      </c>
      <c r="BN968" s="431" t="n">
        <v>55</v>
      </c>
      <c r="BO968" s="429" t="n"/>
      <c r="BP968" s="431" t="inlineStr">
        <is>
          <t>Boolean</t>
        </is>
      </c>
      <c r="BQ968" s="451" t="n"/>
      <c r="BR968" s="451">
        <f>'CIRCUIT SIM'!DT58</f>
        <v/>
      </c>
      <c r="BS968" s="451" t="n"/>
      <c r="BU968" s="429" t="n">
        <v>55</v>
      </c>
      <c r="BV968" s="431" t="n">
        <v>55</v>
      </c>
      <c r="BW968" s="429" t="n"/>
      <c r="BX968" s="431" t="inlineStr">
        <is>
          <t>Boolean</t>
        </is>
      </c>
      <c r="BY968" s="451" t="n"/>
      <c r="BZ968" s="451">
        <f>'CIRCUIT SIM'!EI58</f>
        <v/>
      </c>
      <c r="CA968" s="451" t="n"/>
      <c r="CC968" s="429" t="n">
        <v>55</v>
      </c>
      <c r="CD968" s="431" t="n">
        <v>55</v>
      </c>
      <c r="CE968" s="688" t="n"/>
      <c r="CF968" s="431" t="inlineStr">
        <is>
          <t>Boolean</t>
        </is>
      </c>
      <c r="CG968" s="451" t="n"/>
      <c r="CH968" s="562">
        <f>'CIRCUIT SIM'!LK58</f>
        <v/>
      </c>
      <c r="CI968" s="451" t="n"/>
      <c r="CK968" s="429" t="n">
        <v>55</v>
      </c>
      <c r="CL968" s="431" t="n">
        <v>55</v>
      </c>
      <c r="CM968" s="565" t="n">
        <v>54</v>
      </c>
      <c r="CN968" s="431" t="inlineStr">
        <is>
          <t>Boolean</t>
        </is>
      </c>
      <c r="CO968" s="451" t="n"/>
      <c r="CP968" s="451">
        <f>'CIRCUIT SIM'!MA58</f>
        <v/>
      </c>
      <c r="CQ968" s="451" t="n"/>
      <c r="CS968" s="429" t="n">
        <v>55</v>
      </c>
      <c r="CT968" s="431" t="n">
        <v>55</v>
      </c>
      <c r="CU968" s="688" t="n"/>
      <c r="CV968" s="431" t="inlineStr">
        <is>
          <t>Boolean</t>
        </is>
      </c>
      <c r="CW968" s="451" t="n"/>
      <c r="CX968" s="451">
        <f>'CIRCUIT SIM'!MQ58</f>
        <v/>
      </c>
      <c r="CY968" s="451" t="n"/>
      <c r="DA968" s="429" t="n">
        <v>55</v>
      </c>
      <c r="DB968" s="431" t="n">
        <v>55</v>
      </c>
      <c r="DC968" s="688" t="n"/>
      <c r="DD968" s="431" t="inlineStr">
        <is>
          <t>Boolean</t>
        </is>
      </c>
      <c r="DE968" s="451" t="n"/>
      <c r="DF968" s="451">
        <f>'CIRCUIT SIM'!EX58</f>
        <v/>
      </c>
      <c r="DG968" s="451" t="n"/>
      <c r="DI968" s="429" t="n">
        <v>55</v>
      </c>
      <c r="DJ968" s="431" t="n">
        <v>55</v>
      </c>
      <c r="DK968" s="688" t="n"/>
      <c r="DL968" s="431" t="inlineStr">
        <is>
          <t>Boolean</t>
        </is>
      </c>
      <c r="DM968" s="429" t="n"/>
      <c r="DN968" s="451">
        <f>'CIRCUIT SIM'!FN58</f>
        <v/>
      </c>
      <c r="DO968" s="451" t="n"/>
      <c r="DQ968" s="429" t="n">
        <v>55</v>
      </c>
      <c r="DR968" s="431" t="n">
        <v>55</v>
      </c>
      <c r="DS968" s="688" t="n"/>
      <c r="DT968" s="431" t="inlineStr">
        <is>
          <t>Boolean</t>
        </is>
      </c>
      <c r="DU968" s="451" t="n"/>
      <c r="DV968" s="451">
        <f>'CIRCUIT SIM'!HT58</f>
        <v/>
      </c>
      <c r="DW968" s="451" t="n"/>
      <c r="DY968" s="429" t="n">
        <v>55</v>
      </c>
      <c r="DZ968" s="431" t="n">
        <v>55</v>
      </c>
      <c r="EA968" s="688" t="n"/>
      <c r="EB968" s="431" t="inlineStr">
        <is>
          <t>Boolean</t>
        </is>
      </c>
      <c r="EC968" s="451" t="n"/>
      <c r="ED968" s="335">
        <f>'CIRCUIT SIM'!GO58</f>
        <v/>
      </c>
      <c r="EE968" s="451" t="n"/>
      <c r="EG968" s="429" t="n">
        <v>55</v>
      </c>
      <c r="EH968" s="431" t="n">
        <v>55</v>
      </c>
      <c r="EI968" s="688" t="n"/>
      <c r="EJ968" s="431" t="inlineStr">
        <is>
          <t>Boolean</t>
        </is>
      </c>
      <c r="EK968" s="451" t="n"/>
      <c r="EL968" s="451">
        <f>'CIRCUIT SIM'!HD58</f>
        <v/>
      </c>
      <c r="EM968" s="451" t="n"/>
      <c r="EO968" s="429" t="n">
        <v>55</v>
      </c>
      <c r="EP968" s="431" t="n">
        <v>55</v>
      </c>
      <c r="EQ968" s="688" t="n"/>
      <c r="ER968" s="431" t="inlineStr">
        <is>
          <t>Boolean</t>
        </is>
      </c>
      <c r="ES968" s="451" t="n"/>
      <c r="ET968" s="451">
        <f>'CIRCUIT SIM'!HT58</f>
        <v/>
      </c>
      <c r="EU968" s="451" t="n"/>
      <c r="EW968" s="429" t="n">
        <v>55</v>
      </c>
      <c r="EX968" s="431" t="n">
        <v>55</v>
      </c>
      <c r="EY968" s="688" t="n"/>
      <c r="EZ968" s="431" t="n"/>
      <c r="FA968" s="451" t="n"/>
      <c r="FB968" s="451" t="n"/>
      <c r="FC968" s="451" t="n"/>
      <c r="FE968" s="429" t="n">
        <v>55</v>
      </c>
      <c r="FF968" s="431" t="n">
        <v>55</v>
      </c>
      <c r="FG968" s="688" t="n"/>
      <c r="FH968" s="431" t="n"/>
      <c r="FI968" s="451" t="n"/>
      <c r="FJ968" s="451" t="n"/>
      <c r="FK968" s="451" t="n"/>
      <c r="FM968" s="429" t="n">
        <v>55</v>
      </c>
      <c r="FN968" s="431" t="n">
        <v>55</v>
      </c>
      <c r="FO968" s="688" t="n"/>
      <c r="FP968" s="431" t="n"/>
      <c r="FQ968" s="451" t="n"/>
      <c r="FR968" s="451">
        <f>'CIRCUIT SIM'!KY58</f>
        <v/>
      </c>
      <c r="FS968" s="451" t="n"/>
      <c r="FU968" s="429" t="n">
        <v>55</v>
      </c>
      <c r="FV968" s="431" t="n">
        <v>55</v>
      </c>
      <c r="FW968" s="688" t="n"/>
      <c r="FX968" s="431" t="n"/>
      <c r="FY968" s="451" t="n"/>
      <c r="FZ968" s="562">
        <f>'CIRCUIT SIM'!JG58</f>
        <v/>
      </c>
      <c r="GA968" s="451" t="n"/>
      <c r="GC968" s="429" t="n">
        <v>55</v>
      </c>
      <c r="GD968" s="431" t="n">
        <v>55</v>
      </c>
      <c r="GE968" s="688" t="n"/>
      <c r="GF968" s="431" t="n"/>
      <c r="GG968" s="451" t="n"/>
      <c r="GH968" s="451" t="n"/>
      <c r="GI968" s="451" t="n"/>
      <c r="GK968" s="429" t="n">
        <v>55</v>
      </c>
      <c r="GL968" s="431" t="n">
        <v>55</v>
      </c>
      <c r="GM968" s="688" t="n"/>
      <c r="GN968" s="431" t="n"/>
      <c r="GO968" s="451" t="n"/>
      <c r="GP968" s="451" t="n"/>
      <c r="GQ968" s="451" t="n"/>
      <c r="GS968" s="429" t="n">
        <v>55</v>
      </c>
      <c r="GT968" s="431" t="n">
        <v>55</v>
      </c>
      <c r="GU968" s="688" t="n"/>
      <c r="GV968" s="431" t="inlineStr">
        <is>
          <t>Boolean</t>
        </is>
      </c>
      <c r="GW968" s="451" t="n"/>
      <c r="GX968" s="451">
        <f>'CIRCUIT SIM'!KY58</f>
        <v/>
      </c>
      <c r="GY968" s="451" t="n"/>
      <c r="HA968" s="429" t="n">
        <v>55</v>
      </c>
      <c r="HB968" s="431" t="n">
        <v>55</v>
      </c>
      <c r="HC968" s="688" t="n"/>
      <c r="HD968" s="431" t="n"/>
      <c r="HE968" s="451" t="n"/>
      <c r="HF968" s="451" t="n"/>
      <c r="HG968" s="451" t="n"/>
    </row>
    <row r="969">
      <c r="A969" s="429" t="n">
        <v>56</v>
      </c>
      <c r="B969" s="431" t="n">
        <v>56</v>
      </c>
      <c r="C969" s="688" t="n"/>
      <c r="D969" s="431" t="inlineStr">
        <is>
          <t>Boolean</t>
        </is>
      </c>
      <c r="E969" s="429" t="n"/>
      <c r="F969" s="422">
        <f>'CIRCUIT SIM'!J59</f>
        <v/>
      </c>
      <c r="G969" s="429" t="n"/>
      <c r="I969" s="429" t="n">
        <v>56</v>
      </c>
      <c r="J969" s="431" t="n">
        <v>56</v>
      </c>
      <c r="K969" s="429" t="n"/>
      <c r="L969" s="431" t="inlineStr">
        <is>
          <t>Boolean</t>
        </is>
      </c>
      <c r="M969" s="451" t="n"/>
      <c r="N969" s="422">
        <f>'CIRCUIT SIM'!Y59</f>
        <v/>
      </c>
      <c r="O969" s="451" t="n"/>
      <c r="Q969" s="429" t="n">
        <v>56</v>
      </c>
      <c r="R969" s="431" t="n">
        <v>56</v>
      </c>
      <c r="S969" s="429" t="n"/>
      <c r="T969" s="431" t="inlineStr">
        <is>
          <t>Boolean</t>
        </is>
      </c>
      <c r="U969" s="429" t="n"/>
      <c r="V969" s="386">
        <f>'CIRCUIT SIM'!AO59</f>
        <v/>
      </c>
      <c r="W969" s="451" t="n"/>
      <c r="Y969" s="429" t="n">
        <v>56</v>
      </c>
      <c r="Z969" s="431" t="n">
        <v>56</v>
      </c>
      <c r="AA969" s="429" t="n"/>
      <c r="AB969" s="431" t="n"/>
      <c r="AC969" s="451" t="n"/>
      <c r="AD969" s="451" t="n"/>
      <c r="AE969" s="451" t="n"/>
      <c r="AG969" s="429" t="n">
        <v>56</v>
      </c>
      <c r="AH969" s="431" t="n">
        <v>56</v>
      </c>
      <c r="AI969" s="429" t="n"/>
      <c r="AJ969" s="431" t="inlineStr">
        <is>
          <t>Boolean</t>
        </is>
      </c>
      <c r="AK969" s="451" t="n"/>
      <c r="AL969" s="450">
        <f>'CIRCUIT SIM'!CR59</f>
        <v/>
      </c>
      <c r="AM969" s="451" t="n"/>
      <c r="AO969" s="429" t="n">
        <v>56</v>
      </c>
      <c r="AP969" s="431" t="n">
        <v>56</v>
      </c>
      <c r="AQ969" s="429" t="n"/>
      <c r="AR969" s="431" t="inlineStr">
        <is>
          <t>Boolean</t>
        </is>
      </c>
      <c r="AS969" s="451" t="n"/>
      <c r="AT969" s="386">
        <f>'CIRCUIT SIM'!BR59</f>
        <v/>
      </c>
      <c r="AU969" s="451" t="n"/>
      <c r="AW969" s="429" t="n">
        <v>56</v>
      </c>
      <c r="AX969" s="431" t="n">
        <v>56</v>
      </c>
      <c r="AY969" s="429" t="n"/>
      <c r="AZ969" s="431" t="inlineStr">
        <is>
          <t>Boolean</t>
        </is>
      </c>
      <c r="BA969" s="451" t="n"/>
      <c r="BB969" s="451">
        <f>'CIRCUIT SIM'!CG59</f>
        <v/>
      </c>
      <c r="BC969" s="451" t="n"/>
      <c r="BE969" s="429" t="n">
        <v>56</v>
      </c>
      <c r="BF969" s="431" t="n"/>
      <c r="BG969" s="429" t="n"/>
      <c r="BH969" s="431" t="n"/>
      <c r="BI969" s="451" t="n"/>
      <c r="BJ969" s="451" t="n"/>
      <c r="BK969" s="451" t="n"/>
      <c r="BM969" s="429" t="n">
        <v>56</v>
      </c>
      <c r="BN969" s="431" t="n">
        <v>56</v>
      </c>
      <c r="BO969" s="429" t="n"/>
      <c r="BP969" s="431" t="inlineStr">
        <is>
          <t>Boolean</t>
        </is>
      </c>
      <c r="BQ969" s="451" t="n"/>
      <c r="BR969" s="451">
        <f>'CIRCUIT SIM'!DT59</f>
        <v/>
      </c>
      <c r="BS969" s="451" t="n"/>
      <c r="BU969" s="429" t="n">
        <v>56</v>
      </c>
      <c r="BV969" s="431" t="n">
        <v>56</v>
      </c>
      <c r="BW969" s="429" t="n"/>
      <c r="BX969" s="431" t="inlineStr">
        <is>
          <t>Boolean</t>
        </is>
      </c>
      <c r="BY969" s="451" t="n"/>
      <c r="BZ969" s="451">
        <f>'CIRCUIT SIM'!EI59</f>
        <v/>
      </c>
      <c r="CA969" s="451" t="n"/>
      <c r="CC969" s="429" t="n">
        <v>56</v>
      </c>
      <c r="CD969" s="431" t="n">
        <v>56</v>
      </c>
      <c r="CE969" s="688" t="n"/>
      <c r="CF969" s="431" t="inlineStr">
        <is>
          <t>Boolean</t>
        </is>
      </c>
      <c r="CG969" s="451" t="n"/>
      <c r="CH969" s="562">
        <f>'CIRCUIT SIM'!LK59</f>
        <v/>
      </c>
      <c r="CI969" s="451" t="n"/>
      <c r="CK969" s="429" t="n">
        <v>56</v>
      </c>
      <c r="CL969" s="431" t="n">
        <v>56</v>
      </c>
      <c r="CM969" s="565" t="n">
        <v>55</v>
      </c>
      <c r="CN969" s="431" t="inlineStr">
        <is>
          <t>Boolean</t>
        </is>
      </c>
      <c r="CO969" s="451" t="n"/>
      <c r="CP969" s="451">
        <f>'CIRCUIT SIM'!MA59</f>
        <v/>
      </c>
      <c r="CQ969" s="451" t="n"/>
      <c r="CS969" s="429" t="n">
        <v>56</v>
      </c>
      <c r="CT969" s="431" t="n">
        <v>56</v>
      </c>
      <c r="CU969" s="688" t="n"/>
      <c r="CV969" s="431" t="inlineStr">
        <is>
          <t>Boolean</t>
        </is>
      </c>
      <c r="CW969" s="451" t="n"/>
      <c r="CX969" s="451">
        <f>'CIRCUIT SIM'!MQ59</f>
        <v/>
      </c>
      <c r="CY969" s="451" t="n"/>
      <c r="DA969" s="429" t="n">
        <v>56</v>
      </c>
      <c r="DB969" s="431" t="n">
        <v>56</v>
      </c>
      <c r="DC969" s="688" t="n"/>
      <c r="DD969" s="431" t="inlineStr">
        <is>
          <t>Boolean</t>
        </is>
      </c>
      <c r="DE969" s="451" t="n"/>
      <c r="DF969" s="451">
        <f>'CIRCUIT SIM'!EX59</f>
        <v/>
      </c>
      <c r="DG969" s="451" t="n"/>
      <c r="DI969" s="429" t="n">
        <v>56</v>
      </c>
      <c r="DJ969" s="431" t="n">
        <v>56</v>
      </c>
      <c r="DK969" s="688" t="n"/>
      <c r="DL969" s="431" t="inlineStr">
        <is>
          <t>Boolean</t>
        </is>
      </c>
      <c r="DM969" s="429" t="n"/>
      <c r="DN969" s="451">
        <f>'CIRCUIT SIM'!FN59</f>
        <v/>
      </c>
      <c r="DO969" s="451" t="n"/>
      <c r="DQ969" s="429" t="n">
        <v>56</v>
      </c>
      <c r="DR969" s="431" t="n">
        <v>56</v>
      </c>
      <c r="DS969" s="688" t="n"/>
      <c r="DT969" s="431" t="inlineStr">
        <is>
          <t>Boolean</t>
        </is>
      </c>
      <c r="DU969" s="451" t="n"/>
      <c r="DV969" s="451">
        <f>'CIRCUIT SIM'!HT59</f>
        <v/>
      </c>
      <c r="DW969" s="451" t="n"/>
      <c r="DY969" s="429" t="n">
        <v>56</v>
      </c>
      <c r="DZ969" s="431" t="n">
        <v>56</v>
      </c>
      <c r="EA969" s="688" t="n"/>
      <c r="EB969" s="431" t="inlineStr">
        <is>
          <t>Boolean</t>
        </is>
      </c>
      <c r="EC969" s="451" t="n"/>
      <c r="ED969" s="335">
        <f>'CIRCUIT SIM'!GO59</f>
        <v/>
      </c>
      <c r="EE969" s="451" t="n"/>
      <c r="EG969" s="429" t="n">
        <v>56</v>
      </c>
      <c r="EH969" s="431" t="n">
        <v>56</v>
      </c>
      <c r="EI969" s="688" t="n"/>
      <c r="EJ969" s="431" t="inlineStr">
        <is>
          <t>Boolean</t>
        </is>
      </c>
      <c r="EK969" s="451" t="n"/>
      <c r="EL969" s="451">
        <f>'CIRCUIT SIM'!HD59</f>
        <v/>
      </c>
      <c r="EM969" s="451" t="n"/>
      <c r="EO969" s="429" t="n">
        <v>56</v>
      </c>
      <c r="EP969" s="431" t="n">
        <v>56</v>
      </c>
      <c r="EQ969" s="688" t="n"/>
      <c r="ER969" s="431" t="inlineStr">
        <is>
          <t>Boolean</t>
        </is>
      </c>
      <c r="ES969" s="451" t="n"/>
      <c r="ET969" s="451">
        <f>'CIRCUIT SIM'!HT59</f>
        <v/>
      </c>
      <c r="EU969" s="451" t="n"/>
      <c r="EW969" s="429" t="n">
        <v>56</v>
      </c>
      <c r="EX969" s="431" t="n">
        <v>56</v>
      </c>
      <c r="EY969" s="688" t="n"/>
      <c r="EZ969" s="431" t="n"/>
      <c r="FA969" s="451" t="n"/>
      <c r="FB969" s="451" t="n"/>
      <c r="FC969" s="451" t="n"/>
      <c r="FE969" s="429" t="n">
        <v>56</v>
      </c>
      <c r="FF969" s="431" t="n">
        <v>56</v>
      </c>
      <c r="FG969" s="688" t="n"/>
      <c r="FH969" s="431" t="n"/>
      <c r="FI969" s="451" t="n"/>
      <c r="FJ969" s="451" t="n"/>
      <c r="FK969" s="451" t="n"/>
      <c r="FM969" s="429" t="n">
        <v>56</v>
      </c>
      <c r="FN969" s="431" t="n">
        <v>56</v>
      </c>
      <c r="FO969" s="688" t="n"/>
      <c r="FP969" s="431" t="n"/>
      <c r="FQ969" s="451" t="n"/>
      <c r="FR969" s="451">
        <f>'CIRCUIT SIM'!KY59</f>
        <v/>
      </c>
      <c r="FS969" s="451" t="n"/>
      <c r="FU969" s="429" t="n">
        <v>56</v>
      </c>
      <c r="FV969" s="431" t="n">
        <v>56</v>
      </c>
      <c r="FW969" s="688" t="n"/>
      <c r="FX969" s="431" t="n"/>
      <c r="FY969" s="451" t="n"/>
      <c r="FZ969" s="562">
        <f>'CIRCUIT SIM'!JG59</f>
        <v/>
      </c>
      <c r="GA969" s="451" t="n"/>
      <c r="GC969" s="429" t="n">
        <v>56</v>
      </c>
      <c r="GD969" s="431" t="n">
        <v>56</v>
      </c>
      <c r="GE969" s="688" t="n"/>
      <c r="GF969" s="431" t="n"/>
      <c r="GG969" s="451" t="inlineStr">
        <is>
          <t> </t>
        </is>
      </c>
      <c r="GH969" s="451" t="n"/>
      <c r="GI969" s="451" t="n"/>
      <c r="GK969" s="429" t="n">
        <v>56</v>
      </c>
      <c r="GL969" s="431" t="n">
        <v>56</v>
      </c>
      <c r="GM969" s="688" t="n"/>
      <c r="GN969" s="431" t="n"/>
      <c r="GO969" s="451" t="n"/>
      <c r="GP969" s="451" t="n"/>
      <c r="GQ969" s="451" t="n"/>
      <c r="GS969" s="429" t="n">
        <v>56</v>
      </c>
      <c r="GT969" s="431" t="n">
        <v>56</v>
      </c>
      <c r="GU969" s="688" t="n"/>
      <c r="GV969" s="431" t="inlineStr">
        <is>
          <t>Boolean</t>
        </is>
      </c>
      <c r="GW969" s="451" t="n"/>
      <c r="GX969" s="451">
        <f>'CIRCUIT SIM'!KY59</f>
        <v/>
      </c>
      <c r="GY969" s="451" t="n"/>
      <c r="HA969" s="429" t="n">
        <v>56</v>
      </c>
      <c r="HB969" s="431" t="n">
        <v>56</v>
      </c>
      <c r="HC969" s="688" t="n"/>
      <c r="HD969" s="431" t="n"/>
      <c r="HE969" s="451" t="n"/>
      <c r="HF969" s="451" t="n"/>
      <c r="HG969" s="451" t="n"/>
    </row>
    <row r="970">
      <c r="A970" s="429" t="n">
        <v>57</v>
      </c>
      <c r="B970" s="431" t="n">
        <v>57</v>
      </c>
      <c r="C970" s="688" t="n"/>
      <c r="D970" s="431" t="inlineStr">
        <is>
          <t>Boolean</t>
        </is>
      </c>
      <c r="E970" s="429" t="n"/>
      <c r="F970" s="422">
        <f>'CIRCUIT SIM'!J60</f>
        <v/>
      </c>
      <c r="G970" s="429" t="n"/>
      <c r="I970" s="429" t="n">
        <v>57</v>
      </c>
      <c r="J970" s="431" t="n">
        <v>57</v>
      </c>
      <c r="K970" s="429" t="n"/>
      <c r="L970" s="431" t="inlineStr">
        <is>
          <t>Boolean</t>
        </is>
      </c>
      <c r="M970" s="451" t="n"/>
      <c r="N970" s="422">
        <f>'CIRCUIT SIM'!Y60</f>
        <v/>
      </c>
      <c r="O970" s="451" t="n"/>
      <c r="Q970" s="429" t="n">
        <v>57</v>
      </c>
      <c r="R970" s="431" t="n">
        <v>57</v>
      </c>
      <c r="S970" s="429" t="n"/>
      <c r="T970" s="431" t="inlineStr">
        <is>
          <t>Boolean</t>
        </is>
      </c>
      <c r="U970" s="429" t="n"/>
      <c r="V970" s="386">
        <f>'CIRCUIT SIM'!AO60</f>
        <v/>
      </c>
      <c r="W970" s="451" t="n"/>
      <c r="Y970" s="429" t="n">
        <v>57</v>
      </c>
      <c r="Z970" s="431" t="n">
        <v>57</v>
      </c>
      <c r="AA970" s="429" t="n"/>
      <c r="AB970" s="431" t="n"/>
      <c r="AC970" s="451" t="n"/>
      <c r="AD970" s="451" t="n"/>
      <c r="AE970" s="451" t="n"/>
      <c r="AG970" s="429" t="n">
        <v>57</v>
      </c>
      <c r="AH970" s="431" t="n">
        <v>57</v>
      </c>
      <c r="AI970" s="429" t="n"/>
      <c r="AJ970" s="431" t="inlineStr">
        <is>
          <t>Boolean</t>
        </is>
      </c>
      <c r="AK970" s="451" t="n"/>
      <c r="AL970" s="450">
        <f>'CIRCUIT SIM'!CR60</f>
        <v/>
      </c>
      <c r="AM970" s="451" t="n"/>
      <c r="AO970" s="429" t="n">
        <v>57</v>
      </c>
      <c r="AP970" s="431" t="n">
        <v>57</v>
      </c>
      <c r="AQ970" s="429" t="n"/>
      <c r="AR970" s="431" t="inlineStr">
        <is>
          <t>Boolean</t>
        </is>
      </c>
      <c r="AS970" s="451" t="n"/>
      <c r="AT970" s="386">
        <f>'CIRCUIT SIM'!BR60</f>
        <v/>
      </c>
      <c r="AU970" s="451" t="n"/>
      <c r="AW970" s="429" t="n">
        <v>57</v>
      </c>
      <c r="AX970" s="431" t="n">
        <v>57</v>
      </c>
      <c r="AY970" s="429" t="n"/>
      <c r="AZ970" s="431" t="inlineStr">
        <is>
          <t>Boolean</t>
        </is>
      </c>
      <c r="BA970" s="451" t="n"/>
      <c r="BB970" s="451">
        <f>'CIRCUIT SIM'!CG60</f>
        <v/>
      </c>
      <c r="BC970" s="451" t="n"/>
      <c r="BE970" s="429" t="n">
        <v>57</v>
      </c>
      <c r="BF970" s="431" t="n"/>
      <c r="BG970" s="429" t="n"/>
      <c r="BH970" s="431" t="n"/>
      <c r="BI970" s="451" t="n"/>
      <c r="BJ970" s="451" t="n"/>
      <c r="BK970" s="451" t="n"/>
      <c r="BM970" s="429" t="n">
        <v>57</v>
      </c>
      <c r="BN970" s="431" t="n">
        <v>57</v>
      </c>
      <c r="BO970" s="429" t="n"/>
      <c r="BP970" s="431" t="inlineStr">
        <is>
          <t>Boolean</t>
        </is>
      </c>
      <c r="BQ970" s="451" t="n"/>
      <c r="BR970" s="451">
        <f>'CIRCUIT SIM'!DT60</f>
        <v/>
      </c>
      <c r="BS970" s="451" t="n"/>
      <c r="BU970" s="429" t="n">
        <v>57</v>
      </c>
      <c r="BV970" s="431" t="n">
        <v>57</v>
      </c>
      <c r="BW970" s="429" t="n"/>
      <c r="BX970" s="431" t="inlineStr">
        <is>
          <t>Boolean</t>
        </is>
      </c>
      <c r="BY970" s="451" t="n"/>
      <c r="BZ970" s="451">
        <f>'CIRCUIT SIM'!EI60</f>
        <v/>
      </c>
      <c r="CA970" s="451" t="n"/>
      <c r="CC970" s="429" t="n">
        <v>57</v>
      </c>
      <c r="CD970" s="431" t="n">
        <v>57</v>
      </c>
      <c r="CE970" s="688" t="n"/>
      <c r="CF970" s="431" t="inlineStr">
        <is>
          <t>Boolean</t>
        </is>
      </c>
      <c r="CG970" s="451" t="n"/>
      <c r="CH970" s="562">
        <f>'CIRCUIT SIM'!LK60</f>
        <v/>
      </c>
      <c r="CI970" s="451" t="n"/>
      <c r="CK970" s="429" t="n">
        <v>57</v>
      </c>
      <c r="CL970" s="431" t="n">
        <v>57</v>
      </c>
      <c r="CM970" s="565" t="n">
        <v>56</v>
      </c>
      <c r="CN970" s="431" t="inlineStr">
        <is>
          <t>Boolean</t>
        </is>
      </c>
      <c r="CO970" s="451" t="n"/>
      <c r="CP970" s="451">
        <f>'CIRCUIT SIM'!MA60</f>
        <v/>
      </c>
      <c r="CQ970" s="451" t="n"/>
      <c r="CS970" s="429" t="n">
        <v>57</v>
      </c>
      <c r="CT970" s="431" t="n">
        <v>57</v>
      </c>
      <c r="CU970" s="688" t="n"/>
      <c r="CV970" s="431" t="inlineStr">
        <is>
          <t>Boolean</t>
        </is>
      </c>
      <c r="CW970" s="451" t="n"/>
      <c r="CX970" s="451">
        <f>'CIRCUIT SIM'!MQ60</f>
        <v/>
      </c>
      <c r="CY970" s="451" t="n"/>
      <c r="DA970" s="429" t="n">
        <v>57</v>
      </c>
      <c r="DB970" s="431" t="n">
        <v>57</v>
      </c>
      <c r="DC970" s="688" t="n"/>
      <c r="DD970" s="431" t="inlineStr">
        <is>
          <t>Boolean</t>
        </is>
      </c>
      <c r="DE970" s="451" t="n"/>
      <c r="DF970" s="451">
        <f>'CIRCUIT SIM'!EX60</f>
        <v/>
      </c>
      <c r="DG970" s="451" t="n"/>
      <c r="DI970" s="429" t="n">
        <v>57</v>
      </c>
      <c r="DJ970" s="431" t="n">
        <v>57</v>
      </c>
      <c r="DK970" s="688" t="n"/>
      <c r="DL970" s="431" t="inlineStr">
        <is>
          <t>Boolean</t>
        </is>
      </c>
      <c r="DM970" s="429" t="n"/>
      <c r="DN970" s="451">
        <f>'CIRCUIT SIM'!FN60</f>
        <v/>
      </c>
      <c r="DO970" s="451" t="n"/>
      <c r="DQ970" s="429" t="n">
        <v>57</v>
      </c>
      <c r="DR970" s="431" t="n">
        <v>57</v>
      </c>
      <c r="DS970" s="688" t="n"/>
      <c r="DT970" s="431" t="inlineStr">
        <is>
          <t>Boolean</t>
        </is>
      </c>
      <c r="DU970" s="451" t="n"/>
      <c r="DV970" s="451">
        <f>'CIRCUIT SIM'!HT60</f>
        <v/>
      </c>
      <c r="DW970" s="451" t="n"/>
      <c r="DY970" s="429" t="n">
        <v>57</v>
      </c>
      <c r="DZ970" s="431" t="n">
        <v>57</v>
      </c>
      <c r="EA970" s="688" t="n"/>
      <c r="EB970" s="431" t="inlineStr">
        <is>
          <t>Boolean</t>
        </is>
      </c>
      <c r="EC970" s="451" t="n"/>
      <c r="ED970" s="335">
        <f>'CIRCUIT SIM'!GO60</f>
        <v/>
      </c>
      <c r="EE970" s="451" t="n"/>
      <c r="EG970" s="429" t="n">
        <v>57</v>
      </c>
      <c r="EH970" s="431" t="n">
        <v>57</v>
      </c>
      <c r="EI970" s="688" t="n"/>
      <c r="EJ970" s="431" t="inlineStr">
        <is>
          <t>Boolean</t>
        </is>
      </c>
      <c r="EK970" s="451" t="n"/>
      <c r="EL970" s="451">
        <f>'CIRCUIT SIM'!HD60</f>
        <v/>
      </c>
      <c r="EM970" s="451" t="n"/>
      <c r="EO970" s="429" t="n">
        <v>57</v>
      </c>
      <c r="EP970" s="431" t="n">
        <v>57</v>
      </c>
      <c r="EQ970" s="688" t="n"/>
      <c r="ER970" s="431" t="inlineStr">
        <is>
          <t>Boolean</t>
        </is>
      </c>
      <c r="ES970" s="451" t="n"/>
      <c r="ET970" s="451">
        <f>'CIRCUIT SIM'!HT60</f>
        <v/>
      </c>
      <c r="EU970" s="451" t="n"/>
      <c r="EW970" s="429" t="n">
        <v>57</v>
      </c>
      <c r="EX970" s="431" t="n">
        <v>57</v>
      </c>
      <c r="EY970" s="688" t="n"/>
      <c r="EZ970" s="431" t="n"/>
      <c r="FA970" s="451" t="n"/>
      <c r="FB970" s="451" t="n"/>
      <c r="FC970" s="451" t="n"/>
      <c r="FE970" s="429" t="n">
        <v>57</v>
      </c>
      <c r="FF970" s="431" t="n">
        <v>57</v>
      </c>
      <c r="FG970" s="688" t="n"/>
      <c r="FH970" s="431" t="n"/>
      <c r="FI970" s="451" t="n"/>
      <c r="FJ970" s="451" t="n"/>
      <c r="FK970" s="451" t="n"/>
      <c r="FM970" s="429" t="n">
        <v>57</v>
      </c>
      <c r="FN970" s="431" t="n">
        <v>57</v>
      </c>
      <c r="FO970" s="688" t="n"/>
      <c r="FP970" s="431" t="n"/>
      <c r="FQ970" s="451" t="n"/>
      <c r="FR970" s="451">
        <f>'CIRCUIT SIM'!KY60</f>
        <v/>
      </c>
      <c r="FS970" s="451" t="n"/>
      <c r="FU970" s="429" t="n">
        <v>57</v>
      </c>
      <c r="FV970" s="431" t="n">
        <v>57</v>
      </c>
      <c r="FW970" s="688" t="n"/>
      <c r="FX970" s="431" t="n"/>
      <c r="FY970" s="451" t="n"/>
      <c r="FZ970" s="562">
        <f>'CIRCUIT SIM'!JG60</f>
        <v/>
      </c>
      <c r="GA970" s="451" t="n"/>
      <c r="GC970" s="429" t="n">
        <v>57</v>
      </c>
      <c r="GD970" s="431" t="n">
        <v>57</v>
      </c>
      <c r="GE970" s="688" t="n"/>
      <c r="GF970" s="431" t="n"/>
      <c r="GG970" s="451" t="n"/>
      <c r="GH970" s="451" t="n"/>
      <c r="GI970" s="451" t="n"/>
      <c r="GK970" s="429" t="n">
        <v>57</v>
      </c>
      <c r="GL970" s="431" t="n">
        <v>57</v>
      </c>
      <c r="GM970" s="688" t="n"/>
      <c r="GN970" s="431" t="n"/>
      <c r="GO970" s="451" t="n"/>
      <c r="GP970" s="451" t="n"/>
      <c r="GQ970" s="451" t="n"/>
      <c r="GS970" s="429" t="n">
        <v>57</v>
      </c>
      <c r="GT970" s="431" t="n">
        <v>57</v>
      </c>
      <c r="GU970" s="688" t="n"/>
      <c r="GV970" s="431" t="n"/>
      <c r="GW970" s="451" t="n"/>
      <c r="GX970" s="451">
        <f>'CIRCUIT SIM'!KY60</f>
        <v/>
      </c>
      <c r="GY970" s="451" t="n"/>
      <c r="HA970" s="429" t="n">
        <v>57</v>
      </c>
      <c r="HB970" s="431" t="n">
        <v>57</v>
      </c>
      <c r="HC970" s="688" t="n"/>
      <c r="HD970" s="431" t="n"/>
      <c r="HE970" s="451" t="n"/>
      <c r="HF970" s="451" t="n"/>
      <c r="HG970" s="451" t="n"/>
    </row>
    <row r="971">
      <c r="A971" s="429" t="n">
        <v>58</v>
      </c>
      <c r="B971" s="431" t="n">
        <v>58</v>
      </c>
      <c r="C971" s="688" t="n"/>
      <c r="D971" s="431" t="inlineStr">
        <is>
          <t>Boolean</t>
        </is>
      </c>
      <c r="E971" s="429" t="n"/>
      <c r="F971" s="422">
        <f>'CIRCUIT SIM'!J61</f>
        <v/>
      </c>
      <c r="G971" s="429" t="n"/>
      <c r="I971" s="429" t="n">
        <v>58</v>
      </c>
      <c r="J971" s="431" t="n">
        <v>58</v>
      </c>
      <c r="K971" s="429" t="n"/>
      <c r="L971" s="431" t="inlineStr">
        <is>
          <t>Boolean</t>
        </is>
      </c>
      <c r="M971" s="451" t="n"/>
      <c r="N971" s="422">
        <f>'CIRCUIT SIM'!Y61</f>
        <v/>
      </c>
      <c r="O971" s="451" t="n"/>
      <c r="Q971" s="429" t="n">
        <v>58</v>
      </c>
      <c r="R971" s="431" t="n">
        <v>58</v>
      </c>
      <c r="S971" s="429" t="n"/>
      <c r="T971" s="431" t="inlineStr">
        <is>
          <t>Boolean</t>
        </is>
      </c>
      <c r="U971" s="429" t="n"/>
      <c r="V971" s="386">
        <f>'CIRCUIT SIM'!AO61</f>
        <v/>
      </c>
      <c r="W971" s="451" t="n"/>
      <c r="Y971" s="429" t="n">
        <v>58</v>
      </c>
      <c r="Z971" s="431" t="n">
        <v>58</v>
      </c>
      <c r="AA971" s="429" t="n"/>
      <c r="AB971" s="431" t="n"/>
      <c r="AC971" s="451" t="n"/>
      <c r="AD971" s="451" t="n"/>
      <c r="AE971" s="451" t="n"/>
      <c r="AG971" s="429" t="n">
        <v>58</v>
      </c>
      <c r="AH971" s="431" t="n">
        <v>58</v>
      </c>
      <c r="AI971" s="429" t="n"/>
      <c r="AJ971" s="431" t="inlineStr">
        <is>
          <t>Boolean</t>
        </is>
      </c>
      <c r="AK971" s="451" t="n"/>
      <c r="AL971" s="450">
        <f>'CIRCUIT SIM'!CR61</f>
        <v/>
      </c>
      <c r="AM971" s="451" t="n"/>
      <c r="AO971" s="429" t="n">
        <v>58</v>
      </c>
      <c r="AP971" s="431" t="n">
        <v>58</v>
      </c>
      <c r="AQ971" s="429" t="n"/>
      <c r="AR971" s="431" t="inlineStr">
        <is>
          <t>Boolean</t>
        </is>
      </c>
      <c r="AS971" s="451" t="n"/>
      <c r="AT971" s="386">
        <f>'CIRCUIT SIM'!BR61</f>
        <v/>
      </c>
      <c r="AU971" s="451" t="n"/>
      <c r="AW971" s="429" t="n">
        <v>58</v>
      </c>
      <c r="AX971" s="431" t="n">
        <v>58</v>
      </c>
      <c r="AY971" s="429" t="n"/>
      <c r="AZ971" s="431" t="inlineStr">
        <is>
          <t>Boolean</t>
        </is>
      </c>
      <c r="BA971" s="451" t="n"/>
      <c r="BB971" s="451">
        <f>'CIRCUIT SIM'!CG61</f>
        <v/>
      </c>
      <c r="BC971" s="451" t="n"/>
      <c r="BE971" s="429" t="n">
        <v>58</v>
      </c>
      <c r="BF971" s="431" t="n"/>
      <c r="BG971" s="429" t="n"/>
      <c r="BH971" s="431" t="n"/>
      <c r="BI971" s="451" t="n"/>
      <c r="BJ971" s="451" t="n"/>
      <c r="BK971" s="451" t="n"/>
      <c r="BM971" s="429" t="n">
        <v>58</v>
      </c>
      <c r="BN971" s="431" t="n">
        <v>58</v>
      </c>
      <c r="BO971" s="429" t="n"/>
      <c r="BP971" s="431" t="inlineStr">
        <is>
          <t>Boolean</t>
        </is>
      </c>
      <c r="BQ971" s="451" t="n"/>
      <c r="BR971" s="451">
        <f>'CIRCUIT SIM'!DT61</f>
        <v/>
      </c>
      <c r="BS971" s="451" t="n"/>
      <c r="BU971" s="429" t="n">
        <v>58</v>
      </c>
      <c r="BV971" s="431" t="n">
        <v>58</v>
      </c>
      <c r="BW971" s="429" t="n"/>
      <c r="BX971" s="431" t="inlineStr">
        <is>
          <t>Boolean</t>
        </is>
      </c>
      <c r="BY971" s="451" t="n"/>
      <c r="BZ971" s="451">
        <f>'CIRCUIT SIM'!EI61</f>
        <v/>
      </c>
      <c r="CA971" s="451" t="n"/>
      <c r="CC971" s="429" t="n">
        <v>58</v>
      </c>
      <c r="CD971" s="431" t="n">
        <v>58</v>
      </c>
      <c r="CE971" s="688" t="n"/>
      <c r="CF971" s="431" t="inlineStr">
        <is>
          <t>Boolean</t>
        </is>
      </c>
      <c r="CG971" s="451" t="n"/>
      <c r="CH971" s="562">
        <f>'CIRCUIT SIM'!LK61</f>
        <v/>
      </c>
      <c r="CI971" s="451" t="n"/>
      <c r="CK971" s="429" t="n">
        <v>58</v>
      </c>
      <c r="CL971" s="431" t="n">
        <v>58</v>
      </c>
      <c r="CM971" s="565" t="n">
        <v>57</v>
      </c>
      <c r="CN971" s="431" t="inlineStr">
        <is>
          <t>Boolean</t>
        </is>
      </c>
      <c r="CO971" s="451" t="n"/>
      <c r="CP971" s="451">
        <f>'CIRCUIT SIM'!MA61</f>
        <v/>
      </c>
      <c r="CQ971" s="451" t="n"/>
      <c r="CS971" s="429" t="n">
        <v>58</v>
      </c>
      <c r="CT971" s="431" t="n">
        <v>58</v>
      </c>
      <c r="CU971" s="688" t="n"/>
      <c r="CV971" s="431" t="inlineStr">
        <is>
          <t>Boolean</t>
        </is>
      </c>
      <c r="CW971" s="451" t="n"/>
      <c r="CX971" s="451">
        <f>'CIRCUIT SIM'!MQ61</f>
        <v/>
      </c>
      <c r="CY971" s="451" t="n"/>
      <c r="DA971" s="429" t="n">
        <v>58</v>
      </c>
      <c r="DB971" s="431" t="n">
        <v>58</v>
      </c>
      <c r="DC971" s="688" t="n"/>
      <c r="DD971" s="431" t="inlineStr">
        <is>
          <t>Boolean</t>
        </is>
      </c>
      <c r="DE971" s="451" t="n"/>
      <c r="DF971" s="451">
        <f>'CIRCUIT SIM'!EX61</f>
        <v/>
      </c>
      <c r="DG971" s="451" t="n"/>
      <c r="DI971" s="429" t="n">
        <v>58</v>
      </c>
      <c r="DJ971" s="431" t="n">
        <v>58</v>
      </c>
      <c r="DK971" s="688" t="n"/>
      <c r="DL971" s="431" t="inlineStr">
        <is>
          <t>Boolean</t>
        </is>
      </c>
      <c r="DM971" s="429" t="n"/>
      <c r="DN971" s="451">
        <f>'CIRCUIT SIM'!FN61</f>
        <v/>
      </c>
      <c r="DO971" s="451" t="n"/>
      <c r="DQ971" s="429" t="n">
        <v>58</v>
      </c>
      <c r="DR971" s="431" t="n">
        <v>58</v>
      </c>
      <c r="DS971" s="688" t="n"/>
      <c r="DT971" s="431" t="inlineStr">
        <is>
          <t>Boolean</t>
        </is>
      </c>
      <c r="DU971" s="451" t="n"/>
      <c r="DV971" s="451">
        <f>'CIRCUIT SIM'!HT61</f>
        <v/>
      </c>
      <c r="DW971" s="451" t="n"/>
      <c r="DY971" s="429" t="n">
        <v>58</v>
      </c>
      <c r="DZ971" s="431" t="n">
        <v>58</v>
      </c>
      <c r="EA971" s="688" t="n"/>
      <c r="EB971" s="431" t="inlineStr">
        <is>
          <t>Boolean</t>
        </is>
      </c>
      <c r="EC971" s="451" t="n"/>
      <c r="ED971" s="335">
        <f>'CIRCUIT SIM'!GO61</f>
        <v/>
      </c>
      <c r="EE971" s="451" t="n"/>
      <c r="EG971" s="429" t="n">
        <v>58</v>
      </c>
      <c r="EH971" s="431" t="n">
        <v>58</v>
      </c>
      <c r="EI971" s="688" t="n"/>
      <c r="EJ971" s="431" t="inlineStr">
        <is>
          <t>Boolean</t>
        </is>
      </c>
      <c r="EK971" s="451" t="n"/>
      <c r="EL971" s="451">
        <f>'CIRCUIT SIM'!HD61</f>
        <v/>
      </c>
      <c r="EM971" s="451" t="n"/>
      <c r="EO971" s="429" t="n">
        <v>58</v>
      </c>
      <c r="EP971" s="431" t="n">
        <v>58</v>
      </c>
      <c r="EQ971" s="688" t="n"/>
      <c r="ER971" s="431" t="inlineStr">
        <is>
          <t>Boolean</t>
        </is>
      </c>
      <c r="ES971" s="451" t="n"/>
      <c r="ET971" s="451">
        <f>'CIRCUIT SIM'!HT61</f>
        <v/>
      </c>
      <c r="EU971" s="451" t="n"/>
      <c r="EW971" s="429" t="n">
        <v>58</v>
      </c>
      <c r="EX971" s="431" t="n">
        <v>58</v>
      </c>
      <c r="EY971" s="688" t="n"/>
      <c r="EZ971" s="431" t="n"/>
      <c r="FA971" s="451" t="n"/>
      <c r="FB971" s="451" t="n"/>
      <c r="FC971" s="451" t="n"/>
      <c r="FE971" s="429" t="n">
        <v>58</v>
      </c>
      <c r="FF971" s="431" t="n">
        <v>58</v>
      </c>
      <c r="FG971" s="688" t="n"/>
      <c r="FH971" s="431" t="n"/>
      <c r="FI971" s="451" t="n"/>
      <c r="FJ971" s="451" t="n"/>
      <c r="FK971" s="451" t="n"/>
      <c r="FM971" s="429" t="n">
        <v>58</v>
      </c>
      <c r="FN971" s="431" t="n">
        <v>58</v>
      </c>
      <c r="FO971" s="688" t="n"/>
      <c r="FP971" s="431" t="n"/>
      <c r="FQ971" s="451" t="n"/>
      <c r="FR971" s="451">
        <f>'CIRCUIT SIM'!KY61</f>
        <v/>
      </c>
      <c r="FS971" s="451" t="n"/>
      <c r="FU971" s="429" t="n">
        <v>58</v>
      </c>
      <c r="FV971" s="431" t="n">
        <v>58</v>
      </c>
      <c r="FW971" s="688" t="n"/>
      <c r="FX971" s="431" t="n"/>
      <c r="FY971" s="451" t="n"/>
      <c r="FZ971" s="562">
        <f>'CIRCUIT SIM'!JG61</f>
        <v/>
      </c>
      <c r="GA971" s="451" t="n"/>
      <c r="GC971" s="429" t="n">
        <v>58</v>
      </c>
      <c r="GD971" s="431" t="n">
        <v>58</v>
      </c>
      <c r="GE971" s="688" t="n"/>
      <c r="GF971" s="431" t="n"/>
      <c r="GG971" s="451" t="n"/>
      <c r="GH971" s="451" t="n"/>
      <c r="GI971" s="451" t="n"/>
      <c r="GK971" s="429" t="n">
        <v>58</v>
      </c>
      <c r="GL971" s="431" t="n">
        <v>58</v>
      </c>
      <c r="GM971" s="688" t="n"/>
      <c r="GN971" s="431" t="n"/>
      <c r="GO971" s="451" t="n"/>
      <c r="GP971" s="451" t="n"/>
      <c r="GQ971" s="451" t="n"/>
      <c r="GS971" s="429" t="n">
        <v>58</v>
      </c>
      <c r="GT971" s="431" t="n">
        <v>58</v>
      </c>
      <c r="GU971" s="688" t="n"/>
      <c r="GV971" s="431" t="n"/>
      <c r="GW971" s="451" t="n"/>
      <c r="GX971" s="451">
        <f>'CIRCUIT SIM'!KY61</f>
        <v/>
      </c>
      <c r="GY971" s="451" t="n"/>
      <c r="HA971" s="429" t="n">
        <v>58</v>
      </c>
      <c r="HB971" s="431" t="n">
        <v>58</v>
      </c>
      <c r="HC971" s="688" t="n"/>
      <c r="HD971" s="431" t="n"/>
      <c r="HE971" s="451" t="n"/>
      <c r="HF971" s="451" t="n"/>
      <c r="HG971" s="451" t="n"/>
    </row>
    <row r="972">
      <c r="A972" s="429" t="n">
        <v>59</v>
      </c>
      <c r="B972" s="431" t="n">
        <v>59</v>
      </c>
      <c r="C972" s="688" t="n"/>
      <c r="D972" s="431" t="inlineStr">
        <is>
          <t>Boolean</t>
        </is>
      </c>
      <c r="E972" s="429" t="n"/>
      <c r="F972" s="422">
        <f>'CIRCUIT SIM'!J62</f>
        <v/>
      </c>
      <c r="G972" s="429" t="n"/>
      <c r="I972" s="429" t="n">
        <v>59</v>
      </c>
      <c r="J972" s="431" t="n">
        <v>59</v>
      </c>
      <c r="K972" s="429" t="n"/>
      <c r="L972" s="431" t="inlineStr">
        <is>
          <t>Boolean</t>
        </is>
      </c>
      <c r="M972" s="451" t="n"/>
      <c r="N972" s="422">
        <f>'CIRCUIT SIM'!Y62</f>
        <v/>
      </c>
      <c r="O972" s="451" t="n"/>
      <c r="Q972" s="429" t="n">
        <v>59</v>
      </c>
      <c r="R972" s="431" t="n">
        <v>59</v>
      </c>
      <c r="S972" s="429" t="n"/>
      <c r="T972" s="431" t="inlineStr">
        <is>
          <t>Boolean</t>
        </is>
      </c>
      <c r="U972" s="429" t="n"/>
      <c r="V972" s="386">
        <f>'CIRCUIT SIM'!AO62</f>
        <v/>
      </c>
      <c r="W972" s="451" t="n"/>
      <c r="Y972" s="429" t="n">
        <v>59</v>
      </c>
      <c r="Z972" s="431" t="n">
        <v>59</v>
      </c>
      <c r="AA972" s="429" t="n"/>
      <c r="AB972" s="431" t="n"/>
      <c r="AC972" s="451" t="n"/>
      <c r="AD972" s="451" t="n"/>
      <c r="AE972" s="451" t="n"/>
      <c r="AG972" s="429" t="n">
        <v>59</v>
      </c>
      <c r="AH972" s="431" t="n">
        <v>59</v>
      </c>
      <c r="AI972" s="429" t="n"/>
      <c r="AJ972" s="431" t="inlineStr">
        <is>
          <t>Boolean</t>
        </is>
      </c>
      <c r="AK972" s="451" t="n"/>
      <c r="AL972" s="450">
        <f>'CIRCUIT SIM'!CR62</f>
        <v/>
      </c>
      <c r="AM972" s="451" t="n"/>
      <c r="AO972" s="429" t="n">
        <v>59</v>
      </c>
      <c r="AP972" s="431" t="n">
        <v>59</v>
      </c>
      <c r="AQ972" s="429" t="n"/>
      <c r="AR972" s="431" t="inlineStr">
        <is>
          <t>Boolean</t>
        </is>
      </c>
      <c r="AS972" s="451" t="n"/>
      <c r="AT972" s="386">
        <f>'CIRCUIT SIM'!BR62</f>
        <v/>
      </c>
      <c r="AU972" s="451" t="n"/>
      <c r="AW972" s="429" t="n">
        <v>59</v>
      </c>
      <c r="AX972" s="431" t="n">
        <v>59</v>
      </c>
      <c r="AY972" s="429" t="n"/>
      <c r="AZ972" s="431" t="inlineStr">
        <is>
          <t>Boolean</t>
        </is>
      </c>
      <c r="BA972" s="451" t="n"/>
      <c r="BB972" s="451">
        <f>'CIRCUIT SIM'!CG62</f>
        <v/>
      </c>
      <c r="BC972" s="451" t="n"/>
      <c r="BE972" s="429" t="n">
        <v>59</v>
      </c>
      <c r="BF972" s="431" t="n"/>
      <c r="BG972" s="429" t="n"/>
      <c r="BH972" s="431" t="n"/>
      <c r="BI972" s="451" t="n"/>
      <c r="BJ972" s="451" t="n"/>
      <c r="BK972" s="451" t="n"/>
      <c r="BM972" s="429" t="n">
        <v>59</v>
      </c>
      <c r="BN972" s="431" t="n">
        <v>59</v>
      </c>
      <c r="BO972" s="429" t="n"/>
      <c r="BP972" s="431" t="inlineStr">
        <is>
          <t>Boolean</t>
        </is>
      </c>
      <c r="BQ972" s="451" t="n"/>
      <c r="BR972" s="451">
        <f>'CIRCUIT SIM'!DT62</f>
        <v/>
      </c>
      <c r="BS972" s="451" t="n"/>
      <c r="BU972" s="429" t="n">
        <v>59</v>
      </c>
      <c r="BV972" s="431" t="n">
        <v>59</v>
      </c>
      <c r="BW972" s="429" t="n"/>
      <c r="BX972" s="431" t="n"/>
      <c r="BY972" s="451" t="n"/>
      <c r="BZ972" s="451">
        <f>'CIRCUIT SIM'!EI62</f>
        <v/>
      </c>
      <c r="CA972" s="451" t="n"/>
      <c r="CC972" s="429" t="n">
        <v>59</v>
      </c>
      <c r="CD972" s="431" t="n">
        <v>59</v>
      </c>
      <c r="CE972" s="688" t="n"/>
      <c r="CF972" s="431" t="inlineStr">
        <is>
          <t>Boolean</t>
        </is>
      </c>
      <c r="CG972" s="451" t="n"/>
      <c r="CH972" s="562">
        <f>'CIRCUIT SIM'!LK62</f>
        <v/>
      </c>
      <c r="CI972" s="451" t="n"/>
      <c r="CK972" s="429" t="n">
        <v>59</v>
      </c>
      <c r="CL972" s="431" t="n">
        <v>59</v>
      </c>
      <c r="CM972" s="565" t="n">
        <v>58</v>
      </c>
      <c r="CN972" s="431" t="inlineStr">
        <is>
          <t>Boolean</t>
        </is>
      </c>
      <c r="CO972" s="451" t="n"/>
      <c r="CP972" s="451">
        <f>'CIRCUIT SIM'!MA62</f>
        <v/>
      </c>
      <c r="CQ972" s="451" t="n"/>
      <c r="CS972" s="429" t="n">
        <v>59</v>
      </c>
      <c r="CT972" s="431" t="n">
        <v>59</v>
      </c>
      <c r="CU972" s="688" t="n"/>
      <c r="CV972" s="431" t="inlineStr">
        <is>
          <t>Boolean</t>
        </is>
      </c>
      <c r="CW972" s="451" t="n"/>
      <c r="CX972" s="451">
        <f>'CIRCUIT SIM'!MQ62</f>
        <v/>
      </c>
      <c r="CY972" s="451" t="n"/>
      <c r="DA972" s="429" t="n">
        <v>59</v>
      </c>
      <c r="DB972" s="431" t="n">
        <v>59</v>
      </c>
      <c r="DC972" s="688" t="n"/>
      <c r="DD972" s="431" t="inlineStr">
        <is>
          <t>Boolean</t>
        </is>
      </c>
      <c r="DE972" s="451" t="n"/>
      <c r="DF972" s="451">
        <f>'CIRCUIT SIM'!EX62</f>
        <v/>
      </c>
      <c r="DG972" s="451" t="n"/>
      <c r="DI972" s="429" t="n">
        <v>59</v>
      </c>
      <c r="DJ972" s="431" t="n">
        <v>59</v>
      </c>
      <c r="DK972" s="688" t="n"/>
      <c r="DL972" s="431" t="inlineStr">
        <is>
          <t>Boolean</t>
        </is>
      </c>
      <c r="DM972" s="429" t="n"/>
      <c r="DN972" s="451">
        <f>'CIRCUIT SIM'!FN62</f>
        <v/>
      </c>
      <c r="DO972" s="451" t="n"/>
      <c r="DQ972" s="429" t="n">
        <v>59</v>
      </c>
      <c r="DR972" s="431" t="n">
        <v>59</v>
      </c>
      <c r="DS972" s="688" t="n"/>
      <c r="DT972" s="431" t="inlineStr">
        <is>
          <t>Boolean</t>
        </is>
      </c>
      <c r="DU972" s="451" t="n"/>
      <c r="DV972" s="451">
        <f>'CIRCUIT SIM'!HT62</f>
        <v/>
      </c>
      <c r="DW972" s="451" t="n"/>
      <c r="DY972" s="429" t="n">
        <v>59</v>
      </c>
      <c r="DZ972" s="431" t="n">
        <v>59</v>
      </c>
      <c r="EA972" s="688" t="n"/>
      <c r="EB972" s="431" t="inlineStr">
        <is>
          <t>Boolean</t>
        </is>
      </c>
      <c r="EC972" s="451" t="n"/>
      <c r="ED972" s="335">
        <f>'CIRCUIT SIM'!GO62</f>
        <v/>
      </c>
      <c r="EE972" s="451" t="n"/>
      <c r="EG972" s="429" t="n">
        <v>59</v>
      </c>
      <c r="EH972" s="431" t="n">
        <v>59</v>
      </c>
      <c r="EI972" s="688" t="n"/>
      <c r="EJ972" s="431" t="inlineStr">
        <is>
          <t>Boolean</t>
        </is>
      </c>
      <c r="EK972" s="451" t="n"/>
      <c r="EL972" s="451">
        <f>'CIRCUIT SIM'!HD62</f>
        <v/>
      </c>
      <c r="EM972" s="451" t="n"/>
      <c r="EO972" s="429" t="n">
        <v>59</v>
      </c>
      <c r="EP972" s="431" t="n">
        <v>59</v>
      </c>
      <c r="EQ972" s="688" t="n"/>
      <c r="ER972" s="431" t="inlineStr">
        <is>
          <t>Boolean</t>
        </is>
      </c>
      <c r="ES972" s="451" t="n"/>
      <c r="ET972" s="451">
        <f>'CIRCUIT SIM'!HT62</f>
        <v/>
      </c>
      <c r="EU972" s="451" t="n"/>
      <c r="EW972" s="429" t="n">
        <v>59</v>
      </c>
      <c r="EX972" s="431" t="n">
        <v>59</v>
      </c>
      <c r="EY972" s="688" t="n"/>
      <c r="EZ972" s="431" t="n"/>
      <c r="FA972" s="451" t="n"/>
      <c r="FB972" s="451" t="n"/>
      <c r="FC972" s="451" t="n"/>
      <c r="FE972" s="429" t="n">
        <v>59</v>
      </c>
      <c r="FF972" s="431" t="n">
        <v>59</v>
      </c>
      <c r="FG972" s="688" t="n"/>
      <c r="FH972" s="431" t="n"/>
      <c r="FI972" s="451" t="n"/>
      <c r="FJ972" s="451" t="n"/>
      <c r="FK972" s="451" t="n"/>
      <c r="FM972" s="429" t="n">
        <v>59</v>
      </c>
      <c r="FN972" s="431" t="n">
        <v>59</v>
      </c>
      <c r="FO972" s="688" t="n"/>
      <c r="FP972" s="431" t="n"/>
      <c r="FQ972" s="451" t="n"/>
      <c r="FR972" s="451">
        <f>'CIRCUIT SIM'!KY62</f>
        <v/>
      </c>
      <c r="FS972" s="451" t="n"/>
      <c r="FU972" s="429" t="n">
        <v>59</v>
      </c>
      <c r="FV972" s="431" t="n">
        <v>59</v>
      </c>
      <c r="FW972" s="688" t="n"/>
      <c r="FX972" s="431" t="n"/>
      <c r="FY972" s="451" t="n"/>
      <c r="FZ972" s="562">
        <f>'CIRCUIT SIM'!JG62</f>
        <v/>
      </c>
      <c r="GA972" s="451" t="n"/>
      <c r="GC972" s="429" t="n">
        <v>59</v>
      </c>
      <c r="GD972" s="431" t="n">
        <v>59</v>
      </c>
      <c r="GE972" s="688" t="n"/>
      <c r="GF972" s="431" t="n"/>
      <c r="GG972" s="451" t="n"/>
      <c r="GH972" s="451" t="n"/>
      <c r="GI972" s="451" t="n"/>
      <c r="GK972" s="429" t="n">
        <v>59</v>
      </c>
      <c r="GL972" s="431" t="n">
        <v>59</v>
      </c>
      <c r="GM972" s="688" t="n"/>
      <c r="GN972" s="431" t="n"/>
      <c r="GO972" s="451" t="n"/>
      <c r="GP972" s="451" t="n"/>
      <c r="GQ972" s="451" t="n"/>
      <c r="GS972" s="429" t="n">
        <v>59</v>
      </c>
      <c r="GT972" s="431" t="n">
        <v>59</v>
      </c>
      <c r="GU972" s="688" t="n"/>
      <c r="GV972" s="431" t="n"/>
      <c r="GW972" s="451" t="n"/>
      <c r="GX972" s="451">
        <f>'CIRCUIT SIM'!KY62</f>
        <v/>
      </c>
      <c r="GY972" s="451" t="n"/>
      <c r="HA972" s="429" t="n">
        <v>59</v>
      </c>
      <c r="HB972" s="431" t="n">
        <v>59</v>
      </c>
      <c r="HC972" s="688" t="n"/>
      <c r="HD972" s="431" t="n"/>
      <c r="HE972" s="451" t="n"/>
      <c r="HF972" s="451" t="n"/>
      <c r="HG972" s="451" t="n"/>
    </row>
    <row r="973">
      <c r="A973" s="429" t="n">
        <v>60</v>
      </c>
      <c r="B973" s="431" t="n">
        <v>60</v>
      </c>
      <c r="C973" s="688" t="n"/>
      <c r="D973" s="431" t="inlineStr">
        <is>
          <t>Boolean</t>
        </is>
      </c>
      <c r="E973" s="429" t="n"/>
      <c r="F973" s="422">
        <f>'CIRCUIT SIM'!J63</f>
        <v/>
      </c>
      <c r="G973" s="429" t="n"/>
      <c r="I973" s="429" t="n">
        <v>60</v>
      </c>
      <c r="J973" s="431" t="n">
        <v>60</v>
      </c>
      <c r="K973" s="429" t="n"/>
      <c r="L973" s="431" t="inlineStr">
        <is>
          <t>Boolean</t>
        </is>
      </c>
      <c r="M973" s="451" t="n"/>
      <c r="N973" s="422">
        <f>'CIRCUIT SIM'!Y63</f>
        <v/>
      </c>
      <c r="O973" s="451" t="n"/>
      <c r="Q973" s="429" t="n">
        <v>60</v>
      </c>
      <c r="R973" s="431" t="n">
        <v>60</v>
      </c>
      <c r="S973" s="429" t="n"/>
      <c r="T973" s="431" t="inlineStr">
        <is>
          <t>Boolean</t>
        </is>
      </c>
      <c r="U973" s="429" t="n"/>
      <c r="V973" s="386">
        <f>'CIRCUIT SIM'!AO63</f>
        <v/>
      </c>
      <c r="W973" s="451" t="n"/>
      <c r="Y973" s="429" t="n">
        <v>60</v>
      </c>
      <c r="Z973" s="431" t="n">
        <v>60</v>
      </c>
      <c r="AA973" s="429" t="n"/>
      <c r="AB973" s="431" t="n"/>
      <c r="AC973" s="451" t="n"/>
      <c r="AD973" s="451" t="n"/>
      <c r="AE973" s="451" t="n"/>
      <c r="AG973" s="429" t="n">
        <v>60</v>
      </c>
      <c r="AH973" s="431" t="n">
        <v>60</v>
      </c>
      <c r="AI973" s="429" t="n"/>
      <c r="AJ973" s="431" t="inlineStr">
        <is>
          <t>Boolean</t>
        </is>
      </c>
      <c r="AK973" s="451" t="n"/>
      <c r="AL973" s="450">
        <f>'CIRCUIT SIM'!CR63</f>
        <v/>
      </c>
      <c r="AM973" s="451" t="n"/>
      <c r="AO973" s="429" t="n">
        <v>60</v>
      </c>
      <c r="AP973" s="431" t="n">
        <v>60</v>
      </c>
      <c r="AQ973" s="429" t="n"/>
      <c r="AR973" s="431" t="inlineStr">
        <is>
          <t>Boolean</t>
        </is>
      </c>
      <c r="AS973" s="451" t="n"/>
      <c r="AT973" s="386">
        <f>'CIRCUIT SIM'!BR63</f>
        <v/>
      </c>
      <c r="AU973" s="451" t="n"/>
      <c r="AW973" s="429" t="n">
        <v>60</v>
      </c>
      <c r="AX973" s="431" t="n">
        <v>60</v>
      </c>
      <c r="AY973" s="429" t="n"/>
      <c r="AZ973" s="431" t="inlineStr">
        <is>
          <t>Boolean</t>
        </is>
      </c>
      <c r="BA973" s="451" t="n"/>
      <c r="BB973" s="451">
        <f>'CIRCUIT SIM'!CG63</f>
        <v/>
      </c>
      <c r="BC973" s="451" t="n"/>
      <c r="BE973" s="429" t="n">
        <v>60</v>
      </c>
      <c r="BF973" s="431" t="n"/>
      <c r="BG973" s="429" t="n"/>
      <c r="BH973" s="431" t="n"/>
      <c r="BI973" s="451" t="n"/>
      <c r="BJ973" s="451" t="n"/>
      <c r="BK973" s="451" t="n"/>
      <c r="BM973" s="429" t="n">
        <v>60</v>
      </c>
      <c r="BN973" s="431" t="n">
        <v>60</v>
      </c>
      <c r="BO973" s="429" t="n"/>
      <c r="BP973" s="431" t="inlineStr">
        <is>
          <t>Boolean</t>
        </is>
      </c>
      <c r="BQ973" s="451" t="n"/>
      <c r="BR973" s="451">
        <f>'CIRCUIT SIM'!DT63</f>
        <v/>
      </c>
      <c r="BS973" s="451" t="n"/>
      <c r="BU973" s="429" t="n">
        <v>60</v>
      </c>
      <c r="BV973" s="431" t="n">
        <v>60</v>
      </c>
      <c r="BW973" s="429" t="n"/>
      <c r="BX973" s="431" t="n"/>
      <c r="BY973" s="451" t="n"/>
      <c r="BZ973" s="451">
        <f>'CIRCUIT SIM'!EI63</f>
        <v/>
      </c>
      <c r="CA973" s="451" t="n"/>
      <c r="CC973" s="429" t="n">
        <v>60</v>
      </c>
      <c r="CD973" s="431" t="n">
        <v>60</v>
      </c>
      <c r="CE973" s="688" t="n"/>
      <c r="CF973" s="431" t="inlineStr">
        <is>
          <t>Boolean</t>
        </is>
      </c>
      <c r="CG973" s="451" t="n"/>
      <c r="CH973" s="562">
        <f>'CIRCUIT SIM'!LK63</f>
        <v/>
      </c>
      <c r="CI973" s="451" t="n"/>
      <c r="CK973" s="429" t="n">
        <v>60</v>
      </c>
      <c r="CL973" s="431" t="n">
        <v>60</v>
      </c>
      <c r="CM973" s="565" t="n">
        <v>59</v>
      </c>
      <c r="CN973" s="431" t="inlineStr">
        <is>
          <t>Boolean</t>
        </is>
      </c>
      <c r="CO973" s="451" t="n"/>
      <c r="CP973" s="451">
        <f>'CIRCUIT SIM'!MA63</f>
        <v/>
      </c>
      <c r="CQ973" s="451" t="n"/>
      <c r="CS973" s="429" t="n">
        <v>60</v>
      </c>
      <c r="CT973" s="431" t="n">
        <v>60</v>
      </c>
      <c r="CU973" s="688" t="n"/>
      <c r="CV973" s="431" t="inlineStr">
        <is>
          <t>Boolean</t>
        </is>
      </c>
      <c r="CW973" s="451" t="n"/>
      <c r="CX973" s="451">
        <f>'CIRCUIT SIM'!MQ63</f>
        <v/>
      </c>
      <c r="CY973" s="451" t="n"/>
      <c r="DA973" s="429" t="n">
        <v>60</v>
      </c>
      <c r="DB973" s="431" t="n">
        <v>60</v>
      </c>
      <c r="DC973" s="688" t="n"/>
      <c r="DD973" s="431" t="inlineStr">
        <is>
          <t>Boolean</t>
        </is>
      </c>
      <c r="DE973" s="451" t="n"/>
      <c r="DF973" s="451">
        <f>'CIRCUIT SIM'!EX63</f>
        <v/>
      </c>
      <c r="DG973" s="451" t="n"/>
      <c r="DI973" s="429" t="n">
        <v>60</v>
      </c>
      <c r="DJ973" s="431" t="n">
        <v>60</v>
      </c>
      <c r="DK973" s="688" t="n"/>
      <c r="DL973" s="431" t="inlineStr">
        <is>
          <t>Boolean</t>
        </is>
      </c>
      <c r="DM973" s="429" t="n"/>
      <c r="DN973" s="451">
        <f>'CIRCUIT SIM'!FN63</f>
        <v/>
      </c>
      <c r="DO973" s="451" t="n"/>
      <c r="DQ973" s="429" t="n">
        <v>60</v>
      </c>
      <c r="DR973" s="431" t="n">
        <v>60</v>
      </c>
      <c r="DS973" s="688" t="n"/>
      <c r="DT973" s="431" t="inlineStr">
        <is>
          <t>Boolean</t>
        </is>
      </c>
      <c r="DU973" s="451" t="n"/>
      <c r="DV973" s="451">
        <f>'CIRCUIT SIM'!HT63</f>
        <v/>
      </c>
      <c r="DW973" s="451" t="n"/>
      <c r="DY973" s="429" t="n">
        <v>60</v>
      </c>
      <c r="DZ973" s="431" t="n">
        <v>60</v>
      </c>
      <c r="EA973" s="688" t="n"/>
      <c r="EB973" s="431" t="inlineStr">
        <is>
          <t>Boolean</t>
        </is>
      </c>
      <c r="EC973" s="451" t="n"/>
      <c r="ED973" s="335">
        <f>'CIRCUIT SIM'!GO63</f>
        <v/>
      </c>
      <c r="EE973" s="451" t="n"/>
      <c r="EG973" s="429" t="n">
        <v>60</v>
      </c>
      <c r="EH973" s="431" t="n">
        <v>60</v>
      </c>
      <c r="EI973" s="688" t="n"/>
      <c r="EJ973" s="431" t="inlineStr">
        <is>
          <t>Boolean</t>
        </is>
      </c>
      <c r="EK973" s="451" t="n"/>
      <c r="EL973" s="451">
        <f>'CIRCUIT SIM'!HD63</f>
        <v/>
      </c>
      <c r="EM973" s="451" t="n"/>
      <c r="EO973" s="429" t="n">
        <v>60</v>
      </c>
      <c r="EP973" s="431" t="n">
        <v>60</v>
      </c>
      <c r="EQ973" s="688" t="n"/>
      <c r="ER973" s="431" t="inlineStr">
        <is>
          <t>Boolean</t>
        </is>
      </c>
      <c r="ES973" s="451" t="n"/>
      <c r="ET973" s="451">
        <f>'CIRCUIT SIM'!HT63</f>
        <v/>
      </c>
      <c r="EU973" s="451" t="n"/>
      <c r="EW973" s="429" t="n">
        <v>60</v>
      </c>
      <c r="EX973" s="431" t="n">
        <v>60</v>
      </c>
      <c r="EY973" s="688" t="n"/>
      <c r="EZ973" s="431" t="inlineStr">
        <is>
          <t> </t>
        </is>
      </c>
      <c r="FA973" s="451" t="n"/>
      <c r="FB973" s="451" t="n"/>
      <c r="FC973" s="451" t="n"/>
      <c r="FE973" s="429" t="n">
        <v>60</v>
      </c>
      <c r="FF973" s="431" t="n">
        <v>60</v>
      </c>
      <c r="FG973" s="688" t="n"/>
      <c r="FH973" s="431" t="n"/>
      <c r="FI973" s="451" t="n"/>
      <c r="FJ973" s="451" t="n"/>
      <c r="FK973" s="451" t="n"/>
      <c r="FM973" s="429" t="n">
        <v>60</v>
      </c>
      <c r="FN973" s="431" t="n">
        <v>60</v>
      </c>
      <c r="FO973" s="688" t="n"/>
      <c r="FP973" s="431" t="n"/>
      <c r="FQ973" s="451" t="n"/>
      <c r="FR973" s="451">
        <f>'CIRCUIT SIM'!KY63</f>
        <v/>
      </c>
      <c r="FS973" s="451" t="n"/>
      <c r="FU973" s="429" t="n">
        <v>60</v>
      </c>
      <c r="FV973" s="431" t="n">
        <v>60</v>
      </c>
      <c r="FW973" s="688" t="n"/>
      <c r="FX973" s="431" t="n"/>
      <c r="FY973" s="451" t="n"/>
      <c r="FZ973" s="562">
        <f>'CIRCUIT SIM'!JG63</f>
        <v/>
      </c>
      <c r="GA973" s="451" t="n"/>
      <c r="GC973" s="429" t="n">
        <v>60</v>
      </c>
      <c r="GD973" s="431" t="n">
        <v>60</v>
      </c>
      <c r="GE973" s="688" t="n"/>
      <c r="GF973" s="431" t="n"/>
      <c r="GG973" s="451" t="n"/>
      <c r="GH973" s="451" t="n"/>
      <c r="GI973" s="451" t="n"/>
      <c r="GK973" s="429" t="n">
        <v>60</v>
      </c>
      <c r="GL973" s="431" t="n">
        <v>60</v>
      </c>
      <c r="GM973" s="688" t="n"/>
      <c r="GN973" s="431" t="n"/>
      <c r="GO973" s="451" t="n"/>
      <c r="GP973" s="451" t="n"/>
      <c r="GQ973" s="451" t="n"/>
      <c r="GS973" s="429" t="n">
        <v>60</v>
      </c>
      <c r="GT973" s="431" t="n">
        <v>60</v>
      </c>
      <c r="GU973" s="688" t="n"/>
      <c r="GV973" s="431" t="n"/>
      <c r="GW973" s="451" t="n"/>
      <c r="GX973" s="451">
        <f>'CIRCUIT SIM'!KY63</f>
        <v/>
      </c>
      <c r="GY973" s="451" t="n"/>
      <c r="HA973" s="429" t="n">
        <v>60</v>
      </c>
      <c r="HB973" s="431" t="n">
        <v>60</v>
      </c>
      <c r="HC973" s="688" t="n"/>
      <c r="HD973" s="431" t="n"/>
      <c r="HE973" s="451" t="n"/>
      <c r="HF973" s="451" t="n"/>
      <c r="HG973" s="451" t="n"/>
    </row>
    <row r="974">
      <c r="A974" s="429" t="n">
        <v>61</v>
      </c>
      <c r="B974" s="431" t="n">
        <v>61</v>
      </c>
      <c r="C974" s="688" t="n"/>
      <c r="D974" s="431" t="inlineStr">
        <is>
          <t>Boolean</t>
        </is>
      </c>
      <c r="E974" s="429" t="n"/>
      <c r="F974" s="422">
        <f>'CIRCUIT SIM'!J64</f>
        <v/>
      </c>
      <c r="G974" s="429" t="n"/>
      <c r="I974" s="429" t="n">
        <v>61</v>
      </c>
      <c r="J974" s="431" t="n">
        <v>61</v>
      </c>
      <c r="K974" s="429" t="n"/>
      <c r="L974" s="431" t="inlineStr">
        <is>
          <t>Boolean</t>
        </is>
      </c>
      <c r="M974" s="451" t="n"/>
      <c r="N974" s="422">
        <f>'CIRCUIT SIM'!Y64</f>
        <v/>
      </c>
      <c r="O974" s="451" t="n"/>
      <c r="Q974" s="429" t="n">
        <v>61</v>
      </c>
      <c r="R974" s="431" t="n">
        <v>61</v>
      </c>
      <c r="S974" s="429" t="n"/>
      <c r="T974" s="431" t="inlineStr">
        <is>
          <t>Boolean</t>
        </is>
      </c>
      <c r="U974" s="429" t="n"/>
      <c r="V974" s="386">
        <f>'CIRCUIT SIM'!AO64</f>
        <v/>
      </c>
      <c r="W974" s="451" t="n"/>
      <c r="Y974" s="429" t="n">
        <v>61</v>
      </c>
      <c r="Z974" s="431" t="n">
        <v>61</v>
      </c>
      <c r="AA974" s="429" t="n"/>
      <c r="AB974" s="431" t="n"/>
      <c r="AC974" s="451" t="n"/>
      <c r="AD974" s="451" t="n"/>
      <c r="AE974" s="451" t="n"/>
      <c r="AG974" s="429" t="n">
        <v>61</v>
      </c>
      <c r="AH974" s="431" t="n">
        <v>61</v>
      </c>
      <c r="AI974" s="429" t="n"/>
      <c r="AJ974" s="431" t="inlineStr">
        <is>
          <t>Boolean</t>
        </is>
      </c>
      <c r="AK974" s="451" t="n"/>
      <c r="AL974" s="450">
        <f>'CIRCUIT SIM'!CR64</f>
        <v/>
      </c>
      <c r="AM974" s="451" t="n"/>
      <c r="AO974" s="429" t="n">
        <v>61</v>
      </c>
      <c r="AP974" s="431" t="n">
        <v>61</v>
      </c>
      <c r="AQ974" s="429" t="n"/>
      <c r="AR974" s="431" t="inlineStr">
        <is>
          <t>Boolean</t>
        </is>
      </c>
      <c r="AS974" s="451" t="n"/>
      <c r="AT974" s="386">
        <f>'CIRCUIT SIM'!BR64</f>
        <v/>
      </c>
      <c r="AU974" s="451" t="n"/>
      <c r="AW974" s="429" t="n">
        <v>61</v>
      </c>
      <c r="AX974" s="431" t="n">
        <v>61</v>
      </c>
      <c r="AY974" s="429" t="n"/>
      <c r="AZ974" s="431" t="inlineStr">
        <is>
          <t>Boolean</t>
        </is>
      </c>
      <c r="BA974" s="451" t="n"/>
      <c r="BB974" s="451">
        <f>'CIRCUIT SIM'!CG64</f>
        <v/>
      </c>
      <c r="BC974" s="451" t="n"/>
      <c r="BE974" s="429" t="n">
        <v>61</v>
      </c>
      <c r="BF974" s="431" t="n"/>
      <c r="BG974" s="429" t="n"/>
      <c r="BH974" s="431" t="n"/>
      <c r="BI974" s="451" t="n"/>
      <c r="BJ974" s="451" t="n"/>
      <c r="BK974" s="451" t="n"/>
      <c r="BM974" s="429" t="n">
        <v>61</v>
      </c>
      <c r="BN974" s="431" t="n">
        <v>61</v>
      </c>
      <c r="BO974" s="429" t="n"/>
      <c r="BP974" s="431" t="inlineStr">
        <is>
          <t>Boolean</t>
        </is>
      </c>
      <c r="BQ974" s="451" t="n"/>
      <c r="BR974" s="451">
        <f>'CIRCUIT SIM'!DT64</f>
        <v/>
      </c>
      <c r="BS974" s="451" t="n"/>
      <c r="BU974" s="429" t="n">
        <v>61</v>
      </c>
      <c r="BV974" s="431" t="n">
        <v>61</v>
      </c>
      <c r="BW974" s="429" t="n"/>
      <c r="BX974" s="431" t="n"/>
      <c r="BY974" s="451" t="n"/>
      <c r="BZ974" s="451">
        <f>'CIRCUIT SIM'!EI64</f>
        <v/>
      </c>
      <c r="CA974" s="451" t="n"/>
      <c r="CC974" s="429" t="n">
        <v>61</v>
      </c>
      <c r="CD974" s="431" t="n">
        <v>61</v>
      </c>
      <c r="CE974" s="688" t="n"/>
      <c r="CF974" s="431" t="inlineStr">
        <is>
          <t>Boolean</t>
        </is>
      </c>
      <c r="CG974" s="451" t="n"/>
      <c r="CH974" s="562">
        <f>'CIRCUIT SIM'!LK64</f>
        <v/>
      </c>
      <c r="CI974" s="451" t="n"/>
      <c r="CK974" s="429" t="n">
        <v>61</v>
      </c>
      <c r="CL974" s="431" t="n">
        <v>61</v>
      </c>
      <c r="CM974" s="565" t="n">
        <v>60</v>
      </c>
      <c r="CN974" s="431" t="inlineStr">
        <is>
          <t>Boolean</t>
        </is>
      </c>
      <c r="CO974" s="451" t="n"/>
      <c r="CP974" s="451">
        <f>'CIRCUIT SIM'!MA64</f>
        <v/>
      </c>
      <c r="CQ974" s="451" t="n"/>
      <c r="CS974" s="429" t="n">
        <v>61</v>
      </c>
      <c r="CT974" s="431" t="n">
        <v>61</v>
      </c>
      <c r="CU974" s="688" t="n"/>
      <c r="CV974" s="431" t="inlineStr">
        <is>
          <t>Boolean</t>
        </is>
      </c>
      <c r="CW974" s="451" t="n"/>
      <c r="CX974" s="451">
        <f>'CIRCUIT SIM'!MQ64</f>
        <v/>
      </c>
      <c r="CY974" s="451" t="n"/>
      <c r="DA974" s="429" t="n">
        <v>61</v>
      </c>
      <c r="DB974" s="431" t="n">
        <v>61</v>
      </c>
      <c r="DC974" s="688" t="n"/>
      <c r="DD974" s="431" t="inlineStr">
        <is>
          <t>Boolean</t>
        </is>
      </c>
      <c r="DE974" s="451" t="n"/>
      <c r="DF974" s="451">
        <f>'CIRCUIT SIM'!EX64</f>
        <v/>
      </c>
      <c r="DG974" s="451" t="n"/>
      <c r="DI974" s="429" t="n">
        <v>61</v>
      </c>
      <c r="DJ974" s="431" t="n">
        <v>61</v>
      </c>
      <c r="DK974" s="688" t="n"/>
      <c r="DL974" s="431" t="inlineStr">
        <is>
          <t>Boolean</t>
        </is>
      </c>
      <c r="DM974" s="429" t="n"/>
      <c r="DN974" s="451">
        <f>'CIRCUIT SIM'!FN64</f>
        <v/>
      </c>
      <c r="DO974" s="451" t="n"/>
      <c r="DQ974" s="429" t="n">
        <v>61</v>
      </c>
      <c r="DR974" s="431" t="n">
        <v>61</v>
      </c>
      <c r="DS974" s="688" t="n"/>
      <c r="DT974" s="431" t="inlineStr">
        <is>
          <t>Boolean</t>
        </is>
      </c>
      <c r="DU974" s="451" t="n"/>
      <c r="DV974" s="451">
        <f>'CIRCUIT SIM'!HT64</f>
        <v/>
      </c>
      <c r="DW974" s="451" t="n"/>
      <c r="DY974" s="429" t="n">
        <v>61</v>
      </c>
      <c r="DZ974" s="431" t="n">
        <v>61</v>
      </c>
      <c r="EA974" s="688" t="n"/>
      <c r="EB974" s="431" t="inlineStr">
        <is>
          <t>Boolean</t>
        </is>
      </c>
      <c r="EC974" s="451" t="n"/>
      <c r="ED974" s="335">
        <f>'CIRCUIT SIM'!GO64</f>
        <v/>
      </c>
      <c r="EE974" s="451" t="n"/>
      <c r="EG974" s="429" t="n">
        <v>61</v>
      </c>
      <c r="EH974" s="431" t="n">
        <v>61</v>
      </c>
      <c r="EI974" s="688" t="n"/>
      <c r="EJ974" s="431" t="inlineStr">
        <is>
          <t>Boolean</t>
        </is>
      </c>
      <c r="EK974" s="451" t="n"/>
      <c r="EL974" s="451">
        <f>'CIRCUIT SIM'!HD64</f>
        <v/>
      </c>
      <c r="EM974" s="451" t="n"/>
      <c r="EO974" s="429" t="n">
        <v>61</v>
      </c>
      <c r="EP974" s="431" t="n">
        <v>61</v>
      </c>
      <c r="EQ974" s="688" t="n"/>
      <c r="ER974" s="431" t="inlineStr">
        <is>
          <t>Boolean</t>
        </is>
      </c>
      <c r="ES974" s="451" t="n"/>
      <c r="ET974" s="451">
        <f>'CIRCUIT SIM'!HT64</f>
        <v/>
      </c>
      <c r="EU974" s="451" t="n"/>
      <c r="EW974" s="429" t="n">
        <v>61</v>
      </c>
      <c r="EX974" s="431" t="n">
        <v>61</v>
      </c>
      <c r="EY974" s="688" t="n"/>
      <c r="EZ974" s="431" t="n"/>
      <c r="FA974" s="451" t="n"/>
      <c r="FB974" s="451" t="n"/>
      <c r="FC974" s="451" t="n"/>
      <c r="FE974" s="429" t="n">
        <v>61</v>
      </c>
      <c r="FF974" s="431" t="n">
        <v>61</v>
      </c>
      <c r="FG974" s="688" t="n"/>
      <c r="FH974" s="431" t="n"/>
      <c r="FI974" s="451" t="n"/>
      <c r="FJ974" s="451" t="n"/>
      <c r="FK974" s="451" t="n"/>
      <c r="FM974" s="429" t="n">
        <v>61</v>
      </c>
      <c r="FN974" s="431" t="n">
        <v>61</v>
      </c>
      <c r="FO974" s="688" t="n"/>
      <c r="FP974" s="431" t="n"/>
      <c r="FQ974" s="451" t="n"/>
      <c r="FR974" s="451">
        <f>'CIRCUIT SIM'!KY64</f>
        <v/>
      </c>
      <c r="FS974" s="451" t="n"/>
      <c r="FU974" s="429" t="n">
        <v>61</v>
      </c>
      <c r="FV974" s="431" t="n">
        <v>61</v>
      </c>
      <c r="FW974" s="688" t="n"/>
      <c r="FX974" s="431" t="n"/>
      <c r="FY974" s="451" t="n"/>
      <c r="FZ974" s="562">
        <f>'CIRCUIT SIM'!JG64</f>
        <v/>
      </c>
      <c r="GA974" s="451" t="n"/>
      <c r="GC974" s="429" t="n">
        <v>61</v>
      </c>
      <c r="GD974" s="431" t="n">
        <v>61</v>
      </c>
      <c r="GE974" s="688" t="n"/>
      <c r="GF974" s="431" t="n"/>
      <c r="GG974" s="451" t="n"/>
      <c r="GH974" s="451" t="n"/>
      <c r="GI974" s="451" t="n"/>
      <c r="GK974" s="429" t="n">
        <v>61</v>
      </c>
      <c r="GL974" s="431" t="n">
        <v>61</v>
      </c>
      <c r="GM974" s="688" t="n"/>
      <c r="GN974" s="431" t="n"/>
      <c r="GO974" s="451" t="n"/>
      <c r="GP974" s="451" t="n"/>
      <c r="GQ974" s="451" t="n"/>
      <c r="GS974" s="429" t="n">
        <v>61</v>
      </c>
      <c r="GT974" s="431" t="n">
        <v>61</v>
      </c>
      <c r="GU974" s="688" t="n"/>
      <c r="GV974" s="431" t="n"/>
      <c r="GW974" s="451" t="n"/>
      <c r="GX974" s="451">
        <f>'CIRCUIT SIM'!KY64</f>
        <v/>
      </c>
      <c r="GY974" s="451" t="n"/>
      <c r="HA974" s="429" t="n">
        <v>61</v>
      </c>
      <c r="HB974" s="431" t="n">
        <v>61</v>
      </c>
      <c r="HC974" s="688" t="n"/>
      <c r="HD974" s="431" t="n"/>
      <c r="HE974" s="451" t="n"/>
      <c r="HF974" s="451" t="n"/>
      <c r="HG974" s="451" t="n"/>
    </row>
    <row r="975">
      <c r="A975" s="429" t="n">
        <v>62</v>
      </c>
      <c r="B975" s="431" t="n">
        <v>62</v>
      </c>
      <c r="C975" s="688" t="n"/>
      <c r="D975" s="431" t="inlineStr">
        <is>
          <t>Boolean</t>
        </is>
      </c>
      <c r="E975" s="429" t="n"/>
      <c r="F975" s="422">
        <f>'CIRCUIT SIM'!J65</f>
        <v/>
      </c>
      <c r="G975" s="429" t="n"/>
      <c r="I975" s="429" t="n">
        <v>62</v>
      </c>
      <c r="J975" s="431" t="n">
        <v>62</v>
      </c>
      <c r="K975" s="429" t="n"/>
      <c r="L975" s="431" t="inlineStr">
        <is>
          <t>Boolean</t>
        </is>
      </c>
      <c r="M975" s="451" t="n"/>
      <c r="N975" s="422">
        <f>'CIRCUIT SIM'!Y65</f>
        <v/>
      </c>
      <c r="O975" s="451" t="n"/>
      <c r="Q975" s="429" t="n">
        <v>62</v>
      </c>
      <c r="R975" s="431" t="n">
        <v>62</v>
      </c>
      <c r="S975" s="429" t="n"/>
      <c r="T975" s="431" t="inlineStr">
        <is>
          <t>Boolean</t>
        </is>
      </c>
      <c r="U975" s="429" t="n"/>
      <c r="V975" s="386">
        <f>'CIRCUIT SIM'!AO65</f>
        <v/>
      </c>
      <c r="W975" s="451" t="n"/>
      <c r="Y975" s="429" t="n">
        <v>62</v>
      </c>
      <c r="Z975" s="431" t="n">
        <v>62</v>
      </c>
      <c r="AA975" s="429" t="n"/>
      <c r="AB975" s="431" t="n"/>
      <c r="AC975" s="451" t="n"/>
      <c r="AD975" s="451" t="n"/>
      <c r="AE975" s="451" t="n"/>
      <c r="AG975" s="429" t="n">
        <v>62</v>
      </c>
      <c r="AH975" s="431" t="n">
        <v>62</v>
      </c>
      <c r="AI975" s="429" t="n"/>
      <c r="AJ975" s="431" t="inlineStr">
        <is>
          <t>Boolean</t>
        </is>
      </c>
      <c r="AK975" s="451" t="n"/>
      <c r="AL975" s="450">
        <f>'CIRCUIT SIM'!CR65</f>
        <v/>
      </c>
      <c r="AM975" s="451" t="n"/>
      <c r="AO975" s="429" t="n">
        <v>62</v>
      </c>
      <c r="AP975" s="431" t="n">
        <v>62</v>
      </c>
      <c r="AQ975" s="429" t="n"/>
      <c r="AR975" s="431" t="inlineStr">
        <is>
          <t>Boolean</t>
        </is>
      </c>
      <c r="AS975" s="451" t="n"/>
      <c r="AT975" s="386">
        <f>'CIRCUIT SIM'!BR65</f>
        <v/>
      </c>
      <c r="AU975" s="451" t="n"/>
      <c r="AW975" s="429" t="n">
        <v>62</v>
      </c>
      <c r="AX975" s="431" t="n">
        <v>62</v>
      </c>
      <c r="AY975" s="429" t="n"/>
      <c r="AZ975" s="431" t="inlineStr">
        <is>
          <t>Boolean</t>
        </is>
      </c>
      <c r="BA975" s="451" t="n"/>
      <c r="BB975" s="451">
        <f>'CIRCUIT SIM'!CG65</f>
        <v/>
      </c>
      <c r="BC975" s="451" t="n"/>
      <c r="BE975" s="429" t="n">
        <v>62</v>
      </c>
      <c r="BF975" s="431" t="n"/>
      <c r="BG975" s="429" t="n"/>
      <c r="BH975" s="431" t="n"/>
      <c r="BI975" s="451" t="n"/>
      <c r="BJ975" s="451" t="n"/>
      <c r="BK975" s="451" t="n"/>
      <c r="BM975" s="429" t="n">
        <v>62</v>
      </c>
      <c r="BN975" s="431" t="n">
        <v>62</v>
      </c>
      <c r="BO975" s="429" t="n"/>
      <c r="BP975" s="431" t="inlineStr">
        <is>
          <t>Boolean</t>
        </is>
      </c>
      <c r="BQ975" s="451" t="n"/>
      <c r="BR975" s="451">
        <f>'CIRCUIT SIM'!DT65</f>
        <v/>
      </c>
      <c r="BS975" s="451" t="n"/>
      <c r="BU975" s="429" t="n">
        <v>62</v>
      </c>
      <c r="BV975" s="431" t="n">
        <v>62</v>
      </c>
      <c r="BW975" s="429" t="n"/>
      <c r="BX975" s="431" t="n"/>
      <c r="BY975" s="451" t="n"/>
      <c r="BZ975" s="451">
        <f>'CIRCUIT SIM'!EI65</f>
        <v/>
      </c>
      <c r="CA975" s="451" t="n"/>
      <c r="CC975" s="429" t="n">
        <v>62</v>
      </c>
      <c r="CD975" s="431" t="n">
        <v>62</v>
      </c>
      <c r="CE975" s="688" t="n"/>
      <c r="CF975" s="431" t="inlineStr">
        <is>
          <t>Boolean</t>
        </is>
      </c>
      <c r="CG975" s="451" t="n"/>
      <c r="CH975" s="562">
        <f>'CIRCUIT SIM'!LK65</f>
        <v/>
      </c>
      <c r="CI975" s="451" t="n"/>
      <c r="CK975" s="429" t="n">
        <v>62</v>
      </c>
      <c r="CL975" s="431" t="n">
        <v>62</v>
      </c>
      <c r="CM975" s="565" t="n">
        <v>61</v>
      </c>
      <c r="CN975" s="431" t="inlineStr">
        <is>
          <t>Boolean</t>
        </is>
      </c>
      <c r="CO975" s="451" t="n"/>
      <c r="CP975" s="451">
        <f>'CIRCUIT SIM'!MA65</f>
        <v/>
      </c>
      <c r="CQ975" s="451" t="n"/>
      <c r="CS975" s="429" t="n">
        <v>62</v>
      </c>
      <c r="CT975" s="431" t="n">
        <v>62</v>
      </c>
      <c r="CU975" s="688" t="n"/>
      <c r="CV975" s="431" t="inlineStr">
        <is>
          <t>Boolean</t>
        </is>
      </c>
      <c r="CW975" s="451" t="n"/>
      <c r="CX975" s="451">
        <f>'CIRCUIT SIM'!MQ65</f>
        <v/>
      </c>
      <c r="CY975" s="451" t="n"/>
      <c r="DA975" s="429" t="n">
        <v>62</v>
      </c>
      <c r="DB975" s="431" t="n">
        <v>62</v>
      </c>
      <c r="DC975" s="688" t="n"/>
      <c r="DD975" s="431" t="inlineStr">
        <is>
          <t>Boolean</t>
        </is>
      </c>
      <c r="DE975" s="451" t="n"/>
      <c r="DF975" s="451">
        <f>'CIRCUIT SIM'!EX65</f>
        <v/>
      </c>
      <c r="DG975" s="451" t="n"/>
      <c r="DI975" s="429" t="n">
        <v>62</v>
      </c>
      <c r="DJ975" s="431" t="n">
        <v>62</v>
      </c>
      <c r="DK975" s="688" t="n"/>
      <c r="DL975" s="431" t="inlineStr">
        <is>
          <t>Boolean</t>
        </is>
      </c>
      <c r="DM975" s="429" t="n"/>
      <c r="DN975" s="451">
        <f>'CIRCUIT SIM'!FN65</f>
        <v/>
      </c>
      <c r="DO975" s="451" t="n"/>
      <c r="DQ975" s="429" t="n">
        <v>62</v>
      </c>
      <c r="DR975" s="431" t="n">
        <v>62</v>
      </c>
      <c r="DS975" s="688" t="n"/>
      <c r="DT975" s="431" t="inlineStr">
        <is>
          <t>Boolean</t>
        </is>
      </c>
      <c r="DU975" s="451" t="n"/>
      <c r="DV975" s="451">
        <f>'CIRCUIT SIM'!HT65</f>
        <v/>
      </c>
      <c r="DW975" s="451" t="n"/>
      <c r="DY975" s="429" t="n">
        <v>62</v>
      </c>
      <c r="DZ975" s="431" t="n">
        <v>62</v>
      </c>
      <c r="EA975" s="688" t="n"/>
      <c r="EB975" s="431" t="inlineStr">
        <is>
          <t>Boolean</t>
        </is>
      </c>
      <c r="EC975" s="451" t="n"/>
      <c r="ED975" s="335">
        <f>'CIRCUIT SIM'!GO65</f>
        <v/>
      </c>
      <c r="EE975" s="451" t="n"/>
      <c r="EG975" s="429" t="n">
        <v>62</v>
      </c>
      <c r="EH975" s="431" t="n">
        <v>62</v>
      </c>
      <c r="EI975" s="688" t="n"/>
      <c r="EJ975" s="431" t="inlineStr">
        <is>
          <t>Boolean</t>
        </is>
      </c>
      <c r="EK975" s="451" t="n"/>
      <c r="EL975" s="451">
        <f>'CIRCUIT SIM'!HD65</f>
        <v/>
      </c>
      <c r="EM975" s="451" t="n"/>
      <c r="EO975" s="429" t="n">
        <v>62</v>
      </c>
      <c r="EP975" s="431" t="n">
        <v>62</v>
      </c>
      <c r="EQ975" s="688" t="n"/>
      <c r="ER975" s="431" t="inlineStr">
        <is>
          <t>Boolean</t>
        </is>
      </c>
      <c r="ES975" s="451" t="n"/>
      <c r="ET975" s="451">
        <f>'CIRCUIT SIM'!HT65</f>
        <v/>
      </c>
      <c r="EU975" s="451" t="n"/>
      <c r="EW975" s="429" t="n">
        <v>62</v>
      </c>
      <c r="EX975" s="431" t="n">
        <v>62</v>
      </c>
      <c r="EY975" s="688" t="n"/>
      <c r="EZ975" s="431" t="n"/>
      <c r="FA975" s="451" t="n"/>
      <c r="FB975" s="451" t="n"/>
      <c r="FC975" s="451" t="n"/>
      <c r="FE975" s="429" t="n">
        <v>62</v>
      </c>
      <c r="FF975" s="431" t="n">
        <v>62</v>
      </c>
      <c r="FG975" s="688" t="n"/>
      <c r="FH975" s="431" t="n"/>
      <c r="FI975" s="451" t="n"/>
      <c r="FJ975" s="451" t="n"/>
      <c r="FK975" s="451" t="n"/>
      <c r="FM975" s="429" t="n">
        <v>62</v>
      </c>
      <c r="FN975" s="431" t="n">
        <v>62</v>
      </c>
      <c r="FO975" s="688" t="n"/>
      <c r="FP975" s="431" t="n"/>
      <c r="FQ975" s="451" t="n"/>
      <c r="FR975" s="451">
        <f>'CIRCUIT SIM'!KY65</f>
        <v/>
      </c>
      <c r="FS975" s="451" t="n"/>
      <c r="FU975" s="429" t="n">
        <v>62</v>
      </c>
      <c r="FV975" s="431" t="n">
        <v>62</v>
      </c>
      <c r="FW975" s="688" t="n"/>
      <c r="FX975" s="431" t="n"/>
      <c r="FY975" s="451" t="n"/>
      <c r="FZ975" s="562">
        <f>'CIRCUIT SIM'!JG65</f>
        <v/>
      </c>
      <c r="GA975" s="451" t="n"/>
      <c r="GC975" s="429" t="n">
        <v>62</v>
      </c>
      <c r="GD975" s="431" t="n">
        <v>62</v>
      </c>
      <c r="GE975" s="688" t="n"/>
      <c r="GF975" s="431" t="n"/>
      <c r="GG975" s="451" t="n"/>
      <c r="GH975" s="451" t="n"/>
      <c r="GI975" s="451" t="n"/>
      <c r="GK975" s="429" t="n">
        <v>62</v>
      </c>
      <c r="GL975" s="431" t="n">
        <v>62</v>
      </c>
      <c r="GM975" s="688" t="n"/>
      <c r="GN975" s="431" t="n"/>
      <c r="GO975" s="451" t="n"/>
      <c r="GP975" s="451" t="n"/>
      <c r="GQ975" s="451" t="n"/>
      <c r="GS975" s="429" t="n">
        <v>62</v>
      </c>
      <c r="GT975" s="431" t="n">
        <v>62</v>
      </c>
      <c r="GU975" s="688" t="n"/>
      <c r="GV975" s="431" t="n"/>
      <c r="GW975" s="451" t="n"/>
      <c r="GX975" s="451">
        <f>'CIRCUIT SIM'!KY65</f>
        <v/>
      </c>
      <c r="GY975" s="451" t="n"/>
      <c r="HA975" s="429" t="n">
        <v>62</v>
      </c>
      <c r="HB975" s="431" t="n">
        <v>62</v>
      </c>
      <c r="HC975" s="688" t="n"/>
      <c r="HD975" s="431" t="n"/>
      <c r="HE975" s="451" t="n"/>
      <c r="HF975" s="451" t="n"/>
      <c r="HG975" s="451" t="n"/>
    </row>
    <row r="976">
      <c r="A976" s="429" t="n">
        <v>63</v>
      </c>
      <c r="B976" s="431" t="n">
        <v>63</v>
      </c>
      <c r="C976" s="688" t="n"/>
      <c r="D976" s="431" t="inlineStr">
        <is>
          <t>Boolean</t>
        </is>
      </c>
      <c r="E976" s="429" t="n"/>
      <c r="F976" s="422">
        <f>'CIRCUIT SIM'!J66</f>
        <v/>
      </c>
      <c r="G976" s="429" t="n"/>
      <c r="I976" s="429" t="n">
        <v>63</v>
      </c>
      <c r="J976" s="431" t="n">
        <v>63</v>
      </c>
      <c r="K976" s="429" t="n"/>
      <c r="L976" s="431" t="inlineStr">
        <is>
          <t>Boolean</t>
        </is>
      </c>
      <c r="M976" s="451" t="n"/>
      <c r="N976" s="422">
        <f>'CIRCUIT SIM'!Y66</f>
        <v/>
      </c>
      <c r="O976" s="451" t="n"/>
      <c r="Q976" s="429" t="n">
        <v>63</v>
      </c>
      <c r="R976" s="431" t="n">
        <v>63</v>
      </c>
      <c r="S976" s="429" t="n"/>
      <c r="T976" s="431" t="inlineStr">
        <is>
          <t>Boolean</t>
        </is>
      </c>
      <c r="U976" s="429" t="n"/>
      <c r="V976" s="386">
        <f>'CIRCUIT SIM'!AO66</f>
        <v/>
      </c>
      <c r="W976" s="451" t="n"/>
      <c r="Y976" s="429" t="n">
        <v>63</v>
      </c>
      <c r="Z976" s="431" t="n">
        <v>63</v>
      </c>
      <c r="AA976" s="429" t="n"/>
      <c r="AB976" s="431" t="n"/>
      <c r="AC976" s="451" t="n"/>
      <c r="AD976" s="451" t="n"/>
      <c r="AE976" s="451" t="n"/>
      <c r="AG976" s="429" t="n">
        <v>63</v>
      </c>
      <c r="AH976" s="431" t="n">
        <v>63</v>
      </c>
      <c r="AI976" s="429" t="n"/>
      <c r="AJ976" s="431" t="inlineStr">
        <is>
          <t>Boolean</t>
        </is>
      </c>
      <c r="AK976" s="451" t="n"/>
      <c r="AL976" s="450">
        <f>'CIRCUIT SIM'!CR66</f>
        <v/>
      </c>
      <c r="AM976" s="451" t="n"/>
      <c r="AO976" s="429" t="n">
        <v>63</v>
      </c>
      <c r="AP976" s="431" t="n">
        <v>63</v>
      </c>
      <c r="AQ976" s="429" t="n"/>
      <c r="AR976" s="431" t="inlineStr">
        <is>
          <t>Boolean</t>
        </is>
      </c>
      <c r="AS976" s="451" t="n"/>
      <c r="AT976" s="386">
        <f>'CIRCUIT SIM'!BR66</f>
        <v/>
      </c>
      <c r="AU976" s="451" t="n"/>
      <c r="AW976" s="429" t="n">
        <v>63</v>
      </c>
      <c r="AX976" s="431" t="n">
        <v>63</v>
      </c>
      <c r="AY976" s="429" t="n"/>
      <c r="AZ976" s="431" t="inlineStr">
        <is>
          <t>Boolean</t>
        </is>
      </c>
      <c r="BA976" s="451" t="n"/>
      <c r="BB976" s="451">
        <f>'CIRCUIT SIM'!CG66</f>
        <v/>
      </c>
      <c r="BC976" s="451" t="n"/>
      <c r="BE976" s="429" t="n">
        <v>63</v>
      </c>
      <c r="BF976" s="431" t="n"/>
      <c r="BG976" s="429" t="n"/>
      <c r="BH976" s="431" t="n"/>
      <c r="BI976" s="451" t="n"/>
      <c r="BJ976" s="451" t="n"/>
      <c r="BK976" s="451" t="n"/>
      <c r="BM976" s="429" t="n">
        <v>63</v>
      </c>
      <c r="BN976" s="431" t="n">
        <v>63</v>
      </c>
      <c r="BO976" s="429" t="n"/>
      <c r="BP976" s="431" t="inlineStr">
        <is>
          <t>Boolean</t>
        </is>
      </c>
      <c r="BQ976" s="451" t="n"/>
      <c r="BR976" s="451">
        <f>'CIRCUIT SIM'!DT66</f>
        <v/>
      </c>
      <c r="BS976" s="451" t="n"/>
      <c r="BU976" s="429" t="n">
        <v>63</v>
      </c>
      <c r="BV976" s="431" t="n">
        <v>63</v>
      </c>
      <c r="BW976" s="429" t="n"/>
      <c r="BX976" s="431" t="n"/>
      <c r="BY976" s="451" t="n"/>
      <c r="BZ976" s="451">
        <f>'CIRCUIT SIM'!EI66</f>
        <v/>
      </c>
      <c r="CA976" s="451" t="n"/>
      <c r="CC976" s="429" t="n">
        <v>63</v>
      </c>
      <c r="CD976" s="431" t="n">
        <v>63</v>
      </c>
      <c r="CE976" s="688" t="n"/>
      <c r="CF976" s="431" t="inlineStr">
        <is>
          <t>Boolean</t>
        </is>
      </c>
      <c r="CG976" s="451" t="n"/>
      <c r="CH976" s="562">
        <f>'CIRCUIT SIM'!LK66</f>
        <v/>
      </c>
      <c r="CI976" s="451" t="n"/>
      <c r="CK976" s="429" t="n">
        <v>63</v>
      </c>
      <c r="CL976" s="431" t="n">
        <v>63</v>
      </c>
      <c r="CM976" s="565" t="n">
        <v>62</v>
      </c>
      <c r="CN976" s="431" t="inlineStr">
        <is>
          <t>Boolean</t>
        </is>
      </c>
      <c r="CO976" s="451" t="n"/>
      <c r="CP976" s="451">
        <f>'CIRCUIT SIM'!MA66</f>
        <v/>
      </c>
      <c r="CQ976" s="451" t="n"/>
      <c r="CS976" s="429" t="n">
        <v>63</v>
      </c>
      <c r="CT976" s="431" t="n">
        <v>63</v>
      </c>
      <c r="CU976" s="688" t="n"/>
      <c r="CV976" s="431" t="inlineStr">
        <is>
          <t>Boolean</t>
        </is>
      </c>
      <c r="CW976" s="451" t="n"/>
      <c r="CX976" s="451">
        <f>'CIRCUIT SIM'!MQ66</f>
        <v/>
      </c>
      <c r="CY976" s="451" t="n"/>
      <c r="DA976" s="429" t="n">
        <v>63</v>
      </c>
      <c r="DB976" s="431" t="n">
        <v>63</v>
      </c>
      <c r="DC976" s="688" t="n"/>
      <c r="DD976" s="431" t="inlineStr">
        <is>
          <t>Boolean</t>
        </is>
      </c>
      <c r="DE976" s="451" t="n"/>
      <c r="DF976" s="451">
        <f>'CIRCUIT SIM'!EX66</f>
        <v/>
      </c>
      <c r="DG976" s="451" t="n"/>
      <c r="DI976" s="429" t="n">
        <v>63</v>
      </c>
      <c r="DJ976" s="431" t="n">
        <v>63</v>
      </c>
      <c r="DK976" s="688" t="n"/>
      <c r="DL976" s="431" t="inlineStr">
        <is>
          <t>Boolean</t>
        </is>
      </c>
      <c r="DM976" s="429" t="n"/>
      <c r="DN976" s="451">
        <f>'CIRCUIT SIM'!FN66</f>
        <v/>
      </c>
      <c r="DO976" s="451" t="n"/>
      <c r="DQ976" s="429" t="n">
        <v>63</v>
      </c>
      <c r="DR976" s="431" t="n">
        <v>63</v>
      </c>
      <c r="DS976" s="688" t="n"/>
      <c r="DT976" s="431" t="inlineStr">
        <is>
          <t>Boolean</t>
        </is>
      </c>
      <c r="DU976" s="451" t="n"/>
      <c r="DV976" s="451">
        <f>'CIRCUIT SIM'!HT66</f>
        <v/>
      </c>
      <c r="DW976" s="451" t="n"/>
      <c r="DY976" s="429" t="n">
        <v>63</v>
      </c>
      <c r="DZ976" s="431" t="n">
        <v>63</v>
      </c>
      <c r="EA976" s="688" t="n"/>
      <c r="EB976" s="431" t="inlineStr">
        <is>
          <t>Boolean</t>
        </is>
      </c>
      <c r="EC976" s="451" t="n"/>
      <c r="ED976" s="335">
        <f>'CIRCUIT SIM'!GO66</f>
        <v/>
      </c>
      <c r="EE976" s="451" t="n"/>
      <c r="EG976" s="429" t="n">
        <v>63</v>
      </c>
      <c r="EH976" s="431" t="n">
        <v>63</v>
      </c>
      <c r="EI976" s="688" t="n"/>
      <c r="EJ976" s="431" t="inlineStr">
        <is>
          <t>Boolean</t>
        </is>
      </c>
      <c r="EK976" s="451" t="n"/>
      <c r="EL976" s="451">
        <f>'CIRCUIT SIM'!HD66</f>
        <v/>
      </c>
      <c r="EM976" s="451" t="n"/>
      <c r="EO976" s="429" t="n">
        <v>63</v>
      </c>
      <c r="EP976" s="431" t="n">
        <v>63</v>
      </c>
      <c r="EQ976" s="688" t="n"/>
      <c r="ER976" s="431" t="inlineStr">
        <is>
          <t>Boolean</t>
        </is>
      </c>
      <c r="ES976" s="451" t="n"/>
      <c r="ET976" s="451">
        <f>'CIRCUIT SIM'!HT66</f>
        <v/>
      </c>
      <c r="EU976" s="451" t="n"/>
      <c r="EW976" s="429" t="n">
        <v>63</v>
      </c>
      <c r="EX976" s="431" t="n">
        <v>63</v>
      </c>
      <c r="EY976" s="688" t="n"/>
      <c r="EZ976" s="431" t="n"/>
      <c r="FA976" s="451" t="n"/>
      <c r="FB976" s="451" t="n"/>
      <c r="FC976" s="451" t="n"/>
      <c r="FE976" s="429" t="n">
        <v>63</v>
      </c>
      <c r="FF976" s="431" t="n">
        <v>63</v>
      </c>
      <c r="FG976" s="688" t="n"/>
      <c r="FH976" s="431" t="n"/>
      <c r="FI976" s="451" t="n"/>
      <c r="FJ976" s="451" t="n"/>
      <c r="FK976" s="451" t="n"/>
      <c r="FM976" s="429" t="n">
        <v>63</v>
      </c>
      <c r="FN976" s="431" t="n">
        <v>63</v>
      </c>
      <c r="FO976" s="688" t="n"/>
      <c r="FP976" s="431" t="n"/>
      <c r="FQ976" s="451" t="n"/>
      <c r="FR976" s="451">
        <f>'CIRCUIT SIM'!KY66</f>
        <v/>
      </c>
      <c r="FS976" s="451" t="n"/>
      <c r="FU976" s="429" t="n">
        <v>63</v>
      </c>
      <c r="FV976" s="431" t="n">
        <v>63</v>
      </c>
      <c r="FW976" s="688" t="n"/>
      <c r="FX976" s="431" t="n"/>
      <c r="FY976" s="451" t="n"/>
      <c r="FZ976" s="562">
        <f>'CIRCUIT SIM'!JG66</f>
        <v/>
      </c>
      <c r="GA976" s="451" t="n"/>
      <c r="GC976" s="429" t="n">
        <v>63</v>
      </c>
      <c r="GD976" s="431" t="n">
        <v>63</v>
      </c>
      <c r="GE976" s="688" t="n"/>
      <c r="GF976" s="431" t="n"/>
      <c r="GG976" s="451" t="n"/>
      <c r="GH976" s="451" t="n"/>
      <c r="GI976" s="451" t="n"/>
      <c r="GK976" s="429" t="n">
        <v>63</v>
      </c>
      <c r="GL976" s="431" t="n">
        <v>63</v>
      </c>
      <c r="GM976" s="688" t="n"/>
      <c r="GN976" s="431" t="n"/>
      <c r="GO976" s="451" t="n"/>
      <c r="GP976" s="451" t="n"/>
      <c r="GQ976" s="451" t="n"/>
      <c r="GS976" s="429" t="n">
        <v>63</v>
      </c>
      <c r="GT976" s="431" t="n">
        <v>63</v>
      </c>
      <c r="GU976" s="688" t="n"/>
      <c r="GV976" s="431" t="n"/>
      <c r="GW976" s="451" t="n"/>
      <c r="GX976" s="451">
        <f>'CIRCUIT SIM'!KY66</f>
        <v/>
      </c>
      <c r="GY976" s="451" t="n"/>
      <c r="HA976" s="429" t="n">
        <v>63</v>
      </c>
      <c r="HB976" s="431" t="n">
        <v>63</v>
      </c>
      <c r="HC976" s="688" t="n"/>
      <c r="HD976" s="431" t="n"/>
      <c r="HE976" s="451" t="n"/>
      <c r="HF976" s="451" t="inlineStr">
        <is>
          <t> </t>
        </is>
      </c>
      <c r="HG976" s="451" t="n"/>
    </row>
    <row r="977">
      <c r="A977" s="429" t="n">
        <v>64</v>
      </c>
      <c r="B977" s="431" t="n">
        <v>64</v>
      </c>
      <c r="C977" s="688" t="n"/>
      <c r="D977" s="431" t="inlineStr">
        <is>
          <t>Boolean</t>
        </is>
      </c>
      <c r="E977" s="429" t="n"/>
      <c r="F977" s="422">
        <f>'CIRCUIT SIM'!J67</f>
        <v/>
      </c>
      <c r="G977" s="429" t="n"/>
      <c r="I977" s="429" t="n">
        <v>64</v>
      </c>
      <c r="J977" s="431" t="n">
        <v>64</v>
      </c>
      <c r="K977" s="429" t="n"/>
      <c r="L977" s="431" t="inlineStr">
        <is>
          <t>Boolean</t>
        </is>
      </c>
      <c r="M977" s="451" t="n"/>
      <c r="N977" s="422">
        <f>'CIRCUIT SIM'!Y67</f>
        <v/>
      </c>
      <c r="O977" s="451" t="n"/>
      <c r="Q977" s="429" t="n">
        <v>64</v>
      </c>
      <c r="R977" s="431" t="n">
        <v>64</v>
      </c>
      <c r="S977" s="429" t="n"/>
      <c r="T977" s="431" t="inlineStr">
        <is>
          <t>Boolean</t>
        </is>
      </c>
      <c r="U977" s="429" t="n"/>
      <c r="V977" s="386">
        <f>'CIRCUIT SIM'!AO67</f>
        <v/>
      </c>
      <c r="W977" s="451" t="n"/>
      <c r="Y977" s="429" t="n">
        <v>64</v>
      </c>
      <c r="Z977" s="431" t="n">
        <v>64</v>
      </c>
      <c r="AA977" s="429" t="n"/>
      <c r="AB977" s="431" t="n"/>
      <c r="AC977" s="451" t="n"/>
      <c r="AD977" s="451" t="n"/>
      <c r="AE977" s="451" t="n"/>
      <c r="AG977" s="429" t="n">
        <v>64</v>
      </c>
      <c r="AH977" s="431" t="n">
        <v>64</v>
      </c>
      <c r="AI977" s="429" t="n"/>
      <c r="AJ977" s="431" t="inlineStr">
        <is>
          <t>Boolean</t>
        </is>
      </c>
      <c r="AK977" s="451" t="n"/>
      <c r="AL977" s="450">
        <f>'CIRCUIT SIM'!CR67</f>
        <v/>
      </c>
      <c r="AM977" s="451" t="n"/>
      <c r="AO977" s="429" t="n">
        <v>64</v>
      </c>
      <c r="AP977" s="431" t="n">
        <v>64</v>
      </c>
      <c r="AQ977" s="429" t="n"/>
      <c r="AR977" s="431" t="inlineStr">
        <is>
          <t>Boolean</t>
        </is>
      </c>
      <c r="AS977" s="451" t="n"/>
      <c r="AT977" s="386">
        <f>'CIRCUIT SIM'!BR67</f>
        <v/>
      </c>
      <c r="AU977" s="451" t="n"/>
      <c r="AW977" s="429" t="n">
        <v>64</v>
      </c>
      <c r="AX977" s="431" t="n">
        <v>64</v>
      </c>
      <c r="AY977" s="429" t="n"/>
      <c r="AZ977" s="431" t="inlineStr">
        <is>
          <t>Boolean</t>
        </is>
      </c>
      <c r="BA977" s="451" t="n"/>
      <c r="BB977" s="451">
        <f>'CIRCUIT SIM'!CG67</f>
        <v/>
      </c>
      <c r="BC977" s="451" t="n"/>
      <c r="BE977" s="429" t="n">
        <v>64</v>
      </c>
      <c r="BF977" s="431" t="n"/>
      <c r="BG977" s="429" t="n"/>
      <c r="BH977" s="431" t="n"/>
      <c r="BI977" s="451" t="n"/>
      <c r="BJ977" s="451" t="n"/>
      <c r="BK977" s="451" t="n"/>
      <c r="BM977" s="429" t="n">
        <v>64</v>
      </c>
      <c r="BN977" s="431" t="n">
        <v>64</v>
      </c>
      <c r="BO977" s="429" t="n"/>
      <c r="BP977" s="431" t="inlineStr">
        <is>
          <t>Boolean</t>
        </is>
      </c>
      <c r="BQ977" s="451" t="n"/>
      <c r="BR977" s="451">
        <f>'CIRCUIT SIM'!DT67</f>
        <v/>
      </c>
      <c r="BS977" s="451" t="n"/>
      <c r="BU977" s="429" t="n">
        <v>64</v>
      </c>
      <c r="BV977" s="431" t="n">
        <v>64</v>
      </c>
      <c r="BW977" s="429" t="n"/>
      <c r="BX977" s="431" t="n"/>
      <c r="BY977" s="451" t="n"/>
      <c r="BZ977" s="451">
        <f>'CIRCUIT SIM'!EI67</f>
        <v/>
      </c>
      <c r="CA977" s="451" t="n"/>
      <c r="CC977" s="429" t="n">
        <v>64</v>
      </c>
      <c r="CD977" s="431" t="n">
        <v>64</v>
      </c>
      <c r="CE977" s="688" t="n"/>
      <c r="CF977" s="431" t="inlineStr">
        <is>
          <t>Boolean</t>
        </is>
      </c>
      <c r="CG977" s="451" t="n"/>
      <c r="CH977" s="562">
        <f>'CIRCUIT SIM'!LK67</f>
        <v/>
      </c>
      <c r="CI977" s="451" t="n"/>
      <c r="CK977" s="429" t="n">
        <v>64</v>
      </c>
      <c r="CL977" s="431" t="n">
        <v>64</v>
      </c>
      <c r="CM977" s="565" t="n">
        <v>63</v>
      </c>
      <c r="CN977" s="431" t="inlineStr">
        <is>
          <t>Boolean</t>
        </is>
      </c>
      <c r="CO977" s="451" t="n"/>
      <c r="CP977" s="451">
        <f>'CIRCUIT SIM'!MA67</f>
        <v/>
      </c>
      <c r="CQ977" s="451" t="n"/>
      <c r="CS977" s="429" t="n">
        <v>64</v>
      </c>
      <c r="CT977" s="431" t="n">
        <v>64</v>
      </c>
      <c r="CU977" s="688" t="n"/>
      <c r="CV977" s="431" t="inlineStr">
        <is>
          <t>Boolean</t>
        </is>
      </c>
      <c r="CW977" s="451" t="n"/>
      <c r="CX977" s="451">
        <f>'CIRCUIT SIM'!MQ67</f>
        <v/>
      </c>
      <c r="CY977" s="451" t="n"/>
      <c r="DA977" s="429" t="n">
        <v>64</v>
      </c>
      <c r="DB977" s="431" t="n">
        <v>64</v>
      </c>
      <c r="DC977" s="688" t="n"/>
      <c r="DD977" s="431" t="inlineStr">
        <is>
          <t>Boolean</t>
        </is>
      </c>
      <c r="DE977" s="451" t="n"/>
      <c r="DF977" s="451">
        <f>'CIRCUIT SIM'!EX67</f>
        <v/>
      </c>
      <c r="DG977" s="451" t="n"/>
      <c r="DI977" s="429" t="n">
        <v>64</v>
      </c>
      <c r="DJ977" s="431" t="n">
        <v>64</v>
      </c>
      <c r="DK977" s="688" t="n"/>
      <c r="DL977" s="431" t="inlineStr">
        <is>
          <t>Boolean</t>
        </is>
      </c>
      <c r="DM977" s="429" t="n"/>
      <c r="DN977" s="451">
        <f>'CIRCUIT SIM'!FN67</f>
        <v/>
      </c>
      <c r="DO977" s="451" t="n"/>
      <c r="DQ977" s="429" t="n">
        <v>64</v>
      </c>
      <c r="DR977" s="431" t="n">
        <v>64</v>
      </c>
      <c r="DS977" s="688" t="n"/>
      <c r="DT977" s="431" t="inlineStr">
        <is>
          <t>Boolean</t>
        </is>
      </c>
      <c r="DU977" s="451" t="n"/>
      <c r="DV977" s="451">
        <f>'CIRCUIT SIM'!HT67</f>
        <v/>
      </c>
      <c r="DW977" s="451" t="n"/>
      <c r="DY977" s="429" t="n">
        <v>64</v>
      </c>
      <c r="DZ977" s="431" t="n">
        <v>64</v>
      </c>
      <c r="EA977" s="688" t="n"/>
      <c r="EB977" s="431" t="inlineStr">
        <is>
          <t>Boolean</t>
        </is>
      </c>
      <c r="EC977" s="451" t="n"/>
      <c r="ED977" s="335">
        <f>'CIRCUIT SIM'!GO67</f>
        <v/>
      </c>
      <c r="EE977" s="451" t="n"/>
      <c r="EG977" s="429" t="n">
        <v>64</v>
      </c>
      <c r="EH977" s="431" t="n">
        <v>64</v>
      </c>
      <c r="EI977" s="688" t="n"/>
      <c r="EJ977" s="431" t="inlineStr">
        <is>
          <t>Boolean</t>
        </is>
      </c>
      <c r="EK977" s="451" t="n"/>
      <c r="EL977" s="451">
        <f>'CIRCUIT SIM'!HD67</f>
        <v/>
      </c>
      <c r="EM977" s="451" t="n"/>
      <c r="EO977" s="429" t="n">
        <v>64</v>
      </c>
      <c r="EP977" s="431" t="n">
        <v>64</v>
      </c>
      <c r="EQ977" s="688" t="n"/>
      <c r="ER977" s="431" t="inlineStr">
        <is>
          <t>Boolean</t>
        </is>
      </c>
      <c r="ES977" s="451" t="n"/>
      <c r="ET977" s="451">
        <f>'CIRCUIT SIM'!HT67</f>
        <v/>
      </c>
      <c r="EU977" s="451" t="n"/>
      <c r="EW977" s="429" t="n">
        <v>64</v>
      </c>
      <c r="EX977" s="431" t="n">
        <v>64</v>
      </c>
      <c r="EY977" s="688" t="n"/>
      <c r="EZ977" s="431" t="n"/>
      <c r="FA977" s="451" t="n"/>
      <c r="FB977" s="451" t="n"/>
      <c r="FC977" s="451" t="n"/>
      <c r="FE977" s="429" t="n">
        <v>64</v>
      </c>
      <c r="FF977" s="431" t="n">
        <v>64</v>
      </c>
      <c r="FG977" s="688" t="n"/>
      <c r="FH977" s="431" t="n"/>
      <c r="FI977" s="451" t="n"/>
      <c r="FJ977" s="451" t="n"/>
      <c r="FK977" s="451" t="n"/>
      <c r="FM977" s="429" t="n">
        <v>64</v>
      </c>
      <c r="FN977" s="431" t="n">
        <v>64</v>
      </c>
      <c r="FO977" s="688" t="n"/>
      <c r="FP977" s="431" t="n"/>
      <c r="FQ977" s="451" t="n"/>
      <c r="FR977" s="451">
        <f>'CIRCUIT SIM'!KY67</f>
        <v/>
      </c>
      <c r="FS977" s="451" t="n"/>
      <c r="FU977" s="429" t="n">
        <v>64</v>
      </c>
      <c r="FV977" s="431" t="n">
        <v>64</v>
      </c>
      <c r="FW977" s="688" t="n"/>
      <c r="FX977" s="431" t="n"/>
      <c r="FY977" s="451" t="n"/>
      <c r="FZ977" s="562">
        <f>'CIRCUIT SIM'!JG67</f>
        <v/>
      </c>
      <c r="GA977" s="451" t="n"/>
      <c r="GC977" s="429" t="n">
        <v>64</v>
      </c>
      <c r="GD977" s="431" t="n">
        <v>64</v>
      </c>
      <c r="GE977" s="688" t="n"/>
      <c r="GF977" s="431" t="n"/>
      <c r="GG977" s="451" t="n"/>
      <c r="GH977" s="451" t="n"/>
      <c r="GI977" s="451" t="n"/>
      <c r="GK977" s="429" t="n">
        <v>64</v>
      </c>
      <c r="GL977" s="431" t="n">
        <v>64</v>
      </c>
      <c r="GM977" s="688" t="n"/>
      <c r="GN977" s="431" t="n"/>
      <c r="GO977" s="451" t="n"/>
      <c r="GP977" s="451" t="n"/>
      <c r="GQ977" s="451" t="n"/>
      <c r="GS977" s="429" t="n">
        <v>64</v>
      </c>
      <c r="GT977" s="431" t="n">
        <v>64</v>
      </c>
      <c r="GU977" s="688" t="n"/>
      <c r="GV977" s="431" t="n"/>
      <c r="GW977" s="451" t="n"/>
      <c r="GX977" s="451">
        <f>'CIRCUIT SIM'!KY67</f>
        <v/>
      </c>
      <c r="GY977" s="451" t="n"/>
      <c r="HA977" s="429" t="n">
        <v>64</v>
      </c>
      <c r="HB977" s="431" t="n">
        <v>64</v>
      </c>
      <c r="HC977" s="688" t="n"/>
      <c r="HD977" s="431" t="n"/>
      <c r="HE977" s="451" t="n"/>
      <c r="HF977" s="451" t="inlineStr">
        <is>
          <t> </t>
        </is>
      </c>
      <c r="HG977" s="451" t="n"/>
    </row>
    <row r="978">
      <c r="A978" s="429" t="n">
        <v>65</v>
      </c>
      <c r="B978" s="431" t="n">
        <v>65</v>
      </c>
      <c r="C978" s="688" t="n"/>
      <c r="D978" s="431" t="inlineStr">
        <is>
          <t>Boolean</t>
        </is>
      </c>
      <c r="E978" s="429" t="n"/>
      <c r="F978" s="422">
        <f>'CIRCUIT SIM'!J68</f>
        <v/>
      </c>
      <c r="G978" s="429" t="n"/>
      <c r="I978" s="429" t="n">
        <v>65</v>
      </c>
      <c r="J978" s="431" t="n">
        <v>65</v>
      </c>
      <c r="K978" s="429" t="n"/>
      <c r="L978" s="431" t="inlineStr">
        <is>
          <t>Boolean</t>
        </is>
      </c>
      <c r="M978" s="451" t="n"/>
      <c r="N978" s="422">
        <f>'CIRCUIT SIM'!Y68</f>
        <v/>
      </c>
      <c r="O978" s="451" t="n"/>
      <c r="Q978" s="429" t="n">
        <v>65</v>
      </c>
      <c r="R978" s="431" t="n">
        <v>65</v>
      </c>
      <c r="S978" s="429" t="n"/>
      <c r="T978" s="431" t="inlineStr">
        <is>
          <t>Boolean</t>
        </is>
      </c>
      <c r="U978" s="429" t="n"/>
      <c r="V978" s="386">
        <f>'CIRCUIT SIM'!AO68</f>
        <v/>
      </c>
      <c r="W978" s="451" t="n"/>
      <c r="Y978" s="429" t="n">
        <v>65</v>
      </c>
      <c r="Z978" s="431" t="n">
        <v>65</v>
      </c>
      <c r="AA978" s="429" t="n"/>
      <c r="AB978" s="431" t="n"/>
      <c r="AC978" s="451" t="n"/>
      <c r="AD978" s="451" t="n"/>
      <c r="AE978" s="451" t="n"/>
      <c r="AG978" s="429" t="n">
        <v>65</v>
      </c>
      <c r="AH978" s="431" t="n">
        <v>65</v>
      </c>
      <c r="AI978" s="429" t="n"/>
      <c r="AJ978" s="431" t="inlineStr">
        <is>
          <t>Boolean</t>
        </is>
      </c>
      <c r="AK978" s="451" t="n"/>
      <c r="AL978" s="450">
        <f>'CIRCUIT SIM'!CR68</f>
        <v/>
      </c>
      <c r="AM978" s="451" t="n"/>
      <c r="AO978" s="429" t="n">
        <v>65</v>
      </c>
      <c r="AP978" s="431" t="n">
        <v>65</v>
      </c>
      <c r="AQ978" s="429" t="n"/>
      <c r="AR978" s="431" t="inlineStr">
        <is>
          <t>Boolean</t>
        </is>
      </c>
      <c r="AS978" s="451" t="n"/>
      <c r="AT978" s="386">
        <f>'CIRCUIT SIM'!BR68</f>
        <v/>
      </c>
      <c r="AU978" s="451" t="n"/>
      <c r="AW978" s="429" t="n">
        <v>65</v>
      </c>
      <c r="AX978" s="431" t="n">
        <v>65</v>
      </c>
      <c r="AY978" s="429" t="n"/>
      <c r="AZ978" s="431" t="inlineStr">
        <is>
          <t>Boolean</t>
        </is>
      </c>
      <c r="BA978" s="451" t="n"/>
      <c r="BB978" s="451">
        <f>'CIRCUIT SIM'!CG68</f>
        <v/>
      </c>
      <c r="BC978" s="451" t="n"/>
      <c r="BE978" s="429" t="n">
        <v>65</v>
      </c>
      <c r="BF978" s="431" t="n"/>
      <c r="BG978" s="429" t="n"/>
      <c r="BH978" s="431" t="n"/>
      <c r="BI978" s="451" t="n"/>
      <c r="BJ978" s="451" t="n"/>
      <c r="BK978" s="451" t="n"/>
      <c r="BM978" s="429" t="n">
        <v>65</v>
      </c>
      <c r="BN978" s="431" t="n">
        <v>65</v>
      </c>
      <c r="BO978" s="429" t="n"/>
      <c r="BP978" s="431" t="inlineStr">
        <is>
          <t>Boolean</t>
        </is>
      </c>
      <c r="BQ978" s="451" t="n"/>
      <c r="BR978" s="451">
        <f>'CIRCUIT SIM'!DT68</f>
        <v/>
      </c>
      <c r="BS978" s="451" t="n"/>
      <c r="BU978" s="429" t="n">
        <v>65</v>
      </c>
      <c r="BV978" s="431" t="n">
        <v>65</v>
      </c>
      <c r="BW978" s="429" t="n"/>
      <c r="BX978" s="431" t="n"/>
      <c r="BY978" s="451" t="n"/>
      <c r="BZ978" s="451">
        <f>'CIRCUIT SIM'!EI68</f>
        <v/>
      </c>
      <c r="CA978" s="451" t="n"/>
      <c r="CC978" s="429" t="n">
        <v>65</v>
      </c>
      <c r="CD978" s="431" t="n">
        <v>65</v>
      </c>
      <c r="CE978" s="688" t="n"/>
      <c r="CF978" s="431" t="inlineStr">
        <is>
          <t>Boolean</t>
        </is>
      </c>
      <c r="CG978" s="451" t="n"/>
      <c r="CH978" s="562">
        <f>'CIRCUIT SIM'!LK68</f>
        <v/>
      </c>
      <c r="CI978" s="451" t="n"/>
      <c r="CK978" s="429" t="n">
        <v>65</v>
      </c>
      <c r="CL978" s="431" t="n">
        <v>65</v>
      </c>
      <c r="CM978" s="565" t="n">
        <v>64</v>
      </c>
      <c r="CN978" s="431" t="inlineStr">
        <is>
          <t>Boolean</t>
        </is>
      </c>
      <c r="CO978" s="451" t="n"/>
      <c r="CP978" s="451">
        <f>'CIRCUIT SIM'!MA68</f>
        <v/>
      </c>
      <c r="CQ978" s="451" t="n"/>
      <c r="CS978" s="429" t="n">
        <v>65</v>
      </c>
      <c r="CT978" s="431" t="n">
        <v>65</v>
      </c>
      <c r="CU978" s="688" t="n"/>
      <c r="CV978" s="431" t="inlineStr">
        <is>
          <t>Boolean</t>
        </is>
      </c>
      <c r="CW978" s="451" t="n"/>
      <c r="CX978" s="451">
        <f>'CIRCUIT SIM'!MQ68</f>
        <v/>
      </c>
      <c r="CY978" s="451" t="n"/>
      <c r="DA978" s="429" t="n">
        <v>65</v>
      </c>
      <c r="DB978" s="431" t="n">
        <v>65</v>
      </c>
      <c r="DC978" s="688" t="n"/>
      <c r="DD978" s="431" t="inlineStr">
        <is>
          <t>Boolean</t>
        </is>
      </c>
      <c r="DE978" s="451" t="n"/>
      <c r="DF978" s="451">
        <f>'CIRCUIT SIM'!EX68</f>
        <v/>
      </c>
      <c r="DG978" s="451" t="n"/>
      <c r="DI978" s="429" t="n">
        <v>65</v>
      </c>
      <c r="DJ978" s="431" t="n">
        <v>65</v>
      </c>
      <c r="DK978" s="688" t="n"/>
      <c r="DL978" s="431" t="inlineStr">
        <is>
          <t>Boolean</t>
        </is>
      </c>
      <c r="DM978" s="429" t="n"/>
      <c r="DN978" s="451">
        <f>'CIRCUIT SIM'!FN68</f>
        <v/>
      </c>
      <c r="DO978" s="451" t="n"/>
      <c r="DQ978" s="429" t="n">
        <v>65</v>
      </c>
      <c r="DR978" s="431" t="n">
        <v>65</v>
      </c>
      <c r="DS978" s="688" t="n"/>
      <c r="DT978" s="431" t="inlineStr">
        <is>
          <t>Boolean</t>
        </is>
      </c>
      <c r="DU978" s="451" t="n"/>
      <c r="DV978" s="451">
        <f>'CIRCUIT SIM'!HT68</f>
        <v/>
      </c>
      <c r="DW978" s="451" t="n"/>
      <c r="DY978" s="429" t="n">
        <v>65</v>
      </c>
      <c r="DZ978" s="431" t="n">
        <v>65</v>
      </c>
      <c r="EA978" s="688" t="n"/>
      <c r="EB978" s="431" t="inlineStr">
        <is>
          <t>Boolean</t>
        </is>
      </c>
      <c r="EC978" s="451" t="n"/>
      <c r="ED978" s="335">
        <f>'CIRCUIT SIM'!GO68</f>
        <v/>
      </c>
      <c r="EE978" s="451" t="n"/>
      <c r="EG978" s="429" t="n">
        <v>65</v>
      </c>
      <c r="EH978" s="431" t="n">
        <v>65</v>
      </c>
      <c r="EI978" s="688" t="n"/>
      <c r="EJ978" s="431" t="inlineStr">
        <is>
          <t>Boolean</t>
        </is>
      </c>
      <c r="EK978" s="451" t="n"/>
      <c r="EL978" s="451">
        <f>'CIRCUIT SIM'!HD68</f>
        <v/>
      </c>
      <c r="EM978" s="451" t="n"/>
      <c r="EO978" s="429" t="n">
        <v>65</v>
      </c>
      <c r="EP978" s="431" t="n">
        <v>65</v>
      </c>
      <c r="EQ978" s="688" t="n">
        <v>64</v>
      </c>
      <c r="ER978" s="431" t="inlineStr">
        <is>
          <t>Boolean</t>
        </is>
      </c>
      <c r="ES978" s="451" t="n"/>
      <c r="ET978" s="451">
        <f>'CIRCUIT SIM'!HT68</f>
        <v/>
      </c>
      <c r="EU978" s="451" t="n"/>
      <c r="EW978" s="429" t="n">
        <v>65</v>
      </c>
      <c r="EX978" s="431" t="n">
        <v>65</v>
      </c>
      <c r="EY978" s="688" t="n"/>
      <c r="EZ978" s="431" t="n"/>
      <c r="FA978" s="451" t="n"/>
      <c r="FB978" s="451" t="n"/>
      <c r="FC978" s="451" t="n"/>
      <c r="FE978" s="429" t="n">
        <v>65</v>
      </c>
      <c r="FF978" s="431" t="n">
        <v>65</v>
      </c>
      <c r="FG978" s="688" t="n"/>
      <c r="FH978" s="431" t="n"/>
      <c r="FI978" s="451" t="n"/>
      <c r="FJ978" s="451" t="n"/>
      <c r="FK978" s="451" t="n"/>
      <c r="FM978" s="429" t="n">
        <v>65</v>
      </c>
      <c r="FN978" s="431" t="n">
        <v>65</v>
      </c>
      <c r="FO978" s="688" t="n"/>
      <c r="FP978" s="431" t="n"/>
      <c r="FQ978" s="451" t="n"/>
      <c r="FR978" s="451">
        <f>'CIRCUIT SIM'!KY68</f>
        <v/>
      </c>
      <c r="FS978" s="451" t="n"/>
      <c r="FU978" s="429" t="n">
        <v>65</v>
      </c>
      <c r="FV978" s="431" t="n">
        <v>65</v>
      </c>
      <c r="FW978" s="688" t="n"/>
      <c r="FX978" s="431" t="n"/>
      <c r="FY978" s="451" t="n"/>
      <c r="FZ978" s="562">
        <f>'CIRCUIT SIM'!JG68</f>
        <v/>
      </c>
      <c r="GA978" s="451" t="n"/>
      <c r="GC978" s="429" t="n">
        <v>65</v>
      </c>
      <c r="GD978" s="431" t="n">
        <v>65</v>
      </c>
      <c r="GE978" s="688" t="n"/>
      <c r="GF978" s="431" t="n"/>
      <c r="GG978" s="451" t="n"/>
      <c r="GH978" s="451" t="n"/>
      <c r="GI978" s="451" t="n"/>
      <c r="GK978" s="429" t="n">
        <v>65</v>
      </c>
      <c r="GL978" s="431" t="n">
        <v>65</v>
      </c>
      <c r="GM978" s="688" t="n"/>
      <c r="GN978" s="431" t="n"/>
      <c r="GO978" s="451" t="n"/>
      <c r="GP978" s="451" t="n"/>
      <c r="GQ978" s="451" t="n"/>
      <c r="GS978" s="429" t="n">
        <v>65</v>
      </c>
      <c r="GT978" s="431" t="n">
        <v>65</v>
      </c>
      <c r="GU978" s="688" t="n"/>
      <c r="GV978" s="431" t="n"/>
      <c r="GW978" s="451" t="n"/>
      <c r="GX978" s="451">
        <f>'CIRCUIT SIM'!KY68</f>
        <v/>
      </c>
      <c r="GY978" s="451" t="n"/>
      <c r="HA978" s="429" t="n">
        <v>65</v>
      </c>
      <c r="HB978" s="431" t="n">
        <v>65</v>
      </c>
      <c r="HC978" s="688" t="n"/>
      <c r="HD978" s="431" t="n"/>
      <c r="HE978" s="451" t="n"/>
      <c r="HF978" s="451" t="n"/>
      <c r="HG978" s="451" t="n"/>
    </row>
    <row r="979">
      <c r="A979" s="429" t="n">
        <v>66</v>
      </c>
      <c r="B979" s="431" t="n">
        <v>66</v>
      </c>
      <c r="C979" s="688" t="n"/>
      <c r="D979" s="431" t="inlineStr">
        <is>
          <t>Boolean</t>
        </is>
      </c>
      <c r="E979" s="429" t="n"/>
      <c r="F979" s="422">
        <f>'CIRCUIT SIM'!J69</f>
        <v/>
      </c>
      <c r="G979" s="429" t="n"/>
      <c r="I979" s="429" t="n">
        <v>66</v>
      </c>
      <c r="J979" s="431" t="n">
        <v>66</v>
      </c>
      <c r="K979" s="429" t="n"/>
      <c r="L979" s="431" t="inlineStr">
        <is>
          <t>Boolean</t>
        </is>
      </c>
      <c r="M979" s="451" t="n"/>
      <c r="N979" s="422">
        <f>'CIRCUIT SIM'!Y69</f>
        <v/>
      </c>
      <c r="O979" s="451" t="n"/>
      <c r="Q979" s="429" t="n">
        <v>66</v>
      </c>
      <c r="R979" s="431" t="n">
        <v>66</v>
      </c>
      <c r="S979" s="429" t="n"/>
      <c r="T979" s="431" t="inlineStr">
        <is>
          <t>Boolean</t>
        </is>
      </c>
      <c r="U979" s="429" t="n"/>
      <c r="V979" s="386">
        <f>'CIRCUIT SIM'!AO69</f>
        <v/>
      </c>
      <c r="W979" s="451" t="n"/>
      <c r="Y979" s="429" t="n">
        <v>66</v>
      </c>
      <c r="Z979" s="431" t="n">
        <v>66</v>
      </c>
      <c r="AA979" s="429" t="n"/>
      <c r="AB979" s="431" t="n"/>
      <c r="AC979" s="451" t="n"/>
      <c r="AD979" s="451" t="n"/>
      <c r="AE979" s="451" t="n"/>
      <c r="AG979" s="429" t="n">
        <v>66</v>
      </c>
      <c r="AH979" s="431" t="n">
        <v>66</v>
      </c>
      <c r="AI979" s="429" t="n"/>
      <c r="AJ979" s="431" t="inlineStr">
        <is>
          <t>Boolean</t>
        </is>
      </c>
      <c r="AK979" s="451" t="n"/>
      <c r="AL979" s="450">
        <f>'CIRCUIT SIM'!CR69</f>
        <v/>
      </c>
      <c r="AM979" s="451" t="n"/>
      <c r="AO979" s="429" t="n">
        <v>66</v>
      </c>
      <c r="AP979" s="431" t="n">
        <v>66</v>
      </c>
      <c r="AQ979" s="429" t="n"/>
      <c r="AR979" s="431" t="inlineStr">
        <is>
          <t>Boolean</t>
        </is>
      </c>
      <c r="AS979" s="451" t="n"/>
      <c r="AT979" s="386">
        <f>'CIRCUIT SIM'!BR69</f>
        <v/>
      </c>
      <c r="AU979" s="451" t="n"/>
      <c r="AW979" s="429" t="n">
        <v>66</v>
      </c>
      <c r="AX979" s="431" t="n">
        <v>66</v>
      </c>
      <c r="AY979" s="429" t="n"/>
      <c r="AZ979" s="431" t="inlineStr">
        <is>
          <t>Boolean</t>
        </is>
      </c>
      <c r="BA979" s="451" t="n"/>
      <c r="BB979" s="451">
        <f>'CIRCUIT SIM'!CG69</f>
        <v/>
      </c>
      <c r="BC979" s="451" t="n"/>
      <c r="BE979" s="429" t="n">
        <v>66</v>
      </c>
      <c r="BF979" s="431" t="n"/>
      <c r="BG979" s="429" t="n"/>
      <c r="BH979" s="431" t="n"/>
      <c r="BI979" s="451" t="n"/>
      <c r="BJ979" s="451" t="n"/>
      <c r="BK979" s="451" t="n"/>
      <c r="BM979" s="429" t="n">
        <v>66</v>
      </c>
      <c r="BN979" s="431" t="n">
        <v>66</v>
      </c>
      <c r="BO979" s="429" t="n"/>
      <c r="BP979" s="431" t="inlineStr">
        <is>
          <t>Boolean</t>
        </is>
      </c>
      <c r="BQ979" s="451" t="n"/>
      <c r="BR979" s="451">
        <f>'CIRCUIT SIM'!DT69</f>
        <v/>
      </c>
      <c r="BS979" s="451" t="n"/>
      <c r="BU979" s="429" t="n">
        <v>66</v>
      </c>
      <c r="BV979" s="431" t="n">
        <v>66</v>
      </c>
      <c r="BW979" s="429" t="n"/>
      <c r="BX979" s="431" t="n"/>
      <c r="BY979" s="451" t="n"/>
      <c r="BZ979" s="451">
        <f>'CIRCUIT SIM'!EI69</f>
        <v/>
      </c>
      <c r="CA979" s="451" t="n"/>
      <c r="CC979" s="429" t="n">
        <v>66</v>
      </c>
      <c r="CD979" s="431" t="n">
        <v>66</v>
      </c>
      <c r="CE979" s="688" t="n"/>
      <c r="CF979" s="431" t="inlineStr">
        <is>
          <t>Boolean</t>
        </is>
      </c>
      <c r="CG979" s="451" t="n"/>
      <c r="CH979" s="562">
        <f>'CIRCUIT SIM'!LK69</f>
        <v/>
      </c>
      <c r="CI979" s="451" t="n"/>
      <c r="CK979" s="429" t="n">
        <v>66</v>
      </c>
      <c r="CL979" s="431" t="n">
        <v>66</v>
      </c>
      <c r="CM979" s="565" t="n">
        <v>65</v>
      </c>
      <c r="CN979" s="431" t="inlineStr">
        <is>
          <t>Boolean</t>
        </is>
      </c>
      <c r="CO979" s="451" t="n"/>
      <c r="CP979" s="451">
        <f>'CIRCUIT SIM'!MA69</f>
        <v/>
      </c>
      <c r="CQ979" s="451" t="n"/>
      <c r="CS979" s="429" t="n">
        <v>66</v>
      </c>
      <c r="CT979" s="431" t="n">
        <v>66</v>
      </c>
      <c r="CU979" s="688" t="n"/>
      <c r="CV979" s="431" t="inlineStr">
        <is>
          <t>Boolean</t>
        </is>
      </c>
      <c r="CW979" s="451" t="n"/>
      <c r="CX979" s="451">
        <f>'CIRCUIT SIM'!MQ69</f>
        <v/>
      </c>
      <c r="CY979" s="451" t="n"/>
      <c r="DA979" s="429" t="n">
        <v>66</v>
      </c>
      <c r="DB979" s="431" t="n">
        <v>66</v>
      </c>
      <c r="DC979" s="688" t="n"/>
      <c r="DD979" s="431" t="inlineStr">
        <is>
          <t>Boolean</t>
        </is>
      </c>
      <c r="DE979" s="451" t="n"/>
      <c r="DF979" s="451">
        <f>'CIRCUIT SIM'!EX69</f>
        <v/>
      </c>
      <c r="DG979" s="451" t="n"/>
      <c r="DI979" s="429" t="n">
        <v>66</v>
      </c>
      <c r="DJ979" s="431" t="n">
        <v>66</v>
      </c>
      <c r="DK979" s="688" t="n"/>
      <c r="DL979" s="431" t="inlineStr">
        <is>
          <t>Boolean</t>
        </is>
      </c>
      <c r="DM979" s="429" t="n"/>
      <c r="DN979" s="451">
        <f>'CIRCUIT SIM'!FN69</f>
        <v/>
      </c>
      <c r="DO979" s="451" t="n"/>
      <c r="DQ979" s="429" t="n">
        <v>66</v>
      </c>
      <c r="DR979" s="431" t="n">
        <v>66</v>
      </c>
      <c r="DS979" s="688" t="n"/>
      <c r="DT979" s="431" t="inlineStr">
        <is>
          <t>Boolean</t>
        </is>
      </c>
      <c r="DU979" s="451" t="n"/>
      <c r="DV979" s="451">
        <f>'CIRCUIT SIM'!HT69</f>
        <v/>
      </c>
      <c r="DW979" s="451" t="n"/>
      <c r="DY979" s="429" t="n">
        <v>66</v>
      </c>
      <c r="DZ979" s="431" t="n">
        <v>66</v>
      </c>
      <c r="EA979" s="688" t="n"/>
      <c r="EB979" s="431" t="inlineStr">
        <is>
          <t>Boolean</t>
        </is>
      </c>
      <c r="EC979" s="451" t="n"/>
      <c r="ED979" s="335">
        <f>'CIRCUIT SIM'!GO69</f>
        <v/>
      </c>
      <c r="EE979" s="451" t="n"/>
      <c r="EG979" s="429" t="n">
        <v>66</v>
      </c>
      <c r="EH979" s="431" t="n">
        <v>66</v>
      </c>
      <c r="EI979" s="688" t="n"/>
      <c r="EJ979" s="431" t="inlineStr">
        <is>
          <t>Boolean</t>
        </is>
      </c>
      <c r="EK979" s="451" t="n"/>
      <c r="EL979" s="451">
        <f>'CIRCUIT SIM'!HD69</f>
        <v/>
      </c>
      <c r="EM979" s="451" t="n"/>
      <c r="EO979" s="429" t="n">
        <v>66</v>
      </c>
      <c r="EP979" s="431" t="n">
        <v>66</v>
      </c>
      <c r="EQ979" s="688" t="n">
        <v>65</v>
      </c>
      <c r="ER979" s="431" t="inlineStr">
        <is>
          <t>Boolean</t>
        </is>
      </c>
      <c r="ES979" s="451" t="n"/>
      <c r="ET979" s="451">
        <f>'CIRCUIT SIM'!HT69</f>
        <v/>
      </c>
      <c r="EU979" s="451" t="n"/>
      <c r="EW979" s="429" t="n">
        <v>66</v>
      </c>
      <c r="EX979" s="431" t="n">
        <v>66</v>
      </c>
      <c r="EY979" s="688" t="n"/>
      <c r="EZ979" s="431" t="n"/>
      <c r="FA979" s="451" t="n"/>
      <c r="FB979" s="451" t="n"/>
      <c r="FC979" s="451" t="n"/>
      <c r="FE979" s="429" t="n">
        <v>66</v>
      </c>
      <c r="FF979" s="431" t="n">
        <v>66</v>
      </c>
      <c r="FG979" s="688" t="n"/>
      <c r="FH979" s="431" t="n"/>
      <c r="FI979" s="451" t="n"/>
      <c r="FJ979" s="451" t="n"/>
      <c r="FK979" s="451" t="n"/>
      <c r="FM979" s="429" t="n">
        <v>66</v>
      </c>
      <c r="FN979" s="431" t="n">
        <v>66</v>
      </c>
      <c r="FO979" s="688" t="n"/>
      <c r="FP979" s="431" t="n"/>
      <c r="FQ979" s="451" t="n"/>
      <c r="FR979" s="451">
        <f>'CIRCUIT SIM'!KY69</f>
        <v/>
      </c>
      <c r="FS979" s="451" t="n"/>
      <c r="FU979" s="429" t="n">
        <v>66</v>
      </c>
      <c r="FV979" s="431" t="n">
        <v>66</v>
      </c>
      <c r="FW979" s="688" t="n"/>
      <c r="FX979" s="431" t="n"/>
      <c r="FY979" s="451" t="n"/>
      <c r="FZ979" s="562">
        <f>'CIRCUIT SIM'!JG69</f>
        <v/>
      </c>
      <c r="GA979" s="451" t="n"/>
      <c r="GC979" s="429" t="n">
        <v>66</v>
      </c>
      <c r="GD979" s="431" t="n">
        <v>66</v>
      </c>
      <c r="GE979" s="688" t="n"/>
      <c r="GF979" s="431" t="n"/>
      <c r="GG979" s="451" t="n"/>
      <c r="GH979" s="451" t="n"/>
      <c r="GI979" s="451" t="n"/>
      <c r="GK979" s="429" t="n">
        <v>66</v>
      </c>
      <c r="GL979" s="431" t="n">
        <v>66</v>
      </c>
      <c r="GM979" s="688" t="n"/>
      <c r="GN979" s="431" t="n"/>
      <c r="GO979" s="451" t="n"/>
      <c r="GP979" s="451" t="n"/>
      <c r="GQ979" s="451" t="n"/>
      <c r="GS979" s="429" t="n">
        <v>66</v>
      </c>
      <c r="GT979" s="431" t="n">
        <v>66</v>
      </c>
      <c r="GU979" s="688" t="n"/>
      <c r="GV979" s="431" t="n"/>
      <c r="GW979" s="451" t="n"/>
      <c r="GX979" s="451">
        <f>'CIRCUIT SIM'!KY69</f>
        <v/>
      </c>
      <c r="GY979" s="451" t="n"/>
      <c r="HA979" s="429" t="n">
        <v>66</v>
      </c>
      <c r="HB979" s="431" t="n">
        <v>66</v>
      </c>
      <c r="HC979" s="688" t="n"/>
      <c r="HD979" s="431" t="n"/>
      <c r="HE979" s="451" t="n"/>
      <c r="HF979" s="451" t="n"/>
      <c r="HG979" s="451" t="n"/>
    </row>
    <row r="980">
      <c r="A980" s="429" t="n">
        <v>67</v>
      </c>
      <c r="B980" s="431" t="n">
        <v>67</v>
      </c>
      <c r="C980" s="688" t="n"/>
      <c r="D980" s="431" t="inlineStr">
        <is>
          <t>Boolean</t>
        </is>
      </c>
      <c r="E980" s="429" t="n"/>
      <c r="F980" s="422">
        <f>'CIRCUIT SIM'!J70</f>
        <v/>
      </c>
      <c r="G980" s="429" t="n"/>
      <c r="I980" s="429" t="n">
        <v>67</v>
      </c>
      <c r="J980" s="431" t="n">
        <v>67</v>
      </c>
      <c r="K980" s="429" t="n"/>
      <c r="L980" s="431" t="inlineStr">
        <is>
          <t>Boolean</t>
        </is>
      </c>
      <c r="M980" s="451" t="n"/>
      <c r="N980" s="422">
        <f>'CIRCUIT SIM'!Y70</f>
        <v/>
      </c>
      <c r="O980" s="451" t="n"/>
      <c r="Q980" s="429" t="n">
        <v>67</v>
      </c>
      <c r="R980" s="431" t="n">
        <v>67</v>
      </c>
      <c r="S980" s="429" t="n"/>
      <c r="T980" s="431" t="inlineStr">
        <is>
          <t>Boolean</t>
        </is>
      </c>
      <c r="U980" s="429" t="n"/>
      <c r="V980" s="386">
        <f>'CIRCUIT SIM'!AO70</f>
        <v/>
      </c>
      <c r="W980" s="451" t="n"/>
      <c r="Y980" s="429" t="n">
        <v>67</v>
      </c>
      <c r="Z980" s="431" t="n">
        <v>67</v>
      </c>
      <c r="AA980" s="429" t="n"/>
      <c r="AB980" s="431" t="n"/>
      <c r="AC980" s="451" t="n"/>
      <c r="AD980" s="451" t="n"/>
      <c r="AE980" s="451" t="n"/>
      <c r="AG980" s="429" t="n">
        <v>67</v>
      </c>
      <c r="AH980" s="431" t="n">
        <v>67</v>
      </c>
      <c r="AI980" s="429" t="n"/>
      <c r="AJ980" s="431" t="inlineStr">
        <is>
          <t>Boolean</t>
        </is>
      </c>
      <c r="AK980" s="451" t="n"/>
      <c r="AL980" s="450">
        <f>'CIRCUIT SIM'!CR70</f>
        <v/>
      </c>
      <c r="AM980" s="451" t="n"/>
      <c r="AO980" s="429" t="n">
        <v>67</v>
      </c>
      <c r="AP980" s="431" t="n">
        <v>67</v>
      </c>
      <c r="AQ980" s="429" t="n"/>
      <c r="AR980" s="431" t="inlineStr">
        <is>
          <t>Boolean</t>
        </is>
      </c>
      <c r="AS980" s="451" t="n"/>
      <c r="AT980" s="386">
        <f>'CIRCUIT SIM'!BR70</f>
        <v/>
      </c>
      <c r="AU980" s="451" t="n"/>
      <c r="AW980" s="429" t="n">
        <v>67</v>
      </c>
      <c r="AX980" s="431" t="n">
        <v>67</v>
      </c>
      <c r="AY980" s="429" t="n"/>
      <c r="AZ980" s="431" t="inlineStr">
        <is>
          <t>Boolean</t>
        </is>
      </c>
      <c r="BA980" s="451" t="n"/>
      <c r="BB980" s="451">
        <f>'CIRCUIT SIM'!CG70</f>
        <v/>
      </c>
      <c r="BC980" s="451" t="n"/>
      <c r="BE980" s="429" t="n">
        <v>67</v>
      </c>
      <c r="BF980" s="431" t="n"/>
      <c r="BG980" s="429" t="n"/>
      <c r="BH980" s="431" t="n"/>
      <c r="BI980" s="451" t="n"/>
      <c r="BJ980" s="451" t="n"/>
      <c r="BK980" s="451" t="n"/>
      <c r="BM980" s="429" t="n">
        <v>67</v>
      </c>
      <c r="BN980" s="431" t="n">
        <v>67</v>
      </c>
      <c r="BO980" s="429" t="n"/>
      <c r="BP980" s="431" t="inlineStr">
        <is>
          <t>Boolean</t>
        </is>
      </c>
      <c r="BQ980" s="451" t="n"/>
      <c r="BR980" s="451">
        <f>'CIRCUIT SIM'!DT70</f>
        <v/>
      </c>
      <c r="BS980" s="451" t="n"/>
      <c r="BU980" s="429" t="n">
        <v>67</v>
      </c>
      <c r="BV980" s="431" t="n">
        <v>67</v>
      </c>
      <c r="BW980" s="429" t="n"/>
      <c r="BX980" s="431" t="n"/>
      <c r="BY980" s="451" t="n"/>
      <c r="BZ980" s="451">
        <f>'CIRCUIT SIM'!EI70</f>
        <v/>
      </c>
      <c r="CA980" s="451" t="n"/>
      <c r="CC980" s="429" t="n">
        <v>67</v>
      </c>
      <c r="CD980" s="431" t="n">
        <v>67</v>
      </c>
      <c r="CE980" s="688" t="n"/>
      <c r="CF980" s="431" t="inlineStr">
        <is>
          <t>Boolean</t>
        </is>
      </c>
      <c r="CG980" s="451" t="n"/>
      <c r="CH980" s="562">
        <f>'CIRCUIT SIM'!LK70</f>
        <v/>
      </c>
      <c r="CI980" s="451" t="n"/>
      <c r="CK980" s="429" t="n">
        <v>67</v>
      </c>
      <c r="CL980" s="431" t="n">
        <v>67</v>
      </c>
      <c r="CM980" s="565" t="n">
        <v>66</v>
      </c>
      <c r="CN980" s="431" t="inlineStr">
        <is>
          <t>Boolean</t>
        </is>
      </c>
      <c r="CO980" s="451" t="n"/>
      <c r="CP980" s="451">
        <f>'CIRCUIT SIM'!MA70</f>
        <v/>
      </c>
      <c r="CQ980" s="451" t="n"/>
      <c r="CS980" s="429" t="n">
        <v>67</v>
      </c>
      <c r="CT980" s="431" t="n">
        <v>67</v>
      </c>
      <c r="CU980" s="688" t="n"/>
      <c r="CV980" s="431" t="inlineStr">
        <is>
          <t>Boolean</t>
        </is>
      </c>
      <c r="CW980" s="451" t="n"/>
      <c r="CX980" s="451">
        <f>'CIRCUIT SIM'!MQ70</f>
        <v/>
      </c>
      <c r="CY980" s="451" t="n"/>
      <c r="DA980" s="429" t="n">
        <v>67</v>
      </c>
      <c r="DB980" s="431" t="n">
        <v>67</v>
      </c>
      <c r="DC980" s="688" t="n"/>
      <c r="DD980" s="431" t="n"/>
      <c r="DE980" s="451" t="n"/>
      <c r="DF980" s="451">
        <f>'CIRCUIT SIM'!EX70</f>
        <v/>
      </c>
      <c r="DG980" s="451" t="n"/>
      <c r="DI980" s="429" t="n">
        <v>67</v>
      </c>
      <c r="DJ980" s="431" t="n">
        <v>67</v>
      </c>
      <c r="DK980" s="688" t="n"/>
      <c r="DL980" s="431" t="n"/>
      <c r="DM980" s="429" t="n"/>
      <c r="DN980" s="451">
        <f>'CIRCUIT SIM'!FN70</f>
        <v/>
      </c>
      <c r="DO980" s="451" t="n"/>
      <c r="DQ980" s="429" t="n">
        <v>67</v>
      </c>
      <c r="DR980" s="431" t="n">
        <v>67</v>
      </c>
      <c r="DS980" s="688" t="n"/>
      <c r="DT980" s="431" t="inlineStr">
        <is>
          <t>Boolean</t>
        </is>
      </c>
      <c r="DU980" s="451" t="n"/>
      <c r="DV980" s="451">
        <f>'CIRCUIT SIM'!HT70</f>
        <v/>
      </c>
      <c r="DW980" s="451" t="n"/>
      <c r="DY980" s="429" t="n">
        <v>67</v>
      </c>
      <c r="DZ980" s="431" t="n">
        <v>67</v>
      </c>
      <c r="EA980" s="688" t="n"/>
      <c r="EB980" s="431" t="inlineStr">
        <is>
          <t>Boolean</t>
        </is>
      </c>
      <c r="EC980" s="451" t="n"/>
      <c r="ED980" s="335">
        <f>'CIRCUIT SIM'!GO70</f>
        <v/>
      </c>
      <c r="EE980" s="451" t="n"/>
      <c r="EG980" s="429" t="n">
        <v>67</v>
      </c>
      <c r="EH980" s="431" t="n">
        <v>67</v>
      </c>
      <c r="EI980" s="688" t="n"/>
      <c r="EJ980" s="431" t="inlineStr">
        <is>
          <t>Boolean</t>
        </is>
      </c>
      <c r="EK980" s="451" t="n"/>
      <c r="EL980" s="451">
        <f>'CIRCUIT SIM'!HD70</f>
        <v/>
      </c>
      <c r="EM980" s="451" t="n"/>
      <c r="EO980" s="429" t="n">
        <v>67</v>
      </c>
      <c r="EP980" s="431" t="n">
        <v>67</v>
      </c>
      <c r="EQ980" s="688" t="n">
        <v>66</v>
      </c>
      <c r="ER980" s="431" t="inlineStr">
        <is>
          <t>Boolean</t>
        </is>
      </c>
      <c r="ES980" s="451" t="n"/>
      <c r="ET980" s="451">
        <f>'CIRCUIT SIM'!HT70</f>
        <v/>
      </c>
      <c r="EU980" s="451" t="inlineStr">
        <is>
          <t> </t>
        </is>
      </c>
      <c r="EW980" s="429" t="n">
        <v>67</v>
      </c>
      <c r="EX980" s="431" t="n">
        <v>67</v>
      </c>
      <c r="EY980" s="688" t="n"/>
      <c r="EZ980" s="431" t="n"/>
      <c r="FA980" s="451" t="n"/>
      <c r="FB980" s="451" t="n"/>
      <c r="FC980" s="451" t="n"/>
      <c r="FE980" s="429" t="n">
        <v>67</v>
      </c>
      <c r="FF980" s="431" t="n">
        <v>67</v>
      </c>
      <c r="FG980" s="688" t="n"/>
      <c r="FH980" s="431" t="n"/>
      <c r="FI980" s="451" t="n"/>
      <c r="FJ980" s="451" t="n"/>
      <c r="FK980" s="451" t="n"/>
      <c r="FM980" s="429" t="n">
        <v>67</v>
      </c>
      <c r="FN980" s="431" t="n">
        <v>67</v>
      </c>
      <c r="FO980" s="688" t="n"/>
      <c r="FP980" s="431" t="n"/>
      <c r="FQ980" s="451" t="n"/>
      <c r="FR980" s="451">
        <f>'CIRCUIT SIM'!KY70</f>
        <v/>
      </c>
      <c r="FS980" s="451" t="n"/>
      <c r="FU980" s="429" t="n">
        <v>67</v>
      </c>
      <c r="FV980" s="431" t="n">
        <v>67</v>
      </c>
      <c r="FW980" s="688" t="n"/>
      <c r="FX980" s="431" t="n"/>
      <c r="FY980" s="451" t="n"/>
      <c r="FZ980" s="562">
        <f>'CIRCUIT SIM'!JG70</f>
        <v/>
      </c>
      <c r="GA980" s="451" t="n"/>
      <c r="GC980" s="429" t="n">
        <v>67</v>
      </c>
      <c r="GD980" s="431" t="n">
        <v>67</v>
      </c>
      <c r="GE980" s="688" t="n"/>
      <c r="GF980" s="431" t="n"/>
      <c r="GG980" s="451" t="n"/>
      <c r="GH980" s="451" t="n"/>
      <c r="GI980" s="451" t="n"/>
      <c r="GK980" s="429" t="n">
        <v>67</v>
      </c>
      <c r="GL980" s="431" t="n">
        <v>67</v>
      </c>
      <c r="GM980" s="688" t="n"/>
      <c r="GN980" s="431" t="n"/>
      <c r="GO980" s="451" t="n"/>
      <c r="GP980" s="451" t="n"/>
      <c r="GQ980" s="451" t="n"/>
      <c r="GS980" s="429" t="n">
        <v>67</v>
      </c>
      <c r="GT980" s="431" t="n">
        <v>67</v>
      </c>
      <c r="GU980" s="688" t="n"/>
      <c r="GV980" s="431" t="n"/>
      <c r="GW980" s="451" t="n"/>
      <c r="GX980" s="451">
        <f>'CIRCUIT SIM'!KY70</f>
        <v/>
      </c>
      <c r="GY980" s="451" t="n"/>
      <c r="HA980" s="429" t="n">
        <v>67</v>
      </c>
      <c r="HB980" s="431" t="n">
        <v>67</v>
      </c>
      <c r="HC980" s="688" t="n"/>
      <c r="HD980" s="431" t="n"/>
      <c r="HE980" s="451" t="n"/>
      <c r="HF980" s="451" t="n"/>
      <c r="HG980" s="451" t="n"/>
    </row>
    <row r="981">
      <c r="A981" s="429" t="n">
        <v>68</v>
      </c>
      <c r="B981" s="431" t="n">
        <v>68</v>
      </c>
      <c r="C981" s="688" t="n"/>
      <c r="D981" s="431" t="inlineStr">
        <is>
          <t>Boolean</t>
        </is>
      </c>
      <c r="E981" s="429" t="n"/>
      <c r="F981" s="422">
        <f>'CIRCUIT SIM'!J71</f>
        <v/>
      </c>
      <c r="G981" s="429" t="n"/>
      <c r="I981" s="429" t="n">
        <v>68</v>
      </c>
      <c r="J981" s="431" t="n">
        <v>68</v>
      </c>
      <c r="K981" s="429" t="n"/>
      <c r="L981" s="431" t="inlineStr">
        <is>
          <t>Boolean</t>
        </is>
      </c>
      <c r="M981" s="451" t="n"/>
      <c r="N981" s="422">
        <f>'CIRCUIT SIM'!Y71</f>
        <v/>
      </c>
      <c r="O981" s="451" t="n"/>
      <c r="Q981" s="429" t="n">
        <v>68</v>
      </c>
      <c r="R981" s="431" t="n">
        <v>68</v>
      </c>
      <c r="S981" s="429" t="n"/>
      <c r="T981" s="431" t="inlineStr">
        <is>
          <t>Boolean</t>
        </is>
      </c>
      <c r="U981" s="429" t="n"/>
      <c r="V981" s="386">
        <f>'CIRCUIT SIM'!AO71</f>
        <v/>
      </c>
      <c r="W981" s="451" t="n"/>
      <c r="Y981" s="429" t="n">
        <v>68</v>
      </c>
      <c r="Z981" s="431" t="n">
        <v>68</v>
      </c>
      <c r="AA981" s="429" t="n"/>
      <c r="AB981" s="431" t="n"/>
      <c r="AC981" s="451" t="n"/>
      <c r="AD981" s="451" t="n"/>
      <c r="AE981" s="451" t="n"/>
      <c r="AG981" s="429" t="n">
        <v>68</v>
      </c>
      <c r="AH981" s="431" t="n">
        <v>68</v>
      </c>
      <c r="AI981" s="429" t="n"/>
      <c r="AJ981" s="431" t="inlineStr">
        <is>
          <t>Boolean</t>
        </is>
      </c>
      <c r="AK981" s="451" t="n"/>
      <c r="AL981" s="450">
        <f>'CIRCUIT SIM'!CR71</f>
        <v/>
      </c>
      <c r="AM981" s="451" t="inlineStr">
        <is>
          <t> </t>
        </is>
      </c>
      <c r="AO981" s="429" t="n">
        <v>68</v>
      </c>
      <c r="AP981" s="431" t="n">
        <v>68</v>
      </c>
      <c r="AQ981" s="429" t="n"/>
      <c r="AR981" s="431" t="inlineStr">
        <is>
          <t>Boolean</t>
        </is>
      </c>
      <c r="AS981" s="451" t="n"/>
      <c r="AT981" s="386">
        <f>'CIRCUIT SIM'!BR71</f>
        <v/>
      </c>
      <c r="AU981" s="451" t="n"/>
      <c r="AW981" s="429" t="n">
        <v>68</v>
      </c>
      <c r="AX981" s="431" t="n">
        <v>68</v>
      </c>
      <c r="AY981" s="429" t="n"/>
      <c r="AZ981" s="431" t="inlineStr">
        <is>
          <t>Boolean</t>
        </is>
      </c>
      <c r="BA981" s="451" t="n"/>
      <c r="BB981" s="451">
        <f>'CIRCUIT SIM'!CG71</f>
        <v/>
      </c>
      <c r="BC981" s="451" t="n"/>
      <c r="BE981" s="429" t="n">
        <v>68</v>
      </c>
      <c r="BF981" s="431" t="n"/>
      <c r="BG981" s="429" t="n"/>
      <c r="BH981" s="431" t="n"/>
      <c r="BI981" s="451" t="n"/>
      <c r="BJ981" s="451" t="n"/>
      <c r="BK981" s="451" t="n"/>
      <c r="BM981" s="429" t="n">
        <v>68</v>
      </c>
      <c r="BN981" s="431" t="n">
        <v>68</v>
      </c>
      <c r="BO981" s="429" t="n"/>
      <c r="BP981" s="431" t="inlineStr">
        <is>
          <t>Boolean</t>
        </is>
      </c>
      <c r="BQ981" s="451" t="n"/>
      <c r="BR981" s="451">
        <f>'CIRCUIT SIM'!DT71</f>
        <v/>
      </c>
      <c r="BS981" s="451" t="n"/>
      <c r="BU981" s="429" t="n">
        <v>68</v>
      </c>
      <c r="BV981" s="431" t="n">
        <v>68</v>
      </c>
      <c r="BW981" s="429" t="n"/>
      <c r="BX981" s="431" t="n"/>
      <c r="BY981" s="451" t="n"/>
      <c r="BZ981" s="451">
        <f>'CIRCUIT SIM'!EI71</f>
        <v/>
      </c>
      <c r="CA981" s="451" t="n"/>
      <c r="CC981" s="429" t="n">
        <v>68</v>
      </c>
      <c r="CD981" s="431" t="n">
        <v>68</v>
      </c>
      <c r="CE981" s="688" t="n"/>
      <c r="CF981" s="431" t="inlineStr">
        <is>
          <t>Boolean</t>
        </is>
      </c>
      <c r="CG981" s="451" t="n"/>
      <c r="CH981" s="562">
        <f>'CIRCUIT SIM'!LK71</f>
        <v/>
      </c>
      <c r="CI981" s="451" t="n"/>
      <c r="CK981" s="429" t="n">
        <v>68</v>
      </c>
      <c r="CL981" s="431" t="n">
        <v>68</v>
      </c>
      <c r="CM981" s="565" t="n">
        <v>67</v>
      </c>
      <c r="CN981" s="431" t="inlineStr">
        <is>
          <t>Boolean</t>
        </is>
      </c>
      <c r="CO981" s="451" t="n"/>
      <c r="CP981" s="451">
        <f>'CIRCUIT SIM'!MA71</f>
        <v/>
      </c>
      <c r="CQ981" s="451" t="n"/>
      <c r="CS981" s="429" t="n">
        <v>68</v>
      </c>
      <c r="CT981" s="431" t="n">
        <v>68</v>
      </c>
      <c r="CU981" s="688" t="n"/>
      <c r="CV981" s="431" t="inlineStr">
        <is>
          <t>Boolean</t>
        </is>
      </c>
      <c r="CW981" s="451" t="n"/>
      <c r="CX981" s="451">
        <f>'CIRCUIT SIM'!MQ71</f>
        <v/>
      </c>
      <c r="CY981" s="451" t="n"/>
      <c r="DA981" s="429" t="n">
        <v>68</v>
      </c>
      <c r="DB981" s="431" t="n">
        <v>68</v>
      </c>
      <c r="DC981" s="688" t="n"/>
      <c r="DD981" s="431" t="n"/>
      <c r="DE981" s="451" t="n"/>
      <c r="DF981" s="451">
        <f>'CIRCUIT SIM'!EX71</f>
        <v/>
      </c>
      <c r="DG981" s="451" t="n"/>
      <c r="DI981" s="429" t="n">
        <v>68</v>
      </c>
      <c r="DJ981" s="431" t="n">
        <v>68</v>
      </c>
      <c r="DK981" s="688" t="n"/>
      <c r="DL981" s="431" t="n"/>
      <c r="DM981" s="429" t="n"/>
      <c r="DN981" s="451">
        <f>'CIRCUIT SIM'!FN71</f>
        <v/>
      </c>
      <c r="DO981" s="451" t="n"/>
      <c r="DQ981" s="429" t="n">
        <v>68</v>
      </c>
      <c r="DR981" s="431" t="n">
        <v>68</v>
      </c>
      <c r="DS981" s="688" t="n"/>
      <c r="DT981" s="431" t="n"/>
      <c r="DU981" s="451" t="n"/>
      <c r="DV981" s="451">
        <f>'CIRCUIT SIM'!HT71</f>
        <v/>
      </c>
      <c r="DW981" s="451" t="n"/>
      <c r="DY981" s="429" t="n">
        <v>68</v>
      </c>
      <c r="DZ981" s="431" t="n">
        <v>68</v>
      </c>
      <c r="EA981" s="688" t="n"/>
      <c r="EB981" s="431" t="inlineStr">
        <is>
          <t>Boolean</t>
        </is>
      </c>
      <c r="EC981" s="451" t="n"/>
      <c r="ED981" s="335">
        <f>'CIRCUIT SIM'!GO71</f>
        <v/>
      </c>
      <c r="EE981" s="451" t="n"/>
      <c r="EG981" s="429" t="n">
        <v>68</v>
      </c>
      <c r="EH981" s="431" t="n">
        <v>68</v>
      </c>
      <c r="EI981" s="688" t="n"/>
      <c r="EJ981" s="431" t="inlineStr">
        <is>
          <t>Boolean</t>
        </is>
      </c>
      <c r="EK981" s="451" t="n"/>
      <c r="EL981" s="451">
        <f>'CIRCUIT SIM'!HD71</f>
        <v/>
      </c>
      <c r="EM981" s="451" t="n"/>
      <c r="EO981" s="429" t="n">
        <v>68</v>
      </c>
      <c r="EP981" s="431" t="n">
        <v>68</v>
      </c>
      <c r="EQ981" s="688" t="n">
        <v>67</v>
      </c>
      <c r="ER981" s="431" t="inlineStr">
        <is>
          <t>Boolean</t>
        </is>
      </c>
      <c r="ES981" s="451" t="n"/>
      <c r="ET981" s="451">
        <f>'CIRCUIT SIM'!HT71</f>
        <v/>
      </c>
      <c r="EU981" s="451" t="n"/>
      <c r="EW981" s="429" t="n">
        <v>68</v>
      </c>
      <c r="EX981" s="431" t="n">
        <v>68</v>
      </c>
      <c r="EY981" s="688" t="n"/>
      <c r="EZ981" s="431" t="n"/>
      <c r="FA981" s="451" t="n"/>
      <c r="FB981" s="451" t="n"/>
      <c r="FC981" s="451" t="n"/>
      <c r="FE981" s="429" t="n">
        <v>68</v>
      </c>
      <c r="FF981" s="431" t="n">
        <v>68</v>
      </c>
      <c r="FG981" s="688" t="n"/>
      <c r="FH981" s="431" t="n"/>
      <c r="FI981" s="451" t="n"/>
      <c r="FJ981" s="451" t="n"/>
      <c r="FK981" s="451" t="n"/>
      <c r="FM981" s="429" t="n">
        <v>68</v>
      </c>
      <c r="FN981" s="431" t="n">
        <v>68</v>
      </c>
      <c r="FO981" s="688" t="n"/>
      <c r="FP981" s="431" t="n"/>
      <c r="FQ981" s="451" t="n"/>
      <c r="FR981" s="451">
        <f>'CIRCUIT SIM'!KY71</f>
        <v/>
      </c>
      <c r="FS981" s="451" t="n"/>
      <c r="FU981" s="429" t="n">
        <v>68</v>
      </c>
      <c r="FV981" s="431" t="n">
        <v>68</v>
      </c>
      <c r="FW981" s="688" t="n"/>
      <c r="FX981" s="431" t="n"/>
      <c r="FY981" s="451" t="n"/>
      <c r="FZ981" s="562">
        <f>'CIRCUIT SIM'!JG71</f>
        <v/>
      </c>
      <c r="GA981" s="451" t="n"/>
      <c r="GC981" s="429" t="n">
        <v>68</v>
      </c>
      <c r="GD981" s="431" t="n">
        <v>68</v>
      </c>
      <c r="GE981" s="688" t="n"/>
      <c r="GF981" s="431" t="n"/>
      <c r="GG981" s="451" t="n"/>
      <c r="GH981" s="451" t="n"/>
      <c r="GI981" s="451" t="n"/>
      <c r="GK981" s="429" t="n">
        <v>68</v>
      </c>
      <c r="GL981" s="431" t="n">
        <v>68</v>
      </c>
      <c r="GM981" s="688" t="n"/>
      <c r="GN981" s="431" t="n"/>
      <c r="GO981" s="451" t="n"/>
      <c r="GP981" s="451" t="n"/>
      <c r="GQ981" s="451" t="n"/>
      <c r="GS981" s="429" t="n">
        <v>68</v>
      </c>
      <c r="GT981" s="431" t="n">
        <v>68</v>
      </c>
      <c r="GU981" s="688" t="n"/>
      <c r="GV981" s="431" t="n"/>
      <c r="GW981" s="451" t="n"/>
      <c r="GX981" s="451">
        <f>'CIRCUIT SIM'!KY71</f>
        <v/>
      </c>
      <c r="GY981" s="451" t="n"/>
      <c r="HA981" s="429" t="n">
        <v>68</v>
      </c>
      <c r="HB981" s="431" t="n">
        <v>68</v>
      </c>
      <c r="HC981" s="688" t="n"/>
      <c r="HD981" s="431" t="n"/>
      <c r="HE981" s="451" t="n"/>
      <c r="HF981" s="451" t="n"/>
      <c r="HG981" s="451" t="n"/>
    </row>
    <row r="982">
      <c r="A982" s="429" t="n">
        <v>69</v>
      </c>
      <c r="B982" s="431" t="n">
        <v>69</v>
      </c>
      <c r="C982" s="688" t="n"/>
      <c r="D982" s="431" t="inlineStr">
        <is>
          <t>Boolean</t>
        </is>
      </c>
      <c r="E982" s="429" t="n"/>
      <c r="F982" s="422">
        <f>'CIRCUIT SIM'!J72</f>
        <v/>
      </c>
      <c r="G982" s="429" t="n"/>
      <c r="I982" s="429" t="n">
        <v>69</v>
      </c>
      <c r="J982" s="431" t="n">
        <v>69</v>
      </c>
      <c r="K982" s="429" t="n"/>
      <c r="L982" s="431" t="inlineStr">
        <is>
          <t>Boolean</t>
        </is>
      </c>
      <c r="M982" s="451" t="n"/>
      <c r="N982" s="422">
        <f>'CIRCUIT SIM'!Y72</f>
        <v/>
      </c>
      <c r="O982" s="451" t="n"/>
      <c r="Q982" s="429" t="n">
        <v>69</v>
      </c>
      <c r="R982" s="431" t="n">
        <v>69</v>
      </c>
      <c r="S982" s="429" t="n"/>
      <c r="T982" s="431" t="inlineStr">
        <is>
          <t>Boolean</t>
        </is>
      </c>
      <c r="U982" s="429" t="n"/>
      <c r="V982" s="386">
        <f>'CIRCUIT SIM'!AO72</f>
        <v/>
      </c>
      <c r="W982" s="451" t="n"/>
      <c r="Y982" s="429" t="n">
        <v>69</v>
      </c>
      <c r="Z982" s="431" t="n">
        <v>69</v>
      </c>
      <c r="AA982" s="429" t="n"/>
      <c r="AB982" s="431" t="n"/>
      <c r="AC982" s="451" t="n"/>
      <c r="AD982" s="451" t="n"/>
      <c r="AE982" s="451" t="n"/>
      <c r="AG982" s="429" t="n">
        <v>69</v>
      </c>
      <c r="AH982" s="431" t="n">
        <v>69</v>
      </c>
      <c r="AI982" s="429" t="n"/>
      <c r="AJ982" s="431" t="n"/>
      <c r="AK982" s="451" t="n"/>
      <c r="AL982" s="450">
        <f>'CIRCUIT SIM'!CR72</f>
        <v/>
      </c>
      <c r="AM982" s="451" t="n"/>
      <c r="AO982" s="429" t="n">
        <v>69</v>
      </c>
      <c r="AP982" s="431" t="n">
        <v>69</v>
      </c>
      <c r="AQ982" s="429" t="n"/>
      <c r="AR982" s="431" t="inlineStr">
        <is>
          <t>Boolean</t>
        </is>
      </c>
      <c r="AS982" s="451" t="n"/>
      <c r="AT982" s="386">
        <f>'CIRCUIT SIM'!BR72</f>
        <v/>
      </c>
      <c r="AU982" s="451" t="n"/>
      <c r="AW982" s="429" t="n">
        <v>69</v>
      </c>
      <c r="AX982" s="431" t="n">
        <v>69</v>
      </c>
      <c r="AY982" s="429" t="n"/>
      <c r="AZ982" s="431" t="inlineStr">
        <is>
          <t>Boolean</t>
        </is>
      </c>
      <c r="BA982" s="451" t="n"/>
      <c r="BB982" s="451">
        <f>'CIRCUIT SIM'!CG72</f>
        <v/>
      </c>
      <c r="BC982" s="451" t="n"/>
      <c r="BE982" s="429" t="n">
        <v>69</v>
      </c>
      <c r="BF982" s="431" t="n"/>
      <c r="BG982" s="429" t="n"/>
      <c r="BH982" s="431" t="n"/>
      <c r="BI982" s="451" t="n"/>
      <c r="BJ982" s="451" t="n"/>
      <c r="BK982" s="451" t="n"/>
      <c r="BM982" s="429" t="n">
        <v>69</v>
      </c>
      <c r="BN982" s="431" t="n">
        <v>69</v>
      </c>
      <c r="BO982" s="429" t="n"/>
      <c r="BP982" s="431" t="inlineStr">
        <is>
          <t>Boolean</t>
        </is>
      </c>
      <c r="BQ982" s="451" t="n"/>
      <c r="BR982" s="451">
        <f>'CIRCUIT SIM'!DT72</f>
        <v/>
      </c>
      <c r="BS982" s="451" t="n"/>
      <c r="BU982" s="429" t="n">
        <v>69</v>
      </c>
      <c r="BV982" s="431" t="n">
        <v>69</v>
      </c>
      <c r="BW982" s="429" t="n"/>
      <c r="BX982" s="431" t="n"/>
      <c r="BY982" s="451" t="n"/>
      <c r="BZ982" s="451">
        <f>'CIRCUIT SIM'!EI72</f>
        <v/>
      </c>
      <c r="CA982" s="451" t="n"/>
      <c r="CC982" s="429" t="n">
        <v>69</v>
      </c>
      <c r="CD982" s="431" t="n">
        <v>69</v>
      </c>
      <c r="CE982" s="688" t="n"/>
      <c r="CF982" s="431" t="inlineStr">
        <is>
          <t>Boolean</t>
        </is>
      </c>
      <c r="CG982" s="451" t="n"/>
      <c r="CH982" s="562">
        <f>'CIRCUIT SIM'!LK72</f>
        <v/>
      </c>
      <c r="CI982" s="451" t="n"/>
      <c r="CK982" s="429" t="n">
        <v>69</v>
      </c>
      <c r="CL982" s="431" t="n">
        <v>69</v>
      </c>
      <c r="CM982" s="565" t="n">
        <v>68</v>
      </c>
      <c r="CN982" s="431" t="inlineStr">
        <is>
          <t>Boolean</t>
        </is>
      </c>
      <c r="CO982" s="451" t="n"/>
      <c r="CP982" s="451">
        <f>'CIRCUIT SIM'!MA72</f>
        <v/>
      </c>
      <c r="CQ982" s="451" t="n"/>
      <c r="CS982" s="429" t="n">
        <v>69</v>
      </c>
      <c r="CT982" s="431" t="n">
        <v>69</v>
      </c>
      <c r="CU982" s="688" t="n"/>
      <c r="CV982" s="431" t="inlineStr">
        <is>
          <t>Boolean</t>
        </is>
      </c>
      <c r="CW982" s="451" t="n"/>
      <c r="CX982" s="451">
        <f>'CIRCUIT SIM'!MQ72</f>
        <v/>
      </c>
      <c r="CY982" s="451" t="n"/>
      <c r="DA982" s="429" t="n">
        <v>69</v>
      </c>
      <c r="DB982" s="431" t="n">
        <v>69</v>
      </c>
      <c r="DC982" s="688" t="n"/>
      <c r="DD982" s="431" t="n"/>
      <c r="DE982" s="451" t="n"/>
      <c r="DF982" s="451">
        <f>'CIRCUIT SIM'!EX72</f>
        <v/>
      </c>
      <c r="DG982" s="451" t="n"/>
      <c r="DI982" s="429" t="n">
        <v>69</v>
      </c>
      <c r="DJ982" s="431" t="n">
        <v>69</v>
      </c>
      <c r="DK982" s="688" t="n"/>
      <c r="DL982" s="431" t="n"/>
      <c r="DM982" s="429" t="n"/>
      <c r="DN982" s="451">
        <f>'CIRCUIT SIM'!FN72</f>
        <v/>
      </c>
      <c r="DO982" s="451" t="n"/>
      <c r="DQ982" s="429" t="n">
        <v>69</v>
      </c>
      <c r="DR982" s="431" t="n">
        <v>69</v>
      </c>
      <c r="DS982" s="688" t="n"/>
      <c r="DT982" s="431" t="n"/>
      <c r="DU982" s="451" t="n"/>
      <c r="DV982" s="451">
        <f>'CIRCUIT SIM'!HT72</f>
        <v/>
      </c>
      <c r="DW982" s="451" t="n"/>
      <c r="DY982" s="429" t="n">
        <v>69</v>
      </c>
      <c r="DZ982" s="431" t="n">
        <v>69</v>
      </c>
      <c r="EA982" s="688" t="n"/>
      <c r="EB982" s="431" t="inlineStr">
        <is>
          <t>Boolean</t>
        </is>
      </c>
      <c r="EC982" s="451" t="n"/>
      <c r="ED982" s="335">
        <f>'CIRCUIT SIM'!GO72</f>
        <v/>
      </c>
      <c r="EE982" s="451" t="n"/>
      <c r="EG982" s="429" t="n">
        <v>69</v>
      </c>
      <c r="EH982" s="431" t="n">
        <v>69</v>
      </c>
      <c r="EI982" s="688" t="n"/>
      <c r="EJ982" s="431" t="inlineStr">
        <is>
          <t>Boolean</t>
        </is>
      </c>
      <c r="EK982" s="451" t="n"/>
      <c r="EL982" s="451">
        <f>'CIRCUIT SIM'!HD72</f>
        <v/>
      </c>
      <c r="EM982" s="451" t="n"/>
      <c r="EO982" s="429" t="n">
        <v>69</v>
      </c>
      <c r="EP982" s="431" t="n">
        <v>69</v>
      </c>
      <c r="EQ982" s="688" t="n"/>
      <c r="ER982" s="431" t="n"/>
      <c r="ES982" s="451" t="n"/>
      <c r="ET982" s="451">
        <f>'CIRCUIT SIM'!HT72</f>
        <v/>
      </c>
      <c r="EU982" s="451" t="n"/>
      <c r="EW982" s="429" t="n">
        <v>69</v>
      </c>
      <c r="EX982" s="431" t="n">
        <v>69</v>
      </c>
      <c r="EY982" s="688" t="n"/>
      <c r="EZ982" s="431" t="n"/>
      <c r="FA982" s="451" t="n"/>
      <c r="FB982" s="451" t="n"/>
      <c r="FC982" s="451" t="n"/>
      <c r="FE982" s="429" t="n">
        <v>69</v>
      </c>
      <c r="FF982" s="431" t="n">
        <v>69</v>
      </c>
      <c r="FG982" s="688" t="n"/>
      <c r="FH982" s="431" t="n"/>
      <c r="FI982" s="451" t="n"/>
      <c r="FJ982" s="451" t="n"/>
      <c r="FK982" s="451" t="n"/>
      <c r="FM982" s="429" t="n">
        <v>69</v>
      </c>
      <c r="FN982" s="431" t="n">
        <v>69</v>
      </c>
      <c r="FO982" s="688" t="n"/>
      <c r="FP982" s="431" t="n"/>
      <c r="FQ982" s="451" t="n"/>
      <c r="FR982" s="451">
        <f>'CIRCUIT SIM'!KY72</f>
        <v/>
      </c>
      <c r="FS982" s="451" t="n"/>
      <c r="FU982" s="429" t="n">
        <v>69</v>
      </c>
      <c r="FV982" s="431" t="n">
        <v>69</v>
      </c>
      <c r="FW982" s="688" t="n"/>
      <c r="FX982" s="431" t="n"/>
      <c r="FY982" s="451" t="n"/>
      <c r="FZ982" s="562">
        <f>'CIRCUIT SIM'!JG72</f>
        <v/>
      </c>
      <c r="GA982" s="451" t="n"/>
      <c r="GC982" s="429" t="n">
        <v>69</v>
      </c>
      <c r="GD982" s="431" t="n">
        <v>69</v>
      </c>
      <c r="GE982" s="688" t="n"/>
      <c r="GF982" s="431" t="n"/>
      <c r="GG982" s="451" t="n"/>
      <c r="GH982" s="451" t="n"/>
      <c r="GI982" s="451" t="n"/>
      <c r="GK982" s="429" t="n">
        <v>69</v>
      </c>
      <c r="GL982" s="431" t="n">
        <v>69</v>
      </c>
      <c r="GM982" s="688" t="n"/>
      <c r="GN982" s="431" t="n"/>
      <c r="GO982" s="451" t="n"/>
      <c r="GP982" s="451" t="n"/>
      <c r="GQ982" s="451" t="n"/>
      <c r="GS982" s="429" t="n">
        <v>69</v>
      </c>
      <c r="GT982" s="431" t="n">
        <v>69</v>
      </c>
      <c r="GU982" s="688" t="n"/>
      <c r="GV982" s="431" t="n"/>
      <c r="GW982" s="451" t="n"/>
      <c r="GX982" s="451">
        <f>'CIRCUIT SIM'!KY72</f>
        <v/>
      </c>
      <c r="GY982" s="451" t="n"/>
      <c r="HA982" s="429" t="n">
        <v>69</v>
      </c>
      <c r="HB982" s="431" t="n">
        <v>69</v>
      </c>
      <c r="HC982" s="688" t="n"/>
      <c r="HD982" s="431" t="n"/>
      <c r="HE982" s="451" t="n"/>
      <c r="HF982" s="451" t="n"/>
      <c r="HG982" s="451" t="n"/>
    </row>
    <row r="983">
      <c r="A983" s="429" t="n">
        <v>70</v>
      </c>
      <c r="B983" s="431" t="n">
        <v>70</v>
      </c>
      <c r="C983" s="688" t="n"/>
      <c r="D983" s="431" t="inlineStr">
        <is>
          <t>Boolean</t>
        </is>
      </c>
      <c r="E983" s="429" t="n"/>
      <c r="F983" s="422">
        <f>'CIRCUIT SIM'!J73</f>
        <v/>
      </c>
      <c r="G983" s="429" t="n"/>
      <c r="I983" s="429" t="n">
        <v>70</v>
      </c>
      <c r="J983" s="431" t="n">
        <v>70</v>
      </c>
      <c r="K983" s="429" t="n"/>
      <c r="L983" s="431" t="inlineStr">
        <is>
          <t>Boolean</t>
        </is>
      </c>
      <c r="M983" s="451" t="n"/>
      <c r="N983" s="422">
        <f>'CIRCUIT SIM'!Y73</f>
        <v/>
      </c>
      <c r="O983" s="451" t="n"/>
      <c r="Q983" s="429" t="n">
        <v>70</v>
      </c>
      <c r="R983" s="431" t="n">
        <v>70</v>
      </c>
      <c r="S983" s="429" t="n"/>
      <c r="T983" s="431" t="inlineStr">
        <is>
          <t>Boolean</t>
        </is>
      </c>
      <c r="U983" s="429" t="n"/>
      <c r="V983" s="386">
        <f>'CIRCUIT SIM'!AO73</f>
        <v/>
      </c>
      <c r="W983" s="451" t="n"/>
      <c r="Y983" s="429" t="n">
        <v>70</v>
      </c>
      <c r="Z983" s="431" t="n">
        <v>70</v>
      </c>
      <c r="AA983" s="429" t="n"/>
      <c r="AB983" s="431" t="n"/>
      <c r="AC983" s="451" t="n"/>
      <c r="AD983" s="451" t="n"/>
      <c r="AE983" s="451" t="n"/>
      <c r="AG983" s="429" t="n">
        <v>70</v>
      </c>
      <c r="AH983" s="431" t="n">
        <v>70</v>
      </c>
      <c r="AI983" s="429" t="n"/>
      <c r="AJ983" s="431" t="n"/>
      <c r="AK983" s="451" t="n"/>
      <c r="AL983" s="450">
        <f>'CIRCUIT SIM'!CR73</f>
        <v/>
      </c>
      <c r="AM983" s="451" t="n"/>
      <c r="AO983" s="429" t="n">
        <v>70</v>
      </c>
      <c r="AP983" s="431" t="n">
        <v>70</v>
      </c>
      <c r="AQ983" s="429" t="n"/>
      <c r="AR983" s="431" t="inlineStr">
        <is>
          <t>Boolean</t>
        </is>
      </c>
      <c r="AS983" s="451" t="n"/>
      <c r="AT983" s="386">
        <f>'CIRCUIT SIM'!BR73</f>
        <v/>
      </c>
      <c r="AU983" s="451" t="n"/>
      <c r="AW983" s="429" t="n">
        <v>70</v>
      </c>
      <c r="AX983" s="431" t="n">
        <v>70</v>
      </c>
      <c r="AY983" s="429" t="n"/>
      <c r="AZ983" s="431" t="inlineStr">
        <is>
          <t>Boolean</t>
        </is>
      </c>
      <c r="BA983" s="451" t="n"/>
      <c r="BB983" s="451">
        <f>'CIRCUIT SIM'!CG73</f>
        <v/>
      </c>
      <c r="BC983" s="451" t="n"/>
      <c r="BE983" s="429" t="n">
        <v>70</v>
      </c>
      <c r="BF983" s="431" t="n"/>
      <c r="BG983" s="429" t="n"/>
      <c r="BH983" s="431" t="n"/>
      <c r="BI983" s="451" t="n"/>
      <c r="BJ983" s="451" t="n"/>
      <c r="BK983" s="451" t="n"/>
      <c r="BM983" s="429" t="n">
        <v>70</v>
      </c>
      <c r="BN983" s="431" t="n">
        <v>70</v>
      </c>
      <c r="BO983" s="429" t="n"/>
      <c r="BP983" s="431" t="inlineStr">
        <is>
          <t>Boolean</t>
        </is>
      </c>
      <c r="BQ983" s="451" t="n"/>
      <c r="BR983" s="451">
        <f>'CIRCUIT SIM'!DT73</f>
        <v/>
      </c>
      <c r="BS983" s="451" t="n"/>
      <c r="BU983" s="429" t="n">
        <v>70</v>
      </c>
      <c r="BV983" s="431" t="n">
        <v>70</v>
      </c>
      <c r="BW983" s="429" t="n"/>
      <c r="BX983" s="431" t="n"/>
      <c r="BY983" s="451" t="n"/>
      <c r="BZ983" s="451">
        <f>'CIRCUIT SIM'!EI73</f>
        <v/>
      </c>
      <c r="CA983" s="451" t="n"/>
      <c r="CC983" s="429" t="n">
        <v>70</v>
      </c>
      <c r="CD983" s="431" t="n">
        <v>70</v>
      </c>
      <c r="CE983" s="688" t="n"/>
      <c r="CF983" s="431" t="inlineStr">
        <is>
          <t>Boolean</t>
        </is>
      </c>
      <c r="CG983" s="451" t="n"/>
      <c r="CH983" s="562">
        <f>'CIRCUIT SIM'!LK73</f>
        <v/>
      </c>
      <c r="CI983" s="451" t="n"/>
      <c r="CK983" s="429" t="n">
        <v>70</v>
      </c>
      <c r="CL983" s="431" t="n">
        <v>70</v>
      </c>
      <c r="CM983" s="565" t="n">
        <v>69</v>
      </c>
      <c r="CN983" s="431" t="inlineStr">
        <is>
          <t>Boolean</t>
        </is>
      </c>
      <c r="CO983" s="451" t="n"/>
      <c r="CP983" s="451">
        <f>'CIRCUIT SIM'!MA73</f>
        <v/>
      </c>
      <c r="CQ983" s="451" t="n"/>
      <c r="CS983" s="429" t="n">
        <v>70</v>
      </c>
      <c r="CT983" s="431" t="n">
        <v>70</v>
      </c>
      <c r="CU983" s="688" t="n"/>
      <c r="CV983" s="431" t="inlineStr">
        <is>
          <t>Boolean</t>
        </is>
      </c>
      <c r="CW983" s="451" t="n"/>
      <c r="CX983" s="451">
        <f>'CIRCUIT SIM'!MQ73</f>
        <v/>
      </c>
      <c r="CY983" s="451" t="n"/>
      <c r="DA983" s="429" t="n">
        <v>70</v>
      </c>
      <c r="DB983" s="431" t="n">
        <v>70</v>
      </c>
      <c r="DC983" s="688" t="n"/>
      <c r="DD983" s="431" t="n"/>
      <c r="DE983" s="451" t="n"/>
      <c r="DF983" s="451">
        <f>'CIRCUIT SIM'!EX73</f>
        <v/>
      </c>
      <c r="DG983" s="451" t="n"/>
      <c r="DI983" s="429" t="n">
        <v>70</v>
      </c>
      <c r="DJ983" s="431" t="n">
        <v>70</v>
      </c>
      <c r="DK983" s="688" t="n"/>
      <c r="DL983" s="431" t="n"/>
      <c r="DM983" s="429" t="inlineStr">
        <is>
          <t> </t>
        </is>
      </c>
      <c r="DN983" s="451">
        <f>'CIRCUIT SIM'!FN73</f>
        <v/>
      </c>
      <c r="DO983" s="451" t="n"/>
      <c r="DQ983" s="429" t="n">
        <v>70</v>
      </c>
      <c r="DR983" s="431" t="n">
        <v>70</v>
      </c>
      <c r="DS983" s="688" t="n"/>
      <c r="DT983" s="431" t="n"/>
      <c r="DU983" s="451" t="n"/>
      <c r="DV983" s="451">
        <f>'CIRCUIT SIM'!HT73</f>
        <v/>
      </c>
      <c r="DW983" s="451" t="n"/>
      <c r="DY983" s="429" t="n">
        <v>70</v>
      </c>
      <c r="DZ983" s="431" t="n">
        <v>70</v>
      </c>
      <c r="EA983" s="688" t="n"/>
      <c r="EB983" s="431" t="inlineStr">
        <is>
          <t>Boolean</t>
        </is>
      </c>
      <c r="EC983" s="451" t="n"/>
      <c r="ED983" s="335">
        <f>'CIRCUIT SIM'!GO73</f>
        <v/>
      </c>
      <c r="EE983" s="451" t="n"/>
      <c r="EG983" s="429" t="n">
        <v>70</v>
      </c>
      <c r="EH983" s="431" t="n">
        <v>70</v>
      </c>
      <c r="EI983" s="688" t="n"/>
      <c r="EJ983" s="431" t="inlineStr">
        <is>
          <t>Boolean</t>
        </is>
      </c>
      <c r="EK983" s="451" t="n"/>
      <c r="EL983" s="451">
        <f>'CIRCUIT SIM'!HD73</f>
        <v/>
      </c>
      <c r="EM983" s="451" t="n"/>
      <c r="EO983" s="429" t="n">
        <v>70</v>
      </c>
      <c r="EP983" s="431" t="n">
        <v>70</v>
      </c>
      <c r="EQ983" s="688" t="n"/>
      <c r="ER983" s="431" t="n"/>
      <c r="ES983" s="451" t="n"/>
      <c r="ET983" s="451">
        <f>'CIRCUIT SIM'!HT73</f>
        <v/>
      </c>
      <c r="EU983" s="451" t="n"/>
      <c r="EW983" s="429" t="n">
        <v>70</v>
      </c>
      <c r="EX983" s="431" t="n">
        <v>70</v>
      </c>
      <c r="EY983" s="688" t="n"/>
      <c r="EZ983" s="431" t="n"/>
      <c r="FA983" s="451" t="n"/>
      <c r="FB983" s="451" t="n"/>
      <c r="FC983" s="451" t="n"/>
      <c r="FE983" s="429" t="n">
        <v>70</v>
      </c>
      <c r="FF983" s="431" t="n">
        <v>70</v>
      </c>
      <c r="FG983" s="688" t="n"/>
      <c r="FH983" s="431" t="n"/>
      <c r="FI983" s="451" t="n"/>
      <c r="FJ983" s="451" t="n"/>
      <c r="FK983" s="451" t="n"/>
      <c r="FM983" s="429" t="n">
        <v>70</v>
      </c>
      <c r="FN983" s="431" t="n">
        <v>70</v>
      </c>
      <c r="FO983" s="688" t="n"/>
      <c r="FP983" s="431" t="n"/>
      <c r="FQ983" s="451" t="n"/>
      <c r="FR983" s="451">
        <f>'CIRCUIT SIM'!KY73</f>
        <v/>
      </c>
      <c r="FS983" s="451" t="n"/>
      <c r="FU983" s="429" t="n">
        <v>70</v>
      </c>
      <c r="FV983" s="431" t="n">
        <v>70</v>
      </c>
      <c r="FW983" s="688" t="n"/>
      <c r="FX983" s="431" t="n"/>
      <c r="FY983" s="451" t="n"/>
      <c r="FZ983" s="562">
        <f>'CIRCUIT SIM'!JG73</f>
        <v/>
      </c>
      <c r="GA983" s="451" t="n"/>
      <c r="GC983" s="429" t="n">
        <v>70</v>
      </c>
      <c r="GD983" s="431" t="n">
        <v>70</v>
      </c>
      <c r="GE983" s="688" t="n"/>
      <c r="GF983" s="431" t="n"/>
      <c r="GG983" s="451" t="n"/>
      <c r="GH983" s="451" t="n"/>
      <c r="GI983" s="451" t="n"/>
      <c r="GK983" s="429" t="n">
        <v>70</v>
      </c>
      <c r="GL983" s="431" t="n">
        <v>70</v>
      </c>
      <c r="GM983" s="688" t="n"/>
      <c r="GN983" s="431" t="n"/>
      <c r="GO983" s="451" t="n"/>
      <c r="GP983" s="451" t="n"/>
      <c r="GQ983" s="451" t="n"/>
      <c r="GS983" s="429" t="n">
        <v>70</v>
      </c>
      <c r="GT983" s="431" t="n">
        <v>70</v>
      </c>
      <c r="GU983" s="688" t="n"/>
      <c r="GV983" s="431" t="n"/>
      <c r="GW983" s="451" t="n"/>
      <c r="GX983" s="451">
        <f>'CIRCUIT SIM'!KY73</f>
        <v/>
      </c>
      <c r="GY983" s="451" t="n"/>
      <c r="HA983" s="429" t="n">
        <v>70</v>
      </c>
      <c r="HB983" s="431" t="n">
        <v>70</v>
      </c>
      <c r="HC983" s="688" t="n"/>
      <c r="HD983" s="431" t="n"/>
      <c r="HE983" s="451" t="n"/>
      <c r="HF983" s="451" t="n"/>
      <c r="HG983" s="451" t="n"/>
    </row>
    <row r="984">
      <c r="A984" s="429" t="n">
        <v>71</v>
      </c>
      <c r="B984" s="431" t="n">
        <v>71</v>
      </c>
      <c r="C984" s="688" t="n"/>
      <c r="D984" s="431" t="inlineStr">
        <is>
          <t>Boolean</t>
        </is>
      </c>
      <c r="E984" s="429" t="n"/>
      <c r="F984" s="422">
        <f>'CIRCUIT SIM'!J74</f>
        <v/>
      </c>
      <c r="G984" s="429" t="n"/>
      <c r="I984" s="429" t="n">
        <v>71</v>
      </c>
      <c r="J984" s="431" t="n">
        <v>71</v>
      </c>
      <c r="K984" s="429" t="n"/>
      <c r="L984" s="431" t="inlineStr">
        <is>
          <t>Boolean</t>
        </is>
      </c>
      <c r="M984" s="451" t="n"/>
      <c r="N984" s="422">
        <f>'CIRCUIT SIM'!Y74</f>
        <v/>
      </c>
      <c r="O984" s="451" t="n"/>
      <c r="Q984" s="429" t="n">
        <v>71</v>
      </c>
      <c r="R984" s="431" t="n">
        <v>71</v>
      </c>
      <c r="S984" s="429" t="n"/>
      <c r="T984" s="431" t="inlineStr">
        <is>
          <t>Boolean</t>
        </is>
      </c>
      <c r="U984" s="429" t="n"/>
      <c r="V984" s="386">
        <f>'CIRCUIT SIM'!AO74</f>
        <v/>
      </c>
      <c r="W984" s="451" t="n"/>
      <c r="Y984" s="429" t="n">
        <v>71</v>
      </c>
      <c r="Z984" s="431" t="n">
        <v>71</v>
      </c>
      <c r="AA984" s="429" t="n"/>
      <c r="AB984" s="431" t="n"/>
      <c r="AC984" s="451" t="n"/>
      <c r="AD984" s="451" t="n"/>
      <c r="AE984" s="451" t="n"/>
      <c r="AG984" s="429" t="n">
        <v>71</v>
      </c>
      <c r="AH984" s="431" t="n">
        <v>71</v>
      </c>
      <c r="AI984" s="429" t="n"/>
      <c r="AJ984" s="431" t="n"/>
      <c r="AK984" s="451" t="n"/>
      <c r="AL984" s="450">
        <f>'CIRCUIT SIM'!CR74</f>
        <v/>
      </c>
      <c r="AM984" s="451" t="inlineStr">
        <is>
          <t> </t>
        </is>
      </c>
      <c r="AO984" s="429" t="n">
        <v>71</v>
      </c>
      <c r="AP984" s="431" t="n">
        <v>71</v>
      </c>
      <c r="AQ984" s="429" t="n"/>
      <c r="AR984" s="431" t="inlineStr">
        <is>
          <t>Boolean</t>
        </is>
      </c>
      <c r="AS984" s="451" t="n"/>
      <c r="AT984" s="386">
        <f>'CIRCUIT SIM'!BR74</f>
        <v/>
      </c>
      <c r="AU984" s="451" t="n"/>
      <c r="AW984" s="429" t="n">
        <v>71</v>
      </c>
      <c r="AX984" s="431" t="n">
        <v>71</v>
      </c>
      <c r="AY984" s="429" t="n"/>
      <c r="AZ984" s="431" t="inlineStr">
        <is>
          <t>Boolean</t>
        </is>
      </c>
      <c r="BA984" s="451" t="n"/>
      <c r="BB984" s="451">
        <f>'CIRCUIT SIM'!CG74</f>
        <v/>
      </c>
      <c r="BC984" s="451" t="inlineStr">
        <is>
          <t> </t>
        </is>
      </c>
      <c r="BD984" s="335" t="inlineStr">
        <is>
          <t> </t>
        </is>
      </c>
      <c r="BE984" s="429" t="n">
        <v>71</v>
      </c>
      <c r="BF984" s="431" t="n"/>
      <c r="BG984" s="429" t="n"/>
      <c r="BH984" s="431" t="n"/>
      <c r="BI984" s="451" t="n"/>
      <c r="BJ984" s="451" t="n"/>
      <c r="BK984" s="451" t="n"/>
      <c r="BM984" s="429" t="n">
        <v>71</v>
      </c>
      <c r="BN984" s="431" t="n">
        <v>71</v>
      </c>
      <c r="BO984" s="429" t="n"/>
      <c r="BP984" s="431" t="inlineStr">
        <is>
          <t>Boolean</t>
        </is>
      </c>
      <c r="BQ984" s="451" t="n"/>
      <c r="BR984" s="451">
        <f>'CIRCUIT SIM'!DT74</f>
        <v/>
      </c>
      <c r="BS984" s="451" t="n"/>
      <c r="BU984" s="429" t="n">
        <v>71</v>
      </c>
      <c r="BV984" s="431" t="n">
        <v>71</v>
      </c>
      <c r="BW984" s="429" t="n"/>
      <c r="BX984" s="431" t="n"/>
      <c r="BY984" s="451" t="n"/>
      <c r="BZ984" s="451">
        <f>'CIRCUIT SIM'!EI74</f>
        <v/>
      </c>
      <c r="CA984" s="451" t="n"/>
      <c r="CC984" s="429" t="n">
        <v>71</v>
      </c>
      <c r="CD984" s="431" t="n">
        <v>71</v>
      </c>
      <c r="CE984" s="688" t="n"/>
      <c r="CF984" s="431" t="inlineStr">
        <is>
          <t>Boolean</t>
        </is>
      </c>
      <c r="CG984" s="451" t="n"/>
      <c r="CH984" s="562">
        <f>'CIRCUIT SIM'!LK74</f>
        <v/>
      </c>
      <c r="CI984" s="451" t="n"/>
      <c r="CK984" s="429" t="n">
        <v>71</v>
      </c>
      <c r="CL984" s="431" t="n">
        <v>71</v>
      </c>
      <c r="CM984" s="565" t="n">
        <v>70</v>
      </c>
      <c r="CN984" s="431" t="inlineStr">
        <is>
          <t>Boolean</t>
        </is>
      </c>
      <c r="CO984" s="451" t="n"/>
      <c r="CP984" s="451">
        <f>'CIRCUIT SIM'!MA74</f>
        <v/>
      </c>
      <c r="CQ984" s="451" t="n"/>
      <c r="CS984" s="429" t="n">
        <v>71</v>
      </c>
      <c r="CT984" s="431" t="n">
        <v>71</v>
      </c>
      <c r="CU984" s="688" t="n"/>
      <c r="CV984" s="431" t="inlineStr">
        <is>
          <t>Boolean</t>
        </is>
      </c>
      <c r="CW984" s="451" t="n"/>
      <c r="CX984" s="451">
        <f>'CIRCUIT SIM'!MQ74</f>
        <v/>
      </c>
      <c r="CY984" s="451" t="n"/>
      <c r="DA984" s="429" t="n">
        <v>71</v>
      </c>
      <c r="DB984" s="431" t="n">
        <v>71</v>
      </c>
      <c r="DC984" s="688" t="n"/>
      <c r="DD984" s="431" t="n"/>
      <c r="DE984" s="451" t="n"/>
      <c r="DF984" s="451">
        <f>'CIRCUIT SIM'!EX74</f>
        <v/>
      </c>
      <c r="DG984" s="451" t="n"/>
      <c r="DI984" s="429" t="n">
        <v>71</v>
      </c>
      <c r="DJ984" s="431" t="n">
        <v>71</v>
      </c>
      <c r="DK984" s="688" t="n"/>
      <c r="DL984" s="431" t="n"/>
      <c r="DM984" s="429" t="n"/>
      <c r="DN984" s="451">
        <f>'CIRCUIT SIM'!FN74</f>
        <v/>
      </c>
      <c r="DO984" s="451" t="n"/>
      <c r="DQ984" s="429" t="n">
        <v>71</v>
      </c>
      <c r="DR984" s="431" t="n">
        <v>71</v>
      </c>
      <c r="DS984" s="688" t="n"/>
      <c r="DT984" s="431" t="n"/>
      <c r="DU984" s="451" t="n"/>
      <c r="DV984" s="451">
        <f>'CIRCUIT SIM'!HT74</f>
        <v/>
      </c>
      <c r="DW984" s="451" t="n"/>
      <c r="DY984" s="429" t="n">
        <v>71</v>
      </c>
      <c r="DZ984" s="431" t="n">
        <v>71</v>
      </c>
      <c r="EA984" s="688" t="n"/>
      <c r="EB984" s="431" t="n"/>
      <c r="EC984" s="451" t="n"/>
      <c r="ED984" s="335">
        <f>'CIRCUIT SIM'!GO74</f>
        <v/>
      </c>
      <c r="EE984" s="451" t="n"/>
      <c r="EG984" s="429" t="n">
        <v>71</v>
      </c>
      <c r="EH984" s="431" t="n">
        <v>71</v>
      </c>
      <c r="EI984" s="688" t="n"/>
      <c r="EJ984" s="431" t="inlineStr">
        <is>
          <t>Boolean</t>
        </is>
      </c>
      <c r="EK984" s="451" t="n"/>
      <c r="EL984" s="451">
        <f>'CIRCUIT SIM'!HD74</f>
        <v/>
      </c>
      <c r="EM984" s="451" t="n"/>
      <c r="EO984" s="429" t="n">
        <v>71</v>
      </c>
      <c r="EP984" s="431" t="n">
        <v>71</v>
      </c>
      <c r="EQ984" s="688" t="n"/>
      <c r="ER984" s="431" t="n"/>
      <c r="ES984" s="451" t="n"/>
      <c r="ET984" s="451">
        <f>'CIRCUIT SIM'!HT74</f>
        <v/>
      </c>
      <c r="EU984" s="451" t="n"/>
      <c r="EW984" s="429" t="n">
        <v>71</v>
      </c>
      <c r="EX984" s="431" t="n">
        <v>71</v>
      </c>
      <c r="EY984" s="688" t="n"/>
      <c r="EZ984" s="431" t="n"/>
      <c r="FA984" s="451" t="n"/>
      <c r="FB984" s="451" t="n"/>
      <c r="FC984" s="451" t="n"/>
      <c r="FE984" s="429" t="n">
        <v>71</v>
      </c>
      <c r="FF984" s="431" t="n">
        <v>71</v>
      </c>
      <c r="FG984" s="688" t="n"/>
      <c r="FH984" s="431" t="n"/>
      <c r="FI984" s="451" t="n"/>
      <c r="FJ984" s="451" t="n"/>
      <c r="FK984" s="451" t="n"/>
      <c r="FM984" s="429" t="n">
        <v>71</v>
      </c>
      <c r="FN984" s="431" t="n">
        <v>71</v>
      </c>
      <c r="FO984" s="688" t="n"/>
      <c r="FP984" s="431" t="n"/>
      <c r="FQ984" s="451" t="n"/>
      <c r="FR984" s="451">
        <f>'CIRCUIT SIM'!KY74</f>
        <v/>
      </c>
      <c r="FS984" s="451" t="n"/>
      <c r="FU984" s="429" t="n">
        <v>71</v>
      </c>
      <c r="FV984" s="431" t="n">
        <v>71</v>
      </c>
      <c r="FW984" s="688" t="n"/>
      <c r="FX984" s="431" t="n"/>
      <c r="FY984" s="451" t="n"/>
      <c r="FZ984" s="562">
        <f>'CIRCUIT SIM'!JG74</f>
        <v/>
      </c>
      <c r="GA984" s="451" t="n"/>
      <c r="GC984" s="429" t="n">
        <v>71</v>
      </c>
      <c r="GD984" s="431" t="n">
        <v>71</v>
      </c>
      <c r="GE984" s="688" t="n"/>
      <c r="GF984" s="431" t="n"/>
      <c r="GG984" s="451" t="n"/>
      <c r="GH984" s="451" t="n"/>
      <c r="GI984" s="451" t="n"/>
      <c r="GK984" s="429" t="n">
        <v>71</v>
      </c>
      <c r="GL984" s="431" t="n">
        <v>71</v>
      </c>
      <c r="GM984" s="688" t="n"/>
      <c r="GN984" s="431" t="n"/>
      <c r="GO984" s="451" t="n"/>
      <c r="GP984" s="451" t="n"/>
      <c r="GQ984" s="451" t="n"/>
      <c r="GS984" s="429" t="n">
        <v>71</v>
      </c>
      <c r="GT984" s="431" t="n">
        <v>71</v>
      </c>
      <c r="GU984" s="688" t="n"/>
      <c r="GV984" s="431" t="n"/>
      <c r="GW984" s="451" t="n"/>
      <c r="GX984" s="451">
        <f>'CIRCUIT SIM'!KY74</f>
        <v/>
      </c>
      <c r="GY984" s="451" t="n"/>
      <c r="HA984" s="429" t="n">
        <v>71</v>
      </c>
      <c r="HB984" s="431" t="n">
        <v>71</v>
      </c>
      <c r="HC984" s="688" t="n"/>
      <c r="HD984" s="431" t="n"/>
      <c r="HE984" s="451" t="n"/>
      <c r="HF984" s="451" t="n"/>
      <c r="HG984" s="451" t="n"/>
    </row>
    <row r="985">
      <c r="A985" s="429" t="n">
        <v>72</v>
      </c>
      <c r="B985" s="431" t="n">
        <v>72</v>
      </c>
      <c r="C985" s="688" t="n"/>
      <c r="D985" s="431" t="inlineStr">
        <is>
          <t>Boolean</t>
        </is>
      </c>
      <c r="E985" s="429" t="n"/>
      <c r="F985" s="422">
        <f>'CIRCUIT SIM'!J75</f>
        <v/>
      </c>
      <c r="G985" s="429" t="n"/>
      <c r="I985" s="429" t="n">
        <v>72</v>
      </c>
      <c r="J985" s="431" t="n">
        <v>72</v>
      </c>
      <c r="K985" s="429" t="n"/>
      <c r="L985" s="431" t="inlineStr">
        <is>
          <t>Boolean</t>
        </is>
      </c>
      <c r="M985" s="451" t="n"/>
      <c r="N985" s="422">
        <f>'CIRCUIT SIM'!Y75</f>
        <v/>
      </c>
      <c r="O985" s="451" t="n"/>
      <c r="Q985" s="429" t="n">
        <v>72</v>
      </c>
      <c r="R985" s="431" t="n">
        <v>72</v>
      </c>
      <c r="S985" s="429" t="n"/>
      <c r="T985" s="431" t="inlineStr">
        <is>
          <t>Boolean</t>
        </is>
      </c>
      <c r="U985" s="429" t="n"/>
      <c r="V985" s="386">
        <f>'CIRCUIT SIM'!AO75</f>
        <v/>
      </c>
      <c r="W985" s="451" t="n"/>
      <c r="Y985" s="429" t="n">
        <v>72</v>
      </c>
      <c r="Z985" s="431" t="n">
        <v>72</v>
      </c>
      <c r="AA985" s="429" t="n"/>
      <c r="AB985" s="431" t="n"/>
      <c r="AC985" s="451" t="n"/>
      <c r="AD985" s="451" t="n"/>
      <c r="AE985" s="451" t="n"/>
      <c r="AG985" s="429" t="n">
        <v>72</v>
      </c>
      <c r="AH985" s="431" t="n">
        <v>72</v>
      </c>
      <c r="AI985" s="429" t="n"/>
      <c r="AJ985" s="431" t="n"/>
      <c r="AK985" s="451" t="n"/>
      <c r="AL985" s="450">
        <f>'CIRCUIT SIM'!CR75</f>
        <v/>
      </c>
      <c r="AM985" s="451" t="n"/>
      <c r="AO985" s="429" t="n">
        <v>72</v>
      </c>
      <c r="AP985" s="431" t="n">
        <v>72</v>
      </c>
      <c r="AQ985" s="429" t="n"/>
      <c r="AR985" s="431" t="inlineStr">
        <is>
          <t>Boolean</t>
        </is>
      </c>
      <c r="AS985" s="451" t="n"/>
      <c r="AT985" s="386">
        <f>'CIRCUIT SIM'!BR75</f>
        <v/>
      </c>
      <c r="AU985" s="451" t="n"/>
      <c r="AW985" s="429" t="n">
        <v>72</v>
      </c>
      <c r="AX985" s="431" t="n">
        <v>72</v>
      </c>
      <c r="AY985" s="429" t="n"/>
      <c r="AZ985" s="431" t="inlineStr">
        <is>
          <t>Boolean</t>
        </is>
      </c>
      <c r="BA985" s="451" t="n"/>
      <c r="BB985" s="451">
        <f>'CIRCUIT SIM'!CG75</f>
        <v/>
      </c>
      <c r="BC985" s="451" t="n"/>
      <c r="BE985" s="429" t="n">
        <v>72</v>
      </c>
      <c r="BF985" s="431" t="n"/>
      <c r="BG985" s="429" t="n"/>
      <c r="BH985" s="431" t="n"/>
      <c r="BI985" s="451" t="n"/>
      <c r="BJ985" s="451" t="n"/>
      <c r="BK985" s="451" t="n"/>
      <c r="BM985" s="429" t="n">
        <v>72</v>
      </c>
      <c r="BN985" s="431" t="n">
        <v>72</v>
      </c>
      <c r="BO985" s="429" t="n"/>
      <c r="BP985" s="431" t="inlineStr">
        <is>
          <t>Boolean</t>
        </is>
      </c>
      <c r="BQ985" s="451" t="n"/>
      <c r="BR985" s="451">
        <f>'CIRCUIT SIM'!DT75</f>
        <v/>
      </c>
      <c r="BS985" s="451" t="n"/>
      <c r="BU985" s="429" t="n">
        <v>72</v>
      </c>
      <c r="BV985" s="431" t="n">
        <v>72</v>
      </c>
      <c r="BW985" s="429" t="n"/>
      <c r="BX985" s="431" t="n"/>
      <c r="BY985" s="451" t="n"/>
      <c r="BZ985" s="451">
        <f>'CIRCUIT SIM'!EI75</f>
        <v/>
      </c>
      <c r="CA985" s="451" t="n"/>
      <c r="CC985" s="429" t="n">
        <v>72</v>
      </c>
      <c r="CD985" s="431" t="n">
        <v>72</v>
      </c>
      <c r="CE985" s="688" t="n"/>
      <c r="CF985" s="431" t="inlineStr">
        <is>
          <t>Boolean</t>
        </is>
      </c>
      <c r="CG985" s="451" t="n"/>
      <c r="CH985" s="562">
        <f>'CIRCUIT SIM'!LK75</f>
        <v/>
      </c>
      <c r="CI985" s="451" t="n"/>
      <c r="CK985" s="429" t="n">
        <v>72</v>
      </c>
      <c r="CL985" s="431" t="n">
        <v>72</v>
      </c>
      <c r="CM985" s="565" t="n">
        <v>71</v>
      </c>
      <c r="CN985" s="431" t="inlineStr">
        <is>
          <t>Boolean</t>
        </is>
      </c>
      <c r="CO985" s="451" t="n"/>
      <c r="CP985" s="451">
        <f>'CIRCUIT SIM'!MA75</f>
        <v/>
      </c>
      <c r="CQ985" s="451" t="n"/>
      <c r="CS985" s="429" t="n">
        <v>72</v>
      </c>
      <c r="CT985" s="431" t="n">
        <v>72</v>
      </c>
      <c r="CU985" s="688" t="n"/>
      <c r="CV985" s="431" t="inlineStr">
        <is>
          <t>Boolean</t>
        </is>
      </c>
      <c r="CW985" s="451" t="n"/>
      <c r="CX985" s="451">
        <f>'CIRCUIT SIM'!MQ75</f>
        <v/>
      </c>
      <c r="CY985" s="451" t="n"/>
      <c r="DA985" s="429" t="n">
        <v>72</v>
      </c>
      <c r="DB985" s="431" t="n">
        <v>72</v>
      </c>
      <c r="DC985" s="688" t="n"/>
      <c r="DD985" s="431" t="n"/>
      <c r="DE985" s="451" t="n"/>
      <c r="DF985" s="451">
        <f>'CIRCUIT SIM'!EX75</f>
        <v/>
      </c>
      <c r="DG985" s="451" t="n"/>
      <c r="DI985" s="429" t="n">
        <v>72</v>
      </c>
      <c r="DJ985" s="431" t="n">
        <v>72</v>
      </c>
      <c r="DK985" s="688" t="n"/>
      <c r="DL985" s="431" t="n"/>
      <c r="DM985" s="429" t="n"/>
      <c r="DN985" s="451">
        <f>'CIRCUIT SIM'!FN75</f>
        <v/>
      </c>
      <c r="DO985" s="451" t="n"/>
      <c r="DQ985" s="429" t="n">
        <v>72</v>
      </c>
      <c r="DR985" s="431" t="n">
        <v>72</v>
      </c>
      <c r="DS985" s="688" t="n"/>
      <c r="DT985" s="431" t="n"/>
      <c r="DU985" s="451" t="n"/>
      <c r="DV985" s="451">
        <f>'CIRCUIT SIM'!HT75</f>
        <v/>
      </c>
      <c r="DW985" s="451" t="n"/>
      <c r="DY985" s="429" t="n">
        <v>72</v>
      </c>
      <c r="DZ985" s="431" t="n">
        <v>72</v>
      </c>
      <c r="EA985" s="688" t="n"/>
      <c r="EB985" s="431" t="n"/>
      <c r="EC985" s="451" t="n"/>
      <c r="ED985" s="335">
        <f>'CIRCUIT SIM'!GO75</f>
        <v/>
      </c>
      <c r="EE985" s="451" t="n"/>
      <c r="EG985" s="429" t="n">
        <v>72</v>
      </c>
      <c r="EH985" s="431" t="n">
        <v>72</v>
      </c>
      <c r="EI985" s="688" t="n"/>
      <c r="EJ985" s="431" t="inlineStr">
        <is>
          <t>Boolean</t>
        </is>
      </c>
      <c r="EK985" s="451" t="n"/>
      <c r="EL985" s="451">
        <f>'CIRCUIT SIM'!HD75</f>
        <v/>
      </c>
      <c r="EM985" s="451" t="n"/>
      <c r="EO985" s="429" t="n">
        <v>72</v>
      </c>
      <c r="EP985" s="431" t="n">
        <v>72</v>
      </c>
      <c r="EQ985" s="688" t="n"/>
      <c r="ER985" s="431" t="n"/>
      <c r="ES985" s="451" t="n"/>
      <c r="ET985" s="451">
        <f>'CIRCUIT SIM'!HT75</f>
        <v/>
      </c>
      <c r="EU985" s="451" t="inlineStr">
        <is>
          <t> </t>
        </is>
      </c>
      <c r="EW985" s="429" t="n">
        <v>72</v>
      </c>
      <c r="EX985" s="431" t="n">
        <v>72</v>
      </c>
      <c r="EY985" s="688" t="n"/>
      <c r="EZ985" s="431" t="n"/>
      <c r="FA985" s="451" t="n"/>
      <c r="FB985" s="451" t="n"/>
      <c r="FC985" s="451" t="n"/>
      <c r="FE985" s="429" t="n">
        <v>72</v>
      </c>
      <c r="FF985" s="431" t="n">
        <v>72</v>
      </c>
      <c r="FG985" s="688" t="n"/>
      <c r="FH985" s="431" t="n"/>
      <c r="FI985" s="451" t="n"/>
      <c r="FJ985" s="451" t="n"/>
      <c r="FK985" s="451" t="n"/>
      <c r="FM985" s="429" t="n">
        <v>72</v>
      </c>
      <c r="FN985" s="431" t="n">
        <v>72</v>
      </c>
      <c r="FO985" s="688" t="n"/>
      <c r="FP985" s="431" t="n"/>
      <c r="FQ985" s="451" t="n"/>
      <c r="FR985" s="451">
        <f>'CIRCUIT SIM'!KY75</f>
        <v/>
      </c>
      <c r="FS985" s="451" t="n"/>
      <c r="FU985" s="429" t="n">
        <v>72</v>
      </c>
      <c r="FV985" s="431" t="n">
        <v>72</v>
      </c>
      <c r="FW985" s="688" t="n"/>
      <c r="FX985" s="431" t="n"/>
      <c r="FY985" s="451" t="n"/>
      <c r="FZ985" s="562">
        <f>'CIRCUIT SIM'!JG75</f>
        <v/>
      </c>
      <c r="GA985" s="451" t="n"/>
      <c r="GC985" s="429" t="n">
        <v>72</v>
      </c>
      <c r="GD985" s="431" t="n">
        <v>72</v>
      </c>
      <c r="GE985" s="688" t="n"/>
      <c r="GF985" s="431" t="n"/>
      <c r="GG985" s="451" t="n"/>
      <c r="GH985" s="451" t="n"/>
      <c r="GI985" s="451" t="n"/>
      <c r="GK985" s="429" t="n">
        <v>72</v>
      </c>
      <c r="GL985" s="431" t="n">
        <v>72</v>
      </c>
      <c r="GM985" s="688" t="n"/>
      <c r="GN985" s="431" t="n"/>
      <c r="GO985" s="451" t="n"/>
      <c r="GP985" s="451" t="n"/>
      <c r="GQ985" s="451" t="n"/>
      <c r="GS985" s="429" t="n">
        <v>72</v>
      </c>
      <c r="GT985" s="431" t="n">
        <v>72</v>
      </c>
      <c r="GU985" s="688" t="n"/>
      <c r="GV985" s="431" t="n"/>
      <c r="GW985" s="451" t="n"/>
      <c r="GX985" s="451">
        <f>'CIRCUIT SIM'!KY75</f>
        <v/>
      </c>
      <c r="GY985" s="451" t="n"/>
      <c r="HA985" s="429" t="n">
        <v>72</v>
      </c>
      <c r="HB985" s="431" t="n">
        <v>72</v>
      </c>
      <c r="HC985" s="688" t="n"/>
      <c r="HD985" s="431" t="n"/>
      <c r="HE985" s="451" t="n"/>
      <c r="HF985" s="451" t="n"/>
      <c r="HG985" s="451" t="n"/>
    </row>
    <row r="986">
      <c r="A986" s="429" t="n">
        <v>73</v>
      </c>
      <c r="B986" s="431" t="n">
        <v>73</v>
      </c>
      <c r="C986" s="688" t="n"/>
      <c r="D986" s="431" t="inlineStr">
        <is>
          <t>Boolean</t>
        </is>
      </c>
      <c r="E986" s="429" t="n"/>
      <c r="F986" s="422">
        <f>'CIRCUIT SIM'!J76</f>
        <v/>
      </c>
      <c r="G986" s="429" t="n"/>
      <c r="I986" s="429" t="n">
        <v>73</v>
      </c>
      <c r="J986" s="431" t="n">
        <v>73</v>
      </c>
      <c r="K986" s="429" t="n"/>
      <c r="L986" s="431" t="inlineStr">
        <is>
          <t>Boolean</t>
        </is>
      </c>
      <c r="M986" s="451" t="n"/>
      <c r="N986" s="422">
        <f>'CIRCUIT SIM'!Y76</f>
        <v/>
      </c>
      <c r="O986" s="451" t="n"/>
      <c r="Q986" s="429" t="n">
        <v>73</v>
      </c>
      <c r="R986" s="431" t="n">
        <v>73</v>
      </c>
      <c r="S986" s="429" t="n"/>
      <c r="T986" s="431" t="inlineStr">
        <is>
          <t>Boolean</t>
        </is>
      </c>
      <c r="U986" s="429" t="n"/>
      <c r="V986" s="386">
        <f>'CIRCUIT SIM'!AO76</f>
        <v/>
      </c>
      <c r="W986" s="451" t="n"/>
      <c r="Y986" s="429" t="n">
        <v>73</v>
      </c>
      <c r="Z986" s="431" t="n">
        <v>73</v>
      </c>
      <c r="AA986" s="429" t="n"/>
      <c r="AB986" s="431" t="n"/>
      <c r="AC986" s="451" t="n"/>
      <c r="AD986" s="451" t="n"/>
      <c r="AE986" s="451" t="n"/>
      <c r="AG986" s="429" t="n">
        <v>73</v>
      </c>
      <c r="AH986" s="431" t="n">
        <v>73</v>
      </c>
      <c r="AI986" s="429" t="n"/>
      <c r="AJ986" s="431" t="n"/>
      <c r="AK986" s="451" t="n"/>
      <c r="AL986" s="450">
        <f>'CIRCUIT SIM'!CR76</f>
        <v/>
      </c>
      <c r="AM986" s="451" t="n"/>
      <c r="AO986" s="429" t="n">
        <v>73</v>
      </c>
      <c r="AP986" s="431" t="n">
        <v>73</v>
      </c>
      <c r="AQ986" s="429" t="n"/>
      <c r="AR986" s="431" t="inlineStr">
        <is>
          <t>Boolean</t>
        </is>
      </c>
      <c r="AS986" s="451" t="n"/>
      <c r="AT986" s="386">
        <f>'CIRCUIT SIM'!BR76</f>
        <v/>
      </c>
      <c r="AU986" s="451" t="n"/>
      <c r="AW986" s="429" t="n">
        <v>73</v>
      </c>
      <c r="AX986" s="431" t="n">
        <v>73</v>
      </c>
      <c r="AY986" s="429" t="n"/>
      <c r="AZ986" s="431" t="inlineStr">
        <is>
          <t>Boolean</t>
        </is>
      </c>
      <c r="BA986" s="451" t="n"/>
      <c r="BB986" s="451">
        <f>'CIRCUIT SIM'!CG76</f>
        <v/>
      </c>
      <c r="BC986" s="451" t="n"/>
      <c r="BE986" s="429" t="n">
        <v>73</v>
      </c>
      <c r="BF986" s="431" t="n"/>
      <c r="BG986" s="429" t="n"/>
      <c r="BH986" s="431" t="n"/>
      <c r="BI986" s="451" t="n"/>
      <c r="BJ986" s="451" t="n"/>
      <c r="BK986" s="451" t="n"/>
      <c r="BM986" s="429" t="n">
        <v>73</v>
      </c>
      <c r="BN986" s="431" t="n">
        <v>73</v>
      </c>
      <c r="BO986" s="429" t="n"/>
      <c r="BP986" s="431" t="n"/>
      <c r="BQ986" s="451" t="n"/>
      <c r="BR986" s="451">
        <f>'CIRCUIT SIM'!DT76</f>
        <v/>
      </c>
      <c r="BS986" s="451" t="n"/>
      <c r="BU986" s="429" t="n">
        <v>73</v>
      </c>
      <c r="BV986" s="431" t="n">
        <v>73</v>
      </c>
      <c r="BW986" s="429" t="n"/>
      <c r="BX986" s="431" t="n"/>
      <c r="BY986" s="451" t="n"/>
      <c r="BZ986" s="451">
        <f>'CIRCUIT SIM'!EI76</f>
        <v/>
      </c>
      <c r="CA986" s="451" t="n"/>
      <c r="CC986" s="429" t="n">
        <v>73</v>
      </c>
      <c r="CD986" s="431" t="n">
        <v>73</v>
      </c>
      <c r="CE986" s="688" t="n"/>
      <c r="CF986" s="431" t="inlineStr">
        <is>
          <t>Boolean</t>
        </is>
      </c>
      <c r="CG986" s="451" t="n"/>
      <c r="CH986" s="562">
        <f>'CIRCUIT SIM'!LK76</f>
        <v/>
      </c>
      <c r="CI986" s="451" t="n"/>
      <c r="CK986" s="429" t="n">
        <v>73</v>
      </c>
      <c r="CL986" s="431" t="n">
        <v>73</v>
      </c>
      <c r="CM986" s="565" t="n">
        <v>72</v>
      </c>
      <c r="CN986" s="431" t="inlineStr">
        <is>
          <t>Boolean</t>
        </is>
      </c>
      <c r="CO986" s="451" t="n"/>
      <c r="CP986" s="451">
        <f>'CIRCUIT SIM'!MA76</f>
        <v/>
      </c>
      <c r="CQ986" s="451" t="n"/>
      <c r="CS986" s="429" t="n">
        <v>73</v>
      </c>
      <c r="CT986" s="431" t="n">
        <v>73</v>
      </c>
      <c r="CU986" s="688" t="n"/>
      <c r="CV986" s="431" t="inlineStr">
        <is>
          <t>Boolean</t>
        </is>
      </c>
      <c r="CW986" s="451" t="n"/>
      <c r="CX986" s="451">
        <f>'CIRCUIT SIM'!MQ76</f>
        <v/>
      </c>
      <c r="CY986" s="451" t="n"/>
      <c r="DA986" s="429" t="n">
        <v>73</v>
      </c>
      <c r="DB986" s="431" t="n">
        <v>73</v>
      </c>
      <c r="DC986" s="688" t="n"/>
      <c r="DD986" s="431" t="n"/>
      <c r="DE986" s="451" t="n"/>
      <c r="DF986" s="451">
        <f>'CIRCUIT SIM'!EX76</f>
        <v/>
      </c>
      <c r="DG986" s="451" t="n"/>
      <c r="DI986" s="429" t="n">
        <v>73</v>
      </c>
      <c r="DJ986" s="431" t="n">
        <v>73</v>
      </c>
      <c r="DK986" s="688" t="n"/>
      <c r="DL986" s="431" t="n"/>
      <c r="DM986" s="429" t="n"/>
      <c r="DN986" s="451">
        <f>'CIRCUIT SIM'!FN76</f>
        <v/>
      </c>
      <c r="DO986" s="451" t="n"/>
      <c r="DQ986" s="429" t="n">
        <v>73</v>
      </c>
      <c r="DR986" s="431" t="n">
        <v>73</v>
      </c>
      <c r="DS986" s="688" t="n"/>
      <c r="DT986" s="431" t="n"/>
      <c r="DU986" s="451" t="n"/>
      <c r="DV986" s="451">
        <f>'CIRCUIT SIM'!HT76</f>
        <v/>
      </c>
      <c r="DW986" s="451" t="n"/>
      <c r="DY986" s="429" t="n">
        <v>73</v>
      </c>
      <c r="DZ986" s="431" t="n">
        <v>73</v>
      </c>
      <c r="EA986" s="688" t="n"/>
      <c r="EB986" s="431" t="n"/>
      <c r="EC986" s="451" t="n"/>
      <c r="ED986" s="335">
        <f>'CIRCUIT SIM'!GO76</f>
        <v/>
      </c>
      <c r="EE986" s="451" t="n"/>
      <c r="EG986" s="429" t="n">
        <v>73</v>
      </c>
      <c r="EH986" s="431" t="n">
        <v>73</v>
      </c>
      <c r="EI986" s="688" t="n"/>
      <c r="EJ986" s="431" t="inlineStr">
        <is>
          <t>Boolean</t>
        </is>
      </c>
      <c r="EK986" s="451" t="n"/>
      <c r="EL986" s="451">
        <f>'CIRCUIT SIM'!HD76</f>
        <v/>
      </c>
      <c r="EM986" s="451" t="n"/>
      <c r="EO986" s="429" t="n">
        <v>73</v>
      </c>
      <c r="EP986" s="431" t="n">
        <v>73</v>
      </c>
      <c r="EQ986" s="688" t="n"/>
      <c r="ER986" s="431" t="n"/>
      <c r="ES986" s="451" t="n"/>
      <c r="ET986" s="451">
        <f>'CIRCUIT SIM'!HT76</f>
        <v/>
      </c>
      <c r="EU986" s="451" t="n"/>
      <c r="EW986" s="429" t="n">
        <v>73</v>
      </c>
      <c r="EX986" s="431" t="n">
        <v>73</v>
      </c>
      <c r="EY986" s="688" t="n"/>
      <c r="EZ986" s="431" t="n"/>
      <c r="FA986" s="451" t="n"/>
      <c r="FB986" s="451" t="n"/>
      <c r="FC986" s="451" t="n"/>
      <c r="FE986" s="429" t="n">
        <v>73</v>
      </c>
      <c r="FF986" s="431" t="n">
        <v>73</v>
      </c>
      <c r="FG986" s="688" t="n"/>
      <c r="FH986" s="431" t="n"/>
      <c r="FI986" s="451" t="n"/>
      <c r="FJ986" s="451" t="n"/>
      <c r="FK986" s="451" t="n"/>
      <c r="FM986" s="429" t="n">
        <v>73</v>
      </c>
      <c r="FN986" s="431" t="n">
        <v>73</v>
      </c>
      <c r="FO986" s="688" t="n"/>
      <c r="FP986" s="431" t="n"/>
      <c r="FQ986" s="451" t="n"/>
      <c r="FR986" s="451">
        <f>'CIRCUIT SIM'!KY76</f>
        <v/>
      </c>
      <c r="FS986" s="451" t="n"/>
      <c r="FU986" s="429" t="n">
        <v>73</v>
      </c>
      <c r="FV986" s="431" t="n">
        <v>73</v>
      </c>
      <c r="FW986" s="688" t="n"/>
      <c r="FX986" s="431" t="n"/>
      <c r="FY986" s="451" t="n"/>
      <c r="FZ986" s="562">
        <f>'CIRCUIT SIM'!JG76</f>
        <v/>
      </c>
      <c r="GA986" s="451" t="n"/>
      <c r="GC986" s="429" t="n">
        <v>73</v>
      </c>
      <c r="GD986" s="431" t="n">
        <v>73</v>
      </c>
      <c r="GE986" s="688" t="n"/>
      <c r="GF986" s="431" t="n"/>
      <c r="GG986" s="451" t="n"/>
      <c r="GH986" s="451" t="n"/>
      <c r="GI986" s="451" t="n"/>
      <c r="GK986" s="429" t="n">
        <v>73</v>
      </c>
      <c r="GL986" s="431" t="n">
        <v>73</v>
      </c>
      <c r="GM986" s="688" t="n"/>
      <c r="GN986" s="431" t="n"/>
      <c r="GO986" s="451" t="n"/>
      <c r="GP986" s="451" t="n"/>
      <c r="GQ986" s="451" t="n"/>
      <c r="GS986" s="429" t="n">
        <v>73</v>
      </c>
      <c r="GT986" s="431" t="n">
        <v>73</v>
      </c>
      <c r="GU986" s="688" t="n"/>
      <c r="GV986" s="431" t="n"/>
      <c r="GW986" s="451" t="n"/>
      <c r="GX986" s="451">
        <f>'CIRCUIT SIM'!KY76</f>
        <v/>
      </c>
      <c r="GY986" s="451" t="n"/>
      <c r="HA986" s="429" t="n">
        <v>73</v>
      </c>
      <c r="HB986" s="431" t="n">
        <v>73</v>
      </c>
      <c r="HC986" s="688" t="n"/>
      <c r="HD986" s="431" t="n"/>
      <c r="HE986" s="451" t="n"/>
      <c r="HF986" s="451" t="n"/>
      <c r="HG986" s="451" t="n"/>
    </row>
    <row r="987">
      <c r="A987" s="429" t="n">
        <v>74</v>
      </c>
      <c r="B987" s="431" t="n">
        <v>74</v>
      </c>
      <c r="C987" s="688" t="n"/>
      <c r="D987" s="431" t="inlineStr">
        <is>
          <t>Boolean</t>
        </is>
      </c>
      <c r="E987" s="429" t="n"/>
      <c r="F987" s="422">
        <f>'CIRCUIT SIM'!J77</f>
        <v/>
      </c>
      <c r="G987" s="429" t="n"/>
      <c r="I987" s="429" t="n">
        <v>74</v>
      </c>
      <c r="J987" s="431" t="n">
        <v>74</v>
      </c>
      <c r="K987" s="429" t="n"/>
      <c r="L987" s="431" t="inlineStr">
        <is>
          <t>Boolean</t>
        </is>
      </c>
      <c r="M987" s="451" t="n"/>
      <c r="N987" s="422">
        <f>'CIRCUIT SIM'!Y77</f>
        <v/>
      </c>
      <c r="O987" s="451" t="n"/>
      <c r="Q987" s="429" t="n">
        <v>74</v>
      </c>
      <c r="R987" s="431" t="n">
        <v>74</v>
      </c>
      <c r="S987" s="429" t="n"/>
      <c r="T987" s="431" t="inlineStr">
        <is>
          <t>Boolean</t>
        </is>
      </c>
      <c r="U987" s="429" t="n"/>
      <c r="V987" s="386">
        <f>'CIRCUIT SIM'!AO77</f>
        <v/>
      </c>
      <c r="W987" s="451" t="n"/>
      <c r="Y987" s="429" t="n">
        <v>74</v>
      </c>
      <c r="Z987" s="431" t="n">
        <v>74</v>
      </c>
      <c r="AA987" s="429" t="n"/>
      <c r="AB987" s="431" t="n"/>
      <c r="AC987" s="451" t="n"/>
      <c r="AD987" s="451" t="n"/>
      <c r="AE987" s="451" t="n"/>
      <c r="AG987" s="429" t="n">
        <v>74</v>
      </c>
      <c r="AH987" s="431" t="n">
        <v>74</v>
      </c>
      <c r="AI987" s="429" t="n"/>
      <c r="AJ987" s="431" t="inlineStr">
        <is>
          <t> </t>
        </is>
      </c>
      <c r="AK987" s="451" t="n"/>
      <c r="AL987" s="450">
        <f>'CIRCUIT SIM'!CR77</f>
        <v/>
      </c>
      <c r="AM987" s="451" t="n"/>
      <c r="AO987" s="429" t="n">
        <v>74</v>
      </c>
      <c r="AP987" s="431" t="n">
        <v>74</v>
      </c>
      <c r="AQ987" s="429" t="n"/>
      <c r="AR987" s="431" t="inlineStr">
        <is>
          <t>Boolean</t>
        </is>
      </c>
      <c r="AS987" s="451" t="n"/>
      <c r="AT987" s="386">
        <f>'CIRCUIT SIM'!BR77</f>
        <v/>
      </c>
      <c r="AU987" s="451" t="n"/>
      <c r="AW987" s="429" t="n">
        <v>74</v>
      </c>
      <c r="AX987" s="431" t="n">
        <v>74</v>
      </c>
      <c r="AY987" s="429" t="n"/>
      <c r="AZ987" s="431" t="inlineStr">
        <is>
          <t>Boolean</t>
        </is>
      </c>
      <c r="BA987" s="451" t="n"/>
      <c r="BB987" s="451">
        <f>'CIRCUIT SIM'!CG77</f>
        <v/>
      </c>
      <c r="BC987" s="451" t="n"/>
      <c r="BE987" s="429" t="n">
        <v>74</v>
      </c>
      <c r="BF987" s="431" t="n"/>
      <c r="BG987" s="429" t="n"/>
      <c r="BH987" s="431" t="n"/>
      <c r="BI987" s="451" t="n"/>
      <c r="BJ987" s="451" t="n"/>
      <c r="BK987" s="451" t="n"/>
      <c r="BM987" s="429" t="n">
        <v>74</v>
      </c>
      <c r="BN987" s="431" t="n">
        <v>74</v>
      </c>
      <c r="BO987" s="429" t="n"/>
      <c r="BP987" s="431" t="n"/>
      <c r="BQ987" s="451" t="n"/>
      <c r="BR987" s="451">
        <f>'CIRCUIT SIM'!DT77</f>
        <v/>
      </c>
      <c r="BS987" s="451" t="n"/>
      <c r="BU987" s="429" t="n">
        <v>74</v>
      </c>
      <c r="BV987" s="431" t="n">
        <v>74</v>
      </c>
      <c r="BW987" s="429" t="n"/>
      <c r="BX987" s="431" t="n"/>
      <c r="BY987" s="451" t="n"/>
      <c r="BZ987" s="451">
        <f>'CIRCUIT SIM'!EI77</f>
        <v/>
      </c>
      <c r="CA987" s="451" t="n"/>
      <c r="CC987" s="429" t="n">
        <v>74</v>
      </c>
      <c r="CD987" s="431" t="n">
        <v>74</v>
      </c>
      <c r="CE987" s="688" t="n"/>
      <c r="CF987" s="431" t="inlineStr">
        <is>
          <t>Boolean</t>
        </is>
      </c>
      <c r="CG987" s="451" t="n"/>
      <c r="CH987" s="562">
        <f>'CIRCUIT SIM'!LK77</f>
        <v/>
      </c>
      <c r="CI987" s="451" t="n"/>
      <c r="CK987" s="429" t="n">
        <v>74</v>
      </c>
      <c r="CL987" s="431" t="n">
        <v>74</v>
      </c>
      <c r="CM987" s="565" t="n">
        <v>73</v>
      </c>
      <c r="CN987" s="431" t="inlineStr">
        <is>
          <t>Boolean</t>
        </is>
      </c>
      <c r="CO987" s="451" t="n"/>
      <c r="CP987" s="451">
        <f>'CIRCUIT SIM'!MA77</f>
        <v/>
      </c>
      <c r="CQ987" s="451" t="n"/>
      <c r="CS987" s="429" t="n">
        <v>74</v>
      </c>
      <c r="CT987" s="431" t="n">
        <v>74</v>
      </c>
      <c r="CU987" s="688" t="n"/>
      <c r="CV987" s="431" t="inlineStr">
        <is>
          <t>Boolean</t>
        </is>
      </c>
      <c r="CW987" s="451" t="n"/>
      <c r="CX987" s="451">
        <f>'CIRCUIT SIM'!MQ77</f>
        <v/>
      </c>
      <c r="CY987" s="451" t="n"/>
      <c r="DA987" s="429" t="n">
        <v>74</v>
      </c>
      <c r="DB987" s="431" t="n">
        <v>74</v>
      </c>
      <c r="DC987" s="688" t="n"/>
      <c r="DD987" s="431" t="n"/>
      <c r="DE987" s="451" t="n"/>
      <c r="DF987" s="451">
        <f>'CIRCUIT SIM'!EX77</f>
        <v/>
      </c>
      <c r="DG987" s="451" t="n"/>
      <c r="DI987" s="429" t="n">
        <v>74</v>
      </c>
      <c r="DJ987" s="431" t="n">
        <v>74</v>
      </c>
      <c r="DK987" s="688" t="n"/>
      <c r="DL987" s="431" t="n"/>
      <c r="DM987" s="429" t="n"/>
      <c r="DN987" s="451">
        <f>'CIRCUIT SIM'!FN77</f>
        <v/>
      </c>
      <c r="DO987" s="451" t="n"/>
      <c r="DQ987" s="429" t="n">
        <v>74</v>
      </c>
      <c r="DR987" s="431" t="n">
        <v>74</v>
      </c>
      <c r="DS987" s="688" t="n"/>
      <c r="DT987" s="431" t="n"/>
      <c r="DU987" s="451" t="n"/>
      <c r="DV987" s="451">
        <f>'CIRCUIT SIM'!HT77</f>
        <v/>
      </c>
      <c r="DW987" s="451" t="n"/>
      <c r="DY987" s="429" t="n">
        <v>74</v>
      </c>
      <c r="DZ987" s="431" t="n">
        <v>74</v>
      </c>
      <c r="EA987" s="688" t="n"/>
      <c r="EB987" s="431" t="n"/>
      <c r="EC987" s="451" t="n"/>
      <c r="ED987" s="335">
        <f>'CIRCUIT SIM'!GO77</f>
        <v/>
      </c>
      <c r="EE987" s="451" t="n"/>
      <c r="EG987" s="429" t="n">
        <v>74</v>
      </c>
      <c r="EH987" s="431" t="n">
        <v>74</v>
      </c>
      <c r="EI987" s="688" t="n"/>
      <c r="EJ987" s="431" t="inlineStr">
        <is>
          <t>Boolean</t>
        </is>
      </c>
      <c r="EK987" s="451" t="n"/>
      <c r="EL987" s="451">
        <f>'CIRCUIT SIM'!HD77</f>
        <v/>
      </c>
      <c r="EM987" s="451" t="n"/>
      <c r="EO987" s="429" t="n">
        <v>74</v>
      </c>
      <c r="EP987" s="431" t="n">
        <v>74</v>
      </c>
      <c r="EQ987" s="688" t="n"/>
      <c r="ER987" s="431" t="n"/>
      <c r="ES987" s="451" t="n"/>
      <c r="ET987" s="451">
        <f>'CIRCUIT SIM'!HT77</f>
        <v/>
      </c>
      <c r="EU987" s="451" t="n"/>
      <c r="EW987" s="429" t="n">
        <v>74</v>
      </c>
      <c r="EX987" s="431" t="n">
        <v>74</v>
      </c>
      <c r="EY987" s="688" t="n"/>
      <c r="EZ987" s="431" t="n"/>
      <c r="FA987" s="451" t="n"/>
      <c r="FB987" s="451" t="n"/>
      <c r="FC987" s="451" t="n"/>
      <c r="FE987" s="429" t="n">
        <v>74</v>
      </c>
      <c r="FF987" s="431" t="n">
        <v>74</v>
      </c>
      <c r="FG987" s="688" t="n"/>
      <c r="FH987" s="431" t="n"/>
      <c r="FI987" s="451" t="n"/>
      <c r="FJ987" s="451" t="n"/>
      <c r="FK987" s="451" t="n"/>
      <c r="FM987" s="429" t="n">
        <v>74</v>
      </c>
      <c r="FN987" s="431" t="n">
        <v>74</v>
      </c>
      <c r="FO987" s="688" t="n"/>
      <c r="FP987" s="431" t="n"/>
      <c r="FQ987" s="451" t="n"/>
      <c r="FR987" s="451">
        <f>'CIRCUIT SIM'!KY77</f>
        <v/>
      </c>
      <c r="FS987" s="451" t="n"/>
      <c r="FU987" s="429" t="n">
        <v>74</v>
      </c>
      <c r="FV987" s="431" t="n">
        <v>74</v>
      </c>
      <c r="FW987" s="688" t="n"/>
      <c r="FX987" s="431" t="n"/>
      <c r="FY987" s="451" t="n"/>
      <c r="FZ987" s="562">
        <f>'CIRCUIT SIM'!JG77</f>
        <v/>
      </c>
      <c r="GA987" s="451" t="n"/>
      <c r="GC987" s="429" t="n">
        <v>74</v>
      </c>
      <c r="GD987" s="431" t="n">
        <v>74</v>
      </c>
      <c r="GE987" s="688" t="n"/>
      <c r="GF987" s="431" t="n"/>
      <c r="GG987" s="451" t="n"/>
      <c r="GH987" s="451" t="n"/>
      <c r="GI987" s="451" t="n"/>
      <c r="GK987" s="429" t="n">
        <v>74</v>
      </c>
      <c r="GL987" s="431" t="n">
        <v>74</v>
      </c>
      <c r="GM987" s="688" t="n"/>
      <c r="GN987" s="431" t="n"/>
      <c r="GO987" s="451" t="n"/>
      <c r="GP987" s="451" t="n"/>
      <c r="GQ987" s="451" t="n"/>
      <c r="GS987" s="429" t="n">
        <v>74</v>
      </c>
      <c r="GT987" s="431" t="n">
        <v>74</v>
      </c>
      <c r="GU987" s="688" t="n"/>
      <c r="GV987" s="431" t="n"/>
      <c r="GW987" s="451" t="n"/>
      <c r="GX987" s="451">
        <f>'CIRCUIT SIM'!KY77</f>
        <v/>
      </c>
      <c r="GY987" s="451" t="n"/>
      <c r="HA987" s="429" t="n">
        <v>74</v>
      </c>
      <c r="HB987" s="431" t="n">
        <v>74</v>
      </c>
      <c r="HC987" s="688" t="n"/>
      <c r="HD987" s="431" t="n"/>
      <c r="HE987" s="451" t="n"/>
      <c r="HF987" s="451" t="n"/>
      <c r="HG987" s="451" t="n"/>
    </row>
    <row r="988">
      <c r="A988" s="429" t="n">
        <v>75</v>
      </c>
      <c r="B988" s="431" t="n">
        <v>75</v>
      </c>
      <c r="C988" s="688" t="n"/>
      <c r="D988" s="431" t="inlineStr">
        <is>
          <t>Boolean</t>
        </is>
      </c>
      <c r="E988" s="429" t="n"/>
      <c r="F988" s="422">
        <f>'CIRCUIT SIM'!J78</f>
        <v/>
      </c>
      <c r="G988" s="429" t="n"/>
      <c r="I988" s="429" t="n">
        <v>75</v>
      </c>
      <c r="J988" s="431" t="n">
        <v>75</v>
      </c>
      <c r="K988" s="429" t="n"/>
      <c r="L988" s="431" t="inlineStr">
        <is>
          <t>Boolean</t>
        </is>
      </c>
      <c r="M988" s="451" t="n"/>
      <c r="N988" s="422">
        <f>'CIRCUIT SIM'!Y78</f>
        <v/>
      </c>
      <c r="O988" s="451" t="n"/>
      <c r="Q988" s="429" t="n">
        <v>75</v>
      </c>
      <c r="R988" s="431" t="n">
        <v>75</v>
      </c>
      <c r="S988" s="429" t="n"/>
      <c r="T988" s="431" t="inlineStr">
        <is>
          <t>Boolean</t>
        </is>
      </c>
      <c r="U988" s="429" t="n"/>
      <c r="V988" s="386">
        <f>'CIRCUIT SIM'!AO78</f>
        <v/>
      </c>
      <c r="W988" s="451" t="n"/>
      <c r="Y988" s="429" t="n">
        <v>75</v>
      </c>
      <c r="Z988" s="431" t="n">
        <v>75</v>
      </c>
      <c r="AA988" s="429" t="n"/>
      <c r="AB988" s="431" t="n"/>
      <c r="AC988" s="451" t="n"/>
      <c r="AD988" s="451" t="n"/>
      <c r="AE988" s="451" t="n"/>
      <c r="AG988" s="429" t="n">
        <v>75</v>
      </c>
      <c r="AH988" s="431" t="n">
        <v>75</v>
      </c>
      <c r="AI988" s="429" t="n"/>
      <c r="AJ988" s="431" t="n"/>
      <c r="AK988" s="451" t="n"/>
      <c r="AL988" s="450">
        <f>'CIRCUIT SIM'!CR78</f>
        <v/>
      </c>
      <c r="AM988" s="451" t="n"/>
      <c r="AO988" s="429" t="n">
        <v>75</v>
      </c>
      <c r="AP988" s="431" t="n">
        <v>75</v>
      </c>
      <c r="AQ988" s="429" t="n"/>
      <c r="AR988" s="431" t="inlineStr">
        <is>
          <t>Boolean</t>
        </is>
      </c>
      <c r="AS988" s="451" t="n"/>
      <c r="AT988" s="386">
        <f>'CIRCUIT SIM'!BR78</f>
        <v/>
      </c>
      <c r="AU988" s="451" t="n"/>
      <c r="AW988" s="429" t="n">
        <v>75</v>
      </c>
      <c r="AX988" s="431" t="n">
        <v>75</v>
      </c>
      <c r="AY988" s="429" t="n"/>
      <c r="AZ988" s="431" t="inlineStr">
        <is>
          <t>Boolean</t>
        </is>
      </c>
      <c r="BA988" s="451" t="n"/>
      <c r="BB988" s="451">
        <f>'CIRCUIT SIM'!CG78</f>
        <v/>
      </c>
      <c r="BC988" s="451" t="n"/>
      <c r="BD988" s="335" t="inlineStr">
        <is>
          <t> </t>
        </is>
      </c>
      <c r="BE988" s="429" t="n">
        <v>75</v>
      </c>
      <c r="BF988" s="431" t="n"/>
      <c r="BG988" s="429" t="n"/>
      <c r="BH988" s="431" t="n"/>
      <c r="BI988" s="451" t="n"/>
      <c r="BJ988" s="451" t="n"/>
      <c r="BK988" s="451" t="n"/>
      <c r="BM988" s="429" t="n">
        <v>75</v>
      </c>
      <c r="BN988" s="431" t="n">
        <v>75</v>
      </c>
      <c r="BO988" s="429" t="n"/>
      <c r="BP988" s="431" t="n"/>
      <c r="BQ988" s="451" t="n"/>
      <c r="BR988" s="451" t="inlineStr">
        <is>
          <t> </t>
        </is>
      </c>
      <c r="BS988" s="451" t="n"/>
      <c r="BU988" s="429" t="n">
        <v>75</v>
      </c>
      <c r="BV988" s="431" t="n">
        <v>75</v>
      </c>
      <c r="BW988" s="429" t="n"/>
      <c r="BX988" s="431" t="n"/>
      <c r="BY988" s="451" t="n"/>
      <c r="BZ988" s="451">
        <f>'CIRCUIT SIM'!EI78</f>
        <v/>
      </c>
      <c r="CA988" s="451" t="n"/>
      <c r="CC988" s="429" t="n">
        <v>75</v>
      </c>
      <c r="CD988" s="431" t="n">
        <v>75</v>
      </c>
      <c r="CE988" s="688" t="n"/>
      <c r="CF988" s="431" t="inlineStr">
        <is>
          <t>Boolean</t>
        </is>
      </c>
      <c r="CG988" s="451" t="n"/>
      <c r="CH988" s="562">
        <f>'CIRCUIT SIM'!LK78</f>
        <v/>
      </c>
      <c r="CI988" s="451" t="n"/>
      <c r="CK988" s="429" t="n">
        <v>75</v>
      </c>
      <c r="CL988" s="431" t="n">
        <v>75</v>
      </c>
      <c r="CM988" s="565" t="n">
        <v>74</v>
      </c>
      <c r="CN988" s="431" t="inlineStr">
        <is>
          <t>Boolean</t>
        </is>
      </c>
      <c r="CO988" s="451" t="n"/>
      <c r="CP988" s="451">
        <f>'CIRCUIT SIM'!MA78</f>
        <v/>
      </c>
      <c r="CQ988" s="451" t="n"/>
      <c r="CS988" s="429" t="n">
        <v>75</v>
      </c>
      <c r="CT988" s="431" t="n">
        <v>75</v>
      </c>
      <c r="CU988" s="688" t="n"/>
      <c r="CV988" s="431" t="inlineStr">
        <is>
          <t>Boolean</t>
        </is>
      </c>
      <c r="CW988" s="451" t="n"/>
      <c r="CX988" s="451">
        <f>'CIRCUIT SIM'!MQ78</f>
        <v/>
      </c>
      <c r="CY988" s="451" t="n"/>
      <c r="DA988" s="429" t="n">
        <v>75</v>
      </c>
      <c r="DB988" s="431" t="n">
        <v>75</v>
      </c>
      <c r="DC988" s="688" t="n"/>
      <c r="DD988" s="431" t="n"/>
      <c r="DE988" s="451" t="n"/>
      <c r="DF988" s="451">
        <f>'CIRCUIT SIM'!EX78</f>
        <v/>
      </c>
      <c r="DG988" s="451" t="n"/>
      <c r="DI988" s="429" t="n">
        <v>75</v>
      </c>
      <c r="DJ988" s="431" t="n">
        <v>75</v>
      </c>
      <c r="DK988" s="688" t="n"/>
      <c r="DL988" s="431" t="n"/>
      <c r="DM988" s="429" t="inlineStr">
        <is>
          <t> </t>
        </is>
      </c>
      <c r="DN988" s="451">
        <f>'CIRCUIT SIM'!FN78</f>
        <v/>
      </c>
      <c r="DO988" s="451" t="n"/>
      <c r="DQ988" s="429" t="n">
        <v>75</v>
      </c>
      <c r="DR988" s="431" t="n">
        <v>75</v>
      </c>
      <c r="DS988" s="688" t="n"/>
      <c r="DT988" s="431" t="n"/>
      <c r="DU988" s="451" t="n"/>
      <c r="DV988" s="451">
        <f>'CIRCUIT SIM'!HT78</f>
        <v/>
      </c>
      <c r="DW988" s="451" t="n"/>
      <c r="DY988" s="429" t="n">
        <v>75</v>
      </c>
      <c r="DZ988" s="431" t="n">
        <v>75</v>
      </c>
      <c r="EA988" s="688" t="n"/>
      <c r="EB988" s="431" t="n"/>
      <c r="EC988" s="451" t="n"/>
      <c r="ED988" s="335">
        <f>'CIRCUIT SIM'!GO78</f>
        <v/>
      </c>
      <c r="EE988" s="451" t="n"/>
      <c r="EG988" s="429" t="n">
        <v>75</v>
      </c>
      <c r="EH988" s="431" t="n">
        <v>75</v>
      </c>
      <c r="EI988" s="688" t="n"/>
      <c r="EJ988" s="431" t="inlineStr">
        <is>
          <t>Boolean</t>
        </is>
      </c>
      <c r="EK988" s="451" t="n"/>
      <c r="EL988" s="451">
        <f>'CIRCUIT SIM'!HD78</f>
        <v/>
      </c>
      <c r="EM988" s="451" t="n"/>
      <c r="EO988" s="429" t="n">
        <v>75</v>
      </c>
      <c r="EP988" s="431" t="n">
        <v>75</v>
      </c>
      <c r="EQ988" s="688" t="n"/>
      <c r="ER988" s="431" t="n"/>
      <c r="ES988" s="451" t="n"/>
      <c r="ET988" s="451">
        <f>'CIRCUIT SIM'!HT78</f>
        <v/>
      </c>
      <c r="EU988" s="451" t="n"/>
      <c r="EW988" s="429" t="n">
        <v>75</v>
      </c>
      <c r="EX988" s="431" t="n">
        <v>75</v>
      </c>
      <c r="EY988" s="688" t="n"/>
      <c r="EZ988" s="431" t="n"/>
      <c r="FA988" s="451" t="n"/>
      <c r="FB988" s="451" t="n"/>
      <c r="FC988" s="451" t="n"/>
      <c r="FE988" s="429" t="n">
        <v>75</v>
      </c>
      <c r="FF988" s="431" t="n">
        <v>75</v>
      </c>
      <c r="FG988" s="688" t="n"/>
      <c r="FH988" s="431" t="n"/>
      <c r="FI988" s="451" t="n"/>
      <c r="FJ988" s="451" t="n"/>
      <c r="FK988" s="451" t="n"/>
      <c r="FM988" s="429" t="n">
        <v>75</v>
      </c>
      <c r="FN988" s="431" t="n">
        <v>75</v>
      </c>
      <c r="FO988" s="688" t="n"/>
      <c r="FP988" s="431" t="n"/>
      <c r="FQ988" s="451" t="n"/>
      <c r="FR988" s="451">
        <f>'CIRCUIT SIM'!KY78</f>
        <v/>
      </c>
      <c r="FS988" s="451" t="n"/>
      <c r="FU988" s="429" t="n">
        <v>75</v>
      </c>
      <c r="FV988" s="431" t="n">
        <v>75</v>
      </c>
      <c r="FW988" s="688" t="n"/>
      <c r="FX988" s="431" t="n"/>
      <c r="FY988" s="451" t="n"/>
      <c r="FZ988" s="562">
        <f>'CIRCUIT SIM'!JG78</f>
        <v/>
      </c>
      <c r="GA988" s="451" t="n"/>
      <c r="GC988" s="429" t="n">
        <v>75</v>
      </c>
      <c r="GD988" s="431" t="n">
        <v>75</v>
      </c>
      <c r="GE988" s="688" t="n"/>
      <c r="GF988" s="431" t="n"/>
      <c r="GG988" s="451" t="n"/>
      <c r="GH988" s="451" t="n"/>
      <c r="GI988" s="451" t="n"/>
      <c r="GK988" s="429" t="n">
        <v>75</v>
      </c>
      <c r="GL988" s="431" t="n">
        <v>75</v>
      </c>
      <c r="GM988" s="688" t="n"/>
      <c r="GN988" s="431" t="n"/>
      <c r="GO988" s="451" t="n"/>
      <c r="GP988" s="451" t="n"/>
      <c r="GQ988" s="451" t="n"/>
      <c r="GS988" s="429" t="n">
        <v>75</v>
      </c>
      <c r="GT988" s="431" t="n">
        <v>75</v>
      </c>
      <c r="GU988" s="688" t="n"/>
      <c r="GV988" s="431" t="n"/>
      <c r="GW988" s="451" t="n"/>
      <c r="GX988" s="451">
        <f>'CIRCUIT SIM'!KY78</f>
        <v/>
      </c>
      <c r="GY988" s="451" t="n"/>
      <c r="HA988" s="429" t="n">
        <v>75</v>
      </c>
      <c r="HB988" s="431" t="n">
        <v>75</v>
      </c>
      <c r="HC988" s="688" t="n"/>
      <c r="HD988" s="431" t="n"/>
      <c r="HE988" s="451" t="n"/>
      <c r="HF988" s="451" t="n"/>
      <c r="HG988" s="451" t="n"/>
    </row>
    <row r="989">
      <c r="A989" s="429" t="n">
        <v>76</v>
      </c>
      <c r="B989" s="431" t="n">
        <v>76</v>
      </c>
      <c r="C989" s="688" t="n"/>
      <c r="D989" s="431" t="inlineStr">
        <is>
          <t>Boolean</t>
        </is>
      </c>
      <c r="E989" s="429" t="n"/>
      <c r="F989" s="422">
        <f>'CIRCUIT SIM'!J79</f>
        <v/>
      </c>
      <c r="G989" s="429" t="n"/>
      <c r="I989" s="429" t="n">
        <v>76</v>
      </c>
      <c r="J989" s="431" t="n">
        <v>76</v>
      </c>
      <c r="K989" s="429" t="n"/>
      <c r="L989" s="431" t="inlineStr">
        <is>
          <t>Boolean</t>
        </is>
      </c>
      <c r="M989" s="451" t="n"/>
      <c r="N989" s="422">
        <f>'CIRCUIT SIM'!Y79</f>
        <v/>
      </c>
      <c r="O989" s="451" t="n"/>
      <c r="Q989" s="429" t="n">
        <v>76</v>
      </c>
      <c r="R989" s="431" t="n">
        <v>76</v>
      </c>
      <c r="S989" s="429" t="n"/>
      <c r="T989" s="431" t="inlineStr">
        <is>
          <t>Boolean</t>
        </is>
      </c>
      <c r="U989" s="429" t="n"/>
      <c r="V989" s="386">
        <f>'CIRCUIT SIM'!AO79</f>
        <v/>
      </c>
      <c r="W989" s="451" t="n"/>
      <c r="Y989" s="429" t="n">
        <v>76</v>
      </c>
      <c r="Z989" s="431" t="n">
        <v>76</v>
      </c>
      <c r="AA989" s="429" t="n"/>
      <c r="AB989" s="431" t="n"/>
      <c r="AC989" s="451" t="n"/>
      <c r="AD989" s="451" t="n"/>
      <c r="AE989" s="451" t="n"/>
      <c r="AG989" s="429" t="n">
        <v>76</v>
      </c>
      <c r="AH989" s="431" t="n">
        <v>76</v>
      </c>
      <c r="AI989" s="429" t="n"/>
      <c r="AJ989" s="431" t="n"/>
      <c r="AK989" s="451" t="n"/>
      <c r="AL989" s="450">
        <f>'CIRCUIT SIM'!CR79</f>
        <v/>
      </c>
      <c r="AM989" s="451" t="n"/>
      <c r="AO989" s="429" t="n">
        <v>76</v>
      </c>
      <c r="AP989" s="431" t="n">
        <v>76</v>
      </c>
      <c r="AQ989" s="429" t="n"/>
      <c r="AR989" s="431" t="inlineStr">
        <is>
          <t>Boolean</t>
        </is>
      </c>
      <c r="AS989" s="451" t="n"/>
      <c r="AT989" s="386">
        <f>'CIRCUIT SIM'!BR79</f>
        <v/>
      </c>
      <c r="AU989" s="451" t="n"/>
      <c r="AW989" s="429" t="n">
        <v>76</v>
      </c>
      <c r="AX989" s="431" t="n">
        <v>76</v>
      </c>
      <c r="AY989" s="429" t="n"/>
      <c r="AZ989" s="431" t="inlineStr">
        <is>
          <t>Boolean</t>
        </is>
      </c>
      <c r="BA989" s="451" t="n"/>
      <c r="BB989" s="451">
        <f>'CIRCUIT SIM'!CG79</f>
        <v/>
      </c>
      <c r="BC989" s="451" t="n"/>
      <c r="BE989" s="429" t="n">
        <v>76</v>
      </c>
      <c r="BF989" s="431" t="n"/>
      <c r="BG989" s="429" t="n"/>
      <c r="BH989" s="431" t="n"/>
      <c r="BI989" s="451" t="n"/>
      <c r="BJ989" s="451" t="n"/>
      <c r="BK989" s="451" t="n"/>
      <c r="BM989" s="429" t="n">
        <v>76</v>
      </c>
      <c r="BN989" s="431" t="n">
        <v>76</v>
      </c>
      <c r="BO989" s="429" t="n"/>
      <c r="BP989" s="431" t="n"/>
      <c r="BQ989" s="451" t="n"/>
      <c r="BR989" s="451" t="inlineStr">
        <is>
          <t> </t>
        </is>
      </c>
      <c r="BS989" s="451" t="n"/>
      <c r="BU989" s="429" t="n">
        <v>76</v>
      </c>
      <c r="BV989" s="431" t="n">
        <v>76</v>
      </c>
      <c r="BW989" s="429" t="n"/>
      <c r="BX989" s="431" t="n"/>
      <c r="BY989" s="451" t="n"/>
      <c r="BZ989" s="451">
        <f>'CIRCUIT SIM'!EI79</f>
        <v/>
      </c>
      <c r="CA989" s="451" t="n"/>
      <c r="CC989" s="429" t="n">
        <v>76</v>
      </c>
      <c r="CD989" s="431" t="n">
        <v>76</v>
      </c>
      <c r="CE989" s="565" t="n">
        <v>77</v>
      </c>
      <c r="CF989" s="431" t="inlineStr">
        <is>
          <t>Boolean</t>
        </is>
      </c>
      <c r="CG989" s="451" t="n"/>
      <c r="CH989" s="562">
        <f>'CIRCUIT SIM'!LK79</f>
        <v/>
      </c>
      <c r="CI989" s="451" t="n"/>
      <c r="CK989" s="429" t="n">
        <v>76</v>
      </c>
      <c r="CL989" s="431" t="n">
        <v>76</v>
      </c>
      <c r="CM989" s="565" t="n">
        <v>75</v>
      </c>
      <c r="CN989" s="431" t="inlineStr">
        <is>
          <t>Boolean</t>
        </is>
      </c>
      <c r="CO989" s="451" t="n"/>
      <c r="CP989" s="451">
        <f>'CIRCUIT SIM'!MA79</f>
        <v/>
      </c>
      <c r="CQ989" s="451" t="n"/>
      <c r="CS989" s="429" t="n">
        <v>76</v>
      </c>
      <c r="CT989" s="431" t="n">
        <v>76</v>
      </c>
      <c r="CU989" s="688" t="n"/>
      <c r="CV989" s="431" t="inlineStr">
        <is>
          <t>Boolean</t>
        </is>
      </c>
      <c r="CW989" s="451" t="n"/>
      <c r="CX989" s="451">
        <f>'CIRCUIT SIM'!MQ79</f>
        <v/>
      </c>
      <c r="CY989" s="451" t="n"/>
      <c r="DA989" s="429" t="n">
        <v>76</v>
      </c>
      <c r="DB989" s="431" t="n">
        <v>76</v>
      </c>
      <c r="DC989" s="688" t="n"/>
      <c r="DD989" s="431" t="n"/>
      <c r="DE989" s="451" t="n"/>
      <c r="DF989" s="451">
        <f>'CIRCUIT SIM'!EX79</f>
        <v/>
      </c>
      <c r="DG989" s="451" t="n"/>
      <c r="DI989" s="429" t="n">
        <v>76</v>
      </c>
      <c r="DJ989" s="431" t="n">
        <v>76</v>
      </c>
      <c r="DK989" s="688" t="n"/>
      <c r="DL989" s="431" t="n"/>
      <c r="DM989" s="429" t="n"/>
      <c r="DN989" s="451">
        <f>'CIRCUIT SIM'!FN79</f>
        <v/>
      </c>
      <c r="DO989" s="451" t="n"/>
      <c r="DQ989" s="429" t="n">
        <v>76</v>
      </c>
      <c r="DR989" s="431" t="n">
        <v>76</v>
      </c>
      <c r="DS989" s="688" t="n"/>
      <c r="DT989" s="431" t="n"/>
      <c r="DU989" s="451" t="n"/>
      <c r="DV989" s="451">
        <f>'CIRCUIT SIM'!HT79</f>
        <v/>
      </c>
      <c r="DW989" s="451" t="n"/>
      <c r="DY989" s="429" t="n">
        <v>76</v>
      </c>
      <c r="DZ989" s="431" t="n">
        <v>76</v>
      </c>
      <c r="EA989" s="688" t="n"/>
      <c r="EB989" s="431" t="n"/>
      <c r="EC989" s="451" t="n"/>
      <c r="ED989" s="335">
        <f>'CIRCUIT SIM'!GO79</f>
        <v/>
      </c>
      <c r="EE989" s="451" t="n"/>
      <c r="EG989" s="429" t="n">
        <v>76</v>
      </c>
      <c r="EH989" s="431" t="n">
        <v>76</v>
      </c>
      <c r="EI989" s="688" t="n"/>
      <c r="EJ989" s="431" t="inlineStr">
        <is>
          <t>Boolean</t>
        </is>
      </c>
      <c r="EK989" s="451" t="n"/>
      <c r="EL989" s="451">
        <f>'CIRCUIT SIM'!HD79</f>
        <v/>
      </c>
      <c r="EM989" s="451" t="n"/>
      <c r="EO989" s="429" t="n">
        <v>76</v>
      </c>
      <c r="EP989" s="431" t="n">
        <v>76</v>
      </c>
      <c r="EQ989" s="688" t="n"/>
      <c r="ER989" s="431" t="n"/>
      <c r="ES989" s="451" t="n"/>
      <c r="ET989" s="451">
        <f>'CIRCUIT SIM'!HT79</f>
        <v/>
      </c>
      <c r="EU989" s="451" t="n"/>
      <c r="EW989" s="429" t="n">
        <v>76</v>
      </c>
      <c r="EX989" s="431" t="n">
        <v>76</v>
      </c>
      <c r="EY989" s="688" t="n"/>
      <c r="EZ989" s="431" t="n"/>
      <c r="FA989" s="451" t="n"/>
      <c r="FB989" s="451" t="n"/>
      <c r="FC989" s="451" t="n"/>
      <c r="FE989" s="429" t="n">
        <v>76</v>
      </c>
      <c r="FF989" s="431" t="n">
        <v>76</v>
      </c>
      <c r="FG989" s="688" t="n"/>
      <c r="FH989" s="431" t="n"/>
      <c r="FI989" s="451" t="n"/>
      <c r="FJ989" s="451" t="n"/>
      <c r="FK989" s="451" t="n"/>
      <c r="FM989" s="429" t="n">
        <v>76</v>
      </c>
      <c r="FN989" s="431" t="n">
        <v>76</v>
      </c>
      <c r="FO989" s="688" t="n"/>
      <c r="FP989" s="431" t="n"/>
      <c r="FQ989" s="451" t="n"/>
      <c r="FR989" s="451">
        <f>'CIRCUIT SIM'!KY79</f>
        <v/>
      </c>
      <c r="FS989" s="451" t="n"/>
      <c r="FU989" s="429" t="n">
        <v>76</v>
      </c>
      <c r="FV989" s="431" t="n">
        <v>76</v>
      </c>
      <c r="FW989" s="688" t="n"/>
      <c r="FX989" s="431" t="n"/>
      <c r="FY989" s="451" t="n"/>
      <c r="FZ989" s="562">
        <f>'CIRCUIT SIM'!JG79</f>
        <v/>
      </c>
      <c r="GA989" s="451" t="n"/>
      <c r="GC989" s="429" t="n">
        <v>76</v>
      </c>
      <c r="GD989" s="431" t="n">
        <v>76</v>
      </c>
      <c r="GE989" s="688" t="n"/>
      <c r="GF989" s="431" t="n"/>
      <c r="GG989" s="451" t="n"/>
      <c r="GH989" s="451" t="n"/>
      <c r="GI989" s="451" t="n"/>
      <c r="GK989" s="429" t="n">
        <v>76</v>
      </c>
      <c r="GL989" s="431" t="n">
        <v>76</v>
      </c>
      <c r="GM989" s="688" t="n"/>
      <c r="GN989" s="431" t="n"/>
      <c r="GO989" s="451" t="n"/>
      <c r="GP989" s="451" t="n"/>
      <c r="GQ989" s="451" t="n"/>
      <c r="GS989" s="429" t="n">
        <v>76</v>
      </c>
      <c r="GT989" s="431" t="n">
        <v>76</v>
      </c>
      <c r="GU989" s="688" t="n"/>
      <c r="GV989" s="431" t="n"/>
      <c r="GW989" s="451" t="n"/>
      <c r="GX989" s="451">
        <f>'CIRCUIT SIM'!KY79</f>
        <v/>
      </c>
      <c r="GY989" s="451" t="n"/>
      <c r="HA989" s="429" t="n">
        <v>76</v>
      </c>
      <c r="HB989" s="431" t="n">
        <v>76</v>
      </c>
      <c r="HC989" s="688" t="n"/>
      <c r="HD989" s="431" t="n"/>
      <c r="HE989" s="451" t="n"/>
      <c r="HF989" s="451" t="n"/>
      <c r="HG989" s="451" t="n"/>
    </row>
    <row r="990">
      <c r="A990" s="429" t="n">
        <v>77</v>
      </c>
      <c r="B990" s="431" t="n">
        <v>77</v>
      </c>
      <c r="C990" s="688" t="n"/>
      <c r="D990" s="431" t="inlineStr">
        <is>
          <t>Boolean</t>
        </is>
      </c>
      <c r="E990" s="429" t="n"/>
      <c r="F990" s="422">
        <f>'CIRCUIT SIM'!J80</f>
        <v/>
      </c>
      <c r="G990" s="429" t="n"/>
      <c r="I990" s="429" t="n">
        <v>77</v>
      </c>
      <c r="J990" s="431" t="n">
        <v>77</v>
      </c>
      <c r="K990" s="429" t="n"/>
      <c r="L990" s="431" t="inlineStr">
        <is>
          <t>Boolean</t>
        </is>
      </c>
      <c r="M990" s="451" t="n"/>
      <c r="N990" s="422">
        <f>'CIRCUIT SIM'!Y80</f>
        <v/>
      </c>
      <c r="O990" s="451" t="n"/>
      <c r="Q990" s="429" t="n">
        <v>77</v>
      </c>
      <c r="R990" s="431" t="n">
        <v>77</v>
      </c>
      <c r="S990" s="429" t="n"/>
      <c r="T990" s="431" t="inlineStr">
        <is>
          <t>Boolean</t>
        </is>
      </c>
      <c r="U990" s="429" t="n"/>
      <c r="V990" s="386">
        <f>'CIRCUIT SIM'!AO80</f>
        <v/>
      </c>
      <c r="W990" s="451" t="n"/>
      <c r="Y990" s="429" t="n">
        <v>77</v>
      </c>
      <c r="Z990" s="431" t="n">
        <v>77</v>
      </c>
      <c r="AA990" s="429" t="n"/>
      <c r="AB990" s="431" t="n"/>
      <c r="AC990" s="451" t="n"/>
      <c r="AD990" s="451" t="n"/>
      <c r="AE990" s="451" t="n"/>
      <c r="AG990" s="429" t="n">
        <v>77</v>
      </c>
      <c r="AH990" s="431" t="n">
        <v>77</v>
      </c>
      <c r="AI990" s="429" t="n"/>
      <c r="AJ990" s="431" t="n"/>
      <c r="AK990" s="451" t="n"/>
      <c r="AL990" s="450">
        <f>'CIRCUIT SIM'!CR80</f>
        <v/>
      </c>
      <c r="AM990" s="451" t="n"/>
      <c r="AO990" s="429" t="n">
        <v>77</v>
      </c>
      <c r="AP990" s="431" t="n">
        <v>77</v>
      </c>
      <c r="AQ990" s="429" t="n"/>
      <c r="AR990" s="431" t="inlineStr">
        <is>
          <t>Boolean</t>
        </is>
      </c>
      <c r="AS990" s="451" t="n"/>
      <c r="AT990" s="386">
        <f>'CIRCUIT SIM'!BR80</f>
        <v/>
      </c>
      <c r="AU990" s="451" t="n"/>
      <c r="AW990" s="429" t="n">
        <v>77</v>
      </c>
      <c r="AX990" s="431" t="n">
        <v>77</v>
      </c>
      <c r="AY990" s="429" t="n"/>
      <c r="AZ990" s="431" t="inlineStr">
        <is>
          <t>Boolean</t>
        </is>
      </c>
      <c r="BA990" s="451" t="n"/>
      <c r="BB990" s="451">
        <f>'CIRCUIT SIM'!CG80</f>
        <v/>
      </c>
      <c r="BC990" s="451" t="n"/>
      <c r="BE990" s="429" t="n">
        <v>77</v>
      </c>
      <c r="BF990" s="431" t="n"/>
      <c r="BG990" s="429" t="n"/>
      <c r="BH990" s="431" t="n"/>
      <c r="BI990" s="451" t="n"/>
      <c r="BJ990" s="451" t="n"/>
      <c r="BK990" s="451" t="n"/>
      <c r="BM990" s="429" t="n">
        <v>77</v>
      </c>
      <c r="BN990" s="431" t="n">
        <v>77</v>
      </c>
      <c r="BO990" s="429" t="n"/>
      <c r="BP990" s="431" t="n"/>
      <c r="BQ990" s="451" t="n"/>
      <c r="BR990" s="451" t="n"/>
      <c r="BS990" s="451" t="n"/>
      <c r="BU990" s="429" t="n">
        <v>77</v>
      </c>
      <c r="BV990" s="431" t="n">
        <v>77</v>
      </c>
      <c r="BW990" s="429" t="n"/>
      <c r="BX990" s="431" t="n"/>
      <c r="BY990" s="451" t="n"/>
      <c r="BZ990" s="451">
        <f>'CIRCUIT SIM'!EI80</f>
        <v/>
      </c>
      <c r="CA990" s="451" t="n"/>
      <c r="CC990" s="429" t="n">
        <v>77</v>
      </c>
      <c r="CD990" s="431" t="n">
        <v>77</v>
      </c>
      <c r="CE990" s="565" t="n">
        <v>78</v>
      </c>
      <c r="CF990" s="431" t="inlineStr">
        <is>
          <t>Boolean</t>
        </is>
      </c>
      <c r="CG990" s="451" t="n"/>
      <c r="CH990" s="562">
        <f>'CIRCUIT SIM'!LK80</f>
        <v/>
      </c>
      <c r="CI990" s="451" t="n"/>
      <c r="CK990" s="429" t="n">
        <v>77</v>
      </c>
      <c r="CL990" s="431" t="n">
        <v>77</v>
      </c>
      <c r="CM990" s="565" t="n">
        <v>76</v>
      </c>
      <c r="CN990" s="431" t="inlineStr">
        <is>
          <t>Boolean</t>
        </is>
      </c>
      <c r="CO990" s="451" t="n"/>
      <c r="CP990" s="451">
        <f>'CIRCUIT SIM'!MA80</f>
        <v/>
      </c>
      <c r="CQ990" s="451" t="n"/>
      <c r="CS990" s="429" t="n">
        <v>77</v>
      </c>
      <c r="CT990" s="431" t="n">
        <v>77</v>
      </c>
      <c r="CU990" s="688" t="n"/>
      <c r="CV990" s="431" t="inlineStr">
        <is>
          <t>Boolean</t>
        </is>
      </c>
      <c r="CW990" s="451" t="n"/>
      <c r="CX990" s="451">
        <f>'CIRCUIT SIM'!MQ80</f>
        <v/>
      </c>
      <c r="CY990" s="451" t="n"/>
      <c r="DA990" s="429" t="n">
        <v>77</v>
      </c>
      <c r="DB990" s="431" t="n">
        <v>77</v>
      </c>
      <c r="DC990" s="688" t="n"/>
      <c r="DD990" s="431" t="n"/>
      <c r="DE990" s="451" t="n"/>
      <c r="DF990" s="451">
        <f>'CIRCUIT SIM'!EX80</f>
        <v/>
      </c>
      <c r="DG990" s="451" t="n"/>
      <c r="DI990" s="429" t="n">
        <v>77</v>
      </c>
      <c r="DJ990" s="431" t="n">
        <v>77</v>
      </c>
      <c r="DK990" s="688" t="n"/>
      <c r="DL990" s="431" t="n"/>
      <c r="DM990" s="429" t="inlineStr">
        <is>
          <t> </t>
        </is>
      </c>
      <c r="DN990" s="451">
        <f>'CIRCUIT SIM'!FN80</f>
        <v/>
      </c>
      <c r="DO990" s="451" t="n"/>
      <c r="DQ990" s="429" t="n">
        <v>77</v>
      </c>
      <c r="DR990" s="431" t="n">
        <v>77</v>
      </c>
      <c r="DS990" s="688" t="n"/>
      <c r="DT990" s="431" t="n"/>
      <c r="DU990" s="451" t="n"/>
      <c r="DV990" s="451">
        <f>'CIRCUIT SIM'!HT80</f>
        <v/>
      </c>
      <c r="DW990" s="451" t="n"/>
      <c r="DY990" s="429" t="n">
        <v>77</v>
      </c>
      <c r="DZ990" s="431" t="n">
        <v>77</v>
      </c>
      <c r="EA990" s="688" t="n"/>
      <c r="EB990" s="431" t="n"/>
      <c r="EC990" s="451" t="n"/>
      <c r="ED990" s="451" t="n"/>
      <c r="EE990" s="451" t="n"/>
      <c r="EG990" s="429" t="n">
        <v>77</v>
      </c>
      <c r="EH990" s="431" t="n">
        <v>77</v>
      </c>
      <c r="EI990" s="688" t="n"/>
      <c r="EJ990" s="431" t="inlineStr">
        <is>
          <t>Boolean</t>
        </is>
      </c>
      <c r="EK990" s="451" t="n"/>
      <c r="EL990" s="451">
        <f>'CIRCUIT SIM'!HD80</f>
        <v/>
      </c>
      <c r="EM990" s="451" t="n"/>
      <c r="EO990" s="429" t="n">
        <v>77</v>
      </c>
      <c r="EP990" s="431" t="n">
        <v>77</v>
      </c>
      <c r="EQ990" s="688" t="n"/>
      <c r="ER990" s="431" t="n"/>
      <c r="ES990" s="451" t="n"/>
      <c r="ET990" s="451">
        <f>'CIRCUIT SIM'!HT80</f>
        <v/>
      </c>
      <c r="EU990" s="451" t="n"/>
      <c r="EW990" s="429" t="n">
        <v>77</v>
      </c>
      <c r="EX990" s="431" t="n">
        <v>77</v>
      </c>
      <c r="EY990" s="688" t="n"/>
      <c r="EZ990" s="431" t="n"/>
      <c r="FA990" s="451" t="n"/>
      <c r="FB990" s="451" t="n"/>
      <c r="FC990" s="451" t="n"/>
      <c r="FE990" s="429" t="n">
        <v>77</v>
      </c>
      <c r="FF990" s="431" t="n">
        <v>77</v>
      </c>
      <c r="FG990" s="688" t="n"/>
      <c r="FH990" s="431" t="n"/>
      <c r="FI990" s="451" t="n"/>
      <c r="FJ990" s="451" t="n"/>
      <c r="FK990" s="451" t="n"/>
      <c r="FM990" s="429" t="n">
        <v>77</v>
      </c>
      <c r="FN990" s="431" t="n">
        <v>77</v>
      </c>
      <c r="FO990" s="688" t="n"/>
      <c r="FP990" s="431" t="n"/>
      <c r="FQ990" s="451" t="n"/>
      <c r="FR990" s="451">
        <f>'CIRCUIT SIM'!KY80</f>
        <v/>
      </c>
      <c r="FS990" s="451" t="n"/>
      <c r="FU990" s="429" t="n">
        <v>77</v>
      </c>
      <c r="FV990" s="431" t="n">
        <v>77</v>
      </c>
      <c r="FW990" s="688" t="n"/>
      <c r="FX990" s="431" t="n"/>
      <c r="FY990" s="451" t="n"/>
      <c r="FZ990" s="562">
        <f>'CIRCUIT SIM'!JG80</f>
        <v/>
      </c>
      <c r="GA990" s="451" t="n"/>
      <c r="GC990" s="429" t="n">
        <v>77</v>
      </c>
      <c r="GD990" s="431" t="n">
        <v>77</v>
      </c>
      <c r="GE990" s="688" t="n"/>
      <c r="GF990" s="431" t="n"/>
      <c r="GG990" s="451" t="n"/>
      <c r="GH990" s="451" t="n"/>
      <c r="GI990" s="451" t="n"/>
      <c r="GK990" s="429" t="n">
        <v>77</v>
      </c>
      <c r="GL990" s="431" t="n">
        <v>77</v>
      </c>
      <c r="GM990" s="688" t="n"/>
      <c r="GN990" s="431" t="n"/>
      <c r="GO990" s="451" t="n"/>
      <c r="GP990" s="451" t="n"/>
      <c r="GQ990" s="451" t="n"/>
      <c r="GS990" s="429" t="n">
        <v>77</v>
      </c>
      <c r="GT990" s="431" t="n">
        <v>77</v>
      </c>
      <c r="GU990" s="688" t="n"/>
      <c r="GV990" s="431" t="n"/>
      <c r="GW990" s="451" t="n"/>
      <c r="GX990" s="451">
        <f>'CIRCUIT SIM'!KY80</f>
        <v/>
      </c>
      <c r="GY990" s="451" t="n"/>
      <c r="HA990" s="429" t="n">
        <v>77</v>
      </c>
      <c r="HB990" s="431" t="n">
        <v>77</v>
      </c>
      <c r="HC990" s="688" t="n"/>
      <c r="HD990" s="431" t="n"/>
      <c r="HE990" s="451" t="n"/>
      <c r="HF990" s="451" t="n"/>
      <c r="HG990" s="451" t="n"/>
    </row>
    <row r="991">
      <c r="A991" s="429" t="n">
        <v>78</v>
      </c>
      <c r="B991" s="431" t="n">
        <v>78</v>
      </c>
      <c r="C991" s="688" t="n"/>
      <c r="D991" s="431" t="n"/>
      <c r="E991" s="429" t="n"/>
      <c r="F991" s="422">
        <f>'CIRCUIT SIM'!J81</f>
        <v/>
      </c>
      <c r="G991" s="429" t="n"/>
      <c r="I991" s="429" t="n">
        <v>78</v>
      </c>
      <c r="J991" s="431" t="n">
        <v>78</v>
      </c>
      <c r="K991" s="429" t="n"/>
      <c r="L991" s="431" t="inlineStr">
        <is>
          <t>Boolean</t>
        </is>
      </c>
      <c r="M991" s="451" t="n"/>
      <c r="N991" s="422">
        <f>'CIRCUIT SIM'!Y81</f>
        <v/>
      </c>
      <c r="O991" s="451" t="n"/>
      <c r="Q991" s="429" t="n">
        <v>78</v>
      </c>
      <c r="R991" s="431" t="n">
        <v>78</v>
      </c>
      <c r="S991" s="429" t="n"/>
      <c r="T991" s="431" t="inlineStr">
        <is>
          <t>Boolean</t>
        </is>
      </c>
      <c r="U991" s="429" t="n"/>
      <c r="V991" s="386">
        <f>'CIRCUIT SIM'!AO81</f>
        <v/>
      </c>
      <c r="W991" s="451" t="n"/>
      <c r="Y991" s="429" t="n">
        <v>78</v>
      </c>
      <c r="Z991" s="431" t="n">
        <v>78</v>
      </c>
      <c r="AA991" s="429" t="n"/>
      <c r="AB991" s="431" t="n"/>
      <c r="AC991" s="451" t="n"/>
      <c r="AD991" s="451" t="n"/>
      <c r="AE991" s="451" t="n"/>
      <c r="AG991" s="429" t="n">
        <v>78</v>
      </c>
      <c r="AH991" s="431" t="n">
        <v>78</v>
      </c>
      <c r="AI991" s="429" t="n"/>
      <c r="AJ991" s="431" t="n"/>
      <c r="AK991" s="451" t="n"/>
      <c r="AL991" s="450">
        <f>'CIRCUIT SIM'!CR81</f>
        <v/>
      </c>
      <c r="AM991" s="451" t="n"/>
      <c r="AO991" s="429" t="n">
        <v>78</v>
      </c>
      <c r="AP991" s="431" t="n">
        <v>78</v>
      </c>
      <c r="AQ991" s="429" t="n"/>
      <c r="AR991" s="431" t="inlineStr">
        <is>
          <t>Boolean</t>
        </is>
      </c>
      <c r="AS991" s="451" t="n"/>
      <c r="AT991" s="386">
        <f>'CIRCUIT SIM'!BR81</f>
        <v/>
      </c>
      <c r="AU991" s="451" t="n"/>
      <c r="AW991" s="429" t="n">
        <v>78</v>
      </c>
      <c r="AX991" s="431" t="n">
        <v>78</v>
      </c>
      <c r="AY991" s="429" t="n"/>
      <c r="AZ991" s="431" t="inlineStr">
        <is>
          <t>Boolean</t>
        </is>
      </c>
      <c r="BA991" s="451" t="n"/>
      <c r="BB991" s="451">
        <f>'CIRCUIT SIM'!CG81</f>
        <v/>
      </c>
      <c r="BC991" s="451" t="n"/>
      <c r="BE991" s="429" t="n">
        <v>78</v>
      </c>
      <c r="BF991" s="431" t="n"/>
      <c r="BG991" s="429" t="n"/>
      <c r="BH991" s="431" t="n"/>
      <c r="BI991" s="451" t="n"/>
      <c r="BJ991" s="451" t="n"/>
      <c r="BK991" s="451" t="n"/>
      <c r="BM991" s="429" t="n">
        <v>78</v>
      </c>
      <c r="BN991" s="431" t="n">
        <v>78</v>
      </c>
      <c r="BO991" s="429" t="n"/>
      <c r="BP991" s="431" t="n"/>
      <c r="BQ991" s="451" t="n"/>
      <c r="BR991" s="451" t="n"/>
      <c r="BS991" s="451" t="n"/>
      <c r="BU991" s="429" t="n">
        <v>78</v>
      </c>
      <c r="BV991" s="431" t="n">
        <v>78</v>
      </c>
      <c r="BW991" s="429" t="n"/>
      <c r="BX991" s="431" t="n"/>
      <c r="BY991" s="451" t="n"/>
      <c r="BZ991" s="451">
        <f>'CIRCUIT SIM'!EI81</f>
        <v/>
      </c>
      <c r="CA991" s="451" t="n"/>
      <c r="CC991" s="429" t="n">
        <v>78</v>
      </c>
      <c r="CD991" s="431" t="n">
        <v>78</v>
      </c>
      <c r="CE991" s="688" t="n"/>
      <c r="CF991" s="431" t="inlineStr">
        <is>
          <t>Boolean</t>
        </is>
      </c>
      <c r="CG991" s="451" t="n"/>
      <c r="CH991" s="562">
        <f>'CIRCUIT SIM'!LK81</f>
        <v/>
      </c>
      <c r="CI991" s="451" t="n"/>
      <c r="CK991" s="429" t="n">
        <v>78</v>
      </c>
      <c r="CL991" s="431" t="n">
        <v>78</v>
      </c>
      <c r="CM991" s="565" t="n">
        <v>77</v>
      </c>
      <c r="CN991" s="431" t="inlineStr">
        <is>
          <t>Boolean</t>
        </is>
      </c>
      <c r="CO991" s="451" t="n"/>
      <c r="CP991" s="451">
        <f>'CIRCUIT SIM'!MA81</f>
        <v/>
      </c>
      <c r="CQ991" s="451" t="n"/>
      <c r="CS991" s="429" t="n">
        <v>78</v>
      </c>
      <c r="CT991" s="431" t="n">
        <v>78</v>
      </c>
      <c r="CU991" s="688" t="n"/>
      <c r="CV991" s="431" t="inlineStr">
        <is>
          <t>Boolean</t>
        </is>
      </c>
      <c r="CW991" s="451" t="n"/>
      <c r="CX991" s="451">
        <f>'CIRCUIT SIM'!MQ81</f>
        <v/>
      </c>
      <c r="CY991" s="451" t="n"/>
      <c r="DA991" s="429" t="n">
        <v>78</v>
      </c>
      <c r="DB991" s="431" t="n">
        <v>78</v>
      </c>
      <c r="DC991" s="688" t="n"/>
      <c r="DD991" s="431" t="n"/>
      <c r="DE991" s="451" t="n"/>
      <c r="DF991" s="451">
        <f>'CIRCUIT SIM'!EX81</f>
        <v/>
      </c>
      <c r="DG991" s="451" t="n"/>
      <c r="DI991" s="429" t="n">
        <v>78</v>
      </c>
      <c r="DJ991" s="431" t="n">
        <v>78</v>
      </c>
      <c r="DK991" s="688" t="n"/>
      <c r="DL991" s="431" t="n"/>
      <c r="DM991" s="429" t="n"/>
      <c r="DN991" s="451">
        <f>'CIRCUIT SIM'!FN81</f>
        <v/>
      </c>
      <c r="DO991" s="451" t="n"/>
      <c r="DQ991" s="429" t="n">
        <v>78</v>
      </c>
      <c r="DR991" s="431" t="n">
        <v>78</v>
      </c>
      <c r="DS991" s="688" t="n"/>
      <c r="DT991" s="431" t="n"/>
      <c r="DU991" s="451" t="n"/>
      <c r="DV991" s="451">
        <f>'CIRCUIT SIM'!HT81</f>
        <v/>
      </c>
      <c r="DW991" s="451" t="n"/>
      <c r="DY991" s="429" t="n">
        <v>78</v>
      </c>
      <c r="DZ991" s="431" t="n">
        <v>78</v>
      </c>
      <c r="EA991" s="688" t="n"/>
      <c r="EB991" s="431" t="n"/>
      <c r="EC991" s="451" t="n"/>
      <c r="ED991" s="451" t="n"/>
      <c r="EE991" s="451" t="n"/>
      <c r="EG991" s="429" t="n">
        <v>78</v>
      </c>
      <c r="EH991" s="431" t="n">
        <v>78</v>
      </c>
      <c r="EI991" s="688" t="n"/>
      <c r="EJ991" s="431" t="inlineStr">
        <is>
          <t>Boolean</t>
        </is>
      </c>
      <c r="EK991" s="451" t="n"/>
      <c r="EL991" s="451">
        <f>'CIRCUIT SIM'!HD81</f>
        <v/>
      </c>
      <c r="EM991" s="451" t="n"/>
      <c r="EO991" s="429" t="n">
        <v>78</v>
      </c>
      <c r="EP991" s="431" t="n">
        <v>78</v>
      </c>
      <c r="EQ991" s="688" t="n"/>
      <c r="ER991" s="431" t="n"/>
      <c r="ES991" s="451" t="n"/>
      <c r="ET991" s="451">
        <f>'CIRCUIT SIM'!HT81</f>
        <v/>
      </c>
      <c r="EU991" s="451" t="n"/>
      <c r="EW991" s="429" t="n">
        <v>78</v>
      </c>
      <c r="EX991" s="431" t="n">
        <v>78</v>
      </c>
      <c r="EY991" s="688" t="n"/>
      <c r="EZ991" s="431" t="n"/>
      <c r="FA991" s="451" t="n"/>
      <c r="FB991" s="451" t="n"/>
      <c r="FC991" s="451" t="n"/>
      <c r="FE991" s="429" t="n">
        <v>78</v>
      </c>
      <c r="FF991" s="431" t="n">
        <v>78</v>
      </c>
      <c r="FG991" s="688" t="n"/>
      <c r="FH991" s="431" t="n"/>
      <c r="FI991" s="451" t="n"/>
      <c r="FJ991" s="451" t="n"/>
      <c r="FK991" s="451" t="n"/>
      <c r="FM991" s="429" t="n">
        <v>78</v>
      </c>
      <c r="FN991" s="431" t="n">
        <v>78</v>
      </c>
      <c r="FO991" s="688" t="n"/>
      <c r="FP991" s="431" t="n"/>
      <c r="FQ991" s="451" t="n"/>
      <c r="FR991" s="451">
        <f>'CIRCUIT SIM'!KY81</f>
        <v/>
      </c>
      <c r="FS991" s="451" t="n"/>
      <c r="FU991" s="429" t="n">
        <v>78</v>
      </c>
      <c r="FV991" s="431" t="n">
        <v>78</v>
      </c>
      <c r="FW991" s="688" t="n"/>
      <c r="FX991" s="431" t="n"/>
      <c r="FY991" s="451" t="n"/>
      <c r="FZ991" s="562">
        <f>'CIRCUIT SIM'!JG81</f>
        <v/>
      </c>
      <c r="GA991" s="451" t="n"/>
      <c r="GC991" s="429" t="n">
        <v>78</v>
      </c>
      <c r="GD991" s="431" t="n">
        <v>78</v>
      </c>
      <c r="GE991" s="688" t="n"/>
      <c r="GF991" s="431" t="n"/>
      <c r="GG991" s="451" t="n"/>
      <c r="GH991" s="451" t="n"/>
      <c r="GI991" s="451" t="n"/>
      <c r="GK991" s="429" t="n">
        <v>78</v>
      </c>
      <c r="GL991" s="431" t="n">
        <v>78</v>
      </c>
      <c r="GM991" s="688" t="n"/>
      <c r="GN991" s="431" t="n"/>
      <c r="GO991" s="451" t="n"/>
      <c r="GP991" s="451" t="n"/>
      <c r="GQ991" s="451" t="n"/>
      <c r="GS991" s="429" t="n">
        <v>78</v>
      </c>
      <c r="GT991" s="431" t="n">
        <v>78</v>
      </c>
      <c r="GU991" s="688" t="n"/>
      <c r="GV991" s="431" t="n"/>
      <c r="GW991" s="451" t="n"/>
      <c r="GX991" s="451">
        <f>'CIRCUIT SIM'!KY81</f>
        <v/>
      </c>
      <c r="GY991" s="451" t="n"/>
      <c r="HA991" s="429" t="n">
        <v>78</v>
      </c>
      <c r="HB991" s="431" t="n">
        <v>78</v>
      </c>
      <c r="HC991" s="688" t="n"/>
      <c r="HD991" s="431" t="n"/>
      <c r="HE991" s="451" t="n"/>
      <c r="HF991" s="451" t="n"/>
      <c r="HG991" s="451" t="n"/>
    </row>
    <row r="992">
      <c r="A992" s="429" t="n">
        <v>79</v>
      </c>
      <c r="B992" s="431" t="n">
        <v>79</v>
      </c>
      <c r="C992" s="688" t="n"/>
      <c r="D992" s="431" t="n"/>
      <c r="E992" s="429" t="n"/>
      <c r="F992" s="422">
        <f>'CIRCUIT SIM'!J82</f>
        <v/>
      </c>
      <c r="G992" s="429" t="n"/>
      <c r="I992" s="429" t="n">
        <v>79</v>
      </c>
      <c r="J992" s="431" t="n">
        <v>79</v>
      </c>
      <c r="K992" s="429" t="n"/>
      <c r="L992" s="431" t="inlineStr">
        <is>
          <t>Boolean</t>
        </is>
      </c>
      <c r="M992" s="451" t="n"/>
      <c r="N992" s="422">
        <f>'CIRCUIT SIM'!Y82</f>
        <v/>
      </c>
      <c r="O992" s="451" t="n"/>
      <c r="Q992" s="429" t="n">
        <v>79</v>
      </c>
      <c r="R992" s="431" t="n">
        <v>79</v>
      </c>
      <c r="S992" s="429" t="n"/>
      <c r="T992" s="431" t="inlineStr">
        <is>
          <t>Boolean</t>
        </is>
      </c>
      <c r="U992" s="429" t="n"/>
      <c r="V992" s="386">
        <f>'CIRCUIT SIM'!AO82</f>
        <v/>
      </c>
      <c r="W992" s="451" t="n"/>
      <c r="Y992" s="429" t="n">
        <v>79</v>
      </c>
      <c r="Z992" s="431" t="n">
        <v>79</v>
      </c>
      <c r="AA992" s="429" t="n"/>
      <c r="AB992" s="431" t="n"/>
      <c r="AC992" s="451" t="n"/>
      <c r="AD992" s="451" t="n"/>
      <c r="AE992" s="451" t="n"/>
      <c r="AG992" s="429" t="n">
        <v>79</v>
      </c>
      <c r="AH992" s="431" t="n">
        <v>79</v>
      </c>
      <c r="AI992" s="429" t="n"/>
      <c r="AJ992" s="431" t="n"/>
      <c r="AK992" s="451" t="n"/>
      <c r="AL992" s="450">
        <f>'CIRCUIT SIM'!CR82</f>
        <v/>
      </c>
      <c r="AM992" s="451" t="n"/>
      <c r="AO992" s="429" t="n">
        <v>79</v>
      </c>
      <c r="AP992" s="431" t="n">
        <v>79</v>
      </c>
      <c r="AQ992" s="429" t="n"/>
      <c r="AR992" s="431" t="inlineStr">
        <is>
          <t>Boolean</t>
        </is>
      </c>
      <c r="AS992" s="451" t="n"/>
      <c r="AT992" s="386">
        <f>'CIRCUIT SIM'!BR82</f>
        <v/>
      </c>
      <c r="AU992" s="451" t="n"/>
      <c r="AW992" s="429" t="n">
        <v>79</v>
      </c>
      <c r="AX992" s="431" t="n">
        <v>79</v>
      </c>
      <c r="AY992" s="429" t="n"/>
      <c r="AZ992" s="431" t="inlineStr">
        <is>
          <t>Boolean</t>
        </is>
      </c>
      <c r="BA992" s="451" t="n"/>
      <c r="BB992" s="451">
        <f>'CIRCUIT SIM'!CG82</f>
        <v/>
      </c>
      <c r="BC992" s="451" t="n"/>
      <c r="BE992" s="429" t="n">
        <v>79</v>
      </c>
      <c r="BF992" s="431" t="n"/>
      <c r="BG992" s="429" t="n"/>
      <c r="BH992" s="431" t="n"/>
      <c r="BI992" s="451" t="n"/>
      <c r="BJ992" s="451" t="n"/>
      <c r="BK992" s="451" t="n"/>
      <c r="BM992" s="429" t="n">
        <v>79</v>
      </c>
      <c r="BN992" s="431" t="n">
        <v>79</v>
      </c>
      <c r="BO992" s="429" t="n"/>
      <c r="BP992" s="431" t="n"/>
      <c r="BQ992" s="451" t="n"/>
      <c r="BR992" s="451" t="n"/>
      <c r="BS992" s="451" t="n"/>
      <c r="BU992" s="429" t="n">
        <v>79</v>
      </c>
      <c r="BV992" s="431" t="n">
        <v>79</v>
      </c>
      <c r="BW992" s="429" t="n"/>
      <c r="BX992" s="431" t="n"/>
      <c r="BY992" s="451" t="n"/>
      <c r="BZ992" s="451">
        <f>'CIRCUIT SIM'!EI82</f>
        <v/>
      </c>
      <c r="CA992" s="451" t="n"/>
      <c r="CC992" s="429" t="n">
        <v>79</v>
      </c>
      <c r="CD992" s="431" t="n">
        <v>79</v>
      </c>
      <c r="CE992" s="688" t="n"/>
      <c r="CF992" s="431" t="inlineStr">
        <is>
          <t>Boolean</t>
        </is>
      </c>
      <c r="CG992" s="451" t="n"/>
      <c r="CH992" s="562">
        <f>'CIRCUIT SIM'!LK82</f>
        <v/>
      </c>
      <c r="CI992" s="451" t="n"/>
      <c r="CK992" s="429" t="n">
        <v>79</v>
      </c>
      <c r="CL992" s="431" t="n">
        <v>79</v>
      </c>
      <c r="CM992" s="565" t="n">
        <v>78</v>
      </c>
      <c r="CN992" s="431" t="inlineStr">
        <is>
          <t>Boolean</t>
        </is>
      </c>
      <c r="CO992" s="451" t="n"/>
      <c r="CP992" s="451">
        <f>'CIRCUIT SIM'!MA82</f>
        <v/>
      </c>
      <c r="CQ992" s="451" t="n"/>
      <c r="CS992" s="429" t="n">
        <v>79</v>
      </c>
      <c r="CT992" s="431" t="n">
        <v>79</v>
      </c>
      <c r="CU992" s="688" t="n"/>
      <c r="CV992" s="431" t="inlineStr">
        <is>
          <t>Boolean</t>
        </is>
      </c>
      <c r="CW992" s="451" t="n"/>
      <c r="CX992" s="451">
        <f>'CIRCUIT SIM'!MQ82</f>
        <v/>
      </c>
      <c r="CY992" s="451" t="n"/>
      <c r="DA992" s="429" t="n">
        <v>79</v>
      </c>
      <c r="DB992" s="431" t="n">
        <v>79</v>
      </c>
      <c r="DC992" s="688" t="n"/>
      <c r="DD992" s="431" t="n"/>
      <c r="DE992" s="451" t="n"/>
      <c r="DF992" s="451">
        <f>'CIRCUIT SIM'!EX82</f>
        <v/>
      </c>
      <c r="DG992" s="451" t="n"/>
      <c r="DI992" s="429" t="n">
        <v>79</v>
      </c>
      <c r="DJ992" s="431" t="n">
        <v>79</v>
      </c>
      <c r="DK992" s="688" t="n"/>
      <c r="DL992" s="431" t="n"/>
      <c r="DM992" s="429" t="n"/>
      <c r="DN992" s="451">
        <f>'CIRCUIT SIM'!FN82</f>
        <v/>
      </c>
      <c r="DO992" s="451" t="n"/>
      <c r="DQ992" s="429" t="n">
        <v>79</v>
      </c>
      <c r="DR992" s="431" t="n">
        <v>79</v>
      </c>
      <c r="DS992" s="688" t="n"/>
      <c r="DT992" s="431" t="n"/>
      <c r="DU992" s="451" t="n"/>
      <c r="DV992" s="451">
        <f>'CIRCUIT SIM'!HT82</f>
        <v/>
      </c>
      <c r="DW992" s="451" t="n"/>
      <c r="DY992" s="429" t="n">
        <v>79</v>
      </c>
      <c r="DZ992" s="431" t="n">
        <v>79</v>
      </c>
      <c r="EA992" s="688" t="n"/>
      <c r="EB992" s="431" t="n"/>
      <c r="EC992" s="451" t="n"/>
      <c r="ED992" s="451" t="n"/>
      <c r="EE992" s="451" t="n"/>
      <c r="EG992" s="429" t="n">
        <v>79</v>
      </c>
      <c r="EH992" s="431" t="n">
        <v>79</v>
      </c>
      <c r="EI992" s="688" t="n"/>
      <c r="EJ992" s="431" t="inlineStr">
        <is>
          <t>Boolean</t>
        </is>
      </c>
      <c r="EK992" s="451" t="n"/>
      <c r="EL992" s="451">
        <f>'CIRCUIT SIM'!HD82</f>
        <v/>
      </c>
      <c r="EM992" s="451" t="n"/>
      <c r="EO992" s="429" t="n">
        <v>79</v>
      </c>
      <c r="EP992" s="431" t="n">
        <v>79</v>
      </c>
      <c r="EQ992" s="688" t="n"/>
      <c r="ER992" s="431" t="n"/>
      <c r="ES992" s="451" t="n"/>
      <c r="ET992" s="451">
        <f>'CIRCUIT SIM'!HT82</f>
        <v/>
      </c>
      <c r="EU992" s="451" t="n"/>
      <c r="EW992" s="429" t="n">
        <v>79</v>
      </c>
      <c r="EX992" s="431" t="n">
        <v>79</v>
      </c>
      <c r="EY992" s="688" t="n"/>
      <c r="EZ992" s="431" t="n"/>
      <c r="FA992" s="451" t="n"/>
      <c r="FB992" s="451" t="n"/>
      <c r="FC992" s="451" t="n"/>
      <c r="FE992" s="429" t="n">
        <v>79</v>
      </c>
      <c r="FF992" s="431" t="n">
        <v>79</v>
      </c>
      <c r="FG992" s="688" t="n"/>
      <c r="FH992" s="431" t="n"/>
      <c r="FI992" s="451" t="n"/>
      <c r="FJ992" s="451" t="n"/>
      <c r="FK992" s="451" t="n"/>
      <c r="FM992" s="429" t="n">
        <v>79</v>
      </c>
      <c r="FN992" s="431" t="n">
        <v>79</v>
      </c>
      <c r="FO992" s="688" t="n"/>
      <c r="FP992" s="431" t="n"/>
      <c r="FQ992" s="451" t="n"/>
      <c r="FR992" s="451">
        <f>'CIRCUIT SIM'!KY82</f>
        <v/>
      </c>
      <c r="FS992" s="451" t="n"/>
      <c r="FU992" s="429" t="n">
        <v>79</v>
      </c>
      <c r="FV992" s="431" t="n">
        <v>79</v>
      </c>
      <c r="FW992" s="688" t="n"/>
      <c r="FX992" s="431" t="n"/>
      <c r="FY992" s="451" t="n"/>
      <c r="FZ992" s="562">
        <f>'CIRCUIT SIM'!JG82</f>
        <v/>
      </c>
      <c r="GA992" s="451" t="n"/>
      <c r="GC992" s="429" t="n">
        <v>79</v>
      </c>
      <c r="GD992" s="431" t="n">
        <v>79</v>
      </c>
      <c r="GE992" s="688" t="n"/>
      <c r="GF992" s="431" t="n"/>
      <c r="GG992" s="451" t="n"/>
      <c r="GH992" s="451" t="n"/>
      <c r="GI992" s="451" t="n"/>
      <c r="GK992" s="429" t="n">
        <v>79</v>
      </c>
      <c r="GL992" s="431" t="n">
        <v>79</v>
      </c>
      <c r="GM992" s="688" t="n"/>
      <c r="GN992" s="431" t="n"/>
      <c r="GO992" s="451" t="n"/>
      <c r="GP992" s="451" t="n"/>
      <c r="GQ992" s="451" t="n"/>
      <c r="GS992" s="429" t="n">
        <v>79</v>
      </c>
      <c r="GT992" s="431" t="n">
        <v>79</v>
      </c>
      <c r="GU992" s="688" t="n"/>
      <c r="GV992" s="431" t="n"/>
      <c r="GW992" s="451" t="n"/>
      <c r="GX992" s="451">
        <f>'CIRCUIT SIM'!KY82</f>
        <v/>
      </c>
      <c r="GY992" s="451" t="n"/>
      <c r="HA992" s="429" t="n">
        <v>79</v>
      </c>
      <c r="HB992" s="431" t="n">
        <v>79</v>
      </c>
      <c r="HC992" s="688" t="n"/>
      <c r="HD992" s="431" t="n"/>
      <c r="HE992" s="451" t="n"/>
      <c r="HF992" s="451" t="n"/>
      <c r="HG992" s="451" t="n"/>
    </row>
    <row r="993">
      <c r="A993" s="429" t="n">
        <v>80</v>
      </c>
      <c r="B993" s="431" t="n">
        <v>80</v>
      </c>
      <c r="C993" s="688" t="n"/>
      <c r="D993" s="431" t="n"/>
      <c r="E993" s="429" t="n"/>
      <c r="F993" s="422">
        <f>'CIRCUIT SIM'!J83</f>
        <v/>
      </c>
      <c r="G993" s="429" t="n"/>
      <c r="I993" s="429" t="n">
        <v>80</v>
      </c>
      <c r="J993" s="431" t="n">
        <v>80</v>
      </c>
      <c r="K993" s="429" t="n"/>
      <c r="L993" s="431" t="inlineStr">
        <is>
          <t>Boolean</t>
        </is>
      </c>
      <c r="M993" s="451" t="n"/>
      <c r="N993" s="422">
        <f>'CIRCUIT SIM'!Y83</f>
        <v/>
      </c>
      <c r="O993" s="451" t="n"/>
      <c r="Q993" s="429" t="n">
        <v>80</v>
      </c>
      <c r="R993" s="431" t="n">
        <v>80</v>
      </c>
      <c r="S993" s="429" t="n"/>
      <c r="T993" s="431" t="inlineStr">
        <is>
          <t>Boolean</t>
        </is>
      </c>
      <c r="U993" s="429" t="n"/>
      <c r="V993" s="386">
        <f>'CIRCUIT SIM'!AO83</f>
        <v/>
      </c>
      <c r="W993" s="451" t="n"/>
      <c r="Y993" s="429" t="n">
        <v>80</v>
      </c>
      <c r="Z993" s="431" t="n">
        <v>80</v>
      </c>
      <c r="AA993" s="429" t="n"/>
      <c r="AB993" s="431" t="n"/>
      <c r="AC993" s="451" t="n"/>
      <c r="AD993" s="451" t="n"/>
      <c r="AE993" s="451" t="n"/>
      <c r="AG993" s="429" t="n">
        <v>80</v>
      </c>
      <c r="AH993" s="431" t="n">
        <v>80</v>
      </c>
      <c r="AI993" s="429" t="n"/>
      <c r="AJ993" s="431" t="n"/>
      <c r="AK993" s="451" t="n"/>
      <c r="AL993" s="450">
        <f>'CIRCUIT SIM'!CR83</f>
        <v/>
      </c>
      <c r="AM993" s="451" t="n"/>
      <c r="AO993" s="429" t="n">
        <v>80</v>
      </c>
      <c r="AP993" s="431" t="n">
        <v>80</v>
      </c>
      <c r="AQ993" s="429" t="n"/>
      <c r="AR993" s="431" t="inlineStr">
        <is>
          <t>Boolean</t>
        </is>
      </c>
      <c r="AS993" s="451" t="n"/>
      <c r="AT993" s="386">
        <f>'CIRCUIT SIM'!BR83</f>
        <v/>
      </c>
      <c r="AU993" s="451" t="n"/>
      <c r="AW993" s="429" t="n">
        <v>80</v>
      </c>
      <c r="AX993" s="431" t="n">
        <v>80</v>
      </c>
      <c r="AY993" s="429" t="n"/>
      <c r="AZ993" s="431" t="inlineStr">
        <is>
          <t>Boolean</t>
        </is>
      </c>
      <c r="BA993" s="451" t="n"/>
      <c r="BB993" s="451">
        <f>'CIRCUIT SIM'!CG83</f>
        <v/>
      </c>
      <c r="BC993" s="451" t="n"/>
      <c r="BE993" s="429" t="n">
        <v>80</v>
      </c>
      <c r="BF993" s="431" t="n"/>
      <c r="BG993" s="429" t="n"/>
      <c r="BH993" s="431" t="n"/>
      <c r="BI993" s="451" t="n"/>
      <c r="BJ993" s="451" t="n"/>
      <c r="BK993" s="451" t="n"/>
      <c r="BM993" s="429" t="n">
        <v>80</v>
      </c>
      <c r="BN993" s="431" t="n">
        <v>80</v>
      </c>
      <c r="BO993" s="429" t="n"/>
      <c r="BP993" s="431" t="n"/>
      <c r="BQ993" s="451" t="n"/>
      <c r="BR993" s="451" t="n"/>
      <c r="BS993" s="451" t="n"/>
      <c r="BU993" s="429" t="n">
        <v>80</v>
      </c>
      <c r="BV993" s="431" t="n">
        <v>80</v>
      </c>
      <c r="BW993" s="429" t="n"/>
      <c r="BX993" s="431" t="n"/>
      <c r="BY993" s="451" t="n"/>
      <c r="BZ993" s="451">
        <f>'CIRCUIT SIM'!EI83</f>
        <v/>
      </c>
      <c r="CA993" s="451" t="n"/>
      <c r="CC993" s="429" t="n">
        <v>80</v>
      </c>
      <c r="CD993" s="431" t="n">
        <v>80</v>
      </c>
      <c r="CE993" s="688" t="n"/>
      <c r="CF993" s="431" t="inlineStr">
        <is>
          <t>Boolean</t>
        </is>
      </c>
      <c r="CG993" s="451" t="n"/>
      <c r="CH993" s="562">
        <f>'CIRCUIT SIM'!LK83</f>
        <v/>
      </c>
      <c r="CI993" s="451" t="n"/>
      <c r="CK993" s="429" t="n">
        <v>80</v>
      </c>
      <c r="CL993" s="431" t="n">
        <v>80</v>
      </c>
      <c r="CM993" s="688" t="n"/>
      <c r="CN993" s="431" t="n"/>
      <c r="CO993" s="451" t="n"/>
      <c r="CP993" s="451">
        <f>'CIRCUIT SIM'!MA83</f>
        <v/>
      </c>
      <c r="CQ993" s="451" t="n"/>
      <c r="CS993" s="429" t="n">
        <v>80</v>
      </c>
      <c r="CT993" s="431" t="n">
        <v>80</v>
      </c>
      <c r="CU993" s="688" t="n"/>
      <c r="CV993" s="431" t="inlineStr">
        <is>
          <t>Boolean</t>
        </is>
      </c>
      <c r="CW993" s="451" t="n"/>
      <c r="CX993" s="451">
        <f>'CIRCUIT SIM'!MQ83</f>
        <v/>
      </c>
      <c r="CY993" s="451" t="n"/>
      <c r="DA993" s="429" t="n">
        <v>80</v>
      </c>
      <c r="DB993" s="431" t="n">
        <v>80</v>
      </c>
      <c r="DC993" s="688" t="n"/>
      <c r="DD993" s="431" t="n"/>
      <c r="DE993" s="451" t="n"/>
      <c r="DF993" s="451">
        <f>'CIRCUIT SIM'!EX83</f>
        <v/>
      </c>
      <c r="DG993" s="451" t="n"/>
      <c r="DI993" s="429" t="n">
        <v>80</v>
      </c>
      <c r="DJ993" s="431" t="n">
        <v>80</v>
      </c>
      <c r="DK993" s="688" t="n"/>
      <c r="DL993" s="431" t="n"/>
      <c r="DM993" s="429" t="n"/>
      <c r="DN993" s="451">
        <f>'CIRCUIT SIM'!FN83</f>
        <v/>
      </c>
      <c r="DO993" s="451" t="n"/>
      <c r="DQ993" s="429" t="n">
        <v>80</v>
      </c>
      <c r="DR993" s="431" t="n">
        <v>80</v>
      </c>
      <c r="DS993" s="688" t="n"/>
      <c r="DT993" s="431" t="n"/>
      <c r="DU993" s="451" t="n"/>
      <c r="DV993" s="451">
        <f>'CIRCUIT SIM'!HT83</f>
        <v/>
      </c>
      <c r="DW993" s="451" t="n"/>
      <c r="DY993" s="429" t="n">
        <v>80</v>
      </c>
      <c r="DZ993" s="431" t="n">
        <v>80</v>
      </c>
      <c r="EA993" s="688" t="n"/>
      <c r="EB993" s="431" t="inlineStr">
        <is>
          <t> </t>
        </is>
      </c>
      <c r="EC993" s="451" t="n"/>
      <c r="ED993" s="451" t="n"/>
      <c r="EE993" s="451" t="n"/>
      <c r="EG993" s="429" t="n">
        <v>80</v>
      </c>
      <c r="EH993" s="431" t="n">
        <v>80</v>
      </c>
      <c r="EI993" s="688" t="n"/>
      <c r="EJ993" s="431" t="inlineStr">
        <is>
          <t>Boolean</t>
        </is>
      </c>
      <c r="EK993" s="451" t="n"/>
      <c r="EL993" s="451">
        <f>'CIRCUIT SIM'!HD83</f>
        <v/>
      </c>
      <c r="EM993" s="451" t="n"/>
      <c r="EO993" s="429" t="n">
        <v>80</v>
      </c>
      <c r="EP993" s="431" t="n">
        <v>80</v>
      </c>
      <c r="EQ993" s="688" t="n"/>
      <c r="ER993" s="431" t="n"/>
      <c r="ES993" s="451" t="n"/>
      <c r="ET993" s="451" t="inlineStr">
        <is>
          <t> </t>
        </is>
      </c>
      <c r="EU993" s="451" t="n"/>
      <c r="EW993" s="429" t="n">
        <v>80</v>
      </c>
      <c r="EX993" s="431" t="n">
        <v>80</v>
      </c>
      <c r="EY993" s="688" t="n"/>
      <c r="EZ993" s="431" t="n"/>
      <c r="FA993" s="451" t="n"/>
      <c r="FB993" s="451" t="n"/>
      <c r="FC993" s="451" t="n"/>
      <c r="FE993" s="429" t="n">
        <v>80</v>
      </c>
      <c r="FF993" s="431" t="n">
        <v>80</v>
      </c>
      <c r="FG993" s="688" t="n"/>
      <c r="FH993" s="431" t="n"/>
      <c r="FI993" s="451" t="n"/>
      <c r="FJ993" s="451" t="n"/>
      <c r="FK993" s="451" t="n"/>
      <c r="FM993" s="429" t="n">
        <v>80</v>
      </c>
      <c r="FN993" s="431" t="n">
        <v>80</v>
      </c>
      <c r="FO993" s="688" t="n"/>
      <c r="FP993" s="431" t="n"/>
      <c r="FQ993" s="451" t="n"/>
      <c r="FR993" s="451">
        <f>'CIRCUIT SIM'!KY83</f>
        <v/>
      </c>
      <c r="FS993" s="451" t="n"/>
      <c r="FU993" s="429" t="n">
        <v>80</v>
      </c>
      <c r="FV993" s="431" t="n">
        <v>80</v>
      </c>
      <c r="FW993" s="688" t="n"/>
      <c r="FX993" s="431" t="n"/>
      <c r="FY993" s="451" t="n"/>
      <c r="FZ993" s="562">
        <f>'CIRCUIT SIM'!JG83</f>
        <v/>
      </c>
      <c r="GA993" s="451" t="n"/>
      <c r="GC993" s="429" t="n">
        <v>80</v>
      </c>
      <c r="GD993" s="431" t="n">
        <v>80</v>
      </c>
      <c r="GE993" s="688" t="n"/>
      <c r="GF993" s="431" t="n"/>
      <c r="GG993" s="451" t="n"/>
      <c r="GH993" s="451" t="n"/>
      <c r="GI993" s="451" t="n"/>
      <c r="GK993" s="429" t="n">
        <v>80</v>
      </c>
      <c r="GL993" s="431" t="n">
        <v>80</v>
      </c>
      <c r="GM993" s="688" t="n"/>
      <c r="GN993" s="431" t="n"/>
      <c r="GO993" s="451" t="n"/>
      <c r="GP993" s="451" t="n"/>
      <c r="GQ993" s="451" t="n"/>
      <c r="GS993" s="429" t="n">
        <v>80</v>
      </c>
      <c r="GT993" s="431" t="n">
        <v>80</v>
      </c>
      <c r="GU993" s="688" t="n"/>
      <c r="GV993" s="431" t="n"/>
      <c r="GW993" s="451" t="n"/>
      <c r="GX993" s="451">
        <f>'CIRCUIT SIM'!KY83</f>
        <v/>
      </c>
      <c r="GY993" s="451" t="n"/>
      <c r="HA993" s="429" t="n">
        <v>80</v>
      </c>
      <c r="HB993" s="431" t="n">
        <v>80</v>
      </c>
      <c r="HC993" s="688" t="n"/>
      <c r="HD993" s="431" t="n"/>
      <c r="HE993" s="451" t="n"/>
      <c r="HF993" s="451" t="n"/>
      <c r="HG993" s="451" t="n"/>
    </row>
    <row r="994">
      <c r="A994" s="429" t="n">
        <v>81</v>
      </c>
      <c r="B994" s="431" t="n">
        <v>81</v>
      </c>
      <c r="C994" s="688" t="n"/>
      <c r="D994" s="431" t="n"/>
      <c r="E994" s="429" t="n"/>
      <c r="F994" s="429" t="n"/>
      <c r="G994" s="429" t="n"/>
      <c r="I994" s="429" t="n">
        <v>81</v>
      </c>
      <c r="J994" s="431" t="n">
        <v>81</v>
      </c>
      <c r="K994" s="429" t="n"/>
      <c r="L994" s="431" t="inlineStr">
        <is>
          <t>Boolean</t>
        </is>
      </c>
      <c r="M994" s="451" t="n"/>
      <c r="N994" s="422">
        <f>'CIRCUIT SIM'!Y84</f>
        <v/>
      </c>
      <c r="O994" s="451" t="n"/>
      <c r="Q994" s="429" t="n">
        <v>81</v>
      </c>
      <c r="R994" s="431" t="n">
        <v>81</v>
      </c>
      <c r="S994" s="429" t="n"/>
      <c r="T994" s="431" t="inlineStr">
        <is>
          <t>Boolean</t>
        </is>
      </c>
      <c r="U994" s="429" t="n"/>
      <c r="V994" s="386">
        <f>'CIRCUIT SIM'!AO84</f>
        <v/>
      </c>
      <c r="W994" s="451" t="n"/>
      <c r="Y994" s="429" t="n">
        <v>81</v>
      </c>
      <c r="Z994" s="431" t="n">
        <v>81</v>
      </c>
      <c r="AA994" s="429" t="n"/>
      <c r="AB994" s="431" t="n"/>
      <c r="AC994" s="451" t="n"/>
      <c r="AD994" s="451" t="n"/>
      <c r="AE994" s="451" t="n"/>
      <c r="AG994" s="429" t="n">
        <v>81</v>
      </c>
      <c r="AH994" s="431" t="n">
        <v>81</v>
      </c>
      <c r="AI994" s="429" t="n"/>
      <c r="AJ994" s="431" t="n"/>
      <c r="AK994" s="451" t="n"/>
      <c r="AL994" s="451" t="n"/>
      <c r="AM994" s="451" t="n"/>
      <c r="AO994" s="429" t="n">
        <v>81</v>
      </c>
      <c r="AP994" s="431" t="n">
        <v>81</v>
      </c>
      <c r="AQ994" s="429" t="n"/>
      <c r="AR994" s="431" t="inlineStr">
        <is>
          <t>Boolean</t>
        </is>
      </c>
      <c r="AS994" s="451" t="n"/>
      <c r="AT994" s="386">
        <f>'CIRCUIT SIM'!BR84</f>
        <v/>
      </c>
      <c r="AU994" s="451" t="n"/>
      <c r="AW994" s="429" t="n">
        <v>81</v>
      </c>
      <c r="AX994" s="431" t="n">
        <v>81</v>
      </c>
      <c r="AY994" s="429" t="n"/>
      <c r="AZ994" s="431" t="inlineStr">
        <is>
          <t>Boolean</t>
        </is>
      </c>
      <c r="BA994" s="451" t="n"/>
      <c r="BB994" s="451">
        <f>'CIRCUIT SIM'!CG84</f>
        <v/>
      </c>
      <c r="BC994" s="451" t="n"/>
      <c r="BE994" s="429" t="n">
        <v>81</v>
      </c>
      <c r="BF994" s="431" t="n"/>
      <c r="BG994" s="429" t="n"/>
      <c r="BH994" s="431" t="n"/>
      <c r="BI994" s="451" t="n"/>
      <c r="BJ994" s="451" t="n"/>
      <c r="BK994" s="451" t="n"/>
      <c r="BM994" s="429" t="n">
        <v>81</v>
      </c>
      <c r="BN994" s="431" t="n">
        <v>81</v>
      </c>
      <c r="BO994" s="429" t="n"/>
      <c r="BP994" s="431" t="n"/>
      <c r="BQ994" s="451" t="n"/>
      <c r="BR994" s="451" t="n"/>
      <c r="BS994" s="451" t="n"/>
      <c r="BU994" s="429" t="n">
        <v>81</v>
      </c>
      <c r="BV994" s="431" t="n">
        <v>81</v>
      </c>
      <c r="BW994" s="429" t="n"/>
      <c r="BX994" s="431" t="n"/>
      <c r="BY994" s="451" t="n"/>
      <c r="BZ994" s="451">
        <f>'CIRCUIT SIM'!EI84</f>
        <v/>
      </c>
      <c r="CA994" s="451" t="n"/>
      <c r="CC994" s="429" t="n">
        <v>81</v>
      </c>
      <c r="CD994" s="431" t="n">
        <v>81</v>
      </c>
      <c r="CE994" s="688" t="n"/>
      <c r="CF994" s="431" t="inlineStr">
        <is>
          <t>Boolean</t>
        </is>
      </c>
      <c r="CG994" s="451" t="n"/>
      <c r="CH994" s="562">
        <f>'CIRCUIT SIM'!LK84</f>
        <v/>
      </c>
      <c r="CI994" s="451" t="n"/>
      <c r="CK994" s="429" t="n">
        <v>81</v>
      </c>
      <c r="CL994" s="431" t="n">
        <v>81</v>
      </c>
      <c r="CM994" s="688" t="n"/>
      <c r="CN994" s="431" t="n"/>
      <c r="CO994" s="451" t="n"/>
      <c r="CP994" s="451" t="n"/>
      <c r="CQ994" s="451" t="n"/>
      <c r="CS994" s="429" t="n">
        <v>81</v>
      </c>
      <c r="CT994" s="431" t="n">
        <v>81</v>
      </c>
      <c r="CU994" s="688" t="n"/>
      <c r="CV994" s="431" t="inlineStr">
        <is>
          <t>Boolean</t>
        </is>
      </c>
      <c r="CW994" s="451" t="n"/>
      <c r="CX994" s="451">
        <f>'CIRCUIT SIM'!MQ84</f>
        <v/>
      </c>
      <c r="CY994" s="451" t="n"/>
      <c r="DA994" s="429" t="n">
        <v>81</v>
      </c>
      <c r="DB994" s="431" t="n">
        <v>81</v>
      </c>
      <c r="DC994" s="688" t="n"/>
      <c r="DD994" s="431" t="n"/>
      <c r="DE994" s="451" t="n"/>
      <c r="DF994" s="451">
        <f>'CIRCUIT SIM'!EX84</f>
        <v/>
      </c>
      <c r="DG994" s="451" t="n"/>
      <c r="DI994" s="429" t="n">
        <v>81</v>
      </c>
      <c r="DJ994" s="431" t="n">
        <v>81</v>
      </c>
      <c r="DK994" s="688" t="n"/>
      <c r="DL994" s="431" t="n"/>
      <c r="DM994" s="429" t="n"/>
      <c r="DN994" s="451">
        <f>'CIRCUIT SIM'!FN84</f>
        <v/>
      </c>
      <c r="DO994" s="451" t="n"/>
      <c r="DQ994" s="429" t="n">
        <v>81</v>
      </c>
      <c r="DR994" s="431" t="n">
        <v>81</v>
      </c>
      <c r="DS994" s="688" t="n"/>
      <c r="DT994" s="431" t="n"/>
      <c r="DU994" s="451" t="n"/>
      <c r="DV994" s="451">
        <f>'CIRCUIT SIM'!HT84</f>
        <v/>
      </c>
      <c r="DW994" s="451" t="n"/>
      <c r="DY994" s="429" t="n">
        <v>81</v>
      </c>
      <c r="DZ994" s="431" t="n">
        <v>81</v>
      </c>
      <c r="EA994" s="688" t="n"/>
      <c r="EB994" s="431" t="n"/>
      <c r="EC994" s="451" t="n"/>
      <c r="ED994" s="451" t="n"/>
      <c r="EE994" s="451" t="n"/>
      <c r="EG994" s="429" t="n">
        <v>81</v>
      </c>
      <c r="EH994" s="431" t="n">
        <v>81</v>
      </c>
      <c r="EI994" s="688" t="n"/>
      <c r="EJ994" s="431" t="inlineStr">
        <is>
          <t>Boolean</t>
        </is>
      </c>
      <c r="EK994" s="451" t="n"/>
      <c r="EL994" s="451">
        <f>'CIRCUIT SIM'!HD84</f>
        <v/>
      </c>
      <c r="EM994" s="451" t="n"/>
      <c r="EO994" s="429" t="n">
        <v>81</v>
      </c>
      <c r="EP994" s="431" t="n">
        <v>81</v>
      </c>
      <c r="EQ994" s="688" t="n"/>
      <c r="ER994" s="431" t="n"/>
      <c r="ES994" s="451" t="n"/>
      <c r="ET994" s="451" t="n"/>
      <c r="EU994" s="451" t="n"/>
      <c r="EW994" s="429" t="n">
        <v>81</v>
      </c>
      <c r="EX994" s="431" t="n">
        <v>81</v>
      </c>
      <c r="EY994" s="688" t="n"/>
      <c r="EZ994" s="431" t="n"/>
      <c r="FA994" s="451" t="n"/>
      <c r="FB994" s="451" t="n"/>
      <c r="FC994" s="451" t="n"/>
      <c r="FE994" s="429" t="n">
        <v>81</v>
      </c>
      <c r="FF994" s="431" t="n">
        <v>81</v>
      </c>
      <c r="FG994" s="688" t="n"/>
      <c r="FH994" s="431" t="n"/>
      <c r="FI994" s="451" t="n"/>
      <c r="FJ994" s="451" t="n"/>
      <c r="FK994" s="451" t="n"/>
      <c r="FM994" s="429" t="n">
        <v>81</v>
      </c>
      <c r="FN994" s="431" t="n">
        <v>81</v>
      </c>
      <c r="FO994" s="688" t="n"/>
      <c r="FP994" s="431" t="n"/>
      <c r="FQ994" s="451" t="n"/>
      <c r="FR994" s="451">
        <f>'CIRCUIT SIM'!KY84</f>
        <v/>
      </c>
      <c r="FS994" s="451" t="n"/>
      <c r="FU994" s="429" t="n">
        <v>81</v>
      </c>
      <c r="FV994" s="431" t="n">
        <v>81</v>
      </c>
      <c r="FW994" s="688" t="n"/>
      <c r="FX994" s="431" t="n"/>
      <c r="FY994" s="451" t="n"/>
      <c r="FZ994" s="562">
        <f>'CIRCUIT SIM'!JG84</f>
        <v/>
      </c>
      <c r="GA994" s="451" t="n"/>
      <c r="GC994" s="429" t="n">
        <v>81</v>
      </c>
      <c r="GD994" s="431" t="n">
        <v>81</v>
      </c>
      <c r="GE994" s="688" t="n"/>
      <c r="GF994" s="431" t="n"/>
      <c r="GG994" s="451" t="n"/>
      <c r="GH994" s="451" t="n"/>
      <c r="GI994" s="451" t="n"/>
      <c r="GK994" s="429" t="n">
        <v>81</v>
      </c>
      <c r="GL994" s="431" t="n">
        <v>81</v>
      </c>
      <c r="GM994" s="688" t="n"/>
      <c r="GN994" s="431" t="n"/>
      <c r="GO994" s="451" t="n"/>
      <c r="GP994" s="451" t="n"/>
      <c r="GQ994" s="451" t="n"/>
      <c r="GS994" s="429" t="n">
        <v>81</v>
      </c>
      <c r="GT994" s="431" t="n">
        <v>81</v>
      </c>
      <c r="GU994" s="688" t="n"/>
      <c r="GV994" s="431" t="n"/>
      <c r="GW994" s="451" t="n"/>
      <c r="GX994" s="451">
        <f>'CIRCUIT SIM'!KY84</f>
        <v/>
      </c>
      <c r="GY994" s="451" t="n"/>
      <c r="HA994" s="429" t="n">
        <v>81</v>
      </c>
      <c r="HB994" s="431" t="n">
        <v>81</v>
      </c>
      <c r="HC994" s="688" t="n"/>
      <c r="HD994" s="431" t="n"/>
      <c r="HE994" s="451" t="n"/>
      <c r="HF994" s="451" t="n"/>
      <c r="HG994" s="451" t="n"/>
    </row>
    <row r="995">
      <c r="A995" s="429" t="n">
        <v>82</v>
      </c>
      <c r="B995" s="431" t="n">
        <v>82</v>
      </c>
      <c r="C995" s="688" t="n"/>
      <c r="D995" s="431" t="n"/>
      <c r="E995" s="429" t="n"/>
      <c r="F995" s="429" t="n"/>
      <c r="G995" s="429" t="n"/>
      <c r="I995" s="429" t="n">
        <v>82</v>
      </c>
      <c r="J995" s="431" t="n">
        <v>82</v>
      </c>
      <c r="K995" s="429" t="n"/>
      <c r="L995" s="431" t="inlineStr">
        <is>
          <t>Boolean</t>
        </is>
      </c>
      <c r="M995" s="451" t="n"/>
      <c r="N995" s="422">
        <f>'CIRCUIT SIM'!Y85</f>
        <v/>
      </c>
      <c r="O995" s="451" t="n"/>
      <c r="Q995" s="429" t="n">
        <v>82</v>
      </c>
      <c r="R995" s="431" t="n">
        <v>82</v>
      </c>
      <c r="S995" s="429" t="n"/>
      <c r="T995" s="431" t="inlineStr">
        <is>
          <t>Boolean</t>
        </is>
      </c>
      <c r="U995" s="429" t="n"/>
      <c r="V995" s="386">
        <f>'CIRCUIT SIM'!AO85</f>
        <v/>
      </c>
      <c r="W995" s="451" t="n"/>
      <c r="Y995" s="429" t="n">
        <v>82</v>
      </c>
      <c r="Z995" s="431" t="n">
        <v>82</v>
      </c>
      <c r="AA995" s="429" t="n"/>
      <c r="AB995" s="431" t="n"/>
      <c r="AC995" s="451" t="n"/>
      <c r="AD995" s="451" t="n"/>
      <c r="AE995" s="451" t="n"/>
      <c r="AG995" s="429" t="n">
        <v>82</v>
      </c>
      <c r="AH995" s="431" t="n">
        <v>82</v>
      </c>
      <c r="AI995" s="429" t="n"/>
      <c r="AJ995" s="431" t="n"/>
      <c r="AK995" s="451" t="n"/>
      <c r="AL995" s="451" t="n"/>
      <c r="AM995" s="451" t="n"/>
      <c r="AO995" s="429" t="n">
        <v>82</v>
      </c>
      <c r="AP995" s="431" t="n">
        <v>82</v>
      </c>
      <c r="AQ995" s="429" t="n"/>
      <c r="AR995" s="431" t="inlineStr">
        <is>
          <t>Boolean</t>
        </is>
      </c>
      <c r="AS995" s="451" t="n"/>
      <c r="AT995" s="386">
        <f>'CIRCUIT SIM'!BR85</f>
        <v/>
      </c>
      <c r="AU995" s="451" t="n"/>
      <c r="AW995" s="429" t="n">
        <v>82</v>
      </c>
      <c r="AX995" s="431" t="n">
        <v>82</v>
      </c>
      <c r="AY995" s="429" t="n"/>
      <c r="AZ995" s="431" t="inlineStr">
        <is>
          <t>Boolean</t>
        </is>
      </c>
      <c r="BA995" s="451" t="n"/>
      <c r="BB995" s="451">
        <f>'CIRCUIT SIM'!CG85</f>
        <v/>
      </c>
      <c r="BC995" s="451" t="n"/>
      <c r="BE995" s="429" t="n">
        <v>82</v>
      </c>
      <c r="BF995" s="431" t="n"/>
      <c r="BG995" s="429" t="n"/>
      <c r="BH995" s="431" t="n"/>
      <c r="BI995" s="451" t="n"/>
      <c r="BJ995" s="451" t="n"/>
      <c r="BK995" s="451" t="n"/>
      <c r="BM995" s="429" t="n">
        <v>82</v>
      </c>
      <c r="BN995" s="431" t="n">
        <v>82</v>
      </c>
      <c r="BO995" s="429" t="n"/>
      <c r="BP995" s="431" t="n"/>
      <c r="BQ995" s="451" t="n"/>
      <c r="BR995" s="451" t="n"/>
      <c r="BS995" s="451" t="n"/>
      <c r="BU995" s="429" t="n">
        <v>82</v>
      </c>
      <c r="BV995" s="431" t="n">
        <v>82</v>
      </c>
      <c r="BW995" s="429" t="n"/>
      <c r="BX995" s="431" t="n"/>
      <c r="BY995" s="451" t="n"/>
      <c r="BZ995" s="451">
        <f>'CIRCUIT SIM'!EI85</f>
        <v/>
      </c>
      <c r="CA995" s="451" t="n"/>
      <c r="CC995" s="429" t="n">
        <v>82</v>
      </c>
      <c r="CD995" s="431" t="n">
        <v>82</v>
      </c>
      <c r="CE995" s="688" t="n"/>
      <c r="CF995" s="431" t="inlineStr">
        <is>
          <t>Boolean</t>
        </is>
      </c>
      <c r="CG995" s="451" t="n"/>
      <c r="CH995" s="562">
        <f>'CIRCUIT SIM'!LK85</f>
        <v/>
      </c>
      <c r="CI995" s="451" t="n"/>
      <c r="CK995" s="429" t="n">
        <v>82</v>
      </c>
      <c r="CL995" s="431" t="n">
        <v>82</v>
      </c>
      <c r="CM995" s="688" t="n"/>
      <c r="CN995" s="431" t="n"/>
      <c r="CO995" s="451" t="n"/>
      <c r="CP995" s="451" t="n"/>
      <c r="CQ995" s="451" t="n"/>
      <c r="CS995" s="429" t="n">
        <v>82</v>
      </c>
      <c r="CT995" s="431" t="n">
        <v>82</v>
      </c>
      <c r="CU995" s="688" t="n"/>
      <c r="CV995" s="431" t="inlineStr">
        <is>
          <t>Boolean</t>
        </is>
      </c>
      <c r="CW995" s="451" t="n"/>
      <c r="CX995" s="451">
        <f>'CIRCUIT SIM'!MQ85</f>
        <v/>
      </c>
      <c r="CY995" s="451" t="n"/>
      <c r="DA995" s="429" t="n">
        <v>82</v>
      </c>
      <c r="DB995" s="431" t="n">
        <v>82</v>
      </c>
      <c r="DC995" s="688" t="n"/>
      <c r="DD995" s="431" t="n"/>
      <c r="DE995" s="451" t="n"/>
      <c r="DF995" s="451">
        <f>'CIRCUIT SIM'!EX85</f>
        <v/>
      </c>
      <c r="DG995" s="451" t="n"/>
      <c r="DI995" s="429" t="n">
        <v>82</v>
      </c>
      <c r="DJ995" s="431" t="n">
        <v>82</v>
      </c>
      <c r="DK995" s="688" t="n"/>
      <c r="DL995" s="431" t="n"/>
      <c r="DM995" s="429" t="n"/>
      <c r="DN995" s="451">
        <f>'CIRCUIT SIM'!FN85</f>
        <v/>
      </c>
      <c r="DO995" s="451" t="n"/>
      <c r="DQ995" s="429" t="n">
        <v>82</v>
      </c>
      <c r="DR995" s="431" t="n">
        <v>82</v>
      </c>
      <c r="DS995" s="688" t="n"/>
      <c r="DT995" s="431" t="n"/>
      <c r="DU995" s="451" t="n"/>
      <c r="DV995" s="451">
        <f>'CIRCUIT SIM'!HT85</f>
        <v/>
      </c>
      <c r="DW995" s="451" t="n"/>
      <c r="DY995" s="429" t="n">
        <v>82</v>
      </c>
      <c r="DZ995" s="431" t="n">
        <v>82</v>
      </c>
      <c r="EA995" s="688" t="n"/>
      <c r="EB995" s="431" t="n"/>
      <c r="EC995" s="451" t="n"/>
      <c r="ED995" s="451" t="n"/>
      <c r="EE995" s="451" t="n"/>
      <c r="EG995" s="429" t="n">
        <v>82</v>
      </c>
      <c r="EH995" s="431" t="n">
        <v>82</v>
      </c>
      <c r="EI995" s="688" t="n"/>
      <c r="EJ995" s="431" t="inlineStr">
        <is>
          <t>Boolean</t>
        </is>
      </c>
      <c r="EK995" s="451" t="n"/>
      <c r="EL995" s="451">
        <f>'CIRCUIT SIM'!HD85</f>
        <v/>
      </c>
      <c r="EM995" s="451" t="n"/>
      <c r="EO995" s="429" t="n">
        <v>82</v>
      </c>
      <c r="EP995" s="431" t="n">
        <v>82</v>
      </c>
      <c r="EQ995" s="688" t="n"/>
      <c r="ER995" s="431" t="n"/>
      <c r="ES995" s="451" t="n"/>
      <c r="ET995" s="451" t="n"/>
      <c r="EU995" s="451" t="n"/>
      <c r="EW995" s="429" t="n">
        <v>82</v>
      </c>
      <c r="EX995" s="431" t="n">
        <v>82</v>
      </c>
      <c r="EY995" s="688" t="n"/>
      <c r="EZ995" s="431" t="n"/>
      <c r="FA995" s="451" t="n"/>
      <c r="FB995" s="451" t="n"/>
      <c r="FC995" s="451" t="n"/>
      <c r="FE995" s="429" t="n">
        <v>82</v>
      </c>
      <c r="FF995" s="431" t="n">
        <v>82</v>
      </c>
      <c r="FG995" s="688" t="n"/>
      <c r="FH995" s="431" t="n"/>
      <c r="FI995" s="451" t="n"/>
      <c r="FJ995" s="451" t="n"/>
      <c r="FK995" s="451" t="n"/>
      <c r="FM995" s="429" t="n">
        <v>82</v>
      </c>
      <c r="FN995" s="431" t="n">
        <v>82</v>
      </c>
      <c r="FO995" s="688" t="n"/>
      <c r="FP995" s="431" t="n"/>
      <c r="FQ995" s="451" t="n"/>
      <c r="FR995" s="451">
        <f>'CIRCUIT SIM'!KY85</f>
        <v/>
      </c>
      <c r="FS995" s="451" t="n"/>
      <c r="FU995" s="429" t="n">
        <v>82</v>
      </c>
      <c r="FV995" s="431" t="n">
        <v>82</v>
      </c>
      <c r="FW995" s="688" t="n"/>
      <c r="FX995" s="431" t="n"/>
      <c r="FY995" s="451" t="n"/>
      <c r="FZ995" s="562">
        <f>'CIRCUIT SIM'!JG85</f>
        <v/>
      </c>
      <c r="GA995" s="451" t="n"/>
      <c r="GC995" s="429" t="n">
        <v>82</v>
      </c>
      <c r="GD995" s="431" t="n">
        <v>82</v>
      </c>
      <c r="GE995" s="688" t="n"/>
      <c r="GF995" s="431" t="n"/>
      <c r="GG995" s="451" t="n"/>
      <c r="GH995" s="451" t="n"/>
      <c r="GI995" s="451" t="n"/>
      <c r="GK995" s="429" t="n">
        <v>82</v>
      </c>
      <c r="GL995" s="431" t="n">
        <v>82</v>
      </c>
      <c r="GM995" s="688" t="n"/>
      <c r="GN995" s="431" t="n"/>
      <c r="GO995" s="451" t="n"/>
      <c r="GP995" s="451" t="n"/>
      <c r="GQ995" s="451" t="n"/>
      <c r="GS995" s="429" t="n">
        <v>82</v>
      </c>
      <c r="GT995" s="431" t="n">
        <v>82</v>
      </c>
      <c r="GU995" s="688" t="n"/>
      <c r="GV995" s="431" t="n"/>
      <c r="GW995" s="451" t="n"/>
      <c r="GX995" s="451">
        <f>'CIRCUIT SIM'!KY85</f>
        <v/>
      </c>
      <c r="GY995" s="451" t="n"/>
      <c r="HA995" s="429" t="n">
        <v>82</v>
      </c>
      <c r="HB995" s="431" t="n">
        <v>82</v>
      </c>
      <c r="HC995" s="688" t="n"/>
      <c r="HD995" s="431" t="n"/>
      <c r="HE995" s="451" t="n"/>
      <c r="HF995" s="451" t="n"/>
      <c r="HG995" s="451" t="n"/>
    </row>
    <row r="996">
      <c r="A996" s="429" t="n">
        <v>83</v>
      </c>
      <c r="B996" s="431" t="n">
        <v>83</v>
      </c>
      <c r="C996" s="688" t="n"/>
      <c r="D996" s="431" t="n"/>
      <c r="E996" s="429" t="n"/>
      <c r="F996" s="429" t="n"/>
      <c r="G996" s="429" t="n"/>
      <c r="I996" s="429" t="n">
        <v>83</v>
      </c>
      <c r="J996" s="431" t="n">
        <v>83</v>
      </c>
      <c r="K996" s="429" t="n"/>
      <c r="L996" s="431" t="inlineStr">
        <is>
          <t>Boolean</t>
        </is>
      </c>
      <c r="M996" s="451" t="n"/>
      <c r="N996" s="422">
        <f>'CIRCUIT SIM'!Y86</f>
        <v/>
      </c>
      <c r="O996" s="451" t="n"/>
      <c r="Q996" s="429" t="n">
        <v>83</v>
      </c>
      <c r="R996" s="431" t="n">
        <v>83</v>
      </c>
      <c r="S996" s="429" t="n"/>
      <c r="T996" s="431" t="inlineStr">
        <is>
          <t>Boolean</t>
        </is>
      </c>
      <c r="U996" s="429" t="n"/>
      <c r="V996" s="386">
        <f>'CIRCUIT SIM'!AO86</f>
        <v/>
      </c>
      <c r="W996" s="451" t="n"/>
      <c r="Y996" s="429" t="n">
        <v>83</v>
      </c>
      <c r="Z996" s="431" t="n">
        <v>83</v>
      </c>
      <c r="AA996" s="429" t="n"/>
      <c r="AB996" s="431" t="n"/>
      <c r="AC996" s="451" t="n"/>
      <c r="AD996" s="451" t="n"/>
      <c r="AE996" s="451" t="n"/>
      <c r="AG996" s="429" t="n">
        <v>83</v>
      </c>
      <c r="AH996" s="431" t="n">
        <v>83</v>
      </c>
      <c r="AI996" s="429" t="n"/>
      <c r="AJ996" s="431" t="n"/>
      <c r="AK996" s="451" t="n"/>
      <c r="AL996" s="451" t="n"/>
      <c r="AM996" s="451" t="n"/>
      <c r="AO996" s="429" t="n">
        <v>83</v>
      </c>
      <c r="AP996" s="431" t="n">
        <v>83</v>
      </c>
      <c r="AQ996" s="429" t="n"/>
      <c r="AR996" s="431" t="inlineStr">
        <is>
          <t>Boolean</t>
        </is>
      </c>
      <c r="AS996" s="451" t="n"/>
      <c r="AT996" s="386">
        <f>'CIRCUIT SIM'!BR86</f>
        <v/>
      </c>
      <c r="AU996" s="451" t="n"/>
      <c r="AW996" s="429" t="n">
        <v>83</v>
      </c>
      <c r="AX996" s="431" t="n">
        <v>83</v>
      </c>
      <c r="AY996" s="429" t="n"/>
      <c r="AZ996" s="431" t="inlineStr">
        <is>
          <t>Boolean</t>
        </is>
      </c>
      <c r="BA996" s="451" t="n"/>
      <c r="BB996" s="451">
        <f>'CIRCUIT SIM'!CG86</f>
        <v/>
      </c>
      <c r="BC996" s="451" t="n"/>
      <c r="BE996" s="429" t="n">
        <v>83</v>
      </c>
      <c r="BF996" s="431" t="n"/>
      <c r="BG996" s="429" t="n"/>
      <c r="BH996" s="431" t="n"/>
      <c r="BI996" s="451" t="n"/>
      <c r="BJ996" s="451" t="n"/>
      <c r="BK996" s="451" t="n"/>
      <c r="BM996" s="429" t="n">
        <v>83</v>
      </c>
      <c r="BN996" s="431" t="n">
        <v>83</v>
      </c>
      <c r="BO996" s="429" t="n"/>
      <c r="BP996" s="431" t="n"/>
      <c r="BQ996" s="451" t="n"/>
      <c r="BR996" s="451" t="n"/>
      <c r="BS996" s="451" t="n"/>
      <c r="BU996" s="429" t="n">
        <v>83</v>
      </c>
      <c r="BV996" s="431" t="n">
        <v>83</v>
      </c>
      <c r="BW996" s="429" t="n"/>
      <c r="BX996" s="431" t="n"/>
      <c r="BY996" s="451" t="n"/>
      <c r="BZ996" s="451">
        <f>'CIRCUIT SIM'!EI86</f>
        <v/>
      </c>
      <c r="CA996" s="451" t="n"/>
      <c r="CC996" s="429" t="n">
        <v>83</v>
      </c>
      <c r="CD996" s="431" t="n">
        <v>83</v>
      </c>
      <c r="CE996" s="688" t="n"/>
      <c r="CF996" s="431" t="inlineStr">
        <is>
          <t>Boolean</t>
        </is>
      </c>
      <c r="CG996" s="451" t="n"/>
      <c r="CH996" s="562">
        <f>'CIRCUIT SIM'!LK86</f>
        <v/>
      </c>
      <c r="CI996" s="451" t="n"/>
      <c r="CK996" s="429" t="n">
        <v>83</v>
      </c>
      <c r="CL996" s="431" t="n">
        <v>83</v>
      </c>
      <c r="CM996" s="688" t="n"/>
      <c r="CN996" s="431" t="n"/>
      <c r="CO996" s="451" t="n"/>
      <c r="CP996" s="451" t="n"/>
      <c r="CQ996" s="451" t="n"/>
      <c r="CS996" s="429" t="n">
        <v>83</v>
      </c>
      <c r="CT996" s="431" t="n">
        <v>83</v>
      </c>
      <c r="CU996" s="688" t="n"/>
      <c r="CV996" s="431" t="inlineStr">
        <is>
          <t>Boolean</t>
        </is>
      </c>
      <c r="CW996" s="451" t="n"/>
      <c r="CX996" s="451">
        <f>'CIRCUIT SIM'!MQ86</f>
        <v/>
      </c>
      <c r="CY996" s="451" t="n"/>
      <c r="DA996" s="429" t="n">
        <v>83</v>
      </c>
      <c r="DB996" s="431" t="n">
        <v>83</v>
      </c>
      <c r="DC996" s="688" t="n"/>
      <c r="DD996" s="431" t="n"/>
      <c r="DE996" s="451" t="n"/>
      <c r="DF996" s="451">
        <f>'CIRCUIT SIM'!EX86</f>
        <v/>
      </c>
      <c r="DG996" s="451" t="n"/>
      <c r="DI996" s="429" t="n">
        <v>83</v>
      </c>
      <c r="DJ996" s="431" t="n">
        <v>83</v>
      </c>
      <c r="DK996" s="688" t="n"/>
      <c r="DL996" s="431" t="n"/>
      <c r="DM996" s="429" t="n"/>
      <c r="DN996" s="451">
        <f>'CIRCUIT SIM'!FN86</f>
        <v/>
      </c>
      <c r="DO996" s="451" t="n"/>
      <c r="DQ996" s="429" t="n">
        <v>83</v>
      </c>
      <c r="DR996" s="431" t="n">
        <v>83</v>
      </c>
      <c r="DS996" s="688" t="n"/>
      <c r="DT996" s="431" t="n"/>
      <c r="DU996" s="451" t="n"/>
      <c r="DV996" s="451">
        <f>'CIRCUIT SIM'!HT86</f>
        <v/>
      </c>
      <c r="DW996" s="451" t="n"/>
      <c r="DY996" s="429" t="n">
        <v>83</v>
      </c>
      <c r="DZ996" s="431" t="n">
        <v>83</v>
      </c>
      <c r="EA996" s="688" t="n"/>
      <c r="EB996" s="431" t="n"/>
      <c r="EC996" s="451" t="n"/>
      <c r="ED996" s="451" t="n"/>
      <c r="EE996" s="451" t="n"/>
      <c r="EG996" s="429" t="n">
        <v>83</v>
      </c>
      <c r="EH996" s="431" t="n">
        <v>83</v>
      </c>
      <c r="EI996" s="688" t="n"/>
      <c r="EJ996" s="431" t="inlineStr">
        <is>
          <t>Boolean</t>
        </is>
      </c>
      <c r="EK996" s="451" t="n"/>
      <c r="EL996" s="451">
        <f>'CIRCUIT SIM'!HD86</f>
        <v/>
      </c>
      <c r="EM996" s="451" t="n"/>
      <c r="EO996" s="429" t="n">
        <v>83</v>
      </c>
      <c r="EP996" s="431" t="n">
        <v>83</v>
      </c>
      <c r="EQ996" s="688" t="n"/>
      <c r="ER996" s="431" t="n"/>
      <c r="ES996" s="451" t="n"/>
      <c r="ET996" s="451" t="n"/>
      <c r="EU996" s="451" t="n"/>
      <c r="EW996" s="429" t="n">
        <v>83</v>
      </c>
      <c r="EX996" s="431" t="n">
        <v>83</v>
      </c>
      <c r="EY996" s="688" t="n"/>
      <c r="EZ996" s="431" t="n"/>
      <c r="FA996" s="451" t="n"/>
      <c r="FB996" s="451" t="n"/>
      <c r="FC996" s="451" t="n"/>
      <c r="FE996" s="429" t="n">
        <v>83</v>
      </c>
      <c r="FF996" s="431" t="n">
        <v>83</v>
      </c>
      <c r="FG996" s="688" t="n"/>
      <c r="FH996" s="431" t="n"/>
      <c r="FI996" s="451" t="n"/>
      <c r="FJ996" s="451" t="n"/>
      <c r="FK996" s="451" t="n"/>
      <c r="FM996" s="429" t="n">
        <v>83</v>
      </c>
      <c r="FN996" s="431" t="n">
        <v>83</v>
      </c>
      <c r="FO996" s="688" t="n"/>
      <c r="FP996" s="431" t="n"/>
      <c r="FQ996" s="451" t="n"/>
      <c r="FR996" s="451">
        <f>'CIRCUIT SIM'!KY86</f>
        <v/>
      </c>
      <c r="FS996" s="451" t="n"/>
      <c r="FU996" s="429" t="n">
        <v>83</v>
      </c>
      <c r="FV996" s="431" t="n">
        <v>83</v>
      </c>
      <c r="FW996" s="688" t="n"/>
      <c r="FX996" s="431" t="n"/>
      <c r="FY996" s="451" t="n"/>
      <c r="FZ996" s="562">
        <f>'CIRCUIT SIM'!JG86</f>
        <v/>
      </c>
      <c r="GA996" s="451" t="n"/>
      <c r="GC996" s="429" t="n">
        <v>83</v>
      </c>
      <c r="GD996" s="431" t="n">
        <v>83</v>
      </c>
      <c r="GE996" s="688" t="n"/>
      <c r="GF996" s="431" t="n"/>
      <c r="GG996" s="451" t="n"/>
      <c r="GH996" s="451" t="n"/>
      <c r="GI996" s="451" t="n"/>
      <c r="GK996" s="429" t="n">
        <v>83</v>
      </c>
      <c r="GL996" s="431" t="n">
        <v>83</v>
      </c>
      <c r="GM996" s="688" t="n"/>
      <c r="GN996" s="431" t="n"/>
      <c r="GO996" s="451" t="n"/>
      <c r="GP996" s="451" t="n"/>
      <c r="GQ996" s="451" t="n"/>
      <c r="GS996" s="429" t="n">
        <v>83</v>
      </c>
      <c r="GT996" s="431" t="n">
        <v>83</v>
      </c>
      <c r="GU996" s="688" t="n"/>
      <c r="GV996" s="431" t="n"/>
      <c r="GW996" s="451" t="n"/>
      <c r="GX996" s="451">
        <f>'CIRCUIT SIM'!KY86</f>
        <v/>
      </c>
      <c r="GY996" s="451" t="n"/>
      <c r="HA996" s="429" t="n">
        <v>83</v>
      </c>
      <c r="HB996" s="431" t="n">
        <v>83</v>
      </c>
      <c r="HC996" s="688" t="n"/>
      <c r="HD996" s="431" t="n"/>
      <c r="HE996" s="451" t="n"/>
      <c r="HF996" s="451" t="n"/>
      <c r="HG996" s="451" t="n"/>
    </row>
    <row r="997">
      <c r="A997" s="429" t="n">
        <v>84</v>
      </c>
      <c r="B997" s="431" t="n">
        <v>84</v>
      </c>
      <c r="C997" s="688" t="n"/>
      <c r="D997" s="431" t="n"/>
      <c r="E997" s="429" t="n"/>
      <c r="F997" s="429" t="n"/>
      <c r="G997" s="429" t="n"/>
      <c r="I997" s="429" t="n">
        <v>84</v>
      </c>
      <c r="J997" s="431" t="n">
        <v>84</v>
      </c>
      <c r="K997" s="429" t="n"/>
      <c r="L997" s="431" t="inlineStr">
        <is>
          <t>Boolean</t>
        </is>
      </c>
      <c r="M997" s="451" t="n"/>
      <c r="N997" s="422">
        <f>'CIRCUIT SIM'!Y87</f>
        <v/>
      </c>
      <c r="O997" s="451" t="n"/>
      <c r="Q997" s="429" t="n">
        <v>84</v>
      </c>
      <c r="R997" s="431" t="n">
        <v>84</v>
      </c>
      <c r="S997" s="429" t="n"/>
      <c r="T997" s="431" t="inlineStr">
        <is>
          <t>Boolean</t>
        </is>
      </c>
      <c r="U997" s="429" t="n"/>
      <c r="V997" s="386">
        <f>'CIRCUIT SIM'!AO87</f>
        <v/>
      </c>
      <c r="W997" s="451" t="n"/>
      <c r="Y997" s="429" t="n">
        <v>84</v>
      </c>
      <c r="Z997" s="431" t="n">
        <v>84</v>
      </c>
      <c r="AA997" s="429" t="n"/>
      <c r="AB997" s="431" t="n"/>
      <c r="AC997" s="451" t="n"/>
      <c r="AD997" s="451" t="n"/>
      <c r="AE997" s="451" t="n"/>
      <c r="AG997" s="429" t="n">
        <v>84</v>
      </c>
      <c r="AH997" s="431" t="n">
        <v>84</v>
      </c>
      <c r="AI997" s="429" t="n"/>
      <c r="AJ997" s="431" t="n"/>
      <c r="AK997" s="451" t="n"/>
      <c r="AL997" s="451" t="n"/>
      <c r="AM997" s="451" t="n"/>
      <c r="AO997" s="429" t="n">
        <v>84</v>
      </c>
      <c r="AP997" s="431" t="n">
        <v>84</v>
      </c>
      <c r="AQ997" s="429" t="n"/>
      <c r="AR997" s="431" t="inlineStr">
        <is>
          <t>Boolean</t>
        </is>
      </c>
      <c r="AS997" s="451" t="n"/>
      <c r="AT997" s="386">
        <f>'CIRCUIT SIM'!BR87</f>
        <v/>
      </c>
      <c r="AU997" s="451" t="n"/>
      <c r="AW997" s="429" t="n">
        <v>84</v>
      </c>
      <c r="AX997" s="431" t="n">
        <v>84</v>
      </c>
      <c r="AY997" s="429" t="n"/>
      <c r="AZ997" s="431" t="inlineStr">
        <is>
          <t>Boolean</t>
        </is>
      </c>
      <c r="BA997" s="451" t="n"/>
      <c r="BB997" s="451">
        <f>'CIRCUIT SIM'!CG87</f>
        <v/>
      </c>
      <c r="BC997" s="451" t="n"/>
      <c r="BE997" s="429" t="n">
        <v>84</v>
      </c>
      <c r="BF997" s="431" t="n"/>
      <c r="BG997" s="429" t="n"/>
      <c r="BH997" s="431" t="n"/>
      <c r="BI997" s="451" t="n"/>
      <c r="BJ997" s="451" t="n"/>
      <c r="BK997" s="451" t="n"/>
      <c r="BM997" s="429" t="n">
        <v>84</v>
      </c>
      <c r="BN997" s="431" t="n">
        <v>84</v>
      </c>
      <c r="BO997" s="429" t="n"/>
      <c r="BP997" s="431" t="n"/>
      <c r="BQ997" s="451" t="n"/>
      <c r="BR997" s="451" t="n"/>
      <c r="BS997" s="451" t="n"/>
      <c r="BU997" s="429" t="n">
        <v>84</v>
      </c>
      <c r="BV997" s="431" t="n">
        <v>84</v>
      </c>
      <c r="BW997" s="429" t="n"/>
      <c r="BX997" s="431" t="n"/>
      <c r="BY997" s="451" t="n"/>
      <c r="BZ997" s="451">
        <f>'CIRCUIT SIM'!EI87</f>
        <v/>
      </c>
      <c r="CA997" s="451" t="n"/>
      <c r="CC997" s="429" t="n">
        <v>84</v>
      </c>
      <c r="CD997" s="431" t="n">
        <v>84</v>
      </c>
      <c r="CE997" s="688" t="n"/>
      <c r="CF997" s="431" t="inlineStr">
        <is>
          <t>Boolean</t>
        </is>
      </c>
      <c r="CG997" s="451" t="n"/>
      <c r="CH997" s="562">
        <f>'CIRCUIT SIM'!LK87</f>
        <v/>
      </c>
      <c r="CI997" s="451" t="n"/>
      <c r="CK997" s="429" t="n">
        <v>84</v>
      </c>
      <c r="CL997" s="431" t="n">
        <v>84</v>
      </c>
      <c r="CM997" s="688" t="n"/>
      <c r="CN997" s="431" t="n"/>
      <c r="CO997" s="451" t="n"/>
      <c r="CP997" s="451" t="n"/>
      <c r="CQ997" s="451" t="n"/>
      <c r="CS997" s="429" t="n">
        <v>84</v>
      </c>
      <c r="CT997" s="431" t="n">
        <v>84</v>
      </c>
      <c r="CU997" s="688" t="n"/>
      <c r="CV997" s="431" t="inlineStr">
        <is>
          <t>Boolean</t>
        </is>
      </c>
      <c r="CW997" s="451" t="n"/>
      <c r="CX997" s="451">
        <f>'CIRCUIT SIM'!MQ87</f>
        <v/>
      </c>
      <c r="CY997" s="451" t="n"/>
      <c r="DA997" s="429" t="n">
        <v>84</v>
      </c>
      <c r="DB997" s="431" t="n">
        <v>84</v>
      </c>
      <c r="DC997" s="688" t="n"/>
      <c r="DD997" s="431" t="n"/>
      <c r="DE997" s="451" t="n"/>
      <c r="DF997" s="451">
        <f>'CIRCUIT SIM'!EX87</f>
        <v/>
      </c>
      <c r="DG997" s="451" t="n"/>
      <c r="DI997" s="429" t="n">
        <v>84</v>
      </c>
      <c r="DJ997" s="431" t="n">
        <v>84</v>
      </c>
      <c r="DK997" s="688" t="n"/>
      <c r="DL997" s="431" t="n"/>
      <c r="DM997" s="429" t="n"/>
      <c r="DN997" s="451">
        <f>'CIRCUIT SIM'!FN87</f>
        <v/>
      </c>
      <c r="DO997" s="451" t="n"/>
      <c r="DQ997" s="429" t="n">
        <v>84</v>
      </c>
      <c r="DR997" s="431" t="n">
        <v>84</v>
      </c>
      <c r="DS997" s="688" t="n"/>
      <c r="DT997" s="431" t="n"/>
      <c r="DU997" s="451" t="n"/>
      <c r="DV997" s="451">
        <f>'CIRCUIT SIM'!HT87</f>
        <v/>
      </c>
      <c r="DW997" s="451" t="n"/>
      <c r="DY997" s="429" t="n">
        <v>84</v>
      </c>
      <c r="DZ997" s="431" t="n">
        <v>84</v>
      </c>
      <c r="EA997" s="688" t="n"/>
      <c r="EB997" s="431" t="n"/>
      <c r="EC997" s="451" t="n"/>
      <c r="ED997" s="451" t="n"/>
      <c r="EE997" s="451" t="n"/>
      <c r="EG997" s="429" t="n">
        <v>84</v>
      </c>
      <c r="EH997" s="431" t="n">
        <v>84</v>
      </c>
      <c r="EI997" s="688" t="n"/>
      <c r="EJ997" s="431" t="inlineStr">
        <is>
          <t>Boolean</t>
        </is>
      </c>
      <c r="EK997" s="451" t="n"/>
      <c r="EL997" s="451">
        <f>'CIRCUIT SIM'!HD87</f>
        <v/>
      </c>
      <c r="EM997" s="451" t="n"/>
      <c r="EO997" s="429" t="n">
        <v>84</v>
      </c>
      <c r="EP997" s="431" t="n">
        <v>84</v>
      </c>
      <c r="EQ997" s="688" t="n"/>
      <c r="ER997" s="431" t="n"/>
      <c r="ES997" s="451" t="n"/>
      <c r="ET997" s="451" t="n"/>
      <c r="EU997" s="451" t="n"/>
      <c r="EW997" s="429" t="n">
        <v>84</v>
      </c>
      <c r="EX997" s="431" t="n">
        <v>84</v>
      </c>
      <c r="EY997" s="688" t="n"/>
      <c r="EZ997" s="431" t="n"/>
      <c r="FA997" s="451" t="n"/>
      <c r="FB997" s="451" t="n"/>
      <c r="FC997" s="451" t="n"/>
      <c r="FE997" s="429" t="n">
        <v>84</v>
      </c>
      <c r="FF997" s="431" t="n">
        <v>84</v>
      </c>
      <c r="FG997" s="688" t="n"/>
      <c r="FH997" s="431" t="n"/>
      <c r="FI997" s="451" t="n"/>
      <c r="FJ997" s="451" t="n"/>
      <c r="FK997" s="451" t="n"/>
      <c r="FM997" s="429" t="n">
        <v>84</v>
      </c>
      <c r="FN997" s="431" t="n">
        <v>84</v>
      </c>
      <c r="FO997" s="688" t="n"/>
      <c r="FP997" s="431" t="n"/>
      <c r="FQ997" s="451" t="n"/>
      <c r="FR997" s="451">
        <f>'CIRCUIT SIM'!KY87</f>
        <v/>
      </c>
      <c r="FS997" s="451" t="n"/>
      <c r="FU997" s="429" t="n">
        <v>84</v>
      </c>
      <c r="FV997" s="431" t="n">
        <v>84</v>
      </c>
      <c r="FW997" s="688" t="n"/>
      <c r="FX997" s="431" t="n"/>
      <c r="FY997" s="451" t="n"/>
      <c r="FZ997" s="562">
        <f>'CIRCUIT SIM'!JG87</f>
        <v/>
      </c>
      <c r="GA997" s="451" t="n"/>
      <c r="GC997" s="429" t="n">
        <v>84</v>
      </c>
      <c r="GD997" s="431" t="n">
        <v>84</v>
      </c>
      <c r="GE997" s="688" t="n"/>
      <c r="GF997" s="431" t="n"/>
      <c r="GG997" s="451" t="n"/>
      <c r="GH997" s="451" t="n"/>
      <c r="GI997" s="451" t="n"/>
      <c r="GK997" s="429" t="n">
        <v>84</v>
      </c>
      <c r="GL997" s="431" t="n">
        <v>84</v>
      </c>
      <c r="GM997" s="688" t="n"/>
      <c r="GN997" s="431" t="n"/>
      <c r="GO997" s="451" t="n"/>
      <c r="GP997" s="451" t="n"/>
      <c r="GQ997" s="451" t="n"/>
      <c r="GS997" s="429" t="n">
        <v>84</v>
      </c>
      <c r="GT997" s="431" t="n">
        <v>84</v>
      </c>
      <c r="GU997" s="688" t="n"/>
      <c r="GV997" s="431" t="n"/>
      <c r="GW997" s="451" t="n"/>
      <c r="GX997" s="451">
        <f>'CIRCUIT SIM'!KY87</f>
        <v/>
      </c>
      <c r="GY997" s="451" t="n"/>
      <c r="HA997" s="429" t="n">
        <v>84</v>
      </c>
      <c r="HB997" s="431" t="n">
        <v>84</v>
      </c>
      <c r="HC997" s="688" t="n"/>
      <c r="HD997" s="431" t="n"/>
      <c r="HE997" s="451" t="n"/>
      <c r="HF997" s="451" t="n"/>
      <c r="HG997" s="451" t="n"/>
    </row>
    <row r="998">
      <c r="A998" s="429" t="n">
        <v>85</v>
      </c>
      <c r="B998" s="431" t="n">
        <v>85</v>
      </c>
      <c r="C998" s="688" t="n"/>
      <c r="D998" s="431" t="n"/>
      <c r="E998" s="429" t="n"/>
      <c r="F998" s="429" t="n"/>
      <c r="G998" s="429" t="n"/>
      <c r="I998" s="429" t="n">
        <v>85</v>
      </c>
      <c r="J998" s="431" t="n">
        <v>85</v>
      </c>
      <c r="K998" s="429" t="n"/>
      <c r="L998" s="431" t="inlineStr">
        <is>
          <t>Boolean</t>
        </is>
      </c>
      <c r="M998" s="451" t="n"/>
      <c r="N998" s="422">
        <f>'CIRCUIT SIM'!Y88</f>
        <v/>
      </c>
      <c r="O998" s="451" t="n"/>
      <c r="Q998" s="429" t="n">
        <v>85</v>
      </c>
      <c r="R998" s="431" t="n">
        <v>85</v>
      </c>
      <c r="S998" s="429" t="n"/>
      <c r="T998" s="431" t="inlineStr">
        <is>
          <t>Boolean</t>
        </is>
      </c>
      <c r="U998" s="429" t="n"/>
      <c r="V998" s="386">
        <f>'CIRCUIT SIM'!AO88</f>
        <v/>
      </c>
      <c r="W998" s="451" t="n"/>
      <c r="Y998" s="429" t="n">
        <v>85</v>
      </c>
      <c r="Z998" s="431" t="n">
        <v>85</v>
      </c>
      <c r="AA998" s="429" t="n"/>
      <c r="AB998" s="431" t="n"/>
      <c r="AC998" s="451" t="n"/>
      <c r="AD998" s="451" t="n"/>
      <c r="AE998" s="451" t="n"/>
      <c r="AG998" s="429" t="n">
        <v>85</v>
      </c>
      <c r="AH998" s="431" t="n">
        <v>85</v>
      </c>
      <c r="AI998" s="429" t="n"/>
      <c r="AJ998" s="431" t="n"/>
      <c r="AK998" s="451" t="n"/>
      <c r="AL998" s="451" t="n"/>
      <c r="AM998" s="451" t="n"/>
      <c r="AO998" s="429" t="n">
        <v>85</v>
      </c>
      <c r="AP998" s="431" t="n">
        <v>85</v>
      </c>
      <c r="AQ998" s="429" t="n"/>
      <c r="AR998" s="431" t="inlineStr">
        <is>
          <t>Boolean</t>
        </is>
      </c>
      <c r="AS998" s="451" t="n"/>
      <c r="AT998" s="386">
        <f>'CIRCUIT SIM'!BR88</f>
        <v/>
      </c>
      <c r="AU998" s="451" t="n"/>
      <c r="AW998" s="429" t="n">
        <v>85</v>
      </c>
      <c r="AX998" s="431" t="n">
        <v>85</v>
      </c>
      <c r="AY998" s="429" t="n"/>
      <c r="AZ998" s="431" t="inlineStr">
        <is>
          <t>Boolean</t>
        </is>
      </c>
      <c r="BA998" s="451" t="n"/>
      <c r="BB998" s="451">
        <f>'CIRCUIT SIM'!CG88</f>
        <v/>
      </c>
      <c r="BC998" s="451" t="n"/>
      <c r="BE998" s="429" t="n">
        <v>85</v>
      </c>
      <c r="BF998" s="431" t="n"/>
      <c r="BG998" s="429" t="n"/>
      <c r="BH998" s="431" t="n"/>
      <c r="BI998" s="451" t="n"/>
      <c r="BJ998" s="451" t="n"/>
      <c r="BK998" s="451" t="n"/>
      <c r="BM998" s="429" t="n">
        <v>85</v>
      </c>
      <c r="BN998" s="431" t="n">
        <v>85</v>
      </c>
      <c r="BO998" s="429" t="n"/>
      <c r="BP998" s="431" t="n"/>
      <c r="BQ998" s="451" t="n"/>
      <c r="BR998" s="451" t="n"/>
      <c r="BS998" s="451" t="n"/>
      <c r="BU998" s="429" t="n">
        <v>85</v>
      </c>
      <c r="BV998" s="431" t="n">
        <v>85</v>
      </c>
      <c r="BW998" s="429" t="n"/>
      <c r="BX998" s="431" t="n"/>
      <c r="BY998" s="451" t="n"/>
      <c r="BZ998" s="451">
        <f>'CIRCUIT SIM'!EI88</f>
        <v/>
      </c>
      <c r="CA998" s="451" t="n"/>
      <c r="CC998" s="429" t="n">
        <v>85</v>
      </c>
      <c r="CD998" s="431" t="n">
        <v>85</v>
      </c>
      <c r="CE998" s="688" t="n"/>
      <c r="CF998" s="431" t="inlineStr">
        <is>
          <t>Boolean</t>
        </is>
      </c>
      <c r="CG998" s="451" t="n"/>
      <c r="CH998" s="562">
        <f>'CIRCUIT SIM'!LK88</f>
        <v/>
      </c>
      <c r="CI998" s="451" t="n"/>
      <c r="CK998" s="429" t="n">
        <v>85</v>
      </c>
      <c r="CL998" s="431" t="n">
        <v>85</v>
      </c>
      <c r="CM998" s="688" t="n"/>
      <c r="CN998" s="431" t="n"/>
      <c r="CO998" s="451" t="n"/>
      <c r="CP998" s="451" t="n"/>
      <c r="CQ998" s="451" t="n"/>
      <c r="CS998" s="429" t="n">
        <v>85</v>
      </c>
      <c r="CT998" s="431" t="n">
        <v>85</v>
      </c>
      <c r="CU998" s="688" t="n"/>
      <c r="CV998" s="431" t="inlineStr">
        <is>
          <t>Boolean</t>
        </is>
      </c>
      <c r="CW998" s="451" t="n"/>
      <c r="CX998" s="451">
        <f>'CIRCUIT SIM'!MQ88</f>
        <v/>
      </c>
      <c r="CY998" s="451" t="n"/>
      <c r="DA998" s="429" t="n">
        <v>85</v>
      </c>
      <c r="DB998" s="431" t="n">
        <v>85</v>
      </c>
      <c r="DC998" s="688" t="n"/>
      <c r="DD998" s="431" t="n"/>
      <c r="DE998" s="451" t="n"/>
      <c r="DF998" s="451">
        <f>'CIRCUIT SIM'!EX88</f>
        <v/>
      </c>
      <c r="DG998" s="451" t="n"/>
      <c r="DI998" s="429" t="n">
        <v>85</v>
      </c>
      <c r="DJ998" s="431" t="n">
        <v>85</v>
      </c>
      <c r="DK998" s="688" t="n"/>
      <c r="DL998" s="431" t="n"/>
      <c r="DM998" s="429" t="n"/>
      <c r="DN998" s="451">
        <f>'CIRCUIT SIM'!FN88</f>
        <v/>
      </c>
      <c r="DO998" s="451" t="n"/>
      <c r="DQ998" s="429" t="n">
        <v>85</v>
      </c>
      <c r="DR998" s="431" t="n">
        <v>85</v>
      </c>
      <c r="DS998" s="688" t="n"/>
      <c r="DT998" s="431" t="n"/>
      <c r="DU998" s="451" t="n"/>
      <c r="DV998" s="451">
        <f>'CIRCUIT SIM'!HT88</f>
        <v/>
      </c>
      <c r="DW998" s="451" t="n"/>
      <c r="DY998" s="429" t="n">
        <v>85</v>
      </c>
      <c r="DZ998" s="431" t="n">
        <v>85</v>
      </c>
      <c r="EA998" s="688" t="n"/>
      <c r="EB998" s="431" t="n"/>
      <c r="EC998" s="451" t="n"/>
      <c r="ED998" s="451" t="n"/>
      <c r="EE998" s="451" t="n"/>
      <c r="EG998" s="429" t="n">
        <v>85</v>
      </c>
      <c r="EH998" s="431" t="n">
        <v>85</v>
      </c>
      <c r="EI998" s="688" t="n"/>
      <c r="EJ998" s="431" t="inlineStr">
        <is>
          <t>Boolean</t>
        </is>
      </c>
      <c r="EK998" s="451" t="n"/>
      <c r="EL998" s="451">
        <f>'CIRCUIT SIM'!HD88</f>
        <v/>
      </c>
      <c r="EM998" s="451" t="n"/>
      <c r="EO998" s="429" t="n">
        <v>85</v>
      </c>
      <c r="EP998" s="431" t="n">
        <v>85</v>
      </c>
      <c r="EQ998" s="688" t="n"/>
      <c r="ER998" s="431" t="n"/>
      <c r="ES998" s="451" t="n"/>
      <c r="ET998" s="451" t="n"/>
      <c r="EU998" s="451" t="n"/>
      <c r="EW998" s="429" t="n">
        <v>85</v>
      </c>
      <c r="EX998" s="431" t="n">
        <v>85</v>
      </c>
      <c r="EY998" s="688" t="n"/>
      <c r="EZ998" s="431" t="n"/>
      <c r="FA998" s="451" t="n"/>
      <c r="FB998" s="451" t="n"/>
      <c r="FC998" s="451" t="n"/>
      <c r="FE998" s="429" t="n">
        <v>85</v>
      </c>
      <c r="FF998" s="431" t="n">
        <v>85</v>
      </c>
      <c r="FG998" s="688" t="n"/>
      <c r="FH998" s="431" t="n"/>
      <c r="FI998" s="451" t="n"/>
      <c r="FJ998" s="451" t="n"/>
      <c r="FK998" s="451" t="n"/>
      <c r="FM998" s="429" t="n">
        <v>85</v>
      </c>
      <c r="FN998" s="431" t="n">
        <v>85</v>
      </c>
      <c r="FO998" s="688" t="n"/>
      <c r="FP998" s="431" t="n"/>
      <c r="FQ998" s="451" t="n"/>
      <c r="FR998" s="451">
        <f>'CIRCUIT SIM'!KY88</f>
        <v/>
      </c>
      <c r="FS998" s="451" t="n"/>
      <c r="FU998" s="429" t="n">
        <v>85</v>
      </c>
      <c r="FV998" s="431" t="n">
        <v>85</v>
      </c>
      <c r="FW998" s="688" t="n"/>
      <c r="FX998" s="431" t="n"/>
      <c r="FY998" s="451" t="n"/>
      <c r="FZ998" s="562">
        <f>'CIRCUIT SIM'!JG88</f>
        <v/>
      </c>
      <c r="GA998" s="451" t="n"/>
      <c r="GC998" s="429" t="n">
        <v>85</v>
      </c>
      <c r="GD998" s="431" t="n">
        <v>85</v>
      </c>
      <c r="GE998" s="688" t="n"/>
      <c r="GF998" s="431" t="n"/>
      <c r="GG998" s="451" t="n"/>
      <c r="GH998" s="451" t="n"/>
      <c r="GI998" s="451" t="n"/>
      <c r="GK998" s="429" t="n">
        <v>85</v>
      </c>
      <c r="GL998" s="431" t="n">
        <v>85</v>
      </c>
      <c r="GM998" s="688" t="n"/>
      <c r="GN998" s="431" t="n"/>
      <c r="GO998" s="451" t="n"/>
      <c r="GP998" s="451" t="n"/>
      <c r="GQ998" s="451" t="n"/>
      <c r="GS998" s="429" t="n">
        <v>85</v>
      </c>
      <c r="GT998" s="431" t="n">
        <v>85</v>
      </c>
      <c r="GU998" s="688" t="n"/>
      <c r="GV998" s="431" t="n"/>
      <c r="GW998" s="451" t="n"/>
      <c r="GX998" s="451">
        <f>'CIRCUIT SIM'!KY88</f>
        <v/>
      </c>
      <c r="GY998" s="451" t="n"/>
      <c r="HA998" s="429" t="n">
        <v>85</v>
      </c>
      <c r="HB998" s="431" t="n">
        <v>85</v>
      </c>
      <c r="HC998" s="688" t="n"/>
      <c r="HD998" s="431" t="n"/>
      <c r="HE998" s="451" t="n"/>
      <c r="HF998" s="451" t="n"/>
      <c r="HG998" s="451" t="n"/>
    </row>
    <row r="999">
      <c r="A999" s="429" t="n">
        <v>86</v>
      </c>
      <c r="B999" s="431" t="n">
        <v>86</v>
      </c>
      <c r="C999" s="688" t="n"/>
      <c r="D999" s="431" t="n"/>
      <c r="E999" s="429" t="n"/>
      <c r="F999" s="429" t="n"/>
      <c r="G999" s="429" t="n"/>
      <c r="I999" s="429" t="n">
        <v>86</v>
      </c>
      <c r="J999" s="431" t="n">
        <v>86</v>
      </c>
      <c r="K999" s="429" t="n"/>
      <c r="L999" s="431" t="inlineStr">
        <is>
          <t>Boolean</t>
        </is>
      </c>
      <c r="M999" s="451" t="n"/>
      <c r="N999" s="422">
        <f>'CIRCUIT SIM'!Y89</f>
        <v/>
      </c>
      <c r="O999" s="451" t="n"/>
      <c r="Q999" s="429" t="n">
        <v>86</v>
      </c>
      <c r="R999" s="431" t="n">
        <v>86</v>
      </c>
      <c r="S999" s="429" t="n"/>
      <c r="T999" s="431" t="inlineStr">
        <is>
          <t>Boolean</t>
        </is>
      </c>
      <c r="U999" s="429" t="n"/>
      <c r="V999" s="386">
        <f>'CIRCUIT SIM'!AO89</f>
        <v/>
      </c>
      <c r="W999" s="451" t="n"/>
      <c r="Y999" s="429" t="n">
        <v>86</v>
      </c>
      <c r="Z999" s="431" t="n">
        <v>86</v>
      </c>
      <c r="AA999" s="429" t="n"/>
      <c r="AB999" s="431" t="n"/>
      <c r="AC999" s="451" t="n"/>
      <c r="AD999" s="451" t="n"/>
      <c r="AE999" s="451" t="n"/>
      <c r="AG999" s="429" t="n">
        <v>86</v>
      </c>
      <c r="AH999" s="431" t="n">
        <v>86</v>
      </c>
      <c r="AI999" s="429" t="n"/>
      <c r="AJ999" s="431" t="n"/>
      <c r="AK999" s="451" t="n"/>
      <c r="AL999" s="451" t="n"/>
      <c r="AM999" s="451" t="n"/>
      <c r="AO999" s="429" t="n">
        <v>86</v>
      </c>
      <c r="AP999" s="431" t="n">
        <v>86</v>
      </c>
      <c r="AQ999" s="429" t="n"/>
      <c r="AR999" s="431" t="inlineStr">
        <is>
          <t>Boolean</t>
        </is>
      </c>
      <c r="AS999" s="451" t="n"/>
      <c r="AT999" s="386">
        <f>'CIRCUIT SIM'!BR89</f>
        <v/>
      </c>
      <c r="AU999" s="451" t="n"/>
      <c r="AW999" s="429" t="n">
        <v>86</v>
      </c>
      <c r="AX999" s="431" t="n">
        <v>86</v>
      </c>
      <c r="AY999" s="429" t="n"/>
      <c r="AZ999" s="431" t="inlineStr">
        <is>
          <t>Boolean</t>
        </is>
      </c>
      <c r="BA999" s="451" t="n"/>
      <c r="BB999" s="451">
        <f>'CIRCUIT SIM'!CG89</f>
        <v/>
      </c>
      <c r="BC999" s="451" t="n"/>
      <c r="BE999" s="429" t="n">
        <v>86</v>
      </c>
      <c r="BF999" s="431" t="n"/>
      <c r="BG999" s="429" t="n"/>
      <c r="BH999" s="431" t="n"/>
      <c r="BI999" s="451" t="n"/>
      <c r="BJ999" s="451" t="n"/>
      <c r="BK999" s="451" t="n"/>
      <c r="BM999" s="429" t="n">
        <v>86</v>
      </c>
      <c r="BN999" s="431" t="n">
        <v>86</v>
      </c>
      <c r="BO999" s="429" t="n"/>
      <c r="BP999" s="431" t="n"/>
      <c r="BQ999" s="451" t="n"/>
      <c r="BR999" s="451" t="n"/>
      <c r="BS999" s="451" t="n"/>
      <c r="BU999" s="429" t="n">
        <v>86</v>
      </c>
      <c r="BV999" s="431" t="n">
        <v>86</v>
      </c>
      <c r="BW999" s="429" t="n"/>
      <c r="BX999" s="431" t="n"/>
      <c r="BY999" s="451" t="n"/>
      <c r="BZ999" s="451">
        <f>'CIRCUIT SIM'!EI89</f>
        <v/>
      </c>
      <c r="CA999" s="451" t="n"/>
      <c r="CC999" s="429" t="n">
        <v>86</v>
      </c>
      <c r="CD999" s="431" t="n">
        <v>86</v>
      </c>
      <c r="CE999" s="688" t="n"/>
      <c r="CF999" s="431" t="inlineStr">
        <is>
          <t>Boolean</t>
        </is>
      </c>
      <c r="CG999" s="451" t="n"/>
      <c r="CH999" s="562">
        <f>'CIRCUIT SIM'!LK89</f>
        <v/>
      </c>
      <c r="CI999" s="451" t="n"/>
      <c r="CK999" s="429" t="n">
        <v>86</v>
      </c>
      <c r="CL999" s="431" t="n">
        <v>86</v>
      </c>
      <c r="CM999" s="688" t="n"/>
      <c r="CN999" s="431" t="n"/>
      <c r="CO999" s="451" t="n"/>
      <c r="CP999" s="451" t="n"/>
      <c r="CQ999" s="451" t="n"/>
      <c r="CS999" s="429" t="n">
        <v>86</v>
      </c>
      <c r="CT999" s="431" t="n">
        <v>86</v>
      </c>
      <c r="CU999" s="688" t="n"/>
      <c r="CV999" s="431" t="inlineStr">
        <is>
          <t>Boolean</t>
        </is>
      </c>
      <c r="CW999" s="451" t="n"/>
      <c r="CX999" s="451">
        <f>'CIRCUIT SIM'!MQ89</f>
        <v/>
      </c>
      <c r="CY999" s="451" t="n"/>
      <c r="DA999" s="429" t="n">
        <v>86</v>
      </c>
      <c r="DB999" s="431" t="n">
        <v>86</v>
      </c>
      <c r="DC999" s="688" t="n"/>
      <c r="DD999" s="431" t="n"/>
      <c r="DE999" s="451" t="n"/>
      <c r="DF999" s="451" t="n"/>
      <c r="DG999" s="451" t="n"/>
      <c r="DI999" s="429" t="n">
        <v>86</v>
      </c>
      <c r="DJ999" s="431" t="n">
        <v>86</v>
      </c>
      <c r="DK999" s="688" t="n"/>
      <c r="DL999" s="431" t="n"/>
      <c r="DM999" s="429" t="n"/>
      <c r="DN999" s="451">
        <f>'CIRCUIT SIM'!FN89</f>
        <v/>
      </c>
      <c r="DO999" s="451" t="n"/>
      <c r="DQ999" s="429" t="n">
        <v>86</v>
      </c>
      <c r="DR999" s="431" t="n">
        <v>86</v>
      </c>
      <c r="DS999" s="688" t="n"/>
      <c r="DT999" s="431" t="n"/>
      <c r="DU999" s="451" t="n"/>
      <c r="DV999" s="451">
        <f>'CIRCUIT SIM'!HT89</f>
        <v/>
      </c>
      <c r="DW999" s="451" t="n"/>
      <c r="DY999" s="429" t="n">
        <v>86</v>
      </c>
      <c r="DZ999" s="431" t="n">
        <v>86</v>
      </c>
      <c r="EA999" s="688" t="n"/>
      <c r="EB999" s="431" t="n"/>
      <c r="EC999" s="451" t="n"/>
      <c r="ED999" s="451" t="n"/>
      <c r="EE999" s="451" t="n"/>
      <c r="EG999" s="429" t="n">
        <v>86</v>
      </c>
      <c r="EH999" s="431" t="n">
        <v>86</v>
      </c>
      <c r="EI999" s="688" t="n"/>
      <c r="EJ999" s="431" t="inlineStr">
        <is>
          <t>Boolean</t>
        </is>
      </c>
      <c r="EK999" s="451" t="n"/>
      <c r="EL999" s="451">
        <f>'CIRCUIT SIM'!HD89</f>
        <v/>
      </c>
      <c r="EM999" s="451" t="n"/>
      <c r="EO999" s="429" t="n">
        <v>86</v>
      </c>
      <c r="EP999" s="431" t="n">
        <v>86</v>
      </c>
      <c r="EQ999" s="688" t="n"/>
      <c r="ER999" s="431" t="n"/>
      <c r="ES999" s="451" t="n"/>
      <c r="ET999" s="451" t="n"/>
      <c r="EU999" s="451" t="n"/>
      <c r="EW999" s="429" t="n">
        <v>86</v>
      </c>
      <c r="EX999" s="431" t="n">
        <v>86</v>
      </c>
      <c r="EY999" s="688" t="n"/>
      <c r="EZ999" s="431" t="n"/>
      <c r="FA999" s="451" t="n"/>
      <c r="FB999" s="451" t="n"/>
      <c r="FC999" s="451" t="n"/>
      <c r="FE999" s="429" t="n">
        <v>86</v>
      </c>
      <c r="FF999" s="431" t="n">
        <v>86</v>
      </c>
      <c r="FG999" s="688" t="n"/>
      <c r="FH999" s="431" t="n"/>
      <c r="FI999" s="451" t="n"/>
      <c r="FJ999" s="451" t="n"/>
      <c r="FK999" s="451" t="n"/>
      <c r="FM999" s="429" t="n">
        <v>86</v>
      </c>
      <c r="FN999" s="431" t="n">
        <v>86</v>
      </c>
      <c r="FO999" s="688" t="n"/>
      <c r="FP999" s="431" t="n"/>
      <c r="FQ999" s="451" t="n"/>
      <c r="FR999" s="451">
        <f>'CIRCUIT SIM'!KY89</f>
        <v/>
      </c>
      <c r="FS999" s="451" t="n"/>
      <c r="FU999" s="429" t="n">
        <v>86</v>
      </c>
      <c r="FV999" s="431" t="n">
        <v>86</v>
      </c>
      <c r="FW999" s="688" t="n"/>
      <c r="FX999" s="431" t="n"/>
      <c r="FY999" s="451" t="n"/>
      <c r="FZ999" s="562">
        <f>'CIRCUIT SIM'!JG89</f>
        <v/>
      </c>
      <c r="GA999" s="451" t="n"/>
      <c r="GC999" s="429" t="n">
        <v>86</v>
      </c>
      <c r="GD999" s="431" t="n">
        <v>86</v>
      </c>
      <c r="GE999" s="688" t="n"/>
      <c r="GF999" s="431" t="n"/>
      <c r="GG999" s="451" t="n"/>
      <c r="GH999" s="451" t="n"/>
      <c r="GI999" s="451" t="n"/>
      <c r="GK999" s="429" t="n">
        <v>86</v>
      </c>
      <c r="GL999" s="431" t="n">
        <v>86</v>
      </c>
      <c r="GM999" s="688" t="n"/>
      <c r="GN999" s="431" t="n"/>
      <c r="GO999" s="451" t="n"/>
      <c r="GP999" s="451" t="n"/>
      <c r="GQ999" s="451" t="n"/>
      <c r="GS999" s="429" t="n">
        <v>86</v>
      </c>
      <c r="GT999" s="431" t="n">
        <v>86</v>
      </c>
      <c r="GU999" s="688" t="n"/>
      <c r="GV999" s="431" t="n"/>
      <c r="GW999" s="451" t="n"/>
      <c r="GX999" s="451">
        <f>'CIRCUIT SIM'!KY89</f>
        <v/>
      </c>
      <c r="GY999" s="451" t="n"/>
      <c r="HA999" s="429" t="n">
        <v>86</v>
      </c>
      <c r="HB999" s="431" t="n">
        <v>86</v>
      </c>
      <c r="HC999" s="688" t="n"/>
      <c r="HD999" s="431" t="n"/>
      <c r="HE999" s="451" t="n"/>
      <c r="HF999" s="451" t="n"/>
      <c r="HG999" s="451" t="n"/>
    </row>
    <row r="1000">
      <c r="A1000" s="429" t="n">
        <v>87</v>
      </c>
      <c r="B1000" s="431" t="n">
        <v>87</v>
      </c>
      <c r="C1000" s="688" t="n"/>
      <c r="D1000" s="431" t="n"/>
      <c r="E1000" s="429" t="n"/>
      <c r="F1000" s="429" t="n"/>
      <c r="G1000" s="429" t="n"/>
      <c r="I1000" s="429" t="n">
        <v>87</v>
      </c>
      <c r="J1000" s="431" t="n">
        <v>87</v>
      </c>
      <c r="K1000" s="429" t="n"/>
      <c r="L1000" s="431" t="inlineStr">
        <is>
          <t>Boolean</t>
        </is>
      </c>
      <c r="M1000" s="451" t="n"/>
      <c r="N1000" s="422">
        <f>'CIRCUIT SIM'!Y90</f>
        <v/>
      </c>
      <c r="O1000" s="451" t="n"/>
      <c r="Q1000" s="429" t="n">
        <v>87</v>
      </c>
      <c r="R1000" s="431" t="n">
        <v>87</v>
      </c>
      <c r="S1000" s="429" t="n"/>
      <c r="T1000" s="431" t="inlineStr">
        <is>
          <t>Boolean</t>
        </is>
      </c>
      <c r="U1000" s="429" t="n"/>
      <c r="V1000" s="386">
        <f>'CIRCUIT SIM'!AO90</f>
        <v/>
      </c>
      <c r="W1000" s="451" t="n"/>
      <c r="Y1000" s="429" t="n">
        <v>87</v>
      </c>
      <c r="Z1000" s="431" t="n">
        <v>87</v>
      </c>
      <c r="AA1000" s="429" t="n"/>
      <c r="AB1000" s="431" t="n"/>
      <c r="AC1000" s="451" t="n"/>
      <c r="AD1000" s="451" t="n"/>
      <c r="AE1000" s="451" t="n"/>
      <c r="AG1000" s="429" t="n">
        <v>87</v>
      </c>
      <c r="AH1000" s="431" t="n">
        <v>87</v>
      </c>
      <c r="AI1000" s="429" t="n"/>
      <c r="AJ1000" s="431" t="n"/>
      <c r="AK1000" s="451" t="n"/>
      <c r="AL1000" s="451" t="n"/>
      <c r="AM1000" s="451" t="n"/>
      <c r="AO1000" s="429" t="n">
        <v>87</v>
      </c>
      <c r="AP1000" s="431" t="n">
        <v>87</v>
      </c>
      <c r="AQ1000" s="429" t="n"/>
      <c r="AR1000" s="431" t="inlineStr">
        <is>
          <t>Boolean</t>
        </is>
      </c>
      <c r="AS1000" s="451" t="n"/>
      <c r="AT1000" s="386">
        <f>'CIRCUIT SIM'!BR90</f>
        <v/>
      </c>
      <c r="AU1000" s="451" t="n"/>
      <c r="AW1000" s="429" t="n">
        <v>87</v>
      </c>
      <c r="AX1000" s="431" t="n">
        <v>87</v>
      </c>
      <c r="AY1000" s="429" t="n"/>
      <c r="AZ1000" s="431" t="inlineStr">
        <is>
          <t>Boolean</t>
        </is>
      </c>
      <c r="BA1000" s="451" t="n"/>
      <c r="BB1000" s="451">
        <f>'CIRCUIT SIM'!CG90</f>
        <v/>
      </c>
      <c r="BC1000" s="451" t="n"/>
      <c r="BD1000" s="335" t="inlineStr">
        <is>
          <t> </t>
        </is>
      </c>
      <c r="BE1000" s="429" t="n">
        <v>87</v>
      </c>
      <c r="BF1000" s="431" t="n"/>
      <c r="BG1000" s="429" t="n"/>
      <c r="BH1000" s="431" t="n"/>
      <c r="BI1000" s="451" t="n"/>
      <c r="BJ1000" s="451" t="n"/>
      <c r="BK1000" s="451" t="n"/>
      <c r="BM1000" s="429" t="n">
        <v>87</v>
      </c>
      <c r="BN1000" s="431" t="n">
        <v>87</v>
      </c>
      <c r="BO1000" s="429" t="n"/>
      <c r="BP1000" s="431" t="n"/>
      <c r="BQ1000" s="451" t="n"/>
      <c r="BR1000" s="451" t="n"/>
      <c r="BS1000" s="451" t="n"/>
      <c r="BU1000" s="429" t="n">
        <v>87</v>
      </c>
      <c r="BV1000" s="431" t="n">
        <v>87</v>
      </c>
      <c r="BW1000" s="429" t="n"/>
      <c r="BX1000" s="431" t="n"/>
      <c r="BY1000" s="451" t="n"/>
      <c r="BZ1000" s="451">
        <f>'CIRCUIT SIM'!EI90</f>
        <v/>
      </c>
      <c r="CA1000" s="451" t="n"/>
      <c r="CC1000" s="429" t="n">
        <v>87</v>
      </c>
      <c r="CD1000" s="431" t="n">
        <v>87</v>
      </c>
      <c r="CE1000" s="688" t="n"/>
      <c r="CF1000" s="431" t="inlineStr">
        <is>
          <t>Boolean</t>
        </is>
      </c>
      <c r="CG1000" s="451" t="n"/>
      <c r="CH1000" s="562">
        <f>'CIRCUIT SIM'!LK90</f>
        <v/>
      </c>
      <c r="CI1000" s="451" t="n"/>
      <c r="CK1000" s="429" t="n">
        <v>87</v>
      </c>
      <c r="CL1000" s="431" t="n">
        <v>87</v>
      </c>
      <c r="CM1000" s="688" t="n"/>
      <c r="CN1000" s="431" t="n"/>
      <c r="CO1000" s="451" t="n"/>
      <c r="CP1000" s="451" t="n"/>
      <c r="CQ1000" s="451" t="n"/>
      <c r="CS1000" s="429" t="n">
        <v>87</v>
      </c>
      <c r="CT1000" s="431" t="n">
        <v>87</v>
      </c>
      <c r="CU1000" s="688" t="n"/>
      <c r="CV1000" s="431" t="inlineStr">
        <is>
          <t>Boolean</t>
        </is>
      </c>
      <c r="CW1000" s="451" t="n"/>
      <c r="CX1000" s="451">
        <f>'CIRCUIT SIM'!MQ90</f>
        <v/>
      </c>
      <c r="CY1000" s="451" t="n"/>
      <c r="DA1000" s="429" t="n">
        <v>87</v>
      </c>
      <c r="DB1000" s="431" t="n">
        <v>87</v>
      </c>
      <c r="DC1000" s="688" t="n"/>
      <c r="DD1000" s="431" t="n"/>
      <c r="DE1000" s="451" t="n"/>
      <c r="DF1000" s="451" t="n"/>
      <c r="DG1000" s="451" t="n"/>
      <c r="DI1000" s="429" t="n">
        <v>87</v>
      </c>
      <c r="DJ1000" s="431" t="n">
        <v>87</v>
      </c>
      <c r="DK1000" s="688" t="n"/>
      <c r="DL1000" s="431" t="n"/>
      <c r="DM1000" s="429" t="inlineStr">
        <is>
          <t> </t>
        </is>
      </c>
      <c r="DN1000" s="451">
        <f>'CIRCUIT SIM'!FN90</f>
        <v/>
      </c>
      <c r="DO1000" s="451" t="n"/>
      <c r="DQ1000" s="429" t="n">
        <v>87</v>
      </c>
      <c r="DR1000" s="431" t="n">
        <v>87</v>
      </c>
      <c r="DS1000" s="688" t="n"/>
      <c r="DT1000" s="431" t="n"/>
      <c r="DU1000" s="451" t="n"/>
      <c r="DV1000" s="451">
        <f>'CIRCUIT SIM'!HT90</f>
        <v/>
      </c>
      <c r="DW1000" s="451" t="n"/>
      <c r="DY1000" s="429" t="n">
        <v>87</v>
      </c>
      <c r="DZ1000" s="431" t="n">
        <v>87</v>
      </c>
      <c r="EA1000" s="688" t="n"/>
      <c r="EB1000" s="431" t="n"/>
      <c r="EC1000" s="451" t="n"/>
      <c r="ED1000" s="451" t="n"/>
      <c r="EE1000" s="451" t="n"/>
      <c r="EG1000" s="429" t="n">
        <v>87</v>
      </c>
      <c r="EH1000" s="431" t="n">
        <v>87</v>
      </c>
      <c r="EI1000" s="688" t="n"/>
      <c r="EJ1000" s="431" t="inlineStr">
        <is>
          <t>Boolean</t>
        </is>
      </c>
      <c r="EK1000" s="451" t="n"/>
      <c r="EL1000" s="451">
        <f>'CIRCUIT SIM'!HD90</f>
        <v/>
      </c>
      <c r="EM1000" s="451" t="n"/>
      <c r="EO1000" s="429" t="n">
        <v>87</v>
      </c>
      <c r="EP1000" s="431" t="n">
        <v>87</v>
      </c>
      <c r="EQ1000" s="688" t="n"/>
      <c r="ER1000" s="431" t="n"/>
      <c r="ES1000" s="451" t="n"/>
      <c r="ET1000" s="451" t="n"/>
      <c r="EU1000" s="451" t="n"/>
      <c r="EW1000" s="429" t="n">
        <v>87</v>
      </c>
      <c r="EX1000" s="431" t="n">
        <v>87</v>
      </c>
      <c r="EY1000" s="688" t="n"/>
      <c r="EZ1000" s="431" t="n"/>
      <c r="FA1000" s="451" t="n"/>
      <c r="FB1000" s="451" t="n"/>
      <c r="FC1000" s="451" t="n"/>
      <c r="FE1000" s="429" t="n">
        <v>87</v>
      </c>
      <c r="FF1000" s="431" t="n">
        <v>87</v>
      </c>
      <c r="FG1000" s="688" t="n"/>
      <c r="FH1000" s="431" t="n"/>
      <c r="FI1000" s="451" t="n"/>
      <c r="FJ1000" s="451" t="n"/>
      <c r="FK1000" s="451" t="n"/>
      <c r="FM1000" s="429" t="n">
        <v>87</v>
      </c>
      <c r="FN1000" s="431" t="n">
        <v>87</v>
      </c>
      <c r="FO1000" s="688" t="n"/>
      <c r="FP1000" s="431" t="n"/>
      <c r="FQ1000" s="451" t="n"/>
      <c r="FR1000" s="451">
        <f>'CIRCUIT SIM'!KY90</f>
        <v/>
      </c>
      <c r="FS1000" s="451" t="n"/>
      <c r="FU1000" s="429" t="n">
        <v>87</v>
      </c>
      <c r="FV1000" s="431" t="n">
        <v>87</v>
      </c>
      <c r="FW1000" s="688" t="n"/>
      <c r="FX1000" s="431" t="n"/>
      <c r="FY1000" s="451" t="n"/>
      <c r="FZ1000" s="562">
        <f>'CIRCUIT SIM'!JG90</f>
        <v/>
      </c>
      <c r="GA1000" s="451" t="n"/>
      <c r="GC1000" s="429" t="n">
        <v>87</v>
      </c>
      <c r="GD1000" s="431" t="n">
        <v>87</v>
      </c>
      <c r="GE1000" s="688" t="n"/>
      <c r="GF1000" s="431" t="n"/>
      <c r="GG1000" s="451" t="n"/>
      <c r="GH1000" s="451" t="n"/>
      <c r="GI1000" s="451" t="n"/>
      <c r="GK1000" s="429" t="n">
        <v>87</v>
      </c>
      <c r="GL1000" s="431" t="n">
        <v>87</v>
      </c>
      <c r="GM1000" s="688" t="n"/>
      <c r="GN1000" s="431" t="n"/>
      <c r="GO1000" s="451" t="n"/>
      <c r="GP1000" s="451" t="n"/>
      <c r="GQ1000" s="451" t="n"/>
      <c r="GS1000" s="429" t="n">
        <v>87</v>
      </c>
      <c r="GT1000" s="431" t="n">
        <v>87</v>
      </c>
      <c r="GU1000" s="688" t="n"/>
      <c r="GV1000" s="431" t="n"/>
      <c r="GW1000" s="451" t="n"/>
      <c r="GX1000" s="451">
        <f>'CIRCUIT SIM'!KY90</f>
        <v/>
      </c>
      <c r="GY1000" s="451" t="n"/>
      <c r="HA1000" s="429" t="n">
        <v>87</v>
      </c>
      <c r="HB1000" s="431" t="n">
        <v>87</v>
      </c>
      <c r="HC1000" s="688" t="n"/>
      <c r="HD1000" s="431" t="n"/>
      <c r="HE1000" s="451" t="n"/>
      <c r="HF1000" s="451" t="n"/>
      <c r="HG1000" s="451" t="n"/>
    </row>
    <row r="1001">
      <c r="A1001" s="429" t="n">
        <v>88</v>
      </c>
      <c r="B1001" s="431" t="n">
        <v>88</v>
      </c>
      <c r="C1001" s="688" t="n"/>
      <c r="D1001" s="431" t="n"/>
      <c r="E1001" s="429" t="n"/>
      <c r="F1001" s="429" t="n"/>
      <c r="G1001" s="429" t="n"/>
      <c r="I1001" s="429" t="n">
        <v>88</v>
      </c>
      <c r="J1001" s="431" t="n">
        <v>88</v>
      </c>
      <c r="K1001" s="429" t="n"/>
      <c r="L1001" s="431" t="inlineStr">
        <is>
          <t>Boolean</t>
        </is>
      </c>
      <c r="M1001" s="451" t="n"/>
      <c r="N1001" s="422">
        <f>'CIRCUIT SIM'!Y91</f>
        <v/>
      </c>
      <c r="O1001" s="451" t="n"/>
      <c r="Q1001" s="429" t="n">
        <v>88</v>
      </c>
      <c r="R1001" s="431" t="n">
        <v>88</v>
      </c>
      <c r="S1001" s="429" t="n"/>
      <c r="T1001" s="431" t="inlineStr">
        <is>
          <t>Boolean</t>
        </is>
      </c>
      <c r="U1001" s="429" t="n"/>
      <c r="V1001" s="386">
        <f>'CIRCUIT SIM'!AO91</f>
        <v/>
      </c>
      <c r="W1001" s="451" t="n"/>
      <c r="Y1001" s="429" t="n">
        <v>88</v>
      </c>
      <c r="Z1001" s="431" t="n">
        <v>88</v>
      </c>
      <c r="AA1001" s="429" t="n"/>
      <c r="AB1001" s="431" t="n"/>
      <c r="AC1001" s="451" t="n"/>
      <c r="AD1001" s="451" t="n"/>
      <c r="AE1001" s="451" t="n"/>
      <c r="AG1001" s="429" t="n">
        <v>88</v>
      </c>
      <c r="AH1001" s="431" t="n">
        <v>88</v>
      </c>
      <c r="AI1001" s="429" t="n"/>
      <c r="AJ1001" s="431" t="n"/>
      <c r="AK1001" s="451" t="n"/>
      <c r="AL1001" s="451" t="n"/>
      <c r="AM1001" s="451" t="n"/>
      <c r="AO1001" s="429" t="n">
        <v>88</v>
      </c>
      <c r="AP1001" s="431" t="n">
        <v>88</v>
      </c>
      <c r="AQ1001" s="429" t="n"/>
      <c r="AR1001" s="431" t="inlineStr">
        <is>
          <t>Boolean</t>
        </is>
      </c>
      <c r="AS1001" s="451" t="n"/>
      <c r="AT1001" s="386">
        <f>'CIRCUIT SIM'!BR91</f>
        <v/>
      </c>
      <c r="AU1001" s="451" t="n"/>
      <c r="AW1001" s="429" t="n">
        <v>88</v>
      </c>
      <c r="AX1001" s="431" t="n">
        <v>88</v>
      </c>
      <c r="AY1001" s="429" t="n"/>
      <c r="AZ1001" s="431" t="inlineStr">
        <is>
          <t>Boolean</t>
        </is>
      </c>
      <c r="BA1001" s="451" t="n"/>
      <c r="BB1001" s="451">
        <f>'CIRCUIT SIM'!CG91</f>
        <v/>
      </c>
      <c r="BC1001" s="451" t="n"/>
      <c r="BE1001" s="429" t="n">
        <v>88</v>
      </c>
      <c r="BF1001" s="431" t="n"/>
      <c r="BG1001" s="429" t="n"/>
      <c r="BH1001" s="431" t="n"/>
      <c r="BI1001" s="451" t="n"/>
      <c r="BJ1001" s="451" t="n"/>
      <c r="BK1001" s="451" t="n"/>
      <c r="BM1001" s="429" t="n">
        <v>88</v>
      </c>
      <c r="BN1001" s="431" t="n">
        <v>88</v>
      </c>
      <c r="BO1001" s="429" t="n"/>
      <c r="BP1001" s="431" t="n"/>
      <c r="BQ1001" s="451" t="n"/>
      <c r="BR1001" s="451" t="n"/>
      <c r="BS1001" s="451" t="n"/>
      <c r="BU1001" s="429" t="n">
        <v>88</v>
      </c>
      <c r="BV1001" s="431" t="n">
        <v>88</v>
      </c>
      <c r="BW1001" s="429" t="n"/>
      <c r="BX1001" s="431" t="n"/>
      <c r="BY1001" s="451" t="n"/>
      <c r="BZ1001" s="451">
        <f>'CIRCUIT SIM'!EI91</f>
        <v/>
      </c>
      <c r="CA1001" s="451" t="n"/>
      <c r="CC1001" s="429" t="n">
        <v>88</v>
      </c>
      <c r="CD1001" s="431" t="n">
        <v>88</v>
      </c>
      <c r="CE1001" s="688" t="n"/>
      <c r="CF1001" s="431" t="inlineStr">
        <is>
          <t>Boolean</t>
        </is>
      </c>
      <c r="CG1001" s="451" t="n"/>
      <c r="CH1001" s="562">
        <f>'CIRCUIT SIM'!LK91</f>
        <v/>
      </c>
      <c r="CI1001" s="451" t="n"/>
      <c r="CK1001" s="429" t="n">
        <v>88</v>
      </c>
      <c r="CL1001" s="431" t="n">
        <v>88</v>
      </c>
      <c r="CM1001" s="688" t="n"/>
      <c r="CN1001" s="431" t="n"/>
      <c r="CO1001" s="451" t="n"/>
      <c r="CP1001" s="451" t="n"/>
      <c r="CQ1001" s="451" t="n"/>
      <c r="CS1001" s="429" t="n">
        <v>88</v>
      </c>
      <c r="CT1001" s="431" t="n">
        <v>88</v>
      </c>
      <c r="CU1001" s="688" t="n"/>
      <c r="CV1001" s="431" t="inlineStr">
        <is>
          <t>Boolean</t>
        </is>
      </c>
      <c r="CW1001" s="451" t="n"/>
      <c r="CX1001" s="451">
        <f>'CIRCUIT SIM'!MQ91</f>
        <v/>
      </c>
      <c r="CY1001" s="451" t="n"/>
      <c r="DA1001" s="429" t="n">
        <v>88</v>
      </c>
      <c r="DB1001" s="431" t="n">
        <v>88</v>
      </c>
      <c r="DC1001" s="688" t="n"/>
      <c r="DD1001" s="431" t="n"/>
      <c r="DE1001" s="451" t="n"/>
      <c r="DF1001" s="451" t="n"/>
      <c r="DG1001" s="451" t="n"/>
      <c r="DI1001" s="429" t="n">
        <v>88</v>
      </c>
      <c r="DJ1001" s="431" t="n">
        <v>88</v>
      </c>
      <c r="DK1001" s="688" t="n"/>
      <c r="DL1001" s="431" t="n"/>
      <c r="DM1001" s="429" t="n"/>
      <c r="DN1001" s="451">
        <f>'CIRCUIT SIM'!FN91</f>
        <v/>
      </c>
      <c r="DO1001" s="451" t="n"/>
      <c r="DQ1001" s="429" t="n">
        <v>88</v>
      </c>
      <c r="DR1001" s="431" t="n">
        <v>88</v>
      </c>
      <c r="DS1001" s="688" t="n"/>
      <c r="DT1001" s="431" t="n"/>
      <c r="DU1001" s="451" t="n"/>
      <c r="DV1001" s="451">
        <f>'CIRCUIT SIM'!HT91</f>
        <v/>
      </c>
      <c r="DW1001" s="451" t="n"/>
      <c r="DY1001" s="429" t="n">
        <v>88</v>
      </c>
      <c r="DZ1001" s="431" t="n">
        <v>88</v>
      </c>
      <c r="EA1001" s="688" t="n"/>
      <c r="EB1001" s="431" t="n"/>
      <c r="EC1001" s="451" t="n"/>
      <c r="ED1001" s="451" t="n"/>
      <c r="EE1001" s="451" t="n"/>
      <c r="EG1001" s="429" t="n">
        <v>88</v>
      </c>
      <c r="EH1001" s="431" t="n">
        <v>88</v>
      </c>
      <c r="EI1001" s="688" t="n"/>
      <c r="EJ1001" s="431" t="inlineStr">
        <is>
          <t>Boolean</t>
        </is>
      </c>
      <c r="EK1001" s="451" t="n"/>
      <c r="EL1001" s="451">
        <f>'CIRCUIT SIM'!HD91</f>
        <v/>
      </c>
      <c r="EM1001" s="451" t="n"/>
      <c r="EO1001" s="429" t="n">
        <v>88</v>
      </c>
      <c r="EP1001" s="431" t="n">
        <v>88</v>
      </c>
      <c r="EQ1001" s="688" t="n"/>
      <c r="ER1001" s="431" t="n"/>
      <c r="ES1001" s="451" t="inlineStr">
        <is>
          <t> </t>
        </is>
      </c>
      <c r="ET1001" s="451" t="inlineStr">
        <is>
          <t> </t>
        </is>
      </c>
      <c r="EU1001" s="451" t="n"/>
      <c r="EW1001" s="429" t="n">
        <v>88</v>
      </c>
      <c r="EX1001" s="431" t="n">
        <v>88</v>
      </c>
      <c r="EY1001" s="688" t="n"/>
      <c r="EZ1001" s="431" t="n"/>
      <c r="FA1001" s="451" t="n"/>
      <c r="FB1001" s="451" t="n"/>
      <c r="FC1001" s="451" t="n"/>
      <c r="FE1001" s="429" t="n">
        <v>88</v>
      </c>
      <c r="FF1001" s="431" t="n">
        <v>88</v>
      </c>
      <c r="FG1001" s="688" t="n"/>
      <c r="FH1001" s="431" t="n"/>
      <c r="FI1001" s="451" t="n"/>
      <c r="FJ1001" s="451" t="n"/>
      <c r="FK1001" s="451" t="n"/>
      <c r="FM1001" s="429" t="n">
        <v>88</v>
      </c>
      <c r="FN1001" s="431" t="n">
        <v>88</v>
      </c>
      <c r="FO1001" s="688" t="n"/>
      <c r="FP1001" s="431" t="n"/>
      <c r="FQ1001" s="451" t="n"/>
      <c r="FR1001" s="451">
        <f>'CIRCUIT SIM'!KY91</f>
        <v/>
      </c>
      <c r="FS1001" s="451" t="n"/>
      <c r="FU1001" s="429" t="n">
        <v>88</v>
      </c>
      <c r="FV1001" s="431" t="n">
        <v>88</v>
      </c>
      <c r="FW1001" s="688" t="n"/>
      <c r="FX1001" s="431" t="n"/>
      <c r="FY1001" s="451" t="n"/>
      <c r="FZ1001" s="562">
        <f>'CIRCUIT SIM'!JG91</f>
        <v/>
      </c>
      <c r="GA1001" s="451" t="n"/>
      <c r="GC1001" s="429" t="n">
        <v>88</v>
      </c>
      <c r="GD1001" s="431" t="n">
        <v>88</v>
      </c>
      <c r="GE1001" s="688" t="n"/>
      <c r="GF1001" s="431" t="n"/>
      <c r="GG1001" s="451" t="n"/>
      <c r="GH1001" s="451" t="n"/>
      <c r="GI1001" s="451" t="n"/>
      <c r="GK1001" s="429" t="n">
        <v>88</v>
      </c>
      <c r="GL1001" s="431" t="n">
        <v>88</v>
      </c>
      <c r="GM1001" s="688" t="n"/>
      <c r="GN1001" s="431" t="n"/>
      <c r="GO1001" s="451" t="n"/>
      <c r="GP1001" s="451" t="n"/>
      <c r="GQ1001" s="451" t="n"/>
      <c r="GS1001" s="429" t="n">
        <v>88</v>
      </c>
      <c r="GT1001" s="431" t="n">
        <v>88</v>
      </c>
      <c r="GU1001" s="688" t="n"/>
      <c r="GV1001" s="431" t="n"/>
      <c r="GW1001" s="451" t="n"/>
      <c r="GX1001" s="451">
        <f>'CIRCUIT SIM'!KY91</f>
        <v/>
      </c>
      <c r="GY1001" s="451" t="n"/>
      <c r="HA1001" s="429" t="n">
        <v>88</v>
      </c>
      <c r="HB1001" s="431" t="n">
        <v>88</v>
      </c>
      <c r="HC1001" s="688" t="n"/>
      <c r="HD1001" s="431" t="n"/>
      <c r="HE1001" s="451" t="n"/>
      <c r="HF1001" s="451" t="n"/>
      <c r="HG1001" s="451" t="n"/>
    </row>
    <row r="1002">
      <c r="A1002" s="429" t="n">
        <v>89</v>
      </c>
      <c r="B1002" s="431" t="n">
        <v>89</v>
      </c>
      <c r="C1002" s="688" t="n"/>
      <c r="D1002" s="431" t="n"/>
      <c r="E1002" s="429" t="n"/>
      <c r="F1002" s="429" t="n"/>
      <c r="G1002" s="429" t="n"/>
      <c r="I1002" s="429" t="n">
        <v>89</v>
      </c>
      <c r="J1002" s="431" t="n">
        <v>89</v>
      </c>
      <c r="K1002" s="429" t="n"/>
      <c r="L1002" s="431" t="inlineStr">
        <is>
          <t>Boolean</t>
        </is>
      </c>
      <c r="M1002" s="451" t="n"/>
      <c r="N1002" s="422">
        <f>'CIRCUIT SIM'!Y92</f>
        <v/>
      </c>
      <c r="O1002" s="451" t="n"/>
      <c r="Q1002" s="429" t="n">
        <v>89</v>
      </c>
      <c r="R1002" s="431" t="n">
        <v>89</v>
      </c>
      <c r="S1002" s="429" t="n"/>
      <c r="T1002" s="431" t="inlineStr">
        <is>
          <t>Boolean</t>
        </is>
      </c>
      <c r="U1002" s="429" t="n"/>
      <c r="V1002" s="386">
        <f>'CIRCUIT SIM'!AO92</f>
        <v/>
      </c>
      <c r="W1002" s="451" t="n"/>
      <c r="Y1002" s="429" t="n">
        <v>89</v>
      </c>
      <c r="Z1002" s="431" t="n">
        <v>89</v>
      </c>
      <c r="AA1002" s="429" t="n"/>
      <c r="AB1002" s="431" t="n"/>
      <c r="AC1002" s="451" t="n"/>
      <c r="AD1002" s="451" t="n"/>
      <c r="AE1002" s="451" t="n"/>
      <c r="AG1002" s="429" t="n">
        <v>89</v>
      </c>
      <c r="AH1002" s="431" t="n">
        <v>89</v>
      </c>
      <c r="AI1002" s="429" t="n"/>
      <c r="AJ1002" s="431" t="n"/>
      <c r="AK1002" s="451" t="n"/>
      <c r="AL1002" s="451" t="n"/>
      <c r="AM1002" s="451" t="n"/>
      <c r="AO1002" s="429" t="n">
        <v>89</v>
      </c>
      <c r="AP1002" s="431" t="n">
        <v>89</v>
      </c>
      <c r="AQ1002" s="429" t="n"/>
      <c r="AR1002" s="431" t="inlineStr">
        <is>
          <t>Boolean</t>
        </is>
      </c>
      <c r="AS1002" s="451" t="n"/>
      <c r="AT1002" s="386">
        <f>'CIRCUIT SIM'!BR92</f>
        <v/>
      </c>
      <c r="AU1002" s="451" t="n"/>
      <c r="AW1002" s="429" t="n">
        <v>89</v>
      </c>
      <c r="AX1002" s="431" t="n">
        <v>89</v>
      </c>
      <c r="AY1002" s="429" t="n"/>
      <c r="AZ1002" s="431" t="inlineStr">
        <is>
          <t>Boolean</t>
        </is>
      </c>
      <c r="BA1002" s="451" t="n"/>
      <c r="BB1002" s="451">
        <f>'CIRCUIT SIM'!CG92</f>
        <v/>
      </c>
      <c r="BC1002" s="451" t="n"/>
      <c r="BE1002" s="429" t="n">
        <v>89</v>
      </c>
      <c r="BF1002" s="431" t="n"/>
      <c r="BG1002" s="429" t="n"/>
      <c r="BH1002" s="431" t="n"/>
      <c r="BI1002" s="451" t="n"/>
      <c r="BJ1002" s="451" t="n"/>
      <c r="BK1002" s="451" t="n"/>
      <c r="BM1002" s="429" t="n">
        <v>89</v>
      </c>
      <c r="BN1002" s="431" t="n">
        <v>89</v>
      </c>
      <c r="BO1002" s="429" t="n"/>
      <c r="BP1002" s="431" t="n"/>
      <c r="BQ1002" s="451" t="n"/>
      <c r="BR1002" s="451" t="n"/>
      <c r="BS1002" s="451" t="n"/>
      <c r="BU1002" s="429" t="n">
        <v>89</v>
      </c>
      <c r="BV1002" s="431" t="n">
        <v>89</v>
      </c>
      <c r="BW1002" s="429" t="n"/>
      <c r="BX1002" s="431" t="n"/>
      <c r="BY1002" s="451" t="n"/>
      <c r="BZ1002" s="451">
        <f>'CIRCUIT SIM'!EI92</f>
        <v/>
      </c>
      <c r="CA1002" s="451" t="n"/>
      <c r="CC1002" s="429" t="n">
        <v>89</v>
      </c>
      <c r="CD1002" s="431" t="n">
        <v>89</v>
      </c>
      <c r="CE1002" s="688" t="n"/>
      <c r="CF1002" s="431" t="inlineStr">
        <is>
          <t>Boolean</t>
        </is>
      </c>
      <c r="CG1002" s="451" t="n"/>
      <c r="CH1002" s="562">
        <f>'CIRCUIT SIM'!LK92</f>
        <v/>
      </c>
      <c r="CI1002" s="451" t="n"/>
      <c r="CK1002" s="429" t="n">
        <v>89</v>
      </c>
      <c r="CL1002" s="431" t="n">
        <v>89</v>
      </c>
      <c r="CM1002" s="688" t="n"/>
      <c r="CN1002" s="431" t="n"/>
      <c r="CO1002" s="451" t="n"/>
      <c r="CP1002" s="451" t="n"/>
      <c r="CQ1002" s="451" t="n"/>
      <c r="CS1002" s="429" t="n">
        <v>89</v>
      </c>
      <c r="CT1002" s="431" t="n">
        <v>89</v>
      </c>
      <c r="CU1002" s="688" t="n"/>
      <c r="CV1002" s="431" t="inlineStr">
        <is>
          <t>Boolean</t>
        </is>
      </c>
      <c r="CW1002" s="451" t="n"/>
      <c r="CX1002" s="451">
        <f>'CIRCUIT SIM'!MQ92</f>
        <v/>
      </c>
      <c r="CY1002" s="451" t="n"/>
      <c r="DA1002" s="429" t="n">
        <v>89</v>
      </c>
      <c r="DB1002" s="431" t="n">
        <v>89</v>
      </c>
      <c r="DC1002" s="688" t="n"/>
      <c r="DD1002" s="431" t="n"/>
      <c r="DE1002" s="451" t="n"/>
      <c r="DF1002" s="451" t="n"/>
      <c r="DG1002" s="451" t="n"/>
      <c r="DI1002" s="429" t="n">
        <v>89</v>
      </c>
      <c r="DJ1002" s="431" t="n">
        <v>89</v>
      </c>
      <c r="DK1002" s="688" t="n"/>
      <c r="DL1002" s="431" t="n"/>
      <c r="DM1002" s="429" t="n"/>
      <c r="DN1002" s="451">
        <f>'CIRCUIT SIM'!FN92</f>
        <v/>
      </c>
      <c r="DO1002" s="451" t="n"/>
      <c r="DQ1002" s="429" t="n">
        <v>89</v>
      </c>
      <c r="DR1002" s="431" t="n">
        <v>89</v>
      </c>
      <c r="DS1002" s="688" t="n"/>
      <c r="DT1002" s="431" t="n"/>
      <c r="DU1002" s="451" t="n"/>
      <c r="DV1002" s="451">
        <f>'CIRCUIT SIM'!HT92</f>
        <v/>
      </c>
      <c r="DW1002" s="451" t="n"/>
      <c r="DY1002" s="429" t="n">
        <v>89</v>
      </c>
      <c r="DZ1002" s="431" t="n">
        <v>89</v>
      </c>
      <c r="EA1002" s="688" t="n"/>
      <c r="EB1002" s="431" t="n"/>
      <c r="EC1002" s="451" t="n"/>
      <c r="ED1002" s="451" t="n"/>
      <c r="EE1002" s="451" t="n"/>
      <c r="EG1002" s="429" t="n">
        <v>89</v>
      </c>
      <c r="EH1002" s="431" t="n">
        <v>89</v>
      </c>
      <c r="EI1002" s="688" t="n"/>
      <c r="EJ1002" s="431" t="inlineStr">
        <is>
          <t>Boolean</t>
        </is>
      </c>
      <c r="EK1002" s="451" t="n"/>
      <c r="EL1002" s="451">
        <f>'CIRCUIT SIM'!HD92</f>
        <v/>
      </c>
      <c r="EM1002" s="451" t="n"/>
      <c r="EO1002" s="429" t="n">
        <v>89</v>
      </c>
      <c r="EP1002" s="431" t="n">
        <v>89</v>
      </c>
      <c r="EQ1002" s="688" t="n"/>
      <c r="ER1002" s="431" t="n"/>
      <c r="ES1002" s="451" t="n"/>
      <c r="ET1002" s="451" t="n"/>
      <c r="EU1002" s="451" t="n"/>
      <c r="EW1002" s="429" t="n">
        <v>89</v>
      </c>
      <c r="EX1002" s="431" t="n">
        <v>89</v>
      </c>
      <c r="EY1002" s="688" t="n"/>
      <c r="EZ1002" s="431" t="n"/>
      <c r="FA1002" s="451" t="n"/>
      <c r="FB1002" s="451" t="n"/>
      <c r="FC1002" s="451" t="n"/>
      <c r="FE1002" s="429" t="n">
        <v>89</v>
      </c>
      <c r="FF1002" s="431" t="n">
        <v>89</v>
      </c>
      <c r="FG1002" s="688" t="n"/>
      <c r="FH1002" s="431" t="n"/>
      <c r="FI1002" s="451" t="n"/>
      <c r="FJ1002" s="451" t="n"/>
      <c r="FK1002" s="451" t="n"/>
      <c r="FM1002" s="429" t="n">
        <v>89</v>
      </c>
      <c r="FN1002" s="431" t="n">
        <v>89</v>
      </c>
      <c r="FO1002" s="688" t="n"/>
      <c r="FP1002" s="431" t="n"/>
      <c r="FQ1002" s="451" t="n"/>
      <c r="FR1002" s="451">
        <f>'CIRCUIT SIM'!KY92</f>
        <v/>
      </c>
      <c r="FS1002" s="451" t="n"/>
      <c r="FU1002" s="429" t="n">
        <v>89</v>
      </c>
      <c r="FV1002" s="431" t="n">
        <v>89</v>
      </c>
      <c r="FW1002" s="688" t="n"/>
      <c r="FX1002" s="431" t="n"/>
      <c r="FY1002" s="451" t="n"/>
      <c r="FZ1002" s="562">
        <f>'CIRCUIT SIM'!JG92</f>
        <v/>
      </c>
      <c r="GA1002" s="451" t="n"/>
      <c r="GC1002" s="429" t="n">
        <v>89</v>
      </c>
      <c r="GD1002" s="431" t="n">
        <v>89</v>
      </c>
      <c r="GE1002" s="688" t="n"/>
      <c r="GF1002" s="431" t="n"/>
      <c r="GG1002" s="451" t="n"/>
      <c r="GH1002" s="451" t="n"/>
      <c r="GI1002" s="451" t="n"/>
      <c r="GK1002" s="429" t="n">
        <v>89</v>
      </c>
      <c r="GL1002" s="431" t="n">
        <v>89</v>
      </c>
      <c r="GM1002" s="688" t="n"/>
      <c r="GN1002" s="431" t="n"/>
      <c r="GO1002" s="451" t="n"/>
      <c r="GP1002" s="451" t="n"/>
      <c r="GQ1002" s="451" t="n"/>
      <c r="GS1002" s="429" t="n">
        <v>89</v>
      </c>
      <c r="GT1002" s="431" t="n">
        <v>89</v>
      </c>
      <c r="GU1002" s="688" t="n"/>
      <c r="GV1002" s="431" t="n"/>
      <c r="GW1002" s="451" t="n"/>
      <c r="GX1002" s="451">
        <f>'CIRCUIT SIM'!KY92</f>
        <v/>
      </c>
      <c r="GY1002" s="451" t="n"/>
      <c r="HA1002" s="429" t="n">
        <v>89</v>
      </c>
      <c r="HB1002" s="431" t="n">
        <v>89</v>
      </c>
      <c r="HC1002" s="688" t="n"/>
      <c r="HD1002" s="431" t="n"/>
      <c r="HE1002" s="451" t="n"/>
      <c r="HF1002" s="451" t="n"/>
      <c r="HG1002" s="451" t="n"/>
    </row>
    <row r="1003">
      <c r="A1003" s="429" t="n">
        <v>90</v>
      </c>
      <c r="B1003" s="431" t="n">
        <v>90</v>
      </c>
      <c r="C1003" s="688" t="n"/>
      <c r="D1003" s="431" t="n"/>
      <c r="E1003" s="429" t="n"/>
      <c r="F1003" s="429" t="n"/>
      <c r="G1003" s="429" t="n"/>
      <c r="I1003" s="429" t="n">
        <v>90</v>
      </c>
      <c r="J1003" s="431" t="n">
        <v>90</v>
      </c>
      <c r="K1003" s="429" t="n"/>
      <c r="L1003" s="431" t="inlineStr">
        <is>
          <t>Boolean</t>
        </is>
      </c>
      <c r="M1003" s="451" t="n"/>
      <c r="N1003" s="422">
        <f>'CIRCUIT SIM'!Y93</f>
        <v/>
      </c>
      <c r="O1003" s="451" t="n"/>
      <c r="Q1003" s="429" t="n">
        <v>90</v>
      </c>
      <c r="R1003" s="431" t="n">
        <v>90</v>
      </c>
      <c r="S1003" s="429" t="n"/>
      <c r="T1003" s="431" t="inlineStr">
        <is>
          <t>Boolean</t>
        </is>
      </c>
      <c r="U1003" s="429" t="n"/>
      <c r="V1003" s="386">
        <f>'CIRCUIT SIM'!AO93</f>
        <v/>
      </c>
      <c r="W1003" s="451" t="n"/>
      <c r="Y1003" s="429" t="n">
        <v>90</v>
      </c>
      <c r="Z1003" s="431" t="n">
        <v>90</v>
      </c>
      <c r="AA1003" s="429" t="n"/>
      <c r="AB1003" s="431" t="n"/>
      <c r="AC1003" s="451" t="n"/>
      <c r="AD1003" s="451" t="n"/>
      <c r="AE1003" s="451" t="n"/>
      <c r="AG1003" s="429" t="n">
        <v>90</v>
      </c>
      <c r="AH1003" s="431" t="n">
        <v>90</v>
      </c>
      <c r="AI1003" s="429" t="n"/>
      <c r="AJ1003" s="431" t="n"/>
      <c r="AK1003" s="451" t="n"/>
      <c r="AL1003" s="451" t="n"/>
      <c r="AM1003" s="451" t="n"/>
      <c r="AO1003" s="429" t="n">
        <v>90</v>
      </c>
      <c r="AP1003" s="431" t="n">
        <v>90</v>
      </c>
      <c r="AQ1003" s="429" t="n"/>
      <c r="AR1003" s="431" t="inlineStr">
        <is>
          <t>Boolean</t>
        </is>
      </c>
      <c r="AS1003" s="451" t="n"/>
      <c r="AT1003" s="386">
        <f>'CIRCUIT SIM'!BR93</f>
        <v/>
      </c>
      <c r="AU1003" s="451" t="inlineStr">
        <is>
          <t> </t>
        </is>
      </c>
      <c r="AW1003" s="429" t="n">
        <v>90</v>
      </c>
      <c r="AX1003" s="431" t="n">
        <v>90</v>
      </c>
      <c r="AY1003" s="429" t="n"/>
      <c r="AZ1003" s="431" t="inlineStr">
        <is>
          <t>Boolean</t>
        </is>
      </c>
      <c r="BA1003" s="451" t="n"/>
      <c r="BB1003" s="451">
        <f>'CIRCUIT SIM'!CG93</f>
        <v/>
      </c>
      <c r="BC1003" s="451" t="n"/>
      <c r="BE1003" s="429" t="n">
        <v>90</v>
      </c>
      <c r="BF1003" s="431" t="n"/>
      <c r="BG1003" s="429" t="n"/>
      <c r="BH1003" s="431" t="n"/>
      <c r="BI1003" s="451" t="n"/>
      <c r="BJ1003" s="451" t="n"/>
      <c r="BK1003" s="451" t="n"/>
      <c r="BM1003" s="429" t="n">
        <v>90</v>
      </c>
      <c r="BN1003" s="431" t="n">
        <v>90</v>
      </c>
      <c r="BO1003" s="429" t="n"/>
      <c r="BP1003" s="431" t="n"/>
      <c r="BQ1003" s="451" t="n"/>
      <c r="BR1003" s="451" t="n"/>
      <c r="BS1003" s="451" t="n"/>
      <c r="BU1003" s="429" t="n">
        <v>90</v>
      </c>
      <c r="BV1003" s="431" t="n">
        <v>90</v>
      </c>
      <c r="BW1003" s="429" t="n"/>
      <c r="BX1003" s="431" t="n"/>
      <c r="BY1003" s="451" t="n"/>
      <c r="BZ1003" s="451">
        <f>'CIRCUIT SIM'!EI93</f>
        <v/>
      </c>
      <c r="CA1003" s="451" t="n"/>
      <c r="CC1003" s="429" t="n">
        <v>90</v>
      </c>
      <c r="CD1003" s="431" t="n">
        <v>90</v>
      </c>
      <c r="CE1003" s="688" t="n"/>
      <c r="CF1003" s="431" t="inlineStr">
        <is>
          <t>Boolean</t>
        </is>
      </c>
      <c r="CG1003" s="451" t="n"/>
      <c r="CH1003" s="562">
        <f>'CIRCUIT SIM'!LK93</f>
        <v/>
      </c>
      <c r="CI1003" s="451" t="n"/>
      <c r="CK1003" s="429" t="n">
        <v>90</v>
      </c>
      <c r="CL1003" s="431" t="n">
        <v>90</v>
      </c>
      <c r="CM1003" s="688" t="n"/>
      <c r="CN1003" s="431" t="n"/>
      <c r="CO1003" s="451" t="n"/>
      <c r="CP1003" s="451" t="n"/>
      <c r="CQ1003" s="451" t="n"/>
      <c r="CS1003" s="429" t="n">
        <v>90</v>
      </c>
      <c r="CT1003" s="431" t="n">
        <v>90</v>
      </c>
      <c r="CU1003" s="688" t="n"/>
      <c r="CV1003" s="431" t="inlineStr">
        <is>
          <t>Boolean</t>
        </is>
      </c>
      <c r="CW1003" s="451" t="n"/>
      <c r="CX1003" s="451">
        <f>'CIRCUIT SIM'!MQ93</f>
        <v/>
      </c>
      <c r="CY1003" s="451" t="n"/>
      <c r="DA1003" s="429" t="n">
        <v>90</v>
      </c>
      <c r="DB1003" s="431" t="n">
        <v>90</v>
      </c>
      <c r="DC1003" s="688" t="n"/>
      <c r="DD1003" s="431" t="n"/>
      <c r="DE1003" s="451" t="n"/>
      <c r="DF1003" s="451" t="n"/>
      <c r="DG1003" s="451" t="n"/>
      <c r="DI1003" s="429" t="n">
        <v>90</v>
      </c>
      <c r="DJ1003" s="431" t="n">
        <v>90</v>
      </c>
      <c r="DK1003" s="688" t="n"/>
      <c r="DL1003" s="431" t="n"/>
      <c r="DM1003" s="429" t="n"/>
      <c r="DN1003" s="451">
        <f>'CIRCUIT SIM'!FN93</f>
        <v/>
      </c>
      <c r="DO1003" s="451" t="n"/>
      <c r="DQ1003" s="429" t="n">
        <v>90</v>
      </c>
      <c r="DR1003" s="431" t="n">
        <v>90</v>
      </c>
      <c r="DS1003" s="688" t="n"/>
      <c r="DT1003" s="431" t="n"/>
      <c r="DU1003" s="451" t="n"/>
      <c r="DV1003" s="451">
        <f>'CIRCUIT SIM'!HT93</f>
        <v/>
      </c>
      <c r="DW1003" s="451" t="n"/>
      <c r="DY1003" s="429" t="n">
        <v>90</v>
      </c>
      <c r="DZ1003" s="431" t="n">
        <v>90</v>
      </c>
      <c r="EA1003" s="688" t="n"/>
      <c r="EB1003" s="431" t="n"/>
      <c r="EC1003" s="451" t="n"/>
      <c r="ED1003" s="451" t="n"/>
      <c r="EE1003" s="451" t="n"/>
      <c r="EG1003" s="429" t="n">
        <v>90</v>
      </c>
      <c r="EH1003" s="431" t="n">
        <v>90</v>
      </c>
      <c r="EI1003" s="688" t="n"/>
      <c r="EJ1003" s="431" t="inlineStr">
        <is>
          <t>Boolean</t>
        </is>
      </c>
      <c r="EK1003" s="451" t="n"/>
      <c r="EL1003" s="451">
        <f>'CIRCUIT SIM'!HD93</f>
        <v/>
      </c>
      <c r="EM1003" s="451" t="n"/>
      <c r="EO1003" s="429" t="n">
        <v>90</v>
      </c>
      <c r="EP1003" s="431" t="n">
        <v>90</v>
      </c>
      <c r="EQ1003" s="688" t="n"/>
      <c r="ER1003" s="431" t="n"/>
      <c r="ES1003" s="451" t="n"/>
      <c r="ET1003" s="451" t="n"/>
      <c r="EU1003" s="451" t="n"/>
      <c r="EW1003" s="429" t="n">
        <v>90</v>
      </c>
      <c r="EX1003" s="431" t="n">
        <v>90</v>
      </c>
      <c r="EY1003" s="688" t="n"/>
      <c r="EZ1003" s="431" t="n"/>
      <c r="FA1003" s="451" t="n"/>
      <c r="FB1003" s="451" t="n"/>
      <c r="FC1003" s="451" t="n"/>
      <c r="FE1003" s="429" t="n">
        <v>90</v>
      </c>
      <c r="FF1003" s="431" t="n">
        <v>90</v>
      </c>
      <c r="FG1003" s="688" t="n"/>
      <c r="FH1003" s="431" t="n"/>
      <c r="FI1003" s="451" t="n"/>
      <c r="FJ1003" s="451" t="n"/>
      <c r="FK1003" s="451" t="n"/>
      <c r="FM1003" s="429" t="n">
        <v>90</v>
      </c>
      <c r="FN1003" s="431" t="n">
        <v>90</v>
      </c>
      <c r="FO1003" s="688" t="n"/>
      <c r="FP1003" s="431" t="n"/>
      <c r="FQ1003" s="451" t="n"/>
      <c r="FR1003" s="451">
        <f>'CIRCUIT SIM'!KY93</f>
        <v/>
      </c>
      <c r="FS1003" s="451" t="n"/>
      <c r="FU1003" s="429" t="n">
        <v>90</v>
      </c>
      <c r="FV1003" s="431" t="n">
        <v>90</v>
      </c>
      <c r="FW1003" s="688" t="n"/>
      <c r="FX1003" s="431" t="n"/>
      <c r="FY1003" s="451" t="n"/>
      <c r="FZ1003" s="562">
        <f>'CIRCUIT SIM'!JG93</f>
        <v/>
      </c>
      <c r="GA1003" s="451" t="n"/>
      <c r="GC1003" s="429" t="n">
        <v>90</v>
      </c>
      <c r="GD1003" s="431" t="n">
        <v>90</v>
      </c>
      <c r="GE1003" s="688" t="n"/>
      <c r="GF1003" s="431" t="n"/>
      <c r="GG1003" s="451" t="n"/>
      <c r="GH1003" s="451" t="n"/>
      <c r="GI1003" s="451" t="n"/>
      <c r="GK1003" s="429" t="n">
        <v>90</v>
      </c>
      <c r="GL1003" s="431" t="n">
        <v>90</v>
      </c>
      <c r="GM1003" s="688" t="n"/>
      <c r="GN1003" s="431" t="n"/>
      <c r="GO1003" s="451" t="n"/>
      <c r="GP1003" s="451" t="n"/>
      <c r="GQ1003" s="451" t="n"/>
      <c r="GS1003" s="429" t="n">
        <v>90</v>
      </c>
      <c r="GT1003" s="431" t="n">
        <v>90</v>
      </c>
      <c r="GU1003" s="688" t="n"/>
      <c r="GV1003" s="431" t="n"/>
      <c r="GW1003" s="451" t="n"/>
      <c r="GX1003" s="451">
        <f>'CIRCUIT SIM'!KY93</f>
        <v/>
      </c>
      <c r="GY1003" s="451" t="n"/>
      <c r="HA1003" s="429" t="n">
        <v>90</v>
      </c>
      <c r="HB1003" s="431" t="n">
        <v>90</v>
      </c>
      <c r="HC1003" s="688" t="n"/>
      <c r="HD1003" s="431" t="n"/>
      <c r="HE1003" s="451" t="n"/>
      <c r="HF1003" s="451" t="n"/>
      <c r="HG1003" s="451" t="n"/>
    </row>
    <row r="1004">
      <c r="A1004" s="429" t="n">
        <v>91</v>
      </c>
      <c r="B1004" s="431" t="n">
        <v>91</v>
      </c>
      <c r="C1004" s="688" t="n"/>
      <c r="D1004" s="431" t="n"/>
      <c r="E1004" s="429" t="n"/>
      <c r="F1004" s="429" t="n"/>
      <c r="G1004" s="429" t="n"/>
      <c r="I1004" s="429" t="n">
        <v>91</v>
      </c>
      <c r="J1004" s="431" t="n">
        <v>91</v>
      </c>
      <c r="K1004" s="429" t="n"/>
      <c r="L1004" s="431" t="inlineStr">
        <is>
          <t>Boolean</t>
        </is>
      </c>
      <c r="M1004" s="451" t="n"/>
      <c r="N1004" s="422">
        <f>'CIRCUIT SIM'!Y94</f>
        <v/>
      </c>
      <c r="O1004" s="451" t="n"/>
      <c r="Q1004" s="429" t="n">
        <v>91</v>
      </c>
      <c r="R1004" s="431" t="n">
        <v>91</v>
      </c>
      <c r="S1004" s="429" t="n"/>
      <c r="T1004" s="431" t="inlineStr">
        <is>
          <t>Boolean</t>
        </is>
      </c>
      <c r="U1004" s="429" t="n"/>
      <c r="V1004" s="386">
        <f>'CIRCUIT SIM'!AO94</f>
        <v/>
      </c>
      <c r="W1004" s="451" t="n"/>
      <c r="Y1004" s="429" t="n">
        <v>91</v>
      </c>
      <c r="Z1004" s="431" t="n">
        <v>91</v>
      </c>
      <c r="AA1004" s="429" t="n"/>
      <c r="AB1004" s="431" t="n"/>
      <c r="AC1004" s="451" t="n"/>
      <c r="AD1004" s="451" t="n"/>
      <c r="AE1004" s="451" t="n"/>
      <c r="AG1004" s="429" t="n">
        <v>91</v>
      </c>
      <c r="AH1004" s="431" t="n">
        <v>91</v>
      </c>
      <c r="AI1004" s="429" t="n"/>
      <c r="AJ1004" s="431" t="n"/>
      <c r="AK1004" s="451" t="n"/>
      <c r="AL1004" s="451" t="n"/>
      <c r="AM1004" s="451" t="n"/>
      <c r="AO1004" s="429" t="n">
        <v>91</v>
      </c>
      <c r="AP1004" s="431" t="n">
        <v>91</v>
      </c>
      <c r="AQ1004" s="429" t="n"/>
      <c r="AR1004" s="431" t="inlineStr">
        <is>
          <t>Boolean</t>
        </is>
      </c>
      <c r="AS1004" s="451" t="n"/>
      <c r="AT1004" s="386">
        <f>'CIRCUIT SIM'!BR94</f>
        <v/>
      </c>
      <c r="AU1004" s="451" t="n"/>
      <c r="AW1004" s="429" t="n">
        <v>91</v>
      </c>
      <c r="AX1004" s="431" t="n">
        <v>91</v>
      </c>
      <c r="AY1004" s="429" t="n"/>
      <c r="AZ1004" s="431" t="inlineStr">
        <is>
          <t>Boolean</t>
        </is>
      </c>
      <c r="BA1004" s="451" t="n"/>
      <c r="BB1004" s="451">
        <f>'CIRCUIT SIM'!CG94</f>
        <v/>
      </c>
      <c r="BC1004" s="451" t="n"/>
      <c r="BD1004" s="335" t="inlineStr">
        <is>
          <t> </t>
        </is>
      </c>
      <c r="BE1004" s="429" t="n">
        <v>91</v>
      </c>
      <c r="BF1004" s="431" t="n"/>
      <c r="BG1004" s="429" t="n"/>
      <c r="BH1004" s="431" t="n"/>
      <c r="BI1004" s="451" t="n"/>
      <c r="BJ1004" s="451" t="n"/>
      <c r="BK1004" s="451" t="n"/>
      <c r="BM1004" s="429" t="n">
        <v>91</v>
      </c>
      <c r="BN1004" s="431" t="n">
        <v>91</v>
      </c>
      <c r="BO1004" s="429" t="n"/>
      <c r="BP1004" s="431" t="n"/>
      <c r="BQ1004" s="451" t="n"/>
      <c r="BR1004" s="451" t="n"/>
      <c r="BS1004" s="451" t="n"/>
      <c r="BU1004" s="429" t="n">
        <v>91</v>
      </c>
      <c r="BV1004" s="431" t="n">
        <v>91</v>
      </c>
      <c r="BW1004" s="429" t="n"/>
      <c r="BX1004" s="431" t="n"/>
      <c r="BY1004" s="451" t="n"/>
      <c r="BZ1004" s="451">
        <f>'CIRCUIT SIM'!EI94</f>
        <v/>
      </c>
      <c r="CA1004" s="451" t="n"/>
      <c r="CC1004" s="429" t="n">
        <v>91</v>
      </c>
      <c r="CD1004" s="431" t="n">
        <v>91</v>
      </c>
      <c r="CE1004" s="688" t="n"/>
      <c r="CF1004" s="431" t="inlineStr">
        <is>
          <t>Boolean</t>
        </is>
      </c>
      <c r="CG1004" s="451" t="n"/>
      <c r="CH1004" s="562">
        <f>'CIRCUIT SIM'!LK94</f>
        <v/>
      </c>
      <c r="CI1004" s="451" t="n"/>
      <c r="CK1004" s="429" t="n">
        <v>91</v>
      </c>
      <c r="CL1004" s="431" t="n">
        <v>91</v>
      </c>
      <c r="CM1004" s="688" t="n"/>
      <c r="CN1004" s="431" t="n"/>
      <c r="CO1004" s="451" t="n"/>
      <c r="CP1004" s="451" t="n"/>
      <c r="CQ1004" s="451" t="n"/>
      <c r="CS1004" s="429" t="n">
        <v>91</v>
      </c>
      <c r="CT1004" s="431" t="n">
        <v>91</v>
      </c>
      <c r="CU1004" s="688" t="n"/>
      <c r="CV1004" s="431" t="inlineStr">
        <is>
          <t>Boolean</t>
        </is>
      </c>
      <c r="CW1004" s="451" t="n"/>
      <c r="CX1004" s="451">
        <f>'CIRCUIT SIM'!MQ94</f>
        <v/>
      </c>
      <c r="CY1004" s="451" t="n"/>
      <c r="DA1004" s="429" t="n">
        <v>91</v>
      </c>
      <c r="DB1004" s="431" t="n">
        <v>91</v>
      </c>
      <c r="DC1004" s="688" t="n"/>
      <c r="DD1004" s="431" t="n"/>
      <c r="DE1004" s="451" t="n"/>
      <c r="DF1004" s="451" t="n"/>
      <c r="DG1004" s="451" t="n"/>
      <c r="DI1004" s="429" t="n">
        <v>91</v>
      </c>
      <c r="DJ1004" s="431" t="n">
        <v>91</v>
      </c>
      <c r="DK1004" s="688" t="n"/>
      <c r="DL1004" s="431" t="n"/>
      <c r="DM1004" s="429" t="n"/>
      <c r="DN1004" s="451">
        <f>'CIRCUIT SIM'!FN94</f>
        <v/>
      </c>
      <c r="DO1004" s="451" t="n"/>
      <c r="DQ1004" s="429" t="n">
        <v>91</v>
      </c>
      <c r="DR1004" s="431" t="n">
        <v>91</v>
      </c>
      <c r="DS1004" s="688" t="n"/>
      <c r="DT1004" s="431" t="n"/>
      <c r="DU1004" s="451" t="n"/>
      <c r="DV1004" s="451">
        <f>'CIRCUIT SIM'!HT94</f>
        <v/>
      </c>
      <c r="DW1004" s="451" t="n"/>
      <c r="DY1004" s="429" t="n">
        <v>91</v>
      </c>
      <c r="DZ1004" s="431" t="n">
        <v>91</v>
      </c>
      <c r="EA1004" s="688" t="n"/>
      <c r="EB1004" s="431" t="n"/>
      <c r="EC1004" s="451" t="n"/>
      <c r="ED1004" s="451" t="n"/>
      <c r="EE1004" s="451" t="n"/>
      <c r="EG1004" s="429" t="n">
        <v>91</v>
      </c>
      <c r="EH1004" s="431" t="n">
        <v>91</v>
      </c>
      <c r="EI1004" s="688" t="n"/>
      <c r="EJ1004" s="431" t="n"/>
      <c r="EK1004" s="451" t="n"/>
      <c r="EL1004" s="451">
        <f>'CIRCUIT SIM'!HD94</f>
        <v/>
      </c>
      <c r="EM1004" s="451" t="n"/>
      <c r="EO1004" s="429" t="n">
        <v>91</v>
      </c>
      <c r="EP1004" s="431" t="n">
        <v>91</v>
      </c>
      <c r="EQ1004" s="688" t="n"/>
      <c r="ER1004" s="431" t="n"/>
      <c r="ES1004" s="451" t="n"/>
      <c r="ET1004" s="451" t="n"/>
      <c r="EU1004" s="451" t="n"/>
      <c r="EW1004" s="429" t="n">
        <v>91</v>
      </c>
      <c r="EX1004" s="431" t="n">
        <v>91</v>
      </c>
      <c r="EY1004" s="688" t="n"/>
      <c r="EZ1004" s="431" t="n"/>
      <c r="FA1004" s="451" t="n"/>
      <c r="FB1004" s="451" t="n"/>
      <c r="FC1004" s="451" t="n"/>
      <c r="FE1004" s="429" t="n">
        <v>91</v>
      </c>
      <c r="FF1004" s="431" t="n">
        <v>91</v>
      </c>
      <c r="FG1004" s="688" t="n"/>
      <c r="FH1004" s="431" t="n"/>
      <c r="FI1004" s="451" t="n"/>
      <c r="FJ1004" s="451" t="n"/>
      <c r="FK1004" s="451" t="n"/>
      <c r="FM1004" s="429" t="n">
        <v>91</v>
      </c>
      <c r="FN1004" s="431" t="n">
        <v>91</v>
      </c>
      <c r="FO1004" s="688" t="n"/>
      <c r="FP1004" s="431" t="n"/>
      <c r="FQ1004" s="451" t="n"/>
      <c r="FR1004" s="451">
        <f>'CIRCUIT SIM'!KY94</f>
        <v/>
      </c>
      <c r="FS1004" s="451" t="n"/>
      <c r="FU1004" s="429" t="n">
        <v>91</v>
      </c>
      <c r="FV1004" s="431" t="n">
        <v>91</v>
      </c>
      <c r="FW1004" s="688" t="n"/>
      <c r="FX1004" s="431" t="n"/>
      <c r="FY1004" s="451" t="n"/>
      <c r="FZ1004" s="562">
        <f>'CIRCUIT SIM'!JG94</f>
        <v/>
      </c>
      <c r="GA1004" s="451" t="n"/>
      <c r="GC1004" s="429" t="n">
        <v>91</v>
      </c>
      <c r="GD1004" s="431" t="n">
        <v>91</v>
      </c>
      <c r="GE1004" s="688" t="n"/>
      <c r="GF1004" s="431" t="n"/>
      <c r="GG1004" s="451" t="n"/>
      <c r="GH1004" s="451" t="n"/>
      <c r="GI1004" s="451" t="n"/>
      <c r="GK1004" s="429" t="n">
        <v>91</v>
      </c>
      <c r="GL1004" s="431" t="n">
        <v>91</v>
      </c>
      <c r="GM1004" s="688" t="n"/>
      <c r="GN1004" s="431" t="n"/>
      <c r="GO1004" s="451" t="n"/>
      <c r="GP1004" s="451" t="n"/>
      <c r="GQ1004" s="451" t="n"/>
      <c r="GS1004" s="429" t="n">
        <v>91</v>
      </c>
      <c r="GT1004" s="431" t="n">
        <v>91</v>
      </c>
      <c r="GU1004" s="688" t="n"/>
      <c r="GV1004" s="431" t="n"/>
      <c r="GW1004" s="451" t="n"/>
      <c r="GX1004" s="451">
        <f>'CIRCUIT SIM'!KY94</f>
        <v/>
      </c>
      <c r="GY1004" s="451" t="n"/>
      <c r="HA1004" s="429" t="n">
        <v>91</v>
      </c>
      <c r="HB1004" s="431" t="n">
        <v>91</v>
      </c>
      <c r="HC1004" s="688" t="n"/>
      <c r="HD1004" s="431" t="n"/>
      <c r="HE1004" s="451" t="n"/>
      <c r="HF1004" s="451" t="n"/>
      <c r="HG1004" s="451" t="n"/>
    </row>
    <row r="1005">
      <c r="A1005" s="429" t="n">
        <v>92</v>
      </c>
      <c r="B1005" s="431" t="n">
        <v>92</v>
      </c>
      <c r="C1005" s="688" t="n"/>
      <c r="D1005" s="431" t="n"/>
      <c r="E1005" s="429" t="n"/>
      <c r="F1005" s="429" t="n"/>
      <c r="G1005" s="429" t="n"/>
      <c r="I1005" s="429" t="n">
        <v>92</v>
      </c>
      <c r="J1005" s="431" t="n">
        <v>92</v>
      </c>
      <c r="K1005" s="429" t="n"/>
      <c r="L1005" s="431" t="inlineStr">
        <is>
          <t>Boolean</t>
        </is>
      </c>
      <c r="M1005" s="451" t="n"/>
      <c r="N1005" s="422">
        <f>'CIRCUIT SIM'!Y95</f>
        <v/>
      </c>
      <c r="O1005" s="451" t="n"/>
      <c r="Q1005" s="429" t="n">
        <v>92</v>
      </c>
      <c r="R1005" s="431" t="n">
        <v>92</v>
      </c>
      <c r="S1005" s="429" t="n"/>
      <c r="T1005" s="431" t="inlineStr">
        <is>
          <t>Boolean</t>
        </is>
      </c>
      <c r="U1005" s="429" t="n"/>
      <c r="V1005" s="386">
        <f>'CIRCUIT SIM'!AO95</f>
        <v/>
      </c>
      <c r="W1005" s="451" t="n"/>
      <c r="Y1005" s="429" t="n">
        <v>92</v>
      </c>
      <c r="Z1005" s="431" t="n">
        <v>92</v>
      </c>
      <c r="AA1005" s="429" t="n"/>
      <c r="AB1005" s="431" t="n"/>
      <c r="AC1005" s="451" t="n"/>
      <c r="AD1005" s="451" t="n"/>
      <c r="AE1005" s="451" t="n"/>
      <c r="AG1005" s="429" t="n">
        <v>92</v>
      </c>
      <c r="AH1005" s="431" t="n">
        <v>92</v>
      </c>
      <c r="AI1005" s="429" t="n"/>
      <c r="AJ1005" s="431" t="n"/>
      <c r="AK1005" s="451" t="n"/>
      <c r="AL1005" s="451" t="n"/>
      <c r="AM1005" s="451" t="n"/>
      <c r="AO1005" s="429" t="n">
        <v>92</v>
      </c>
      <c r="AP1005" s="431" t="n">
        <v>92</v>
      </c>
      <c r="AQ1005" s="429" t="n"/>
      <c r="AR1005" s="431" t="inlineStr">
        <is>
          <t>Boolean</t>
        </is>
      </c>
      <c r="AS1005" s="451" t="n"/>
      <c r="AT1005" s="386">
        <f>'CIRCUIT SIM'!BR95</f>
        <v/>
      </c>
      <c r="AU1005" s="451" t="n"/>
      <c r="AW1005" s="429" t="n">
        <v>92</v>
      </c>
      <c r="AX1005" s="431" t="n">
        <v>92</v>
      </c>
      <c r="AY1005" s="429" t="n"/>
      <c r="AZ1005" s="431" t="inlineStr">
        <is>
          <t>Boolean</t>
        </is>
      </c>
      <c r="BA1005" s="451" t="n"/>
      <c r="BB1005" s="451">
        <f>'CIRCUIT SIM'!CG95</f>
        <v/>
      </c>
      <c r="BC1005" s="451" t="n"/>
      <c r="BD1005" s="335" t="inlineStr">
        <is>
          <t> </t>
        </is>
      </c>
      <c r="BE1005" s="429" t="n">
        <v>92</v>
      </c>
      <c r="BF1005" s="431" t="n"/>
      <c r="BG1005" s="429" t="n"/>
      <c r="BH1005" s="431" t="n"/>
      <c r="BI1005" s="451" t="n"/>
      <c r="BJ1005" s="451" t="n"/>
      <c r="BK1005" s="451" t="n"/>
      <c r="BM1005" s="429" t="n">
        <v>92</v>
      </c>
      <c r="BN1005" s="431" t="n">
        <v>92</v>
      </c>
      <c r="BO1005" s="429" t="n"/>
      <c r="BP1005" s="431" t="n"/>
      <c r="BQ1005" s="451" t="n"/>
      <c r="BR1005" s="451" t="n"/>
      <c r="BS1005" s="451" t="n"/>
      <c r="BU1005" s="429" t="n">
        <v>92</v>
      </c>
      <c r="BV1005" s="431" t="n">
        <v>92</v>
      </c>
      <c r="BW1005" s="429" t="n"/>
      <c r="BX1005" s="431" t="n"/>
      <c r="BY1005" s="451" t="n"/>
      <c r="BZ1005" s="451">
        <f>'CIRCUIT SIM'!EI95</f>
        <v/>
      </c>
      <c r="CA1005" s="451" t="n"/>
      <c r="CC1005" s="429" t="n">
        <v>92</v>
      </c>
      <c r="CD1005" s="431" t="n">
        <v>92</v>
      </c>
      <c r="CE1005" s="688" t="n"/>
      <c r="CF1005" s="431" t="inlineStr">
        <is>
          <t>Boolean</t>
        </is>
      </c>
      <c r="CG1005" s="451" t="n"/>
      <c r="CH1005" s="562">
        <f>'CIRCUIT SIM'!LK95</f>
        <v/>
      </c>
      <c r="CI1005" s="451" t="n"/>
      <c r="CK1005" s="429" t="n">
        <v>92</v>
      </c>
      <c r="CL1005" s="431" t="n">
        <v>92</v>
      </c>
      <c r="CM1005" s="688" t="n"/>
      <c r="CN1005" s="431" t="n"/>
      <c r="CO1005" s="451" t="n"/>
      <c r="CP1005" s="451" t="n"/>
      <c r="CQ1005" s="451" t="n"/>
      <c r="CS1005" s="429" t="n">
        <v>92</v>
      </c>
      <c r="CT1005" s="431" t="n">
        <v>92</v>
      </c>
      <c r="CU1005" s="688" t="n"/>
      <c r="CV1005" s="431" t="inlineStr">
        <is>
          <t>Boolean</t>
        </is>
      </c>
      <c r="CW1005" s="451" t="n"/>
      <c r="CX1005" s="451">
        <f>'CIRCUIT SIM'!MQ95</f>
        <v/>
      </c>
      <c r="CY1005" s="451" t="n"/>
      <c r="DA1005" s="429" t="n">
        <v>92</v>
      </c>
      <c r="DB1005" s="431" t="n">
        <v>92</v>
      </c>
      <c r="DC1005" s="688" t="n"/>
      <c r="DD1005" s="431" t="n"/>
      <c r="DE1005" s="451" t="n"/>
      <c r="DF1005" s="451" t="n"/>
      <c r="DG1005" s="451" t="n"/>
      <c r="DI1005" s="429" t="n">
        <v>92</v>
      </c>
      <c r="DJ1005" s="431" t="n">
        <v>92</v>
      </c>
      <c r="DK1005" s="688" t="n"/>
      <c r="DL1005" s="431" t="n"/>
      <c r="DM1005" s="429" t="n"/>
      <c r="DN1005" s="451">
        <f>'CIRCUIT SIM'!FN95</f>
        <v/>
      </c>
      <c r="DO1005" s="451" t="n"/>
      <c r="DQ1005" s="429" t="n">
        <v>92</v>
      </c>
      <c r="DR1005" s="431" t="n">
        <v>92</v>
      </c>
      <c r="DS1005" s="688" t="n"/>
      <c r="DT1005" s="431" t="n"/>
      <c r="DU1005" s="451" t="n"/>
      <c r="DV1005" s="451">
        <f>'CIRCUIT SIM'!HT95</f>
        <v/>
      </c>
      <c r="DW1005" s="451" t="n"/>
      <c r="DY1005" s="429" t="n">
        <v>92</v>
      </c>
      <c r="DZ1005" s="431" t="n">
        <v>92</v>
      </c>
      <c r="EA1005" s="688" t="n"/>
      <c r="EB1005" s="431" t="n"/>
      <c r="EC1005" s="451" t="n"/>
      <c r="ED1005" s="451" t="n"/>
      <c r="EE1005" s="451" t="n"/>
      <c r="EG1005" s="429" t="n">
        <v>92</v>
      </c>
      <c r="EH1005" s="431" t="n">
        <v>92</v>
      </c>
      <c r="EI1005" s="688" t="n"/>
      <c r="EJ1005" s="431" t="n"/>
      <c r="EK1005" s="451" t="n"/>
      <c r="EL1005" s="451">
        <f>'CIRCUIT SIM'!HD95</f>
        <v/>
      </c>
      <c r="EM1005" s="451" t="n"/>
      <c r="EO1005" s="429" t="n">
        <v>92</v>
      </c>
      <c r="EP1005" s="431" t="n">
        <v>92</v>
      </c>
      <c r="EQ1005" s="688" t="n"/>
      <c r="ER1005" s="431" t="n"/>
      <c r="ES1005" s="451" t="n"/>
      <c r="ET1005" s="451" t="n"/>
      <c r="EU1005" s="451" t="n"/>
      <c r="EW1005" s="429" t="n">
        <v>92</v>
      </c>
      <c r="EX1005" s="431" t="n">
        <v>92</v>
      </c>
      <c r="EY1005" s="688" t="n"/>
      <c r="EZ1005" s="431" t="n"/>
      <c r="FA1005" s="451" t="n"/>
      <c r="FB1005" s="451" t="n"/>
      <c r="FC1005" s="451" t="n"/>
      <c r="FE1005" s="429" t="n">
        <v>92</v>
      </c>
      <c r="FF1005" s="431" t="n">
        <v>92</v>
      </c>
      <c r="FG1005" s="688" t="n"/>
      <c r="FH1005" s="431" t="n"/>
      <c r="FI1005" s="451" t="n"/>
      <c r="FJ1005" s="451" t="n"/>
      <c r="FK1005" s="451" t="n"/>
      <c r="FM1005" s="429" t="n">
        <v>92</v>
      </c>
      <c r="FN1005" s="431" t="n">
        <v>92</v>
      </c>
      <c r="FO1005" s="688" t="n"/>
      <c r="FP1005" s="431" t="n"/>
      <c r="FQ1005" s="451" t="n"/>
      <c r="FR1005" s="451">
        <f>'CIRCUIT SIM'!KY95</f>
        <v/>
      </c>
      <c r="FS1005" s="451" t="n"/>
      <c r="FU1005" s="429" t="n">
        <v>92</v>
      </c>
      <c r="FV1005" s="431" t="n">
        <v>92</v>
      </c>
      <c r="FW1005" s="688" t="n"/>
      <c r="FX1005" s="431" t="n"/>
      <c r="FY1005" s="451" t="n"/>
      <c r="FZ1005" s="562">
        <f>'CIRCUIT SIM'!JG95</f>
        <v/>
      </c>
      <c r="GA1005" s="451" t="n"/>
      <c r="GC1005" s="429" t="n">
        <v>92</v>
      </c>
      <c r="GD1005" s="431" t="n">
        <v>92</v>
      </c>
      <c r="GE1005" s="688" t="n"/>
      <c r="GF1005" s="431" t="n"/>
      <c r="GG1005" s="451" t="n"/>
      <c r="GH1005" s="451" t="n"/>
      <c r="GI1005" s="451" t="n"/>
      <c r="GK1005" s="429" t="n">
        <v>92</v>
      </c>
      <c r="GL1005" s="431" t="n">
        <v>92</v>
      </c>
      <c r="GM1005" s="688" t="n"/>
      <c r="GN1005" s="431" t="n"/>
      <c r="GO1005" s="451" t="n"/>
      <c r="GP1005" s="451" t="n"/>
      <c r="GQ1005" s="451" t="n"/>
      <c r="GS1005" s="429" t="n">
        <v>92</v>
      </c>
      <c r="GT1005" s="431" t="n">
        <v>92</v>
      </c>
      <c r="GU1005" s="688" t="n"/>
      <c r="GV1005" s="431" t="n"/>
      <c r="GW1005" s="451" t="n"/>
      <c r="GX1005" s="451">
        <f>'CIRCUIT SIM'!KY95</f>
        <v/>
      </c>
      <c r="GY1005" s="451" t="n"/>
      <c r="HA1005" s="429" t="n">
        <v>92</v>
      </c>
      <c r="HB1005" s="431" t="n">
        <v>92</v>
      </c>
      <c r="HC1005" s="688" t="n"/>
      <c r="HD1005" s="431" t="n"/>
      <c r="HE1005" s="451" t="n"/>
      <c r="HF1005" s="451" t="n"/>
      <c r="HG1005" s="451" t="n"/>
    </row>
    <row r="1006">
      <c r="A1006" s="429" t="n">
        <v>93</v>
      </c>
      <c r="B1006" s="431" t="n">
        <v>93</v>
      </c>
      <c r="C1006" s="688" t="n"/>
      <c r="D1006" s="431" t="n"/>
      <c r="E1006" s="429" t="n"/>
      <c r="F1006" s="429" t="n"/>
      <c r="G1006" s="429" t="n"/>
      <c r="I1006" s="429" t="n">
        <v>93</v>
      </c>
      <c r="J1006" s="431" t="n">
        <v>93</v>
      </c>
      <c r="K1006" s="429" t="n"/>
      <c r="L1006" s="431" t="inlineStr">
        <is>
          <t>Boolean</t>
        </is>
      </c>
      <c r="M1006" s="451" t="n"/>
      <c r="N1006" s="422">
        <f>'CIRCUIT SIM'!Y96</f>
        <v/>
      </c>
      <c r="O1006" s="451" t="n"/>
      <c r="Q1006" s="429" t="n">
        <v>93</v>
      </c>
      <c r="R1006" s="431" t="n">
        <v>93</v>
      </c>
      <c r="S1006" s="429" t="n"/>
      <c r="T1006" s="431" t="inlineStr">
        <is>
          <t>Boolean</t>
        </is>
      </c>
      <c r="U1006" s="429" t="n"/>
      <c r="V1006" s="386">
        <f>'CIRCUIT SIM'!AO96</f>
        <v/>
      </c>
      <c r="W1006" s="451" t="n"/>
      <c r="Y1006" s="429" t="n">
        <v>93</v>
      </c>
      <c r="Z1006" s="431" t="n">
        <v>93</v>
      </c>
      <c r="AA1006" s="429" t="n"/>
      <c r="AB1006" s="431" t="n"/>
      <c r="AC1006" s="451" t="n"/>
      <c r="AD1006" s="451" t="n"/>
      <c r="AE1006" s="451" t="n"/>
      <c r="AG1006" s="429" t="n">
        <v>93</v>
      </c>
      <c r="AH1006" s="431" t="n">
        <v>93</v>
      </c>
      <c r="AI1006" s="429" t="n"/>
      <c r="AJ1006" s="431" t="n"/>
      <c r="AK1006" s="451" t="n"/>
      <c r="AL1006" s="451" t="n"/>
      <c r="AM1006" s="451" t="n"/>
      <c r="AO1006" s="429" t="inlineStr">
        <is>
          <t> </t>
        </is>
      </c>
      <c r="AP1006" s="431" t="n">
        <v>93</v>
      </c>
      <c r="AQ1006" s="429" t="n"/>
      <c r="AR1006" s="431" t="inlineStr">
        <is>
          <t>Boolean</t>
        </is>
      </c>
      <c r="AS1006" s="451" t="n"/>
      <c r="AT1006" s="386">
        <f>'CIRCUIT SIM'!BR96</f>
        <v/>
      </c>
      <c r="AU1006" s="451" t="n"/>
      <c r="AW1006" s="429" t="n">
        <v>93</v>
      </c>
      <c r="AX1006" s="431" t="n">
        <v>93</v>
      </c>
      <c r="AY1006" s="429" t="n"/>
      <c r="AZ1006" s="431" t="inlineStr">
        <is>
          <t>Boolean</t>
        </is>
      </c>
      <c r="BA1006" s="451" t="n"/>
      <c r="BB1006" s="451">
        <f>'CIRCUIT SIM'!CG96</f>
        <v/>
      </c>
      <c r="BC1006" s="451" t="n"/>
      <c r="BE1006" s="429" t="n">
        <v>93</v>
      </c>
      <c r="BF1006" s="431" t="n"/>
      <c r="BG1006" s="429" t="n"/>
      <c r="BH1006" s="431" t="n"/>
      <c r="BI1006" s="451" t="n"/>
      <c r="BJ1006" s="451" t="n"/>
      <c r="BK1006" s="451" t="n"/>
      <c r="BM1006" s="429" t="n">
        <v>93</v>
      </c>
      <c r="BN1006" s="431" t="n">
        <v>93</v>
      </c>
      <c r="BO1006" s="429" t="n"/>
      <c r="BP1006" s="431" t="n"/>
      <c r="BQ1006" s="451" t="n"/>
      <c r="BR1006" s="451" t="n"/>
      <c r="BS1006" s="451" t="n"/>
      <c r="BU1006" s="429" t="n">
        <v>93</v>
      </c>
      <c r="BV1006" s="431" t="n">
        <v>93</v>
      </c>
      <c r="BW1006" s="429" t="n"/>
      <c r="BX1006" s="431" t="n"/>
      <c r="BY1006" s="451" t="n"/>
      <c r="BZ1006" s="451">
        <f>'CIRCUIT SIM'!EI96</f>
        <v/>
      </c>
      <c r="CA1006" s="451" t="n"/>
      <c r="CC1006" s="429" t="n">
        <v>93</v>
      </c>
      <c r="CD1006" s="431" t="n">
        <v>93</v>
      </c>
      <c r="CE1006" s="688" t="n"/>
      <c r="CF1006" s="431" t="inlineStr">
        <is>
          <t>Boolean</t>
        </is>
      </c>
      <c r="CG1006" s="451" t="n"/>
      <c r="CH1006" s="562">
        <f>'CIRCUIT SIM'!LK96</f>
        <v/>
      </c>
      <c r="CI1006" s="451" t="n"/>
      <c r="CK1006" s="429" t="n">
        <v>93</v>
      </c>
      <c r="CL1006" s="431" t="n">
        <v>93</v>
      </c>
      <c r="CM1006" s="688" t="n"/>
      <c r="CN1006" s="431" t="n"/>
      <c r="CO1006" s="451" t="n"/>
      <c r="CP1006" s="451" t="n"/>
      <c r="CQ1006" s="451" t="n"/>
      <c r="CS1006" s="429" t="n">
        <v>93</v>
      </c>
      <c r="CT1006" s="431" t="n">
        <v>93</v>
      </c>
      <c r="CU1006" s="688" t="n"/>
      <c r="CV1006" s="431" t="inlineStr">
        <is>
          <t>Boolean</t>
        </is>
      </c>
      <c r="CW1006" s="451" t="n"/>
      <c r="CX1006" s="451">
        <f>'CIRCUIT SIM'!MQ96</f>
        <v/>
      </c>
      <c r="CY1006" s="451" t="n"/>
      <c r="DA1006" s="429" t="n">
        <v>93</v>
      </c>
      <c r="DB1006" s="431" t="n">
        <v>93</v>
      </c>
      <c r="DC1006" s="688" t="n"/>
      <c r="DD1006" s="431" t="n"/>
      <c r="DE1006" s="451" t="n"/>
      <c r="DF1006" s="451" t="n"/>
      <c r="DG1006" s="451" t="n"/>
      <c r="DI1006" s="429" t="n">
        <v>93</v>
      </c>
      <c r="DJ1006" s="431" t="n">
        <v>93</v>
      </c>
      <c r="DK1006" s="688" t="n"/>
      <c r="DL1006" s="431" t="n"/>
      <c r="DM1006" s="429" t="n"/>
      <c r="DN1006" s="451">
        <f>'CIRCUIT SIM'!FN96</f>
        <v/>
      </c>
      <c r="DO1006" s="451" t="n"/>
      <c r="DQ1006" s="429" t="n">
        <v>93</v>
      </c>
      <c r="DR1006" s="431" t="n">
        <v>93</v>
      </c>
      <c r="DS1006" s="688" t="n"/>
      <c r="DT1006" s="431" t="n"/>
      <c r="DU1006" s="451" t="n"/>
      <c r="DV1006" s="451">
        <f>'CIRCUIT SIM'!HT96</f>
        <v/>
      </c>
      <c r="DW1006" s="451" t="n"/>
      <c r="DY1006" s="429" t="n">
        <v>93</v>
      </c>
      <c r="DZ1006" s="431" t="n">
        <v>93</v>
      </c>
      <c r="EA1006" s="688" t="n"/>
      <c r="EB1006" s="431" t="n"/>
      <c r="EC1006" s="451" t="n"/>
      <c r="ED1006" s="451" t="n"/>
      <c r="EE1006" s="451" t="n"/>
      <c r="EG1006" s="429" t="n">
        <v>93</v>
      </c>
      <c r="EH1006" s="431" t="n">
        <v>93</v>
      </c>
      <c r="EI1006" s="688" t="n"/>
      <c r="EJ1006" s="431" t="n"/>
      <c r="EK1006" s="451" t="n"/>
      <c r="EL1006" s="451">
        <f>'CIRCUIT SIM'!HD96</f>
        <v/>
      </c>
      <c r="EM1006" s="451" t="n"/>
      <c r="EO1006" s="429" t="n">
        <v>93</v>
      </c>
      <c r="EP1006" s="431" t="n">
        <v>93</v>
      </c>
      <c r="EQ1006" s="688" t="n"/>
      <c r="ER1006" s="431" t="n"/>
      <c r="ES1006" s="451" t="n"/>
      <c r="ET1006" s="451" t="n"/>
      <c r="EU1006" s="451" t="n"/>
      <c r="EW1006" s="429" t="n">
        <v>93</v>
      </c>
      <c r="EX1006" s="431" t="n">
        <v>93</v>
      </c>
      <c r="EY1006" s="688" t="n"/>
      <c r="EZ1006" s="431" t="n"/>
      <c r="FA1006" s="451" t="n"/>
      <c r="FB1006" s="451" t="n"/>
      <c r="FC1006" s="451" t="n"/>
      <c r="FE1006" s="429" t="n">
        <v>93</v>
      </c>
      <c r="FF1006" s="431" t="n">
        <v>93</v>
      </c>
      <c r="FG1006" s="688" t="n"/>
      <c r="FH1006" s="431" t="n"/>
      <c r="FI1006" s="451" t="n"/>
      <c r="FJ1006" s="451" t="n"/>
      <c r="FK1006" s="451" t="n"/>
      <c r="FM1006" s="429" t="n">
        <v>93</v>
      </c>
      <c r="FN1006" s="431" t="n">
        <v>93</v>
      </c>
      <c r="FO1006" s="688" t="n"/>
      <c r="FP1006" s="431" t="n"/>
      <c r="FQ1006" s="451" t="n"/>
      <c r="FR1006" s="451">
        <f>'CIRCUIT SIM'!KY96</f>
        <v/>
      </c>
      <c r="FS1006" s="451" t="n"/>
      <c r="FU1006" s="429" t="n">
        <v>93</v>
      </c>
      <c r="FV1006" s="431" t="n">
        <v>93</v>
      </c>
      <c r="FW1006" s="688" t="n"/>
      <c r="FX1006" s="431" t="n"/>
      <c r="FY1006" s="451" t="n"/>
      <c r="FZ1006" s="562">
        <f>'CIRCUIT SIM'!JG96</f>
        <v/>
      </c>
      <c r="GA1006" s="451" t="n"/>
      <c r="GC1006" s="429" t="n">
        <v>93</v>
      </c>
      <c r="GD1006" s="431" t="n">
        <v>93</v>
      </c>
      <c r="GE1006" s="688" t="n"/>
      <c r="GF1006" s="431" t="n"/>
      <c r="GG1006" s="451" t="n"/>
      <c r="GH1006" s="451" t="n"/>
      <c r="GI1006" s="451" t="n"/>
      <c r="GK1006" s="429" t="n">
        <v>93</v>
      </c>
      <c r="GL1006" s="431" t="n">
        <v>93</v>
      </c>
      <c r="GM1006" s="688" t="n"/>
      <c r="GN1006" s="431" t="n"/>
      <c r="GO1006" s="451" t="n"/>
      <c r="GP1006" s="451" t="n"/>
      <c r="GQ1006" s="451" t="n"/>
      <c r="GS1006" s="429" t="n">
        <v>93</v>
      </c>
      <c r="GT1006" s="431" t="n">
        <v>93</v>
      </c>
      <c r="GU1006" s="688" t="n"/>
      <c r="GV1006" s="431" t="n"/>
      <c r="GW1006" s="451" t="n"/>
      <c r="GX1006" s="451">
        <f>'CIRCUIT SIM'!KY96</f>
        <v/>
      </c>
      <c r="GY1006" s="451" t="n"/>
      <c r="HA1006" s="429" t="n">
        <v>93</v>
      </c>
      <c r="HB1006" s="431" t="n">
        <v>93</v>
      </c>
      <c r="HC1006" s="688" t="n"/>
      <c r="HD1006" s="431" t="n"/>
      <c r="HE1006" s="451" t="n"/>
      <c r="HF1006" s="451" t="n"/>
      <c r="HG1006" s="451" t="n"/>
    </row>
    <row r="1007">
      <c r="A1007" s="429" t="n">
        <v>94</v>
      </c>
      <c r="B1007" s="431" t="n">
        <v>94</v>
      </c>
      <c r="C1007" s="688" t="n"/>
      <c r="D1007" s="431" t="n"/>
      <c r="E1007" s="429" t="n"/>
      <c r="F1007" s="429" t="n"/>
      <c r="G1007" s="429" t="n"/>
      <c r="I1007" s="429" t="n">
        <v>94</v>
      </c>
      <c r="J1007" s="431" t="n">
        <v>94</v>
      </c>
      <c r="K1007" s="429" t="n"/>
      <c r="L1007" s="431" t="inlineStr">
        <is>
          <t>Boolean</t>
        </is>
      </c>
      <c r="M1007" s="451" t="n"/>
      <c r="N1007" s="422">
        <f>'CIRCUIT SIM'!Y97</f>
        <v/>
      </c>
      <c r="O1007" s="451" t="n"/>
      <c r="Q1007" s="429" t="n">
        <v>94</v>
      </c>
      <c r="R1007" s="431" t="n">
        <v>94</v>
      </c>
      <c r="S1007" s="429" t="n"/>
      <c r="T1007" s="431" t="inlineStr">
        <is>
          <t>Boolean</t>
        </is>
      </c>
      <c r="U1007" s="429" t="n"/>
      <c r="V1007" s="386">
        <f>'CIRCUIT SIM'!AO97</f>
        <v/>
      </c>
      <c r="W1007" s="451" t="n"/>
      <c r="Y1007" s="429" t="n">
        <v>94</v>
      </c>
      <c r="Z1007" s="431" t="n">
        <v>94</v>
      </c>
      <c r="AA1007" s="429" t="n"/>
      <c r="AB1007" s="431" t="n"/>
      <c r="AC1007" s="451" t="n"/>
      <c r="AD1007" s="451" t="n"/>
      <c r="AE1007" s="451" t="n"/>
      <c r="AG1007" s="429" t="n">
        <v>94</v>
      </c>
      <c r="AH1007" s="431" t="n">
        <v>94</v>
      </c>
      <c r="AI1007" s="429" t="n"/>
      <c r="AJ1007" s="431" t="n"/>
      <c r="AK1007" s="451" t="n"/>
      <c r="AL1007" s="451" t="n"/>
      <c r="AM1007" s="451" t="n"/>
      <c r="AO1007" s="429" t="n">
        <v>94</v>
      </c>
      <c r="AP1007" s="431" t="n">
        <v>94</v>
      </c>
      <c r="AQ1007" s="429" t="n"/>
      <c r="AR1007" s="431" t="n"/>
      <c r="AS1007" s="451" t="n"/>
      <c r="AT1007" s="386">
        <f>'CIRCUIT SIM'!BR97</f>
        <v/>
      </c>
      <c r="AU1007" s="451" t="n"/>
      <c r="AW1007" s="429" t="n">
        <v>94</v>
      </c>
      <c r="AX1007" s="431" t="n">
        <v>94</v>
      </c>
      <c r="AY1007" s="429" t="n"/>
      <c r="AZ1007" s="431" t="n"/>
      <c r="BA1007" s="451" t="n"/>
      <c r="BB1007" s="451">
        <f>'CIRCUIT SIM'!CG97</f>
        <v/>
      </c>
      <c r="BC1007" s="451" t="n"/>
      <c r="BE1007" s="429" t="n">
        <v>94</v>
      </c>
      <c r="BF1007" s="431" t="n"/>
      <c r="BG1007" s="429" t="n"/>
      <c r="BH1007" s="431" t="n"/>
      <c r="BI1007" s="451" t="n"/>
      <c r="BJ1007" s="451" t="n"/>
      <c r="BK1007" s="451" t="n"/>
      <c r="BM1007" s="429" t="n">
        <v>94</v>
      </c>
      <c r="BN1007" s="431" t="n">
        <v>94</v>
      </c>
      <c r="BO1007" s="429" t="n"/>
      <c r="BP1007" s="431" t="n"/>
      <c r="BQ1007" s="451" t="n"/>
      <c r="BR1007" s="451" t="n"/>
      <c r="BS1007" s="451" t="n"/>
      <c r="BU1007" s="429" t="n">
        <v>94</v>
      </c>
      <c r="BV1007" s="431" t="n">
        <v>94</v>
      </c>
      <c r="BW1007" s="429" t="n"/>
      <c r="BX1007" s="431" t="n"/>
      <c r="BY1007" s="451" t="n"/>
      <c r="BZ1007" s="451">
        <f>'CIRCUIT SIM'!EI97</f>
        <v/>
      </c>
      <c r="CA1007" s="451" t="n"/>
      <c r="CC1007" s="429" t="n">
        <v>94</v>
      </c>
      <c r="CD1007" s="431" t="n">
        <v>94</v>
      </c>
      <c r="CE1007" s="688" t="n"/>
      <c r="CF1007" s="431" t="inlineStr">
        <is>
          <t>Boolean</t>
        </is>
      </c>
      <c r="CG1007" s="451" t="n"/>
      <c r="CH1007" s="562">
        <f>'CIRCUIT SIM'!LK97</f>
        <v/>
      </c>
      <c r="CI1007" s="451" t="n"/>
      <c r="CK1007" s="429" t="n">
        <v>94</v>
      </c>
      <c r="CL1007" s="431" t="n">
        <v>94</v>
      </c>
      <c r="CM1007" s="688" t="n"/>
      <c r="CN1007" s="431" t="n"/>
      <c r="CO1007" s="451" t="n"/>
      <c r="CP1007" s="451" t="n"/>
      <c r="CQ1007" s="451" t="n"/>
      <c r="CS1007" s="429" t="n">
        <v>94</v>
      </c>
      <c r="CT1007" s="431" t="n">
        <v>94</v>
      </c>
      <c r="CU1007" s="688" t="n"/>
      <c r="CV1007" s="431" t="inlineStr">
        <is>
          <t>Boolean</t>
        </is>
      </c>
      <c r="CW1007" s="451" t="n"/>
      <c r="CX1007" s="451">
        <f>'CIRCUIT SIM'!MQ97</f>
        <v/>
      </c>
      <c r="CY1007" s="451" t="n"/>
      <c r="DA1007" s="429" t="n">
        <v>94</v>
      </c>
      <c r="DB1007" s="431" t="n">
        <v>94</v>
      </c>
      <c r="DC1007" s="688" t="n"/>
      <c r="DD1007" s="431" t="n"/>
      <c r="DE1007" s="451" t="n"/>
      <c r="DF1007" s="451" t="n"/>
      <c r="DG1007" s="451" t="n"/>
      <c r="DI1007" s="429" t="n">
        <v>94</v>
      </c>
      <c r="DJ1007" s="431" t="n">
        <v>94</v>
      </c>
      <c r="DK1007" s="688" t="n"/>
      <c r="DL1007" s="431" t="n"/>
      <c r="DM1007" s="429" t="n"/>
      <c r="DN1007" s="451">
        <f>'CIRCUIT SIM'!FN97</f>
        <v/>
      </c>
      <c r="DO1007" s="451" t="n"/>
      <c r="DQ1007" s="429" t="n">
        <v>94</v>
      </c>
      <c r="DR1007" s="431" t="n">
        <v>94</v>
      </c>
      <c r="DS1007" s="688" t="n"/>
      <c r="DT1007" s="431" t="n"/>
      <c r="DU1007" s="451" t="n"/>
      <c r="DV1007" s="451">
        <f>'CIRCUIT SIM'!HT97</f>
        <v/>
      </c>
      <c r="DW1007" s="451" t="n"/>
      <c r="DY1007" s="429" t="n">
        <v>94</v>
      </c>
      <c r="DZ1007" s="431" t="n">
        <v>94</v>
      </c>
      <c r="EA1007" s="688" t="n"/>
      <c r="EB1007" s="431" t="n"/>
      <c r="EC1007" s="451" t="n"/>
      <c r="ED1007" s="451" t="n"/>
      <c r="EE1007" s="451" t="n"/>
      <c r="EG1007" s="429" t="n">
        <v>94</v>
      </c>
      <c r="EH1007" s="431" t="n">
        <v>94</v>
      </c>
      <c r="EI1007" s="688" t="n"/>
      <c r="EJ1007" s="431" t="n"/>
      <c r="EK1007" s="451" t="n"/>
      <c r="EL1007" s="451">
        <f>'CIRCUIT SIM'!HD97</f>
        <v/>
      </c>
      <c r="EM1007" s="451" t="n"/>
      <c r="EO1007" s="429" t="n">
        <v>94</v>
      </c>
      <c r="EP1007" s="431" t="n">
        <v>94</v>
      </c>
      <c r="EQ1007" s="688" t="n"/>
      <c r="ER1007" s="431" t="n"/>
      <c r="ES1007" s="451" t="n"/>
      <c r="ET1007" s="451" t="n"/>
      <c r="EU1007" s="451" t="n"/>
      <c r="EW1007" s="429" t="n">
        <v>94</v>
      </c>
      <c r="EX1007" s="431" t="n">
        <v>94</v>
      </c>
      <c r="EY1007" s="688" t="n"/>
      <c r="EZ1007" s="431" t="n"/>
      <c r="FA1007" s="451" t="n"/>
      <c r="FB1007" s="451" t="n"/>
      <c r="FC1007" s="451" t="n"/>
      <c r="FE1007" s="429" t="n">
        <v>94</v>
      </c>
      <c r="FF1007" s="431" t="n">
        <v>94</v>
      </c>
      <c r="FG1007" s="688" t="n"/>
      <c r="FH1007" s="431" t="n"/>
      <c r="FI1007" s="451" t="n"/>
      <c r="FJ1007" s="451" t="n"/>
      <c r="FK1007" s="451" t="n"/>
      <c r="FM1007" s="429" t="n">
        <v>94</v>
      </c>
      <c r="FN1007" s="431" t="n">
        <v>94</v>
      </c>
      <c r="FO1007" s="688" t="n"/>
      <c r="FP1007" s="431" t="n"/>
      <c r="FQ1007" s="451" t="n"/>
      <c r="FR1007" s="451">
        <f>'CIRCUIT SIM'!KY97</f>
        <v/>
      </c>
      <c r="FS1007" s="451" t="n"/>
      <c r="FU1007" s="429" t="n">
        <v>94</v>
      </c>
      <c r="FV1007" s="431" t="n">
        <v>94</v>
      </c>
      <c r="FW1007" s="688" t="n"/>
      <c r="FX1007" s="431" t="n"/>
      <c r="FY1007" s="451" t="n"/>
      <c r="FZ1007" s="562">
        <f>'CIRCUIT SIM'!JG97</f>
        <v/>
      </c>
      <c r="GA1007" s="451" t="n"/>
      <c r="GC1007" s="429" t="n">
        <v>94</v>
      </c>
      <c r="GD1007" s="431" t="n">
        <v>94</v>
      </c>
      <c r="GE1007" s="688" t="n"/>
      <c r="GF1007" s="431" t="n"/>
      <c r="GG1007" s="451" t="n"/>
      <c r="GH1007" s="451" t="n"/>
      <c r="GI1007" s="451" t="n"/>
      <c r="GK1007" s="429" t="n">
        <v>94</v>
      </c>
      <c r="GL1007" s="431" t="n">
        <v>94</v>
      </c>
      <c r="GM1007" s="688" t="n"/>
      <c r="GN1007" s="431" t="n"/>
      <c r="GO1007" s="451" t="n"/>
      <c r="GP1007" s="451" t="n"/>
      <c r="GQ1007" s="451" t="n"/>
      <c r="GS1007" s="429" t="n">
        <v>94</v>
      </c>
      <c r="GT1007" s="431" t="n">
        <v>94</v>
      </c>
      <c r="GU1007" s="688" t="n"/>
      <c r="GV1007" s="431" t="n"/>
      <c r="GW1007" s="451" t="n"/>
      <c r="GX1007" s="451">
        <f>'CIRCUIT SIM'!KY97</f>
        <v/>
      </c>
      <c r="GY1007" s="451" t="n"/>
      <c r="HA1007" s="429" t="n">
        <v>94</v>
      </c>
      <c r="HB1007" s="431" t="n">
        <v>94</v>
      </c>
      <c r="HC1007" s="688" t="n"/>
      <c r="HD1007" s="431" t="n"/>
      <c r="HE1007" s="451" t="n"/>
      <c r="HF1007" s="451" t="n"/>
      <c r="HG1007" s="451" t="n"/>
    </row>
    <row r="1008">
      <c r="A1008" s="429" t="n">
        <v>95</v>
      </c>
      <c r="B1008" s="431" t="n">
        <v>95</v>
      </c>
      <c r="C1008" s="688" t="n"/>
      <c r="D1008" s="431" t="n"/>
      <c r="E1008" s="429" t="n"/>
      <c r="F1008" s="429" t="n"/>
      <c r="G1008" s="429" t="n"/>
      <c r="I1008" s="429" t="n">
        <v>95</v>
      </c>
      <c r="J1008" s="431" t="n">
        <v>95</v>
      </c>
      <c r="K1008" s="429" t="n"/>
      <c r="L1008" s="431" t="inlineStr">
        <is>
          <t>Boolean</t>
        </is>
      </c>
      <c r="M1008" s="451" t="n"/>
      <c r="N1008" s="422">
        <f>'CIRCUIT SIM'!Y98</f>
        <v/>
      </c>
      <c r="O1008" s="451" t="n"/>
      <c r="Q1008" s="429" t="n">
        <v>95</v>
      </c>
      <c r="R1008" s="431" t="n">
        <v>95</v>
      </c>
      <c r="S1008" s="429" t="n"/>
      <c r="T1008" s="431" t="inlineStr">
        <is>
          <t>Boolean</t>
        </is>
      </c>
      <c r="U1008" s="429" t="n"/>
      <c r="V1008" s="386">
        <f>'CIRCUIT SIM'!AO98</f>
        <v/>
      </c>
      <c r="W1008" s="451" t="n"/>
      <c r="Y1008" s="429" t="n">
        <v>95</v>
      </c>
      <c r="Z1008" s="431" t="n">
        <v>95</v>
      </c>
      <c r="AA1008" s="429" t="n"/>
      <c r="AB1008" s="431" t="n"/>
      <c r="AC1008" s="451" t="n"/>
      <c r="AD1008" s="451" t="n"/>
      <c r="AE1008" s="451" t="n"/>
      <c r="AG1008" s="429" t="n">
        <v>95</v>
      </c>
      <c r="AH1008" s="431" t="n">
        <v>95</v>
      </c>
      <c r="AI1008" s="429" t="n"/>
      <c r="AJ1008" s="431" t="n"/>
      <c r="AK1008" s="451" t="n"/>
      <c r="AL1008" s="451" t="n"/>
      <c r="AM1008" s="451" t="n"/>
      <c r="AO1008" s="429" t="n">
        <v>95</v>
      </c>
      <c r="AP1008" s="431" t="n">
        <v>95</v>
      </c>
      <c r="AQ1008" s="429" t="n"/>
      <c r="AR1008" s="431" t="n"/>
      <c r="AS1008" s="451" t="n"/>
      <c r="AT1008" s="386">
        <f>'CIRCUIT SIM'!BR98</f>
        <v/>
      </c>
      <c r="AU1008" s="451" t="n"/>
      <c r="AW1008" s="429" t="n">
        <v>95</v>
      </c>
      <c r="AX1008" s="431" t="n">
        <v>95</v>
      </c>
      <c r="AY1008" s="429" t="n"/>
      <c r="AZ1008" s="431" t="n"/>
      <c r="BA1008" s="451" t="n"/>
      <c r="BB1008" s="451">
        <f>'CIRCUIT SIM'!CG98</f>
        <v/>
      </c>
      <c r="BC1008" s="451" t="n"/>
      <c r="BE1008" s="429" t="n">
        <v>95</v>
      </c>
      <c r="BF1008" s="431" t="n"/>
      <c r="BG1008" s="429" t="n"/>
      <c r="BH1008" s="431" t="n"/>
      <c r="BI1008" s="451" t="n"/>
      <c r="BJ1008" s="451" t="n"/>
      <c r="BK1008" s="451" t="n"/>
      <c r="BM1008" s="429" t="n">
        <v>95</v>
      </c>
      <c r="BN1008" s="431" t="n">
        <v>95</v>
      </c>
      <c r="BO1008" s="429" t="n"/>
      <c r="BP1008" s="431" t="n"/>
      <c r="BQ1008" s="451" t="n"/>
      <c r="BR1008" s="451" t="n"/>
      <c r="BS1008" s="451" t="n"/>
      <c r="BU1008" s="429" t="n">
        <v>95</v>
      </c>
      <c r="BV1008" s="431" t="n">
        <v>95</v>
      </c>
      <c r="BW1008" s="429" t="n"/>
      <c r="BX1008" s="431" t="n"/>
      <c r="BY1008" s="451" t="n"/>
      <c r="BZ1008" s="451">
        <f>'CIRCUIT SIM'!EI98</f>
        <v/>
      </c>
      <c r="CA1008" s="451" t="n"/>
      <c r="CC1008" s="429" t="n">
        <v>95</v>
      </c>
      <c r="CD1008" s="431" t="n">
        <v>95</v>
      </c>
      <c r="CE1008" s="688" t="n"/>
      <c r="CF1008" s="431" t="inlineStr">
        <is>
          <t>Boolean</t>
        </is>
      </c>
      <c r="CG1008" s="451" t="n"/>
      <c r="CH1008" s="562">
        <f>'CIRCUIT SIM'!LK98</f>
        <v/>
      </c>
      <c r="CI1008" s="451" t="n"/>
      <c r="CK1008" s="429" t="n">
        <v>95</v>
      </c>
      <c r="CL1008" s="431" t="n">
        <v>95</v>
      </c>
      <c r="CM1008" s="688" t="n"/>
      <c r="CN1008" s="431" t="n"/>
      <c r="CO1008" s="451" t="n"/>
      <c r="CP1008" s="451" t="n"/>
      <c r="CQ1008" s="451" t="n"/>
      <c r="CS1008" s="429" t="n">
        <v>95</v>
      </c>
      <c r="CT1008" s="431" t="n">
        <v>95</v>
      </c>
      <c r="CU1008" s="688" t="n"/>
      <c r="CV1008" s="431" t="inlineStr">
        <is>
          <t>Boolean</t>
        </is>
      </c>
      <c r="CW1008" s="451" t="n"/>
      <c r="CX1008" s="451">
        <f>'CIRCUIT SIM'!MQ98</f>
        <v/>
      </c>
      <c r="CY1008" s="451" t="n"/>
      <c r="DA1008" s="429" t="n">
        <v>95</v>
      </c>
      <c r="DB1008" s="431" t="n">
        <v>95</v>
      </c>
      <c r="DC1008" s="688" t="n"/>
      <c r="DD1008" s="431" t="n"/>
      <c r="DE1008" s="451" t="n"/>
      <c r="DF1008" s="451" t="n"/>
      <c r="DG1008" s="451" t="n"/>
      <c r="DI1008" s="429" t="n">
        <v>95</v>
      </c>
      <c r="DJ1008" s="431" t="n">
        <v>95</v>
      </c>
      <c r="DK1008" s="688" t="n"/>
      <c r="DL1008" s="431" t="n"/>
      <c r="DM1008" s="429" t="n"/>
      <c r="DN1008" s="451">
        <f>'CIRCUIT SIM'!FN98</f>
        <v/>
      </c>
      <c r="DO1008" s="451" t="n"/>
      <c r="DQ1008" s="429" t="n">
        <v>95</v>
      </c>
      <c r="DR1008" s="431" t="n">
        <v>95</v>
      </c>
      <c r="DS1008" s="688" t="n"/>
      <c r="DT1008" s="431" t="n"/>
      <c r="DU1008" s="451" t="n"/>
      <c r="DV1008" s="451">
        <f>'CIRCUIT SIM'!HT98</f>
        <v/>
      </c>
      <c r="DW1008" s="451" t="n"/>
      <c r="DY1008" s="429" t="n">
        <v>95</v>
      </c>
      <c r="DZ1008" s="431" t="n">
        <v>95</v>
      </c>
      <c r="EA1008" s="688" t="n"/>
      <c r="EB1008" s="431" t="n"/>
      <c r="EC1008" s="451" t="n"/>
      <c r="ED1008" s="451" t="n"/>
      <c r="EE1008" s="451" t="n"/>
      <c r="EG1008" s="429" t="n">
        <v>95</v>
      </c>
      <c r="EH1008" s="431" t="n">
        <v>95</v>
      </c>
      <c r="EI1008" s="688" t="n"/>
      <c r="EJ1008" s="431" t="n"/>
      <c r="EK1008" s="451" t="n"/>
      <c r="EL1008" s="451">
        <f>'CIRCUIT SIM'!HD98</f>
        <v/>
      </c>
      <c r="EM1008" s="451" t="n"/>
      <c r="EO1008" s="429" t="n">
        <v>95</v>
      </c>
      <c r="EP1008" s="431" t="n">
        <v>95</v>
      </c>
      <c r="EQ1008" s="688" t="n"/>
      <c r="ER1008" s="431" t="n"/>
      <c r="ES1008" s="451" t="n"/>
      <c r="ET1008" s="451" t="n"/>
      <c r="EU1008" s="451" t="n"/>
      <c r="EW1008" s="429" t="n">
        <v>95</v>
      </c>
      <c r="EX1008" s="431" t="n">
        <v>95</v>
      </c>
      <c r="EY1008" s="688" t="n"/>
      <c r="EZ1008" s="431" t="n"/>
      <c r="FA1008" s="451" t="n"/>
      <c r="FB1008" s="451" t="n"/>
      <c r="FC1008" s="451" t="n"/>
      <c r="FE1008" s="429" t="n">
        <v>95</v>
      </c>
      <c r="FF1008" s="431" t="n">
        <v>95</v>
      </c>
      <c r="FG1008" s="688" t="n"/>
      <c r="FH1008" s="431" t="n"/>
      <c r="FI1008" s="451" t="n"/>
      <c r="FJ1008" s="451" t="n"/>
      <c r="FK1008" s="451" t="n"/>
      <c r="FM1008" s="429" t="n">
        <v>95</v>
      </c>
      <c r="FN1008" s="431" t="n">
        <v>95</v>
      </c>
      <c r="FO1008" s="688" t="n"/>
      <c r="FP1008" s="431" t="n"/>
      <c r="FQ1008" s="451" t="n"/>
      <c r="FR1008" s="451">
        <f>'CIRCUIT SIM'!KY98</f>
        <v/>
      </c>
      <c r="FS1008" s="451" t="n"/>
      <c r="FU1008" s="429" t="n">
        <v>95</v>
      </c>
      <c r="FV1008" s="431" t="n">
        <v>95</v>
      </c>
      <c r="FW1008" s="688" t="n"/>
      <c r="FX1008" s="431" t="n"/>
      <c r="FY1008" s="451" t="n"/>
      <c r="FZ1008" s="562">
        <f>'CIRCUIT SIM'!JG98</f>
        <v/>
      </c>
      <c r="GA1008" s="451" t="n"/>
      <c r="GC1008" s="429" t="n">
        <v>95</v>
      </c>
      <c r="GD1008" s="431" t="n">
        <v>95</v>
      </c>
      <c r="GE1008" s="688" t="n"/>
      <c r="GF1008" s="431" t="n"/>
      <c r="GG1008" s="451" t="n"/>
      <c r="GH1008" s="451" t="n"/>
      <c r="GI1008" s="451" t="n"/>
      <c r="GK1008" s="429" t="n">
        <v>95</v>
      </c>
      <c r="GL1008" s="431" t="n">
        <v>95</v>
      </c>
      <c r="GM1008" s="688" t="n"/>
      <c r="GN1008" s="431" t="n"/>
      <c r="GO1008" s="451" t="n"/>
      <c r="GP1008" s="451" t="n"/>
      <c r="GQ1008" s="451" t="n"/>
      <c r="GS1008" s="429" t="n">
        <v>95</v>
      </c>
      <c r="GT1008" s="431" t="n">
        <v>95</v>
      </c>
      <c r="GU1008" s="688" t="n"/>
      <c r="GV1008" s="431" t="n"/>
      <c r="GW1008" s="451" t="n"/>
      <c r="GX1008" s="451">
        <f>'CIRCUIT SIM'!KY98</f>
        <v/>
      </c>
      <c r="GY1008" s="451" t="n"/>
      <c r="HA1008" s="429" t="n">
        <v>95</v>
      </c>
      <c r="HB1008" s="431" t="n">
        <v>95</v>
      </c>
      <c r="HC1008" s="688" t="n"/>
      <c r="HD1008" s="431" t="n"/>
      <c r="HE1008" s="451" t="n"/>
      <c r="HF1008" s="451" t="n"/>
      <c r="HG1008" s="451" t="n"/>
    </row>
    <row r="1009">
      <c r="A1009" s="429" t="n">
        <v>96</v>
      </c>
      <c r="B1009" s="431" t="n">
        <v>96</v>
      </c>
      <c r="C1009" s="688" t="n"/>
      <c r="D1009" s="431" t="n"/>
      <c r="E1009" s="429" t="n"/>
      <c r="F1009" s="429" t="n"/>
      <c r="G1009" s="429" t="n"/>
      <c r="I1009" s="429" t="n">
        <v>96</v>
      </c>
      <c r="J1009" s="431" t="n">
        <v>96</v>
      </c>
      <c r="K1009" s="429" t="n"/>
      <c r="L1009" s="431" t="inlineStr">
        <is>
          <t>Boolean</t>
        </is>
      </c>
      <c r="M1009" s="451" t="n"/>
      <c r="N1009" s="422">
        <f>'CIRCUIT SIM'!Y99</f>
        <v/>
      </c>
      <c r="O1009" s="451" t="n"/>
      <c r="Q1009" s="429" t="n">
        <v>96</v>
      </c>
      <c r="R1009" s="431" t="n">
        <v>96</v>
      </c>
      <c r="S1009" s="429" t="n"/>
      <c r="T1009" s="431" t="inlineStr">
        <is>
          <t>Boolean</t>
        </is>
      </c>
      <c r="U1009" s="429" t="n"/>
      <c r="V1009" s="386">
        <f>'CIRCUIT SIM'!AO99</f>
        <v/>
      </c>
      <c r="W1009" s="451" t="n"/>
      <c r="Y1009" s="429" t="n">
        <v>96</v>
      </c>
      <c r="Z1009" s="431" t="n">
        <v>96</v>
      </c>
      <c r="AA1009" s="429" t="n"/>
      <c r="AB1009" s="431" t="n"/>
      <c r="AC1009" s="451" t="n"/>
      <c r="AD1009" s="451" t="n"/>
      <c r="AE1009" s="451" t="n"/>
      <c r="AG1009" s="429" t="n">
        <v>96</v>
      </c>
      <c r="AH1009" s="431" t="n">
        <v>96</v>
      </c>
      <c r="AI1009" s="429" t="n"/>
      <c r="AJ1009" s="431" t="n"/>
      <c r="AK1009" s="451" t="n"/>
      <c r="AL1009" s="451" t="n"/>
      <c r="AM1009" s="451" t="n"/>
      <c r="AO1009" s="429" t="n">
        <v>96</v>
      </c>
      <c r="AP1009" s="431" t="n">
        <v>96</v>
      </c>
      <c r="AQ1009" s="429" t="n"/>
      <c r="AR1009" s="431" t="n"/>
      <c r="AS1009" s="451" t="n"/>
      <c r="AT1009" s="386">
        <f>'CIRCUIT SIM'!BR99</f>
        <v/>
      </c>
      <c r="AU1009" s="451" t="n"/>
      <c r="AW1009" s="429" t="n">
        <v>96</v>
      </c>
      <c r="AX1009" s="431" t="n">
        <v>96</v>
      </c>
      <c r="AY1009" s="429" t="n"/>
      <c r="AZ1009" s="431" t="n"/>
      <c r="BA1009" s="451" t="n"/>
      <c r="BB1009" s="451">
        <f>'CIRCUIT SIM'!CG99</f>
        <v/>
      </c>
      <c r="BC1009" s="451" t="n"/>
      <c r="BE1009" s="429" t="n">
        <v>96</v>
      </c>
      <c r="BF1009" s="431" t="n"/>
      <c r="BG1009" s="429" t="n"/>
      <c r="BH1009" s="431" t="n"/>
      <c r="BI1009" s="451" t="n"/>
      <c r="BJ1009" s="451" t="n"/>
      <c r="BK1009" s="451" t="n"/>
      <c r="BM1009" s="429" t="n">
        <v>96</v>
      </c>
      <c r="BN1009" s="431" t="n">
        <v>96</v>
      </c>
      <c r="BO1009" s="429" t="n"/>
      <c r="BP1009" s="431" t="n"/>
      <c r="BQ1009" s="451" t="n"/>
      <c r="BR1009" s="451" t="n"/>
      <c r="BS1009" s="451" t="n"/>
      <c r="BU1009" s="429" t="n">
        <v>96</v>
      </c>
      <c r="BV1009" s="431" t="n">
        <v>96</v>
      </c>
      <c r="BW1009" s="429" t="n"/>
      <c r="BX1009" s="431" t="n"/>
      <c r="BY1009" s="451" t="n"/>
      <c r="BZ1009" s="451">
        <f>'CIRCUIT SIM'!EI99</f>
        <v/>
      </c>
      <c r="CA1009" s="451" t="n"/>
      <c r="CC1009" s="429" t="n">
        <v>96</v>
      </c>
      <c r="CD1009" s="431" t="n">
        <v>96</v>
      </c>
      <c r="CE1009" s="688" t="n"/>
      <c r="CF1009" s="431" t="inlineStr">
        <is>
          <t>Boolean</t>
        </is>
      </c>
      <c r="CG1009" s="451" t="n"/>
      <c r="CH1009" s="562">
        <f>'CIRCUIT SIM'!LK99</f>
        <v/>
      </c>
      <c r="CI1009" s="451" t="n"/>
      <c r="CK1009" s="429" t="n">
        <v>96</v>
      </c>
      <c r="CL1009" s="431" t="n">
        <v>96</v>
      </c>
      <c r="CM1009" s="688" t="n"/>
      <c r="CN1009" s="431" t="n"/>
      <c r="CO1009" s="451" t="n"/>
      <c r="CP1009" s="451" t="n"/>
      <c r="CQ1009" s="451" t="n"/>
      <c r="CS1009" s="429" t="n">
        <v>96</v>
      </c>
      <c r="CT1009" s="431" t="n">
        <v>96</v>
      </c>
      <c r="CU1009" s="688" t="n"/>
      <c r="CV1009" s="431" t="inlineStr">
        <is>
          <t>Boolean</t>
        </is>
      </c>
      <c r="CW1009" s="451" t="n"/>
      <c r="CX1009" s="451">
        <f>'CIRCUIT SIM'!MQ99</f>
        <v/>
      </c>
      <c r="CY1009" s="451" t="n"/>
      <c r="DA1009" s="429" t="n">
        <v>96</v>
      </c>
      <c r="DB1009" s="431" t="n">
        <v>96</v>
      </c>
      <c r="DC1009" s="688" t="n"/>
      <c r="DD1009" s="431" t="n"/>
      <c r="DE1009" s="451" t="n"/>
      <c r="DF1009" s="451" t="n"/>
      <c r="DG1009" s="451" t="n"/>
      <c r="DI1009" s="429" t="n">
        <v>96</v>
      </c>
      <c r="DJ1009" s="431" t="n">
        <v>96</v>
      </c>
      <c r="DK1009" s="688" t="n"/>
      <c r="DL1009" s="431" t="n"/>
      <c r="DM1009" s="429" t="n"/>
      <c r="DN1009" s="451">
        <f>'CIRCUIT SIM'!FN99</f>
        <v/>
      </c>
      <c r="DO1009" s="451" t="n"/>
      <c r="DQ1009" s="429" t="n">
        <v>96</v>
      </c>
      <c r="DR1009" s="431" t="n">
        <v>96</v>
      </c>
      <c r="DS1009" s="688" t="n"/>
      <c r="DT1009" s="431" t="n"/>
      <c r="DU1009" s="451" t="n"/>
      <c r="DV1009" s="451">
        <f>'CIRCUIT SIM'!HT99</f>
        <v/>
      </c>
      <c r="DW1009" s="451" t="n"/>
      <c r="DY1009" s="429" t="n">
        <v>96</v>
      </c>
      <c r="DZ1009" s="431" t="n">
        <v>96</v>
      </c>
      <c r="EA1009" s="688" t="n"/>
      <c r="EB1009" s="431" t="n"/>
      <c r="EC1009" s="451" t="n"/>
      <c r="ED1009" s="451" t="n"/>
      <c r="EE1009" s="451" t="n"/>
      <c r="EG1009" s="429" t="n">
        <v>96</v>
      </c>
      <c r="EH1009" s="431" t="n">
        <v>96</v>
      </c>
      <c r="EI1009" s="688" t="n"/>
      <c r="EJ1009" s="431" t="n"/>
      <c r="EK1009" s="451" t="n"/>
      <c r="EL1009" s="451">
        <f>'CIRCUIT SIM'!HD99</f>
        <v/>
      </c>
      <c r="EM1009" s="451" t="n"/>
      <c r="EO1009" s="429" t="n">
        <v>96</v>
      </c>
      <c r="EP1009" s="431" t="n">
        <v>96</v>
      </c>
      <c r="EQ1009" s="688" t="n"/>
      <c r="ER1009" s="431" t="n"/>
      <c r="ES1009" s="451" t="n"/>
      <c r="ET1009" s="451" t="n"/>
      <c r="EU1009" s="451" t="n"/>
      <c r="EW1009" s="429" t="n">
        <v>96</v>
      </c>
      <c r="EX1009" s="431" t="n">
        <v>96</v>
      </c>
      <c r="EY1009" s="688" t="n"/>
      <c r="EZ1009" s="431" t="n"/>
      <c r="FA1009" s="451" t="n"/>
      <c r="FB1009" s="451" t="n"/>
      <c r="FC1009" s="451" t="n"/>
      <c r="FE1009" s="429" t="n">
        <v>96</v>
      </c>
      <c r="FF1009" s="431" t="n">
        <v>96</v>
      </c>
      <c r="FG1009" s="688" t="n"/>
      <c r="FH1009" s="431" t="n"/>
      <c r="FI1009" s="451" t="n"/>
      <c r="FJ1009" s="451" t="n"/>
      <c r="FK1009" s="451" t="n"/>
      <c r="FM1009" s="429" t="n">
        <v>96</v>
      </c>
      <c r="FN1009" s="431" t="n">
        <v>96</v>
      </c>
      <c r="FO1009" s="688" t="n"/>
      <c r="FP1009" s="431" t="n"/>
      <c r="FQ1009" s="451" t="n"/>
      <c r="FR1009" s="451">
        <f>'CIRCUIT SIM'!KY99</f>
        <v/>
      </c>
      <c r="FS1009" s="451" t="n"/>
      <c r="FU1009" s="429" t="n">
        <v>96</v>
      </c>
      <c r="FV1009" s="431" t="n">
        <v>96</v>
      </c>
      <c r="FW1009" s="688" t="n"/>
      <c r="FX1009" s="431" t="n"/>
      <c r="FY1009" s="451" t="n"/>
      <c r="FZ1009" s="562">
        <f>'CIRCUIT SIM'!JG99</f>
        <v/>
      </c>
      <c r="GA1009" s="451" t="n"/>
      <c r="GC1009" s="429" t="n">
        <v>96</v>
      </c>
      <c r="GD1009" s="431" t="n">
        <v>96</v>
      </c>
      <c r="GE1009" s="688" t="n"/>
      <c r="GF1009" s="431" t="n"/>
      <c r="GG1009" s="451" t="n"/>
      <c r="GH1009" s="451" t="n"/>
      <c r="GI1009" s="451" t="n"/>
      <c r="GK1009" s="429" t="n">
        <v>96</v>
      </c>
      <c r="GL1009" s="431" t="n">
        <v>96</v>
      </c>
      <c r="GM1009" s="688" t="n"/>
      <c r="GN1009" s="431" t="n"/>
      <c r="GO1009" s="451" t="n"/>
      <c r="GP1009" s="451" t="n"/>
      <c r="GQ1009" s="451" t="n"/>
      <c r="GS1009" s="429" t="n">
        <v>96</v>
      </c>
      <c r="GT1009" s="431" t="n">
        <v>96</v>
      </c>
      <c r="GU1009" s="688" t="n"/>
      <c r="GV1009" s="431" t="n"/>
      <c r="GW1009" s="451" t="n"/>
      <c r="GX1009" s="451" t="n"/>
      <c r="GY1009" s="451" t="n"/>
      <c r="HA1009" s="429" t="n">
        <v>96</v>
      </c>
      <c r="HB1009" s="431" t="n">
        <v>96</v>
      </c>
      <c r="HC1009" s="688" t="n"/>
      <c r="HD1009" s="431" t="n"/>
      <c r="HE1009" s="451" t="n"/>
      <c r="HF1009" s="451" t="n"/>
      <c r="HG1009" s="451" t="n"/>
    </row>
    <row r="1010">
      <c r="A1010" s="429" t="n">
        <v>97</v>
      </c>
      <c r="B1010" s="431" t="n">
        <v>97</v>
      </c>
      <c r="C1010" s="688" t="n"/>
      <c r="D1010" s="431" t="n"/>
      <c r="E1010" s="429" t="n"/>
      <c r="F1010" s="429" t="n"/>
      <c r="G1010" s="429" t="n"/>
      <c r="I1010" s="429" t="n">
        <v>97</v>
      </c>
      <c r="J1010" s="431" t="n">
        <v>97</v>
      </c>
      <c r="K1010" s="429" t="n"/>
      <c r="L1010" s="431" t="inlineStr">
        <is>
          <t>Boolean</t>
        </is>
      </c>
      <c r="M1010" s="451" t="n"/>
      <c r="N1010" s="422">
        <f>'CIRCUIT SIM'!Y100</f>
        <v/>
      </c>
      <c r="O1010" s="451" t="n"/>
      <c r="Q1010" s="429" t="n">
        <v>97</v>
      </c>
      <c r="R1010" s="431" t="n">
        <v>97</v>
      </c>
      <c r="S1010" s="429" t="n"/>
      <c r="T1010" s="431" t="inlineStr">
        <is>
          <t>Boolean</t>
        </is>
      </c>
      <c r="U1010" s="429" t="n"/>
      <c r="V1010" s="386">
        <f>'CIRCUIT SIM'!AO100</f>
        <v/>
      </c>
      <c r="W1010" s="451" t="n"/>
      <c r="Y1010" s="429" t="n">
        <v>97</v>
      </c>
      <c r="Z1010" s="431" t="n">
        <v>97</v>
      </c>
      <c r="AA1010" s="429" t="n"/>
      <c r="AB1010" s="431" t="n"/>
      <c r="AC1010" s="451" t="n"/>
      <c r="AD1010" s="451" t="n"/>
      <c r="AE1010" s="451" t="n"/>
      <c r="AG1010" s="429" t="n">
        <v>97</v>
      </c>
      <c r="AH1010" s="431" t="n">
        <v>97</v>
      </c>
      <c r="AI1010" s="429" t="n"/>
      <c r="AJ1010" s="431" t="n"/>
      <c r="AK1010" s="451" t="n"/>
      <c r="AL1010" s="451" t="n"/>
      <c r="AM1010" s="451" t="n"/>
      <c r="AO1010" s="429" t="n">
        <v>97</v>
      </c>
      <c r="AP1010" s="431" t="n">
        <v>97</v>
      </c>
      <c r="AQ1010" s="429" t="n"/>
      <c r="AR1010" s="431" t="n"/>
      <c r="AS1010" s="451" t="n"/>
      <c r="AT1010" s="386">
        <f>'CIRCUIT SIM'!BR100</f>
        <v/>
      </c>
      <c r="AU1010" s="451" t="n"/>
      <c r="AW1010" s="429" t="n">
        <v>97</v>
      </c>
      <c r="AX1010" s="431" t="n">
        <v>97</v>
      </c>
      <c r="AY1010" s="429" t="n"/>
      <c r="AZ1010" s="431" t="n"/>
      <c r="BA1010" s="451" t="n"/>
      <c r="BB1010" s="451">
        <f>'CIRCUIT SIM'!CG100</f>
        <v/>
      </c>
      <c r="BC1010" s="451" t="n"/>
      <c r="BE1010" s="429" t="n">
        <v>97</v>
      </c>
      <c r="BF1010" s="431" t="n"/>
      <c r="BG1010" s="429" t="n"/>
      <c r="BH1010" s="431" t="n"/>
      <c r="BI1010" s="451" t="n"/>
      <c r="BJ1010" s="451" t="n"/>
      <c r="BK1010" s="451" t="n"/>
      <c r="BM1010" s="429" t="n">
        <v>97</v>
      </c>
      <c r="BN1010" s="431" t="n">
        <v>97</v>
      </c>
      <c r="BO1010" s="429" t="n"/>
      <c r="BP1010" s="431" t="n"/>
      <c r="BQ1010" s="451" t="n"/>
      <c r="BR1010" s="451" t="n"/>
      <c r="BS1010" s="451" t="n"/>
      <c r="BU1010" s="429" t="n">
        <v>97</v>
      </c>
      <c r="BV1010" s="431" t="n">
        <v>97</v>
      </c>
      <c r="BW1010" s="429" t="n"/>
      <c r="BX1010" s="431" t="n"/>
      <c r="BY1010" s="451" t="n"/>
      <c r="BZ1010" s="451">
        <f>'CIRCUIT SIM'!EI100</f>
        <v/>
      </c>
      <c r="CA1010" s="451" t="n"/>
      <c r="CC1010" s="429" t="n">
        <v>97</v>
      </c>
      <c r="CD1010" s="431" t="n">
        <v>97</v>
      </c>
      <c r="CE1010" s="688" t="n"/>
      <c r="CF1010" s="431" t="inlineStr">
        <is>
          <t>Boolean</t>
        </is>
      </c>
      <c r="CG1010" s="451" t="n"/>
      <c r="CH1010" s="562">
        <f>'CIRCUIT SIM'!LK100</f>
        <v/>
      </c>
      <c r="CI1010" s="451" t="n"/>
      <c r="CK1010" s="429" t="n">
        <v>97</v>
      </c>
      <c r="CL1010" s="431" t="n">
        <v>97</v>
      </c>
      <c r="CM1010" s="688" t="n"/>
      <c r="CN1010" s="431" t="n"/>
      <c r="CO1010" s="451" t="n"/>
      <c r="CP1010" s="451" t="n"/>
      <c r="CQ1010" s="451" t="n"/>
      <c r="CS1010" s="429" t="n">
        <v>97</v>
      </c>
      <c r="CT1010" s="431" t="n">
        <v>97</v>
      </c>
      <c r="CU1010" s="688" t="n"/>
      <c r="CV1010" s="431" t="inlineStr">
        <is>
          <t>Boolean</t>
        </is>
      </c>
      <c r="CW1010" s="451" t="n"/>
      <c r="CX1010" s="451">
        <f>'CIRCUIT SIM'!MQ100</f>
        <v/>
      </c>
      <c r="CY1010" s="451" t="n"/>
      <c r="DA1010" s="429" t="n">
        <v>97</v>
      </c>
      <c r="DB1010" s="431" t="n">
        <v>97</v>
      </c>
      <c r="DC1010" s="688" t="n"/>
      <c r="DD1010" s="431" t="n"/>
      <c r="DE1010" s="451" t="n"/>
      <c r="DF1010" s="451" t="n"/>
      <c r="DG1010" s="451" t="n"/>
      <c r="DI1010" s="429" t="n">
        <v>97</v>
      </c>
      <c r="DJ1010" s="431" t="n">
        <v>97</v>
      </c>
      <c r="DK1010" s="688" t="n"/>
      <c r="DL1010" s="431" t="n"/>
      <c r="DM1010" s="429" t="n"/>
      <c r="DN1010" s="451">
        <f>'CIRCUIT SIM'!FN100</f>
        <v/>
      </c>
      <c r="DO1010" s="451" t="n"/>
      <c r="DQ1010" s="429" t="n">
        <v>97</v>
      </c>
      <c r="DR1010" s="431" t="n">
        <v>97</v>
      </c>
      <c r="DS1010" s="688" t="n"/>
      <c r="DT1010" s="431" t="n"/>
      <c r="DU1010" s="451" t="n"/>
      <c r="DV1010" s="451">
        <f>'CIRCUIT SIM'!HT100</f>
        <v/>
      </c>
      <c r="DW1010" s="451" t="n"/>
      <c r="DY1010" s="429" t="n">
        <v>97</v>
      </c>
      <c r="DZ1010" s="431" t="n">
        <v>97</v>
      </c>
      <c r="EA1010" s="688" t="n"/>
      <c r="EB1010" s="431" t="n"/>
      <c r="EC1010" s="451" t="n"/>
      <c r="ED1010" s="451" t="n"/>
      <c r="EE1010" s="451" t="n"/>
      <c r="EG1010" s="429" t="n">
        <v>97</v>
      </c>
      <c r="EH1010" s="431" t="n">
        <v>97</v>
      </c>
      <c r="EI1010" s="688" t="n"/>
      <c r="EJ1010" s="431" t="n"/>
      <c r="EK1010" s="451" t="n"/>
      <c r="EL1010" s="451">
        <f>'CIRCUIT SIM'!HD100</f>
        <v/>
      </c>
      <c r="EM1010" s="451" t="n"/>
      <c r="EO1010" s="429" t="n">
        <v>97</v>
      </c>
      <c r="EP1010" s="431" t="n">
        <v>97</v>
      </c>
      <c r="EQ1010" s="688" t="n"/>
      <c r="ER1010" s="431" t="n"/>
      <c r="ES1010" s="451" t="n"/>
      <c r="ET1010" s="451" t="n"/>
      <c r="EU1010" s="451" t="n"/>
      <c r="EW1010" s="429" t="n">
        <v>97</v>
      </c>
      <c r="EX1010" s="431" t="n">
        <v>97</v>
      </c>
      <c r="EY1010" s="688" t="n"/>
      <c r="EZ1010" s="431" t="n"/>
      <c r="FA1010" s="451" t="n"/>
      <c r="FB1010" s="451" t="n"/>
      <c r="FC1010" s="451" t="n"/>
      <c r="FE1010" s="429" t="n">
        <v>97</v>
      </c>
      <c r="FF1010" s="431" t="n">
        <v>97</v>
      </c>
      <c r="FG1010" s="688" t="n"/>
      <c r="FH1010" s="431" t="n"/>
      <c r="FI1010" s="451" t="n"/>
      <c r="FJ1010" s="451" t="n"/>
      <c r="FK1010" s="451" t="n"/>
      <c r="FM1010" s="429" t="n">
        <v>97</v>
      </c>
      <c r="FN1010" s="431" t="n">
        <v>97</v>
      </c>
      <c r="FO1010" s="688" t="n"/>
      <c r="FP1010" s="431" t="n"/>
      <c r="FQ1010" s="451" t="n"/>
      <c r="FR1010" s="451">
        <f>'CIRCUIT SIM'!KY100</f>
        <v/>
      </c>
      <c r="FS1010" s="451" t="n"/>
      <c r="FU1010" s="429" t="n">
        <v>97</v>
      </c>
      <c r="FV1010" s="431" t="n">
        <v>97</v>
      </c>
      <c r="FW1010" s="688" t="n"/>
      <c r="FX1010" s="431" t="n"/>
      <c r="FY1010" s="451" t="n"/>
      <c r="FZ1010" s="562">
        <f>'CIRCUIT SIM'!JG100</f>
        <v/>
      </c>
      <c r="GA1010" s="451" t="n"/>
      <c r="GC1010" s="429" t="n">
        <v>97</v>
      </c>
      <c r="GD1010" s="431" t="n">
        <v>97</v>
      </c>
      <c r="GE1010" s="688" t="n"/>
      <c r="GF1010" s="431" t="n"/>
      <c r="GG1010" s="451" t="n"/>
      <c r="GH1010" s="451" t="n"/>
      <c r="GI1010" s="451" t="n"/>
      <c r="GK1010" s="429" t="n">
        <v>97</v>
      </c>
      <c r="GL1010" s="431" t="n">
        <v>97</v>
      </c>
      <c r="GM1010" s="688" t="n"/>
      <c r="GN1010" s="431" t="n"/>
      <c r="GO1010" s="451" t="n"/>
      <c r="GP1010" s="451" t="n"/>
      <c r="GQ1010" s="451" t="n"/>
      <c r="GS1010" s="429" t="n">
        <v>97</v>
      </c>
      <c r="GT1010" s="431" t="n">
        <v>97</v>
      </c>
      <c r="GU1010" s="688" t="n"/>
      <c r="GV1010" s="431" t="n"/>
      <c r="GW1010" s="451" t="n"/>
      <c r="GX1010" s="451" t="n"/>
      <c r="GY1010" s="451" t="n"/>
      <c r="HA1010" s="429" t="n">
        <v>97</v>
      </c>
      <c r="HB1010" s="431" t="n">
        <v>97</v>
      </c>
      <c r="HC1010" s="688" t="n"/>
      <c r="HD1010" s="431" t="n"/>
      <c r="HE1010" s="451" t="n"/>
      <c r="HF1010" s="451" t="n"/>
      <c r="HG1010" s="451" t="n"/>
    </row>
    <row r="1011">
      <c r="A1011" s="429" t="n">
        <v>98</v>
      </c>
      <c r="B1011" s="431" t="n">
        <v>98</v>
      </c>
      <c r="C1011" s="688" t="n"/>
      <c r="D1011" s="431" t="n"/>
      <c r="E1011" s="429" t="n"/>
      <c r="F1011" s="429" t="n"/>
      <c r="G1011" s="429" t="n"/>
      <c r="I1011" s="429" t="n">
        <v>98</v>
      </c>
      <c r="J1011" s="431" t="n">
        <v>98</v>
      </c>
      <c r="K1011" s="429" t="n"/>
      <c r="L1011" s="431" t="inlineStr">
        <is>
          <t>Boolean</t>
        </is>
      </c>
      <c r="M1011" s="451" t="n"/>
      <c r="N1011" s="422">
        <f>'CIRCUIT SIM'!Y101</f>
        <v/>
      </c>
      <c r="O1011" s="451" t="n"/>
      <c r="Q1011" s="429" t="n">
        <v>98</v>
      </c>
      <c r="R1011" s="431" t="n">
        <v>98</v>
      </c>
      <c r="S1011" s="429" t="n"/>
      <c r="T1011" s="431" t="inlineStr">
        <is>
          <t>Boolean</t>
        </is>
      </c>
      <c r="U1011" s="429" t="n"/>
      <c r="V1011" s="386">
        <f>'CIRCUIT SIM'!AO101</f>
        <v/>
      </c>
      <c r="W1011" s="451" t="n"/>
      <c r="Y1011" s="429" t="n">
        <v>98</v>
      </c>
      <c r="Z1011" s="431" t="n">
        <v>98</v>
      </c>
      <c r="AA1011" s="429" t="n"/>
      <c r="AB1011" s="431" t="n"/>
      <c r="AC1011" s="451" t="n"/>
      <c r="AD1011" s="451" t="n"/>
      <c r="AE1011" s="451" t="n"/>
      <c r="AG1011" s="429" t="n">
        <v>98</v>
      </c>
      <c r="AH1011" s="431" t="n">
        <v>98</v>
      </c>
      <c r="AI1011" s="429" t="n"/>
      <c r="AJ1011" s="431" t="n"/>
      <c r="AK1011" s="451" t="n"/>
      <c r="AL1011" s="451" t="n"/>
      <c r="AM1011" s="451" t="n"/>
      <c r="AO1011" s="429" t="n">
        <v>98</v>
      </c>
      <c r="AP1011" s="431" t="n">
        <v>98</v>
      </c>
      <c r="AQ1011" s="429" t="n"/>
      <c r="AR1011" s="431" t="n"/>
      <c r="AS1011" s="451" t="n"/>
      <c r="AT1011" s="386">
        <f>'CIRCUIT SIM'!BR101</f>
        <v/>
      </c>
      <c r="AU1011" s="451" t="n"/>
      <c r="AW1011" s="429" t="n">
        <v>98</v>
      </c>
      <c r="AX1011" s="431" t="n">
        <v>98</v>
      </c>
      <c r="AY1011" s="429" t="n"/>
      <c r="AZ1011" s="431" t="n"/>
      <c r="BA1011" s="451" t="n"/>
      <c r="BB1011" s="451">
        <f>'CIRCUIT SIM'!CG101</f>
        <v/>
      </c>
      <c r="BC1011" s="451" t="n"/>
      <c r="BE1011" s="429" t="n">
        <v>98</v>
      </c>
      <c r="BF1011" s="431" t="n"/>
      <c r="BG1011" s="429" t="n"/>
      <c r="BH1011" s="431" t="n"/>
      <c r="BI1011" s="451" t="n"/>
      <c r="BJ1011" s="451" t="n"/>
      <c r="BK1011" s="451" t="n"/>
      <c r="BM1011" s="429" t="n">
        <v>98</v>
      </c>
      <c r="BN1011" s="431" t="n">
        <v>98</v>
      </c>
      <c r="BO1011" s="429" t="n"/>
      <c r="BP1011" s="431" t="n"/>
      <c r="BQ1011" s="451" t="n"/>
      <c r="BR1011" s="451" t="n"/>
      <c r="BS1011" s="451" t="n"/>
      <c r="BU1011" s="429" t="n">
        <v>98</v>
      </c>
      <c r="BV1011" s="431" t="n">
        <v>98</v>
      </c>
      <c r="BW1011" s="429" t="n"/>
      <c r="BX1011" s="431" t="n"/>
      <c r="BY1011" s="451" t="n"/>
      <c r="BZ1011" s="451">
        <f>'CIRCUIT SIM'!EI101</f>
        <v/>
      </c>
      <c r="CA1011" s="451" t="n"/>
      <c r="CC1011" s="429" t="n">
        <v>98</v>
      </c>
      <c r="CD1011" s="431" t="n">
        <v>98</v>
      </c>
      <c r="CE1011" s="688" t="n"/>
      <c r="CF1011" s="431" t="inlineStr">
        <is>
          <t>Boolean</t>
        </is>
      </c>
      <c r="CG1011" s="451" t="n"/>
      <c r="CH1011" s="562">
        <f>'CIRCUIT SIM'!LK101</f>
        <v/>
      </c>
      <c r="CI1011" s="451" t="n"/>
      <c r="CK1011" s="429" t="n">
        <v>98</v>
      </c>
      <c r="CL1011" s="431" t="n">
        <v>98</v>
      </c>
      <c r="CM1011" s="688" t="n"/>
      <c r="CN1011" s="431" t="n"/>
      <c r="CO1011" s="451" t="n"/>
      <c r="CP1011" s="451" t="n"/>
      <c r="CQ1011" s="451" t="n"/>
      <c r="CS1011" s="429" t="n">
        <v>98</v>
      </c>
      <c r="CT1011" s="431" t="n">
        <v>98</v>
      </c>
      <c r="CU1011" s="688" t="n"/>
      <c r="CV1011" s="431" t="inlineStr">
        <is>
          <t>Boolean</t>
        </is>
      </c>
      <c r="CW1011" s="451" t="n"/>
      <c r="CX1011" s="451">
        <f>'CIRCUIT SIM'!MQ101</f>
        <v/>
      </c>
      <c r="CY1011" s="451" t="n"/>
      <c r="DA1011" s="429" t="n">
        <v>98</v>
      </c>
      <c r="DB1011" s="431" t="n">
        <v>98</v>
      </c>
      <c r="DC1011" s="688" t="n"/>
      <c r="DD1011" s="431" t="n"/>
      <c r="DE1011" s="451" t="n"/>
      <c r="DF1011" s="451" t="n"/>
      <c r="DG1011" s="451" t="n"/>
      <c r="DI1011" s="429" t="n">
        <v>98</v>
      </c>
      <c r="DJ1011" s="431" t="n">
        <v>98</v>
      </c>
      <c r="DK1011" s="688" t="n"/>
      <c r="DL1011" s="431" t="n"/>
      <c r="DM1011" s="429" t="n"/>
      <c r="DN1011" s="451">
        <f>'CIRCUIT SIM'!FN101</f>
        <v/>
      </c>
      <c r="DO1011" s="451" t="n"/>
      <c r="DQ1011" s="429" t="n">
        <v>98</v>
      </c>
      <c r="DR1011" s="431" t="n">
        <v>98</v>
      </c>
      <c r="DS1011" s="688" t="n"/>
      <c r="DT1011" s="431" t="n"/>
      <c r="DU1011" s="451" t="n"/>
      <c r="DV1011" s="451">
        <f>'CIRCUIT SIM'!HT101</f>
        <v/>
      </c>
      <c r="DW1011" s="451" t="n"/>
      <c r="DY1011" s="429" t="n">
        <v>98</v>
      </c>
      <c r="DZ1011" s="431" t="n">
        <v>98</v>
      </c>
      <c r="EA1011" s="688" t="n"/>
      <c r="EB1011" s="431" t="n"/>
      <c r="EC1011" s="451" t="n"/>
      <c r="ED1011" s="451" t="n"/>
      <c r="EE1011" s="451" t="n"/>
      <c r="EG1011" s="429" t="n">
        <v>98</v>
      </c>
      <c r="EH1011" s="431" t="n">
        <v>98</v>
      </c>
      <c r="EI1011" s="688" t="n"/>
      <c r="EJ1011" s="431" t="n"/>
      <c r="EK1011" s="451" t="n"/>
      <c r="EL1011" s="451" t="n"/>
      <c r="EM1011" s="451" t="n"/>
      <c r="EO1011" s="429" t="n">
        <v>98</v>
      </c>
      <c r="EP1011" s="431" t="n">
        <v>98</v>
      </c>
      <c r="EQ1011" s="688" t="n"/>
      <c r="ER1011" s="431" t="n"/>
      <c r="ES1011" s="451" t="n"/>
      <c r="ET1011" s="451" t="n"/>
      <c r="EU1011" s="451" t="n"/>
      <c r="EW1011" s="429" t="n">
        <v>98</v>
      </c>
      <c r="EX1011" s="431" t="n">
        <v>98</v>
      </c>
      <c r="EY1011" s="688" t="n"/>
      <c r="EZ1011" s="431" t="n"/>
      <c r="FA1011" s="451" t="n"/>
      <c r="FB1011" s="451" t="n"/>
      <c r="FC1011" s="451" t="n"/>
      <c r="FE1011" s="429" t="n">
        <v>98</v>
      </c>
      <c r="FF1011" s="431" t="n">
        <v>98</v>
      </c>
      <c r="FG1011" s="688" t="n"/>
      <c r="FH1011" s="431" t="n"/>
      <c r="FI1011" s="451" t="n"/>
      <c r="FJ1011" s="451" t="n"/>
      <c r="FK1011" s="451" t="n"/>
      <c r="FM1011" s="429" t="n">
        <v>98</v>
      </c>
      <c r="FN1011" s="431" t="n">
        <v>98</v>
      </c>
      <c r="FO1011" s="688" t="n"/>
      <c r="FP1011" s="431" t="n"/>
      <c r="FQ1011" s="451" t="n"/>
      <c r="FR1011" s="451">
        <f>'CIRCUIT SIM'!KY101</f>
        <v/>
      </c>
      <c r="FS1011" s="451" t="n"/>
      <c r="FU1011" s="429" t="n">
        <v>98</v>
      </c>
      <c r="FV1011" s="431" t="n">
        <v>98</v>
      </c>
      <c r="FW1011" s="688" t="n"/>
      <c r="FX1011" s="431" t="n"/>
      <c r="FY1011" s="451" t="n"/>
      <c r="FZ1011" s="562">
        <f>'CIRCUIT SIM'!JG101</f>
        <v/>
      </c>
      <c r="GA1011" s="451" t="n"/>
      <c r="GC1011" s="429" t="n">
        <v>98</v>
      </c>
      <c r="GD1011" s="431" t="n">
        <v>98</v>
      </c>
      <c r="GE1011" s="688" t="n"/>
      <c r="GF1011" s="431" t="n"/>
      <c r="GG1011" s="451" t="n"/>
      <c r="GH1011" s="451" t="n"/>
      <c r="GI1011" s="451" t="n"/>
      <c r="GK1011" s="429" t="n">
        <v>98</v>
      </c>
      <c r="GL1011" s="431" t="n">
        <v>98</v>
      </c>
      <c r="GM1011" s="688" t="n"/>
      <c r="GN1011" s="431" t="n"/>
      <c r="GO1011" s="451" t="n"/>
      <c r="GP1011" s="451" t="n"/>
      <c r="GQ1011" s="451" t="n"/>
      <c r="GS1011" s="429" t="n">
        <v>98</v>
      </c>
      <c r="GT1011" s="431" t="n">
        <v>98</v>
      </c>
      <c r="GU1011" s="688" t="n"/>
      <c r="GV1011" s="431" t="n"/>
      <c r="GW1011" s="451" t="n"/>
      <c r="GX1011" s="451" t="n"/>
      <c r="GY1011" s="451" t="n"/>
      <c r="HA1011" s="429" t="n">
        <v>98</v>
      </c>
      <c r="HB1011" s="431" t="n">
        <v>98</v>
      </c>
      <c r="HC1011" s="688" t="n"/>
      <c r="HD1011" s="431" t="n"/>
      <c r="HE1011" s="451" t="n"/>
      <c r="HF1011" s="451" t="n"/>
      <c r="HG1011" s="451" t="n"/>
    </row>
    <row r="1012">
      <c r="A1012" s="429" t="n">
        <v>99</v>
      </c>
      <c r="B1012" s="431" t="n">
        <v>99</v>
      </c>
      <c r="C1012" s="688" t="n"/>
      <c r="D1012" s="431" t="n"/>
      <c r="E1012" s="429" t="n"/>
      <c r="F1012" s="429" t="n"/>
      <c r="G1012" s="429" t="n"/>
      <c r="I1012" s="429" t="n">
        <v>99</v>
      </c>
      <c r="J1012" s="431" t="n">
        <v>99</v>
      </c>
      <c r="K1012" s="429" t="n"/>
      <c r="L1012" s="431" t="inlineStr">
        <is>
          <t>Boolean</t>
        </is>
      </c>
      <c r="M1012" s="451" t="n"/>
      <c r="N1012" s="422">
        <f>'CIRCUIT SIM'!Y102</f>
        <v/>
      </c>
      <c r="Q1012" s="429" t="n">
        <v>99</v>
      </c>
      <c r="R1012" s="431" t="n">
        <v>99</v>
      </c>
      <c r="S1012" s="429" t="n"/>
      <c r="T1012" s="431" t="inlineStr">
        <is>
          <t>Boolean</t>
        </is>
      </c>
      <c r="U1012" s="429" t="n"/>
      <c r="V1012" s="386">
        <f>'CIRCUIT SIM'!AO102</f>
        <v/>
      </c>
      <c r="W1012" s="451" t="n"/>
      <c r="Y1012" s="429" t="n">
        <v>99</v>
      </c>
      <c r="Z1012" s="431" t="n">
        <v>99</v>
      </c>
      <c r="AA1012" s="429" t="n"/>
      <c r="AB1012" s="431" t="n"/>
      <c r="AC1012" s="451" t="n"/>
      <c r="AD1012" s="451" t="n"/>
      <c r="AE1012" s="451" t="n"/>
      <c r="AG1012" s="429" t="n">
        <v>99</v>
      </c>
      <c r="AH1012" s="431" t="n">
        <v>99</v>
      </c>
      <c r="AI1012" s="429" t="n"/>
      <c r="AJ1012" s="431" t="n"/>
      <c r="AK1012" s="451" t="n"/>
      <c r="AL1012" s="451" t="n"/>
      <c r="AM1012" s="451" t="n"/>
      <c r="AO1012" s="429" t="n">
        <v>99</v>
      </c>
      <c r="AP1012" s="431" t="n">
        <v>99</v>
      </c>
      <c r="AQ1012" s="429" t="n"/>
      <c r="AR1012" s="431" t="n"/>
      <c r="AS1012" s="451" t="n"/>
      <c r="AT1012" s="386">
        <f>'CIRCUIT SIM'!BR102</f>
        <v/>
      </c>
      <c r="AU1012" s="451" t="n"/>
      <c r="AW1012" s="429" t="n">
        <v>99</v>
      </c>
      <c r="AX1012" s="431" t="n">
        <v>99</v>
      </c>
      <c r="AY1012" s="429" t="n"/>
      <c r="AZ1012" s="431" t="n"/>
      <c r="BA1012" s="451" t="n"/>
      <c r="BB1012" s="451">
        <f>'CIRCUIT SIM'!CG102</f>
        <v/>
      </c>
      <c r="BC1012" s="451" t="n"/>
      <c r="BE1012" s="429" t="n">
        <v>99</v>
      </c>
      <c r="BF1012" s="431" t="n"/>
      <c r="BG1012" s="429" t="n"/>
      <c r="BH1012" s="431" t="n"/>
      <c r="BI1012" s="451" t="n"/>
      <c r="BJ1012" s="451" t="n"/>
      <c r="BK1012" s="451" t="n"/>
      <c r="BM1012" s="429" t="n">
        <v>99</v>
      </c>
      <c r="BN1012" s="431" t="n">
        <v>99</v>
      </c>
      <c r="BO1012" s="429" t="n"/>
      <c r="BP1012" s="431" t="n"/>
      <c r="BQ1012" s="451" t="n"/>
      <c r="BR1012" s="451" t="n"/>
      <c r="BS1012" s="451" t="n"/>
      <c r="BU1012" s="429" t="n">
        <v>99</v>
      </c>
      <c r="BV1012" s="431" t="n">
        <v>99</v>
      </c>
      <c r="BW1012" s="429" t="n"/>
      <c r="BX1012" s="431" t="n"/>
      <c r="BY1012" s="451" t="n"/>
      <c r="BZ1012" s="451">
        <f>'CIRCUIT SIM'!EI102</f>
        <v/>
      </c>
      <c r="CA1012" s="451" t="n"/>
      <c r="CC1012" s="429" t="n">
        <v>99</v>
      </c>
      <c r="CD1012" s="431" t="n">
        <v>99</v>
      </c>
      <c r="CE1012" s="688" t="n"/>
      <c r="CF1012" s="431" t="inlineStr">
        <is>
          <t>Boolean</t>
        </is>
      </c>
      <c r="CG1012" s="451" t="n"/>
      <c r="CH1012" s="562">
        <f>'CIRCUIT SIM'!LK102</f>
        <v/>
      </c>
      <c r="CI1012" s="451" t="n"/>
      <c r="CK1012" s="429" t="n">
        <v>99</v>
      </c>
      <c r="CL1012" s="431" t="n">
        <v>99</v>
      </c>
      <c r="CM1012" s="688" t="n"/>
      <c r="CN1012" s="431" t="n"/>
      <c r="CO1012" s="451" t="n"/>
      <c r="CP1012" s="451" t="n"/>
      <c r="CQ1012" s="451" t="n"/>
      <c r="CS1012" s="429" t="n">
        <v>99</v>
      </c>
      <c r="CT1012" s="431" t="n">
        <v>99</v>
      </c>
      <c r="CU1012" s="688" t="n"/>
      <c r="CV1012" s="431" t="inlineStr">
        <is>
          <t>Boolean</t>
        </is>
      </c>
      <c r="CW1012" s="451" t="n"/>
      <c r="CX1012" s="451">
        <f>'CIRCUIT SIM'!MQ102</f>
        <v/>
      </c>
      <c r="CY1012" s="451" t="n"/>
      <c r="DA1012" s="429" t="n">
        <v>99</v>
      </c>
      <c r="DB1012" s="431" t="n">
        <v>99</v>
      </c>
      <c r="DC1012" s="688" t="n"/>
      <c r="DD1012" s="431" t="n"/>
      <c r="DE1012" s="451" t="n"/>
      <c r="DF1012" s="451" t="n"/>
      <c r="DG1012" s="451" t="n"/>
      <c r="DI1012" s="429" t="n">
        <v>99</v>
      </c>
      <c r="DJ1012" s="431" t="n">
        <v>99</v>
      </c>
      <c r="DK1012" s="688" t="n"/>
      <c r="DL1012" s="431" t="n"/>
      <c r="DM1012" s="429" t="n"/>
      <c r="DN1012" s="451">
        <f>'CIRCUIT SIM'!FN102</f>
        <v/>
      </c>
      <c r="DO1012" s="451" t="n"/>
      <c r="DQ1012" s="429" t="n">
        <v>99</v>
      </c>
      <c r="DR1012" s="431" t="n">
        <v>99</v>
      </c>
      <c r="DS1012" s="688" t="n"/>
      <c r="DT1012" s="431" t="n"/>
      <c r="DU1012" s="451" t="n"/>
      <c r="DV1012" s="451">
        <f>'CIRCUIT SIM'!HT102</f>
        <v/>
      </c>
      <c r="DW1012" s="451" t="n"/>
      <c r="DY1012" s="429" t="n">
        <v>99</v>
      </c>
      <c r="DZ1012" s="431" t="n">
        <v>99</v>
      </c>
      <c r="EA1012" s="688" t="n"/>
      <c r="EB1012" s="431" t="n"/>
      <c r="EC1012" s="451" t="n"/>
      <c r="ED1012" s="451" t="n"/>
      <c r="EE1012" s="451" t="n"/>
      <c r="EG1012" s="429" t="n">
        <v>99</v>
      </c>
      <c r="EH1012" s="431" t="n">
        <v>99</v>
      </c>
      <c r="EI1012" s="688" t="n"/>
      <c r="EJ1012" s="431" t="n"/>
      <c r="EK1012" s="451" t="n"/>
      <c r="EL1012" s="451" t="n"/>
      <c r="EM1012" s="451" t="n"/>
      <c r="EO1012" s="429" t="n">
        <v>99</v>
      </c>
      <c r="EP1012" s="431" t="n">
        <v>99</v>
      </c>
      <c r="EQ1012" s="688" t="n"/>
      <c r="ER1012" s="431" t="n"/>
      <c r="ES1012" s="451" t="n"/>
      <c r="ET1012" s="451" t="n"/>
      <c r="EU1012" s="451" t="n"/>
      <c r="EW1012" s="429" t="n">
        <v>99</v>
      </c>
      <c r="EX1012" s="431" t="n">
        <v>99</v>
      </c>
      <c r="EY1012" s="688" t="n"/>
      <c r="EZ1012" s="431" t="n"/>
      <c r="FA1012" s="451" t="n"/>
      <c r="FB1012" s="451" t="n"/>
      <c r="FC1012" s="451" t="n"/>
      <c r="FE1012" s="429" t="n">
        <v>99</v>
      </c>
      <c r="FF1012" s="431" t="n">
        <v>99</v>
      </c>
      <c r="FG1012" s="688" t="n"/>
      <c r="FH1012" s="431" t="n"/>
      <c r="FI1012" s="451" t="n"/>
      <c r="FJ1012" s="451" t="n"/>
      <c r="FK1012" s="451" t="n"/>
      <c r="FM1012" s="429" t="n">
        <v>99</v>
      </c>
      <c r="FN1012" s="431" t="n">
        <v>99</v>
      </c>
      <c r="FO1012" s="688" t="n"/>
      <c r="FP1012" s="431" t="n"/>
      <c r="FQ1012" s="451" t="n"/>
      <c r="FR1012" s="451">
        <f>'CIRCUIT SIM'!KY102</f>
        <v/>
      </c>
      <c r="FS1012" s="451" t="n"/>
      <c r="FU1012" s="429" t="n">
        <v>99</v>
      </c>
      <c r="FV1012" s="431" t="n">
        <v>99</v>
      </c>
      <c r="FW1012" s="688" t="n"/>
      <c r="FX1012" s="431" t="n"/>
      <c r="FY1012" s="451" t="n"/>
      <c r="FZ1012" s="562">
        <f>'CIRCUIT SIM'!JG102</f>
        <v/>
      </c>
      <c r="GA1012" s="451" t="n"/>
      <c r="GC1012" s="429" t="n">
        <v>99</v>
      </c>
      <c r="GD1012" s="431" t="n">
        <v>99</v>
      </c>
      <c r="GE1012" s="688" t="n"/>
      <c r="GF1012" s="431" t="n"/>
      <c r="GG1012" s="451" t="n"/>
      <c r="GH1012" s="451" t="n"/>
      <c r="GI1012" s="451" t="n"/>
      <c r="GK1012" s="429" t="n">
        <v>99</v>
      </c>
      <c r="GL1012" s="431" t="n">
        <v>99</v>
      </c>
      <c r="GM1012" s="688" t="n"/>
      <c r="GN1012" s="431" t="n"/>
      <c r="GO1012" s="451" t="n"/>
      <c r="GP1012" s="451" t="n"/>
      <c r="GQ1012" s="451" t="n"/>
      <c r="GS1012" s="429" t="n">
        <v>99</v>
      </c>
      <c r="GT1012" s="431" t="n">
        <v>99</v>
      </c>
      <c r="GU1012" s="688" t="n"/>
      <c r="GV1012" s="431" t="n"/>
      <c r="GW1012" s="451" t="n"/>
      <c r="GX1012" s="451" t="n"/>
      <c r="GY1012" s="451" t="n"/>
      <c r="HA1012" s="429" t="n">
        <v>99</v>
      </c>
      <c r="HB1012" s="431" t="n">
        <v>99</v>
      </c>
      <c r="HC1012" s="688" t="n"/>
      <c r="HD1012" s="431" t="n"/>
      <c r="HE1012" s="451" t="n"/>
      <c r="HF1012" s="451" t="n"/>
      <c r="HG1012" s="451" t="n"/>
    </row>
    <row r="1013">
      <c r="A1013" s="429" t="n">
        <v>100</v>
      </c>
      <c r="B1013" s="431" t="n">
        <v>100</v>
      </c>
      <c r="C1013" s="688" t="n"/>
      <c r="D1013" s="431" t="n"/>
      <c r="E1013" s="429" t="n"/>
      <c r="F1013" s="429" t="n"/>
      <c r="G1013" s="429" t="n"/>
      <c r="I1013" s="429" t="n">
        <v>100</v>
      </c>
      <c r="J1013" s="431" t="n">
        <v>100</v>
      </c>
      <c r="K1013" s="429" t="n"/>
      <c r="L1013" s="431" t="inlineStr">
        <is>
          <t>Boolean</t>
        </is>
      </c>
      <c r="M1013" s="451" t="n"/>
      <c r="N1013" s="422">
        <f>'CIRCUIT SIM'!Y103</f>
        <v/>
      </c>
      <c r="Q1013" s="429" t="n">
        <v>100</v>
      </c>
      <c r="R1013" s="431" t="n">
        <v>100</v>
      </c>
      <c r="S1013" s="429" t="n"/>
      <c r="T1013" s="431" t="inlineStr">
        <is>
          <t>Boolean</t>
        </is>
      </c>
      <c r="U1013" s="429" t="n"/>
      <c r="V1013" s="386">
        <f>'CIRCUIT SIM'!AO103</f>
        <v/>
      </c>
      <c r="W1013" s="451" t="n"/>
      <c r="Y1013" s="429" t="n">
        <v>100</v>
      </c>
      <c r="Z1013" s="431" t="n">
        <v>100</v>
      </c>
      <c r="AA1013" s="429" t="n"/>
      <c r="AB1013" s="431" t="n"/>
      <c r="AC1013" s="451" t="n"/>
      <c r="AD1013" s="451" t="n"/>
      <c r="AE1013" s="451" t="n"/>
      <c r="AG1013" s="429" t="n">
        <v>100</v>
      </c>
      <c r="AH1013" s="431" t="n">
        <v>100</v>
      </c>
      <c r="AI1013" s="429" t="n"/>
      <c r="AJ1013" s="431" t="n"/>
      <c r="AK1013" s="451" t="n"/>
      <c r="AL1013" s="451" t="n"/>
      <c r="AM1013" s="451" t="n"/>
      <c r="AO1013" s="429" t="n">
        <v>100</v>
      </c>
      <c r="AP1013" s="431" t="n">
        <v>100</v>
      </c>
      <c r="AQ1013" s="429" t="n"/>
      <c r="AR1013" s="431" t="n"/>
      <c r="AS1013" s="451" t="n"/>
      <c r="AT1013" s="386">
        <f>'CIRCUIT SIM'!BR103</f>
        <v/>
      </c>
      <c r="AU1013" s="451" t="n"/>
      <c r="AW1013" s="429" t="n">
        <v>100</v>
      </c>
      <c r="AX1013" s="431" t="n">
        <v>100</v>
      </c>
      <c r="AY1013" s="429" t="n"/>
      <c r="AZ1013" s="431" t="n"/>
      <c r="BA1013" s="451" t="n"/>
      <c r="BB1013" s="451">
        <f>'CIRCUIT SIM'!CG103</f>
        <v/>
      </c>
      <c r="BC1013" s="451" t="n"/>
      <c r="BE1013" s="429" t="n">
        <v>100</v>
      </c>
      <c r="BF1013" s="431" t="n"/>
      <c r="BG1013" s="429" t="n"/>
      <c r="BH1013" s="431" t="n"/>
      <c r="BI1013" s="451" t="n"/>
      <c r="BJ1013" s="451" t="n"/>
      <c r="BK1013" s="451" t="n"/>
      <c r="BM1013" s="429" t="n">
        <v>100</v>
      </c>
      <c r="BN1013" s="431" t="n">
        <v>100</v>
      </c>
      <c r="BO1013" s="429" t="n"/>
      <c r="BP1013" s="431" t="n"/>
      <c r="BQ1013" s="451" t="n"/>
      <c r="BR1013" s="451" t="n"/>
      <c r="BS1013" s="451" t="n"/>
      <c r="BU1013" s="429" t="n">
        <v>100</v>
      </c>
      <c r="BV1013" s="431" t="n">
        <v>100</v>
      </c>
      <c r="BW1013" s="429" t="n"/>
      <c r="BX1013" s="431" t="n"/>
      <c r="BY1013" s="451" t="n"/>
      <c r="BZ1013" s="451">
        <f>'CIRCUIT SIM'!EI103</f>
        <v/>
      </c>
      <c r="CA1013" s="451" t="n"/>
      <c r="CC1013" s="429" t="n">
        <v>100</v>
      </c>
      <c r="CD1013" s="431" t="n">
        <v>100</v>
      </c>
      <c r="CE1013" s="688" t="n"/>
      <c r="CF1013" s="431" t="inlineStr">
        <is>
          <t>Boolean</t>
        </is>
      </c>
      <c r="CG1013" s="451" t="n"/>
      <c r="CH1013" s="562">
        <f>'CIRCUIT SIM'!LK103</f>
        <v/>
      </c>
      <c r="CI1013" s="451" t="n"/>
      <c r="CK1013" s="429" t="n">
        <v>100</v>
      </c>
      <c r="CL1013" s="431" t="n">
        <v>100</v>
      </c>
      <c r="CM1013" s="688" t="n"/>
      <c r="CN1013" s="431" t="n"/>
      <c r="CO1013" s="451" t="n"/>
      <c r="CP1013" s="451" t="n"/>
      <c r="CQ1013" s="451" t="n"/>
      <c r="CS1013" s="429" t="n">
        <v>100</v>
      </c>
      <c r="CT1013" s="431" t="n">
        <v>100</v>
      </c>
      <c r="CU1013" s="688" t="n"/>
      <c r="CV1013" s="431" t="inlineStr">
        <is>
          <t>Boolean</t>
        </is>
      </c>
      <c r="CW1013" s="451" t="n"/>
      <c r="CX1013" s="451">
        <f>'CIRCUIT SIM'!MQ103</f>
        <v/>
      </c>
      <c r="CY1013" s="451" t="n"/>
      <c r="DA1013" s="429" t="n">
        <v>100</v>
      </c>
      <c r="DB1013" s="431" t="n">
        <v>100</v>
      </c>
      <c r="DC1013" s="688" t="n"/>
      <c r="DD1013" s="431" t="n"/>
      <c r="DE1013" s="451" t="n"/>
      <c r="DF1013" s="451" t="n"/>
      <c r="DG1013" s="451" t="n"/>
      <c r="DI1013" s="429" t="n">
        <v>100</v>
      </c>
      <c r="DJ1013" s="431" t="n">
        <v>100</v>
      </c>
      <c r="DK1013" s="688" t="n"/>
      <c r="DL1013" s="431" t="n"/>
      <c r="DM1013" s="429" t="n"/>
      <c r="DN1013" s="451">
        <f>'CIRCUIT SIM'!FN103</f>
        <v/>
      </c>
      <c r="DO1013" s="451" t="n"/>
      <c r="DQ1013" s="429" t="n">
        <v>100</v>
      </c>
      <c r="DR1013" s="431" t="n">
        <v>100</v>
      </c>
      <c r="DS1013" s="688" t="n"/>
      <c r="DT1013" s="431" t="n"/>
      <c r="DU1013" s="451" t="n"/>
      <c r="DV1013" s="451">
        <f>'CIRCUIT SIM'!HT103</f>
        <v/>
      </c>
      <c r="DW1013" s="451" t="n"/>
      <c r="DY1013" s="429" t="n">
        <v>100</v>
      </c>
      <c r="DZ1013" s="431" t="n">
        <v>100</v>
      </c>
      <c r="EA1013" s="688" t="n"/>
      <c r="EB1013" s="431" t="n"/>
      <c r="EC1013" s="451" t="n"/>
      <c r="ED1013" s="451" t="n"/>
      <c r="EE1013" s="451" t="n"/>
      <c r="EG1013" s="429" t="n">
        <v>100</v>
      </c>
      <c r="EH1013" s="431" t="n">
        <v>100</v>
      </c>
      <c r="EI1013" s="688" t="n"/>
      <c r="EJ1013" s="431" t="n"/>
      <c r="EK1013" s="451" t="n"/>
      <c r="EL1013" s="451" t="n"/>
      <c r="EM1013" s="451" t="n"/>
      <c r="EO1013" s="429" t="n">
        <v>100</v>
      </c>
      <c r="EP1013" s="431" t="n">
        <v>100</v>
      </c>
      <c r="EQ1013" s="688" t="n"/>
      <c r="ER1013" s="431" t="n"/>
      <c r="ES1013" s="451" t="n"/>
      <c r="ET1013" s="451" t="n"/>
      <c r="EU1013" s="451" t="n"/>
      <c r="EW1013" s="429" t="n">
        <v>100</v>
      </c>
      <c r="EX1013" s="431" t="n">
        <v>100</v>
      </c>
      <c r="EY1013" s="688" t="n"/>
      <c r="EZ1013" s="431" t="n"/>
      <c r="FA1013" s="451" t="n"/>
      <c r="FB1013" s="451" t="n"/>
      <c r="FC1013" s="451" t="n"/>
      <c r="FE1013" s="429" t="n">
        <v>100</v>
      </c>
      <c r="FF1013" s="431" t="n">
        <v>100</v>
      </c>
      <c r="FG1013" s="688" t="n"/>
      <c r="FH1013" s="431" t="n"/>
      <c r="FI1013" s="451" t="n"/>
      <c r="FJ1013" s="451" t="n"/>
      <c r="FK1013" s="451" t="n"/>
      <c r="FM1013" s="429" t="n">
        <v>100</v>
      </c>
      <c r="FN1013" s="431" t="n">
        <v>100</v>
      </c>
      <c r="FO1013" s="688" t="n"/>
      <c r="FP1013" s="431" t="n"/>
      <c r="FQ1013" s="451" t="n"/>
      <c r="FR1013" s="451">
        <f>'CIRCUIT SIM'!KY103</f>
        <v/>
      </c>
      <c r="FS1013" s="451" t="n"/>
      <c r="FU1013" s="429" t="n">
        <v>100</v>
      </c>
      <c r="FV1013" s="431" t="n">
        <v>100</v>
      </c>
      <c r="FW1013" s="688" t="n"/>
      <c r="FX1013" s="431" t="n"/>
      <c r="FY1013" s="451" t="n"/>
      <c r="FZ1013" s="562">
        <f>'CIRCUIT SIM'!JG103</f>
        <v/>
      </c>
      <c r="GA1013" s="451" t="n"/>
      <c r="GC1013" s="429" t="n">
        <v>100</v>
      </c>
      <c r="GD1013" s="431" t="n">
        <v>100</v>
      </c>
      <c r="GE1013" s="688" t="n"/>
      <c r="GF1013" s="431" t="n"/>
      <c r="GG1013" s="451" t="n"/>
      <c r="GH1013" s="451" t="n"/>
      <c r="GI1013" s="451" t="n"/>
      <c r="GK1013" s="429" t="n">
        <v>100</v>
      </c>
      <c r="GL1013" s="431" t="n">
        <v>100</v>
      </c>
      <c r="GM1013" s="688" t="n"/>
      <c r="GN1013" s="431" t="n"/>
      <c r="GO1013" s="451" t="n"/>
      <c r="GP1013" s="451" t="n"/>
      <c r="GQ1013" s="451" t="n"/>
      <c r="GS1013" s="429" t="n">
        <v>100</v>
      </c>
      <c r="GT1013" s="431" t="n">
        <v>100</v>
      </c>
      <c r="GU1013" s="688" t="n"/>
      <c r="GV1013" s="431" t="n"/>
      <c r="GW1013" s="451" t="n"/>
      <c r="GX1013" s="451" t="n"/>
      <c r="GY1013" s="451" t="n"/>
      <c r="HA1013" s="429" t="n">
        <v>100</v>
      </c>
      <c r="HB1013" s="431" t="n">
        <v>100</v>
      </c>
      <c r="HC1013" s="688" t="n"/>
      <c r="HD1013" s="431" t="n"/>
      <c r="HE1013" s="451" t="n"/>
      <c r="HF1013" s="451" t="n"/>
      <c r="HG1013" s="451" t="n"/>
    </row>
    <row r="1014">
      <c r="A1014" s="429" t="n">
        <v>101</v>
      </c>
      <c r="B1014" s="431" t="n">
        <v>101</v>
      </c>
      <c r="C1014" s="688" t="n"/>
      <c r="D1014" s="431" t="n"/>
      <c r="E1014" s="429" t="n"/>
      <c r="F1014" s="429" t="n"/>
      <c r="G1014" s="429" t="n"/>
      <c r="I1014" s="429" t="n">
        <v>101</v>
      </c>
      <c r="J1014" s="431" t="n">
        <v>101</v>
      </c>
      <c r="K1014" s="429" t="n"/>
      <c r="L1014" s="431" t="inlineStr">
        <is>
          <t>Boolean</t>
        </is>
      </c>
      <c r="M1014" s="451" t="n"/>
      <c r="N1014" s="422">
        <f>'CIRCUIT SIM'!Y104</f>
        <v/>
      </c>
      <c r="Q1014" s="429" t="n">
        <v>101</v>
      </c>
      <c r="R1014" s="431" t="n">
        <v>101</v>
      </c>
      <c r="S1014" s="429" t="n"/>
      <c r="T1014" s="431" t="inlineStr">
        <is>
          <t>Boolean</t>
        </is>
      </c>
      <c r="U1014" s="429" t="n"/>
      <c r="V1014" s="386">
        <f>'CIRCUIT SIM'!AO104</f>
        <v/>
      </c>
      <c r="W1014" s="451" t="n"/>
      <c r="Y1014" s="429" t="n">
        <v>101</v>
      </c>
      <c r="Z1014" s="431" t="n">
        <v>101</v>
      </c>
      <c r="AA1014" s="429" t="n"/>
      <c r="AB1014" s="431" t="n"/>
      <c r="AC1014" s="451" t="n"/>
      <c r="AD1014" s="451" t="n"/>
      <c r="AE1014" s="451" t="n"/>
      <c r="AG1014" s="429" t="n">
        <v>101</v>
      </c>
      <c r="AH1014" s="431" t="n">
        <v>101</v>
      </c>
      <c r="AI1014" s="429" t="n"/>
      <c r="AJ1014" s="431" t="n"/>
      <c r="AK1014" s="451" t="n"/>
      <c r="AL1014" s="451" t="n"/>
      <c r="AM1014" s="451" t="n"/>
      <c r="AO1014" s="429" t="n">
        <v>101</v>
      </c>
      <c r="AP1014" s="431" t="n">
        <v>101</v>
      </c>
      <c r="AQ1014" s="429" t="n"/>
      <c r="AR1014" s="431" t="n"/>
      <c r="AS1014" s="451" t="n"/>
      <c r="AT1014" s="386">
        <f>'CIRCUIT SIM'!BR104</f>
        <v/>
      </c>
      <c r="AU1014" s="451" t="n"/>
      <c r="AW1014" s="429" t="n">
        <v>101</v>
      </c>
      <c r="AX1014" s="431" t="n">
        <v>101</v>
      </c>
      <c r="AY1014" s="429" t="n"/>
      <c r="AZ1014" s="431" t="n"/>
      <c r="BA1014" s="451" t="n"/>
      <c r="BB1014" s="451">
        <f>'CIRCUIT SIM'!CG104</f>
        <v/>
      </c>
      <c r="BC1014" s="451" t="n"/>
      <c r="BE1014" s="429" t="n">
        <v>101</v>
      </c>
      <c r="BF1014" s="431" t="n"/>
      <c r="BG1014" s="429" t="n"/>
      <c r="BH1014" s="431" t="n"/>
      <c r="BI1014" s="451" t="n"/>
      <c r="BJ1014" s="451" t="n"/>
      <c r="BK1014" s="451" t="n"/>
      <c r="BM1014" s="429" t="n">
        <v>101</v>
      </c>
      <c r="BN1014" s="431" t="n">
        <v>101</v>
      </c>
      <c r="BO1014" s="429" t="n"/>
      <c r="BP1014" s="431" t="n"/>
      <c r="BQ1014" s="451" t="n"/>
      <c r="BR1014" s="451" t="n"/>
      <c r="BS1014" s="451" t="n"/>
      <c r="BU1014" s="429" t="n">
        <v>101</v>
      </c>
      <c r="BV1014" s="431" t="n">
        <v>101</v>
      </c>
      <c r="BW1014" s="429" t="n"/>
      <c r="BX1014" s="431" t="n"/>
      <c r="BY1014" s="451" t="n"/>
      <c r="BZ1014" s="451">
        <f>'CIRCUIT SIM'!EI104</f>
        <v/>
      </c>
      <c r="CA1014" s="451" t="n"/>
      <c r="CC1014" s="429" t="n">
        <v>101</v>
      </c>
      <c r="CD1014" s="431" t="n">
        <v>101</v>
      </c>
      <c r="CE1014" s="688" t="n"/>
      <c r="CF1014" s="431" t="inlineStr">
        <is>
          <t>Boolean</t>
        </is>
      </c>
      <c r="CG1014" s="451" t="n"/>
      <c r="CH1014" s="562">
        <f>'CIRCUIT SIM'!LK104</f>
        <v/>
      </c>
      <c r="CI1014" s="451" t="n"/>
      <c r="CK1014" s="429" t="n">
        <v>101</v>
      </c>
      <c r="CL1014" s="431" t="n">
        <v>101</v>
      </c>
      <c r="CM1014" s="688" t="n"/>
      <c r="CN1014" s="431" t="n"/>
      <c r="CO1014" s="451" t="n"/>
      <c r="CP1014" s="451" t="n"/>
      <c r="CQ1014" s="451" t="n"/>
      <c r="CS1014" s="429" t="n">
        <v>101</v>
      </c>
      <c r="CT1014" s="431" t="n">
        <v>101</v>
      </c>
      <c r="CU1014" s="688" t="n"/>
      <c r="CV1014" s="431" t="inlineStr">
        <is>
          <t>Boolean</t>
        </is>
      </c>
      <c r="CW1014" s="451" t="n"/>
      <c r="CX1014" s="451">
        <f>'CIRCUIT SIM'!MQ104</f>
        <v/>
      </c>
      <c r="CY1014" s="451" t="n"/>
      <c r="DA1014" s="429" t="n">
        <v>101</v>
      </c>
      <c r="DB1014" s="431" t="n">
        <v>101</v>
      </c>
      <c r="DC1014" s="688" t="n"/>
      <c r="DD1014" s="431" t="n"/>
      <c r="DE1014" s="451" t="n"/>
      <c r="DF1014" s="451" t="n"/>
      <c r="DG1014" s="451" t="n"/>
      <c r="DI1014" s="429" t="n">
        <v>101</v>
      </c>
      <c r="DJ1014" s="431" t="n">
        <v>101</v>
      </c>
      <c r="DK1014" s="688" t="n"/>
      <c r="DL1014" s="431" t="n"/>
      <c r="DM1014" s="429" t="n"/>
      <c r="DN1014" s="451">
        <f>'CIRCUIT SIM'!FN104</f>
        <v/>
      </c>
      <c r="DO1014" s="451" t="n"/>
      <c r="DQ1014" s="429" t="n">
        <v>101</v>
      </c>
      <c r="DR1014" s="431" t="n">
        <v>101</v>
      </c>
      <c r="DS1014" s="688" t="n"/>
      <c r="DT1014" s="431" t="n"/>
      <c r="DU1014" s="451" t="n"/>
      <c r="DV1014" s="451">
        <f>'CIRCUIT SIM'!HT104</f>
        <v/>
      </c>
      <c r="DW1014" s="451" t="n"/>
      <c r="DY1014" s="429" t="n">
        <v>101</v>
      </c>
      <c r="DZ1014" s="431" t="n">
        <v>101</v>
      </c>
      <c r="EA1014" s="688" t="n"/>
      <c r="EB1014" s="431" t="n"/>
      <c r="EC1014" s="451" t="n"/>
      <c r="ED1014" s="451" t="n"/>
      <c r="EE1014" s="451" t="n"/>
      <c r="EG1014" s="429" t="n">
        <v>101</v>
      </c>
      <c r="EH1014" s="431" t="n">
        <v>101</v>
      </c>
      <c r="EI1014" s="688" t="n"/>
      <c r="EJ1014" s="431" t="n"/>
      <c r="EK1014" s="451" t="n"/>
      <c r="EL1014" s="451" t="n"/>
      <c r="EM1014" s="451" t="n"/>
      <c r="EO1014" s="429" t="n">
        <v>101</v>
      </c>
      <c r="EP1014" s="431" t="n">
        <v>101</v>
      </c>
      <c r="EQ1014" s="688" t="n"/>
      <c r="ER1014" s="431" t="n"/>
      <c r="ES1014" s="451" t="n"/>
      <c r="ET1014" s="451" t="n"/>
      <c r="EU1014" s="451" t="n"/>
      <c r="EW1014" s="429" t="n">
        <v>101</v>
      </c>
      <c r="EX1014" s="431" t="n">
        <v>101</v>
      </c>
      <c r="EY1014" s="688" t="n"/>
      <c r="EZ1014" s="431" t="n"/>
      <c r="FA1014" s="451" t="n"/>
      <c r="FB1014" s="451" t="n"/>
      <c r="FC1014" s="451" t="n"/>
      <c r="FE1014" s="429" t="n">
        <v>101</v>
      </c>
      <c r="FF1014" s="431" t="n">
        <v>101</v>
      </c>
      <c r="FG1014" s="688" t="n"/>
      <c r="FH1014" s="431" t="n"/>
      <c r="FI1014" s="451" t="n"/>
      <c r="FJ1014" s="451" t="n"/>
      <c r="FK1014" s="451" t="n"/>
      <c r="FM1014" s="429" t="n">
        <v>101</v>
      </c>
      <c r="FN1014" s="431" t="n">
        <v>101</v>
      </c>
      <c r="FO1014" s="688" t="n"/>
      <c r="FP1014" s="431" t="n"/>
      <c r="FQ1014" s="451" t="n"/>
      <c r="FR1014" s="451">
        <f>'CIRCUIT SIM'!KY104</f>
        <v/>
      </c>
      <c r="FS1014" s="451" t="n"/>
      <c r="FU1014" s="429" t="n">
        <v>101</v>
      </c>
      <c r="FV1014" s="431" t="n">
        <v>101</v>
      </c>
      <c r="FW1014" s="688" t="n"/>
      <c r="FX1014" s="431" t="n"/>
      <c r="FY1014" s="451" t="n"/>
      <c r="FZ1014" s="562">
        <f>'CIRCUIT SIM'!JG104</f>
        <v/>
      </c>
      <c r="GA1014" s="451" t="n"/>
      <c r="GC1014" s="429" t="n">
        <v>101</v>
      </c>
      <c r="GD1014" s="431" t="n">
        <v>101</v>
      </c>
      <c r="GE1014" s="688" t="n"/>
      <c r="GF1014" s="431" t="n"/>
      <c r="GG1014" s="451" t="n"/>
      <c r="GH1014" s="451" t="n"/>
      <c r="GI1014" s="451" t="n"/>
      <c r="GK1014" s="429" t="n">
        <v>101</v>
      </c>
      <c r="GL1014" s="431" t="n">
        <v>101</v>
      </c>
      <c r="GM1014" s="688" t="n"/>
      <c r="GN1014" s="431" t="n"/>
      <c r="GO1014" s="451" t="n"/>
      <c r="GP1014" s="451" t="n"/>
      <c r="GQ1014" s="451" t="n"/>
      <c r="GS1014" s="429" t="n">
        <v>101</v>
      </c>
      <c r="GT1014" s="431" t="n">
        <v>101</v>
      </c>
      <c r="GU1014" s="688" t="n"/>
      <c r="GV1014" s="431" t="n"/>
      <c r="GW1014" s="451" t="n"/>
      <c r="GX1014" s="451" t="n"/>
      <c r="GY1014" s="451" t="n"/>
      <c r="HA1014" s="429" t="n">
        <v>101</v>
      </c>
      <c r="HB1014" s="431" t="n">
        <v>101</v>
      </c>
      <c r="HC1014" s="688" t="n"/>
      <c r="HD1014" s="431" t="n"/>
      <c r="HE1014" s="451" t="n"/>
      <c r="HF1014" s="451" t="n"/>
      <c r="HG1014" s="451" t="n"/>
    </row>
    <row r="1015">
      <c r="A1015" s="429" t="n">
        <v>102</v>
      </c>
      <c r="B1015" s="431" t="n">
        <v>102</v>
      </c>
      <c r="C1015" s="688" t="n"/>
      <c r="D1015" s="431" t="n"/>
      <c r="E1015" s="429" t="n"/>
      <c r="F1015" s="429" t="n"/>
      <c r="G1015" s="429" t="n"/>
      <c r="I1015" s="429" t="n">
        <v>102</v>
      </c>
      <c r="J1015" s="431" t="n">
        <v>102</v>
      </c>
      <c r="K1015" s="429" t="n"/>
      <c r="L1015" s="431" t="inlineStr">
        <is>
          <t>Boolean</t>
        </is>
      </c>
      <c r="M1015" s="451" t="n"/>
      <c r="N1015" s="422">
        <f>'CIRCUIT SIM'!Y105</f>
        <v/>
      </c>
      <c r="Q1015" s="429" t="n">
        <v>102</v>
      </c>
      <c r="R1015" s="431" t="n">
        <v>102</v>
      </c>
      <c r="S1015" s="429" t="n"/>
      <c r="T1015" s="431" t="inlineStr">
        <is>
          <t>Boolean</t>
        </is>
      </c>
      <c r="U1015" s="429" t="n"/>
      <c r="V1015" s="386">
        <f>'CIRCUIT SIM'!AO105</f>
        <v/>
      </c>
      <c r="W1015" s="451" t="n"/>
      <c r="Y1015" s="429" t="n">
        <v>102</v>
      </c>
      <c r="Z1015" s="431" t="n">
        <v>102</v>
      </c>
      <c r="AA1015" s="429" t="n"/>
      <c r="AB1015" s="431" t="n"/>
      <c r="AC1015" s="451" t="n"/>
      <c r="AD1015" s="451" t="n"/>
      <c r="AE1015" s="451" t="n"/>
      <c r="AG1015" s="429" t="n">
        <v>102</v>
      </c>
      <c r="AH1015" s="431" t="n">
        <v>102</v>
      </c>
      <c r="AI1015" s="429" t="n"/>
      <c r="AJ1015" s="431" t="n"/>
      <c r="AK1015" s="451" t="n"/>
      <c r="AL1015" s="451" t="n"/>
      <c r="AM1015" s="451" t="n"/>
      <c r="AO1015" s="429" t="n">
        <v>102</v>
      </c>
      <c r="AP1015" s="431" t="n">
        <v>102</v>
      </c>
      <c r="AQ1015" s="429" t="n"/>
      <c r="AR1015" s="431" t="n"/>
      <c r="AS1015" s="451" t="n"/>
      <c r="AT1015" s="386">
        <f>'CIRCUIT SIM'!BR105</f>
        <v/>
      </c>
      <c r="AU1015" s="451" t="n"/>
      <c r="AW1015" s="429" t="n">
        <v>102</v>
      </c>
      <c r="AX1015" s="431" t="n">
        <v>102</v>
      </c>
      <c r="AY1015" s="429" t="n"/>
      <c r="AZ1015" s="431" t="n"/>
      <c r="BA1015" s="451" t="n"/>
      <c r="BB1015" s="451">
        <f>'CIRCUIT SIM'!CG105</f>
        <v/>
      </c>
      <c r="BC1015" s="451" t="n"/>
      <c r="BE1015" s="429" t="n">
        <v>102</v>
      </c>
      <c r="BF1015" s="431" t="n"/>
      <c r="BG1015" s="429" t="n"/>
      <c r="BH1015" s="431" t="n"/>
      <c r="BI1015" s="451" t="n"/>
      <c r="BJ1015" s="451" t="n"/>
      <c r="BK1015" s="451" t="n"/>
      <c r="BM1015" s="429" t="n">
        <v>102</v>
      </c>
      <c r="BN1015" s="431" t="n">
        <v>102</v>
      </c>
      <c r="BO1015" s="429" t="n"/>
      <c r="BP1015" s="431" t="n"/>
      <c r="BQ1015" s="451" t="n"/>
      <c r="BR1015" s="451" t="n"/>
      <c r="BS1015" s="451" t="n"/>
      <c r="BU1015" s="429" t="n">
        <v>102</v>
      </c>
      <c r="BV1015" s="431" t="n">
        <v>102</v>
      </c>
      <c r="BW1015" s="429" t="n"/>
      <c r="BX1015" s="431" t="n"/>
      <c r="BY1015" s="451" t="n"/>
      <c r="BZ1015" s="451">
        <f>'CIRCUIT SIM'!EI105</f>
        <v/>
      </c>
      <c r="CA1015" s="451" t="n"/>
      <c r="CC1015" s="429" t="n">
        <v>102</v>
      </c>
      <c r="CD1015" s="431" t="n">
        <v>102</v>
      </c>
      <c r="CE1015" s="688" t="n"/>
      <c r="CF1015" s="431" t="inlineStr">
        <is>
          <t>Boolean</t>
        </is>
      </c>
      <c r="CG1015" s="451" t="n"/>
      <c r="CH1015" s="562">
        <f>'CIRCUIT SIM'!LK105</f>
        <v/>
      </c>
      <c r="CI1015" s="451" t="n"/>
      <c r="CK1015" s="429" t="n">
        <v>102</v>
      </c>
      <c r="CL1015" s="431" t="n">
        <v>102</v>
      </c>
      <c r="CM1015" s="688" t="n"/>
      <c r="CN1015" s="431" t="n"/>
      <c r="CO1015" s="451" t="n"/>
      <c r="CP1015" s="451" t="n"/>
      <c r="CQ1015" s="451" t="n"/>
      <c r="CS1015" s="429" t="n">
        <v>102</v>
      </c>
      <c r="CT1015" s="431" t="n">
        <v>102</v>
      </c>
      <c r="CU1015" s="688" t="n"/>
      <c r="CV1015" s="431" t="inlineStr">
        <is>
          <t>Boolean</t>
        </is>
      </c>
      <c r="CW1015" s="451" t="n"/>
      <c r="CX1015" s="451">
        <f>'CIRCUIT SIM'!MQ105</f>
        <v/>
      </c>
      <c r="CY1015" s="451" t="n"/>
      <c r="DA1015" s="429" t="n">
        <v>102</v>
      </c>
      <c r="DB1015" s="431" t="n">
        <v>102</v>
      </c>
      <c r="DC1015" s="688" t="n"/>
      <c r="DD1015" s="431" t="n"/>
      <c r="DE1015" s="451" t="n"/>
      <c r="DF1015" s="451" t="n"/>
      <c r="DG1015" s="451" t="n"/>
      <c r="DI1015" s="429" t="n">
        <v>102</v>
      </c>
      <c r="DJ1015" s="431" t="n">
        <v>102</v>
      </c>
      <c r="DK1015" s="688" t="n"/>
      <c r="DL1015" s="431" t="n"/>
      <c r="DM1015" s="429" t="n"/>
      <c r="DN1015" s="451">
        <f>'CIRCUIT SIM'!FN105</f>
        <v/>
      </c>
      <c r="DO1015" s="451" t="n"/>
      <c r="DQ1015" s="429" t="n">
        <v>102</v>
      </c>
      <c r="DR1015" s="431" t="n">
        <v>102</v>
      </c>
      <c r="DS1015" s="688" t="n"/>
      <c r="DT1015" s="431" t="n"/>
      <c r="DU1015" s="451" t="n"/>
      <c r="DV1015" s="451">
        <f>'CIRCUIT SIM'!HT105</f>
        <v/>
      </c>
      <c r="DW1015" s="451" t="n"/>
      <c r="DY1015" s="429" t="n">
        <v>102</v>
      </c>
      <c r="DZ1015" s="431" t="n">
        <v>102</v>
      </c>
      <c r="EA1015" s="688" t="n"/>
      <c r="EB1015" s="431" t="n"/>
      <c r="EC1015" s="451" t="n"/>
      <c r="ED1015" s="451" t="n"/>
      <c r="EE1015" s="451" t="n"/>
      <c r="EG1015" s="429" t="n">
        <v>102</v>
      </c>
      <c r="EH1015" s="431" t="n">
        <v>102</v>
      </c>
      <c r="EI1015" s="688" t="n"/>
      <c r="EJ1015" s="431" t="n"/>
      <c r="EK1015" s="451" t="n"/>
      <c r="EL1015" s="451" t="n"/>
      <c r="EM1015" s="451" t="n"/>
      <c r="EO1015" s="429" t="n">
        <v>102</v>
      </c>
      <c r="EP1015" s="431" t="n">
        <v>102</v>
      </c>
      <c r="EQ1015" s="688" t="n"/>
      <c r="ER1015" s="431" t="n"/>
      <c r="ES1015" s="451" t="n"/>
      <c r="ET1015" s="451" t="n"/>
      <c r="EU1015" s="451" t="n"/>
      <c r="EW1015" s="429" t="n">
        <v>102</v>
      </c>
      <c r="EX1015" s="431" t="n">
        <v>102</v>
      </c>
      <c r="EY1015" s="688" t="n"/>
      <c r="EZ1015" s="431" t="n"/>
      <c r="FA1015" s="451" t="n"/>
      <c r="FB1015" s="451" t="n"/>
      <c r="FC1015" s="451" t="n"/>
      <c r="FE1015" s="429" t="n">
        <v>102</v>
      </c>
      <c r="FF1015" s="431" t="n">
        <v>102</v>
      </c>
      <c r="FG1015" s="688" t="n"/>
      <c r="FH1015" s="431" t="n"/>
      <c r="FI1015" s="451" t="n"/>
      <c r="FJ1015" s="451" t="n"/>
      <c r="FK1015" s="451" t="n"/>
      <c r="FM1015" s="429" t="n">
        <v>102</v>
      </c>
      <c r="FN1015" s="431" t="n">
        <v>102</v>
      </c>
      <c r="FO1015" s="688" t="n"/>
      <c r="FP1015" s="431" t="n"/>
      <c r="FQ1015" s="451" t="n"/>
      <c r="FR1015" s="451">
        <f>'CIRCUIT SIM'!KY105</f>
        <v/>
      </c>
      <c r="FS1015" s="451" t="n"/>
      <c r="FU1015" s="429" t="n">
        <v>102</v>
      </c>
      <c r="FV1015" s="431" t="n">
        <v>102</v>
      </c>
      <c r="FW1015" s="688" t="n"/>
      <c r="FX1015" s="431" t="n"/>
      <c r="FY1015" s="451" t="n"/>
      <c r="FZ1015" s="562">
        <f>'CIRCUIT SIM'!JG105</f>
        <v/>
      </c>
      <c r="GA1015" s="451" t="n"/>
      <c r="GC1015" s="429" t="n">
        <v>102</v>
      </c>
      <c r="GD1015" s="431" t="n">
        <v>102</v>
      </c>
      <c r="GE1015" s="688" t="n"/>
      <c r="GF1015" s="431" t="n"/>
      <c r="GG1015" s="451" t="n"/>
      <c r="GH1015" s="451" t="n"/>
      <c r="GI1015" s="451" t="n"/>
      <c r="GK1015" s="429" t="n">
        <v>102</v>
      </c>
      <c r="GL1015" s="431" t="n">
        <v>102</v>
      </c>
      <c r="GM1015" s="688" t="n"/>
      <c r="GN1015" s="431" t="n"/>
      <c r="GO1015" s="451" t="n"/>
      <c r="GP1015" s="451" t="n"/>
      <c r="GQ1015" s="451" t="n"/>
      <c r="GS1015" s="429" t="n">
        <v>102</v>
      </c>
      <c r="GT1015" s="431" t="n">
        <v>102</v>
      </c>
      <c r="GU1015" s="688" t="n"/>
      <c r="GV1015" s="431" t="n"/>
      <c r="GW1015" s="451" t="n"/>
      <c r="GX1015" s="451" t="n"/>
      <c r="GY1015" s="451" t="n"/>
      <c r="HA1015" s="429" t="n">
        <v>102</v>
      </c>
      <c r="HB1015" s="431" t="n">
        <v>102</v>
      </c>
      <c r="HC1015" s="688" t="n"/>
      <c r="HD1015" s="431" t="n"/>
      <c r="HE1015" s="451" t="n"/>
      <c r="HF1015" s="451" t="n"/>
      <c r="HG1015" s="451" t="n"/>
    </row>
    <row r="1016">
      <c r="A1016" s="429" t="n">
        <v>103</v>
      </c>
      <c r="B1016" s="431" t="n">
        <v>103</v>
      </c>
      <c r="C1016" s="688" t="n"/>
      <c r="D1016" s="431" t="n"/>
      <c r="E1016" s="429" t="n"/>
      <c r="F1016" s="429" t="n"/>
      <c r="G1016" s="429" t="n"/>
      <c r="I1016" s="429" t="n">
        <v>103</v>
      </c>
      <c r="J1016" s="431" t="n">
        <v>103</v>
      </c>
      <c r="K1016" s="429" t="n"/>
      <c r="L1016" s="431" t="inlineStr">
        <is>
          <t>Boolean</t>
        </is>
      </c>
      <c r="M1016" s="451" t="n"/>
      <c r="N1016" s="422">
        <f>'CIRCUIT SIM'!Y106</f>
        <v/>
      </c>
      <c r="Q1016" s="429" t="n">
        <v>103</v>
      </c>
      <c r="R1016" s="431" t="n">
        <v>103</v>
      </c>
      <c r="S1016" s="429" t="n"/>
      <c r="T1016" s="431" t="inlineStr">
        <is>
          <t>Boolean</t>
        </is>
      </c>
      <c r="U1016" s="429" t="n"/>
      <c r="V1016" s="386">
        <f>'CIRCUIT SIM'!AO106</f>
        <v/>
      </c>
      <c r="W1016" s="451" t="n"/>
      <c r="Y1016" s="429" t="n">
        <v>103</v>
      </c>
      <c r="Z1016" s="431" t="n">
        <v>103</v>
      </c>
      <c r="AA1016" s="429" t="n"/>
      <c r="AB1016" s="431" t="n"/>
      <c r="AC1016" s="451" t="n"/>
      <c r="AD1016" s="451" t="n"/>
      <c r="AE1016" s="451" t="n"/>
      <c r="AG1016" s="429" t="n">
        <v>103</v>
      </c>
      <c r="AH1016" s="431" t="n">
        <v>103</v>
      </c>
      <c r="AI1016" s="429" t="n"/>
      <c r="AJ1016" s="431" t="n"/>
      <c r="AK1016" s="451" t="n"/>
      <c r="AL1016" s="451" t="n"/>
      <c r="AM1016" s="451" t="n"/>
      <c r="AO1016" s="429" t="n">
        <v>103</v>
      </c>
      <c r="AP1016" s="431" t="n">
        <v>103</v>
      </c>
      <c r="AQ1016" s="429" t="n"/>
      <c r="AR1016" s="431" t="n"/>
      <c r="AS1016" s="451" t="n"/>
      <c r="AT1016" s="386">
        <f>'CIRCUIT SIM'!BR106</f>
        <v/>
      </c>
      <c r="AU1016" s="451" t="n"/>
      <c r="AW1016" s="429" t="n">
        <v>103</v>
      </c>
      <c r="AX1016" s="431" t="n">
        <v>103</v>
      </c>
      <c r="AY1016" s="429" t="n"/>
      <c r="AZ1016" s="431" t="n"/>
      <c r="BA1016" s="451" t="n"/>
      <c r="BB1016" s="451">
        <f>'CIRCUIT SIM'!CG106</f>
        <v/>
      </c>
      <c r="BC1016" s="451" t="n"/>
      <c r="BE1016" s="429" t="n">
        <v>103</v>
      </c>
      <c r="BF1016" s="431" t="n"/>
      <c r="BG1016" s="429" t="n"/>
      <c r="BH1016" s="431" t="n"/>
      <c r="BI1016" s="451" t="n"/>
      <c r="BJ1016" s="451" t="n"/>
      <c r="BK1016" s="451" t="n"/>
      <c r="BM1016" s="429" t="n">
        <v>103</v>
      </c>
      <c r="BN1016" s="431" t="n">
        <v>103</v>
      </c>
      <c r="BO1016" s="429" t="n"/>
      <c r="BP1016" s="431" t="n"/>
      <c r="BQ1016" s="451" t="n"/>
      <c r="BR1016" s="451" t="n"/>
      <c r="BS1016" s="451" t="n"/>
      <c r="BU1016" s="429" t="n">
        <v>103</v>
      </c>
      <c r="BV1016" s="431" t="n">
        <v>103</v>
      </c>
      <c r="BW1016" s="429" t="n"/>
      <c r="BX1016" s="431" t="n"/>
      <c r="BY1016" s="451" t="n"/>
      <c r="BZ1016" s="451">
        <f>'CIRCUIT SIM'!EI106</f>
        <v/>
      </c>
      <c r="CA1016" s="451" t="n"/>
      <c r="CC1016" s="429" t="n">
        <v>103</v>
      </c>
      <c r="CD1016" s="431" t="n">
        <v>103</v>
      </c>
      <c r="CE1016" s="688" t="n"/>
      <c r="CF1016" s="431" t="inlineStr">
        <is>
          <t>Boolean</t>
        </is>
      </c>
      <c r="CG1016" s="451" t="n"/>
      <c r="CH1016" s="562">
        <f>'CIRCUIT SIM'!LK106</f>
        <v/>
      </c>
      <c r="CI1016" s="451" t="n"/>
      <c r="CK1016" s="429" t="n">
        <v>103</v>
      </c>
      <c r="CL1016" s="431" t="n">
        <v>103</v>
      </c>
      <c r="CM1016" s="688" t="n"/>
      <c r="CN1016" s="431" t="n"/>
      <c r="CO1016" s="451" t="n"/>
      <c r="CP1016" s="451" t="n"/>
      <c r="CQ1016" s="451" t="n"/>
      <c r="CS1016" s="429" t="n">
        <v>103</v>
      </c>
      <c r="CT1016" s="431" t="n">
        <v>103</v>
      </c>
      <c r="CU1016" s="688" t="n"/>
      <c r="CV1016" s="431" t="inlineStr">
        <is>
          <t>Boolean</t>
        </is>
      </c>
      <c r="CW1016" s="451" t="n"/>
      <c r="CX1016" s="451">
        <f>'CIRCUIT SIM'!MQ106</f>
        <v/>
      </c>
      <c r="CY1016" s="451" t="n"/>
      <c r="DA1016" s="429" t="n">
        <v>103</v>
      </c>
      <c r="DB1016" s="431" t="n">
        <v>103</v>
      </c>
      <c r="DC1016" s="688" t="n"/>
      <c r="DD1016" s="431" t="n"/>
      <c r="DE1016" s="451" t="n"/>
      <c r="DF1016" s="451" t="n"/>
      <c r="DG1016" s="451" t="n"/>
      <c r="DI1016" s="429" t="n">
        <v>103</v>
      </c>
      <c r="DJ1016" s="431" t="n">
        <v>103</v>
      </c>
      <c r="DK1016" s="688" t="n"/>
      <c r="DL1016" s="431" t="n"/>
      <c r="DM1016" s="429" t="n"/>
      <c r="DN1016" s="451">
        <f>'CIRCUIT SIM'!FN106</f>
        <v/>
      </c>
      <c r="DO1016" s="451" t="n"/>
      <c r="DQ1016" s="429" t="n">
        <v>103</v>
      </c>
      <c r="DR1016" s="431" t="n">
        <v>103</v>
      </c>
      <c r="DS1016" s="688" t="n"/>
      <c r="DT1016" s="431" t="n"/>
      <c r="DU1016" s="451" t="n"/>
      <c r="DV1016" s="451">
        <f>'CIRCUIT SIM'!HT106</f>
        <v/>
      </c>
      <c r="DW1016" s="451" t="n"/>
      <c r="DY1016" s="429" t="n">
        <v>103</v>
      </c>
      <c r="DZ1016" s="431" t="n">
        <v>103</v>
      </c>
      <c r="EA1016" s="688" t="n"/>
      <c r="EB1016" s="431" t="n"/>
      <c r="EC1016" s="451" t="n"/>
      <c r="ED1016" s="451" t="n"/>
      <c r="EE1016" s="451" t="n"/>
      <c r="EG1016" s="429" t="n">
        <v>103</v>
      </c>
      <c r="EH1016" s="431" t="n">
        <v>103</v>
      </c>
      <c r="EI1016" s="688" t="n"/>
      <c r="EJ1016" s="431" t="n"/>
      <c r="EK1016" s="451" t="n"/>
      <c r="EL1016" s="451" t="n"/>
      <c r="EM1016" s="451" t="n"/>
      <c r="EO1016" s="429" t="n">
        <v>103</v>
      </c>
      <c r="EP1016" s="431" t="n">
        <v>103</v>
      </c>
      <c r="EQ1016" s="688" t="n"/>
      <c r="ER1016" s="431" t="n"/>
      <c r="ES1016" s="451" t="n"/>
      <c r="ET1016" s="451" t="n"/>
      <c r="EU1016" s="451" t="n"/>
      <c r="EW1016" s="429" t="n">
        <v>103</v>
      </c>
      <c r="EX1016" s="431" t="n">
        <v>103</v>
      </c>
      <c r="EY1016" s="688" t="n"/>
      <c r="EZ1016" s="431" t="n"/>
      <c r="FA1016" s="451" t="n"/>
      <c r="FB1016" s="451" t="n"/>
      <c r="FC1016" s="451" t="n"/>
      <c r="FE1016" s="429" t="n">
        <v>103</v>
      </c>
      <c r="FF1016" s="431" t="n">
        <v>103</v>
      </c>
      <c r="FG1016" s="688" t="n"/>
      <c r="FH1016" s="431" t="n"/>
      <c r="FI1016" s="451" t="n"/>
      <c r="FJ1016" s="451" t="n"/>
      <c r="FK1016" s="451" t="n"/>
      <c r="FM1016" s="429" t="n">
        <v>103</v>
      </c>
      <c r="FN1016" s="431" t="n">
        <v>103</v>
      </c>
      <c r="FO1016" s="688" t="n"/>
      <c r="FP1016" s="431" t="n"/>
      <c r="FQ1016" s="451" t="n"/>
      <c r="FR1016" s="451">
        <f>'CIRCUIT SIM'!KY106</f>
        <v/>
      </c>
      <c r="FS1016" s="451" t="n"/>
      <c r="FU1016" s="429" t="n">
        <v>103</v>
      </c>
      <c r="FV1016" s="431" t="n">
        <v>103</v>
      </c>
      <c r="FW1016" s="688" t="n"/>
      <c r="FX1016" s="431" t="n"/>
      <c r="FY1016" s="451" t="n"/>
      <c r="FZ1016" s="562">
        <f>'CIRCUIT SIM'!JG106</f>
        <v/>
      </c>
      <c r="GA1016" s="451" t="n"/>
      <c r="GC1016" s="429" t="n">
        <v>103</v>
      </c>
      <c r="GD1016" s="431" t="n">
        <v>103</v>
      </c>
      <c r="GE1016" s="688" t="n"/>
      <c r="GF1016" s="431" t="n"/>
      <c r="GG1016" s="451" t="n"/>
      <c r="GH1016" s="451" t="n"/>
      <c r="GI1016" s="451" t="n"/>
      <c r="GK1016" s="429" t="n">
        <v>103</v>
      </c>
      <c r="GL1016" s="431" t="n">
        <v>103</v>
      </c>
      <c r="GM1016" s="688" t="n"/>
      <c r="GN1016" s="431" t="n"/>
      <c r="GO1016" s="451" t="n"/>
      <c r="GP1016" s="451" t="n"/>
      <c r="GQ1016" s="451" t="n"/>
      <c r="GS1016" s="429" t="n">
        <v>103</v>
      </c>
      <c r="GT1016" s="431" t="n">
        <v>103</v>
      </c>
      <c r="GU1016" s="688" t="n"/>
      <c r="GV1016" s="431" t="n"/>
      <c r="GW1016" s="451" t="n"/>
      <c r="GX1016" s="451" t="n"/>
      <c r="GY1016" s="451" t="n"/>
      <c r="HA1016" s="429" t="n">
        <v>103</v>
      </c>
      <c r="HB1016" s="431" t="n">
        <v>103</v>
      </c>
      <c r="HC1016" s="688" t="n"/>
      <c r="HD1016" s="431" t="n"/>
      <c r="HE1016" s="451" t="n"/>
      <c r="HF1016" s="451" t="n"/>
      <c r="HG1016" s="451" t="n"/>
    </row>
    <row r="1017">
      <c r="A1017" s="429" t="n">
        <v>104</v>
      </c>
      <c r="B1017" s="431" t="n">
        <v>104</v>
      </c>
      <c r="C1017" s="688" t="n"/>
      <c r="D1017" s="431" t="n"/>
      <c r="E1017" s="429" t="n"/>
      <c r="F1017" s="429" t="n"/>
      <c r="G1017" s="429" t="n"/>
      <c r="I1017" s="429" t="n">
        <v>104</v>
      </c>
      <c r="J1017" s="431" t="n">
        <v>104</v>
      </c>
      <c r="K1017" s="429" t="n"/>
      <c r="L1017" s="431" t="inlineStr">
        <is>
          <t>Boolean</t>
        </is>
      </c>
      <c r="M1017" s="451" t="n"/>
      <c r="N1017" s="422">
        <f>'CIRCUIT SIM'!Y107</f>
        <v/>
      </c>
      <c r="Q1017" s="429" t="n">
        <v>104</v>
      </c>
      <c r="R1017" s="431" t="n">
        <v>104</v>
      </c>
      <c r="S1017" s="429" t="n"/>
      <c r="T1017" s="431" t="inlineStr">
        <is>
          <t>Boolean</t>
        </is>
      </c>
      <c r="U1017" s="429" t="n"/>
      <c r="V1017" s="386">
        <f>'CIRCUIT SIM'!AO107</f>
        <v/>
      </c>
      <c r="W1017" s="451" t="n"/>
      <c r="Y1017" s="429" t="n">
        <v>104</v>
      </c>
      <c r="Z1017" s="431" t="n">
        <v>104</v>
      </c>
      <c r="AA1017" s="429" t="n"/>
      <c r="AB1017" s="431" t="n"/>
      <c r="AC1017" s="451" t="n"/>
      <c r="AD1017" s="451" t="n"/>
      <c r="AE1017" s="451" t="n"/>
      <c r="AG1017" s="429" t="n">
        <v>104</v>
      </c>
      <c r="AH1017" s="431" t="n">
        <v>104</v>
      </c>
      <c r="AI1017" s="429" t="n"/>
      <c r="AJ1017" s="431" t="n"/>
      <c r="AK1017" s="451" t="n"/>
      <c r="AL1017" s="451" t="n"/>
      <c r="AM1017" s="451" t="n"/>
      <c r="AO1017" s="429" t="n">
        <v>104</v>
      </c>
      <c r="AP1017" s="431" t="n">
        <v>104</v>
      </c>
      <c r="AQ1017" s="429" t="n"/>
      <c r="AR1017" s="431" t="n"/>
      <c r="AS1017" s="451" t="n"/>
      <c r="AT1017" s="386">
        <f>'CIRCUIT SIM'!BR107</f>
        <v/>
      </c>
      <c r="AU1017" s="451" t="n"/>
      <c r="AW1017" s="429" t="n">
        <v>104</v>
      </c>
      <c r="AX1017" s="431" t="n">
        <v>104</v>
      </c>
      <c r="AY1017" s="429" t="n"/>
      <c r="AZ1017" s="431" t="n"/>
      <c r="BA1017" s="451" t="n"/>
      <c r="BB1017" s="451">
        <f>'CIRCUIT SIM'!CG107</f>
        <v/>
      </c>
      <c r="BC1017" s="451" t="n"/>
      <c r="BE1017" s="429" t="n">
        <v>104</v>
      </c>
      <c r="BF1017" s="431" t="n"/>
      <c r="BG1017" s="429" t="n"/>
      <c r="BH1017" s="431" t="n"/>
      <c r="BI1017" s="451" t="n"/>
      <c r="BJ1017" s="451" t="n"/>
      <c r="BK1017" s="451" t="n"/>
      <c r="BM1017" s="429" t="n">
        <v>104</v>
      </c>
      <c r="BN1017" s="431" t="n">
        <v>104</v>
      </c>
      <c r="BO1017" s="429" t="n"/>
      <c r="BP1017" s="431" t="n"/>
      <c r="BQ1017" s="451" t="n"/>
      <c r="BR1017" s="451" t="n"/>
      <c r="BS1017" s="451" t="n"/>
      <c r="BU1017" s="429" t="n">
        <v>104</v>
      </c>
      <c r="BV1017" s="431" t="n">
        <v>104</v>
      </c>
      <c r="BW1017" s="429" t="n"/>
      <c r="BX1017" s="431" t="n"/>
      <c r="BY1017" s="451" t="n"/>
      <c r="BZ1017" s="451">
        <f>'CIRCUIT SIM'!EI107</f>
        <v/>
      </c>
      <c r="CA1017" s="451" t="n"/>
      <c r="CC1017" s="429" t="n">
        <v>104</v>
      </c>
      <c r="CD1017" s="431" t="n">
        <v>104</v>
      </c>
      <c r="CE1017" s="688" t="n"/>
      <c r="CF1017" s="431" t="inlineStr">
        <is>
          <t>Boolean</t>
        </is>
      </c>
      <c r="CG1017" s="451" t="n"/>
      <c r="CH1017" s="562">
        <f>'CIRCUIT SIM'!LK107</f>
        <v/>
      </c>
      <c r="CI1017" s="451" t="n"/>
      <c r="CK1017" s="429" t="n">
        <v>104</v>
      </c>
      <c r="CL1017" s="431" t="n">
        <v>104</v>
      </c>
      <c r="CM1017" s="688" t="n"/>
      <c r="CN1017" s="431" t="n"/>
      <c r="CO1017" s="451" t="n"/>
      <c r="CP1017" s="451" t="n"/>
      <c r="CQ1017" s="451" t="n"/>
      <c r="CS1017" s="429" t="n">
        <v>104</v>
      </c>
      <c r="CT1017" s="431" t="n">
        <v>104</v>
      </c>
      <c r="CU1017" s="688" t="n"/>
      <c r="CV1017" s="431" t="inlineStr">
        <is>
          <t>Boolean</t>
        </is>
      </c>
      <c r="CW1017" s="451" t="n"/>
      <c r="CX1017" s="451">
        <f>'CIRCUIT SIM'!MQ107</f>
        <v/>
      </c>
      <c r="CY1017" s="451" t="n"/>
      <c r="DA1017" s="429" t="n">
        <v>104</v>
      </c>
      <c r="DB1017" s="431" t="n">
        <v>104</v>
      </c>
      <c r="DC1017" s="688" t="n"/>
      <c r="DD1017" s="431" t="n"/>
      <c r="DE1017" s="451" t="n"/>
      <c r="DF1017" s="451" t="n"/>
      <c r="DG1017" s="451" t="n"/>
      <c r="DI1017" s="429" t="n">
        <v>104</v>
      </c>
      <c r="DJ1017" s="431" t="n">
        <v>104</v>
      </c>
      <c r="DK1017" s="688" t="n"/>
      <c r="DL1017" s="431" t="n"/>
      <c r="DM1017" s="429" t="n"/>
      <c r="DN1017" s="451">
        <f>'CIRCUIT SIM'!FN107</f>
        <v/>
      </c>
      <c r="DO1017" s="451" t="n"/>
      <c r="DQ1017" s="429" t="n">
        <v>104</v>
      </c>
      <c r="DR1017" s="431" t="n">
        <v>104</v>
      </c>
      <c r="DS1017" s="688" t="n"/>
      <c r="DT1017" s="431" t="n"/>
      <c r="DU1017" s="451" t="n"/>
      <c r="DV1017" s="451">
        <f>'CIRCUIT SIM'!HT107</f>
        <v/>
      </c>
      <c r="DW1017" s="451" t="n"/>
      <c r="DY1017" s="429" t="n">
        <v>104</v>
      </c>
      <c r="DZ1017" s="431" t="n">
        <v>104</v>
      </c>
      <c r="EA1017" s="688" t="n"/>
      <c r="EB1017" s="431" t="n"/>
      <c r="EC1017" s="451" t="n"/>
      <c r="ED1017" s="451" t="n"/>
      <c r="EE1017" s="451" t="n"/>
      <c r="EG1017" s="429" t="n">
        <v>104</v>
      </c>
      <c r="EH1017" s="431" t="n">
        <v>104</v>
      </c>
      <c r="EI1017" s="688" t="n"/>
      <c r="EJ1017" s="431" t="n"/>
      <c r="EK1017" s="451" t="n"/>
      <c r="EL1017" s="451" t="n"/>
      <c r="EM1017" s="451" t="n"/>
      <c r="EO1017" s="429" t="n">
        <v>104</v>
      </c>
      <c r="EP1017" s="431" t="n">
        <v>104</v>
      </c>
      <c r="EQ1017" s="688" t="n"/>
      <c r="ER1017" s="431" t="n"/>
      <c r="ES1017" s="451" t="n"/>
      <c r="ET1017" s="451" t="n"/>
      <c r="EU1017" s="451" t="n"/>
      <c r="EW1017" s="429" t="n">
        <v>104</v>
      </c>
      <c r="EX1017" s="431" t="n">
        <v>104</v>
      </c>
      <c r="EY1017" s="688" t="n"/>
      <c r="EZ1017" s="431" t="n"/>
      <c r="FA1017" s="451" t="n"/>
      <c r="FB1017" s="451" t="n"/>
      <c r="FC1017" s="451" t="n"/>
      <c r="FE1017" s="429" t="n">
        <v>104</v>
      </c>
      <c r="FF1017" s="431" t="n">
        <v>104</v>
      </c>
      <c r="FG1017" s="688" t="n"/>
      <c r="FH1017" s="431" t="n"/>
      <c r="FI1017" s="451" t="n"/>
      <c r="FJ1017" s="451" t="n"/>
      <c r="FK1017" s="451" t="n"/>
      <c r="FM1017" s="429" t="n">
        <v>104</v>
      </c>
      <c r="FN1017" s="431" t="n">
        <v>104</v>
      </c>
      <c r="FO1017" s="688" t="n"/>
      <c r="FP1017" s="431" t="n"/>
      <c r="FQ1017" s="451" t="n"/>
      <c r="FR1017" s="451">
        <f>'CIRCUIT SIM'!KY107</f>
        <v/>
      </c>
      <c r="FS1017" s="451" t="n"/>
      <c r="FU1017" s="429" t="n">
        <v>104</v>
      </c>
      <c r="FV1017" s="431" t="n">
        <v>104</v>
      </c>
      <c r="FW1017" s="688" t="n"/>
      <c r="FX1017" s="431" t="n"/>
      <c r="FY1017" s="451" t="n"/>
      <c r="FZ1017" s="562">
        <f>'CIRCUIT SIM'!JG107</f>
        <v/>
      </c>
      <c r="GA1017" s="451" t="n"/>
      <c r="GC1017" s="429" t="n">
        <v>104</v>
      </c>
      <c r="GD1017" s="431" t="n">
        <v>104</v>
      </c>
      <c r="GE1017" s="688" t="n"/>
      <c r="GF1017" s="431" t="n"/>
      <c r="GG1017" s="451" t="n"/>
      <c r="GH1017" s="451" t="n"/>
      <c r="GI1017" s="451" t="n"/>
      <c r="GK1017" s="429" t="n">
        <v>104</v>
      </c>
      <c r="GL1017" s="431" t="n">
        <v>104</v>
      </c>
      <c r="GM1017" s="688" t="n"/>
      <c r="GN1017" s="431" t="n"/>
      <c r="GO1017" s="451" t="n"/>
      <c r="GP1017" s="451" t="n"/>
      <c r="GQ1017" s="451" t="n"/>
      <c r="GS1017" s="429" t="n">
        <v>104</v>
      </c>
      <c r="GT1017" s="431" t="n">
        <v>104</v>
      </c>
      <c r="GU1017" s="688" t="n"/>
      <c r="GV1017" s="431" t="n"/>
      <c r="GW1017" s="451" t="n"/>
      <c r="GX1017" s="451" t="n"/>
      <c r="GY1017" s="451" t="n"/>
      <c r="HA1017" s="429" t="n">
        <v>104</v>
      </c>
      <c r="HB1017" s="431" t="n">
        <v>104</v>
      </c>
      <c r="HC1017" s="688" t="n"/>
      <c r="HD1017" s="431" t="n"/>
      <c r="HE1017" s="451" t="n"/>
      <c r="HF1017" s="451" t="n"/>
      <c r="HG1017" s="451" t="n"/>
    </row>
    <row r="1018">
      <c r="A1018" s="429" t="n">
        <v>105</v>
      </c>
      <c r="B1018" s="431" t="n">
        <v>105</v>
      </c>
      <c r="C1018" s="688" t="n"/>
      <c r="D1018" s="431" t="n"/>
      <c r="E1018" s="429" t="n"/>
      <c r="F1018" s="429" t="n"/>
      <c r="G1018" s="429" t="n"/>
      <c r="I1018" s="429" t="n">
        <v>105</v>
      </c>
      <c r="J1018" s="431" t="n">
        <v>105</v>
      </c>
      <c r="K1018" s="429" t="n"/>
      <c r="L1018" s="431" t="inlineStr">
        <is>
          <t>Boolean</t>
        </is>
      </c>
      <c r="M1018" s="451" t="n"/>
      <c r="N1018" s="422">
        <f>'CIRCUIT SIM'!Y108</f>
        <v/>
      </c>
      <c r="Q1018" s="429" t="n">
        <v>105</v>
      </c>
      <c r="R1018" s="431" t="n">
        <v>105</v>
      </c>
      <c r="S1018" s="429" t="n"/>
      <c r="T1018" s="431" t="inlineStr">
        <is>
          <t>Boolean</t>
        </is>
      </c>
      <c r="U1018" s="429" t="n"/>
      <c r="V1018" s="386">
        <f>'CIRCUIT SIM'!AO108</f>
        <v/>
      </c>
      <c r="W1018" s="451" t="n"/>
      <c r="Y1018" s="429" t="n">
        <v>105</v>
      </c>
      <c r="Z1018" s="431" t="n">
        <v>105</v>
      </c>
      <c r="AA1018" s="429" t="n"/>
      <c r="AB1018" s="431" t="n"/>
      <c r="AC1018" s="451" t="n"/>
      <c r="AD1018" s="451" t="n"/>
      <c r="AE1018" s="451" t="n"/>
      <c r="AG1018" s="429" t="n">
        <v>105</v>
      </c>
      <c r="AH1018" s="431" t="n">
        <v>105</v>
      </c>
      <c r="AI1018" s="429" t="n"/>
      <c r="AJ1018" s="431" t="n"/>
      <c r="AK1018" s="451" t="n"/>
      <c r="AL1018" s="451" t="n"/>
      <c r="AM1018" s="451" t="n"/>
      <c r="AO1018" s="429" t="n">
        <v>105</v>
      </c>
      <c r="AP1018" s="431" t="n">
        <v>105</v>
      </c>
      <c r="AQ1018" s="429" t="n"/>
      <c r="AR1018" s="431" t="n"/>
      <c r="AS1018" s="451" t="n"/>
      <c r="AT1018" s="386">
        <f>'CIRCUIT SIM'!BR108</f>
        <v/>
      </c>
      <c r="AU1018" s="451" t="n"/>
      <c r="AW1018" s="429" t="n">
        <v>105</v>
      </c>
      <c r="AX1018" s="431" t="n">
        <v>105</v>
      </c>
      <c r="AY1018" s="429" t="n"/>
      <c r="AZ1018" s="431" t="n"/>
      <c r="BA1018" s="451" t="n"/>
      <c r="BB1018" s="451">
        <f>'CIRCUIT SIM'!CG108</f>
        <v/>
      </c>
      <c r="BC1018" s="451" t="n"/>
      <c r="BE1018" s="429" t="n">
        <v>105</v>
      </c>
      <c r="BF1018" s="431" t="n"/>
      <c r="BG1018" s="429" t="n"/>
      <c r="BH1018" s="431" t="n"/>
      <c r="BI1018" s="451" t="n"/>
      <c r="BJ1018" s="451" t="n"/>
      <c r="BK1018" s="451" t="n"/>
      <c r="BM1018" s="429" t="n">
        <v>105</v>
      </c>
      <c r="BN1018" s="431" t="n">
        <v>105</v>
      </c>
      <c r="BO1018" s="429" t="n"/>
      <c r="BP1018" s="431" t="n"/>
      <c r="BQ1018" s="451" t="n"/>
      <c r="BR1018" s="451" t="n"/>
      <c r="BS1018" s="451" t="n"/>
      <c r="BU1018" s="429" t="n">
        <v>105</v>
      </c>
      <c r="BV1018" s="431" t="n">
        <v>105</v>
      </c>
      <c r="BW1018" s="429" t="n"/>
      <c r="BX1018" s="431" t="n"/>
      <c r="BY1018" s="451" t="n"/>
      <c r="BZ1018" s="451">
        <f>'CIRCUIT SIM'!EI108</f>
        <v/>
      </c>
      <c r="CA1018" s="451" t="n"/>
      <c r="CC1018" s="429" t="n">
        <v>105</v>
      </c>
      <c r="CD1018" s="431" t="n">
        <v>105</v>
      </c>
      <c r="CE1018" s="688" t="n"/>
      <c r="CF1018" s="431" t="inlineStr">
        <is>
          <t>Boolean</t>
        </is>
      </c>
      <c r="CG1018" s="451" t="n"/>
      <c r="CH1018" s="562">
        <f>'CIRCUIT SIM'!LK108</f>
        <v/>
      </c>
      <c r="CI1018" s="451" t="n"/>
      <c r="CK1018" s="429" t="n">
        <v>105</v>
      </c>
      <c r="CL1018" s="431" t="n">
        <v>105</v>
      </c>
      <c r="CM1018" s="688" t="n"/>
      <c r="CN1018" s="431" t="n"/>
      <c r="CO1018" s="451" t="n"/>
      <c r="CP1018" s="451" t="n"/>
      <c r="CQ1018" s="451" t="n"/>
      <c r="CS1018" s="429" t="n">
        <v>105</v>
      </c>
      <c r="CT1018" s="431" t="n">
        <v>105</v>
      </c>
      <c r="CU1018" s="688" t="n"/>
      <c r="CV1018" s="431" t="inlineStr">
        <is>
          <t>Boolean</t>
        </is>
      </c>
      <c r="CW1018" s="451" t="n"/>
      <c r="CX1018" s="451">
        <f>'CIRCUIT SIM'!MQ108</f>
        <v/>
      </c>
      <c r="CY1018" s="451" t="n"/>
      <c r="DA1018" s="429" t="n">
        <v>105</v>
      </c>
      <c r="DB1018" s="431" t="n">
        <v>105</v>
      </c>
      <c r="DC1018" s="688" t="n"/>
      <c r="DD1018" s="431" t="n"/>
      <c r="DE1018" s="451" t="n"/>
      <c r="DF1018" s="451" t="n"/>
      <c r="DG1018" s="451" t="n"/>
      <c r="DI1018" s="429" t="n">
        <v>105</v>
      </c>
      <c r="DJ1018" s="431" t="n">
        <v>105</v>
      </c>
      <c r="DK1018" s="688" t="n"/>
      <c r="DL1018" s="431" t="n"/>
      <c r="DM1018" s="429" t="n"/>
      <c r="DN1018" s="451">
        <f>'CIRCUIT SIM'!FN108</f>
        <v/>
      </c>
      <c r="DO1018" s="451" t="n"/>
      <c r="DQ1018" s="429" t="n">
        <v>105</v>
      </c>
      <c r="DR1018" s="431" t="n">
        <v>105</v>
      </c>
      <c r="DS1018" s="688" t="n"/>
      <c r="DT1018" s="431" t="n"/>
      <c r="DU1018" s="451" t="n"/>
      <c r="DV1018" s="451">
        <f>'CIRCUIT SIM'!HT108</f>
        <v/>
      </c>
      <c r="DW1018" s="451" t="n"/>
      <c r="DY1018" s="429" t="n">
        <v>105</v>
      </c>
      <c r="DZ1018" s="431" t="n">
        <v>105</v>
      </c>
      <c r="EA1018" s="688" t="n"/>
      <c r="EB1018" s="431" t="n"/>
      <c r="EC1018" s="451" t="n"/>
      <c r="ED1018" s="451" t="n"/>
      <c r="EE1018" s="451" t="n"/>
      <c r="EG1018" s="429" t="n">
        <v>105</v>
      </c>
      <c r="EH1018" s="431" t="n">
        <v>105</v>
      </c>
      <c r="EI1018" s="688" t="n"/>
      <c r="EJ1018" s="431" t="n"/>
      <c r="EK1018" s="451" t="n"/>
      <c r="EL1018" s="451" t="n"/>
      <c r="EM1018" s="451" t="n"/>
      <c r="EO1018" s="429" t="n">
        <v>105</v>
      </c>
      <c r="EP1018" s="431" t="n">
        <v>105</v>
      </c>
      <c r="EQ1018" s="688" t="n"/>
      <c r="ER1018" s="431" t="n"/>
      <c r="ES1018" s="451" t="n"/>
      <c r="ET1018" s="451" t="n"/>
      <c r="EU1018" s="451" t="n"/>
      <c r="EW1018" s="429" t="n">
        <v>105</v>
      </c>
      <c r="EX1018" s="431" t="n">
        <v>105</v>
      </c>
      <c r="EY1018" s="688" t="n"/>
      <c r="EZ1018" s="431" t="n"/>
      <c r="FA1018" s="451" t="n"/>
      <c r="FB1018" s="451" t="n"/>
      <c r="FC1018" s="451" t="n"/>
      <c r="FE1018" s="429" t="n">
        <v>105</v>
      </c>
      <c r="FF1018" s="431" t="n">
        <v>105</v>
      </c>
      <c r="FG1018" s="688" t="n"/>
      <c r="FH1018" s="431" t="n"/>
      <c r="FI1018" s="451" t="n"/>
      <c r="FJ1018" s="451" t="n"/>
      <c r="FK1018" s="451" t="n"/>
      <c r="FM1018" s="429" t="n">
        <v>105</v>
      </c>
      <c r="FN1018" s="431" t="n">
        <v>105</v>
      </c>
      <c r="FO1018" s="688" t="n"/>
      <c r="FP1018" s="431" t="n"/>
      <c r="FQ1018" s="451" t="n"/>
      <c r="FR1018" s="451">
        <f>'CIRCUIT SIM'!KY108</f>
        <v/>
      </c>
      <c r="FS1018" s="451" t="n"/>
      <c r="FU1018" s="429" t="n">
        <v>105</v>
      </c>
      <c r="FV1018" s="431" t="n">
        <v>105</v>
      </c>
      <c r="FW1018" s="688" t="n"/>
      <c r="FX1018" s="431" t="n"/>
      <c r="FY1018" s="451" t="n"/>
      <c r="FZ1018" s="562">
        <f>'CIRCUIT SIM'!JG108</f>
        <v/>
      </c>
      <c r="GA1018" s="451" t="n"/>
      <c r="GC1018" s="429" t="n">
        <v>105</v>
      </c>
      <c r="GD1018" s="431" t="n">
        <v>105</v>
      </c>
      <c r="GE1018" s="688" t="n"/>
      <c r="GF1018" s="431" t="n"/>
      <c r="GG1018" s="451" t="n"/>
      <c r="GH1018" s="451" t="n"/>
      <c r="GI1018" s="451" t="n"/>
      <c r="GK1018" s="429" t="n">
        <v>105</v>
      </c>
      <c r="GL1018" s="431" t="n">
        <v>105</v>
      </c>
      <c r="GM1018" s="688" t="n"/>
      <c r="GN1018" s="431" t="n"/>
      <c r="GO1018" s="451" t="n"/>
      <c r="GP1018" s="451" t="n"/>
      <c r="GQ1018" s="451" t="n"/>
      <c r="GS1018" s="429" t="n">
        <v>105</v>
      </c>
      <c r="GT1018" s="431" t="n">
        <v>105</v>
      </c>
      <c r="GU1018" s="688" t="n"/>
      <c r="GV1018" s="431" t="n"/>
      <c r="GW1018" s="451" t="n"/>
      <c r="GX1018" s="451" t="n"/>
      <c r="GY1018" s="451" t="n"/>
      <c r="HA1018" s="429" t="n">
        <v>105</v>
      </c>
      <c r="HB1018" s="431" t="n">
        <v>105</v>
      </c>
      <c r="HC1018" s="688" t="n"/>
      <c r="HD1018" s="431" t="n"/>
      <c r="HE1018" s="451" t="n"/>
      <c r="HF1018" s="451" t="n"/>
      <c r="HG1018" s="451" t="n"/>
    </row>
    <row r="1019">
      <c r="A1019" s="429" t="n">
        <v>106</v>
      </c>
      <c r="B1019" s="431" t="n">
        <v>106</v>
      </c>
      <c r="C1019" s="688" t="n"/>
      <c r="D1019" s="431" t="n"/>
      <c r="E1019" s="429" t="n"/>
      <c r="F1019" s="429" t="n"/>
      <c r="G1019" s="429" t="n"/>
      <c r="I1019" s="429" t="n">
        <v>106</v>
      </c>
      <c r="J1019" s="431" t="n">
        <v>106</v>
      </c>
      <c r="K1019" s="429" t="n"/>
      <c r="L1019" s="431" t="inlineStr">
        <is>
          <t>Boolean</t>
        </is>
      </c>
      <c r="M1019" s="451" t="n"/>
      <c r="N1019" s="422">
        <f>'CIRCUIT SIM'!Y109</f>
        <v/>
      </c>
      <c r="Q1019" s="429" t="n">
        <v>106</v>
      </c>
      <c r="R1019" s="431" t="n">
        <v>106</v>
      </c>
      <c r="S1019" s="429" t="n"/>
      <c r="T1019" s="431" t="inlineStr">
        <is>
          <t>Boolean</t>
        </is>
      </c>
      <c r="U1019" s="429" t="n"/>
      <c r="V1019" s="386">
        <f>'CIRCUIT SIM'!AO109</f>
        <v/>
      </c>
      <c r="W1019" s="451" t="n"/>
      <c r="Y1019" s="429" t="n">
        <v>106</v>
      </c>
      <c r="Z1019" s="431" t="n">
        <v>106</v>
      </c>
      <c r="AA1019" s="429" t="n"/>
      <c r="AB1019" s="431" t="n"/>
      <c r="AC1019" s="451" t="n"/>
      <c r="AD1019" s="451" t="n"/>
      <c r="AE1019" s="451" t="n"/>
      <c r="AG1019" s="429" t="n">
        <v>106</v>
      </c>
      <c r="AH1019" s="431" t="n">
        <v>106</v>
      </c>
      <c r="AI1019" s="429" t="n"/>
      <c r="AJ1019" s="431" t="n"/>
      <c r="AK1019" s="451" t="n"/>
      <c r="AL1019" s="451" t="n"/>
      <c r="AM1019" s="451" t="n"/>
      <c r="AO1019" s="429" t="n">
        <v>106</v>
      </c>
      <c r="AP1019" s="431" t="n">
        <v>106</v>
      </c>
      <c r="AQ1019" s="429" t="n"/>
      <c r="AR1019" s="431" t="n"/>
      <c r="AS1019" s="451" t="n"/>
      <c r="AT1019" s="386">
        <f>'CIRCUIT SIM'!BR109</f>
        <v/>
      </c>
      <c r="AU1019" s="451" t="n"/>
      <c r="AW1019" s="429" t="n">
        <v>106</v>
      </c>
      <c r="AX1019" s="431" t="n">
        <v>106</v>
      </c>
      <c r="AY1019" s="429" t="n"/>
      <c r="AZ1019" s="431" t="n"/>
      <c r="BA1019" s="451" t="n"/>
      <c r="BB1019" s="451">
        <f>'CIRCUIT SIM'!CG109</f>
        <v/>
      </c>
      <c r="BC1019" s="451" t="n"/>
      <c r="BE1019" s="429" t="n">
        <v>106</v>
      </c>
      <c r="BF1019" s="431" t="n"/>
      <c r="BG1019" s="429" t="n"/>
      <c r="BH1019" s="431" t="n"/>
      <c r="BI1019" s="451" t="n"/>
      <c r="BJ1019" s="451" t="n"/>
      <c r="BK1019" s="451" t="n"/>
      <c r="BM1019" s="429" t="n">
        <v>106</v>
      </c>
      <c r="BN1019" s="431" t="n">
        <v>106</v>
      </c>
      <c r="BO1019" s="429" t="n"/>
      <c r="BP1019" s="431" t="n"/>
      <c r="BQ1019" s="451" t="n"/>
      <c r="BR1019" s="451" t="n"/>
      <c r="BS1019" s="451" t="n"/>
      <c r="BU1019" s="429" t="n">
        <v>106</v>
      </c>
      <c r="BV1019" s="431" t="n">
        <v>106</v>
      </c>
      <c r="BW1019" s="429" t="n"/>
      <c r="BX1019" s="431" t="n"/>
      <c r="BY1019" s="451" t="n"/>
      <c r="BZ1019" s="451">
        <f>'CIRCUIT SIM'!EI109</f>
        <v/>
      </c>
      <c r="CA1019" s="451" t="n"/>
      <c r="CC1019" s="429" t="n">
        <v>106</v>
      </c>
      <c r="CD1019" s="431" t="n">
        <v>106</v>
      </c>
      <c r="CE1019" s="688" t="n"/>
      <c r="CF1019" s="431" t="inlineStr">
        <is>
          <t>Boolean</t>
        </is>
      </c>
      <c r="CG1019" s="451" t="n"/>
      <c r="CH1019" s="562">
        <f>'CIRCUIT SIM'!LK109</f>
        <v/>
      </c>
      <c r="CI1019" s="451" t="n"/>
      <c r="CK1019" s="429" t="n">
        <v>106</v>
      </c>
      <c r="CL1019" s="431" t="n">
        <v>106</v>
      </c>
      <c r="CM1019" s="688" t="n"/>
      <c r="CN1019" s="431" t="n"/>
      <c r="CO1019" s="451" t="n"/>
      <c r="CP1019" s="451" t="n"/>
      <c r="CQ1019" s="451" t="n"/>
      <c r="CS1019" s="429" t="n">
        <v>106</v>
      </c>
      <c r="CT1019" s="431" t="n">
        <v>106</v>
      </c>
      <c r="CU1019" s="688" t="n"/>
      <c r="CV1019" s="431" t="inlineStr">
        <is>
          <t>Boolean</t>
        </is>
      </c>
      <c r="CW1019" s="451" t="n"/>
      <c r="CX1019" s="451">
        <f>'CIRCUIT SIM'!MQ109</f>
        <v/>
      </c>
      <c r="CY1019" s="451" t="n"/>
      <c r="DA1019" s="429" t="n">
        <v>106</v>
      </c>
      <c r="DB1019" s="431" t="n">
        <v>106</v>
      </c>
      <c r="DC1019" s="688" t="n"/>
      <c r="DD1019" s="431" t="n"/>
      <c r="DE1019" s="451" t="n"/>
      <c r="DF1019" s="451" t="n"/>
      <c r="DG1019" s="451" t="n"/>
      <c r="DI1019" s="429" t="n">
        <v>106</v>
      </c>
      <c r="DJ1019" s="431" t="n">
        <v>106</v>
      </c>
      <c r="DK1019" s="688" t="n"/>
      <c r="DL1019" s="431" t="n"/>
      <c r="DM1019" s="429" t="n"/>
      <c r="DN1019" s="451">
        <f>'CIRCUIT SIM'!FN109</f>
        <v/>
      </c>
      <c r="DO1019" s="451" t="n"/>
      <c r="DQ1019" s="429" t="n">
        <v>106</v>
      </c>
      <c r="DR1019" s="431" t="n">
        <v>106</v>
      </c>
      <c r="DS1019" s="688" t="n"/>
      <c r="DT1019" s="431" t="n"/>
      <c r="DU1019" s="451" t="n"/>
      <c r="DV1019" s="451">
        <f>'CIRCUIT SIM'!HT109</f>
        <v/>
      </c>
      <c r="DW1019" s="451" t="n"/>
      <c r="DY1019" s="429" t="n">
        <v>106</v>
      </c>
      <c r="DZ1019" s="431" t="n">
        <v>106</v>
      </c>
      <c r="EA1019" s="688" t="n"/>
      <c r="EB1019" s="431" t="n"/>
      <c r="EC1019" s="451" t="n"/>
      <c r="ED1019" s="451" t="n"/>
      <c r="EE1019" s="451" t="n"/>
      <c r="EG1019" s="429" t="n">
        <v>106</v>
      </c>
      <c r="EH1019" s="431" t="n">
        <v>106</v>
      </c>
      <c r="EI1019" s="688" t="n"/>
      <c r="EJ1019" s="431" t="n"/>
      <c r="EK1019" s="451" t="n"/>
      <c r="EL1019" s="451" t="n"/>
      <c r="EM1019" s="451" t="n"/>
      <c r="EO1019" s="429" t="n">
        <v>106</v>
      </c>
      <c r="EP1019" s="431" t="n">
        <v>106</v>
      </c>
      <c r="EQ1019" s="688" t="n"/>
      <c r="ER1019" s="431" t="n"/>
      <c r="ES1019" s="451" t="n"/>
      <c r="ET1019" s="451" t="n"/>
      <c r="EU1019" s="451" t="n"/>
      <c r="EW1019" s="429" t="n">
        <v>106</v>
      </c>
      <c r="EX1019" s="431" t="n">
        <v>106</v>
      </c>
      <c r="EY1019" s="688" t="n"/>
      <c r="EZ1019" s="431" t="n"/>
      <c r="FA1019" s="451" t="n"/>
      <c r="FB1019" s="451" t="n"/>
      <c r="FC1019" s="451" t="n"/>
      <c r="FE1019" s="429" t="n">
        <v>106</v>
      </c>
      <c r="FF1019" s="431" t="n">
        <v>106</v>
      </c>
      <c r="FG1019" s="688" t="n"/>
      <c r="FH1019" s="431" t="n"/>
      <c r="FI1019" s="451" t="n"/>
      <c r="FJ1019" s="451" t="n"/>
      <c r="FK1019" s="451" t="n"/>
      <c r="FM1019" s="429" t="n">
        <v>106</v>
      </c>
      <c r="FN1019" s="431" t="n">
        <v>106</v>
      </c>
      <c r="FO1019" s="688" t="n"/>
      <c r="FP1019" s="431" t="n"/>
      <c r="FQ1019" s="451" t="n"/>
      <c r="FR1019" s="451">
        <f>'CIRCUIT SIM'!KY109</f>
        <v/>
      </c>
      <c r="FS1019" s="451" t="n"/>
      <c r="FU1019" s="429" t="n">
        <v>106</v>
      </c>
      <c r="FV1019" s="431" t="n">
        <v>106</v>
      </c>
      <c r="FW1019" s="688" t="n"/>
      <c r="FX1019" s="431" t="n"/>
      <c r="FY1019" s="451" t="n"/>
      <c r="FZ1019" s="562">
        <f>'CIRCUIT SIM'!JG109</f>
        <v/>
      </c>
      <c r="GA1019" s="451" t="n"/>
      <c r="GC1019" s="429" t="n">
        <v>106</v>
      </c>
      <c r="GD1019" s="431" t="n">
        <v>106</v>
      </c>
      <c r="GE1019" s="688" t="n"/>
      <c r="GF1019" s="431" t="n"/>
      <c r="GG1019" s="451" t="n"/>
      <c r="GH1019" s="451" t="n"/>
      <c r="GI1019" s="451" t="n"/>
      <c r="GK1019" s="429" t="n">
        <v>106</v>
      </c>
      <c r="GL1019" s="431" t="n">
        <v>106</v>
      </c>
      <c r="GM1019" s="688" t="n"/>
      <c r="GN1019" s="431" t="n"/>
      <c r="GO1019" s="451" t="n"/>
      <c r="GP1019" s="451" t="n"/>
      <c r="GQ1019" s="451" t="n"/>
      <c r="GS1019" s="429" t="n">
        <v>106</v>
      </c>
      <c r="GT1019" s="431" t="n">
        <v>106</v>
      </c>
      <c r="GU1019" s="688" t="n"/>
      <c r="GV1019" s="431" t="n"/>
      <c r="GW1019" s="451" t="n"/>
      <c r="GX1019" s="451" t="n"/>
      <c r="GY1019" s="451" t="n"/>
      <c r="HA1019" s="429" t="n">
        <v>106</v>
      </c>
      <c r="HB1019" s="431" t="n">
        <v>106</v>
      </c>
      <c r="HC1019" s="688" t="n"/>
      <c r="HD1019" s="431" t="n"/>
      <c r="HE1019" s="451" t="n"/>
      <c r="HF1019" s="451" t="n"/>
      <c r="HG1019" s="451" t="n"/>
    </row>
    <row r="1020">
      <c r="A1020" s="429" t="n">
        <v>107</v>
      </c>
      <c r="B1020" s="431" t="n">
        <v>107</v>
      </c>
      <c r="C1020" s="688" t="n"/>
      <c r="D1020" s="431" t="n"/>
      <c r="E1020" s="429" t="n"/>
      <c r="F1020" s="429" t="n"/>
      <c r="G1020" s="429" t="n"/>
      <c r="I1020" s="429" t="n">
        <v>107</v>
      </c>
      <c r="J1020" s="431" t="n">
        <v>107</v>
      </c>
      <c r="K1020" s="429" t="n"/>
      <c r="L1020" s="431" t="inlineStr">
        <is>
          <t>Boolean</t>
        </is>
      </c>
      <c r="M1020" s="451" t="n"/>
      <c r="N1020" s="422">
        <f>'CIRCUIT SIM'!Y110</f>
        <v/>
      </c>
      <c r="Q1020" s="429" t="n">
        <v>107</v>
      </c>
      <c r="R1020" s="431" t="n">
        <v>107</v>
      </c>
      <c r="S1020" s="429" t="n"/>
      <c r="T1020" s="431" t="inlineStr">
        <is>
          <t>Boolean</t>
        </is>
      </c>
      <c r="U1020" s="429" t="n"/>
      <c r="V1020" s="386">
        <f>'CIRCUIT SIM'!AO110</f>
        <v/>
      </c>
      <c r="W1020" s="451" t="n"/>
      <c r="Y1020" s="429" t="n">
        <v>107</v>
      </c>
      <c r="Z1020" s="431" t="n">
        <v>107</v>
      </c>
      <c r="AA1020" s="429" t="n"/>
      <c r="AB1020" s="431" t="n"/>
      <c r="AC1020" s="451" t="n"/>
      <c r="AD1020" s="451" t="n"/>
      <c r="AE1020" s="451" t="n"/>
      <c r="AG1020" s="429" t="n">
        <v>107</v>
      </c>
      <c r="AH1020" s="431" t="n">
        <v>107</v>
      </c>
      <c r="AI1020" s="429" t="n"/>
      <c r="AJ1020" s="431" t="n"/>
      <c r="AK1020" s="451" t="n"/>
      <c r="AL1020" s="451" t="n"/>
      <c r="AM1020" s="451" t="n"/>
      <c r="AO1020" s="429" t="n">
        <v>107</v>
      </c>
      <c r="AP1020" s="431" t="n">
        <v>107</v>
      </c>
      <c r="AQ1020" s="429" t="n"/>
      <c r="AR1020" s="431" t="n"/>
      <c r="AS1020" s="451" t="n"/>
      <c r="AU1020" s="451" t="n"/>
      <c r="AW1020" s="429" t="n">
        <v>107</v>
      </c>
      <c r="AX1020" s="431" t="n">
        <v>107</v>
      </c>
      <c r="AY1020" s="429" t="n"/>
      <c r="AZ1020" s="431" t="n"/>
      <c r="BA1020" s="451" t="n"/>
      <c r="BB1020" s="451">
        <f>'CIRCUIT SIM'!CG110</f>
        <v/>
      </c>
      <c r="BC1020" s="451" t="n"/>
      <c r="BE1020" s="429" t="n">
        <v>107</v>
      </c>
      <c r="BF1020" s="431" t="n"/>
      <c r="BG1020" s="429" t="n"/>
      <c r="BH1020" s="431" t="n"/>
      <c r="BI1020" s="451" t="n"/>
      <c r="BJ1020" s="451" t="n"/>
      <c r="BK1020" s="451" t="n"/>
      <c r="BM1020" s="429" t="n">
        <v>107</v>
      </c>
      <c r="BN1020" s="431" t="n">
        <v>107</v>
      </c>
      <c r="BO1020" s="429" t="n"/>
      <c r="BP1020" s="431" t="n"/>
      <c r="BQ1020" s="451" t="n"/>
      <c r="BR1020" s="451" t="n"/>
      <c r="BS1020" s="451" t="n"/>
      <c r="BU1020" s="429" t="n">
        <v>107</v>
      </c>
      <c r="BV1020" s="431" t="n">
        <v>107</v>
      </c>
      <c r="BW1020" s="429" t="n"/>
      <c r="BX1020" s="431" t="n"/>
      <c r="BY1020" s="451" t="n"/>
      <c r="BZ1020" s="451">
        <f>'CIRCUIT SIM'!EI110</f>
        <v/>
      </c>
      <c r="CA1020" s="451" t="n"/>
      <c r="CC1020" s="429" t="n">
        <v>107</v>
      </c>
      <c r="CD1020" s="431" t="n">
        <v>107</v>
      </c>
      <c r="CE1020" s="688" t="n"/>
      <c r="CF1020" s="431" t="inlineStr">
        <is>
          <t>Boolean</t>
        </is>
      </c>
      <c r="CG1020" s="451" t="n"/>
      <c r="CH1020" s="562">
        <f>'CIRCUIT SIM'!LK110</f>
        <v/>
      </c>
      <c r="CI1020" s="451" t="n"/>
      <c r="CK1020" s="429" t="n">
        <v>107</v>
      </c>
      <c r="CL1020" s="431" t="n">
        <v>107</v>
      </c>
      <c r="CM1020" s="688" t="n"/>
      <c r="CN1020" s="431" t="n"/>
      <c r="CO1020" s="451" t="n"/>
      <c r="CP1020" s="451" t="n"/>
      <c r="CQ1020" s="451" t="n"/>
      <c r="CS1020" s="429" t="n">
        <v>107</v>
      </c>
      <c r="CT1020" s="431" t="n">
        <v>107</v>
      </c>
      <c r="CU1020" s="688" t="n"/>
      <c r="CV1020" s="431" t="inlineStr">
        <is>
          <t>Boolean</t>
        </is>
      </c>
      <c r="CW1020" s="451" t="n"/>
      <c r="CX1020" s="451">
        <f>'CIRCUIT SIM'!MQ110</f>
        <v/>
      </c>
      <c r="CY1020" s="451" t="n"/>
      <c r="DA1020" s="429" t="n">
        <v>107</v>
      </c>
      <c r="DB1020" s="431" t="n">
        <v>107</v>
      </c>
      <c r="DC1020" s="688" t="n"/>
      <c r="DD1020" s="431" t="n"/>
      <c r="DE1020" s="451" t="n"/>
      <c r="DF1020" s="451" t="n"/>
      <c r="DG1020" s="451" t="n"/>
      <c r="DI1020" s="429" t="n">
        <v>107</v>
      </c>
      <c r="DJ1020" s="431" t="n">
        <v>107</v>
      </c>
      <c r="DK1020" s="688" t="n"/>
      <c r="DL1020" s="431" t="n"/>
      <c r="DM1020" s="429" t="n"/>
      <c r="DN1020" s="451">
        <f>'CIRCUIT SIM'!FN110</f>
        <v/>
      </c>
      <c r="DO1020" s="451" t="n"/>
      <c r="DQ1020" s="429" t="n">
        <v>107</v>
      </c>
      <c r="DR1020" s="431" t="n">
        <v>107</v>
      </c>
      <c r="DS1020" s="688" t="n"/>
      <c r="DT1020" s="431" t="n"/>
      <c r="DU1020" s="451" t="n"/>
      <c r="DV1020" s="451">
        <f>'CIRCUIT SIM'!HT110</f>
        <v/>
      </c>
      <c r="DW1020" s="451" t="n"/>
      <c r="DY1020" s="429" t="n">
        <v>107</v>
      </c>
      <c r="DZ1020" s="431" t="n">
        <v>107</v>
      </c>
      <c r="EA1020" s="688" t="n"/>
      <c r="EB1020" s="431" t="n"/>
      <c r="EC1020" s="451" t="n"/>
      <c r="ED1020" s="451" t="n"/>
      <c r="EE1020" s="451" t="n"/>
      <c r="EG1020" s="429" t="n">
        <v>107</v>
      </c>
      <c r="EH1020" s="431" t="n">
        <v>107</v>
      </c>
      <c r="EI1020" s="688" t="n"/>
      <c r="EJ1020" s="431" t="n"/>
      <c r="EK1020" s="451" t="n"/>
      <c r="EL1020" s="451" t="n"/>
      <c r="EM1020" s="451" t="n"/>
      <c r="EO1020" s="429" t="n">
        <v>107</v>
      </c>
      <c r="EP1020" s="431" t="n">
        <v>107</v>
      </c>
      <c r="EQ1020" s="688" t="n"/>
      <c r="ER1020" s="431" t="n"/>
      <c r="ES1020" s="451" t="n"/>
      <c r="ET1020" s="451" t="n"/>
      <c r="EU1020" s="451" t="n"/>
      <c r="EW1020" s="429" t="n">
        <v>107</v>
      </c>
      <c r="EX1020" s="431" t="n">
        <v>107</v>
      </c>
      <c r="EY1020" s="688" t="n"/>
      <c r="EZ1020" s="431" t="n"/>
      <c r="FA1020" s="451" t="n"/>
      <c r="FB1020" s="451" t="n"/>
      <c r="FC1020" s="451" t="n"/>
      <c r="FE1020" s="429" t="n">
        <v>107</v>
      </c>
      <c r="FF1020" s="431" t="n">
        <v>107</v>
      </c>
      <c r="FG1020" s="688" t="n"/>
      <c r="FH1020" s="431" t="n"/>
      <c r="FI1020" s="451" t="n"/>
      <c r="FJ1020" s="451" t="n"/>
      <c r="FK1020" s="451" t="n"/>
      <c r="FM1020" s="429" t="n">
        <v>107</v>
      </c>
      <c r="FN1020" s="431" t="n">
        <v>107</v>
      </c>
      <c r="FO1020" s="688" t="n"/>
      <c r="FP1020" s="431" t="n"/>
      <c r="FQ1020" s="451" t="n"/>
      <c r="FR1020" s="451">
        <f>'CIRCUIT SIM'!KY110</f>
        <v/>
      </c>
      <c r="FS1020" s="451" t="n"/>
      <c r="FU1020" s="429" t="n">
        <v>107</v>
      </c>
      <c r="FV1020" s="431" t="n">
        <v>107</v>
      </c>
      <c r="FW1020" s="688" t="n"/>
      <c r="FX1020" s="431" t="n"/>
      <c r="FY1020" s="451" t="n"/>
      <c r="FZ1020" s="562">
        <f>'CIRCUIT SIM'!JG110</f>
        <v/>
      </c>
      <c r="GA1020" s="451" t="n"/>
      <c r="GC1020" s="429" t="n">
        <v>107</v>
      </c>
      <c r="GD1020" s="431" t="n">
        <v>107</v>
      </c>
      <c r="GE1020" s="688" t="n"/>
      <c r="GF1020" s="431" t="n"/>
      <c r="GG1020" s="451" t="n"/>
      <c r="GH1020" s="451" t="n"/>
      <c r="GI1020" s="451" t="n"/>
      <c r="GK1020" s="429" t="n">
        <v>107</v>
      </c>
      <c r="GL1020" s="431" t="n">
        <v>107</v>
      </c>
      <c r="GM1020" s="688" t="n"/>
      <c r="GN1020" s="431" t="n"/>
      <c r="GO1020" s="451" t="n"/>
      <c r="GP1020" s="451" t="n"/>
      <c r="GQ1020" s="451" t="n"/>
      <c r="GS1020" s="429" t="n">
        <v>107</v>
      </c>
      <c r="GT1020" s="431" t="n">
        <v>107</v>
      </c>
      <c r="GU1020" s="688" t="n"/>
      <c r="GV1020" s="431" t="n"/>
      <c r="GW1020" s="451" t="n"/>
      <c r="GX1020" s="451" t="n"/>
      <c r="GY1020" s="451" t="n"/>
      <c r="HA1020" s="429" t="n">
        <v>107</v>
      </c>
      <c r="HB1020" s="431" t="n">
        <v>107</v>
      </c>
      <c r="HC1020" s="688" t="n"/>
      <c r="HD1020" s="431" t="n"/>
      <c r="HE1020" s="451" t="n"/>
      <c r="HF1020" s="451" t="n"/>
      <c r="HG1020" s="451" t="n"/>
    </row>
    <row r="1021">
      <c r="A1021" s="429" t="n">
        <v>108</v>
      </c>
      <c r="B1021" s="431" t="n">
        <v>108</v>
      </c>
      <c r="C1021" s="688" t="n"/>
      <c r="D1021" s="431" t="n"/>
      <c r="E1021" s="429" t="n"/>
      <c r="F1021" s="429" t="n"/>
      <c r="G1021" s="429" t="n"/>
      <c r="I1021" s="429" t="n">
        <v>108</v>
      </c>
      <c r="J1021" s="431" t="n">
        <v>108</v>
      </c>
      <c r="K1021" s="429" t="n"/>
      <c r="L1021" s="431" t="inlineStr">
        <is>
          <t>Boolean</t>
        </is>
      </c>
      <c r="M1021" s="451" t="n"/>
      <c r="N1021" s="422">
        <f>'CIRCUIT SIM'!Y111</f>
        <v/>
      </c>
      <c r="Q1021" s="429" t="n">
        <v>108</v>
      </c>
      <c r="R1021" s="431" t="n">
        <v>108</v>
      </c>
      <c r="S1021" s="429" t="n"/>
      <c r="T1021" s="431" t="inlineStr">
        <is>
          <t>Boolean</t>
        </is>
      </c>
      <c r="U1021" s="429" t="n"/>
      <c r="V1021" s="386">
        <f>'CIRCUIT SIM'!AO111</f>
        <v/>
      </c>
      <c r="W1021" s="451" t="n"/>
      <c r="Y1021" s="429" t="n">
        <v>108</v>
      </c>
      <c r="Z1021" s="431" t="n">
        <v>108</v>
      </c>
      <c r="AA1021" s="429" t="n"/>
      <c r="AB1021" s="431" t="n"/>
      <c r="AC1021" s="451" t="n"/>
      <c r="AD1021" s="451" t="n"/>
      <c r="AE1021" s="451" t="n"/>
      <c r="AG1021" s="429" t="n">
        <v>108</v>
      </c>
      <c r="AH1021" s="431" t="n">
        <v>108</v>
      </c>
      <c r="AI1021" s="429" t="n"/>
      <c r="AJ1021" s="431" t="n"/>
      <c r="AK1021" s="451" t="n"/>
      <c r="AL1021" s="451" t="n"/>
      <c r="AM1021" s="451" t="n"/>
      <c r="AO1021" s="429" t="n">
        <v>108</v>
      </c>
      <c r="AP1021" s="431" t="n">
        <v>108</v>
      </c>
      <c r="AQ1021" s="429" t="n"/>
      <c r="AR1021" s="431" t="n"/>
      <c r="AS1021" s="451" t="n"/>
      <c r="AU1021" s="451" t="n"/>
      <c r="AW1021" s="429" t="n">
        <v>108</v>
      </c>
      <c r="AX1021" s="431" t="n">
        <v>108</v>
      </c>
      <c r="AY1021" s="429" t="n"/>
      <c r="AZ1021" s="431" t="n"/>
      <c r="BA1021" s="451" t="n"/>
      <c r="BB1021" s="451">
        <f>'CIRCUIT SIM'!CG111</f>
        <v/>
      </c>
      <c r="BC1021" s="451" t="n"/>
      <c r="BE1021" s="429" t="n">
        <v>108</v>
      </c>
      <c r="BF1021" s="431" t="n"/>
      <c r="BG1021" s="429" t="n"/>
      <c r="BH1021" s="431" t="n"/>
      <c r="BI1021" s="451" t="n"/>
      <c r="BJ1021" s="451" t="n"/>
      <c r="BK1021" s="451" t="n"/>
      <c r="BM1021" s="429" t="n">
        <v>108</v>
      </c>
      <c r="BN1021" s="431" t="n">
        <v>108</v>
      </c>
      <c r="BO1021" s="429" t="n"/>
      <c r="BP1021" s="431" t="n"/>
      <c r="BQ1021" s="451" t="n"/>
      <c r="BR1021" s="451" t="n"/>
      <c r="BS1021" s="451" t="n"/>
      <c r="BU1021" s="429" t="n">
        <v>108</v>
      </c>
      <c r="BV1021" s="431" t="n">
        <v>108</v>
      </c>
      <c r="BW1021" s="429" t="n"/>
      <c r="BX1021" s="431" t="n"/>
      <c r="BY1021" s="451" t="n"/>
      <c r="BZ1021" s="451">
        <f>'CIRCUIT SIM'!EI111</f>
        <v/>
      </c>
      <c r="CA1021" s="451" t="n"/>
      <c r="CC1021" s="429" t="n">
        <v>108</v>
      </c>
      <c r="CD1021" s="431" t="n">
        <v>108</v>
      </c>
      <c r="CE1021" s="688" t="n"/>
      <c r="CF1021" s="431" t="inlineStr">
        <is>
          <t>Boolean</t>
        </is>
      </c>
      <c r="CG1021" s="451" t="n"/>
      <c r="CH1021" s="562">
        <f>'CIRCUIT SIM'!LK111</f>
        <v/>
      </c>
      <c r="CI1021" s="451" t="n"/>
      <c r="CK1021" s="429" t="n">
        <v>108</v>
      </c>
      <c r="CL1021" s="431" t="n">
        <v>108</v>
      </c>
      <c r="CM1021" s="688" t="n"/>
      <c r="CN1021" s="431" t="n"/>
      <c r="CO1021" s="451" t="n"/>
      <c r="CP1021" s="451" t="n"/>
      <c r="CQ1021" s="451" t="n"/>
      <c r="CS1021" s="429" t="n">
        <v>108</v>
      </c>
      <c r="CT1021" s="431" t="n">
        <v>108</v>
      </c>
      <c r="CU1021" s="688" t="n"/>
      <c r="CV1021" s="431" t="inlineStr">
        <is>
          <t>Boolean</t>
        </is>
      </c>
      <c r="CW1021" s="451" t="n"/>
      <c r="CX1021" s="451">
        <f>'CIRCUIT SIM'!MQ111</f>
        <v/>
      </c>
      <c r="CY1021" s="451" t="n"/>
      <c r="DA1021" s="429" t="n">
        <v>108</v>
      </c>
      <c r="DB1021" s="431" t="n">
        <v>108</v>
      </c>
      <c r="DC1021" s="688" t="n"/>
      <c r="DD1021" s="431" t="n"/>
      <c r="DE1021" s="451" t="n"/>
      <c r="DF1021" s="451" t="n"/>
      <c r="DG1021" s="451" t="n"/>
      <c r="DI1021" s="429" t="n">
        <v>108</v>
      </c>
      <c r="DJ1021" s="431" t="n">
        <v>108</v>
      </c>
      <c r="DK1021" s="688" t="n"/>
      <c r="DL1021" s="431" t="n"/>
      <c r="DM1021" s="429" t="n"/>
      <c r="DN1021" s="451">
        <f>'CIRCUIT SIM'!FN111</f>
        <v/>
      </c>
      <c r="DO1021" s="451" t="n"/>
      <c r="DQ1021" s="429" t="n">
        <v>108</v>
      </c>
      <c r="DR1021" s="431" t="n">
        <v>108</v>
      </c>
      <c r="DS1021" s="688" t="n"/>
      <c r="DT1021" s="431" t="n"/>
      <c r="DU1021" s="451" t="n"/>
      <c r="DV1021" s="451">
        <f>'CIRCUIT SIM'!HT111</f>
        <v/>
      </c>
      <c r="DW1021" s="451" t="n"/>
      <c r="DY1021" s="429" t="n">
        <v>108</v>
      </c>
      <c r="DZ1021" s="431" t="n">
        <v>108</v>
      </c>
      <c r="EA1021" s="688" t="n"/>
      <c r="EB1021" s="431" t="n"/>
      <c r="EC1021" s="451" t="n"/>
      <c r="ED1021" s="451" t="n"/>
      <c r="EE1021" s="451" t="n"/>
      <c r="EG1021" s="429" t="n">
        <v>108</v>
      </c>
      <c r="EH1021" s="431" t="n">
        <v>108</v>
      </c>
      <c r="EI1021" s="688" t="n"/>
      <c r="EJ1021" s="431" t="n"/>
      <c r="EK1021" s="451" t="n"/>
      <c r="EL1021" s="451" t="n"/>
      <c r="EM1021" s="451" t="n"/>
      <c r="EO1021" s="429" t="n">
        <v>108</v>
      </c>
      <c r="EP1021" s="431" t="n">
        <v>108</v>
      </c>
      <c r="EQ1021" s="688" t="n"/>
      <c r="ER1021" s="431" t="n"/>
      <c r="ES1021" s="451" t="n"/>
      <c r="ET1021" s="451" t="n"/>
      <c r="EU1021" s="451" t="n"/>
      <c r="EW1021" s="429" t="n">
        <v>108</v>
      </c>
      <c r="EX1021" s="431" t="n">
        <v>108</v>
      </c>
      <c r="EY1021" s="688" t="n"/>
      <c r="EZ1021" s="431" t="n"/>
      <c r="FA1021" s="451" t="n"/>
      <c r="FB1021" s="451" t="n"/>
      <c r="FC1021" s="451" t="n"/>
      <c r="FE1021" s="429" t="n">
        <v>108</v>
      </c>
      <c r="FF1021" s="431" t="n">
        <v>108</v>
      </c>
      <c r="FG1021" s="688" t="n"/>
      <c r="FH1021" s="431" t="n"/>
      <c r="FI1021" s="451" t="n"/>
      <c r="FJ1021" s="451" t="n"/>
      <c r="FK1021" s="451" t="n"/>
      <c r="FM1021" s="429" t="n">
        <v>108</v>
      </c>
      <c r="FN1021" s="431" t="n">
        <v>108</v>
      </c>
      <c r="FO1021" s="688" t="n"/>
      <c r="FP1021" s="431" t="n"/>
      <c r="FQ1021" s="451" t="n"/>
      <c r="FR1021" s="451">
        <f>'CIRCUIT SIM'!KY111</f>
        <v/>
      </c>
      <c r="FS1021" s="451" t="n"/>
      <c r="FU1021" s="429" t="n">
        <v>108</v>
      </c>
      <c r="FV1021" s="431" t="n">
        <v>108</v>
      </c>
      <c r="FW1021" s="688" t="n"/>
      <c r="FX1021" s="431" t="n"/>
      <c r="FY1021" s="451" t="n"/>
      <c r="FZ1021" s="562">
        <f>'CIRCUIT SIM'!JG111</f>
        <v/>
      </c>
      <c r="GA1021" s="451" t="n"/>
      <c r="GC1021" s="429" t="n">
        <v>108</v>
      </c>
      <c r="GD1021" s="431" t="n">
        <v>108</v>
      </c>
      <c r="GE1021" s="688" t="n"/>
      <c r="GF1021" s="431" t="n"/>
      <c r="GG1021" s="451" t="n"/>
      <c r="GH1021" s="451" t="n"/>
      <c r="GI1021" s="451" t="n"/>
      <c r="GK1021" s="429" t="n">
        <v>108</v>
      </c>
      <c r="GL1021" s="431" t="n">
        <v>108</v>
      </c>
      <c r="GM1021" s="688" t="n"/>
      <c r="GN1021" s="431" t="n"/>
      <c r="GO1021" s="451" t="n"/>
      <c r="GP1021" s="451" t="n"/>
      <c r="GQ1021" s="451" t="n"/>
      <c r="GS1021" s="429" t="n">
        <v>108</v>
      </c>
      <c r="GT1021" s="431" t="n">
        <v>108</v>
      </c>
      <c r="GU1021" s="688" t="n"/>
      <c r="GV1021" s="431" t="n"/>
      <c r="GW1021" s="451" t="n"/>
      <c r="GX1021" s="451" t="n"/>
      <c r="GY1021" s="451" t="n"/>
      <c r="HA1021" s="429" t="n">
        <v>108</v>
      </c>
      <c r="HB1021" s="431" t="n">
        <v>108</v>
      </c>
      <c r="HC1021" s="688" t="n"/>
      <c r="HD1021" s="431" t="n"/>
      <c r="HE1021" s="451" t="n"/>
      <c r="HF1021" s="451" t="n"/>
      <c r="HG1021" s="451" t="n"/>
    </row>
    <row r="1022">
      <c r="A1022" s="429" t="n">
        <v>109</v>
      </c>
      <c r="B1022" s="431" t="n">
        <v>109</v>
      </c>
      <c r="C1022" s="688" t="n"/>
      <c r="D1022" s="431" t="n"/>
      <c r="E1022" s="429" t="n"/>
      <c r="F1022" s="429" t="n"/>
      <c r="G1022" s="429" t="n"/>
      <c r="I1022" s="429" t="n">
        <v>109</v>
      </c>
      <c r="J1022" s="431" t="n">
        <v>109</v>
      </c>
      <c r="K1022" s="429" t="n"/>
      <c r="L1022" s="431" t="inlineStr">
        <is>
          <t>Boolean</t>
        </is>
      </c>
      <c r="M1022" s="451" t="n"/>
      <c r="N1022" s="422">
        <f>'CIRCUIT SIM'!Y112</f>
        <v/>
      </c>
      <c r="Q1022" s="429" t="n">
        <v>109</v>
      </c>
      <c r="R1022" s="431" t="n">
        <v>109</v>
      </c>
      <c r="S1022" s="429" t="n"/>
      <c r="T1022" s="431" t="inlineStr">
        <is>
          <t>Boolean</t>
        </is>
      </c>
      <c r="U1022" s="429" t="n"/>
      <c r="V1022" s="386">
        <f>'CIRCUIT SIM'!AO112</f>
        <v/>
      </c>
      <c r="W1022" s="451" t="n"/>
      <c r="Y1022" s="429" t="n">
        <v>109</v>
      </c>
      <c r="Z1022" s="431" t="n">
        <v>109</v>
      </c>
      <c r="AA1022" s="429" t="n"/>
      <c r="AB1022" s="431" t="n"/>
      <c r="AC1022" s="451" t="n"/>
      <c r="AD1022" s="451" t="n"/>
      <c r="AE1022" s="451" t="n"/>
      <c r="AG1022" s="429" t="n">
        <v>109</v>
      </c>
      <c r="AH1022" s="431" t="n">
        <v>109</v>
      </c>
      <c r="AI1022" s="429" t="n"/>
      <c r="AJ1022" s="431" t="n"/>
      <c r="AK1022" s="451" t="n"/>
      <c r="AL1022" s="451" t="n"/>
      <c r="AM1022" s="451" t="n"/>
      <c r="AO1022" s="429" t="n">
        <v>109</v>
      </c>
      <c r="AP1022" s="431" t="n">
        <v>109</v>
      </c>
      <c r="AQ1022" s="429" t="n"/>
      <c r="AR1022" s="431" t="n"/>
      <c r="AS1022" s="451" t="n"/>
      <c r="AU1022" s="451" t="n"/>
      <c r="AW1022" s="429" t="n">
        <v>109</v>
      </c>
      <c r="AX1022" s="431" t="n">
        <v>109</v>
      </c>
      <c r="AY1022" s="429" t="n"/>
      <c r="AZ1022" s="431" t="n"/>
      <c r="BA1022" s="451" t="n"/>
      <c r="BB1022" s="451">
        <f>'CIRCUIT SIM'!CG112</f>
        <v/>
      </c>
      <c r="BC1022" s="451" t="n"/>
      <c r="BE1022" s="429" t="n">
        <v>109</v>
      </c>
      <c r="BF1022" s="431" t="n"/>
      <c r="BG1022" s="429" t="n"/>
      <c r="BH1022" s="431" t="n"/>
      <c r="BI1022" s="451" t="n"/>
      <c r="BJ1022" s="451" t="n"/>
      <c r="BK1022" s="451" t="n"/>
      <c r="BM1022" s="429" t="n">
        <v>109</v>
      </c>
      <c r="BN1022" s="431" t="n">
        <v>109</v>
      </c>
      <c r="BO1022" s="429" t="n"/>
      <c r="BP1022" s="431" t="n"/>
      <c r="BQ1022" s="451" t="n"/>
      <c r="BR1022" s="451" t="n"/>
      <c r="BS1022" s="451" t="n"/>
      <c r="BU1022" s="429" t="n">
        <v>109</v>
      </c>
      <c r="BV1022" s="431" t="n">
        <v>109</v>
      </c>
      <c r="BW1022" s="429" t="n"/>
      <c r="BX1022" s="431" t="n"/>
      <c r="BY1022" s="451" t="n"/>
      <c r="BZ1022" s="451">
        <f>'CIRCUIT SIM'!EI112</f>
        <v/>
      </c>
      <c r="CA1022" s="451" t="n"/>
      <c r="CC1022" s="429" t="n">
        <v>109</v>
      </c>
      <c r="CD1022" s="431" t="n">
        <v>109</v>
      </c>
      <c r="CE1022" s="688" t="n"/>
      <c r="CF1022" s="431" t="inlineStr">
        <is>
          <t>Boolean</t>
        </is>
      </c>
      <c r="CG1022" s="451" t="n"/>
      <c r="CH1022" s="562">
        <f>'CIRCUIT SIM'!LK112</f>
        <v/>
      </c>
      <c r="CI1022" s="451" t="n"/>
      <c r="CK1022" s="429" t="n">
        <v>109</v>
      </c>
      <c r="CL1022" s="431" t="n">
        <v>109</v>
      </c>
      <c r="CM1022" s="688" t="n"/>
      <c r="CN1022" s="431" t="n"/>
      <c r="CO1022" s="451" t="n"/>
      <c r="CP1022" s="451" t="n"/>
      <c r="CQ1022" s="451" t="n"/>
      <c r="CS1022" s="429" t="n">
        <v>109</v>
      </c>
      <c r="CT1022" s="431" t="n">
        <v>109</v>
      </c>
      <c r="CU1022" s="688" t="n"/>
      <c r="CV1022" s="431" t="inlineStr">
        <is>
          <t>Boolean</t>
        </is>
      </c>
      <c r="CW1022" s="451" t="n"/>
      <c r="CX1022" s="451">
        <f>'CIRCUIT SIM'!MQ112</f>
        <v/>
      </c>
      <c r="CY1022" s="451" t="n"/>
      <c r="DA1022" s="429" t="n">
        <v>109</v>
      </c>
      <c r="DB1022" s="431" t="n">
        <v>109</v>
      </c>
      <c r="DC1022" s="688" t="n"/>
      <c r="DD1022" s="431" t="n"/>
      <c r="DE1022" s="451" t="n"/>
      <c r="DF1022" s="451" t="n"/>
      <c r="DG1022" s="451" t="n"/>
      <c r="DI1022" s="429" t="n">
        <v>109</v>
      </c>
      <c r="DJ1022" s="431" t="n">
        <v>109</v>
      </c>
      <c r="DK1022" s="688" t="n"/>
      <c r="DL1022" s="431" t="n"/>
      <c r="DM1022" s="429" t="n"/>
      <c r="DN1022" s="451">
        <f>'CIRCUIT SIM'!FN112</f>
        <v/>
      </c>
      <c r="DO1022" s="451" t="n"/>
      <c r="DQ1022" s="429" t="n">
        <v>109</v>
      </c>
      <c r="DR1022" s="431" t="n">
        <v>109</v>
      </c>
      <c r="DS1022" s="688" t="n"/>
      <c r="DT1022" s="431" t="n"/>
      <c r="DU1022" s="451" t="n"/>
      <c r="DV1022" s="451">
        <f>'CIRCUIT SIM'!HT112</f>
        <v/>
      </c>
      <c r="DW1022" s="451" t="n"/>
      <c r="DY1022" s="429" t="n">
        <v>109</v>
      </c>
      <c r="DZ1022" s="431" t="n">
        <v>109</v>
      </c>
      <c r="EA1022" s="688" t="n"/>
      <c r="EB1022" s="431" t="n"/>
      <c r="EC1022" s="451" t="n"/>
      <c r="ED1022" s="451" t="n"/>
      <c r="EE1022" s="451" t="n"/>
      <c r="EG1022" s="429" t="n">
        <v>109</v>
      </c>
      <c r="EH1022" s="431" t="n">
        <v>109</v>
      </c>
      <c r="EI1022" s="688" t="n"/>
      <c r="EJ1022" s="431" t="n"/>
      <c r="EK1022" s="451" t="n"/>
      <c r="EL1022" s="451" t="n"/>
      <c r="EM1022" s="451" t="n"/>
      <c r="EO1022" s="429" t="n">
        <v>109</v>
      </c>
      <c r="EP1022" s="431" t="n">
        <v>109</v>
      </c>
      <c r="EQ1022" s="688" t="n"/>
      <c r="ER1022" s="431" t="n"/>
      <c r="ES1022" s="451" t="n"/>
      <c r="ET1022" s="451" t="n"/>
      <c r="EU1022" s="451" t="n"/>
      <c r="EW1022" s="429" t="n">
        <v>109</v>
      </c>
      <c r="EX1022" s="431" t="n">
        <v>109</v>
      </c>
      <c r="EY1022" s="688" t="n"/>
      <c r="EZ1022" s="431" t="n"/>
      <c r="FA1022" s="451" t="n"/>
      <c r="FB1022" s="451" t="n"/>
      <c r="FC1022" s="451" t="n"/>
      <c r="FE1022" s="429" t="n">
        <v>109</v>
      </c>
      <c r="FF1022" s="431" t="n">
        <v>109</v>
      </c>
      <c r="FG1022" s="688" t="n"/>
      <c r="FH1022" s="431" t="n"/>
      <c r="FI1022" s="451" t="n"/>
      <c r="FJ1022" s="451" t="n"/>
      <c r="FK1022" s="451" t="n"/>
      <c r="FM1022" s="429" t="n">
        <v>109</v>
      </c>
      <c r="FN1022" s="431" t="n">
        <v>109</v>
      </c>
      <c r="FO1022" s="688" t="n"/>
      <c r="FP1022" s="431" t="n"/>
      <c r="FQ1022" s="451" t="n"/>
      <c r="FR1022" s="451">
        <f>'CIRCUIT SIM'!KY112</f>
        <v/>
      </c>
      <c r="FS1022" s="451" t="n"/>
      <c r="FU1022" s="429" t="n">
        <v>109</v>
      </c>
      <c r="FV1022" s="431" t="n">
        <v>109</v>
      </c>
      <c r="FW1022" s="688" t="n"/>
      <c r="FX1022" s="431" t="n"/>
      <c r="FY1022" s="451" t="n"/>
      <c r="FZ1022" s="562">
        <f>'CIRCUIT SIM'!JG112</f>
        <v/>
      </c>
      <c r="GA1022" s="451" t="n"/>
      <c r="GC1022" s="429" t="n">
        <v>109</v>
      </c>
      <c r="GD1022" s="431" t="n">
        <v>109</v>
      </c>
      <c r="GE1022" s="688" t="n"/>
      <c r="GF1022" s="431" t="n"/>
      <c r="GG1022" s="451" t="n"/>
      <c r="GH1022" s="451" t="n"/>
      <c r="GI1022" s="451" t="n"/>
      <c r="GK1022" s="429" t="n">
        <v>109</v>
      </c>
      <c r="GL1022" s="431" t="n">
        <v>109</v>
      </c>
      <c r="GM1022" s="688" t="n"/>
      <c r="GN1022" s="431" t="n"/>
      <c r="GO1022" s="451" t="n"/>
      <c r="GP1022" s="451" t="n"/>
      <c r="GQ1022" s="451" t="n"/>
      <c r="GS1022" s="429" t="n">
        <v>109</v>
      </c>
      <c r="GT1022" s="431" t="n">
        <v>109</v>
      </c>
      <c r="GU1022" s="688" t="n"/>
      <c r="GV1022" s="431" t="n"/>
      <c r="GW1022" s="451" t="n"/>
      <c r="GX1022" s="451" t="n"/>
      <c r="GY1022" s="451" t="n"/>
      <c r="HA1022" s="429" t="n">
        <v>109</v>
      </c>
      <c r="HB1022" s="431" t="n">
        <v>109</v>
      </c>
      <c r="HC1022" s="688" t="n"/>
      <c r="HD1022" s="431" t="n"/>
      <c r="HE1022" s="451" t="n"/>
      <c r="HF1022" s="451" t="n"/>
      <c r="HG1022" s="451" t="n"/>
    </row>
    <row r="1023">
      <c r="A1023" s="429" t="n">
        <v>110</v>
      </c>
      <c r="B1023" s="431" t="n">
        <v>110</v>
      </c>
      <c r="C1023" s="688" t="n"/>
      <c r="D1023" s="431" t="n"/>
      <c r="E1023" s="429" t="n"/>
      <c r="F1023" s="429" t="n"/>
      <c r="G1023" s="429" t="n"/>
      <c r="I1023" s="429" t="n">
        <v>110</v>
      </c>
      <c r="J1023" s="431" t="n">
        <v>110</v>
      </c>
      <c r="K1023" s="429" t="n"/>
      <c r="L1023" s="431" t="inlineStr">
        <is>
          <t>Boolean</t>
        </is>
      </c>
      <c r="M1023" s="451" t="n"/>
      <c r="N1023" s="422">
        <f>'CIRCUIT SIM'!Y113</f>
        <v/>
      </c>
      <c r="Q1023" s="429" t="n">
        <v>110</v>
      </c>
      <c r="R1023" s="431" t="n">
        <v>110</v>
      </c>
      <c r="S1023" s="429" t="n"/>
      <c r="T1023" s="431" t="inlineStr">
        <is>
          <t>Boolean</t>
        </is>
      </c>
      <c r="U1023" s="429" t="n"/>
      <c r="V1023" s="386">
        <f>'CIRCUIT SIM'!AO113</f>
        <v/>
      </c>
      <c r="W1023" s="451" t="n"/>
      <c r="Y1023" s="429" t="n">
        <v>110</v>
      </c>
      <c r="Z1023" s="431" t="n">
        <v>110</v>
      </c>
      <c r="AA1023" s="429" t="n"/>
      <c r="AB1023" s="431" t="n"/>
      <c r="AC1023" s="451" t="n"/>
      <c r="AD1023" s="451" t="n"/>
      <c r="AE1023" s="451" t="n"/>
      <c r="AG1023" s="429" t="n">
        <v>110</v>
      </c>
      <c r="AH1023" s="431" t="n">
        <v>110</v>
      </c>
      <c r="AI1023" s="429" t="n"/>
      <c r="AJ1023" s="431" t="n"/>
      <c r="AK1023" s="451" t="n"/>
      <c r="AL1023" s="451" t="n"/>
      <c r="AM1023" s="451" t="n"/>
      <c r="AO1023" s="429" t="n">
        <v>110</v>
      </c>
      <c r="AP1023" s="431" t="n">
        <v>110</v>
      </c>
      <c r="AQ1023" s="429" t="n"/>
      <c r="AR1023" s="431" t="n"/>
      <c r="AS1023" s="451" t="n"/>
      <c r="AT1023" s="451" t="n"/>
      <c r="AU1023" s="451" t="n"/>
      <c r="AW1023" s="429" t="n">
        <v>110</v>
      </c>
      <c r="AX1023" s="431" t="n">
        <v>110</v>
      </c>
      <c r="AY1023" s="429" t="n"/>
      <c r="AZ1023" s="431" t="n"/>
      <c r="BA1023" s="451" t="n"/>
      <c r="BB1023" s="451">
        <f>'CIRCUIT SIM'!CG113</f>
        <v/>
      </c>
      <c r="BC1023" s="451" t="n"/>
      <c r="BE1023" s="429" t="n">
        <v>110</v>
      </c>
      <c r="BF1023" s="431" t="n"/>
      <c r="BG1023" s="429" t="n"/>
      <c r="BH1023" s="431" t="n"/>
      <c r="BI1023" s="451" t="n"/>
      <c r="BJ1023" s="451" t="n"/>
      <c r="BK1023" s="451" t="n"/>
      <c r="BM1023" s="429" t="n">
        <v>110</v>
      </c>
      <c r="BN1023" s="431" t="n">
        <v>110</v>
      </c>
      <c r="BO1023" s="429" t="n"/>
      <c r="BP1023" s="431" t="n"/>
      <c r="BQ1023" s="451" t="n"/>
      <c r="BR1023" s="451" t="n"/>
      <c r="BS1023" s="451" t="n"/>
      <c r="BU1023" s="429" t="n">
        <v>110</v>
      </c>
      <c r="BV1023" s="431" t="n">
        <v>110</v>
      </c>
      <c r="BW1023" s="429" t="n"/>
      <c r="BX1023" s="431" t="n"/>
      <c r="BY1023" s="451" t="n"/>
      <c r="BZ1023" s="451">
        <f>'CIRCUIT SIM'!EI113</f>
        <v/>
      </c>
      <c r="CA1023" s="451" t="n"/>
      <c r="CC1023" s="429" t="n">
        <v>110</v>
      </c>
      <c r="CD1023" s="431" t="n">
        <v>110</v>
      </c>
      <c r="CE1023" s="688" t="n"/>
      <c r="CF1023" s="431" t="inlineStr">
        <is>
          <t>Boolean</t>
        </is>
      </c>
      <c r="CG1023" s="451" t="n"/>
      <c r="CH1023" s="562">
        <f>'CIRCUIT SIM'!LK113</f>
        <v/>
      </c>
      <c r="CI1023" s="451" t="n"/>
      <c r="CK1023" s="429" t="n">
        <v>110</v>
      </c>
      <c r="CL1023" s="431" t="n">
        <v>110</v>
      </c>
      <c r="CM1023" s="688" t="n"/>
      <c r="CN1023" s="431" t="n"/>
      <c r="CO1023" s="451" t="n"/>
      <c r="CP1023" s="451" t="n"/>
      <c r="CQ1023" s="451" t="n"/>
      <c r="CS1023" s="429" t="n">
        <v>110</v>
      </c>
      <c r="CT1023" s="431" t="n">
        <v>110</v>
      </c>
      <c r="CU1023" s="688" t="n"/>
      <c r="CV1023" s="431" t="inlineStr">
        <is>
          <t>Boolean</t>
        </is>
      </c>
      <c r="CW1023" s="451" t="n"/>
      <c r="CX1023" s="451">
        <f>'CIRCUIT SIM'!MQ113</f>
        <v/>
      </c>
      <c r="CY1023" s="451" t="n"/>
      <c r="DA1023" s="429" t="n">
        <v>110</v>
      </c>
      <c r="DB1023" s="431" t="n">
        <v>110</v>
      </c>
      <c r="DC1023" s="688" t="n"/>
      <c r="DD1023" s="431" t="n"/>
      <c r="DE1023" s="451" t="n"/>
      <c r="DF1023" s="451" t="n"/>
      <c r="DG1023" s="451" t="n"/>
      <c r="DI1023" s="429" t="n">
        <v>110</v>
      </c>
      <c r="DJ1023" s="431" t="n">
        <v>110</v>
      </c>
      <c r="DK1023" s="688" t="n"/>
      <c r="DL1023" s="431" t="n"/>
      <c r="DM1023" s="429" t="n"/>
      <c r="DN1023" s="451">
        <f>'CIRCUIT SIM'!FN113</f>
        <v/>
      </c>
      <c r="DO1023" s="451" t="n"/>
      <c r="DQ1023" s="429" t="n">
        <v>110</v>
      </c>
      <c r="DR1023" s="431" t="n">
        <v>110</v>
      </c>
      <c r="DS1023" s="688" t="n"/>
      <c r="DT1023" s="431" t="n"/>
      <c r="DU1023" s="451" t="n"/>
      <c r="DV1023" s="451">
        <f>'CIRCUIT SIM'!HT113</f>
        <v/>
      </c>
      <c r="DW1023" s="451" t="n"/>
      <c r="DY1023" s="429" t="n">
        <v>110</v>
      </c>
      <c r="DZ1023" s="431" t="n">
        <v>110</v>
      </c>
      <c r="EA1023" s="688" t="n"/>
      <c r="EB1023" s="431" t="n"/>
      <c r="EC1023" s="451" t="n"/>
      <c r="ED1023" s="451" t="n"/>
      <c r="EE1023" s="451" t="n"/>
      <c r="EG1023" s="429" t="n">
        <v>110</v>
      </c>
      <c r="EH1023" s="431" t="n">
        <v>110</v>
      </c>
      <c r="EI1023" s="688" t="n"/>
      <c r="EJ1023" s="431" t="n"/>
      <c r="EK1023" s="451" t="n"/>
      <c r="EL1023" s="451" t="n"/>
      <c r="EM1023" s="451" t="n"/>
      <c r="EO1023" s="429" t="n">
        <v>110</v>
      </c>
      <c r="EP1023" s="431" t="n">
        <v>110</v>
      </c>
      <c r="EQ1023" s="688" t="n"/>
      <c r="ER1023" s="431" t="n"/>
      <c r="ES1023" s="451" t="n"/>
      <c r="ET1023" s="451" t="n"/>
      <c r="EU1023" s="451" t="n"/>
      <c r="EW1023" s="429" t="n">
        <v>110</v>
      </c>
      <c r="EX1023" s="431" t="n">
        <v>110</v>
      </c>
      <c r="EY1023" s="688" t="n"/>
      <c r="EZ1023" s="431" t="n"/>
      <c r="FA1023" s="451" t="n"/>
      <c r="FB1023" s="451" t="n"/>
      <c r="FC1023" s="451" t="n"/>
      <c r="FE1023" s="429" t="n">
        <v>110</v>
      </c>
      <c r="FF1023" s="431" t="n">
        <v>110</v>
      </c>
      <c r="FG1023" s="688" t="n"/>
      <c r="FH1023" s="431" t="n"/>
      <c r="FI1023" s="451" t="n"/>
      <c r="FJ1023" s="451" t="n"/>
      <c r="FK1023" s="451" t="n"/>
      <c r="FM1023" s="429" t="n">
        <v>110</v>
      </c>
      <c r="FN1023" s="431" t="n">
        <v>110</v>
      </c>
      <c r="FO1023" s="688" t="n"/>
      <c r="FP1023" s="431" t="n"/>
      <c r="FQ1023" s="451" t="n"/>
      <c r="FR1023" s="451">
        <f>'CIRCUIT SIM'!KY113</f>
        <v/>
      </c>
      <c r="FS1023" s="451" t="n"/>
      <c r="FU1023" s="429" t="n">
        <v>110</v>
      </c>
      <c r="FV1023" s="431" t="n">
        <v>110</v>
      </c>
      <c r="FW1023" s="688" t="n"/>
      <c r="FX1023" s="431" t="n"/>
      <c r="FY1023" s="451" t="n"/>
      <c r="FZ1023" s="562">
        <f>'CIRCUIT SIM'!JG113</f>
        <v/>
      </c>
      <c r="GA1023" s="451" t="n"/>
      <c r="GC1023" s="429" t="n">
        <v>110</v>
      </c>
      <c r="GD1023" s="431" t="n">
        <v>110</v>
      </c>
      <c r="GE1023" s="688" t="n"/>
      <c r="GF1023" s="431" t="n"/>
      <c r="GG1023" s="451" t="n"/>
      <c r="GH1023" s="451" t="n"/>
      <c r="GI1023" s="451" t="n"/>
      <c r="GK1023" s="429" t="n">
        <v>110</v>
      </c>
      <c r="GL1023" s="431" t="n">
        <v>110</v>
      </c>
      <c r="GM1023" s="688" t="n"/>
      <c r="GN1023" s="431" t="n"/>
      <c r="GO1023" s="451" t="n"/>
      <c r="GP1023" s="451" t="n"/>
      <c r="GQ1023" s="451" t="n"/>
      <c r="GS1023" s="429" t="n">
        <v>110</v>
      </c>
      <c r="GT1023" s="431" t="n">
        <v>110</v>
      </c>
      <c r="GU1023" s="688" t="n"/>
      <c r="GV1023" s="431" t="n"/>
      <c r="GW1023" s="451" t="n"/>
      <c r="GX1023" s="451" t="n"/>
      <c r="GY1023" s="451" t="n"/>
      <c r="HA1023" s="429" t="n">
        <v>110</v>
      </c>
      <c r="HB1023" s="431" t="n">
        <v>110</v>
      </c>
      <c r="HC1023" s="688" t="n"/>
      <c r="HD1023" s="431" t="n"/>
      <c r="HE1023" s="451" t="n"/>
      <c r="HF1023" s="451" t="n"/>
      <c r="HG1023" s="451" t="n"/>
    </row>
    <row r="1024">
      <c r="A1024" s="429" t="n">
        <v>111</v>
      </c>
      <c r="B1024" s="431" t="n">
        <v>111</v>
      </c>
      <c r="C1024" s="688" t="n"/>
      <c r="D1024" s="431" t="n"/>
      <c r="E1024" s="429" t="n"/>
      <c r="F1024" s="429" t="n"/>
      <c r="G1024" s="429" t="n"/>
      <c r="I1024" s="429" t="n">
        <v>111</v>
      </c>
      <c r="J1024" s="431" t="n">
        <v>111</v>
      </c>
      <c r="K1024" s="429" t="n"/>
      <c r="L1024" s="431" t="inlineStr">
        <is>
          <t>Boolean</t>
        </is>
      </c>
      <c r="M1024" s="451" t="n"/>
      <c r="N1024" s="422">
        <f>'CIRCUIT SIM'!Y114</f>
        <v/>
      </c>
      <c r="Q1024" s="429" t="n">
        <v>111</v>
      </c>
      <c r="R1024" s="431" t="n">
        <v>111</v>
      </c>
      <c r="S1024" s="429" t="n"/>
      <c r="T1024" s="431" t="inlineStr">
        <is>
          <t>Boolean</t>
        </is>
      </c>
      <c r="U1024" s="429" t="n"/>
      <c r="V1024" s="386">
        <f>'CIRCUIT SIM'!AO114</f>
        <v/>
      </c>
      <c r="W1024" s="451" t="n"/>
      <c r="Y1024" s="429" t="n">
        <v>111</v>
      </c>
      <c r="Z1024" s="431" t="n">
        <v>111</v>
      </c>
      <c r="AA1024" s="429" t="n"/>
      <c r="AB1024" s="431" t="n"/>
      <c r="AC1024" s="451" t="n"/>
      <c r="AD1024" s="451" t="n"/>
      <c r="AE1024" s="451" t="n"/>
      <c r="AG1024" s="429" t="n">
        <v>111</v>
      </c>
      <c r="AH1024" s="431" t="n">
        <v>111</v>
      </c>
      <c r="AI1024" s="429" t="n"/>
      <c r="AJ1024" s="431" t="n"/>
      <c r="AK1024" s="451" t="n"/>
      <c r="AL1024" s="451" t="n"/>
      <c r="AM1024" s="451" t="n"/>
      <c r="AO1024" s="429" t="n">
        <v>111</v>
      </c>
      <c r="AP1024" s="431" t="n">
        <v>111</v>
      </c>
      <c r="AQ1024" s="429" t="n"/>
      <c r="AR1024" s="431" t="n"/>
      <c r="AS1024" s="451" t="n"/>
      <c r="AT1024" s="451" t="n"/>
      <c r="AU1024" s="451" t="n"/>
      <c r="AW1024" s="429" t="n">
        <v>111</v>
      </c>
      <c r="AX1024" s="431" t="n">
        <v>111</v>
      </c>
      <c r="AY1024" s="429" t="n"/>
      <c r="AZ1024" s="431" t="n"/>
      <c r="BA1024" s="451" t="n"/>
      <c r="BB1024" s="451">
        <f>'CIRCUIT SIM'!CG114</f>
        <v/>
      </c>
      <c r="BC1024" s="451" t="n"/>
      <c r="BE1024" s="429" t="n">
        <v>111</v>
      </c>
      <c r="BF1024" s="431" t="n"/>
      <c r="BG1024" s="429" t="n"/>
      <c r="BH1024" s="431" t="n"/>
      <c r="BI1024" s="451" t="n"/>
      <c r="BJ1024" s="451" t="n"/>
      <c r="BK1024" s="451" t="n"/>
      <c r="BM1024" s="429" t="n">
        <v>111</v>
      </c>
      <c r="BN1024" s="431" t="n">
        <v>111</v>
      </c>
      <c r="BO1024" s="429" t="n"/>
      <c r="BP1024" s="431" t="n"/>
      <c r="BQ1024" s="451" t="n"/>
      <c r="BR1024" s="451" t="n"/>
      <c r="BS1024" s="451" t="n"/>
      <c r="BU1024" s="429" t="n">
        <v>111</v>
      </c>
      <c r="BV1024" s="431" t="n">
        <v>111</v>
      </c>
      <c r="BW1024" s="429" t="n"/>
      <c r="BX1024" s="431" t="n"/>
      <c r="BY1024" s="451" t="n"/>
      <c r="BZ1024" s="451">
        <f>'CIRCUIT SIM'!EI114</f>
        <v/>
      </c>
      <c r="CA1024" s="451" t="n"/>
      <c r="CC1024" s="429" t="n">
        <v>111</v>
      </c>
      <c r="CD1024" s="431" t="n">
        <v>111</v>
      </c>
      <c r="CE1024" s="688" t="n"/>
      <c r="CF1024" s="431" t="inlineStr">
        <is>
          <t>Boolean</t>
        </is>
      </c>
      <c r="CG1024" s="451" t="n"/>
      <c r="CH1024" s="562">
        <f>'CIRCUIT SIM'!LK114</f>
        <v/>
      </c>
      <c r="CI1024" s="451" t="n"/>
      <c r="CK1024" s="429" t="n">
        <v>111</v>
      </c>
      <c r="CL1024" s="431" t="n">
        <v>111</v>
      </c>
      <c r="CM1024" s="688" t="n"/>
      <c r="CN1024" s="431" t="n"/>
      <c r="CO1024" s="451" t="n"/>
      <c r="CP1024" s="451" t="n"/>
      <c r="CQ1024" s="451" t="n"/>
      <c r="CS1024" s="429" t="n">
        <v>111</v>
      </c>
      <c r="CT1024" s="431" t="n">
        <v>111</v>
      </c>
      <c r="CU1024" s="688" t="n"/>
      <c r="CV1024" s="431" t="inlineStr">
        <is>
          <t>Boolean</t>
        </is>
      </c>
      <c r="CW1024" s="451" t="n"/>
      <c r="CX1024" s="451">
        <f>'CIRCUIT SIM'!MQ114</f>
        <v/>
      </c>
      <c r="CY1024" s="451" t="n"/>
      <c r="DA1024" s="429" t="n">
        <v>111</v>
      </c>
      <c r="DB1024" s="431" t="n">
        <v>111</v>
      </c>
      <c r="DC1024" s="688" t="n"/>
      <c r="DD1024" s="431" t="n"/>
      <c r="DE1024" s="451" t="n"/>
      <c r="DF1024" s="451" t="n"/>
      <c r="DG1024" s="451" t="n"/>
      <c r="DI1024" s="429" t="n">
        <v>111</v>
      </c>
      <c r="DJ1024" s="431" t="n">
        <v>111</v>
      </c>
      <c r="DK1024" s="688" t="n"/>
      <c r="DL1024" s="431" t="n"/>
      <c r="DM1024" s="429" t="n"/>
      <c r="DN1024" s="451">
        <f>'CIRCUIT SIM'!FN114</f>
        <v/>
      </c>
      <c r="DO1024" s="451" t="n"/>
      <c r="DQ1024" s="429" t="n">
        <v>111</v>
      </c>
      <c r="DR1024" s="431" t="n">
        <v>111</v>
      </c>
      <c r="DS1024" s="688" t="n"/>
      <c r="DT1024" s="431" t="n"/>
      <c r="DU1024" s="451" t="n"/>
      <c r="DV1024" s="451">
        <f>'CIRCUIT SIM'!HT114</f>
        <v/>
      </c>
      <c r="DW1024" s="451" t="n"/>
      <c r="DY1024" s="429" t="n">
        <v>111</v>
      </c>
      <c r="DZ1024" s="431" t="n">
        <v>111</v>
      </c>
      <c r="EA1024" s="688" t="n"/>
      <c r="EB1024" s="431" t="n"/>
      <c r="EC1024" s="451" t="n"/>
      <c r="ED1024" s="451" t="n"/>
      <c r="EE1024" s="451" t="n"/>
      <c r="EG1024" s="429" t="n">
        <v>111</v>
      </c>
      <c r="EH1024" s="431" t="n">
        <v>111</v>
      </c>
      <c r="EI1024" s="688" t="n"/>
      <c r="EJ1024" s="431" t="n"/>
      <c r="EK1024" s="451" t="n"/>
      <c r="EL1024" s="451" t="n"/>
      <c r="EM1024" s="451" t="n"/>
      <c r="EO1024" s="429" t="n">
        <v>111</v>
      </c>
      <c r="EP1024" s="431" t="n">
        <v>111</v>
      </c>
      <c r="EQ1024" s="688" t="n"/>
      <c r="ER1024" s="431" t="n"/>
      <c r="ES1024" s="451" t="n"/>
      <c r="ET1024" s="451" t="n"/>
      <c r="EU1024" s="451" t="n"/>
      <c r="EW1024" s="429" t="n">
        <v>111</v>
      </c>
      <c r="EX1024" s="431" t="n">
        <v>111</v>
      </c>
      <c r="EY1024" s="688" t="n"/>
      <c r="EZ1024" s="431" t="n"/>
      <c r="FA1024" s="451" t="n"/>
      <c r="FB1024" s="451" t="n"/>
      <c r="FC1024" s="451" t="n"/>
      <c r="FE1024" s="429" t="n">
        <v>111</v>
      </c>
      <c r="FF1024" s="431" t="n">
        <v>111</v>
      </c>
      <c r="FG1024" s="688" t="n"/>
      <c r="FH1024" s="431" t="n"/>
      <c r="FI1024" s="451" t="n"/>
      <c r="FJ1024" s="451" t="n"/>
      <c r="FK1024" s="451" t="n"/>
      <c r="FM1024" s="429" t="n">
        <v>111</v>
      </c>
      <c r="FN1024" s="431" t="n">
        <v>111</v>
      </c>
      <c r="FO1024" s="688" t="n"/>
      <c r="FP1024" s="431" t="n"/>
      <c r="FQ1024" s="451" t="n"/>
      <c r="FR1024" s="451">
        <f>'CIRCUIT SIM'!KY114</f>
        <v/>
      </c>
      <c r="FS1024" s="451" t="n"/>
      <c r="FU1024" s="429" t="n">
        <v>111</v>
      </c>
      <c r="FV1024" s="431" t="n">
        <v>111</v>
      </c>
      <c r="FW1024" s="688" t="n"/>
      <c r="FX1024" s="431" t="n"/>
      <c r="FY1024" s="451" t="n"/>
      <c r="FZ1024" s="562">
        <f>'CIRCUIT SIM'!JG114</f>
        <v/>
      </c>
      <c r="GA1024" s="451" t="n"/>
      <c r="GC1024" s="429" t="n">
        <v>111</v>
      </c>
      <c r="GD1024" s="431" t="n">
        <v>111</v>
      </c>
      <c r="GE1024" s="688" t="n"/>
      <c r="GF1024" s="431" t="n"/>
      <c r="GG1024" s="451" t="n"/>
      <c r="GH1024" s="451" t="n"/>
      <c r="GI1024" s="451" t="n"/>
      <c r="GK1024" s="429" t="n">
        <v>111</v>
      </c>
      <c r="GL1024" s="431" t="n">
        <v>111</v>
      </c>
      <c r="GM1024" s="688" t="n"/>
      <c r="GN1024" s="431" t="n"/>
      <c r="GO1024" s="451" t="n"/>
      <c r="GP1024" s="451" t="n"/>
      <c r="GQ1024" s="451" t="n"/>
      <c r="GS1024" s="429" t="n">
        <v>111</v>
      </c>
      <c r="GT1024" s="431" t="n">
        <v>111</v>
      </c>
      <c r="GU1024" s="688" t="n"/>
      <c r="GV1024" s="431" t="n"/>
      <c r="GW1024" s="451" t="n"/>
      <c r="GX1024" s="451" t="n"/>
      <c r="GY1024" s="451" t="n"/>
      <c r="HA1024" s="429" t="n">
        <v>111</v>
      </c>
      <c r="HB1024" s="431" t="n">
        <v>111</v>
      </c>
      <c r="HC1024" s="688" t="n"/>
      <c r="HD1024" s="431" t="n"/>
      <c r="HE1024" s="451" t="n"/>
      <c r="HF1024" s="451" t="n"/>
      <c r="HG1024" s="451" t="n"/>
    </row>
    <row r="1025">
      <c r="A1025" s="429" t="n">
        <v>112</v>
      </c>
      <c r="B1025" s="431" t="n">
        <v>112</v>
      </c>
      <c r="C1025" s="688" t="n"/>
      <c r="D1025" s="431" t="n"/>
      <c r="E1025" s="429" t="n"/>
      <c r="F1025" s="429" t="n"/>
      <c r="G1025" s="429" t="n"/>
      <c r="I1025" s="429" t="n">
        <v>112</v>
      </c>
      <c r="J1025" s="431" t="n">
        <v>112</v>
      </c>
      <c r="K1025" s="429" t="n"/>
      <c r="L1025" s="431" t="inlineStr">
        <is>
          <t>Boolean</t>
        </is>
      </c>
      <c r="M1025" s="451" t="n"/>
      <c r="N1025" s="422">
        <f>'CIRCUIT SIM'!Y115</f>
        <v/>
      </c>
      <c r="Q1025" s="429" t="n">
        <v>112</v>
      </c>
      <c r="R1025" s="431" t="n">
        <v>112</v>
      </c>
      <c r="S1025" s="429" t="n"/>
      <c r="T1025" s="431" t="inlineStr">
        <is>
          <t>Boolean</t>
        </is>
      </c>
      <c r="U1025" s="429" t="n"/>
      <c r="V1025" s="386">
        <f>'CIRCUIT SIM'!AO115</f>
        <v/>
      </c>
      <c r="W1025" s="451" t="n"/>
      <c r="Y1025" s="429" t="n">
        <v>112</v>
      </c>
      <c r="Z1025" s="431" t="n">
        <v>112</v>
      </c>
      <c r="AA1025" s="429" t="n"/>
      <c r="AB1025" s="431" t="n"/>
      <c r="AC1025" s="451" t="n"/>
      <c r="AD1025" s="451" t="n"/>
      <c r="AE1025" s="451" t="n"/>
      <c r="AG1025" s="429" t="n">
        <v>112</v>
      </c>
      <c r="AH1025" s="431" t="n">
        <v>112</v>
      </c>
      <c r="AI1025" s="429" t="n"/>
      <c r="AJ1025" s="431" t="n"/>
      <c r="AK1025" s="451" t="n"/>
      <c r="AL1025" s="451" t="n"/>
      <c r="AM1025" s="451" t="n"/>
      <c r="AO1025" s="429" t="n">
        <v>112</v>
      </c>
      <c r="AP1025" s="431" t="n">
        <v>112</v>
      </c>
      <c r="AQ1025" s="429" t="n"/>
      <c r="AR1025" s="431" t="n"/>
      <c r="AS1025" s="451" t="n"/>
      <c r="AT1025" s="451" t="n"/>
      <c r="AU1025" s="451" t="n"/>
      <c r="AW1025" s="429" t="n">
        <v>112</v>
      </c>
      <c r="AX1025" s="431" t="n">
        <v>112</v>
      </c>
      <c r="AY1025" s="429" t="n"/>
      <c r="AZ1025" s="431" t="n"/>
      <c r="BA1025" s="451" t="n"/>
      <c r="BB1025" s="451">
        <f>'CIRCUIT SIM'!CG115</f>
        <v/>
      </c>
      <c r="BC1025" s="451" t="n"/>
      <c r="BE1025" s="429" t="n">
        <v>112</v>
      </c>
      <c r="BF1025" s="431" t="n"/>
      <c r="BG1025" s="429" t="n"/>
      <c r="BH1025" s="431" t="n"/>
      <c r="BI1025" s="451" t="n"/>
      <c r="BJ1025" s="451" t="n"/>
      <c r="BK1025" s="451" t="n"/>
      <c r="BM1025" s="429" t="n">
        <v>112</v>
      </c>
      <c r="BN1025" s="431" t="n">
        <v>112</v>
      </c>
      <c r="BO1025" s="429" t="n"/>
      <c r="BP1025" s="431" t="n"/>
      <c r="BQ1025" s="451" t="n"/>
      <c r="BR1025" s="451" t="n"/>
      <c r="BS1025" s="451" t="n"/>
      <c r="BU1025" s="429" t="n">
        <v>112</v>
      </c>
      <c r="BV1025" s="431" t="n">
        <v>112</v>
      </c>
      <c r="BW1025" s="429" t="n"/>
      <c r="BX1025" s="431" t="n"/>
      <c r="BY1025" s="451" t="n"/>
      <c r="BZ1025" s="451">
        <f>'CIRCUIT SIM'!EI115</f>
        <v/>
      </c>
      <c r="CA1025" s="451" t="n"/>
      <c r="CC1025" s="429" t="n">
        <v>112</v>
      </c>
      <c r="CD1025" s="431" t="n">
        <v>112</v>
      </c>
      <c r="CE1025" s="688" t="n"/>
      <c r="CF1025" s="431" t="inlineStr">
        <is>
          <t>Boolean</t>
        </is>
      </c>
      <c r="CG1025" s="451" t="n"/>
      <c r="CH1025" s="562">
        <f>'CIRCUIT SIM'!LK115</f>
        <v/>
      </c>
      <c r="CI1025" s="451" t="n"/>
      <c r="CK1025" s="429" t="n">
        <v>112</v>
      </c>
      <c r="CL1025" s="431" t="n">
        <v>112</v>
      </c>
      <c r="CM1025" s="688" t="n"/>
      <c r="CN1025" s="431" t="n"/>
      <c r="CO1025" s="451" t="n"/>
      <c r="CP1025" s="451" t="n"/>
      <c r="CQ1025" s="451" t="n"/>
      <c r="CS1025" s="429" t="n">
        <v>112</v>
      </c>
      <c r="CT1025" s="431" t="n">
        <v>112</v>
      </c>
      <c r="CU1025" s="688" t="n"/>
      <c r="CV1025" s="431" t="inlineStr">
        <is>
          <t>Boolean</t>
        </is>
      </c>
      <c r="CW1025" s="451" t="n"/>
      <c r="CX1025" s="451">
        <f>'CIRCUIT SIM'!MQ115</f>
        <v/>
      </c>
      <c r="CY1025" s="451" t="n"/>
      <c r="DA1025" s="429" t="n">
        <v>112</v>
      </c>
      <c r="DB1025" s="431" t="n">
        <v>112</v>
      </c>
      <c r="DC1025" s="688" t="n"/>
      <c r="DD1025" s="431" t="n"/>
      <c r="DE1025" s="451" t="n"/>
      <c r="DF1025" s="451" t="n"/>
      <c r="DG1025" s="451" t="n"/>
      <c r="DI1025" s="429" t="n">
        <v>112</v>
      </c>
      <c r="DJ1025" s="431" t="n">
        <v>112</v>
      </c>
      <c r="DK1025" s="688" t="n"/>
      <c r="DL1025" s="431" t="n"/>
      <c r="DM1025" s="429" t="n"/>
      <c r="DN1025" s="451">
        <f>'CIRCUIT SIM'!FN115</f>
        <v/>
      </c>
      <c r="DO1025" s="451" t="n"/>
      <c r="DQ1025" s="429" t="n">
        <v>112</v>
      </c>
      <c r="DR1025" s="431" t="n">
        <v>112</v>
      </c>
      <c r="DS1025" s="688" t="n"/>
      <c r="DT1025" s="431" t="n"/>
      <c r="DU1025" s="451" t="n"/>
      <c r="DV1025" s="451">
        <f>'CIRCUIT SIM'!HT115</f>
        <v/>
      </c>
      <c r="DW1025" s="451" t="n"/>
      <c r="DY1025" s="429" t="n">
        <v>112</v>
      </c>
      <c r="DZ1025" s="431" t="n">
        <v>112</v>
      </c>
      <c r="EA1025" s="688" t="n"/>
      <c r="EB1025" s="431" t="n"/>
      <c r="EC1025" s="451" t="n"/>
      <c r="ED1025" s="451" t="n"/>
      <c r="EE1025" s="451" t="n"/>
      <c r="EG1025" s="429" t="n">
        <v>112</v>
      </c>
      <c r="EH1025" s="431" t="n">
        <v>112</v>
      </c>
      <c r="EI1025" s="688" t="n"/>
      <c r="EJ1025" s="431" t="n"/>
      <c r="EK1025" s="451" t="n"/>
      <c r="EL1025" s="451" t="n"/>
      <c r="EM1025" s="451" t="n"/>
      <c r="EO1025" s="429" t="n">
        <v>112</v>
      </c>
      <c r="EP1025" s="431" t="n">
        <v>112</v>
      </c>
      <c r="EQ1025" s="688" t="n"/>
      <c r="ER1025" s="431" t="n"/>
      <c r="ES1025" s="451" t="n"/>
      <c r="ET1025" s="451" t="n"/>
      <c r="EU1025" s="451" t="n"/>
      <c r="EW1025" s="429" t="n">
        <v>112</v>
      </c>
      <c r="EX1025" s="431" t="n">
        <v>112</v>
      </c>
      <c r="EY1025" s="688" t="n"/>
      <c r="EZ1025" s="431" t="n"/>
      <c r="FA1025" s="451" t="n"/>
      <c r="FB1025" s="451" t="n"/>
      <c r="FC1025" s="451" t="n"/>
      <c r="FE1025" s="429" t="n">
        <v>112</v>
      </c>
      <c r="FF1025" s="431" t="n">
        <v>112</v>
      </c>
      <c r="FG1025" s="688" t="n"/>
      <c r="FH1025" s="431" t="n"/>
      <c r="FI1025" s="451" t="n"/>
      <c r="FJ1025" s="451" t="n"/>
      <c r="FK1025" s="451" t="n"/>
      <c r="FM1025" s="429" t="n">
        <v>112</v>
      </c>
      <c r="FN1025" s="431" t="n">
        <v>112</v>
      </c>
      <c r="FO1025" s="688" t="n"/>
      <c r="FP1025" s="431" t="n"/>
      <c r="FQ1025" s="451" t="n"/>
      <c r="FR1025" s="451">
        <f>'CIRCUIT SIM'!KY115</f>
        <v/>
      </c>
      <c r="FS1025" s="451" t="n"/>
      <c r="FU1025" s="429" t="n">
        <v>112</v>
      </c>
      <c r="FV1025" s="431" t="n">
        <v>112</v>
      </c>
      <c r="FW1025" s="688" t="n"/>
      <c r="FX1025" s="431" t="n"/>
      <c r="FY1025" s="451" t="n"/>
      <c r="FZ1025" s="562">
        <f>'CIRCUIT SIM'!JG115</f>
        <v/>
      </c>
      <c r="GA1025" s="451" t="n"/>
      <c r="GC1025" s="429" t="n">
        <v>112</v>
      </c>
      <c r="GD1025" s="431" t="n">
        <v>112</v>
      </c>
      <c r="GE1025" s="688" t="n"/>
      <c r="GF1025" s="431" t="n"/>
      <c r="GG1025" s="451" t="n"/>
      <c r="GH1025" s="451" t="n"/>
      <c r="GI1025" s="451" t="n"/>
      <c r="GK1025" s="429" t="n">
        <v>112</v>
      </c>
      <c r="GL1025" s="431" t="n">
        <v>112</v>
      </c>
      <c r="GM1025" s="688" t="n"/>
      <c r="GN1025" s="431" t="n"/>
      <c r="GO1025" s="451" t="n"/>
      <c r="GP1025" s="451" t="n"/>
      <c r="GQ1025" s="451" t="n"/>
      <c r="GS1025" s="429" t="n">
        <v>112</v>
      </c>
      <c r="GT1025" s="431" t="n">
        <v>112</v>
      </c>
      <c r="GU1025" s="688" t="n"/>
      <c r="GV1025" s="431" t="n"/>
      <c r="GW1025" s="451" t="n"/>
      <c r="GX1025" s="451" t="n"/>
      <c r="GY1025" s="451" t="n"/>
      <c r="HA1025" s="429" t="n">
        <v>112</v>
      </c>
      <c r="HB1025" s="431" t="n">
        <v>112</v>
      </c>
      <c r="HC1025" s="688" t="n"/>
      <c r="HD1025" s="431" t="n"/>
      <c r="HE1025" s="451" t="n"/>
      <c r="HF1025" s="451" t="n"/>
      <c r="HG1025" s="451" t="n"/>
    </row>
    <row r="1026">
      <c r="A1026" s="429" t="n">
        <v>113</v>
      </c>
      <c r="B1026" s="431" t="n">
        <v>113</v>
      </c>
      <c r="C1026" s="688" t="n"/>
      <c r="D1026" s="431" t="n"/>
      <c r="E1026" s="429" t="n"/>
      <c r="F1026" s="429" t="n"/>
      <c r="G1026" s="429" t="n"/>
      <c r="I1026" s="429" t="n">
        <v>113</v>
      </c>
      <c r="J1026" s="431" t="n">
        <v>113</v>
      </c>
      <c r="K1026" s="429" t="n"/>
      <c r="L1026" s="431" t="inlineStr">
        <is>
          <t>Boolean</t>
        </is>
      </c>
      <c r="M1026" s="451" t="n"/>
      <c r="N1026" s="422">
        <f>'CIRCUIT SIM'!Y116</f>
        <v/>
      </c>
      <c r="Q1026" s="429" t="n">
        <v>113</v>
      </c>
      <c r="R1026" s="431" t="n">
        <v>113</v>
      </c>
      <c r="S1026" s="429" t="n"/>
      <c r="T1026" s="431" t="inlineStr">
        <is>
          <t>Boolean</t>
        </is>
      </c>
      <c r="U1026" s="429" t="n"/>
      <c r="V1026" s="386">
        <f>'CIRCUIT SIM'!AO116</f>
        <v/>
      </c>
      <c r="W1026" s="451" t="n"/>
      <c r="Y1026" s="429" t="n">
        <v>113</v>
      </c>
      <c r="Z1026" s="431" t="n">
        <v>113</v>
      </c>
      <c r="AA1026" s="429" t="n"/>
      <c r="AB1026" s="431" t="n"/>
      <c r="AC1026" s="451" t="n"/>
      <c r="AD1026" s="451" t="n"/>
      <c r="AE1026" s="451" t="n"/>
      <c r="AG1026" s="429" t="n">
        <v>113</v>
      </c>
      <c r="AH1026" s="431" t="n">
        <v>113</v>
      </c>
      <c r="AI1026" s="429" t="n"/>
      <c r="AJ1026" s="431" t="n"/>
      <c r="AK1026" s="451" t="n"/>
      <c r="AL1026" s="451" t="n"/>
      <c r="AM1026" s="451" t="n"/>
      <c r="AO1026" s="429" t="n">
        <v>113</v>
      </c>
      <c r="AP1026" s="431" t="n">
        <v>113</v>
      </c>
      <c r="AQ1026" s="429" t="n"/>
      <c r="AR1026" s="431" t="n"/>
      <c r="AS1026" s="451" t="n"/>
      <c r="AT1026" s="451" t="n"/>
      <c r="AU1026" s="451" t="n"/>
      <c r="AW1026" s="429" t="n">
        <v>113</v>
      </c>
      <c r="AX1026" s="431" t="n">
        <v>113</v>
      </c>
      <c r="AY1026" s="429" t="n"/>
      <c r="AZ1026" s="431" t="n"/>
      <c r="BA1026" s="451" t="n"/>
      <c r="BB1026" s="451">
        <f>'CIRCUIT SIM'!CG116</f>
        <v/>
      </c>
      <c r="BC1026" s="451" t="n"/>
      <c r="BE1026" s="429" t="n">
        <v>113</v>
      </c>
      <c r="BF1026" s="431" t="n"/>
      <c r="BG1026" s="429" t="n"/>
      <c r="BH1026" s="431" t="n"/>
      <c r="BI1026" s="451" t="n"/>
      <c r="BJ1026" s="451" t="n"/>
      <c r="BK1026" s="451" t="n"/>
      <c r="BM1026" s="429" t="n">
        <v>113</v>
      </c>
      <c r="BN1026" s="431" t="n">
        <v>113</v>
      </c>
      <c r="BO1026" s="429" t="n"/>
      <c r="BP1026" s="431" t="n"/>
      <c r="BQ1026" s="451" t="n"/>
      <c r="BR1026" s="451" t="n"/>
      <c r="BS1026" s="451" t="n"/>
      <c r="BU1026" s="429" t="n">
        <v>113</v>
      </c>
      <c r="BV1026" s="431" t="n">
        <v>113</v>
      </c>
      <c r="BW1026" s="429" t="n"/>
      <c r="BX1026" s="431" t="n"/>
      <c r="BY1026" s="451" t="n"/>
      <c r="BZ1026" s="451">
        <f>'CIRCUIT SIM'!EI116</f>
        <v/>
      </c>
      <c r="CA1026" s="451" t="n"/>
      <c r="CC1026" s="429" t="n">
        <v>113</v>
      </c>
      <c r="CD1026" s="431" t="n">
        <v>113</v>
      </c>
      <c r="CE1026" s="688" t="n"/>
      <c r="CF1026" s="431" t="inlineStr">
        <is>
          <t>Boolean</t>
        </is>
      </c>
      <c r="CG1026" s="451" t="n"/>
      <c r="CH1026" s="562">
        <f>'CIRCUIT SIM'!LK116</f>
        <v/>
      </c>
      <c r="CI1026" s="451" t="n"/>
      <c r="CK1026" s="429" t="n">
        <v>113</v>
      </c>
      <c r="CL1026" s="431" t="n">
        <v>113</v>
      </c>
      <c r="CM1026" s="688" t="n"/>
      <c r="CN1026" s="431" t="n"/>
      <c r="CO1026" s="451" t="n"/>
      <c r="CP1026" s="451" t="n"/>
      <c r="CQ1026" s="451" t="n"/>
      <c r="CS1026" s="429" t="n">
        <v>113</v>
      </c>
      <c r="CT1026" s="431" t="n">
        <v>113</v>
      </c>
      <c r="CU1026" s="688" t="n"/>
      <c r="CV1026" s="431" t="inlineStr">
        <is>
          <t>Boolean</t>
        </is>
      </c>
      <c r="CW1026" s="451" t="n"/>
      <c r="CX1026" s="451">
        <f>'CIRCUIT SIM'!MQ116</f>
        <v/>
      </c>
      <c r="CY1026" s="451" t="n"/>
      <c r="DA1026" s="429" t="n">
        <v>113</v>
      </c>
      <c r="DB1026" s="431" t="n">
        <v>113</v>
      </c>
      <c r="DC1026" s="688" t="n"/>
      <c r="DD1026" s="431" t="n"/>
      <c r="DE1026" s="451" t="n"/>
      <c r="DF1026" s="451" t="n"/>
      <c r="DG1026" s="451" t="n"/>
      <c r="DI1026" s="429" t="n">
        <v>113</v>
      </c>
      <c r="DJ1026" s="431" t="n">
        <v>113</v>
      </c>
      <c r="DK1026" s="688" t="n"/>
      <c r="DL1026" s="431" t="n"/>
      <c r="DM1026" s="429" t="n"/>
      <c r="DN1026" s="451">
        <f>'CIRCUIT SIM'!FN116</f>
        <v/>
      </c>
      <c r="DO1026" s="451" t="n"/>
      <c r="DQ1026" s="429" t="n">
        <v>113</v>
      </c>
      <c r="DR1026" s="431" t="n">
        <v>113</v>
      </c>
      <c r="DS1026" s="688" t="n"/>
      <c r="DT1026" s="431" t="n"/>
      <c r="DU1026" s="451" t="n"/>
      <c r="DV1026" s="451">
        <f>'CIRCUIT SIM'!HT116</f>
        <v/>
      </c>
      <c r="DW1026" s="451" t="n"/>
      <c r="DY1026" s="429" t="n">
        <v>113</v>
      </c>
      <c r="DZ1026" s="431" t="n">
        <v>113</v>
      </c>
      <c r="EA1026" s="688" t="n"/>
      <c r="EB1026" s="431" t="n"/>
      <c r="EC1026" s="451" t="n"/>
      <c r="ED1026" s="451" t="n"/>
      <c r="EE1026" s="451" t="n"/>
      <c r="EG1026" s="429" t="n">
        <v>113</v>
      </c>
      <c r="EH1026" s="431" t="n">
        <v>113</v>
      </c>
      <c r="EI1026" s="688" t="n"/>
      <c r="EJ1026" s="431" t="n"/>
      <c r="EK1026" s="451" t="n"/>
      <c r="EL1026" s="451" t="n"/>
      <c r="EM1026" s="451" t="n"/>
      <c r="EO1026" s="429" t="n">
        <v>113</v>
      </c>
      <c r="EP1026" s="431" t="n">
        <v>113</v>
      </c>
      <c r="EQ1026" s="688" t="n"/>
      <c r="ER1026" s="431" t="n"/>
      <c r="ES1026" s="451" t="n"/>
      <c r="ET1026" s="451" t="n"/>
      <c r="EU1026" s="451" t="n"/>
      <c r="EW1026" s="429" t="n">
        <v>113</v>
      </c>
      <c r="EX1026" s="431" t="n">
        <v>113</v>
      </c>
      <c r="EY1026" s="688" t="n"/>
      <c r="EZ1026" s="431" t="n"/>
      <c r="FA1026" s="451" t="n"/>
      <c r="FB1026" s="451" t="n"/>
      <c r="FC1026" s="451" t="n"/>
      <c r="FE1026" s="429" t="n">
        <v>113</v>
      </c>
      <c r="FF1026" s="431" t="n">
        <v>113</v>
      </c>
      <c r="FG1026" s="688" t="n"/>
      <c r="FH1026" s="431" t="n"/>
      <c r="FI1026" s="451" t="n"/>
      <c r="FJ1026" s="451" t="n"/>
      <c r="FK1026" s="451" t="n"/>
      <c r="FM1026" s="429" t="n">
        <v>113</v>
      </c>
      <c r="FN1026" s="431" t="n">
        <v>113</v>
      </c>
      <c r="FO1026" s="688" t="n"/>
      <c r="FP1026" s="431" t="n"/>
      <c r="FQ1026" s="451" t="n"/>
      <c r="FR1026" s="451">
        <f>'CIRCUIT SIM'!KY116</f>
        <v/>
      </c>
      <c r="FS1026" s="451" t="n"/>
      <c r="FU1026" s="429" t="n">
        <v>113</v>
      </c>
      <c r="FV1026" s="431" t="n">
        <v>113</v>
      </c>
      <c r="FW1026" s="688" t="n"/>
      <c r="FX1026" s="431" t="n"/>
      <c r="FY1026" s="451" t="n"/>
      <c r="FZ1026" s="562">
        <f>'CIRCUIT SIM'!JG116</f>
        <v/>
      </c>
      <c r="GA1026" s="451" t="n"/>
      <c r="GC1026" s="429" t="n">
        <v>113</v>
      </c>
      <c r="GD1026" s="431" t="n">
        <v>113</v>
      </c>
      <c r="GE1026" s="688" t="n"/>
      <c r="GF1026" s="431" t="n"/>
      <c r="GG1026" s="451" t="n"/>
      <c r="GH1026" s="451" t="n"/>
      <c r="GI1026" s="451" t="n"/>
      <c r="GK1026" s="429" t="n">
        <v>113</v>
      </c>
      <c r="GL1026" s="431" t="n">
        <v>113</v>
      </c>
      <c r="GM1026" s="688" t="n"/>
      <c r="GN1026" s="431" t="n"/>
      <c r="GO1026" s="451" t="n"/>
      <c r="GP1026" s="451" t="n"/>
      <c r="GQ1026" s="451" t="n"/>
      <c r="GS1026" s="429" t="n">
        <v>113</v>
      </c>
      <c r="GT1026" s="431" t="n">
        <v>113</v>
      </c>
      <c r="GU1026" s="688" t="n"/>
      <c r="GV1026" s="431" t="n"/>
      <c r="GW1026" s="451" t="n"/>
      <c r="GX1026" s="451" t="n"/>
      <c r="GY1026" s="451" t="n"/>
      <c r="HA1026" s="429" t="n">
        <v>113</v>
      </c>
      <c r="HB1026" s="431" t="n">
        <v>113</v>
      </c>
      <c r="HC1026" s="688" t="n"/>
      <c r="HD1026" s="431" t="n"/>
      <c r="HE1026" s="451" t="n"/>
      <c r="HF1026" s="451" t="n"/>
      <c r="HG1026" s="451" t="n"/>
    </row>
    <row r="1027">
      <c r="A1027" s="429" t="n">
        <v>114</v>
      </c>
      <c r="B1027" s="431" t="n">
        <v>114</v>
      </c>
      <c r="C1027" s="688" t="n"/>
      <c r="D1027" s="431" t="n"/>
      <c r="E1027" s="429" t="n"/>
      <c r="F1027" s="429" t="n"/>
      <c r="G1027" s="429" t="n"/>
      <c r="I1027" s="429" t="n">
        <v>114</v>
      </c>
      <c r="J1027" s="431" t="n">
        <v>114</v>
      </c>
      <c r="K1027" s="429" t="n"/>
      <c r="L1027" s="431" t="inlineStr">
        <is>
          <t>Boolean</t>
        </is>
      </c>
      <c r="M1027" s="451" t="n"/>
      <c r="N1027" s="422">
        <f>'CIRCUIT SIM'!Y117</f>
        <v/>
      </c>
      <c r="Q1027" s="429" t="n">
        <v>114</v>
      </c>
      <c r="R1027" s="431" t="n">
        <v>114</v>
      </c>
      <c r="S1027" s="429" t="n"/>
      <c r="T1027" s="431" t="inlineStr">
        <is>
          <t>Boolean</t>
        </is>
      </c>
      <c r="U1027" s="429" t="n"/>
      <c r="V1027" s="386">
        <f>'CIRCUIT SIM'!AO117</f>
        <v/>
      </c>
      <c r="W1027" s="451" t="n"/>
      <c r="Y1027" s="429" t="n">
        <v>114</v>
      </c>
      <c r="Z1027" s="431" t="n">
        <v>114</v>
      </c>
      <c r="AA1027" s="429" t="n"/>
      <c r="AB1027" s="431" t="n"/>
      <c r="AC1027" s="451" t="n"/>
      <c r="AD1027" s="451" t="n"/>
      <c r="AE1027" s="451" t="n"/>
      <c r="AG1027" s="429" t="n">
        <v>114</v>
      </c>
      <c r="AH1027" s="431" t="n">
        <v>114</v>
      </c>
      <c r="AI1027" s="429" t="n"/>
      <c r="AJ1027" s="431" t="n"/>
      <c r="AK1027" s="451" t="n"/>
      <c r="AL1027" s="451" t="n"/>
      <c r="AM1027" s="451" t="n"/>
      <c r="AO1027" s="429" t="n">
        <v>114</v>
      </c>
      <c r="AP1027" s="431" t="n">
        <v>114</v>
      </c>
      <c r="AQ1027" s="429" t="n"/>
      <c r="AR1027" s="431" t="n"/>
      <c r="AS1027" s="451" t="n"/>
      <c r="AT1027" s="451" t="n"/>
      <c r="AU1027" s="451" t="n"/>
      <c r="AW1027" s="429" t="n">
        <v>114</v>
      </c>
      <c r="AX1027" s="431" t="n">
        <v>114</v>
      </c>
      <c r="AY1027" s="429" t="n"/>
      <c r="AZ1027" s="431" t="n"/>
      <c r="BA1027" s="451" t="n"/>
      <c r="BB1027" s="451">
        <f>'CIRCUIT SIM'!CG117</f>
        <v/>
      </c>
      <c r="BC1027" s="451" t="n"/>
      <c r="BE1027" s="429" t="n">
        <v>114</v>
      </c>
      <c r="BF1027" s="431" t="n"/>
      <c r="BG1027" s="429" t="n"/>
      <c r="BH1027" s="431" t="n"/>
      <c r="BI1027" s="451" t="n"/>
      <c r="BJ1027" s="451" t="n"/>
      <c r="BK1027" s="451" t="n"/>
      <c r="BM1027" s="429" t="n">
        <v>114</v>
      </c>
      <c r="BN1027" s="431" t="n">
        <v>114</v>
      </c>
      <c r="BO1027" s="429" t="n"/>
      <c r="BP1027" s="431" t="n"/>
      <c r="BQ1027" s="451" t="n"/>
      <c r="BR1027" s="451" t="n"/>
      <c r="BS1027" s="451" t="n"/>
      <c r="BU1027" s="429" t="n">
        <v>114</v>
      </c>
      <c r="BV1027" s="431" t="n">
        <v>114</v>
      </c>
      <c r="BW1027" s="429" t="n"/>
      <c r="BX1027" s="431" t="n"/>
      <c r="BY1027" s="451" t="n"/>
      <c r="BZ1027" s="451">
        <f>'CIRCUIT SIM'!EI117</f>
        <v/>
      </c>
      <c r="CA1027" s="451" t="n"/>
      <c r="CC1027" s="429" t="n">
        <v>114</v>
      </c>
      <c r="CD1027" s="431" t="n">
        <v>114</v>
      </c>
      <c r="CE1027" s="688" t="n"/>
      <c r="CF1027" s="431" t="inlineStr">
        <is>
          <t>Boolean</t>
        </is>
      </c>
      <c r="CG1027" s="451" t="n"/>
      <c r="CH1027" s="562">
        <f>'CIRCUIT SIM'!LK117</f>
        <v/>
      </c>
      <c r="CI1027" s="451" t="n"/>
      <c r="CK1027" s="429" t="n">
        <v>114</v>
      </c>
      <c r="CL1027" s="431" t="n">
        <v>114</v>
      </c>
      <c r="CM1027" s="688" t="n"/>
      <c r="CN1027" s="431" t="n"/>
      <c r="CO1027" s="451" t="n"/>
      <c r="CP1027" s="451" t="n"/>
      <c r="CQ1027" s="451" t="n"/>
      <c r="CS1027" s="429" t="n">
        <v>114</v>
      </c>
      <c r="CT1027" s="431" t="n">
        <v>114</v>
      </c>
      <c r="CU1027" s="688" t="n"/>
      <c r="CV1027" s="431" t="inlineStr">
        <is>
          <t>Boolean</t>
        </is>
      </c>
      <c r="CW1027" s="451" t="n"/>
      <c r="CX1027" s="451">
        <f>'CIRCUIT SIM'!MQ117</f>
        <v/>
      </c>
      <c r="CY1027" s="451" t="n"/>
      <c r="DA1027" s="429" t="n">
        <v>114</v>
      </c>
      <c r="DB1027" s="431" t="n">
        <v>114</v>
      </c>
      <c r="DC1027" s="688" t="n"/>
      <c r="DD1027" s="431" t="n"/>
      <c r="DE1027" s="451" t="n"/>
      <c r="DF1027" s="451" t="n"/>
      <c r="DG1027" s="451" t="n"/>
      <c r="DI1027" s="429" t="n">
        <v>114</v>
      </c>
      <c r="DJ1027" s="431" t="n">
        <v>114</v>
      </c>
      <c r="DK1027" s="688" t="n"/>
      <c r="DL1027" s="431" t="n"/>
      <c r="DM1027" s="429" t="n"/>
      <c r="DN1027" s="451">
        <f>'CIRCUIT SIM'!FN117</f>
        <v/>
      </c>
      <c r="DO1027" s="451" t="n"/>
      <c r="DQ1027" s="429" t="n">
        <v>114</v>
      </c>
      <c r="DR1027" s="431" t="n">
        <v>114</v>
      </c>
      <c r="DS1027" s="688" t="n"/>
      <c r="DT1027" s="431" t="n"/>
      <c r="DU1027" s="451" t="n"/>
      <c r="DV1027" s="451">
        <f>'CIRCUIT SIM'!HT117</f>
        <v/>
      </c>
      <c r="DW1027" s="451" t="n"/>
      <c r="DY1027" s="429" t="n">
        <v>114</v>
      </c>
      <c r="DZ1027" s="431" t="n">
        <v>114</v>
      </c>
      <c r="EA1027" s="688" t="n"/>
      <c r="EB1027" s="431" t="n"/>
      <c r="EC1027" s="451" t="n"/>
      <c r="ED1027" s="451" t="n"/>
      <c r="EE1027" s="451" t="n"/>
      <c r="EG1027" s="429" t="n">
        <v>114</v>
      </c>
      <c r="EH1027" s="431" t="n">
        <v>114</v>
      </c>
      <c r="EI1027" s="688" t="n"/>
      <c r="EJ1027" s="431" t="n"/>
      <c r="EK1027" s="451" t="n"/>
      <c r="EL1027" s="451" t="n"/>
      <c r="EM1027" s="451" t="n"/>
      <c r="EO1027" s="429" t="n">
        <v>114</v>
      </c>
      <c r="EP1027" s="431" t="n">
        <v>114</v>
      </c>
      <c r="EQ1027" s="688" t="n"/>
      <c r="ER1027" s="431" t="n"/>
      <c r="ES1027" s="451" t="n"/>
      <c r="ET1027" s="451" t="n"/>
      <c r="EU1027" s="451" t="n"/>
      <c r="EW1027" s="429" t="n">
        <v>114</v>
      </c>
      <c r="EX1027" s="431" t="n">
        <v>114</v>
      </c>
      <c r="EY1027" s="688" t="n"/>
      <c r="EZ1027" s="431" t="n"/>
      <c r="FA1027" s="451" t="n"/>
      <c r="FB1027" s="451" t="n"/>
      <c r="FC1027" s="451" t="n"/>
      <c r="FE1027" s="429" t="n">
        <v>114</v>
      </c>
      <c r="FF1027" s="431" t="n">
        <v>114</v>
      </c>
      <c r="FG1027" s="688" t="n"/>
      <c r="FH1027" s="431" t="n"/>
      <c r="FI1027" s="451" t="n"/>
      <c r="FJ1027" s="451" t="n"/>
      <c r="FK1027" s="451" t="n"/>
      <c r="FM1027" s="429" t="n">
        <v>114</v>
      </c>
      <c r="FN1027" s="431" t="n">
        <v>114</v>
      </c>
      <c r="FO1027" s="688" t="n"/>
      <c r="FP1027" s="431" t="n"/>
      <c r="FQ1027" s="451" t="n"/>
      <c r="FR1027" s="451">
        <f>'CIRCUIT SIM'!KY117</f>
        <v/>
      </c>
      <c r="FS1027" s="451" t="n"/>
      <c r="FU1027" s="429" t="n">
        <v>114</v>
      </c>
      <c r="FV1027" s="431" t="n">
        <v>114</v>
      </c>
      <c r="FW1027" s="688" t="n"/>
      <c r="FX1027" s="431" t="n"/>
      <c r="FY1027" s="451" t="n"/>
      <c r="FZ1027" s="562">
        <f>'CIRCUIT SIM'!JG117</f>
        <v/>
      </c>
      <c r="GA1027" s="451" t="n"/>
      <c r="GC1027" s="429" t="n">
        <v>114</v>
      </c>
      <c r="GD1027" s="431" t="n">
        <v>114</v>
      </c>
      <c r="GE1027" s="688" t="n"/>
      <c r="GF1027" s="431" t="n"/>
      <c r="GG1027" s="451" t="n"/>
      <c r="GH1027" s="451" t="n"/>
      <c r="GI1027" s="451" t="n"/>
      <c r="GK1027" s="429" t="n">
        <v>114</v>
      </c>
      <c r="GL1027" s="431" t="n">
        <v>114</v>
      </c>
      <c r="GM1027" s="688" t="n"/>
      <c r="GN1027" s="431" t="n"/>
      <c r="GO1027" s="451" t="n"/>
      <c r="GP1027" s="451" t="n"/>
      <c r="GQ1027" s="451" t="n"/>
      <c r="GS1027" s="429" t="n">
        <v>114</v>
      </c>
      <c r="GT1027" s="431" t="n">
        <v>114</v>
      </c>
      <c r="GU1027" s="688" t="n"/>
      <c r="GV1027" s="431" t="n"/>
      <c r="GW1027" s="451" t="n"/>
      <c r="GX1027" s="451" t="n"/>
      <c r="GY1027" s="451" t="n"/>
      <c r="HA1027" s="429" t="n">
        <v>114</v>
      </c>
      <c r="HB1027" s="431" t="n">
        <v>114</v>
      </c>
      <c r="HC1027" s="688" t="n"/>
      <c r="HD1027" s="431" t="n"/>
      <c r="HE1027" s="451" t="n"/>
      <c r="HF1027" s="451" t="n"/>
      <c r="HG1027" s="451" t="n"/>
    </row>
    <row r="1028">
      <c r="A1028" s="429" t="n">
        <v>115</v>
      </c>
      <c r="B1028" s="431" t="n">
        <v>115</v>
      </c>
      <c r="C1028" s="688" t="n"/>
      <c r="D1028" s="431" t="n"/>
      <c r="E1028" s="429" t="n"/>
      <c r="F1028" s="429" t="n"/>
      <c r="G1028" s="429" t="n"/>
      <c r="I1028" s="429" t="n">
        <v>115</v>
      </c>
      <c r="J1028" s="431" t="n">
        <v>115</v>
      </c>
      <c r="K1028" s="429" t="n"/>
      <c r="L1028" s="431" t="inlineStr">
        <is>
          <t>Boolean</t>
        </is>
      </c>
      <c r="M1028" s="451" t="n"/>
      <c r="N1028" s="422">
        <f>'CIRCUIT SIM'!Y118</f>
        <v/>
      </c>
      <c r="Q1028" s="429" t="n">
        <v>115</v>
      </c>
      <c r="R1028" s="431" t="n">
        <v>115</v>
      </c>
      <c r="S1028" s="429" t="n"/>
      <c r="T1028" s="431" t="inlineStr">
        <is>
          <t>Boolean</t>
        </is>
      </c>
      <c r="U1028" s="429" t="n"/>
      <c r="V1028" s="386">
        <f>'CIRCUIT SIM'!AO118</f>
        <v/>
      </c>
      <c r="W1028" s="451" t="n"/>
      <c r="Y1028" s="429" t="n">
        <v>115</v>
      </c>
      <c r="Z1028" s="431" t="n">
        <v>115</v>
      </c>
      <c r="AA1028" s="429" t="n"/>
      <c r="AB1028" s="431" t="n"/>
      <c r="AC1028" s="451" t="n"/>
      <c r="AD1028" s="451" t="n"/>
      <c r="AE1028" s="451" t="n"/>
      <c r="AG1028" s="429" t="n">
        <v>115</v>
      </c>
      <c r="AH1028" s="431" t="n">
        <v>115</v>
      </c>
      <c r="AI1028" s="429" t="n"/>
      <c r="AJ1028" s="431" t="n"/>
      <c r="AK1028" s="451" t="n"/>
      <c r="AL1028" s="451" t="n"/>
      <c r="AM1028" s="451" t="n"/>
      <c r="AO1028" s="429" t="n">
        <v>115</v>
      </c>
      <c r="AP1028" s="431" t="n">
        <v>115</v>
      </c>
      <c r="AQ1028" s="429" t="n"/>
      <c r="AR1028" s="431" t="n"/>
      <c r="AS1028" s="451" t="n"/>
      <c r="AT1028" s="451" t="n"/>
      <c r="AU1028" s="451" t="n"/>
      <c r="AW1028" s="429" t="n">
        <v>115</v>
      </c>
      <c r="AX1028" s="431" t="n">
        <v>115</v>
      </c>
      <c r="AY1028" s="429" t="n"/>
      <c r="AZ1028" s="431" t="n"/>
      <c r="BA1028" s="451" t="n"/>
      <c r="BB1028" s="451">
        <f>'CIRCUIT SIM'!CG118</f>
        <v/>
      </c>
      <c r="BC1028" s="451" t="n"/>
      <c r="BE1028" s="429" t="n">
        <v>115</v>
      </c>
      <c r="BF1028" s="431" t="n"/>
      <c r="BG1028" s="429" t="n"/>
      <c r="BH1028" s="431" t="n"/>
      <c r="BI1028" s="451" t="n"/>
      <c r="BJ1028" s="451" t="n"/>
      <c r="BK1028" s="451" t="n"/>
      <c r="BM1028" s="429" t="n">
        <v>115</v>
      </c>
      <c r="BN1028" s="431" t="n">
        <v>115</v>
      </c>
      <c r="BO1028" s="429" t="n"/>
      <c r="BP1028" s="431" t="n"/>
      <c r="BQ1028" s="451" t="n"/>
      <c r="BR1028" s="451" t="n"/>
      <c r="BS1028" s="451" t="n"/>
      <c r="BU1028" s="429" t="n">
        <v>115</v>
      </c>
      <c r="BV1028" s="431" t="n">
        <v>115</v>
      </c>
      <c r="BW1028" s="429" t="n"/>
      <c r="BX1028" s="431" t="n"/>
      <c r="BY1028" s="451" t="n"/>
      <c r="BZ1028" s="451">
        <f>'CIRCUIT SIM'!EI118</f>
        <v/>
      </c>
      <c r="CA1028" s="451" t="n"/>
      <c r="CC1028" s="429" t="n">
        <v>115</v>
      </c>
      <c r="CD1028" s="431" t="n">
        <v>115</v>
      </c>
      <c r="CE1028" s="688" t="n"/>
      <c r="CF1028" s="431" t="inlineStr">
        <is>
          <t>Boolean</t>
        </is>
      </c>
      <c r="CG1028" s="451" t="n"/>
      <c r="CH1028" s="562">
        <f>'CIRCUIT SIM'!LK118</f>
        <v/>
      </c>
      <c r="CI1028" s="451" t="n"/>
      <c r="CK1028" s="429" t="n">
        <v>115</v>
      </c>
      <c r="CL1028" s="431" t="n">
        <v>115</v>
      </c>
      <c r="CM1028" s="688" t="n"/>
      <c r="CN1028" s="431" t="n"/>
      <c r="CO1028" s="451" t="n"/>
      <c r="CP1028" s="451" t="n"/>
      <c r="CQ1028" s="451" t="n"/>
      <c r="CS1028" s="429" t="n">
        <v>115</v>
      </c>
      <c r="CT1028" s="431" t="n">
        <v>115</v>
      </c>
      <c r="CU1028" s="688" t="n"/>
      <c r="CV1028" s="431" t="inlineStr">
        <is>
          <t>Boolean</t>
        </is>
      </c>
      <c r="CW1028" s="451" t="n"/>
      <c r="CX1028" s="451">
        <f>'CIRCUIT SIM'!MQ118</f>
        <v/>
      </c>
      <c r="CY1028" s="451" t="n"/>
      <c r="DA1028" s="429" t="n">
        <v>115</v>
      </c>
      <c r="DB1028" s="431" t="n">
        <v>115</v>
      </c>
      <c r="DC1028" s="688" t="n"/>
      <c r="DD1028" s="431" t="n"/>
      <c r="DE1028" s="451" t="n"/>
      <c r="DF1028" s="451" t="n"/>
      <c r="DG1028" s="451" t="n"/>
      <c r="DI1028" s="429" t="n">
        <v>115</v>
      </c>
      <c r="DJ1028" s="431" t="n">
        <v>115</v>
      </c>
      <c r="DK1028" s="688" t="n"/>
      <c r="DL1028" s="431" t="n"/>
      <c r="DM1028" s="429" t="n"/>
      <c r="DN1028" s="451">
        <f>'CIRCUIT SIM'!FN118</f>
        <v/>
      </c>
      <c r="DO1028" s="451" t="n"/>
      <c r="DQ1028" s="429" t="n">
        <v>115</v>
      </c>
      <c r="DR1028" s="431" t="n">
        <v>115</v>
      </c>
      <c r="DS1028" s="688" t="n"/>
      <c r="DT1028" s="431" t="n"/>
      <c r="DU1028" s="451" t="n"/>
      <c r="DV1028" s="451">
        <f>'CIRCUIT SIM'!HT118</f>
        <v/>
      </c>
      <c r="DW1028" s="451" t="n"/>
      <c r="DY1028" s="429" t="n">
        <v>115</v>
      </c>
      <c r="DZ1028" s="431" t="n">
        <v>115</v>
      </c>
      <c r="EA1028" s="688" t="n"/>
      <c r="EB1028" s="431" t="n"/>
      <c r="EC1028" s="451" t="n"/>
      <c r="ED1028" s="451" t="n"/>
      <c r="EE1028" s="451" t="n"/>
      <c r="EG1028" s="429" t="n">
        <v>115</v>
      </c>
      <c r="EH1028" s="431" t="n">
        <v>115</v>
      </c>
      <c r="EI1028" s="688" t="n"/>
      <c r="EJ1028" s="431" t="n"/>
      <c r="EK1028" s="451" t="n"/>
      <c r="EL1028" s="451" t="n"/>
      <c r="EM1028" s="451" t="n"/>
      <c r="EO1028" s="429" t="n">
        <v>115</v>
      </c>
      <c r="EP1028" s="431" t="n">
        <v>115</v>
      </c>
      <c r="EQ1028" s="688" t="n"/>
      <c r="ER1028" s="431" t="n"/>
      <c r="ES1028" s="451" t="n"/>
      <c r="ET1028" s="451" t="n"/>
      <c r="EU1028" s="451" t="n"/>
      <c r="EW1028" s="429" t="n">
        <v>115</v>
      </c>
      <c r="EX1028" s="431" t="n">
        <v>115</v>
      </c>
      <c r="EY1028" s="688" t="n"/>
      <c r="EZ1028" s="431" t="n"/>
      <c r="FA1028" s="451" t="n"/>
      <c r="FB1028" s="451" t="n"/>
      <c r="FC1028" s="451" t="n"/>
      <c r="FE1028" s="429" t="n">
        <v>115</v>
      </c>
      <c r="FF1028" s="431" t="n">
        <v>115</v>
      </c>
      <c r="FG1028" s="688" t="n"/>
      <c r="FH1028" s="431" t="n"/>
      <c r="FI1028" s="451" t="n"/>
      <c r="FJ1028" s="451" t="n"/>
      <c r="FK1028" s="451" t="n"/>
      <c r="FM1028" s="429" t="n">
        <v>115</v>
      </c>
      <c r="FN1028" s="431" t="n">
        <v>115</v>
      </c>
      <c r="FO1028" s="688" t="n"/>
      <c r="FP1028" s="431" t="n"/>
      <c r="FQ1028" s="451" t="n"/>
      <c r="FR1028" s="451">
        <f>'CIRCUIT SIM'!KY118</f>
        <v/>
      </c>
      <c r="FS1028" s="451" t="n"/>
      <c r="FU1028" s="429" t="n">
        <v>115</v>
      </c>
      <c r="FV1028" s="431" t="n">
        <v>115</v>
      </c>
      <c r="FW1028" s="688" t="n"/>
      <c r="FX1028" s="431" t="n"/>
      <c r="FY1028" s="451" t="n"/>
      <c r="FZ1028" s="562">
        <f>'CIRCUIT SIM'!JG118</f>
        <v/>
      </c>
      <c r="GA1028" s="451" t="n"/>
      <c r="GC1028" s="429" t="n">
        <v>115</v>
      </c>
      <c r="GD1028" s="431" t="n">
        <v>115</v>
      </c>
      <c r="GE1028" s="688" t="n"/>
      <c r="GF1028" s="431" t="n"/>
      <c r="GG1028" s="451" t="n"/>
      <c r="GH1028" s="451" t="n"/>
      <c r="GI1028" s="451" t="n"/>
      <c r="GK1028" s="429" t="n">
        <v>115</v>
      </c>
      <c r="GL1028" s="431" t="n">
        <v>115</v>
      </c>
      <c r="GM1028" s="688" t="n"/>
      <c r="GN1028" s="431" t="n"/>
      <c r="GO1028" s="451" t="n"/>
      <c r="GP1028" s="451" t="n"/>
      <c r="GQ1028" s="451" t="n"/>
      <c r="GS1028" s="429" t="n">
        <v>115</v>
      </c>
      <c r="GT1028" s="431" t="n">
        <v>115</v>
      </c>
      <c r="GU1028" s="688" t="n"/>
      <c r="GV1028" s="431" t="n"/>
      <c r="GW1028" s="451" t="n"/>
      <c r="GX1028" s="451" t="n"/>
      <c r="GY1028" s="451" t="n"/>
      <c r="HA1028" s="429" t="n">
        <v>115</v>
      </c>
      <c r="HB1028" s="431" t="n">
        <v>115</v>
      </c>
      <c r="HC1028" s="688" t="n"/>
      <c r="HD1028" s="431" t="n"/>
      <c r="HE1028" s="451" t="n"/>
      <c r="HF1028" s="451" t="n"/>
      <c r="HG1028" s="451" t="n"/>
    </row>
    <row r="1029">
      <c r="A1029" s="429" t="n">
        <v>116</v>
      </c>
      <c r="B1029" s="431" t="n">
        <v>116</v>
      </c>
      <c r="C1029" s="688" t="n"/>
      <c r="D1029" s="431" t="n"/>
      <c r="E1029" s="429" t="n"/>
      <c r="F1029" s="429" t="n"/>
      <c r="G1029" s="429" t="n"/>
      <c r="I1029" s="429" t="n">
        <v>116</v>
      </c>
      <c r="J1029" s="431" t="n">
        <v>116</v>
      </c>
      <c r="K1029" s="429" t="n"/>
      <c r="L1029" s="431" t="inlineStr">
        <is>
          <t>Boolean</t>
        </is>
      </c>
      <c r="M1029" s="451" t="n"/>
      <c r="N1029" s="422">
        <f>'CIRCUIT SIM'!Y119</f>
        <v/>
      </c>
      <c r="Q1029" s="429" t="n">
        <v>116</v>
      </c>
      <c r="R1029" s="431" t="n">
        <v>116</v>
      </c>
      <c r="S1029" s="429" t="n"/>
      <c r="T1029" s="431" t="inlineStr">
        <is>
          <t>Boolean</t>
        </is>
      </c>
      <c r="U1029" s="429" t="n"/>
      <c r="V1029" s="386">
        <f>'CIRCUIT SIM'!AO119</f>
        <v/>
      </c>
      <c r="W1029" s="451" t="n"/>
      <c r="Y1029" s="429" t="n">
        <v>116</v>
      </c>
      <c r="Z1029" s="431" t="n">
        <v>116</v>
      </c>
      <c r="AA1029" s="429" t="n"/>
      <c r="AB1029" s="431" t="n"/>
      <c r="AC1029" s="451" t="n"/>
      <c r="AD1029" s="451" t="n"/>
      <c r="AE1029" s="451" t="n"/>
      <c r="AG1029" s="429" t="n">
        <v>116</v>
      </c>
      <c r="AH1029" s="431" t="n">
        <v>116</v>
      </c>
      <c r="AI1029" s="429" t="n"/>
      <c r="AJ1029" s="431" t="n"/>
      <c r="AK1029" s="451" t="n"/>
      <c r="AL1029" s="451" t="n"/>
      <c r="AM1029" s="451" t="n"/>
      <c r="AO1029" s="429" t="n">
        <v>116</v>
      </c>
      <c r="AP1029" s="431" t="n">
        <v>116</v>
      </c>
      <c r="AQ1029" s="429" t="n"/>
      <c r="AR1029" s="431" t="n"/>
      <c r="AS1029" s="451" t="n"/>
      <c r="AT1029" s="451" t="n"/>
      <c r="AU1029" s="451" t="n"/>
      <c r="AW1029" s="429" t="n">
        <v>116</v>
      </c>
      <c r="AX1029" s="431" t="n">
        <v>116</v>
      </c>
      <c r="AY1029" s="429" t="n"/>
      <c r="AZ1029" s="431" t="n"/>
      <c r="BA1029" s="451" t="n"/>
      <c r="BB1029" s="451">
        <f>'CIRCUIT SIM'!CG119</f>
        <v/>
      </c>
      <c r="BC1029" s="451" t="n"/>
      <c r="BE1029" s="429" t="n">
        <v>116</v>
      </c>
      <c r="BF1029" s="431" t="n"/>
      <c r="BG1029" s="429" t="n"/>
      <c r="BH1029" s="431" t="n"/>
      <c r="BI1029" s="451" t="n"/>
      <c r="BJ1029" s="451" t="n"/>
      <c r="BK1029" s="451" t="n"/>
      <c r="BM1029" s="429" t="n">
        <v>116</v>
      </c>
      <c r="BN1029" s="431" t="n">
        <v>116</v>
      </c>
      <c r="BO1029" s="429" t="n"/>
      <c r="BP1029" s="431" t="n"/>
      <c r="BQ1029" s="451" t="n"/>
      <c r="BR1029" s="451" t="n"/>
      <c r="BS1029" s="451" t="n"/>
      <c r="BU1029" s="429" t="n">
        <v>116</v>
      </c>
      <c r="BV1029" s="431" t="n">
        <v>116</v>
      </c>
      <c r="BW1029" s="429" t="n"/>
      <c r="BX1029" s="431" t="n"/>
      <c r="BY1029" s="451" t="n"/>
      <c r="BZ1029" s="451">
        <f>'CIRCUIT SIM'!EI119</f>
        <v/>
      </c>
      <c r="CA1029" s="451" t="n"/>
      <c r="CC1029" s="429" t="n">
        <v>116</v>
      </c>
      <c r="CD1029" s="431" t="n">
        <v>116</v>
      </c>
      <c r="CE1029" s="688" t="n"/>
      <c r="CF1029" s="431" t="inlineStr">
        <is>
          <t>Boolean</t>
        </is>
      </c>
      <c r="CG1029" s="451" t="n"/>
      <c r="CH1029" s="562">
        <f>'CIRCUIT SIM'!LK119</f>
        <v/>
      </c>
      <c r="CI1029" s="451" t="n"/>
      <c r="CK1029" s="429" t="n">
        <v>116</v>
      </c>
      <c r="CL1029" s="431" t="n">
        <v>116</v>
      </c>
      <c r="CM1029" s="688" t="n"/>
      <c r="CN1029" s="431" t="n"/>
      <c r="CO1029" s="451" t="n"/>
      <c r="CP1029" s="451" t="n"/>
      <c r="CQ1029" s="451" t="n"/>
      <c r="CS1029" s="429" t="n">
        <v>116</v>
      </c>
      <c r="CT1029" s="431" t="n">
        <v>116</v>
      </c>
      <c r="CU1029" s="688" t="n"/>
      <c r="CV1029" s="431" t="inlineStr">
        <is>
          <t>Boolean</t>
        </is>
      </c>
      <c r="CW1029" s="451" t="n"/>
      <c r="CX1029" s="451">
        <f>'CIRCUIT SIM'!MQ119</f>
        <v/>
      </c>
      <c r="CY1029" s="451" t="n"/>
      <c r="DA1029" s="429" t="n">
        <v>116</v>
      </c>
      <c r="DB1029" s="431" t="n">
        <v>116</v>
      </c>
      <c r="DC1029" s="688" t="n"/>
      <c r="DD1029" s="431" t="n"/>
      <c r="DE1029" s="451" t="n"/>
      <c r="DF1029" s="451" t="n"/>
      <c r="DG1029" s="451" t="n"/>
      <c r="DI1029" s="429" t="n">
        <v>116</v>
      </c>
      <c r="DJ1029" s="431" t="n">
        <v>116</v>
      </c>
      <c r="DK1029" s="688" t="n"/>
      <c r="DL1029" s="431" t="n"/>
      <c r="DM1029" s="429" t="n"/>
      <c r="DN1029" s="451">
        <f>'CIRCUIT SIM'!FN119</f>
        <v/>
      </c>
      <c r="DO1029" s="451" t="n"/>
      <c r="DQ1029" s="429" t="n">
        <v>116</v>
      </c>
      <c r="DR1029" s="431" t="n">
        <v>116</v>
      </c>
      <c r="DS1029" s="688" t="n"/>
      <c r="DT1029" s="431" t="n"/>
      <c r="DU1029" s="451" t="n"/>
      <c r="DV1029" s="451">
        <f>'CIRCUIT SIM'!HT119</f>
        <v/>
      </c>
      <c r="DW1029" s="451" t="n"/>
      <c r="DY1029" s="429" t="n">
        <v>116</v>
      </c>
      <c r="DZ1029" s="431" t="n">
        <v>116</v>
      </c>
      <c r="EA1029" s="688" t="n"/>
      <c r="EB1029" s="431" t="n"/>
      <c r="EC1029" s="451" t="n"/>
      <c r="ED1029" s="451" t="n"/>
      <c r="EE1029" s="451" t="n"/>
      <c r="EG1029" s="429" t="n">
        <v>116</v>
      </c>
      <c r="EH1029" s="431" t="n">
        <v>116</v>
      </c>
      <c r="EI1029" s="688" t="n"/>
      <c r="EJ1029" s="431" t="n"/>
      <c r="EK1029" s="451" t="n"/>
      <c r="EL1029" s="451" t="n"/>
      <c r="EM1029" s="451" t="n"/>
      <c r="EO1029" s="429" t="n">
        <v>116</v>
      </c>
      <c r="EP1029" s="431" t="n">
        <v>116</v>
      </c>
      <c r="EQ1029" s="688" t="n"/>
      <c r="ER1029" s="431" t="n"/>
      <c r="ES1029" s="451" t="n"/>
      <c r="ET1029" s="451" t="n"/>
      <c r="EU1029" s="451" t="n"/>
      <c r="EW1029" s="429" t="n">
        <v>116</v>
      </c>
      <c r="EX1029" s="431" t="n">
        <v>116</v>
      </c>
      <c r="EY1029" s="688" t="n"/>
      <c r="EZ1029" s="431" t="n"/>
      <c r="FA1029" s="451" t="n"/>
      <c r="FB1029" s="451" t="n"/>
      <c r="FC1029" s="451" t="n"/>
      <c r="FE1029" s="429" t="n">
        <v>116</v>
      </c>
      <c r="FF1029" s="431" t="n">
        <v>116</v>
      </c>
      <c r="FG1029" s="688" t="n"/>
      <c r="FH1029" s="431" t="n"/>
      <c r="FI1029" s="451" t="n"/>
      <c r="FJ1029" s="451" t="n"/>
      <c r="FK1029" s="451" t="n"/>
      <c r="FM1029" s="429" t="n">
        <v>116</v>
      </c>
      <c r="FN1029" s="431" t="n">
        <v>116</v>
      </c>
      <c r="FO1029" s="688" t="n"/>
      <c r="FP1029" s="431" t="n"/>
      <c r="FQ1029" s="451" t="n"/>
      <c r="FR1029" s="451">
        <f>'CIRCUIT SIM'!KY119</f>
        <v/>
      </c>
      <c r="FS1029" s="451" t="n"/>
      <c r="FU1029" s="429" t="n">
        <v>116</v>
      </c>
      <c r="FV1029" s="431" t="n">
        <v>116</v>
      </c>
      <c r="FW1029" s="688" t="n"/>
      <c r="FX1029" s="431" t="n"/>
      <c r="FY1029" s="451" t="n"/>
      <c r="FZ1029" s="562">
        <f>'CIRCUIT SIM'!JG119</f>
        <v/>
      </c>
      <c r="GA1029" s="451" t="n"/>
      <c r="GC1029" s="429" t="n">
        <v>116</v>
      </c>
      <c r="GD1029" s="431" t="n">
        <v>116</v>
      </c>
      <c r="GE1029" s="688" t="n"/>
      <c r="GF1029" s="431" t="n"/>
      <c r="GG1029" s="451" t="n"/>
      <c r="GH1029" s="451" t="n"/>
      <c r="GI1029" s="451" t="n"/>
      <c r="GK1029" s="429" t="n">
        <v>116</v>
      </c>
      <c r="GL1029" s="431" t="n">
        <v>116</v>
      </c>
      <c r="GM1029" s="688" t="n"/>
      <c r="GN1029" s="431" t="n"/>
      <c r="GO1029" s="451" t="n"/>
      <c r="GP1029" s="451" t="n"/>
      <c r="GQ1029" s="451" t="n"/>
      <c r="GS1029" s="429" t="n">
        <v>116</v>
      </c>
      <c r="GT1029" s="431" t="n">
        <v>116</v>
      </c>
      <c r="GU1029" s="688" t="n"/>
      <c r="GV1029" s="431" t="n"/>
      <c r="GW1029" s="451" t="n"/>
      <c r="GX1029" s="451" t="n"/>
      <c r="GY1029" s="451" t="n"/>
      <c r="HA1029" s="429" t="n">
        <v>116</v>
      </c>
      <c r="HB1029" s="431" t="n">
        <v>116</v>
      </c>
      <c r="HC1029" s="688" t="n"/>
      <c r="HD1029" s="431" t="n"/>
      <c r="HE1029" s="451" t="n"/>
      <c r="HF1029" s="451" t="n"/>
      <c r="HG1029" s="451" t="n"/>
    </row>
    <row r="1030">
      <c r="A1030" s="429" t="n">
        <v>117</v>
      </c>
      <c r="B1030" s="431" t="n">
        <v>117</v>
      </c>
      <c r="C1030" s="688" t="n"/>
      <c r="D1030" s="431" t="n"/>
      <c r="E1030" s="429" t="n"/>
      <c r="F1030" s="429" t="n"/>
      <c r="G1030" s="429" t="n"/>
      <c r="I1030" s="429" t="n">
        <v>117</v>
      </c>
      <c r="J1030" s="431" t="n">
        <v>117</v>
      </c>
      <c r="K1030" s="429" t="n"/>
      <c r="L1030" s="431" t="inlineStr">
        <is>
          <t>Boolean</t>
        </is>
      </c>
      <c r="M1030" s="451" t="n"/>
      <c r="N1030" s="422">
        <f>'CIRCUIT SIM'!Y120</f>
        <v/>
      </c>
      <c r="Q1030" s="429" t="n">
        <v>117</v>
      </c>
      <c r="R1030" s="431" t="n">
        <v>117</v>
      </c>
      <c r="S1030" s="429" t="n"/>
      <c r="T1030" s="431" t="inlineStr">
        <is>
          <t>Boolean</t>
        </is>
      </c>
      <c r="U1030" s="429" t="n"/>
      <c r="V1030" s="386">
        <f>'CIRCUIT SIM'!AO120</f>
        <v/>
      </c>
      <c r="W1030" s="451" t="n"/>
      <c r="Y1030" s="429" t="n">
        <v>117</v>
      </c>
      <c r="Z1030" s="431" t="n">
        <v>117</v>
      </c>
      <c r="AA1030" s="429" t="n"/>
      <c r="AB1030" s="431" t="n"/>
      <c r="AC1030" s="451" t="n"/>
      <c r="AD1030" s="451" t="n"/>
      <c r="AE1030" s="451" t="n"/>
      <c r="AG1030" s="429" t="n">
        <v>117</v>
      </c>
      <c r="AH1030" s="431" t="n">
        <v>117</v>
      </c>
      <c r="AI1030" s="429" t="n"/>
      <c r="AJ1030" s="431" t="n"/>
      <c r="AK1030" s="451" t="n"/>
      <c r="AL1030" s="451" t="n"/>
      <c r="AM1030" s="451" t="n"/>
      <c r="AO1030" s="429" t="n">
        <v>117</v>
      </c>
      <c r="AP1030" s="431" t="n">
        <v>117</v>
      </c>
      <c r="AQ1030" s="429" t="n"/>
      <c r="AR1030" s="431" t="n"/>
      <c r="AS1030" s="451" t="n"/>
      <c r="AT1030" s="451" t="n"/>
      <c r="AU1030" s="451" t="n"/>
      <c r="AW1030" s="429" t="n">
        <v>117</v>
      </c>
      <c r="AX1030" s="431" t="n">
        <v>117</v>
      </c>
      <c r="AY1030" s="429" t="n"/>
      <c r="AZ1030" s="431" t="n"/>
      <c r="BA1030" s="451" t="n"/>
      <c r="BB1030" s="451">
        <f>'CIRCUIT SIM'!CG120</f>
        <v/>
      </c>
      <c r="BC1030" s="451" t="n"/>
      <c r="BE1030" s="429" t="n">
        <v>117</v>
      </c>
      <c r="BF1030" s="431" t="n"/>
      <c r="BG1030" s="429" t="n"/>
      <c r="BH1030" s="431" t="n"/>
      <c r="BI1030" s="451" t="n"/>
      <c r="BJ1030" s="451" t="n"/>
      <c r="BK1030" s="451" t="n"/>
      <c r="BM1030" s="429" t="n">
        <v>117</v>
      </c>
      <c r="BN1030" s="431" t="n">
        <v>117</v>
      </c>
      <c r="BO1030" s="429" t="n"/>
      <c r="BP1030" s="431" t="n"/>
      <c r="BQ1030" s="451" t="n"/>
      <c r="BR1030" s="451" t="n"/>
      <c r="BS1030" s="451" t="n"/>
      <c r="BU1030" s="429" t="n">
        <v>117</v>
      </c>
      <c r="BV1030" s="431" t="n">
        <v>117</v>
      </c>
      <c r="BW1030" s="429" t="n"/>
      <c r="BX1030" s="431" t="n"/>
      <c r="BY1030" s="451" t="n"/>
      <c r="BZ1030" s="451">
        <f>'CIRCUIT SIM'!EI120</f>
        <v/>
      </c>
      <c r="CA1030" s="451" t="n"/>
      <c r="CC1030" s="429" t="n">
        <v>117</v>
      </c>
      <c r="CD1030" s="431" t="n">
        <v>117</v>
      </c>
      <c r="CE1030" s="688" t="n"/>
      <c r="CF1030" s="431" t="inlineStr">
        <is>
          <t>Boolean</t>
        </is>
      </c>
      <c r="CG1030" s="451" t="n"/>
      <c r="CH1030" s="562">
        <f>'CIRCUIT SIM'!LK120</f>
        <v/>
      </c>
      <c r="CI1030" s="451" t="n"/>
      <c r="CK1030" s="429" t="n">
        <v>117</v>
      </c>
      <c r="CL1030" s="431" t="n">
        <v>117</v>
      </c>
      <c r="CM1030" s="688" t="n"/>
      <c r="CN1030" s="431" t="n"/>
      <c r="CO1030" s="451" t="n"/>
      <c r="CP1030" s="451" t="n"/>
      <c r="CQ1030" s="451" t="n"/>
      <c r="CS1030" s="429" t="n">
        <v>117</v>
      </c>
      <c r="CT1030" s="431" t="n">
        <v>117</v>
      </c>
      <c r="CU1030" s="688" t="n"/>
      <c r="CV1030" s="431" t="inlineStr">
        <is>
          <t>Boolean</t>
        </is>
      </c>
      <c r="CW1030" s="451" t="n"/>
      <c r="CX1030" s="451">
        <f>'CIRCUIT SIM'!MQ120</f>
        <v/>
      </c>
      <c r="CY1030" s="451" t="n"/>
      <c r="DA1030" s="429" t="n">
        <v>117</v>
      </c>
      <c r="DB1030" s="431" t="n">
        <v>117</v>
      </c>
      <c r="DC1030" s="688" t="n"/>
      <c r="DD1030" s="431" t="n"/>
      <c r="DE1030" s="451" t="n"/>
      <c r="DF1030" s="451" t="n"/>
      <c r="DG1030" s="451" t="n"/>
      <c r="DI1030" s="429" t="n">
        <v>117</v>
      </c>
      <c r="DJ1030" s="431" t="n">
        <v>117</v>
      </c>
      <c r="DK1030" s="688" t="n"/>
      <c r="DL1030" s="431" t="n"/>
      <c r="DM1030" s="429" t="n"/>
      <c r="DN1030" s="451">
        <f>'CIRCUIT SIM'!FN120</f>
        <v/>
      </c>
      <c r="DO1030" s="451" t="n"/>
      <c r="DQ1030" s="429" t="n">
        <v>117</v>
      </c>
      <c r="DR1030" s="431" t="n">
        <v>117</v>
      </c>
      <c r="DS1030" s="688" t="n"/>
      <c r="DT1030" s="431" t="n"/>
      <c r="DU1030" s="451" t="n"/>
      <c r="DV1030" s="451">
        <f>'CIRCUIT SIM'!HT120</f>
        <v/>
      </c>
      <c r="DW1030" s="451" t="n"/>
      <c r="DY1030" s="429" t="n">
        <v>117</v>
      </c>
      <c r="DZ1030" s="431" t="n">
        <v>117</v>
      </c>
      <c r="EA1030" s="688" t="n"/>
      <c r="EB1030" s="431" t="n"/>
      <c r="EC1030" s="451" t="n"/>
      <c r="ED1030" s="451" t="n"/>
      <c r="EE1030" s="451" t="n"/>
      <c r="EG1030" s="429" t="n">
        <v>117</v>
      </c>
      <c r="EH1030" s="431" t="n">
        <v>117</v>
      </c>
      <c r="EI1030" s="688" t="n"/>
      <c r="EJ1030" s="431" t="n"/>
      <c r="EK1030" s="451" t="n"/>
      <c r="EL1030" s="451" t="n"/>
      <c r="EM1030" s="451" t="n"/>
      <c r="EO1030" s="429" t="n">
        <v>117</v>
      </c>
      <c r="EP1030" s="431" t="n">
        <v>117</v>
      </c>
      <c r="EQ1030" s="688" t="n"/>
      <c r="ER1030" s="431" t="n"/>
      <c r="ES1030" s="451" t="n"/>
      <c r="ET1030" s="451" t="n"/>
      <c r="EU1030" s="451" t="n"/>
      <c r="EW1030" s="429" t="n">
        <v>117</v>
      </c>
      <c r="EX1030" s="431" t="n">
        <v>117</v>
      </c>
      <c r="EY1030" s="688" t="n"/>
      <c r="EZ1030" s="431" t="n"/>
      <c r="FA1030" s="451" t="n"/>
      <c r="FB1030" s="451" t="n"/>
      <c r="FC1030" s="451" t="n"/>
      <c r="FE1030" s="429" t="n">
        <v>117</v>
      </c>
      <c r="FF1030" s="431" t="n">
        <v>117</v>
      </c>
      <c r="FG1030" s="688" t="n"/>
      <c r="FH1030" s="431" t="n"/>
      <c r="FI1030" s="451" t="n"/>
      <c r="FJ1030" s="451" t="n"/>
      <c r="FK1030" s="451" t="n"/>
      <c r="FM1030" s="429" t="n">
        <v>117</v>
      </c>
      <c r="FN1030" s="431" t="n">
        <v>117</v>
      </c>
      <c r="FO1030" s="688" t="n"/>
      <c r="FP1030" s="431" t="n"/>
      <c r="FQ1030" s="451" t="n"/>
      <c r="FR1030" s="451">
        <f>'CIRCUIT SIM'!KY120</f>
        <v/>
      </c>
      <c r="FS1030" s="451" t="n"/>
      <c r="FU1030" s="429" t="n">
        <v>117</v>
      </c>
      <c r="FV1030" s="431" t="n">
        <v>117</v>
      </c>
      <c r="FW1030" s="688" t="n"/>
      <c r="FX1030" s="431" t="n"/>
      <c r="FY1030" s="451" t="n"/>
      <c r="FZ1030" s="562">
        <f>'CIRCUIT SIM'!JG120</f>
        <v/>
      </c>
      <c r="GA1030" s="451" t="n"/>
      <c r="GC1030" s="429" t="n">
        <v>117</v>
      </c>
      <c r="GD1030" s="431" t="n">
        <v>117</v>
      </c>
      <c r="GE1030" s="688" t="n"/>
      <c r="GF1030" s="431" t="n"/>
      <c r="GG1030" s="451" t="n"/>
      <c r="GH1030" s="451" t="n"/>
      <c r="GI1030" s="451" t="n"/>
      <c r="GK1030" s="429" t="n">
        <v>117</v>
      </c>
      <c r="GL1030" s="431" t="n">
        <v>117</v>
      </c>
      <c r="GM1030" s="688" t="n"/>
      <c r="GN1030" s="431" t="n"/>
      <c r="GO1030" s="451" t="n"/>
      <c r="GP1030" s="451" t="n"/>
      <c r="GQ1030" s="451" t="n"/>
      <c r="GS1030" s="429" t="n">
        <v>117</v>
      </c>
      <c r="GT1030" s="431" t="n">
        <v>117</v>
      </c>
      <c r="GU1030" s="688" t="n"/>
      <c r="GV1030" s="431" t="n"/>
      <c r="GW1030" s="451" t="n"/>
      <c r="GX1030" s="451" t="n"/>
      <c r="GY1030" s="451" t="n"/>
      <c r="HA1030" s="429" t="n">
        <v>117</v>
      </c>
      <c r="HB1030" s="431" t="n">
        <v>117</v>
      </c>
      <c r="HC1030" s="688" t="n"/>
      <c r="HD1030" s="431" t="n"/>
      <c r="HE1030" s="451" t="n"/>
      <c r="HF1030" s="451" t="n"/>
      <c r="HG1030" s="451" t="n"/>
    </row>
    <row r="1031">
      <c r="A1031" s="429" t="n">
        <v>118</v>
      </c>
      <c r="B1031" s="431" t="n">
        <v>118</v>
      </c>
      <c r="C1031" s="688" t="n"/>
      <c r="D1031" s="431" t="n"/>
      <c r="E1031" s="429" t="n"/>
      <c r="F1031" s="429" t="n"/>
      <c r="G1031" s="429" t="n"/>
      <c r="I1031" s="429" t="n">
        <v>118</v>
      </c>
      <c r="J1031" s="431" t="n">
        <v>118</v>
      </c>
      <c r="K1031" s="429" t="n"/>
      <c r="L1031" s="431" t="inlineStr">
        <is>
          <t>Boolean</t>
        </is>
      </c>
      <c r="M1031" s="451" t="n"/>
      <c r="N1031" s="422">
        <f>'CIRCUIT SIM'!Y121</f>
        <v/>
      </c>
      <c r="O1031" s="451" t="n"/>
      <c r="Q1031" s="429" t="n">
        <v>118</v>
      </c>
      <c r="R1031" s="431" t="n">
        <v>118</v>
      </c>
      <c r="S1031" s="429" t="n"/>
      <c r="T1031" s="431" t="inlineStr">
        <is>
          <t>Boolean</t>
        </is>
      </c>
      <c r="U1031" s="429" t="n"/>
      <c r="V1031" s="386">
        <f>'CIRCUIT SIM'!AO121</f>
        <v/>
      </c>
      <c r="W1031" s="451" t="n"/>
      <c r="Y1031" s="429" t="n">
        <v>118</v>
      </c>
      <c r="Z1031" s="431" t="n">
        <v>118</v>
      </c>
      <c r="AA1031" s="429" t="n"/>
      <c r="AB1031" s="431" t="n"/>
      <c r="AC1031" s="451" t="n"/>
      <c r="AD1031" s="451" t="n"/>
      <c r="AE1031" s="451" t="n"/>
      <c r="AG1031" s="429" t="n">
        <v>118</v>
      </c>
      <c r="AH1031" s="431" t="n">
        <v>118</v>
      </c>
      <c r="AI1031" s="429" t="n"/>
      <c r="AJ1031" s="431" t="n"/>
      <c r="AK1031" s="451" t="n"/>
      <c r="AL1031" s="451" t="n"/>
      <c r="AM1031" s="451" t="n"/>
      <c r="AO1031" s="429" t="n">
        <v>118</v>
      </c>
      <c r="AP1031" s="431" t="n">
        <v>118</v>
      </c>
      <c r="AQ1031" s="429" t="n"/>
      <c r="AR1031" s="431" t="n"/>
      <c r="AS1031" s="451" t="n"/>
      <c r="AT1031" s="451" t="n"/>
      <c r="AU1031" s="451" t="n"/>
      <c r="AW1031" s="429" t="n">
        <v>118</v>
      </c>
      <c r="AX1031" s="431" t="n">
        <v>118</v>
      </c>
      <c r="AY1031" s="429" t="n"/>
      <c r="AZ1031" s="431" t="n"/>
      <c r="BA1031" s="451" t="n"/>
      <c r="BB1031" s="451">
        <f>'CIRCUIT SIM'!CG121</f>
        <v/>
      </c>
      <c r="BC1031" s="451" t="n"/>
      <c r="BE1031" s="429" t="n">
        <v>118</v>
      </c>
      <c r="BF1031" s="431" t="n"/>
      <c r="BG1031" s="429" t="n"/>
      <c r="BH1031" s="431" t="n"/>
      <c r="BI1031" s="451" t="n"/>
      <c r="BJ1031" s="451" t="n"/>
      <c r="BK1031" s="451" t="n"/>
      <c r="BM1031" s="429" t="n">
        <v>118</v>
      </c>
      <c r="BN1031" s="431" t="n">
        <v>118</v>
      </c>
      <c r="BO1031" s="429" t="n"/>
      <c r="BP1031" s="431" t="n"/>
      <c r="BQ1031" s="451" t="n"/>
      <c r="BR1031" s="451" t="n"/>
      <c r="BS1031" s="451" t="n"/>
      <c r="BU1031" s="429" t="n">
        <v>118</v>
      </c>
      <c r="BV1031" s="431" t="n">
        <v>118</v>
      </c>
      <c r="BW1031" s="429" t="n"/>
      <c r="BX1031" s="431" t="n"/>
      <c r="BY1031" s="451" t="n"/>
      <c r="BZ1031" s="451">
        <f>'CIRCUIT SIM'!EI121</f>
        <v/>
      </c>
      <c r="CA1031" s="451" t="n"/>
      <c r="CC1031" s="429" t="n">
        <v>118</v>
      </c>
      <c r="CD1031" s="431" t="n">
        <v>118</v>
      </c>
      <c r="CE1031" s="688" t="n"/>
      <c r="CF1031" s="431" t="inlineStr">
        <is>
          <t>Boolean</t>
        </is>
      </c>
      <c r="CG1031" s="451" t="n"/>
      <c r="CH1031" s="562">
        <f>'CIRCUIT SIM'!LK121</f>
        <v/>
      </c>
      <c r="CI1031" s="451" t="n"/>
      <c r="CK1031" s="429" t="n">
        <v>118</v>
      </c>
      <c r="CL1031" s="431" t="n">
        <v>118</v>
      </c>
      <c r="CM1031" s="688" t="n"/>
      <c r="CN1031" s="431" t="n"/>
      <c r="CO1031" s="451" t="n"/>
      <c r="CP1031" s="451" t="n"/>
      <c r="CQ1031" s="451" t="n"/>
      <c r="CS1031" s="429" t="n">
        <v>118</v>
      </c>
      <c r="CT1031" s="431" t="n">
        <v>118</v>
      </c>
      <c r="CU1031" s="688" t="n"/>
      <c r="CV1031" s="431" t="inlineStr">
        <is>
          <t>Boolean</t>
        </is>
      </c>
      <c r="CW1031" s="451" t="n"/>
      <c r="CX1031" s="451">
        <f>'CIRCUIT SIM'!MQ121</f>
        <v/>
      </c>
      <c r="CY1031" s="451" t="n"/>
      <c r="DA1031" s="429" t="n">
        <v>118</v>
      </c>
      <c r="DB1031" s="431" t="n">
        <v>118</v>
      </c>
      <c r="DC1031" s="688" t="n"/>
      <c r="DD1031" s="431" t="n"/>
      <c r="DE1031" s="451" t="n"/>
      <c r="DF1031" s="451" t="n"/>
      <c r="DG1031" s="451" t="n"/>
      <c r="DI1031" s="429" t="n">
        <v>118</v>
      </c>
      <c r="DJ1031" s="431" t="n">
        <v>118</v>
      </c>
      <c r="DK1031" s="688" t="n"/>
      <c r="DL1031" s="431" t="n"/>
      <c r="DM1031" s="429" t="n"/>
      <c r="DN1031" s="451">
        <f>'CIRCUIT SIM'!HD121</f>
        <v/>
      </c>
      <c r="DO1031" s="451" t="n"/>
      <c r="DQ1031" s="429" t="n">
        <v>118</v>
      </c>
      <c r="DR1031" s="431" t="n">
        <v>118</v>
      </c>
      <c r="DS1031" s="688" t="n"/>
      <c r="DT1031" s="431" t="n"/>
      <c r="DU1031" s="451" t="n"/>
      <c r="DV1031" s="451">
        <f>'CIRCUIT SIM'!HT121</f>
        <v/>
      </c>
      <c r="DW1031" s="451" t="n"/>
      <c r="DY1031" s="429" t="n">
        <v>118</v>
      </c>
      <c r="DZ1031" s="431" t="n">
        <v>118</v>
      </c>
      <c r="EA1031" s="688" t="n"/>
      <c r="EB1031" s="431" t="n"/>
      <c r="EC1031" s="451" t="n"/>
      <c r="ED1031" s="451" t="n"/>
      <c r="EE1031" s="451" t="n"/>
      <c r="EG1031" s="429" t="n">
        <v>118</v>
      </c>
      <c r="EH1031" s="431" t="n">
        <v>118</v>
      </c>
      <c r="EI1031" s="688" t="n"/>
      <c r="EJ1031" s="431" t="n"/>
      <c r="EK1031" s="451" t="n"/>
      <c r="EL1031" s="451" t="n"/>
      <c r="EM1031" s="451" t="n"/>
      <c r="EO1031" s="429" t="n">
        <v>118</v>
      </c>
      <c r="EP1031" s="431" t="n">
        <v>118</v>
      </c>
      <c r="EQ1031" s="688" t="n"/>
      <c r="ER1031" s="431" t="n"/>
      <c r="ES1031" s="451" t="n"/>
      <c r="ET1031" s="451" t="n"/>
      <c r="EU1031" s="451" t="n"/>
      <c r="EW1031" s="429" t="n">
        <v>118</v>
      </c>
      <c r="EX1031" s="431" t="n">
        <v>118</v>
      </c>
      <c r="EY1031" s="688" t="n"/>
      <c r="EZ1031" s="431" t="n"/>
      <c r="FA1031" s="451" t="n"/>
      <c r="FB1031" s="451" t="n"/>
      <c r="FC1031" s="451" t="n"/>
      <c r="FE1031" s="429" t="n">
        <v>118</v>
      </c>
      <c r="FF1031" s="431" t="n">
        <v>118</v>
      </c>
      <c r="FG1031" s="688" t="n"/>
      <c r="FH1031" s="431" t="n"/>
      <c r="FI1031" s="451" t="n"/>
      <c r="FJ1031" s="451" t="n"/>
      <c r="FK1031" s="451" t="n"/>
      <c r="FM1031" s="429" t="n">
        <v>118</v>
      </c>
      <c r="FN1031" s="431" t="n">
        <v>118</v>
      </c>
      <c r="FO1031" s="688" t="n"/>
      <c r="FP1031" s="431" t="n"/>
      <c r="FQ1031" s="451" t="n"/>
      <c r="FR1031" s="451">
        <f>'CIRCUIT SIM'!KY121</f>
        <v/>
      </c>
      <c r="FS1031" s="451" t="n"/>
      <c r="FU1031" s="429" t="n">
        <v>118</v>
      </c>
      <c r="FV1031" s="431" t="n">
        <v>118</v>
      </c>
      <c r="FW1031" s="688" t="n"/>
      <c r="FX1031" s="431" t="n"/>
      <c r="FY1031" s="451" t="n"/>
      <c r="FZ1031" s="562">
        <f>'CIRCUIT SIM'!JG121</f>
        <v/>
      </c>
      <c r="GA1031" s="451" t="n"/>
      <c r="GC1031" s="429" t="n">
        <v>118</v>
      </c>
      <c r="GD1031" s="431" t="n">
        <v>118</v>
      </c>
      <c r="GE1031" s="688" t="n"/>
      <c r="GF1031" s="431" t="n"/>
      <c r="GG1031" s="451" t="n"/>
      <c r="GH1031" s="451" t="n"/>
      <c r="GI1031" s="451" t="n"/>
      <c r="GK1031" s="429" t="n">
        <v>118</v>
      </c>
      <c r="GL1031" s="431" t="n">
        <v>118</v>
      </c>
      <c r="GM1031" s="688" t="n"/>
      <c r="GN1031" s="431" t="n"/>
      <c r="GO1031" s="451" t="n"/>
      <c r="GP1031" s="451" t="n"/>
      <c r="GQ1031" s="451" t="n"/>
      <c r="GS1031" s="429" t="n">
        <v>118</v>
      </c>
      <c r="GT1031" s="431" t="n">
        <v>118</v>
      </c>
      <c r="GU1031" s="688" t="n"/>
      <c r="GV1031" s="431" t="n"/>
      <c r="GW1031" s="451" t="n"/>
      <c r="GX1031" s="451" t="n"/>
      <c r="GY1031" s="451" t="n"/>
      <c r="HA1031" s="429" t="n">
        <v>118</v>
      </c>
      <c r="HB1031" s="431" t="n">
        <v>118</v>
      </c>
      <c r="HC1031" s="688" t="n"/>
      <c r="HD1031" s="431" t="n"/>
      <c r="HE1031" s="451" t="n"/>
      <c r="HF1031" s="451" t="n"/>
      <c r="HG1031" s="451" t="n"/>
    </row>
    <row r="1032">
      <c r="A1032" s="429" t="n">
        <v>119</v>
      </c>
      <c r="B1032" s="431" t="n">
        <v>119</v>
      </c>
      <c r="C1032" s="688" t="n"/>
      <c r="D1032" s="431" t="n"/>
      <c r="E1032" s="429" t="n"/>
      <c r="F1032" s="429" t="n"/>
      <c r="G1032" s="429" t="n"/>
      <c r="I1032" s="429" t="n">
        <v>119</v>
      </c>
      <c r="J1032" s="431" t="n">
        <v>119</v>
      </c>
      <c r="K1032" s="429" t="n"/>
      <c r="L1032" s="431" t="inlineStr">
        <is>
          <t>Boolean</t>
        </is>
      </c>
      <c r="M1032" s="451" t="n"/>
      <c r="N1032" s="422">
        <f>'CIRCUIT SIM'!Y122</f>
        <v/>
      </c>
      <c r="O1032" s="451" t="n"/>
      <c r="Q1032" s="429" t="n">
        <v>119</v>
      </c>
      <c r="R1032" s="431" t="n">
        <v>119</v>
      </c>
      <c r="S1032" s="429" t="n"/>
      <c r="T1032" s="431" t="inlineStr">
        <is>
          <t>Boolean</t>
        </is>
      </c>
      <c r="U1032" s="429" t="n"/>
      <c r="V1032" s="386">
        <f>'CIRCUIT SIM'!AO122</f>
        <v/>
      </c>
      <c r="W1032" s="451" t="n"/>
      <c r="Y1032" s="429" t="n">
        <v>119</v>
      </c>
      <c r="Z1032" s="431" t="n">
        <v>119</v>
      </c>
      <c r="AA1032" s="429" t="n"/>
      <c r="AB1032" s="431" t="n"/>
      <c r="AC1032" s="451" t="n"/>
      <c r="AD1032" s="451" t="n"/>
      <c r="AE1032" s="451" t="n"/>
      <c r="AG1032" s="429" t="n">
        <v>119</v>
      </c>
      <c r="AH1032" s="431" t="n">
        <v>119</v>
      </c>
      <c r="AI1032" s="429" t="n"/>
      <c r="AJ1032" s="431" t="n"/>
      <c r="AK1032" s="451" t="n"/>
      <c r="AL1032" s="451" t="n"/>
      <c r="AM1032" s="451" t="n"/>
      <c r="AO1032" s="429" t="n">
        <v>119</v>
      </c>
      <c r="AP1032" s="431" t="n">
        <v>119</v>
      </c>
      <c r="AQ1032" s="429" t="n"/>
      <c r="AR1032" s="431" t="n"/>
      <c r="AS1032" s="451" t="n"/>
      <c r="AT1032" s="451" t="n"/>
      <c r="AU1032" s="451" t="n"/>
      <c r="AW1032" s="429" t="n">
        <v>119</v>
      </c>
      <c r="AX1032" s="431" t="n">
        <v>119</v>
      </c>
      <c r="AY1032" s="429" t="n"/>
      <c r="AZ1032" s="431" t="n"/>
      <c r="BA1032" s="451" t="n"/>
      <c r="BB1032" s="451">
        <f>'CIRCUIT SIM'!CG122</f>
        <v/>
      </c>
      <c r="BC1032" s="451" t="n"/>
      <c r="BE1032" s="429" t="n">
        <v>119</v>
      </c>
      <c r="BF1032" s="431" t="n"/>
      <c r="BG1032" s="429" t="n"/>
      <c r="BH1032" s="431" t="n"/>
      <c r="BI1032" s="451" t="n"/>
      <c r="BJ1032" s="451" t="n"/>
      <c r="BK1032" s="451" t="n"/>
      <c r="BM1032" s="429" t="n">
        <v>119</v>
      </c>
      <c r="BN1032" s="431" t="n">
        <v>119</v>
      </c>
      <c r="BO1032" s="429" t="n"/>
      <c r="BP1032" s="431" t="n"/>
      <c r="BQ1032" s="451" t="n"/>
      <c r="BR1032" s="451" t="n"/>
      <c r="BS1032" s="451" t="n"/>
      <c r="BU1032" s="429" t="n">
        <v>119</v>
      </c>
      <c r="BV1032" s="431" t="n">
        <v>119</v>
      </c>
      <c r="BW1032" s="429" t="n"/>
      <c r="BX1032" s="431" t="n"/>
      <c r="BY1032" s="451" t="n"/>
      <c r="BZ1032" s="451">
        <f>'CIRCUIT SIM'!EI122</f>
        <v/>
      </c>
      <c r="CA1032" s="451" t="n"/>
      <c r="CC1032" s="429" t="n">
        <v>119</v>
      </c>
      <c r="CD1032" s="431" t="n">
        <v>119</v>
      </c>
      <c r="CE1032" s="688" t="n"/>
      <c r="CF1032" s="431" t="inlineStr">
        <is>
          <t>Boolean</t>
        </is>
      </c>
      <c r="CG1032" s="451" t="n"/>
      <c r="CH1032" s="562">
        <f>'CIRCUIT SIM'!LK122</f>
        <v/>
      </c>
      <c r="CI1032" s="451" t="n"/>
      <c r="CK1032" s="429" t="n">
        <v>119</v>
      </c>
      <c r="CL1032" s="431" t="n">
        <v>119</v>
      </c>
      <c r="CM1032" s="688" t="n"/>
      <c r="CN1032" s="431" t="n"/>
      <c r="CO1032" s="451" t="n"/>
      <c r="CP1032" s="451" t="n"/>
      <c r="CQ1032" s="451" t="n"/>
      <c r="CS1032" s="429" t="n">
        <v>119</v>
      </c>
      <c r="CT1032" s="431" t="n">
        <v>119</v>
      </c>
      <c r="CU1032" s="688" t="n"/>
      <c r="CV1032" s="431" t="inlineStr">
        <is>
          <t>Boolean</t>
        </is>
      </c>
      <c r="CW1032" s="451" t="n"/>
      <c r="CX1032" s="451">
        <f>'CIRCUIT SIM'!MQ122</f>
        <v/>
      </c>
      <c r="CY1032" s="451" t="n"/>
      <c r="DA1032" s="429" t="n">
        <v>119</v>
      </c>
      <c r="DB1032" s="431" t="n">
        <v>119</v>
      </c>
      <c r="DC1032" s="688" t="n"/>
      <c r="DD1032" s="431" t="n"/>
      <c r="DE1032" s="451" t="n"/>
      <c r="DF1032" s="451" t="n"/>
      <c r="DG1032" s="451" t="n"/>
      <c r="DI1032" s="429" t="n">
        <v>119</v>
      </c>
      <c r="DJ1032" s="431" t="n">
        <v>119</v>
      </c>
      <c r="DK1032" s="688" t="n"/>
      <c r="DL1032" s="431" t="n"/>
      <c r="DM1032" s="429" t="n"/>
      <c r="DN1032" s="451" t="n"/>
      <c r="DO1032" s="451" t="n"/>
      <c r="DQ1032" s="429" t="n">
        <v>119</v>
      </c>
      <c r="DR1032" s="431" t="n">
        <v>119</v>
      </c>
      <c r="DS1032" s="688" t="n"/>
      <c r="DT1032" s="431" t="n"/>
      <c r="DU1032" s="451" t="n"/>
      <c r="DV1032" s="451">
        <f>'CIRCUIT SIM'!HT122</f>
        <v/>
      </c>
      <c r="DW1032" s="451" t="n"/>
      <c r="DY1032" s="429" t="n">
        <v>119</v>
      </c>
      <c r="DZ1032" s="431" t="n">
        <v>119</v>
      </c>
      <c r="EA1032" s="688" t="n"/>
      <c r="EB1032" s="431" t="n"/>
      <c r="EC1032" s="451" t="n"/>
      <c r="ED1032" s="451" t="n"/>
      <c r="EE1032" s="451" t="n"/>
      <c r="EG1032" s="429" t="n">
        <v>119</v>
      </c>
      <c r="EH1032" s="431" t="n">
        <v>119</v>
      </c>
      <c r="EI1032" s="688" t="n"/>
      <c r="EJ1032" s="431" t="n"/>
      <c r="EK1032" s="451" t="n"/>
      <c r="EL1032" s="451" t="n"/>
      <c r="EM1032" s="451" t="n"/>
      <c r="EO1032" s="429" t="n">
        <v>119</v>
      </c>
      <c r="EP1032" s="431" t="n">
        <v>119</v>
      </c>
      <c r="EQ1032" s="688" t="n"/>
      <c r="ER1032" s="431" t="n"/>
      <c r="ES1032" s="451" t="n"/>
      <c r="ET1032" s="451" t="n"/>
      <c r="EU1032" s="451" t="n"/>
      <c r="EW1032" s="429" t="n">
        <v>119</v>
      </c>
      <c r="EX1032" s="431" t="n">
        <v>119</v>
      </c>
      <c r="EY1032" s="688" t="n"/>
      <c r="EZ1032" s="431" t="n"/>
      <c r="FA1032" s="451" t="n"/>
      <c r="FB1032" s="451" t="n"/>
      <c r="FC1032" s="451" t="n"/>
      <c r="FE1032" s="429" t="n">
        <v>119</v>
      </c>
      <c r="FF1032" s="431" t="n">
        <v>119</v>
      </c>
      <c r="FG1032" s="688" t="n"/>
      <c r="FH1032" s="431" t="n"/>
      <c r="FI1032" s="451" t="n"/>
      <c r="FJ1032" s="451" t="n"/>
      <c r="FK1032" s="451" t="n"/>
      <c r="FM1032" s="429" t="n">
        <v>119</v>
      </c>
      <c r="FN1032" s="431" t="n">
        <v>119</v>
      </c>
      <c r="FO1032" s="688" t="n"/>
      <c r="FP1032" s="431" t="n"/>
      <c r="FQ1032" s="451" t="n"/>
      <c r="FR1032" s="451">
        <f>'CIRCUIT SIM'!KY122</f>
        <v/>
      </c>
      <c r="FS1032" s="451" t="n"/>
      <c r="FU1032" s="429" t="n">
        <v>119</v>
      </c>
      <c r="FV1032" s="431" t="n">
        <v>119</v>
      </c>
      <c r="FW1032" s="688" t="n"/>
      <c r="FX1032" s="431" t="n"/>
      <c r="FY1032" s="451" t="n"/>
      <c r="FZ1032" s="562">
        <f>'CIRCUIT SIM'!JG122</f>
        <v/>
      </c>
      <c r="GA1032" s="451" t="n"/>
      <c r="GC1032" s="429" t="n">
        <v>119</v>
      </c>
      <c r="GD1032" s="431" t="n">
        <v>119</v>
      </c>
      <c r="GE1032" s="688" t="n"/>
      <c r="GF1032" s="431" t="n"/>
      <c r="GG1032" s="451" t="n"/>
      <c r="GH1032" s="451" t="n"/>
      <c r="GI1032" s="451" t="n"/>
      <c r="GK1032" s="429" t="n">
        <v>119</v>
      </c>
      <c r="GL1032" s="431" t="n">
        <v>119</v>
      </c>
      <c r="GM1032" s="688" t="n"/>
      <c r="GN1032" s="431" t="n"/>
      <c r="GO1032" s="451" t="n"/>
      <c r="GP1032" s="451" t="n"/>
      <c r="GQ1032" s="451" t="n"/>
      <c r="GS1032" s="429" t="n">
        <v>119</v>
      </c>
      <c r="GT1032" s="431" t="n">
        <v>119</v>
      </c>
      <c r="GU1032" s="688" t="n"/>
      <c r="GV1032" s="431" t="n"/>
      <c r="GW1032" s="451" t="n"/>
      <c r="GX1032" s="451" t="n"/>
      <c r="GY1032" s="451" t="n"/>
      <c r="HA1032" s="429" t="n">
        <v>119</v>
      </c>
      <c r="HB1032" s="431" t="n">
        <v>119</v>
      </c>
      <c r="HC1032" s="688" t="n"/>
      <c r="HD1032" s="431" t="n"/>
      <c r="HE1032" s="451" t="n"/>
      <c r="HF1032" s="451" t="n"/>
      <c r="HG1032" s="451" t="n"/>
    </row>
    <row r="1033">
      <c r="A1033" s="429" t="n">
        <v>120</v>
      </c>
      <c r="B1033" s="431" t="n">
        <v>120</v>
      </c>
      <c r="C1033" s="688" t="n"/>
      <c r="D1033" s="431" t="n"/>
      <c r="E1033" s="429" t="n"/>
      <c r="F1033" s="429" t="n"/>
      <c r="G1033" s="429" t="n"/>
      <c r="I1033" s="429" t="n">
        <v>120</v>
      </c>
      <c r="J1033" s="431" t="n">
        <v>120</v>
      </c>
      <c r="K1033" s="429" t="n"/>
      <c r="L1033" s="431" t="inlineStr">
        <is>
          <t>Boolean</t>
        </is>
      </c>
      <c r="M1033" s="451" t="n"/>
      <c r="N1033" s="422">
        <f>'CIRCUIT SIM'!Y123</f>
        <v/>
      </c>
      <c r="O1033" s="451" t="n"/>
      <c r="Q1033" s="429" t="n">
        <v>120</v>
      </c>
      <c r="R1033" s="431" t="n">
        <v>120</v>
      </c>
      <c r="S1033" s="429" t="n"/>
      <c r="T1033" s="431" t="inlineStr">
        <is>
          <t>Boolean</t>
        </is>
      </c>
      <c r="U1033" s="429" t="n"/>
      <c r="V1033" s="386">
        <f>'CIRCUIT SIM'!AO123</f>
        <v/>
      </c>
      <c r="W1033" s="451" t="n"/>
      <c r="Y1033" s="429" t="n">
        <v>120</v>
      </c>
      <c r="Z1033" s="431" t="n">
        <v>120</v>
      </c>
      <c r="AA1033" s="429" t="n"/>
      <c r="AB1033" s="431" t="n"/>
      <c r="AC1033" s="451" t="n"/>
      <c r="AD1033" s="451" t="n"/>
      <c r="AE1033" s="451" t="n"/>
      <c r="AG1033" s="429" t="n">
        <v>120</v>
      </c>
      <c r="AH1033" s="431" t="n">
        <v>120</v>
      </c>
      <c r="AI1033" s="429" t="n"/>
      <c r="AJ1033" s="431" t="n"/>
      <c r="AK1033" s="451" t="n"/>
      <c r="AL1033" s="451" t="n"/>
      <c r="AM1033" s="451" t="n"/>
      <c r="AO1033" s="429" t="n">
        <v>120</v>
      </c>
      <c r="AP1033" s="431" t="n">
        <v>120</v>
      </c>
      <c r="AQ1033" s="429" t="n"/>
      <c r="AR1033" s="431" t="n"/>
      <c r="AS1033" s="451" t="n"/>
      <c r="AT1033" s="451" t="n"/>
      <c r="AU1033" s="451" t="n"/>
      <c r="AW1033" s="429" t="n">
        <v>120</v>
      </c>
      <c r="AX1033" s="431" t="n">
        <v>120</v>
      </c>
      <c r="AY1033" s="429" t="n"/>
      <c r="AZ1033" s="431" t="n"/>
      <c r="BA1033" s="451" t="n"/>
      <c r="BB1033" s="451">
        <f>'CIRCUIT SIM'!CG123</f>
        <v/>
      </c>
      <c r="BC1033" s="451" t="n"/>
      <c r="BE1033" s="429" t="n">
        <v>120</v>
      </c>
      <c r="BF1033" s="431" t="n"/>
      <c r="BG1033" s="429" t="n"/>
      <c r="BH1033" s="431" t="n"/>
      <c r="BI1033" s="451" t="n"/>
      <c r="BJ1033" s="451" t="n"/>
      <c r="BK1033" s="451" t="n"/>
      <c r="BM1033" s="429" t="n">
        <v>120</v>
      </c>
      <c r="BN1033" s="431" t="n">
        <v>120</v>
      </c>
      <c r="BO1033" s="429" t="n"/>
      <c r="BP1033" s="431" t="n"/>
      <c r="BQ1033" s="451" t="n"/>
      <c r="BR1033" s="451" t="n"/>
      <c r="BS1033" s="451" t="n"/>
      <c r="BU1033" s="429" t="n">
        <v>120</v>
      </c>
      <c r="BV1033" s="431" t="n">
        <v>120</v>
      </c>
      <c r="BW1033" s="429" t="n"/>
      <c r="BX1033" s="431" t="n"/>
      <c r="BY1033" s="451" t="n"/>
      <c r="BZ1033" s="451">
        <f>'CIRCUIT SIM'!EI123</f>
        <v/>
      </c>
      <c r="CA1033" s="451" t="n"/>
      <c r="CC1033" s="429" t="n">
        <v>120</v>
      </c>
      <c r="CD1033" s="431" t="n">
        <v>120</v>
      </c>
      <c r="CE1033" s="688" t="n"/>
      <c r="CF1033" s="431" t="inlineStr">
        <is>
          <t>Boolean</t>
        </is>
      </c>
      <c r="CG1033" s="451" t="n"/>
      <c r="CH1033" s="562">
        <f>'CIRCUIT SIM'!LK123</f>
        <v/>
      </c>
      <c r="CI1033" s="451" t="n"/>
      <c r="CK1033" s="429" t="n">
        <v>120</v>
      </c>
      <c r="CL1033" s="431" t="n">
        <v>120</v>
      </c>
      <c r="CM1033" s="688" t="n"/>
      <c r="CN1033" s="431" t="n"/>
      <c r="CO1033" s="451" t="n"/>
      <c r="CP1033" s="451" t="n"/>
      <c r="CQ1033" s="451" t="n"/>
      <c r="CS1033" s="429" t="n">
        <v>120</v>
      </c>
      <c r="CT1033" s="431" t="n">
        <v>120</v>
      </c>
      <c r="CU1033" s="688" t="n"/>
      <c r="CV1033" s="431" t="inlineStr">
        <is>
          <t>Boolean</t>
        </is>
      </c>
      <c r="CW1033" s="451" t="n"/>
      <c r="CX1033" s="451">
        <f>'CIRCUIT SIM'!MQ123</f>
        <v/>
      </c>
      <c r="CY1033" s="451" t="n"/>
      <c r="DA1033" s="429" t="n">
        <v>120</v>
      </c>
      <c r="DB1033" s="431" t="n">
        <v>120</v>
      </c>
      <c r="DC1033" s="688" t="n"/>
      <c r="DD1033" s="431" t="n"/>
      <c r="DE1033" s="451" t="n"/>
      <c r="DF1033" s="451" t="n"/>
      <c r="DG1033" s="451" t="n"/>
      <c r="DI1033" s="429" t="n">
        <v>120</v>
      </c>
      <c r="DJ1033" s="431" t="n">
        <v>120</v>
      </c>
      <c r="DK1033" s="688" t="n"/>
      <c r="DL1033" s="431" t="n"/>
      <c r="DM1033" s="429" t="n"/>
      <c r="DN1033" s="451" t="n"/>
      <c r="DO1033" s="451" t="n"/>
      <c r="DQ1033" s="429" t="n">
        <v>120</v>
      </c>
      <c r="DR1033" s="431" t="n">
        <v>120</v>
      </c>
      <c r="DS1033" s="688" t="n"/>
      <c r="DT1033" s="431" t="n"/>
      <c r="DU1033" s="451" t="n"/>
      <c r="DV1033" s="451">
        <f>'CIRCUIT SIM'!HT123</f>
        <v/>
      </c>
      <c r="DW1033" s="451" t="n"/>
      <c r="DY1033" s="429" t="n">
        <v>120</v>
      </c>
      <c r="DZ1033" s="431" t="n">
        <v>120</v>
      </c>
      <c r="EA1033" s="688" t="n"/>
      <c r="EB1033" s="431" t="n"/>
      <c r="EC1033" s="451" t="n"/>
      <c r="ED1033" s="451" t="n"/>
      <c r="EE1033" s="451" t="n"/>
      <c r="EG1033" s="429" t="n">
        <v>120</v>
      </c>
      <c r="EH1033" s="431" t="n">
        <v>120</v>
      </c>
      <c r="EI1033" s="688" t="n"/>
      <c r="EJ1033" s="431" t="n"/>
      <c r="EK1033" s="451" t="n"/>
      <c r="EL1033" s="451" t="n"/>
      <c r="EM1033" s="451" t="n"/>
      <c r="EO1033" s="429" t="n">
        <v>120</v>
      </c>
      <c r="EP1033" s="431" t="n">
        <v>120</v>
      </c>
      <c r="EQ1033" s="688" t="n"/>
      <c r="ER1033" s="431" t="n"/>
      <c r="ES1033" s="451" t="n"/>
      <c r="ET1033" s="451" t="n"/>
      <c r="EU1033" s="451" t="n"/>
      <c r="EW1033" s="429" t="n">
        <v>120</v>
      </c>
      <c r="EX1033" s="431" t="n">
        <v>120</v>
      </c>
      <c r="EY1033" s="688" t="n"/>
      <c r="EZ1033" s="431" t="n"/>
      <c r="FA1033" s="451" t="n"/>
      <c r="FB1033" s="451" t="n"/>
      <c r="FC1033" s="451" t="n"/>
      <c r="FE1033" s="429" t="n">
        <v>120</v>
      </c>
      <c r="FF1033" s="431" t="n">
        <v>120</v>
      </c>
      <c r="FG1033" s="688" t="n"/>
      <c r="FH1033" s="431" t="n"/>
      <c r="FI1033" s="451" t="n"/>
      <c r="FJ1033" s="451" t="n"/>
      <c r="FK1033" s="451" t="n"/>
      <c r="FM1033" s="429" t="n">
        <v>120</v>
      </c>
      <c r="FN1033" s="431" t="n">
        <v>120</v>
      </c>
      <c r="FO1033" s="688" t="n"/>
      <c r="FP1033" s="431" t="n"/>
      <c r="FQ1033" s="451" t="n"/>
      <c r="FR1033" s="451">
        <f>'CIRCUIT SIM'!KY123</f>
        <v/>
      </c>
      <c r="FS1033" s="451" t="n"/>
      <c r="FU1033" s="429" t="n">
        <v>120</v>
      </c>
      <c r="FV1033" s="431" t="n">
        <v>120</v>
      </c>
      <c r="FW1033" s="688" t="n"/>
      <c r="FX1033" s="431" t="n"/>
      <c r="FY1033" s="451" t="n"/>
      <c r="FZ1033" s="562">
        <f>'CIRCUIT SIM'!JG123</f>
        <v/>
      </c>
      <c r="GA1033" s="451" t="n"/>
      <c r="GC1033" s="429" t="n">
        <v>120</v>
      </c>
      <c r="GD1033" s="431" t="n">
        <v>120</v>
      </c>
      <c r="GE1033" s="688" t="n"/>
      <c r="GF1033" s="431" t="n"/>
      <c r="GG1033" s="451" t="n"/>
      <c r="GH1033" s="451" t="n"/>
      <c r="GI1033" s="451" t="n"/>
      <c r="GK1033" s="429" t="n">
        <v>120</v>
      </c>
      <c r="GL1033" s="431" t="n">
        <v>120</v>
      </c>
      <c r="GM1033" s="688" t="n"/>
      <c r="GN1033" s="431" t="n"/>
      <c r="GO1033" s="451" t="n"/>
      <c r="GP1033" s="451" t="n"/>
      <c r="GQ1033" s="451" t="n"/>
      <c r="GS1033" s="429" t="n">
        <v>120</v>
      </c>
      <c r="GT1033" s="431" t="n">
        <v>120</v>
      </c>
      <c r="GU1033" s="688" t="n"/>
      <c r="GV1033" s="431" t="n"/>
      <c r="GW1033" s="451" t="n"/>
      <c r="GX1033" s="451" t="n"/>
      <c r="GY1033" s="451" t="n"/>
      <c r="HA1033" s="429" t="n">
        <v>120</v>
      </c>
      <c r="HB1033" s="431" t="n">
        <v>120</v>
      </c>
      <c r="HC1033" s="688" t="n"/>
      <c r="HD1033" s="431" t="n"/>
      <c r="HE1033" s="451" t="n"/>
      <c r="HF1033" s="451" t="n"/>
      <c r="HG1033" s="451" t="n"/>
    </row>
    <row r="1034">
      <c r="A1034" s="429" t="n">
        <v>121</v>
      </c>
      <c r="B1034" s="431" t="n">
        <v>121</v>
      </c>
      <c r="C1034" s="688" t="n"/>
      <c r="D1034" s="431" t="n"/>
      <c r="E1034" s="429" t="n"/>
      <c r="F1034" s="429" t="n"/>
      <c r="G1034" s="429" t="n"/>
      <c r="I1034" s="429" t="n">
        <v>121</v>
      </c>
      <c r="J1034" s="431" t="n">
        <v>121</v>
      </c>
      <c r="K1034" s="429" t="n"/>
      <c r="L1034" s="431" t="inlineStr">
        <is>
          <t>Boolean</t>
        </is>
      </c>
      <c r="M1034" s="451" t="n"/>
      <c r="N1034" s="422">
        <f>'CIRCUIT SIM'!Y124</f>
        <v/>
      </c>
      <c r="O1034" s="451" t="n"/>
      <c r="Q1034" s="429" t="n">
        <v>121</v>
      </c>
      <c r="R1034" s="431" t="n">
        <v>121</v>
      </c>
      <c r="S1034" s="429" t="n"/>
      <c r="T1034" s="431" t="inlineStr">
        <is>
          <t>Boolean</t>
        </is>
      </c>
      <c r="U1034" s="429" t="n"/>
      <c r="V1034" s="386">
        <f>'CIRCUIT SIM'!AO124</f>
        <v/>
      </c>
      <c r="W1034" s="451" t="n"/>
      <c r="Y1034" s="429" t="n">
        <v>121</v>
      </c>
      <c r="Z1034" s="431" t="n">
        <v>121</v>
      </c>
      <c r="AA1034" s="429" t="n"/>
      <c r="AB1034" s="431" t="n"/>
      <c r="AC1034" s="451" t="n"/>
      <c r="AD1034" s="451" t="n"/>
      <c r="AE1034" s="451" t="n"/>
      <c r="AG1034" s="429" t="n">
        <v>121</v>
      </c>
      <c r="AH1034" s="431" t="n">
        <v>121</v>
      </c>
      <c r="AI1034" s="429" t="n"/>
      <c r="AJ1034" s="431" t="n"/>
      <c r="AK1034" s="451" t="n"/>
      <c r="AL1034" s="451" t="n"/>
      <c r="AM1034" s="451" t="n"/>
      <c r="AO1034" s="429" t="n">
        <v>121</v>
      </c>
      <c r="AP1034" s="431" t="n">
        <v>121</v>
      </c>
      <c r="AQ1034" s="429" t="n"/>
      <c r="AR1034" s="431" t="n"/>
      <c r="AS1034" s="451" t="n"/>
      <c r="AT1034" s="451" t="n"/>
      <c r="AU1034" s="451" t="n"/>
      <c r="AW1034" s="429" t="n">
        <v>121</v>
      </c>
      <c r="AX1034" s="431" t="n">
        <v>121</v>
      </c>
      <c r="AY1034" s="429" t="n"/>
      <c r="AZ1034" s="431" t="n"/>
      <c r="BA1034" s="451" t="n"/>
      <c r="BB1034" s="451">
        <f>'CIRCUIT SIM'!CG124</f>
        <v/>
      </c>
      <c r="BC1034" s="451" t="n"/>
      <c r="BE1034" s="429" t="n">
        <v>121</v>
      </c>
      <c r="BF1034" s="431" t="n"/>
      <c r="BG1034" s="429" t="n"/>
      <c r="BH1034" s="431" t="n"/>
      <c r="BI1034" s="451" t="n"/>
      <c r="BJ1034" s="451" t="n"/>
      <c r="BK1034" s="451" t="n"/>
      <c r="BM1034" s="429" t="n">
        <v>121</v>
      </c>
      <c r="BN1034" s="431" t="n">
        <v>121</v>
      </c>
      <c r="BO1034" s="429" t="n"/>
      <c r="BP1034" s="431" t="n"/>
      <c r="BQ1034" s="451" t="n"/>
      <c r="BR1034" s="451" t="n"/>
      <c r="BS1034" s="451" t="n"/>
      <c r="BU1034" s="429" t="n">
        <v>121</v>
      </c>
      <c r="BV1034" s="431" t="n">
        <v>121</v>
      </c>
      <c r="BW1034" s="429" t="n"/>
      <c r="BX1034" s="431" t="n"/>
      <c r="BY1034" s="451" t="n"/>
      <c r="BZ1034" s="451">
        <f>'CIRCUIT SIM'!EI124</f>
        <v/>
      </c>
      <c r="CA1034" s="451" t="n"/>
      <c r="CC1034" s="429" t="n">
        <v>121</v>
      </c>
      <c r="CD1034" s="431" t="n">
        <v>121</v>
      </c>
      <c r="CE1034" s="688" t="n"/>
      <c r="CF1034" s="431" t="inlineStr">
        <is>
          <t>Boolean</t>
        </is>
      </c>
      <c r="CG1034" s="451" t="n"/>
      <c r="CH1034" s="562">
        <f>'CIRCUIT SIM'!LK124</f>
        <v/>
      </c>
      <c r="CI1034" s="451" t="n"/>
      <c r="CK1034" s="429" t="n">
        <v>121</v>
      </c>
      <c r="CL1034" s="431" t="n">
        <v>121</v>
      </c>
      <c r="CM1034" s="688" t="n"/>
      <c r="CN1034" s="431" t="n"/>
      <c r="CO1034" s="451" t="n"/>
      <c r="CP1034" s="451" t="n"/>
      <c r="CQ1034" s="451" t="n"/>
      <c r="CS1034" s="429" t="n">
        <v>121</v>
      </c>
      <c r="CT1034" s="431" t="n">
        <v>121</v>
      </c>
      <c r="CU1034" s="688" t="n"/>
      <c r="CV1034" s="431" t="inlineStr">
        <is>
          <t>Boolean</t>
        </is>
      </c>
      <c r="CW1034" s="451" t="n"/>
      <c r="CX1034" s="451">
        <f>'CIRCUIT SIM'!MQ124</f>
        <v/>
      </c>
      <c r="CY1034" s="451" t="n"/>
      <c r="DA1034" s="429" t="n">
        <v>121</v>
      </c>
      <c r="DB1034" s="431" t="n">
        <v>121</v>
      </c>
      <c r="DC1034" s="688" t="n"/>
      <c r="DD1034" s="431" t="n"/>
      <c r="DE1034" s="451" t="n"/>
      <c r="DF1034" s="451" t="n"/>
      <c r="DG1034" s="451" t="n"/>
      <c r="DI1034" s="429" t="n">
        <v>121</v>
      </c>
      <c r="DJ1034" s="431" t="n">
        <v>121</v>
      </c>
      <c r="DK1034" s="688" t="n"/>
      <c r="DL1034" s="431" t="n"/>
      <c r="DM1034" s="429" t="n"/>
      <c r="DN1034" s="451" t="n"/>
      <c r="DO1034" s="451" t="n"/>
      <c r="DQ1034" s="429" t="n">
        <v>121</v>
      </c>
      <c r="DR1034" s="431" t="n">
        <v>121</v>
      </c>
      <c r="DS1034" s="688" t="n"/>
      <c r="DT1034" s="431" t="n"/>
      <c r="DU1034" s="451" t="n"/>
      <c r="DV1034" s="451" t="n"/>
      <c r="DW1034" s="451" t="n"/>
      <c r="DY1034" s="429" t="n">
        <v>121</v>
      </c>
      <c r="DZ1034" s="431" t="n">
        <v>121</v>
      </c>
      <c r="EA1034" s="688" t="n"/>
      <c r="EB1034" s="431" t="n"/>
      <c r="EC1034" s="451" t="n"/>
      <c r="ED1034" s="451" t="n"/>
      <c r="EE1034" s="451" t="n"/>
      <c r="EG1034" s="429" t="n">
        <v>121</v>
      </c>
      <c r="EH1034" s="431" t="n">
        <v>121</v>
      </c>
      <c r="EI1034" s="688" t="n"/>
      <c r="EJ1034" s="431" t="n"/>
      <c r="EK1034" s="451" t="n"/>
      <c r="EL1034" s="451" t="n"/>
      <c r="EM1034" s="451" t="n"/>
      <c r="EO1034" s="429" t="n">
        <v>121</v>
      </c>
      <c r="EP1034" s="431" t="n">
        <v>121</v>
      </c>
      <c r="EQ1034" s="688" t="n"/>
      <c r="ER1034" s="431" t="n"/>
      <c r="ES1034" s="451" t="n"/>
      <c r="ET1034" s="451" t="n"/>
      <c r="EU1034" s="451" t="n"/>
      <c r="EW1034" s="429" t="n">
        <v>121</v>
      </c>
      <c r="EX1034" s="431" t="n">
        <v>121</v>
      </c>
      <c r="EY1034" s="688" t="n"/>
      <c r="EZ1034" s="431" t="n"/>
      <c r="FA1034" s="451" t="n"/>
      <c r="FB1034" s="451" t="n"/>
      <c r="FC1034" s="451" t="n"/>
      <c r="FE1034" s="429" t="n">
        <v>121</v>
      </c>
      <c r="FF1034" s="431" t="n">
        <v>121</v>
      </c>
      <c r="FG1034" s="688" t="n"/>
      <c r="FH1034" s="431" t="n"/>
      <c r="FI1034" s="451" t="n"/>
      <c r="FJ1034" s="451" t="n"/>
      <c r="FK1034" s="451" t="n"/>
      <c r="FM1034" s="429" t="n">
        <v>121</v>
      </c>
      <c r="FN1034" s="431" t="n">
        <v>121</v>
      </c>
      <c r="FO1034" s="688" t="n"/>
      <c r="FP1034" s="431" t="n"/>
      <c r="FQ1034" s="451" t="n"/>
      <c r="FR1034" s="451">
        <f>'CIRCUIT SIM'!KY124</f>
        <v/>
      </c>
      <c r="FS1034" s="451" t="n"/>
      <c r="FU1034" s="429" t="n">
        <v>121</v>
      </c>
      <c r="FV1034" s="431" t="n">
        <v>121</v>
      </c>
      <c r="FW1034" s="688" t="n"/>
      <c r="FX1034" s="431" t="n"/>
      <c r="FY1034" s="451" t="n"/>
      <c r="FZ1034" s="562">
        <f>'CIRCUIT SIM'!JG124</f>
        <v/>
      </c>
      <c r="GA1034" s="451" t="n"/>
      <c r="GC1034" s="429" t="n">
        <v>121</v>
      </c>
      <c r="GD1034" s="431" t="n">
        <v>121</v>
      </c>
      <c r="GE1034" s="688" t="n"/>
      <c r="GF1034" s="431" t="n"/>
      <c r="GG1034" s="451" t="n"/>
      <c r="GH1034" s="451" t="n"/>
      <c r="GI1034" s="451" t="n"/>
      <c r="GK1034" s="429" t="n">
        <v>121</v>
      </c>
      <c r="GL1034" s="431" t="n">
        <v>121</v>
      </c>
      <c r="GM1034" s="688" t="n"/>
      <c r="GN1034" s="431" t="n"/>
      <c r="GO1034" s="451" t="n"/>
      <c r="GP1034" s="451" t="n"/>
      <c r="GQ1034" s="451" t="n"/>
      <c r="GS1034" s="429" t="n">
        <v>121</v>
      </c>
      <c r="GT1034" s="431" t="n">
        <v>121</v>
      </c>
      <c r="GU1034" s="688" t="n"/>
      <c r="GV1034" s="431" t="n"/>
      <c r="GW1034" s="451" t="n"/>
      <c r="GX1034" s="451" t="n"/>
      <c r="GY1034" s="451" t="n"/>
      <c r="HA1034" s="429" t="n">
        <v>121</v>
      </c>
      <c r="HB1034" s="431" t="n">
        <v>121</v>
      </c>
      <c r="HC1034" s="688" t="n"/>
      <c r="HD1034" s="431" t="n"/>
      <c r="HE1034" s="451" t="n"/>
      <c r="HF1034" s="451" t="n"/>
      <c r="HG1034" s="451" t="n"/>
    </row>
    <row r="1035">
      <c r="A1035" s="429" t="n">
        <v>122</v>
      </c>
      <c r="B1035" s="431" t="n">
        <v>122</v>
      </c>
      <c r="C1035" s="688" t="n"/>
      <c r="D1035" s="431" t="n"/>
      <c r="E1035" s="429" t="n"/>
      <c r="F1035" s="429" t="n"/>
      <c r="G1035" s="429" t="n"/>
      <c r="I1035" s="429" t="n">
        <v>122</v>
      </c>
      <c r="J1035" s="431" t="n">
        <v>122</v>
      </c>
      <c r="K1035" s="429" t="n"/>
      <c r="L1035" s="431" t="inlineStr">
        <is>
          <t>Boolean</t>
        </is>
      </c>
      <c r="M1035" s="451" t="n"/>
      <c r="N1035" s="422">
        <f>'CIRCUIT SIM'!Y125</f>
        <v/>
      </c>
      <c r="O1035" s="451" t="n"/>
      <c r="Q1035" s="429" t="n">
        <v>122</v>
      </c>
      <c r="R1035" s="431" t="n">
        <v>122</v>
      </c>
      <c r="S1035" s="429" t="n"/>
      <c r="T1035" s="431" t="inlineStr">
        <is>
          <t>Boolean</t>
        </is>
      </c>
      <c r="U1035" s="429" t="n"/>
      <c r="V1035" s="386">
        <f>'CIRCUIT SIM'!AO125</f>
        <v/>
      </c>
      <c r="W1035" s="451" t="n"/>
      <c r="Y1035" s="429" t="n">
        <v>122</v>
      </c>
      <c r="Z1035" s="431" t="n">
        <v>122</v>
      </c>
      <c r="AA1035" s="429" t="n"/>
      <c r="AB1035" s="431" t="n"/>
      <c r="AC1035" s="451" t="n"/>
      <c r="AD1035" s="451" t="n"/>
      <c r="AE1035" s="451" t="n"/>
      <c r="AG1035" s="429" t="n">
        <v>122</v>
      </c>
      <c r="AH1035" s="431" t="n">
        <v>122</v>
      </c>
      <c r="AI1035" s="429" t="n"/>
      <c r="AJ1035" s="431" t="n"/>
      <c r="AK1035" s="451" t="n"/>
      <c r="AL1035" s="451" t="n"/>
      <c r="AM1035" s="451" t="n"/>
      <c r="AO1035" s="429" t="n">
        <v>122</v>
      </c>
      <c r="AP1035" s="431" t="n">
        <v>122</v>
      </c>
      <c r="AQ1035" s="429" t="n"/>
      <c r="AR1035" s="431" t="n"/>
      <c r="AS1035" s="451" t="n"/>
      <c r="AT1035" s="451" t="n"/>
      <c r="AU1035" s="451" t="n"/>
      <c r="AW1035" s="429" t="n">
        <v>122</v>
      </c>
      <c r="AX1035" s="431" t="n">
        <v>122</v>
      </c>
      <c r="AY1035" s="429" t="n"/>
      <c r="AZ1035" s="431" t="n"/>
      <c r="BA1035" s="451" t="n"/>
      <c r="BB1035" s="451">
        <f>'CIRCUIT SIM'!CG125</f>
        <v/>
      </c>
      <c r="BC1035" s="451" t="n"/>
      <c r="BE1035" s="429" t="n">
        <v>122</v>
      </c>
      <c r="BF1035" s="431" t="n"/>
      <c r="BG1035" s="429" t="n"/>
      <c r="BH1035" s="431" t="n"/>
      <c r="BI1035" s="451" t="n"/>
      <c r="BJ1035" s="451" t="n"/>
      <c r="BK1035" s="451" t="n"/>
      <c r="BM1035" s="429" t="n">
        <v>122</v>
      </c>
      <c r="BN1035" s="431" t="n">
        <v>122</v>
      </c>
      <c r="BO1035" s="429" t="n"/>
      <c r="BP1035" s="431" t="n"/>
      <c r="BQ1035" s="451" t="n"/>
      <c r="BR1035" s="451" t="n"/>
      <c r="BS1035" s="451" t="n"/>
      <c r="BU1035" s="429" t="n">
        <v>122</v>
      </c>
      <c r="BV1035" s="431" t="n">
        <v>122</v>
      </c>
      <c r="BW1035" s="429" t="n"/>
      <c r="BX1035" s="431" t="n"/>
      <c r="BY1035" s="451" t="n"/>
      <c r="BZ1035" s="451">
        <f>'CIRCUIT SIM'!EI125</f>
        <v/>
      </c>
      <c r="CA1035" s="451" t="n"/>
      <c r="CC1035" s="429" t="n">
        <v>122</v>
      </c>
      <c r="CD1035" s="431" t="n">
        <v>122</v>
      </c>
      <c r="CE1035" s="688" t="n"/>
      <c r="CF1035" s="431" t="inlineStr">
        <is>
          <t>Boolean</t>
        </is>
      </c>
      <c r="CG1035" s="451" t="n"/>
      <c r="CH1035" s="562">
        <f>'CIRCUIT SIM'!LK125</f>
        <v/>
      </c>
      <c r="CI1035" s="451" t="n"/>
      <c r="CK1035" s="429" t="n">
        <v>122</v>
      </c>
      <c r="CL1035" s="431" t="n">
        <v>122</v>
      </c>
      <c r="CM1035" s="688" t="n"/>
      <c r="CN1035" s="431" t="n"/>
      <c r="CO1035" s="451" t="n"/>
      <c r="CP1035" s="451" t="n"/>
      <c r="CQ1035" s="451" t="n"/>
      <c r="CS1035" s="429" t="n">
        <v>122</v>
      </c>
      <c r="CT1035" s="431" t="n">
        <v>122</v>
      </c>
      <c r="CU1035" s="688" t="n"/>
      <c r="CV1035" s="431" t="inlineStr">
        <is>
          <t>Boolean</t>
        </is>
      </c>
      <c r="CW1035" s="451" t="n"/>
      <c r="CX1035" s="451">
        <f>'CIRCUIT SIM'!MQ125</f>
        <v/>
      </c>
      <c r="CY1035" s="451" t="n"/>
      <c r="DA1035" s="429" t="n">
        <v>122</v>
      </c>
      <c r="DB1035" s="431" t="n">
        <v>122</v>
      </c>
      <c r="DC1035" s="688" t="n"/>
      <c r="DD1035" s="431" t="n"/>
      <c r="DE1035" s="451" t="n"/>
      <c r="DF1035" s="451" t="n"/>
      <c r="DG1035" s="451" t="n"/>
      <c r="DI1035" s="429" t="n">
        <v>122</v>
      </c>
      <c r="DJ1035" s="431" t="n">
        <v>122</v>
      </c>
      <c r="DK1035" s="688" t="n"/>
      <c r="DL1035" s="431" t="n"/>
      <c r="DM1035" s="429" t="n"/>
      <c r="DN1035" s="451" t="n"/>
      <c r="DO1035" s="451" t="n"/>
      <c r="DQ1035" s="429" t="n">
        <v>122</v>
      </c>
      <c r="DR1035" s="431" t="n">
        <v>122</v>
      </c>
      <c r="DS1035" s="688" t="n"/>
      <c r="DT1035" s="431" t="n"/>
      <c r="DU1035" s="451" t="n"/>
      <c r="DV1035" s="451" t="n"/>
      <c r="DW1035" s="451" t="n"/>
      <c r="DY1035" s="429" t="n">
        <v>122</v>
      </c>
      <c r="DZ1035" s="431" t="n">
        <v>122</v>
      </c>
      <c r="EA1035" s="688" t="n"/>
      <c r="EB1035" s="431" t="n"/>
      <c r="EC1035" s="451" t="n"/>
      <c r="ED1035" s="451" t="n"/>
      <c r="EE1035" s="451" t="n"/>
      <c r="EG1035" s="429" t="n">
        <v>122</v>
      </c>
      <c r="EH1035" s="431" t="n">
        <v>122</v>
      </c>
      <c r="EI1035" s="688" t="n"/>
      <c r="EJ1035" s="431" t="n"/>
      <c r="EK1035" s="451" t="n"/>
      <c r="EL1035" s="451" t="n"/>
      <c r="EM1035" s="451" t="n"/>
      <c r="EO1035" s="429" t="n">
        <v>122</v>
      </c>
      <c r="EP1035" s="431" t="n">
        <v>122</v>
      </c>
      <c r="EQ1035" s="688" t="n"/>
      <c r="ER1035" s="431" t="n"/>
      <c r="ES1035" s="451" t="n"/>
      <c r="ET1035" s="451" t="n"/>
      <c r="EU1035" s="451" t="n"/>
      <c r="EW1035" s="429" t="n">
        <v>122</v>
      </c>
      <c r="EX1035" s="431" t="n">
        <v>122</v>
      </c>
      <c r="EY1035" s="688" t="n"/>
      <c r="EZ1035" s="431" t="n"/>
      <c r="FA1035" s="451" t="n"/>
      <c r="FB1035" s="451" t="n"/>
      <c r="FC1035" s="451" t="n"/>
      <c r="FE1035" s="429" t="n">
        <v>122</v>
      </c>
      <c r="FF1035" s="431" t="n">
        <v>122</v>
      </c>
      <c r="FG1035" s="688" t="n"/>
      <c r="FH1035" s="431" t="n"/>
      <c r="FI1035" s="451" t="n"/>
      <c r="FJ1035" s="451" t="n"/>
      <c r="FK1035" s="451" t="n"/>
      <c r="FM1035" s="429" t="n">
        <v>122</v>
      </c>
      <c r="FN1035" s="431" t="n">
        <v>122</v>
      </c>
      <c r="FO1035" s="688" t="n"/>
      <c r="FP1035" s="431" t="n"/>
      <c r="FQ1035" s="451" t="n"/>
      <c r="FR1035" s="451">
        <f>'CIRCUIT SIM'!KY125</f>
        <v/>
      </c>
      <c r="FS1035" s="451" t="n"/>
      <c r="FU1035" s="429" t="n">
        <v>122</v>
      </c>
      <c r="FV1035" s="431" t="n">
        <v>122</v>
      </c>
      <c r="FW1035" s="688" t="n"/>
      <c r="FX1035" s="431" t="n"/>
      <c r="FY1035" s="451" t="n"/>
      <c r="FZ1035" s="562">
        <f>'CIRCUIT SIM'!JG125</f>
        <v/>
      </c>
      <c r="GA1035" s="451" t="n"/>
      <c r="GC1035" s="429" t="n">
        <v>122</v>
      </c>
      <c r="GD1035" s="431" t="n">
        <v>122</v>
      </c>
      <c r="GE1035" s="688" t="n"/>
      <c r="GF1035" s="431" t="n"/>
      <c r="GG1035" s="451" t="n"/>
      <c r="GH1035" s="451" t="n"/>
      <c r="GI1035" s="451" t="n"/>
      <c r="GK1035" s="429" t="n">
        <v>122</v>
      </c>
      <c r="GL1035" s="431" t="n">
        <v>122</v>
      </c>
      <c r="GM1035" s="688" t="n"/>
      <c r="GN1035" s="431" t="n"/>
      <c r="GO1035" s="451" t="n"/>
      <c r="GP1035" s="451" t="n"/>
      <c r="GQ1035" s="451" t="n"/>
      <c r="GS1035" s="429" t="n">
        <v>122</v>
      </c>
      <c r="GT1035" s="431" t="n">
        <v>122</v>
      </c>
      <c r="GU1035" s="688" t="n"/>
      <c r="GV1035" s="431" t="n"/>
      <c r="GW1035" s="451" t="n"/>
      <c r="GX1035" s="451" t="n"/>
      <c r="GY1035" s="451" t="n"/>
      <c r="HA1035" s="429" t="n">
        <v>122</v>
      </c>
      <c r="HB1035" s="431" t="n">
        <v>122</v>
      </c>
      <c r="HC1035" s="688" t="n"/>
      <c r="HD1035" s="431" t="n"/>
      <c r="HE1035" s="451" t="n"/>
      <c r="HF1035" s="451" t="n"/>
      <c r="HG1035" s="451" t="n"/>
    </row>
    <row r="1036">
      <c r="A1036" s="429" t="n">
        <v>123</v>
      </c>
      <c r="B1036" s="431" t="n">
        <v>123</v>
      </c>
      <c r="C1036" s="688" t="n"/>
      <c r="D1036" s="431" t="n"/>
      <c r="E1036" s="429" t="n"/>
      <c r="F1036" s="429" t="n"/>
      <c r="G1036" s="429" t="n"/>
      <c r="I1036" s="429" t="n">
        <v>123</v>
      </c>
      <c r="J1036" s="431" t="n">
        <v>123</v>
      </c>
      <c r="K1036" s="429" t="n"/>
      <c r="L1036" s="431" t="inlineStr">
        <is>
          <t>Boolean</t>
        </is>
      </c>
      <c r="M1036" s="451" t="n"/>
      <c r="N1036" s="422">
        <f>'CIRCUIT SIM'!Y126</f>
        <v/>
      </c>
      <c r="O1036" s="451" t="n"/>
      <c r="Q1036" s="429" t="n">
        <v>123</v>
      </c>
      <c r="R1036" s="431" t="n">
        <v>123</v>
      </c>
      <c r="S1036" s="429" t="n"/>
      <c r="T1036" s="431" t="inlineStr">
        <is>
          <t>Boolean</t>
        </is>
      </c>
      <c r="U1036" s="429" t="n"/>
      <c r="V1036" s="386">
        <f>'CIRCUIT SIM'!AO126</f>
        <v/>
      </c>
      <c r="W1036" s="451" t="n"/>
      <c r="Y1036" s="429" t="n">
        <v>123</v>
      </c>
      <c r="Z1036" s="431" t="n">
        <v>123</v>
      </c>
      <c r="AA1036" s="429" t="n"/>
      <c r="AB1036" s="431" t="n"/>
      <c r="AC1036" s="451" t="n"/>
      <c r="AD1036" s="451" t="n"/>
      <c r="AE1036" s="451" t="n"/>
      <c r="AG1036" s="429" t="n">
        <v>123</v>
      </c>
      <c r="AH1036" s="431" t="n">
        <v>123</v>
      </c>
      <c r="AI1036" s="429" t="n"/>
      <c r="AJ1036" s="431" t="n"/>
      <c r="AK1036" s="451" t="n"/>
      <c r="AL1036" s="451" t="n"/>
      <c r="AM1036" s="451" t="n"/>
      <c r="AO1036" s="429" t="n">
        <v>123</v>
      </c>
      <c r="AP1036" s="431" t="n">
        <v>123</v>
      </c>
      <c r="AQ1036" s="429" t="n"/>
      <c r="AR1036" s="431" t="n"/>
      <c r="AS1036" s="451" t="n"/>
      <c r="AT1036" s="451" t="n"/>
      <c r="AU1036" s="451" t="n"/>
      <c r="AW1036" s="429" t="n">
        <v>123</v>
      </c>
      <c r="AX1036" s="431" t="n">
        <v>123</v>
      </c>
      <c r="AY1036" s="429" t="n"/>
      <c r="AZ1036" s="431" t="n"/>
      <c r="BA1036" s="451" t="n"/>
      <c r="BB1036" s="451">
        <f>'CIRCUIT SIM'!CG126</f>
        <v/>
      </c>
      <c r="BC1036" s="451" t="n"/>
      <c r="BE1036" s="429" t="n">
        <v>123</v>
      </c>
      <c r="BF1036" s="431" t="n"/>
      <c r="BG1036" s="429" t="n"/>
      <c r="BH1036" s="431" t="n"/>
      <c r="BI1036" s="451" t="n"/>
      <c r="BJ1036" s="451" t="n"/>
      <c r="BK1036" s="451" t="n"/>
      <c r="BM1036" s="429" t="n">
        <v>123</v>
      </c>
      <c r="BN1036" s="431" t="n">
        <v>123</v>
      </c>
      <c r="BO1036" s="429" t="n"/>
      <c r="BP1036" s="431" t="n"/>
      <c r="BQ1036" s="451" t="n"/>
      <c r="BR1036" s="451" t="n"/>
      <c r="BS1036" s="451" t="n"/>
      <c r="BU1036" s="429" t="n">
        <v>123</v>
      </c>
      <c r="BV1036" s="431" t="n">
        <v>123</v>
      </c>
      <c r="BW1036" s="429" t="n"/>
      <c r="BX1036" s="431" t="n"/>
      <c r="BY1036" s="451" t="n"/>
      <c r="BZ1036" s="451">
        <f>'CIRCUIT SIM'!EI126</f>
        <v/>
      </c>
      <c r="CA1036" s="451" t="n"/>
      <c r="CC1036" s="429" t="n">
        <v>123</v>
      </c>
      <c r="CD1036" s="431" t="n">
        <v>123</v>
      </c>
      <c r="CE1036" s="688" t="n"/>
      <c r="CF1036" s="431" t="inlineStr">
        <is>
          <t>Boolean</t>
        </is>
      </c>
      <c r="CG1036" s="451" t="n"/>
      <c r="CH1036" s="562">
        <f>'CIRCUIT SIM'!LK126</f>
        <v/>
      </c>
      <c r="CI1036" s="451" t="n"/>
      <c r="CK1036" s="429" t="n">
        <v>123</v>
      </c>
      <c r="CL1036" s="431" t="n">
        <v>123</v>
      </c>
      <c r="CM1036" s="688" t="n"/>
      <c r="CN1036" s="431" t="n"/>
      <c r="CO1036" s="451" t="n"/>
      <c r="CP1036" s="451" t="n"/>
      <c r="CQ1036" s="451" t="n"/>
      <c r="CS1036" s="429" t="n">
        <v>123</v>
      </c>
      <c r="CT1036" s="431" t="n">
        <v>123</v>
      </c>
      <c r="CU1036" s="688" t="n"/>
      <c r="CV1036" s="431" t="inlineStr">
        <is>
          <t>Boolean</t>
        </is>
      </c>
      <c r="CW1036" s="451" t="n"/>
      <c r="CX1036" s="451">
        <f>'CIRCUIT SIM'!MQ126</f>
        <v/>
      </c>
      <c r="CY1036" s="451" t="n"/>
      <c r="DA1036" s="429" t="n">
        <v>123</v>
      </c>
      <c r="DB1036" s="431" t="n">
        <v>123</v>
      </c>
      <c r="DC1036" s="688" t="n"/>
      <c r="DD1036" s="431" t="n"/>
      <c r="DE1036" s="451" t="n"/>
      <c r="DF1036" s="451" t="n"/>
      <c r="DG1036" s="451" t="n"/>
      <c r="DI1036" s="429" t="n">
        <v>123</v>
      </c>
      <c r="DJ1036" s="431" t="n">
        <v>123</v>
      </c>
      <c r="DK1036" s="688" t="n"/>
      <c r="DL1036" s="431" t="n"/>
      <c r="DM1036" s="429" t="n"/>
      <c r="DN1036" s="451" t="n"/>
      <c r="DO1036" s="451" t="n"/>
      <c r="DQ1036" s="429" t="n">
        <v>123</v>
      </c>
      <c r="DR1036" s="431" t="n">
        <v>123</v>
      </c>
      <c r="DS1036" s="688" t="n"/>
      <c r="DT1036" s="431" t="n"/>
      <c r="DU1036" s="451" t="n"/>
      <c r="DV1036" s="451" t="n"/>
      <c r="DW1036" s="451" t="n"/>
      <c r="DY1036" s="429" t="n">
        <v>123</v>
      </c>
      <c r="DZ1036" s="431" t="n">
        <v>123</v>
      </c>
      <c r="EA1036" s="688" t="n"/>
      <c r="EB1036" s="431" t="n"/>
      <c r="EC1036" s="451" t="n"/>
      <c r="ED1036" s="451" t="n"/>
      <c r="EE1036" s="451" t="n"/>
      <c r="EG1036" s="429" t="n">
        <v>123</v>
      </c>
      <c r="EH1036" s="431" t="n">
        <v>123</v>
      </c>
      <c r="EI1036" s="688" t="n"/>
      <c r="EJ1036" s="431" t="n"/>
      <c r="EK1036" s="451" t="n"/>
      <c r="EL1036" s="451" t="n"/>
      <c r="EM1036" s="451" t="n"/>
      <c r="EO1036" s="429" t="n">
        <v>123</v>
      </c>
      <c r="EP1036" s="431" t="n">
        <v>123</v>
      </c>
      <c r="EQ1036" s="688" t="n"/>
      <c r="ER1036" s="431" t="n"/>
      <c r="ES1036" s="451" t="n"/>
      <c r="ET1036" s="451" t="n"/>
      <c r="EU1036" s="451" t="n"/>
      <c r="EW1036" s="429" t="n">
        <v>123</v>
      </c>
      <c r="EX1036" s="431" t="n">
        <v>123</v>
      </c>
      <c r="EY1036" s="688" t="n"/>
      <c r="EZ1036" s="431" t="n"/>
      <c r="FA1036" s="451" t="n"/>
      <c r="FB1036" s="451" t="n"/>
      <c r="FC1036" s="451" t="n"/>
      <c r="FE1036" s="429" t="n">
        <v>123</v>
      </c>
      <c r="FF1036" s="431" t="n">
        <v>123</v>
      </c>
      <c r="FG1036" s="688" t="n"/>
      <c r="FH1036" s="431" t="n"/>
      <c r="FI1036" s="451" t="n"/>
      <c r="FJ1036" s="451" t="n"/>
      <c r="FK1036" s="451" t="n"/>
      <c r="FM1036" s="429" t="n">
        <v>123</v>
      </c>
      <c r="FN1036" s="431" t="n">
        <v>123</v>
      </c>
      <c r="FO1036" s="688" t="n"/>
      <c r="FP1036" s="431" t="n"/>
      <c r="FQ1036" s="451" t="n"/>
      <c r="FR1036" s="451">
        <f>'CIRCUIT SIM'!KY126</f>
        <v/>
      </c>
      <c r="FS1036" s="451" t="n"/>
      <c r="FU1036" s="429" t="n">
        <v>123</v>
      </c>
      <c r="FV1036" s="431" t="n">
        <v>123</v>
      </c>
      <c r="FW1036" s="688" t="n"/>
      <c r="FX1036" s="431" t="n"/>
      <c r="FY1036" s="451" t="n"/>
      <c r="FZ1036" s="562">
        <f>'CIRCUIT SIM'!JG126</f>
        <v/>
      </c>
      <c r="GA1036" s="451" t="n"/>
      <c r="GC1036" s="429" t="n">
        <v>123</v>
      </c>
      <c r="GD1036" s="431" t="n">
        <v>123</v>
      </c>
      <c r="GE1036" s="688" t="n"/>
      <c r="GF1036" s="431" t="n"/>
      <c r="GG1036" s="451" t="n"/>
      <c r="GH1036" s="451" t="n"/>
      <c r="GI1036" s="451" t="n"/>
      <c r="GK1036" s="429" t="n">
        <v>123</v>
      </c>
      <c r="GL1036" s="431" t="n">
        <v>123</v>
      </c>
      <c r="GM1036" s="688" t="n"/>
      <c r="GN1036" s="431" t="n"/>
      <c r="GO1036" s="451" t="n"/>
      <c r="GP1036" s="451" t="n"/>
      <c r="GQ1036" s="451" t="n"/>
      <c r="GS1036" s="429" t="n">
        <v>123</v>
      </c>
      <c r="GT1036" s="431" t="n">
        <v>123</v>
      </c>
      <c r="GU1036" s="688" t="n"/>
      <c r="GV1036" s="431" t="n"/>
      <c r="GW1036" s="451" t="n"/>
      <c r="GX1036" s="451" t="n"/>
      <c r="GY1036" s="451" t="n"/>
      <c r="HA1036" s="429" t="n">
        <v>123</v>
      </c>
      <c r="HB1036" s="431" t="n">
        <v>123</v>
      </c>
      <c r="HC1036" s="688" t="n"/>
      <c r="HD1036" s="431" t="n"/>
      <c r="HE1036" s="451" t="n"/>
      <c r="HF1036" s="451" t="n"/>
      <c r="HG1036" s="451" t="n"/>
    </row>
    <row r="1037">
      <c r="A1037" s="429" t="n">
        <v>124</v>
      </c>
      <c r="B1037" s="431" t="n">
        <v>124</v>
      </c>
      <c r="C1037" s="688" t="n"/>
      <c r="D1037" s="431" t="n"/>
      <c r="E1037" s="429" t="n"/>
      <c r="F1037" s="429" t="n"/>
      <c r="G1037" s="429" t="n"/>
      <c r="I1037" s="429" t="n">
        <v>124</v>
      </c>
      <c r="J1037" s="431" t="n">
        <v>124</v>
      </c>
      <c r="K1037" s="429" t="n"/>
      <c r="L1037" s="431" t="inlineStr">
        <is>
          <t>Boolean</t>
        </is>
      </c>
      <c r="M1037" s="451" t="n"/>
      <c r="N1037" s="422">
        <f>'CIRCUIT SIM'!Y127</f>
        <v/>
      </c>
      <c r="O1037" s="451" t="n"/>
      <c r="Q1037" s="429" t="n">
        <v>124</v>
      </c>
      <c r="R1037" s="431" t="n">
        <v>124</v>
      </c>
      <c r="S1037" s="429" t="n"/>
      <c r="T1037" s="431" t="inlineStr">
        <is>
          <t>Boolean</t>
        </is>
      </c>
      <c r="U1037" s="429" t="n"/>
      <c r="V1037" s="386">
        <f>'CIRCUIT SIM'!AO127</f>
        <v/>
      </c>
      <c r="W1037" s="451" t="n"/>
      <c r="Y1037" s="429" t="n">
        <v>124</v>
      </c>
      <c r="Z1037" s="431" t="n">
        <v>124</v>
      </c>
      <c r="AA1037" s="429" t="n"/>
      <c r="AB1037" s="431" t="n"/>
      <c r="AC1037" s="451" t="n"/>
      <c r="AD1037" s="451" t="n"/>
      <c r="AE1037" s="451" t="n"/>
      <c r="AG1037" s="429" t="n">
        <v>124</v>
      </c>
      <c r="AH1037" s="431" t="n">
        <v>124</v>
      </c>
      <c r="AI1037" s="429" t="n"/>
      <c r="AJ1037" s="431" t="n"/>
      <c r="AK1037" s="451" t="n"/>
      <c r="AL1037" s="451" t="n"/>
      <c r="AM1037" s="451" t="n"/>
      <c r="AO1037" s="429" t="n">
        <v>124</v>
      </c>
      <c r="AP1037" s="431" t="n">
        <v>124</v>
      </c>
      <c r="AQ1037" s="429" t="n"/>
      <c r="AR1037" s="431" t="n"/>
      <c r="AS1037" s="451" t="n"/>
      <c r="AT1037" s="451" t="n"/>
      <c r="AU1037" s="451" t="n"/>
      <c r="AW1037" s="429" t="n">
        <v>124</v>
      </c>
      <c r="AX1037" s="431" t="n">
        <v>124</v>
      </c>
      <c r="AY1037" s="429" t="n"/>
      <c r="AZ1037" s="431" t="n"/>
      <c r="BA1037" s="451" t="n"/>
      <c r="BB1037" s="451">
        <f>'CIRCUIT SIM'!CG127</f>
        <v/>
      </c>
      <c r="BC1037" s="451" t="n"/>
      <c r="BE1037" s="429" t="n">
        <v>124</v>
      </c>
      <c r="BF1037" s="431" t="n"/>
      <c r="BG1037" s="429" t="n"/>
      <c r="BH1037" s="431" t="n"/>
      <c r="BI1037" s="451" t="n"/>
      <c r="BJ1037" s="451" t="n"/>
      <c r="BK1037" s="451" t="n"/>
      <c r="BM1037" s="429" t="n">
        <v>124</v>
      </c>
      <c r="BN1037" s="431" t="n">
        <v>124</v>
      </c>
      <c r="BO1037" s="429" t="n"/>
      <c r="BP1037" s="431" t="n"/>
      <c r="BQ1037" s="451" t="n"/>
      <c r="BR1037" s="451" t="n"/>
      <c r="BS1037" s="451" t="n"/>
      <c r="BU1037" s="429" t="n">
        <v>124</v>
      </c>
      <c r="BV1037" s="431" t="n">
        <v>124</v>
      </c>
      <c r="BW1037" s="429" t="n"/>
      <c r="BX1037" s="431" t="n"/>
      <c r="BY1037" s="451" t="n"/>
      <c r="BZ1037" s="451">
        <f>'CIRCUIT SIM'!EI127</f>
        <v/>
      </c>
      <c r="CA1037" s="451" t="n"/>
      <c r="CC1037" s="429" t="n">
        <v>124</v>
      </c>
      <c r="CD1037" s="431" t="n">
        <v>124</v>
      </c>
      <c r="CE1037" s="688" t="n"/>
      <c r="CF1037" s="431" t="inlineStr">
        <is>
          <t>Boolean</t>
        </is>
      </c>
      <c r="CG1037" s="451" t="n"/>
      <c r="CH1037" s="562">
        <f>'CIRCUIT SIM'!LK127</f>
        <v/>
      </c>
      <c r="CI1037" s="451" t="n"/>
      <c r="CK1037" s="429" t="n">
        <v>124</v>
      </c>
      <c r="CL1037" s="431" t="n">
        <v>124</v>
      </c>
      <c r="CM1037" s="688" t="n"/>
      <c r="CN1037" s="431" t="n"/>
      <c r="CO1037" s="451" t="n"/>
      <c r="CP1037" s="451" t="n"/>
      <c r="CQ1037" s="451" t="n"/>
      <c r="CS1037" s="429" t="n">
        <v>124</v>
      </c>
      <c r="CT1037" s="431" t="n">
        <v>124</v>
      </c>
      <c r="CU1037" s="688" t="n"/>
      <c r="CV1037" s="431" t="inlineStr">
        <is>
          <t>Boolean</t>
        </is>
      </c>
      <c r="CW1037" s="451" t="n"/>
      <c r="CX1037" s="451">
        <f>'CIRCUIT SIM'!MQ127</f>
        <v/>
      </c>
      <c r="CY1037" s="451" t="n"/>
      <c r="DA1037" s="429" t="n">
        <v>124</v>
      </c>
      <c r="DB1037" s="431" t="n">
        <v>124</v>
      </c>
      <c r="DC1037" s="688" t="n"/>
      <c r="DD1037" s="431" t="n"/>
      <c r="DE1037" s="451" t="n"/>
      <c r="DF1037" s="451" t="n"/>
      <c r="DG1037" s="451" t="n"/>
      <c r="DI1037" s="429" t="n">
        <v>124</v>
      </c>
      <c r="DJ1037" s="431" t="n">
        <v>124</v>
      </c>
      <c r="DK1037" s="688" t="n"/>
      <c r="DL1037" s="431" t="n"/>
      <c r="DM1037" s="429" t="n"/>
      <c r="DN1037" s="451" t="n"/>
      <c r="DO1037" s="451" t="n"/>
      <c r="DQ1037" s="429" t="n">
        <v>124</v>
      </c>
      <c r="DR1037" s="431" t="n">
        <v>124</v>
      </c>
      <c r="DS1037" s="688" t="n"/>
      <c r="DT1037" s="431" t="n"/>
      <c r="DU1037" s="451" t="n"/>
      <c r="DV1037" s="451" t="n"/>
      <c r="DW1037" s="451" t="n"/>
      <c r="DY1037" s="429" t="n">
        <v>124</v>
      </c>
      <c r="DZ1037" s="431" t="n">
        <v>124</v>
      </c>
      <c r="EA1037" s="688" t="n"/>
      <c r="EB1037" s="431" t="n"/>
      <c r="EC1037" s="451" t="n"/>
      <c r="ED1037" s="451" t="n"/>
      <c r="EE1037" s="451" t="n"/>
      <c r="EG1037" s="429" t="n">
        <v>124</v>
      </c>
      <c r="EH1037" s="431" t="n">
        <v>124</v>
      </c>
      <c r="EI1037" s="688" t="n"/>
      <c r="EJ1037" s="431" t="n"/>
      <c r="EK1037" s="451" t="n"/>
      <c r="EL1037" s="451" t="n"/>
      <c r="EM1037" s="451" t="n"/>
      <c r="EO1037" s="429" t="n">
        <v>124</v>
      </c>
      <c r="EP1037" s="431" t="n">
        <v>124</v>
      </c>
      <c r="EQ1037" s="688" t="n"/>
      <c r="ER1037" s="431" t="n"/>
      <c r="ES1037" s="451" t="n"/>
      <c r="ET1037" s="451" t="n"/>
      <c r="EU1037" s="451" t="n"/>
      <c r="EW1037" s="429" t="n">
        <v>124</v>
      </c>
      <c r="EX1037" s="431" t="n">
        <v>124</v>
      </c>
      <c r="EY1037" s="688" t="n"/>
      <c r="EZ1037" s="431" t="n"/>
      <c r="FA1037" s="451" t="n"/>
      <c r="FB1037" s="451" t="n"/>
      <c r="FC1037" s="451" t="n"/>
      <c r="FE1037" s="429" t="n">
        <v>124</v>
      </c>
      <c r="FF1037" s="431" t="n">
        <v>124</v>
      </c>
      <c r="FG1037" s="688" t="n"/>
      <c r="FH1037" s="431" t="n"/>
      <c r="FI1037" s="451" t="n"/>
      <c r="FJ1037" s="451" t="n"/>
      <c r="FK1037" s="451" t="n"/>
      <c r="FM1037" s="429" t="n">
        <v>124</v>
      </c>
      <c r="FN1037" s="431" t="n">
        <v>124</v>
      </c>
      <c r="FO1037" s="688" t="n"/>
      <c r="FP1037" s="431" t="n"/>
      <c r="FQ1037" s="451" t="n"/>
      <c r="FR1037" s="451">
        <f>'CIRCUIT SIM'!KY127</f>
        <v/>
      </c>
      <c r="FS1037" s="451" t="n"/>
      <c r="FU1037" s="429" t="n">
        <v>124</v>
      </c>
      <c r="FV1037" s="431" t="n">
        <v>124</v>
      </c>
      <c r="FW1037" s="688" t="n"/>
      <c r="FX1037" s="431" t="n"/>
      <c r="FY1037" s="451" t="n"/>
      <c r="FZ1037" s="562">
        <f>'CIRCUIT SIM'!JG127</f>
        <v/>
      </c>
      <c r="GA1037" s="451" t="n"/>
      <c r="GC1037" s="429" t="n">
        <v>124</v>
      </c>
      <c r="GD1037" s="431" t="n">
        <v>124</v>
      </c>
      <c r="GE1037" s="688" t="n"/>
      <c r="GF1037" s="431" t="n"/>
      <c r="GG1037" s="451" t="n"/>
      <c r="GH1037" s="451" t="n"/>
      <c r="GI1037" s="451" t="n"/>
      <c r="GK1037" s="429" t="n">
        <v>124</v>
      </c>
      <c r="GL1037" s="431" t="n">
        <v>124</v>
      </c>
      <c r="GM1037" s="688" t="n"/>
      <c r="GN1037" s="431" t="n"/>
      <c r="GO1037" s="451" t="n"/>
      <c r="GP1037" s="451" t="n"/>
      <c r="GQ1037" s="451" t="n"/>
      <c r="GS1037" s="429" t="n">
        <v>124</v>
      </c>
      <c r="GT1037" s="431" t="n">
        <v>124</v>
      </c>
      <c r="GU1037" s="688" t="n"/>
      <c r="GV1037" s="431" t="n"/>
      <c r="GW1037" s="451" t="n"/>
      <c r="GX1037" s="451" t="n"/>
      <c r="GY1037" s="451" t="n"/>
      <c r="HA1037" s="429" t="n">
        <v>124</v>
      </c>
      <c r="HB1037" s="431" t="n">
        <v>124</v>
      </c>
      <c r="HC1037" s="688" t="n"/>
      <c r="HD1037" s="431" t="n"/>
      <c r="HE1037" s="451" t="n"/>
      <c r="HF1037" s="451" t="n"/>
      <c r="HG1037" s="451" t="n"/>
    </row>
    <row r="1038">
      <c r="A1038" s="429" t="n">
        <v>125</v>
      </c>
      <c r="B1038" s="431" t="n">
        <v>125</v>
      </c>
      <c r="C1038" s="688" t="n"/>
      <c r="D1038" s="431" t="n"/>
      <c r="E1038" s="429" t="n"/>
      <c r="F1038" s="429" t="n"/>
      <c r="G1038" s="429" t="n"/>
      <c r="I1038" s="429" t="n">
        <v>125</v>
      </c>
      <c r="J1038" s="431" t="n">
        <v>125</v>
      </c>
      <c r="K1038" s="429" t="n"/>
      <c r="L1038" s="431" t="inlineStr">
        <is>
          <t>Boolean</t>
        </is>
      </c>
      <c r="M1038" s="451" t="n"/>
      <c r="N1038" s="422">
        <f>'CIRCUIT SIM'!Y128</f>
        <v/>
      </c>
      <c r="O1038" s="451" t="n"/>
      <c r="Q1038" s="429" t="n">
        <v>125</v>
      </c>
      <c r="R1038" s="431" t="n">
        <v>125</v>
      </c>
      <c r="S1038" s="429" t="n"/>
      <c r="T1038" s="431" t="inlineStr">
        <is>
          <t>Boolean</t>
        </is>
      </c>
      <c r="U1038" s="429" t="n"/>
      <c r="V1038" s="386">
        <f>'CIRCUIT SIM'!AO128</f>
        <v/>
      </c>
      <c r="W1038" s="451" t="n"/>
      <c r="Y1038" s="429" t="n">
        <v>125</v>
      </c>
      <c r="Z1038" s="431" t="n">
        <v>125</v>
      </c>
      <c r="AA1038" s="429" t="n"/>
      <c r="AB1038" s="431" t="n"/>
      <c r="AC1038" s="451" t="n"/>
      <c r="AD1038" s="451" t="n"/>
      <c r="AE1038" s="451" t="n"/>
      <c r="AG1038" s="429" t="n">
        <v>125</v>
      </c>
      <c r="AH1038" s="431" t="n">
        <v>125</v>
      </c>
      <c r="AI1038" s="429" t="n"/>
      <c r="AJ1038" s="431" t="n"/>
      <c r="AK1038" s="451" t="n"/>
      <c r="AL1038" s="451" t="n"/>
      <c r="AM1038" s="451" t="n"/>
      <c r="AO1038" s="429" t="n">
        <v>125</v>
      </c>
      <c r="AP1038" s="431" t="n">
        <v>125</v>
      </c>
      <c r="AQ1038" s="429" t="n"/>
      <c r="AR1038" s="431" t="n"/>
      <c r="AS1038" s="451" t="n"/>
      <c r="AT1038" s="451" t="n"/>
      <c r="AU1038" s="451" t="n"/>
      <c r="AW1038" s="429" t="n">
        <v>125</v>
      </c>
      <c r="AX1038" s="431" t="n">
        <v>125</v>
      </c>
      <c r="AY1038" s="429" t="n"/>
      <c r="AZ1038" s="431" t="n"/>
      <c r="BA1038" s="451" t="n"/>
      <c r="BB1038" s="451">
        <f>'CIRCUIT SIM'!CG128</f>
        <v/>
      </c>
      <c r="BC1038" s="451" t="n"/>
      <c r="BE1038" s="429" t="n">
        <v>125</v>
      </c>
      <c r="BF1038" s="431" t="n"/>
      <c r="BG1038" s="429" t="n"/>
      <c r="BH1038" s="431" t="n"/>
      <c r="BI1038" s="451" t="n"/>
      <c r="BJ1038" s="451" t="n"/>
      <c r="BK1038" s="451" t="n"/>
      <c r="BM1038" s="429" t="n">
        <v>125</v>
      </c>
      <c r="BN1038" s="431" t="n">
        <v>125</v>
      </c>
      <c r="BO1038" s="429" t="n"/>
      <c r="BP1038" s="431" t="n"/>
      <c r="BQ1038" s="451" t="n"/>
      <c r="BR1038" s="451" t="n"/>
      <c r="BS1038" s="451" t="n"/>
      <c r="BU1038" s="429" t="n">
        <v>125</v>
      </c>
      <c r="BV1038" s="431" t="n">
        <v>125</v>
      </c>
      <c r="BW1038" s="429" t="n"/>
      <c r="BX1038" s="431" t="n"/>
      <c r="BY1038" s="451" t="n"/>
      <c r="BZ1038" s="451">
        <f>'CIRCUIT SIM'!EI128</f>
        <v/>
      </c>
      <c r="CA1038" s="451" t="n"/>
      <c r="CC1038" s="429" t="n">
        <v>125</v>
      </c>
      <c r="CD1038" s="431" t="n">
        <v>125</v>
      </c>
      <c r="CE1038" s="688" t="n"/>
      <c r="CF1038" s="431" t="inlineStr">
        <is>
          <t>Boolean</t>
        </is>
      </c>
      <c r="CG1038" s="451" t="n"/>
      <c r="CH1038" s="562">
        <f>'CIRCUIT SIM'!LK128</f>
        <v/>
      </c>
      <c r="CI1038" s="451" t="n"/>
      <c r="CK1038" s="429" t="n">
        <v>125</v>
      </c>
      <c r="CL1038" s="431" t="n">
        <v>125</v>
      </c>
      <c r="CM1038" s="688" t="n"/>
      <c r="CN1038" s="431" t="n"/>
      <c r="CO1038" s="451" t="n"/>
      <c r="CP1038" s="451" t="n"/>
      <c r="CQ1038" s="451" t="n"/>
      <c r="CS1038" s="429" t="n">
        <v>125</v>
      </c>
      <c r="CT1038" s="431" t="n">
        <v>125</v>
      </c>
      <c r="CU1038" s="688" t="n"/>
      <c r="CV1038" s="431" t="inlineStr">
        <is>
          <t>Boolean</t>
        </is>
      </c>
      <c r="CW1038" s="451" t="n"/>
      <c r="CX1038" s="451">
        <f>'CIRCUIT SIM'!MQ128</f>
        <v/>
      </c>
      <c r="CY1038" s="451" t="n"/>
      <c r="DA1038" s="429" t="n">
        <v>125</v>
      </c>
      <c r="DB1038" s="431" t="n">
        <v>125</v>
      </c>
      <c r="DC1038" s="688" t="n"/>
      <c r="DD1038" s="431" t="n"/>
      <c r="DE1038" s="451" t="n"/>
      <c r="DF1038" s="451" t="n"/>
      <c r="DG1038" s="451" t="n"/>
      <c r="DI1038" s="429" t="n">
        <v>125</v>
      </c>
      <c r="DJ1038" s="431" t="n">
        <v>125</v>
      </c>
      <c r="DK1038" s="688" t="n"/>
      <c r="DL1038" s="431" t="n"/>
      <c r="DM1038" s="429" t="n"/>
      <c r="DN1038" s="451" t="n"/>
      <c r="DO1038" s="451" t="n"/>
      <c r="DQ1038" s="429" t="n">
        <v>125</v>
      </c>
      <c r="DR1038" s="431" t="n">
        <v>125</v>
      </c>
      <c r="DS1038" s="688" t="n"/>
      <c r="DT1038" s="431" t="n"/>
      <c r="DU1038" s="451" t="n"/>
      <c r="DV1038" s="451" t="n"/>
      <c r="DW1038" s="451" t="n"/>
      <c r="DY1038" s="429" t="n">
        <v>125</v>
      </c>
      <c r="DZ1038" s="431" t="n">
        <v>125</v>
      </c>
      <c r="EA1038" s="688" t="n"/>
      <c r="EB1038" s="431" t="n"/>
      <c r="EC1038" s="451" t="n"/>
      <c r="ED1038" s="451" t="n"/>
      <c r="EE1038" s="451" t="n"/>
      <c r="EG1038" s="429" t="n">
        <v>125</v>
      </c>
      <c r="EH1038" s="431" t="n">
        <v>125</v>
      </c>
      <c r="EI1038" s="688" t="n"/>
      <c r="EJ1038" s="431" t="n"/>
      <c r="EK1038" s="451" t="n"/>
      <c r="EL1038" s="451" t="n"/>
      <c r="EM1038" s="451" t="n"/>
      <c r="EO1038" s="429" t="n">
        <v>125</v>
      </c>
      <c r="EP1038" s="431" t="n">
        <v>125</v>
      </c>
      <c r="EQ1038" s="688" t="n"/>
      <c r="ER1038" s="431" t="n"/>
      <c r="ES1038" s="451" t="n"/>
      <c r="ET1038" s="451" t="n"/>
      <c r="EU1038" s="451" t="n"/>
      <c r="EW1038" s="429" t="n">
        <v>125</v>
      </c>
      <c r="EX1038" s="431" t="n">
        <v>125</v>
      </c>
      <c r="EY1038" s="688" t="n"/>
      <c r="EZ1038" s="431" t="n"/>
      <c r="FA1038" s="451" t="n"/>
      <c r="FB1038" s="451" t="n"/>
      <c r="FC1038" s="451" t="n"/>
      <c r="FE1038" s="429" t="n">
        <v>125</v>
      </c>
      <c r="FF1038" s="431" t="n">
        <v>125</v>
      </c>
      <c r="FG1038" s="688" t="n"/>
      <c r="FH1038" s="431" t="n"/>
      <c r="FI1038" s="451" t="n"/>
      <c r="FJ1038" s="451" t="n"/>
      <c r="FK1038" s="451" t="n"/>
      <c r="FM1038" s="429" t="n">
        <v>125</v>
      </c>
      <c r="FN1038" s="431" t="n">
        <v>125</v>
      </c>
      <c r="FO1038" s="688" t="n"/>
      <c r="FP1038" s="431" t="n"/>
      <c r="FQ1038" s="451" t="n"/>
      <c r="FR1038" s="451">
        <f>'CIRCUIT SIM'!KY128</f>
        <v/>
      </c>
      <c r="FS1038" s="451" t="n"/>
      <c r="FU1038" s="429" t="n">
        <v>125</v>
      </c>
      <c r="FV1038" s="431" t="n">
        <v>125</v>
      </c>
      <c r="FW1038" s="688" t="n"/>
      <c r="FX1038" s="431" t="n"/>
      <c r="FY1038" s="451" t="n"/>
      <c r="FZ1038" s="562">
        <f>'CIRCUIT SIM'!JG128</f>
        <v/>
      </c>
      <c r="GA1038" s="451" t="n"/>
      <c r="GC1038" s="429" t="n">
        <v>125</v>
      </c>
      <c r="GD1038" s="431" t="n">
        <v>125</v>
      </c>
      <c r="GE1038" s="688" t="n"/>
      <c r="GF1038" s="431" t="n"/>
      <c r="GG1038" s="451" t="n"/>
      <c r="GH1038" s="451" t="n"/>
      <c r="GI1038" s="451" t="n"/>
      <c r="GK1038" s="429" t="n">
        <v>125</v>
      </c>
      <c r="GL1038" s="431" t="n">
        <v>125</v>
      </c>
      <c r="GM1038" s="688" t="n"/>
      <c r="GN1038" s="431" t="n"/>
      <c r="GO1038" s="451" t="n"/>
      <c r="GP1038" s="451" t="n"/>
      <c r="GQ1038" s="451" t="n"/>
      <c r="GS1038" s="429" t="n">
        <v>125</v>
      </c>
      <c r="GT1038" s="431" t="n">
        <v>125</v>
      </c>
      <c r="GU1038" s="688" t="n"/>
      <c r="GV1038" s="431" t="n"/>
      <c r="GW1038" s="451" t="n"/>
      <c r="GX1038" s="451" t="n"/>
      <c r="GY1038" s="451" t="n"/>
      <c r="HA1038" s="429" t="n">
        <v>125</v>
      </c>
      <c r="HB1038" s="431" t="n">
        <v>125</v>
      </c>
      <c r="HC1038" s="688" t="n"/>
      <c r="HD1038" s="431" t="n"/>
      <c r="HE1038" s="451" t="n"/>
      <c r="HF1038" s="451" t="n"/>
      <c r="HG1038" s="451" t="n"/>
    </row>
    <row r="1039">
      <c r="A1039" s="429" t="n">
        <v>126</v>
      </c>
      <c r="B1039" s="431" t="n">
        <v>126</v>
      </c>
      <c r="C1039" s="688" t="n"/>
      <c r="D1039" s="431" t="n"/>
      <c r="E1039" s="429" t="n"/>
      <c r="F1039" s="429" t="n"/>
      <c r="G1039" s="429" t="n"/>
      <c r="I1039" s="429" t="n">
        <v>126</v>
      </c>
      <c r="J1039" s="431" t="n">
        <v>126</v>
      </c>
      <c r="K1039" s="429" t="n"/>
      <c r="L1039" s="431" t="inlineStr">
        <is>
          <t>Boolean</t>
        </is>
      </c>
      <c r="M1039" s="451" t="n"/>
      <c r="N1039" s="422">
        <f>'CIRCUIT SIM'!Y129</f>
        <v/>
      </c>
      <c r="O1039" s="451" t="n"/>
      <c r="Q1039" s="429" t="n">
        <v>126</v>
      </c>
      <c r="R1039" s="431" t="n">
        <v>126</v>
      </c>
      <c r="S1039" s="429" t="n"/>
      <c r="T1039" s="431" t="inlineStr">
        <is>
          <t>Boolean</t>
        </is>
      </c>
      <c r="U1039" s="429" t="n"/>
      <c r="V1039" s="386">
        <f>'CIRCUIT SIM'!AO129</f>
        <v/>
      </c>
      <c r="W1039" s="451" t="n"/>
      <c r="Y1039" s="429" t="n">
        <v>126</v>
      </c>
      <c r="Z1039" s="431" t="n">
        <v>126</v>
      </c>
      <c r="AA1039" s="429" t="n"/>
      <c r="AB1039" s="431" t="n"/>
      <c r="AC1039" s="451" t="n"/>
      <c r="AD1039" s="451" t="n"/>
      <c r="AE1039" s="451" t="n"/>
      <c r="AG1039" s="429" t="n">
        <v>126</v>
      </c>
      <c r="AH1039" s="431" t="n">
        <v>126</v>
      </c>
      <c r="AI1039" s="429" t="n"/>
      <c r="AJ1039" s="431" t="n"/>
      <c r="AK1039" s="451" t="n"/>
      <c r="AL1039" s="451" t="n"/>
      <c r="AM1039" s="451" t="n"/>
      <c r="AO1039" s="429" t="n">
        <v>126</v>
      </c>
      <c r="AP1039" s="431" t="n">
        <v>126</v>
      </c>
      <c r="AQ1039" s="429" t="n"/>
      <c r="AR1039" s="431" t="n"/>
      <c r="AS1039" s="451" t="n"/>
      <c r="AT1039" s="451" t="n"/>
      <c r="AU1039" s="451" t="n"/>
      <c r="AW1039" s="429" t="n">
        <v>126</v>
      </c>
      <c r="AX1039" s="431" t="n">
        <v>126</v>
      </c>
      <c r="AY1039" s="429" t="n"/>
      <c r="AZ1039" s="431" t="n"/>
      <c r="BA1039" s="451" t="n"/>
      <c r="BB1039" s="451">
        <f>'CIRCUIT SIM'!CG129</f>
        <v/>
      </c>
      <c r="BC1039" s="451" t="n"/>
      <c r="BE1039" s="429" t="n">
        <v>126</v>
      </c>
      <c r="BF1039" s="431" t="n"/>
      <c r="BG1039" s="429" t="n"/>
      <c r="BH1039" s="431" t="n"/>
      <c r="BI1039" s="451" t="n"/>
      <c r="BJ1039" s="451" t="n"/>
      <c r="BK1039" s="451" t="n"/>
      <c r="BM1039" s="429" t="n">
        <v>126</v>
      </c>
      <c r="BN1039" s="431" t="n">
        <v>126</v>
      </c>
      <c r="BO1039" s="429" t="n"/>
      <c r="BP1039" s="431" t="n"/>
      <c r="BQ1039" s="451" t="n"/>
      <c r="BR1039" s="451" t="n"/>
      <c r="BS1039" s="451" t="n"/>
      <c r="BU1039" s="429" t="n">
        <v>126</v>
      </c>
      <c r="BV1039" s="431" t="n">
        <v>126</v>
      </c>
      <c r="BW1039" s="429" t="n"/>
      <c r="BX1039" s="431" t="n"/>
      <c r="BY1039" s="451" t="n"/>
      <c r="BZ1039" s="451">
        <f>'CIRCUIT SIM'!EI129</f>
        <v/>
      </c>
      <c r="CA1039" s="451" t="n"/>
      <c r="CC1039" s="429" t="n">
        <v>126</v>
      </c>
      <c r="CD1039" s="431" t="n">
        <v>126</v>
      </c>
      <c r="CE1039" s="688" t="n"/>
      <c r="CF1039" s="431" t="inlineStr">
        <is>
          <t>Boolean</t>
        </is>
      </c>
      <c r="CG1039" s="451" t="n"/>
      <c r="CH1039" s="562">
        <f>'CIRCUIT SIM'!LK129</f>
        <v/>
      </c>
      <c r="CI1039" s="451" t="n"/>
      <c r="CK1039" s="429" t="n">
        <v>126</v>
      </c>
      <c r="CL1039" s="431" t="n">
        <v>126</v>
      </c>
      <c r="CM1039" s="688" t="n"/>
      <c r="CN1039" s="431" t="n"/>
      <c r="CO1039" s="451" t="n"/>
      <c r="CP1039" s="451" t="n"/>
      <c r="CQ1039" s="451" t="n"/>
      <c r="CS1039" s="429" t="n">
        <v>126</v>
      </c>
      <c r="CT1039" s="431" t="n">
        <v>126</v>
      </c>
      <c r="CU1039" s="688" t="n"/>
      <c r="CV1039" s="431" t="inlineStr">
        <is>
          <t>Boolean</t>
        </is>
      </c>
      <c r="CW1039" s="451" t="n"/>
      <c r="CX1039" s="451">
        <f>'CIRCUIT SIM'!MQ129</f>
        <v/>
      </c>
      <c r="CY1039" s="451" t="n"/>
      <c r="DA1039" s="429" t="n">
        <v>126</v>
      </c>
      <c r="DB1039" s="431" t="n">
        <v>126</v>
      </c>
      <c r="DC1039" s="688" t="n"/>
      <c r="DD1039" s="431" t="n"/>
      <c r="DE1039" s="451" t="n"/>
      <c r="DF1039" s="451" t="n"/>
      <c r="DG1039" s="451" t="n"/>
      <c r="DI1039" s="429" t="n">
        <v>126</v>
      </c>
      <c r="DJ1039" s="431" t="n">
        <v>126</v>
      </c>
      <c r="DK1039" s="688" t="n"/>
      <c r="DL1039" s="431" t="n"/>
      <c r="DM1039" s="429" t="n"/>
      <c r="DN1039" s="451" t="n"/>
      <c r="DO1039" s="451" t="n"/>
      <c r="DQ1039" s="429" t="n">
        <v>126</v>
      </c>
      <c r="DR1039" s="431" t="n">
        <v>126</v>
      </c>
      <c r="DS1039" s="688" t="n"/>
      <c r="DT1039" s="431" t="n"/>
      <c r="DU1039" s="451" t="n"/>
      <c r="DV1039" s="451" t="n"/>
      <c r="DW1039" s="451" t="n"/>
      <c r="DY1039" s="429" t="n">
        <v>126</v>
      </c>
      <c r="DZ1039" s="431" t="n">
        <v>126</v>
      </c>
      <c r="EA1039" s="688" t="n"/>
      <c r="EB1039" s="431" t="n"/>
      <c r="EC1039" s="451" t="n"/>
      <c r="ED1039" s="451" t="n"/>
      <c r="EE1039" s="451" t="n"/>
      <c r="EG1039" s="429" t="n">
        <v>126</v>
      </c>
      <c r="EH1039" s="431" t="n">
        <v>126</v>
      </c>
      <c r="EI1039" s="688" t="n"/>
      <c r="EJ1039" s="431" t="n"/>
      <c r="EK1039" s="451" t="n"/>
      <c r="EL1039" s="451" t="n"/>
      <c r="EM1039" s="451" t="n"/>
      <c r="EO1039" s="429" t="n">
        <v>126</v>
      </c>
      <c r="EP1039" s="431" t="n">
        <v>126</v>
      </c>
      <c r="EQ1039" s="688" t="n"/>
      <c r="ER1039" s="431" t="n"/>
      <c r="ES1039" s="451" t="n"/>
      <c r="ET1039" s="451" t="n"/>
      <c r="EU1039" s="451" t="n"/>
      <c r="EW1039" s="429" t="n">
        <v>126</v>
      </c>
      <c r="EX1039" s="431" t="n">
        <v>126</v>
      </c>
      <c r="EY1039" s="688" t="n"/>
      <c r="EZ1039" s="431" t="n"/>
      <c r="FA1039" s="451" t="n"/>
      <c r="FB1039" s="451" t="n"/>
      <c r="FC1039" s="451" t="n"/>
      <c r="FE1039" s="429" t="n">
        <v>126</v>
      </c>
      <c r="FF1039" s="431" t="n">
        <v>126</v>
      </c>
      <c r="FG1039" s="688" t="n"/>
      <c r="FH1039" s="431" t="n"/>
      <c r="FI1039" s="451" t="n"/>
      <c r="FJ1039" s="451" t="n"/>
      <c r="FK1039" s="451" t="n"/>
      <c r="FM1039" s="429" t="n">
        <v>126</v>
      </c>
      <c r="FN1039" s="431" t="n">
        <v>126</v>
      </c>
      <c r="FO1039" s="688" t="n"/>
      <c r="FP1039" s="431" t="n"/>
      <c r="FQ1039" s="451" t="n"/>
      <c r="FR1039" s="451">
        <f>'CIRCUIT SIM'!KY129</f>
        <v/>
      </c>
      <c r="FS1039" s="451" t="n"/>
      <c r="FU1039" s="429" t="n">
        <v>126</v>
      </c>
      <c r="FV1039" s="431" t="n">
        <v>126</v>
      </c>
      <c r="FW1039" s="688" t="n"/>
      <c r="FX1039" s="431" t="n"/>
      <c r="FY1039" s="451" t="n"/>
      <c r="FZ1039" s="562">
        <f>'CIRCUIT SIM'!JG129</f>
        <v/>
      </c>
      <c r="GA1039" s="451" t="n"/>
      <c r="GC1039" s="429" t="n">
        <v>126</v>
      </c>
      <c r="GD1039" s="431" t="n">
        <v>126</v>
      </c>
      <c r="GE1039" s="688" t="n"/>
      <c r="GF1039" s="431" t="n"/>
      <c r="GG1039" s="451" t="n"/>
      <c r="GH1039" s="451" t="n"/>
      <c r="GI1039" s="451" t="n"/>
      <c r="GK1039" s="429" t="n">
        <v>126</v>
      </c>
      <c r="GL1039" s="431" t="n">
        <v>126</v>
      </c>
      <c r="GM1039" s="688" t="n"/>
      <c r="GN1039" s="431" t="n"/>
      <c r="GO1039" s="451" t="n"/>
      <c r="GP1039" s="451" t="n"/>
      <c r="GQ1039" s="451" t="n"/>
      <c r="GS1039" s="429" t="n">
        <v>126</v>
      </c>
      <c r="GT1039" s="431" t="n">
        <v>126</v>
      </c>
      <c r="GU1039" s="688" t="n"/>
      <c r="GV1039" s="431" t="n"/>
      <c r="GW1039" s="451" t="n"/>
      <c r="GX1039" s="451" t="n"/>
      <c r="GY1039" s="451" t="n"/>
      <c r="HA1039" s="429" t="n">
        <v>126</v>
      </c>
      <c r="HB1039" s="431" t="n">
        <v>126</v>
      </c>
      <c r="HC1039" s="688" t="n"/>
      <c r="HD1039" s="431" t="n"/>
      <c r="HE1039" s="451" t="n"/>
      <c r="HF1039" s="451" t="n"/>
      <c r="HG1039" s="451" t="n"/>
    </row>
    <row r="1040">
      <c r="A1040" s="429" t="n">
        <v>127</v>
      </c>
      <c r="B1040" s="431" t="n">
        <v>127</v>
      </c>
      <c r="C1040" s="688" t="n"/>
      <c r="D1040" s="431" t="n"/>
      <c r="E1040" s="429" t="n"/>
      <c r="F1040" s="429" t="n"/>
      <c r="G1040" s="429" t="n"/>
      <c r="I1040" s="429" t="n">
        <v>127</v>
      </c>
      <c r="J1040" s="431" t="n">
        <v>127</v>
      </c>
      <c r="K1040" s="429" t="n"/>
      <c r="L1040" s="431" t="inlineStr">
        <is>
          <t>Boolean</t>
        </is>
      </c>
      <c r="M1040" s="451" t="n"/>
      <c r="N1040" s="422">
        <f>'CIRCUIT SIM'!Y130</f>
        <v/>
      </c>
      <c r="O1040" s="451" t="n"/>
      <c r="Q1040" s="429" t="n">
        <v>127</v>
      </c>
      <c r="R1040" s="431" t="n">
        <v>127</v>
      </c>
      <c r="S1040" s="429" t="n"/>
      <c r="T1040" s="431" t="inlineStr">
        <is>
          <t>Boolean</t>
        </is>
      </c>
      <c r="U1040" s="429" t="n"/>
      <c r="V1040" s="386">
        <f>'CIRCUIT SIM'!AO130</f>
        <v/>
      </c>
      <c r="W1040" s="451" t="n"/>
      <c r="Y1040" s="429" t="n">
        <v>127</v>
      </c>
      <c r="Z1040" s="431" t="n">
        <v>127</v>
      </c>
      <c r="AA1040" s="429" t="n"/>
      <c r="AB1040" s="431" t="n"/>
      <c r="AC1040" s="451" t="n"/>
      <c r="AD1040" s="451" t="n"/>
      <c r="AE1040" s="451" t="n"/>
      <c r="AG1040" s="429" t="n">
        <v>127</v>
      </c>
      <c r="AH1040" s="431" t="n">
        <v>127</v>
      </c>
      <c r="AI1040" s="429" t="n"/>
      <c r="AJ1040" s="431" t="n"/>
      <c r="AK1040" s="451" t="n"/>
      <c r="AL1040" s="451" t="n"/>
      <c r="AM1040" s="451" t="n"/>
      <c r="AO1040" s="429" t="n">
        <v>127</v>
      </c>
      <c r="AP1040" s="431" t="n">
        <v>127</v>
      </c>
      <c r="AQ1040" s="429" t="n"/>
      <c r="AR1040" s="431" t="n"/>
      <c r="AS1040" s="451" t="n"/>
      <c r="AT1040" s="451" t="n"/>
      <c r="AU1040" s="451" t="n"/>
      <c r="AW1040" s="429" t="n">
        <v>127</v>
      </c>
      <c r="AX1040" s="431" t="n">
        <v>127</v>
      </c>
      <c r="AY1040" s="429" t="n"/>
      <c r="AZ1040" s="431" t="n"/>
      <c r="BA1040" s="451" t="n"/>
      <c r="BB1040" s="451">
        <f>'CIRCUIT SIM'!CG130</f>
        <v/>
      </c>
      <c r="BC1040" s="451" t="n"/>
      <c r="BE1040" s="429" t="n">
        <v>127</v>
      </c>
      <c r="BF1040" s="431" t="n"/>
      <c r="BG1040" s="429" t="n"/>
      <c r="BH1040" s="431" t="n"/>
      <c r="BI1040" s="451" t="n"/>
      <c r="BJ1040" s="451" t="n"/>
      <c r="BK1040" s="451" t="n"/>
      <c r="BM1040" s="429" t="n">
        <v>127</v>
      </c>
      <c r="BN1040" s="431" t="n">
        <v>127</v>
      </c>
      <c r="BO1040" s="429" t="n"/>
      <c r="BP1040" s="431" t="n"/>
      <c r="BQ1040" s="451" t="n"/>
      <c r="BR1040" s="451" t="n"/>
      <c r="BS1040" s="451" t="n"/>
      <c r="BU1040" s="429" t="n">
        <v>127</v>
      </c>
      <c r="BV1040" s="431" t="n">
        <v>127</v>
      </c>
      <c r="BW1040" s="429" t="n"/>
      <c r="BX1040" s="431" t="n"/>
      <c r="BY1040" s="451" t="n"/>
      <c r="BZ1040" s="451">
        <f>'CIRCUIT SIM'!EI130</f>
        <v/>
      </c>
      <c r="CA1040" s="451" t="n"/>
      <c r="CC1040" s="429" t="n">
        <v>127</v>
      </c>
      <c r="CD1040" s="431" t="n">
        <v>127</v>
      </c>
      <c r="CE1040" s="688" t="n"/>
      <c r="CF1040" s="431" t="inlineStr">
        <is>
          <t>Boolean</t>
        </is>
      </c>
      <c r="CG1040" s="451" t="n"/>
      <c r="CH1040" s="562">
        <f>'CIRCUIT SIM'!LK130</f>
        <v/>
      </c>
      <c r="CI1040" s="451" t="n"/>
      <c r="CK1040" s="429" t="n">
        <v>127</v>
      </c>
      <c r="CL1040" s="431" t="n">
        <v>127</v>
      </c>
      <c r="CM1040" s="688" t="n"/>
      <c r="CN1040" s="431" t="n"/>
      <c r="CO1040" s="451" t="n"/>
      <c r="CP1040" s="451" t="n"/>
      <c r="CQ1040" s="451" t="n"/>
      <c r="CS1040" s="429" t="n">
        <v>127</v>
      </c>
      <c r="CT1040" s="431" t="n">
        <v>127</v>
      </c>
      <c r="CU1040" s="688" t="n"/>
      <c r="CV1040" s="431" t="inlineStr">
        <is>
          <t>Boolean</t>
        </is>
      </c>
      <c r="CW1040" s="451" t="n"/>
      <c r="CX1040" s="451">
        <f>'CIRCUIT SIM'!MQ130</f>
        <v/>
      </c>
      <c r="CY1040" s="451" t="n"/>
      <c r="DA1040" s="429" t="n">
        <v>127</v>
      </c>
      <c r="DB1040" s="431" t="n">
        <v>127</v>
      </c>
      <c r="DC1040" s="688" t="n"/>
      <c r="DD1040" s="431" t="n"/>
      <c r="DE1040" s="451" t="n"/>
      <c r="DF1040" s="451" t="n"/>
      <c r="DG1040" s="451" t="n"/>
      <c r="DI1040" s="429" t="n">
        <v>127</v>
      </c>
      <c r="DJ1040" s="431" t="n">
        <v>127</v>
      </c>
      <c r="DK1040" s="688" t="n"/>
      <c r="DL1040" s="431" t="n"/>
      <c r="DM1040" s="429" t="n"/>
      <c r="DN1040" s="451" t="n"/>
      <c r="DO1040" s="451" t="n"/>
      <c r="DQ1040" s="429" t="n">
        <v>127</v>
      </c>
      <c r="DR1040" s="431" t="n">
        <v>127</v>
      </c>
      <c r="DS1040" s="688" t="n"/>
      <c r="DT1040" s="431" t="n"/>
      <c r="DU1040" s="451" t="n"/>
      <c r="DV1040" s="451" t="n"/>
      <c r="DW1040" s="451" t="n"/>
      <c r="DY1040" s="429" t="n">
        <v>127</v>
      </c>
      <c r="DZ1040" s="431" t="n">
        <v>127</v>
      </c>
      <c r="EA1040" s="688" t="n"/>
      <c r="EB1040" s="431" t="n"/>
      <c r="EC1040" s="451" t="n"/>
      <c r="ED1040" s="451" t="n"/>
      <c r="EE1040" s="451" t="n"/>
      <c r="EG1040" s="429" t="n">
        <v>127</v>
      </c>
      <c r="EH1040" s="431" t="n">
        <v>127</v>
      </c>
      <c r="EI1040" s="688" t="n"/>
      <c r="EJ1040" s="431" t="n"/>
      <c r="EK1040" s="451" t="n"/>
      <c r="EL1040" s="451" t="n"/>
      <c r="EM1040" s="451" t="n"/>
      <c r="EO1040" s="429" t="n">
        <v>127</v>
      </c>
      <c r="EP1040" s="431" t="n">
        <v>127</v>
      </c>
      <c r="EQ1040" s="688" t="n"/>
      <c r="ER1040" s="431" t="n"/>
      <c r="ES1040" s="451" t="n"/>
      <c r="ET1040" s="451" t="n"/>
      <c r="EU1040" s="451" t="n"/>
      <c r="EW1040" s="429" t="n">
        <v>127</v>
      </c>
      <c r="EX1040" s="431" t="n">
        <v>127</v>
      </c>
      <c r="EY1040" s="688" t="n"/>
      <c r="EZ1040" s="431" t="n"/>
      <c r="FA1040" s="451" t="n"/>
      <c r="FB1040" s="451" t="n"/>
      <c r="FC1040" s="451" t="n"/>
      <c r="FE1040" s="429" t="n">
        <v>127</v>
      </c>
      <c r="FF1040" s="431" t="n">
        <v>127</v>
      </c>
      <c r="FG1040" s="688" t="n"/>
      <c r="FH1040" s="431" t="n"/>
      <c r="FI1040" s="451" t="n"/>
      <c r="FJ1040" s="451" t="n"/>
      <c r="FK1040" s="451" t="n"/>
      <c r="FM1040" s="429" t="n">
        <v>127</v>
      </c>
      <c r="FN1040" s="431" t="n">
        <v>127</v>
      </c>
      <c r="FO1040" s="688" t="n"/>
      <c r="FP1040" s="431" t="n"/>
      <c r="FQ1040" s="451" t="n"/>
      <c r="FR1040" s="451">
        <f>'CIRCUIT SIM'!KY130</f>
        <v/>
      </c>
      <c r="FS1040" s="451" t="n"/>
      <c r="FU1040" s="429" t="n">
        <v>127</v>
      </c>
      <c r="FV1040" s="431" t="n">
        <v>127</v>
      </c>
      <c r="FW1040" s="688" t="n"/>
      <c r="FX1040" s="431" t="n"/>
      <c r="FY1040" s="451" t="n"/>
      <c r="FZ1040" s="562">
        <f>'CIRCUIT SIM'!JG130</f>
        <v/>
      </c>
      <c r="GA1040" s="451" t="n"/>
      <c r="GC1040" s="429" t="n">
        <v>127</v>
      </c>
      <c r="GD1040" s="431" t="n">
        <v>127</v>
      </c>
      <c r="GE1040" s="688" t="n"/>
      <c r="GF1040" s="431" t="n"/>
      <c r="GG1040" s="451" t="n"/>
      <c r="GH1040" s="451" t="n"/>
      <c r="GI1040" s="451" t="n"/>
      <c r="GK1040" s="429" t="n">
        <v>127</v>
      </c>
      <c r="GL1040" s="431" t="n">
        <v>127</v>
      </c>
      <c r="GM1040" s="688" t="n"/>
      <c r="GN1040" s="431" t="n"/>
      <c r="GO1040" s="451" t="n"/>
      <c r="GP1040" s="451" t="n"/>
      <c r="GQ1040" s="451" t="n"/>
      <c r="GS1040" s="429" t="n">
        <v>127</v>
      </c>
      <c r="GT1040" s="431" t="n">
        <v>127</v>
      </c>
      <c r="GU1040" s="688" t="n"/>
      <c r="GV1040" s="431" t="n"/>
      <c r="GW1040" s="451" t="n"/>
      <c r="GX1040" s="451" t="n"/>
      <c r="GY1040" s="451" t="n"/>
      <c r="HA1040" s="429" t="n">
        <v>127</v>
      </c>
      <c r="HB1040" s="431" t="n">
        <v>127</v>
      </c>
      <c r="HC1040" s="688" t="n"/>
      <c r="HD1040" s="431" t="n"/>
      <c r="HE1040" s="451" t="n"/>
      <c r="HF1040" s="451" t="n"/>
      <c r="HG1040" s="451" t="n"/>
    </row>
    <row r="1041">
      <c r="A1041" s="429" t="n">
        <v>128</v>
      </c>
      <c r="B1041" s="431" t="n">
        <v>128</v>
      </c>
      <c r="C1041" s="688" t="n"/>
      <c r="D1041" s="431" t="n"/>
      <c r="E1041" s="429" t="n"/>
      <c r="F1041" s="429" t="n"/>
      <c r="G1041" s="429" t="n"/>
      <c r="I1041" s="429" t="n">
        <v>128</v>
      </c>
      <c r="J1041" s="431" t="n">
        <v>128</v>
      </c>
      <c r="K1041" s="429" t="n"/>
      <c r="L1041" s="431" t="inlineStr">
        <is>
          <t>Boolean</t>
        </is>
      </c>
      <c r="M1041" s="451" t="n"/>
      <c r="N1041" s="422">
        <f>'CIRCUIT SIM'!Y131</f>
        <v/>
      </c>
      <c r="O1041" s="451" t="n"/>
      <c r="Q1041" s="429" t="n">
        <v>128</v>
      </c>
      <c r="R1041" s="431" t="n">
        <v>128</v>
      </c>
      <c r="S1041" s="429" t="n"/>
      <c r="T1041" s="431" t="inlineStr">
        <is>
          <t>Boolean</t>
        </is>
      </c>
      <c r="U1041" s="429" t="n"/>
      <c r="V1041" s="386">
        <f>'CIRCUIT SIM'!AO131</f>
        <v/>
      </c>
      <c r="W1041" s="451" t="n"/>
      <c r="Y1041" s="429" t="n">
        <v>128</v>
      </c>
      <c r="Z1041" s="431" t="n">
        <v>128</v>
      </c>
      <c r="AA1041" s="429" t="n"/>
      <c r="AB1041" s="431" t="n"/>
      <c r="AC1041" s="451" t="n"/>
      <c r="AD1041" s="451" t="n"/>
      <c r="AE1041" s="451" t="n"/>
      <c r="AG1041" s="429" t="n">
        <v>128</v>
      </c>
      <c r="AH1041" s="431" t="n">
        <v>128</v>
      </c>
      <c r="AI1041" s="429" t="n"/>
      <c r="AJ1041" s="431" t="n"/>
      <c r="AK1041" s="451" t="n"/>
      <c r="AL1041" s="451" t="n"/>
      <c r="AM1041" s="451" t="n"/>
      <c r="AO1041" s="429" t="n">
        <v>128</v>
      </c>
      <c r="AP1041" s="431" t="n">
        <v>128</v>
      </c>
      <c r="AQ1041" s="429" t="n"/>
      <c r="AR1041" s="431" t="n"/>
      <c r="AS1041" s="451" t="n"/>
      <c r="AT1041" s="451" t="n"/>
      <c r="AU1041" s="451" t="n"/>
      <c r="AW1041" s="429" t="n">
        <v>128</v>
      </c>
      <c r="AX1041" s="431" t="n">
        <v>128</v>
      </c>
      <c r="AY1041" s="429" t="n"/>
      <c r="AZ1041" s="431" t="n"/>
      <c r="BA1041" s="451" t="n"/>
      <c r="BB1041" s="451">
        <f>'CIRCUIT SIM'!CG131</f>
        <v/>
      </c>
      <c r="BC1041" s="451" t="n"/>
      <c r="BE1041" s="429" t="n">
        <v>128</v>
      </c>
      <c r="BF1041" s="431" t="n"/>
      <c r="BG1041" s="429" t="n"/>
      <c r="BH1041" s="431" t="n"/>
      <c r="BI1041" s="451" t="n"/>
      <c r="BJ1041" s="451" t="n"/>
      <c r="BK1041" s="451" t="n"/>
      <c r="BM1041" s="429" t="n">
        <v>128</v>
      </c>
      <c r="BN1041" s="431" t="n">
        <v>128</v>
      </c>
      <c r="BO1041" s="429" t="n"/>
      <c r="BP1041" s="431" t="n"/>
      <c r="BQ1041" s="451" t="n"/>
      <c r="BR1041" s="451" t="n"/>
      <c r="BS1041" s="451" t="n"/>
      <c r="BU1041" s="429" t="n">
        <v>128</v>
      </c>
      <c r="BV1041" s="431" t="n">
        <v>128</v>
      </c>
      <c r="BW1041" s="429" t="n"/>
      <c r="BX1041" s="431" t="n"/>
      <c r="BY1041" s="451" t="n"/>
      <c r="BZ1041" s="451">
        <f>'CIRCUIT SIM'!EI131</f>
        <v/>
      </c>
      <c r="CA1041" s="451" t="n"/>
      <c r="CC1041" s="429" t="n">
        <v>128</v>
      </c>
      <c r="CD1041" s="431" t="n">
        <v>128</v>
      </c>
      <c r="CE1041" s="688" t="n"/>
      <c r="CF1041" s="431" t="inlineStr">
        <is>
          <t>Boolean</t>
        </is>
      </c>
      <c r="CG1041" s="451" t="n"/>
      <c r="CH1041" s="562">
        <f>'CIRCUIT SIM'!LK131</f>
        <v/>
      </c>
      <c r="CI1041" s="451" t="n"/>
      <c r="CK1041" s="429" t="n">
        <v>128</v>
      </c>
      <c r="CL1041" s="431" t="n">
        <v>128</v>
      </c>
      <c r="CM1041" s="688" t="n"/>
      <c r="CN1041" s="431" t="n"/>
      <c r="CO1041" s="451" t="n"/>
      <c r="CP1041" s="451" t="n"/>
      <c r="CQ1041" s="451" t="n"/>
      <c r="CS1041" s="429" t="n">
        <v>128</v>
      </c>
      <c r="CT1041" s="431" t="n">
        <v>128</v>
      </c>
      <c r="CU1041" s="688" t="n"/>
      <c r="CV1041" s="431" t="inlineStr">
        <is>
          <t>Boolean</t>
        </is>
      </c>
      <c r="CW1041" s="451" t="n"/>
      <c r="CX1041" s="451">
        <f>'CIRCUIT SIM'!MQ131</f>
        <v/>
      </c>
      <c r="CY1041" s="451" t="n"/>
      <c r="DA1041" s="429" t="n">
        <v>128</v>
      </c>
      <c r="DB1041" s="431" t="n">
        <v>128</v>
      </c>
      <c r="DC1041" s="688" t="n"/>
      <c r="DD1041" s="431" t="n"/>
      <c r="DE1041" s="451" t="n"/>
      <c r="DF1041" s="451" t="n"/>
      <c r="DG1041" s="451" t="n"/>
      <c r="DI1041" s="429" t="n">
        <v>128</v>
      </c>
      <c r="DJ1041" s="431" t="n">
        <v>128</v>
      </c>
      <c r="DK1041" s="688" t="n"/>
      <c r="DL1041" s="431" t="n"/>
      <c r="DM1041" s="429" t="n"/>
      <c r="DN1041" s="451" t="n"/>
      <c r="DO1041" s="451" t="n"/>
      <c r="DQ1041" s="429" t="n">
        <v>128</v>
      </c>
      <c r="DR1041" s="431" t="n">
        <v>128</v>
      </c>
      <c r="DS1041" s="688" t="n"/>
      <c r="DT1041" s="431" t="n"/>
      <c r="DU1041" s="451" t="n"/>
      <c r="DV1041" s="451" t="n"/>
      <c r="DW1041" s="451" t="n"/>
      <c r="DY1041" s="429" t="n">
        <v>128</v>
      </c>
      <c r="DZ1041" s="431" t="n">
        <v>128</v>
      </c>
      <c r="EA1041" s="688" t="n"/>
      <c r="EB1041" s="431" t="n"/>
      <c r="EC1041" s="451" t="n"/>
      <c r="ED1041" s="451" t="n"/>
      <c r="EE1041" s="451" t="n"/>
      <c r="EG1041" s="429" t="n">
        <v>128</v>
      </c>
      <c r="EH1041" s="431" t="n">
        <v>128</v>
      </c>
      <c r="EI1041" s="688" t="n"/>
      <c r="EJ1041" s="431" t="n"/>
      <c r="EK1041" s="451" t="n"/>
      <c r="EL1041" s="451" t="n"/>
      <c r="EM1041" s="451" t="n"/>
      <c r="EO1041" s="429" t="n">
        <v>128</v>
      </c>
      <c r="EP1041" s="431" t="n">
        <v>128</v>
      </c>
      <c r="EQ1041" s="688" t="n"/>
      <c r="ER1041" s="431" t="n"/>
      <c r="ES1041" s="451" t="n"/>
      <c r="ET1041" s="451" t="n"/>
      <c r="EU1041" s="451" t="n"/>
      <c r="EW1041" s="429" t="n">
        <v>128</v>
      </c>
      <c r="EX1041" s="431" t="n">
        <v>128</v>
      </c>
      <c r="EY1041" s="688" t="n"/>
      <c r="EZ1041" s="431" t="n"/>
      <c r="FA1041" s="451" t="n"/>
      <c r="FB1041" s="451" t="n"/>
      <c r="FC1041" s="451" t="n"/>
      <c r="FE1041" s="429" t="n">
        <v>128</v>
      </c>
      <c r="FF1041" s="431" t="n">
        <v>128</v>
      </c>
      <c r="FG1041" s="688" t="n"/>
      <c r="FH1041" s="431" t="n"/>
      <c r="FI1041" s="451" t="n"/>
      <c r="FJ1041" s="451" t="n"/>
      <c r="FK1041" s="451" t="n"/>
      <c r="FM1041" s="429" t="n">
        <v>128</v>
      </c>
      <c r="FN1041" s="431" t="n">
        <v>128</v>
      </c>
      <c r="FO1041" s="688" t="n"/>
      <c r="FP1041" s="431" t="n"/>
      <c r="FQ1041" s="451" t="n"/>
      <c r="FR1041" s="451">
        <f>'CIRCUIT SIM'!KY131</f>
        <v/>
      </c>
      <c r="FS1041" s="451" t="n"/>
      <c r="FU1041" s="429" t="n">
        <v>128</v>
      </c>
      <c r="FV1041" s="431" t="n">
        <v>128</v>
      </c>
      <c r="FW1041" s="688" t="n"/>
      <c r="FX1041" s="431" t="n"/>
      <c r="FY1041" s="451" t="n"/>
      <c r="FZ1041" s="562">
        <f>'CIRCUIT SIM'!JG131</f>
        <v/>
      </c>
      <c r="GA1041" s="451" t="n"/>
      <c r="GC1041" s="429" t="n">
        <v>128</v>
      </c>
      <c r="GD1041" s="431" t="n">
        <v>128</v>
      </c>
      <c r="GE1041" s="688" t="n"/>
      <c r="GF1041" s="431" t="n"/>
      <c r="GG1041" s="451" t="n"/>
      <c r="GH1041" s="451" t="n"/>
      <c r="GI1041" s="451" t="n"/>
      <c r="GK1041" s="429" t="n">
        <v>128</v>
      </c>
      <c r="GL1041" s="431" t="n">
        <v>128</v>
      </c>
      <c r="GM1041" s="688" t="n"/>
      <c r="GN1041" s="431" t="n"/>
      <c r="GO1041" s="451" t="n"/>
      <c r="GP1041" s="451" t="n"/>
      <c r="GQ1041" s="451" t="n"/>
      <c r="GS1041" s="429" t="n">
        <v>128</v>
      </c>
      <c r="GT1041" s="431" t="n">
        <v>128</v>
      </c>
      <c r="GU1041" s="688" t="n"/>
      <c r="GV1041" s="431" t="n"/>
      <c r="GW1041" s="451" t="n"/>
      <c r="GX1041" s="451" t="n"/>
      <c r="GY1041" s="451" t="n"/>
      <c r="HA1041" s="429" t="n">
        <v>128</v>
      </c>
      <c r="HB1041" s="431" t="n">
        <v>128</v>
      </c>
      <c r="HC1041" s="688" t="n"/>
      <c r="HD1041" s="431" t="n"/>
      <c r="HE1041" s="451" t="n"/>
      <c r="HF1041" s="451" t="n"/>
      <c r="HG1041" s="451" t="n"/>
    </row>
    <row r="1042">
      <c r="A1042" s="429" t="n">
        <v>129</v>
      </c>
      <c r="B1042" s="431" t="n">
        <v>129</v>
      </c>
      <c r="C1042" s="688" t="n"/>
      <c r="D1042" s="431" t="n"/>
      <c r="E1042" s="429" t="n"/>
      <c r="F1042" s="429" t="n"/>
      <c r="G1042" s="429" t="n"/>
      <c r="I1042" s="429" t="n">
        <v>129</v>
      </c>
      <c r="J1042" s="431" t="n">
        <v>129</v>
      </c>
      <c r="K1042" s="429" t="n"/>
      <c r="L1042" s="431" t="inlineStr">
        <is>
          <t>Boolean</t>
        </is>
      </c>
      <c r="M1042" s="451" t="n"/>
      <c r="N1042" s="422">
        <f>'CIRCUIT SIM'!Y132</f>
        <v/>
      </c>
      <c r="O1042" s="451" t="n"/>
      <c r="Q1042" s="429" t="n">
        <v>129</v>
      </c>
      <c r="R1042" s="431" t="n">
        <v>129</v>
      </c>
      <c r="S1042" s="429" t="n"/>
      <c r="T1042" s="431" t="inlineStr">
        <is>
          <t>Boolean</t>
        </is>
      </c>
      <c r="U1042" s="429" t="n"/>
      <c r="V1042" s="386">
        <f>'CIRCUIT SIM'!AO132</f>
        <v/>
      </c>
      <c r="W1042" s="451" t="n"/>
      <c r="Y1042" s="429" t="n">
        <v>129</v>
      </c>
      <c r="Z1042" s="431" t="n">
        <v>129</v>
      </c>
      <c r="AA1042" s="429" t="n"/>
      <c r="AB1042" s="431" t="n"/>
      <c r="AC1042" s="451" t="n"/>
      <c r="AD1042" s="451" t="n"/>
      <c r="AE1042" s="451" t="n"/>
      <c r="AG1042" s="429" t="n">
        <v>129</v>
      </c>
      <c r="AH1042" s="431" t="n">
        <v>129</v>
      </c>
      <c r="AI1042" s="429" t="n"/>
      <c r="AJ1042" s="431" t="n"/>
      <c r="AK1042" s="451" t="n"/>
      <c r="AL1042" s="451" t="n"/>
      <c r="AM1042" s="451" t="n"/>
      <c r="AO1042" s="429" t="n">
        <v>129</v>
      </c>
      <c r="AP1042" s="431" t="n">
        <v>129</v>
      </c>
      <c r="AQ1042" s="429" t="n"/>
      <c r="AR1042" s="431" t="n"/>
      <c r="AS1042" s="451" t="n"/>
      <c r="AT1042" s="451" t="n"/>
      <c r="AU1042" s="451" t="n"/>
      <c r="AW1042" s="429" t="n">
        <v>129</v>
      </c>
      <c r="AX1042" s="431" t="n">
        <v>129</v>
      </c>
      <c r="AY1042" s="429" t="n"/>
      <c r="AZ1042" s="431" t="n"/>
      <c r="BA1042" s="451" t="n"/>
      <c r="BB1042" s="451">
        <f>'CIRCUIT SIM'!CG132</f>
        <v/>
      </c>
      <c r="BC1042" s="451" t="n"/>
      <c r="BE1042" s="429" t="n">
        <v>129</v>
      </c>
      <c r="BF1042" s="431" t="n"/>
      <c r="BG1042" s="429" t="n"/>
      <c r="BH1042" s="431" t="n"/>
      <c r="BI1042" s="451" t="n"/>
      <c r="BJ1042" s="451" t="n"/>
      <c r="BK1042" s="451" t="n"/>
      <c r="BM1042" s="429" t="n">
        <v>129</v>
      </c>
      <c r="BN1042" s="431" t="n">
        <v>129</v>
      </c>
      <c r="BO1042" s="429" t="n"/>
      <c r="BP1042" s="431" t="n"/>
      <c r="BQ1042" s="451" t="n"/>
      <c r="BR1042" s="451" t="n"/>
      <c r="BS1042" s="451" t="n"/>
      <c r="BU1042" s="429" t="n">
        <v>129</v>
      </c>
      <c r="BV1042" s="431" t="n">
        <v>129</v>
      </c>
      <c r="BW1042" s="429" t="n"/>
      <c r="BX1042" s="431" t="n"/>
      <c r="BY1042" s="451" t="n"/>
      <c r="BZ1042" s="451">
        <f>'CIRCUIT SIM'!EI132</f>
        <v/>
      </c>
      <c r="CA1042" s="451" t="n"/>
      <c r="CC1042" s="429" t="n">
        <v>129</v>
      </c>
      <c r="CD1042" s="431" t="n">
        <v>129</v>
      </c>
      <c r="CE1042" s="688" t="n"/>
      <c r="CF1042" s="431" t="inlineStr">
        <is>
          <t>Boolean</t>
        </is>
      </c>
      <c r="CG1042" s="451" t="n"/>
      <c r="CH1042" s="562">
        <f>'CIRCUIT SIM'!LK132</f>
        <v/>
      </c>
      <c r="CI1042" s="451" t="n"/>
      <c r="CK1042" s="429" t="n">
        <v>129</v>
      </c>
      <c r="CL1042" s="431" t="n">
        <v>129</v>
      </c>
      <c r="CM1042" s="688" t="n"/>
      <c r="CN1042" s="431" t="n"/>
      <c r="CO1042" s="451" t="n"/>
      <c r="CP1042" s="451" t="n"/>
      <c r="CQ1042" s="451" t="n"/>
      <c r="CS1042" s="429" t="n">
        <v>129</v>
      </c>
      <c r="CT1042" s="431" t="n">
        <v>129</v>
      </c>
      <c r="CU1042" s="688" t="n"/>
      <c r="CV1042" s="431" t="inlineStr">
        <is>
          <t>Boolean</t>
        </is>
      </c>
      <c r="CW1042" s="451" t="n"/>
      <c r="CX1042" s="451">
        <f>'CIRCUIT SIM'!MQ132</f>
        <v/>
      </c>
      <c r="CY1042" s="451" t="n"/>
      <c r="DA1042" s="429" t="n">
        <v>129</v>
      </c>
      <c r="DB1042" s="431" t="n">
        <v>129</v>
      </c>
      <c r="DC1042" s="688" t="n"/>
      <c r="DD1042" s="431" t="n"/>
      <c r="DE1042" s="451" t="n"/>
      <c r="DF1042" s="451" t="n"/>
      <c r="DG1042" s="451" t="n"/>
      <c r="DI1042" s="429" t="n">
        <v>129</v>
      </c>
      <c r="DJ1042" s="431" t="n">
        <v>129</v>
      </c>
      <c r="DK1042" s="688" t="n"/>
      <c r="DL1042" s="431" t="n"/>
      <c r="DM1042" s="429" t="n"/>
      <c r="DN1042" s="451" t="n"/>
      <c r="DO1042" s="451" t="n"/>
      <c r="DQ1042" s="429" t="n">
        <v>129</v>
      </c>
      <c r="DR1042" s="431" t="n">
        <v>129</v>
      </c>
      <c r="DS1042" s="688" t="n"/>
      <c r="DT1042" s="431" t="n"/>
      <c r="DU1042" s="451" t="n"/>
      <c r="DV1042" s="451" t="n"/>
      <c r="DW1042" s="451" t="n"/>
      <c r="DY1042" s="429" t="n">
        <v>129</v>
      </c>
      <c r="DZ1042" s="431" t="n">
        <v>129</v>
      </c>
      <c r="EA1042" s="688" t="n"/>
      <c r="EB1042" s="431" t="n"/>
      <c r="EC1042" s="451" t="n"/>
      <c r="ED1042" s="451" t="n"/>
      <c r="EE1042" s="451" t="n"/>
      <c r="EG1042" s="429" t="n">
        <v>129</v>
      </c>
      <c r="EH1042" s="431" t="n">
        <v>129</v>
      </c>
      <c r="EI1042" s="688" t="n"/>
      <c r="EJ1042" s="431" t="n"/>
      <c r="EK1042" s="451" t="n"/>
      <c r="EL1042" s="451" t="n"/>
      <c r="EM1042" s="451" t="n"/>
      <c r="EO1042" s="429" t="n">
        <v>129</v>
      </c>
      <c r="EP1042" s="431" t="n">
        <v>129</v>
      </c>
      <c r="EQ1042" s="688" t="n"/>
      <c r="ER1042" s="431" t="n"/>
      <c r="ES1042" s="451" t="n"/>
      <c r="ET1042" s="451" t="n"/>
      <c r="EU1042" s="451" t="n"/>
      <c r="EW1042" s="429" t="n">
        <v>129</v>
      </c>
      <c r="EX1042" s="431" t="n">
        <v>129</v>
      </c>
      <c r="EY1042" s="688" t="n"/>
      <c r="EZ1042" s="431" t="n"/>
      <c r="FA1042" s="451" t="n"/>
      <c r="FB1042" s="451" t="n"/>
      <c r="FC1042" s="451" t="n"/>
      <c r="FE1042" s="429" t="n">
        <v>129</v>
      </c>
      <c r="FF1042" s="431" t="n">
        <v>129</v>
      </c>
      <c r="FG1042" s="688" t="n"/>
      <c r="FH1042" s="431" t="n"/>
      <c r="FI1042" s="451" t="n"/>
      <c r="FJ1042" s="451" t="n"/>
      <c r="FK1042" s="451" t="n"/>
      <c r="FM1042" s="429" t="n">
        <v>129</v>
      </c>
      <c r="FN1042" s="431" t="n">
        <v>129</v>
      </c>
      <c r="FO1042" s="688" t="n"/>
      <c r="FP1042" s="431" t="n"/>
      <c r="FQ1042" s="451" t="n"/>
      <c r="FR1042" s="451">
        <f>'CIRCUIT SIM'!KY132</f>
        <v/>
      </c>
      <c r="FS1042" s="451" t="n"/>
      <c r="FU1042" s="429" t="n">
        <v>129</v>
      </c>
      <c r="FV1042" s="431" t="n">
        <v>129</v>
      </c>
      <c r="FW1042" s="688" t="n"/>
      <c r="FX1042" s="431" t="n"/>
      <c r="FY1042" s="451" t="n"/>
      <c r="FZ1042" s="562">
        <f>'CIRCUIT SIM'!JG132</f>
        <v/>
      </c>
      <c r="GA1042" s="451" t="n"/>
      <c r="GC1042" s="429" t="n">
        <v>129</v>
      </c>
      <c r="GD1042" s="431" t="n">
        <v>129</v>
      </c>
      <c r="GE1042" s="688" t="n"/>
      <c r="GF1042" s="431" t="n"/>
      <c r="GG1042" s="451" t="n"/>
      <c r="GH1042" s="451" t="n"/>
      <c r="GI1042" s="451" t="n"/>
      <c r="GK1042" s="429" t="n">
        <v>129</v>
      </c>
      <c r="GL1042" s="431" t="n">
        <v>129</v>
      </c>
      <c r="GM1042" s="688" t="n"/>
      <c r="GN1042" s="431" t="n"/>
      <c r="GO1042" s="451" t="n"/>
      <c r="GP1042" s="451" t="n"/>
      <c r="GQ1042" s="451" t="n"/>
      <c r="GS1042" s="429" t="n">
        <v>129</v>
      </c>
      <c r="GT1042" s="431" t="n">
        <v>129</v>
      </c>
      <c r="GU1042" s="688" t="n"/>
      <c r="GV1042" s="431" t="n"/>
      <c r="GW1042" s="451" t="n"/>
      <c r="GX1042" s="451" t="n"/>
      <c r="GY1042" s="451" t="n"/>
      <c r="HA1042" s="429" t="n">
        <v>129</v>
      </c>
      <c r="HB1042" s="431" t="n">
        <v>129</v>
      </c>
      <c r="HC1042" s="688" t="n"/>
      <c r="HD1042" s="431" t="n"/>
      <c r="HE1042" s="451" t="n"/>
      <c r="HF1042" s="451" t="n"/>
      <c r="HG1042" s="451" t="n"/>
    </row>
    <row r="1043">
      <c r="A1043" s="429" t="n">
        <v>130</v>
      </c>
      <c r="B1043" s="431" t="n">
        <v>130</v>
      </c>
      <c r="C1043" s="688" t="n"/>
      <c r="D1043" s="431" t="n"/>
      <c r="E1043" s="429" t="n"/>
      <c r="F1043" s="429" t="n"/>
      <c r="G1043" s="429" t="n"/>
      <c r="I1043" s="429" t="n">
        <v>130</v>
      </c>
      <c r="J1043" s="431" t="n">
        <v>130</v>
      </c>
      <c r="K1043" s="429" t="n"/>
      <c r="L1043" s="431" t="inlineStr">
        <is>
          <t>Boolean</t>
        </is>
      </c>
      <c r="M1043" s="451" t="n"/>
      <c r="N1043" s="422">
        <f>'CIRCUIT SIM'!Y133</f>
        <v/>
      </c>
      <c r="O1043" s="451" t="n"/>
      <c r="Q1043" s="429" t="n">
        <v>130</v>
      </c>
      <c r="R1043" s="431" t="n">
        <v>130</v>
      </c>
      <c r="S1043" s="429" t="n"/>
      <c r="T1043" s="431" t="inlineStr">
        <is>
          <t>Boolean</t>
        </is>
      </c>
      <c r="U1043" s="429" t="n"/>
      <c r="V1043" s="386">
        <f>'CIRCUIT SIM'!AO133</f>
        <v/>
      </c>
      <c r="W1043" s="451" t="n"/>
      <c r="Y1043" s="429" t="n">
        <v>130</v>
      </c>
      <c r="Z1043" s="431" t="n">
        <v>130</v>
      </c>
      <c r="AA1043" s="429" t="n"/>
      <c r="AB1043" s="431" t="n"/>
      <c r="AC1043" s="451" t="n"/>
      <c r="AD1043" s="451" t="n"/>
      <c r="AE1043" s="451" t="n"/>
      <c r="AG1043" s="429" t="n">
        <v>130</v>
      </c>
      <c r="AH1043" s="431" t="n">
        <v>130</v>
      </c>
      <c r="AI1043" s="429" t="n"/>
      <c r="AJ1043" s="431" t="n"/>
      <c r="AK1043" s="451" t="n"/>
      <c r="AL1043" s="451" t="n"/>
      <c r="AM1043" s="451" t="n"/>
      <c r="AO1043" s="429" t="n">
        <v>130</v>
      </c>
      <c r="AP1043" s="431" t="n">
        <v>130</v>
      </c>
      <c r="AQ1043" s="429" t="n"/>
      <c r="AR1043" s="431" t="n"/>
      <c r="AS1043" s="451" t="n"/>
      <c r="AT1043" s="451" t="n"/>
      <c r="AU1043" s="451" t="n"/>
      <c r="AW1043" s="429" t="n">
        <v>130</v>
      </c>
      <c r="AX1043" s="431" t="n">
        <v>130</v>
      </c>
      <c r="AY1043" s="429" t="n"/>
      <c r="AZ1043" s="431" t="n"/>
      <c r="BA1043" s="451" t="n"/>
      <c r="BB1043" s="451">
        <f>'CIRCUIT SIM'!CG133</f>
        <v/>
      </c>
      <c r="BC1043" s="451" t="n"/>
      <c r="BE1043" s="429" t="n">
        <v>130</v>
      </c>
      <c r="BF1043" s="431" t="n"/>
      <c r="BG1043" s="429" t="n"/>
      <c r="BH1043" s="431" t="n"/>
      <c r="BI1043" s="451" t="n"/>
      <c r="BJ1043" s="451" t="n"/>
      <c r="BK1043" s="451" t="n"/>
      <c r="BM1043" s="429" t="n">
        <v>130</v>
      </c>
      <c r="BN1043" s="431" t="n">
        <v>130</v>
      </c>
      <c r="BO1043" s="429" t="n"/>
      <c r="BP1043" s="431" t="n"/>
      <c r="BQ1043" s="451" t="n"/>
      <c r="BR1043" s="451" t="n"/>
      <c r="BS1043" s="451" t="n"/>
      <c r="BU1043" s="429" t="n">
        <v>130</v>
      </c>
      <c r="BV1043" s="431" t="n">
        <v>130</v>
      </c>
      <c r="BW1043" s="429" t="n"/>
      <c r="BX1043" s="431" t="n"/>
      <c r="BY1043" s="451" t="n"/>
      <c r="BZ1043" s="451">
        <f>'CIRCUIT SIM'!EI133</f>
        <v/>
      </c>
      <c r="CA1043" s="451" t="n"/>
      <c r="CC1043" s="429" t="n">
        <v>130</v>
      </c>
      <c r="CD1043" s="431" t="n">
        <v>130</v>
      </c>
      <c r="CE1043" s="688" t="n"/>
      <c r="CF1043" s="431" t="inlineStr">
        <is>
          <t>Boolean</t>
        </is>
      </c>
      <c r="CG1043" s="451" t="n"/>
      <c r="CH1043" s="562">
        <f>'CIRCUIT SIM'!LK133</f>
        <v/>
      </c>
      <c r="CI1043" s="451" t="n"/>
      <c r="CK1043" s="429" t="n">
        <v>130</v>
      </c>
      <c r="CL1043" s="431" t="n">
        <v>130</v>
      </c>
      <c r="CM1043" s="688" t="n"/>
      <c r="CN1043" s="431" t="n"/>
      <c r="CO1043" s="451" t="n"/>
      <c r="CP1043" s="451" t="n"/>
      <c r="CQ1043" s="451" t="n"/>
      <c r="CS1043" s="429" t="n">
        <v>130</v>
      </c>
      <c r="CT1043" s="431" t="n">
        <v>130</v>
      </c>
      <c r="CU1043" s="688" t="n"/>
      <c r="CV1043" s="431" t="inlineStr">
        <is>
          <t>Boolean</t>
        </is>
      </c>
      <c r="CW1043" s="451" t="n"/>
      <c r="CX1043" s="451">
        <f>'CIRCUIT SIM'!MQ133</f>
        <v/>
      </c>
      <c r="CY1043" s="451" t="n"/>
      <c r="DA1043" s="429" t="n">
        <v>130</v>
      </c>
      <c r="DB1043" s="431" t="n">
        <v>130</v>
      </c>
      <c r="DC1043" s="688" t="n"/>
      <c r="DD1043" s="431" t="n"/>
      <c r="DE1043" s="451" t="n"/>
      <c r="DF1043" s="451" t="n"/>
      <c r="DG1043" s="451" t="n"/>
      <c r="DI1043" s="429" t="n">
        <v>130</v>
      </c>
      <c r="DJ1043" s="431" t="n">
        <v>130</v>
      </c>
      <c r="DK1043" s="688" t="n"/>
      <c r="DL1043" s="431" t="n"/>
      <c r="DM1043" s="429" t="n"/>
      <c r="DN1043" s="451" t="n"/>
      <c r="DO1043" s="451" t="n"/>
      <c r="DQ1043" s="429" t="n">
        <v>130</v>
      </c>
      <c r="DR1043" s="431" t="n">
        <v>130</v>
      </c>
      <c r="DS1043" s="688" t="n"/>
      <c r="DT1043" s="431" t="n"/>
      <c r="DU1043" s="451" t="n"/>
      <c r="DV1043" s="451" t="n"/>
      <c r="DW1043" s="451" t="n"/>
      <c r="DY1043" s="429" t="n">
        <v>130</v>
      </c>
      <c r="DZ1043" s="431" t="n">
        <v>130</v>
      </c>
      <c r="EA1043" s="688" t="n"/>
      <c r="EB1043" s="431" t="n"/>
      <c r="EC1043" s="451" t="n"/>
      <c r="ED1043" s="451" t="n"/>
      <c r="EE1043" s="451" t="n"/>
      <c r="EG1043" s="429" t="n">
        <v>130</v>
      </c>
      <c r="EH1043" s="431" t="n">
        <v>130</v>
      </c>
      <c r="EI1043" s="688" t="n"/>
      <c r="EJ1043" s="431" t="n"/>
      <c r="EK1043" s="451" t="n"/>
      <c r="EL1043" s="451" t="n"/>
      <c r="EM1043" s="451" t="n"/>
      <c r="EO1043" s="429" t="n">
        <v>130</v>
      </c>
      <c r="EP1043" s="431" t="n">
        <v>130</v>
      </c>
      <c r="EQ1043" s="688" t="n"/>
      <c r="ER1043" s="431" t="n"/>
      <c r="ES1043" s="451" t="n"/>
      <c r="ET1043" s="451" t="n"/>
      <c r="EU1043" s="451" t="n"/>
      <c r="EW1043" s="429" t="n">
        <v>130</v>
      </c>
      <c r="EX1043" s="431" t="n">
        <v>130</v>
      </c>
      <c r="EY1043" s="688" t="n"/>
      <c r="EZ1043" s="431" t="n"/>
      <c r="FA1043" s="451" t="n"/>
      <c r="FB1043" s="451" t="n"/>
      <c r="FC1043" s="451" t="n"/>
      <c r="FE1043" s="429" t="n">
        <v>130</v>
      </c>
      <c r="FF1043" s="431" t="n">
        <v>130</v>
      </c>
      <c r="FG1043" s="688" t="n"/>
      <c r="FH1043" s="431" t="n"/>
      <c r="FI1043" s="451" t="n"/>
      <c r="FJ1043" s="451" t="n"/>
      <c r="FK1043" s="451" t="n"/>
      <c r="FM1043" s="429" t="n">
        <v>130</v>
      </c>
      <c r="FN1043" s="431" t="n">
        <v>130</v>
      </c>
      <c r="FO1043" s="688" t="n"/>
      <c r="FP1043" s="431" t="n"/>
      <c r="FQ1043" s="451" t="n"/>
      <c r="FR1043" s="451">
        <f>'CIRCUIT SIM'!KY133</f>
        <v/>
      </c>
      <c r="FS1043" s="451" t="n"/>
      <c r="FU1043" s="429" t="n">
        <v>130</v>
      </c>
      <c r="FV1043" s="431" t="n">
        <v>130</v>
      </c>
      <c r="FW1043" s="688" t="n"/>
      <c r="FX1043" s="431" t="n"/>
      <c r="FY1043" s="451" t="n"/>
      <c r="FZ1043" s="562">
        <f>'CIRCUIT SIM'!JG133</f>
        <v/>
      </c>
      <c r="GA1043" s="451" t="n"/>
      <c r="GC1043" s="429" t="n">
        <v>130</v>
      </c>
      <c r="GD1043" s="431" t="n">
        <v>130</v>
      </c>
      <c r="GE1043" s="688" t="n"/>
      <c r="GF1043" s="431" t="n"/>
      <c r="GG1043" s="451" t="n"/>
      <c r="GH1043" s="451" t="n"/>
      <c r="GI1043" s="451" t="n"/>
      <c r="GK1043" s="429" t="n">
        <v>130</v>
      </c>
      <c r="GL1043" s="431" t="n">
        <v>130</v>
      </c>
      <c r="GM1043" s="688" t="n"/>
      <c r="GN1043" s="431" t="n"/>
      <c r="GO1043" s="451" t="n"/>
      <c r="GP1043" s="451" t="n"/>
      <c r="GQ1043" s="451" t="n"/>
      <c r="GS1043" s="429" t="n">
        <v>130</v>
      </c>
      <c r="GT1043" s="431" t="n">
        <v>130</v>
      </c>
      <c r="GU1043" s="688" t="n"/>
      <c r="GV1043" s="431" t="n"/>
      <c r="GW1043" s="451" t="n"/>
      <c r="GX1043" s="451" t="n"/>
      <c r="GY1043" s="451" t="n"/>
      <c r="HA1043" s="429" t="n">
        <v>130</v>
      </c>
      <c r="HB1043" s="431" t="n">
        <v>130</v>
      </c>
      <c r="HC1043" s="688" t="n"/>
      <c r="HD1043" s="431" t="n"/>
      <c r="HE1043" s="451" t="n"/>
      <c r="HF1043" s="451" t="n"/>
      <c r="HG1043" s="451" t="n"/>
    </row>
    <row r="1044">
      <c r="A1044" s="429" t="n">
        <v>131</v>
      </c>
      <c r="B1044" s="431" t="n">
        <v>131</v>
      </c>
      <c r="C1044" s="688" t="n"/>
      <c r="D1044" s="431" t="n"/>
      <c r="E1044" s="429" t="n"/>
      <c r="F1044" s="429" t="n"/>
      <c r="G1044" s="429" t="n"/>
      <c r="I1044" s="429" t="n">
        <v>131</v>
      </c>
      <c r="J1044" s="431" t="n">
        <v>131</v>
      </c>
      <c r="K1044" s="429" t="n"/>
      <c r="L1044" s="431" t="inlineStr">
        <is>
          <t>Boolean</t>
        </is>
      </c>
      <c r="M1044" s="451" t="n"/>
      <c r="N1044" s="422">
        <f>'CIRCUIT SIM'!Y134</f>
        <v/>
      </c>
      <c r="O1044" s="451" t="n"/>
      <c r="Q1044" s="429" t="n">
        <v>131</v>
      </c>
      <c r="R1044" s="431" t="n">
        <v>131</v>
      </c>
      <c r="S1044" s="429" t="n"/>
      <c r="T1044" s="431" t="inlineStr">
        <is>
          <t>Boolean</t>
        </is>
      </c>
      <c r="U1044" s="429" t="n"/>
      <c r="V1044" s="386">
        <f>'CIRCUIT SIM'!AO134</f>
        <v/>
      </c>
      <c r="W1044" s="451" t="n"/>
      <c r="Y1044" s="429" t="n">
        <v>131</v>
      </c>
      <c r="Z1044" s="431" t="n">
        <v>131</v>
      </c>
      <c r="AA1044" s="429" t="n"/>
      <c r="AB1044" s="431" t="n"/>
      <c r="AC1044" s="451" t="n"/>
      <c r="AD1044" s="451" t="n"/>
      <c r="AE1044" s="451" t="n"/>
      <c r="AG1044" s="429" t="n">
        <v>131</v>
      </c>
      <c r="AH1044" s="431" t="n">
        <v>131</v>
      </c>
      <c r="AI1044" s="429" t="n"/>
      <c r="AJ1044" s="431" t="n"/>
      <c r="AK1044" s="451" t="n"/>
      <c r="AL1044" s="451" t="n"/>
      <c r="AM1044" s="451" t="n"/>
      <c r="AO1044" s="429" t="n">
        <v>131</v>
      </c>
      <c r="AP1044" s="431" t="n">
        <v>131</v>
      </c>
      <c r="AQ1044" s="429" t="n"/>
      <c r="AR1044" s="431" t="n"/>
      <c r="AS1044" s="451" t="n"/>
      <c r="AT1044" s="451" t="n"/>
      <c r="AU1044" s="451" t="n"/>
      <c r="AW1044" s="429" t="n">
        <v>131</v>
      </c>
      <c r="AX1044" s="431" t="n">
        <v>131</v>
      </c>
      <c r="AY1044" s="429" t="n"/>
      <c r="AZ1044" s="431" t="n"/>
      <c r="BA1044" s="451" t="n"/>
      <c r="BB1044" s="451">
        <f>'CIRCUIT SIM'!CG134</f>
        <v/>
      </c>
      <c r="BC1044" s="451" t="n"/>
      <c r="BE1044" s="429" t="n">
        <v>131</v>
      </c>
      <c r="BF1044" s="431" t="n"/>
      <c r="BG1044" s="429" t="n"/>
      <c r="BH1044" s="431" t="n"/>
      <c r="BI1044" s="451" t="n"/>
      <c r="BJ1044" s="451" t="n"/>
      <c r="BK1044" s="451" t="n"/>
      <c r="BM1044" s="429" t="n">
        <v>131</v>
      </c>
      <c r="BN1044" s="431" t="n">
        <v>131</v>
      </c>
      <c r="BO1044" s="429" t="n"/>
      <c r="BP1044" s="431" t="n"/>
      <c r="BQ1044" s="451" t="n"/>
      <c r="BR1044" s="451" t="n"/>
      <c r="BS1044" s="451" t="n"/>
      <c r="BU1044" s="429" t="n">
        <v>131</v>
      </c>
      <c r="BV1044" s="431" t="n">
        <v>131</v>
      </c>
      <c r="BW1044" s="429" t="n"/>
      <c r="BX1044" s="431" t="n"/>
      <c r="BY1044" s="451" t="n"/>
      <c r="BZ1044" s="451">
        <f>'CIRCUIT SIM'!EI134</f>
        <v/>
      </c>
      <c r="CA1044" s="451" t="n"/>
      <c r="CC1044" s="429" t="n">
        <v>131</v>
      </c>
      <c r="CD1044" s="431" t="n">
        <v>131</v>
      </c>
      <c r="CE1044" s="688" t="n"/>
      <c r="CF1044" s="431" t="inlineStr">
        <is>
          <t>Boolean</t>
        </is>
      </c>
      <c r="CG1044" s="451" t="n"/>
      <c r="CH1044" s="562">
        <f>'CIRCUIT SIM'!LK134</f>
        <v/>
      </c>
      <c r="CI1044" s="451" t="n"/>
      <c r="CK1044" s="429" t="n">
        <v>131</v>
      </c>
      <c r="CL1044" s="431" t="n">
        <v>131</v>
      </c>
      <c r="CM1044" s="688" t="n"/>
      <c r="CN1044" s="431" t="n"/>
      <c r="CO1044" s="451" t="n"/>
      <c r="CP1044" s="451" t="n"/>
      <c r="CQ1044" s="451" t="n"/>
      <c r="CS1044" s="429" t="n">
        <v>131</v>
      </c>
      <c r="CT1044" s="431" t="n">
        <v>131</v>
      </c>
      <c r="CU1044" s="688" t="n"/>
      <c r="CV1044" s="431" t="inlineStr">
        <is>
          <t>Boolean</t>
        </is>
      </c>
      <c r="CW1044" s="451" t="n"/>
      <c r="CX1044" s="451">
        <f>'CIRCUIT SIM'!MQ134</f>
        <v/>
      </c>
      <c r="CY1044" s="451" t="n"/>
      <c r="DA1044" s="429" t="n">
        <v>131</v>
      </c>
      <c r="DB1044" s="431" t="n">
        <v>131</v>
      </c>
      <c r="DC1044" s="688" t="n"/>
      <c r="DD1044" s="431" t="n"/>
      <c r="DE1044" s="451" t="n"/>
      <c r="DF1044" s="451" t="n"/>
      <c r="DG1044" s="451" t="n"/>
      <c r="DI1044" s="429" t="n">
        <v>131</v>
      </c>
      <c r="DJ1044" s="431" t="n">
        <v>131</v>
      </c>
      <c r="DK1044" s="688" t="n"/>
      <c r="DL1044" s="431" t="n"/>
      <c r="DM1044" s="429" t="n"/>
      <c r="DN1044" s="451" t="n"/>
      <c r="DO1044" s="451" t="n"/>
      <c r="DQ1044" s="429" t="n">
        <v>131</v>
      </c>
      <c r="DR1044" s="431" t="n">
        <v>131</v>
      </c>
      <c r="DS1044" s="688" t="n"/>
      <c r="DT1044" s="431" t="n"/>
      <c r="DU1044" s="451" t="n"/>
      <c r="DV1044" s="451" t="n"/>
      <c r="DW1044" s="451" t="n"/>
      <c r="DY1044" s="429" t="n">
        <v>131</v>
      </c>
      <c r="DZ1044" s="431" t="n">
        <v>131</v>
      </c>
      <c r="EA1044" s="688" t="n"/>
      <c r="EB1044" s="431" t="n"/>
      <c r="EC1044" s="451" t="n"/>
      <c r="ED1044" s="451" t="n"/>
      <c r="EE1044" s="451" t="n"/>
      <c r="EG1044" s="429" t="n">
        <v>131</v>
      </c>
      <c r="EH1044" s="431" t="n">
        <v>131</v>
      </c>
      <c r="EI1044" s="688" t="n"/>
      <c r="EJ1044" s="431" t="n"/>
      <c r="EK1044" s="451" t="n"/>
      <c r="EL1044" s="451" t="n"/>
      <c r="EM1044" s="451" t="n"/>
      <c r="EO1044" s="429" t="n">
        <v>131</v>
      </c>
      <c r="EP1044" s="431" t="n">
        <v>131</v>
      </c>
      <c r="EQ1044" s="688" t="n"/>
      <c r="ER1044" s="431" t="n"/>
      <c r="ES1044" s="451" t="n"/>
      <c r="ET1044" s="451" t="n"/>
      <c r="EU1044" s="451" t="n"/>
      <c r="EW1044" s="429" t="n">
        <v>131</v>
      </c>
      <c r="EX1044" s="431" t="n">
        <v>131</v>
      </c>
      <c r="EY1044" s="688" t="n"/>
      <c r="EZ1044" s="431" t="n"/>
      <c r="FA1044" s="451" t="n"/>
      <c r="FB1044" s="451" t="n"/>
      <c r="FC1044" s="451" t="n"/>
      <c r="FE1044" s="429" t="n">
        <v>131</v>
      </c>
      <c r="FF1044" s="431" t="n">
        <v>131</v>
      </c>
      <c r="FG1044" s="688" t="n"/>
      <c r="FH1044" s="431" t="n"/>
      <c r="FI1044" s="451" t="n"/>
      <c r="FJ1044" s="451" t="n"/>
      <c r="FK1044" s="451" t="n"/>
      <c r="FM1044" s="429" t="n">
        <v>131</v>
      </c>
      <c r="FN1044" s="431" t="n">
        <v>131</v>
      </c>
      <c r="FO1044" s="688" t="n"/>
      <c r="FP1044" s="431" t="n"/>
      <c r="FQ1044" s="451" t="n"/>
      <c r="FR1044" s="451">
        <f>'CIRCUIT SIM'!KY134</f>
        <v/>
      </c>
      <c r="FS1044" s="451" t="n"/>
      <c r="FU1044" s="429" t="n">
        <v>131</v>
      </c>
      <c r="FV1044" s="431" t="n">
        <v>131</v>
      </c>
      <c r="FW1044" s="688" t="n"/>
      <c r="FX1044" s="431" t="n"/>
      <c r="FY1044" s="451" t="n"/>
      <c r="FZ1044" s="562">
        <f>'CIRCUIT SIM'!JG134</f>
        <v/>
      </c>
      <c r="GA1044" s="451" t="n"/>
      <c r="GC1044" s="429" t="n">
        <v>131</v>
      </c>
      <c r="GD1044" s="431" t="n">
        <v>131</v>
      </c>
      <c r="GE1044" s="688" t="n"/>
      <c r="GF1044" s="431" t="n"/>
      <c r="GG1044" s="451" t="n"/>
      <c r="GH1044" s="451" t="n"/>
      <c r="GI1044" s="451" t="n"/>
      <c r="GK1044" s="429" t="n">
        <v>131</v>
      </c>
      <c r="GL1044" s="431" t="n">
        <v>131</v>
      </c>
      <c r="GM1044" s="688" t="n"/>
      <c r="GN1044" s="431" t="n"/>
      <c r="GO1044" s="451" t="n"/>
      <c r="GP1044" s="451" t="n"/>
      <c r="GQ1044" s="451" t="n"/>
      <c r="GS1044" s="429" t="n">
        <v>131</v>
      </c>
      <c r="GT1044" s="431" t="n">
        <v>131</v>
      </c>
      <c r="GU1044" s="688" t="n"/>
      <c r="GV1044" s="431" t="n"/>
      <c r="GW1044" s="451" t="n"/>
      <c r="GX1044" s="451" t="n"/>
      <c r="GY1044" s="451" t="n"/>
      <c r="HA1044" s="429" t="n">
        <v>131</v>
      </c>
      <c r="HB1044" s="431" t="n">
        <v>131</v>
      </c>
      <c r="HC1044" s="688" t="n"/>
      <c r="HD1044" s="431" t="n"/>
      <c r="HE1044" s="451" t="n"/>
      <c r="HF1044" s="451" t="n"/>
      <c r="HG1044" s="451" t="n"/>
    </row>
    <row r="1045">
      <c r="A1045" s="429" t="n">
        <v>132</v>
      </c>
      <c r="B1045" s="431" t="n">
        <v>132</v>
      </c>
      <c r="C1045" s="688" t="n"/>
      <c r="D1045" s="431" t="n"/>
      <c r="E1045" s="429" t="n"/>
      <c r="F1045" s="429" t="n"/>
      <c r="G1045" s="429" t="n"/>
      <c r="I1045" s="429" t="n">
        <v>132</v>
      </c>
      <c r="J1045" s="431" t="n">
        <v>132</v>
      </c>
      <c r="K1045" s="565" t="n">
        <v>131</v>
      </c>
      <c r="L1045" s="431" t="inlineStr">
        <is>
          <t>Boolean</t>
        </is>
      </c>
      <c r="M1045" s="451" t="n"/>
      <c r="N1045" s="422">
        <f>'CIRCUIT SIM'!Y135</f>
        <v/>
      </c>
      <c r="O1045" s="451" t="n"/>
      <c r="Q1045" s="429" t="n">
        <v>132</v>
      </c>
      <c r="R1045" s="431" t="n">
        <v>132</v>
      </c>
      <c r="S1045" s="429" t="n"/>
      <c r="T1045" s="431" t="inlineStr">
        <is>
          <t>Boolean</t>
        </is>
      </c>
      <c r="U1045" s="429" t="n"/>
      <c r="V1045" s="386">
        <f>'CIRCUIT SIM'!AO135</f>
        <v/>
      </c>
      <c r="W1045" s="451" t="n"/>
      <c r="Y1045" s="429" t="n">
        <v>132</v>
      </c>
      <c r="Z1045" s="431" t="n">
        <v>132</v>
      </c>
      <c r="AA1045" s="429" t="n"/>
      <c r="AB1045" s="431" t="n"/>
      <c r="AC1045" s="451" t="n"/>
      <c r="AD1045" s="451" t="n"/>
      <c r="AE1045" s="451" t="n"/>
      <c r="AG1045" s="429" t="n">
        <v>132</v>
      </c>
      <c r="AH1045" s="431" t="n">
        <v>132</v>
      </c>
      <c r="AI1045" s="429" t="n"/>
      <c r="AJ1045" s="431" t="n"/>
      <c r="AK1045" s="451" t="n"/>
      <c r="AL1045" s="451" t="n"/>
      <c r="AM1045" s="451" t="n"/>
      <c r="AO1045" s="429" t="n">
        <v>132</v>
      </c>
      <c r="AP1045" s="431" t="n">
        <v>132</v>
      </c>
      <c r="AQ1045" s="429" t="n"/>
      <c r="AR1045" s="431" t="n"/>
      <c r="AS1045" s="451" t="n"/>
      <c r="AT1045" s="451" t="n"/>
      <c r="AU1045" s="451" t="n"/>
      <c r="AW1045" s="429" t="n">
        <v>132</v>
      </c>
      <c r="AX1045" s="431" t="n">
        <v>132</v>
      </c>
      <c r="AY1045" s="429" t="n"/>
      <c r="AZ1045" s="431" t="n"/>
      <c r="BA1045" s="451" t="n"/>
      <c r="BB1045" s="451">
        <f>'CIRCUIT SIM'!CG135</f>
        <v/>
      </c>
      <c r="BC1045" s="451" t="n"/>
      <c r="BE1045" s="429" t="n">
        <v>132</v>
      </c>
      <c r="BF1045" s="431" t="n"/>
      <c r="BG1045" s="429" t="n"/>
      <c r="BH1045" s="431" t="n"/>
      <c r="BI1045" s="451" t="n"/>
      <c r="BJ1045" s="451" t="n"/>
      <c r="BK1045" s="451" t="n"/>
      <c r="BM1045" s="429" t="n">
        <v>132</v>
      </c>
      <c r="BN1045" s="431" t="n">
        <v>132</v>
      </c>
      <c r="BO1045" s="429" t="n"/>
      <c r="BP1045" s="431" t="n"/>
      <c r="BQ1045" s="451" t="n"/>
      <c r="BR1045" s="451" t="n"/>
      <c r="BS1045" s="451" t="n"/>
      <c r="BU1045" s="429" t="n">
        <v>132</v>
      </c>
      <c r="BV1045" s="431" t="n">
        <v>132</v>
      </c>
      <c r="BW1045" s="429" t="n"/>
      <c r="BX1045" s="431" t="n"/>
      <c r="BY1045" s="451" t="n"/>
      <c r="BZ1045" s="451">
        <f>'CIRCUIT SIM'!EI135</f>
        <v/>
      </c>
      <c r="CA1045" s="451" t="n"/>
      <c r="CC1045" s="429" t="n">
        <v>132</v>
      </c>
      <c r="CD1045" s="431" t="n">
        <v>132</v>
      </c>
      <c r="CE1045" s="688" t="n"/>
      <c r="CF1045" s="431" t="inlineStr">
        <is>
          <t>Boolean</t>
        </is>
      </c>
      <c r="CG1045" s="451" t="n"/>
      <c r="CH1045" s="562">
        <f>'CIRCUIT SIM'!LK135</f>
        <v/>
      </c>
      <c r="CI1045" s="451" t="n"/>
      <c r="CK1045" s="429" t="n">
        <v>132</v>
      </c>
      <c r="CL1045" s="431" t="n">
        <v>132</v>
      </c>
      <c r="CM1045" s="688" t="n"/>
      <c r="CN1045" s="431" t="n"/>
      <c r="CO1045" s="451" t="n"/>
      <c r="CP1045" s="451" t="n"/>
      <c r="CQ1045" s="451" t="n"/>
      <c r="CS1045" s="429" t="n">
        <v>132</v>
      </c>
      <c r="CT1045" s="431" t="n">
        <v>132</v>
      </c>
      <c r="CU1045" s="688" t="n"/>
      <c r="CV1045" s="431" t="inlineStr">
        <is>
          <t>Boolean</t>
        </is>
      </c>
      <c r="CW1045" s="451" t="n"/>
      <c r="CX1045" s="451">
        <f>'CIRCUIT SIM'!MQ135</f>
        <v/>
      </c>
      <c r="CY1045" s="451" t="n"/>
      <c r="DA1045" s="429" t="n">
        <v>132</v>
      </c>
      <c r="DB1045" s="431" t="n">
        <v>132</v>
      </c>
      <c r="DC1045" s="688" t="n"/>
      <c r="DD1045" s="431" t="n"/>
      <c r="DE1045" s="451" t="n"/>
      <c r="DF1045" s="451" t="n"/>
      <c r="DG1045" s="451" t="n"/>
      <c r="DI1045" s="429" t="n">
        <v>132</v>
      </c>
      <c r="DJ1045" s="431" t="n">
        <v>132</v>
      </c>
      <c r="DK1045" s="688" t="n"/>
      <c r="DL1045" s="431" t="n"/>
      <c r="DM1045" s="429" t="n"/>
      <c r="DN1045" s="451" t="n"/>
      <c r="DO1045" s="451" t="n"/>
      <c r="DQ1045" s="429" t="n">
        <v>132</v>
      </c>
      <c r="DR1045" s="431" t="n">
        <v>132</v>
      </c>
      <c r="DS1045" s="688" t="n"/>
      <c r="DT1045" s="431" t="n"/>
      <c r="DU1045" s="451" t="n"/>
      <c r="DV1045" s="451" t="n"/>
      <c r="DW1045" s="451" t="n"/>
      <c r="DY1045" s="429" t="n">
        <v>132</v>
      </c>
      <c r="DZ1045" s="431" t="n">
        <v>132</v>
      </c>
      <c r="EA1045" s="688" t="n"/>
      <c r="EB1045" s="431" t="n"/>
      <c r="EC1045" s="451" t="n"/>
      <c r="ED1045" s="451" t="n"/>
      <c r="EE1045" s="451" t="n"/>
      <c r="EG1045" s="429" t="n">
        <v>132</v>
      </c>
      <c r="EH1045" s="431" t="n">
        <v>132</v>
      </c>
      <c r="EI1045" s="688" t="n"/>
      <c r="EJ1045" s="431" t="n"/>
      <c r="EK1045" s="451" t="n"/>
      <c r="EL1045" s="451" t="n"/>
      <c r="EM1045" s="451" t="n"/>
      <c r="EO1045" s="429" t="n">
        <v>132</v>
      </c>
      <c r="EP1045" s="431" t="n">
        <v>132</v>
      </c>
      <c r="EQ1045" s="688" t="n"/>
      <c r="ER1045" s="431" t="n"/>
      <c r="ES1045" s="451" t="n"/>
      <c r="ET1045" s="451" t="n"/>
      <c r="EU1045" s="451" t="n"/>
      <c r="EW1045" s="429" t="n">
        <v>132</v>
      </c>
      <c r="EX1045" s="431" t="n">
        <v>132</v>
      </c>
      <c r="EY1045" s="688" t="n"/>
      <c r="EZ1045" s="431" t="n"/>
      <c r="FA1045" s="451" t="n"/>
      <c r="FB1045" s="451" t="n"/>
      <c r="FC1045" s="451" t="n"/>
      <c r="FE1045" s="429" t="n">
        <v>132</v>
      </c>
      <c r="FF1045" s="431" t="n">
        <v>132</v>
      </c>
      <c r="FG1045" s="688" t="n"/>
      <c r="FH1045" s="431" t="n"/>
      <c r="FI1045" s="451" t="n"/>
      <c r="FJ1045" s="451" t="n"/>
      <c r="FK1045" s="451" t="n"/>
      <c r="FM1045" s="429" t="n">
        <v>132</v>
      </c>
      <c r="FN1045" s="431" t="n">
        <v>132</v>
      </c>
      <c r="FO1045" s="688" t="n"/>
      <c r="FP1045" s="431" t="n"/>
      <c r="FQ1045" s="451" t="n"/>
      <c r="FR1045" s="451">
        <f>'CIRCUIT SIM'!KY135</f>
        <v/>
      </c>
      <c r="FS1045" s="451" t="n"/>
      <c r="FU1045" s="429" t="n">
        <v>132</v>
      </c>
      <c r="FV1045" s="431" t="n">
        <v>132</v>
      </c>
      <c r="FW1045" s="688" t="n"/>
      <c r="FX1045" s="431" t="n"/>
      <c r="FY1045" s="451" t="n"/>
      <c r="FZ1045" s="562">
        <f>'CIRCUIT SIM'!JG135</f>
        <v/>
      </c>
      <c r="GA1045" s="451" t="n"/>
      <c r="GC1045" s="429" t="n">
        <v>132</v>
      </c>
      <c r="GD1045" s="431" t="n">
        <v>132</v>
      </c>
      <c r="GE1045" s="688" t="n"/>
      <c r="GF1045" s="431" t="n"/>
      <c r="GG1045" s="451" t="n"/>
      <c r="GH1045" s="451" t="n"/>
      <c r="GI1045" s="451" t="n"/>
      <c r="GK1045" s="429" t="n">
        <v>132</v>
      </c>
      <c r="GL1045" s="431" t="n">
        <v>132</v>
      </c>
      <c r="GM1045" s="688" t="n"/>
      <c r="GN1045" s="431" t="n"/>
      <c r="GO1045" s="451" t="n"/>
      <c r="GP1045" s="451" t="n"/>
      <c r="GQ1045" s="451" t="n"/>
      <c r="GS1045" s="429" t="n">
        <v>132</v>
      </c>
      <c r="GT1045" s="431" t="n">
        <v>132</v>
      </c>
      <c r="GU1045" s="688" t="n"/>
      <c r="GV1045" s="431" t="n"/>
      <c r="GW1045" s="451" t="n"/>
      <c r="GX1045" s="451" t="n"/>
      <c r="GY1045" s="451" t="n"/>
      <c r="HA1045" s="429" t="n">
        <v>132</v>
      </c>
      <c r="HB1045" s="431" t="n">
        <v>132</v>
      </c>
      <c r="HC1045" s="688" t="n"/>
      <c r="HD1045" s="431" t="n"/>
      <c r="HE1045" s="451" t="n"/>
      <c r="HF1045" s="451" t="n"/>
      <c r="HG1045" s="451" t="n"/>
    </row>
    <row r="1046">
      <c r="A1046" s="429" t="n">
        <v>133</v>
      </c>
      <c r="B1046" s="431" t="n">
        <v>133</v>
      </c>
      <c r="C1046" s="688" t="n"/>
      <c r="D1046" s="431" t="n"/>
      <c r="E1046" s="429" t="n"/>
      <c r="F1046" s="429" t="n"/>
      <c r="G1046" s="429" t="n"/>
      <c r="I1046" s="429" t="n">
        <v>133</v>
      </c>
      <c r="J1046" s="431" t="n">
        <v>133</v>
      </c>
      <c r="K1046" s="565" t="n">
        <v>132</v>
      </c>
      <c r="L1046" s="431" t="inlineStr">
        <is>
          <t>Boolean</t>
        </is>
      </c>
      <c r="M1046" s="451" t="n"/>
      <c r="N1046" s="422">
        <f>'CIRCUIT SIM'!Y136</f>
        <v/>
      </c>
      <c r="O1046" s="451" t="n"/>
      <c r="Q1046" s="429" t="n">
        <v>133</v>
      </c>
      <c r="R1046" s="431" t="n">
        <v>133</v>
      </c>
      <c r="S1046" s="429" t="n"/>
      <c r="T1046" s="431" t="inlineStr">
        <is>
          <t>Boolean</t>
        </is>
      </c>
      <c r="U1046" s="429" t="n"/>
      <c r="V1046" s="386">
        <f>'CIRCUIT SIM'!AO136</f>
        <v/>
      </c>
      <c r="W1046" s="451" t="n"/>
      <c r="Y1046" s="429" t="n">
        <v>133</v>
      </c>
      <c r="Z1046" s="431" t="n">
        <v>133</v>
      </c>
      <c r="AA1046" s="429" t="n"/>
      <c r="AB1046" s="431" t="n"/>
      <c r="AC1046" s="451" t="n"/>
      <c r="AD1046" s="451" t="n"/>
      <c r="AE1046" s="451" t="n"/>
      <c r="AG1046" s="429" t="n">
        <v>133</v>
      </c>
      <c r="AH1046" s="431" t="n">
        <v>133</v>
      </c>
      <c r="AI1046" s="429" t="n"/>
      <c r="AJ1046" s="431" t="n"/>
      <c r="AK1046" s="451" t="n"/>
      <c r="AL1046" s="451" t="n"/>
      <c r="AM1046" s="451" t="n"/>
      <c r="AO1046" s="429" t="n">
        <v>133</v>
      </c>
      <c r="AP1046" s="431" t="n">
        <v>133</v>
      </c>
      <c r="AQ1046" s="429" t="n"/>
      <c r="AR1046" s="431" t="n"/>
      <c r="AS1046" s="451" t="n"/>
      <c r="AT1046" s="451" t="n"/>
      <c r="AU1046" s="451" t="n"/>
      <c r="AW1046" s="429" t="n">
        <v>133</v>
      </c>
      <c r="AX1046" s="431" t="n">
        <v>133</v>
      </c>
      <c r="AY1046" s="429" t="n"/>
      <c r="AZ1046" s="431" t="n"/>
      <c r="BA1046" s="451" t="n"/>
      <c r="BB1046" s="451">
        <f>'CIRCUIT SIM'!CG136</f>
        <v/>
      </c>
      <c r="BC1046" s="451" t="n"/>
      <c r="BE1046" s="429" t="n">
        <v>133</v>
      </c>
      <c r="BF1046" s="431" t="n"/>
      <c r="BG1046" s="429" t="n"/>
      <c r="BH1046" s="431" t="n"/>
      <c r="BI1046" s="451" t="n"/>
      <c r="BJ1046" s="451" t="n"/>
      <c r="BK1046" s="451" t="n"/>
      <c r="BM1046" s="429" t="n">
        <v>133</v>
      </c>
      <c r="BN1046" s="431" t="n">
        <v>133</v>
      </c>
      <c r="BO1046" s="429" t="n"/>
      <c r="BP1046" s="431" t="n"/>
      <c r="BQ1046" s="451" t="n"/>
      <c r="BR1046" s="451" t="n"/>
      <c r="BS1046" s="451" t="n"/>
      <c r="BU1046" s="429" t="n">
        <v>133</v>
      </c>
      <c r="BV1046" s="431" t="n">
        <v>133</v>
      </c>
      <c r="BW1046" s="429" t="n"/>
      <c r="BX1046" s="431" t="n"/>
      <c r="BY1046" s="451" t="n"/>
      <c r="BZ1046" s="451">
        <f>'CIRCUIT SIM'!EI136</f>
        <v/>
      </c>
      <c r="CA1046" s="451" t="n"/>
      <c r="CC1046" s="429" t="n">
        <v>133</v>
      </c>
      <c r="CD1046" s="431" t="n">
        <v>133</v>
      </c>
      <c r="CE1046" s="688" t="n"/>
      <c r="CF1046" s="431" t="inlineStr">
        <is>
          <t>Boolean</t>
        </is>
      </c>
      <c r="CG1046" s="451" t="n"/>
      <c r="CH1046" s="562">
        <f>'CIRCUIT SIM'!LK136</f>
        <v/>
      </c>
      <c r="CI1046" s="451" t="n"/>
      <c r="CK1046" s="429" t="n">
        <v>133</v>
      </c>
      <c r="CL1046" s="431" t="n">
        <v>133</v>
      </c>
      <c r="CM1046" s="688" t="n"/>
      <c r="CN1046" s="431" t="n"/>
      <c r="CO1046" s="451" t="n"/>
      <c r="CP1046" s="451" t="n"/>
      <c r="CQ1046" s="451" t="n"/>
      <c r="CS1046" s="429" t="n">
        <v>133</v>
      </c>
      <c r="CT1046" s="431" t="n">
        <v>133</v>
      </c>
      <c r="CU1046" s="688" t="n"/>
      <c r="CV1046" s="431" t="inlineStr">
        <is>
          <t>Boolean</t>
        </is>
      </c>
      <c r="CW1046" s="451" t="n"/>
      <c r="CX1046" s="451">
        <f>'CIRCUIT SIM'!MQ136</f>
        <v/>
      </c>
      <c r="CY1046" s="451" t="n"/>
      <c r="DA1046" s="429" t="n">
        <v>133</v>
      </c>
      <c r="DB1046" s="431" t="n">
        <v>133</v>
      </c>
      <c r="DC1046" s="688" t="n"/>
      <c r="DD1046" s="431" t="n"/>
      <c r="DE1046" s="451" t="n"/>
      <c r="DF1046" s="451" t="n"/>
      <c r="DG1046" s="451" t="n"/>
      <c r="DI1046" s="429" t="n">
        <v>133</v>
      </c>
      <c r="DJ1046" s="431" t="n">
        <v>133</v>
      </c>
      <c r="DK1046" s="688" t="n"/>
      <c r="DL1046" s="431" t="n"/>
      <c r="DM1046" s="429" t="n"/>
      <c r="DN1046" s="451" t="n"/>
      <c r="DO1046" s="451" t="n"/>
      <c r="DQ1046" s="429" t="n">
        <v>133</v>
      </c>
      <c r="DR1046" s="431" t="n">
        <v>133</v>
      </c>
      <c r="DS1046" s="688" t="n"/>
      <c r="DT1046" s="431" t="n"/>
      <c r="DU1046" s="451" t="n"/>
      <c r="DV1046" s="451" t="n"/>
      <c r="DW1046" s="451" t="n"/>
      <c r="DY1046" s="429" t="n">
        <v>133</v>
      </c>
      <c r="DZ1046" s="431" t="n">
        <v>133</v>
      </c>
      <c r="EA1046" s="688" t="n"/>
      <c r="EB1046" s="431" t="n"/>
      <c r="EC1046" s="451" t="n"/>
      <c r="ED1046" s="451" t="n"/>
      <c r="EE1046" s="451" t="n"/>
      <c r="EG1046" s="429" t="n">
        <v>133</v>
      </c>
      <c r="EH1046" s="431" t="n">
        <v>133</v>
      </c>
      <c r="EI1046" s="688" t="n"/>
      <c r="EJ1046" s="431" t="n"/>
      <c r="EK1046" s="451" t="n"/>
      <c r="EL1046" s="451" t="n"/>
      <c r="EM1046" s="451" t="n"/>
      <c r="EO1046" s="429" t="n">
        <v>133</v>
      </c>
      <c r="EP1046" s="431" t="n">
        <v>133</v>
      </c>
      <c r="EQ1046" s="688" t="n"/>
      <c r="ER1046" s="431" t="n"/>
      <c r="ES1046" s="451" t="n"/>
      <c r="ET1046" s="451" t="n"/>
      <c r="EU1046" s="451" t="n"/>
      <c r="EW1046" s="429" t="n">
        <v>133</v>
      </c>
      <c r="EX1046" s="431" t="n">
        <v>133</v>
      </c>
      <c r="EY1046" s="688" t="n"/>
      <c r="EZ1046" s="431" t="n"/>
      <c r="FA1046" s="451" t="n"/>
      <c r="FB1046" s="451" t="n"/>
      <c r="FC1046" s="451" t="n"/>
      <c r="FE1046" s="429" t="n">
        <v>133</v>
      </c>
      <c r="FF1046" s="431" t="n">
        <v>133</v>
      </c>
      <c r="FG1046" s="688" t="n"/>
      <c r="FH1046" s="431" t="n"/>
      <c r="FI1046" s="451" t="n"/>
      <c r="FJ1046" s="451" t="n"/>
      <c r="FK1046" s="451" t="n"/>
      <c r="FM1046" s="429" t="n">
        <v>133</v>
      </c>
      <c r="FN1046" s="431" t="n">
        <v>133</v>
      </c>
      <c r="FO1046" s="688" t="n"/>
      <c r="FP1046" s="431" t="n"/>
      <c r="FQ1046" s="451" t="n"/>
      <c r="FR1046" s="451">
        <f>'CIRCUIT SIM'!KY136</f>
        <v/>
      </c>
      <c r="FS1046" s="451" t="n"/>
      <c r="FU1046" s="429" t="n">
        <v>133</v>
      </c>
      <c r="FV1046" s="431" t="n">
        <v>133</v>
      </c>
      <c r="FW1046" s="688" t="n"/>
      <c r="FX1046" s="431" t="n"/>
      <c r="FY1046" s="451" t="n"/>
      <c r="FZ1046" s="562">
        <f>'CIRCUIT SIM'!JG136</f>
        <v/>
      </c>
      <c r="GA1046" s="451" t="n"/>
      <c r="GC1046" s="429" t="n">
        <v>133</v>
      </c>
      <c r="GD1046" s="431" t="n">
        <v>133</v>
      </c>
      <c r="GE1046" s="688" t="n"/>
      <c r="GF1046" s="431" t="n"/>
      <c r="GG1046" s="451" t="n"/>
      <c r="GH1046" s="451" t="n"/>
      <c r="GI1046" s="451" t="n"/>
      <c r="GK1046" s="429" t="n">
        <v>133</v>
      </c>
      <c r="GL1046" s="431" t="n">
        <v>133</v>
      </c>
      <c r="GM1046" s="688" t="n"/>
      <c r="GN1046" s="431" t="n"/>
      <c r="GO1046" s="451" t="n"/>
      <c r="GP1046" s="451" t="n"/>
      <c r="GQ1046" s="451" t="n"/>
      <c r="GS1046" s="429" t="n">
        <v>133</v>
      </c>
      <c r="GT1046" s="431" t="n">
        <v>133</v>
      </c>
      <c r="GU1046" s="688" t="n"/>
      <c r="GV1046" s="431" t="n"/>
      <c r="GW1046" s="451" t="n"/>
      <c r="GX1046" s="451" t="n"/>
      <c r="GY1046" s="451" t="n"/>
      <c r="HA1046" s="429" t="n">
        <v>133</v>
      </c>
      <c r="HB1046" s="431" t="n">
        <v>133</v>
      </c>
      <c r="HC1046" s="688" t="n"/>
      <c r="HD1046" s="431" t="n"/>
      <c r="HE1046" s="451" t="n"/>
      <c r="HF1046" s="451" t="n"/>
      <c r="HG1046" s="451" t="n"/>
    </row>
    <row r="1047">
      <c r="A1047" s="429" t="n">
        <v>134</v>
      </c>
      <c r="B1047" s="431" t="n">
        <v>134</v>
      </c>
      <c r="C1047" s="688" t="n"/>
      <c r="D1047" s="431" t="n"/>
      <c r="E1047" s="429" t="n"/>
      <c r="F1047" s="429" t="n"/>
      <c r="G1047" s="429" t="n"/>
      <c r="I1047" s="429" t="n">
        <v>134</v>
      </c>
      <c r="J1047" s="431" t="n">
        <v>134</v>
      </c>
      <c r="K1047" s="565" t="n">
        <v>133</v>
      </c>
      <c r="L1047" s="431" t="inlineStr">
        <is>
          <t>Boolean</t>
        </is>
      </c>
      <c r="M1047" s="451" t="n"/>
      <c r="N1047" s="422">
        <f>'CIRCUIT SIM'!Y137</f>
        <v/>
      </c>
      <c r="O1047" s="451" t="n"/>
      <c r="Q1047" s="429" t="n">
        <v>134</v>
      </c>
      <c r="R1047" s="431" t="n">
        <v>134</v>
      </c>
      <c r="S1047" s="429" t="n"/>
      <c r="T1047" s="431" t="inlineStr">
        <is>
          <t>Boolean</t>
        </is>
      </c>
      <c r="U1047" s="429" t="n"/>
      <c r="V1047" s="386">
        <f>'CIRCUIT SIM'!AO137</f>
        <v/>
      </c>
      <c r="W1047" s="451" t="n"/>
      <c r="Y1047" s="429" t="n">
        <v>134</v>
      </c>
      <c r="Z1047" s="431" t="n">
        <v>134</v>
      </c>
      <c r="AA1047" s="429" t="n"/>
      <c r="AB1047" s="431" t="n"/>
      <c r="AC1047" s="451" t="n"/>
      <c r="AD1047" s="451" t="n"/>
      <c r="AE1047" s="451" t="n"/>
      <c r="AG1047" s="429" t="n">
        <v>134</v>
      </c>
      <c r="AH1047" s="431" t="n">
        <v>134</v>
      </c>
      <c r="AI1047" s="429" t="n"/>
      <c r="AJ1047" s="431" t="n"/>
      <c r="AK1047" s="451" t="n"/>
      <c r="AL1047" s="451" t="n"/>
      <c r="AM1047" s="451" t="n"/>
      <c r="AO1047" s="429" t="n">
        <v>134</v>
      </c>
      <c r="AP1047" s="431" t="n">
        <v>134</v>
      </c>
      <c r="AQ1047" s="429" t="n"/>
      <c r="AR1047" s="431" t="n"/>
      <c r="AS1047" s="451" t="n"/>
      <c r="AT1047" s="451" t="n"/>
      <c r="AU1047" s="451" t="n"/>
      <c r="AW1047" s="429" t="n">
        <v>134</v>
      </c>
      <c r="AX1047" s="431" t="n">
        <v>134</v>
      </c>
      <c r="AY1047" s="429" t="n"/>
      <c r="AZ1047" s="431" t="n"/>
      <c r="BA1047" s="451" t="n"/>
      <c r="BB1047" s="451">
        <f>'CIRCUIT SIM'!CG137</f>
        <v/>
      </c>
      <c r="BC1047" s="451" t="n"/>
      <c r="BE1047" s="429" t="n">
        <v>134</v>
      </c>
      <c r="BF1047" s="431" t="n"/>
      <c r="BG1047" s="429" t="n"/>
      <c r="BH1047" s="431" t="n"/>
      <c r="BI1047" s="451" t="n"/>
      <c r="BJ1047" s="451" t="n"/>
      <c r="BK1047" s="451" t="n"/>
      <c r="BM1047" s="429" t="n">
        <v>134</v>
      </c>
      <c r="BN1047" s="431" t="n">
        <v>134</v>
      </c>
      <c r="BO1047" s="429" t="n"/>
      <c r="BP1047" s="431" t="n"/>
      <c r="BQ1047" s="451" t="n"/>
      <c r="BR1047" s="451" t="n"/>
      <c r="BS1047" s="451" t="n"/>
      <c r="BU1047" s="429" t="n">
        <v>134</v>
      </c>
      <c r="BV1047" s="431" t="n">
        <v>134</v>
      </c>
      <c r="BW1047" s="429" t="n"/>
      <c r="BX1047" s="431" t="n"/>
      <c r="BY1047" s="451" t="n"/>
      <c r="BZ1047" s="451">
        <f>'CIRCUIT SIM'!EI137</f>
        <v/>
      </c>
      <c r="CA1047" s="451" t="n"/>
      <c r="CC1047" s="429" t="n">
        <v>134</v>
      </c>
      <c r="CD1047" s="431" t="n">
        <v>134</v>
      </c>
      <c r="CE1047" s="688" t="n"/>
      <c r="CF1047" s="431" t="inlineStr">
        <is>
          <t>Boolean</t>
        </is>
      </c>
      <c r="CG1047" s="451" t="n"/>
      <c r="CH1047" s="562">
        <f>'CIRCUIT SIM'!LK137</f>
        <v/>
      </c>
      <c r="CI1047" s="451" t="n"/>
      <c r="CK1047" s="429" t="n">
        <v>134</v>
      </c>
      <c r="CL1047" s="431" t="n">
        <v>134</v>
      </c>
      <c r="CM1047" s="688" t="n"/>
      <c r="CN1047" s="431" t="n"/>
      <c r="CO1047" s="451" t="n"/>
      <c r="CP1047" s="451" t="n"/>
      <c r="CQ1047" s="451" t="n"/>
      <c r="CS1047" s="429" t="n">
        <v>134</v>
      </c>
      <c r="CT1047" s="431" t="n">
        <v>134</v>
      </c>
      <c r="CU1047" s="688" t="n"/>
      <c r="CV1047" s="431" t="inlineStr">
        <is>
          <t>Boolean</t>
        </is>
      </c>
      <c r="CW1047" s="451" t="n"/>
      <c r="CX1047" s="451">
        <f>'CIRCUIT SIM'!MQ137</f>
        <v/>
      </c>
      <c r="CY1047" s="451" t="n"/>
      <c r="DA1047" s="429" t="n">
        <v>134</v>
      </c>
      <c r="DB1047" s="431" t="n">
        <v>134</v>
      </c>
      <c r="DC1047" s="688" t="n"/>
      <c r="DD1047" s="431" t="n"/>
      <c r="DE1047" s="451" t="n"/>
      <c r="DF1047" s="451" t="n"/>
      <c r="DG1047" s="451" t="n"/>
      <c r="DI1047" s="429" t="n">
        <v>134</v>
      </c>
      <c r="DJ1047" s="431" t="n">
        <v>134</v>
      </c>
      <c r="DK1047" s="688" t="n"/>
      <c r="DL1047" s="431" t="n"/>
      <c r="DM1047" s="429" t="n"/>
      <c r="DN1047" s="451" t="n"/>
      <c r="DO1047" s="451" t="n"/>
      <c r="DQ1047" s="429" t="n">
        <v>134</v>
      </c>
      <c r="DR1047" s="431" t="n">
        <v>134</v>
      </c>
      <c r="DS1047" s="688" t="n"/>
      <c r="DT1047" s="431" t="n"/>
      <c r="DU1047" s="451" t="n"/>
      <c r="DV1047" s="451" t="n"/>
      <c r="DW1047" s="451" t="n"/>
      <c r="DY1047" s="429" t="n">
        <v>134</v>
      </c>
      <c r="DZ1047" s="431" t="n">
        <v>134</v>
      </c>
      <c r="EA1047" s="688" t="n"/>
      <c r="EB1047" s="431" t="n"/>
      <c r="EC1047" s="451" t="n"/>
      <c r="ED1047" s="451" t="n"/>
      <c r="EE1047" s="451" t="n"/>
      <c r="EG1047" s="429" t="n">
        <v>134</v>
      </c>
      <c r="EH1047" s="431" t="n">
        <v>134</v>
      </c>
      <c r="EI1047" s="688" t="n"/>
      <c r="EJ1047" s="431" t="n"/>
      <c r="EK1047" s="451" t="n"/>
      <c r="EL1047" s="451" t="n"/>
      <c r="EM1047" s="451" t="n"/>
      <c r="EO1047" s="429" t="n">
        <v>134</v>
      </c>
      <c r="EP1047" s="431" t="n">
        <v>134</v>
      </c>
      <c r="EQ1047" s="688" t="n"/>
      <c r="ER1047" s="431" t="n"/>
      <c r="ES1047" s="451" t="n"/>
      <c r="ET1047" s="451" t="n"/>
      <c r="EU1047" s="451" t="n"/>
      <c r="EW1047" s="429" t="n">
        <v>134</v>
      </c>
      <c r="EX1047" s="431" t="n">
        <v>134</v>
      </c>
      <c r="EY1047" s="688" t="n"/>
      <c r="EZ1047" s="431" t="n"/>
      <c r="FA1047" s="451" t="n"/>
      <c r="FB1047" s="451" t="n"/>
      <c r="FC1047" s="451" t="n"/>
      <c r="FE1047" s="429" t="n">
        <v>134</v>
      </c>
      <c r="FF1047" s="431" t="n">
        <v>134</v>
      </c>
      <c r="FG1047" s="688" t="n"/>
      <c r="FH1047" s="431" t="n"/>
      <c r="FI1047" s="451" t="n"/>
      <c r="FJ1047" s="451" t="n"/>
      <c r="FK1047" s="451" t="n"/>
      <c r="FM1047" s="429" t="n">
        <v>134</v>
      </c>
      <c r="FN1047" s="431" t="n">
        <v>134</v>
      </c>
      <c r="FO1047" s="688" t="n"/>
      <c r="FP1047" s="431" t="n"/>
      <c r="FQ1047" s="451" t="n"/>
      <c r="FR1047" s="451">
        <f>'CIRCUIT SIM'!KY137</f>
        <v/>
      </c>
      <c r="FS1047" s="451" t="n"/>
      <c r="FU1047" s="429" t="n">
        <v>134</v>
      </c>
      <c r="FV1047" s="431" t="n">
        <v>134</v>
      </c>
      <c r="FW1047" s="688" t="n"/>
      <c r="FX1047" s="431" t="n"/>
      <c r="FY1047" s="451" t="n"/>
      <c r="FZ1047" s="562">
        <f>'CIRCUIT SIM'!JG137</f>
        <v/>
      </c>
      <c r="GA1047" s="451" t="n"/>
      <c r="GC1047" s="429" t="n">
        <v>134</v>
      </c>
      <c r="GD1047" s="431" t="n">
        <v>134</v>
      </c>
      <c r="GE1047" s="688" t="n"/>
      <c r="GF1047" s="431" t="n"/>
      <c r="GG1047" s="451" t="n"/>
      <c r="GH1047" s="451" t="n"/>
      <c r="GI1047" s="451" t="n"/>
      <c r="GK1047" s="429" t="n">
        <v>134</v>
      </c>
      <c r="GL1047" s="431" t="n">
        <v>134</v>
      </c>
      <c r="GM1047" s="688" t="n"/>
      <c r="GN1047" s="431" t="n"/>
      <c r="GO1047" s="451" t="n"/>
      <c r="GP1047" s="451" t="n"/>
      <c r="GQ1047" s="451" t="n"/>
      <c r="GS1047" s="429" t="n">
        <v>134</v>
      </c>
      <c r="GT1047" s="431" t="n">
        <v>134</v>
      </c>
      <c r="GU1047" s="688" t="n"/>
      <c r="GV1047" s="431" t="n"/>
      <c r="GW1047" s="451" t="n"/>
      <c r="GX1047" s="451" t="n"/>
      <c r="GY1047" s="451" t="n"/>
      <c r="HA1047" s="429" t="n">
        <v>134</v>
      </c>
      <c r="HB1047" s="431" t="n">
        <v>134</v>
      </c>
      <c r="HC1047" s="688" t="n"/>
      <c r="HD1047" s="431" t="n"/>
      <c r="HE1047" s="451" t="n"/>
      <c r="HF1047" s="451" t="n"/>
      <c r="HG1047" s="451" t="n"/>
    </row>
    <row r="1048">
      <c r="A1048" s="429" t="n">
        <v>135</v>
      </c>
      <c r="B1048" s="431" t="n">
        <v>135</v>
      </c>
      <c r="C1048" s="688" t="n"/>
      <c r="D1048" s="431" t="n"/>
      <c r="E1048" s="429" t="n"/>
      <c r="F1048" s="429" t="n"/>
      <c r="G1048" s="429" t="n"/>
      <c r="I1048" s="429" t="n">
        <v>135</v>
      </c>
      <c r="J1048" s="431" t="n">
        <v>135</v>
      </c>
      <c r="K1048" s="565" t="n">
        <v>134</v>
      </c>
      <c r="L1048" s="431" t="inlineStr">
        <is>
          <t>Boolean</t>
        </is>
      </c>
      <c r="M1048" s="451" t="n"/>
      <c r="N1048" s="422">
        <f>'CIRCUIT SIM'!Y138</f>
        <v/>
      </c>
      <c r="O1048" s="451" t="n"/>
      <c r="Q1048" s="429" t="n">
        <v>135</v>
      </c>
      <c r="R1048" s="431" t="n">
        <v>135</v>
      </c>
      <c r="S1048" s="429" t="n"/>
      <c r="T1048" s="431" t="inlineStr">
        <is>
          <t>Boolean</t>
        </is>
      </c>
      <c r="U1048" s="429" t="n"/>
      <c r="V1048" s="386">
        <f>'CIRCUIT SIM'!AO138</f>
        <v/>
      </c>
      <c r="W1048" s="451" t="n"/>
      <c r="Y1048" s="429" t="n">
        <v>135</v>
      </c>
      <c r="Z1048" s="431" t="n">
        <v>135</v>
      </c>
      <c r="AA1048" s="429" t="n"/>
      <c r="AB1048" s="431" t="n"/>
      <c r="AC1048" s="451" t="n"/>
      <c r="AD1048" s="451" t="n"/>
      <c r="AE1048" s="451" t="n"/>
      <c r="AG1048" s="429" t="n">
        <v>135</v>
      </c>
      <c r="AH1048" s="431" t="n">
        <v>135</v>
      </c>
      <c r="AI1048" s="429" t="n"/>
      <c r="AJ1048" s="431" t="n"/>
      <c r="AK1048" s="451" t="n"/>
      <c r="AL1048" s="451" t="n"/>
      <c r="AM1048" s="451" t="n"/>
      <c r="AO1048" s="429" t="n">
        <v>135</v>
      </c>
      <c r="AP1048" s="431" t="n">
        <v>135</v>
      </c>
      <c r="AQ1048" s="429" t="n"/>
      <c r="AR1048" s="431" t="n"/>
      <c r="AS1048" s="451" t="n"/>
      <c r="AT1048" s="451" t="n"/>
      <c r="AU1048" s="451" t="n"/>
      <c r="AW1048" s="429" t="n">
        <v>135</v>
      </c>
      <c r="AX1048" s="431" t="n">
        <v>135</v>
      </c>
      <c r="AY1048" s="429" t="n"/>
      <c r="AZ1048" s="431" t="n"/>
      <c r="BA1048" s="451" t="n"/>
      <c r="BB1048" s="451">
        <f>'CIRCUIT SIM'!CG138</f>
        <v/>
      </c>
      <c r="BC1048" s="451" t="n"/>
      <c r="BE1048" s="429" t="n">
        <v>135</v>
      </c>
      <c r="BF1048" s="431" t="n"/>
      <c r="BG1048" s="429" t="n"/>
      <c r="BH1048" s="431" t="n"/>
      <c r="BI1048" s="451" t="n"/>
      <c r="BJ1048" s="451" t="n"/>
      <c r="BK1048" s="451" t="n"/>
      <c r="BM1048" s="429" t="n">
        <v>135</v>
      </c>
      <c r="BN1048" s="431" t="n">
        <v>135</v>
      </c>
      <c r="BO1048" s="429" t="n"/>
      <c r="BP1048" s="431" t="n"/>
      <c r="BQ1048" s="451" t="n"/>
      <c r="BR1048" s="451" t="n"/>
      <c r="BS1048" s="451" t="n"/>
      <c r="BU1048" s="429" t="n">
        <v>135</v>
      </c>
      <c r="BV1048" s="431" t="n">
        <v>135</v>
      </c>
      <c r="BW1048" s="429" t="n"/>
      <c r="BX1048" s="431" t="n"/>
      <c r="BY1048" s="451" t="n"/>
      <c r="BZ1048" s="451">
        <f>'CIRCUIT SIM'!EI138</f>
        <v/>
      </c>
      <c r="CA1048" s="451" t="n"/>
      <c r="CC1048" s="429" t="n">
        <v>135</v>
      </c>
      <c r="CD1048" s="431" t="n">
        <v>135</v>
      </c>
      <c r="CE1048" s="688" t="n"/>
      <c r="CF1048" s="431" t="inlineStr">
        <is>
          <t>Boolean</t>
        </is>
      </c>
      <c r="CG1048" s="451" t="n"/>
      <c r="CH1048" s="562">
        <f>'CIRCUIT SIM'!LK138</f>
        <v/>
      </c>
      <c r="CI1048" s="451" t="n"/>
      <c r="CK1048" s="429" t="n">
        <v>135</v>
      </c>
      <c r="CL1048" s="431" t="n">
        <v>135</v>
      </c>
      <c r="CM1048" s="688" t="n"/>
      <c r="CN1048" s="431" t="n"/>
      <c r="CO1048" s="451" t="n"/>
      <c r="CP1048" s="451" t="n"/>
      <c r="CQ1048" s="451" t="n"/>
      <c r="CS1048" s="429" t="n">
        <v>135</v>
      </c>
      <c r="CT1048" s="431" t="n">
        <v>135</v>
      </c>
      <c r="CU1048" s="688" t="n"/>
      <c r="CV1048" s="431" t="inlineStr">
        <is>
          <t>Boolean</t>
        </is>
      </c>
      <c r="CW1048" s="451" t="n"/>
      <c r="CX1048" s="451">
        <f>'CIRCUIT SIM'!MQ138</f>
        <v/>
      </c>
      <c r="CY1048" s="451" t="n"/>
      <c r="DA1048" s="429" t="n">
        <v>135</v>
      </c>
      <c r="DB1048" s="431" t="n">
        <v>135</v>
      </c>
      <c r="DC1048" s="688" t="n"/>
      <c r="DD1048" s="431" t="n"/>
      <c r="DE1048" s="451" t="n"/>
      <c r="DF1048" s="451" t="n"/>
      <c r="DG1048" s="451" t="n"/>
      <c r="DI1048" s="429" t="n">
        <v>135</v>
      </c>
      <c r="DJ1048" s="431" t="n">
        <v>135</v>
      </c>
      <c r="DK1048" s="688" t="n"/>
      <c r="DL1048" s="431" t="n"/>
      <c r="DM1048" s="429" t="n"/>
      <c r="DN1048" s="451" t="n"/>
      <c r="DO1048" s="451" t="n"/>
      <c r="DQ1048" s="429" t="n">
        <v>135</v>
      </c>
      <c r="DR1048" s="431" t="n">
        <v>135</v>
      </c>
      <c r="DS1048" s="688" t="n"/>
      <c r="DT1048" s="431" t="n"/>
      <c r="DU1048" s="451" t="n"/>
      <c r="DV1048" s="451" t="n"/>
      <c r="DW1048" s="451" t="n"/>
      <c r="DY1048" s="429" t="n">
        <v>135</v>
      </c>
      <c r="DZ1048" s="431" t="n">
        <v>135</v>
      </c>
      <c r="EA1048" s="688" t="n"/>
      <c r="EB1048" s="431" t="n"/>
      <c r="EC1048" s="451" t="n"/>
      <c r="ED1048" s="451" t="n"/>
      <c r="EE1048" s="451" t="n"/>
      <c r="EG1048" s="429" t="n">
        <v>135</v>
      </c>
      <c r="EH1048" s="431" t="n">
        <v>135</v>
      </c>
      <c r="EI1048" s="688" t="n"/>
      <c r="EJ1048" s="431" t="n"/>
      <c r="EK1048" s="451" t="n"/>
      <c r="EL1048" s="451" t="n"/>
      <c r="EM1048" s="451" t="n"/>
      <c r="EO1048" s="429" t="n">
        <v>135</v>
      </c>
      <c r="EP1048" s="431" t="n">
        <v>135</v>
      </c>
      <c r="EQ1048" s="688" t="n"/>
      <c r="ER1048" s="431" t="n"/>
      <c r="ES1048" s="451" t="n"/>
      <c r="ET1048" s="451" t="n"/>
      <c r="EU1048" s="451" t="n"/>
      <c r="EW1048" s="429" t="n">
        <v>135</v>
      </c>
      <c r="EX1048" s="431" t="n">
        <v>135</v>
      </c>
      <c r="EY1048" s="688" t="n"/>
      <c r="EZ1048" s="431" t="n"/>
      <c r="FA1048" s="451" t="n"/>
      <c r="FB1048" s="451" t="n"/>
      <c r="FC1048" s="451" t="n"/>
      <c r="FE1048" s="429" t="n">
        <v>135</v>
      </c>
      <c r="FF1048" s="431" t="n">
        <v>135</v>
      </c>
      <c r="FG1048" s="688" t="n"/>
      <c r="FH1048" s="431" t="n"/>
      <c r="FI1048" s="451" t="n"/>
      <c r="FJ1048" s="451" t="n"/>
      <c r="FK1048" s="451" t="n"/>
      <c r="FM1048" s="429" t="n">
        <v>135</v>
      </c>
      <c r="FN1048" s="431" t="n">
        <v>135</v>
      </c>
      <c r="FO1048" s="688" t="n"/>
      <c r="FP1048" s="431" t="n"/>
      <c r="FQ1048" s="451" t="n"/>
      <c r="FR1048" s="451">
        <f>'CIRCUIT SIM'!KY138</f>
        <v/>
      </c>
      <c r="FS1048" s="451" t="n"/>
      <c r="FU1048" s="429" t="n">
        <v>135</v>
      </c>
      <c r="FV1048" s="431" t="n">
        <v>135</v>
      </c>
      <c r="FW1048" s="688" t="n"/>
      <c r="FX1048" s="431" t="n"/>
      <c r="FY1048" s="451" t="n"/>
      <c r="FZ1048" s="562">
        <f>'CIRCUIT SIM'!JG138</f>
        <v/>
      </c>
      <c r="GA1048" s="451" t="n"/>
      <c r="GC1048" s="429" t="n">
        <v>135</v>
      </c>
      <c r="GD1048" s="431" t="n">
        <v>135</v>
      </c>
      <c r="GE1048" s="688" t="n"/>
      <c r="GF1048" s="431" t="n"/>
      <c r="GG1048" s="451" t="n"/>
      <c r="GH1048" s="451" t="n"/>
      <c r="GI1048" s="451" t="n"/>
      <c r="GK1048" s="429" t="n">
        <v>135</v>
      </c>
      <c r="GL1048" s="431" t="n">
        <v>135</v>
      </c>
      <c r="GM1048" s="688" t="n"/>
      <c r="GN1048" s="431" t="n"/>
      <c r="GO1048" s="451" t="n"/>
      <c r="GP1048" s="451" t="n"/>
      <c r="GQ1048" s="451" t="n"/>
      <c r="GS1048" s="429" t="n">
        <v>135</v>
      </c>
      <c r="GT1048" s="431" t="n">
        <v>135</v>
      </c>
      <c r="GU1048" s="688" t="n"/>
      <c r="GV1048" s="431" t="n"/>
      <c r="GW1048" s="451" t="n"/>
      <c r="GX1048" s="451" t="n"/>
      <c r="GY1048" s="451" t="n"/>
      <c r="HA1048" s="429" t="n">
        <v>135</v>
      </c>
      <c r="HB1048" s="431" t="n">
        <v>135</v>
      </c>
      <c r="HC1048" s="688" t="n"/>
      <c r="HD1048" s="431" t="n"/>
      <c r="HE1048" s="451" t="n"/>
      <c r="HF1048" s="451" t="n"/>
      <c r="HG1048" s="451" t="n"/>
    </row>
    <row r="1049">
      <c r="A1049" s="429" t="n">
        <v>136</v>
      </c>
      <c r="B1049" s="431" t="n">
        <v>136</v>
      </c>
      <c r="C1049" s="688" t="n"/>
      <c r="D1049" s="431" t="n"/>
      <c r="E1049" s="429" t="n"/>
      <c r="F1049" s="429" t="n"/>
      <c r="G1049" s="429" t="n"/>
      <c r="I1049" s="429" t="n">
        <v>136</v>
      </c>
      <c r="J1049" s="431" t="n">
        <v>136</v>
      </c>
      <c r="K1049" s="565" t="n">
        <v>135</v>
      </c>
      <c r="L1049" s="431" t="inlineStr">
        <is>
          <t>Boolean</t>
        </is>
      </c>
      <c r="M1049" s="451" t="n"/>
      <c r="N1049" s="422">
        <f>'CIRCUIT SIM'!Y139</f>
        <v/>
      </c>
      <c r="O1049" s="451" t="n"/>
      <c r="Q1049" s="429" t="n">
        <v>136</v>
      </c>
      <c r="R1049" s="431" t="n">
        <v>136</v>
      </c>
      <c r="S1049" s="429" t="n"/>
      <c r="T1049" s="431" t="inlineStr">
        <is>
          <t>Boolean</t>
        </is>
      </c>
      <c r="U1049" s="429" t="n"/>
      <c r="V1049" s="386">
        <f>'CIRCUIT SIM'!AO139</f>
        <v/>
      </c>
      <c r="W1049" s="451" t="n"/>
      <c r="Y1049" s="429" t="n">
        <v>136</v>
      </c>
      <c r="Z1049" s="431" t="n">
        <v>136</v>
      </c>
      <c r="AA1049" s="429" t="n"/>
      <c r="AB1049" s="431" t="n"/>
      <c r="AC1049" s="451" t="n"/>
      <c r="AD1049" s="451" t="n"/>
      <c r="AE1049" s="451" t="n"/>
      <c r="AG1049" s="429" t="n">
        <v>136</v>
      </c>
      <c r="AH1049" s="431" t="n">
        <v>136</v>
      </c>
      <c r="AI1049" s="429" t="n"/>
      <c r="AJ1049" s="431" t="n"/>
      <c r="AK1049" s="451" t="n"/>
      <c r="AL1049" s="451" t="n"/>
      <c r="AM1049" s="451" t="n"/>
      <c r="AO1049" s="429" t="n">
        <v>136</v>
      </c>
      <c r="AP1049" s="431" t="n">
        <v>136</v>
      </c>
      <c r="AQ1049" s="429" t="n"/>
      <c r="AR1049" s="431" t="n"/>
      <c r="AS1049" s="451" t="n"/>
      <c r="AT1049" s="451" t="n"/>
      <c r="AU1049" s="451" t="n"/>
      <c r="AW1049" s="429" t="n">
        <v>136</v>
      </c>
      <c r="AX1049" s="431" t="n">
        <v>136</v>
      </c>
      <c r="AY1049" s="429" t="n"/>
      <c r="AZ1049" s="431" t="n"/>
      <c r="BA1049" s="451" t="n"/>
      <c r="BB1049" s="451">
        <f>'CIRCUIT SIM'!CG139</f>
        <v/>
      </c>
      <c r="BC1049" s="451" t="n"/>
      <c r="BE1049" s="429" t="n">
        <v>136</v>
      </c>
      <c r="BF1049" s="431" t="n"/>
      <c r="BG1049" s="429" t="n"/>
      <c r="BH1049" s="431" t="n"/>
      <c r="BI1049" s="451" t="n"/>
      <c r="BJ1049" s="451" t="n"/>
      <c r="BK1049" s="451" t="n"/>
      <c r="BM1049" s="429" t="n">
        <v>136</v>
      </c>
      <c r="BN1049" s="431" t="n">
        <v>136</v>
      </c>
      <c r="BO1049" s="429" t="n"/>
      <c r="BP1049" s="431" t="n"/>
      <c r="BQ1049" s="451" t="n"/>
      <c r="BR1049" s="451" t="n"/>
      <c r="BS1049" s="451" t="n"/>
      <c r="BU1049" s="429" t="n">
        <v>136</v>
      </c>
      <c r="BV1049" s="431" t="n">
        <v>136</v>
      </c>
      <c r="BW1049" s="429" t="n"/>
      <c r="BX1049" s="431" t="n"/>
      <c r="BY1049" s="451" t="n"/>
      <c r="BZ1049" s="451">
        <f>'CIRCUIT SIM'!EI139</f>
        <v/>
      </c>
      <c r="CA1049" s="451" t="n"/>
      <c r="CC1049" s="429" t="n">
        <v>136</v>
      </c>
      <c r="CD1049" s="431" t="n">
        <v>136</v>
      </c>
      <c r="CE1049" s="688" t="n"/>
      <c r="CF1049" s="431" t="inlineStr">
        <is>
          <t>Boolean</t>
        </is>
      </c>
      <c r="CG1049" s="451" t="n"/>
      <c r="CH1049" s="562">
        <f>'CIRCUIT SIM'!LK139</f>
        <v/>
      </c>
      <c r="CI1049" s="451" t="n"/>
      <c r="CK1049" s="429" t="n">
        <v>136</v>
      </c>
      <c r="CL1049" s="431" t="n">
        <v>136</v>
      </c>
      <c r="CM1049" s="688" t="n"/>
      <c r="CN1049" s="431" t="n"/>
      <c r="CO1049" s="451" t="n"/>
      <c r="CP1049" s="451" t="n"/>
      <c r="CQ1049" s="451" t="n"/>
      <c r="CS1049" s="429" t="n">
        <v>136</v>
      </c>
      <c r="CT1049" s="431" t="n">
        <v>136</v>
      </c>
      <c r="CU1049" s="688" t="n"/>
      <c r="CV1049" s="431" t="inlineStr">
        <is>
          <t>Boolean</t>
        </is>
      </c>
      <c r="CW1049" s="451" t="n"/>
      <c r="CX1049" s="451">
        <f>'CIRCUIT SIM'!MQ139</f>
        <v/>
      </c>
      <c r="CY1049" s="451" t="n"/>
      <c r="DA1049" s="429" t="n">
        <v>136</v>
      </c>
      <c r="DB1049" s="431" t="n">
        <v>136</v>
      </c>
      <c r="DC1049" s="688" t="n"/>
      <c r="DD1049" s="431" t="n"/>
      <c r="DE1049" s="451" t="n"/>
      <c r="DF1049" s="451" t="n"/>
      <c r="DG1049" s="451" t="n"/>
      <c r="DI1049" s="429" t="n">
        <v>136</v>
      </c>
      <c r="DJ1049" s="431" t="n">
        <v>136</v>
      </c>
      <c r="DK1049" s="688" t="n"/>
      <c r="DL1049" s="431" t="n"/>
      <c r="DM1049" s="429" t="n"/>
      <c r="DN1049" s="451" t="n"/>
      <c r="DO1049" s="451" t="n"/>
      <c r="DQ1049" s="429" t="n">
        <v>136</v>
      </c>
      <c r="DR1049" s="431" t="n">
        <v>136</v>
      </c>
      <c r="DS1049" s="688" t="n"/>
      <c r="DT1049" s="431" t="n"/>
      <c r="DU1049" s="451" t="n"/>
      <c r="DV1049" s="451" t="n"/>
      <c r="DW1049" s="451" t="n"/>
      <c r="DY1049" s="429" t="n">
        <v>136</v>
      </c>
      <c r="DZ1049" s="431" t="n">
        <v>136</v>
      </c>
      <c r="EA1049" s="688" t="n"/>
      <c r="EB1049" s="431" t="n"/>
      <c r="EC1049" s="451" t="n"/>
      <c r="ED1049" s="451" t="n"/>
      <c r="EE1049" s="451" t="n"/>
      <c r="EG1049" s="429" t="n">
        <v>136</v>
      </c>
      <c r="EH1049" s="431" t="n">
        <v>136</v>
      </c>
      <c r="EI1049" s="688" t="n"/>
      <c r="EJ1049" s="431" t="n"/>
      <c r="EK1049" s="451" t="n"/>
      <c r="EL1049" s="451" t="n"/>
      <c r="EM1049" s="451" t="n"/>
      <c r="EO1049" s="429" t="n">
        <v>136</v>
      </c>
      <c r="EP1049" s="431" t="n">
        <v>136</v>
      </c>
      <c r="EQ1049" s="688" t="n"/>
      <c r="ER1049" s="431" t="n"/>
      <c r="ES1049" s="451" t="n"/>
      <c r="ET1049" s="451" t="n"/>
      <c r="EU1049" s="451" t="n"/>
      <c r="EW1049" s="429" t="n">
        <v>136</v>
      </c>
      <c r="EX1049" s="431" t="n">
        <v>136</v>
      </c>
      <c r="EY1049" s="688" t="n"/>
      <c r="EZ1049" s="431" t="n"/>
      <c r="FA1049" s="451" t="n"/>
      <c r="FB1049" s="451" t="n"/>
      <c r="FC1049" s="451" t="n"/>
      <c r="FE1049" s="429" t="n">
        <v>136</v>
      </c>
      <c r="FF1049" s="431" t="n">
        <v>136</v>
      </c>
      <c r="FG1049" s="688" t="n"/>
      <c r="FH1049" s="431" t="n"/>
      <c r="FI1049" s="451" t="n"/>
      <c r="FJ1049" s="451" t="n"/>
      <c r="FK1049" s="451" t="n"/>
      <c r="FM1049" s="429" t="n">
        <v>136</v>
      </c>
      <c r="FN1049" s="431" t="n">
        <v>136</v>
      </c>
      <c r="FO1049" s="688" t="n"/>
      <c r="FP1049" s="431" t="n"/>
      <c r="FQ1049" s="451" t="n"/>
      <c r="FR1049" s="451">
        <f>'CIRCUIT SIM'!KY139</f>
        <v/>
      </c>
      <c r="FS1049" s="451" t="n"/>
      <c r="FU1049" s="429" t="n">
        <v>136</v>
      </c>
      <c r="FV1049" s="431" t="n">
        <v>136</v>
      </c>
      <c r="FW1049" s="688" t="n"/>
      <c r="FX1049" s="431" t="n"/>
      <c r="FY1049" s="451" t="n"/>
      <c r="FZ1049" s="562">
        <f>'CIRCUIT SIM'!JG139</f>
        <v/>
      </c>
      <c r="GA1049" s="451" t="n"/>
      <c r="GC1049" s="429" t="n">
        <v>136</v>
      </c>
      <c r="GD1049" s="431" t="n">
        <v>136</v>
      </c>
      <c r="GE1049" s="688" t="n"/>
      <c r="GF1049" s="431" t="n"/>
      <c r="GG1049" s="451" t="n"/>
      <c r="GH1049" s="451" t="n"/>
      <c r="GI1049" s="451" t="n"/>
      <c r="GK1049" s="429" t="n">
        <v>136</v>
      </c>
      <c r="GL1049" s="431" t="n">
        <v>136</v>
      </c>
      <c r="GM1049" s="688" t="n"/>
      <c r="GN1049" s="431" t="n"/>
      <c r="GO1049" s="451" t="n"/>
      <c r="GP1049" s="451" t="n"/>
      <c r="GQ1049" s="451" t="n"/>
      <c r="GS1049" s="429" t="n">
        <v>136</v>
      </c>
      <c r="GT1049" s="431" t="n">
        <v>136</v>
      </c>
      <c r="GU1049" s="688" t="n"/>
      <c r="GV1049" s="431" t="n"/>
      <c r="GW1049" s="451" t="n"/>
      <c r="GX1049" s="451" t="n"/>
      <c r="GY1049" s="451" t="n"/>
      <c r="HA1049" s="429" t="n">
        <v>136</v>
      </c>
      <c r="HB1049" s="431" t="n">
        <v>136</v>
      </c>
      <c r="HC1049" s="688" t="n"/>
      <c r="HD1049" s="431" t="n"/>
      <c r="HE1049" s="451" t="n"/>
      <c r="HF1049" s="451" t="n"/>
      <c r="HG1049" s="451" t="n"/>
    </row>
    <row r="1050">
      <c r="A1050" s="429" t="n">
        <v>137</v>
      </c>
      <c r="B1050" s="431" t="n">
        <v>137</v>
      </c>
      <c r="C1050" s="688" t="n"/>
      <c r="D1050" s="431" t="n"/>
      <c r="E1050" s="429" t="n"/>
      <c r="F1050" s="429" t="n"/>
      <c r="G1050" s="429" t="n"/>
      <c r="I1050" s="429" t="n">
        <v>137</v>
      </c>
      <c r="J1050" s="431" t="n">
        <v>137</v>
      </c>
      <c r="K1050" s="565" t="n">
        <v>136</v>
      </c>
      <c r="L1050" s="431" t="inlineStr">
        <is>
          <t>Boolean</t>
        </is>
      </c>
      <c r="M1050" s="451" t="n"/>
      <c r="N1050" s="422">
        <f>'CIRCUIT SIM'!Y140</f>
        <v/>
      </c>
      <c r="O1050" s="451" t="n"/>
      <c r="Q1050" s="429" t="n">
        <v>137</v>
      </c>
      <c r="R1050" s="431" t="n">
        <v>137</v>
      </c>
      <c r="S1050" s="429" t="n"/>
      <c r="T1050" s="431" t="inlineStr">
        <is>
          <t>Boolean</t>
        </is>
      </c>
      <c r="U1050" s="429" t="n"/>
      <c r="V1050" s="386">
        <f>'CIRCUIT SIM'!AO140</f>
        <v/>
      </c>
      <c r="W1050" s="451" t="n"/>
      <c r="Y1050" s="429" t="n">
        <v>137</v>
      </c>
      <c r="Z1050" s="431" t="n">
        <v>137</v>
      </c>
      <c r="AA1050" s="429" t="n"/>
      <c r="AB1050" s="431" t="n"/>
      <c r="AC1050" s="451" t="n"/>
      <c r="AD1050" s="451" t="n"/>
      <c r="AE1050" s="451" t="n"/>
      <c r="AG1050" s="429" t="n">
        <v>137</v>
      </c>
      <c r="AH1050" s="431" t="n">
        <v>137</v>
      </c>
      <c r="AI1050" s="429" t="n"/>
      <c r="AJ1050" s="431" t="n"/>
      <c r="AK1050" s="451" t="n"/>
      <c r="AL1050" s="451" t="n"/>
      <c r="AM1050" s="451" t="n"/>
      <c r="AO1050" s="429" t="n">
        <v>137</v>
      </c>
      <c r="AP1050" s="431" t="n">
        <v>137</v>
      </c>
      <c r="AQ1050" s="429" t="n"/>
      <c r="AR1050" s="431" t="n"/>
      <c r="AS1050" s="451" t="n"/>
      <c r="AT1050" s="451" t="n"/>
      <c r="AU1050" s="451" t="n"/>
      <c r="AW1050" s="429" t="n">
        <v>137</v>
      </c>
      <c r="AX1050" s="431" t="n">
        <v>137</v>
      </c>
      <c r="AY1050" s="429" t="n"/>
      <c r="AZ1050" s="431" t="n"/>
      <c r="BA1050" s="451" t="n"/>
      <c r="BB1050" s="451" t="n"/>
      <c r="BC1050" s="451" t="n"/>
      <c r="BE1050" s="429" t="n">
        <v>137</v>
      </c>
      <c r="BF1050" s="431" t="n"/>
      <c r="BG1050" s="429" t="n"/>
      <c r="BH1050" s="431" t="n"/>
      <c r="BI1050" s="451" t="n"/>
      <c r="BJ1050" s="451" t="n"/>
      <c r="BK1050" s="451" t="n"/>
      <c r="BM1050" s="429" t="n">
        <v>137</v>
      </c>
      <c r="BN1050" s="431" t="n">
        <v>137</v>
      </c>
      <c r="BO1050" s="429" t="n"/>
      <c r="BP1050" s="431" t="n"/>
      <c r="BQ1050" s="451" t="n"/>
      <c r="BR1050" s="451" t="n"/>
      <c r="BS1050" s="451" t="n"/>
      <c r="BU1050" s="429" t="n">
        <v>137</v>
      </c>
      <c r="BV1050" s="431" t="n">
        <v>137</v>
      </c>
      <c r="BW1050" s="429" t="n"/>
      <c r="BX1050" s="431" t="n"/>
      <c r="BY1050" s="451" t="n"/>
      <c r="BZ1050" s="451">
        <f>'CIRCUIT SIM'!EI140</f>
        <v/>
      </c>
      <c r="CA1050" s="451" t="n"/>
      <c r="CC1050" s="429" t="n">
        <v>137</v>
      </c>
      <c r="CD1050" s="431" t="n">
        <v>137</v>
      </c>
      <c r="CE1050" s="688" t="n"/>
      <c r="CF1050" s="431" t="inlineStr">
        <is>
          <t>Boolean</t>
        </is>
      </c>
      <c r="CG1050" s="451" t="n"/>
      <c r="CH1050" s="562">
        <f>'CIRCUIT SIM'!LK140</f>
        <v/>
      </c>
      <c r="CI1050" s="451" t="n"/>
      <c r="CK1050" s="429" t="n">
        <v>137</v>
      </c>
      <c r="CL1050" s="431" t="n">
        <v>137</v>
      </c>
      <c r="CM1050" s="688" t="n"/>
      <c r="CN1050" s="431" t="n"/>
      <c r="CO1050" s="451" t="n"/>
      <c r="CP1050" s="451" t="n"/>
      <c r="CQ1050" s="451" t="n"/>
      <c r="CS1050" s="429" t="n">
        <v>137</v>
      </c>
      <c r="CT1050" s="431" t="n">
        <v>137</v>
      </c>
      <c r="CU1050" s="688" t="n"/>
      <c r="CV1050" s="431" t="inlineStr">
        <is>
          <t>Boolean</t>
        </is>
      </c>
      <c r="CW1050" s="451" t="n"/>
      <c r="CX1050" s="451">
        <f>'CIRCUIT SIM'!MQ140</f>
        <v/>
      </c>
      <c r="CY1050" s="451" t="n"/>
      <c r="DA1050" s="429" t="n">
        <v>137</v>
      </c>
      <c r="DB1050" s="431" t="n">
        <v>137</v>
      </c>
      <c r="DC1050" s="688" t="n"/>
      <c r="DD1050" s="431" t="n"/>
      <c r="DE1050" s="451" t="n"/>
      <c r="DF1050" s="451" t="n"/>
      <c r="DG1050" s="451" t="n"/>
      <c r="DI1050" s="429" t="n">
        <v>137</v>
      </c>
      <c r="DJ1050" s="431" t="n">
        <v>137</v>
      </c>
      <c r="DK1050" s="688" t="n"/>
      <c r="DL1050" s="431" t="n"/>
      <c r="DM1050" s="429" t="n"/>
      <c r="DN1050" s="451" t="n"/>
      <c r="DO1050" s="451" t="n"/>
      <c r="DQ1050" s="429" t="n">
        <v>137</v>
      </c>
      <c r="DR1050" s="431" t="n">
        <v>137</v>
      </c>
      <c r="DS1050" s="688" t="n"/>
      <c r="DT1050" s="431" t="n"/>
      <c r="DU1050" s="451" t="n"/>
      <c r="DV1050" s="451" t="n"/>
      <c r="DW1050" s="451" t="n"/>
      <c r="DY1050" s="429" t="n">
        <v>137</v>
      </c>
      <c r="DZ1050" s="431" t="n">
        <v>137</v>
      </c>
      <c r="EA1050" s="688" t="n"/>
      <c r="EB1050" s="431" t="n"/>
      <c r="EC1050" s="451" t="n"/>
      <c r="ED1050" s="451" t="n"/>
      <c r="EE1050" s="451" t="n"/>
      <c r="EG1050" s="429" t="n">
        <v>137</v>
      </c>
      <c r="EH1050" s="431" t="n">
        <v>137</v>
      </c>
      <c r="EI1050" s="688" t="n"/>
      <c r="EJ1050" s="431" t="n"/>
      <c r="EK1050" s="451" t="n"/>
      <c r="EL1050" s="451" t="n"/>
      <c r="EM1050" s="451" t="n"/>
      <c r="EO1050" s="429" t="n">
        <v>137</v>
      </c>
      <c r="EP1050" s="431" t="n">
        <v>137</v>
      </c>
      <c r="EQ1050" s="688" t="n"/>
      <c r="ER1050" s="431" t="n"/>
      <c r="ES1050" s="451" t="n"/>
      <c r="ET1050" s="451" t="n"/>
      <c r="EU1050" s="451" t="n"/>
      <c r="EW1050" s="429" t="n">
        <v>137</v>
      </c>
      <c r="EX1050" s="431" t="n">
        <v>137</v>
      </c>
      <c r="EY1050" s="688" t="n"/>
      <c r="EZ1050" s="431" t="n"/>
      <c r="FA1050" s="451" t="n"/>
      <c r="FB1050" s="451" t="n"/>
      <c r="FC1050" s="451" t="n"/>
      <c r="FE1050" s="429" t="n">
        <v>137</v>
      </c>
      <c r="FF1050" s="431" t="n">
        <v>137</v>
      </c>
      <c r="FG1050" s="688" t="n"/>
      <c r="FH1050" s="431" t="n"/>
      <c r="FI1050" s="451" t="n"/>
      <c r="FJ1050" s="451" t="n"/>
      <c r="FK1050" s="451" t="n"/>
      <c r="FM1050" s="429" t="n">
        <v>137</v>
      </c>
      <c r="FN1050" s="431" t="n">
        <v>137</v>
      </c>
      <c r="FO1050" s="688" t="n"/>
      <c r="FP1050" s="431" t="n"/>
      <c r="FQ1050" s="451" t="n"/>
      <c r="FR1050" s="451">
        <f>'CIRCUIT SIM'!KY140</f>
        <v/>
      </c>
      <c r="FS1050" s="451" t="n"/>
      <c r="FU1050" s="429" t="n">
        <v>137</v>
      </c>
      <c r="FV1050" s="431" t="n">
        <v>137</v>
      </c>
      <c r="FW1050" s="688" t="n"/>
      <c r="FX1050" s="431" t="n"/>
      <c r="FY1050" s="451" t="n"/>
      <c r="FZ1050" s="562">
        <f>'CIRCUIT SIM'!JG140</f>
        <v/>
      </c>
      <c r="GA1050" s="451" t="n"/>
      <c r="GC1050" s="429" t="n">
        <v>137</v>
      </c>
      <c r="GD1050" s="431" t="n">
        <v>137</v>
      </c>
      <c r="GE1050" s="688" t="n"/>
      <c r="GF1050" s="431" t="n"/>
      <c r="GG1050" s="451" t="n"/>
      <c r="GH1050" s="451" t="n"/>
      <c r="GI1050" s="451" t="n"/>
      <c r="GK1050" s="429" t="n">
        <v>137</v>
      </c>
      <c r="GL1050" s="431" t="n">
        <v>137</v>
      </c>
      <c r="GM1050" s="688" t="n"/>
      <c r="GN1050" s="431" t="n"/>
      <c r="GO1050" s="451" t="n"/>
      <c r="GP1050" s="451" t="n"/>
      <c r="GQ1050" s="451" t="n"/>
      <c r="GS1050" s="429" t="n">
        <v>137</v>
      </c>
      <c r="GT1050" s="431" t="n">
        <v>137</v>
      </c>
      <c r="GU1050" s="688" t="n"/>
      <c r="GV1050" s="431" t="n"/>
      <c r="GW1050" s="451" t="n"/>
      <c r="GX1050" s="451" t="n"/>
      <c r="GY1050" s="451" t="n"/>
      <c r="HA1050" s="429" t="n">
        <v>137</v>
      </c>
      <c r="HB1050" s="431" t="n">
        <v>137</v>
      </c>
      <c r="HC1050" s="688" t="n"/>
      <c r="HD1050" s="431" t="n"/>
      <c r="HE1050" s="451" t="n"/>
      <c r="HF1050" s="451" t="n"/>
      <c r="HG1050" s="451" t="n"/>
    </row>
    <row r="1051">
      <c r="A1051" s="429" t="n">
        <v>138</v>
      </c>
      <c r="B1051" s="431" t="n">
        <v>138</v>
      </c>
      <c r="C1051" s="688" t="n"/>
      <c r="D1051" s="431" t="n"/>
      <c r="E1051" s="429" t="n"/>
      <c r="F1051" s="429" t="n"/>
      <c r="G1051" s="429" t="n"/>
      <c r="I1051" s="429" t="n">
        <v>138</v>
      </c>
      <c r="J1051" s="431" t="n">
        <v>138</v>
      </c>
      <c r="K1051" s="565" t="n">
        <v>137</v>
      </c>
      <c r="L1051" s="431" t="inlineStr">
        <is>
          <t>Boolean</t>
        </is>
      </c>
      <c r="M1051" s="451" t="n"/>
      <c r="N1051" s="422">
        <f>'CIRCUIT SIM'!Y141</f>
        <v/>
      </c>
      <c r="O1051" s="451" t="n"/>
      <c r="Q1051" s="429" t="n">
        <v>138</v>
      </c>
      <c r="R1051" s="431" t="n">
        <v>138</v>
      </c>
      <c r="S1051" s="429" t="n"/>
      <c r="T1051" s="431" t="inlineStr">
        <is>
          <t>Boolean</t>
        </is>
      </c>
      <c r="U1051" s="429" t="n"/>
      <c r="V1051" s="386">
        <f>'CIRCUIT SIM'!AO141</f>
        <v/>
      </c>
      <c r="W1051" s="451" t="n"/>
      <c r="Y1051" s="429" t="n">
        <v>138</v>
      </c>
      <c r="Z1051" s="431" t="n">
        <v>138</v>
      </c>
      <c r="AA1051" s="429" t="n"/>
      <c r="AB1051" s="431" t="n"/>
      <c r="AC1051" s="451" t="n"/>
      <c r="AD1051" s="451" t="n"/>
      <c r="AE1051" s="451" t="n"/>
      <c r="AG1051" s="429" t="n">
        <v>138</v>
      </c>
      <c r="AH1051" s="431" t="n">
        <v>138</v>
      </c>
      <c r="AI1051" s="429" t="n"/>
      <c r="AJ1051" s="431" t="n"/>
      <c r="AK1051" s="451" t="n"/>
      <c r="AL1051" s="451" t="n"/>
      <c r="AM1051" s="451" t="n"/>
      <c r="AO1051" s="429" t="n">
        <v>138</v>
      </c>
      <c r="AP1051" s="431" t="n">
        <v>138</v>
      </c>
      <c r="AQ1051" s="429" t="n"/>
      <c r="AR1051" s="431" t="n"/>
      <c r="AS1051" s="451" t="n"/>
      <c r="AT1051" s="451" t="n"/>
      <c r="AU1051" s="451" t="n"/>
      <c r="AW1051" s="429" t="n">
        <v>138</v>
      </c>
      <c r="AX1051" s="431" t="n">
        <v>138</v>
      </c>
      <c r="AY1051" s="429" t="n"/>
      <c r="AZ1051" s="431" t="n"/>
      <c r="BA1051" s="451" t="n"/>
      <c r="BB1051" s="451" t="n"/>
      <c r="BC1051" s="451" t="n"/>
      <c r="BE1051" s="429" t="n">
        <v>138</v>
      </c>
      <c r="BF1051" s="431" t="n"/>
      <c r="BG1051" s="429" t="n"/>
      <c r="BH1051" s="431" t="n"/>
      <c r="BI1051" s="451" t="n"/>
      <c r="BJ1051" s="451" t="n"/>
      <c r="BK1051" s="451" t="n"/>
      <c r="BM1051" s="429" t="n">
        <v>138</v>
      </c>
      <c r="BN1051" s="431" t="n">
        <v>138</v>
      </c>
      <c r="BO1051" s="429" t="n"/>
      <c r="BP1051" s="431" t="n"/>
      <c r="BQ1051" s="451" t="n"/>
      <c r="BR1051" s="451" t="n"/>
      <c r="BS1051" s="451" t="n"/>
      <c r="BU1051" s="429" t="n">
        <v>138</v>
      </c>
      <c r="BV1051" s="431" t="n">
        <v>138</v>
      </c>
      <c r="BW1051" s="429" t="n"/>
      <c r="BX1051" s="431" t="n"/>
      <c r="BY1051" s="451" t="n"/>
      <c r="BZ1051" s="451">
        <f>'CIRCUIT SIM'!EI141</f>
        <v/>
      </c>
      <c r="CA1051" s="451" t="n"/>
      <c r="CC1051" s="429" t="n">
        <v>138</v>
      </c>
      <c r="CD1051" s="431" t="n">
        <v>138</v>
      </c>
      <c r="CE1051" s="688" t="n"/>
      <c r="CF1051" s="431" t="inlineStr">
        <is>
          <t>Boolean</t>
        </is>
      </c>
      <c r="CG1051" s="451" t="n"/>
      <c r="CH1051" s="562">
        <f>'CIRCUIT SIM'!LK141</f>
        <v/>
      </c>
      <c r="CI1051" s="451" t="n"/>
      <c r="CK1051" s="429" t="n">
        <v>138</v>
      </c>
      <c r="CL1051" s="431" t="n">
        <v>138</v>
      </c>
      <c r="CM1051" s="688" t="n"/>
      <c r="CN1051" s="431" t="n"/>
      <c r="CO1051" s="451" t="n"/>
      <c r="CP1051" s="451" t="n"/>
      <c r="CQ1051" s="451" t="n"/>
      <c r="CS1051" s="429" t="n">
        <v>138</v>
      </c>
      <c r="CT1051" s="431" t="n">
        <v>138</v>
      </c>
      <c r="CU1051" s="688" t="n"/>
      <c r="CV1051" s="431" t="inlineStr">
        <is>
          <t>Boolean</t>
        </is>
      </c>
      <c r="CW1051" s="451" t="n"/>
      <c r="CX1051" s="451">
        <f>'CIRCUIT SIM'!MQ141</f>
        <v/>
      </c>
      <c r="CY1051" s="451" t="n"/>
      <c r="DA1051" s="429" t="n">
        <v>138</v>
      </c>
      <c r="DB1051" s="431" t="n">
        <v>138</v>
      </c>
      <c r="DC1051" s="688" t="n"/>
      <c r="DD1051" s="431" t="n"/>
      <c r="DE1051" s="451" t="n"/>
      <c r="DF1051" s="451" t="n"/>
      <c r="DG1051" s="451" t="n"/>
      <c r="DI1051" s="429" t="n">
        <v>138</v>
      </c>
      <c r="DJ1051" s="431" t="n">
        <v>138</v>
      </c>
      <c r="DK1051" s="688" t="n"/>
      <c r="DL1051" s="431" t="n"/>
      <c r="DM1051" s="429" t="n"/>
      <c r="DN1051" s="451" t="n"/>
      <c r="DO1051" s="451" t="n"/>
      <c r="DQ1051" s="429" t="n">
        <v>138</v>
      </c>
      <c r="DR1051" s="431" t="n">
        <v>138</v>
      </c>
      <c r="DS1051" s="688" t="n"/>
      <c r="DT1051" s="431" t="n"/>
      <c r="DU1051" s="451" t="n"/>
      <c r="DV1051" s="451" t="n"/>
      <c r="DW1051" s="451" t="n"/>
      <c r="DY1051" s="429" t="n">
        <v>138</v>
      </c>
      <c r="DZ1051" s="431" t="n">
        <v>138</v>
      </c>
      <c r="EA1051" s="688" t="n"/>
      <c r="EB1051" s="431" t="n"/>
      <c r="EC1051" s="451" t="n"/>
      <c r="ED1051" s="451" t="n"/>
      <c r="EE1051" s="451" t="n"/>
      <c r="EG1051" s="429" t="n">
        <v>138</v>
      </c>
      <c r="EH1051" s="431" t="n">
        <v>138</v>
      </c>
      <c r="EI1051" s="688" t="n"/>
      <c r="EJ1051" s="431" t="n"/>
      <c r="EK1051" s="451" t="n"/>
      <c r="EL1051" s="451" t="n"/>
      <c r="EM1051" s="451" t="n"/>
      <c r="EO1051" s="429" t="n">
        <v>138</v>
      </c>
      <c r="EP1051" s="431" t="n">
        <v>138</v>
      </c>
      <c r="EQ1051" s="688" t="n"/>
      <c r="ER1051" s="431" t="n"/>
      <c r="ES1051" s="451" t="n"/>
      <c r="ET1051" s="451" t="n"/>
      <c r="EU1051" s="451" t="n"/>
      <c r="EW1051" s="429" t="n">
        <v>138</v>
      </c>
      <c r="EX1051" s="431" t="n">
        <v>138</v>
      </c>
      <c r="EY1051" s="688" t="n"/>
      <c r="EZ1051" s="431" t="n"/>
      <c r="FA1051" s="451" t="n"/>
      <c r="FB1051" s="451" t="n"/>
      <c r="FC1051" s="451" t="n"/>
      <c r="FE1051" s="429" t="n">
        <v>138</v>
      </c>
      <c r="FF1051" s="431" t="n">
        <v>138</v>
      </c>
      <c r="FG1051" s="688" t="n"/>
      <c r="FH1051" s="431" t="n"/>
      <c r="FI1051" s="451" t="n"/>
      <c r="FJ1051" s="451" t="n"/>
      <c r="FK1051" s="451" t="n"/>
      <c r="FM1051" s="429" t="n">
        <v>138</v>
      </c>
      <c r="FN1051" s="431" t="n">
        <v>138</v>
      </c>
      <c r="FO1051" s="688" t="n"/>
      <c r="FP1051" s="431" t="n"/>
      <c r="FQ1051" s="451" t="n"/>
      <c r="FR1051" s="451">
        <f>'CIRCUIT SIM'!KY141</f>
        <v/>
      </c>
      <c r="FS1051" s="451" t="n"/>
      <c r="FU1051" s="429" t="n">
        <v>138</v>
      </c>
      <c r="FV1051" s="431" t="n">
        <v>138</v>
      </c>
      <c r="FW1051" s="688" t="n"/>
      <c r="FX1051" s="431" t="n"/>
      <c r="FY1051" s="451" t="n"/>
      <c r="FZ1051" s="562">
        <f>'CIRCUIT SIM'!JG141</f>
        <v/>
      </c>
      <c r="GA1051" s="451" t="n"/>
      <c r="GC1051" s="429" t="n">
        <v>138</v>
      </c>
      <c r="GD1051" s="431" t="n">
        <v>138</v>
      </c>
      <c r="GE1051" s="688" t="n"/>
      <c r="GF1051" s="431" t="n"/>
      <c r="GG1051" s="451" t="n"/>
      <c r="GH1051" s="451" t="n"/>
      <c r="GI1051" s="451" t="n"/>
      <c r="GK1051" s="429" t="n">
        <v>138</v>
      </c>
      <c r="GL1051" s="431" t="n">
        <v>138</v>
      </c>
      <c r="GM1051" s="688" t="n"/>
      <c r="GN1051" s="431" t="n"/>
      <c r="GO1051" s="451" t="n"/>
      <c r="GP1051" s="451" t="n"/>
      <c r="GQ1051" s="451" t="n"/>
      <c r="GS1051" s="429" t="n">
        <v>138</v>
      </c>
      <c r="GT1051" s="431" t="n">
        <v>138</v>
      </c>
      <c r="GU1051" s="688" t="n"/>
      <c r="GV1051" s="431" t="n"/>
      <c r="GW1051" s="451" t="n"/>
      <c r="GX1051" s="451" t="n"/>
      <c r="GY1051" s="451" t="n"/>
      <c r="HA1051" s="429" t="n">
        <v>138</v>
      </c>
      <c r="HB1051" s="431" t="n">
        <v>138</v>
      </c>
      <c r="HC1051" s="688" t="n"/>
      <c r="HD1051" s="431" t="n"/>
      <c r="HE1051" s="451" t="n"/>
      <c r="HF1051" s="451" t="n"/>
      <c r="HG1051" s="451" t="n"/>
    </row>
    <row r="1052">
      <c r="A1052" s="429" t="n">
        <v>139</v>
      </c>
      <c r="B1052" s="431" t="n">
        <v>139</v>
      </c>
      <c r="C1052" s="688" t="n"/>
      <c r="D1052" s="431" t="n"/>
      <c r="E1052" s="429" t="n"/>
      <c r="F1052" s="429" t="n"/>
      <c r="G1052" s="429" t="n"/>
      <c r="I1052" s="429" t="n">
        <v>139</v>
      </c>
      <c r="J1052" s="431" t="n">
        <v>139</v>
      </c>
      <c r="K1052" s="565" t="n">
        <v>138</v>
      </c>
      <c r="L1052" s="431" t="inlineStr">
        <is>
          <t>Boolean</t>
        </is>
      </c>
      <c r="M1052" s="451" t="n"/>
      <c r="N1052" s="422">
        <f>'CIRCUIT SIM'!Y142</f>
        <v/>
      </c>
      <c r="O1052" s="451" t="n"/>
      <c r="Q1052" s="429" t="n">
        <v>139</v>
      </c>
      <c r="R1052" s="431" t="n">
        <v>139</v>
      </c>
      <c r="S1052" s="429" t="n"/>
      <c r="T1052" s="431" t="inlineStr">
        <is>
          <t>Boolean</t>
        </is>
      </c>
      <c r="U1052" s="429" t="n"/>
      <c r="V1052" s="386">
        <f>'CIRCUIT SIM'!AO142</f>
        <v/>
      </c>
      <c r="W1052" s="451" t="n"/>
      <c r="Y1052" s="429" t="n">
        <v>139</v>
      </c>
      <c r="Z1052" s="431" t="n">
        <v>139</v>
      </c>
      <c r="AA1052" s="429" t="n"/>
      <c r="AB1052" s="431" t="n"/>
      <c r="AC1052" s="451" t="n"/>
      <c r="AD1052" s="451" t="n"/>
      <c r="AE1052" s="451" t="n"/>
      <c r="AG1052" s="429" t="n">
        <v>139</v>
      </c>
      <c r="AH1052" s="431" t="n">
        <v>139</v>
      </c>
      <c r="AI1052" s="429" t="n"/>
      <c r="AJ1052" s="431" t="n"/>
      <c r="AK1052" s="451" t="n"/>
      <c r="AL1052" s="451" t="n"/>
      <c r="AM1052" s="451" t="n"/>
      <c r="AO1052" s="429" t="n">
        <v>139</v>
      </c>
      <c r="AP1052" s="431" t="n">
        <v>139</v>
      </c>
      <c r="AQ1052" s="429" t="n"/>
      <c r="AR1052" s="431" t="n"/>
      <c r="AS1052" s="451" t="n"/>
      <c r="AT1052" s="451" t="n"/>
      <c r="AU1052" s="451" t="n"/>
      <c r="AW1052" s="429" t="n">
        <v>139</v>
      </c>
      <c r="AX1052" s="431" t="n">
        <v>139</v>
      </c>
      <c r="AY1052" s="429" t="n"/>
      <c r="AZ1052" s="431" t="n"/>
      <c r="BA1052" s="451" t="n"/>
      <c r="BB1052" s="451" t="n"/>
      <c r="BC1052" s="451" t="n"/>
      <c r="BE1052" s="429" t="n">
        <v>139</v>
      </c>
      <c r="BF1052" s="431" t="n"/>
      <c r="BG1052" s="429" t="n"/>
      <c r="BH1052" s="431" t="n"/>
      <c r="BI1052" s="451" t="n"/>
      <c r="BJ1052" s="451" t="n"/>
      <c r="BK1052" s="451" t="n"/>
      <c r="BM1052" s="429" t="n">
        <v>139</v>
      </c>
      <c r="BN1052" s="431" t="n">
        <v>139</v>
      </c>
      <c r="BO1052" s="429" t="n"/>
      <c r="BP1052" s="431" t="n"/>
      <c r="BQ1052" s="451" t="n"/>
      <c r="BR1052" s="451" t="n"/>
      <c r="BS1052" s="451" t="n"/>
      <c r="BU1052" s="429" t="n">
        <v>139</v>
      </c>
      <c r="BV1052" s="431" t="n">
        <v>139</v>
      </c>
      <c r="BW1052" s="429" t="n"/>
      <c r="BX1052" s="431" t="n"/>
      <c r="BY1052" s="451" t="n"/>
      <c r="BZ1052" s="451">
        <f>'CIRCUIT SIM'!EI142</f>
        <v/>
      </c>
      <c r="CA1052" s="451" t="n"/>
      <c r="CC1052" s="429" t="n">
        <v>139</v>
      </c>
      <c r="CD1052" s="431" t="n">
        <v>139</v>
      </c>
      <c r="CE1052" s="688" t="n"/>
      <c r="CF1052" s="431" t="inlineStr">
        <is>
          <t>Boolean</t>
        </is>
      </c>
      <c r="CG1052" s="451" t="n"/>
      <c r="CH1052" s="562">
        <f>'CIRCUIT SIM'!LK142</f>
        <v/>
      </c>
      <c r="CI1052" s="451" t="n"/>
      <c r="CK1052" s="429" t="n">
        <v>139</v>
      </c>
      <c r="CL1052" s="431" t="n">
        <v>139</v>
      </c>
      <c r="CM1052" s="688" t="n"/>
      <c r="CN1052" s="431" t="n"/>
      <c r="CO1052" s="451" t="n"/>
      <c r="CP1052" s="451" t="n"/>
      <c r="CQ1052" s="451" t="n"/>
      <c r="CS1052" s="429" t="n">
        <v>139</v>
      </c>
      <c r="CT1052" s="431" t="n">
        <v>139</v>
      </c>
      <c r="CU1052" s="688" t="n"/>
      <c r="CV1052" s="431" t="inlineStr">
        <is>
          <t>Boolean</t>
        </is>
      </c>
      <c r="CW1052" s="451" t="n"/>
      <c r="CX1052" s="451">
        <f>'CIRCUIT SIM'!MQ142</f>
        <v/>
      </c>
      <c r="CY1052" s="451" t="n"/>
      <c r="DA1052" s="429" t="n">
        <v>139</v>
      </c>
      <c r="DB1052" s="431" t="n">
        <v>139</v>
      </c>
      <c r="DC1052" s="688" t="n"/>
      <c r="DD1052" s="431" t="n"/>
      <c r="DE1052" s="451" t="n"/>
      <c r="DF1052" s="451" t="n"/>
      <c r="DG1052" s="451" t="n"/>
      <c r="DI1052" s="429" t="n">
        <v>139</v>
      </c>
      <c r="DJ1052" s="431" t="n">
        <v>139</v>
      </c>
      <c r="DK1052" s="688" t="n"/>
      <c r="DL1052" s="431" t="n"/>
      <c r="DM1052" s="429" t="n"/>
      <c r="DN1052" s="451" t="n"/>
      <c r="DO1052" s="451" t="n"/>
      <c r="DQ1052" s="429" t="n">
        <v>139</v>
      </c>
      <c r="DR1052" s="431" t="n">
        <v>139</v>
      </c>
      <c r="DS1052" s="688" t="n"/>
      <c r="DT1052" s="431" t="n"/>
      <c r="DU1052" s="451" t="n"/>
      <c r="DV1052" s="451" t="n"/>
      <c r="DW1052" s="451" t="n"/>
      <c r="DY1052" s="429" t="n">
        <v>139</v>
      </c>
      <c r="DZ1052" s="431" t="n">
        <v>139</v>
      </c>
      <c r="EA1052" s="688" t="n"/>
      <c r="EB1052" s="431" t="n"/>
      <c r="EC1052" s="451" t="n"/>
      <c r="ED1052" s="451" t="n"/>
      <c r="EE1052" s="451" t="n"/>
      <c r="EG1052" s="429" t="n">
        <v>139</v>
      </c>
      <c r="EH1052" s="431" t="n">
        <v>139</v>
      </c>
      <c r="EI1052" s="688" t="n"/>
      <c r="EJ1052" s="431" t="n"/>
      <c r="EK1052" s="451" t="n"/>
      <c r="EL1052" s="451" t="n"/>
      <c r="EM1052" s="451" t="n"/>
      <c r="EO1052" s="429" t="n">
        <v>139</v>
      </c>
      <c r="EP1052" s="431" t="n">
        <v>139</v>
      </c>
      <c r="EQ1052" s="688" t="n"/>
      <c r="ER1052" s="431" t="n"/>
      <c r="ES1052" s="451" t="n"/>
      <c r="ET1052" s="451" t="n"/>
      <c r="EU1052" s="451" t="n"/>
      <c r="EW1052" s="429" t="n">
        <v>139</v>
      </c>
      <c r="EX1052" s="431" t="n">
        <v>139</v>
      </c>
      <c r="EY1052" s="688" t="n"/>
      <c r="EZ1052" s="431" t="n"/>
      <c r="FA1052" s="451" t="n"/>
      <c r="FB1052" s="451" t="n"/>
      <c r="FC1052" s="451" t="n"/>
      <c r="FE1052" s="429" t="n">
        <v>139</v>
      </c>
      <c r="FF1052" s="431" t="n">
        <v>139</v>
      </c>
      <c r="FG1052" s="688" t="n"/>
      <c r="FH1052" s="431" t="n"/>
      <c r="FI1052" s="451" t="n"/>
      <c r="FJ1052" s="451" t="n"/>
      <c r="FK1052" s="451" t="n"/>
      <c r="FM1052" s="429" t="n">
        <v>139</v>
      </c>
      <c r="FN1052" s="431" t="n">
        <v>139</v>
      </c>
      <c r="FO1052" s="688" t="n"/>
      <c r="FP1052" s="431" t="n"/>
      <c r="FQ1052" s="451" t="n"/>
      <c r="FR1052" s="451">
        <f>'CIRCUIT SIM'!KY142</f>
        <v/>
      </c>
      <c r="FS1052" s="451" t="n"/>
      <c r="FU1052" s="429" t="n">
        <v>139</v>
      </c>
      <c r="FV1052" s="431" t="n">
        <v>139</v>
      </c>
      <c r="FW1052" s="688" t="n"/>
      <c r="FX1052" s="431" t="n"/>
      <c r="FY1052" s="451" t="n"/>
      <c r="FZ1052" s="562">
        <f>'CIRCUIT SIM'!JG142</f>
        <v/>
      </c>
      <c r="GA1052" s="451" t="n"/>
      <c r="GC1052" s="429" t="n">
        <v>139</v>
      </c>
      <c r="GD1052" s="431" t="n">
        <v>139</v>
      </c>
      <c r="GE1052" s="688" t="n"/>
      <c r="GF1052" s="431" t="n"/>
      <c r="GG1052" s="451" t="n"/>
      <c r="GH1052" s="451" t="n"/>
      <c r="GI1052" s="451" t="n"/>
      <c r="GK1052" s="429" t="n">
        <v>139</v>
      </c>
      <c r="GL1052" s="431" t="n">
        <v>139</v>
      </c>
      <c r="GM1052" s="688" t="n"/>
      <c r="GN1052" s="431" t="n"/>
      <c r="GO1052" s="451" t="n"/>
      <c r="GP1052" s="451" t="n"/>
      <c r="GQ1052" s="451" t="n"/>
      <c r="GS1052" s="429" t="n">
        <v>139</v>
      </c>
      <c r="GT1052" s="431" t="n">
        <v>139</v>
      </c>
      <c r="GU1052" s="688" t="n"/>
      <c r="GV1052" s="431" t="n"/>
      <c r="GW1052" s="451" t="n"/>
      <c r="GX1052" s="451" t="n"/>
      <c r="GY1052" s="451" t="n"/>
      <c r="HA1052" s="429" t="n">
        <v>139</v>
      </c>
      <c r="HB1052" s="431" t="n">
        <v>139</v>
      </c>
      <c r="HC1052" s="688" t="n"/>
      <c r="HD1052" s="431" t="n"/>
      <c r="HE1052" s="451" t="n"/>
      <c r="HF1052" s="451" t="n"/>
      <c r="HG1052" s="451" t="n"/>
    </row>
    <row r="1053">
      <c r="A1053" s="429" t="n">
        <v>140</v>
      </c>
      <c r="B1053" s="431" t="n">
        <v>140</v>
      </c>
      <c r="C1053" s="688" t="n"/>
      <c r="D1053" s="431" t="n"/>
      <c r="E1053" s="429" t="n"/>
      <c r="F1053" s="429" t="n"/>
      <c r="G1053" s="429" t="n"/>
      <c r="I1053" s="429" t="n">
        <v>140</v>
      </c>
      <c r="J1053" s="431" t="n">
        <v>140</v>
      </c>
      <c r="K1053" s="565" t="n">
        <v>139</v>
      </c>
      <c r="L1053" s="431" t="inlineStr">
        <is>
          <t>Boolean</t>
        </is>
      </c>
      <c r="M1053" s="451" t="n"/>
      <c r="N1053" s="422">
        <f>'CIRCUIT SIM'!Y143</f>
        <v/>
      </c>
      <c r="O1053" s="451" t="n"/>
      <c r="Q1053" s="429" t="n">
        <v>140</v>
      </c>
      <c r="R1053" s="431" t="n">
        <v>140</v>
      </c>
      <c r="S1053" s="429" t="n"/>
      <c r="T1053" s="431" t="inlineStr">
        <is>
          <t>Boolean</t>
        </is>
      </c>
      <c r="U1053" s="429" t="n"/>
      <c r="V1053" s="386">
        <f>'CIRCUIT SIM'!AO143</f>
        <v/>
      </c>
      <c r="W1053" s="451" t="n"/>
      <c r="Y1053" s="429" t="n">
        <v>140</v>
      </c>
      <c r="Z1053" s="431" t="n">
        <v>140</v>
      </c>
      <c r="AA1053" s="429" t="n"/>
      <c r="AB1053" s="431" t="n"/>
      <c r="AC1053" s="451" t="n"/>
      <c r="AD1053" s="451" t="n"/>
      <c r="AE1053" s="451" t="n"/>
      <c r="AG1053" s="429" t="n">
        <v>140</v>
      </c>
      <c r="AH1053" s="431" t="n">
        <v>140</v>
      </c>
      <c r="AI1053" s="429" t="n"/>
      <c r="AJ1053" s="431" t="n"/>
      <c r="AK1053" s="451" t="n"/>
      <c r="AL1053" s="451" t="n"/>
      <c r="AM1053" s="451" t="n"/>
      <c r="AO1053" s="429" t="n">
        <v>140</v>
      </c>
      <c r="AP1053" s="431" t="n">
        <v>140</v>
      </c>
      <c r="AQ1053" s="429" t="n"/>
      <c r="AR1053" s="431" t="n"/>
      <c r="AS1053" s="451" t="n"/>
      <c r="AT1053" s="451" t="n"/>
      <c r="AU1053" s="451" t="n"/>
      <c r="AW1053" s="429" t="n">
        <v>140</v>
      </c>
      <c r="AX1053" s="431" t="n">
        <v>140</v>
      </c>
      <c r="AY1053" s="429" t="n"/>
      <c r="AZ1053" s="431" t="n"/>
      <c r="BA1053" s="451" t="n"/>
      <c r="BB1053" s="451" t="n"/>
      <c r="BC1053" s="451" t="n"/>
      <c r="BE1053" s="429" t="n">
        <v>140</v>
      </c>
      <c r="BF1053" s="431" t="n"/>
      <c r="BG1053" s="429" t="n"/>
      <c r="BH1053" s="431" t="n"/>
      <c r="BI1053" s="451" t="n"/>
      <c r="BJ1053" s="451" t="n"/>
      <c r="BK1053" s="451" t="n"/>
      <c r="BM1053" s="429" t="n">
        <v>140</v>
      </c>
      <c r="BN1053" s="431" t="n">
        <v>140</v>
      </c>
      <c r="BO1053" s="429" t="n"/>
      <c r="BP1053" s="431" t="n"/>
      <c r="BQ1053" s="451" t="n"/>
      <c r="BR1053" s="451" t="n"/>
      <c r="BS1053" s="451" t="n"/>
      <c r="BU1053" s="429" t="n">
        <v>140</v>
      </c>
      <c r="BV1053" s="431" t="n">
        <v>140</v>
      </c>
      <c r="BW1053" s="429" t="n"/>
      <c r="BX1053" s="431" t="n"/>
      <c r="BY1053" s="451" t="n"/>
      <c r="BZ1053" s="451">
        <f>'CIRCUIT SIM'!EI143</f>
        <v/>
      </c>
      <c r="CA1053" s="451" t="n"/>
      <c r="CC1053" s="429" t="n">
        <v>140</v>
      </c>
      <c r="CD1053" s="431" t="n">
        <v>140</v>
      </c>
      <c r="CE1053" s="688" t="n"/>
      <c r="CF1053" s="431" t="inlineStr">
        <is>
          <t>Boolean</t>
        </is>
      </c>
      <c r="CG1053" s="451" t="n"/>
      <c r="CH1053" s="562">
        <f>'CIRCUIT SIM'!LK143</f>
        <v/>
      </c>
      <c r="CI1053" s="451" t="n"/>
      <c r="CK1053" s="429" t="n">
        <v>140</v>
      </c>
      <c r="CL1053" s="431" t="n">
        <v>140</v>
      </c>
      <c r="CM1053" s="688" t="n"/>
      <c r="CN1053" s="431" t="n"/>
      <c r="CO1053" s="451" t="n"/>
      <c r="CP1053" s="451" t="n"/>
      <c r="CQ1053" s="451" t="n"/>
      <c r="CS1053" s="429" t="n">
        <v>140</v>
      </c>
      <c r="CT1053" s="431" t="n">
        <v>140</v>
      </c>
      <c r="CU1053" s="688" t="n"/>
      <c r="CV1053" s="431" t="inlineStr">
        <is>
          <t>Boolean</t>
        </is>
      </c>
      <c r="CW1053" s="451" t="n"/>
      <c r="CX1053" s="451">
        <f>'CIRCUIT SIM'!MQ143</f>
        <v/>
      </c>
      <c r="CY1053" s="451" t="n"/>
      <c r="DA1053" s="429" t="n">
        <v>140</v>
      </c>
      <c r="DB1053" s="431" t="n">
        <v>140</v>
      </c>
      <c r="DC1053" s="688" t="n"/>
      <c r="DD1053" s="431" t="n"/>
      <c r="DE1053" s="451" t="n"/>
      <c r="DF1053" s="451" t="n"/>
      <c r="DG1053" s="451" t="n"/>
      <c r="DI1053" s="429" t="n">
        <v>140</v>
      </c>
      <c r="DJ1053" s="431" t="n">
        <v>140</v>
      </c>
      <c r="DK1053" s="688" t="n"/>
      <c r="DL1053" s="431" t="n"/>
      <c r="DM1053" s="429" t="n"/>
      <c r="DN1053" s="451" t="n"/>
      <c r="DO1053" s="451" t="n"/>
      <c r="DQ1053" s="429" t="n">
        <v>140</v>
      </c>
      <c r="DR1053" s="431" t="n">
        <v>140</v>
      </c>
      <c r="DS1053" s="688" t="n"/>
      <c r="DT1053" s="431" t="n"/>
      <c r="DU1053" s="451" t="n"/>
      <c r="DV1053" s="451" t="n"/>
      <c r="DW1053" s="451" t="n"/>
      <c r="DY1053" s="429" t="n">
        <v>140</v>
      </c>
      <c r="DZ1053" s="431" t="n">
        <v>140</v>
      </c>
      <c r="EA1053" s="688" t="n"/>
      <c r="EB1053" s="431" t="n"/>
      <c r="EC1053" s="451" t="n"/>
      <c r="ED1053" s="451" t="n"/>
      <c r="EE1053" s="451" t="n"/>
      <c r="EG1053" s="429" t="n">
        <v>140</v>
      </c>
      <c r="EH1053" s="431" t="n">
        <v>140</v>
      </c>
      <c r="EI1053" s="688" t="n"/>
      <c r="EJ1053" s="431" t="n"/>
      <c r="EK1053" s="451" t="n"/>
      <c r="EL1053" s="451" t="n"/>
      <c r="EM1053" s="451" t="n"/>
      <c r="EO1053" s="429" t="n">
        <v>140</v>
      </c>
      <c r="EP1053" s="431" t="n">
        <v>140</v>
      </c>
      <c r="EQ1053" s="688" t="n"/>
      <c r="ER1053" s="431" t="n"/>
      <c r="ES1053" s="451" t="n"/>
      <c r="ET1053" s="451" t="n"/>
      <c r="EU1053" s="451" t="n"/>
      <c r="EW1053" s="429" t="n">
        <v>140</v>
      </c>
      <c r="EX1053" s="431" t="n">
        <v>140</v>
      </c>
      <c r="EY1053" s="688" t="n"/>
      <c r="EZ1053" s="431" t="n"/>
      <c r="FA1053" s="451" t="n"/>
      <c r="FB1053" s="451" t="n"/>
      <c r="FC1053" s="451" t="n"/>
      <c r="FE1053" s="429" t="n">
        <v>140</v>
      </c>
      <c r="FF1053" s="431" t="n">
        <v>140</v>
      </c>
      <c r="FG1053" s="688" t="n"/>
      <c r="FH1053" s="431" t="n"/>
      <c r="FI1053" s="451" t="n"/>
      <c r="FJ1053" s="451" t="n"/>
      <c r="FK1053" s="451" t="n"/>
      <c r="FM1053" s="429" t="n">
        <v>140</v>
      </c>
      <c r="FN1053" s="431" t="n">
        <v>140</v>
      </c>
      <c r="FO1053" s="688" t="n"/>
      <c r="FP1053" s="431" t="n"/>
      <c r="FQ1053" s="451" t="n"/>
      <c r="FR1053" s="451">
        <f>'CIRCUIT SIM'!KY143</f>
        <v/>
      </c>
      <c r="FS1053" s="451" t="n"/>
      <c r="FU1053" s="429" t="n">
        <v>140</v>
      </c>
      <c r="FV1053" s="431" t="n">
        <v>140</v>
      </c>
      <c r="FW1053" s="688" t="n"/>
      <c r="FX1053" s="431" t="n"/>
      <c r="FY1053" s="451" t="n"/>
      <c r="FZ1053" s="562">
        <f>'CIRCUIT SIM'!JG143</f>
        <v/>
      </c>
      <c r="GA1053" s="451" t="n"/>
      <c r="GC1053" s="429" t="n">
        <v>140</v>
      </c>
      <c r="GD1053" s="431" t="n">
        <v>140</v>
      </c>
      <c r="GE1053" s="688" t="n"/>
      <c r="GF1053" s="431" t="n"/>
      <c r="GG1053" s="451" t="n"/>
      <c r="GH1053" s="451" t="n"/>
      <c r="GI1053" s="451" t="n"/>
      <c r="GK1053" s="429" t="n">
        <v>140</v>
      </c>
      <c r="GL1053" s="431" t="n">
        <v>140</v>
      </c>
      <c r="GM1053" s="688" t="n"/>
      <c r="GN1053" s="431" t="n"/>
      <c r="GO1053" s="451" t="n"/>
      <c r="GP1053" s="451" t="n"/>
      <c r="GQ1053" s="451" t="n"/>
      <c r="GS1053" s="429" t="n">
        <v>140</v>
      </c>
      <c r="GT1053" s="431" t="n">
        <v>140</v>
      </c>
      <c r="GU1053" s="688" t="n"/>
      <c r="GV1053" s="431" t="n"/>
      <c r="GW1053" s="451" t="n"/>
      <c r="GX1053" s="451" t="n"/>
      <c r="GY1053" s="451" t="n"/>
      <c r="HA1053" s="429" t="n">
        <v>140</v>
      </c>
      <c r="HB1053" s="431" t="n">
        <v>140</v>
      </c>
      <c r="HC1053" s="688" t="n"/>
      <c r="HD1053" s="431" t="n"/>
      <c r="HE1053" s="451" t="n"/>
      <c r="HF1053" s="451" t="n"/>
      <c r="HG1053" s="451" t="n"/>
    </row>
    <row r="1054">
      <c r="A1054" s="429" t="n">
        <v>141</v>
      </c>
      <c r="B1054" s="431" t="n">
        <v>141</v>
      </c>
      <c r="C1054" s="688" t="n"/>
      <c r="D1054" s="431" t="n"/>
      <c r="E1054" s="429" t="n"/>
      <c r="F1054" s="429" t="n"/>
      <c r="G1054" s="429" t="n"/>
      <c r="I1054" s="429" t="n">
        <v>141</v>
      </c>
      <c r="J1054" s="431" t="n">
        <v>141</v>
      </c>
      <c r="K1054" s="565" t="n">
        <v>140</v>
      </c>
      <c r="L1054" s="431" t="inlineStr">
        <is>
          <t>Boolean</t>
        </is>
      </c>
      <c r="M1054" s="451" t="n"/>
      <c r="N1054" s="422">
        <f>'CIRCUIT SIM'!Y144</f>
        <v/>
      </c>
      <c r="O1054" s="451" t="n"/>
      <c r="Q1054" s="429" t="n">
        <v>141</v>
      </c>
      <c r="R1054" s="431" t="n">
        <v>141</v>
      </c>
      <c r="S1054" s="429" t="n"/>
      <c r="T1054" s="431" t="inlineStr">
        <is>
          <t>Boolean</t>
        </is>
      </c>
      <c r="U1054" s="429" t="n"/>
      <c r="V1054" s="386">
        <f>'CIRCUIT SIM'!AO144</f>
        <v/>
      </c>
      <c r="W1054" s="451" t="n"/>
      <c r="Y1054" s="429" t="n">
        <v>141</v>
      </c>
      <c r="Z1054" s="431" t="n">
        <v>141</v>
      </c>
      <c r="AA1054" s="429" t="n"/>
      <c r="AB1054" s="431" t="n"/>
      <c r="AC1054" s="451" t="n"/>
      <c r="AD1054" s="451" t="n"/>
      <c r="AE1054" s="451" t="n"/>
      <c r="AG1054" s="429" t="n">
        <v>141</v>
      </c>
      <c r="AH1054" s="431" t="n">
        <v>141</v>
      </c>
      <c r="AI1054" s="429" t="n"/>
      <c r="AJ1054" s="431" t="n"/>
      <c r="AK1054" s="451" t="n"/>
      <c r="AL1054" s="451" t="n"/>
      <c r="AM1054" s="451" t="n"/>
      <c r="AO1054" s="429" t="n">
        <v>141</v>
      </c>
      <c r="AP1054" s="431" t="n">
        <v>141</v>
      </c>
      <c r="AQ1054" s="429" t="n"/>
      <c r="AR1054" s="431" t="n"/>
      <c r="AS1054" s="451" t="n"/>
      <c r="AT1054" s="451" t="n"/>
      <c r="AU1054" s="451" t="n"/>
      <c r="AW1054" s="429" t="n">
        <v>141</v>
      </c>
      <c r="AX1054" s="431" t="n">
        <v>141</v>
      </c>
      <c r="AY1054" s="429" t="n"/>
      <c r="AZ1054" s="431" t="n"/>
      <c r="BA1054" s="451" t="n"/>
      <c r="BB1054" s="451" t="n"/>
      <c r="BC1054" s="451" t="n"/>
      <c r="BE1054" s="429" t="n">
        <v>141</v>
      </c>
      <c r="BF1054" s="431" t="n"/>
      <c r="BG1054" s="429" t="n"/>
      <c r="BH1054" s="431" t="n"/>
      <c r="BI1054" s="451" t="n"/>
      <c r="BJ1054" s="451" t="n"/>
      <c r="BK1054" s="451" t="n"/>
      <c r="BM1054" s="429" t="n">
        <v>141</v>
      </c>
      <c r="BN1054" s="431" t="n">
        <v>141</v>
      </c>
      <c r="BO1054" s="429" t="n"/>
      <c r="BP1054" s="431" t="n"/>
      <c r="BQ1054" s="451" t="n"/>
      <c r="BR1054" s="451" t="n"/>
      <c r="BS1054" s="451" t="n"/>
      <c r="BU1054" s="429" t="n">
        <v>141</v>
      </c>
      <c r="BV1054" s="431" t="n">
        <v>141</v>
      </c>
      <c r="BW1054" s="429" t="n"/>
      <c r="BX1054" s="431" t="n"/>
      <c r="BY1054" s="451" t="n"/>
      <c r="BZ1054" s="451">
        <f>'CIRCUIT SIM'!EI144</f>
        <v/>
      </c>
      <c r="CA1054" s="451" t="n"/>
      <c r="CC1054" s="429" t="n">
        <v>141</v>
      </c>
      <c r="CD1054" s="431" t="n">
        <v>141</v>
      </c>
      <c r="CE1054" s="688" t="n"/>
      <c r="CF1054" s="431" t="inlineStr">
        <is>
          <t>Boolean</t>
        </is>
      </c>
      <c r="CG1054" s="451" t="n"/>
      <c r="CH1054" s="562">
        <f>'CIRCUIT SIM'!LK144</f>
        <v/>
      </c>
      <c r="CI1054" s="451" t="n"/>
      <c r="CK1054" s="429" t="n">
        <v>141</v>
      </c>
      <c r="CL1054" s="431" t="n">
        <v>141</v>
      </c>
      <c r="CM1054" s="688" t="n"/>
      <c r="CN1054" s="431" t="n"/>
      <c r="CO1054" s="451" t="n"/>
      <c r="CP1054" s="451" t="n"/>
      <c r="CQ1054" s="451" t="n"/>
      <c r="CS1054" s="429" t="n">
        <v>141</v>
      </c>
      <c r="CT1054" s="431" t="n">
        <v>141</v>
      </c>
      <c r="CU1054" s="688" t="n"/>
      <c r="CV1054" s="431" t="inlineStr">
        <is>
          <t>Boolean</t>
        </is>
      </c>
      <c r="CW1054" s="451" t="n"/>
      <c r="CX1054" s="451">
        <f>'CIRCUIT SIM'!MQ144</f>
        <v/>
      </c>
      <c r="CY1054" s="451" t="n"/>
      <c r="DA1054" s="429" t="n">
        <v>141</v>
      </c>
      <c r="DB1054" s="431" t="n">
        <v>141</v>
      </c>
      <c r="DC1054" s="688" t="n"/>
      <c r="DD1054" s="431" t="n"/>
      <c r="DE1054" s="451" t="n"/>
      <c r="DF1054" s="451" t="n"/>
      <c r="DG1054" s="451" t="n"/>
      <c r="DI1054" s="429" t="n">
        <v>141</v>
      </c>
      <c r="DJ1054" s="431" t="n">
        <v>141</v>
      </c>
      <c r="DK1054" s="688" t="n"/>
      <c r="DL1054" s="431" t="n"/>
      <c r="DM1054" s="429" t="n"/>
      <c r="DN1054" s="451" t="n"/>
      <c r="DO1054" s="451" t="n"/>
      <c r="DQ1054" s="429" t="n">
        <v>141</v>
      </c>
      <c r="DR1054" s="431" t="n">
        <v>141</v>
      </c>
      <c r="DS1054" s="688" t="n"/>
      <c r="DT1054" s="431" t="n"/>
      <c r="DU1054" s="451" t="n"/>
      <c r="DV1054" s="451" t="n"/>
      <c r="DW1054" s="451" t="n"/>
      <c r="DY1054" s="429" t="n">
        <v>141</v>
      </c>
      <c r="DZ1054" s="431" t="n">
        <v>141</v>
      </c>
      <c r="EA1054" s="688" t="n"/>
      <c r="EB1054" s="431" t="n"/>
      <c r="EC1054" s="451" t="n"/>
      <c r="ED1054" s="451" t="n"/>
      <c r="EE1054" s="451" t="n"/>
      <c r="EG1054" s="429" t="n">
        <v>141</v>
      </c>
      <c r="EH1054" s="431" t="n">
        <v>141</v>
      </c>
      <c r="EI1054" s="688" t="n"/>
      <c r="EJ1054" s="431" t="n"/>
      <c r="EK1054" s="451" t="n"/>
      <c r="EL1054" s="451" t="n"/>
      <c r="EM1054" s="451" t="n"/>
      <c r="EO1054" s="429" t="n">
        <v>141</v>
      </c>
      <c r="EP1054" s="431" t="n">
        <v>141</v>
      </c>
      <c r="EQ1054" s="688" t="n"/>
      <c r="ER1054" s="431" t="n"/>
      <c r="ES1054" s="451" t="n"/>
      <c r="ET1054" s="451" t="n"/>
      <c r="EU1054" s="451" t="n"/>
      <c r="EW1054" s="429" t="n">
        <v>141</v>
      </c>
      <c r="EX1054" s="431" t="n">
        <v>141</v>
      </c>
      <c r="EY1054" s="688" t="n"/>
      <c r="EZ1054" s="431" t="n"/>
      <c r="FA1054" s="451" t="n"/>
      <c r="FB1054" s="451" t="n"/>
      <c r="FC1054" s="451" t="n"/>
      <c r="FE1054" s="429" t="n">
        <v>141</v>
      </c>
      <c r="FF1054" s="431" t="n">
        <v>141</v>
      </c>
      <c r="FG1054" s="688" t="n"/>
      <c r="FH1054" s="431" t="n"/>
      <c r="FI1054" s="451" t="n"/>
      <c r="FJ1054" s="451" t="n"/>
      <c r="FK1054" s="451" t="n"/>
      <c r="FM1054" s="429" t="n">
        <v>141</v>
      </c>
      <c r="FN1054" s="431" t="n">
        <v>141</v>
      </c>
      <c r="FO1054" s="688" t="n"/>
      <c r="FP1054" s="431" t="n"/>
      <c r="FQ1054" s="451" t="n"/>
      <c r="FR1054" s="451">
        <f>'CIRCUIT SIM'!KY144</f>
        <v/>
      </c>
      <c r="FS1054" s="451" t="n"/>
      <c r="FU1054" s="429" t="n">
        <v>141</v>
      </c>
      <c r="FV1054" s="431" t="n">
        <v>141</v>
      </c>
      <c r="FW1054" s="688" t="n"/>
      <c r="FX1054" s="431" t="n"/>
      <c r="FY1054" s="451" t="n"/>
      <c r="FZ1054" s="562">
        <f>'CIRCUIT SIM'!JG144</f>
        <v/>
      </c>
      <c r="GA1054" s="451" t="n"/>
      <c r="GC1054" s="429" t="n">
        <v>141</v>
      </c>
      <c r="GD1054" s="431" t="n">
        <v>141</v>
      </c>
      <c r="GE1054" s="688" t="n"/>
      <c r="GF1054" s="431" t="n"/>
      <c r="GG1054" s="451" t="n"/>
      <c r="GH1054" s="451" t="n"/>
      <c r="GI1054" s="451" t="n"/>
      <c r="GK1054" s="429" t="n">
        <v>141</v>
      </c>
      <c r="GL1054" s="431" t="n">
        <v>141</v>
      </c>
      <c r="GM1054" s="688" t="n"/>
      <c r="GN1054" s="431" t="n"/>
      <c r="GO1054" s="451" t="n"/>
      <c r="GP1054" s="451" t="n"/>
      <c r="GQ1054" s="451" t="n"/>
      <c r="GS1054" s="429" t="n">
        <v>141</v>
      </c>
      <c r="GT1054" s="431" t="n">
        <v>141</v>
      </c>
      <c r="GU1054" s="688" t="n"/>
      <c r="GV1054" s="431" t="n"/>
      <c r="GW1054" s="451" t="n"/>
      <c r="GX1054" s="451" t="n"/>
      <c r="GY1054" s="451" t="n"/>
      <c r="HA1054" s="429" t="n">
        <v>141</v>
      </c>
      <c r="HB1054" s="431" t="n">
        <v>141</v>
      </c>
      <c r="HC1054" s="688" t="n"/>
      <c r="HD1054" s="431" t="n"/>
      <c r="HE1054" s="451" t="n"/>
      <c r="HF1054" s="451" t="n"/>
      <c r="HG1054" s="451" t="n"/>
    </row>
    <row r="1055">
      <c r="A1055" s="429" t="n">
        <v>142</v>
      </c>
      <c r="B1055" s="431" t="n">
        <v>142</v>
      </c>
      <c r="C1055" s="688" t="n"/>
      <c r="D1055" s="431" t="n"/>
      <c r="E1055" s="429" t="n"/>
      <c r="F1055" s="429" t="n"/>
      <c r="G1055" s="429" t="n"/>
      <c r="I1055" s="429" t="n">
        <v>142</v>
      </c>
      <c r="J1055" s="431" t="n">
        <v>142</v>
      </c>
      <c r="K1055" s="565" t="n">
        <v>141</v>
      </c>
      <c r="L1055" s="431" t="inlineStr">
        <is>
          <t>Boolean</t>
        </is>
      </c>
      <c r="M1055" s="451" t="n"/>
      <c r="N1055" s="422">
        <f>'CIRCUIT SIM'!Y145</f>
        <v/>
      </c>
      <c r="O1055" s="451" t="n"/>
      <c r="Q1055" s="429" t="n">
        <v>142</v>
      </c>
      <c r="R1055" s="431" t="n">
        <v>142</v>
      </c>
      <c r="S1055" s="429" t="n"/>
      <c r="T1055" s="431" t="inlineStr">
        <is>
          <t>Boolean</t>
        </is>
      </c>
      <c r="U1055" s="429" t="n"/>
      <c r="V1055" s="386">
        <f>'CIRCUIT SIM'!AO145</f>
        <v/>
      </c>
      <c r="W1055" s="451" t="n"/>
      <c r="Y1055" s="429" t="n">
        <v>142</v>
      </c>
      <c r="Z1055" s="431" t="n">
        <v>142</v>
      </c>
      <c r="AA1055" s="429" t="n"/>
      <c r="AB1055" s="431" t="n"/>
      <c r="AC1055" s="451" t="n"/>
      <c r="AD1055" s="451" t="n"/>
      <c r="AE1055" s="451" t="n"/>
      <c r="AG1055" s="429" t="n">
        <v>142</v>
      </c>
      <c r="AH1055" s="431" t="n">
        <v>142</v>
      </c>
      <c r="AI1055" s="429" t="n"/>
      <c r="AJ1055" s="431" t="n"/>
      <c r="AK1055" s="451" t="n"/>
      <c r="AL1055" s="451" t="n"/>
      <c r="AM1055" s="451" t="n"/>
      <c r="AO1055" s="429" t="n">
        <v>142</v>
      </c>
      <c r="AP1055" s="431" t="n">
        <v>142</v>
      </c>
      <c r="AQ1055" s="429" t="n"/>
      <c r="AR1055" s="431" t="n"/>
      <c r="AS1055" s="451" t="n"/>
      <c r="AT1055" s="451" t="n"/>
      <c r="AU1055" s="451" t="n"/>
      <c r="AW1055" s="429" t="n">
        <v>142</v>
      </c>
      <c r="AX1055" s="431" t="n">
        <v>142</v>
      </c>
      <c r="AY1055" s="429" t="n"/>
      <c r="AZ1055" s="431" t="n"/>
      <c r="BA1055" s="451" t="n"/>
      <c r="BB1055" s="451" t="n"/>
      <c r="BC1055" s="451" t="n"/>
      <c r="BE1055" s="429" t="n">
        <v>142</v>
      </c>
      <c r="BF1055" s="431" t="n"/>
      <c r="BG1055" s="429" t="n"/>
      <c r="BH1055" s="431" t="n"/>
      <c r="BI1055" s="451" t="n"/>
      <c r="BJ1055" s="451" t="n"/>
      <c r="BK1055" s="451" t="n"/>
      <c r="BM1055" s="429" t="n">
        <v>142</v>
      </c>
      <c r="BN1055" s="431" t="n">
        <v>142</v>
      </c>
      <c r="BO1055" s="429" t="n"/>
      <c r="BP1055" s="431" t="n"/>
      <c r="BQ1055" s="451" t="n"/>
      <c r="BR1055" s="451" t="n"/>
      <c r="BS1055" s="451" t="n"/>
      <c r="BU1055" s="429" t="n">
        <v>142</v>
      </c>
      <c r="BV1055" s="431" t="n">
        <v>142</v>
      </c>
      <c r="BW1055" s="429" t="n"/>
      <c r="BX1055" s="431" t="n"/>
      <c r="BY1055" s="451" t="n"/>
      <c r="BZ1055" s="451">
        <f>'CIRCUIT SIM'!EI145</f>
        <v/>
      </c>
      <c r="CA1055" s="451" t="n"/>
      <c r="CC1055" s="429" t="n">
        <v>142</v>
      </c>
      <c r="CD1055" s="431" t="n">
        <v>142</v>
      </c>
      <c r="CE1055" s="688" t="n"/>
      <c r="CF1055" s="431" t="inlineStr">
        <is>
          <t>Boolean</t>
        </is>
      </c>
      <c r="CG1055" s="451" t="n"/>
      <c r="CH1055" s="562">
        <f>'CIRCUIT SIM'!LK145</f>
        <v/>
      </c>
      <c r="CI1055" s="451" t="n"/>
      <c r="CK1055" s="429" t="n">
        <v>142</v>
      </c>
      <c r="CL1055" s="431" t="n">
        <v>142</v>
      </c>
      <c r="CM1055" s="688" t="n"/>
      <c r="CN1055" s="431" t="n"/>
      <c r="CO1055" s="451" t="n"/>
      <c r="CP1055" s="451" t="n"/>
      <c r="CQ1055" s="451" t="n"/>
      <c r="CS1055" s="429" t="n">
        <v>142</v>
      </c>
      <c r="CT1055" s="431" t="n">
        <v>142</v>
      </c>
      <c r="CU1055" s="688" t="n"/>
      <c r="CV1055" s="431" t="inlineStr">
        <is>
          <t>Boolean</t>
        </is>
      </c>
      <c r="CW1055" s="451" t="n"/>
      <c r="CX1055" s="451">
        <f>'CIRCUIT SIM'!MQ145</f>
        <v/>
      </c>
      <c r="CY1055" s="451" t="n"/>
      <c r="DA1055" s="429" t="n">
        <v>142</v>
      </c>
      <c r="DB1055" s="431" t="n">
        <v>142</v>
      </c>
      <c r="DC1055" s="688" t="n"/>
      <c r="DD1055" s="431" t="n"/>
      <c r="DE1055" s="451" t="n"/>
      <c r="DF1055" s="451" t="n"/>
      <c r="DG1055" s="451" t="n"/>
      <c r="DI1055" s="429" t="n">
        <v>142</v>
      </c>
      <c r="DJ1055" s="431" t="n">
        <v>142</v>
      </c>
      <c r="DK1055" s="688" t="n"/>
      <c r="DL1055" s="431" t="n"/>
      <c r="DM1055" s="429" t="n"/>
      <c r="DN1055" s="451" t="n"/>
      <c r="DO1055" s="451" t="n"/>
      <c r="DQ1055" s="429" t="n">
        <v>142</v>
      </c>
      <c r="DR1055" s="431" t="n">
        <v>142</v>
      </c>
      <c r="DS1055" s="688" t="n"/>
      <c r="DT1055" s="431" t="n"/>
      <c r="DU1055" s="451" t="n"/>
      <c r="DV1055" s="451" t="n"/>
      <c r="DW1055" s="451" t="n"/>
      <c r="DY1055" s="429" t="n">
        <v>142</v>
      </c>
      <c r="DZ1055" s="431" t="n">
        <v>142</v>
      </c>
      <c r="EA1055" s="688" t="n"/>
      <c r="EB1055" s="431" t="n"/>
      <c r="EC1055" s="451" t="n"/>
      <c r="ED1055" s="451" t="n"/>
      <c r="EE1055" s="451" t="n"/>
      <c r="EG1055" s="429" t="n">
        <v>142</v>
      </c>
      <c r="EH1055" s="431" t="n">
        <v>142</v>
      </c>
      <c r="EI1055" s="688" t="n"/>
      <c r="EJ1055" s="431" t="n"/>
      <c r="EK1055" s="451" t="n"/>
      <c r="EL1055" s="451" t="n"/>
      <c r="EM1055" s="451" t="n"/>
      <c r="EO1055" s="429" t="n">
        <v>142</v>
      </c>
      <c r="EP1055" s="431" t="n">
        <v>142</v>
      </c>
      <c r="EQ1055" s="688" t="n"/>
      <c r="ER1055" s="431" t="n"/>
      <c r="ES1055" s="451" t="n"/>
      <c r="ET1055" s="451" t="n"/>
      <c r="EU1055" s="451" t="n"/>
      <c r="EW1055" s="429" t="n">
        <v>142</v>
      </c>
      <c r="EX1055" s="431" t="n">
        <v>142</v>
      </c>
      <c r="EY1055" s="688" t="n"/>
      <c r="EZ1055" s="431" t="n"/>
      <c r="FA1055" s="451" t="n"/>
      <c r="FB1055" s="451" t="n"/>
      <c r="FC1055" s="451" t="n"/>
      <c r="FE1055" s="429" t="n">
        <v>142</v>
      </c>
      <c r="FF1055" s="431" t="n">
        <v>142</v>
      </c>
      <c r="FG1055" s="688" t="n"/>
      <c r="FH1055" s="431" t="n"/>
      <c r="FI1055" s="451" t="n"/>
      <c r="FJ1055" s="451" t="n"/>
      <c r="FK1055" s="451" t="n"/>
      <c r="FM1055" s="429" t="n">
        <v>142</v>
      </c>
      <c r="FN1055" s="431" t="n">
        <v>142</v>
      </c>
      <c r="FO1055" s="688" t="n"/>
      <c r="FP1055" s="431" t="n"/>
      <c r="FQ1055" s="451" t="n"/>
      <c r="FR1055" s="451">
        <f>'CIRCUIT SIM'!KY145</f>
        <v/>
      </c>
      <c r="FS1055" s="451" t="n"/>
      <c r="FU1055" s="429" t="n">
        <v>142</v>
      </c>
      <c r="FV1055" s="431" t="n">
        <v>142</v>
      </c>
      <c r="FW1055" s="688" t="n"/>
      <c r="FX1055" s="431" t="n"/>
      <c r="FY1055" s="451" t="n"/>
      <c r="FZ1055" s="562">
        <f>'CIRCUIT SIM'!JG145</f>
        <v/>
      </c>
      <c r="GA1055" s="451" t="n"/>
      <c r="GC1055" s="429" t="n">
        <v>142</v>
      </c>
      <c r="GD1055" s="431" t="n">
        <v>142</v>
      </c>
      <c r="GE1055" s="688" t="n"/>
      <c r="GF1055" s="431" t="n"/>
      <c r="GG1055" s="451" t="n"/>
      <c r="GH1055" s="451" t="n"/>
      <c r="GI1055" s="451" t="n"/>
      <c r="GK1055" s="429" t="n">
        <v>142</v>
      </c>
      <c r="GL1055" s="431" t="n">
        <v>142</v>
      </c>
      <c r="GM1055" s="688" t="n"/>
      <c r="GN1055" s="431" t="n"/>
      <c r="GO1055" s="451" t="n"/>
      <c r="GP1055" s="451" t="n"/>
      <c r="GQ1055" s="451" t="n"/>
      <c r="GS1055" s="429" t="n">
        <v>142</v>
      </c>
      <c r="GT1055" s="431" t="n">
        <v>142</v>
      </c>
      <c r="GU1055" s="688" t="n"/>
      <c r="GV1055" s="431" t="n"/>
      <c r="GW1055" s="451" t="n"/>
      <c r="GX1055" s="451" t="n"/>
      <c r="GY1055" s="451" t="n"/>
      <c r="HA1055" s="429" t="n">
        <v>142</v>
      </c>
      <c r="HB1055" s="431" t="n">
        <v>142</v>
      </c>
      <c r="HC1055" s="688" t="n"/>
      <c r="HD1055" s="431" t="n"/>
      <c r="HE1055" s="451" t="n"/>
      <c r="HF1055" s="451" t="n"/>
      <c r="HG1055" s="451" t="n"/>
    </row>
    <row r="1056">
      <c r="A1056" s="429" t="n">
        <v>143</v>
      </c>
      <c r="B1056" s="431" t="n">
        <v>143</v>
      </c>
      <c r="C1056" s="688" t="n"/>
      <c r="D1056" s="431" t="n"/>
      <c r="E1056" s="429" t="n"/>
      <c r="F1056" s="429" t="n"/>
      <c r="G1056" s="429" t="n"/>
      <c r="I1056" s="429" t="n">
        <v>143</v>
      </c>
      <c r="J1056" s="431" t="n">
        <v>143</v>
      </c>
      <c r="K1056" s="565" t="n">
        <v>142</v>
      </c>
      <c r="L1056" s="431" t="inlineStr">
        <is>
          <t>Boolean</t>
        </is>
      </c>
      <c r="M1056" s="451" t="n"/>
      <c r="N1056" s="422">
        <f>'CIRCUIT SIM'!Y146</f>
        <v/>
      </c>
      <c r="O1056" s="451" t="n"/>
      <c r="Q1056" s="429" t="n">
        <v>143</v>
      </c>
      <c r="R1056" s="431" t="n">
        <v>143</v>
      </c>
      <c r="S1056" s="429" t="n"/>
      <c r="T1056" s="431" t="inlineStr">
        <is>
          <t>Boolean</t>
        </is>
      </c>
      <c r="U1056" s="429" t="n"/>
      <c r="V1056" s="386">
        <f>'CIRCUIT SIM'!AO146</f>
        <v/>
      </c>
      <c r="W1056" s="451" t="n"/>
      <c r="Y1056" s="429" t="n">
        <v>143</v>
      </c>
      <c r="Z1056" s="431" t="n">
        <v>143</v>
      </c>
      <c r="AA1056" s="429" t="n"/>
      <c r="AB1056" s="431" t="n"/>
      <c r="AC1056" s="451" t="n"/>
      <c r="AD1056" s="451" t="n"/>
      <c r="AE1056" s="451" t="n"/>
      <c r="AG1056" s="429" t="n">
        <v>143</v>
      </c>
      <c r="AH1056" s="431" t="n">
        <v>143</v>
      </c>
      <c r="AI1056" s="429" t="n"/>
      <c r="AJ1056" s="431" t="n"/>
      <c r="AK1056" s="451" t="n"/>
      <c r="AL1056" s="451" t="n"/>
      <c r="AM1056" s="451" t="n"/>
      <c r="AO1056" s="429" t="n">
        <v>143</v>
      </c>
      <c r="AP1056" s="431" t="n">
        <v>143</v>
      </c>
      <c r="AQ1056" s="429" t="n"/>
      <c r="AR1056" s="431" t="n"/>
      <c r="AS1056" s="451" t="n"/>
      <c r="AT1056" s="451" t="n"/>
      <c r="AU1056" s="451" t="n"/>
      <c r="AW1056" s="429" t="n">
        <v>143</v>
      </c>
      <c r="AX1056" s="431" t="n">
        <v>143</v>
      </c>
      <c r="AY1056" s="429" t="n"/>
      <c r="AZ1056" s="431" t="n"/>
      <c r="BA1056" s="451" t="n"/>
      <c r="BB1056" s="451" t="n"/>
      <c r="BC1056" s="451" t="n"/>
      <c r="BE1056" s="429" t="n">
        <v>143</v>
      </c>
      <c r="BF1056" s="431" t="n"/>
      <c r="BG1056" s="429" t="n"/>
      <c r="BH1056" s="431" t="n"/>
      <c r="BI1056" s="451" t="n"/>
      <c r="BJ1056" s="451" t="n"/>
      <c r="BK1056" s="451" t="n"/>
      <c r="BM1056" s="429" t="n">
        <v>143</v>
      </c>
      <c r="BN1056" s="431" t="n">
        <v>143</v>
      </c>
      <c r="BO1056" s="429" t="n"/>
      <c r="BP1056" s="431" t="n"/>
      <c r="BQ1056" s="451" t="n"/>
      <c r="BR1056" s="451" t="n"/>
      <c r="BS1056" s="451" t="n"/>
      <c r="BU1056" s="429" t="n">
        <v>143</v>
      </c>
      <c r="BV1056" s="431" t="n">
        <v>143</v>
      </c>
      <c r="BW1056" s="429" t="n"/>
      <c r="BX1056" s="431" t="n"/>
      <c r="BY1056" s="451" t="n"/>
      <c r="BZ1056" s="451">
        <f>'CIRCUIT SIM'!EI146</f>
        <v/>
      </c>
      <c r="CA1056" s="451" t="n"/>
      <c r="CC1056" s="429" t="n">
        <v>143</v>
      </c>
      <c r="CD1056" s="431" t="n">
        <v>143</v>
      </c>
      <c r="CE1056" s="688" t="n"/>
      <c r="CF1056" s="431" t="inlineStr">
        <is>
          <t>Boolean</t>
        </is>
      </c>
      <c r="CG1056" s="451" t="n"/>
      <c r="CH1056" s="562">
        <f>'CIRCUIT SIM'!LK146</f>
        <v/>
      </c>
      <c r="CI1056" s="451" t="n"/>
      <c r="CK1056" s="429" t="n">
        <v>143</v>
      </c>
      <c r="CL1056" s="431" t="n">
        <v>143</v>
      </c>
      <c r="CM1056" s="688" t="n"/>
      <c r="CN1056" s="431" t="n"/>
      <c r="CO1056" s="451" t="n"/>
      <c r="CP1056" s="451" t="n"/>
      <c r="CQ1056" s="451" t="n"/>
      <c r="CS1056" s="429" t="n">
        <v>143</v>
      </c>
      <c r="CT1056" s="431" t="n">
        <v>143</v>
      </c>
      <c r="CU1056" s="688" t="n"/>
      <c r="CV1056" s="431" t="inlineStr">
        <is>
          <t>Boolean</t>
        </is>
      </c>
      <c r="CW1056" s="451" t="n"/>
      <c r="CX1056" s="451">
        <f>'CIRCUIT SIM'!MQ146</f>
        <v/>
      </c>
      <c r="CY1056" s="451" t="n"/>
      <c r="DA1056" s="429" t="n">
        <v>143</v>
      </c>
      <c r="DB1056" s="431" t="n">
        <v>143</v>
      </c>
      <c r="DC1056" s="688" t="n"/>
      <c r="DD1056" s="431" t="n"/>
      <c r="DE1056" s="451" t="n"/>
      <c r="DF1056" s="451" t="n"/>
      <c r="DG1056" s="451" t="n"/>
      <c r="DI1056" s="429" t="n">
        <v>143</v>
      </c>
      <c r="DJ1056" s="431" t="n">
        <v>143</v>
      </c>
      <c r="DK1056" s="688" t="n"/>
      <c r="DL1056" s="431" t="n"/>
      <c r="DM1056" s="429" t="n"/>
      <c r="DN1056" s="451" t="n"/>
      <c r="DO1056" s="451" t="n"/>
      <c r="DQ1056" s="429" t="n">
        <v>143</v>
      </c>
      <c r="DR1056" s="431" t="n">
        <v>143</v>
      </c>
      <c r="DS1056" s="688" t="n"/>
      <c r="DT1056" s="431" t="n"/>
      <c r="DU1056" s="451" t="n"/>
      <c r="DV1056" s="451" t="n"/>
      <c r="DW1056" s="451" t="n"/>
      <c r="DY1056" s="429" t="n">
        <v>143</v>
      </c>
      <c r="DZ1056" s="431" t="n">
        <v>143</v>
      </c>
      <c r="EA1056" s="688" t="n"/>
      <c r="EB1056" s="431" t="n"/>
      <c r="EC1056" s="451" t="n"/>
      <c r="ED1056" s="451" t="n"/>
      <c r="EE1056" s="451" t="n"/>
      <c r="EG1056" s="429" t="n">
        <v>143</v>
      </c>
      <c r="EH1056" s="431" t="n">
        <v>143</v>
      </c>
      <c r="EI1056" s="688" t="n"/>
      <c r="EJ1056" s="431" t="n"/>
      <c r="EK1056" s="451" t="n"/>
      <c r="EL1056" s="451" t="n"/>
      <c r="EM1056" s="451" t="n"/>
      <c r="EO1056" s="429" t="n">
        <v>143</v>
      </c>
      <c r="EP1056" s="431" t="n">
        <v>143</v>
      </c>
      <c r="EQ1056" s="688" t="n"/>
      <c r="ER1056" s="431" t="n"/>
      <c r="ES1056" s="451" t="n"/>
      <c r="ET1056" s="451" t="n"/>
      <c r="EU1056" s="451" t="n"/>
      <c r="EW1056" s="429" t="n">
        <v>143</v>
      </c>
      <c r="EX1056" s="431" t="n">
        <v>143</v>
      </c>
      <c r="EY1056" s="688" t="n"/>
      <c r="EZ1056" s="431" t="n"/>
      <c r="FA1056" s="451" t="n"/>
      <c r="FB1056" s="451" t="n"/>
      <c r="FC1056" s="451" t="n"/>
      <c r="FE1056" s="429" t="n">
        <v>143</v>
      </c>
      <c r="FF1056" s="431" t="n">
        <v>143</v>
      </c>
      <c r="FG1056" s="688" t="n"/>
      <c r="FH1056" s="431" t="n"/>
      <c r="FI1056" s="451" t="n"/>
      <c r="FJ1056" s="451" t="n"/>
      <c r="FK1056" s="451" t="n"/>
      <c r="FM1056" s="429" t="n">
        <v>143</v>
      </c>
      <c r="FN1056" s="431" t="n">
        <v>143</v>
      </c>
      <c r="FO1056" s="688" t="n"/>
      <c r="FP1056" s="431" t="n"/>
      <c r="FQ1056" s="451" t="n"/>
      <c r="FR1056" s="451">
        <f>'CIRCUIT SIM'!KY146</f>
        <v/>
      </c>
      <c r="FS1056" s="451" t="n"/>
      <c r="FU1056" s="429" t="n">
        <v>143</v>
      </c>
      <c r="FV1056" s="431" t="n">
        <v>143</v>
      </c>
      <c r="FW1056" s="688" t="n"/>
      <c r="FX1056" s="431" t="n"/>
      <c r="FY1056" s="451" t="n"/>
      <c r="FZ1056" s="562">
        <f>'CIRCUIT SIM'!JG146</f>
        <v/>
      </c>
      <c r="GA1056" s="451" t="n"/>
      <c r="GC1056" s="429" t="n">
        <v>143</v>
      </c>
      <c r="GD1056" s="431" t="n">
        <v>143</v>
      </c>
      <c r="GE1056" s="688" t="n"/>
      <c r="GF1056" s="431" t="n"/>
      <c r="GG1056" s="451" t="n"/>
      <c r="GH1056" s="451" t="n"/>
      <c r="GI1056" s="451" t="n"/>
      <c r="GK1056" s="429" t="n">
        <v>143</v>
      </c>
      <c r="GL1056" s="431" t="n">
        <v>143</v>
      </c>
      <c r="GM1056" s="688" t="n"/>
      <c r="GN1056" s="431" t="n"/>
      <c r="GO1056" s="451" t="n"/>
      <c r="GP1056" s="451" t="n"/>
      <c r="GQ1056" s="451" t="n"/>
      <c r="GS1056" s="429" t="n">
        <v>143</v>
      </c>
      <c r="GT1056" s="431" t="n">
        <v>143</v>
      </c>
      <c r="GU1056" s="688" t="n"/>
      <c r="GV1056" s="431" t="n"/>
      <c r="GW1056" s="451" t="n"/>
      <c r="GX1056" s="451" t="n"/>
      <c r="GY1056" s="451" t="n"/>
      <c r="HA1056" s="429" t="n">
        <v>143</v>
      </c>
      <c r="HB1056" s="431" t="n">
        <v>143</v>
      </c>
      <c r="HC1056" s="688" t="n"/>
      <c r="HD1056" s="431" t="n"/>
      <c r="HE1056" s="451" t="n"/>
      <c r="HF1056" s="451" t="n"/>
      <c r="HG1056" s="451" t="n"/>
    </row>
    <row r="1057">
      <c r="A1057" s="429" t="n">
        <v>144</v>
      </c>
      <c r="B1057" s="431" t="n">
        <v>144</v>
      </c>
      <c r="C1057" s="688" t="n"/>
      <c r="D1057" s="431" t="n"/>
      <c r="E1057" s="429" t="n"/>
      <c r="F1057" s="429" t="n"/>
      <c r="G1057" s="429" t="n"/>
      <c r="I1057" s="429" t="n">
        <v>144</v>
      </c>
      <c r="J1057" s="431" t="n">
        <v>144</v>
      </c>
      <c r="K1057" s="565" t="n">
        <v>143</v>
      </c>
      <c r="L1057" s="431" t="inlineStr">
        <is>
          <t>Boolean</t>
        </is>
      </c>
      <c r="M1057" s="451" t="n"/>
      <c r="N1057" s="422">
        <f>'CIRCUIT SIM'!Y147</f>
        <v/>
      </c>
      <c r="O1057" s="451" t="n"/>
      <c r="Q1057" s="429" t="n">
        <v>144</v>
      </c>
      <c r="R1057" s="431" t="n">
        <v>144</v>
      </c>
      <c r="S1057" s="429" t="n"/>
      <c r="T1057" s="431" t="inlineStr">
        <is>
          <t>Boolean</t>
        </is>
      </c>
      <c r="U1057" s="429" t="n"/>
      <c r="V1057" s="386">
        <f>'CIRCUIT SIM'!AO147</f>
        <v/>
      </c>
      <c r="W1057" s="451" t="n"/>
      <c r="Y1057" s="429" t="n">
        <v>144</v>
      </c>
      <c r="Z1057" s="431" t="n">
        <v>144</v>
      </c>
      <c r="AA1057" s="429" t="n"/>
      <c r="AB1057" s="431" t="n"/>
      <c r="AC1057" s="451" t="n"/>
      <c r="AD1057" s="451" t="n"/>
      <c r="AE1057" s="451" t="n"/>
      <c r="AG1057" s="429" t="n">
        <v>144</v>
      </c>
      <c r="AH1057" s="431" t="n">
        <v>144</v>
      </c>
      <c r="AI1057" s="429" t="n"/>
      <c r="AJ1057" s="431" t="n"/>
      <c r="AK1057" s="451" t="n"/>
      <c r="AL1057" s="451" t="n"/>
      <c r="AM1057" s="451" t="n"/>
      <c r="AO1057" s="429" t="n">
        <v>144</v>
      </c>
      <c r="AP1057" s="431" t="n">
        <v>144</v>
      </c>
      <c r="AQ1057" s="429" t="n"/>
      <c r="AR1057" s="431" t="n"/>
      <c r="AS1057" s="451" t="n"/>
      <c r="AT1057" s="451" t="n"/>
      <c r="AU1057" s="451" t="n"/>
      <c r="AW1057" s="429" t="n">
        <v>144</v>
      </c>
      <c r="AX1057" s="431" t="n">
        <v>144</v>
      </c>
      <c r="AY1057" s="429" t="n"/>
      <c r="AZ1057" s="431" t="n"/>
      <c r="BA1057" s="451" t="n"/>
      <c r="BB1057" s="451" t="n"/>
      <c r="BC1057" s="451" t="n"/>
      <c r="BE1057" s="429" t="n">
        <v>144</v>
      </c>
      <c r="BF1057" s="431" t="n"/>
      <c r="BG1057" s="429" t="n"/>
      <c r="BH1057" s="431" t="n"/>
      <c r="BI1057" s="451" t="n"/>
      <c r="BJ1057" s="451" t="n"/>
      <c r="BK1057" s="451" t="n"/>
      <c r="BM1057" s="429" t="n">
        <v>144</v>
      </c>
      <c r="BN1057" s="431" t="n">
        <v>144</v>
      </c>
      <c r="BO1057" s="429" t="n"/>
      <c r="BP1057" s="431" t="n"/>
      <c r="BQ1057" s="451" t="n"/>
      <c r="BR1057" s="451" t="n"/>
      <c r="BS1057" s="451" t="n"/>
      <c r="BU1057" s="429" t="n">
        <v>144</v>
      </c>
      <c r="BV1057" s="431" t="n">
        <v>144</v>
      </c>
      <c r="BW1057" s="429" t="n"/>
      <c r="BX1057" s="431" t="n"/>
      <c r="BY1057" s="451" t="n"/>
      <c r="BZ1057" s="451">
        <f>'CIRCUIT SIM'!EI147</f>
        <v/>
      </c>
      <c r="CA1057" s="451" t="n"/>
      <c r="CC1057" s="429" t="n">
        <v>144</v>
      </c>
      <c r="CD1057" s="431" t="n">
        <v>144</v>
      </c>
      <c r="CE1057" s="688" t="n"/>
      <c r="CF1057" s="431" t="inlineStr">
        <is>
          <t>Boolean</t>
        </is>
      </c>
      <c r="CG1057" s="451" t="n"/>
      <c r="CH1057" s="562">
        <f>'CIRCUIT SIM'!LK147</f>
        <v/>
      </c>
      <c r="CI1057" s="451" t="n"/>
      <c r="CK1057" s="429" t="n">
        <v>144</v>
      </c>
      <c r="CL1057" s="431" t="n">
        <v>144</v>
      </c>
      <c r="CM1057" s="688" t="n"/>
      <c r="CN1057" s="431" t="n"/>
      <c r="CO1057" s="451" t="n"/>
      <c r="CP1057" s="451" t="n"/>
      <c r="CQ1057" s="451" t="n"/>
      <c r="CS1057" s="429" t="n">
        <v>144</v>
      </c>
      <c r="CT1057" s="431" t="n">
        <v>144</v>
      </c>
      <c r="CU1057" s="688" t="n"/>
      <c r="CV1057" s="431" t="inlineStr">
        <is>
          <t>Boolean</t>
        </is>
      </c>
      <c r="CW1057" s="451" t="n"/>
      <c r="CX1057" s="451">
        <f>'CIRCUIT SIM'!MQ147</f>
        <v/>
      </c>
      <c r="CY1057" s="451" t="n"/>
      <c r="DA1057" s="429" t="n">
        <v>144</v>
      </c>
      <c r="DB1057" s="431" t="n">
        <v>144</v>
      </c>
      <c r="DC1057" s="688" t="n"/>
      <c r="DD1057" s="431" t="n"/>
      <c r="DE1057" s="451" t="n"/>
      <c r="DF1057" s="451" t="n"/>
      <c r="DG1057" s="451" t="n"/>
      <c r="DI1057" s="429" t="n">
        <v>144</v>
      </c>
      <c r="DJ1057" s="431" t="n">
        <v>144</v>
      </c>
      <c r="DK1057" s="688" t="n"/>
      <c r="DL1057" s="431" t="n"/>
      <c r="DM1057" s="429" t="n"/>
      <c r="DN1057" s="451" t="n"/>
      <c r="DO1057" s="451" t="n"/>
      <c r="DQ1057" s="429" t="n">
        <v>144</v>
      </c>
      <c r="DR1057" s="431" t="n">
        <v>144</v>
      </c>
      <c r="DS1057" s="688" t="n"/>
      <c r="DT1057" s="431" t="n"/>
      <c r="DU1057" s="451" t="n"/>
      <c r="DV1057" s="451" t="n"/>
      <c r="DW1057" s="451" t="n"/>
      <c r="DY1057" s="429" t="n">
        <v>144</v>
      </c>
      <c r="DZ1057" s="431" t="n">
        <v>144</v>
      </c>
      <c r="EA1057" s="688" t="n"/>
      <c r="EB1057" s="431" t="n"/>
      <c r="EC1057" s="451" t="n"/>
      <c r="ED1057" s="451" t="n"/>
      <c r="EE1057" s="451" t="n"/>
      <c r="EG1057" s="429" t="n">
        <v>144</v>
      </c>
      <c r="EH1057" s="431" t="n">
        <v>144</v>
      </c>
      <c r="EI1057" s="688" t="n"/>
      <c r="EJ1057" s="431" t="n"/>
      <c r="EK1057" s="451" t="n"/>
      <c r="EL1057" s="451" t="n"/>
      <c r="EM1057" s="451" t="n"/>
      <c r="EO1057" s="429" t="n">
        <v>144</v>
      </c>
      <c r="EP1057" s="431" t="n">
        <v>144</v>
      </c>
      <c r="EQ1057" s="688" t="n"/>
      <c r="ER1057" s="431" t="n"/>
      <c r="ES1057" s="451" t="n"/>
      <c r="ET1057" s="451" t="n"/>
      <c r="EU1057" s="451" t="n"/>
      <c r="EW1057" s="429" t="n">
        <v>144</v>
      </c>
      <c r="EX1057" s="431" t="n">
        <v>144</v>
      </c>
      <c r="EY1057" s="688" t="n"/>
      <c r="EZ1057" s="431" t="n"/>
      <c r="FA1057" s="451" t="n"/>
      <c r="FB1057" s="451" t="n"/>
      <c r="FC1057" s="451" t="n"/>
      <c r="FE1057" s="429" t="n">
        <v>144</v>
      </c>
      <c r="FF1057" s="431" t="n">
        <v>144</v>
      </c>
      <c r="FG1057" s="688" t="n"/>
      <c r="FH1057" s="431" t="n"/>
      <c r="FI1057" s="451" t="n"/>
      <c r="FJ1057" s="451" t="n"/>
      <c r="FK1057" s="451" t="n"/>
      <c r="FM1057" s="429" t="n">
        <v>144</v>
      </c>
      <c r="FN1057" s="431" t="n">
        <v>144</v>
      </c>
      <c r="FO1057" s="688" t="n"/>
      <c r="FP1057" s="431" t="n"/>
      <c r="FQ1057" s="451" t="n"/>
      <c r="FR1057" s="451">
        <f>'CIRCUIT SIM'!KY147</f>
        <v/>
      </c>
      <c r="FS1057" s="451" t="n"/>
      <c r="FU1057" s="429" t="n">
        <v>144</v>
      </c>
      <c r="FV1057" s="431" t="n">
        <v>144</v>
      </c>
      <c r="FW1057" s="688" t="n"/>
      <c r="FX1057" s="431" t="n"/>
      <c r="FY1057" s="451" t="n"/>
      <c r="FZ1057" s="562">
        <f>'CIRCUIT SIM'!JG147</f>
        <v/>
      </c>
      <c r="GA1057" s="451" t="n"/>
      <c r="GC1057" s="429" t="n">
        <v>144</v>
      </c>
      <c r="GD1057" s="431" t="n">
        <v>144</v>
      </c>
      <c r="GE1057" s="688" t="n"/>
      <c r="GF1057" s="431" t="n"/>
      <c r="GG1057" s="451" t="n"/>
      <c r="GH1057" s="451" t="n"/>
      <c r="GI1057" s="451" t="n"/>
      <c r="GK1057" s="429" t="n">
        <v>144</v>
      </c>
      <c r="GL1057" s="431" t="n">
        <v>144</v>
      </c>
      <c r="GM1057" s="688" t="n"/>
      <c r="GN1057" s="431" t="n"/>
      <c r="GO1057" s="451" t="n"/>
      <c r="GP1057" s="451" t="n"/>
      <c r="GQ1057" s="451" t="n"/>
      <c r="GS1057" s="429" t="n">
        <v>144</v>
      </c>
      <c r="GT1057" s="431" t="n">
        <v>144</v>
      </c>
      <c r="GU1057" s="688" t="n"/>
      <c r="GV1057" s="431" t="n"/>
      <c r="GW1057" s="451" t="n"/>
      <c r="GX1057" s="451" t="n"/>
      <c r="GY1057" s="451" t="n"/>
      <c r="HA1057" s="429" t="n">
        <v>144</v>
      </c>
      <c r="HB1057" s="431" t="n">
        <v>144</v>
      </c>
      <c r="HC1057" s="688" t="n"/>
      <c r="HD1057" s="431" t="n"/>
      <c r="HE1057" s="451" t="n"/>
      <c r="HF1057" s="451" t="n"/>
      <c r="HG1057" s="451" t="n"/>
    </row>
    <row r="1058">
      <c r="A1058" s="429" t="n">
        <v>145</v>
      </c>
      <c r="B1058" s="431" t="n">
        <v>145</v>
      </c>
      <c r="C1058" s="688" t="n"/>
      <c r="D1058" s="431" t="n"/>
      <c r="E1058" s="429" t="n"/>
      <c r="F1058" s="429" t="n"/>
      <c r="G1058" s="429" t="n"/>
      <c r="I1058" s="429" t="n">
        <v>145</v>
      </c>
      <c r="J1058" s="431" t="n">
        <v>145</v>
      </c>
      <c r="K1058" s="565" t="n">
        <v>144</v>
      </c>
      <c r="L1058" s="431" t="inlineStr">
        <is>
          <t>Boolean</t>
        </is>
      </c>
      <c r="M1058" s="451" t="n"/>
      <c r="N1058" s="422">
        <f>'CIRCUIT SIM'!Y148</f>
        <v/>
      </c>
      <c r="O1058" s="451" t="n"/>
      <c r="Q1058" s="429" t="n">
        <v>145</v>
      </c>
      <c r="R1058" s="431" t="n">
        <v>145</v>
      </c>
      <c r="S1058" s="429" t="n"/>
      <c r="T1058" s="431" t="inlineStr">
        <is>
          <t>Boolean</t>
        </is>
      </c>
      <c r="U1058" s="429" t="n"/>
      <c r="V1058" s="386">
        <f>'CIRCUIT SIM'!AO148</f>
        <v/>
      </c>
      <c r="W1058" s="451" t="n"/>
      <c r="Y1058" s="429" t="n">
        <v>145</v>
      </c>
      <c r="Z1058" s="431" t="n">
        <v>145</v>
      </c>
      <c r="AA1058" s="429" t="n"/>
      <c r="AB1058" s="431" t="n"/>
      <c r="AC1058" s="451" t="n"/>
      <c r="AD1058" s="451" t="n"/>
      <c r="AE1058" s="451" t="n"/>
      <c r="AG1058" s="429" t="n">
        <v>145</v>
      </c>
      <c r="AH1058" s="431" t="n">
        <v>145</v>
      </c>
      <c r="AI1058" s="429" t="n"/>
      <c r="AJ1058" s="431" t="n"/>
      <c r="AK1058" s="451" t="n"/>
      <c r="AL1058" s="451" t="n"/>
      <c r="AM1058" s="451" t="n"/>
      <c r="AO1058" s="429" t="n">
        <v>145</v>
      </c>
      <c r="AP1058" s="431" t="n">
        <v>145</v>
      </c>
      <c r="AQ1058" s="429" t="n"/>
      <c r="AR1058" s="431" t="n"/>
      <c r="AS1058" s="451" t="n"/>
      <c r="AT1058" s="451" t="n"/>
      <c r="AU1058" s="451" t="n"/>
      <c r="AW1058" s="429" t="n">
        <v>145</v>
      </c>
      <c r="AX1058" s="431" t="n">
        <v>145</v>
      </c>
      <c r="AY1058" s="429" t="n"/>
      <c r="AZ1058" s="431" t="n"/>
      <c r="BA1058" s="451" t="n"/>
      <c r="BB1058" s="451" t="n"/>
      <c r="BC1058" s="451" t="n"/>
      <c r="BE1058" s="429" t="n">
        <v>145</v>
      </c>
      <c r="BF1058" s="431" t="n"/>
      <c r="BG1058" s="429" t="n"/>
      <c r="BH1058" s="431" t="n"/>
      <c r="BI1058" s="451" t="n"/>
      <c r="BJ1058" s="451" t="n"/>
      <c r="BK1058" s="451" t="n"/>
      <c r="BM1058" s="429" t="n">
        <v>145</v>
      </c>
      <c r="BN1058" s="431" t="n">
        <v>145</v>
      </c>
      <c r="BO1058" s="429" t="n"/>
      <c r="BP1058" s="431" t="n"/>
      <c r="BQ1058" s="451" t="n"/>
      <c r="BR1058" s="451" t="n"/>
      <c r="BS1058" s="451" t="n"/>
      <c r="BU1058" s="429" t="n">
        <v>145</v>
      </c>
      <c r="BV1058" s="431" t="n">
        <v>145</v>
      </c>
      <c r="BW1058" s="429" t="n"/>
      <c r="BX1058" s="431" t="n"/>
      <c r="BY1058" s="451" t="n"/>
      <c r="BZ1058" s="451">
        <f>'CIRCUIT SIM'!EI148</f>
        <v/>
      </c>
      <c r="CA1058" s="451" t="n"/>
      <c r="CC1058" s="429" t="n">
        <v>145</v>
      </c>
      <c r="CD1058" s="431" t="n">
        <v>145</v>
      </c>
      <c r="CE1058" s="688" t="n"/>
      <c r="CF1058" s="431" t="inlineStr">
        <is>
          <t>Boolean</t>
        </is>
      </c>
      <c r="CG1058" s="451" t="n"/>
      <c r="CH1058" s="562">
        <f>'CIRCUIT SIM'!LK148</f>
        <v/>
      </c>
      <c r="CI1058" s="451" t="n"/>
      <c r="CK1058" s="429" t="n">
        <v>145</v>
      </c>
      <c r="CL1058" s="431" t="n">
        <v>145</v>
      </c>
      <c r="CM1058" s="688" t="n"/>
      <c r="CN1058" s="431" t="n"/>
      <c r="CO1058" s="451" t="n"/>
      <c r="CP1058" s="451" t="n"/>
      <c r="CQ1058" s="451" t="n"/>
      <c r="CS1058" s="429" t="n">
        <v>145</v>
      </c>
      <c r="CT1058" s="431" t="n">
        <v>145</v>
      </c>
      <c r="CU1058" s="688" t="n"/>
      <c r="CV1058" s="431" t="inlineStr">
        <is>
          <t>Boolean</t>
        </is>
      </c>
      <c r="CW1058" s="451" t="n"/>
      <c r="CX1058" s="451">
        <f>'CIRCUIT SIM'!MQ148</f>
        <v/>
      </c>
      <c r="CY1058" s="451" t="n"/>
      <c r="DA1058" s="429" t="n">
        <v>145</v>
      </c>
      <c r="DB1058" s="431" t="n">
        <v>145</v>
      </c>
      <c r="DC1058" s="688" t="n"/>
      <c r="DD1058" s="431" t="n"/>
      <c r="DE1058" s="451" t="n"/>
      <c r="DF1058" s="451" t="n"/>
      <c r="DG1058" s="451" t="n"/>
      <c r="DI1058" s="429" t="n">
        <v>145</v>
      </c>
      <c r="DJ1058" s="431" t="n">
        <v>145</v>
      </c>
      <c r="DK1058" s="688" t="n"/>
      <c r="DL1058" s="431" t="n"/>
      <c r="DM1058" s="429" t="n"/>
      <c r="DN1058" s="451" t="n"/>
      <c r="DO1058" s="451" t="n"/>
      <c r="DQ1058" s="429" t="n">
        <v>145</v>
      </c>
      <c r="DR1058" s="431" t="n">
        <v>145</v>
      </c>
      <c r="DS1058" s="688" t="n"/>
      <c r="DT1058" s="431" t="n"/>
      <c r="DU1058" s="451" t="n"/>
      <c r="DV1058" s="451" t="n"/>
      <c r="DW1058" s="451" t="n"/>
      <c r="DY1058" s="429" t="n">
        <v>145</v>
      </c>
      <c r="DZ1058" s="431" t="n">
        <v>145</v>
      </c>
      <c r="EA1058" s="688" t="n"/>
      <c r="EB1058" s="431" t="n"/>
      <c r="EC1058" s="451" t="n"/>
      <c r="ED1058" s="451" t="n"/>
      <c r="EE1058" s="451" t="n"/>
      <c r="EG1058" s="429" t="n">
        <v>145</v>
      </c>
      <c r="EH1058" s="431" t="n">
        <v>145</v>
      </c>
      <c r="EI1058" s="688" t="n"/>
      <c r="EJ1058" s="431" t="n"/>
      <c r="EK1058" s="451" t="n"/>
      <c r="EL1058" s="451" t="n"/>
      <c r="EM1058" s="451" t="n"/>
      <c r="EO1058" s="429" t="n">
        <v>145</v>
      </c>
      <c r="EP1058" s="431" t="n">
        <v>145</v>
      </c>
      <c r="EQ1058" s="688" t="n"/>
      <c r="ER1058" s="431" t="n"/>
      <c r="ES1058" s="451" t="n"/>
      <c r="ET1058" s="451" t="n"/>
      <c r="EU1058" s="451" t="n"/>
      <c r="EW1058" s="429" t="n">
        <v>145</v>
      </c>
      <c r="EX1058" s="431" t="n">
        <v>145</v>
      </c>
      <c r="EY1058" s="688" t="n"/>
      <c r="EZ1058" s="431" t="n"/>
      <c r="FA1058" s="451" t="n"/>
      <c r="FB1058" s="451" t="n"/>
      <c r="FC1058" s="451" t="n"/>
      <c r="FE1058" s="429" t="n">
        <v>145</v>
      </c>
      <c r="FF1058" s="431" t="n">
        <v>145</v>
      </c>
      <c r="FG1058" s="688" t="n"/>
      <c r="FH1058" s="431" t="n"/>
      <c r="FI1058" s="451" t="n"/>
      <c r="FJ1058" s="451" t="n"/>
      <c r="FK1058" s="451" t="n"/>
      <c r="FM1058" s="429" t="n">
        <v>145</v>
      </c>
      <c r="FN1058" s="431" t="n">
        <v>145</v>
      </c>
      <c r="FO1058" s="688" t="n"/>
      <c r="FP1058" s="431" t="n"/>
      <c r="FQ1058" s="451" t="n"/>
      <c r="FR1058" s="451">
        <f>'CIRCUIT SIM'!KY148</f>
        <v/>
      </c>
      <c r="FS1058" s="451" t="n"/>
      <c r="FU1058" s="429" t="n">
        <v>145</v>
      </c>
      <c r="FV1058" s="431" t="n">
        <v>145</v>
      </c>
      <c r="FW1058" s="688" t="n"/>
      <c r="FX1058" s="431" t="n"/>
      <c r="FY1058" s="451" t="n"/>
      <c r="FZ1058" s="562">
        <f>'CIRCUIT SIM'!JG148</f>
        <v/>
      </c>
      <c r="GA1058" s="451" t="n"/>
      <c r="GC1058" s="429" t="n">
        <v>145</v>
      </c>
      <c r="GD1058" s="431" t="n">
        <v>145</v>
      </c>
      <c r="GE1058" s="688" t="n"/>
      <c r="GF1058" s="431" t="n"/>
      <c r="GG1058" s="451" t="n"/>
      <c r="GH1058" s="451" t="n"/>
      <c r="GI1058" s="451" t="n"/>
      <c r="GK1058" s="429" t="n">
        <v>145</v>
      </c>
      <c r="GL1058" s="431" t="n">
        <v>145</v>
      </c>
      <c r="GM1058" s="688" t="n"/>
      <c r="GN1058" s="431" t="n"/>
      <c r="GO1058" s="451" t="n"/>
      <c r="GP1058" s="451" t="n"/>
      <c r="GQ1058" s="451" t="n"/>
      <c r="GS1058" s="429" t="n">
        <v>145</v>
      </c>
      <c r="GT1058" s="431" t="n">
        <v>145</v>
      </c>
      <c r="GU1058" s="688" t="n"/>
      <c r="GV1058" s="431" t="n"/>
      <c r="GW1058" s="451" t="n"/>
      <c r="GX1058" s="451" t="n"/>
      <c r="GY1058" s="451" t="n"/>
      <c r="HA1058" s="429" t="n">
        <v>145</v>
      </c>
      <c r="HB1058" s="431" t="n">
        <v>145</v>
      </c>
      <c r="HC1058" s="688" t="n"/>
      <c r="HD1058" s="431" t="n"/>
      <c r="HE1058" s="451" t="n"/>
      <c r="HF1058" s="451" t="n"/>
      <c r="HG1058" s="451" t="n"/>
    </row>
    <row r="1059">
      <c r="A1059" s="429" t="n">
        <v>146</v>
      </c>
      <c r="B1059" s="431" t="n">
        <v>146</v>
      </c>
      <c r="C1059" s="688" t="n"/>
      <c r="D1059" s="431" t="n"/>
      <c r="E1059" s="429" t="n"/>
      <c r="F1059" s="429" t="n"/>
      <c r="G1059" s="429" t="n"/>
      <c r="I1059" s="429" t="n">
        <v>146</v>
      </c>
      <c r="J1059" s="431" t="n">
        <v>146</v>
      </c>
      <c r="K1059" s="565" t="n">
        <v>145</v>
      </c>
      <c r="L1059" s="431" t="inlineStr">
        <is>
          <t>Boolean</t>
        </is>
      </c>
      <c r="M1059" s="451" t="n"/>
      <c r="N1059" s="422">
        <f>'CIRCUIT SIM'!Y149</f>
        <v/>
      </c>
      <c r="O1059" s="451" t="n"/>
      <c r="Q1059" s="429" t="n">
        <v>146</v>
      </c>
      <c r="R1059" s="431" t="n">
        <v>146</v>
      </c>
      <c r="S1059" s="429" t="n"/>
      <c r="T1059" s="431" t="inlineStr">
        <is>
          <t>Boolean</t>
        </is>
      </c>
      <c r="U1059" s="429" t="n"/>
      <c r="V1059" s="386">
        <f>'CIRCUIT SIM'!AO149</f>
        <v/>
      </c>
      <c r="W1059" s="451" t="n"/>
      <c r="Y1059" s="429" t="n">
        <v>146</v>
      </c>
      <c r="Z1059" s="431" t="n">
        <v>146</v>
      </c>
      <c r="AA1059" s="429" t="n"/>
      <c r="AB1059" s="431" t="n"/>
      <c r="AC1059" s="451" t="n"/>
      <c r="AD1059" s="451" t="n"/>
      <c r="AE1059" s="451" t="n"/>
      <c r="AG1059" s="429" t="n">
        <v>146</v>
      </c>
      <c r="AH1059" s="431" t="n">
        <v>146</v>
      </c>
      <c r="AI1059" s="429" t="n"/>
      <c r="AJ1059" s="431" t="n"/>
      <c r="AK1059" s="451" t="n"/>
      <c r="AL1059" s="451" t="n"/>
      <c r="AM1059" s="451" t="n"/>
      <c r="AO1059" s="429" t="n">
        <v>146</v>
      </c>
      <c r="AP1059" s="431" t="n">
        <v>146</v>
      </c>
      <c r="AQ1059" s="429" t="n"/>
      <c r="AR1059" s="431" t="n"/>
      <c r="AS1059" s="451" t="n"/>
      <c r="AT1059" s="451" t="n"/>
      <c r="AU1059" s="451" t="n"/>
      <c r="AW1059" s="429" t="n">
        <v>146</v>
      </c>
      <c r="AX1059" s="431" t="n">
        <v>146</v>
      </c>
      <c r="AY1059" s="429" t="n"/>
      <c r="AZ1059" s="431" t="n"/>
      <c r="BA1059" s="451" t="n"/>
      <c r="BB1059" s="451" t="n"/>
      <c r="BC1059" s="451" t="n"/>
      <c r="BE1059" s="429" t="n">
        <v>146</v>
      </c>
      <c r="BF1059" s="431" t="n"/>
      <c r="BG1059" s="429" t="n"/>
      <c r="BH1059" s="431" t="n"/>
      <c r="BI1059" s="451" t="n"/>
      <c r="BJ1059" s="451" t="n"/>
      <c r="BK1059" s="451" t="n"/>
      <c r="BM1059" s="429" t="n">
        <v>146</v>
      </c>
      <c r="BN1059" s="431" t="n">
        <v>146</v>
      </c>
      <c r="BO1059" s="429" t="n"/>
      <c r="BP1059" s="431" t="n"/>
      <c r="BQ1059" s="451" t="n"/>
      <c r="BR1059" s="451" t="n"/>
      <c r="BS1059" s="451" t="n"/>
      <c r="BU1059" s="429" t="n">
        <v>146</v>
      </c>
      <c r="BV1059" s="431" t="n">
        <v>146</v>
      </c>
      <c r="BW1059" s="429" t="n"/>
      <c r="BX1059" s="431" t="n"/>
      <c r="BY1059" s="451" t="n"/>
      <c r="BZ1059" s="451">
        <f>'CIRCUIT SIM'!EI149</f>
        <v/>
      </c>
      <c r="CA1059" s="451" t="n"/>
      <c r="CC1059" s="429" t="n">
        <v>146</v>
      </c>
      <c r="CD1059" s="431" t="n">
        <v>146</v>
      </c>
      <c r="CE1059" s="688" t="n"/>
      <c r="CF1059" s="431" t="inlineStr">
        <is>
          <t>Boolean</t>
        </is>
      </c>
      <c r="CG1059" s="451" t="n"/>
      <c r="CH1059" s="562">
        <f>'CIRCUIT SIM'!LK149</f>
        <v/>
      </c>
      <c r="CI1059" s="451" t="n"/>
      <c r="CK1059" s="429" t="n">
        <v>146</v>
      </c>
      <c r="CL1059" s="431" t="n">
        <v>146</v>
      </c>
      <c r="CM1059" s="688" t="n"/>
      <c r="CN1059" s="431" t="n"/>
      <c r="CO1059" s="451" t="n"/>
      <c r="CP1059" s="451" t="n"/>
      <c r="CQ1059" s="451" t="n"/>
      <c r="CS1059" s="429" t="n">
        <v>146</v>
      </c>
      <c r="CT1059" s="431" t="n">
        <v>146</v>
      </c>
      <c r="CU1059" s="688" t="n"/>
      <c r="CV1059" s="431" t="inlineStr">
        <is>
          <t>Boolean</t>
        </is>
      </c>
      <c r="CW1059" s="451" t="n"/>
      <c r="CX1059" s="451">
        <f>'CIRCUIT SIM'!MQ149</f>
        <v/>
      </c>
      <c r="CY1059" s="451" t="n"/>
      <c r="DA1059" s="429" t="n">
        <v>146</v>
      </c>
      <c r="DB1059" s="431" t="n">
        <v>146</v>
      </c>
      <c r="DC1059" s="688" t="n"/>
      <c r="DD1059" s="431" t="n"/>
      <c r="DE1059" s="451" t="n"/>
      <c r="DF1059" s="451" t="n"/>
      <c r="DG1059" s="451" t="n"/>
      <c r="DI1059" s="429" t="n">
        <v>146</v>
      </c>
      <c r="DJ1059" s="431" t="n">
        <v>146</v>
      </c>
      <c r="DK1059" s="688" t="n"/>
      <c r="DL1059" s="431" t="n"/>
      <c r="DM1059" s="429" t="n"/>
      <c r="DN1059" s="451" t="n"/>
      <c r="DO1059" s="451" t="n"/>
      <c r="DQ1059" s="429" t="n">
        <v>146</v>
      </c>
      <c r="DR1059" s="431" t="n">
        <v>146</v>
      </c>
      <c r="DS1059" s="688" t="n"/>
      <c r="DT1059" s="431" t="n"/>
      <c r="DU1059" s="451" t="n"/>
      <c r="DV1059" s="451" t="n"/>
      <c r="DW1059" s="451" t="n"/>
      <c r="DY1059" s="429" t="n">
        <v>146</v>
      </c>
      <c r="DZ1059" s="431" t="n">
        <v>146</v>
      </c>
      <c r="EA1059" s="688" t="n"/>
      <c r="EB1059" s="431" t="n"/>
      <c r="EC1059" s="451" t="n"/>
      <c r="ED1059" s="451" t="n"/>
      <c r="EE1059" s="451" t="n"/>
      <c r="EG1059" s="429" t="n">
        <v>146</v>
      </c>
      <c r="EH1059" s="431" t="n">
        <v>146</v>
      </c>
      <c r="EI1059" s="688" t="n"/>
      <c r="EJ1059" s="431" t="n"/>
      <c r="EK1059" s="451" t="n"/>
      <c r="EL1059" s="451" t="n"/>
      <c r="EM1059" s="451" t="n"/>
      <c r="EO1059" s="429" t="n">
        <v>146</v>
      </c>
      <c r="EP1059" s="431" t="n">
        <v>146</v>
      </c>
      <c r="EQ1059" s="688" t="n"/>
      <c r="ER1059" s="431" t="n"/>
      <c r="ES1059" s="451" t="n"/>
      <c r="ET1059" s="451" t="n"/>
      <c r="EU1059" s="451" t="n"/>
      <c r="EW1059" s="429" t="n">
        <v>146</v>
      </c>
      <c r="EX1059" s="431" t="n">
        <v>146</v>
      </c>
      <c r="EY1059" s="688" t="n"/>
      <c r="EZ1059" s="431" t="n"/>
      <c r="FA1059" s="451" t="n"/>
      <c r="FB1059" s="451" t="n"/>
      <c r="FC1059" s="451" t="n"/>
      <c r="FE1059" s="429" t="n">
        <v>146</v>
      </c>
      <c r="FF1059" s="431" t="n">
        <v>146</v>
      </c>
      <c r="FG1059" s="688" t="n"/>
      <c r="FH1059" s="431" t="n"/>
      <c r="FI1059" s="451" t="n"/>
      <c r="FJ1059" s="451" t="n"/>
      <c r="FK1059" s="451" t="n"/>
      <c r="FM1059" s="429" t="n">
        <v>146</v>
      </c>
      <c r="FN1059" s="431" t="n">
        <v>146</v>
      </c>
      <c r="FO1059" s="688" t="n"/>
      <c r="FP1059" s="431" t="n"/>
      <c r="FQ1059" s="451" t="n"/>
      <c r="FR1059" s="451">
        <f>'CIRCUIT SIM'!KY149</f>
        <v/>
      </c>
      <c r="FS1059" s="451" t="n"/>
      <c r="FU1059" s="429" t="n">
        <v>146</v>
      </c>
      <c r="FV1059" s="431" t="n">
        <v>146</v>
      </c>
      <c r="FW1059" s="688" t="n"/>
      <c r="FX1059" s="431" t="n"/>
      <c r="FY1059" s="451" t="n"/>
      <c r="FZ1059" s="562">
        <f>'CIRCUIT SIM'!JG149</f>
        <v/>
      </c>
      <c r="GA1059" s="451" t="n"/>
      <c r="GC1059" s="429" t="n">
        <v>146</v>
      </c>
      <c r="GD1059" s="431" t="n">
        <v>146</v>
      </c>
      <c r="GE1059" s="688" t="n"/>
      <c r="GF1059" s="431" t="n"/>
      <c r="GG1059" s="451" t="n"/>
      <c r="GH1059" s="451" t="n"/>
      <c r="GI1059" s="451" t="n"/>
      <c r="GK1059" s="429" t="n">
        <v>146</v>
      </c>
      <c r="GL1059" s="431" t="n">
        <v>146</v>
      </c>
      <c r="GM1059" s="688" t="n"/>
      <c r="GN1059" s="431" t="n"/>
      <c r="GO1059" s="451" t="n"/>
      <c r="GP1059" s="451" t="n"/>
      <c r="GQ1059" s="451" t="n"/>
      <c r="GS1059" s="429" t="n">
        <v>146</v>
      </c>
      <c r="GT1059" s="431" t="n">
        <v>146</v>
      </c>
      <c r="GU1059" s="688" t="n"/>
      <c r="GV1059" s="431" t="n"/>
      <c r="GW1059" s="451" t="n"/>
      <c r="GX1059" s="451" t="n"/>
      <c r="GY1059" s="451" t="n"/>
      <c r="HA1059" s="429" t="n">
        <v>146</v>
      </c>
      <c r="HB1059" s="431" t="n">
        <v>146</v>
      </c>
      <c r="HC1059" s="688" t="n"/>
      <c r="HD1059" s="431" t="n"/>
      <c r="HE1059" s="451" t="n"/>
      <c r="HF1059" s="451" t="n"/>
      <c r="HG1059" s="451" t="n"/>
    </row>
    <row r="1060">
      <c r="A1060" s="429" t="n">
        <v>147</v>
      </c>
      <c r="B1060" s="431" t="n">
        <v>147</v>
      </c>
      <c r="C1060" s="688" t="n"/>
      <c r="D1060" s="431" t="n"/>
      <c r="E1060" s="429" t="n"/>
      <c r="F1060" s="429" t="n"/>
      <c r="G1060" s="429" t="n"/>
      <c r="I1060" s="429" t="n">
        <v>147</v>
      </c>
      <c r="J1060" s="431" t="n">
        <v>147</v>
      </c>
      <c r="K1060" s="565" t="n">
        <v>146</v>
      </c>
      <c r="L1060" s="431" t="inlineStr">
        <is>
          <t>Boolean</t>
        </is>
      </c>
      <c r="M1060" s="451" t="n"/>
      <c r="N1060" s="422">
        <f>'CIRCUIT SIM'!Y150</f>
        <v/>
      </c>
      <c r="Q1060" s="429" t="n">
        <v>147</v>
      </c>
      <c r="R1060" s="431" t="n">
        <v>147</v>
      </c>
      <c r="S1060" s="429" t="n"/>
      <c r="T1060" s="431" t="inlineStr">
        <is>
          <t>Boolean</t>
        </is>
      </c>
      <c r="U1060" s="429" t="n"/>
      <c r="V1060" s="386">
        <f>'CIRCUIT SIM'!AO150</f>
        <v/>
      </c>
      <c r="W1060" s="451" t="n"/>
      <c r="Y1060" s="429" t="n">
        <v>147</v>
      </c>
      <c r="Z1060" s="431" t="n">
        <v>147</v>
      </c>
      <c r="AA1060" s="429" t="n"/>
      <c r="AB1060" s="431" t="n"/>
      <c r="AC1060" s="451" t="n"/>
      <c r="AD1060" s="451" t="n"/>
      <c r="AE1060" s="451" t="n"/>
      <c r="AG1060" s="429" t="n">
        <v>147</v>
      </c>
      <c r="AH1060" s="431" t="n">
        <v>147</v>
      </c>
      <c r="AI1060" s="429" t="n"/>
      <c r="AJ1060" s="431" t="n"/>
      <c r="AK1060" s="451" t="n"/>
      <c r="AL1060" s="451" t="n"/>
      <c r="AM1060" s="451" t="n"/>
      <c r="AO1060" s="429" t="n">
        <v>147</v>
      </c>
      <c r="AP1060" s="431" t="n">
        <v>147</v>
      </c>
      <c r="AQ1060" s="429" t="n"/>
      <c r="AR1060" s="431" t="n"/>
      <c r="AS1060" s="451" t="n"/>
      <c r="AT1060" s="451" t="n"/>
      <c r="AU1060" s="451" t="n"/>
      <c r="AW1060" s="429" t="n">
        <v>147</v>
      </c>
      <c r="AX1060" s="431" t="n">
        <v>147</v>
      </c>
      <c r="AY1060" s="429" t="n"/>
      <c r="AZ1060" s="431" t="n"/>
      <c r="BA1060" s="451" t="n"/>
      <c r="BB1060" s="451" t="n"/>
      <c r="BC1060" s="451" t="n"/>
      <c r="BE1060" s="429" t="n">
        <v>147</v>
      </c>
      <c r="BF1060" s="431" t="n"/>
      <c r="BG1060" s="429" t="n"/>
      <c r="BH1060" s="431" t="n"/>
      <c r="BI1060" s="451" t="n"/>
      <c r="BJ1060" s="451" t="n"/>
      <c r="BK1060" s="451" t="n"/>
      <c r="BM1060" s="429" t="n">
        <v>147</v>
      </c>
      <c r="BN1060" s="431" t="n">
        <v>147</v>
      </c>
      <c r="BO1060" s="429" t="n"/>
      <c r="BP1060" s="431" t="n"/>
      <c r="BQ1060" s="451" t="n"/>
      <c r="BR1060" s="451" t="n"/>
      <c r="BS1060" s="451" t="n"/>
      <c r="BU1060" s="429" t="n">
        <v>147</v>
      </c>
      <c r="BV1060" s="431" t="n">
        <v>147</v>
      </c>
      <c r="BW1060" s="429" t="n"/>
      <c r="BX1060" s="431" t="n"/>
      <c r="BY1060" s="451" t="n"/>
      <c r="BZ1060" s="451">
        <f>'CIRCUIT SIM'!EI150</f>
        <v/>
      </c>
      <c r="CA1060" s="451" t="n"/>
      <c r="CC1060" s="429" t="n">
        <v>147</v>
      </c>
      <c r="CD1060" s="431" t="n">
        <v>147</v>
      </c>
      <c r="CE1060" s="688" t="n"/>
      <c r="CF1060" s="431" t="inlineStr">
        <is>
          <t>Boolean</t>
        </is>
      </c>
      <c r="CG1060" s="451" t="n"/>
      <c r="CH1060" s="562">
        <f>'CIRCUIT SIM'!LK150</f>
        <v/>
      </c>
      <c r="CI1060" s="451" t="n"/>
      <c r="CK1060" s="429" t="n">
        <v>147</v>
      </c>
      <c r="CL1060" s="431" t="n">
        <v>147</v>
      </c>
      <c r="CM1060" s="688" t="n"/>
      <c r="CN1060" s="431" t="n"/>
      <c r="CO1060" s="451" t="n"/>
      <c r="CP1060" s="451" t="n"/>
      <c r="CQ1060" s="451" t="n"/>
      <c r="CS1060" s="429" t="n">
        <v>147</v>
      </c>
      <c r="CT1060" s="431" t="n">
        <v>147</v>
      </c>
      <c r="CU1060" s="688" t="n"/>
      <c r="CV1060" s="431" t="inlineStr">
        <is>
          <t>Boolean</t>
        </is>
      </c>
      <c r="CW1060" s="451" t="n"/>
      <c r="CX1060" s="451">
        <f>'CIRCUIT SIM'!MQ150</f>
        <v/>
      </c>
      <c r="CY1060" s="451" t="n"/>
      <c r="DA1060" s="429" t="n">
        <v>147</v>
      </c>
      <c r="DB1060" s="431" t="n">
        <v>147</v>
      </c>
      <c r="DC1060" s="688" t="n"/>
      <c r="DD1060" s="431" t="n"/>
      <c r="DE1060" s="451" t="n"/>
      <c r="DF1060" s="451" t="n"/>
      <c r="DG1060" s="451" t="n"/>
      <c r="DI1060" s="429" t="n">
        <v>147</v>
      </c>
      <c r="DJ1060" s="431" t="n">
        <v>147</v>
      </c>
      <c r="DK1060" s="688" t="n"/>
      <c r="DL1060" s="431" t="n"/>
      <c r="DM1060" s="429" t="n"/>
      <c r="DN1060" s="451" t="n"/>
      <c r="DO1060" s="451" t="n"/>
      <c r="DQ1060" s="429" t="n">
        <v>147</v>
      </c>
      <c r="DR1060" s="431" t="n">
        <v>147</v>
      </c>
      <c r="DS1060" s="688" t="n"/>
      <c r="DT1060" s="431" t="n"/>
      <c r="DU1060" s="451" t="n"/>
      <c r="DV1060" s="451" t="n"/>
      <c r="DW1060" s="451" t="n"/>
      <c r="DY1060" s="429" t="n">
        <v>147</v>
      </c>
      <c r="DZ1060" s="431" t="n">
        <v>147</v>
      </c>
      <c r="EA1060" s="688" t="n"/>
      <c r="EB1060" s="431" t="n"/>
      <c r="EC1060" s="451" t="n"/>
      <c r="ED1060" s="451" t="n"/>
      <c r="EE1060" s="451" t="n"/>
      <c r="EG1060" s="429" t="n">
        <v>147</v>
      </c>
      <c r="EH1060" s="431" t="n">
        <v>147</v>
      </c>
      <c r="EI1060" s="688" t="n"/>
      <c r="EJ1060" s="431" t="n"/>
      <c r="EK1060" s="451" t="n"/>
      <c r="EL1060" s="451" t="n"/>
      <c r="EM1060" s="451" t="n"/>
      <c r="EO1060" s="429" t="n">
        <v>147</v>
      </c>
      <c r="EP1060" s="431" t="n">
        <v>147</v>
      </c>
      <c r="EQ1060" s="688" t="n"/>
      <c r="ER1060" s="431" t="n"/>
      <c r="ES1060" s="451" t="n"/>
      <c r="ET1060" s="451" t="n"/>
      <c r="EU1060" s="451" t="n"/>
      <c r="EW1060" s="429" t="n">
        <v>147</v>
      </c>
      <c r="EX1060" s="431" t="n">
        <v>147</v>
      </c>
      <c r="EY1060" s="688" t="n"/>
      <c r="EZ1060" s="431" t="n"/>
      <c r="FA1060" s="451" t="n"/>
      <c r="FB1060" s="451" t="n"/>
      <c r="FC1060" s="451" t="n"/>
      <c r="FE1060" s="429" t="n">
        <v>147</v>
      </c>
      <c r="FF1060" s="431" t="n">
        <v>147</v>
      </c>
      <c r="FG1060" s="688" t="n"/>
      <c r="FH1060" s="431" t="n"/>
      <c r="FI1060" s="451" t="n"/>
      <c r="FJ1060" s="451" t="n"/>
      <c r="FK1060" s="451" t="n"/>
      <c r="FM1060" s="429" t="n">
        <v>147</v>
      </c>
      <c r="FN1060" s="431" t="n">
        <v>147</v>
      </c>
      <c r="FO1060" s="688" t="n"/>
      <c r="FP1060" s="431" t="n"/>
      <c r="FQ1060" s="451" t="n"/>
      <c r="FR1060" s="451">
        <f>'CIRCUIT SIM'!KY150</f>
        <v/>
      </c>
      <c r="FS1060" s="451" t="n"/>
      <c r="FU1060" s="429" t="n">
        <v>147</v>
      </c>
      <c r="FV1060" s="431" t="n">
        <v>147</v>
      </c>
      <c r="FW1060" s="688" t="n"/>
      <c r="FX1060" s="431" t="n"/>
      <c r="FY1060" s="451" t="n"/>
      <c r="FZ1060" s="562">
        <f>'CIRCUIT SIM'!JG150</f>
        <v/>
      </c>
      <c r="GA1060" s="451" t="n"/>
      <c r="GC1060" s="429" t="n">
        <v>147</v>
      </c>
      <c r="GD1060" s="431" t="n">
        <v>147</v>
      </c>
      <c r="GE1060" s="688" t="n"/>
      <c r="GF1060" s="431" t="n"/>
      <c r="GG1060" s="451" t="n"/>
      <c r="GH1060" s="451" t="n"/>
      <c r="GI1060" s="451" t="n"/>
      <c r="GK1060" s="429" t="n">
        <v>147</v>
      </c>
      <c r="GL1060" s="431" t="n">
        <v>147</v>
      </c>
      <c r="GM1060" s="688" t="n"/>
      <c r="GN1060" s="431" t="n"/>
      <c r="GO1060" s="451" t="n"/>
      <c r="GP1060" s="451" t="n"/>
      <c r="GQ1060" s="451" t="n"/>
      <c r="GS1060" s="429" t="n">
        <v>147</v>
      </c>
      <c r="GT1060" s="431" t="n">
        <v>147</v>
      </c>
      <c r="GU1060" s="688" t="n"/>
      <c r="GV1060" s="431" t="n"/>
      <c r="GW1060" s="451" t="n"/>
      <c r="GX1060" s="451" t="n"/>
      <c r="GY1060" s="451" t="n"/>
      <c r="HA1060" s="429" t="n">
        <v>147</v>
      </c>
      <c r="HB1060" s="431" t="n">
        <v>147</v>
      </c>
      <c r="HC1060" s="688" t="n"/>
      <c r="HD1060" s="431" t="n"/>
      <c r="HE1060" s="451" t="n"/>
      <c r="HF1060" s="451" t="n"/>
      <c r="HG1060" s="451" t="n"/>
    </row>
    <row r="1061">
      <c r="A1061" s="429" t="n">
        <v>148</v>
      </c>
      <c r="B1061" s="431" t="n">
        <v>148</v>
      </c>
      <c r="C1061" s="688" t="n"/>
      <c r="D1061" s="431" t="n"/>
      <c r="E1061" s="429" t="n"/>
      <c r="F1061" s="429" t="n"/>
      <c r="G1061" s="429" t="n"/>
      <c r="I1061" s="429" t="n">
        <v>148</v>
      </c>
      <c r="J1061" s="431" t="n">
        <v>148</v>
      </c>
      <c r="K1061" s="565" t="n">
        <v>147</v>
      </c>
      <c r="L1061" s="431" t="inlineStr">
        <is>
          <t>Boolean</t>
        </is>
      </c>
      <c r="M1061" s="451" t="n"/>
      <c r="N1061" s="422">
        <f>'CIRCUIT SIM'!Y151</f>
        <v/>
      </c>
      <c r="O1061" s="451" t="n"/>
      <c r="Q1061" s="429" t="n">
        <v>148</v>
      </c>
      <c r="R1061" s="431" t="n">
        <v>148</v>
      </c>
      <c r="S1061" s="429" t="n"/>
      <c r="T1061" s="431" t="inlineStr">
        <is>
          <t>Boolean</t>
        </is>
      </c>
      <c r="U1061" s="429" t="n"/>
      <c r="V1061" s="386">
        <f>'CIRCUIT SIM'!AO151</f>
        <v/>
      </c>
      <c r="W1061" s="451" t="n"/>
      <c r="Y1061" s="429" t="n">
        <v>148</v>
      </c>
      <c r="Z1061" s="431" t="n">
        <v>148</v>
      </c>
      <c r="AA1061" s="429" t="n"/>
      <c r="AB1061" s="431" t="n"/>
      <c r="AC1061" s="451" t="n"/>
      <c r="AD1061" s="451" t="n"/>
      <c r="AE1061" s="451" t="n"/>
      <c r="AG1061" s="429" t="n">
        <v>148</v>
      </c>
      <c r="AH1061" s="431" t="n">
        <v>148</v>
      </c>
      <c r="AI1061" s="429" t="n"/>
      <c r="AJ1061" s="431" t="n"/>
      <c r="AK1061" s="451" t="n"/>
      <c r="AL1061" s="451" t="n"/>
      <c r="AM1061" s="451" t="n"/>
      <c r="AO1061" s="429" t="n">
        <v>148</v>
      </c>
      <c r="AP1061" s="431" t="n">
        <v>148</v>
      </c>
      <c r="AQ1061" s="429" t="n"/>
      <c r="AR1061" s="431" t="n"/>
      <c r="AS1061" s="451" t="n"/>
      <c r="AT1061" s="451" t="n"/>
      <c r="AU1061" s="451" t="n"/>
      <c r="AW1061" s="429" t="n">
        <v>148</v>
      </c>
      <c r="AX1061" s="431" t="n">
        <v>148</v>
      </c>
      <c r="AY1061" s="429" t="n"/>
      <c r="AZ1061" s="431" t="n"/>
      <c r="BA1061" s="451" t="n"/>
      <c r="BB1061" s="451" t="n"/>
      <c r="BC1061" s="451" t="n"/>
      <c r="BE1061" s="429" t="n">
        <v>148</v>
      </c>
      <c r="BF1061" s="431" t="n"/>
      <c r="BG1061" s="429" t="n"/>
      <c r="BH1061" s="431" t="n"/>
      <c r="BI1061" s="451" t="n"/>
      <c r="BJ1061" s="451" t="n"/>
      <c r="BK1061" s="451" t="n"/>
      <c r="BM1061" s="429" t="n">
        <v>148</v>
      </c>
      <c r="BN1061" s="431" t="n">
        <v>148</v>
      </c>
      <c r="BO1061" s="429" t="n"/>
      <c r="BP1061" s="431" t="n"/>
      <c r="BQ1061" s="451" t="n"/>
      <c r="BR1061" s="451" t="n"/>
      <c r="BS1061" s="451" t="n"/>
      <c r="BU1061" s="429" t="n">
        <v>148</v>
      </c>
      <c r="BV1061" s="431" t="n">
        <v>148</v>
      </c>
      <c r="BW1061" s="429" t="n"/>
      <c r="BX1061" s="431" t="n"/>
      <c r="BY1061" s="451" t="n"/>
      <c r="BZ1061" s="451">
        <f>'CIRCUIT SIM'!EI151</f>
        <v/>
      </c>
      <c r="CA1061" s="451" t="n"/>
      <c r="CC1061" s="429" t="n">
        <v>148</v>
      </c>
      <c r="CD1061" s="431" t="n">
        <v>148</v>
      </c>
      <c r="CE1061" s="688" t="n"/>
      <c r="CF1061" s="431" t="inlineStr">
        <is>
          <t>Boolean</t>
        </is>
      </c>
      <c r="CG1061" s="451" t="n"/>
      <c r="CH1061" s="562">
        <f>'CIRCUIT SIM'!LK151</f>
        <v/>
      </c>
      <c r="CI1061" s="451" t="n"/>
      <c r="CK1061" s="429" t="n">
        <v>148</v>
      </c>
      <c r="CL1061" s="431" t="n">
        <v>148</v>
      </c>
      <c r="CM1061" s="688" t="n"/>
      <c r="CN1061" s="431" t="n"/>
      <c r="CO1061" s="451" t="n"/>
      <c r="CP1061" s="451" t="n"/>
      <c r="CQ1061" s="451" t="n"/>
      <c r="CS1061" s="429" t="n">
        <v>148</v>
      </c>
      <c r="CT1061" s="431" t="n">
        <v>148</v>
      </c>
      <c r="CU1061" s="688" t="n"/>
      <c r="CV1061" s="431" t="inlineStr">
        <is>
          <t>Boolean</t>
        </is>
      </c>
      <c r="CW1061" s="451" t="n"/>
      <c r="CX1061" s="451">
        <f>'CIRCUIT SIM'!MQ151</f>
        <v/>
      </c>
      <c r="CY1061" s="451" t="n"/>
      <c r="DA1061" s="429" t="n">
        <v>148</v>
      </c>
      <c r="DB1061" s="431" t="n">
        <v>148</v>
      </c>
      <c r="DC1061" s="688" t="n"/>
      <c r="DD1061" s="431" t="n"/>
      <c r="DE1061" s="451" t="n"/>
      <c r="DF1061" s="451" t="n"/>
      <c r="DG1061" s="451" t="n"/>
      <c r="DI1061" s="429" t="n">
        <v>148</v>
      </c>
      <c r="DJ1061" s="431" t="n">
        <v>148</v>
      </c>
      <c r="DK1061" s="688" t="n"/>
      <c r="DL1061" s="431" t="n"/>
      <c r="DM1061" s="429" t="n"/>
      <c r="DN1061" s="451" t="n"/>
      <c r="DO1061" s="451" t="n"/>
      <c r="DQ1061" s="429" t="n">
        <v>148</v>
      </c>
      <c r="DR1061" s="431" t="n">
        <v>148</v>
      </c>
      <c r="DS1061" s="688" t="n"/>
      <c r="DT1061" s="431" t="n"/>
      <c r="DU1061" s="451" t="n"/>
      <c r="DV1061" s="451" t="n"/>
      <c r="DW1061" s="451" t="n"/>
      <c r="DY1061" s="429" t="n">
        <v>148</v>
      </c>
      <c r="DZ1061" s="431" t="n">
        <v>148</v>
      </c>
      <c r="EA1061" s="688" t="n"/>
      <c r="EB1061" s="431" t="n"/>
      <c r="EC1061" s="451" t="n"/>
      <c r="ED1061" s="451" t="n"/>
      <c r="EE1061" s="451" t="n"/>
      <c r="EG1061" s="429" t="n">
        <v>148</v>
      </c>
      <c r="EH1061" s="431" t="n">
        <v>148</v>
      </c>
      <c r="EI1061" s="688" t="n"/>
      <c r="EJ1061" s="431" t="n"/>
      <c r="EK1061" s="451" t="n"/>
      <c r="EL1061" s="451" t="n"/>
      <c r="EM1061" s="451" t="n"/>
      <c r="EO1061" s="429" t="n">
        <v>148</v>
      </c>
      <c r="EP1061" s="431" t="n">
        <v>148</v>
      </c>
      <c r="EQ1061" s="688" t="n"/>
      <c r="ER1061" s="431" t="n"/>
      <c r="ES1061" s="451" t="n"/>
      <c r="ET1061" s="451" t="n"/>
      <c r="EU1061" s="451" t="n"/>
      <c r="EW1061" s="429" t="n">
        <v>148</v>
      </c>
      <c r="EX1061" s="431" t="n">
        <v>148</v>
      </c>
      <c r="EY1061" s="688" t="n"/>
      <c r="EZ1061" s="431" t="n"/>
      <c r="FA1061" s="451" t="n"/>
      <c r="FB1061" s="451" t="n"/>
      <c r="FC1061" s="451" t="n"/>
      <c r="FE1061" s="429" t="n">
        <v>148</v>
      </c>
      <c r="FF1061" s="431" t="n">
        <v>148</v>
      </c>
      <c r="FG1061" s="688" t="n"/>
      <c r="FH1061" s="431" t="n"/>
      <c r="FI1061" s="451" t="n"/>
      <c r="FJ1061" s="451" t="n"/>
      <c r="FK1061" s="451" t="n"/>
      <c r="FM1061" s="429" t="n">
        <v>148</v>
      </c>
      <c r="FN1061" s="431" t="n">
        <v>148</v>
      </c>
      <c r="FO1061" s="688" t="n"/>
      <c r="FP1061" s="431" t="n"/>
      <c r="FQ1061" s="451" t="n"/>
      <c r="FR1061" s="451">
        <f>'CIRCUIT SIM'!KY151</f>
        <v/>
      </c>
      <c r="FS1061" s="451" t="n"/>
      <c r="FU1061" s="429" t="n">
        <v>148</v>
      </c>
      <c r="FV1061" s="431" t="n">
        <v>148</v>
      </c>
      <c r="FW1061" s="688" t="n"/>
      <c r="FX1061" s="431" t="n"/>
      <c r="FY1061" s="451" t="n"/>
      <c r="FZ1061" s="562">
        <f>'CIRCUIT SIM'!JG151</f>
        <v/>
      </c>
      <c r="GA1061" s="451" t="n"/>
      <c r="GC1061" s="429" t="n">
        <v>148</v>
      </c>
      <c r="GD1061" s="431" t="n">
        <v>148</v>
      </c>
      <c r="GE1061" s="688" t="n"/>
      <c r="GF1061" s="431" t="n"/>
      <c r="GG1061" s="451" t="n"/>
      <c r="GH1061" s="451" t="n"/>
      <c r="GI1061" s="451" t="n"/>
      <c r="GK1061" s="429" t="n">
        <v>148</v>
      </c>
      <c r="GL1061" s="431" t="n">
        <v>148</v>
      </c>
      <c r="GM1061" s="688" t="n"/>
      <c r="GN1061" s="431" t="n"/>
      <c r="GO1061" s="451" t="n"/>
      <c r="GP1061" s="451" t="n"/>
      <c r="GQ1061" s="451" t="n"/>
      <c r="GS1061" s="429" t="n">
        <v>148</v>
      </c>
      <c r="GT1061" s="431" t="n">
        <v>148</v>
      </c>
      <c r="GU1061" s="688" t="n"/>
      <c r="GV1061" s="431" t="n"/>
      <c r="GW1061" s="451" t="n"/>
      <c r="GX1061" s="451" t="n"/>
      <c r="GY1061" s="451" t="n"/>
      <c r="HA1061" s="429" t="n">
        <v>148</v>
      </c>
      <c r="HB1061" s="431" t="n">
        <v>148</v>
      </c>
      <c r="HC1061" s="688" t="n"/>
      <c r="HD1061" s="431" t="n"/>
      <c r="HE1061" s="451" t="n"/>
      <c r="HF1061" s="451" t="n"/>
      <c r="HG1061" s="451" t="n"/>
    </row>
    <row r="1062">
      <c r="A1062" s="429" t="n">
        <v>149</v>
      </c>
      <c r="B1062" s="431" t="n">
        <v>149</v>
      </c>
      <c r="C1062" s="688" t="n"/>
      <c r="D1062" s="431" t="n"/>
      <c r="E1062" s="429" t="n"/>
      <c r="F1062" s="429" t="n"/>
      <c r="G1062" s="429" t="n"/>
      <c r="I1062" s="429" t="n">
        <v>149</v>
      </c>
      <c r="J1062" s="431" t="n">
        <v>149</v>
      </c>
      <c r="K1062" s="565" t="n">
        <v>148</v>
      </c>
      <c r="L1062" s="431" t="inlineStr">
        <is>
          <t>Boolean</t>
        </is>
      </c>
      <c r="M1062" s="451" t="n"/>
      <c r="N1062" s="422">
        <f>'CIRCUIT SIM'!Y152</f>
        <v/>
      </c>
      <c r="O1062" s="451" t="n"/>
      <c r="Q1062" s="429" t="n">
        <v>149</v>
      </c>
      <c r="R1062" s="431" t="n">
        <v>149</v>
      </c>
      <c r="S1062" s="429" t="n"/>
      <c r="T1062" s="431" t="inlineStr">
        <is>
          <t>Boolean</t>
        </is>
      </c>
      <c r="U1062" s="429" t="n"/>
      <c r="V1062" s="386">
        <f>'CIRCUIT SIM'!AO152</f>
        <v/>
      </c>
      <c r="W1062" s="451" t="n"/>
      <c r="Y1062" s="429" t="n">
        <v>149</v>
      </c>
      <c r="Z1062" s="431" t="n">
        <v>149</v>
      </c>
      <c r="AA1062" s="429" t="n"/>
      <c r="AB1062" s="431" t="n"/>
      <c r="AC1062" s="451" t="n"/>
      <c r="AD1062" s="451" t="n"/>
      <c r="AE1062" s="451" t="n"/>
      <c r="AG1062" s="429" t="n">
        <v>149</v>
      </c>
      <c r="AH1062" s="431" t="n">
        <v>149</v>
      </c>
      <c r="AI1062" s="429" t="n"/>
      <c r="AJ1062" s="431" t="n"/>
      <c r="AK1062" s="451" t="n"/>
      <c r="AL1062" s="451" t="n"/>
      <c r="AM1062" s="451" t="n"/>
      <c r="AO1062" s="429" t="n">
        <v>149</v>
      </c>
      <c r="AP1062" s="431" t="n">
        <v>149</v>
      </c>
      <c r="AQ1062" s="429" t="n"/>
      <c r="AR1062" s="431" t="n"/>
      <c r="AS1062" s="451" t="n"/>
      <c r="AT1062" s="451" t="n"/>
      <c r="AU1062" s="451" t="n"/>
      <c r="AW1062" s="429" t="n">
        <v>149</v>
      </c>
      <c r="AX1062" s="431" t="n">
        <v>149</v>
      </c>
      <c r="AY1062" s="429" t="n"/>
      <c r="AZ1062" s="431" t="n"/>
      <c r="BA1062" s="451" t="n"/>
      <c r="BB1062" s="451" t="n"/>
      <c r="BC1062" s="451" t="n"/>
      <c r="BE1062" s="429" t="n">
        <v>149</v>
      </c>
      <c r="BF1062" s="431" t="n"/>
      <c r="BG1062" s="429" t="n"/>
      <c r="BH1062" s="431" t="n"/>
      <c r="BI1062" s="451" t="n"/>
      <c r="BJ1062" s="451" t="n"/>
      <c r="BK1062" s="451" t="n"/>
      <c r="BM1062" s="429" t="n">
        <v>149</v>
      </c>
      <c r="BN1062" s="431" t="n">
        <v>149</v>
      </c>
      <c r="BO1062" s="429" t="n"/>
      <c r="BP1062" s="431" t="n"/>
      <c r="BQ1062" s="451" t="n"/>
      <c r="BR1062" s="451" t="n"/>
      <c r="BS1062" s="451" t="n"/>
      <c r="BU1062" s="429" t="n">
        <v>149</v>
      </c>
      <c r="BV1062" s="431" t="n">
        <v>149</v>
      </c>
      <c r="BW1062" s="429" t="n"/>
      <c r="BX1062" s="431" t="n"/>
      <c r="BY1062" s="451" t="n"/>
      <c r="BZ1062" s="451">
        <f>'CIRCUIT SIM'!EI152</f>
        <v/>
      </c>
      <c r="CA1062" s="451" t="n"/>
      <c r="CC1062" s="429" t="n">
        <v>149</v>
      </c>
      <c r="CD1062" s="431" t="n">
        <v>149</v>
      </c>
      <c r="CE1062" s="688" t="n"/>
      <c r="CF1062" s="431" t="inlineStr">
        <is>
          <t>Boolean</t>
        </is>
      </c>
      <c r="CG1062" s="451" t="n"/>
      <c r="CH1062" s="562">
        <f>'CIRCUIT SIM'!LK152</f>
        <v/>
      </c>
      <c r="CI1062" s="451" t="n"/>
      <c r="CK1062" s="429" t="n">
        <v>149</v>
      </c>
      <c r="CL1062" s="431" t="n">
        <v>149</v>
      </c>
      <c r="CM1062" s="688" t="n"/>
      <c r="CN1062" s="431" t="n"/>
      <c r="CO1062" s="451" t="n"/>
      <c r="CP1062" s="451" t="n"/>
      <c r="CQ1062" s="451" t="n"/>
      <c r="CS1062" s="429" t="n">
        <v>149</v>
      </c>
      <c r="CT1062" s="431" t="n">
        <v>149</v>
      </c>
      <c r="CU1062" s="688" t="n"/>
      <c r="CV1062" s="431" t="inlineStr">
        <is>
          <t>Boolean</t>
        </is>
      </c>
      <c r="CW1062" s="451" t="n"/>
      <c r="CX1062" s="451">
        <f>'CIRCUIT SIM'!MQ152</f>
        <v/>
      </c>
      <c r="CY1062" s="451" t="n"/>
      <c r="DA1062" s="429" t="n">
        <v>149</v>
      </c>
      <c r="DB1062" s="431" t="n">
        <v>149</v>
      </c>
      <c r="DC1062" s="688" t="n"/>
      <c r="DD1062" s="431" t="n"/>
      <c r="DE1062" s="451" t="n"/>
      <c r="DF1062" s="451" t="n"/>
      <c r="DG1062" s="451" t="n"/>
      <c r="DI1062" s="429" t="n">
        <v>149</v>
      </c>
      <c r="DJ1062" s="431" t="n">
        <v>149</v>
      </c>
      <c r="DK1062" s="688" t="n"/>
      <c r="DL1062" s="431" t="n"/>
      <c r="DM1062" s="429" t="n"/>
      <c r="DN1062" s="451" t="n"/>
      <c r="DO1062" s="451" t="n"/>
      <c r="DQ1062" s="429" t="n">
        <v>149</v>
      </c>
      <c r="DR1062" s="431" t="n">
        <v>149</v>
      </c>
      <c r="DS1062" s="688" t="n"/>
      <c r="DT1062" s="431" t="n"/>
      <c r="DU1062" s="451" t="n"/>
      <c r="DV1062" s="451" t="n"/>
      <c r="DW1062" s="451" t="n"/>
      <c r="DY1062" s="429" t="n">
        <v>149</v>
      </c>
      <c r="DZ1062" s="431" t="n">
        <v>149</v>
      </c>
      <c r="EA1062" s="688" t="n"/>
      <c r="EB1062" s="431" t="n"/>
      <c r="EC1062" s="451" t="n"/>
      <c r="ED1062" s="451" t="n"/>
      <c r="EE1062" s="451" t="n"/>
      <c r="EG1062" s="429" t="n">
        <v>149</v>
      </c>
      <c r="EH1062" s="431" t="n">
        <v>149</v>
      </c>
      <c r="EI1062" s="688" t="n"/>
      <c r="EJ1062" s="431" t="n"/>
      <c r="EK1062" s="451" t="n"/>
      <c r="EL1062" s="451" t="n"/>
      <c r="EM1062" s="451" t="n"/>
      <c r="EO1062" s="429" t="n">
        <v>149</v>
      </c>
      <c r="EP1062" s="431" t="n">
        <v>149</v>
      </c>
      <c r="EQ1062" s="688" t="n"/>
      <c r="ER1062" s="431" t="n"/>
      <c r="ES1062" s="451" t="n"/>
      <c r="ET1062" s="451" t="n"/>
      <c r="EU1062" s="451" t="n"/>
      <c r="EW1062" s="429" t="n">
        <v>149</v>
      </c>
      <c r="EX1062" s="431" t="n">
        <v>149</v>
      </c>
      <c r="EY1062" s="688" t="n"/>
      <c r="EZ1062" s="431" t="n"/>
      <c r="FA1062" s="451" t="n"/>
      <c r="FB1062" s="451" t="n"/>
      <c r="FC1062" s="451" t="n"/>
      <c r="FE1062" s="429" t="n">
        <v>149</v>
      </c>
      <c r="FF1062" s="431" t="n">
        <v>149</v>
      </c>
      <c r="FG1062" s="688" t="n"/>
      <c r="FH1062" s="431" t="n"/>
      <c r="FI1062" s="451" t="n"/>
      <c r="FJ1062" s="451" t="n"/>
      <c r="FK1062" s="451" t="n"/>
      <c r="FM1062" s="429" t="n">
        <v>149</v>
      </c>
      <c r="FN1062" s="431" t="n">
        <v>149</v>
      </c>
      <c r="FO1062" s="688" t="n"/>
      <c r="FP1062" s="431" t="n"/>
      <c r="FQ1062" s="451" t="n"/>
      <c r="FR1062" s="451">
        <f>'CIRCUIT SIM'!KY152</f>
        <v/>
      </c>
      <c r="FS1062" s="451" t="n"/>
      <c r="FU1062" s="429" t="n">
        <v>149</v>
      </c>
      <c r="FV1062" s="431" t="n">
        <v>149</v>
      </c>
      <c r="FW1062" s="688" t="n"/>
      <c r="FX1062" s="431" t="n"/>
      <c r="FY1062" s="451" t="n"/>
      <c r="FZ1062" s="562">
        <f>'CIRCUIT SIM'!JG152</f>
        <v/>
      </c>
      <c r="GA1062" s="451" t="n"/>
      <c r="GC1062" s="429" t="n">
        <v>149</v>
      </c>
      <c r="GD1062" s="431" t="n">
        <v>149</v>
      </c>
      <c r="GE1062" s="688" t="n"/>
      <c r="GF1062" s="431" t="n"/>
      <c r="GG1062" s="451" t="n"/>
      <c r="GH1062" s="451" t="n"/>
      <c r="GI1062" s="451" t="n"/>
      <c r="GK1062" s="429" t="n">
        <v>149</v>
      </c>
      <c r="GL1062" s="431" t="n">
        <v>149</v>
      </c>
      <c r="GM1062" s="688" t="n"/>
      <c r="GN1062" s="431" t="n"/>
      <c r="GO1062" s="451" t="n"/>
      <c r="GP1062" s="451" t="n"/>
      <c r="GQ1062" s="451" t="n"/>
      <c r="GS1062" s="429" t="n">
        <v>149</v>
      </c>
      <c r="GT1062" s="431" t="n">
        <v>149</v>
      </c>
      <c r="GU1062" s="688" t="n"/>
      <c r="GV1062" s="431" t="n"/>
      <c r="GW1062" s="451" t="n"/>
      <c r="GX1062" s="451" t="n"/>
      <c r="GY1062" s="451" t="n"/>
      <c r="HA1062" s="429" t="n">
        <v>149</v>
      </c>
      <c r="HB1062" s="431" t="n">
        <v>149</v>
      </c>
      <c r="HC1062" s="688" t="n"/>
      <c r="HD1062" s="431" t="n"/>
      <c r="HE1062" s="451" t="n"/>
      <c r="HF1062" s="451" t="n"/>
      <c r="HG1062" s="451" t="n"/>
    </row>
    <row r="1063">
      <c r="A1063" s="429" t="n">
        <v>150</v>
      </c>
      <c r="B1063" s="431" t="n">
        <v>150</v>
      </c>
      <c r="C1063" s="688" t="n"/>
      <c r="D1063" s="431" t="n"/>
      <c r="E1063" s="429" t="n"/>
      <c r="F1063" s="429" t="n"/>
      <c r="G1063" s="429" t="n"/>
      <c r="I1063" s="429" t="n">
        <v>150</v>
      </c>
      <c r="J1063" s="431" t="n">
        <v>150</v>
      </c>
      <c r="K1063" s="565" t="n">
        <v>149</v>
      </c>
      <c r="L1063" s="431" t="inlineStr">
        <is>
          <t>Boolean</t>
        </is>
      </c>
      <c r="M1063" s="451" t="n"/>
      <c r="N1063" s="422">
        <f>'CIRCUIT SIM'!Y153</f>
        <v/>
      </c>
      <c r="O1063" s="451" t="n"/>
      <c r="Q1063" s="429" t="n">
        <v>150</v>
      </c>
      <c r="R1063" s="431" t="n">
        <v>150</v>
      </c>
      <c r="S1063" s="429" t="n"/>
      <c r="T1063" s="431" t="inlineStr">
        <is>
          <t>Boolean</t>
        </is>
      </c>
      <c r="U1063" s="429" t="n"/>
      <c r="V1063" s="386">
        <f>'CIRCUIT SIM'!AO153</f>
        <v/>
      </c>
      <c r="W1063" s="451" t="n"/>
      <c r="Y1063" s="429" t="n">
        <v>150</v>
      </c>
      <c r="Z1063" s="431" t="n">
        <v>150</v>
      </c>
      <c r="AA1063" s="429" t="n"/>
      <c r="AB1063" s="431" t="n"/>
      <c r="AC1063" s="451" t="n"/>
      <c r="AD1063" s="451" t="n"/>
      <c r="AE1063" s="451" t="n"/>
      <c r="AG1063" s="429" t="n">
        <v>150</v>
      </c>
      <c r="AH1063" s="431" t="n">
        <v>150</v>
      </c>
      <c r="AI1063" s="429" t="n"/>
      <c r="AJ1063" s="431" t="n"/>
      <c r="AK1063" s="451" t="n"/>
      <c r="AL1063" s="451" t="n"/>
      <c r="AM1063" s="451" t="n"/>
      <c r="AO1063" s="429" t="n">
        <v>150</v>
      </c>
      <c r="AP1063" s="431" t="n">
        <v>150</v>
      </c>
      <c r="AQ1063" s="429" t="n"/>
      <c r="AR1063" s="431" t="n"/>
      <c r="AS1063" s="451" t="n"/>
      <c r="AT1063" s="451" t="n"/>
      <c r="AU1063" s="451" t="n"/>
      <c r="AW1063" s="429" t="n">
        <v>150</v>
      </c>
      <c r="AX1063" s="431" t="n">
        <v>150</v>
      </c>
      <c r="AY1063" s="429" t="n"/>
      <c r="AZ1063" s="431" t="n"/>
      <c r="BA1063" s="451" t="n"/>
      <c r="BB1063" s="451" t="n"/>
      <c r="BC1063" s="451" t="n"/>
      <c r="BE1063" s="429" t="n">
        <v>150</v>
      </c>
      <c r="BF1063" s="431" t="n"/>
      <c r="BG1063" s="429" t="n"/>
      <c r="BH1063" s="431" t="n"/>
      <c r="BI1063" s="451" t="n"/>
      <c r="BJ1063" s="451" t="n"/>
      <c r="BK1063" s="451" t="n"/>
      <c r="BM1063" s="429" t="n">
        <v>150</v>
      </c>
      <c r="BN1063" s="431" t="n">
        <v>150</v>
      </c>
      <c r="BO1063" s="429" t="n"/>
      <c r="BP1063" s="431" t="n"/>
      <c r="BQ1063" s="451" t="n"/>
      <c r="BR1063" s="451" t="n"/>
      <c r="BS1063" s="451" t="n"/>
      <c r="BU1063" s="429" t="n">
        <v>150</v>
      </c>
      <c r="BV1063" s="431" t="n">
        <v>150</v>
      </c>
      <c r="BW1063" s="429" t="n"/>
      <c r="BX1063" s="431" t="n"/>
      <c r="BY1063" s="451" t="n"/>
      <c r="BZ1063" s="451">
        <f>'CIRCUIT SIM'!EI153</f>
        <v/>
      </c>
      <c r="CA1063" s="451" t="n"/>
      <c r="CC1063" s="429" t="n">
        <v>150</v>
      </c>
      <c r="CD1063" s="431" t="n">
        <v>150</v>
      </c>
      <c r="CE1063" s="565" t="n">
        <v>148</v>
      </c>
      <c r="CF1063" s="431" t="inlineStr">
        <is>
          <t>Boolean</t>
        </is>
      </c>
      <c r="CG1063" s="451" t="n"/>
      <c r="CH1063" s="562">
        <f>'CIRCUIT SIM'!LK153</f>
        <v/>
      </c>
      <c r="CI1063" s="451" t="n"/>
      <c r="CK1063" s="429" t="n">
        <v>150</v>
      </c>
      <c r="CL1063" s="431" t="n">
        <v>150</v>
      </c>
      <c r="CM1063" s="688" t="n"/>
      <c r="CN1063" s="431" t="n"/>
      <c r="CO1063" s="451" t="n"/>
      <c r="CP1063" s="451" t="n"/>
      <c r="CQ1063" s="451" t="n"/>
      <c r="CS1063" s="429" t="n">
        <v>150</v>
      </c>
      <c r="CT1063" s="431" t="n">
        <v>150</v>
      </c>
      <c r="CU1063" s="688" t="n"/>
      <c r="CV1063" s="431" t="inlineStr">
        <is>
          <t>Boolean</t>
        </is>
      </c>
      <c r="CW1063" s="451" t="n"/>
      <c r="CX1063" s="451">
        <f>'CIRCUIT SIM'!MQ153</f>
        <v/>
      </c>
      <c r="CY1063" s="451" t="n"/>
      <c r="DA1063" s="429" t="n">
        <v>150</v>
      </c>
      <c r="DB1063" s="431" t="n">
        <v>150</v>
      </c>
      <c r="DC1063" s="688" t="n"/>
      <c r="DD1063" s="431" t="n"/>
      <c r="DE1063" s="451" t="n"/>
      <c r="DF1063" s="451" t="n"/>
      <c r="DG1063" s="451" t="n"/>
      <c r="DI1063" s="429" t="n">
        <v>150</v>
      </c>
      <c r="DJ1063" s="431" t="n">
        <v>150</v>
      </c>
      <c r="DK1063" s="688" t="n"/>
      <c r="DL1063" s="431" t="n"/>
      <c r="DM1063" s="429" t="n"/>
      <c r="DN1063" s="451" t="n"/>
      <c r="DO1063" s="451" t="n"/>
      <c r="DQ1063" s="429" t="n">
        <v>150</v>
      </c>
      <c r="DR1063" s="431" t="n">
        <v>150</v>
      </c>
      <c r="DS1063" s="688" t="n"/>
      <c r="DT1063" s="431" t="n"/>
      <c r="DU1063" s="451" t="n"/>
      <c r="DV1063" s="451" t="n"/>
      <c r="DW1063" s="451" t="n"/>
      <c r="DY1063" s="429" t="n">
        <v>150</v>
      </c>
      <c r="DZ1063" s="431" t="n">
        <v>150</v>
      </c>
      <c r="EA1063" s="688" t="n"/>
      <c r="EB1063" s="431" t="n"/>
      <c r="EC1063" s="451" t="n"/>
      <c r="ED1063" s="451" t="n"/>
      <c r="EE1063" s="451" t="n"/>
      <c r="EG1063" s="429" t="n">
        <v>150</v>
      </c>
      <c r="EH1063" s="431" t="n">
        <v>150</v>
      </c>
      <c r="EI1063" s="688" t="n"/>
      <c r="EJ1063" s="431" t="n"/>
      <c r="EK1063" s="451" t="n"/>
      <c r="EL1063" s="451" t="n"/>
      <c r="EM1063" s="451" t="n"/>
      <c r="EO1063" s="429" t="n">
        <v>150</v>
      </c>
      <c r="EP1063" s="431" t="n">
        <v>150</v>
      </c>
      <c r="EQ1063" s="688" t="n"/>
      <c r="ER1063" s="431" t="n"/>
      <c r="ES1063" s="451" t="n"/>
      <c r="ET1063" s="451" t="n"/>
      <c r="EU1063" s="451" t="n"/>
      <c r="EW1063" s="429" t="n">
        <v>150</v>
      </c>
      <c r="EX1063" s="431" t="n">
        <v>150</v>
      </c>
      <c r="EY1063" s="688" t="n"/>
      <c r="EZ1063" s="431" t="n"/>
      <c r="FA1063" s="451" t="n"/>
      <c r="FB1063" s="451" t="n"/>
      <c r="FC1063" s="451" t="n"/>
      <c r="FE1063" s="429" t="n">
        <v>150</v>
      </c>
      <c r="FF1063" s="431" t="n">
        <v>150</v>
      </c>
      <c r="FG1063" s="688" t="n"/>
      <c r="FH1063" s="431" t="n"/>
      <c r="FI1063" s="451" t="n"/>
      <c r="FJ1063" s="451" t="n"/>
      <c r="FK1063" s="451" t="n"/>
      <c r="FM1063" s="429" t="n">
        <v>150</v>
      </c>
      <c r="FN1063" s="431" t="n">
        <v>150</v>
      </c>
      <c r="FO1063" s="688" t="n"/>
      <c r="FP1063" s="431" t="n"/>
      <c r="FQ1063" s="451" t="n"/>
      <c r="FR1063" s="451">
        <f>'CIRCUIT SIM'!KY153</f>
        <v/>
      </c>
      <c r="FS1063" s="451" t="n"/>
      <c r="FU1063" s="429" t="n">
        <v>150</v>
      </c>
      <c r="FV1063" s="431" t="n">
        <v>150</v>
      </c>
      <c r="FW1063" s="688" t="n"/>
      <c r="FX1063" s="431" t="n"/>
      <c r="FY1063" s="451" t="n"/>
      <c r="FZ1063" s="562">
        <f>'CIRCUIT SIM'!JG153</f>
        <v/>
      </c>
      <c r="GA1063" s="451" t="n"/>
      <c r="GC1063" s="429" t="n">
        <v>150</v>
      </c>
      <c r="GD1063" s="431" t="n">
        <v>150</v>
      </c>
      <c r="GE1063" s="688" t="n"/>
      <c r="GF1063" s="431" t="n"/>
      <c r="GG1063" s="451" t="n"/>
      <c r="GH1063" s="451" t="n"/>
      <c r="GI1063" s="451" t="n"/>
      <c r="GK1063" s="429" t="n">
        <v>150</v>
      </c>
      <c r="GL1063" s="431" t="n">
        <v>150</v>
      </c>
      <c r="GM1063" s="688" t="n"/>
      <c r="GN1063" s="431" t="n"/>
      <c r="GO1063" s="451" t="n"/>
      <c r="GP1063" s="451" t="n"/>
      <c r="GQ1063" s="451" t="n"/>
      <c r="GS1063" s="429" t="n">
        <v>150</v>
      </c>
      <c r="GT1063" s="431" t="n">
        <v>150</v>
      </c>
      <c r="GU1063" s="688" t="n"/>
      <c r="GV1063" s="431" t="n"/>
      <c r="GW1063" s="451" t="n"/>
      <c r="GX1063" s="451" t="n"/>
      <c r="GY1063" s="451" t="n"/>
      <c r="HA1063" s="429" t="n">
        <v>150</v>
      </c>
      <c r="HB1063" s="431" t="n">
        <v>150</v>
      </c>
      <c r="HC1063" s="688" t="n"/>
      <c r="HD1063" s="431" t="n"/>
      <c r="HE1063" s="451" t="n"/>
      <c r="HF1063" s="451" t="n"/>
      <c r="HG1063" s="451" t="n"/>
    </row>
    <row r="1064">
      <c r="A1064" s="429" t="n">
        <v>151</v>
      </c>
      <c r="B1064" s="431" t="n">
        <v>151</v>
      </c>
      <c r="C1064" s="688" t="n"/>
      <c r="D1064" s="431" t="n"/>
      <c r="E1064" s="429" t="n"/>
      <c r="F1064" s="429" t="n"/>
      <c r="G1064" s="429" t="n"/>
      <c r="I1064" s="429" t="n">
        <v>151</v>
      </c>
      <c r="J1064" s="431" t="n">
        <v>151</v>
      </c>
      <c r="K1064" s="565" t="n">
        <v>150</v>
      </c>
      <c r="L1064" s="431" t="inlineStr">
        <is>
          <t>Boolean</t>
        </is>
      </c>
      <c r="M1064" s="451" t="n"/>
      <c r="N1064" s="422">
        <f>'CIRCUIT SIM'!Y154</f>
        <v/>
      </c>
      <c r="O1064" s="451" t="n"/>
      <c r="Q1064" s="429" t="n">
        <v>151</v>
      </c>
      <c r="R1064" s="431" t="n">
        <v>151</v>
      </c>
      <c r="S1064" s="429" t="n"/>
      <c r="T1064" s="431" t="inlineStr">
        <is>
          <t>Boolean</t>
        </is>
      </c>
      <c r="U1064" s="429" t="n"/>
      <c r="V1064" s="386">
        <f>'CIRCUIT SIM'!AO154</f>
        <v/>
      </c>
      <c r="W1064" s="451" t="n"/>
      <c r="Y1064" s="429" t="n">
        <v>151</v>
      </c>
      <c r="Z1064" s="431" t="n">
        <v>151</v>
      </c>
      <c r="AA1064" s="429" t="n"/>
      <c r="AB1064" s="431" t="n"/>
      <c r="AC1064" s="451" t="n"/>
      <c r="AD1064" s="451" t="n"/>
      <c r="AE1064" s="451" t="n"/>
      <c r="AG1064" s="429" t="n">
        <v>151</v>
      </c>
      <c r="AH1064" s="431" t="n">
        <v>151</v>
      </c>
      <c r="AI1064" s="429" t="n"/>
      <c r="AJ1064" s="431" t="n"/>
      <c r="AK1064" s="451" t="n"/>
      <c r="AL1064" s="451" t="n"/>
      <c r="AM1064" s="451" t="n"/>
      <c r="AO1064" s="429" t="n">
        <v>151</v>
      </c>
      <c r="AP1064" s="431" t="n">
        <v>151</v>
      </c>
      <c r="AQ1064" s="429" t="n"/>
      <c r="AR1064" s="431" t="n"/>
      <c r="AS1064" s="451" t="n"/>
      <c r="AT1064" s="451" t="n"/>
      <c r="AU1064" s="451" t="n"/>
      <c r="AW1064" s="429" t="n">
        <v>151</v>
      </c>
      <c r="AX1064" s="431" t="n">
        <v>151</v>
      </c>
      <c r="AY1064" s="429" t="n"/>
      <c r="AZ1064" s="431" t="n"/>
      <c r="BA1064" s="451" t="n"/>
      <c r="BB1064" s="451" t="n"/>
      <c r="BC1064" s="451" t="n"/>
      <c r="BE1064" s="429" t="n">
        <v>151</v>
      </c>
      <c r="BF1064" s="431" t="n"/>
      <c r="BG1064" s="429" t="n"/>
      <c r="BH1064" s="431" t="n"/>
      <c r="BI1064" s="451" t="n"/>
      <c r="BJ1064" s="451" t="n"/>
      <c r="BK1064" s="451" t="n"/>
      <c r="BM1064" s="429" t="n">
        <v>151</v>
      </c>
      <c r="BN1064" s="431" t="n">
        <v>151</v>
      </c>
      <c r="BO1064" s="429" t="n"/>
      <c r="BP1064" s="431" t="n"/>
      <c r="BQ1064" s="451" t="n"/>
      <c r="BR1064" s="451" t="n"/>
      <c r="BS1064" s="451" t="n"/>
      <c r="BU1064" s="429" t="n">
        <v>151</v>
      </c>
      <c r="BV1064" s="431" t="n">
        <v>151</v>
      </c>
      <c r="BW1064" s="429" t="n"/>
      <c r="BX1064" s="431" t="n"/>
      <c r="BY1064" s="451" t="n"/>
      <c r="BZ1064" s="451">
        <f>'CIRCUIT SIM'!EI154</f>
        <v/>
      </c>
      <c r="CA1064" s="451" t="n"/>
      <c r="CC1064" s="429" t="n">
        <v>151</v>
      </c>
      <c r="CD1064" s="431" t="n">
        <v>151</v>
      </c>
      <c r="CE1064" s="688" t="n"/>
      <c r="CF1064" s="431" t="inlineStr">
        <is>
          <t>Boolean</t>
        </is>
      </c>
      <c r="CG1064" s="451" t="n"/>
      <c r="CH1064" s="562">
        <f>'CIRCUIT SIM'!LK154</f>
        <v/>
      </c>
      <c r="CI1064" s="451" t="n"/>
      <c r="CK1064" s="429" t="n">
        <v>151</v>
      </c>
      <c r="CL1064" s="431" t="n">
        <v>151</v>
      </c>
      <c r="CM1064" s="688" t="n"/>
      <c r="CN1064" s="431" t="n"/>
      <c r="CO1064" s="451" t="n"/>
      <c r="CP1064" s="451" t="n"/>
      <c r="CQ1064" s="451" t="n"/>
      <c r="CS1064" s="429" t="n">
        <v>151</v>
      </c>
      <c r="CT1064" s="431" t="n">
        <v>151</v>
      </c>
      <c r="CU1064" s="688" t="n"/>
      <c r="CV1064" s="431" t="inlineStr">
        <is>
          <t>Boolean</t>
        </is>
      </c>
      <c r="CW1064" s="451" t="n"/>
      <c r="CX1064" s="451">
        <f>'CIRCUIT SIM'!MQ154</f>
        <v/>
      </c>
      <c r="CY1064" s="451" t="n"/>
      <c r="DA1064" s="429" t="n">
        <v>151</v>
      </c>
      <c r="DB1064" s="431" t="n">
        <v>151</v>
      </c>
      <c r="DC1064" s="688" t="n"/>
      <c r="DD1064" s="431" t="n"/>
      <c r="DE1064" s="451" t="n"/>
      <c r="DF1064" s="451" t="n"/>
      <c r="DG1064" s="451" t="n"/>
      <c r="DI1064" s="429" t="n">
        <v>151</v>
      </c>
      <c r="DJ1064" s="431" t="n">
        <v>151</v>
      </c>
      <c r="DK1064" s="688" t="n"/>
      <c r="DL1064" s="431" t="n"/>
      <c r="DM1064" s="429" t="n"/>
      <c r="DN1064" s="451" t="n"/>
      <c r="DO1064" s="451" t="n"/>
      <c r="DQ1064" s="429" t="n">
        <v>151</v>
      </c>
      <c r="DR1064" s="431" t="n">
        <v>151</v>
      </c>
      <c r="DS1064" s="688" t="n"/>
      <c r="DT1064" s="431" t="n"/>
      <c r="DU1064" s="451" t="n"/>
      <c r="DV1064" s="451" t="n"/>
      <c r="DW1064" s="451" t="n"/>
      <c r="DY1064" s="429" t="n">
        <v>151</v>
      </c>
      <c r="DZ1064" s="431" t="n">
        <v>151</v>
      </c>
      <c r="EA1064" s="688" t="n"/>
      <c r="EB1064" s="431" t="n"/>
      <c r="EC1064" s="451" t="n"/>
      <c r="ED1064" s="451" t="n"/>
      <c r="EE1064" s="451" t="n"/>
      <c r="EG1064" s="429" t="n">
        <v>151</v>
      </c>
      <c r="EH1064" s="431" t="n">
        <v>151</v>
      </c>
      <c r="EI1064" s="688" t="n"/>
      <c r="EJ1064" s="431" t="n"/>
      <c r="EK1064" s="451" t="n"/>
      <c r="EL1064" s="451" t="n"/>
      <c r="EM1064" s="451" t="n"/>
      <c r="EO1064" s="429" t="n">
        <v>151</v>
      </c>
      <c r="EP1064" s="431" t="n">
        <v>151</v>
      </c>
      <c r="EQ1064" s="688" t="n"/>
      <c r="ER1064" s="431" t="n"/>
      <c r="ES1064" s="451" t="n"/>
      <c r="ET1064" s="451" t="n"/>
      <c r="EU1064" s="451" t="n"/>
      <c r="EW1064" s="429" t="n">
        <v>151</v>
      </c>
      <c r="EX1064" s="431" t="n">
        <v>151</v>
      </c>
      <c r="EY1064" s="688" t="n"/>
      <c r="EZ1064" s="431" t="n"/>
      <c r="FA1064" s="451" t="n"/>
      <c r="FB1064" s="451" t="n"/>
      <c r="FC1064" s="451" t="n"/>
      <c r="FE1064" s="429" t="n">
        <v>151</v>
      </c>
      <c r="FF1064" s="431" t="n">
        <v>151</v>
      </c>
      <c r="FG1064" s="688" t="n"/>
      <c r="FH1064" s="431" t="n"/>
      <c r="FI1064" s="451" t="n"/>
      <c r="FJ1064" s="451" t="n"/>
      <c r="FK1064" s="451" t="n"/>
      <c r="FM1064" s="429" t="n">
        <v>151</v>
      </c>
      <c r="FN1064" s="431" t="n">
        <v>151</v>
      </c>
      <c r="FO1064" s="688" t="n"/>
      <c r="FP1064" s="431" t="n"/>
      <c r="FQ1064" s="451" t="n"/>
      <c r="FR1064" s="451">
        <f>'CIRCUIT SIM'!KY154</f>
        <v/>
      </c>
      <c r="FS1064" s="451" t="n"/>
      <c r="FU1064" s="429" t="n">
        <v>151</v>
      </c>
      <c r="FV1064" s="431" t="n">
        <v>151</v>
      </c>
      <c r="FW1064" s="688" t="n"/>
      <c r="FX1064" s="431" t="n"/>
      <c r="FY1064" s="451" t="n"/>
      <c r="FZ1064" s="562">
        <f>'CIRCUIT SIM'!JG154</f>
        <v/>
      </c>
      <c r="GA1064" s="451" t="n"/>
      <c r="GC1064" s="429" t="n">
        <v>151</v>
      </c>
      <c r="GD1064" s="431" t="n">
        <v>151</v>
      </c>
      <c r="GE1064" s="688" t="n"/>
      <c r="GF1064" s="431" t="n"/>
      <c r="GG1064" s="451" t="n"/>
      <c r="GH1064" s="451" t="n"/>
      <c r="GI1064" s="451" t="n"/>
      <c r="GK1064" s="429" t="n">
        <v>151</v>
      </c>
      <c r="GL1064" s="431" t="n">
        <v>151</v>
      </c>
      <c r="GM1064" s="688" t="n"/>
      <c r="GN1064" s="431" t="n"/>
      <c r="GO1064" s="451" t="n"/>
      <c r="GP1064" s="451" t="n"/>
      <c r="GQ1064" s="451" t="n"/>
      <c r="GS1064" s="429" t="n">
        <v>151</v>
      </c>
      <c r="GT1064" s="431" t="n">
        <v>151</v>
      </c>
      <c r="GU1064" s="688" t="n"/>
      <c r="GV1064" s="431" t="n"/>
      <c r="GW1064" s="451" t="n"/>
      <c r="GX1064" s="451" t="n"/>
      <c r="GY1064" s="451" t="n"/>
      <c r="HA1064" s="429" t="n">
        <v>151</v>
      </c>
      <c r="HB1064" s="431" t="n">
        <v>151</v>
      </c>
      <c r="HC1064" s="688" t="n"/>
      <c r="HD1064" s="431" t="n"/>
      <c r="HE1064" s="451" t="n"/>
      <c r="HF1064" s="451" t="n"/>
      <c r="HG1064" s="451" t="n"/>
    </row>
    <row r="1065">
      <c r="A1065" s="429" t="n">
        <v>152</v>
      </c>
      <c r="B1065" s="431" t="n">
        <v>152</v>
      </c>
      <c r="C1065" s="688" t="n"/>
      <c r="D1065" s="431" t="n"/>
      <c r="E1065" s="429" t="n"/>
      <c r="F1065" s="429" t="n"/>
      <c r="G1065" s="429" t="n"/>
      <c r="I1065" s="429" t="n">
        <v>152</v>
      </c>
      <c r="J1065" s="431" t="n">
        <v>152</v>
      </c>
      <c r="K1065" s="565" t="n">
        <v>151</v>
      </c>
      <c r="L1065" s="431" t="inlineStr">
        <is>
          <t>Boolean</t>
        </is>
      </c>
      <c r="M1065" s="451" t="n"/>
      <c r="N1065" s="422">
        <f>'CIRCUIT SIM'!Y155</f>
        <v/>
      </c>
      <c r="O1065" s="451" t="n"/>
      <c r="Q1065" s="429" t="n">
        <v>152</v>
      </c>
      <c r="R1065" s="431" t="n">
        <v>152</v>
      </c>
      <c r="S1065" s="429" t="n"/>
      <c r="T1065" s="431" t="inlineStr">
        <is>
          <t>Boolean</t>
        </is>
      </c>
      <c r="U1065" s="429" t="n"/>
      <c r="V1065" s="386">
        <f>'CIRCUIT SIM'!AO155</f>
        <v/>
      </c>
      <c r="W1065" s="451" t="n"/>
      <c r="Y1065" s="429" t="n">
        <v>152</v>
      </c>
      <c r="Z1065" s="431" t="n">
        <v>152</v>
      </c>
      <c r="AA1065" s="429" t="n"/>
      <c r="AB1065" s="431" t="n"/>
      <c r="AC1065" s="451" t="n"/>
      <c r="AD1065" s="451" t="n"/>
      <c r="AE1065" s="451" t="n"/>
      <c r="AG1065" s="429" t="n">
        <v>152</v>
      </c>
      <c r="AH1065" s="431" t="n">
        <v>152</v>
      </c>
      <c r="AI1065" s="429" t="n"/>
      <c r="AJ1065" s="431" t="n"/>
      <c r="AK1065" s="451" t="n"/>
      <c r="AL1065" s="451" t="n"/>
      <c r="AM1065" s="451" t="n"/>
      <c r="AO1065" s="429" t="n">
        <v>152</v>
      </c>
      <c r="AP1065" s="431" t="n">
        <v>152</v>
      </c>
      <c r="AQ1065" s="429" t="n"/>
      <c r="AR1065" s="431" t="n"/>
      <c r="AS1065" s="451" t="n"/>
      <c r="AT1065" s="451" t="n"/>
      <c r="AU1065" s="451" t="n"/>
      <c r="AW1065" s="429" t="n">
        <v>152</v>
      </c>
      <c r="AX1065" s="431" t="n">
        <v>152</v>
      </c>
      <c r="AY1065" s="429" t="n"/>
      <c r="AZ1065" s="431" t="n"/>
      <c r="BA1065" s="451" t="n"/>
      <c r="BB1065" s="451" t="n"/>
      <c r="BC1065" s="451" t="n"/>
      <c r="BE1065" s="429" t="n">
        <v>152</v>
      </c>
      <c r="BF1065" s="431" t="n"/>
      <c r="BG1065" s="429" t="n"/>
      <c r="BH1065" s="431" t="n"/>
      <c r="BI1065" s="451" t="n"/>
      <c r="BJ1065" s="451" t="n"/>
      <c r="BK1065" s="451" t="n"/>
      <c r="BM1065" s="429" t="n">
        <v>152</v>
      </c>
      <c r="BN1065" s="431" t="n">
        <v>152</v>
      </c>
      <c r="BO1065" s="429" t="n"/>
      <c r="BP1065" s="431" t="n"/>
      <c r="BQ1065" s="451" t="n"/>
      <c r="BR1065" s="451" t="n"/>
      <c r="BS1065" s="451" t="n"/>
      <c r="BU1065" s="429" t="n">
        <v>152</v>
      </c>
      <c r="BV1065" s="431" t="n">
        <v>152</v>
      </c>
      <c r="BW1065" s="429" t="n"/>
      <c r="BX1065" s="431" t="n"/>
      <c r="BY1065" s="451" t="n"/>
      <c r="BZ1065" s="451">
        <f>'CIRCUIT SIM'!EI155</f>
        <v/>
      </c>
      <c r="CA1065" s="451" t="n"/>
      <c r="CC1065" s="429" t="n">
        <v>152</v>
      </c>
      <c r="CD1065" s="431" t="n">
        <v>152</v>
      </c>
      <c r="CE1065" s="688" t="n"/>
      <c r="CF1065" s="431" t="inlineStr">
        <is>
          <t>Boolean</t>
        </is>
      </c>
      <c r="CG1065" s="451" t="n"/>
      <c r="CH1065" s="562">
        <f>'CIRCUIT SIM'!LK155</f>
        <v/>
      </c>
      <c r="CI1065" s="451" t="n"/>
      <c r="CK1065" s="429" t="n">
        <v>152</v>
      </c>
      <c r="CL1065" s="431" t="n">
        <v>152</v>
      </c>
      <c r="CM1065" s="688" t="n"/>
      <c r="CN1065" s="431" t="n"/>
      <c r="CO1065" s="451" t="n"/>
      <c r="CP1065" s="451" t="n"/>
      <c r="CQ1065" s="451" t="n"/>
      <c r="CS1065" s="429" t="n">
        <v>152</v>
      </c>
      <c r="CT1065" s="431" t="n">
        <v>152</v>
      </c>
      <c r="CU1065" s="688" t="n"/>
      <c r="CV1065" s="431" t="inlineStr">
        <is>
          <t>Boolean</t>
        </is>
      </c>
      <c r="CW1065" s="451" t="n"/>
      <c r="CX1065" s="451">
        <f>'CIRCUIT SIM'!MQ155</f>
        <v/>
      </c>
      <c r="CY1065" s="451" t="n"/>
      <c r="DA1065" s="429" t="n">
        <v>152</v>
      </c>
      <c r="DB1065" s="431" t="n">
        <v>152</v>
      </c>
      <c r="DC1065" s="688" t="n"/>
      <c r="DD1065" s="431" t="n"/>
      <c r="DE1065" s="451" t="n"/>
      <c r="DF1065" s="451" t="n"/>
      <c r="DG1065" s="451" t="n"/>
      <c r="DI1065" s="429" t="n">
        <v>152</v>
      </c>
      <c r="DJ1065" s="431" t="n">
        <v>152</v>
      </c>
      <c r="DK1065" s="688" t="n"/>
      <c r="DL1065" s="431" t="n"/>
      <c r="DM1065" s="429" t="n"/>
      <c r="DN1065" s="451" t="n"/>
      <c r="DO1065" s="451" t="n"/>
      <c r="DQ1065" s="429" t="n">
        <v>152</v>
      </c>
      <c r="DR1065" s="431" t="n">
        <v>152</v>
      </c>
      <c r="DS1065" s="688" t="n"/>
      <c r="DT1065" s="431" t="n"/>
      <c r="DU1065" s="451" t="n"/>
      <c r="DV1065" s="451" t="n"/>
      <c r="DW1065" s="451" t="n"/>
      <c r="DY1065" s="429" t="n">
        <v>152</v>
      </c>
      <c r="DZ1065" s="431" t="n">
        <v>152</v>
      </c>
      <c r="EA1065" s="688" t="n"/>
      <c r="EB1065" s="431" t="n"/>
      <c r="EC1065" s="451" t="n"/>
      <c r="ED1065" s="451" t="n"/>
      <c r="EE1065" s="451" t="n"/>
      <c r="EG1065" s="429" t="n">
        <v>152</v>
      </c>
      <c r="EH1065" s="431" t="n">
        <v>152</v>
      </c>
      <c r="EI1065" s="688" t="n"/>
      <c r="EJ1065" s="431" t="n"/>
      <c r="EK1065" s="451" t="n"/>
      <c r="EL1065" s="451" t="n"/>
      <c r="EM1065" s="451" t="n"/>
      <c r="EO1065" s="429" t="n">
        <v>152</v>
      </c>
      <c r="EP1065" s="431" t="n">
        <v>152</v>
      </c>
      <c r="EQ1065" s="688" t="n"/>
      <c r="ER1065" s="431" t="n"/>
      <c r="ES1065" s="451" t="n"/>
      <c r="ET1065" s="451" t="n"/>
      <c r="EU1065" s="451" t="n"/>
      <c r="EW1065" s="429" t="n">
        <v>152</v>
      </c>
      <c r="EX1065" s="431" t="n">
        <v>152</v>
      </c>
      <c r="EY1065" s="688" t="n"/>
      <c r="EZ1065" s="431" t="n"/>
      <c r="FA1065" s="451" t="n"/>
      <c r="FB1065" s="451" t="n"/>
      <c r="FC1065" s="451" t="n"/>
      <c r="FE1065" s="429" t="n">
        <v>152</v>
      </c>
      <c r="FF1065" s="431" t="n">
        <v>152</v>
      </c>
      <c r="FG1065" s="688" t="n"/>
      <c r="FH1065" s="431" t="n"/>
      <c r="FI1065" s="451" t="n"/>
      <c r="FJ1065" s="451" t="n"/>
      <c r="FK1065" s="451" t="n"/>
      <c r="FM1065" s="429" t="n">
        <v>152</v>
      </c>
      <c r="FN1065" s="431" t="n">
        <v>152</v>
      </c>
      <c r="FO1065" s="688" t="n"/>
      <c r="FP1065" s="431" t="n"/>
      <c r="FQ1065" s="451" t="n"/>
      <c r="FR1065" s="451">
        <f>'CIRCUIT SIM'!KY155</f>
        <v/>
      </c>
      <c r="FS1065" s="451" t="n"/>
      <c r="FU1065" s="429" t="n">
        <v>152</v>
      </c>
      <c r="FV1065" s="431" t="n">
        <v>152</v>
      </c>
      <c r="FW1065" s="688" t="n"/>
      <c r="FX1065" s="431" t="n"/>
      <c r="FY1065" s="451" t="n"/>
      <c r="FZ1065" s="562">
        <f>'CIRCUIT SIM'!JG155</f>
        <v/>
      </c>
      <c r="GA1065" s="451" t="n"/>
      <c r="GC1065" s="429" t="n">
        <v>152</v>
      </c>
      <c r="GD1065" s="431" t="n">
        <v>152</v>
      </c>
      <c r="GE1065" s="688" t="n"/>
      <c r="GF1065" s="431" t="n"/>
      <c r="GG1065" s="451" t="n"/>
      <c r="GH1065" s="451" t="n"/>
      <c r="GI1065" s="451" t="n"/>
      <c r="GK1065" s="429" t="n">
        <v>152</v>
      </c>
      <c r="GL1065" s="431" t="n">
        <v>152</v>
      </c>
      <c r="GM1065" s="688" t="n"/>
      <c r="GN1065" s="431" t="n"/>
      <c r="GO1065" s="451" t="n"/>
      <c r="GP1065" s="451" t="n"/>
      <c r="GQ1065" s="451" t="n"/>
      <c r="GS1065" s="429" t="n">
        <v>152</v>
      </c>
      <c r="GT1065" s="431" t="n">
        <v>152</v>
      </c>
      <c r="GU1065" s="688" t="n"/>
      <c r="GV1065" s="431" t="n"/>
      <c r="GW1065" s="451" t="n"/>
      <c r="GX1065" s="451" t="n"/>
      <c r="GY1065" s="451" t="n"/>
      <c r="HA1065" s="429" t="n">
        <v>152</v>
      </c>
      <c r="HB1065" s="431" t="n">
        <v>152</v>
      </c>
      <c r="HC1065" s="688" t="n"/>
      <c r="HD1065" s="431" t="n"/>
      <c r="HE1065" s="451" t="n"/>
      <c r="HF1065" s="451" t="n"/>
      <c r="HG1065" s="451" t="n"/>
    </row>
    <row r="1066">
      <c r="A1066" s="429" t="n">
        <v>153</v>
      </c>
      <c r="B1066" s="431" t="n">
        <v>153</v>
      </c>
      <c r="C1066" s="688" t="n"/>
      <c r="D1066" s="431" t="n"/>
      <c r="E1066" s="429" t="n"/>
      <c r="F1066" s="429" t="n"/>
      <c r="G1066" s="429" t="n"/>
      <c r="I1066" s="429" t="n">
        <v>153</v>
      </c>
      <c r="J1066" s="431" t="n">
        <v>153</v>
      </c>
      <c r="K1066" s="565" t="n">
        <v>152</v>
      </c>
      <c r="L1066" s="431" t="inlineStr">
        <is>
          <t>Boolean</t>
        </is>
      </c>
      <c r="M1066" s="451" t="n"/>
      <c r="N1066" s="422">
        <f>'CIRCUIT SIM'!Y156</f>
        <v/>
      </c>
      <c r="O1066" s="451" t="n"/>
      <c r="Q1066" s="429" t="n">
        <v>153</v>
      </c>
      <c r="R1066" s="431" t="n">
        <v>153</v>
      </c>
      <c r="S1066" s="429" t="n"/>
      <c r="T1066" s="431" t="inlineStr">
        <is>
          <t>Boolean</t>
        </is>
      </c>
      <c r="U1066" s="429" t="n"/>
      <c r="V1066" s="386">
        <f>'CIRCUIT SIM'!AO156</f>
        <v/>
      </c>
      <c r="W1066" s="451" t="n"/>
      <c r="Y1066" s="429" t="n">
        <v>153</v>
      </c>
      <c r="Z1066" s="431" t="n">
        <v>153</v>
      </c>
      <c r="AA1066" s="429" t="n"/>
      <c r="AB1066" s="431" t="n"/>
      <c r="AC1066" s="451" t="n"/>
      <c r="AD1066" s="451" t="n"/>
      <c r="AE1066" s="451" t="n"/>
      <c r="AG1066" s="429" t="n">
        <v>153</v>
      </c>
      <c r="AH1066" s="431" t="n">
        <v>153</v>
      </c>
      <c r="AI1066" s="429" t="n"/>
      <c r="AJ1066" s="431" t="n"/>
      <c r="AK1066" s="451" t="n"/>
      <c r="AL1066" s="451" t="n"/>
      <c r="AM1066" s="451" t="n"/>
      <c r="AO1066" s="429" t="n">
        <v>153</v>
      </c>
      <c r="AP1066" s="431" t="n">
        <v>153</v>
      </c>
      <c r="AQ1066" s="429" t="n"/>
      <c r="AR1066" s="431" t="n"/>
      <c r="AS1066" s="451" t="n"/>
      <c r="AT1066" s="451" t="n"/>
      <c r="AU1066" s="451" t="n"/>
      <c r="AW1066" s="429" t="n">
        <v>153</v>
      </c>
      <c r="AX1066" s="431" t="n">
        <v>153</v>
      </c>
      <c r="AY1066" s="429" t="n"/>
      <c r="AZ1066" s="431" t="n"/>
      <c r="BA1066" s="451" t="n"/>
      <c r="BB1066" s="451" t="n"/>
      <c r="BC1066" s="451" t="n"/>
      <c r="BE1066" s="429" t="n">
        <v>153</v>
      </c>
      <c r="BF1066" s="431" t="n"/>
      <c r="BG1066" s="429" t="n"/>
      <c r="BH1066" s="431" t="n"/>
      <c r="BI1066" s="451" t="n"/>
      <c r="BJ1066" s="451" t="n"/>
      <c r="BK1066" s="451" t="n"/>
      <c r="BM1066" s="429" t="n">
        <v>153</v>
      </c>
      <c r="BN1066" s="431" t="n">
        <v>153</v>
      </c>
      <c r="BO1066" s="429" t="n"/>
      <c r="BP1066" s="431" t="n"/>
      <c r="BQ1066" s="451" t="n"/>
      <c r="BR1066" s="451" t="n"/>
      <c r="BS1066" s="451" t="n"/>
      <c r="BU1066" s="429" t="n">
        <v>153</v>
      </c>
      <c r="BV1066" s="431" t="n">
        <v>153</v>
      </c>
      <c r="BW1066" s="429" t="n"/>
      <c r="BX1066" s="431" t="n"/>
      <c r="BY1066" s="451" t="n"/>
      <c r="BZ1066" s="451">
        <f>'CIRCUIT SIM'!EI156</f>
        <v/>
      </c>
      <c r="CA1066" s="451" t="n"/>
      <c r="CC1066" s="429" t="n">
        <v>153</v>
      </c>
      <c r="CD1066" s="431" t="n">
        <v>153</v>
      </c>
      <c r="CE1066" s="565" t="n">
        <v>150</v>
      </c>
      <c r="CF1066" s="431" t="inlineStr">
        <is>
          <t>Boolean</t>
        </is>
      </c>
      <c r="CG1066" s="451" t="n"/>
      <c r="CH1066" s="562">
        <f>'CIRCUIT SIM'!LK156</f>
        <v/>
      </c>
      <c r="CI1066" s="451" t="n"/>
      <c r="CK1066" s="429" t="n">
        <v>153</v>
      </c>
      <c r="CL1066" s="431" t="n">
        <v>153</v>
      </c>
      <c r="CM1066" s="688" t="n"/>
      <c r="CN1066" s="431" t="n"/>
      <c r="CO1066" s="451" t="n"/>
      <c r="CP1066" s="451" t="n"/>
      <c r="CQ1066" s="451" t="n"/>
      <c r="CS1066" s="429" t="n">
        <v>153</v>
      </c>
      <c r="CT1066" s="431" t="n">
        <v>153</v>
      </c>
      <c r="CU1066" s="688" t="n"/>
      <c r="CV1066" s="431" t="inlineStr">
        <is>
          <t>Boolean</t>
        </is>
      </c>
      <c r="CW1066" s="451" t="n"/>
      <c r="CX1066" s="451">
        <f>'CIRCUIT SIM'!MQ156</f>
        <v/>
      </c>
      <c r="CY1066" s="451" t="n"/>
      <c r="DA1066" s="429" t="n">
        <v>153</v>
      </c>
      <c r="DB1066" s="431" t="n">
        <v>153</v>
      </c>
      <c r="DC1066" s="688" t="n"/>
      <c r="DD1066" s="431" t="n"/>
      <c r="DE1066" s="451" t="n"/>
      <c r="DF1066" s="451" t="n"/>
      <c r="DG1066" s="451" t="n"/>
      <c r="DI1066" s="429" t="n">
        <v>153</v>
      </c>
      <c r="DJ1066" s="431" t="n">
        <v>153</v>
      </c>
      <c r="DK1066" s="688" t="n"/>
      <c r="DL1066" s="431" t="n"/>
      <c r="DM1066" s="429" t="n"/>
      <c r="DN1066" s="451" t="n"/>
      <c r="DO1066" s="451" t="n"/>
      <c r="DQ1066" s="429" t="n">
        <v>153</v>
      </c>
      <c r="DR1066" s="431" t="n">
        <v>153</v>
      </c>
      <c r="DS1066" s="688" t="n"/>
      <c r="DT1066" s="431" t="n"/>
      <c r="DU1066" s="451" t="n"/>
      <c r="DV1066" s="451" t="n"/>
      <c r="DW1066" s="451" t="n"/>
      <c r="DY1066" s="429" t="n">
        <v>153</v>
      </c>
      <c r="DZ1066" s="431" t="n">
        <v>153</v>
      </c>
      <c r="EA1066" s="688" t="n"/>
      <c r="EB1066" s="431" t="n"/>
      <c r="EC1066" s="451" t="n"/>
      <c r="ED1066" s="451" t="n"/>
      <c r="EE1066" s="451" t="n"/>
      <c r="EG1066" s="429" t="n">
        <v>153</v>
      </c>
      <c r="EH1066" s="431" t="n">
        <v>153</v>
      </c>
      <c r="EI1066" s="688" t="n"/>
      <c r="EJ1066" s="431" t="n"/>
      <c r="EK1066" s="451" t="n"/>
      <c r="EL1066" s="451" t="n"/>
      <c r="EM1066" s="451" t="n"/>
      <c r="EO1066" s="429" t="n">
        <v>153</v>
      </c>
      <c r="EP1066" s="431" t="n">
        <v>153</v>
      </c>
      <c r="EQ1066" s="688" t="n"/>
      <c r="ER1066" s="431" t="n"/>
      <c r="ES1066" s="451" t="n"/>
      <c r="ET1066" s="451" t="n"/>
      <c r="EU1066" s="451" t="n"/>
      <c r="EW1066" s="429" t="n">
        <v>153</v>
      </c>
      <c r="EX1066" s="431" t="n">
        <v>153</v>
      </c>
      <c r="EY1066" s="688" t="n"/>
      <c r="EZ1066" s="431" t="n"/>
      <c r="FA1066" s="451" t="n"/>
      <c r="FB1066" s="451" t="n"/>
      <c r="FC1066" s="451" t="n"/>
      <c r="FE1066" s="429" t="n">
        <v>153</v>
      </c>
      <c r="FF1066" s="431" t="n">
        <v>153</v>
      </c>
      <c r="FG1066" s="688" t="n"/>
      <c r="FH1066" s="431" t="n"/>
      <c r="FI1066" s="451" t="n"/>
      <c r="FJ1066" s="451" t="n"/>
      <c r="FK1066" s="451" t="n"/>
      <c r="FM1066" s="429" t="n">
        <v>153</v>
      </c>
      <c r="FN1066" s="431" t="n">
        <v>153</v>
      </c>
      <c r="FO1066" s="688" t="n"/>
      <c r="FP1066" s="431" t="n"/>
      <c r="FQ1066" s="451" t="n"/>
      <c r="FR1066" s="451">
        <f>'CIRCUIT SIM'!KY156</f>
        <v/>
      </c>
      <c r="FS1066" s="451" t="n"/>
      <c r="FU1066" s="429" t="n">
        <v>153</v>
      </c>
      <c r="FV1066" s="431" t="n">
        <v>153</v>
      </c>
      <c r="FW1066" s="688" t="n"/>
      <c r="FX1066" s="431" t="n"/>
      <c r="FY1066" s="451" t="n"/>
      <c r="FZ1066" s="562">
        <f>'CIRCUIT SIM'!JG156</f>
        <v/>
      </c>
      <c r="GA1066" s="451" t="n"/>
      <c r="GC1066" s="429" t="n">
        <v>153</v>
      </c>
      <c r="GD1066" s="431" t="n">
        <v>153</v>
      </c>
      <c r="GE1066" s="688" t="n"/>
      <c r="GF1066" s="431" t="n"/>
      <c r="GG1066" s="451" t="n"/>
      <c r="GH1066" s="451" t="n"/>
      <c r="GI1066" s="451" t="n"/>
      <c r="GK1066" s="429" t="n">
        <v>153</v>
      </c>
      <c r="GL1066" s="431" t="n">
        <v>153</v>
      </c>
      <c r="GM1066" s="688" t="n"/>
      <c r="GN1066" s="431" t="n"/>
      <c r="GO1066" s="451" t="n"/>
      <c r="GP1066" s="451" t="n"/>
      <c r="GQ1066" s="451" t="n"/>
      <c r="GS1066" s="429" t="n">
        <v>153</v>
      </c>
      <c r="GT1066" s="431" t="n">
        <v>153</v>
      </c>
      <c r="GU1066" s="688" t="n"/>
      <c r="GV1066" s="431" t="n"/>
      <c r="GW1066" s="451" t="n"/>
      <c r="GX1066" s="451" t="n"/>
      <c r="GY1066" s="451" t="n"/>
      <c r="HA1066" s="429" t="n">
        <v>153</v>
      </c>
      <c r="HB1066" s="431" t="n">
        <v>153</v>
      </c>
      <c r="HC1066" s="688" t="n"/>
      <c r="HD1066" s="431" t="n"/>
      <c r="HE1066" s="451" t="n"/>
      <c r="HF1066" s="451" t="n"/>
      <c r="HG1066" s="451" t="n"/>
    </row>
    <row r="1067">
      <c r="A1067" s="429" t="n">
        <v>154</v>
      </c>
      <c r="B1067" s="431" t="n">
        <v>154</v>
      </c>
      <c r="C1067" s="688" t="n"/>
      <c r="D1067" s="431" t="n"/>
      <c r="E1067" s="429" t="n"/>
      <c r="F1067" s="429" t="n"/>
      <c r="G1067" s="429" t="n"/>
      <c r="I1067" s="429" t="n">
        <v>154</v>
      </c>
      <c r="J1067" s="431" t="n">
        <v>154</v>
      </c>
      <c r="K1067" s="565" t="n">
        <v>153</v>
      </c>
      <c r="L1067" s="431" t="inlineStr">
        <is>
          <t>Boolean</t>
        </is>
      </c>
      <c r="M1067" s="451" t="n"/>
      <c r="N1067" s="422">
        <f>'CIRCUIT SIM'!Y157</f>
        <v/>
      </c>
      <c r="O1067" s="451" t="n"/>
      <c r="Q1067" s="429" t="n">
        <v>154</v>
      </c>
      <c r="R1067" s="431" t="n">
        <v>154</v>
      </c>
      <c r="S1067" s="429" t="n"/>
      <c r="T1067" s="431" t="inlineStr">
        <is>
          <t>Boolean</t>
        </is>
      </c>
      <c r="U1067" s="429" t="n"/>
      <c r="V1067" s="386">
        <f>'CIRCUIT SIM'!AO157</f>
        <v/>
      </c>
      <c r="W1067" s="451" t="n"/>
      <c r="Y1067" s="429" t="n">
        <v>154</v>
      </c>
      <c r="Z1067" s="431" t="n">
        <v>154</v>
      </c>
      <c r="AA1067" s="429" t="n"/>
      <c r="AB1067" s="431" t="n"/>
      <c r="AC1067" s="451" t="n"/>
      <c r="AD1067" s="451" t="n"/>
      <c r="AE1067" s="451" t="n"/>
      <c r="AG1067" s="429" t="n">
        <v>154</v>
      </c>
      <c r="AH1067" s="431" t="n">
        <v>154</v>
      </c>
      <c r="AI1067" s="429" t="n"/>
      <c r="AJ1067" s="431" t="n"/>
      <c r="AK1067" s="451" t="n"/>
      <c r="AL1067" s="451" t="n"/>
      <c r="AM1067" s="451" t="n"/>
      <c r="AO1067" s="429" t="n">
        <v>154</v>
      </c>
      <c r="AP1067" s="431" t="n">
        <v>154</v>
      </c>
      <c r="AQ1067" s="429" t="n"/>
      <c r="AR1067" s="431" t="n"/>
      <c r="AS1067" s="451" t="n"/>
      <c r="AT1067" s="451" t="n"/>
      <c r="AU1067" s="451" t="n"/>
      <c r="AW1067" s="429" t="n">
        <v>154</v>
      </c>
      <c r="AX1067" s="431" t="n">
        <v>154</v>
      </c>
      <c r="AY1067" s="429" t="n"/>
      <c r="AZ1067" s="431" t="n"/>
      <c r="BA1067" s="451" t="n"/>
      <c r="BB1067" s="451" t="n"/>
      <c r="BC1067" s="451" t="n"/>
      <c r="BE1067" s="429" t="n">
        <v>154</v>
      </c>
      <c r="BF1067" s="431" t="n"/>
      <c r="BG1067" s="429" t="n"/>
      <c r="BH1067" s="431" t="n"/>
      <c r="BI1067" s="451" t="n"/>
      <c r="BJ1067" s="451" t="n"/>
      <c r="BK1067" s="451" t="n"/>
      <c r="BM1067" s="429" t="n">
        <v>154</v>
      </c>
      <c r="BN1067" s="431" t="n">
        <v>154</v>
      </c>
      <c r="BO1067" s="429" t="n"/>
      <c r="BP1067" s="431" t="n"/>
      <c r="BQ1067" s="451" t="n"/>
      <c r="BR1067" s="451" t="n"/>
      <c r="BS1067" s="451" t="n"/>
      <c r="BU1067" s="429" t="n">
        <v>154</v>
      </c>
      <c r="BV1067" s="431" t="n">
        <v>154</v>
      </c>
      <c r="BW1067" s="429" t="n"/>
      <c r="BX1067" s="431" t="n"/>
      <c r="BY1067" s="451" t="n"/>
      <c r="BZ1067" s="451">
        <f>'CIRCUIT SIM'!EI157</f>
        <v/>
      </c>
      <c r="CA1067" s="451" t="n"/>
      <c r="CC1067" s="429" t="n">
        <v>154</v>
      </c>
      <c r="CD1067" s="431" t="n">
        <v>154</v>
      </c>
      <c r="CE1067" s="688" t="n"/>
      <c r="CF1067" s="431" t="inlineStr">
        <is>
          <t>Boolean</t>
        </is>
      </c>
      <c r="CG1067" s="451" t="n"/>
      <c r="CH1067" s="562">
        <f>'CIRCUIT SIM'!LK157</f>
        <v/>
      </c>
      <c r="CI1067" s="451" t="n"/>
      <c r="CK1067" s="429" t="n">
        <v>154</v>
      </c>
      <c r="CL1067" s="431" t="n">
        <v>154</v>
      </c>
      <c r="CM1067" s="688" t="n"/>
      <c r="CN1067" s="431" t="n"/>
      <c r="CO1067" s="451" t="n"/>
      <c r="CP1067" s="451" t="n"/>
      <c r="CQ1067" s="451" t="n"/>
      <c r="CS1067" s="429" t="n">
        <v>154</v>
      </c>
      <c r="CT1067" s="431" t="n">
        <v>154</v>
      </c>
      <c r="CU1067" s="688" t="n"/>
      <c r="CV1067" s="431" t="inlineStr">
        <is>
          <t>Boolean</t>
        </is>
      </c>
      <c r="CW1067" s="451" t="n"/>
      <c r="CX1067" s="451">
        <f>'CIRCUIT SIM'!MQ157</f>
        <v/>
      </c>
      <c r="CY1067" s="451" t="n"/>
      <c r="DA1067" s="429" t="n">
        <v>154</v>
      </c>
      <c r="DB1067" s="431" t="n">
        <v>154</v>
      </c>
      <c r="DC1067" s="688" t="n"/>
      <c r="DD1067" s="431" t="n"/>
      <c r="DE1067" s="451" t="n"/>
      <c r="DF1067" s="451" t="n"/>
      <c r="DG1067" s="451" t="n"/>
      <c r="DI1067" s="429" t="n">
        <v>154</v>
      </c>
      <c r="DJ1067" s="431" t="n">
        <v>154</v>
      </c>
      <c r="DK1067" s="688" t="n"/>
      <c r="DL1067" s="431" t="n"/>
      <c r="DM1067" s="429" t="n"/>
      <c r="DN1067" s="451" t="n"/>
      <c r="DO1067" s="451" t="n"/>
      <c r="DQ1067" s="429" t="n">
        <v>154</v>
      </c>
      <c r="DR1067" s="431" t="n">
        <v>154</v>
      </c>
      <c r="DS1067" s="688" t="n"/>
      <c r="DT1067" s="431" t="n"/>
      <c r="DU1067" s="451" t="n"/>
      <c r="DV1067" s="451" t="n"/>
      <c r="DW1067" s="451" t="n"/>
      <c r="DY1067" s="429" t="n">
        <v>154</v>
      </c>
      <c r="DZ1067" s="431" t="n">
        <v>154</v>
      </c>
      <c r="EA1067" s="688" t="n"/>
      <c r="EB1067" s="431" t="n"/>
      <c r="EC1067" s="451" t="n"/>
      <c r="ED1067" s="451" t="n"/>
      <c r="EE1067" s="451" t="n"/>
      <c r="EG1067" s="429" t="n">
        <v>154</v>
      </c>
      <c r="EH1067" s="431" t="n">
        <v>154</v>
      </c>
      <c r="EI1067" s="688" t="n"/>
      <c r="EJ1067" s="431" t="n"/>
      <c r="EK1067" s="451" t="n"/>
      <c r="EL1067" s="451" t="n"/>
      <c r="EM1067" s="451" t="n"/>
      <c r="EO1067" s="429" t="n">
        <v>154</v>
      </c>
      <c r="EP1067" s="431" t="n">
        <v>154</v>
      </c>
      <c r="EQ1067" s="688" t="n"/>
      <c r="ER1067" s="431" t="n"/>
      <c r="ES1067" s="451" t="n"/>
      <c r="ET1067" s="451" t="n"/>
      <c r="EU1067" s="451" t="n"/>
      <c r="EW1067" s="429" t="n">
        <v>154</v>
      </c>
      <c r="EX1067" s="431" t="n">
        <v>154</v>
      </c>
      <c r="EY1067" s="688" t="n"/>
      <c r="EZ1067" s="431" t="n"/>
      <c r="FA1067" s="451" t="n"/>
      <c r="FB1067" s="451" t="n"/>
      <c r="FC1067" s="451" t="n"/>
      <c r="FE1067" s="429" t="n">
        <v>154</v>
      </c>
      <c r="FF1067" s="431" t="n">
        <v>154</v>
      </c>
      <c r="FG1067" s="688" t="n"/>
      <c r="FH1067" s="431" t="n"/>
      <c r="FI1067" s="451" t="n"/>
      <c r="FJ1067" s="451" t="n"/>
      <c r="FK1067" s="451" t="n"/>
      <c r="FM1067" s="429" t="n">
        <v>154</v>
      </c>
      <c r="FN1067" s="431" t="n">
        <v>154</v>
      </c>
      <c r="FO1067" s="688" t="n"/>
      <c r="FP1067" s="431" t="n"/>
      <c r="FQ1067" s="451" t="n"/>
      <c r="FR1067" s="451">
        <f>'CIRCUIT SIM'!KY157</f>
        <v/>
      </c>
      <c r="FS1067" s="451" t="n"/>
      <c r="FU1067" s="429" t="n">
        <v>154</v>
      </c>
      <c r="FV1067" s="431" t="n">
        <v>154</v>
      </c>
      <c r="FW1067" s="688" t="n"/>
      <c r="FX1067" s="431" t="n"/>
      <c r="FY1067" s="451" t="n"/>
      <c r="FZ1067" s="562">
        <f>'CIRCUIT SIM'!JG157</f>
        <v/>
      </c>
      <c r="GA1067" s="451" t="n"/>
      <c r="GC1067" s="429" t="n">
        <v>154</v>
      </c>
      <c r="GD1067" s="431" t="n">
        <v>154</v>
      </c>
      <c r="GE1067" s="688" t="n"/>
      <c r="GF1067" s="431" t="n"/>
      <c r="GG1067" s="451" t="n"/>
      <c r="GH1067" s="451" t="n"/>
      <c r="GI1067" s="451" t="n"/>
      <c r="GK1067" s="429" t="n">
        <v>154</v>
      </c>
      <c r="GL1067" s="431" t="n">
        <v>154</v>
      </c>
      <c r="GM1067" s="688" t="n"/>
      <c r="GN1067" s="431" t="n"/>
      <c r="GO1067" s="451" t="n"/>
      <c r="GP1067" s="451" t="n"/>
      <c r="GQ1067" s="451" t="n"/>
      <c r="GS1067" s="429" t="n">
        <v>154</v>
      </c>
      <c r="GT1067" s="431" t="n">
        <v>154</v>
      </c>
      <c r="GU1067" s="688" t="n"/>
      <c r="GV1067" s="431" t="n"/>
      <c r="GW1067" s="451" t="n"/>
      <c r="GX1067" s="451" t="n"/>
      <c r="GY1067" s="451" t="n"/>
      <c r="HA1067" s="429" t="n">
        <v>154</v>
      </c>
      <c r="HB1067" s="431" t="n">
        <v>154</v>
      </c>
      <c r="HC1067" s="688" t="n"/>
      <c r="HD1067" s="431" t="n"/>
      <c r="HE1067" s="451" t="n"/>
      <c r="HF1067" s="451" t="n"/>
      <c r="HG1067" s="451" t="n"/>
    </row>
    <row r="1068">
      <c r="A1068" s="429" t="n">
        <v>155</v>
      </c>
      <c r="B1068" s="431" t="n">
        <v>155</v>
      </c>
      <c r="C1068" s="688" t="n"/>
      <c r="D1068" s="431" t="n"/>
      <c r="E1068" s="429" t="n"/>
      <c r="F1068" s="429" t="n"/>
      <c r="G1068" s="429" t="n"/>
      <c r="I1068" s="429" t="n">
        <v>155</v>
      </c>
      <c r="J1068" s="431" t="n">
        <v>155</v>
      </c>
      <c r="K1068" s="565" t="n">
        <v>154</v>
      </c>
      <c r="L1068" s="431" t="inlineStr">
        <is>
          <t>Boolean</t>
        </is>
      </c>
      <c r="M1068" s="451" t="n"/>
      <c r="N1068" s="422">
        <f>'CIRCUIT SIM'!Y158</f>
        <v/>
      </c>
      <c r="O1068" s="451" t="n"/>
      <c r="Q1068" s="429" t="n">
        <v>155</v>
      </c>
      <c r="R1068" s="431" t="n">
        <v>155</v>
      </c>
      <c r="S1068" s="429" t="n"/>
      <c r="T1068" s="431" t="inlineStr">
        <is>
          <t>Boolean</t>
        </is>
      </c>
      <c r="U1068" s="429" t="n"/>
      <c r="V1068" s="386">
        <f>'CIRCUIT SIM'!AO158</f>
        <v/>
      </c>
      <c r="W1068" s="451" t="n"/>
      <c r="Y1068" s="429" t="n">
        <v>155</v>
      </c>
      <c r="Z1068" s="431" t="n">
        <v>155</v>
      </c>
      <c r="AA1068" s="429" t="n"/>
      <c r="AB1068" s="431" t="n"/>
      <c r="AC1068" s="451" t="n"/>
      <c r="AD1068" s="451" t="n"/>
      <c r="AE1068" s="451" t="n"/>
      <c r="AG1068" s="429" t="n">
        <v>155</v>
      </c>
      <c r="AH1068" s="431" t="n">
        <v>155</v>
      </c>
      <c r="AI1068" s="429" t="n"/>
      <c r="AJ1068" s="431" t="n"/>
      <c r="AK1068" s="451" t="n"/>
      <c r="AL1068" s="451" t="n"/>
      <c r="AM1068" s="451" t="n"/>
      <c r="AO1068" s="429" t="n">
        <v>155</v>
      </c>
      <c r="AP1068" s="431" t="n">
        <v>155</v>
      </c>
      <c r="AQ1068" s="429" t="n"/>
      <c r="AR1068" s="431" t="n"/>
      <c r="AS1068" s="451" t="n"/>
      <c r="AT1068" s="451" t="n"/>
      <c r="AU1068" s="451" t="n"/>
      <c r="AW1068" s="429" t="n">
        <v>155</v>
      </c>
      <c r="AX1068" s="431" t="n">
        <v>155</v>
      </c>
      <c r="AY1068" s="429" t="n"/>
      <c r="AZ1068" s="431" t="n"/>
      <c r="BA1068" s="451" t="n"/>
      <c r="BB1068" s="451" t="n"/>
      <c r="BC1068" s="451" t="n"/>
      <c r="BE1068" s="429" t="n">
        <v>155</v>
      </c>
      <c r="BF1068" s="431" t="n"/>
      <c r="BG1068" s="429" t="n"/>
      <c r="BH1068" s="431" t="n"/>
      <c r="BI1068" s="451" t="n"/>
      <c r="BJ1068" s="451" t="n"/>
      <c r="BK1068" s="451" t="n"/>
      <c r="BM1068" s="429" t="n">
        <v>155</v>
      </c>
      <c r="BN1068" s="431" t="n">
        <v>155</v>
      </c>
      <c r="BO1068" s="429" t="n"/>
      <c r="BP1068" s="431" t="n"/>
      <c r="BQ1068" s="451" t="n"/>
      <c r="BR1068" s="451" t="n"/>
      <c r="BS1068" s="451" t="n"/>
      <c r="BU1068" s="429" t="n">
        <v>155</v>
      </c>
      <c r="BV1068" s="431" t="n">
        <v>155</v>
      </c>
      <c r="BW1068" s="429" t="n"/>
      <c r="BX1068" s="431" t="n"/>
      <c r="BY1068" s="451" t="n"/>
      <c r="BZ1068" s="451">
        <f>'CIRCUIT SIM'!EI158</f>
        <v/>
      </c>
      <c r="CA1068" s="451" t="n"/>
      <c r="CC1068" s="429" t="n">
        <v>155</v>
      </c>
      <c r="CD1068" s="431" t="n">
        <v>155</v>
      </c>
      <c r="CE1068" s="688" t="n"/>
      <c r="CF1068" s="431" t="inlineStr">
        <is>
          <t>Boolean</t>
        </is>
      </c>
      <c r="CG1068" s="451" t="n"/>
      <c r="CH1068" s="562">
        <f>'CIRCUIT SIM'!LK158</f>
        <v/>
      </c>
      <c r="CI1068" s="451" t="n"/>
      <c r="CK1068" s="429" t="n">
        <v>155</v>
      </c>
      <c r="CL1068" s="431" t="n">
        <v>155</v>
      </c>
      <c r="CM1068" s="688" t="n"/>
      <c r="CN1068" s="431" t="n"/>
      <c r="CO1068" s="451" t="n"/>
      <c r="CP1068" s="451" t="n"/>
      <c r="CQ1068" s="451" t="n"/>
      <c r="CS1068" s="429" t="n">
        <v>155</v>
      </c>
      <c r="CT1068" s="431" t="n">
        <v>155</v>
      </c>
      <c r="CU1068" s="688" t="n"/>
      <c r="CV1068" s="431" t="inlineStr">
        <is>
          <t>Boolean</t>
        </is>
      </c>
      <c r="CW1068" s="451" t="n"/>
      <c r="CX1068" s="451">
        <f>'CIRCUIT SIM'!MQ158</f>
        <v/>
      </c>
      <c r="CY1068" s="451" t="n"/>
      <c r="DA1068" s="429" t="n">
        <v>155</v>
      </c>
      <c r="DB1068" s="431" t="n">
        <v>155</v>
      </c>
      <c r="DC1068" s="688" t="n"/>
      <c r="DD1068" s="431" t="n"/>
      <c r="DE1068" s="451" t="n"/>
      <c r="DF1068" s="451" t="n"/>
      <c r="DG1068" s="451" t="n"/>
      <c r="DI1068" s="429" t="n">
        <v>155</v>
      </c>
      <c r="DJ1068" s="431" t="n">
        <v>155</v>
      </c>
      <c r="DK1068" s="688" t="n"/>
      <c r="DL1068" s="431" t="n"/>
      <c r="DM1068" s="429" t="n"/>
      <c r="DN1068" s="451" t="n"/>
      <c r="DO1068" s="451" t="n"/>
      <c r="DQ1068" s="429" t="n">
        <v>155</v>
      </c>
      <c r="DR1068" s="431" t="n">
        <v>155</v>
      </c>
      <c r="DS1068" s="688" t="n"/>
      <c r="DT1068" s="431" t="n"/>
      <c r="DU1068" s="451" t="n"/>
      <c r="DV1068" s="451" t="n"/>
      <c r="DW1068" s="451" t="n"/>
      <c r="DY1068" s="429" t="n">
        <v>155</v>
      </c>
      <c r="DZ1068" s="431" t="n">
        <v>155</v>
      </c>
      <c r="EA1068" s="688" t="n"/>
      <c r="EB1068" s="431" t="n"/>
      <c r="EC1068" s="451" t="n"/>
      <c r="ED1068" s="451" t="n"/>
      <c r="EE1068" s="451" t="n"/>
      <c r="EG1068" s="429" t="n">
        <v>155</v>
      </c>
      <c r="EH1068" s="431" t="n">
        <v>155</v>
      </c>
      <c r="EI1068" s="688" t="n"/>
      <c r="EJ1068" s="431" t="n"/>
      <c r="EK1068" s="451" t="n"/>
      <c r="EL1068" s="451" t="n"/>
      <c r="EM1068" s="451" t="n"/>
      <c r="EO1068" s="429" t="n">
        <v>155</v>
      </c>
      <c r="EP1068" s="431" t="n">
        <v>155</v>
      </c>
      <c r="EQ1068" s="688" t="n"/>
      <c r="ER1068" s="431" t="n"/>
      <c r="ES1068" s="451" t="n"/>
      <c r="ET1068" s="451" t="n"/>
      <c r="EU1068" s="451" t="n"/>
      <c r="EW1068" s="429" t="n">
        <v>155</v>
      </c>
      <c r="EX1068" s="431" t="n">
        <v>155</v>
      </c>
      <c r="EY1068" s="688" t="n"/>
      <c r="EZ1068" s="431" t="n"/>
      <c r="FA1068" s="451" t="n"/>
      <c r="FB1068" s="451" t="n"/>
      <c r="FC1068" s="451" t="n"/>
      <c r="FE1068" s="429" t="n">
        <v>155</v>
      </c>
      <c r="FF1068" s="431" t="n">
        <v>155</v>
      </c>
      <c r="FG1068" s="688" t="n"/>
      <c r="FH1068" s="431" t="n"/>
      <c r="FI1068" s="451" t="n"/>
      <c r="FJ1068" s="451" t="n"/>
      <c r="FK1068" s="451" t="n"/>
      <c r="FM1068" s="429" t="n">
        <v>155</v>
      </c>
      <c r="FN1068" s="431" t="n">
        <v>155</v>
      </c>
      <c r="FO1068" s="688" t="n"/>
      <c r="FP1068" s="431" t="n"/>
      <c r="FQ1068" s="451" t="n"/>
      <c r="FR1068" s="451">
        <f>'CIRCUIT SIM'!KY158</f>
        <v/>
      </c>
      <c r="FS1068" s="451" t="n"/>
      <c r="FU1068" s="429" t="n">
        <v>155</v>
      </c>
      <c r="FV1068" s="431" t="n">
        <v>155</v>
      </c>
      <c r="FW1068" s="688" t="n"/>
      <c r="FX1068" s="431" t="n"/>
      <c r="FY1068" s="451" t="n"/>
      <c r="FZ1068" s="562">
        <f>'CIRCUIT SIM'!JG158</f>
        <v/>
      </c>
      <c r="GA1068" s="451" t="n"/>
      <c r="GC1068" s="429" t="n">
        <v>155</v>
      </c>
      <c r="GD1068" s="431" t="n">
        <v>155</v>
      </c>
      <c r="GE1068" s="688" t="n"/>
      <c r="GF1068" s="431" t="n"/>
      <c r="GG1068" s="451" t="n"/>
      <c r="GH1068" s="451" t="n"/>
      <c r="GI1068" s="451" t="n"/>
      <c r="GK1068" s="429" t="n">
        <v>155</v>
      </c>
      <c r="GL1068" s="431" t="n">
        <v>155</v>
      </c>
      <c r="GM1068" s="688" t="n"/>
      <c r="GN1068" s="431" t="n"/>
      <c r="GO1068" s="451" t="n"/>
      <c r="GP1068" s="451" t="n"/>
      <c r="GQ1068" s="451" t="n"/>
      <c r="GS1068" s="429" t="n">
        <v>155</v>
      </c>
      <c r="GT1068" s="431" t="n">
        <v>155</v>
      </c>
      <c r="GU1068" s="688" t="n"/>
      <c r="GV1068" s="431" t="n"/>
      <c r="GW1068" s="451" t="n"/>
      <c r="GX1068" s="451" t="n"/>
      <c r="GY1068" s="451" t="n"/>
      <c r="HA1068" s="429" t="n">
        <v>155</v>
      </c>
      <c r="HB1068" s="431" t="n">
        <v>155</v>
      </c>
      <c r="HC1068" s="688" t="n"/>
      <c r="HD1068" s="431" t="n"/>
      <c r="HE1068" s="451" t="n"/>
      <c r="HF1068" s="451" t="n"/>
      <c r="HG1068" s="451" t="n"/>
    </row>
    <row r="1069">
      <c r="A1069" s="429" t="n">
        <v>156</v>
      </c>
      <c r="B1069" s="431" t="n">
        <v>156</v>
      </c>
      <c r="C1069" s="688" t="n"/>
      <c r="D1069" s="431" t="n"/>
      <c r="E1069" s="429" t="n"/>
      <c r="F1069" s="429" t="n"/>
      <c r="G1069" s="429" t="n"/>
      <c r="I1069" s="429" t="n">
        <v>156</v>
      </c>
      <c r="J1069" s="431" t="n">
        <v>156</v>
      </c>
      <c r="K1069" s="565" t="n">
        <v>155</v>
      </c>
      <c r="L1069" s="431" t="inlineStr">
        <is>
          <t>Boolean</t>
        </is>
      </c>
      <c r="M1069" s="451" t="n"/>
      <c r="N1069" s="422">
        <f>'CIRCUIT SIM'!Y159</f>
        <v/>
      </c>
      <c r="O1069" s="451" t="n"/>
      <c r="Q1069" s="429" t="n">
        <v>156</v>
      </c>
      <c r="R1069" s="431" t="n">
        <v>156</v>
      </c>
      <c r="S1069" s="429" t="n"/>
      <c r="T1069" s="431" t="inlineStr">
        <is>
          <t>Boolean</t>
        </is>
      </c>
      <c r="U1069" s="429" t="n"/>
      <c r="V1069" s="386">
        <f>'CIRCUIT SIM'!AO159</f>
        <v/>
      </c>
      <c r="W1069" s="451" t="n"/>
      <c r="Y1069" s="429" t="n">
        <v>156</v>
      </c>
      <c r="Z1069" s="431" t="n">
        <v>156</v>
      </c>
      <c r="AA1069" s="429" t="n"/>
      <c r="AB1069" s="431" t="n"/>
      <c r="AC1069" s="451" t="n"/>
      <c r="AD1069" s="451" t="n"/>
      <c r="AE1069" s="451" t="n"/>
      <c r="AG1069" s="429" t="n">
        <v>156</v>
      </c>
      <c r="AH1069" s="431" t="n">
        <v>156</v>
      </c>
      <c r="AI1069" s="429" t="n"/>
      <c r="AJ1069" s="431" t="n"/>
      <c r="AK1069" s="451" t="n"/>
      <c r="AL1069" s="451" t="n"/>
      <c r="AM1069" s="451" t="n"/>
      <c r="AO1069" s="429" t="n">
        <v>156</v>
      </c>
      <c r="AP1069" s="431" t="n">
        <v>156</v>
      </c>
      <c r="AQ1069" s="429" t="n"/>
      <c r="AR1069" s="431" t="n"/>
      <c r="AS1069" s="451" t="n"/>
      <c r="AT1069" s="451" t="n"/>
      <c r="AU1069" s="451" t="n"/>
      <c r="AW1069" s="429" t="n">
        <v>156</v>
      </c>
      <c r="AX1069" s="431" t="n">
        <v>156</v>
      </c>
      <c r="AY1069" s="429" t="n"/>
      <c r="AZ1069" s="431" t="n"/>
      <c r="BA1069" s="451" t="n"/>
      <c r="BB1069" s="451" t="n"/>
      <c r="BC1069" s="451" t="n"/>
      <c r="BE1069" s="429" t="n">
        <v>156</v>
      </c>
      <c r="BF1069" s="431" t="n"/>
      <c r="BG1069" s="429" t="n"/>
      <c r="BH1069" s="431" t="n"/>
      <c r="BI1069" s="451" t="n"/>
      <c r="BJ1069" s="451" t="n"/>
      <c r="BK1069" s="451" t="n"/>
      <c r="BM1069" s="429" t="n">
        <v>156</v>
      </c>
      <c r="BN1069" s="431" t="n">
        <v>156</v>
      </c>
      <c r="BO1069" s="429" t="n"/>
      <c r="BP1069" s="431" t="n"/>
      <c r="BQ1069" s="451" t="n"/>
      <c r="BR1069" s="451" t="n"/>
      <c r="BS1069" s="451" t="n"/>
      <c r="BU1069" s="429" t="n">
        <v>156</v>
      </c>
      <c r="BV1069" s="431" t="n">
        <v>156</v>
      </c>
      <c r="BW1069" s="429" t="n"/>
      <c r="BX1069" s="431" t="n"/>
      <c r="BY1069" s="451" t="n"/>
      <c r="BZ1069" s="451">
        <f>'CIRCUIT SIM'!EI159</f>
        <v/>
      </c>
      <c r="CA1069" s="451" t="n"/>
      <c r="CC1069" s="429" t="n">
        <v>156</v>
      </c>
      <c r="CD1069" s="431" t="n">
        <v>156</v>
      </c>
      <c r="CE1069" s="688" t="n"/>
      <c r="CF1069" s="431" t="n"/>
      <c r="CG1069" s="451" t="n"/>
      <c r="CH1069" s="562">
        <f>'CIRCUIT SIM'!LK159</f>
        <v/>
      </c>
      <c r="CI1069" s="451" t="n"/>
      <c r="CK1069" s="429" t="n">
        <v>156</v>
      </c>
      <c r="CL1069" s="431" t="n">
        <v>156</v>
      </c>
      <c r="CM1069" s="688" t="n"/>
      <c r="CN1069" s="431" t="n"/>
      <c r="CO1069" s="451" t="n"/>
      <c r="CP1069" s="451" t="n"/>
      <c r="CQ1069" s="451" t="n"/>
      <c r="CS1069" s="429" t="n">
        <v>156</v>
      </c>
      <c r="CT1069" s="431" t="n">
        <v>156</v>
      </c>
      <c r="CU1069" s="688" t="n"/>
      <c r="CV1069" s="431" t="inlineStr">
        <is>
          <t>Boolean</t>
        </is>
      </c>
      <c r="CW1069" s="451" t="n"/>
      <c r="CX1069" s="451">
        <f>'CIRCUIT SIM'!MQ159</f>
        <v/>
      </c>
      <c r="CY1069" s="451" t="n"/>
      <c r="DA1069" s="429" t="n">
        <v>156</v>
      </c>
      <c r="DB1069" s="431" t="n">
        <v>156</v>
      </c>
      <c r="DC1069" s="688" t="n"/>
      <c r="DD1069" s="431" t="n"/>
      <c r="DE1069" s="451" t="n"/>
      <c r="DF1069" s="451" t="n"/>
      <c r="DG1069" s="451" t="n"/>
      <c r="DI1069" s="429" t="n">
        <v>156</v>
      </c>
      <c r="DJ1069" s="431" t="n">
        <v>156</v>
      </c>
      <c r="DK1069" s="688" t="n"/>
      <c r="DL1069" s="431" t="n"/>
      <c r="DM1069" s="429" t="n"/>
      <c r="DN1069" s="451" t="n"/>
      <c r="DO1069" s="451" t="n"/>
      <c r="DQ1069" s="429" t="n">
        <v>156</v>
      </c>
      <c r="DR1069" s="431" t="n">
        <v>156</v>
      </c>
      <c r="DS1069" s="688" t="n"/>
      <c r="DT1069" s="431" t="n"/>
      <c r="DU1069" s="451" t="n"/>
      <c r="DV1069" s="451" t="n"/>
      <c r="DW1069" s="451" t="n"/>
      <c r="DY1069" s="429" t="n">
        <v>156</v>
      </c>
      <c r="DZ1069" s="431" t="n">
        <v>156</v>
      </c>
      <c r="EA1069" s="688" t="n"/>
      <c r="EB1069" s="431" t="n"/>
      <c r="EC1069" s="451" t="n"/>
      <c r="ED1069" s="451" t="n"/>
      <c r="EE1069" s="451" t="n"/>
      <c r="EG1069" s="429" t="n">
        <v>156</v>
      </c>
      <c r="EH1069" s="431" t="n">
        <v>156</v>
      </c>
      <c r="EI1069" s="688" t="n"/>
      <c r="EJ1069" s="431" t="n"/>
      <c r="EK1069" s="451" t="n"/>
      <c r="EL1069" s="451" t="n"/>
      <c r="EM1069" s="451" t="n"/>
      <c r="EO1069" s="429" t="n">
        <v>156</v>
      </c>
      <c r="EP1069" s="431" t="n">
        <v>156</v>
      </c>
      <c r="EQ1069" s="688" t="n"/>
      <c r="ER1069" s="431" t="n"/>
      <c r="ES1069" s="451" t="n"/>
      <c r="ET1069" s="451" t="n"/>
      <c r="EU1069" s="451" t="n"/>
      <c r="EW1069" s="429" t="n">
        <v>156</v>
      </c>
      <c r="EX1069" s="431" t="n">
        <v>156</v>
      </c>
      <c r="EY1069" s="688" t="n"/>
      <c r="EZ1069" s="431" t="n"/>
      <c r="FA1069" s="451" t="n"/>
      <c r="FB1069" s="451" t="n"/>
      <c r="FC1069" s="451" t="n"/>
      <c r="FE1069" s="429" t="n">
        <v>156</v>
      </c>
      <c r="FF1069" s="431" t="n">
        <v>156</v>
      </c>
      <c r="FG1069" s="688" t="n"/>
      <c r="FH1069" s="431" t="n"/>
      <c r="FI1069" s="451" t="n"/>
      <c r="FJ1069" s="451" t="n"/>
      <c r="FK1069" s="451" t="n"/>
      <c r="FM1069" s="429" t="n">
        <v>156</v>
      </c>
      <c r="FN1069" s="431" t="n">
        <v>156</v>
      </c>
      <c r="FO1069" s="688" t="n"/>
      <c r="FP1069" s="431" t="n"/>
      <c r="FQ1069" s="451" t="n"/>
      <c r="FR1069" s="451">
        <f>'CIRCUIT SIM'!KY159</f>
        <v/>
      </c>
      <c r="FS1069" s="451" t="n"/>
      <c r="FU1069" s="429" t="n">
        <v>156</v>
      </c>
      <c r="FV1069" s="431" t="n">
        <v>156</v>
      </c>
      <c r="FW1069" s="688" t="n"/>
      <c r="FX1069" s="431" t="n"/>
      <c r="FY1069" s="451" t="n"/>
      <c r="FZ1069" s="562">
        <f>'CIRCUIT SIM'!JG159</f>
        <v/>
      </c>
      <c r="GA1069" s="451" t="n"/>
      <c r="GC1069" s="429" t="n">
        <v>156</v>
      </c>
      <c r="GD1069" s="431" t="n">
        <v>156</v>
      </c>
      <c r="GE1069" s="688" t="n"/>
      <c r="GF1069" s="431" t="n"/>
      <c r="GG1069" s="451" t="n"/>
      <c r="GH1069" s="451" t="n"/>
      <c r="GI1069" s="451" t="n"/>
      <c r="GK1069" s="429" t="n">
        <v>156</v>
      </c>
      <c r="GL1069" s="431" t="n">
        <v>156</v>
      </c>
      <c r="GM1069" s="688" t="n"/>
      <c r="GN1069" s="431" t="n"/>
      <c r="GO1069" s="451" t="n"/>
      <c r="GP1069" s="451" t="n"/>
      <c r="GQ1069" s="451" t="n"/>
      <c r="GS1069" s="429" t="n">
        <v>156</v>
      </c>
      <c r="GT1069" s="431" t="n">
        <v>156</v>
      </c>
      <c r="GU1069" s="688" t="n"/>
      <c r="GV1069" s="431" t="n"/>
      <c r="GW1069" s="451" t="n"/>
      <c r="GX1069" s="451" t="n"/>
      <c r="GY1069" s="451" t="n"/>
      <c r="HA1069" s="429" t="n">
        <v>156</v>
      </c>
      <c r="HB1069" s="431" t="n">
        <v>156</v>
      </c>
      <c r="HC1069" s="688" t="n"/>
      <c r="HD1069" s="431" t="n"/>
      <c r="HE1069" s="451" t="n"/>
      <c r="HF1069" s="451" t="n"/>
      <c r="HG1069" s="451" t="n"/>
    </row>
    <row r="1070">
      <c r="A1070" s="429" t="n">
        <v>157</v>
      </c>
      <c r="B1070" s="431" t="n">
        <v>157</v>
      </c>
      <c r="C1070" s="688" t="n"/>
      <c r="D1070" s="431" t="n"/>
      <c r="E1070" s="429" t="n"/>
      <c r="F1070" s="429" t="n"/>
      <c r="G1070" s="429" t="n"/>
      <c r="I1070" s="429" t="n">
        <v>157</v>
      </c>
      <c r="J1070" s="431" t="n">
        <v>157</v>
      </c>
      <c r="K1070" s="565" t="n">
        <v>156</v>
      </c>
      <c r="L1070" s="431" t="inlineStr">
        <is>
          <t>Boolean</t>
        </is>
      </c>
      <c r="M1070" s="451" t="n"/>
      <c r="N1070" s="422">
        <f>'CIRCUIT SIM'!Y160</f>
        <v/>
      </c>
      <c r="O1070" s="451" t="n"/>
      <c r="Q1070" s="429" t="n">
        <v>157</v>
      </c>
      <c r="R1070" s="431" t="n">
        <v>157</v>
      </c>
      <c r="S1070" s="429" t="n"/>
      <c r="T1070" s="431" t="inlineStr">
        <is>
          <t>Boolean</t>
        </is>
      </c>
      <c r="U1070" s="429" t="n"/>
      <c r="V1070" s="386">
        <f>'CIRCUIT SIM'!AO160</f>
        <v/>
      </c>
      <c r="W1070" s="451" t="n"/>
      <c r="Y1070" s="429" t="n">
        <v>157</v>
      </c>
      <c r="Z1070" s="431" t="n">
        <v>157</v>
      </c>
      <c r="AA1070" s="429" t="n"/>
      <c r="AB1070" s="431" t="n"/>
      <c r="AC1070" s="451" t="n"/>
      <c r="AD1070" s="451" t="n"/>
      <c r="AE1070" s="451" t="n"/>
      <c r="AG1070" s="429" t="n">
        <v>157</v>
      </c>
      <c r="AH1070" s="431" t="n">
        <v>157</v>
      </c>
      <c r="AI1070" s="429" t="n"/>
      <c r="AJ1070" s="431" t="n"/>
      <c r="AK1070" s="451" t="n"/>
      <c r="AL1070" s="451" t="n"/>
      <c r="AM1070" s="451" t="n"/>
      <c r="AO1070" s="429" t="n">
        <v>157</v>
      </c>
      <c r="AP1070" s="431" t="n">
        <v>157</v>
      </c>
      <c r="AQ1070" s="429" t="n"/>
      <c r="AR1070" s="431" t="n"/>
      <c r="AS1070" s="451" t="n"/>
      <c r="AT1070" s="451" t="n"/>
      <c r="AU1070" s="451" t="n"/>
      <c r="AW1070" s="429" t="n">
        <v>157</v>
      </c>
      <c r="AX1070" s="431" t="n">
        <v>157</v>
      </c>
      <c r="AY1070" s="429" t="n"/>
      <c r="AZ1070" s="431" t="n"/>
      <c r="BA1070" s="451" t="n"/>
      <c r="BB1070" s="451" t="n"/>
      <c r="BC1070" s="451" t="n"/>
      <c r="BE1070" s="429" t="n">
        <v>157</v>
      </c>
      <c r="BF1070" s="431" t="n"/>
      <c r="BG1070" s="429" t="n"/>
      <c r="BH1070" s="431" t="n"/>
      <c r="BI1070" s="451" t="n"/>
      <c r="BJ1070" s="451" t="n"/>
      <c r="BK1070" s="451" t="n"/>
      <c r="BM1070" s="429" t="n">
        <v>157</v>
      </c>
      <c r="BN1070" s="431" t="n">
        <v>157</v>
      </c>
      <c r="BO1070" s="429" t="n"/>
      <c r="BP1070" s="431" t="n"/>
      <c r="BQ1070" s="451" t="n"/>
      <c r="BR1070" s="451" t="n"/>
      <c r="BS1070" s="451" t="n"/>
      <c r="BU1070" s="429" t="n">
        <v>157</v>
      </c>
      <c r="BV1070" s="431" t="n">
        <v>157</v>
      </c>
      <c r="BW1070" s="429" t="n"/>
      <c r="BX1070" s="431" t="n"/>
      <c r="BY1070" s="451" t="n"/>
      <c r="BZ1070" s="451">
        <f>'CIRCUIT SIM'!EI160</f>
        <v/>
      </c>
      <c r="CA1070" s="451" t="n"/>
      <c r="CC1070" s="429" t="n">
        <v>157</v>
      </c>
      <c r="CD1070" s="431" t="n">
        <v>157</v>
      </c>
      <c r="CE1070" s="688" t="n"/>
      <c r="CF1070" s="431" t="n"/>
      <c r="CG1070" s="451" t="n"/>
      <c r="CH1070" s="562">
        <f>'CIRCUIT SIM'!LK160</f>
        <v/>
      </c>
      <c r="CI1070" s="451" t="n"/>
      <c r="CK1070" s="429" t="n">
        <v>157</v>
      </c>
      <c r="CL1070" s="431" t="n">
        <v>157</v>
      </c>
      <c r="CM1070" s="688" t="n"/>
      <c r="CN1070" s="431" t="n"/>
      <c r="CO1070" s="451" t="n"/>
      <c r="CP1070" s="451" t="n"/>
      <c r="CQ1070" s="451" t="n"/>
      <c r="CS1070" s="429" t="n">
        <v>157</v>
      </c>
      <c r="CT1070" s="431" t="n">
        <v>157</v>
      </c>
      <c r="CU1070" s="688" t="n"/>
      <c r="CV1070" s="431" t="inlineStr">
        <is>
          <t>Boolean</t>
        </is>
      </c>
      <c r="CW1070" s="451" t="n"/>
      <c r="CX1070" s="451">
        <f>'CIRCUIT SIM'!MQ160</f>
        <v/>
      </c>
      <c r="CY1070" s="451" t="n"/>
      <c r="DA1070" s="429" t="n">
        <v>157</v>
      </c>
      <c r="DB1070" s="431" t="n">
        <v>157</v>
      </c>
      <c r="DC1070" s="688" t="n"/>
      <c r="DD1070" s="431" t="n"/>
      <c r="DE1070" s="451" t="n"/>
      <c r="DF1070" s="451" t="n"/>
      <c r="DG1070" s="451" t="n"/>
      <c r="DI1070" s="429" t="n">
        <v>157</v>
      </c>
      <c r="DJ1070" s="431" t="n">
        <v>157</v>
      </c>
      <c r="DK1070" s="688" t="n"/>
      <c r="DL1070" s="431" t="n"/>
      <c r="DM1070" s="429" t="n"/>
      <c r="DN1070" s="451" t="n"/>
      <c r="DO1070" s="451" t="n"/>
      <c r="DQ1070" s="429" t="n">
        <v>157</v>
      </c>
      <c r="DR1070" s="431" t="n">
        <v>157</v>
      </c>
      <c r="DS1070" s="688" t="n"/>
      <c r="DT1070" s="431" t="n"/>
      <c r="DU1070" s="451" t="n"/>
      <c r="DV1070" s="451" t="n"/>
      <c r="DW1070" s="451" t="n"/>
      <c r="DY1070" s="429" t="n">
        <v>157</v>
      </c>
      <c r="DZ1070" s="431" t="n">
        <v>157</v>
      </c>
      <c r="EA1070" s="688" t="n"/>
      <c r="EB1070" s="431" t="n"/>
      <c r="EC1070" s="451" t="n"/>
      <c r="ED1070" s="451" t="n"/>
      <c r="EE1070" s="451" t="n"/>
      <c r="EG1070" s="429" t="n">
        <v>157</v>
      </c>
      <c r="EH1070" s="431" t="n">
        <v>157</v>
      </c>
      <c r="EI1070" s="688" t="n"/>
      <c r="EJ1070" s="431" t="n"/>
      <c r="EK1070" s="451" t="n"/>
      <c r="EL1070" s="451" t="n"/>
      <c r="EM1070" s="451" t="n"/>
      <c r="EO1070" s="429" t="n">
        <v>157</v>
      </c>
      <c r="EP1070" s="431" t="n">
        <v>157</v>
      </c>
      <c r="EQ1070" s="688" t="n"/>
      <c r="ER1070" s="431" t="n"/>
      <c r="ES1070" s="451" t="n"/>
      <c r="ET1070" s="451" t="n"/>
      <c r="EU1070" s="451" t="n"/>
      <c r="EW1070" s="429" t="n">
        <v>157</v>
      </c>
      <c r="EX1070" s="431" t="n">
        <v>157</v>
      </c>
      <c r="EY1070" s="688" t="n"/>
      <c r="EZ1070" s="431" t="n"/>
      <c r="FA1070" s="451" t="n"/>
      <c r="FB1070" s="451" t="n"/>
      <c r="FC1070" s="451" t="n"/>
      <c r="FE1070" s="429" t="n">
        <v>157</v>
      </c>
      <c r="FF1070" s="431" t="n">
        <v>157</v>
      </c>
      <c r="FG1070" s="688" t="n"/>
      <c r="FH1070" s="431" t="n"/>
      <c r="FI1070" s="451" t="n"/>
      <c r="FJ1070" s="451" t="n"/>
      <c r="FK1070" s="451" t="n"/>
      <c r="FM1070" s="429" t="n">
        <v>157</v>
      </c>
      <c r="FN1070" s="431" t="n">
        <v>157</v>
      </c>
      <c r="FO1070" s="688" t="n"/>
      <c r="FP1070" s="431" t="n"/>
      <c r="FQ1070" s="451" t="n"/>
      <c r="FR1070" s="451">
        <f>'CIRCUIT SIM'!KY160</f>
        <v/>
      </c>
      <c r="FS1070" s="451" t="n"/>
      <c r="FU1070" s="429" t="n">
        <v>157</v>
      </c>
      <c r="FV1070" s="431" t="n">
        <v>157</v>
      </c>
      <c r="FW1070" s="688" t="n"/>
      <c r="FX1070" s="431" t="n"/>
      <c r="FY1070" s="451" t="n"/>
      <c r="FZ1070" s="562">
        <f>'CIRCUIT SIM'!JG160</f>
        <v/>
      </c>
      <c r="GA1070" s="451" t="n"/>
      <c r="GC1070" s="429" t="n">
        <v>157</v>
      </c>
      <c r="GD1070" s="431" t="n">
        <v>157</v>
      </c>
      <c r="GE1070" s="688" t="n"/>
      <c r="GF1070" s="431" t="n"/>
      <c r="GG1070" s="451" t="n"/>
      <c r="GH1070" s="451" t="n"/>
      <c r="GI1070" s="451" t="n"/>
      <c r="GK1070" s="429" t="n">
        <v>157</v>
      </c>
      <c r="GL1070" s="431" t="n">
        <v>157</v>
      </c>
      <c r="GM1070" s="688" t="n"/>
      <c r="GN1070" s="431" t="n"/>
      <c r="GO1070" s="451" t="n"/>
      <c r="GP1070" s="451" t="n"/>
      <c r="GQ1070" s="451" t="n"/>
      <c r="GS1070" s="429" t="n">
        <v>157</v>
      </c>
      <c r="GT1070" s="431" t="n">
        <v>157</v>
      </c>
      <c r="GU1070" s="688" t="n"/>
      <c r="GV1070" s="431" t="n"/>
      <c r="GW1070" s="451" t="n"/>
      <c r="GX1070" s="451" t="n"/>
      <c r="GY1070" s="451" t="n"/>
      <c r="HA1070" s="429" t="n">
        <v>157</v>
      </c>
      <c r="HB1070" s="431" t="n">
        <v>157</v>
      </c>
      <c r="HC1070" s="688" t="n"/>
      <c r="HD1070" s="431" t="n"/>
      <c r="HE1070" s="451" t="n"/>
      <c r="HF1070" s="451" t="n"/>
      <c r="HG1070" s="451" t="n"/>
    </row>
    <row r="1071">
      <c r="A1071" s="429" t="n">
        <v>158</v>
      </c>
      <c r="B1071" s="431" t="n">
        <v>158</v>
      </c>
      <c r="C1071" s="688" t="n"/>
      <c r="D1071" s="431" t="n"/>
      <c r="E1071" s="429" t="n"/>
      <c r="F1071" s="429" t="n"/>
      <c r="G1071" s="429" t="n"/>
      <c r="I1071" s="429" t="n">
        <v>158</v>
      </c>
      <c r="J1071" s="431" t="n">
        <v>158</v>
      </c>
      <c r="K1071" s="565" t="n">
        <v>157</v>
      </c>
      <c r="L1071" s="431" t="inlineStr">
        <is>
          <t>Boolean</t>
        </is>
      </c>
      <c r="M1071" s="451" t="n"/>
      <c r="N1071" s="422">
        <f>'CIRCUIT SIM'!Y161</f>
        <v/>
      </c>
      <c r="O1071" s="451" t="inlineStr">
        <is>
          <t> </t>
        </is>
      </c>
      <c r="Q1071" s="429" t="n">
        <v>158</v>
      </c>
      <c r="R1071" s="431" t="n">
        <v>158</v>
      </c>
      <c r="S1071" s="429" t="n"/>
      <c r="T1071" s="431" t="inlineStr">
        <is>
          <t>Boolean</t>
        </is>
      </c>
      <c r="U1071" s="429" t="n"/>
      <c r="V1071" s="386">
        <f>'CIRCUIT SIM'!AO161</f>
        <v/>
      </c>
      <c r="W1071" s="451" t="n"/>
      <c r="Y1071" s="429" t="n">
        <v>158</v>
      </c>
      <c r="Z1071" s="431" t="n">
        <v>158</v>
      </c>
      <c r="AA1071" s="429" t="n"/>
      <c r="AB1071" s="431" t="n"/>
      <c r="AC1071" s="451" t="n"/>
      <c r="AD1071" s="451" t="n"/>
      <c r="AE1071" s="451" t="n"/>
      <c r="AG1071" s="429" t="n">
        <v>158</v>
      </c>
      <c r="AH1071" s="431" t="n">
        <v>158</v>
      </c>
      <c r="AI1071" s="429" t="n"/>
      <c r="AJ1071" s="431" t="n"/>
      <c r="AK1071" s="451" t="n"/>
      <c r="AL1071" s="451" t="n"/>
      <c r="AM1071" s="451" t="n"/>
      <c r="AO1071" s="429" t="n">
        <v>158</v>
      </c>
      <c r="AP1071" s="431" t="n">
        <v>158</v>
      </c>
      <c r="AQ1071" s="429" t="n"/>
      <c r="AR1071" s="431" t="n"/>
      <c r="AS1071" s="451" t="n"/>
      <c r="AT1071" s="451" t="n"/>
      <c r="AU1071" s="451" t="n"/>
      <c r="AW1071" s="429" t="n">
        <v>158</v>
      </c>
      <c r="AX1071" s="431" t="n">
        <v>158</v>
      </c>
      <c r="AY1071" s="429" t="n"/>
      <c r="AZ1071" s="431" t="n"/>
      <c r="BA1071" s="451" t="n"/>
      <c r="BB1071" s="451" t="n"/>
      <c r="BC1071" s="451" t="n"/>
      <c r="BE1071" s="429" t="n">
        <v>158</v>
      </c>
      <c r="BF1071" s="431" t="n"/>
      <c r="BG1071" s="429" t="n"/>
      <c r="BH1071" s="431" t="n"/>
      <c r="BI1071" s="451" t="n"/>
      <c r="BJ1071" s="451" t="n"/>
      <c r="BK1071" s="451" t="n"/>
      <c r="BM1071" s="429" t="n">
        <v>158</v>
      </c>
      <c r="BN1071" s="431" t="n">
        <v>158</v>
      </c>
      <c r="BO1071" s="429" t="n"/>
      <c r="BP1071" s="431" t="n"/>
      <c r="BQ1071" s="451" t="n"/>
      <c r="BR1071" s="451" t="n"/>
      <c r="BS1071" s="451" t="n"/>
      <c r="BU1071" s="429" t="n">
        <v>158</v>
      </c>
      <c r="BV1071" s="431" t="n">
        <v>158</v>
      </c>
      <c r="BW1071" s="429" t="n"/>
      <c r="BX1071" s="431" t="n"/>
      <c r="BY1071" s="451" t="n"/>
      <c r="BZ1071" s="451">
        <f>'CIRCUIT SIM'!EI161</f>
        <v/>
      </c>
      <c r="CA1071" s="451" t="n"/>
      <c r="CC1071" s="429" t="n">
        <v>158</v>
      </c>
      <c r="CD1071" s="431" t="n">
        <v>158</v>
      </c>
      <c r="CE1071" s="688" t="n"/>
      <c r="CF1071" s="431" t="n"/>
      <c r="CG1071" s="451" t="n"/>
      <c r="CH1071" s="562">
        <f>'CIRCUIT SIM'!LK161</f>
        <v/>
      </c>
      <c r="CI1071" s="451" t="n"/>
      <c r="CK1071" s="429" t="n">
        <v>158</v>
      </c>
      <c r="CL1071" s="431" t="n">
        <v>158</v>
      </c>
      <c r="CM1071" s="688" t="n"/>
      <c r="CN1071" s="431" t="n"/>
      <c r="CO1071" s="451" t="n"/>
      <c r="CP1071" s="451" t="n"/>
      <c r="CQ1071" s="451" t="n"/>
      <c r="CS1071" s="429" t="n">
        <v>158</v>
      </c>
      <c r="CT1071" s="431" t="n">
        <v>158</v>
      </c>
      <c r="CU1071" s="688" t="n"/>
      <c r="CV1071" s="431" t="inlineStr">
        <is>
          <t>Boolean</t>
        </is>
      </c>
      <c r="CW1071" s="451" t="n"/>
      <c r="CX1071" s="451">
        <f>'CIRCUIT SIM'!MQ161</f>
        <v/>
      </c>
      <c r="CY1071" s="451" t="n"/>
      <c r="DA1071" s="429" t="n">
        <v>158</v>
      </c>
      <c r="DB1071" s="431" t="n">
        <v>158</v>
      </c>
      <c r="DC1071" s="688" t="n"/>
      <c r="DD1071" s="431" t="n"/>
      <c r="DE1071" s="451" t="n"/>
      <c r="DF1071" s="451" t="n"/>
      <c r="DG1071" s="451" t="n"/>
      <c r="DI1071" s="429" t="n">
        <v>158</v>
      </c>
      <c r="DJ1071" s="431" t="n">
        <v>158</v>
      </c>
      <c r="DK1071" s="688" t="n"/>
      <c r="DL1071" s="431" t="n"/>
      <c r="DM1071" s="429" t="n"/>
      <c r="DN1071" s="451" t="n"/>
      <c r="DO1071" s="451" t="n"/>
      <c r="DQ1071" s="429" t="n">
        <v>158</v>
      </c>
      <c r="DR1071" s="431" t="n">
        <v>158</v>
      </c>
      <c r="DS1071" s="688" t="n"/>
      <c r="DT1071" s="431" t="n"/>
      <c r="DU1071" s="451" t="n"/>
      <c r="DV1071" s="451" t="n"/>
      <c r="DW1071" s="451" t="n"/>
      <c r="DY1071" s="429" t="n">
        <v>158</v>
      </c>
      <c r="DZ1071" s="431" t="n">
        <v>158</v>
      </c>
      <c r="EA1071" s="688" t="n"/>
      <c r="EB1071" s="431" t="n"/>
      <c r="EC1071" s="451" t="n"/>
      <c r="ED1071" s="451" t="n"/>
      <c r="EE1071" s="451" t="n"/>
      <c r="EG1071" s="429" t="n">
        <v>158</v>
      </c>
      <c r="EH1071" s="431" t="n">
        <v>158</v>
      </c>
      <c r="EI1071" s="688" t="n"/>
      <c r="EJ1071" s="431" t="n"/>
      <c r="EK1071" s="451" t="n"/>
      <c r="EL1071" s="451" t="n"/>
      <c r="EM1071" s="451" t="n"/>
      <c r="EO1071" s="429" t="n">
        <v>158</v>
      </c>
      <c r="EP1071" s="431" t="n">
        <v>158</v>
      </c>
      <c r="EQ1071" s="688" t="n"/>
      <c r="ER1071" s="431" t="n"/>
      <c r="ES1071" s="451" t="n"/>
      <c r="ET1071" s="451" t="n"/>
      <c r="EU1071" s="451" t="n"/>
      <c r="EW1071" s="429" t="n">
        <v>158</v>
      </c>
      <c r="EX1071" s="431" t="n">
        <v>158</v>
      </c>
      <c r="EY1071" s="688" t="n"/>
      <c r="EZ1071" s="431" t="n"/>
      <c r="FA1071" s="451" t="n"/>
      <c r="FB1071" s="451" t="n"/>
      <c r="FC1071" s="451" t="n"/>
      <c r="FE1071" s="429" t="n">
        <v>158</v>
      </c>
      <c r="FF1071" s="431" t="n">
        <v>158</v>
      </c>
      <c r="FG1071" s="688" t="n"/>
      <c r="FH1071" s="431" t="n"/>
      <c r="FI1071" s="451" t="n"/>
      <c r="FJ1071" s="451" t="n"/>
      <c r="FK1071" s="451" t="n"/>
      <c r="FM1071" s="429" t="n">
        <v>158</v>
      </c>
      <c r="FN1071" s="431" t="n">
        <v>158</v>
      </c>
      <c r="FO1071" s="688" t="n"/>
      <c r="FP1071" s="431" t="n"/>
      <c r="FQ1071" s="451" t="n"/>
      <c r="FR1071" s="451">
        <f>'CIRCUIT SIM'!KY161</f>
        <v/>
      </c>
      <c r="FS1071" s="451" t="n"/>
      <c r="FU1071" s="429" t="n">
        <v>158</v>
      </c>
      <c r="FV1071" s="431" t="n">
        <v>158</v>
      </c>
      <c r="FW1071" s="688" t="n"/>
      <c r="FX1071" s="431" t="n"/>
      <c r="FY1071" s="451" t="n"/>
      <c r="FZ1071" s="562">
        <f>'CIRCUIT SIM'!JG161</f>
        <v/>
      </c>
      <c r="GA1071" s="451" t="n"/>
      <c r="GC1071" s="429" t="n">
        <v>158</v>
      </c>
      <c r="GD1071" s="431" t="n">
        <v>158</v>
      </c>
      <c r="GE1071" s="688" t="n"/>
      <c r="GF1071" s="431" t="n"/>
      <c r="GG1071" s="451" t="n"/>
      <c r="GH1071" s="451" t="n"/>
      <c r="GI1071" s="451" t="n"/>
      <c r="GK1071" s="429" t="n">
        <v>158</v>
      </c>
      <c r="GL1071" s="431" t="n">
        <v>158</v>
      </c>
      <c r="GM1071" s="688" t="n"/>
      <c r="GN1071" s="431" t="n"/>
      <c r="GO1071" s="451" t="n"/>
      <c r="GP1071" s="451" t="n"/>
      <c r="GQ1071" s="451" t="n"/>
      <c r="GS1071" s="429" t="n">
        <v>158</v>
      </c>
      <c r="GT1071" s="431" t="n">
        <v>158</v>
      </c>
      <c r="GU1071" s="688" t="n"/>
      <c r="GV1071" s="431" t="n"/>
      <c r="GW1071" s="451" t="n"/>
      <c r="GX1071" s="451" t="n"/>
      <c r="GY1071" s="451" t="n"/>
      <c r="HA1071" s="429" t="n">
        <v>158</v>
      </c>
      <c r="HB1071" s="431" t="n">
        <v>158</v>
      </c>
      <c r="HC1071" s="688" t="n"/>
      <c r="HD1071" s="431" t="n"/>
      <c r="HE1071" s="451" t="n"/>
      <c r="HF1071" s="451" t="n"/>
      <c r="HG1071" s="451" t="n"/>
    </row>
    <row r="1072">
      <c r="A1072" s="429" t="n">
        <v>159</v>
      </c>
      <c r="B1072" s="431" t="n">
        <v>159</v>
      </c>
      <c r="C1072" s="688" t="n"/>
      <c r="D1072" s="431" t="n"/>
      <c r="E1072" s="429" t="n"/>
      <c r="F1072" s="429" t="n"/>
      <c r="G1072" s="429" t="n"/>
      <c r="I1072" s="429" t="n">
        <v>159</v>
      </c>
      <c r="J1072" s="431" t="n">
        <v>159</v>
      </c>
      <c r="K1072" s="565" t="n">
        <v>158</v>
      </c>
      <c r="L1072" s="431" t="inlineStr">
        <is>
          <t>Boolean</t>
        </is>
      </c>
      <c r="M1072" s="451" t="n"/>
      <c r="N1072" s="422">
        <f>'CIRCUIT SIM'!Y162</f>
        <v/>
      </c>
      <c r="O1072" s="451" t="n"/>
      <c r="Q1072" s="429" t="n">
        <v>159</v>
      </c>
      <c r="R1072" s="431" t="n">
        <v>159</v>
      </c>
      <c r="S1072" s="429" t="n"/>
      <c r="T1072" s="431" t="inlineStr">
        <is>
          <t>Boolean</t>
        </is>
      </c>
      <c r="U1072" s="429" t="inlineStr">
        <is>
          <t> </t>
        </is>
      </c>
      <c r="V1072" s="386">
        <f>'CIRCUIT SIM'!AO162</f>
        <v/>
      </c>
      <c r="W1072" s="451" t="n"/>
      <c r="Y1072" s="429" t="n">
        <v>159</v>
      </c>
      <c r="Z1072" s="431" t="n">
        <v>159</v>
      </c>
      <c r="AA1072" s="429" t="n"/>
      <c r="AB1072" s="431" t="n"/>
      <c r="AC1072" s="451" t="n"/>
      <c r="AD1072" s="451" t="n"/>
      <c r="AE1072" s="451" t="n"/>
      <c r="AG1072" s="429" t="n">
        <v>159</v>
      </c>
      <c r="AH1072" s="431" t="n">
        <v>159</v>
      </c>
      <c r="AI1072" s="429" t="n"/>
      <c r="AJ1072" s="431" t="n"/>
      <c r="AK1072" s="451" t="n"/>
      <c r="AL1072" s="451" t="n"/>
      <c r="AM1072" s="451" t="n"/>
      <c r="AO1072" s="429" t="n">
        <v>159</v>
      </c>
      <c r="AP1072" s="431" t="n">
        <v>159</v>
      </c>
      <c r="AQ1072" s="429" t="n"/>
      <c r="AR1072" s="431" t="n"/>
      <c r="AS1072" s="451" t="n"/>
      <c r="AT1072" s="451" t="n"/>
      <c r="AU1072" s="451" t="n"/>
      <c r="AW1072" s="429" t="n">
        <v>159</v>
      </c>
      <c r="AX1072" s="431" t="n">
        <v>159</v>
      </c>
      <c r="AY1072" s="429" t="n"/>
      <c r="AZ1072" s="431" t="n"/>
      <c r="BA1072" s="451" t="n"/>
      <c r="BB1072" s="451" t="n"/>
      <c r="BC1072" s="451" t="n"/>
      <c r="BE1072" s="429" t="n">
        <v>159</v>
      </c>
      <c r="BF1072" s="431" t="n"/>
      <c r="BG1072" s="429" t="n"/>
      <c r="BH1072" s="431" t="n"/>
      <c r="BI1072" s="451" t="n"/>
      <c r="BJ1072" s="451" t="n"/>
      <c r="BK1072" s="451" t="n"/>
      <c r="BM1072" s="429" t="n">
        <v>159</v>
      </c>
      <c r="BN1072" s="431" t="n">
        <v>159</v>
      </c>
      <c r="BO1072" s="429" t="n"/>
      <c r="BP1072" s="431" t="n"/>
      <c r="BQ1072" s="451" t="n"/>
      <c r="BR1072" s="451" t="n"/>
      <c r="BS1072" s="451" t="n"/>
      <c r="BU1072" s="429" t="n">
        <v>159</v>
      </c>
      <c r="BV1072" s="431" t="n">
        <v>159</v>
      </c>
      <c r="BW1072" s="429" t="n"/>
      <c r="BX1072" s="431" t="n"/>
      <c r="BY1072" s="451" t="n"/>
      <c r="BZ1072" s="451">
        <f>'CIRCUIT SIM'!EI162</f>
        <v/>
      </c>
      <c r="CA1072" s="451" t="n"/>
      <c r="CC1072" s="429" t="n">
        <v>159</v>
      </c>
      <c r="CD1072" s="431" t="n">
        <v>159</v>
      </c>
      <c r="CE1072" s="688" t="n"/>
      <c r="CF1072" s="431" t="n"/>
      <c r="CG1072" s="451" t="n"/>
      <c r="CH1072" s="562">
        <f>'CIRCUIT SIM'!LK162</f>
        <v/>
      </c>
      <c r="CI1072" s="451" t="n"/>
      <c r="CK1072" s="429" t="n">
        <v>159</v>
      </c>
      <c r="CL1072" s="431" t="n">
        <v>159</v>
      </c>
      <c r="CM1072" s="688" t="n"/>
      <c r="CN1072" s="431" t="n"/>
      <c r="CO1072" s="451" t="n"/>
      <c r="CP1072" s="451" t="n"/>
      <c r="CQ1072" s="451" t="n"/>
      <c r="CS1072" s="429" t="n">
        <v>159</v>
      </c>
      <c r="CT1072" s="431" t="n">
        <v>159</v>
      </c>
      <c r="CU1072" s="688" t="n"/>
      <c r="CV1072" s="431" t="inlineStr">
        <is>
          <t>Boolean</t>
        </is>
      </c>
      <c r="CW1072" s="451" t="n"/>
      <c r="CX1072" s="451">
        <f>'CIRCUIT SIM'!MQ162</f>
        <v/>
      </c>
      <c r="CY1072" s="451" t="n"/>
      <c r="DA1072" s="429" t="n">
        <v>159</v>
      </c>
      <c r="DB1072" s="431" t="n">
        <v>159</v>
      </c>
      <c r="DC1072" s="688" t="n"/>
      <c r="DD1072" s="431" t="n"/>
      <c r="DE1072" s="451" t="n"/>
      <c r="DF1072" s="451" t="n"/>
      <c r="DG1072" s="451" t="n"/>
      <c r="DI1072" s="429" t="n">
        <v>159</v>
      </c>
      <c r="DJ1072" s="431" t="n">
        <v>159</v>
      </c>
      <c r="DK1072" s="688" t="n"/>
      <c r="DL1072" s="431" t="n"/>
      <c r="DM1072" s="429" t="n"/>
      <c r="DN1072" s="451" t="n"/>
      <c r="DO1072" s="451" t="n"/>
      <c r="DQ1072" s="429" t="n">
        <v>159</v>
      </c>
      <c r="DR1072" s="431" t="n">
        <v>159</v>
      </c>
      <c r="DS1072" s="688" t="n"/>
      <c r="DT1072" s="431" t="n"/>
      <c r="DU1072" s="451" t="n"/>
      <c r="DV1072" s="451" t="n"/>
      <c r="DW1072" s="451" t="n"/>
      <c r="DY1072" s="429" t="n">
        <v>159</v>
      </c>
      <c r="DZ1072" s="431" t="n">
        <v>159</v>
      </c>
      <c r="EA1072" s="688" t="n"/>
      <c r="EB1072" s="431" t="n"/>
      <c r="EC1072" s="451" t="n"/>
      <c r="ED1072" s="451" t="n"/>
      <c r="EE1072" s="451" t="n"/>
      <c r="EG1072" s="429" t="n">
        <v>159</v>
      </c>
      <c r="EH1072" s="431" t="n">
        <v>159</v>
      </c>
      <c r="EI1072" s="688" t="n"/>
      <c r="EJ1072" s="431" t="n"/>
      <c r="EK1072" s="451" t="n"/>
      <c r="EL1072" s="451" t="n"/>
      <c r="EM1072" s="451" t="n"/>
      <c r="EO1072" s="429" t="n">
        <v>159</v>
      </c>
      <c r="EP1072" s="431" t="n">
        <v>159</v>
      </c>
      <c r="EQ1072" s="688" t="n"/>
      <c r="ER1072" s="431" t="n"/>
      <c r="ES1072" s="451" t="n"/>
      <c r="ET1072" s="451" t="n"/>
      <c r="EU1072" s="451" t="n"/>
      <c r="EW1072" s="429" t="n">
        <v>159</v>
      </c>
      <c r="EX1072" s="431" t="n">
        <v>159</v>
      </c>
      <c r="EY1072" s="688" t="n"/>
      <c r="EZ1072" s="431" t="n"/>
      <c r="FA1072" s="451" t="n"/>
      <c r="FB1072" s="451" t="n"/>
      <c r="FC1072" s="451" t="n"/>
      <c r="FE1072" s="429" t="n">
        <v>159</v>
      </c>
      <c r="FF1072" s="431" t="n">
        <v>159</v>
      </c>
      <c r="FG1072" s="688" t="n"/>
      <c r="FH1072" s="431" t="n"/>
      <c r="FI1072" s="451" t="n"/>
      <c r="FJ1072" s="451" t="n"/>
      <c r="FK1072" s="451" t="n"/>
      <c r="FM1072" s="429" t="n">
        <v>159</v>
      </c>
      <c r="FN1072" s="431" t="n">
        <v>159</v>
      </c>
      <c r="FO1072" s="688" t="n"/>
      <c r="FP1072" s="431" t="n"/>
      <c r="FQ1072" s="451" t="n"/>
      <c r="FR1072" s="451">
        <f>'CIRCUIT SIM'!KY162</f>
        <v/>
      </c>
      <c r="FS1072" s="451" t="n"/>
      <c r="FU1072" s="429" t="n">
        <v>159</v>
      </c>
      <c r="FV1072" s="431" t="n">
        <v>159</v>
      </c>
      <c r="FW1072" s="688" t="n"/>
      <c r="FX1072" s="431" t="n"/>
      <c r="FY1072" s="451" t="n"/>
      <c r="FZ1072" s="562">
        <f>'CIRCUIT SIM'!JG162</f>
        <v/>
      </c>
      <c r="GA1072" s="451" t="n"/>
      <c r="GC1072" s="429" t="n">
        <v>159</v>
      </c>
      <c r="GD1072" s="431" t="n">
        <v>159</v>
      </c>
      <c r="GE1072" s="688" t="n"/>
      <c r="GF1072" s="431" t="n"/>
      <c r="GG1072" s="451" t="n"/>
      <c r="GH1072" s="451" t="n"/>
      <c r="GI1072" s="451" t="n"/>
      <c r="GK1072" s="429" t="n">
        <v>159</v>
      </c>
      <c r="GL1072" s="431" t="n">
        <v>159</v>
      </c>
      <c r="GM1072" s="688" t="n"/>
      <c r="GN1072" s="431" t="n"/>
      <c r="GO1072" s="451" t="n"/>
      <c r="GP1072" s="451" t="n"/>
      <c r="GQ1072" s="451" t="n"/>
      <c r="GS1072" s="429" t="n">
        <v>159</v>
      </c>
      <c r="GT1072" s="431" t="n">
        <v>159</v>
      </c>
      <c r="GU1072" s="688" t="n"/>
      <c r="GV1072" s="431" t="n"/>
      <c r="GW1072" s="451" t="n"/>
      <c r="GX1072" s="451" t="n"/>
      <c r="GY1072" s="451" t="n"/>
      <c r="HA1072" s="429" t="n">
        <v>159</v>
      </c>
      <c r="HB1072" s="431" t="n">
        <v>159</v>
      </c>
      <c r="HC1072" s="688" t="n"/>
      <c r="HD1072" s="431" t="n"/>
      <c r="HE1072" s="451" t="n"/>
      <c r="HF1072" s="451" t="n"/>
      <c r="HG1072" s="451" t="n"/>
    </row>
    <row r="1073">
      <c r="A1073" s="429" t="n">
        <v>160</v>
      </c>
      <c r="B1073" s="431" t="n">
        <v>160</v>
      </c>
      <c r="C1073" s="688" t="n"/>
      <c r="D1073" s="431" t="n"/>
      <c r="E1073" s="429" t="n"/>
      <c r="F1073" s="429" t="n"/>
      <c r="G1073" s="429" t="n"/>
      <c r="I1073" s="429" t="n">
        <v>160</v>
      </c>
      <c r="J1073" s="431" t="n">
        <v>160</v>
      </c>
      <c r="K1073" s="565" t="n">
        <v>159</v>
      </c>
      <c r="L1073" s="431" t="inlineStr">
        <is>
          <t>Boolean</t>
        </is>
      </c>
      <c r="M1073" s="451" t="n"/>
      <c r="N1073" s="422">
        <f>'CIRCUIT SIM'!Y163</f>
        <v/>
      </c>
      <c r="O1073" s="451" t="n"/>
      <c r="Q1073" s="429" t="n">
        <v>160</v>
      </c>
      <c r="R1073" s="431" t="n">
        <v>160</v>
      </c>
      <c r="S1073" s="429" t="n"/>
      <c r="T1073" s="431" t="inlineStr">
        <is>
          <t>Boolean</t>
        </is>
      </c>
      <c r="U1073" s="429" t="n"/>
      <c r="V1073" s="386">
        <f>'CIRCUIT SIM'!AO163</f>
        <v/>
      </c>
      <c r="W1073" s="451" t="n"/>
      <c r="Y1073" s="429" t="n">
        <v>160</v>
      </c>
      <c r="Z1073" s="431" t="n">
        <v>160</v>
      </c>
      <c r="AA1073" s="429" t="n"/>
      <c r="AB1073" s="431" t="n"/>
      <c r="AC1073" s="451" t="n"/>
      <c r="AD1073" s="451" t="n"/>
      <c r="AE1073" s="451" t="n"/>
      <c r="AG1073" s="429" t="n">
        <v>160</v>
      </c>
      <c r="AH1073" s="431" t="n">
        <v>160</v>
      </c>
      <c r="AI1073" s="429" t="n"/>
      <c r="AJ1073" s="431" t="n"/>
      <c r="AK1073" s="451" t="n"/>
      <c r="AL1073" s="451" t="n"/>
      <c r="AM1073" s="451" t="n"/>
      <c r="AO1073" s="429" t="n">
        <v>160</v>
      </c>
      <c r="AP1073" s="431" t="n">
        <v>160</v>
      </c>
      <c r="AQ1073" s="429" t="n"/>
      <c r="AR1073" s="431" t="n"/>
      <c r="AS1073" s="451" t="n"/>
      <c r="AT1073" s="451" t="n"/>
      <c r="AU1073" s="451" t="n"/>
      <c r="AW1073" s="429" t="n">
        <v>160</v>
      </c>
      <c r="AX1073" s="431" t="n">
        <v>160</v>
      </c>
      <c r="AY1073" s="429" t="n"/>
      <c r="AZ1073" s="431" t="n"/>
      <c r="BA1073" s="451" t="n"/>
      <c r="BB1073" s="451" t="n"/>
      <c r="BC1073" s="451" t="n"/>
      <c r="BE1073" s="429" t="n">
        <v>160</v>
      </c>
      <c r="BF1073" s="431" t="n"/>
      <c r="BG1073" s="429" t="n"/>
      <c r="BH1073" s="431" t="n"/>
      <c r="BI1073" s="451" t="n"/>
      <c r="BJ1073" s="451" t="n"/>
      <c r="BK1073" s="451" t="n"/>
      <c r="BM1073" s="429" t="n">
        <v>160</v>
      </c>
      <c r="BN1073" s="431" t="n">
        <v>160</v>
      </c>
      <c r="BO1073" s="429" t="n"/>
      <c r="BP1073" s="431" t="n"/>
      <c r="BQ1073" s="451" t="n"/>
      <c r="BR1073" s="451" t="n"/>
      <c r="BS1073" s="451" t="n"/>
      <c r="BU1073" s="429" t="n">
        <v>160</v>
      </c>
      <c r="BV1073" s="431" t="n">
        <v>160</v>
      </c>
      <c r="BW1073" s="429" t="n"/>
      <c r="BX1073" s="431" t="n"/>
      <c r="BY1073" s="451" t="n"/>
      <c r="BZ1073" s="451">
        <f>'CIRCUIT SIM'!EI163</f>
        <v/>
      </c>
      <c r="CA1073" s="451" t="n"/>
      <c r="CC1073" s="429" t="n">
        <v>160</v>
      </c>
      <c r="CD1073" s="431" t="n">
        <v>160</v>
      </c>
      <c r="CE1073" s="688" t="n"/>
      <c r="CF1073" s="431" t="n"/>
      <c r="CG1073" s="451" t="n"/>
      <c r="CH1073" s="562">
        <f>'CIRCUIT SIM'!LK163</f>
        <v/>
      </c>
      <c r="CI1073" s="451" t="n"/>
      <c r="CK1073" s="429" t="n">
        <v>160</v>
      </c>
      <c r="CL1073" s="431" t="n">
        <v>160</v>
      </c>
      <c r="CM1073" s="688" t="n"/>
      <c r="CN1073" s="431" t="n"/>
      <c r="CO1073" s="451" t="n"/>
      <c r="CP1073" s="451" t="n"/>
      <c r="CQ1073" s="451" t="n"/>
      <c r="CS1073" s="429" t="n">
        <v>160</v>
      </c>
      <c r="CT1073" s="431" t="n">
        <v>160</v>
      </c>
      <c r="CU1073" s="688" t="n"/>
      <c r="CV1073" s="431" t="inlineStr">
        <is>
          <t>Boolean</t>
        </is>
      </c>
      <c r="CW1073" s="451" t="n"/>
      <c r="CX1073" s="451">
        <f>'CIRCUIT SIM'!MQ163</f>
        <v/>
      </c>
      <c r="CY1073" s="451" t="n"/>
      <c r="DA1073" s="429" t="n">
        <v>160</v>
      </c>
      <c r="DB1073" s="431" t="n">
        <v>160</v>
      </c>
      <c r="DC1073" s="688" t="n"/>
      <c r="DD1073" s="431" t="n"/>
      <c r="DE1073" s="451" t="n"/>
      <c r="DF1073" s="451" t="n"/>
      <c r="DG1073" s="451" t="n"/>
      <c r="DI1073" s="429" t="n">
        <v>160</v>
      </c>
      <c r="DJ1073" s="431" t="n">
        <v>160</v>
      </c>
      <c r="DK1073" s="688" t="n"/>
      <c r="DL1073" s="431" t="n"/>
      <c r="DM1073" s="429" t="n"/>
      <c r="DN1073" s="451" t="n"/>
      <c r="DO1073" s="451" t="n"/>
      <c r="DQ1073" s="429" t="n">
        <v>160</v>
      </c>
      <c r="DR1073" s="431" t="n">
        <v>160</v>
      </c>
      <c r="DS1073" s="688" t="n"/>
      <c r="DT1073" s="431" t="n"/>
      <c r="DU1073" s="451" t="n"/>
      <c r="DV1073" s="451" t="n"/>
      <c r="DW1073" s="451" t="n"/>
      <c r="DY1073" s="429" t="n">
        <v>160</v>
      </c>
      <c r="DZ1073" s="431" t="n">
        <v>160</v>
      </c>
      <c r="EA1073" s="688" t="n"/>
      <c r="EB1073" s="431" t="n"/>
      <c r="EC1073" s="451" t="n"/>
      <c r="ED1073" s="451" t="n"/>
      <c r="EE1073" s="451" t="n"/>
      <c r="EG1073" s="429" t="n">
        <v>160</v>
      </c>
      <c r="EH1073" s="431" t="n">
        <v>160</v>
      </c>
      <c r="EI1073" s="688" t="n"/>
      <c r="EJ1073" s="431" t="n"/>
      <c r="EK1073" s="451" t="n"/>
      <c r="EL1073" s="451" t="n"/>
      <c r="EM1073" s="451" t="n"/>
      <c r="EO1073" s="429" t="n">
        <v>160</v>
      </c>
      <c r="EP1073" s="431" t="n">
        <v>160</v>
      </c>
      <c r="EQ1073" s="688" t="n"/>
      <c r="ER1073" s="431" t="n"/>
      <c r="ES1073" s="451" t="n"/>
      <c r="ET1073" s="451" t="n"/>
      <c r="EU1073" s="451" t="n"/>
      <c r="EW1073" s="429" t="n">
        <v>160</v>
      </c>
      <c r="EX1073" s="431" t="n">
        <v>160</v>
      </c>
      <c r="EY1073" s="688" t="n"/>
      <c r="EZ1073" s="431" t="n"/>
      <c r="FA1073" s="451" t="n"/>
      <c r="FB1073" s="451" t="n"/>
      <c r="FC1073" s="451" t="n"/>
      <c r="FE1073" s="429" t="n">
        <v>160</v>
      </c>
      <c r="FF1073" s="431" t="n">
        <v>160</v>
      </c>
      <c r="FG1073" s="688" t="n"/>
      <c r="FH1073" s="431" t="n"/>
      <c r="FI1073" s="451" t="n"/>
      <c r="FJ1073" s="451" t="n"/>
      <c r="FK1073" s="451" t="n"/>
      <c r="FM1073" s="429" t="n">
        <v>160</v>
      </c>
      <c r="FN1073" s="431" t="n">
        <v>160</v>
      </c>
      <c r="FO1073" s="688" t="n"/>
      <c r="FP1073" s="431" t="n"/>
      <c r="FQ1073" s="451" t="n"/>
      <c r="FR1073" s="451">
        <f>'CIRCUIT SIM'!KY163</f>
        <v/>
      </c>
      <c r="FS1073" s="451" t="n"/>
      <c r="FU1073" s="429" t="n">
        <v>160</v>
      </c>
      <c r="FV1073" s="431" t="n">
        <v>160</v>
      </c>
      <c r="FW1073" s="688" t="n"/>
      <c r="FX1073" s="431" t="n"/>
      <c r="FY1073" s="451" t="n"/>
      <c r="FZ1073" s="562">
        <f>'CIRCUIT SIM'!JG163</f>
        <v/>
      </c>
      <c r="GA1073" s="451" t="n"/>
      <c r="GC1073" s="429" t="n">
        <v>160</v>
      </c>
      <c r="GD1073" s="431" t="n">
        <v>160</v>
      </c>
      <c r="GE1073" s="688" t="n"/>
      <c r="GF1073" s="431" t="n"/>
      <c r="GG1073" s="451" t="n"/>
      <c r="GH1073" s="451" t="n"/>
      <c r="GI1073" s="451" t="n"/>
      <c r="GK1073" s="429" t="n">
        <v>160</v>
      </c>
      <c r="GL1073" s="431" t="n">
        <v>160</v>
      </c>
      <c r="GM1073" s="688" t="n"/>
      <c r="GN1073" s="431" t="n"/>
      <c r="GO1073" s="451" t="n"/>
      <c r="GP1073" s="451" t="n"/>
      <c r="GQ1073" s="451" t="n"/>
      <c r="GS1073" s="429" t="n">
        <v>160</v>
      </c>
      <c r="GT1073" s="431" t="n">
        <v>160</v>
      </c>
      <c r="GU1073" s="688" t="n"/>
      <c r="GV1073" s="431" t="n"/>
      <c r="GW1073" s="451" t="n"/>
      <c r="GX1073" s="451" t="n"/>
      <c r="GY1073" s="451" t="n"/>
      <c r="HA1073" s="429" t="n">
        <v>160</v>
      </c>
      <c r="HB1073" s="431" t="n">
        <v>160</v>
      </c>
      <c r="HC1073" s="688" t="n"/>
      <c r="HD1073" s="431" t="n"/>
      <c r="HE1073" s="451" t="n"/>
      <c r="HF1073" s="451" t="n"/>
      <c r="HG1073" s="451" t="n"/>
    </row>
    <row r="1074">
      <c r="A1074" s="429" t="n">
        <v>161</v>
      </c>
      <c r="B1074" s="431" t="n">
        <v>161</v>
      </c>
      <c r="C1074" s="688" t="n"/>
      <c r="D1074" s="431" t="n"/>
      <c r="E1074" s="429" t="n"/>
      <c r="F1074" s="429" t="n"/>
      <c r="G1074" s="429" t="n"/>
      <c r="I1074" s="429" t="n">
        <v>161</v>
      </c>
      <c r="J1074" s="431" t="n">
        <v>161</v>
      </c>
      <c r="K1074" s="565" t="n">
        <v>160</v>
      </c>
      <c r="L1074" s="431" t="inlineStr">
        <is>
          <t>Boolean</t>
        </is>
      </c>
      <c r="M1074" s="451" t="n"/>
      <c r="N1074" s="422">
        <f>'CIRCUIT SIM'!Y164</f>
        <v/>
      </c>
      <c r="O1074" s="451" t="n"/>
      <c r="Q1074" s="429" t="n">
        <v>161</v>
      </c>
      <c r="R1074" s="431" t="n">
        <v>161</v>
      </c>
      <c r="S1074" s="429" t="n"/>
      <c r="T1074" s="431" t="inlineStr">
        <is>
          <t>Boolean</t>
        </is>
      </c>
      <c r="U1074" s="429" t="n"/>
      <c r="V1074" s="386">
        <f>'CIRCUIT SIM'!AO164</f>
        <v/>
      </c>
      <c r="W1074" s="451" t="n"/>
      <c r="Y1074" s="429" t="n">
        <v>161</v>
      </c>
      <c r="Z1074" s="431" t="n">
        <v>161</v>
      </c>
      <c r="AA1074" s="429" t="n"/>
      <c r="AB1074" s="431" t="n"/>
      <c r="AC1074" s="451" t="n"/>
      <c r="AD1074" s="451" t="n"/>
      <c r="AE1074" s="451" t="n"/>
      <c r="AG1074" s="429" t="n">
        <v>161</v>
      </c>
      <c r="AH1074" s="431" t="n">
        <v>161</v>
      </c>
      <c r="AI1074" s="429" t="n"/>
      <c r="AJ1074" s="431" t="n"/>
      <c r="AK1074" s="451" t="n"/>
      <c r="AL1074" s="451" t="n"/>
      <c r="AM1074" s="451" t="n"/>
      <c r="AO1074" s="429" t="n">
        <v>161</v>
      </c>
      <c r="AP1074" s="431" t="n">
        <v>161</v>
      </c>
      <c r="AQ1074" s="429" t="n"/>
      <c r="AR1074" s="431" t="n"/>
      <c r="AS1074" s="451" t="n"/>
      <c r="AT1074" s="451" t="n"/>
      <c r="AU1074" s="451" t="n"/>
      <c r="AW1074" s="429" t="n">
        <v>161</v>
      </c>
      <c r="AX1074" s="431" t="n">
        <v>161</v>
      </c>
      <c r="AY1074" s="429" t="n"/>
      <c r="AZ1074" s="431" t="n"/>
      <c r="BA1074" s="451" t="n"/>
      <c r="BB1074" s="451" t="n"/>
      <c r="BC1074" s="451" t="n"/>
      <c r="BE1074" s="429" t="n">
        <v>161</v>
      </c>
      <c r="BF1074" s="431" t="n"/>
      <c r="BG1074" s="429" t="n"/>
      <c r="BH1074" s="431" t="n"/>
      <c r="BI1074" s="451" t="n"/>
      <c r="BJ1074" s="451" t="n"/>
      <c r="BK1074" s="451" t="n"/>
      <c r="BM1074" s="429" t="n">
        <v>161</v>
      </c>
      <c r="BN1074" s="431" t="n">
        <v>161</v>
      </c>
      <c r="BO1074" s="429" t="n"/>
      <c r="BP1074" s="431" t="n"/>
      <c r="BQ1074" s="451" t="n"/>
      <c r="BR1074" s="451" t="n"/>
      <c r="BS1074" s="451" t="n"/>
      <c r="BU1074" s="429" t="n">
        <v>161</v>
      </c>
      <c r="BV1074" s="431" t="n">
        <v>161</v>
      </c>
      <c r="BW1074" s="429" t="n"/>
      <c r="BX1074" s="431" t="n"/>
      <c r="BY1074" s="451" t="n"/>
      <c r="BZ1074" s="451">
        <f>'CIRCUIT SIM'!EI164</f>
        <v/>
      </c>
      <c r="CA1074" s="451" t="n"/>
      <c r="CC1074" s="429" t="n">
        <v>161</v>
      </c>
      <c r="CD1074" s="431" t="n">
        <v>161</v>
      </c>
      <c r="CE1074" s="688" t="n"/>
      <c r="CF1074" s="431" t="n"/>
      <c r="CG1074" s="451" t="n"/>
      <c r="CH1074" s="562">
        <f>'CIRCUIT SIM'!LK164</f>
        <v/>
      </c>
      <c r="CI1074" s="451" t="n"/>
      <c r="CK1074" s="429" t="n">
        <v>161</v>
      </c>
      <c r="CL1074" s="431" t="n">
        <v>161</v>
      </c>
      <c r="CM1074" s="688" t="n"/>
      <c r="CN1074" s="431" t="n"/>
      <c r="CO1074" s="451" t="n"/>
      <c r="CP1074" s="451" t="n"/>
      <c r="CQ1074" s="451" t="n"/>
      <c r="CS1074" s="429" t="n">
        <v>161</v>
      </c>
      <c r="CT1074" s="431" t="n">
        <v>161</v>
      </c>
      <c r="CU1074" s="688" t="n"/>
      <c r="CV1074" s="431" t="inlineStr">
        <is>
          <t>Boolean</t>
        </is>
      </c>
      <c r="CW1074" s="451" t="n"/>
      <c r="CX1074" s="451">
        <f>'CIRCUIT SIM'!MQ164</f>
        <v/>
      </c>
      <c r="CY1074" s="451" t="n"/>
      <c r="DA1074" s="429" t="n">
        <v>161</v>
      </c>
      <c r="DB1074" s="431" t="n">
        <v>161</v>
      </c>
      <c r="DC1074" s="688" t="n"/>
      <c r="DD1074" s="431" t="n"/>
      <c r="DE1074" s="451" t="n"/>
      <c r="DF1074" s="451" t="n"/>
      <c r="DG1074" s="451" t="n"/>
      <c r="DI1074" s="429" t="n">
        <v>161</v>
      </c>
      <c r="DJ1074" s="431" t="n">
        <v>161</v>
      </c>
      <c r="DK1074" s="688" t="n"/>
      <c r="DL1074" s="431" t="n"/>
      <c r="DM1074" s="429" t="n"/>
      <c r="DN1074" s="451" t="n"/>
      <c r="DO1074" s="451" t="n"/>
      <c r="DQ1074" s="429" t="n">
        <v>161</v>
      </c>
      <c r="DR1074" s="431" t="n">
        <v>161</v>
      </c>
      <c r="DS1074" s="688" t="n"/>
      <c r="DT1074" s="431" t="n"/>
      <c r="DU1074" s="451" t="n"/>
      <c r="DV1074" s="451" t="n"/>
      <c r="DW1074" s="451" t="n"/>
      <c r="DY1074" s="429" t="n">
        <v>161</v>
      </c>
      <c r="DZ1074" s="431" t="n">
        <v>161</v>
      </c>
      <c r="EA1074" s="688" t="n"/>
      <c r="EB1074" s="431" t="n"/>
      <c r="EC1074" s="451" t="n"/>
      <c r="ED1074" s="451" t="n"/>
      <c r="EE1074" s="451" t="n"/>
      <c r="EG1074" s="429" t="n">
        <v>161</v>
      </c>
      <c r="EH1074" s="431" t="n">
        <v>161</v>
      </c>
      <c r="EI1074" s="688" t="n"/>
      <c r="EJ1074" s="431" t="n"/>
      <c r="EK1074" s="451" t="n"/>
      <c r="EL1074" s="451" t="n"/>
      <c r="EM1074" s="451" t="n"/>
      <c r="EO1074" s="429" t="n">
        <v>161</v>
      </c>
      <c r="EP1074" s="431" t="n">
        <v>161</v>
      </c>
      <c r="EQ1074" s="688" t="n"/>
      <c r="ER1074" s="431" t="n"/>
      <c r="ES1074" s="451" t="n"/>
      <c r="ET1074" s="451" t="n"/>
      <c r="EU1074" s="451" t="n"/>
      <c r="EW1074" s="429" t="n">
        <v>161</v>
      </c>
      <c r="EX1074" s="431" t="n">
        <v>161</v>
      </c>
      <c r="EY1074" s="688" t="n"/>
      <c r="EZ1074" s="431" t="n"/>
      <c r="FA1074" s="451" t="n"/>
      <c r="FB1074" s="451" t="n"/>
      <c r="FC1074" s="451" t="n"/>
      <c r="FE1074" s="429" t="n">
        <v>161</v>
      </c>
      <c r="FF1074" s="431" t="n">
        <v>161</v>
      </c>
      <c r="FG1074" s="688" t="n"/>
      <c r="FH1074" s="431" t="n"/>
      <c r="FI1074" s="451" t="n"/>
      <c r="FJ1074" s="451" t="n"/>
      <c r="FK1074" s="451" t="n"/>
      <c r="FM1074" s="429" t="n">
        <v>161</v>
      </c>
      <c r="FN1074" s="431" t="n">
        <v>161</v>
      </c>
      <c r="FO1074" s="688" t="n"/>
      <c r="FP1074" s="431" t="n"/>
      <c r="FQ1074" s="451" t="n"/>
      <c r="FR1074" s="451">
        <f>'CIRCUIT SIM'!KY164</f>
        <v/>
      </c>
      <c r="FS1074" s="451" t="n"/>
      <c r="FU1074" s="429" t="n">
        <v>161</v>
      </c>
      <c r="FV1074" s="431" t="n">
        <v>161</v>
      </c>
      <c r="FW1074" s="688" t="n"/>
      <c r="FX1074" s="431" t="n"/>
      <c r="FY1074" s="451" t="n"/>
      <c r="FZ1074" s="562">
        <f>'CIRCUIT SIM'!JG164</f>
        <v/>
      </c>
      <c r="GA1074" s="451" t="n"/>
      <c r="GC1074" s="429" t="n">
        <v>161</v>
      </c>
      <c r="GD1074" s="431" t="n">
        <v>161</v>
      </c>
      <c r="GE1074" s="688" t="n"/>
      <c r="GF1074" s="431" t="n"/>
      <c r="GG1074" s="451" t="n"/>
      <c r="GH1074" s="451" t="n"/>
      <c r="GI1074" s="451" t="n"/>
      <c r="GK1074" s="429" t="n">
        <v>161</v>
      </c>
      <c r="GL1074" s="431" t="n">
        <v>161</v>
      </c>
      <c r="GM1074" s="688" t="n"/>
      <c r="GN1074" s="431" t="n"/>
      <c r="GO1074" s="451" t="n"/>
      <c r="GP1074" s="451" t="n"/>
      <c r="GQ1074" s="451" t="n"/>
      <c r="GS1074" s="429" t="n">
        <v>161</v>
      </c>
      <c r="GT1074" s="431" t="n">
        <v>161</v>
      </c>
      <c r="GU1074" s="688" t="n"/>
      <c r="GV1074" s="431" t="n"/>
      <c r="GW1074" s="451" t="n"/>
      <c r="GX1074" s="451" t="n"/>
      <c r="GY1074" s="451" t="n"/>
      <c r="HA1074" s="429" t="n">
        <v>161</v>
      </c>
      <c r="HB1074" s="431" t="n">
        <v>161</v>
      </c>
      <c r="HC1074" s="688" t="n"/>
      <c r="HD1074" s="431" t="n"/>
      <c r="HE1074" s="451" t="n"/>
      <c r="HF1074" s="451" t="n"/>
      <c r="HG1074" s="451" t="n"/>
    </row>
    <row r="1075">
      <c r="A1075" s="429" t="n">
        <v>162</v>
      </c>
      <c r="B1075" s="431" t="n">
        <v>162</v>
      </c>
      <c r="C1075" s="688" t="n"/>
      <c r="D1075" s="431" t="n"/>
      <c r="E1075" s="429" t="n"/>
      <c r="F1075" s="429" t="n"/>
      <c r="G1075" s="429" t="n"/>
      <c r="I1075" s="429" t="n">
        <v>162</v>
      </c>
      <c r="J1075" s="431" t="n">
        <v>162</v>
      </c>
      <c r="K1075" s="565" t="n">
        <v>161</v>
      </c>
      <c r="L1075" s="431" t="inlineStr">
        <is>
          <t>Boolean</t>
        </is>
      </c>
      <c r="M1075" s="451" t="n"/>
      <c r="N1075" s="422">
        <f>'CIRCUIT SIM'!Y165</f>
        <v/>
      </c>
      <c r="O1075" s="451" t="n"/>
      <c r="Q1075" s="429" t="n">
        <v>162</v>
      </c>
      <c r="R1075" s="431" t="n">
        <v>162</v>
      </c>
      <c r="S1075" s="429" t="n"/>
      <c r="T1075" s="431" t="inlineStr">
        <is>
          <t>Boolean</t>
        </is>
      </c>
      <c r="U1075" s="429" t="n"/>
      <c r="V1075" s="386">
        <f>'CIRCUIT SIM'!AO165</f>
        <v/>
      </c>
      <c r="W1075" s="451" t="n"/>
      <c r="Y1075" s="429" t="n">
        <v>162</v>
      </c>
      <c r="Z1075" s="431" t="n">
        <v>162</v>
      </c>
      <c r="AA1075" s="429" t="n"/>
      <c r="AB1075" s="431" t="n"/>
      <c r="AC1075" s="451" t="n"/>
      <c r="AD1075" s="451" t="n"/>
      <c r="AE1075" s="451" t="n"/>
      <c r="AG1075" s="429" t="n">
        <v>162</v>
      </c>
      <c r="AH1075" s="431" t="n">
        <v>162</v>
      </c>
      <c r="AI1075" s="429" t="n"/>
      <c r="AJ1075" s="431" t="n"/>
      <c r="AK1075" s="451" t="n"/>
      <c r="AL1075" s="451" t="n"/>
      <c r="AM1075" s="451" t="n"/>
      <c r="AO1075" s="429" t="n">
        <v>162</v>
      </c>
      <c r="AP1075" s="431" t="n">
        <v>162</v>
      </c>
      <c r="AQ1075" s="429" t="n"/>
      <c r="AR1075" s="431" t="n"/>
      <c r="AS1075" s="451" t="n"/>
      <c r="AT1075" s="451" t="n"/>
      <c r="AU1075" s="451" t="n"/>
      <c r="AW1075" s="429" t="n">
        <v>162</v>
      </c>
      <c r="AX1075" s="431" t="n">
        <v>162</v>
      </c>
      <c r="AY1075" s="429" t="n"/>
      <c r="AZ1075" s="431" t="n"/>
      <c r="BA1075" s="451" t="n"/>
      <c r="BB1075" s="451" t="n"/>
      <c r="BC1075" s="451" t="n"/>
      <c r="BE1075" s="429" t="n">
        <v>162</v>
      </c>
      <c r="BF1075" s="431" t="n"/>
      <c r="BG1075" s="429" t="n"/>
      <c r="BH1075" s="431" t="n"/>
      <c r="BI1075" s="451" t="n"/>
      <c r="BJ1075" s="451" t="n"/>
      <c r="BK1075" s="451" t="n"/>
      <c r="BM1075" s="429" t="n">
        <v>162</v>
      </c>
      <c r="BN1075" s="431" t="n">
        <v>162</v>
      </c>
      <c r="BO1075" s="429" t="n"/>
      <c r="BP1075" s="431" t="n"/>
      <c r="BQ1075" s="451" t="n"/>
      <c r="BR1075" s="451" t="n"/>
      <c r="BS1075" s="451" t="n"/>
      <c r="BU1075" s="429" t="n">
        <v>162</v>
      </c>
      <c r="BV1075" s="431" t="n">
        <v>162</v>
      </c>
      <c r="BW1075" s="429" t="n"/>
      <c r="BX1075" s="431" t="n"/>
      <c r="BY1075" s="451" t="n"/>
      <c r="BZ1075" s="451">
        <f>'CIRCUIT SIM'!EI165</f>
        <v/>
      </c>
      <c r="CA1075" s="451" t="n"/>
      <c r="CC1075" s="429" t="n">
        <v>162</v>
      </c>
      <c r="CD1075" s="431" t="n">
        <v>162</v>
      </c>
      <c r="CE1075" s="688" t="n"/>
      <c r="CF1075" s="431" t="n"/>
      <c r="CG1075" s="451" t="n"/>
      <c r="CH1075" s="562">
        <f>'CIRCUIT SIM'!LK165</f>
        <v/>
      </c>
      <c r="CI1075" s="451" t="n"/>
      <c r="CK1075" s="429" t="n">
        <v>162</v>
      </c>
      <c r="CL1075" s="431" t="n">
        <v>162</v>
      </c>
      <c r="CM1075" s="688" t="n"/>
      <c r="CN1075" s="431" t="n"/>
      <c r="CO1075" s="451" t="n"/>
      <c r="CP1075" s="451" t="n"/>
      <c r="CQ1075" s="451" t="n"/>
      <c r="CS1075" s="429" t="n">
        <v>162</v>
      </c>
      <c r="CT1075" s="431" t="n">
        <v>162</v>
      </c>
      <c r="CU1075" s="688" t="n"/>
      <c r="CV1075" s="431" t="inlineStr">
        <is>
          <t>Boolean</t>
        </is>
      </c>
      <c r="CW1075" s="451" t="n"/>
      <c r="CX1075" s="451">
        <f>'CIRCUIT SIM'!MQ165</f>
        <v/>
      </c>
      <c r="CY1075" s="451" t="n"/>
      <c r="DA1075" s="429" t="n">
        <v>162</v>
      </c>
      <c r="DB1075" s="431" t="n">
        <v>162</v>
      </c>
      <c r="DC1075" s="688" t="n"/>
      <c r="DD1075" s="431" t="n"/>
      <c r="DE1075" s="451" t="n"/>
      <c r="DF1075" s="451" t="n"/>
      <c r="DG1075" s="451" t="n"/>
      <c r="DI1075" s="429" t="n">
        <v>162</v>
      </c>
      <c r="DJ1075" s="431" t="n">
        <v>162</v>
      </c>
      <c r="DK1075" s="688" t="n"/>
      <c r="DL1075" s="431" t="n"/>
      <c r="DM1075" s="429" t="n"/>
      <c r="DN1075" s="451" t="n"/>
      <c r="DO1075" s="451" t="n"/>
      <c r="DQ1075" s="429" t="n">
        <v>162</v>
      </c>
      <c r="DR1075" s="431" t="n">
        <v>162</v>
      </c>
      <c r="DS1075" s="688" t="n"/>
      <c r="DT1075" s="431" t="n"/>
      <c r="DU1075" s="451" t="n"/>
      <c r="DV1075" s="451" t="n"/>
      <c r="DW1075" s="451" t="n"/>
      <c r="DY1075" s="429" t="n">
        <v>162</v>
      </c>
      <c r="DZ1075" s="431" t="n">
        <v>162</v>
      </c>
      <c r="EA1075" s="688" t="n"/>
      <c r="EB1075" s="431" t="n"/>
      <c r="EC1075" s="451" t="n"/>
      <c r="ED1075" s="451" t="n"/>
      <c r="EE1075" s="451" t="n"/>
      <c r="EG1075" s="429" t="n">
        <v>162</v>
      </c>
      <c r="EH1075" s="431" t="n">
        <v>162</v>
      </c>
      <c r="EI1075" s="688" t="n"/>
      <c r="EJ1075" s="431" t="n"/>
      <c r="EK1075" s="451" t="n"/>
      <c r="EL1075" s="451" t="n"/>
      <c r="EM1075" s="451" t="n"/>
      <c r="EO1075" s="429" t="n">
        <v>162</v>
      </c>
      <c r="EP1075" s="431" t="n">
        <v>162</v>
      </c>
      <c r="EQ1075" s="688" t="n"/>
      <c r="ER1075" s="431" t="n"/>
      <c r="ES1075" s="451" t="n"/>
      <c r="ET1075" s="451" t="n"/>
      <c r="EU1075" s="451" t="n"/>
      <c r="EW1075" s="429" t="n">
        <v>162</v>
      </c>
      <c r="EX1075" s="431" t="n">
        <v>162</v>
      </c>
      <c r="EY1075" s="688" t="n"/>
      <c r="EZ1075" s="431" t="n"/>
      <c r="FA1075" s="451" t="n"/>
      <c r="FB1075" s="451" t="n"/>
      <c r="FC1075" s="451" t="n"/>
      <c r="FE1075" s="429" t="n">
        <v>162</v>
      </c>
      <c r="FF1075" s="431" t="n">
        <v>162</v>
      </c>
      <c r="FG1075" s="688" t="n"/>
      <c r="FH1075" s="431" t="n"/>
      <c r="FI1075" s="451" t="n"/>
      <c r="FJ1075" s="451" t="n"/>
      <c r="FK1075" s="451" t="n"/>
      <c r="FM1075" s="429" t="n">
        <v>162</v>
      </c>
      <c r="FN1075" s="431" t="n">
        <v>162</v>
      </c>
      <c r="FO1075" s="688" t="n"/>
      <c r="FP1075" s="431" t="n"/>
      <c r="FQ1075" s="451" t="n"/>
      <c r="FR1075" s="451">
        <f>'CIRCUIT SIM'!KY165</f>
        <v/>
      </c>
      <c r="FS1075" s="451" t="n"/>
      <c r="FU1075" s="429" t="n">
        <v>162</v>
      </c>
      <c r="FV1075" s="431" t="n">
        <v>162</v>
      </c>
      <c r="FW1075" s="688" t="n"/>
      <c r="FX1075" s="431" t="n"/>
      <c r="FY1075" s="451" t="n"/>
      <c r="FZ1075" s="562">
        <f>'CIRCUIT SIM'!JG165</f>
        <v/>
      </c>
      <c r="GA1075" s="451" t="n"/>
      <c r="GC1075" s="429" t="n">
        <v>162</v>
      </c>
      <c r="GD1075" s="431" t="n">
        <v>162</v>
      </c>
      <c r="GE1075" s="688" t="n"/>
      <c r="GF1075" s="431" t="n"/>
      <c r="GG1075" s="451" t="n"/>
      <c r="GH1075" s="451" t="n"/>
      <c r="GI1075" s="451" t="n"/>
      <c r="GK1075" s="429" t="n">
        <v>162</v>
      </c>
      <c r="GL1075" s="431" t="n">
        <v>162</v>
      </c>
      <c r="GM1075" s="688" t="n"/>
      <c r="GN1075" s="431" t="n"/>
      <c r="GO1075" s="451" t="n"/>
      <c r="GP1075" s="451" t="n"/>
      <c r="GQ1075" s="451" t="n"/>
      <c r="GS1075" s="429" t="n">
        <v>162</v>
      </c>
      <c r="GT1075" s="431" t="n">
        <v>162</v>
      </c>
      <c r="GU1075" s="688" t="n"/>
      <c r="GV1075" s="431" t="n"/>
      <c r="GW1075" s="451" t="n"/>
      <c r="GX1075" s="451" t="n"/>
      <c r="GY1075" s="451" t="n"/>
      <c r="HA1075" s="429" t="n">
        <v>162</v>
      </c>
      <c r="HB1075" s="431" t="n">
        <v>162</v>
      </c>
      <c r="HC1075" s="688" t="n"/>
      <c r="HD1075" s="431" t="n"/>
      <c r="HE1075" s="451" t="n"/>
      <c r="HF1075" s="451" t="n"/>
      <c r="HG1075" s="451" t="n"/>
    </row>
    <row r="1076">
      <c r="A1076" s="429" t="n">
        <v>163</v>
      </c>
      <c r="B1076" s="431" t="n">
        <v>163</v>
      </c>
      <c r="C1076" s="688" t="n"/>
      <c r="D1076" s="431" t="n"/>
      <c r="E1076" s="429" t="n"/>
      <c r="F1076" s="429" t="n"/>
      <c r="G1076" s="429" t="n"/>
      <c r="I1076" s="429" t="n">
        <v>163</v>
      </c>
      <c r="J1076" s="431" t="n">
        <v>163</v>
      </c>
      <c r="K1076" s="565" t="n">
        <v>162</v>
      </c>
      <c r="L1076" s="431" t="inlineStr">
        <is>
          <t>Boolean</t>
        </is>
      </c>
      <c r="M1076" s="451" t="n"/>
      <c r="N1076" s="422">
        <f>'CIRCUIT SIM'!Y166</f>
        <v/>
      </c>
      <c r="O1076" s="451" t="n"/>
      <c r="Q1076" s="429" t="n">
        <v>163</v>
      </c>
      <c r="R1076" s="431" t="n">
        <v>163</v>
      </c>
      <c r="S1076" s="429" t="n"/>
      <c r="T1076" s="431" t="inlineStr">
        <is>
          <t>Boolean</t>
        </is>
      </c>
      <c r="U1076" s="429" t="n"/>
      <c r="V1076" s="386">
        <f>'CIRCUIT SIM'!AO166</f>
        <v/>
      </c>
      <c r="W1076" s="451" t="n"/>
      <c r="Y1076" s="429" t="n">
        <v>163</v>
      </c>
      <c r="Z1076" s="431" t="n">
        <v>163</v>
      </c>
      <c r="AA1076" s="429" t="n"/>
      <c r="AB1076" s="431" t="n"/>
      <c r="AC1076" s="451" t="n"/>
      <c r="AD1076" s="451" t="n"/>
      <c r="AE1076" s="451" t="n"/>
      <c r="AG1076" s="429" t="n">
        <v>163</v>
      </c>
      <c r="AH1076" s="431" t="n">
        <v>163</v>
      </c>
      <c r="AI1076" s="429" t="n"/>
      <c r="AJ1076" s="431" t="n"/>
      <c r="AK1076" s="451" t="n"/>
      <c r="AL1076" s="451" t="n"/>
      <c r="AM1076" s="451" t="n"/>
      <c r="AO1076" s="429" t="n">
        <v>163</v>
      </c>
      <c r="AP1076" s="431" t="n">
        <v>163</v>
      </c>
      <c r="AQ1076" s="429" t="n"/>
      <c r="AR1076" s="431" t="n"/>
      <c r="AS1076" s="451" t="n"/>
      <c r="AT1076" s="451" t="n"/>
      <c r="AU1076" s="451" t="n"/>
      <c r="AW1076" s="429" t="n">
        <v>163</v>
      </c>
      <c r="AX1076" s="431" t="n">
        <v>163</v>
      </c>
      <c r="AY1076" s="429" t="n"/>
      <c r="AZ1076" s="431" t="n"/>
      <c r="BA1076" s="451" t="n"/>
      <c r="BB1076" s="451" t="n"/>
      <c r="BC1076" s="451" t="n"/>
      <c r="BE1076" s="429" t="n">
        <v>163</v>
      </c>
      <c r="BF1076" s="431" t="n"/>
      <c r="BG1076" s="429" t="n"/>
      <c r="BH1076" s="431" t="n"/>
      <c r="BI1076" s="451" t="n"/>
      <c r="BJ1076" s="451" t="n"/>
      <c r="BK1076" s="451" t="n"/>
      <c r="BM1076" s="429" t="n">
        <v>163</v>
      </c>
      <c r="BN1076" s="431" t="n">
        <v>163</v>
      </c>
      <c r="BO1076" s="429" t="n"/>
      <c r="BP1076" s="431" t="n"/>
      <c r="BQ1076" s="451" t="n"/>
      <c r="BR1076" s="451" t="n"/>
      <c r="BS1076" s="451" t="n"/>
      <c r="BU1076" s="429" t="n">
        <v>163</v>
      </c>
      <c r="BV1076" s="431" t="n">
        <v>163</v>
      </c>
      <c r="BW1076" s="429" t="n"/>
      <c r="BX1076" s="431" t="n"/>
      <c r="BY1076" s="451" t="n"/>
      <c r="BZ1076" s="451">
        <f>'CIRCUIT SIM'!EI166</f>
        <v/>
      </c>
      <c r="CA1076" s="451" t="n"/>
      <c r="CC1076" s="429" t="n">
        <v>163</v>
      </c>
      <c r="CD1076" s="431" t="n">
        <v>163</v>
      </c>
      <c r="CE1076" s="688" t="n"/>
      <c r="CF1076" s="431" t="n"/>
      <c r="CG1076" s="451" t="n"/>
      <c r="CH1076" s="562">
        <f>'CIRCUIT SIM'!LK166</f>
        <v/>
      </c>
      <c r="CI1076" s="451" t="n"/>
      <c r="CK1076" s="429" t="n">
        <v>163</v>
      </c>
      <c r="CL1076" s="431" t="n">
        <v>163</v>
      </c>
      <c r="CM1076" s="688" t="n"/>
      <c r="CN1076" s="431" t="n"/>
      <c r="CO1076" s="451" t="n"/>
      <c r="CP1076" s="451" t="n"/>
      <c r="CQ1076" s="451" t="n"/>
      <c r="CS1076" s="429" t="n">
        <v>163</v>
      </c>
      <c r="CT1076" s="431" t="n">
        <v>163</v>
      </c>
      <c r="CU1076" s="688" t="n"/>
      <c r="CV1076" s="431" t="inlineStr">
        <is>
          <t>Boolean</t>
        </is>
      </c>
      <c r="CW1076" s="451" t="n"/>
      <c r="CX1076" s="451">
        <f>'CIRCUIT SIM'!MQ166</f>
        <v/>
      </c>
      <c r="CY1076" s="451" t="n"/>
      <c r="DA1076" s="429" t="n">
        <v>163</v>
      </c>
      <c r="DB1076" s="431" t="n">
        <v>163</v>
      </c>
      <c r="DC1076" s="688" t="n"/>
      <c r="DD1076" s="431" t="n"/>
      <c r="DE1076" s="451" t="n"/>
      <c r="DF1076" s="451" t="n"/>
      <c r="DG1076" s="451" t="n"/>
      <c r="DI1076" s="429" t="n">
        <v>163</v>
      </c>
      <c r="DJ1076" s="431" t="n">
        <v>163</v>
      </c>
      <c r="DK1076" s="688" t="n"/>
      <c r="DL1076" s="431" t="n"/>
      <c r="DM1076" s="429" t="n"/>
      <c r="DN1076" s="451" t="n"/>
      <c r="DO1076" s="451" t="n"/>
      <c r="DQ1076" s="429" t="n">
        <v>163</v>
      </c>
      <c r="DR1076" s="431" t="n">
        <v>163</v>
      </c>
      <c r="DS1076" s="688" t="n"/>
      <c r="DT1076" s="431" t="n"/>
      <c r="DU1076" s="451" t="n"/>
      <c r="DV1076" s="451" t="n"/>
      <c r="DW1076" s="451" t="n"/>
      <c r="DY1076" s="429" t="n">
        <v>163</v>
      </c>
      <c r="DZ1076" s="431" t="n">
        <v>163</v>
      </c>
      <c r="EA1076" s="688" t="n"/>
      <c r="EB1076" s="431" t="n"/>
      <c r="EC1076" s="451" t="n"/>
      <c r="ED1076" s="451" t="n"/>
      <c r="EE1076" s="451" t="n"/>
      <c r="EG1076" s="429" t="n">
        <v>163</v>
      </c>
      <c r="EH1076" s="431" t="n">
        <v>163</v>
      </c>
      <c r="EI1076" s="688" t="n"/>
      <c r="EJ1076" s="431" t="n"/>
      <c r="EK1076" s="451" t="n"/>
      <c r="EL1076" s="451" t="n"/>
      <c r="EM1076" s="451" t="n"/>
      <c r="EO1076" s="429" t="n">
        <v>163</v>
      </c>
      <c r="EP1076" s="431" t="n">
        <v>163</v>
      </c>
      <c r="EQ1076" s="688" t="n"/>
      <c r="ER1076" s="431" t="n"/>
      <c r="ES1076" s="451" t="n"/>
      <c r="ET1076" s="451" t="n"/>
      <c r="EU1076" s="451" t="n"/>
      <c r="EW1076" s="429" t="n">
        <v>163</v>
      </c>
      <c r="EX1076" s="431" t="n">
        <v>163</v>
      </c>
      <c r="EY1076" s="688" t="n"/>
      <c r="EZ1076" s="431" t="n"/>
      <c r="FA1076" s="451" t="n"/>
      <c r="FB1076" s="451" t="n"/>
      <c r="FC1076" s="451" t="n"/>
      <c r="FE1076" s="429" t="n">
        <v>163</v>
      </c>
      <c r="FF1076" s="431" t="n">
        <v>163</v>
      </c>
      <c r="FG1076" s="688" t="n"/>
      <c r="FH1076" s="431" t="n"/>
      <c r="FI1076" s="451" t="n"/>
      <c r="FJ1076" s="451" t="n"/>
      <c r="FK1076" s="451" t="n"/>
      <c r="FM1076" s="429" t="n">
        <v>163</v>
      </c>
      <c r="FN1076" s="431" t="n">
        <v>163</v>
      </c>
      <c r="FO1076" s="688" t="n"/>
      <c r="FP1076" s="431" t="n"/>
      <c r="FQ1076" s="451" t="n"/>
      <c r="FR1076" s="451">
        <f>'CIRCUIT SIM'!KY166</f>
        <v/>
      </c>
      <c r="FS1076" s="451" t="n"/>
      <c r="FU1076" s="429" t="n">
        <v>163</v>
      </c>
      <c r="FV1076" s="431" t="n">
        <v>163</v>
      </c>
      <c r="FW1076" s="688" t="n"/>
      <c r="FX1076" s="431" t="n"/>
      <c r="FY1076" s="451" t="n"/>
      <c r="FZ1076" s="562">
        <f>'CIRCUIT SIM'!JG166</f>
        <v/>
      </c>
      <c r="GA1076" s="451" t="n"/>
      <c r="GC1076" s="429" t="n">
        <v>163</v>
      </c>
      <c r="GD1076" s="431" t="n">
        <v>163</v>
      </c>
      <c r="GE1076" s="688" t="n"/>
      <c r="GF1076" s="431" t="n"/>
      <c r="GG1076" s="451" t="n"/>
      <c r="GH1076" s="451" t="n"/>
      <c r="GI1076" s="451" t="n"/>
      <c r="GK1076" s="429" t="n">
        <v>163</v>
      </c>
      <c r="GL1076" s="431" t="n">
        <v>163</v>
      </c>
      <c r="GM1076" s="688" t="n"/>
      <c r="GN1076" s="431" t="n"/>
      <c r="GO1076" s="451" t="n"/>
      <c r="GP1076" s="451" t="n"/>
      <c r="GQ1076" s="451" t="n"/>
      <c r="GS1076" s="429" t="n">
        <v>163</v>
      </c>
      <c r="GT1076" s="431" t="n">
        <v>163</v>
      </c>
      <c r="GU1076" s="688" t="n"/>
      <c r="GV1076" s="431" t="n"/>
      <c r="GW1076" s="451" t="n"/>
      <c r="GX1076" s="451" t="n"/>
      <c r="GY1076" s="451" t="n"/>
      <c r="HA1076" s="429" t="n">
        <v>163</v>
      </c>
      <c r="HB1076" s="431" t="n">
        <v>163</v>
      </c>
      <c r="HC1076" s="688" t="n"/>
      <c r="HD1076" s="431" t="n"/>
      <c r="HE1076" s="451" t="n"/>
      <c r="HF1076" s="451" t="n"/>
      <c r="HG1076" s="451" t="n"/>
    </row>
    <row r="1077">
      <c r="A1077" s="429" t="n">
        <v>164</v>
      </c>
      <c r="B1077" s="431" t="n">
        <v>164</v>
      </c>
      <c r="C1077" s="688" t="n"/>
      <c r="D1077" s="431" t="n"/>
      <c r="E1077" s="429" t="n"/>
      <c r="F1077" s="429" t="n"/>
      <c r="G1077" s="429" t="n"/>
      <c r="I1077" s="429" t="n">
        <v>164</v>
      </c>
      <c r="J1077" s="431" t="n">
        <v>164</v>
      </c>
      <c r="K1077" s="565" t="n">
        <v>163</v>
      </c>
      <c r="L1077" s="431" t="inlineStr">
        <is>
          <t>Boolean</t>
        </is>
      </c>
      <c r="M1077" s="451" t="n"/>
      <c r="N1077" s="422">
        <f>'CIRCUIT SIM'!Y167</f>
        <v/>
      </c>
      <c r="O1077" s="451" t="n"/>
      <c r="Q1077" s="429" t="n">
        <v>164</v>
      </c>
      <c r="R1077" s="431" t="n">
        <v>164</v>
      </c>
      <c r="S1077" s="429" t="n"/>
      <c r="T1077" s="431" t="inlineStr">
        <is>
          <t>Boolean</t>
        </is>
      </c>
      <c r="U1077" s="429" t="n"/>
      <c r="V1077" s="386">
        <f>'CIRCUIT SIM'!AO167</f>
        <v/>
      </c>
      <c r="W1077" s="451" t="n"/>
      <c r="Y1077" s="429" t="n">
        <v>164</v>
      </c>
      <c r="Z1077" s="431" t="n">
        <v>164</v>
      </c>
      <c r="AA1077" s="429" t="n"/>
      <c r="AB1077" s="431" t="n"/>
      <c r="AC1077" s="451" t="n"/>
      <c r="AD1077" s="451" t="n"/>
      <c r="AE1077" s="451" t="n"/>
      <c r="AG1077" s="429" t="n">
        <v>164</v>
      </c>
      <c r="AH1077" s="431" t="n">
        <v>164</v>
      </c>
      <c r="AI1077" s="429" t="n"/>
      <c r="AJ1077" s="431" t="n"/>
      <c r="AK1077" s="451" t="n"/>
      <c r="AL1077" s="451" t="n"/>
      <c r="AM1077" s="451" t="n"/>
      <c r="AO1077" s="429" t="n">
        <v>164</v>
      </c>
      <c r="AP1077" s="431" t="n">
        <v>164</v>
      </c>
      <c r="AQ1077" s="429" t="n"/>
      <c r="AR1077" s="431" t="n"/>
      <c r="AS1077" s="451" t="n"/>
      <c r="AT1077" s="451" t="n"/>
      <c r="AU1077" s="451" t="n"/>
      <c r="AW1077" s="429" t="n">
        <v>164</v>
      </c>
      <c r="AX1077" s="431" t="n">
        <v>164</v>
      </c>
      <c r="AY1077" s="429" t="n"/>
      <c r="AZ1077" s="431" t="n"/>
      <c r="BA1077" s="451" t="n"/>
      <c r="BB1077" s="451" t="n"/>
      <c r="BC1077" s="451" t="n"/>
      <c r="BE1077" s="429" t="n">
        <v>164</v>
      </c>
      <c r="BF1077" s="431" t="n"/>
      <c r="BG1077" s="429" t="n"/>
      <c r="BH1077" s="431" t="n"/>
      <c r="BI1077" s="451" t="n"/>
      <c r="BJ1077" s="451" t="n"/>
      <c r="BK1077" s="451" t="n"/>
      <c r="BM1077" s="429" t="n">
        <v>164</v>
      </c>
      <c r="BN1077" s="431" t="n">
        <v>164</v>
      </c>
      <c r="BO1077" s="429" t="n"/>
      <c r="BP1077" s="431" t="n"/>
      <c r="BQ1077" s="451" t="n"/>
      <c r="BR1077" s="451" t="n"/>
      <c r="BS1077" s="451" t="n"/>
      <c r="BU1077" s="429" t="n">
        <v>164</v>
      </c>
      <c r="BV1077" s="431" t="n">
        <v>164</v>
      </c>
      <c r="BW1077" s="429" t="n"/>
      <c r="BX1077" s="431" t="n"/>
      <c r="BY1077" s="451" t="n"/>
      <c r="BZ1077" s="451">
        <f>'CIRCUIT SIM'!EI167</f>
        <v/>
      </c>
      <c r="CA1077" s="451" t="n"/>
      <c r="CC1077" s="429" t="n">
        <v>164</v>
      </c>
      <c r="CD1077" s="431" t="n">
        <v>164</v>
      </c>
      <c r="CE1077" s="688" t="n"/>
      <c r="CF1077" s="431" t="n"/>
      <c r="CG1077" s="451" t="n"/>
      <c r="CH1077" s="562">
        <f>'CIRCUIT SIM'!LK167</f>
        <v/>
      </c>
      <c r="CI1077" s="451" t="n"/>
      <c r="CK1077" s="429" t="n">
        <v>164</v>
      </c>
      <c r="CL1077" s="431" t="n">
        <v>164</v>
      </c>
      <c r="CM1077" s="688" t="n"/>
      <c r="CN1077" s="431" t="n"/>
      <c r="CO1077" s="451" t="n"/>
      <c r="CP1077" s="451" t="n"/>
      <c r="CQ1077" s="451" t="n"/>
      <c r="CS1077" s="429" t="n">
        <v>164</v>
      </c>
      <c r="CT1077" s="431" t="n">
        <v>164</v>
      </c>
      <c r="CU1077" s="688" t="n"/>
      <c r="CV1077" s="431" t="inlineStr">
        <is>
          <t>Boolean</t>
        </is>
      </c>
      <c r="CW1077" s="451" t="n"/>
      <c r="CX1077" s="451">
        <f>'CIRCUIT SIM'!MQ167</f>
        <v/>
      </c>
      <c r="CY1077" s="451" t="n"/>
      <c r="DA1077" s="429" t="n">
        <v>164</v>
      </c>
      <c r="DB1077" s="431" t="n">
        <v>164</v>
      </c>
      <c r="DC1077" s="688" t="n"/>
      <c r="DD1077" s="431" t="n"/>
      <c r="DE1077" s="451" t="n"/>
      <c r="DF1077" s="451" t="n"/>
      <c r="DG1077" s="451" t="n"/>
      <c r="DI1077" s="429" t="n">
        <v>164</v>
      </c>
      <c r="DJ1077" s="431" t="n">
        <v>164</v>
      </c>
      <c r="DK1077" s="688" t="n"/>
      <c r="DL1077" s="431" t="n"/>
      <c r="DM1077" s="429" t="n"/>
      <c r="DN1077" s="451" t="n"/>
      <c r="DO1077" s="451" t="n"/>
      <c r="DQ1077" s="429" t="n">
        <v>164</v>
      </c>
      <c r="DR1077" s="431" t="n">
        <v>164</v>
      </c>
      <c r="DS1077" s="688" t="n"/>
      <c r="DT1077" s="431" t="n"/>
      <c r="DU1077" s="451" t="n"/>
      <c r="DV1077" s="451" t="n"/>
      <c r="DW1077" s="451" t="n"/>
      <c r="DY1077" s="429" t="n">
        <v>164</v>
      </c>
      <c r="DZ1077" s="431" t="n">
        <v>164</v>
      </c>
      <c r="EA1077" s="688" t="n"/>
      <c r="EB1077" s="431" t="n"/>
      <c r="EC1077" s="451" t="n"/>
      <c r="ED1077" s="451" t="n"/>
      <c r="EE1077" s="451" t="n"/>
      <c r="EG1077" s="429" t="n">
        <v>164</v>
      </c>
      <c r="EH1077" s="431" t="n">
        <v>164</v>
      </c>
      <c r="EI1077" s="688" t="n"/>
      <c r="EJ1077" s="431" t="n"/>
      <c r="EK1077" s="451" t="n"/>
      <c r="EL1077" s="451" t="n"/>
      <c r="EM1077" s="451" t="n"/>
      <c r="EO1077" s="429" t="n">
        <v>164</v>
      </c>
      <c r="EP1077" s="431" t="n">
        <v>164</v>
      </c>
      <c r="EQ1077" s="688" t="n"/>
      <c r="ER1077" s="431" t="n"/>
      <c r="ES1077" s="451" t="n"/>
      <c r="ET1077" s="451" t="n"/>
      <c r="EU1077" s="451" t="n"/>
      <c r="EW1077" s="429" t="n">
        <v>164</v>
      </c>
      <c r="EX1077" s="431" t="n">
        <v>164</v>
      </c>
      <c r="EY1077" s="688" t="n"/>
      <c r="EZ1077" s="431" t="n"/>
      <c r="FA1077" s="451" t="n"/>
      <c r="FB1077" s="451" t="n"/>
      <c r="FC1077" s="451" t="n"/>
      <c r="FE1077" s="429" t="n">
        <v>164</v>
      </c>
      <c r="FF1077" s="431" t="n">
        <v>164</v>
      </c>
      <c r="FG1077" s="688" t="n"/>
      <c r="FH1077" s="431" t="n"/>
      <c r="FI1077" s="451" t="n"/>
      <c r="FJ1077" s="451" t="n"/>
      <c r="FK1077" s="451" t="n"/>
      <c r="FM1077" s="429" t="n">
        <v>164</v>
      </c>
      <c r="FN1077" s="431" t="n">
        <v>164</v>
      </c>
      <c r="FO1077" s="688" t="n"/>
      <c r="FP1077" s="431" t="n"/>
      <c r="FQ1077" s="451" t="n"/>
      <c r="FR1077" s="451">
        <f>'CIRCUIT SIM'!KY167</f>
        <v/>
      </c>
      <c r="FS1077" s="451" t="n"/>
      <c r="FU1077" s="429" t="n">
        <v>164</v>
      </c>
      <c r="FV1077" s="431" t="n">
        <v>164</v>
      </c>
      <c r="FW1077" s="688" t="n"/>
      <c r="FX1077" s="431" t="n"/>
      <c r="FY1077" s="451" t="n"/>
      <c r="FZ1077" s="562">
        <f>'CIRCUIT SIM'!JG167</f>
        <v/>
      </c>
      <c r="GA1077" s="451" t="n"/>
      <c r="GC1077" s="429" t="n">
        <v>164</v>
      </c>
      <c r="GD1077" s="431" t="n">
        <v>164</v>
      </c>
      <c r="GE1077" s="688" t="n"/>
      <c r="GF1077" s="431" t="n"/>
      <c r="GG1077" s="451" t="n"/>
      <c r="GH1077" s="451" t="n"/>
      <c r="GI1077" s="451" t="n"/>
      <c r="GK1077" s="429" t="n">
        <v>164</v>
      </c>
      <c r="GL1077" s="431" t="n">
        <v>164</v>
      </c>
      <c r="GM1077" s="688" t="n"/>
      <c r="GN1077" s="431" t="n"/>
      <c r="GO1077" s="451" t="n"/>
      <c r="GP1077" s="451" t="n"/>
      <c r="GQ1077" s="451" t="n"/>
      <c r="GS1077" s="429" t="n">
        <v>164</v>
      </c>
      <c r="GT1077" s="431" t="n">
        <v>164</v>
      </c>
      <c r="GU1077" s="688" t="n"/>
      <c r="GV1077" s="431" t="n"/>
      <c r="GW1077" s="451" t="n"/>
      <c r="GX1077" s="451" t="n"/>
      <c r="GY1077" s="451" t="n"/>
      <c r="HA1077" s="429" t="n">
        <v>164</v>
      </c>
      <c r="HB1077" s="431" t="n">
        <v>164</v>
      </c>
      <c r="HC1077" s="688" t="n"/>
      <c r="HD1077" s="431" t="n"/>
      <c r="HE1077" s="451" t="n"/>
      <c r="HF1077" s="451" t="n"/>
      <c r="HG1077" s="451" t="n"/>
    </row>
    <row r="1078">
      <c r="A1078" s="429" t="n">
        <v>165</v>
      </c>
      <c r="B1078" s="431" t="n">
        <v>165</v>
      </c>
      <c r="C1078" s="688" t="n"/>
      <c r="D1078" s="431" t="n"/>
      <c r="E1078" s="429" t="n"/>
      <c r="F1078" s="429" t="n"/>
      <c r="G1078" s="429" t="n"/>
      <c r="I1078" s="429" t="n">
        <v>165</v>
      </c>
      <c r="J1078" s="431" t="n">
        <v>165</v>
      </c>
      <c r="K1078" s="565" t="n">
        <v>164</v>
      </c>
      <c r="L1078" s="431" t="inlineStr">
        <is>
          <t>Boolean</t>
        </is>
      </c>
      <c r="M1078" s="451" t="n"/>
      <c r="N1078" s="422">
        <f>'CIRCUIT SIM'!Y168</f>
        <v/>
      </c>
      <c r="O1078" s="451" t="n"/>
      <c r="Q1078" s="429" t="n">
        <v>165</v>
      </c>
      <c r="R1078" s="431" t="n">
        <v>165</v>
      </c>
      <c r="S1078" s="429" t="n"/>
      <c r="T1078" s="431" t="inlineStr">
        <is>
          <t>Boolean</t>
        </is>
      </c>
      <c r="U1078" s="429" t="inlineStr">
        <is>
          <t> </t>
        </is>
      </c>
      <c r="V1078" s="386">
        <f>'CIRCUIT SIM'!AO168</f>
        <v/>
      </c>
      <c r="W1078" s="451" t="n"/>
      <c r="Y1078" s="429" t="n">
        <v>165</v>
      </c>
      <c r="Z1078" s="431" t="n">
        <v>165</v>
      </c>
      <c r="AA1078" s="429" t="n"/>
      <c r="AB1078" s="431" t="n"/>
      <c r="AC1078" s="451" t="n"/>
      <c r="AD1078" s="451" t="n"/>
      <c r="AE1078" s="451" t="n"/>
      <c r="AG1078" s="429" t="n">
        <v>165</v>
      </c>
      <c r="AH1078" s="431" t="n">
        <v>165</v>
      </c>
      <c r="AI1078" s="429" t="n"/>
      <c r="AJ1078" s="431" t="n"/>
      <c r="AK1078" s="451" t="n"/>
      <c r="AL1078" s="451" t="n"/>
      <c r="AM1078" s="451" t="n"/>
      <c r="AO1078" s="429" t="n">
        <v>165</v>
      </c>
      <c r="AP1078" s="431" t="n">
        <v>165</v>
      </c>
      <c r="AQ1078" s="429" t="n"/>
      <c r="AR1078" s="431" t="n"/>
      <c r="AS1078" s="451" t="n"/>
      <c r="AT1078" s="451" t="n"/>
      <c r="AU1078" s="451" t="n"/>
      <c r="AW1078" s="429" t="n">
        <v>165</v>
      </c>
      <c r="AX1078" s="431" t="n">
        <v>165</v>
      </c>
      <c r="AY1078" s="429" t="n"/>
      <c r="AZ1078" s="431" t="n"/>
      <c r="BA1078" s="451" t="n"/>
      <c r="BB1078" s="451" t="n"/>
      <c r="BC1078" s="451" t="n"/>
      <c r="BE1078" s="429" t="n">
        <v>165</v>
      </c>
      <c r="BF1078" s="431" t="n"/>
      <c r="BG1078" s="429" t="n"/>
      <c r="BH1078" s="431" t="n"/>
      <c r="BI1078" s="451" t="n"/>
      <c r="BJ1078" s="451" t="n"/>
      <c r="BK1078" s="451" t="n"/>
      <c r="BM1078" s="429" t="n">
        <v>165</v>
      </c>
      <c r="BN1078" s="431" t="n">
        <v>165</v>
      </c>
      <c r="BO1078" s="429" t="n"/>
      <c r="BP1078" s="431" t="n"/>
      <c r="BQ1078" s="451" t="n"/>
      <c r="BR1078" s="451" t="n"/>
      <c r="BS1078" s="451" t="n"/>
      <c r="BU1078" s="429" t="n">
        <v>165</v>
      </c>
      <c r="BV1078" s="431" t="n">
        <v>165</v>
      </c>
      <c r="BW1078" s="429" t="n"/>
      <c r="BX1078" s="431" t="n"/>
      <c r="BY1078" s="451" t="n"/>
      <c r="BZ1078" s="451">
        <f>'CIRCUIT SIM'!EI168</f>
        <v/>
      </c>
      <c r="CA1078" s="451" t="n"/>
      <c r="CC1078" s="429" t="n">
        <v>165</v>
      </c>
      <c r="CD1078" s="431" t="n">
        <v>165</v>
      </c>
      <c r="CE1078" s="688" t="n"/>
      <c r="CF1078" s="431" t="n"/>
      <c r="CG1078" s="451" t="n"/>
      <c r="CH1078" s="562">
        <f>'CIRCUIT SIM'!LK168</f>
        <v/>
      </c>
      <c r="CI1078" s="451" t="n"/>
      <c r="CK1078" s="429" t="n">
        <v>165</v>
      </c>
      <c r="CL1078" s="431" t="n">
        <v>165</v>
      </c>
      <c r="CM1078" s="688" t="n"/>
      <c r="CN1078" s="431" t="n"/>
      <c r="CO1078" s="451" t="n"/>
      <c r="CP1078" s="451" t="n"/>
      <c r="CQ1078" s="451" t="n"/>
      <c r="CS1078" s="429" t="n">
        <v>165</v>
      </c>
      <c r="CT1078" s="431" t="n">
        <v>165</v>
      </c>
      <c r="CU1078" s="688" t="n"/>
      <c r="CV1078" s="431" t="inlineStr">
        <is>
          <t>Boolean</t>
        </is>
      </c>
      <c r="CW1078" s="451" t="n"/>
      <c r="CX1078" s="451">
        <f>'CIRCUIT SIM'!MQ168</f>
        <v/>
      </c>
      <c r="CY1078" s="451" t="n"/>
      <c r="DA1078" s="429" t="n">
        <v>165</v>
      </c>
      <c r="DB1078" s="431" t="n">
        <v>165</v>
      </c>
      <c r="DC1078" s="688" t="n"/>
      <c r="DD1078" s="431" t="n"/>
      <c r="DE1078" s="451" t="n"/>
      <c r="DF1078" s="451" t="n"/>
      <c r="DG1078" s="451" t="n"/>
      <c r="DI1078" s="429" t="n">
        <v>165</v>
      </c>
      <c r="DJ1078" s="431" t="n">
        <v>165</v>
      </c>
      <c r="DK1078" s="688" t="n"/>
      <c r="DL1078" s="431" t="n"/>
      <c r="DM1078" s="429" t="n"/>
      <c r="DN1078" s="451" t="n"/>
      <c r="DO1078" s="451" t="n"/>
      <c r="DQ1078" s="429" t="n">
        <v>165</v>
      </c>
      <c r="DR1078" s="431" t="n">
        <v>165</v>
      </c>
      <c r="DS1078" s="688" t="n"/>
      <c r="DT1078" s="431" t="n"/>
      <c r="DU1078" s="451" t="n"/>
      <c r="DV1078" s="451" t="n"/>
      <c r="DW1078" s="451" t="n"/>
      <c r="DY1078" s="429" t="n">
        <v>165</v>
      </c>
      <c r="DZ1078" s="431" t="n">
        <v>165</v>
      </c>
      <c r="EA1078" s="688" t="n"/>
      <c r="EB1078" s="431" t="n"/>
      <c r="EC1078" s="451" t="n"/>
      <c r="ED1078" s="451" t="n"/>
      <c r="EE1078" s="451" t="n"/>
      <c r="EG1078" s="429" t="n">
        <v>165</v>
      </c>
      <c r="EH1078" s="431" t="n">
        <v>165</v>
      </c>
      <c r="EI1078" s="688" t="n"/>
      <c r="EJ1078" s="431" t="n"/>
      <c r="EK1078" s="451" t="n"/>
      <c r="EL1078" s="451" t="n"/>
      <c r="EM1078" s="451" t="n"/>
      <c r="EO1078" s="429" t="n">
        <v>165</v>
      </c>
      <c r="EP1078" s="431" t="n">
        <v>165</v>
      </c>
      <c r="EQ1078" s="688" t="n"/>
      <c r="ER1078" s="431" t="n"/>
      <c r="ES1078" s="451" t="n"/>
      <c r="ET1078" s="451" t="n"/>
      <c r="EU1078" s="451" t="n"/>
      <c r="EW1078" s="429" t="n">
        <v>165</v>
      </c>
      <c r="EX1078" s="431" t="n">
        <v>165</v>
      </c>
      <c r="EY1078" s="688" t="n"/>
      <c r="EZ1078" s="431" t="n"/>
      <c r="FA1078" s="451" t="n"/>
      <c r="FB1078" s="451" t="n"/>
      <c r="FC1078" s="451" t="n"/>
      <c r="FE1078" s="429" t="n">
        <v>165</v>
      </c>
      <c r="FF1078" s="431" t="n">
        <v>165</v>
      </c>
      <c r="FG1078" s="688" t="n"/>
      <c r="FH1078" s="431" t="n"/>
      <c r="FI1078" s="451" t="n"/>
      <c r="FJ1078" s="451" t="n"/>
      <c r="FK1078" s="451" t="n"/>
      <c r="FM1078" s="429" t="n">
        <v>165</v>
      </c>
      <c r="FN1078" s="431" t="n">
        <v>165</v>
      </c>
      <c r="FO1078" s="688" t="n"/>
      <c r="FP1078" s="431" t="n"/>
      <c r="FQ1078" s="451" t="n"/>
      <c r="FR1078" s="451">
        <f>'CIRCUIT SIM'!KY168</f>
        <v/>
      </c>
      <c r="FS1078" s="451" t="n"/>
      <c r="FU1078" s="429" t="n">
        <v>165</v>
      </c>
      <c r="FV1078" s="431" t="n">
        <v>165</v>
      </c>
      <c r="FW1078" s="688" t="n"/>
      <c r="FX1078" s="431" t="n"/>
      <c r="FY1078" s="451" t="n"/>
      <c r="FZ1078" s="562">
        <f>'CIRCUIT SIM'!JG168</f>
        <v/>
      </c>
      <c r="GA1078" s="451" t="n"/>
      <c r="GC1078" s="429" t="n">
        <v>165</v>
      </c>
      <c r="GD1078" s="431" t="n">
        <v>165</v>
      </c>
      <c r="GE1078" s="688" t="n"/>
      <c r="GF1078" s="431" t="n"/>
      <c r="GG1078" s="451" t="n"/>
      <c r="GH1078" s="451" t="n"/>
      <c r="GI1078" s="451" t="n"/>
      <c r="GK1078" s="429" t="n">
        <v>165</v>
      </c>
      <c r="GL1078" s="431" t="n">
        <v>165</v>
      </c>
      <c r="GM1078" s="688" t="n"/>
      <c r="GN1078" s="431" t="n"/>
      <c r="GO1078" s="451" t="n"/>
      <c r="GP1078" s="451" t="n"/>
      <c r="GQ1078" s="451" t="n"/>
      <c r="GS1078" s="429" t="n">
        <v>165</v>
      </c>
      <c r="GT1078" s="431" t="n">
        <v>165</v>
      </c>
      <c r="GU1078" s="688" t="n"/>
      <c r="GV1078" s="431" t="n"/>
      <c r="GW1078" s="451" t="n"/>
      <c r="GX1078" s="451" t="n"/>
      <c r="GY1078" s="451" t="n"/>
      <c r="HA1078" s="429" t="n">
        <v>165</v>
      </c>
      <c r="HB1078" s="431" t="n">
        <v>165</v>
      </c>
      <c r="HC1078" s="688" t="n"/>
      <c r="HD1078" s="431" t="n"/>
      <c r="HE1078" s="451" t="n"/>
      <c r="HF1078" s="451" t="n"/>
      <c r="HG1078" s="451" t="n"/>
    </row>
    <row r="1079">
      <c r="A1079" s="429" t="n">
        <v>166</v>
      </c>
      <c r="B1079" s="431" t="n">
        <v>166</v>
      </c>
      <c r="C1079" s="688" t="n"/>
      <c r="D1079" s="431" t="n"/>
      <c r="E1079" s="429" t="n"/>
      <c r="F1079" s="429" t="n"/>
      <c r="G1079" s="429" t="n"/>
      <c r="I1079" s="429" t="n">
        <v>166</v>
      </c>
      <c r="J1079" s="431" t="n">
        <v>166</v>
      </c>
      <c r="K1079" s="565" t="n">
        <v>164</v>
      </c>
      <c r="L1079" s="431" t="inlineStr">
        <is>
          <t>Boolean</t>
        </is>
      </c>
      <c r="M1079" s="451" t="n"/>
      <c r="N1079" s="422">
        <f>'CIRCUIT SIM'!Y169</f>
        <v/>
      </c>
      <c r="O1079" s="451" t="n"/>
      <c r="Q1079" s="429" t="n">
        <v>166</v>
      </c>
      <c r="R1079" s="431" t="n">
        <v>166</v>
      </c>
      <c r="S1079" s="565" t="n">
        <v>167</v>
      </c>
      <c r="T1079" s="431" t="inlineStr">
        <is>
          <t>Boolean</t>
        </is>
      </c>
      <c r="U1079" s="429" t="n"/>
      <c r="V1079" s="386">
        <f>'CIRCUIT SIM'!AO169</f>
        <v/>
      </c>
      <c r="W1079" s="451" t="n"/>
      <c r="Y1079" s="429" t="n">
        <v>166</v>
      </c>
      <c r="Z1079" s="431" t="n">
        <v>166</v>
      </c>
      <c r="AA1079" s="429" t="n"/>
      <c r="AB1079" s="431" t="n"/>
      <c r="AC1079" s="451" t="n"/>
      <c r="AD1079" s="451" t="n"/>
      <c r="AE1079" s="451" t="n"/>
      <c r="AG1079" s="429" t="n">
        <v>166</v>
      </c>
      <c r="AH1079" s="431" t="n">
        <v>166</v>
      </c>
      <c r="AI1079" s="429" t="n"/>
      <c r="AJ1079" s="431" t="n"/>
      <c r="AK1079" s="451" t="n"/>
      <c r="AL1079" s="451" t="n"/>
      <c r="AM1079" s="451" t="n"/>
      <c r="AO1079" s="429" t="n">
        <v>166</v>
      </c>
      <c r="AP1079" s="431" t="n">
        <v>166</v>
      </c>
      <c r="AQ1079" s="429" t="n"/>
      <c r="AR1079" s="431" t="n"/>
      <c r="AS1079" s="451" t="n"/>
      <c r="AT1079" s="451" t="n"/>
      <c r="AU1079" s="451" t="n"/>
      <c r="AW1079" s="429" t="n">
        <v>166</v>
      </c>
      <c r="AX1079" s="431" t="n">
        <v>166</v>
      </c>
      <c r="AY1079" s="429" t="n"/>
      <c r="AZ1079" s="431" t="n"/>
      <c r="BA1079" s="451" t="n"/>
      <c r="BB1079" s="451" t="n"/>
      <c r="BC1079" s="451" t="n"/>
      <c r="BE1079" s="429" t="n">
        <v>166</v>
      </c>
      <c r="BF1079" s="431" t="n"/>
      <c r="BG1079" s="429" t="n"/>
      <c r="BH1079" s="431" t="n"/>
      <c r="BI1079" s="451" t="n"/>
      <c r="BJ1079" s="451" t="n"/>
      <c r="BK1079" s="451" t="n"/>
      <c r="BM1079" s="429" t="n">
        <v>166</v>
      </c>
      <c r="BN1079" s="431" t="n">
        <v>166</v>
      </c>
      <c r="BO1079" s="429" t="n"/>
      <c r="BP1079" s="431" t="n"/>
      <c r="BQ1079" s="451" t="n"/>
      <c r="BR1079" s="451" t="n"/>
      <c r="BS1079" s="451" t="n"/>
      <c r="BU1079" s="429" t="n">
        <v>166</v>
      </c>
      <c r="BV1079" s="431" t="n">
        <v>166</v>
      </c>
      <c r="BW1079" s="429" t="n"/>
      <c r="BX1079" s="431" t="n"/>
      <c r="BY1079" s="451" t="n"/>
      <c r="BZ1079" s="451">
        <f>'CIRCUIT SIM'!EI169</f>
        <v/>
      </c>
      <c r="CA1079" s="451" t="n"/>
      <c r="CC1079" s="429" t="n">
        <v>166</v>
      </c>
      <c r="CD1079" s="431" t="n">
        <v>166</v>
      </c>
      <c r="CE1079" s="688" t="n"/>
      <c r="CF1079" s="431" t="n"/>
      <c r="CG1079" s="451" t="n"/>
      <c r="CH1079" s="562">
        <f>'CIRCUIT SIM'!LK169</f>
        <v/>
      </c>
      <c r="CI1079" s="451" t="n"/>
      <c r="CK1079" s="429" t="n">
        <v>166</v>
      </c>
      <c r="CL1079" s="431" t="n">
        <v>166</v>
      </c>
      <c r="CM1079" s="688" t="n"/>
      <c r="CN1079" s="431" t="n"/>
      <c r="CO1079" s="451" t="n"/>
      <c r="CP1079" s="451" t="n"/>
      <c r="CQ1079" s="451" t="n"/>
      <c r="CS1079" s="429" t="n">
        <v>166</v>
      </c>
      <c r="CT1079" s="431" t="n">
        <v>166</v>
      </c>
      <c r="CU1079" s="688" t="n"/>
      <c r="CV1079" s="431" t="inlineStr">
        <is>
          <t>Boolean</t>
        </is>
      </c>
      <c r="CW1079" s="451" t="n"/>
      <c r="CX1079" s="451">
        <f>'CIRCUIT SIM'!MQ169</f>
        <v/>
      </c>
      <c r="CY1079" s="451" t="n"/>
      <c r="DA1079" s="429" t="n">
        <v>166</v>
      </c>
      <c r="DB1079" s="431" t="n">
        <v>166</v>
      </c>
      <c r="DC1079" s="688" t="n"/>
      <c r="DD1079" s="431" t="n"/>
      <c r="DE1079" s="451" t="n"/>
      <c r="DF1079" s="451" t="n"/>
      <c r="DG1079" s="451" t="n"/>
      <c r="DI1079" s="429" t="n">
        <v>166</v>
      </c>
      <c r="DJ1079" s="431" t="n">
        <v>166</v>
      </c>
      <c r="DK1079" s="688" t="n"/>
      <c r="DL1079" s="431" t="n"/>
      <c r="DM1079" s="429" t="n"/>
      <c r="DN1079" s="451" t="n"/>
      <c r="DO1079" s="451" t="n"/>
      <c r="DQ1079" s="429" t="n">
        <v>166</v>
      </c>
      <c r="DR1079" s="431" t="n">
        <v>166</v>
      </c>
      <c r="DS1079" s="688" t="n"/>
      <c r="DT1079" s="431" t="n"/>
      <c r="DU1079" s="451" t="n"/>
      <c r="DV1079" s="451" t="n"/>
      <c r="DW1079" s="451" t="n"/>
      <c r="DY1079" s="429" t="n">
        <v>166</v>
      </c>
      <c r="DZ1079" s="431" t="n">
        <v>166</v>
      </c>
      <c r="EA1079" s="688" t="n"/>
      <c r="EB1079" s="431" t="n"/>
      <c r="EC1079" s="451" t="n"/>
      <c r="ED1079" s="451" t="n"/>
      <c r="EE1079" s="451" t="n"/>
      <c r="EG1079" s="429" t="n">
        <v>166</v>
      </c>
      <c r="EH1079" s="431" t="n">
        <v>166</v>
      </c>
      <c r="EI1079" s="688" t="n"/>
      <c r="EJ1079" s="431" t="n"/>
      <c r="EK1079" s="451" t="n"/>
      <c r="EL1079" s="451" t="n"/>
      <c r="EM1079" s="451" t="n"/>
      <c r="EO1079" s="429" t="n">
        <v>166</v>
      </c>
      <c r="EP1079" s="431" t="n">
        <v>166</v>
      </c>
      <c r="EQ1079" s="688" t="n"/>
      <c r="ER1079" s="431" t="n"/>
      <c r="ES1079" s="451" t="n"/>
      <c r="ET1079" s="451" t="n"/>
      <c r="EU1079" s="451" t="n"/>
      <c r="EW1079" s="429" t="n">
        <v>166</v>
      </c>
      <c r="EX1079" s="431" t="n">
        <v>166</v>
      </c>
      <c r="EY1079" s="688" t="n"/>
      <c r="EZ1079" s="431" t="n"/>
      <c r="FA1079" s="451" t="n"/>
      <c r="FB1079" s="451" t="n"/>
      <c r="FC1079" s="451" t="n"/>
      <c r="FE1079" s="429" t="n">
        <v>166</v>
      </c>
      <c r="FF1079" s="431" t="n">
        <v>166</v>
      </c>
      <c r="FG1079" s="688" t="n"/>
      <c r="FH1079" s="431" t="n"/>
      <c r="FI1079" s="451" t="n"/>
      <c r="FJ1079" s="451" t="n"/>
      <c r="FK1079" s="451" t="n"/>
      <c r="FM1079" s="429" t="n">
        <v>166</v>
      </c>
      <c r="FN1079" s="431" t="n">
        <v>166</v>
      </c>
      <c r="FO1079" s="688" t="n"/>
      <c r="FP1079" s="431" t="n"/>
      <c r="FQ1079" s="451" t="n"/>
      <c r="FR1079" s="451">
        <f>'CIRCUIT SIM'!KY169</f>
        <v/>
      </c>
      <c r="FS1079" s="451" t="n"/>
      <c r="FU1079" s="429" t="n">
        <v>166</v>
      </c>
      <c r="FV1079" s="431" t="n">
        <v>166</v>
      </c>
      <c r="FW1079" s="688" t="n"/>
      <c r="FX1079" s="431" t="n"/>
      <c r="FY1079" s="451" t="n"/>
      <c r="FZ1079" s="562">
        <f>'CIRCUIT SIM'!JG169</f>
        <v/>
      </c>
      <c r="GA1079" s="451" t="n"/>
      <c r="GC1079" s="429" t="n">
        <v>166</v>
      </c>
      <c r="GD1079" s="431" t="n">
        <v>166</v>
      </c>
      <c r="GE1079" s="688" t="n"/>
      <c r="GF1079" s="431" t="n"/>
      <c r="GG1079" s="451" t="n"/>
      <c r="GH1079" s="451" t="n"/>
      <c r="GI1079" s="451" t="n"/>
      <c r="GK1079" s="429" t="n">
        <v>166</v>
      </c>
      <c r="GL1079" s="431" t="n">
        <v>166</v>
      </c>
      <c r="GM1079" s="688" t="n"/>
      <c r="GN1079" s="431" t="n"/>
      <c r="GO1079" s="451" t="n"/>
      <c r="GP1079" s="451" t="n"/>
      <c r="GQ1079" s="451" t="n"/>
      <c r="GS1079" s="429" t="n">
        <v>166</v>
      </c>
      <c r="GT1079" s="431" t="n">
        <v>166</v>
      </c>
      <c r="GU1079" s="688" t="n"/>
      <c r="GV1079" s="431" t="n"/>
      <c r="GW1079" s="451" t="n"/>
      <c r="GX1079" s="451" t="n"/>
      <c r="GY1079" s="451" t="n"/>
      <c r="HA1079" s="429" t="n">
        <v>166</v>
      </c>
      <c r="HB1079" s="431" t="n">
        <v>166</v>
      </c>
      <c r="HC1079" s="688" t="n"/>
      <c r="HD1079" s="431" t="n"/>
      <c r="HE1079" s="451" t="n"/>
      <c r="HF1079" s="451" t="n"/>
      <c r="HG1079" s="451" t="n"/>
    </row>
    <row r="1080">
      <c r="A1080" s="429" t="n">
        <v>167</v>
      </c>
      <c r="B1080" s="431" t="n">
        <v>167</v>
      </c>
      <c r="C1080" s="688" t="n"/>
      <c r="D1080" s="431" t="n"/>
      <c r="E1080" s="429" t="n"/>
      <c r="F1080" s="429" t="n"/>
      <c r="G1080" s="429" t="n"/>
      <c r="I1080" s="429" t="n">
        <v>167</v>
      </c>
      <c r="J1080" s="431" t="n">
        <v>167</v>
      </c>
      <c r="K1080" s="565" t="n">
        <v>165</v>
      </c>
      <c r="L1080" s="431" t="inlineStr">
        <is>
          <t>Boolean</t>
        </is>
      </c>
      <c r="M1080" s="451" t="n"/>
      <c r="N1080" s="422">
        <f>'CIRCUIT SIM'!Y170</f>
        <v/>
      </c>
      <c r="O1080" s="451" t="n"/>
      <c r="Q1080" s="429" t="n">
        <v>167</v>
      </c>
      <c r="R1080" s="431" t="n">
        <v>167</v>
      </c>
      <c r="S1080" s="565" t="n">
        <v>168</v>
      </c>
      <c r="T1080" s="431" t="inlineStr">
        <is>
          <t>Boolean</t>
        </is>
      </c>
      <c r="U1080" s="429" t="n"/>
      <c r="V1080" s="386">
        <f>'CIRCUIT SIM'!AO170</f>
        <v/>
      </c>
      <c r="W1080" s="451" t="inlineStr">
        <is>
          <t> </t>
        </is>
      </c>
      <c r="Y1080" s="429" t="n">
        <v>167</v>
      </c>
      <c r="Z1080" s="431" t="n">
        <v>167</v>
      </c>
      <c r="AA1080" s="429" t="n"/>
      <c r="AB1080" s="431" t="n"/>
      <c r="AC1080" s="451" t="n"/>
      <c r="AD1080" s="451" t="n"/>
      <c r="AE1080" s="451" t="n"/>
      <c r="AG1080" s="429" t="n">
        <v>167</v>
      </c>
      <c r="AH1080" s="431" t="n">
        <v>167</v>
      </c>
      <c r="AI1080" s="429" t="n"/>
      <c r="AJ1080" s="431" t="n"/>
      <c r="AK1080" s="451" t="n"/>
      <c r="AL1080" s="451" t="n"/>
      <c r="AM1080" s="451" t="n"/>
      <c r="AO1080" s="429" t="n">
        <v>167</v>
      </c>
      <c r="AP1080" s="431" t="n">
        <v>167</v>
      </c>
      <c r="AQ1080" s="429" t="n"/>
      <c r="AR1080" s="431" t="n"/>
      <c r="AS1080" s="451" t="n"/>
      <c r="AT1080" s="451" t="n"/>
      <c r="AU1080" s="451" t="n"/>
      <c r="AW1080" s="429" t="n">
        <v>167</v>
      </c>
      <c r="AX1080" s="431" t="n">
        <v>167</v>
      </c>
      <c r="AY1080" s="429" t="n"/>
      <c r="AZ1080" s="431" t="n"/>
      <c r="BA1080" s="451" t="n"/>
      <c r="BB1080" s="451" t="n"/>
      <c r="BC1080" s="451" t="n"/>
      <c r="BE1080" s="429" t="n">
        <v>167</v>
      </c>
      <c r="BF1080" s="431" t="n"/>
      <c r="BG1080" s="429" t="n"/>
      <c r="BH1080" s="431" t="n"/>
      <c r="BI1080" s="451" t="n"/>
      <c r="BJ1080" s="451" t="n"/>
      <c r="BK1080" s="451" t="n"/>
      <c r="BM1080" s="429" t="n">
        <v>167</v>
      </c>
      <c r="BN1080" s="431" t="n">
        <v>167</v>
      </c>
      <c r="BO1080" s="429" t="n"/>
      <c r="BP1080" s="431" t="n"/>
      <c r="BQ1080" s="451" t="n"/>
      <c r="BR1080" s="451" t="n"/>
      <c r="BS1080" s="451" t="n"/>
      <c r="BU1080" s="429" t="n">
        <v>167</v>
      </c>
      <c r="BV1080" s="431" t="n">
        <v>167</v>
      </c>
      <c r="BW1080" s="429" t="n"/>
      <c r="BX1080" s="431" t="n"/>
      <c r="BY1080" s="451" t="n"/>
      <c r="BZ1080" s="451">
        <f>'CIRCUIT SIM'!EI170</f>
        <v/>
      </c>
      <c r="CA1080" s="451" t="n"/>
      <c r="CC1080" s="429" t="n">
        <v>167</v>
      </c>
      <c r="CD1080" s="431" t="n">
        <v>167</v>
      </c>
      <c r="CE1080" s="688" t="n"/>
      <c r="CF1080" s="431" t="n"/>
      <c r="CG1080" s="451" t="n"/>
      <c r="CH1080" s="562">
        <f>'CIRCUIT SIM'!LK170</f>
        <v/>
      </c>
      <c r="CI1080" s="451" t="n"/>
      <c r="CK1080" s="429" t="n">
        <v>167</v>
      </c>
      <c r="CL1080" s="431" t="n">
        <v>167</v>
      </c>
      <c r="CM1080" s="688" t="n"/>
      <c r="CN1080" s="431" t="n"/>
      <c r="CO1080" s="451" t="n"/>
      <c r="CP1080" s="451" t="n"/>
      <c r="CQ1080" s="451" t="n"/>
      <c r="CS1080" s="429" t="n">
        <v>167</v>
      </c>
      <c r="CT1080" s="431" t="n">
        <v>167</v>
      </c>
      <c r="CU1080" s="688" t="n"/>
      <c r="CV1080" s="431" t="inlineStr">
        <is>
          <t>Boolean</t>
        </is>
      </c>
      <c r="CW1080" s="451" t="n"/>
      <c r="CX1080" s="451">
        <f>'CIRCUIT SIM'!MQ170</f>
        <v/>
      </c>
      <c r="CY1080" s="451" t="n"/>
      <c r="DA1080" s="429" t="n">
        <v>167</v>
      </c>
      <c r="DB1080" s="431" t="n">
        <v>167</v>
      </c>
      <c r="DC1080" s="688" t="n"/>
      <c r="DD1080" s="431" t="n"/>
      <c r="DE1080" s="451" t="n"/>
      <c r="DF1080" s="451" t="n"/>
      <c r="DG1080" s="451" t="n"/>
      <c r="DI1080" s="429" t="n">
        <v>167</v>
      </c>
      <c r="DJ1080" s="431" t="n">
        <v>167</v>
      </c>
      <c r="DK1080" s="688" t="n"/>
      <c r="DL1080" s="431" t="n"/>
      <c r="DM1080" s="429" t="n"/>
      <c r="DN1080" s="451" t="n"/>
      <c r="DO1080" s="451" t="n"/>
      <c r="DQ1080" s="429" t="n">
        <v>167</v>
      </c>
      <c r="DR1080" s="431" t="n">
        <v>167</v>
      </c>
      <c r="DS1080" s="688" t="n"/>
      <c r="DT1080" s="431" t="n"/>
      <c r="DU1080" s="451" t="n"/>
      <c r="DV1080" s="451" t="n"/>
      <c r="DW1080" s="451" t="n"/>
      <c r="DY1080" s="429" t="n">
        <v>167</v>
      </c>
      <c r="DZ1080" s="431" t="n">
        <v>167</v>
      </c>
      <c r="EA1080" s="688" t="n"/>
      <c r="EB1080" s="431" t="n"/>
      <c r="EC1080" s="451" t="n"/>
      <c r="ED1080" s="451" t="n"/>
      <c r="EE1080" s="451" t="n"/>
      <c r="EG1080" s="429" t="n">
        <v>167</v>
      </c>
      <c r="EH1080" s="431" t="n">
        <v>167</v>
      </c>
      <c r="EI1080" s="688" t="n"/>
      <c r="EJ1080" s="431" t="n"/>
      <c r="EK1080" s="451" t="n"/>
      <c r="EL1080" s="451" t="n"/>
      <c r="EM1080" s="451" t="n"/>
      <c r="EO1080" s="429" t="n">
        <v>167</v>
      </c>
      <c r="EP1080" s="431" t="n">
        <v>167</v>
      </c>
      <c r="EQ1080" s="688" t="n"/>
      <c r="ER1080" s="431" t="n"/>
      <c r="ES1080" s="451" t="n"/>
      <c r="ET1080" s="451" t="n"/>
      <c r="EU1080" s="451" t="n"/>
      <c r="EW1080" s="429" t="n">
        <v>167</v>
      </c>
      <c r="EX1080" s="431" t="n">
        <v>167</v>
      </c>
      <c r="EY1080" s="688" t="n"/>
      <c r="EZ1080" s="431" t="n"/>
      <c r="FA1080" s="451" t="n"/>
      <c r="FB1080" s="451" t="n"/>
      <c r="FC1080" s="451" t="n"/>
      <c r="FE1080" s="429" t="n">
        <v>167</v>
      </c>
      <c r="FF1080" s="431" t="n">
        <v>167</v>
      </c>
      <c r="FG1080" s="688" t="n"/>
      <c r="FH1080" s="431" t="n"/>
      <c r="FI1080" s="451" t="n"/>
      <c r="FJ1080" s="451" t="n"/>
      <c r="FK1080" s="451" t="n"/>
      <c r="FM1080" s="429" t="n">
        <v>167</v>
      </c>
      <c r="FN1080" s="431" t="n">
        <v>167</v>
      </c>
      <c r="FO1080" s="688" t="n"/>
      <c r="FP1080" s="431" t="n"/>
      <c r="FQ1080" s="451" t="n"/>
      <c r="FR1080" s="451">
        <f>'CIRCUIT SIM'!KY170</f>
        <v/>
      </c>
      <c r="FS1080" s="451" t="n"/>
      <c r="FU1080" s="429" t="n">
        <v>167</v>
      </c>
      <c r="FV1080" s="431" t="n">
        <v>167</v>
      </c>
      <c r="FW1080" s="688" t="n"/>
      <c r="FX1080" s="431" t="n"/>
      <c r="FY1080" s="451" t="n"/>
      <c r="FZ1080" s="562">
        <f>'CIRCUIT SIM'!JG170</f>
        <v/>
      </c>
      <c r="GA1080" s="451" t="n"/>
      <c r="GC1080" s="429" t="n">
        <v>167</v>
      </c>
      <c r="GD1080" s="431" t="n">
        <v>167</v>
      </c>
      <c r="GE1080" s="688" t="n"/>
      <c r="GF1080" s="431" t="n"/>
      <c r="GG1080" s="451" t="n"/>
      <c r="GH1080" s="451" t="n"/>
      <c r="GI1080" s="451" t="n"/>
      <c r="GK1080" s="429" t="n">
        <v>167</v>
      </c>
      <c r="GL1080" s="431" t="n">
        <v>167</v>
      </c>
      <c r="GM1080" s="688" t="n"/>
      <c r="GN1080" s="431" t="n"/>
      <c r="GO1080" s="451" t="n"/>
      <c r="GP1080" s="451" t="n"/>
      <c r="GQ1080" s="451" t="n"/>
      <c r="GS1080" s="429" t="n">
        <v>167</v>
      </c>
      <c r="GT1080" s="431" t="n">
        <v>167</v>
      </c>
      <c r="GU1080" s="688" t="n"/>
      <c r="GV1080" s="431" t="n"/>
      <c r="GW1080" s="451" t="n"/>
      <c r="GX1080" s="451" t="n"/>
      <c r="GY1080" s="451" t="n"/>
      <c r="HA1080" s="429" t="n">
        <v>167</v>
      </c>
      <c r="HB1080" s="431" t="n">
        <v>167</v>
      </c>
      <c r="HC1080" s="688" t="n"/>
      <c r="HD1080" s="431" t="n"/>
      <c r="HE1080" s="451" t="n"/>
      <c r="HF1080" s="451" t="n"/>
      <c r="HG1080" s="451" t="n"/>
    </row>
    <row r="1081">
      <c r="A1081" s="429" t="n">
        <v>168</v>
      </c>
      <c r="B1081" s="431" t="n">
        <v>168</v>
      </c>
      <c r="C1081" s="688" t="n"/>
      <c r="D1081" s="431" t="n"/>
      <c r="E1081" s="429" t="n"/>
      <c r="F1081" s="429" t="n"/>
      <c r="G1081" s="429" t="n"/>
      <c r="I1081" s="429" t="n">
        <v>168</v>
      </c>
      <c r="J1081" s="431" t="n">
        <v>168</v>
      </c>
      <c r="K1081" s="565" t="n">
        <v>166</v>
      </c>
      <c r="L1081" s="431" t="inlineStr">
        <is>
          <t>Boolean</t>
        </is>
      </c>
      <c r="M1081" s="451" t="n"/>
      <c r="N1081" s="422">
        <f>'CIRCUIT SIM'!Y171</f>
        <v/>
      </c>
      <c r="O1081" s="451" t="n"/>
      <c r="Q1081" s="429" t="n">
        <v>168</v>
      </c>
      <c r="R1081" s="431" t="n">
        <v>168</v>
      </c>
      <c r="S1081" s="565" t="n">
        <v>169</v>
      </c>
      <c r="T1081" s="431" t="inlineStr">
        <is>
          <t>Boolean</t>
        </is>
      </c>
      <c r="U1081" s="429" t="n"/>
      <c r="V1081" s="386">
        <f>'CIRCUIT SIM'!AO171</f>
        <v/>
      </c>
      <c r="W1081" s="451" t="n"/>
      <c r="Y1081" s="429" t="n">
        <v>168</v>
      </c>
      <c r="Z1081" s="431" t="n">
        <v>168</v>
      </c>
      <c r="AA1081" s="429" t="n"/>
      <c r="AB1081" s="431" t="n"/>
      <c r="AC1081" s="451" t="n"/>
      <c r="AD1081" s="451" t="n"/>
      <c r="AE1081" s="451" t="n"/>
      <c r="AG1081" s="429" t="n">
        <v>168</v>
      </c>
      <c r="AH1081" s="431" t="n">
        <v>168</v>
      </c>
      <c r="AI1081" s="429" t="n"/>
      <c r="AJ1081" s="431" t="n"/>
      <c r="AK1081" s="451" t="n"/>
      <c r="AL1081" s="451" t="n"/>
      <c r="AM1081" s="451" t="n"/>
      <c r="AO1081" s="429" t="n">
        <v>168</v>
      </c>
      <c r="AP1081" s="431" t="n">
        <v>168</v>
      </c>
      <c r="AQ1081" s="429" t="n"/>
      <c r="AR1081" s="431" t="n"/>
      <c r="AS1081" s="451" t="n"/>
      <c r="AT1081" s="451" t="n"/>
      <c r="AU1081" s="451" t="n"/>
      <c r="AW1081" s="429" t="n">
        <v>168</v>
      </c>
      <c r="AX1081" s="431" t="n">
        <v>168</v>
      </c>
      <c r="AY1081" s="429" t="n"/>
      <c r="AZ1081" s="431" t="n"/>
      <c r="BA1081" s="451" t="n"/>
      <c r="BB1081" s="451" t="n"/>
      <c r="BC1081" s="451" t="n"/>
      <c r="BE1081" s="429" t="n">
        <v>168</v>
      </c>
      <c r="BF1081" s="431" t="n"/>
      <c r="BG1081" s="429" t="n"/>
      <c r="BH1081" s="431" t="n"/>
      <c r="BI1081" s="451" t="n"/>
      <c r="BJ1081" s="451" t="n"/>
      <c r="BK1081" s="451" t="n"/>
      <c r="BM1081" s="429" t="n">
        <v>168</v>
      </c>
      <c r="BN1081" s="431" t="n">
        <v>168</v>
      </c>
      <c r="BO1081" s="429" t="n"/>
      <c r="BP1081" s="431" t="n"/>
      <c r="BQ1081" s="451" t="n"/>
      <c r="BR1081" s="451" t="n"/>
      <c r="BS1081" s="451" t="n"/>
      <c r="BU1081" s="429" t="n">
        <v>168</v>
      </c>
      <c r="BV1081" s="431" t="n">
        <v>168</v>
      </c>
      <c r="BW1081" s="429" t="n"/>
      <c r="BX1081" s="431" t="n"/>
      <c r="BY1081" s="451" t="n"/>
      <c r="BZ1081" s="451">
        <f>'CIRCUIT SIM'!EI171</f>
        <v/>
      </c>
      <c r="CA1081" s="451" t="n"/>
      <c r="CC1081" s="429" t="n">
        <v>168</v>
      </c>
      <c r="CD1081" s="431" t="n">
        <v>168</v>
      </c>
      <c r="CE1081" s="688" t="n"/>
      <c r="CF1081" s="431" t="n"/>
      <c r="CG1081" s="451" t="n"/>
      <c r="CH1081" s="562">
        <f>'CIRCUIT SIM'!LK171</f>
        <v/>
      </c>
      <c r="CI1081" s="451" t="n"/>
      <c r="CK1081" s="429" t="n">
        <v>168</v>
      </c>
      <c r="CL1081" s="431" t="n">
        <v>168</v>
      </c>
      <c r="CM1081" s="688" t="n"/>
      <c r="CN1081" s="431" t="n"/>
      <c r="CO1081" s="451" t="n"/>
      <c r="CP1081" s="451" t="n"/>
      <c r="CQ1081" s="451" t="n"/>
      <c r="CS1081" s="429" t="n">
        <v>168</v>
      </c>
      <c r="CT1081" s="431" t="n">
        <v>168</v>
      </c>
      <c r="CU1081" s="688" t="n"/>
      <c r="CV1081" s="431" t="inlineStr">
        <is>
          <t>Boolean</t>
        </is>
      </c>
      <c r="CW1081" s="451" t="n"/>
      <c r="CX1081" s="451">
        <f>'CIRCUIT SIM'!MQ171</f>
        <v/>
      </c>
      <c r="CY1081" s="451" t="n"/>
      <c r="DA1081" s="429" t="n">
        <v>168</v>
      </c>
      <c r="DB1081" s="431" t="n">
        <v>168</v>
      </c>
      <c r="DC1081" s="688" t="n"/>
      <c r="DD1081" s="431" t="n"/>
      <c r="DE1081" s="451" t="n"/>
      <c r="DF1081" s="451" t="n"/>
      <c r="DG1081" s="451" t="n"/>
      <c r="DI1081" s="429" t="n">
        <v>168</v>
      </c>
      <c r="DJ1081" s="431" t="n">
        <v>168</v>
      </c>
      <c r="DK1081" s="688" t="n"/>
      <c r="DL1081" s="431" t="n"/>
      <c r="DM1081" s="429" t="n"/>
      <c r="DN1081" s="451" t="n"/>
      <c r="DO1081" s="451" t="n"/>
      <c r="DQ1081" s="429" t="n">
        <v>168</v>
      </c>
      <c r="DR1081" s="431" t="n">
        <v>168</v>
      </c>
      <c r="DS1081" s="688" t="n"/>
      <c r="DT1081" s="431" t="n"/>
      <c r="DU1081" s="451" t="n"/>
      <c r="DV1081" s="451" t="n"/>
      <c r="DW1081" s="451" t="n"/>
      <c r="DY1081" s="429" t="n">
        <v>168</v>
      </c>
      <c r="DZ1081" s="431" t="n">
        <v>168</v>
      </c>
      <c r="EA1081" s="688" t="n"/>
      <c r="EB1081" s="431" t="n"/>
      <c r="EC1081" s="451" t="n"/>
      <c r="ED1081" s="451" t="n"/>
      <c r="EE1081" s="451" t="n"/>
      <c r="EG1081" s="429" t="n">
        <v>168</v>
      </c>
      <c r="EH1081" s="431" t="n">
        <v>168</v>
      </c>
      <c r="EI1081" s="688" t="n"/>
      <c r="EJ1081" s="431" t="n"/>
      <c r="EK1081" s="451" t="n"/>
      <c r="EL1081" s="451" t="n"/>
      <c r="EM1081" s="451" t="n"/>
      <c r="EO1081" s="429" t="n">
        <v>168</v>
      </c>
      <c r="EP1081" s="431" t="n">
        <v>168</v>
      </c>
      <c r="EQ1081" s="688" t="n"/>
      <c r="ER1081" s="431" t="n"/>
      <c r="ES1081" s="451" t="n"/>
      <c r="ET1081" s="451" t="n"/>
      <c r="EU1081" s="451" t="n"/>
      <c r="EW1081" s="429" t="n">
        <v>168</v>
      </c>
      <c r="EX1081" s="431" t="n">
        <v>168</v>
      </c>
      <c r="EY1081" s="688" t="n"/>
      <c r="EZ1081" s="431" t="n"/>
      <c r="FA1081" s="451" t="n"/>
      <c r="FB1081" s="451" t="n"/>
      <c r="FC1081" s="451" t="n"/>
      <c r="FE1081" s="429" t="n">
        <v>168</v>
      </c>
      <c r="FF1081" s="431" t="n">
        <v>168</v>
      </c>
      <c r="FG1081" s="688" t="n"/>
      <c r="FH1081" s="431" t="n"/>
      <c r="FI1081" s="451" t="n"/>
      <c r="FJ1081" s="451" t="n"/>
      <c r="FK1081" s="451" t="n"/>
      <c r="FM1081" s="429" t="n">
        <v>168</v>
      </c>
      <c r="FN1081" s="431" t="n">
        <v>168</v>
      </c>
      <c r="FO1081" s="688" t="n"/>
      <c r="FP1081" s="431" t="n"/>
      <c r="FQ1081" s="451" t="n"/>
      <c r="FR1081" s="451">
        <f>'CIRCUIT SIM'!KY171</f>
        <v/>
      </c>
      <c r="FS1081" s="451" t="n"/>
      <c r="FU1081" s="429" t="n">
        <v>168</v>
      </c>
      <c r="FV1081" s="431" t="n">
        <v>168</v>
      </c>
      <c r="FW1081" s="688" t="n"/>
      <c r="FX1081" s="431" t="n"/>
      <c r="FY1081" s="451" t="n"/>
      <c r="FZ1081" s="562">
        <f>'CIRCUIT SIM'!JG171</f>
        <v/>
      </c>
      <c r="GA1081" s="451" t="n"/>
      <c r="GC1081" s="429" t="n">
        <v>168</v>
      </c>
      <c r="GD1081" s="431" t="n">
        <v>168</v>
      </c>
      <c r="GE1081" s="688" t="n"/>
      <c r="GF1081" s="431" t="n"/>
      <c r="GG1081" s="451" t="n"/>
      <c r="GH1081" s="451" t="n"/>
      <c r="GI1081" s="451" t="n"/>
      <c r="GK1081" s="429" t="n">
        <v>168</v>
      </c>
      <c r="GL1081" s="431" t="n">
        <v>168</v>
      </c>
      <c r="GM1081" s="688" t="n"/>
      <c r="GN1081" s="431" t="n"/>
      <c r="GO1081" s="451" t="n"/>
      <c r="GP1081" s="451" t="n"/>
      <c r="GQ1081" s="451" t="n"/>
      <c r="GS1081" s="429" t="n">
        <v>168</v>
      </c>
      <c r="GT1081" s="431" t="n">
        <v>168</v>
      </c>
      <c r="GU1081" s="688" t="n"/>
      <c r="GV1081" s="431" t="n"/>
      <c r="GW1081" s="451" t="n"/>
      <c r="GX1081" s="451" t="n"/>
      <c r="GY1081" s="451" t="n"/>
      <c r="HA1081" s="429" t="n">
        <v>168</v>
      </c>
      <c r="HB1081" s="431" t="n">
        <v>168</v>
      </c>
      <c r="HC1081" s="688" t="n"/>
      <c r="HD1081" s="431" t="n"/>
      <c r="HE1081" s="451" t="n"/>
      <c r="HF1081" s="451" t="n"/>
      <c r="HG1081" s="451" t="n"/>
    </row>
    <row r="1082">
      <c r="A1082" s="429" t="n">
        <v>169</v>
      </c>
      <c r="B1082" s="431" t="n">
        <v>169</v>
      </c>
      <c r="C1082" s="688" t="n"/>
      <c r="D1082" s="431" t="n"/>
      <c r="E1082" s="429" t="n"/>
      <c r="F1082" s="429" t="n"/>
      <c r="G1082" s="429" t="n"/>
      <c r="I1082" s="429" t="n">
        <v>169</v>
      </c>
      <c r="J1082" s="431" t="n">
        <v>169</v>
      </c>
      <c r="K1082" s="565" t="n">
        <v>167</v>
      </c>
      <c r="L1082" s="431" t="inlineStr">
        <is>
          <t>Boolean</t>
        </is>
      </c>
      <c r="M1082" s="451" t="n"/>
      <c r="N1082" s="422">
        <f>'CIRCUIT SIM'!Y172</f>
        <v/>
      </c>
      <c r="O1082" s="451" t="n"/>
      <c r="Q1082" s="429" t="n">
        <v>169</v>
      </c>
      <c r="R1082" s="431" t="n">
        <v>169</v>
      </c>
      <c r="S1082" s="565" t="n">
        <v>170</v>
      </c>
      <c r="T1082" s="431" t="inlineStr">
        <is>
          <t>Boolean</t>
        </is>
      </c>
      <c r="U1082" s="429" t="n"/>
      <c r="V1082" s="386">
        <f>'CIRCUIT SIM'!AO172</f>
        <v/>
      </c>
      <c r="W1082" s="451" t="n"/>
      <c r="Y1082" s="429" t="n">
        <v>169</v>
      </c>
      <c r="Z1082" s="431" t="n">
        <v>169</v>
      </c>
      <c r="AA1082" s="429" t="n"/>
      <c r="AB1082" s="431" t="n"/>
      <c r="AC1082" s="451" t="n"/>
      <c r="AD1082" s="451" t="n"/>
      <c r="AE1082" s="451" t="n"/>
      <c r="AG1082" s="429" t="n">
        <v>169</v>
      </c>
      <c r="AH1082" s="431" t="n">
        <v>169</v>
      </c>
      <c r="AI1082" s="429" t="n"/>
      <c r="AJ1082" s="431" t="n"/>
      <c r="AK1082" s="451" t="n"/>
      <c r="AL1082" s="451" t="n"/>
      <c r="AM1082" s="451" t="n"/>
      <c r="AO1082" s="429" t="n">
        <v>169</v>
      </c>
      <c r="AP1082" s="431" t="n">
        <v>169</v>
      </c>
      <c r="AQ1082" s="429" t="n"/>
      <c r="AR1082" s="431" t="n"/>
      <c r="AS1082" s="451" t="n"/>
      <c r="AT1082" s="451" t="n"/>
      <c r="AU1082" s="451" t="n"/>
      <c r="AW1082" s="429" t="n">
        <v>169</v>
      </c>
      <c r="AX1082" s="431" t="n">
        <v>169</v>
      </c>
      <c r="AY1082" s="429" t="n"/>
      <c r="AZ1082" s="431" t="n"/>
      <c r="BA1082" s="451" t="n"/>
      <c r="BB1082" s="451" t="n"/>
      <c r="BC1082" s="451" t="n"/>
      <c r="BE1082" s="429" t="n">
        <v>169</v>
      </c>
      <c r="BF1082" s="431" t="n"/>
      <c r="BG1082" s="429" t="n"/>
      <c r="BH1082" s="431" t="n"/>
      <c r="BI1082" s="451" t="n"/>
      <c r="BJ1082" s="451" t="n"/>
      <c r="BK1082" s="451" t="n"/>
      <c r="BM1082" s="429" t="n">
        <v>169</v>
      </c>
      <c r="BN1082" s="431" t="n">
        <v>169</v>
      </c>
      <c r="BO1082" s="429" t="n"/>
      <c r="BP1082" s="431" t="n"/>
      <c r="BQ1082" s="451" t="n"/>
      <c r="BR1082" s="451" t="n"/>
      <c r="BS1082" s="451" t="n"/>
      <c r="BU1082" s="429" t="n">
        <v>169</v>
      </c>
      <c r="BV1082" s="431" t="n">
        <v>169</v>
      </c>
      <c r="BW1082" s="429" t="n"/>
      <c r="BX1082" s="431" t="n"/>
      <c r="BY1082" s="451" t="n"/>
      <c r="BZ1082" s="451">
        <f>'CIRCUIT SIM'!EI172</f>
        <v/>
      </c>
      <c r="CA1082" s="451" t="n"/>
      <c r="CC1082" s="429" t="n">
        <v>169</v>
      </c>
      <c r="CD1082" s="431" t="n">
        <v>169</v>
      </c>
      <c r="CE1082" s="688" t="n"/>
      <c r="CF1082" s="431" t="n"/>
      <c r="CG1082" s="451" t="n"/>
      <c r="CH1082" s="562">
        <f>'CIRCUIT SIM'!LK172</f>
        <v/>
      </c>
      <c r="CI1082" s="451" t="n"/>
      <c r="CK1082" s="429" t="n">
        <v>169</v>
      </c>
      <c r="CL1082" s="431" t="n">
        <v>169</v>
      </c>
      <c r="CM1082" s="688" t="n"/>
      <c r="CN1082" s="431" t="n"/>
      <c r="CO1082" s="451" t="n"/>
      <c r="CP1082" s="451" t="n"/>
      <c r="CQ1082" s="451" t="n"/>
      <c r="CS1082" s="429" t="n">
        <v>169</v>
      </c>
      <c r="CT1082" s="431" t="n">
        <v>169</v>
      </c>
      <c r="CU1082" s="688" t="n"/>
      <c r="CV1082" s="431" t="inlineStr">
        <is>
          <t>Boolean</t>
        </is>
      </c>
      <c r="CW1082" s="451" t="n"/>
      <c r="CX1082" s="451">
        <f>'CIRCUIT SIM'!MQ172</f>
        <v/>
      </c>
      <c r="CY1082" s="451" t="n"/>
      <c r="DA1082" s="429" t="n">
        <v>169</v>
      </c>
      <c r="DB1082" s="431" t="n">
        <v>169</v>
      </c>
      <c r="DC1082" s="688" t="n"/>
      <c r="DD1082" s="431" t="n"/>
      <c r="DE1082" s="451" t="n"/>
      <c r="DF1082" s="451" t="n"/>
      <c r="DG1082" s="451" t="n"/>
      <c r="DI1082" s="429" t="n">
        <v>169</v>
      </c>
      <c r="DJ1082" s="431" t="n">
        <v>169</v>
      </c>
      <c r="DK1082" s="688" t="n"/>
      <c r="DL1082" s="431" t="n"/>
      <c r="DM1082" s="429" t="n"/>
      <c r="DN1082" s="451" t="n"/>
      <c r="DO1082" s="451" t="n"/>
      <c r="DQ1082" s="429" t="n">
        <v>169</v>
      </c>
      <c r="DR1082" s="431" t="n">
        <v>169</v>
      </c>
      <c r="DS1082" s="688" t="n"/>
      <c r="DT1082" s="431" t="n"/>
      <c r="DU1082" s="451" t="n"/>
      <c r="DV1082" s="451" t="n"/>
      <c r="DW1082" s="451" t="n"/>
      <c r="DY1082" s="429" t="n">
        <v>169</v>
      </c>
      <c r="DZ1082" s="431" t="n">
        <v>169</v>
      </c>
      <c r="EA1082" s="688" t="n"/>
      <c r="EB1082" s="431" t="n"/>
      <c r="EC1082" s="451" t="n"/>
      <c r="ED1082" s="451" t="n"/>
      <c r="EE1082" s="451" t="n"/>
      <c r="EG1082" s="429" t="n">
        <v>169</v>
      </c>
      <c r="EH1082" s="431" t="n">
        <v>169</v>
      </c>
      <c r="EI1082" s="688" t="n"/>
      <c r="EJ1082" s="431" t="n"/>
      <c r="EK1082" s="451" t="n"/>
      <c r="EL1082" s="451" t="n"/>
      <c r="EM1082" s="451" t="n"/>
      <c r="EO1082" s="429" t="n">
        <v>169</v>
      </c>
      <c r="EP1082" s="431" t="n">
        <v>169</v>
      </c>
      <c r="EQ1082" s="688" t="n"/>
      <c r="ER1082" s="431" t="n"/>
      <c r="ES1082" s="451" t="n"/>
      <c r="ET1082" s="451" t="n"/>
      <c r="EU1082" s="451" t="n"/>
      <c r="EW1082" s="429" t="n">
        <v>169</v>
      </c>
      <c r="EX1082" s="431" t="n">
        <v>169</v>
      </c>
      <c r="EY1082" s="688" t="n"/>
      <c r="EZ1082" s="431" t="n"/>
      <c r="FA1082" s="451" t="n"/>
      <c r="FB1082" s="451" t="n"/>
      <c r="FC1082" s="451" t="n"/>
      <c r="FE1082" s="429" t="n">
        <v>169</v>
      </c>
      <c r="FF1082" s="431" t="n">
        <v>169</v>
      </c>
      <c r="FG1082" s="688" t="n"/>
      <c r="FH1082" s="431" t="n"/>
      <c r="FI1082" s="451" t="n"/>
      <c r="FJ1082" s="451" t="n"/>
      <c r="FK1082" s="451" t="n"/>
      <c r="FM1082" s="429" t="n">
        <v>169</v>
      </c>
      <c r="FN1082" s="431" t="n">
        <v>169</v>
      </c>
      <c r="FO1082" s="688" t="n"/>
      <c r="FP1082" s="431" t="n"/>
      <c r="FQ1082" s="451" t="n"/>
      <c r="FR1082" s="451">
        <f>'CIRCUIT SIM'!KY172</f>
        <v/>
      </c>
      <c r="FS1082" s="451" t="n"/>
      <c r="FU1082" s="429" t="n">
        <v>169</v>
      </c>
      <c r="FV1082" s="431" t="n">
        <v>169</v>
      </c>
      <c r="FW1082" s="688" t="n"/>
      <c r="FX1082" s="431" t="n"/>
      <c r="FY1082" s="451" t="n"/>
      <c r="FZ1082" s="562">
        <f>'CIRCUIT SIM'!JG172</f>
        <v/>
      </c>
      <c r="GA1082" s="451" t="n"/>
      <c r="GC1082" s="429" t="n">
        <v>169</v>
      </c>
      <c r="GD1082" s="431" t="n">
        <v>169</v>
      </c>
      <c r="GE1082" s="688" t="n"/>
      <c r="GF1082" s="431" t="n"/>
      <c r="GG1082" s="451" t="n"/>
      <c r="GH1082" s="451" t="n"/>
      <c r="GI1082" s="451" t="n"/>
      <c r="GK1082" s="429" t="n">
        <v>169</v>
      </c>
      <c r="GL1082" s="431" t="n">
        <v>169</v>
      </c>
      <c r="GM1082" s="688" t="n"/>
      <c r="GN1082" s="431" t="n"/>
      <c r="GO1082" s="451" t="n"/>
      <c r="GP1082" s="451" t="n"/>
      <c r="GQ1082" s="451" t="n"/>
      <c r="GS1082" s="429" t="n">
        <v>169</v>
      </c>
      <c r="GT1082" s="431" t="n">
        <v>169</v>
      </c>
      <c r="GU1082" s="688" t="n"/>
      <c r="GV1082" s="431" t="n"/>
      <c r="GW1082" s="451" t="n"/>
      <c r="GX1082" s="451" t="n"/>
      <c r="GY1082" s="451" t="n"/>
      <c r="HA1082" s="429" t="n">
        <v>169</v>
      </c>
      <c r="HB1082" s="431" t="n">
        <v>169</v>
      </c>
      <c r="HC1082" s="688" t="n"/>
      <c r="HD1082" s="431" t="n"/>
      <c r="HE1082" s="451" t="n"/>
      <c r="HF1082" s="451" t="n"/>
      <c r="HG1082" s="451" t="n"/>
    </row>
    <row r="1083">
      <c r="A1083" s="429" t="n">
        <v>170</v>
      </c>
      <c r="B1083" s="431" t="n">
        <v>170</v>
      </c>
      <c r="C1083" s="688" t="n"/>
      <c r="D1083" s="431" t="n"/>
      <c r="E1083" s="429" t="n"/>
      <c r="F1083" s="429" t="n"/>
      <c r="G1083" s="429" t="n"/>
      <c r="I1083" s="429" t="n">
        <v>170</v>
      </c>
      <c r="J1083" s="431" t="n">
        <v>170</v>
      </c>
      <c r="K1083" s="565" t="n">
        <v>169</v>
      </c>
      <c r="L1083" s="431" t="inlineStr">
        <is>
          <t>Boolean</t>
        </is>
      </c>
      <c r="M1083" s="451" t="n"/>
      <c r="N1083" s="422">
        <f>'CIRCUIT SIM'!Y173</f>
        <v/>
      </c>
      <c r="O1083" s="451" t="n"/>
      <c r="Q1083" s="429" t="n">
        <v>170</v>
      </c>
      <c r="R1083" s="431" t="n">
        <v>170</v>
      </c>
      <c r="S1083" s="565" t="n">
        <v>171</v>
      </c>
      <c r="T1083" s="431" t="inlineStr">
        <is>
          <t>Boolean</t>
        </is>
      </c>
      <c r="U1083" s="429" t="n"/>
      <c r="V1083" s="386">
        <f>'CIRCUIT SIM'!AO173</f>
        <v/>
      </c>
      <c r="W1083" s="451" t="n"/>
      <c r="Y1083" s="429" t="n">
        <v>170</v>
      </c>
      <c r="Z1083" s="431" t="n">
        <v>170</v>
      </c>
      <c r="AA1083" s="429" t="n"/>
      <c r="AB1083" s="431" t="n"/>
      <c r="AC1083" s="451" t="n"/>
      <c r="AD1083" s="451" t="n"/>
      <c r="AE1083" s="451" t="n"/>
      <c r="AG1083" s="429" t="n">
        <v>170</v>
      </c>
      <c r="AH1083" s="431" t="n">
        <v>170</v>
      </c>
      <c r="AI1083" s="429" t="n"/>
      <c r="AJ1083" s="431" t="n"/>
      <c r="AK1083" s="451" t="n"/>
      <c r="AL1083" s="451" t="n"/>
      <c r="AM1083" s="451" t="n"/>
      <c r="AO1083" s="429" t="n">
        <v>170</v>
      </c>
      <c r="AP1083" s="431" t="n">
        <v>170</v>
      </c>
      <c r="AQ1083" s="429" t="n"/>
      <c r="AR1083" s="431" t="n"/>
      <c r="AS1083" s="451" t="n"/>
      <c r="AT1083" s="451" t="n"/>
      <c r="AU1083" s="451" t="n"/>
      <c r="AW1083" s="429" t="n">
        <v>170</v>
      </c>
      <c r="AX1083" s="431" t="n">
        <v>170</v>
      </c>
      <c r="AY1083" s="429" t="n"/>
      <c r="AZ1083" s="431" t="n"/>
      <c r="BA1083" s="451" t="n"/>
      <c r="BB1083" s="451" t="n"/>
      <c r="BC1083" s="451" t="n"/>
      <c r="BE1083" s="429" t="n">
        <v>170</v>
      </c>
      <c r="BF1083" s="431" t="n"/>
      <c r="BG1083" s="429" t="n"/>
      <c r="BH1083" s="431" t="n"/>
      <c r="BI1083" s="451" t="n"/>
      <c r="BJ1083" s="451" t="n"/>
      <c r="BK1083" s="451" t="n"/>
      <c r="BM1083" s="429" t="n">
        <v>170</v>
      </c>
      <c r="BN1083" s="431" t="n">
        <v>170</v>
      </c>
      <c r="BO1083" s="429" t="n"/>
      <c r="BP1083" s="431" t="n"/>
      <c r="BQ1083" s="451" t="n"/>
      <c r="BR1083" s="451" t="n"/>
      <c r="BS1083" s="451" t="n"/>
      <c r="BU1083" s="429" t="n">
        <v>170</v>
      </c>
      <c r="BV1083" s="431" t="n">
        <v>170</v>
      </c>
      <c r="BW1083" s="429" t="n"/>
      <c r="BX1083" s="431" t="n"/>
      <c r="BY1083" s="451" t="n"/>
      <c r="BZ1083" s="451">
        <f>'CIRCUIT SIM'!EI173</f>
        <v/>
      </c>
      <c r="CA1083" s="451" t="n"/>
      <c r="CC1083" s="429" t="n">
        <v>170</v>
      </c>
      <c r="CD1083" s="431" t="n">
        <v>170</v>
      </c>
      <c r="CE1083" s="688" t="n"/>
      <c r="CF1083" s="431" t="n"/>
      <c r="CG1083" s="451" t="n"/>
      <c r="CH1083" s="562">
        <f>'CIRCUIT SIM'!LK173</f>
        <v/>
      </c>
      <c r="CI1083" s="451" t="n"/>
      <c r="CK1083" s="429" t="n">
        <v>170</v>
      </c>
      <c r="CL1083" s="431" t="n">
        <v>170</v>
      </c>
      <c r="CM1083" s="688" t="n"/>
      <c r="CN1083" s="431" t="n"/>
      <c r="CO1083" s="451" t="n"/>
      <c r="CP1083" s="451" t="n"/>
      <c r="CQ1083" s="451" t="n"/>
      <c r="CS1083" s="429" t="n">
        <v>170</v>
      </c>
      <c r="CT1083" s="431" t="n">
        <v>170</v>
      </c>
      <c r="CU1083" s="688" t="n"/>
      <c r="CV1083" s="431" t="inlineStr">
        <is>
          <t>Boolean</t>
        </is>
      </c>
      <c r="CW1083" s="451" t="n"/>
      <c r="CX1083" s="451">
        <f>'CIRCUIT SIM'!MQ173</f>
        <v/>
      </c>
      <c r="CY1083" s="451" t="n"/>
      <c r="DA1083" s="429" t="n">
        <v>170</v>
      </c>
      <c r="DB1083" s="431" t="n">
        <v>170</v>
      </c>
      <c r="DC1083" s="688" t="n"/>
      <c r="DD1083" s="431" t="n"/>
      <c r="DE1083" s="451" t="n"/>
      <c r="DF1083" s="451" t="n"/>
      <c r="DG1083" s="451" t="n"/>
      <c r="DI1083" s="429" t="n">
        <v>170</v>
      </c>
      <c r="DJ1083" s="431" t="n">
        <v>170</v>
      </c>
      <c r="DK1083" s="688" t="n"/>
      <c r="DL1083" s="431" t="n"/>
      <c r="DM1083" s="429" t="n"/>
      <c r="DN1083" s="451" t="n"/>
      <c r="DO1083" s="451" t="n"/>
      <c r="DQ1083" s="429" t="n">
        <v>170</v>
      </c>
      <c r="DR1083" s="431" t="n">
        <v>170</v>
      </c>
      <c r="DS1083" s="688" t="n"/>
      <c r="DT1083" s="431" t="n"/>
      <c r="DU1083" s="451" t="n"/>
      <c r="DV1083" s="451" t="n"/>
      <c r="DW1083" s="451" t="n"/>
      <c r="DY1083" s="429" t="n">
        <v>170</v>
      </c>
      <c r="DZ1083" s="431" t="n">
        <v>170</v>
      </c>
      <c r="EA1083" s="688" t="n"/>
      <c r="EB1083" s="431" t="n"/>
      <c r="EC1083" s="451" t="n"/>
      <c r="ED1083" s="451" t="n"/>
      <c r="EE1083" s="451" t="n"/>
      <c r="EG1083" s="429" t="n">
        <v>170</v>
      </c>
      <c r="EH1083" s="431" t="n">
        <v>170</v>
      </c>
      <c r="EI1083" s="688" t="n"/>
      <c r="EJ1083" s="431" t="n"/>
      <c r="EK1083" s="451" t="n"/>
      <c r="EL1083" s="451" t="n"/>
      <c r="EM1083" s="451" t="n"/>
      <c r="EO1083" s="429" t="n">
        <v>170</v>
      </c>
      <c r="EP1083" s="431" t="n">
        <v>170</v>
      </c>
      <c r="EQ1083" s="688" t="n"/>
      <c r="ER1083" s="431" t="n"/>
      <c r="ES1083" s="451" t="n"/>
      <c r="ET1083" s="451" t="n"/>
      <c r="EU1083" s="451" t="n"/>
      <c r="EW1083" s="429" t="n">
        <v>170</v>
      </c>
      <c r="EX1083" s="431" t="n">
        <v>170</v>
      </c>
      <c r="EY1083" s="688" t="n"/>
      <c r="EZ1083" s="431" t="n"/>
      <c r="FA1083" s="451" t="n"/>
      <c r="FB1083" s="451" t="n"/>
      <c r="FC1083" s="451" t="n"/>
      <c r="FE1083" s="429" t="n">
        <v>170</v>
      </c>
      <c r="FF1083" s="431" t="n">
        <v>170</v>
      </c>
      <c r="FG1083" s="688" t="n"/>
      <c r="FH1083" s="431" t="n"/>
      <c r="FI1083" s="451" t="n"/>
      <c r="FJ1083" s="451" t="n"/>
      <c r="FK1083" s="451" t="n"/>
      <c r="FM1083" s="429" t="n">
        <v>170</v>
      </c>
      <c r="FN1083" s="431" t="n">
        <v>170</v>
      </c>
      <c r="FO1083" s="688" t="n"/>
      <c r="FP1083" s="431" t="n"/>
      <c r="FQ1083" s="451" t="n"/>
      <c r="FR1083" s="451">
        <f>'CIRCUIT SIM'!KY173</f>
        <v/>
      </c>
      <c r="FS1083" s="451" t="n"/>
      <c r="FU1083" s="429" t="n">
        <v>170</v>
      </c>
      <c r="FV1083" s="431" t="n">
        <v>170</v>
      </c>
      <c r="FW1083" s="688" t="n"/>
      <c r="FX1083" s="431" t="n"/>
      <c r="FY1083" s="451" t="n"/>
      <c r="FZ1083" s="562">
        <f>'CIRCUIT SIM'!JG173</f>
        <v/>
      </c>
      <c r="GA1083" s="451" t="n"/>
      <c r="GC1083" s="429" t="n">
        <v>170</v>
      </c>
      <c r="GD1083" s="431" t="n">
        <v>170</v>
      </c>
      <c r="GE1083" s="688" t="n"/>
      <c r="GF1083" s="431" t="n"/>
      <c r="GG1083" s="451" t="n"/>
      <c r="GH1083" s="451" t="n"/>
      <c r="GI1083" s="451" t="n"/>
      <c r="GK1083" s="429" t="n">
        <v>170</v>
      </c>
      <c r="GL1083" s="431" t="n">
        <v>170</v>
      </c>
      <c r="GM1083" s="688" t="n"/>
      <c r="GN1083" s="431" t="n"/>
      <c r="GO1083" s="451" t="n"/>
      <c r="GP1083" s="451" t="n"/>
      <c r="GQ1083" s="451" t="n"/>
      <c r="GS1083" s="429" t="n">
        <v>170</v>
      </c>
      <c r="GT1083" s="431" t="n">
        <v>170</v>
      </c>
      <c r="GU1083" s="688" t="n"/>
      <c r="GV1083" s="431" t="n"/>
      <c r="GW1083" s="451" t="n"/>
      <c r="GX1083" s="451" t="n"/>
      <c r="GY1083" s="451" t="n"/>
      <c r="HA1083" s="429" t="n">
        <v>170</v>
      </c>
      <c r="HB1083" s="431" t="n">
        <v>170</v>
      </c>
      <c r="HC1083" s="688" t="n"/>
      <c r="HD1083" s="431" t="n"/>
      <c r="HE1083" s="451" t="n"/>
      <c r="HF1083" s="451" t="n"/>
      <c r="HG1083" s="451" t="n"/>
    </row>
    <row r="1084">
      <c r="A1084" s="429" t="n">
        <v>171</v>
      </c>
      <c r="B1084" s="431" t="n">
        <v>171</v>
      </c>
      <c r="C1084" s="688" t="n"/>
      <c r="D1084" s="431" t="n"/>
      <c r="E1084" s="429" t="n"/>
      <c r="F1084" s="429" t="n"/>
      <c r="G1084" s="429" t="n"/>
      <c r="I1084" s="429" t="n">
        <v>171</v>
      </c>
      <c r="J1084" s="431" t="n">
        <v>171</v>
      </c>
      <c r="K1084" s="429" t="n"/>
      <c r="L1084" s="431" t="n"/>
      <c r="M1084" s="451" t="n"/>
      <c r="N1084" s="422">
        <f>'CIRCUIT SIM'!Y174</f>
        <v/>
      </c>
      <c r="O1084" s="451" t="n"/>
      <c r="Q1084" s="429" t="n">
        <v>171</v>
      </c>
      <c r="R1084" s="431" t="n">
        <v>171</v>
      </c>
      <c r="S1084" s="429" t="n"/>
      <c r="T1084" s="431" t="n"/>
      <c r="U1084" s="429" t="n"/>
      <c r="V1084" s="386">
        <f>'CIRCUIT SIM'!AO174</f>
        <v/>
      </c>
      <c r="W1084" s="451" t="n"/>
      <c r="Y1084" s="429" t="n">
        <v>171</v>
      </c>
      <c r="Z1084" s="431" t="n">
        <v>171</v>
      </c>
      <c r="AA1084" s="429" t="n"/>
      <c r="AB1084" s="431" t="n"/>
      <c r="AC1084" s="451" t="n"/>
      <c r="AD1084" s="451" t="n"/>
      <c r="AE1084" s="451" t="n"/>
      <c r="AG1084" s="429" t="n">
        <v>171</v>
      </c>
      <c r="AH1084" s="431" t="n">
        <v>171</v>
      </c>
      <c r="AI1084" s="429" t="n"/>
      <c r="AJ1084" s="431" t="n"/>
      <c r="AK1084" s="451" t="n"/>
      <c r="AL1084" s="451" t="n"/>
      <c r="AM1084" s="451" t="n"/>
      <c r="AO1084" s="429" t="n">
        <v>171</v>
      </c>
      <c r="AP1084" s="431" t="n">
        <v>171</v>
      </c>
      <c r="AQ1084" s="429" t="n"/>
      <c r="AR1084" s="431" t="n"/>
      <c r="AS1084" s="451" t="n"/>
      <c r="AT1084" s="451" t="n"/>
      <c r="AU1084" s="451" t="n"/>
      <c r="AW1084" s="429" t="n">
        <v>171</v>
      </c>
      <c r="AX1084" s="431" t="n">
        <v>171</v>
      </c>
      <c r="AY1084" s="429" t="n"/>
      <c r="AZ1084" s="431" t="n"/>
      <c r="BA1084" s="451" t="n"/>
      <c r="BB1084" s="451" t="n"/>
      <c r="BC1084" s="451" t="n"/>
      <c r="BE1084" s="429" t="n">
        <v>171</v>
      </c>
      <c r="BF1084" s="431" t="n"/>
      <c r="BG1084" s="429" t="n"/>
      <c r="BH1084" s="431" t="n"/>
      <c r="BI1084" s="451" t="n"/>
      <c r="BJ1084" s="451" t="n"/>
      <c r="BK1084" s="451" t="n"/>
      <c r="BM1084" s="429" t="n">
        <v>171</v>
      </c>
      <c r="BN1084" s="431" t="n">
        <v>171</v>
      </c>
      <c r="BO1084" s="429" t="n"/>
      <c r="BP1084" s="431" t="n"/>
      <c r="BQ1084" s="451" t="n"/>
      <c r="BR1084" s="451" t="n"/>
      <c r="BS1084" s="451" t="n"/>
      <c r="BU1084" s="429" t="n">
        <v>171</v>
      </c>
      <c r="BV1084" s="431" t="n">
        <v>171</v>
      </c>
      <c r="BW1084" s="429" t="n"/>
      <c r="BX1084" s="431" t="n"/>
      <c r="BY1084" s="451" t="n"/>
      <c r="BZ1084" s="451">
        <f>'CIRCUIT SIM'!EI174</f>
        <v/>
      </c>
      <c r="CA1084" s="451" t="n"/>
      <c r="CC1084" s="429" t="n">
        <v>171</v>
      </c>
      <c r="CD1084" s="431" t="n">
        <v>171</v>
      </c>
      <c r="CE1084" s="688" t="n"/>
      <c r="CF1084" s="431" t="n"/>
      <c r="CG1084" s="451" t="n"/>
      <c r="CH1084" s="562">
        <f>'CIRCUIT SIM'!LK174</f>
        <v/>
      </c>
      <c r="CI1084" s="451" t="n"/>
      <c r="CK1084" s="429" t="n">
        <v>171</v>
      </c>
      <c r="CL1084" s="431" t="n">
        <v>171</v>
      </c>
      <c r="CM1084" s="688" t="n"/>
      <c r="CN1084" s="431" t="n"/>
      <c r="CO1084" s="451" t="n"/>
      <c r="CP1084" s="451" t="n"/>
      <c r="CQ1084" s="451" t="n"/>
      <c r="CS1084" s="429" t="n">
        <v>171</v>
      </c>
      <c r="CT1084" s="431" t="n">
        <v>171</v>
      </c>
      <c r="CU1084" s="688" t="n"/>
      <c r="CV1084" s="431" t="inlineStr">
        <is>
          <t>Boolean</t>
        </is>
      </c>
      <c r="CW1084" s="451" t="n"/>
      <c r="CX1084" s="451">
        <f>'CIRCUIT SIM'!MQ174</f>
        <v/>
      </c>
      <c r="CY1084" s="451" t="n"/>
      <c r="DA1084" s="429" t="n">
        <v>171</v>
      </c>
      <c r="DB1084" s="431" t="n">
        <v>171</v>
      </c>
      <c r="DC1084" s="688" t="n"/>
      <c r="DD1084" s="431" t="n"/>
      <c r="DE1084" s="451" t="n"/>
      <c r="DF1084" s="451" t="n"/>
      <c r="DG1084" s="451" t="n"/>
      <c r="DI1084" s="429" t="n">
        <v>171</v>
      </c>
      <c r="DJ1084" s="431" t="n">
        <v>171</v>
      </c>
      <c r="DK1084" s="688" t="n"/>
      <c r="DL1084" s="431" t="n"/>
      <c r="DM1084" s="429" t="n"/>
      <c r="DN1084" s="451" t="n"/>
      <c r="DO1084" s="451" t="n"/>
      <c r="DQ1084" s="429" t="n">
        <v>171</v>
      </c>
      <c r="DR1084" s="431" t="n">
        <v>171</v>
      </c>
      <c r="DS1084" s="688" t="n"/>
      <c r="DT1084" s="431" t="n"/>
      <c r="DU1084" s="451" t="n"/>
      <c r="DV1084" s="451" t="n"/>
      <c r="DW1084" s="451" t="n"/>
      <c r="DY1084" s="429" t="n">
        <v>171</v>
      </c>
      <c r="DZ1084" s="431" t="n">
        <v>171</v>
      </c>
      <c r="EA1084" s="688" t="n"/>
      <c r="EB1084" s="431" t="n"/>
      <c r="EC1084" s="451" t="n"/>
      <c r="ED1084" s="451" t="n"/>
      <c r="EE1084" s="451" t="n"/>
      <c r="EG1084" s="429" t="n">
        <v>171</v>
      </c>
      <c r="EH1084" s="431" t="n">
        <v>171</v>
      </c>
      <c r="EI1084" s="688" t="n"/>
      <c r="EJ1084" s="431" t="n"/>
      <c r="EK1084" s="451" t="n"/>
      <c r="EL1084" s="451" t="n"/>
      <c r="EM1084" s="451" t="n"/>
      <c r="EO1084" s="429" t="n">
        <v>171</v>
      </c>
      <c r="EP1084" s="431" t="n">
        <v>171</v>
      </c>
      <c r="EQ1084" s="688" t="n"/>
      <c r="ER1084" s="431" t="n"/>
      <c r="ES1084" s="451" t="n"/>
      <c r="ET1084" s="451" t="n"/>
      <c r="EU1084" s="451" t="n"/>
      <c r="EW1084" s="429" t="n">
        <v>171</v>
      </c>
      <c r="EX1084" s="431" t="n">
        <v>171</v>
      </c>
      <c r="EY1084" s="688" t="n"/>
      <c r="EZ1084" s="431" t="n"/>
      <c r="FA1084" s="451" t="n"/>
      <c r="FB1084" s="451" t="n"/>
      <c r="FC1084" s="451" t="n"/>
      <c r="FE1084" s="429" t="n">
        <v>171</v>
      </c>
      <c r="FF1084" s="431" t="n">
        <v>171</v>
      </c>
      <c r="FG1084" s="688" t="n"/>
      <c r="FH1084" s="431" t="n"/>
      <c r="FI1084" s="451" t="n"/>
      <c r="FJ1084" s="451" t="n"/>
      <c r="FK1084" s="451" t="n"/>
      <c r="FM1084" s="429" t="n">
        <v>171</v>
      </c>
      <c r="FN1084" s="431" t="n">
        <v>171</v>
      </c>
      <c r="FO1084" s="688" t="n"/>
      <c r="FP1084" s="431" t="n"/>
      <c r="FQ1084" s="451" t="n"/>
      <c r="FR1084" s="451">
        <f>'CIRCUIT SIM'!KY174</f>
        <v/>
      </c>
      <c r="FS1084" s="451" t="n"/>
      <c r="FU1084" s="429" t="n">
        <v>171</v>
      </c>
      <c r="FV1084" s="431" t="n">
        <v>171</v>
      </c>
      <c r="FW1084" s="688" t="n"/>
      <c r="FX1084" s="431" t="n"/>
      <c r="FY1084" s="451" t="n"/>
      <c r="FZ1084" s="562">
        <f>'CIRCUIT SIM'!JG174</f>
        <v/>
      </c>
      <c r="GA1084" s="451" t="n"/>
      <c r="GC1084" s="429" t="n">
        <v>171</v>
      </c>
      <c r="GD1084" s="431" t="n">
        <v>171</v>
      </c>
      <c r="GE1084" s="688" t="n"/>
      <c r="GF1084" s="431" t="n"/>
      <c r="GG1084" s="451" t="n"/>
      <c r="GH1084" s="451" t="n"/>
      <c r="GI1084" s="451" t="n"/>
      <c r="GK1084" s="429" t="n">
        <v>171</v>
      </c>
      <c r="GL1084" s="431" t="n">
        <v>171</v>
      </c>
      <c r="GM1084" s="688" t="n"/>
      <c r="GN1084" s="431" t="n"/>
      <c r="GO1084" s="451" t="n"/>
      <c r="GP1084" s="451" t="n"/>
      <c r="GQ1084" s="451" t="n"/>
      <c r="GS1084" s="429" t="n">
        <v>171</v>
      </c>
      <c r="GT1084" s="431" t="n">
        <v>171</v>
      </c>
      <c r="GU1084" s="688" t="n"/>
      <c r="GV1084" s="431" t="n"/>
      <c r="GW1084" s="451" t="n"/>
      <c r="GX1084" s="451" t="n"/>
      <c r="GY1084" s="451" t="n"/>
      <c r="HA1084" s="429" t="n">
        <v>171</v>
      </c>
      <c r="HB1084" s="431" t="n">
        <v>171</v>
      </c>
      <c r="HC1084" s="688" t="n"/>
      <c r="HD1084" s="431" t="n"/>
      <c r="HE1084" s="451" t="n"/>
      <c r="HF1084" s="451" t="n"/>
      <c r="HG1084" s="451" t="n"/>
    </row>
    <row r="1085">
      <c r="A1085" s="429" t="n">
        <v>172</v>
      </c>
      <c r="B1085" s="431" t="n">
        <v>172</v>
      </c>
      <c r="C1085" s="688" t="n"/>
      <c r="D1085" s="431" t="n"/>
      <c r="E1085" s="429" t="n"/>
      <c r="F1085" s="429" t="n"/>
      <c r="G1085" s="429" t="n"/>
      <c r="I1085" s="429" t="n">
        <v>172</v>
      </c>
      <c r="J1085" s="431" t="n">
        <v>172</v>
      </c>
      <c r="K1085" s="429" t="n"/>
      <c r="L1085" s="431" t="n"/>
      <c r="M1085" s="451" t="n"/>
      <c r="N1085" s="422">
        <f>'CIRCUIT SIM'!Y175</f>
        <v/>
      </c>
      <c r="O1085" s="451" t="n"/>
      <c r="Q1085" s="429" t="n">
        <v>172</v>
      </c>
      <c r="R1085" s="431" t="n">
        <v>172</v>
      </c>
      <c r="S1085" s="429" t="n"/>
      <c r="T1085" s="431" t="n"/>
      <c r="U1085" s="429" t="n"/>
      <c r="V1085" s="386">
        <f>'CIRCUIT SIM'!AO175</f>
        <v/>
      </c>
      <c r="W1085" s="451" t="n"/>
      <c r="Y1085" s="429" t="n">
        <v>172</v>
      </c>
      <c r="Z1085" s="431" t="n">
        <v>172</v>
      </c>
      <c r="AA1085" s="429" t="n"/>
      <c r="AB1085" s="431" t="n"/>
      <c r="AC1085" s="451" t="n"/>
      <c r="AD1085" s="451" t="n"/>
      <c r="AE1085" s="451" t="n"/>
      <c r="AG1085" s="429" t="n">
        <v>172</v>
      </c>
      <c r="AH1085" s="431" t="n">
        <v>172</v>
      </c>
      <c r="AI1085" s="429" t="n"/>
      <c r="AJ1085" s="431" t="n"/>
      <c r="AK1085" s="451" t="n"/>
      <c r="AL1085" s="451" t="n"/>
      <c r="AM1085" s="451" t="n"/>
      <c r="AO1085" s="429" t="n">
        <v>172</v>
      </c>
      <c r="AP1085" s="431" t="n">
        <v>172</v>
      </c>
      <c r="AQ1085" s="429" t="n"/>
      <c r="AR1085" s="431" t="n"/>
      <c r="AS1085" s="451" t="n"/>
      <c r="AT1085" s="451" t="n"/>
      <c r="AU1085" s="451" t="n"/>
      <c r="AW1085" s="429" t="n">
        <v>172</v>
      </c>
      <c r="AX1085" s="431" t="n">
        <v>172</v>
      </c>
      <c r="AY1085" s="429" t="n"/>
      <c r="AZ1085" s="431" t="n"/>
      <c r="BA1085" s="451" t="n"/>
      <c r="BB1085" s="451" t="n"/>
      <c r="BC1085" s="451" t="n"/>
      <c r="BE1085" s="429" t="n">
        <v>172</v>
      </c>
      <c r="BF1085" s="431" t="n"/>
      <c r="BG1085" s="429" t="n"/>
      <c r="BH1085" s="431" t="n"/>
      <c r="BI1085" s="451" t="n"/>
      <c r="BJ1085" s="451" t="n"/>
      <c r="BK1085" s="451" t="n"/>
      <c r="BM1085" s="429" t="n">
        <v>172</v>
      </c>
      <c r="BN1085" s="431" t="n">
        <v>172</v>
      </c>
      <c r="BO1085" s="429" t="n"/>
      <c r="BP1085" s="431" t="n"/>
      <c r="BQ1085" s="451" t="n"/>
      <c r="BR1085" s="451" t="n"/>
      <c r="BS1085" s="451" t="n"/>
      <c r="BU1085" s="429" t="n">
        <v>172</v>
      </c>
      <c r="BV1085" s="431" t="n">
        <v>172</v>
      </c>
      <c r="BW1085" s="429" t="n"/>
      <c r="BX1085" s="431" t="n"/>
      <c r="BY1085" s="451" t="n"/>
      <c r="BZ1085" s="451">
        <f>'CIRCUIT SIM'!EI175</f>
        <v/>
      </c>
      <c r="CA1085" s="451" t="n"/>
      <c r="CC1085" s="429" t="n">
        <v>172</v>
      </c>
      <c r="CD1085" s="431" t="n">
        <v>172</v>
      </c>
      <c r="CE1085" s="688" t="n"/>
      <c r="CF1085" s="431" t="n"/>
      <c r="CG1085" s="451" t="n"/>
      <c r="CH1085" s="562">
        <f>'CIRCUIT SIM'!LK175</f>
        <v/>
      </c>
      <c r="CI1085" s="451" t="n"/>
      <c r="CK1085" s="429" t="n">
        <v>172</v>
      </c>
      <c r="CL1085" s="431" t="n">
        <v>172</v>
      </c>
      <c r="CM1085" s="688" t="n"/>
      <c r="CN1085" s="431" t="n"/>
      <c r="CO1085" s="451" t="n"/>
      <c r="CP1085" s="451" t="n"/>
      <c r="CQ1085" s="451" t="n"/>
      <c r="CS1085" s="429" t="n">
        <v>172</v>
      </c>
      <c r="CT1085" s="431" t="n">
        <v>172</v>
      </c>
      <c r="CU1085" s="688" t="n"/>
      <c r="CV1085" s="431" t="inlineStr">
        <is>
          <t>Boolean</t>
        </is>
      </c>
      <c r="CW1085" s="451" t="n"/>
      <c r="CX1085" s="451">
        <f>'CIRCUIT SIM'!MQ175</f>
        <v/>
      </c>
      <c r="CY1085" s="451" t="n"/>
      <c r="DA1085" s="429" t="n">
        <v>172</v>
      </c>
      <c r="DB1085" s="431" t="n">
        <v>172</v>
      </c>
      <c r="DC1085" s="688" t="n"/>
      <c r="DD1085" s="431" t="n"/>
      <c r="DE1085" s="451" t="n"/>
      <c r="DF1085" s="451" t="n"/>
      <c r="DG1085" s="451" t="n"/>
      <c r="DI1085" s="429" t="n">
        <v>172</v>
      </c>
      <c r="DJ1085" s="431" t="n">
        <v>172</v>
      </c>
      <c r="DK1085" s="688" t="n"/>
      <c r="DL1085" s="431" t="n"/>
      <c r="DM1085" s="429" t="n"/>
      <c r="DN1085" s="451" t="n"/>
      <c r="DO1085" s="451" t="n"/>
      <c r="DQ1085" s="429" t="n">
        <v>172</v>
      </c>
      <c r="DR1085" s="431" t="n">
        <v>172</v>
      </c>
      <c r="DS1085" s="688" t="n"/>
      <c r="DT1085" s="431" t="n"/>
      <c r="DU1085" s="451" t="n"/>
      <c r="DV1085" s="451" t="n"/>
      <c r="DW1085" s="451" t="n"/>
      <c r="DY1085" s="429" t="n">
        <v>172</v>
      </c>
      <c r="DZ1085" s="431" t="n">
        <v>172</v>
      </c>
      <c r="EA1085" s="688" t="n"/>
      <c r="EB1085" s="431" t="n"/>
      <c r="EC1085" s="451" t="n"/>
      <c r="ED1085" s="451" t="n"/>
      <c r="EE1085" s="451" t="n"/>
      <c r="EG1085" s="429" t="n">
        <v>172</v>
      </c>
      <c r="EH1085" s="431" t="n">
        <v>172</v>
      </c>
      <c r="EI1085" s="688" t="n"/>
      <c r="EJ1085" s="431" t="n"/>
      <c r="EK1085" s="451" t="n"/>
      <c r="EL1085" s="451" t="n"/>
      <c r="EM1085" s="451" t="n"/>
      <c r="EO1085" s="429" t="n">
        <v>172</v>
      </c>
      <c r="EP1085" s="431" t="n">
        <v>172</v>
      </c>
      <c r="EQ1085" s="688" t="n"/>
      <c r="ER1085" s="431" t="n"/>
      <c r="ES1085" s="451" t="n"/>
      <c r="ET1085" s="451" t="n"/>
      <c r="EU1085" s="451" t="n"/>
      <c r="EW1085" s="429" t="n">
        <v>172</v>
      </c>
      <c r="EX1085" s="431" t="n">
        <v>172</v>
      </c>
      <c r="EY1085" s="688" t="n"/>
      <c r="EZ1085" s="431" t="n"/>
      <c r="FA1085" s="451" t="n"/>
      <c r="FB1085" s="451" t="n"/>
      <c r="FC1085" s="451" t="n"/>
      <c r="FE1085" s="429" t="n">
        <v>172</v>
      </c>
      <c r="FF1085" s="431" t="n">
        <v>172</v>
      </c>
      <c r="FG1085" s="688" t="n"/>
      <c r="FH1085" s="431" t="n"/>
      <c r="FI1085" s="451" t="n"/>
      <c r="FJ1085" s="451" t="n"/>
      <c r="FK1085" s="451" t="n"/>
      <c r="FM1085" s="429" t="n">
        <v>172</v>
      </c>
      <c r="FN1085" s="431" t="n">
        <v>172</v>
      </c>
      <c r="FO1085" s="688" t="n"/>
      <c r="FP1085" s="431" t="n"/>
      <c r="FQ1085" s="451" t="n"/>
      <c r="FR1085" s="451">
        <f>'CIRCUIT SIM'!KY175</f>
        <v/>
      </c>
      <c r="FS1085" s="451" t="n"/>
      <c r="FU1085" s="429" t="n">
        <v>172</v>
      </c>
      <c r="FV1085" s="431" t="n">
        <v>172</v>
      </c>
      <c r="FW1085" s="688" t="n"/>
      <c r="FX1085" s="431" t="n"/>
      <c r="FY1085" s="451" t="n"/>
      <c r="FZ1085" s="562">
        <f>'CIRCUIT SIM'!JG175</f>
        <v/>
      </c>
      <c r="GA1085" s="451" t="n"/>
      <c r="GC1085" s="429" t="n">
        <v>172</v>
      </c>
      <c r="GD1085" s="431" t="n">
        <v>172</v>
      </c>
      <c r="GE1085" s="688" t="n"/>
      <c r="GF1085" s="431" t="n"/>
      <c r="GG1085" s="451" t="n"/>
      <c r="GH1085" s="451" t="n"/>
      <c r="GI1085" s="451" t="n"/>
      <c r="GK1085" s="429" t="n">
        <v>172</v>
      </c>
      <c r="GL1085" s="431" t="n">
        <v>172</v>
      </c>
      <c r="GM1085" s="688" t="n"/>
      <c r="GN1085" s="431" t="n"/>
      <c r="GO1085" s="451" t="n"/>
      <c r="GP1085" s="451" t="n"/>
      <c r="GQ1085" s="451" t="n"/>
      <c r="GS1085" s="429" t="n">
        <v>172</v>
      </c>
      <c r="GT1085" s="431" t="n">
        <v>172</v>
      </c>
      <c r="GU1085" s="688" t="n"/>
      <c r="GV1085" s="431" t="n"/>
      <c r="GW1085" s="451" t="n"/>
      <c r="GX1085" s="451" t="n"/>
      <c r="GY1085" s="451" t="n"/>
      <c r="HA1085" s="429" t="n">
        <v>172</v>
      </c>
      <c r="HB1085" s="431" t="n">
        <v>172</v>
      </c>
      <c r="HC1085" s="688" t="n"/>
      <c r="HD1085" s="431" t="n"/>
      <c r="HE1085" s="451" t="n"/>
      <c r="HF1085" s="451" t="n"/>
      <c r="HG1085" s="451" t="n"/>
    </row>
    <row r="1086">
      <c r="A1086" s="429" t="n">
        <v>173</v>
      </c>
      <c r="B1086" s="431" t="n">
        <v>173</v>
      </c>
      <c r="C1086" s="688" t="n"/>
      <c r="D1086" s="431" t="n"/>
      <c r="E1086" s="429" t="n"/>
      <c r="F1086" s="429" t="n"/>
      <c r="G1086" s="429" t="n"/>
      <c r="I1086" s="429" t="n">
        <v>173</v>
      </c>
      <c r="J1086" s="431" t="n">
        <v>173</v>
      </c>
      <c r="K1086" s="429" t="n"/>
      <c r="L1086" s="431" t="n"/>
      <c r="M1086" s="451" t="n"/>
      <c r="N1086" s="422">
        <f>'CIRCUIT SIM'!Y176</f>
        <v/>
      </c>
      <c r="O1086" s="451" t="n"/>
      <c r="Q1086" s="429" t="n">
        <v>173</v>
      </c>
      <c r="R1086" s="431" t="n">
        <v>173</v>
      </c>
      <c r="S1086" s="429" t="n"/>
      <c r="T1086" s="431" t="n"/>
      <c r="U1086" s="429" t="n"/>
      <c r="V1086" s="386">
        <f>'CIRCUIT SIM'!AO176</f>
        <v/>
      </c>
      <c r="W1086" s="451" t="n"/>
      <c r="Y1086" s="429" t="n">
        <v>173</v>
      </c>
      <c r="Z1086" s="431" t="n">
        <v>173</v>
      </c>
      <c r="AA1086" s="429" t="n"/>
      <c r="AB1086" s="431" t="n"/>
      <c r="AC1086" s="451" t="n"/>
      <c r="AD1086" s="451" t="n"/>
      <c r="AE1086" s="451" t="n"/>
      <c r="AG1086" s="429" t="n">
        <v>173</v>
      </c>
      <c r="AH1086" s="431" t="n">
        <v>173</v>
      </c>
      <c r="AI1086" s="429" t="n"/>
      <c r="AJ1086" s="431" t="n"/>
      <c r="AK1086" s="451" t="n"/>
      <c r="AL1086" s="451" t="n"/>
      <c r="AM1086" s="451" t="n"/>
      <c r="AO1086" s="429" t="n">
        <v>173</v>
      </c>
      <c r="AP1086" s="431" t="n">
        <v>173</v>
      </c>
      <c r="AQ1086" s="429" t="n"/>
      <c r="AR1086" s="431" t="n"/>
      <c r="AS1086" s="451" t="n"/>
      <c r="AT1086" s="451" t="n"/>
      <c r="AU1086" s="451" t="n"/>
      <c r="AW1086" s="429" t="n">
        <v>173</v>
      </c>
      <c r="AX1086" s="431" t="n">
        <v>173</v>
      </c>
      <c r="AY1086" s="429" t="n"/>
      <c r="AZ1086" s="431" t="n"/>
      <c r="BA1086" s="451" t="n"/>
      <c r="BB1086" s="451" t="n"/>
      <c r="BC1086" s="451" t="n"/>
      <c r="BE1086" s="429" t="n">
        <v>173</v>
      </c>
      <c r="BF1086" s="431" t="n"/>
      <c r="BG1086" s="429" t="n"/>
      <c r="BH1086" s="431" t="n"/>
      <c r="BI1086" s="451" t="n"/>
      <c r="BJ1086" s="451" t="n"/>
      <c r="BK1086" s="451" t="n"/>
      <c r="BM1086" s="429" t="n">
        <v>173</v>
      </c>
      <c r="BN1086" s="431" t="n">
        <v>173</v>
      </c>
      <c r="BO1086" s="429" t="n"/>
      <c r="BP1086" s="431" t="n"/>
      <c r="BQ1086" s="451" t="n"/>
      <c r="BR1086" s="451" t="n"/>
      <c r="BS1086" s="451" t="n"/>
      <c r="BU1086" s="429" t="n">
        <v>173</v>
      </c>
      <c r="BV1086" s="431" t="n">
        <v>173</v>
      </c>
      <c r="BW1086" s="429" t="n"/>
      <c r="BX1086" s="431" t="n"/>
      <c r="BY1086" s="451" t="n"/>
      <c r="BZ1086" s="451">
        <f>'CIRCUIT SIM'!EI176</f>
        <v/>
      </c>
      <c r="CA1086" s="451" t="n"/>
      <c r="CC1086" s="429" t="n">
        <v>173</v>
      </c>
      <c r="CD1086" s="431" t="n">
        <v>173</v>
      </c>
      <c r="CE1086" s="688" t="n"/>
      <c r="CF1086" s="431" t="n"/>
      <c r="CG1086" s="451" t="n"/>
      <c r="CH1086" s="562">
        <f>'CIRCUIT SIM'!LK176</f>
        <v/>
      </c>
      <c r="CI1086" s="451" t="n"/>
      <c r="CK1086" s="429" t="n">
        <v>173</v>
      </c>
      <c r="CL1086" s="431" t="n">
        <v>173</v>
      </c>
      <c r="CM1086" s="688" t="n"/>
      <c r="CN1086" s="431" t="n"/>
      <c r="CO1086" s="451" t="n"/>
      <c r="CP1086" s="451" t="n"/>
      <c r="CQ1086" s="451" t="n"/>
      <c r="CS1086" s="429" t="n">
        <v>173</v>
      </c>
      <c r="CT1086" s="431" t="n">
        <v>173</v>
      </c>
      <c r="CU1086" s="688" t="n"/>
      <c r="CV1086" s="431" t="inlineStr">
        <is>
          <t>Boolean</t>
        </is>
      </c>
      <c r="CW1086" s="451" t="n"/>
      <c r="CX1086" s="451">
        <f>'CIRCUIT SIM'!MQ176</f>
        <v/>
      </c>
      <c r="CY1086" s="451" t="n"/>
      <c r="DA1086" s="429" t="n">
        <v>173</v>
      </c>
      <c r="DB1086" s="431" t="n">
        <v>173</v>
      </c>
      <c r="DC1086" s="688" t="n"/>
      <c r="DD1086" s="431" t="n"/>
      <c r="DE1086" s="451" t="n"/>
      <c r="DF1086" s="451" t="n"/>
      <c r="DG1086" s="451" t="n"/>
      <c r="DI1086" s="429" t="n">
        <v>173</v>
      </c>
      <c r="DJ1086" s="431" t="n">
        <v>173</v>
      </c>
      <c r="DK1086" s="688" t="n"/>
      <c r="DL1086" s="431" t="n"/>
      <c r="DM1086" s="429" t="n"/>
      <c r="DN1086" s="451" t="n"/>
      <c r="DO1086" s="451" t="n"/>
      <c r="DQ1086" s="429" t="n">
        <v>173</v>
      </c>
      <c r="DR1086" s="431" t="n">
        <v>173</v>
      </c>
      <c r="DS1086" s="688" t="n"/>
      <c r="DT1086" s="431" t="n"/>
      <c r="DU1086" s="451" t="n"/>
      <c r="DV1086" s="451" t="n"/>
      <c r="DW1086" s="451" t="n"/>
      <c r="DY1086" s="429" t="n">
        <v>173</v>
      </c>
      <c r="DZ1086" s="431" t="n">
        <v>173</v>
      </c>
      <c r="EA1086" s="688" t="n"/>
      <c r="EB1086" s="431" t="n"/>
      <c r="EC1086" s="451" t="n"/>
      <c r="ED1086" s="451" t="n"/>
      <c r="EE1086" s="451" t="n"/>
      <c r="EG1086" s="429" t="n">
        <v>173</v>
      </c>
      <c r="EH1086" s="431" t="n">
        <v>173</v>
      </c>
      <c r="EI1086" s="688" t="n"/>
      <c r="EJ1086" s="431" t="n"/>
      <c r="EK1086" s="451" t="n"/>
      <c r="EL1086" s="451" t="n"/>
      <c r="EM1086" s="451" t="n"/>
      <c r="EO1086" s="429" t="n">
        <v>173</v>
      </c>
      <c r="EP1086" s="431" t="n">
        <v>173</v>
      </c>
      <c r="EQ1086" s="688" t="n"/>
      <c r="ER1086" s="431" t="n"/>
      <c r="ES1086" s="451" t="n"/>
      <c r="ET1086" s="451" t="n"/>
      <c r="EU1086" s="451" t="n"/>
      <c r="EW1086" s="429" t="n">
        <v>173</v>
      </c>
      <c r="EX1086" s="431" t="n">
        <v>173</v>
      </c>
      <c r="EY1086" s="688" t="n"/>
      <c r="EZ1086" s="431" t="n"/>
      <c r="FA1086" s="451" t="n"/>
      <c r="FB1086" s="451" t="n"/>
      <c r="FC1086" s="451" t="n"/>
      <c r="FE1086" s="429" t="n">
        <v>173</v>
      </c>
      <c r="FF1086" s="431" t="n">
        <v>173</v>
      </c>
      <c r="FG1086" s="688" t="n"/>
      <c r="FH1086" s="431" t="n"/>
      <c r="FI1086" s="451" t="n"/>
      <c r="FJ1086" s="451" t="n"/>
      <c r="FK1086" s="451" t="n"/>
      <c r="FM1086" s="429" t="n">
        <v>173</v>
      </c>
      <c r="FN1086" s="431" t="n">
        <v>173</v>
      </c>
      <c r="FO1086" s="688" t="n"/>
      <c r="FP1086" s="431" t="n"/>
      <c r="FQ1086" s="451" t="n"/>
      <c r="FR1086" s="451">
        <f>'CIRCUIT SIM'!KY176</f>
        <v/>
      </c>
      <c r="FS1086" s="451" t="n"/>
      <c r="FU1086" s="429" t="n">
        <v>173</v>
      </c>
      <c r="FV1086" s="431" t="n">
        <v>173</v>
      </c>
      <c r="FW1086" s="688" t="n"/>
      <c r="FX1086" s="431" t="n"/>
      <c r="FY1086" s="451" t="n"/>
      <c r="FZ1086" s="562">
        <f>'CIRCUIT SIM'!JG176</f>
        <v/>
      </c>
      <c r="GA1086" s="451" t="n"/>
      <c r="GC1086" s="429" t="n">
        <v>173</v>
      </c>
      <c r="GD1086" s="431" t="n">
        <v>173</v>
      </c>
      <c r="GE1086" s="688" t="n"/>
      <c r="GF1086" s="431" t="n"/>
      <c r="GG1086" s="451" t="n"/>
      <c r="GH1086" s="451" t="n"/>
      <c r="GI1086" s="451" t="n"/>
      <c r="GK1086" s="429" t="n">
        <v>173</v>
      </c>
      <c r="GL1086" s="431" t="n">
        <v>173</v>
      </c>
      <c r="GM1086" s="688" t="n"/>
      <c r="GN1086" s="431" t="n"/>
      <c r="GO1086" s="451" t="n"/>
      <c r="GP1086" s="451" t="n"/>
      <c r="GQ1086" s="451" t="n"/>
      <c r="GS1086" s="429" t="n">
        <v>173</v>
      </c>
      <c r="GT1086" s="431" t="n">
        <v>173</v>
      </c>
      <c r="GU1086" s="688" t="n"/>
      <c r="GV1086" s="431" t="n"/>
      <c r="GW1086" s="451" t="n"/>
      <c r="GX1086" s="451" t="n"/>
      <c r="GY1086" s="451" t="n"/>
      <c r="HA1086" s="429" t="n">
        <v>173</v>
      </c>
      <c r="HB1086" s="431" t="n">
        <v>173</v>
      </c>
      <c r="HC1086" s="688" t="n"/>
      <c r="HD1086" s="431" t="n"/>
      <c r="HE1086" s="451" t="n"/>
      <c r="HF1086" s="451" t="n"/>
      <c r="HG1086" s="451" t="n"/>
    </row>
    <row r="1087">
      <c r="A1087" s="429" t="n">
        <v>174</v>
      </c>
      <c r="B1087" s="431" t="n">
        <v>174</v>
      </c>
      <c r="C1087" s="688" t="n"/>
      <c r="D1087" s="431" t="n"/>
      <c r="E1087" s="429" t="n"/>
      <c r="F1087" s="429" t="n"/>
      <c r="G1087" s="429" t="n"/>
      <c r="I1087" s="429" t="n">
        <v>174</v>
      </c>
      <c r="J1087" s="431" t="n">
        <v>174</v>
      </c>
      <c r="K1087" s="429" t="n"/>
      <c r="L1087" s="431" t="n"/>
      <c r="M1087" s="451" t="n"/>
      <c r="N1087" s="422">
        <f>'CIRCUIT SIM'!Y177</f>
        <v/>
      </c>
      <c r="O1087" s="451" t="n"/>
      <c r="Q1087" s="429" t="n">
        <v>174</v>
      </c>
      <c r="R1087" s="431" t="n">
        <v>174</v>
      </c>
      <c r="S1087" s="429" t="n"/>
      <c r="T1087" s="431" t="n"/>
      <c r="U1087" s="429" t="n"/>
      <c r="V1087" s="386">
        <f>'CIRCUIT SIM'!AO177</f>
        <v/>
      </c>
      <c r="W1087" s="451" t="n"/>
      <c r="Y1087" s="429" t="n">
        <v>174</v>
      </c>
      <c r="Z1087" s="431" t="n">
        <v>174</v>
      </c>
      <c r="AA1087" s="429" t="n"/>
      <c r="AB1087" s="431" t="n"/>
      <c r="AC1087" s="451" t="n"/>
      <c r="AD1087" s="451" t="n"/>
      <c r="AE1087" s="451" t="n"/>
      <c r="AG1087" s="429" t="n">
        <v>174</v>
      </c>
      <c r="AH1087" s="431" t="n">
        <v>174</v>
      </c>
      <c r="AI1087" s="429" t="n"/>
      <c r="AJ1087" s="431" t="n"/>
      <c r="AK1087" s="451" t="n"/>
      <c r="AL1087" s="451" t="n"/>
      <c r="AM1087" s="451" t="n"/>
      <c r="AO1087" s="429" t="n">
        <v>174</v>
      </c>
      <c r="AP1087" s="431" t="n">
        <v>174</v>
      </c>
      <c r="AQ1087" s="429" t="n"/>
      <c r="AR1087" s="431" t="n"/>
      <c r="AS1087" s="451" t="n"/>
      <c r="AT1087" s="451" t="n"/>
      <c r="AU1087" s="451" t="n"/>
      <c r="AW1087" s="429" t="n">
        <v>174</v>
      </c>
      <c r="AX1087" s="431" t="n">
        <v>174</v>
      </c>
      <c r="AY1087" s="429" t="n"/>
      <c r="AZ1087" s="431" t="n"/>
      <c r="BA1087" s="451" t="n"/>
      <c r="BB1087" s="451" t="n"/>
      <c r="BC1087" s="451" t="n"/>
      <c r="BE1087" s="429" t="n">
        <v>174</v>
      </c>
      <c r="BF1087" s="431" t="n"/>
      <c r="BG1087" s="429" t="n"/>
      <c r="BH1087" s="431" t="n"/>
      <c r="BI1087" s="451" t="n"/>
      <c r="BJ1087" s="451" t="n"/>
      <c r="BK1087" s="451" t="n"/>
      <c r="BM1087" s="429" t="n">
        <v>174</v>
      </c>
      <c r="BN1087" s="431" t="n">
        <v>174</v>
      </c>
      <c r="BO1087" s="429" t="n"/>
      <c r="BP1087" s="431" t="n"/>
      <c r="BQ1087" s="451" t="n"/>
      <c r="BR1087" s="451" t="n"/>
      <c r="BS1087" s="451" t="n"/>
      <c r="BU1087" s="429" t="n">
        <v>174</v>
      </c>
      <c r="BV1087" s="431" t="n">
        <v>174</v>
      </c>
      <c r="BW1087" s="429" t="n"/>
      <c r="BX1087" s="431" t="n"/>
      <c r="BY1087" s="451" t="n"/>
      <c r="BZ1087" s="451">
        <f>'CIRCUIT SIM'!EI177</f>
        <v/>
      </c>
      <c r="CA1087" s="451" t="n"/>
      <c r="CC1087" s="429" t="n">
        <v>174</v>
      </c>
      <c r="CD1087" s="431" t="n">
        <v>174</v>
      </c>
      <c r="CE1087" s="688" t="n"/>
      <c r="CF1087" s="431" t="n"/>
      <c r="CG1087" s="451" t="n"/>
      <c r="CH1087" s="562">
        <f>'CIRCUIT SIM'!LK177</f>
        <v/>
      </c>
      <c r="CI1087" s="451" t="n"/>
      <c r="CK1087" s="429" t="n">
        <v>174</v>
      </c>
      <c r="CL1087" s="431" t="n">
        <v>174</v>
      </c>
      <c r="CM1087" s="688" t="n"/>
      <c r="CN1087" s="431" t="n"/>
      <c r="CO1087" s="451" t="n"/>
      <c r="CP1087" s="451" t="n"/>
      <c r="CQ1087" s="451" t="n"/>
      <c r="CS1087" s="429" t="n">
        <v>174</v>
      </c>
      <c r="CT1087" s="431" t="n">
        <v>174</v>
      </c>
      <c r="CU1087" s="688" t="n"/>
      <c r="CV1087" s="431" t="inlineStr">
        <is>
          <t>Boolean</t>
        </is>
      </c>
      <c r="CW1087" s="451" t="n"/>
      <c r="CX1087" s="451">
        <f>'CIRCUIT SIM'!MQ177</f>
        <v/>
      </c>
      <c r="CY1087" s="451" t="n"/>
      <c r="DA1087" s="429" t="n">
        <v>174</v>
      </c>
      <c r="DB1087" s="431" t="n">
        <v>174</v>
      </c>
      <c r="DC1087" s="688" t="n"/>
      <c r="DD1087" s="431" t="n"/>
      <c r="DE1087" s="451" t="n"/>
      <c r="DF1087" s="451" t="n"/>
      <c r="DG1087" s="451" t="n"/>
      <c r="DI1087" s="429" t="n">
        <v>174</v>
      </c>
      <c r="DJ1087" s="431" t="n">
        <v>174</v>
      </c>
      <c r="DK1087" s="688" t="n"/>
      <c r="DL1087" s="431" t="n"/>
      <c r="DM1087" s="429" t="n"/>
      <c r="DN1087" s="451" t="n"/>
      <c r="DO1087" s="451" t="n"/>
      <c r="DQ1087" s="429" t="n">
        <v>174</v>
      </c>
      <c r="DR1087" s="431" t="n">
        <v>174</v>
      </c>
      <c r="DS1087" s="688" t="n"/>
      <c r="DT1087" s="431" t="n"/>
      <c r="DU1087" s="451" t="n"/>
      <c r="DV1087" s="451" t="n"/>
      <c r="DW1087" s="451" t="n"/>
      <c r="DY1087" s="429" t="n">
        <v>174</v>
      </c>
      <c r="DZ1087" s="431" t="n">
        <v>174</v>
      </c>
      <c r="EA1087" s="688" t="n"/>
      <c r="EB1087" s="431" t="n"/>
      <c r="EC1087" s="451" t="n"/>
      <c r="ED1087" s="451" t="n"/>
      <c r="EE1087" s="451" t="n"/>
      <c r="EG1087" s="429" t="n">
        <v>174</v>
      </c>
      <c r="EH1087" s="431" t="n">
        <v>174</v>
      </c>
      <c r="EI1087" s="688" t="n"/>
      <c r="EJ1087" s="431" t="n"/>
      <c r="EK1087" s="451" t="n"/>
      <c r="EL1087" s="451" t="n"/>
      <c r="EM1087" s="451" t="n"/>
      <c r="EO1087" s="429" t="n">
        <v>174</v>
      </c>
      <c r="EP1087" s="431" t="n">
        <v>174</v>
      </c>
      <c r="EQ1087" s="688" t="n"/>
      <c r="ER1087" s="431" t="n"/>
      <c r="ES1087" s="451" t="n"/>
      <c r="ET1087" s="451" t="n"/>
      <c r="EU1087" s="451" t="n"/>
      <c r="EW1087" s="429" t="n">
        <v>174</v>
      </c>
      <c r="EX1087" s="431" t="n">
        <v>174</v>
      </c>
      <c r="EY1087" s="688" t="n"/>
      <c r="EZ1087" s="431" t="n"/>
      <c r="FA1087" s="451" t="n"/>
      <c r="FB1087" s="451" t="n"/>
      <c r="FC1087" s="451" t="n"/>
      <c r="FE1087" s="429" t="n">
        <v>174</v>
      </c>
      <c r="FF1087" s="431" t="n">
        <v>174</v>
      </c>
      <c r="FG1087" s="688" t="n"/>
      <c r="FH1087" s="431" t="n"/>
      <c r="FI1087" s="451" t="n"/>
      <c r="FJ1087" s="451" t="n"/>
      <c r="FK1087" s="451" t="n"/>
      <c r="FM1087" s="429" t="n">
        <v>174</v>
      </c>
      <c r="FN1087" s="431" t="n">
        <v>174</v>
      </c>
      <c r="FO1087" s="688" t="n"/>
      <c r="FP1087" s="431" t="n"/>
      <c r="FQ1087" s="451" t="n"/>
      <c r="FR1087" s="451">
        <f>'CIRCUIT SIM'!KY177</f>
        <v/>
      </c>
      <c r="FS1087" s="451" t="n"/>
      <c r="FU1087" s="429" t="n">
        <v>174</v>
      </c>
      <c r="FV1087" s="431" t="n">
        <v>174</v>
      </c>
      <c r="FW1087" s="688" t="n"/>
      <c r="FX1087" s="431" t="n"/>
      <c r="FY1087" s="451" t="n"/>
      <c r="FZ1087" s="562">
        <f>'CIRCUIT SIM'!JG177</f>
        <v/>
      </c>
      <c r="GA1087" s="451" t="n"/>
      <c r="GC1087" s="429" t="n">
        <v>174</v>
      </c>
      <c r="GD1087" s="431" t="n">
        <v>174</v>
      </c>
      <c r="GE1087" s="688" t="n"/>
      <c r="GF1087" s="431" t="n"/>
      <c r="GG1087" s="451" t="n"/>
      <c r="GH1087" s="451" t="n"/>
      <c r="GI1087" s="451" t="n"/>
      <c r="GK1087" s="429" t="n">
        <v>174</v>
      </c>
      <c r="GL1087" s="431" t="n">
        <v>174</v>
      </c>
      <c r="GM1087" s="688" t="n"/>
      <c r="GN1087" s="431" t="n"/>
      <c r="GO1087" s="451" t="n"/>
      <c r="GP1087" s="451" t="n"/>
      <c r="GQ1087" s="451" t="n"/>
      <c r="GS1087" s="429" t="n">
        <v>174</v>
      </c>
      <c r="GT1087" s="431" t="n">
        <v>174</v>
      </c>
      <c r="GU1087" s="688" t="n"/>
      <c r="GV1087" s="431" t="n"/>
      <c r="GW1087" s="451" t="n"/>
      <c r="GX1087" s="451" t="n"/>
      <c r="GY1087" s="451" t="n"/>
      <c r="HA1087" s="429" t="n">
        <v>174</v>
      </c>
      <c r="HB1087" s="431" t="n">
        <v>174</v>
      </c>
      <c r="HC1087" s="688" t="n"/>
      <c r="HD1087" s="431" t="n"/>
      <c r="HE1087" s="451" t="n"/>
      <c r="HF1087" s="451" t="n"/>
      <c r="HG1087" s="451" t="n"/>
    </row>
    <row r="1088">
      <c r="A1088" s="429" t="n">
        <v>175</v>
      </c>
      <c r="B1088" s="431" t="n">
        <v>175</v>
      </c>
      <c r="C1088" s="688" t="n"/>
      <c r="D1088" s="431" t="n"/>
      <c r="E1088" s="429" t="n"/>
      <c r="F1088" s="429" t="n"/>
      <c r="G1088" s="429" t="n"/>
      <c r="I1088" s="429" t="n">
        <v>175</v>
      </c>
      <c r="J1088" s="431" t="n">
        <v>175</v>
      </c>
      <c r="K1088" s="429" t="n"/>
      <c r="L1088" s="431" t="n"/>
      <c r="M1088" s="451" t="n"/>
      <c r="N1088" s="422">
        <f>'CIRCUIT SIM'!Y178</f>
        <v/>
      </c>
      <c r="O1088" s="451" t="n"/>
      <c r="Q1088" s="429" t="n">
        <v>175</v>
      </c>
      <c r="R1088" s="431" t="n">
        <v>175</v>
      </c>
      <c r="S1088" s="429" t="n"/>
      <c r="T1088" s="431" t="n"/>
      <c r="U1088" s="429" t="n"/>
      <c r="V1088" s="386">
        <f>'CIRCUIT SIM'!AO178</f>
        <v/>
      </c>
      <c r="W1088" s="451" t="n"/>
      <c r="Y1088" s="429" t="n">
        <v>175</v>
      </c>
      <c r="Z1088" s="431" t="n">
        <v>175</v>
      </c>
      <c r="AA1088" s="429" t="n"/>
      <c r="AB1088" s="431" t="n"/>
      <c r="AC1088" s="451" t="n"/>
      <c r="AD1088" s="451" t="n"/>
      <c r="AE1088" s="451" t="n"/>
      <c r="AG1088" s="429" t="n">
        <v>175</v>
      </c>
      <c r="AH1088" s="431" t="n">
        <v>175</v>
      </c>
      <c r="AI1088" s="429" t="n"/>
      <c r="AJ1088" s="431" t="n"/>
      <c r="AK1088" s="451" t="n"/>
      <c r="AL1088" s="451" t="n"/>
      <c r="AM1088" s="451" t="n"/>
      <c r="AO1088" s="429" t="n">
        <v>175</v>
      </c>
      <c r="AP1088" s="431" t="n">
        <v>175</v>
      </c>
      <c r="AQ1088" s="429" t="n"/>
      <c r="AR1088" s="431" t="n"/>
      <c r="AS1088" s="451" t="n"/>
      <c r="AT1088" s="451" t="n"/>
      <c r="AU1088" s="451" t="n"/>
      <c r="AW1088" s="429" t="n">
        <v>175</v>
      </c>
      <c r="AX1088" s="431" t="n">
        <v>175</v>
      </c>
      <c r="AY1088" s="429" t="n"/>
      <c r="AZ1088" s="431" t="n"/>
      <c r="BA1088" s="451" t="n"/>
      <c r="BB1088" s="451" t="n"/>
      <c r="BC1088" s="451" t="n"/>
      <c r="BE1088" s="429" t="n">
        <v>175</v>
      </c>
      <c r="BF1088" s="431" t="n"/>
      <c r="BG1088" s="429" t="n"/>
      <c r="BH1088" s="431" t="n"/>
      <c r="BI1088" s="451" t="n"/>
      <c r="BJ1088" s="451" t="n"/>
      <c r="BK1088" s="451" t="n"/>
      <c r="BM1088" s="429" t="n">
        <v>175</v>
      </c>
      <c r="BN1088" s="431" t="n">
        <v>175</v>
      </c>
      <c r="BO1088" s="429" t="n"/>
      <c r="BP1088" s="431" t="n"/>
      <c r="BQ1088" s="451" t="n"/>
      <c r="BR1088" s="451" t="n"/>
      <c r="BS1088" s="451" t="n"/>
      <c r="BU1088" s="429" t="n">
        <v>175</v>
      </c>
      <c r="BV1088" s="431" t="n">
        <v>175</v>
      </c>
      <c r="BW1088" s="429" t="n"/>
      <c r="BX1088" s="431" t="n"/>
      <c r="BY1088" s="451" t="n"/>
      <c r="BZ1088" s="451">
        <f>'CIRCUIT SIM'!EI178</f>
        <v/>
      </c>
      <c r="CA1088" s="451" t="n"/>
      <c r="CC1088" s="429" t="n">
        <v>175</v>
      </c>
      <c r="CD1088" s="431" t="n">
        <v>175</v>
      </c>
      <c r="CE1088" s="688" t="n"/>
      <c r="CF1088" s="431" t="n"/>
      <c r="CG1088" s="451" t="n"/>
      <c r="CH1088" s="562">
        <f>'CIRCUIT SIM'!LK178</f>
        <v/>
      </c>
      <c r="CI1088" s="451" t="n"/>
      <c r="CK1088" s="429" t="n">
        <v>175</v>
      </c>
      <c r="CL1088" s="431" t="n">
        <v>175</v>
      </c>
      <c r="CM1088" s="688" t="n"/>
      <c r="CN1088" s="431" t="n"/>
      <c r="CO1088" s="451" t="n"/>
      <c r="CP1088" s="451" t="n"/>
      <c r="CQ1088" s="451" t="n"/>
      <c r="CS1088" s="429" t="n">
        <v>175</v>
      </c>
      <c r="CT1088" s="431" t="n">
        <v>175</v>
      </c>
      <c r="CU1088" s="688" t="n"/>
      <c r="CV1088" s="431" t="n"/>
      <c r="CW1088" s="451" t="n"/>
      <c r="CX1088" s="451">
        <f>'CIRCUIT SIM'!MQ178</f>
        <v/>
      </c>
      <c r="CY1088" s="451" t="n"/>
      <c r="DA1088" s="429" t="n">
        <v>175</v>
      </c>
      <c r="DB1088" s="431" t="n">
        <v>175</v>
      </c>
      <c r="DC1088" s="688" t="n"/>
      <c r="DD1088" s="431" t="n"/>
      <c r="DE1088" s="451" t="n"/>
      <c r="DF1088" s="451" t="n"/>
      <c r="DG1088" s="451" t="n"/>
      <c r="DI1088" s="429" t="n">
        <v>175</v>
      </c>
      <c r="DJ1088" s="431" t="n">
        <v>175</v>
      </c>
      <c r="DK1088" s="688" t="n"/>
      <c r="DL1088" s="431" t="n"/>
      <c r="DM1088" s="429" t="n"/>
      <c r="DN1088" s="451" t="n"/>
      <c r="DO1088" s="451" t="n"/>
      <c r="DQ1088" s="429" t="n">
        <v>175</v>
      </c>
      <c r="DR1088" s="431" t="n">
        <v>175</v>
      </c>
      <c r="DS1088" s="688" t="n"/>
      <c r="DT1088" s="431" t="n"/>
      <c r="DU1088" s="451" t="n"/>
      <c r="DV1088" s="451" t="n"/>
      <c r="DW1088" s="451" t="n"/>
      <c r="DY1088" s="429" t="n">
        <v>175</v>
      </c>
      <c r="DZ1088" s="431" t="n">
        <v>175</v>
      </c>
      <c r="EA1088" s="688" t="n"/>
      <c r="EB1088" s="431" t="n"/>
      <c r="EC1088" s="451" t="n"/>
      <c r="ED1088" s="451" t="n"/>
      <c r="EE1088" s="451" t="n"/>
      <c r="EG1088" s="429" t="n">
        <v>175</v>
      </c>
      <c r="EH1088" s="431" t="n">
        <v>175</v>
      </c>
      <c r="EI1088" s="688" t="n"/>
      <c r="EJ1088" s="431" t="n"/>
      <c r="EK1088" s="451" t="n"/>
      <c r="EL1088" s="451" t="n"/>
      <c r="EM1088" s="451" t="n"/>
      <c r="EO1088" s="429" t="n">
        <v>175</v>
      </c>
      <c r="EP1088" s="431" t="n">
        <v>175</v>
      </c>
      <c r="EQ1088" s="688" t="n"/>
      <c r="ER1088" s="431" t="n"/>
      <c r="ES1088" s="451" t="n"/>
      <c r="ET1088" s="451" t="n"/>
      <c r="EU1088" s="451" t="n"/>
      <c r="EW1088" s="429" t="n">
        <v>175</v>
      </c>
      <c r="EX1088" s="431" t="n">
        <v>175</v>
      </c>
      <c r="EY1088" s="688" t="n"/>
      <c r="EZ1088" s="431" t="n"/>
      <c r="FA1088" s="451" t="n"/>
      <c r="FB1088" s="451" t="n"/>
      <c r="FC1088" s="451" t="n"/>
      <c r="FE1088" s="429" t="n">
        <v>175</v>
      </c>
      <c r="FF1088" s="431" t="n">
        <v>175</v>
      </c>
      <c r="FG1088" s="688" t="n"/>
      <c r="FH1088" s="431" t="n"/>
      <c r="FI1088" s="451" t="n"/>
      <c r="FJ1088" s="451" t="n"/>
      <c r="FK1088" s="451" t="n"/>
      <c r="FM1088" s="429" t="n">
        <v>175</v>
      </c>
      <c r="FN1088" s="431" t="n">
        <v>175</v>
      </c>
      <c r="FO1088" s="688" t="n"/>
      <c r="FP1088" s="431" t="n"/>
      <c r="FQ1088" s="451" t="n"/>
      <c r="FR1088" s="451">
        <f>'CIRCUIT SIM'!KY178</f>
        <v/>
      </c>
      <c r="FS1088" s="451" t="n"/>
      <c r="FU1088" s="429" t="n">
        <v>175</v>
      </c>
      <c r="FV1088" s="431" t="n">
        <v>175</v>
      </c>
      <c r="FW1088" s="688" t="n"/>
      <c r="FX1088" s="431" t="n"/>
      <c r="FY1088" s="451" t="n"/>
      <c r="FZ1088" s="562">
        <f>'CIRCUIT SIM'!JG178</f>
        <v/>
      </c>
      <c r="GA1088" s="451" t="n"/>
      <c r="GC1088" s="429" t="n">
        <v>175</v>
      </c>
      <c r="GD1088" s="431" t="n">
        <v>175</v>
      </c>
      <c r="GE1088" s="688" t="n"/>
      <c r="GF1088" s="431" t="n"/>
      <c r="GG1088" s="451" t="n"/>
      <c r="GH1088" s="451" t="n"/>
      <c r="GI1088" s="451" t="n"/>
      <c r="GK1088" s="429" t="n">
        <v>175</v>
      </c>
      <c r="GL1088" s="431" t="n">
        <v>175</v>
      </c>
      <c r="GM1088" s="688" t="n"/>
      <c r="GN1088" s="431" t="n"/>
      <c r="GO1088" s="451" t="n"/>
      <c r="GP1088" s="451" t="n"/>
      <c r="GQ1088" s="451" t="n"/>
      <c r="GS1088" s="429" t="n">
        <v>175</v>
      </c>
      <c r="GT1088" s="431" t="n">
        <v>175</v>
      </c>
      <c r="GU1088" s="688" t="n"/>
      <c r="GV1088" s="431" t="n"/>
      <c r="GW1088" s="451" t="n"/>
      <c r="GX1088" s="451" t="n"/>
      <c r="GY1088" s="451" t="n"/>
      <c r="HA1088" s="429" t="n">
        <v>175</v>
      </c>
      <c r="HB1088" s="431" t="n">
        <v>175</v>
      </c>
      <c r="HC1088" s="688" t="n"/>
      <c r="HD1088" s="431" t="n"/>
      <c r="HE1088" s="451" t="n"/>
      <c r="HF1088" s="451" t="n"/>
      <c r="HG1088" s="451" t="n"/>
    </row>
    <row r="1089">
      <c r="A1089" s="429" t="n">
        <v>176</v>
      </c>
      <c r="B1089" s="431" t="n">
        <v>176</v>
      </c>
      <c r="C1089" s="688" t="n"/>
      <c r="D1089" s="431" t="n"/>
      <c r="E1089" s="429" t="n"/>
      <c r="F1089" s="429" t="n"/>
      <c r="G1089" s="429" t="n"/>
      <c r="I1089" s="429" t="n">
        <v>176</v>
      </c>
      <c r="J1089" s="431" t="n">
        <v>176</v>
      </c>
      <c r="K1089" s="429" t="n"/>
      <c r="L1089" s="431" t="n"/>
      <c r="M1089" s="451" t="n"/>
      <c r="N1089" s="422">
        <f>'CIRCUIT SIM'!Y179</f>
        <v/>
      </c>
      <c r="O1089" s="451" t="n"/>
      <c r="Q1089" s="429" t="n">
        <v>176</v>
      </c>
      <c r="R1089" s="431" t="n">
        <v>176</v>
      </c>
      <c r="S1089" s="429" t="n"/>
      <c r="T1089" s="431" t="n"/>
      <c r="U1089" s="429" t="n"/>
      <c r="V1089" s="386">
        <f>'CIRCUIT SIM'!AO179</f>
        <v/>
      </c>
      <c r="W1089" s="451" t="n"/>
      <c r="Y1089" s="429" t="n">
        <v>176</v>
      </c>
      <c r="Z1089" s="431" t="n">
        <v>176</v>
      </c>
      <c r="AA1089" s="429" t="n"/>
      <c r="AB1089" s="431" t="n"/>
      <c r="AC1089" s="451" t="n"/>
      <c r="AD1089" s="451" t="n"/>
      <c r="AE1089" s="451" t="n"/>
      <c r="AG1089" s="429" t="n">
        <v>176</v>
      </c>
      <c r="AH1089" s="431" t="n">
        <v>176</v>
      </c>
      <c r="AI1089" s="429" t="n"/>
      <c r="AJ1089" s="431" t="n"/>
      <c r="AK1089" s="451" t="n"/>
      <c r="AL1089" s="451" t="n"/>
      <c r="AM1089" s="451" t="n"/>
      <c r="AO1089" s="429" t="n">
        <v>176</v>
      </c>
      <c r="AP1089" s="431" t="n">
        <v>176</v>
      </c>
      <c r="AQ1089" s="429" t="n"/>
      <c r="AR1089" s="431" t="n"/>
      <c r="AS1089" s="451" t="n"/>
      <c r="AT1089" s="451" t="n"/>
      <c r="AU1089" s="451" t="n"/>
      <c r="AW1089" s="429" t="n">
        <v>176</v>
      </c>
      <c r="AX1089" s="431" t="n">
        <v>176</v>
      </c>
      <c r="AY1089" s="429" t="n"/>
      <c r="AZ1089" s="431" t="n"/>
      <c r="BA1089" s="451" t="n"/>
      <c r="BB1089" s="451" t="n"/>
      <c r="BC1089" s="451" t="n"/>
      <c r="BE1089" s="429" t="n">
        <v>176</v>
      </c>
      <c r="BF1089" s="431" t="n"/>
      <c r="BG1089" s="429" t="n"/>
      <c r="BH1089" s="431" t="n"/>
      <c r="BI1089" s="451" t="n"/>
      <c r="BJ1089" s="451" t="n"/>
      <c r="BK1089" s="451" t="n"/>
      <c r="BM1089" s="429" t="n">
        <v>176</v>
      </c>
      <c r="BN1089" s="431" t="n">
        <v>176</v>
      </c>
      <c r="BO1089" s="429" t="n"/>
      <c r="BP1089" s="431" t="n"/>
      <c r="BQ1089" s="451" t="n"/>
      <c r="BR1089" s="451" t="n"/>
      <c r="BS1089" s="451" t="n"/>
      <c r="BU1089" s="429" t="n">
        <v>176</v>
      </c>
      <c r="BV1089" s="431" t="n">
        <v>176</v>
      </c>
      <c r="BW1089" s="429" t="n"/>
      <c r="BX1089" s="431" t="n"/>
      <c r="BY1089" s="451" t="n"/>
      <c r="BZ1089" s="451">
        <f>'CIRCUIT SIM'!EI179</f>
        <v/>
      </c>
      <c r="CA1089" s="451" t="n"/>
      <c r="CC1089" s="429" t="n">
        <v>176</v>
      </c>
      <c r="CD1089" s="431" t="n">
        <v>176</v>
      </c>
      <c r="CE1089" s="688" t="n"/>
      <c r="CF1089" s="431" t="n"/>
      <c r="CG1089" s="451" t="n"/>
      <c r="CH1089" s="562">
        <f>'CIRCUIT SIM'!LK179</f>
        <v/>
      </c>
      <c r="CI1089" s="451" t="n"/>
      <c r="CK1089" s="429" t="n">
        <v>176</v>
      </c>
      <c r="CL1089" s="431" t="n">
        <v>176</v>
      </c>
      <c r="CM1089" s="688" t="n"/>
      <c r="CN1089" s="431" t="n"/>
      <c r="CO1089" s="451" t="n"/>
      <c r="CP1089" s="451" t="n"/>
      <c r="CQ1089" s="451" t="n"/>
      <c r="CS1089" s="429" t="n">
        <v>176</v>
      </c>
      <c r="CT1089" s="431" t="n">
        <v>176</v>
      </c>
      <c r="CU1089" s="688" t="n"/>
      <c r="CV1089" s="431" t="n"/>
      <c r="CW1089" s="451" t="n"/>
      <c r="CX1089" s="451">
        <f>'CIRCUIT SIM'!MQ179</f>
        <v/>
      </c>
      <c r="CY1089" s="451" t="n"/>
      <c r="DA1089" s="429" t="n">
        <v>176</v>
      </c>
      <c r="DB1089" s="431" t="n">
        <v>176</v>
      </c>
      <c r="DC1089" s="688" t="n"/>
      <c r="DD1089" s="431" t="n"/>
      <c r="DE1089" s="451" t="n"/>
      <c r="DF1089" s="451" t="n"/>
      <c r="DG1089" s="451" t="n"/>
      <c r="DI1089" s="429" t="n">
        <v>176</v>
      </c>
      <c r="DJ1089" s="431" t="n">
        <v>176</v>
      </c>
      <c r="DK1089" s="688" t="n"/>
      <c r="DL1089" s="431" t="n"/>
      <c r="DM1089" s="429" t="n"/>
      <c r="DN1089" s="451" t="n"/>
      <c r="DO1089" s="451" t="n"/>
      <c r="DQ1089" s="429" t="n">
        <v>176</v>
      </c>
      <c r="DR1089" s="431" t="n">
        <v>176</v>
      </c>
      <c r="DS1089" s="688" t="n"/>
      <c r="DT1089" s="431" t="n"/>
      <c r="DU1089" s="451" t="n"/>
      <c r="DV1089" s="451" t="n"/>
      <c r="DW1089" s="451" t="n"/>
      <c r="DY1089" s="429" t="n">
        <v>176</v>
      </c>
      <c r="DZ1089" s="431" t="n">
        <v>176</v>
      </c>
      <c r="EA1089" s="688" t="n"/>
      <c r="EB1089" s="431" t="n"/>
      <c r="EC1089" s="451" t="n"/>
      <c r="ED1089" s="451" t="n"/>
      <c r="EE1089" s="451" t="n"/>
      <c r="EG1089" s="429" t="n">
        <v>176</v>
      </c>
      <c r="EH1089" s="431" t="n">
        <v>176</v>
      </c>
      <c r="EI1089" s="688" t="n"/>
      <c r="EJ1089" s="431" t="n"/>
      <c r="EK1089" s="451" t="n"/>
      <c r="EL1089" s="451" t="n"/>
      <c r="EM1089" s="451" t="n"/>
      <c r="EO1089" s="429" t="n">
        <v>176</v>
      </c>
      <c r="EP1089" s="431" t="n">
        <v>176</v>
      </c>
      <c r="EQ1089" s="688" t="n"/>
      <c r="ER1089" s="431" t="n"/>
      <c r="ES1089" s="451" t="n"/>
      <c r="ET1089" s="451" t="n"/>
      <c r="EU1089" s="451" t="n"/>
      <c r="EW1089" s="429" t="n">
        <v>176</v>
      </c>
      <c r="EX1089" s="431" t="n">
        <v>176</v>
      </c>
      <c r="EY1089" s="688" t="n"/>
      <c r="EZ1089" s="431" t="n"/>
      <c r="FA1089" s="451" t="n"/>
      <c r="FB1089" s="451" t="n"/>
      <c r="FC1089" s="451" t="n"/>
      <c r="FE1089" s="429" t="n">
        <v>176</v>
      </c>
      <c r="FF1089" s="431" t="n">
        <v>176</v>
      </c>
      <c r="FG1089" s="688" t="n"/>
      <c r="FH1089" s="431" t="n"/>
      <c r="FI1089" s="451" t="n"/>
      <c r="FJ1089" s="451" t="n"/>
      <c r="FK1089" s="451" t="n"/>
      <c r="FM1089" s="429" t="n">
        <v>176</v>
      </c>
      <c r="FN1089" s="431" t="n">
        <v>176</v>
      </c>
      <c r="FO1089" s="688" t="n"/>
      <c r="FP1089" s="431" t="n"/>
      <c r="FQ1089" s="451" t="n"/>
      <c r="FR1089" s="451">
        <f>'CIRCUIT SIM'!KY179</f>
        <v/>
      </c>
      <c r="FS1089" s="451" t="n"/>
      <c r="FU1089" s="429" t="n">
        <v>176</v>
      </c>
      <c r="FV1089" s="431" t="n">
        <v>176</v>
      </c>
      <c r="FW1089" s="688" t="n"/>
      <c r="FX1089" s="431" t="n"/>
      <c r="FY1089" s="451" t="n"/>
      <c r="FZ1089" s="562">
        <f>'CIRCUIT SIM'!JG179</f>
        <v/>
      </c>
      <c r="GA1089" s="451" t="n"/>
      <c r="GC1089" s="429" t="n">
        <v>176</v>
      </c>
      <c r="GD1089" s="431" t="n">
        <v>176</v>
      </c>
      <c r="GE1089" s="688" t="n"/>
      <c r="GF1089" s="431" t="n"/>
      <c r="GG1089" s="451" t="n"/>
      <c r="GH1089" s="451" t="n"/>
      <c r="GI1089" s="451" t="n"/>
      <c r="GK1089" s="429" t="n">
        <v>176</v>
      </c>
      <c r="GL1089" s="431" t="n">
        <v>176</v>
      </c>
      <c r="GM1089" s="688" t="n"/>
      <c r="GN1089" s="431" t="n"/>
      <c r="GO1089" s="451" t="n"/>
      <c r="GP1089" s="451" t="n"/>
      <c r="GQ1089" s="451" t="n"/>
      <c r="GS1089" s="429" t="n">
        <v>176</v>
      </c>
      <c r="GT1089" s="431" t="n">
        <v>176</v>
      </c>
      <c r="GU1089" s="688" t="n"/>
      <c r="GV1089" s="431" t="n"/>
      <c r="GW1089" s="451" t="n"/>
      <c r="GX1089" s="451" t="n"/>
      <c r="GY1089" s="451" t="n"/>
      <c r="HA1089" s="429" t="n">
        <v>176</v>
      </c>
      <c r="HB1089" s="431" t="n">
        <v>176</v>
      </c>
      <c r="HC1089" s="688" t="n"/>
      <c r="HD1089" s="431" t="n"/>
      <c r="HE1089" s="451" t="n"/>
      <c r="HF1089" s="451" t="n"/>
      <c r="HG1089" s="451" t="n"/>
    </row>
    <row r="1090">
      <c r="A1090" s="429" t="n">
        <v>177</v>
      </c>
      <c r="B1090" s="431" t="n">
        <v>177</v>
      </c>
      <c r="C1090" s="688" t="n"/>
      <c r="D1090" s="431" t="n"/>
      <c r="E1090" s="429" t="n"/>
      <c r="F1090" s="429" t="n"/>
      <c r="G1090" s="429" t="n"/>
      <c r="I1090" s="429" t="n">
        <v>177</v>
      </c>
      <c r="J1090" s="431" t="n">
        <v>177</v>
      </c>
      <c r="K1090" s="429" t="n"/>
      <c r="L1090" s="431" t="n"/>
      <c r="M1090" s="451" t="n"/>
      <c r="N1090" s="422">
        <f>'CIRCUIT SIM'!Y180</f>
        <v/>
      </c>
      <c r="O1090" s="451" t="n"/>
      <c r="Q1090" s="429" t="n">
        <v>177</v>
      </c>
      <c r="R1090" s="431" t="n">
        <v>177</v>
      </c>
      <c r="S1090" s="429" t="n"/>
      <c r="T1090" s="431" t="n"/>
      <c r="U1090" s="429" t="n"/>
      <c r="V1090" s="386">
        <f>'CIRCUIT SIM'!AO180</f>
        <v/>
      </c>
      <c r="W1090" s="451" t="n"/>
      <c r="Y1090" s="429" t="n">
        <v>177</v>
      </c>
      <c r="Z1090" s="431" t="n">
        <v>177</v>
      </c>
      <c r="AA1090" s="429" t="n"/>
      <c r="AB1090" s="431" t="n"/>
      <c r="AC1090" s="451" t="n"/>
      <c r="AD1090" s="451" t="n"/>
      <c r="AE1090" s="451" t="n"/>
      <c r="AG1090" s="429" t="n">
        <v>177</v>
      </c>
      <c r="AH1090" s="431" t="n">
        <v>177</v>
      </c>
      <c r="AI1090" s="429" t="n"/>
      <c r="AJ1090" s="431" t="n"/>
      <c r="AK1090" s="451" t="n"/>
      <c r="AL1090" s="451" t="n"/>
      <c r="AM1090" s="451" t="n"/>
      <c r="AO1090" s="429" t="n">
        <v>177</v>
      </c>
      <c r="AP1090" s="431" t="n">
        <v>177</v>
      </c>
      <c r="AQ1090" s="429" t="n"/>
      <c r="AR1090" s="431" t="n"/>
      <c r="AS1090" s="451" t="n"/>
      <c r="AT1090" s="451" t="n"/>
      <c r="AU1090" s="451" t="n"/>
      <c r="AW1090" s="429" t="n">
        <v>177</v>
      </c>
      <c r="AX1090" s="431" t="n">
        <v>177</v>
      </c>
      <c r="AY1090" s="429" t="n"/>
      <c r="AZ1090" s="431" t="n"/>
      <c r="BA1090" s="451" t="n"/>
      <c r="BB1090" s="451" t="n"/>
      <c r="BC1090" s="451" t="n"/>
      <c r="BE1090" s="429" t="n">
        <v>177</v>
      </c>
      <c r="BF1090" s="431" t="n"/>
      <c r="BG1090" s="429" t="n"/>
      <c r="BH1090" s="431" t="n"/>
      <c r="BI1090" s="451" t="n"/>
      <c r="BJ1090" s="451" t="n"/>
      <c r="BK1090" s="451" t="n"/>
      <c r="BM1090" s="429" t="n">
        <v>177</v>
      </c>
      <c r="BN1090" s="431" t="n">
        <v>177</v>
      </c>
      <c r="BO1090" s="429" t="n"/>
      <c r="BP1090" s="431" t="n"/>
      <c r="BQ1090" s="451" t="n"/>
      <c r="BR1090" s="451" t="n"/>
      <c r="BS1090" s="451" t="n"/>
      <c r="BU1090" s="429" t="n">
        <v>177</v>
      </c>
      <c r="BV1090" s="431" t="n">
        <v>177</v>
      </c>
      <c r="BW1090" s="429" t="n"/>
      <c r="BX1090" s="431" t="n"/>
      <c r="BY1090" s="451" t="n"/>
      <c r="BZ1090" s="451">
        <f>'CIRCUIT SIM'!EI180</f>
        <v/>
      </c>
      <c r="CA1090" s="451" t="n"/>
      <c r="CC1090" s="429" t="n">
        <v>177</v>
      </c>
      <c r="CD1090" s="431" t="n">
        <v>177</v>
      </c>
      <c r="CE1090" s="688" t="n"/>
      <c r="CF1090" s="431" t="n"/>
      <c r="CG1090" s="451" t="n"/>
      <c r="CH1090" s="562">
        <f>'CIRCUIT SIM'!LK180</f>
        <v/>
      </c>
      <c r="CI1090" s="451" t="n"/>
      <c r="CK1090" s="429" t="n">
        <v>177</v>
      </c>
      <c r="CL1090" s="431" t="n">
        <v>177</v>
      </c>
      <c r="CM1090" s="688" t="n"/>
      <c r="CN1090" s="431" t="n"/>
      <c r="CO1090" s="451" t="n"/>
      <c r="CP1090" s="451" t="n"/>
      <c r="CQ1090" s="451" t="n"/>
      <c r="CS1090" s="429" t="n">
        <v>177</v>
      </c>
      <c r="CT1090" s="431" t="n">
        <v>177</v>
      </c>
      <c r="CU1090" s="688" t="n"/>
      <c r="CV1090" s="431" t="n"/>
      <c r="CW1090" s="451" t="n"/>
      <c r="CX1090" s="451" t="n"/>
      <c r="CY1090" s="451" t="n"/>
      <c r="DA1090" s="429" t="n">
        <v>177</v>
      </c>
      <c r="DB1090" s="431" t="n">
        <v>177</v>
      </c>
      <c r="DC1090" s="688" t="n"/>
      <c r="DD1090" s="431" t="n"/>
      <c r="DE1090" s="451" t="n"/>
      <c r="DF1090" s="451" t="n"/>
      <c r="DG1090" s="451" t="n"/>
      <c r="DI1090" s="429" t="n">
        <v>177</v>
      </c>
      <c r="DJ1090" s="431" t="n">
        <v>177</v>
      </c>
      <c r="DK1090" s="688" t="n"/>
      <c r="DL1090" s="431" t="n"/>
      <c r="DM1090" s="429" t="n"/>
      <c r="DN1090" s="451" t="n"/>
      <c r="DO1090" s="451" t="n"/>
      <c r="DQ1090" s="429" t="n">
        <v>177</v>
      </c>
      <c r="DR1090" s="431" t="n">
        <v>177</v>
      </c>
      <c r="DS1090" s="688" t="n"/>
      <c r="DT1090" s="431" t="n"/>
      <c r="DU1090" s="451" t="n"/>
      <c r="DV1090" s="451" t="n"/>
      <c r="DW1090" s="451" t="n"/>
      <c r="DY1090" s="429" t="n">
        <v>177</v>
      </c>
      <c r="DZ1090" s="431" t="n">
        <v>177</v>
      </c>
      <c r="EA1090" s="688" t="n"/>
      <c r="EB1090" s="431" t="n"/>
      <c r="EC1090" s="451" t="n"/>
      <c r="ED1090" s="451" t="n"/>
      <c r="EE1090" s="451" t="n"/>
      <c r="EG1090" s="429" t="n">
        <v>177</v>
      </c>
      <c r="EH1090" s="431" t="n">
        <v>177</v>
      </c>
      <c r="EI1090" s="688" t="n"/>
      <c r="EJ1090" s="431" t="n"/>
      <c r="EK1090" s="451" t="n"/>
      <c r="EL1090" s="451" t="n"/>
      <c r="EM1090" s="451" t="n"/>
      <c r="EO1090" s="429" t="n">
        <v>177</v>
      </c>
      <c r="EP1090" s="431" t="n">
        <v>177</v>
      </c>
      <c r="EQ1090" s="688" t="n"/>
      <c r="ER1090" s="431" t="n"/>
      <c r="ES1090" s="451" t="n"/>
      <c r="ET1090" s="451" t="n"/>
      <c r="EU1090" s="451" t="n"/>
      <c r="EW1090" s="429" t="n">
        <v>177</v>
      </c>
      <c r="EX1090" s="431" t="n">
        <v>177</v>
      </c>
      <c r="EY1090" s="688" t="n"/>
      <c r="EZ1090" s="431" t="n"/>
      <c r="FA1090" s="451" t="n"/>
      <c r="FB1090" s="451" t="n"/>
      <c r="FC1090" s="451" t="n"/>
      <c r="FE1090" s="429" t="n">
        <v>177</v>
      </c>
      <c r="FF1090" s="431" t="n">
        <v>177</v>
      </c>
      <c r="FG1090" s="688" t="n"/>
      <c r="FH1090" s="431" t="n"/>
      <c r="FI1090" s="451" t="n"/>
      <c r="FJ1090" s="451" t="n"/>
      <c r="FK1090" s="451" t="n"/>
      <c r="FM1090" s="429" t="n">
        <v>177</v>
      </c>
      <c r="FN1090" s="431" t="n">
        <v>177</v>
      </c>
      <c r="FO1090" s="688" t="n"/>
      <c r="FP1090" s="431" t="n"/>
      <c r="FQ1090" s="451" t="n"/>
      <c r="FR1090" s="451">
        <f>'CIRCUIT SIM'!KY180</f>
        <v/>
      </c>
      <c r="FS1090" s="451" t="n"/>
      <c r="FU1090" s="429" t="n">
        <v>177</v>
      </c>
      <c r="FV1090" s="431" t="n">
        <v>177</v>
      </c>
      <c r="FW1090" s="688" t="n"/>
      <c r="FX1090" s="431" t="n"/>
      <c r="FY1090" s="451" t="n"/>
      <c r="FZ1090" s="562">
        <f>'CIRCUIT SIM'!JG180</f>
        <v/>
      </c>
      <c r="GA1090" s="451" t="n"/>
      <c r="GC1090" s="429" t="n">
        <v>177</v>
      </c>
      <c r="GD1090" s="431" t="n">
        <v>177</v>
      </c>
      <c r="GE1090" s="688" t="n"/>
      <c r="GF1090" s="431" t="n"/>
      <c r="GG1090" s="451" t="n"/>
      <c r="GH1090" s="451" t="n"/>
      <c r="GI1090" s="451" t="n"/>
      <c r="GK1090" s="429" t="n">
        <v>177</v>
      </c>
      <c r="GL1090" s="431" t="n">
        <v>177</v>
      </c>
      <c r="GM1090" s="688" t="n"/>
      <c r="GN1090" s="431" t="n"/>
      <c r="GO1090" s="451" t="n"/>
      <c r="GP1090" s="451" t="n"/>
      <c r="GQ1090" s="451" t="n"/>
      <c r="GS1090" s="429" t="n">
        <v>177</v>
      </c>
      <c r="GT1090" s="431" t="n">
        <v>177</v>
      </c>
      <c r="GU1090" s="688" t="n"/>
      <c r="GV1090" s="431" t="n"/>
      <c r="GW1090" s="451" t="n"/>
      <c r="GX1090" s="451" t="n"/>
      <c r="GY1090" s="451" t="n"/>
      <c r="HA1090" s="429" t="n">
        <v>177</v>
      </c>
      <c r="HB1090" s="431" t="n">
        <v>177</v>
      </c>
      <c r="HC1090" s="688" t="n"/>
      <c r="HD1090" s="431" t="n"/>
      <c r="HE1090" s="451" t="n"/>
      <c r="HF1090" s="451" t="n"/>
      <c r="HG1090" s="451" t="n"/>
    </row>
    <row r="1091">
      <c r="A1091" s="429" t="n">
        <v>178</v>
      </c>
      <c r="B1091" s="431" t="n">
        <v>178</v>
      </c>
      <c r="C1091" s="688" t="n"/>
      <c r="D1091" s="431" t="n"/>
      <c r="E1091" s="429" t="n"/>
      <c r="F1091" s="429" t="n"/>
      <c r="G1091" s="429" t="n"/>
      <c r="I1091" s="429" t="n">
        <v>178</v>
      </c>
      <c r="J1091" s="431" t="n">
        <v>178</v>
      </c>
      <c r="K1091" s="429" t="n"/>
      <c r="L1091" s="431" t="n"/>
      <c r="M1091" s="451" t="n"/>
      <c r="N1091" s="422">
        <f>'CIRCUIT SIM'!Y181</f>
        <v/>
      </c>
      <c r="O1091" s="451" t="n"/>
      <c r="Q1091" s="429" t="n">
        <v>178</v>
      </c>
      <c r="R1091" s="431" t="n">
        <v>178</v>
      </c>
      <c r="S1091" s="429" t="n"/>
      <c r="T1091" s="431" t="n"/>
      <c r="U1091" s="429" t="n"/>
      <c r="V1091" s="386">
        <f>'CIRCUIT SIM'!AO181</f>
        <v/>
      </c>
      <c r="W1091" s="451" t="n"/>
      <c r="Y1091" s="429" t="n">
        <v>178</v>
      </c>
      <c r="Z1091" s="431" t="n">
        <v>178</v>
      </c>
      <c r="AA1091" s="429" t="n"/>
      <c r="AB1091" s="431" t="n"/>
      <c r="AC1091" s="451" t="n"/>
      <c r="AD1091" s="451" t="n"/>
      <c r="AE1091" s="451" t="n"/>
      <c r="AG1091" s="429" t="n">
        <v>178</v>
      </c>
      <c r="AH1091" s="431" t="n">
        <v>178</v>
      </c>
      <c r="AI1091" s="429" t="n"/>
      <c r="AJ1091" s="431" t="n"/>
      <c r="AK1091" s="451" t="n"/>
      <c r="AL1091" s="451" t="n"/>
      <c r="AM1091" s="451" t="n"/>
      <c r="AO1091" s="429" t="n">
        <v>178</v>
      </c>
      <c r="AP1091" s="431" t="n">
        <v>178</v>
      </c>
      <c r="AQ1091" s="429" t="n"/>
      <c r="AR1091" s="431" t="n"/>
      <c r="AS1091" s="451" t="n"/>
      <c r="AT1091" s="451" t="n"/>
      <c r="AU1091" s="451" t="n"/>
      <c r="AW1091" s="429" t="n">
        <v>178</v>
      </c>
      <c r="AX1091" s="431" t="n">
        <v>178</v>
      </c>
      <c r="AY1091" s="429" t="n"/>
      <c r="AZ1091" s="431" t="n"/>
      <c r="BA1091" s="451" t="n"/>
      <c r="BB1091" s="451" t="n"/>
      <c r="BC1091" s="451" t="n"/>
      <c r="BE1091" s="429" t="n">
        <v>178</v>
      </c>
      <c r="BF1091" s="431" t="n"/>
      <c r="BG1091" s="429" t="n"/>
      <c r="BH1091" s="431" t="n"/>
      <c r="BI1091" s="451" t="n"/>
      <c r="BJ1091" s="451" t="n"/>
      <c r="BK1091" s="451" t="n"/>
      <c r="BM1091" s="429" t="n">
        <v>178</v>
      </c>
      <c r="BN1091" s="431" t="n">
        <v>178</v>
      </c>
      <c r="BO1091" s="429" t="n"/>
      <c r="BP1091" s="431" t="n"/>
      <c r="BQ1091" s="451" t="n"/>
      <c r="BR1091" s="451" t="n"/>
      <c r="BS1091" s="451" t="n"/>
      <c r="BU1091" s="429" t="n">
        <v>178</v>
      </c>
      <c r="BV1091" s="431" t="n">
        <v>178</v>
      </c>
      <c r="BW1091" s="429" t="n"/>
      <c r="BX1091" s="431" t="n"/>
      <c r="BY1091" s="451" t="n"/>
      <c r="BZ1091" s="451">
        <f>'CIRCUIT SIM'!EI181</f>
        <v/>
      </c>
      <c r="CA1091" s="451" t="n"/>
      <c r="CC1091" s="429" t="n">
        <v>178</v>
      </c>
      <c r="CD1091" s="431" t="n">
        <v>178</v>
      </c>
      <c r="CE1091" s="688" t="n"/>
      <c r="CF1091" s="431" t="n"/>
      <c r="CG1091" s="451" t="n"/>
      <c r="CH1091" s="562">
        <f>'CIRCUIT SIM'!LK181</f>
        <v/>
      </c>
      <c r="CI1091" s="451" t="n"/>
      <c r="CK1091" s="429" t="n">
        <v>178</v>
      </c>
      <c r="CL1091" s="431" t="n">
        <v>178</v>
      </c>
      <c r="CM1091" s="688" t="n"/>
      <c r="CN1091" s="431" t="n"/>
      <c r="CO1091" s="451" t="n"/>
      <c r="CP1091" s="451" t="n"/>
      <c r="CQ1091" s="451" t="n"/>
      <c r="CS1091" s="429" t="n">
        <v>178</v>
      </c>
      <c r="CT1091" s="431" t="n">
        <v>178</v>
      </c>
      <c r="CU1091" s="688" t="n"/>
      <c r="CV1091" s="431" t="n"/>
      <c r="CW1091" s="451" t="n"/>
      <c r="CX1091" s="451" t="n"/>
      <c r="CY1091" s="451" t="n"/>
      <c r="DA1091" s="429" t="n">
        <v>178</v>
      </c>
      <c r="DB1091" s="431" t="n">
        <v>178</v>
      </c>
      <c r="DC1091" s="688" t="n"/>
      <c r="DD1091" s="431" t="n"/>
      <c r="DE1091" s="451" t="n"/>
      <c r="DF1091" s="451" t="n"/>
      <c r="DG1091" s="451" t="n"/>
      <c r="DI1091" s="429" t="n">
        <v>178</v>
      </c>
      <c r="DJ1091" s="431" t="n">
        <v>178</v>
      </c>
      <c r="DK1091" s="688" t="n"/>
      <c r="DL1091" s="431" t="n"/>
      <c r="DM1091" s="429" t="n"/>
      <c r="DN1091" s="451" t="n"/>
      <c r="DO1091" s="451" t="n"/>
      <c r="DQ1091" s="429" t="n">
        <v>178</v>
      </c>
      <c r="DR1091" s="431" t="n">
        <v>178</v>
      </c>
      <c r="DS1091" s="688" t="n"/>
      <c r="DT1091" s="431" t="n"/>
      <c r="DU1091" s="451" t="n"/>
      <c r="DV1091" s="451" t="n"/>
      <c r="DW1091" s="451" t="n"/>
      <c r="DY1091" s="429" t="n">
        <v>178</v>
      </c>
      <c r="DZ1091" s="431" t="n">
        <v>178</v>
      </c>
      <c r="EA1091" s="688" t="n"/>
      <c r="EB1091" s="431" t="n"/>
      <c r="EC1091" s="451" t="n"/>
      <c r="ED1091" s="451" t="n"/>
      <c r="EE1091" s="451" t="n"/>
      <c r="EG1091" s="429" t="n">
        <v>178</v>
      </c>
      <c r="EH1091" s="431" t="n">
        <v>178</v>
      </c>
      <c r="EI1091" s="688" t="n"/>
      <c r="EJ1091" s="431" t="n"/>
      <c r="EK1091" s="451" t="n"/>
      <c r="EL1091" s="451" t="n"/>
      <c r="EM1091" s="451" t="n"/>
      <c r="EO1091" s="429" t="n">
        <v>178</v>
      </c>
      <c r="EP1091" s="431" t="n">
        <v>178</v>
      </c>
      <c r="EQ1091" s="688" t="n"/>
      <c r="ER1091" s="431" t="n"/>
      <c r="ES1091" s="451" t="n"/>
      <c r="ET1091" s="451" t="n"/>
      <c r="EU1091" s="451" t="n"/>
      <c r="EW1091" s="429" t="n">
        <v>178</v>
      </c>
      <c r="EX1091" s="431" t="n">
        <v>178</v>
      </c>
      <c r="EY1091" s="688" t="n"/>
      <c r="EZ1091" s="431" t="n"/>
      <c r="FA1091" s="451" t="n"/>
      <c r="FB1091" s="451" t="n"/>
      <c r="FC1091" s="451" t="n"/>
      <c r="FE1091" s="429" t="n">
        <v>178</v>
      </c>
      <c r="FF1091" s="431" t="n">
        <v>178</v>
      </c>
      <c r="FG1091" s="688" t="n"/>
      <c r="FH1091" s="431" t="n"/>
      <c r="FI1091" s="451" t="n"/>
      <c r="FJ1091" s="451" t="n"/>
      <c r="FK1091" s="451" t="n"/>
      <c r="FM1091" s="429" t="n">
        <v>178</v>
      </c>
      <c r="FN1091" s="431" t="n">
        <v>178</v>
      </c>
      <c r="FO1091" s="688" t="n"/>
      <c r="FP1091" s="431" t="n"/>
      <c r="FQ1091" s="451" t="n"/>
      <c r="FR1091" s="451">
        <f>'CIRCUIT SIM'!KY181</f>
        <v/>
      </c>
      <c r="FS1091" s="451" t="n"/>
      <c r="FU1091" s="429" t="n">
        <v>178</v>
      </c>
      <c r="FV1091" s="431" t="n">
        <v>178</v>
      </c>
      <c r="FW1091" s="688" t="n"/>
      <c r="FX1091" s="431" t="n"/>
      <c r="FY1091" s="451" t="n"/>
      <c r="FZ1091" s="562">
        <f>'CIRCUIT SIM'!JG181</f>
        <v/>
      </c>
      <c r="GA1091" s="451" t="n"/>
      <c r="GC1091" s="429" t="n">
        <v>178</v>
      </c>
      <c r="GD1091" s="431" t="n">
        <v>178</v>
      </c>
      <c r="GE1091" s="688" t="n"/>
      <c r="GF1091" s="431" t="n"/>
      <c r="GG1091" s="451" t="n"/>
      <c r="GH1091" s="451" t="n"/>
      <c r="GI1091" s="451" t="n"/>
      <c r="GK1091" s="429" t="n">
        <v>178</v>
      </c>
      <c r="GL1091" s="431" t="n">
        <v>178</v>
      </c>
      <c r="GM1091" s="688" t="n"/>
      <c r="GN1091" s="431" t="n"/>
      <c r="GO1091" s="451" t="n"/>
      <c r="GP1091" s="451" t="n"/>
      <c r="GQ1091" s="451" t="n"/>
      <c r="GS1091" s="429" t="n">
        <v>178</v>
      </c>
      <c r="GT1091" s="431" t="n">
        <v>178</v>
      </c>
      <c r="GU1091" s="688" t="n"/>
      <c r="GV1091" s="431" t="n"/>
      <c r="GW1091" s="451" t="n"/>
      <c r="GX1091" s="451" t="n"/>
      <c r="GY1091" s="451" t="n"/>
      <c r="HA1091" s="429" t="n">
        <v>178</v>
      </c>
      <c r="HB1091" s="431" t="n">
        <v>178</v>
      </c>
      <c r="HC1091" s="688" t="n"/>
      <c r="HD1091" s="431" t="n"/>
      <c r="HE1091" s="451" t="n"/>
      <c r="HF1091" s="451" t="n"/>
      <c r="HG1091" s="451" t="n"/>
    </row>
    <row r="1092">
      <c r="A1092" s="429" t="n">
        <v>179</v>
      </c>
      <c r="B1092" s="431" t="n">
        <v>179</v>
      </c>
      <c r="C1092" s="688" t="n"/>
      <c r="D1092" s="431" t="n"/>
      <c r="E1092" s="429" t="n"/>
      <c r="F1092" s="429" t="n"/>
      <c r="G1092" s="429" t="n"/>
      <c r="I1092" s="429" t="n">
        <v>179</v>
      </c>
      <c r="J1092" s="431" t="n">
        <v>179</v>
      </c>
      <c r="K1092" s="429" t="n"/>
      <c r="L1092" s="431" t="n"/>
      <c r="M1092" s="451" t="n"/>
      <c r="N1092" s="422">
        <f>'CIRCUIT SIM'!Y182</f>
        <v/>
      </c>
      <c r="O1092" s="451" t="n"/>
      <c r="Q1092" s="429" t="n">
        <v>179</v>
      </c>
      <c r="R1092" s="431" t="n">
        <v>179</v>
      </c>
      <c r="S1092" s="429" t="n"/>
      <c r="T1092" s="431" t="n"/>
      <c r="U1092" s="429" t="n"/>
      <c r="V1092" s="386">
        <f>'CIRCUIT SIM'!AO182</f>
        <v/>
      </c>
      <c r="W1092" s="451" t="n"/>
      <c r="Y1092" s="429" t="n">
        <v>179</v>
      </c>
      <c r="Z1092" s="431" t="n">
        <v>179</v>
      </c>
      <c r="AA1092" s="429" t="n"/>
      <c r="AB1092" s="431" t="n"/>
      <c r="AC1092" s="451" t="n"/>
      <c r="AD1092" s="451" t="n"/>
      <c r="AE1092" s="451" t="n"/>
      <c r="AG1092" s="429" t="n">
        <v>179</v>
      </c>
      <c r="AH1092" s="431" t="n">
        <v>179</v>
      </c>
      <c r="AI1092" s="429" t="n"/>
      <c r="AJ1092" s="431" t="n"/>
      <c r="AK1092" s="451" t="n"/>
      <c r="AL1092" s="451" t="n"/>
      <c r="AM1092" s="451" t="n"/>
      <c r="AO1092" s="429" t="n">
        <v>179</v>
      </c>
      <c r="AP1092" s="431" t="n">
        <v>179</v>
      </c>
      <c r="AQ1092" s="429" t="n"/>
      <c r="AR1092" s="431" t="n"/>
      <c r="AS1092" s="451" t="n"/>
      <c r="AT1092" s="451" t="n"/>
      <c r="AU1092" s="451" t="n"/>
      <c r="AW1092" s="429" t="n">
        <v>179</v>
      </c>
      <c r="AX1092" s="431" t="n">
        <v>179</v>
      </c>
      <c r="AY1092" s="429" t="n"/>
      <c r="AZ1092" s="431" t="n"/>
      <c r="BA1092" s="451" t="n"/>
      <c r="BB1092" s="451" t="n"/>
      <c r="BC1092" s="451" t="n"/>
      <c r="BE1092" s="429" t="n">
        <v>179</v>
      </c>
      <c r="BF1092" s="431" t="n"/>
      <c r="BG1092" s="429" t="n"/>
      <c r="BH1092" s="431" t="n"/>
      <c r="BI1092" s="451" t="n"/>
      <c r="BJ1092" s="451" t="n"/>
      <c r="BK1092" s="451" t="n"/>
      <c r="BM1092" s="429" t="n">
        <v>179</v>
      </c>
      <c r="BN1092" s="431" t="n">
        <v>179</v>
      </c>
      <c r="BO1092" s="429" t="n"/>
      <c r="BP1092" s="431" t="n"/>
      <c r="BQ1092" s="451" t="n"/>
      <c r="BR1092" s="451" t="n"/>
      <c r="BS1092" s="451" t="n"/>
      <c r="BU1092" s="429" t="n">
        <v>179</v>
      </c>
      <c r="BV1092" s="431" t="n">
        <v>179</v>
      </c>
      <c r="BW1092" s="429" t="n"/>
      <c r="BX1092" s="431" t="n"/>
      <c r="BY1092" s="451" t="n"/>
      <c r="BZ1092" s="451">
        <f>'CIRCUIT SIM'!EI182</f>
        <v/>
      </c>
      <c r="CA1092" s="451" t="n"/>
      <c r="CC1092" s="429" t="n">
        <v>179</v>
      </c>
      <c r="CD1092" s="431" t="n">
        <v>179</v>
      </c>
      <c r="CE1092" s="688" t="n"/>
      <c r="CF1092" s="431" t="n"/>
      <c r="CG1092" s="451" t="n"/>
      <c r="CH1092" s="562">
        <f>'CIRCUIT SIM'!LK182</f>
        <v/>
      </c>
      <c r="CI1092" s="451" t="n"/>
      <c r="CK1092" s="429" t="n">
        <v>179</v>
      </c>
      <c r="CL1092" s="431" t="n">
        <v>179</v>
      </c>
      <c r="CM1092" s="688" t="n"/>
      <c r="CN1092" s="431" t="n"/>
      <c r="CO1092" s="451" t="n"/>
      <c r="CP1092" s="451" t="n"/>
      <c r="CQ1092" s="451" t="n"/>
      <c r="CS1092" s="429" t="n">
        <v>179</v>
      </c>
      <c r="CT1092" s="431" t="n">
        <v>179</v>
      </c>
      <c r="CU1092" s="688" t="n"/>
      <c r="CV1092" s="431" t="n"/>
      <c r="CW1092" s="451" t="n"/>
      <c r="CX1092" s="451" t="n"/>
      <c r="CY1092" s="451" t="n"/>
      <c r="DA1092" s="429" t="n">
        <v>179</v>
      </c>
      <c r="DB1092" s="431" t="n">
        <v>179</v>
      </c>
      <c r="DC1092" s="688" t="n"/>
      <c r="DD1092" s="431" t="n"/>
      <c r="DE1092" s="451" t="n"/>
      <c r="DF1092" s="451" t="n"/>
      <c r="DG1092" s="451" t="n"/>
      <c r="DI1092" s="429" t="n">
        <v>179</v>
      </c>
      <c r="DJ1092" s="431" t="n">
        <v>179</v>
      </c>
      <c r="DK1092" s="688" t="n"/>
      <c r="DL1092" s="431" t="n"/>
      <c r="DM1092" s="429" t="n"/>
      <c r="DN1092" s="451" t="n"/>
      <c r="DO1092" s="451" t="n"/>
      <c r="DQ1092" s="429" t="n">
        <v>179</v>
      </c>
      <c r="DR1092" s="431" t="n">
        <v>179</v>
      </c>
      <c r="DS1092" s="688" t="n"/>
      <c r="DT1092" s="431" t="n"/>
      <c r="DU1092" s="451" t="n"/>
      <c r="DV1092" s="451" t="n"/>
      <c r="DW1092" s="451" t="n"/>
      <c r="DY1092" s="429" t="n">
        <v>179</v>
      </c>
      <c r="DZ1092" s="431" t="n">
        <v>179</v>
      </c>
      <c r="EA1092" s="688" t="n"/>
      <c r="EB1092" s="431" t="n"/>
      <c r="EC1092" s="451" t="n"/>
      <c r="ED1092" s="451" t="n"/>
      <c r="EE1092" s="451" t="n"/>
      <c r="EG1092" s="429" t="n">
        <v>179</v>
      </c>
      <c r="EH1092" s="431" t="n">
        <v>179</v>
      </c>
      <c r="EI1092" s="688" t="n"/>
      <c r="EJ1092" s="431" t="n"/>
      <c r="EK1092" s="451" t="n"/>
      <c r="EL1092" s="451" t="n"/>
      <c r="EM1092" s="451" t="n"/>
      <c r="EO1092" s="429" t="n">
        <v>179</v>
      </c>
      <c r="EP1092" s="431" t="n">
        <v>179</v>
      </c>
      <c r="EQ1092" s="688" t="n"/>
      <c r="ER1092" s="431" t="n"/>
      <c r="ES1092" s="451" t="n"/>
      <c r="ET1092" s="451" t="n"/>
      <c r="EU1092" s="451" t="n"/>
      <c r="EW1092" s="429" t="n">
        <v>179</v>
      </c>
      <c r="EX1092" s="431" t="n">
        <v>179</v>
      </c>
      <c r="EY1092" s="688" t="n"/>
      <c r="EZ1092" s="431" t="n"/>
      <c r="FA1092" s="451" t="n"/>
      <c r="FB1092" s="451" t="n"/>
      <c r="FC1092" s="451" t="n"/>
      <c r="FE1092" s="429" t="n">
        <v>179</v>
      </c>
      <c r="FF1092" s="431" t="n">
        <v>179</v>
      </c>
      <c r="FG1092" s="688" t="n"/>
      <c r="FH1092" s="431" t="n"/>
      <c r="FI1092" s="451" t="n"/>
      <c r="FJ1092" s="451" t="n"/>
      <c r="FK1092" s="451" t="n"/>
      <c r="FM1092" s="429" t="n">
        <v>179</v>
      </c>
      <c r="FN1092" s="431" t="n">
        <v>179</v>
      </c>
      <c r="FO1092" s="688" t="n"/>
      <c r="FP1092" s="431" t="n"/>
      <c r="FQ1092" s="451" t="n"/>
      <c r="FR1092" s="451">
        <f>'CIRCUIT SIM'!KY182</f>
        <v/>
      </c>
      <c r="FS1092" s="451" t="n"/>
      <c r="FU1092" s="429" t="n">
        <v>179</v>
      </c>
      <c r="FV1092" s="431" t="n">
        <v>179</v>
      </c>
      <c r="FW1092" s="688" t="n"/>
      <c r="FX1092" s="431" t="n"/>
      <c r="FY1092" s="451" t="n"/>
      <c r="FZ1092" s="562">
        <f>'CIRCUIT SIM'!JG182</f>
        <v/>
      </c>
      <c r="GA1092" s="451" t="n"/>
      <c r="GC1092" s="429" t="n">
        <v>179</v>
      </c>
      <c r="GD1092" s="431" t="n">
        <v>179</v>
      </c>
      <c r="GE1092" s="688" t="n"/>
      <c r="GF1092" s="431" t="n"/>
      <c r="GG1092" s="451" t="n"/>
      <c r="GH1092" s="451" t="n"/>
      <c r="GI1092" s="451" t="n"/>
      <c r="GK1092" s="429" t="n">
        <v>179</v>
      </c>
      <c r="GL1092" s="431" t="n">
        <v>179</v>
      </c>
      <c r="GM1092" s="688" t="n"/>
      <c r="GN1092" s="431" t="n"/>
      <c r="GO1092" s="451" t="n"/>
      <c r="GP1092" s="451" t="n"/>
      <c r="GQ1092" s="451" t="n"/>
      <c r="GS1092" s="429" t="n">
        <v>179</v>
      </c>
      <c r="GT1092" s="431" t="n">
        <v>179</v>
      </c>
      <c r="GU1092" s="688" t="n"/>
      <c r="GV1092" s="431" t="n"/>
      <c r="GW1092" s="451" t="n"/>
      <c r="GX1092" s="451" t="n"/>
      <c r="GY1092" s="451" t="n"/>
      <c r="HA1092" s="429" t="n">
        <v>179</v>
      </c>
      <c r="HB1092" s="431" t="n">
        <v>179</v>
      </c>
      <c r="HC1092" s="688" t="n"/>
      <c r="HD1092" s="431" t="n"/>
      <c r="HE1092" s="451" t="n"/>
      <c r="HF1092" s="451" t="n"/>
      <c r="HG1092" s="451" t="n"/>
    </row>
    <row r="1093">
      <c r="A1093" s="429" t="n">
        <v>180</v>
      </c>
      <c r="B1093" s="431" t="n">
        <v>180</v>
      </c>
      <c r="C1093" s="688" t="n"/>
      <c r="D1093" s="431" t="n"/>
      <c r="E1093" s="429" t="n"/>
      <c r="F1093" s="429" t="n"/>
      <c r="G1093" s="429" t="n"/>
      <c r="I1093" s="429" t="n">
        <v>180</v>
      </c>
      <c r="J1093" s="431" t="n">
        <v>180</v>
      </c>
      <c r="K1093" s="429" t="n"/>
      <c r="L1093" s="431" t="n"/>
      <c r="M1093" s="451" t="n"/>
      <c r="N1093" s="422">
        <f>'CIRCUIT SIM'!Y183</f>
        <v/>
      </c>
      <c r="O1093" s="451" t="n"/>
      <c r="Q1093" s="429" t="n">
        <v>180</v>
      </c>
      <c r="R1093" s="431" t="n">
        <v>180</v>
      </c>
      <c r="S1093" s="429" t="n"/>
      <c r="T1093" s="431" t="n"/>
      <c r="U1093" s="429" t="n"/>
      <c r="V1093" s="386">
        <f>'CIRCUIT SIM'!AO183</f>
        <v/>
      </c>
      <c r="W1093" s="451" t="n"/>
      <c r="Y1093" s="429" t="n">
        <v>180</v>
      </c>
      <c r="Z1093" s="431" t="n">
        <v>180</v>
      </c>
      <c r="AA1093" s="429" t="n"/>
      <c r="AB1093" s="431" t="n"/>
      <c r="AC1093" s="451" t="n"/>
      <c r="AD1093" s="451" t="n"/>
      <c r="AE1093" s="451" t="n"/>
      <c r="AG1093" s="429" t="n">
        <v>180</v>
      </c>
      <c r="AH1093" s="431" t="n">
        <v>180</v>
      </c>
      <c r="AI1093" s="429" t="n"/>
      <c r="AJ1093" s="431" t="n"/>
      <c r="AK1093" s="451" t="n"/>
      <c r="AL1093" s="451" t="n"/>
      <c r="AM1093" s="451" t="n"/>
      <c r="AO1093" s="429" t="n">
        <v>180</v>
      </c>
      <c r="AP1093" s="431" t="n">
        <v>180</v>
      </c>
      <c r="AQ1093" s="429" t="n"/>
      <c r="AR1093" s="431" t="n"/>
      <c r="AS1093" s="451" t="n"/>
      <c r="AT1093" s="451" t="n"/>
      <c r="AU1093" s="451" t="n"/>
      <c r="AW1093" s="429" t="n">
        <v>180</v>
      </c>
      <c r="AX1093" s="431" t="n">
        <v>180</v>
      </c>
      <c r="AY1093" s="429" t="n"/>
      <c r="AZ1093" s="431" t="n"/>
      <c r="BA1093" s="451" t="n"/>
      <c r="BB1093" s="451" t="n"/>
      <c r="BC1093" s="451" t="n"/>
      <c r="BE1093" s="429" t="n">
        <v>180</v>
      </c>
      <c r="BF1093" s="431" t="n"/>
      <c r="BG1093" s="429" t="n"/>
      <c r="BH1093" s="431" t="n"/>
      <c r="BI1093" s="451" t="n"/>
      <c r="BJ1093" s="451" t="n"/>
      <c r="BK1093" s="451" t="n"/>
      <c r="BM1093" s="429" t="n">
        <v>180</v>
      </c>
      <c r="BN1093" s="431" t="n">
        <v>180</v>
      </c>
      <c r="BO1093" s="429" t="n"/>
      <c r="BP1093" s="431" t="n"/>
      <c r="BQ1093" s="451" t="n"/>
      <c r="BR1093" s="451" t="n"/>
      <c r="BS1093" s="451" t="n"/>
      <c r="BU1093" s="429" t="n">
        <v>180</v>
      </c>
      <c r="BV1093" s="431" t="n">
        <v>180</v>
      </c>
      <c r="BW1093" s="429" t="n"/>
      <c r="BX1093" s="431" t="n"/>
      <c r="BY1093" s="451" t="n"/>
      <c r="BZ1093" s="451">
        <f>'CIRCUIT SIM'!EI183</f>
        <v/>
      </c>
      <c r="CA1093" s="451" t="n"/>
      <c r="CC1093" s="429" t="n">
        <v>180</v>
      </c>
      <c r="CD1093" s="431" t="n">
        <v>180</v>
      </c>
      <c r="CE1093" s="688" t="n"/>
      <c r="CF1093" s="431" t="n"/>
      <c r="CG1093" s="451" t="n"/>
      <c r="CH1093" s="562">
        <f>'CIRCUIT SIM'!LK183</f>
        <v/>
      </c>
      <c r="CI1093" s="451" t="n"/>
      <c r="CK1093" s="429" t="n">
        <v>180</v>
      </c>
      <c r="CL1093" s="431" t="n">
        <v>180</v>
      </c>
      <c r="CM1093" s="688" t="n"/>
      <c r="CN1093" s="431" t="n"/>
      <c r="CO1093" s="451" t="n"/>
      <c r="CP1093" s="451" t="n"/>
      <c r="CQ1093" s="451" t="n"/>
      <c r="CS1093" s="429" t="n">
        <v>180</v>
      </c>
      <c r="CT1093" s="431" t="n">
        <v>180</v>
      </c>
      <c r="CU1093" s="688" t="n"/>
      <c r="CV1093" s="431" t="n"/>
      <c r="CW1093" s="451" t="n"/>
      <c r="CX1093" s="451" t="n"/>
      <c r="CY1093" s="451" t="n"/>
      <c r="DA1093" s="429" t="n">
        <v>180</v>
      </c>
      <c r="DB1093" s="431" t="n">
        <v>180</v>
      </c>
      <c r="DC1093" s="688" t="n"/>
      <c r="DD1093" s="431" t="n"/>
      <c r="DE1093" s="451" t="n"/>
      <c r="DF1093" s="451" t="n"/>
      <c r="DG1093" s="451" t="n"/>
      <c r="DI1093" s="429" t="n">
        <v>180</v>
      </c>
      <c r="DJ1093" s="431" t="n">
        <v>180</v>
      </c>
      <c r="DK1093" s="688" t="n"/>
      <c r="DL1093" s="431" t="n"/>
      <c r="DM1093" s="429" t="n"/>
      <c r="DN1093" s="451" t="n"/>
      <c r="DO1093" s="451" t="n"/>
      <c r="DQ1093" s="429" t="n">
        <v>180</v>
      </c>
      <c r="DR1093" s="431" t="n">
        <v>180</v>
      </c>
      <c r="DS1093" s="688" t="n"/>
      <c r="DT1093" s="431" t="n"/>
      <c r="DU1093" s="451" t="n"/>
      <c r="DV1093" s="451" t="n"/>
      <c r="DW1093" s="451" t="n"/>
      <c r="DY1093" s="429" t="n">
        <v>180</v>
      </c>
      <c r="DZ1093" s="431" t="n">
        <v>180</v>
      </c>
      <c r="EA1093" s="688" t="n"/>
      <c r="EB1093" s="431" t="n"/>
      <c r="EC1093" s="451" t="n"/>
      <c r="ED1093" s="451" t="n"/>
      <c r="EE1093" s="451" t="n"/>
      <c r="EG1093" s="429" t="n">
        <v>180</v>
      </c>
      <c r="EH1093" s="431" t="n">
        <v>180</v>
      </c>
      <c r="EI1093" s="688" t="n"/>
      <c r="EJ1093" s="431" t="n"/>
      <c r="EK1093" s="451" t="n"/>
      <c r="EL1093" s="451" t="n"/>
      <c r="EM1093" s="451" t="n"/>
      <c r="EO1093" s="429" t="n">
        <v>180</v>
      </c>
      <c r="EP1093" s="431" t="n">
        <v>180</v>
      </c>
      <c r="EQ1093" s="688" t="n"/>
      <c r="ER1093" s="431" t="n"/>
      <c r="ES1093" s="451" t="n"/>
      <c r="ET1093" s="451" t="n"/>
      <c r="EU1093" s="451" t="n"/>
      <c r="EW1093" s="429" t="n">
        <v>180</v>
      </c>
      <c r="EX1093" s="431" t="n">
        <v>180</v>
      </c>
      <c r="EY1093" s="688" t="n"/>
      <c r="EZ1093" s="431" t="n"/>
      <c r="FA1093" s="451" t="n"/>
      <c r="FB1093" s="451" t="n"/>
      <c r="FC1093" s="451" t="n"/>
      <c r="FE1093" s="429" t="n">
        <v>180</v>
      </c>
      <c r="FF1093" s="431" t="n">
        <v>180</v>
      </c>
      <c r="FG1093" s="688" t="n"/>
      <c r="FH1093" s="431" t="n"/>
      <c r="FI1093" s="451" t="n"/>
      <c r="FJ1093" s="451" t="n"/>
      <c r="FK1093" s="451" t="n"/>
      <c r="FM1093" s="429" t="n">
        <v>180</v>
      </c>
      <c r="FN1093" s="431" t="n">
        <v>180</v>
      </c>
      <c r="FO1093" s="688" t="n"/>
      <c r="FP1093" s="431" t="n"/>
      <c r="FQ1093" s="451" t="n"/>
      <c r="FR1093" s="451">
        <f>'CIRCUIT SIM'!KY183</f>
        <v/>
      </c>
      <c r="FS1093" s="451" t="n"/>
      <c r="FU1093" s="429" t="n">
        <v>180</v>
      </c>
      <c r="FV1093" s="431" t="n">
        <v>180</v>
      </c>
      <c r="FW1093" s="688" t="n"/>
      <c r="FX1093" s="431" t="n"/>
      <c r="FY1093" s="451" t="n"/>
      <c r="FZ1093" s="562">
        <f>'CIRCUIT SIM'!JG183</f>
        <v/>
      </c>
      <c r="GA1093" s="451" t="n"/>
      <c r="GC1093" s="429" t="n">
        <v>180</v>
      </c>
      <c r="GD1093" s="431" t="n">
        <v>180</v>
      </c>
      <c r="GE1093" s="688" t="n"/>
      <c r="GF1093" s="431" t="n"/>
      <c r="GG1093" s="451" t="n"/>
      <c r="GH1093" s="451" t="n"/>
      <c r="GI1093" s="451" t="n"/>
      <c r="GK1093" s="429" t="n">
        <v>180</v>
      </c>
      <c r="GL1093" s="431" t="n">
        <v>180</v>
      </c>
      <c r="GM1093" s="688" t="n"/>
      <c r="GN1093" s="431" t="n"/>
      <c r="GO1093" s="451" t="n"/>
      <c r="GP1093" s="451" t="n"/>
      <c r="GQ1093" s="451" t="n"/>
      <c r="GS1093" s="429" t="n">
        <v>180</v>
      </c>
      <c r="GT1093" s="431" t="n">
        <v>180</v>
      </c>
      <c r="GU1093" s="688" t="n"/>
      <c r="GV1093" s="431" t="n"/>
      <c r="GW1093" s="451" t="n"/>
      <c r="GX1093" s="451" t="n"/>
      <c r="GY1093" s="451" t="n"/>
      <c r="HA1093" s="429" t="n">
        <v>180</v>
      </c>
      <c r="HB1093" s="431" t="n">
        <v>180</v>
      </c>
      <c r="HC1093" s="688" t="n"/>
      <c r="HD1093" s="431" t="n"/>
      <c r="HE1093" s="451" t="n"/>
      <c r="HF1093" s="451" t="n"/>
      <c r="HG1093" s="451" t="n"/>
    </row>
    <row r="1094">
      <c r="A1094" s="429" t="n">
        <v>181</v>
      </c>
      <c r="B1094" s="431" t="n">
        <v>181</v>
      </c>
      <c r="C1094" s="688" t="n"/>
      <c r="D1094" s="431" t="n"/>
      <c r="E1094" s="429" t="n"/>
      <c r="F1094" s="429" t="n"/>
      <c r="G1094" s="429" t="n"/>
      <c r="I1094" s="429" t="n">
        <v>181</v>
      </c>
      <c r="J1094" s="431" t="n">
        <v>181</v>
      </c>
      <c r="K1094" s="429" t="n"/>
      <c r="L1094" s="431" t="n"/>
      <c r="M1094" s="451" t="n"/>
      <c r="N1094" s="422">
        <f>'CIRCUIT SIM'!Y184</f>
        <v/>
      </c>
      <c r="O1094" s="451" t="n"/>
      <c r="Q1094" s="429" t="n">
        <v>181</v>
      </c>
      <c r="R1094" s="431" t="n">
        <v>181</v>
      </c>
      <c r="S1094" s="429" t="n"/>
      <c r="T1094" s="431" t="n"/>
      <c r="U1094" s="429" t="n"/>
      <c r="V1094" s="386">
        <f>'CIRCUIT SIM'!AO184</f>
        <v/>
      </c>
      <c r="W1094" s="451" t="n"/>
      <c r="Y1094" s="429" t="n">
        <v>181</v>
      </c>
      <c r="Z1094" s="431" t="n">
        <v>181</v>
      </c>
      <c r="AA1094" s="429" t="n"/>
      <c r="AB1094" s="431" t="n"/>
      <c r="AC1094" s="451" t="n"/>
      <c r="AD1094" s="451" t="n"/>
      <c r="AE1094" s="451" t="n"/>
      <c r="AG1094" s="429" t="n">
        <v>181</v>
      </c>
      <c r="AH1094" s="431" t="n">
        <v>181</v>
      </c>
      <c r="AI1094" s="429" t="n"/>
      <c r="AJ1094" s="431" t="n"/>
      <c r="AK1094" s="451" t="n"/>
      <c r="AL1094" s="451" t="n"/>
      <c r="AM1094" s="451" t="n"/>
      <c r="AO1094" s="429" t="n">
        <v>181</v>
      </c>
      <c r="AP1094" s="431" t="n">
        <v>181</v>
      </c>
      <c r="AQ1094" s="429" t="n"/>
      <c r="AR1094" s="431" t="n"/>
      <c r="AS1094" s="451" t="n"/>
      <c r="AT1094" s="451" t="n"/>
      <c r="AU1094" s="451" t="n"/>
      <c r="AW1094" s="429" t="n">
        <v>181</v>
      </c>
      <c r="AX1094" s="431" t="n">
        <v>181</v>
      </c>
      <c r="AY1094" s="429" t="n"/>
      <c r="AZ1094" s="431" t="n"/>
      <c r="BA1094" s="451" t="n"/>
      <c r="BB1094" s="451" t="n"/>
      <c r="BC1094" s="451" t="n"/>
      <c r="BE1094" s="429" t="n">
        <v>181</v>
      </c>
      <c r="BF1094" s="431" t="n"/>
      <c r="BG1094" s="429" t="n"/>
      <c r="BH1094" s="431" t="n"/>
      <c r="BI1094" s="451" t="n"/>
      <c r="BJ1094" s="451" t="n"/>
      <c r="BK1094" s="451" t="n"/>
      <c r="BM1094" s="429" t="n">
        <v>181</v>
      </c>
      <c r="BN1094" s="431" t="n">
        <v>181</v>
      </c>
      <c r="BO1094" s="429" t="n"/>
      <c r="BP1094" s="431" t="n"/>
      <c r="BQ1094" s="451" t="n"/>
      <c r="BR1094" s="451" t="n"/>
      <c r="BS1094" s="451" t="n"/>
      <c r="BU1094" s="429" t="n">
        <v>181</v>
      </c>
      <c r="BV1094" s="431" t="n">
        <v>181</v>
      </c>
      <c r="BW1094" s="429" t="n"/>
      <c r="BX1094" s="431" t="n"/>
      <c r="BY1094" s="451" t="n"/>
      <c r="BZ1094" s="451">
        <f>'CIRCUIT SIM'!EI184</f>
        <v/>
      </c>
      <c r="CA1094" s="451" t="n"/>
      <c r="CC1094" s="429" t="n">
        <v>181</v>
      </c>
      <c r="CD1094" s="431" t="n">
        <v>181</v>
      </c>
      <c r="CE1094" s="688" t="n"/>
      <c r="CF1094" s="431" t="n"/>
      <c r="CG1094" s="451" t="n"/>
      <c r="CH1094" s="562">
        <f>'CIRCUIT SIM'!LK184</f>
        <v/>
      </c>
      <c r="CI1094" s="451" t="n"/>
      <c r="CK1094" s="429" t="n">
        <v>181</v>
      </c>
      <c r="CL1094" s="431" t="n">
        <v>181</v>
      </c>
      <c r="CM1094" s="688" t="n"/>
      <c r="CN1094" s="431" t="n"/>
      <c r="CO1094" s="451" t="n"/>
      <c r="CP1094" s="451" t="n"/>
      <c r="CQ1094" s="451" t="n"/>
      <c r="CS1094" s="429" t="n">
        <v>181</v>
      </c>
      <c r="CT1094" s="431" t="n">
        <v>181</v>
      </c>
      <c r="CU1094" s="688" t="n"/>
      <c r="CV1094" s="431" t="n"/>
      <c r="CW1094" s="451" t="n"/>
      <c r="CX1094" s="451" t="n"/>
      <c r="CY1094" s="451" t="n"/>
      <c r="DA1094" s="429" t="n">
        <v>181</v>
      </c>
      <c r="DB1094" s="431" t="n">
        <v>181</v>
      </c>
      <c r="DC1094" s="688" t="n"/>
      <c r="DD1094" s="431" t="n"/>
      <c r="DE1094" s="451" t="n"/>
      <c r="DF1094" s="451" t="n"/>
      <c r="DG1094" s="451" t="n"/>
      <c r="DI1094" s="429" t="n">
        <v>181</v>
      </c>
      <c r="DJ1094" s="431" t="n">
        <v>181</v>
      </c>
      <c r="DK1094" s="688" t="n"/>
      <c r="DL1094" s="431" t="n"/>
      <c r="DM1094" s="429" t="n"/>
      <c r="DN1094" s="451" t="n"/>
      <c r="DO1094" s="451" t="n"/>
      <c r="DQ1094" s="429" t="n">
        <v>181</v>
      </c>
      <c r="DR1094" s="431" t="n">
        <v>181</v>
      </c>
      <c r="DS1094" s="688" t="n"/>
      <c r="DT1094" s="431" t="n"/>
      <c r="DU1094" s="451" t="n"/>
      <c r="DV1094" s="451" t="n"/>
      <c r="DW1094" s="451" t="n"/>
      <c r="DY1094" s="429" t="n">
        <v>181</v>
      </c>
      <c r="DZ1094" s="431" t="n">
        <v>181</v>
      </c>
      <c r="EA1094" s="688" t="n"/>
      <c r="EB1094" s="431" t="n"/>
      <c r="EC1094" s="451" t="n"/>
      <c r="ED1094" s="451" t="n"/>
      <c r="EE1094" s="451" t="n"/>
      <c r="EG1094" s="429" t="n">
        <v>181</v>
      </c>
      <c r="EH1094" s="431" t="n">
        <v>181</v>
      </c>
      <c r="EI1094" s="688" t="n"/>
      <c r="EJ1094" s="431" t="n"/>
      <c r="EK1094" s="451" t="n"/>
      <c r="EL1094" s="451" t="n"/>
      <c r="EM1094" s="451" t="n"/>
      <c r="EO1094" s="429" t="n">
        <v>181</v>
      </c>
      <c r="EP1094" s="431" t="n">
        <v>181</v>
      </c>
      <c r="EQ1094" s="688" t="n"/>
      <c r="ER1094" s="431" t="n"/>
      <c r="ES1094" s="451" t="n"/>
      <c r="ET1094" s="451" t="n"/>
      <c r="EU1094" s="451" t="n"/>
      <c r="EW1094" s="429" t="n">
        <v>181</v>
      </c>
      <c r="EX1094" s="431" t="n">
        <v>181</v>
      </c>
      <c r="EY1094" s="688" t="n"/>
      <c r="EZ1094" s="431" t="n"/>
      <c r="FA1094" s="451" t="n"/>
      <c r="FB1094" s="451" t="n"/>
      <c r="FC1094" s="451" t="n"/>
      <c r="FE1094" s="429" t="n">
        <v>181</v>
      </c>
      <c r="FF1094" s="431" t="n">
        <v>181</v>
      </c>
      <c r="FG1094" s="688" t="n"/>
      <c r="FH1094" s="431" t="n"/>
      <c r="FI1094" s="451" t="n"/>
      <c r="FJ1094" s="451" t="n"/>
      <c r="FK1094" s="451" t="n"/>
      <c r="FM1094" s="429" t="n">
        <v>181</v>
      </c>
      <c r="FN1094" s="431" t="n">
        <v>181</v>
      </c>
      <c r="FO1094" s="688" t="n"/>
      <c r="FP1094" s="431" t="n"/>
      <c r="FQ1094" s="451" t="n"/>
      <c r="FR1094" s="451">
        <f>'CIRCUIT SIM'!KY184</f>
        <v/>
      </c>
      <c r="FS1094" s="451" t="n"/>
      <c r="FU1094" s="429" t="n">
        <v>181</v>
      </c>
      <c r="FV1094" s="431" t="n">
        <v>181</v>
      </c>
      <c r="FW1094" s="688" t="n"/>
      <c r="FX1094" s="431" t="n"/>
      <c r="FY1094" s="451" t="n"/>
      <c r="FZ1094" s="562">
        <f>'CIRCUIT SIM'!JG184</f>
        <v/>
      </c>
      <c r="GA1094" s="451" t="n"/>
      <c r="GC1094" s="429" t="n">
        <v>181</v>
      </c>
      <c r="GD1094" s="431" t="n">
        <v>181</v>
      </c>
      <c r="GE1094" s="688" t="n"/>
      <c r="GF1094" s="431" t="n"/>
      <c r="GG1094" s="451" t="n"/>
      <c r="GH1094" s="451" t="n"/>
      <c r="GI1094" s="451" t="n"/>
      <c r="GK1094" s="429" t="n">
        <v>181</v>
      </c>
      <c r="GL1094" s="431" t="n">
        <v>181</v>
      </c>
      <c r="GM1094" s="688" t="n"/>
      <c r="GN1094" s="431" t="n"/>
      <c r="GO1094" s="451" t="n"/>
      <c r="GP1094" s="451" t="n"/>
      <c r="GQ1094" s="451" t="n"/>
      <c r="GS1094" s="429" t="n">
        <v>181</v>
      </c>
      <c r="GT1094" s="431" t="n">
        <v>181</v>
      </c>
      <c r="GU1094" s="688" t="n"/>
      <c r="GV1094" s="431" t="n"/>
      <c r="GW1094" s="451" t="n"/>
      <c r="GX1094" s="451" t="n"/>
      <c r="GY1094" s="451" t="n"/>
      <c r="HA1094" s="429" t="n">
        <v>181</v>
      </c>
      <c r="HB1094" s="431" t="n">
        <v>181</v>
      </c>
      <c r="HC1094" s="688" t="n"/>
      <c r="HD1094" s="431" t="n"/>
      <c r="HE1094" s="451" t="n"/>
      <c r="HF1094" s="451" t="n"/>
      <c r="HG1094" s="451" t="n"/>
    </row>
    <row r="1095">
      <c r="A1095" s="429" t="n">
        <v>182</v>
      </c>
      <c r="B1095" s="431" t="n">
        <v>182</v>
      </c>
      <c r="C1095" s="688" t="n"/>
      <c r="D1095" s="431" t="n"/>
      <c r="E1095" s="429" t="n"/>
      <c r="F1095" s="429" t="n"/>
      <c r="G1095" s="429" t="n"/>
      <c r="I1095" s="429" t="n">
        <v>182</v>
      </c>
      <c r="J1095" s="431" t="n">
        <v>182</v>
      </c>
      <c r="K1095" s="429" t="n"/>
      <c r="L1095" s="431" t="n"/>
      <c r="M1095" s="451" t="n"/>
      <c r="N1095" s="422">
        <f>'CIRCUIT SIM'!Y185</f>
        <v/>
      </c>
      <c r="O1095" s="451" t="n"/>
      <c r="Q1095" s="429" t="n">
        <v>182</v>
      </c>
      <c r="R1095" s="431" t="n">
        <v>182</v>
      </c>
      <c r="S1095" s="429" t="n"/>
      <c r="T1095" s="431" t="n"/>
      <c r="U1095" s="429" t="n"/>
      <c r="V1095" s="386">
        <f>'CIRCUIT SIM'!AO185</f>
        <v/>
      </c>
      <c r="W1095" s="451" t="n"/>
      <c r="Y1095" s="429" t="n">
        <v>182</v>
      </c>
      <c r="Z1095" s="431" t="n">
        <v>182</v>
      </c>
      <c r="AA1095" s="429" t="n"/>
      <c r="AB1095" s="431" t="n"/>
      <c r="AC1095" s="451" t="n"/>
      <c r="AD1095" s="451" t="n"/>
      <c r="AE1095" s="451" t="n"/>
      <c r="AG1095" s="429" t="n">
        <v>182</v>
      </c>
      <c r="AH1095" s="431" t="n">
        <v>182</v>
      </c>
      <c r="AI1095" s="429" t="n"/>
      <c r="AJ1095" s="431" t="n"/>
      <c r="AK1095" s="451" t="n"/>
      <c r="AL1095" s="451" t="n"/>
      <c r="AM1095" s="451" t="n"/>
      <c r="AO1095" s="429" t="n">
        <v>182</v>
      </c>
      <c r="AP1095" s="431" t="n">
        <v>182</v>
      </c>
      <c r="AQ1095" s="429" t="n"/>
      <c r="AR1095" s="431" t="n"/>
      <c r="AS1095" s="451" t="n"/>
      <c r="AT1095" s="451" t="n"/>
      <c r="AU1095" s="451" t="n"/>
      <c r="AW1095" s="429" t="n">
        <v>182</v>
      </c>
      <c r="AX1095" s="431" t="n">
        <v>182</v>
      </c>
      <c r="AY1095" s="429" t="n"/>
      <c r="AZ1095" s="431" t="n"/>
      <c r="BA1095" s="451" t="n"/>
      <c r="BB1095" s="451" t="n"/>
      <c r="BC1095" s="451" t="n"/>
      <c r="BE1095" s="429" t="n">
        <v>182</v>
      </c>
      <c r="BF1095" s="431" t="n"/>
      <c r="BG1095" s="429" t="n"/>
      <c r="BH1095" s="431" t="n"/>
      <c r="BI1095" s="451" t="n"/>
      <c r="BJ1095" s="451" t="n"/>
      <c r="BK1095" s="451" t="n"/>
      <c r="BM1095" s="429" t="n">
        <v>182</v>
      </c>
      <c r="BN1095" s="431" t="n">
        <v>182</v>
      </c>
      <c r="BO1095" s="429" t="n"/>
      <c r="BP1095" s="431" t="n"/>
      <c r="BQ1095" s="451" t="n"/>
      <c r="BR1095" s="451" t="n"/>
      <c r="BS1095" s="451" t="n"/>
      <c r="BU1095" s="429" t="n">
        <v>182</v>
      </c>
      <c r="BV1095" s="431" t="n">
        <v>182</v>
      </c>
      <c r="BW1095" s="429" t="n"/>
      <c r="BX1095" s="431" t="n"/>
      <c r="BY1095" s="451" t="n"/>
      <c r="BZ1095" s="451">
        <f>'CIRCUIT SIM'!EI185</f>
        <v/>
      </c>
      <c r="CA1095" s="451" t="n"/>
      <c r="CC1095" s="429" t="n">
        <v>182</v>
      </c>
      <c r="CD1095" s="431" t="n">
        <v>182</v>
      </c>
      <c r="CE1095" s="688" t="n"/>
      <c r="CF1095" s="431" t="n"/>
      <c r="CG1095" s="451" t="n"/>
      <c r="CH1095" s="562">
        <f>'CIRCUIT SIM'!LK185</f>
        <v/>
      </c>
      <c r="CI1095" s="451" t="n"/>
      <c r="CK1095" s="429" t="n">
        <v>182</v>
      </c>
      <c r="CL1095" s="431" t="n">
        <v>182</v>
      </c>
      <c r="CM1095" s="688" t="n"/>
      <c r="CN1095" s="431" t="n"/>
      <c r="CO1095" s="451" t="n"/>
      <c r="CP1095" s="451" t="n"/>
      <c r="CQ1095" s="451" t="n"/>
      <c r="CS1095" s="429" t="n">
        <v>182</v>
      </c>
      <c r="CT1095" s="431" t="n">
        <v>182</v>
      </c>
      <c r="CU1095" s="688" t="n"/>
      <c r="CV1095" s="431" t="n"/>
      <c r="CW1095" s="451" t="n"/>
      <c r="CX1095" s="451" t="n"/>
      <c r="CY1095" s="451" t="n"/>
      <c r="DA1095" s="429" t="n">
        <v>182</v>
      </c>
      <c r="DB1095" s="431" t="n">
        <v>182</v>
      </c>
      <c r="DC1095" s="688" t="n"/>
      <c r="DD1095" s="431" t="n"/>
      <c r="DE1095" s="451" t="n"/>
      <c r="DF1095" s="451" t="n"/>
      <c r="DG1095" s="451" t="n"/>
      <c r="DI1095" s="429" t="n">
        <v>182</v>
      </c>
      <c r="DJ1095" s="431" t="n">
        <v>182</v>
      </c>
      <c r="DK1095" s="688" t="n"/>
      <c r="DL1095" s="431" t="n"/>
      <c r="DM1095" s="429" t="n"/>
      <c r="DN1095" s="451" t="n"/>
      <c r="DO1095" s="451" t="n"/>
      <c r="DQ1095" s="429" t="n">
        <v>182</v>
      </c>
      <c r="DR1095" s="431" t="n">
        <v>182</v>
      </c>
      <c r="DS1095" s="688" t="n"/>
      <c r="DT1095" s="431" t="n"/>
      <c r="DU1095" s="451" t="n"/>
      <c r="DV1095" s="451" t="n"/>
      <c r="DW1095" s="451" t="n"/>
      <c r="DY1095" s="429" t="n">
        <v>182</v>
      </c>
      <c r="DZ1095" s="431" t="n">
        <v>182</v>
      </c>
      <c r="EA1095" s="688" t="n"/>
      <c r="EB1095" s="431" t="n"/>
      <c r="EC1095" s="451" t="n"/>
      <c r="ED1095" s="451" t="n"/>
      <c r="EE1095" s="451" t="n"/>
      <c r="EG1095" s="429" t="n">
        <v>182</v>
      </c>
      <c r="EH1095" s="431" t="n">
        <v>182</v>
      </c>
      <c r="EI1095" s="688" t="n"/>
      <c r="EJ1095" s="431" t="n"/>
      <c r="EK1095" s="451" t="n"/>
      <c r="EL1095" s="451" t="n"/>
      <c r="EM1095" s="451" t="n"/>
      <c r="EO1095" s="429" t="n">
        <v>182</v>
      </c>
      <c r="EP1095" s="431" t="n">
        <v>182</v>
      </c>
      <c r="EQ1095" s="688" t="n"/>
      <c r="ER1095" s="431" t="n"/>
      <c r="ES1095" s="451" t="n"/>
      <c r="ET1095" s="451" t="n"/>
      <c r="EU1095" s="451" t="n"/>
      <c r="EW1095" s="429" t="n">
        <v>182</v>
      </c>
      <c r="EX1095" s="431" t="n">
        <v>182</v>
      </c>
      <c r="EY1095" s="688" t="n"/>
      <c r="EZ1095" s="431" t="n"/>
      <c r="FA1095" s="451" t="n"/>
      <c r="FB1095" s="451" t="n"/>
      <c r="FC1095" s="451" t="n"/>
      <c r="FE1095" s="429" t="n">
        <v>182</v>
      </c>
      <c r="FF1095" s="431" t="n">
        <v>182</v>
      </c>
      <c r="FG1095" s="688" t="n"/>
      <c r="FH1095" s="431" t="n"/>
      <c r="FI1095" s="451" t="n"/>
      <c r="FJ1095" s="451" t="n"/>
      <c r="FK1095" s="451" t="n"/>
      <c r="FM1095" s="429" t="n">
        <v>182</v>
      </c>
      <c r="FN1095" s="431" t="n">
        <v>182</v>
      </c>
      <c r="FO1095" s="688" t="n"/>
      <c r="FP1095" s="431" t="n"/>
      <c r="FQ1095" s="451" t="n"/>
      <c r="FR1095" s="451">
        <f>'CIRCUIT SIM'!KY185</f>
        <v/>
      </c>
      <c r="FS1095" s="451" t="n"/>
      <c r="FU1095" s="429" t="n">
        <v>182</v>
      </c>
      <c r="FV1095" s="431" t="n">
        <v>182</v>
      </c>
      <c r="FW1095" s="688" t="n"/>
      <c r="FX1095" s="431" t="n"/>
      <c r="FY1095" s="451" t="n"/>
      <c r="FZ1095" s="562">
        <f>'CIRCUIT SIM'!JG185</f>
        <v/>
      </c>
      <c r="GA1095" s="451" t="n"/>
      <c r="GC1095" s="429" t="n">
        <v>182</v>
      </c>
      <c r="GD1095" s="431" t="n">
        <v>182</v>
      </c>
      <c r="GE1095" s="688" t="n"/>
      <c r="GF1095" s="431" t="n"/>
      <c r="GG1095" s="451" t="n"/>
      <c r="GH1095" s="451" t="n"/>
      <c r="GI1095" s="451" t="n"/>
      <c r="GK1095" s="429" t="n">
        <v>182</v>
      </c>
      <c r="GL1095" s="431" t="n">
        <v>182</v>
      </c>
      <c r="GM1095" s="688" t="n"/>
      <c r="GN1095" s="431" t="n"/>
      <c r="GO1095" s="451" t="n"/>
      <c r="GP1095" s="451" t="n"/>
      <c r="GQ1095" s="451" t="n"/>
      <c r="GS1095" s="429" t="n">
        <v>182</v>
      </c>
      <c r="GT1095" s="431" t="n">
        <v>182</v>
      </c>
      <c r="GU1095" s="688" t="n"/>
      <c r="GV1095" s="431" t="n"/>
      <c r="GW1095" s="451" t="n"/>
      <c r="GX1095" s="451" t="n"/>
      <c r="GY1095" s="451" t="n"/>
      <c r="HA1095" s="429" t="n">
        <v>182</v>
      </c>
      <c r="HB1095" s="431" t="n">
        <v>182</v>
      </c>
      <c r="HC1095" s="688" t="n"/>
      <c r="HD1095" s="431" t="n"/>
      <c r="HE1095" s="451" t="n"/>
      <c r="HF1095" s="451" t="n"/>
      <c r="HG1095" s="451" t="n"/>
    </row>
    <row r="1096">
      <c r="A1096" s="429" t="n">
        <v>183</v>
      </c>
      <c r="B1096" s="431" t="n">
        <v>183</v>
      </c>
      <c r="C1096" s="688" t="n"/>
      <c r="D1096" s="431" t="n"/>
      <c r="E1096" s="429" t="n"/>
      <c r="F1096" s="429" t="n"/>
      <c r="G1096" s="429" t="n"/>
      <c r="I1096" s="429" t="n">
        <v>183</v>
      </c>
      <c r="J1096" s="431" t="n">
        <v>183</v>
      </c>
      <c r="K1096" s="429" t="n"/>
      <c r="L1096" s="431" t="n"/>
      <c r="M1096" s="451" t="n"/>
      <c r="N1096" s="422">
        <f>'CIRCUIT SIM'!Y186</f>
        <v/>
      </c>
      <c r="O1096" s="451" t="n"/>
      <c r="Q1096" s="429" t="n">
        <v>183</v>
      </c>
      <c r="R1096" s="431" t="n">
        <v>183</v>
      </c>
      <c r="S1096" s="429" t="n"/>
      <c r="T1096" s="431" t="n"/>
      <c r="U1096" s="429" t="n"/>
      <c r="V1096" s="386">
        <f>'CIRCUIT SIM'!AO186</f>
        <v/>
      </c>
      <c r="W1096" s="451" t="n"/>
      <c r="Y1096" s="429" t="n">
        <v>183</v>
      </c>
      <c r="Z1096" s="431" t="n">
        <v>183</v>
      </c>
      <c r="AA1096" s="429" t="n"/>
      <c r="AB1096" s="431" t="n"/>
      <c r="AC1096" s="451" t="n"/>
      <c r="AD1096" s="451" t="n"/>
      <c r="AE1096" s="451" t="n"/>
      <c r="AG1096" s="429" t="n">
        <v>183</v>
      </c>
      <c r="AH1096" s="431" t="n">
        <v>183</v>
      </c>
      <c r="AI1096" s="429" t="n"/>
      <c r="AJ1096" s="431" t="n"/>
      <c r="AK1096" s="451" t="n"/>
      <c r="AL1096" s="451" t="n"/>
      <c r="AM1096" s="451" t="n"/>
      <c r="AO1096" s="429" t="n">
        <v>183</v>
      </c>
      <c r="AP1096" s="431" t="n">
        <v>183</v>
      </c>
      <c r="AQ1096" s="429" t="n"/>
      <c r="AR1096" s="431" t="n"/>
      <c r="AS1096" s="451" t="n"/>
      <c r="AT1096" s="451" t="n"/>
      <c r="AU1096" s="451" t="n"/>
      <c r="AW1096" s="429" t="n">
        <v>183</v>
      </c>
      <c r="AX1096" s="431" t="n">
        <v>183</v>
      </c>
      <c r="AY1096" s="429" t="n"/>
      <c r="AZ1096" s="431" t="n"/>
      <c r="BA1096" s="451" t="n"/>
      <c r="BB1096" s="451" t="n"/>
      <c r="BC1096" s="451" t="n"/>
      <c r="BE1096" s="429" t="n">
        <v>183</v>
      </c>
      <c r="BF1096" s="431" t="n"/>
      <c r="BG1096" s="429" t="n"/>
      <c r="BH1096" s="431" t="n"/>
      <c r="BI1096" s="451" t="n"/>
      <c r="BJ1096" s="451" t="n"/>
      <c r="BK1096" s="451" t="n"/>
      <c r="BM1096" s="429" t="n">
        <v>183</v>
      </c>
      <c r="BN1096" s="431" t="n">
        <v>183</v>
      </c>
      <c r="BO1096" s="429" t="n"/>
      <c r="BP1096" s="431" t="n"/>
      <c r="BQ1096" s="451" t="n"/>
      <c r="BR1096" s="451" t="n"/>
      <c r="BS1096" s="451" t="n"/>
      <c r="BU1096" s="429" t="n">
        <v>183</v>
      </c>
      <c r="BV1096" s="431" t="n">
        <v>183</v>
      </c>
      <c r="BW1096" s="429" t="n"/>
      <c r="BX1096" s="431" t="n"/>
      <c r="BY1096" s="451" t="n"/>
      <c r="BZ1096" s="451">
        <f>'CIRCUIT SIM'!EI186</f>
        <v/>
      </c>
      <c r="CA1096" s="451" t="n"/>
      <c r="CC1096" s="429" t="n">
        <v>183</v>
      </c>
      <c r="CD1096" s="431" t="n">
        <v>183</v>
      </c>
      <c r="CE1096" s="688" t="n"/>
      <c r="CF1096" s="431" t="n"/>
      <c r="CG1096" s="451" t="n"/>
      <c r="CH1096" s="562">
        <f>'CIRCUIT SIM'!LK186</f>
        <v/>
      </c>
      <c r="CI1096" s="451" t="n"/>
      <c r="CK1096" s="429" t="n">
        <v>183</v>
      </c>
      <c r="CL1096" s="431" t="n">
        <v>183</v>
      </c>
      <c r="CM1096" s="688" t="n"/>
      <c r="CN1096" s="431" t="n"/>
      <c r="CO1096" s="451" t="n"/>
      <c r="CP1096" s="451" t="n"/>
      <c r="CQ1096" s="451" t="n"/>
      <c r="CS1096" s="429" t="n">
        <v>183</v>
      </c>
      <c r="CT1096" s="431" t="n">
        <v>183</v>
      </c>
      <c r="CU1096" s="688" t="n"/>
      <c r="CV1096" s="431" t="n"/>
      <c r="CW1096" s="451" t="n"/>
      <c r="CX1096" s="451" t="n"/>
      <c r="CY1096" s="451" t="n"/>
      <c r="DA1096" s="429" t="n">
        <v>183</v>
      </c>
      <c r="DB1096" s="431" t="n">
        <v>183</v>
      </c>
      <c r="DC1096" s="688" t="n"/>
      <c r="DD1096" s="431" t="n"/>
      <c r="DE1096" s="451" t="n"/>
      <c r="DF1096" s="451" t="n"/>
      <c r="DG1096" s="451" t="n"/>
      <c r="DI1096" s="429" t="n">
        <v>183</v>
      </c>
      <c r="DJ1096" s="431" t="n">
        <v>183</v>
      </c>
      <c r="DK1096" s="688" t="n"/>
      <c r="DL1096" s="431" t="n"/>
      <c r="DM1096" s="429" t="n"/>
      <c r="DN1096" s="451" t="n"/>
      <c r="DO1096" s="451" t="n"/>
      <c r="DQ1096" s="429" t="n">
        <v>183</v>
      </c>
      <c r="DR1096" s="431" t="n">
        <v>183</v>
      </c>
      <c r="DS1096" s="688" t="n"/>
      <c r="DT1096" s="431" t="n"/>
      <c r="DU1096" s="451" t="n"/>
      <c r="DV1096" s="451" t="n"/>
      <c r="DW1096" s="451" t="n"/>
      <c r="DY1096" s="429" t="n">
        <v>183</v>
      </c>
      <c r="DZ1096" s="431" t="n">
        <v>183</v>
      </c>
      <c r="EA1096" s="688" t="n"/>
      <c r="EB1096" s="431" t="n"/>
      <c r="EC1096" s="451" t="n"/>
      <c r="ED1096" s="451" t="n"/>
      <c r="EE1096" s="451" t="n"/>
      <c r="EG1096" s="429" t="n">
        <v>183</v>
      </c>
      <c r="EH1096" s="431" t="n">
        <v>183</v>
      </c>
      <c r="EI1096" s="688" t="n"/>
      <c r="EJ1096" s="431" t="n"/>
      <c r="EK1096" s="451" t="n"/>
      <c r="EL1096" s="451" t="n"/>
      <c r="EM1096" s="451" t="n"/>
      <c r="EO1096" s="429" t="n">
        <v>183</v>
      </c>
      <c r="EP1096" s="431" t="n">
        <v>183</v>
      </c>
      <c r="EQ1096" s="688" t="n"/>
      <c r="ER1096" s="431" t="n"/>
      <c r="ES1096" s="451" t="n"/>
      <c r="ET1096" s="451" t="n"/>
      <c r="EU1096" s="451" t="n"/>
      <c r="EW1096" s="429" t="n">
        <v>183</v>
      </c>
      <c r="EX1096" s="431" t="n">
        <v>183</v>
      </c>
      <c r="EY1096" s="688" t="n"/>
      <c r="EZ1096" s="431" t="n"/>
      <c r="FA1096" s="451" t="n"/>
      <c r="FB1096" s="451" t="n"/>
      <c r="FC1096" s="451" t="n"/>
      <c r="FE1096" s="429" t="n">
        <v>183</v>
      </c>
      <c r="FF1096" s="431" t="n">
        <v>183</v>
      </c>
      <c r="FG1096" s="688" t="n"/>
      <c r="FH1096" s="431" t="n"/>
      <c r="FI1096" s="451" t="n"/>
      <c r="FJ1096" s="451" t="n"/>
      <c r="FK1096" s="451" t="n"/>
      <c r="FM1096" s="429" t="n">
        <v>183</v>
      </c>
      <c r="FN1096" s="431" t="n">
        <v>183</v>
      </c>
      <c r="FO1096" s="688" t="n"/>
      <c r="FP1096" s="431" t="n"/>
      <c r="FQ1096" s="451" t="n"/>
      <c r="FR1096" s="451">
        <f>'CIRCUIT SIM'!KY186</f>
        <v/>
      </c>
      <c r="FS1096" s="451" t="n"/>
      <c r="FU1096" s="429" t="n">
        <v>183</v>
      </c>
      <c r="FV1096" s="431" t="n">
        <v>183</v>
      </c>
      <c r="FW1096" s="688" t="n"/>
      <c r="FX1096" s="431" t="n"/>
      <c r="FY1096" s="451" t="n"/>
      <c r="FZ1096" s="562">
        <f>'CIRCUIT SIM'!JG186</f>
        <v/>
      </c>
      <c r="GA1096" s="451" t="n"/>
      <c r="GC1096" s="429" t="n">
        <v>183</v>
      </c>
      <c r="GD1096" s="431" t="n">
        <v>183</v>
      </c>
      <c r="GE1096" s="688" t="n"/>
      <c r="GF1096" s="431" t="n"/>
      <c r="GG1096" s="451" t="n"/>
      <c r="GH1096" s="451" t="n"/>
      <c r="GI1096" s="451" t="n"/>
      <c r="GK1096" s="429" t="n">
        <v>183</v>
      </c>
      <c r="GL1096" s="431" t="n">
        <v>183</v>
      </c>
      <c r="GM1096" s="688" t="n"/>
      <c r="GN1096" s="431" t="n"/>
      <c r="GO1096" s="451" t="n"/>
      <c r="GP1096" s="451" t="n"/>
      <c r="GQ1096" s="451" t="n"/>
      <c r="GS1096" s="429" t="n">
        <v>183</v>
      </c>
      <c r="GT1096" s="431" t="n">
        <v>183</v>
      </c>
      <c r="GU1096" s="688" t="n"/>
      <c r="GV1096" s="431" t="n"/>
      <c r="GW1096" s="451" t="n"/>
      <c r="GX1096" s="451" t="n"/>
      <c r="GY1096" s="451" t="n"/>
      <c r="HA1096" s="429" t="n">
        <v>183</v>
      </c>
      <c r="HB1096" s="431" t="n">
        <v>183</v>
      </c>
      <c r="HC1096" s="688" t="n"/>
      <c r="HD1096" s="431" t="n"/>
      <c r="HE1096" s="451" t="n"/>
      <c r="HF1096" s="451" t="n"/>
      <c r="HG1096" s="451" t="n"/>
    </row>
    <row r="1097">
      <c r="A1097" s="429" t="n">
        <v>184</v>
      </c>
      <c r="B1097" s="431" t="n">
        <v>184</v>
      </c>
      <c r="C1097" s="688" t="n"/>
      <c r="D1097" s="431" t="n"/>
      <c r="E1097" s="429" t="n"/>
      <c r="F1097" s="429" t="n"/>
      <c r="G1097" s="429" t="n"/>
      <c r="I1097" s="429" t="n">
        <v>184</v>
      </c>
      <c r="J1097" s="431" t="n">
        <v>184</v>
      </c>
      <c r="K1097" s="429" t="n"/>
      <c r="L1097" s="431" t="n"/>
      <c r="M1097" s="451" t="n"/>
      <c r="N1097" s="422">
        <f>'CIRCUIT SIM'!Y187</f>
        <v/>
      </c>
      <c r="O1097" s="451" t="n"/>
      <c r="Q1097" s="429" t="n">
        <v>184</v>
      </c>
      <c r="R1097" s="431" t="n">
        <v>184</v>
      </c>
      <c r="S1097" s="429" t="n"/>
      <c r="T1097" s="431" t="n"/>
      <c r="U1097" s="429" t="n"/>
      <c r="V1097" s="386">
        <f>'CIRCUIT SIM'!AO187</f>
        <v/>
      </c>
      <c r="W1097" s="451" t="n"/>
      <c r="Y1097" s="429" t="n">
        <v>184</v>
      </c>
      <c r="Z1097" s="431" t="n">
        <v>184</v>
      </c>
      <c r="AA1097" s="429" t="n"/>
      <c r="AB1097" s="431" t="n"/>
      <c r="AC1097" s="451" t="n"/>
      <c r="AD1097" s="451" t="n"/>
      <c r="AE1097" s="451" t="n"/>
      <c r="AG1097" s="429" t="n">
        <v>184</v>
      </c>
      <c r="AH1097" s="431" t="n">
        <v>184</v>
      </c>
      <c r="AI1097" s="429" t="n"/>
      <c r="AJ1097" s="431" t="n"/>
      <c r="AK1097" s="451" t="n"/>
      <c r="AL1097" s="451" t="n"/>
      <c r="AM1097" s="451" t="n"/>
      <c r="AO1097" s="429" t="n">
        <v>184</v>
      </c>
      <c r="AP1097" s="431" t="n">
        <v>184</v>
      </c>
      <c r="AQ1097" s="429" t="n"/>
      <c r="AR1097" s="431" t="n"/>
      <c r="AS1097" s="451" t="n"/>
      <c r="AT1097" s="451" t="n"/>
      <c r="AU1097" s="451" t="n"/>
      <c r="AW1097" s="429" t="n">
        <v>184</v>
      </c>
      <c r="AX1097" s="431" t="n">
        <v>184</v>
      </c>
      <c r="AY1097" s="429" t="n"/>
      <c r="AZ1097" s="431" t="n"/>
      <c r="BA1097" s="451" t="n"/>
      <c r="BB1097" s="451" t="n"/>
      <c r="BC1097" s="451" t="n"/>
      <c r="BE1097" s="429" t="n">
        <v>184</v>
      </c>
      <c r="BF1097" s="431" t="n"/>
      <c r="BG1097" s="429" t="n"/>
      <c r="BH1097" s="431" t="n"/>
      <c r="BI1097" s="451" t="n"/>
      <c r="BJ1097" s="451" t="n"/>
      <c r="BK1097" s="451" t="n"/>
      <c r="BM1097" s="429" t="n">
        <v>184</v>
      </c>
      <c r="BN1097" s="431" t="n">
        <v>184</v>
      </c>
      <c r="BO1097" s="429" t="n"/>
      <c r="BP1097" s="431" t="n"/>
      <c r="BQ1097" s="451" t="n"/>
      <c r="BR1097" s="451" t="n"/>
      <c r="BS1097" s="451" t="n"/>
      <c r="BU1097" s="429" t="n">
        <v>184</v>
      </c>
      <c r="BV1097" s="431" t="n">
        <v>184</v>
      </c>
      <c r="BW1097" s="429" t="n"/>
      <c r="BX1097" s="431" t="n"/>
      <c r="BY1097" s="451" t="n"/>
      <c r="BZ1097" s="451">
        <f>'CIRCUIT SIM'!EI187</f>
        <v/>
      </c>
      <c r="CA1097" s="451" t="n"/>
      <c r="CC1097" s="429" t="n">
        <v>184</v>
      </c>
      <c r="CD1097" s="431" t="n">
        <v>184</v>
      </c>
      <c r="CE1097" s="688" t="n"/>
      <c r="CF1097" s="431" t="n"/>
      <c r="CG1097" s="451" t="n"/>
      <c r="CH1097" s="562">
        <f>'CIRCUIT SIM'!LK187</f>
        <v/>
      </c>
      <c r="CI1097" s="451" t="n"/>
      <c r="CK1097" s="429" t="n">
        <v>184</v>
      </c>
      <c r="CL1097" s="431" t="n">
        <v>184</v>
      </c>
      <c r="CM1097" s="688" t="n"/>
      <c r="CN1097" s="431" t="n"/>
      <c r="CO1097" s="451" t="n"/>
      <c r="CP1097" s="451" t="n"/>
      <c r="CQ1097" s="451" t="n"/>
      <c r="CS1097" s="429" t="n">
        <v>184</v>
      </c>
      <c r="CT1097" s="431" t="n">
        <v>184</v>
      </c>
      <c r="CU1097" s="688" t="n"/>
      <c r="CV1097" s="431" t="n"/>
      <c r="CW1097" s="451" t="n"/>
      <c r="CX1097" s="451" t="n"/>
      <c r="CY1097" s="451" t="n"/>
      <c r="DA1097" s="429" t="n">
        <v>184</v>
      </c>
      <c r="DB1097" s="431" t="n">
        <v>184</v>
      </c>
      <c r="DC1097" s="688" t="n"/>
      <c r="DD1097" s="431" t="n"/>
      <c r="DE1097" s="451" t="n"/>
      <c r="DF1097" s="451" t="n"/>
      <c r="DG1097" s="451" t="n"/>
      <c r="DI1097" s="429" t="n">
        <v>184</v>
      </c>
      <c r="DJ1097" s="431" t="n">
        <v>184</v>
      </c>
      <c r="DK1097" s="688" t="n"/>
      <c r="DL1097" s="431" t="n"/>
      <c r="DM1097" s="429" t="n"/>
      <c r="DN1097" s="451" t="n"/>
      <c r="DO1097" s="451" t="n"/>
      <c r="DQ1097" s="429" t="n">
        <v>184</v>
      </c>
      <c r="DR1097" s="431" t="n">
        <v>184</v>
      </c>
      <c r="DS1097" s="688" t="n"/>
      <c r="DT1097" s="431" t="n"/>
      <c r="DU1097" s="451" t="n"/>
      <c r="DV1097" s="451" t="n"/>
      <c r="DW1097" s="451" t="n"/>
      <c r="DY1097" s="429" t="n">
        <v>184</v>
      </c>
      <c r="DZ1097" s="431" t="n">
        <v>184</v>
      </c>
      <c r="EA1097" s="688" t="n"/>
      <c r="EB1097" s="431" t="n"/>
      <c r="EC1097" s="451" t="n"/>
      <c r="ED1097" s="451" t="n"/>
      <c r="EE1097" s="451" t="n"/>
      <c r="EG1097" s="429" t="n">
        <v>184</v>
      </c>
      <c r="EH1097" s="431" t="n">
        <v>184</v>
      </c>
      <c r="EI1097" s="688" t="n"/>
      <c r="EJ1097" s="431" t="n"/>
      <c r="EK1097" s="451" t="n"/>
      <c r="EL1097" s="451" t="n"/>
      <c r="EM1097" s="451" t="n"/>
      <c r="EO1097" s="429" t="n">
        <v>184</v>
      </c>
      <c r="EP1097" s="431" t="n">
        <v>184</v>
      </c>
      <c r="EQ1097" s="688" t="n"/>
      <c r="ER1097" s="431" t="n"/>
      <c r="ES1097" s="451" t="n"/>
      <c r="ET1097" s="451" t="n"/>
      <c r="EU1097" s="451" t="n"/>
      <c r="EW1097" s="429" t="n">
        <v>184</v>
      </c>
      <c r="EX1097" s="431" t="n">
        <v>184</v>
      </c>
      <c r="EY1097" s="688" t="n"/>
      <c r="EZ1097" s="431" t="n"/>
      <c r="FA1097" s="451" t="n"/>
      <c r="FB1097" s="451" t="n"/>
      <c r="FC1097" s="451" t="n"/>
      <c r="FE1097" s="429" t="n">
        <v>184</v>
      </c>
      <c r="FF1097" s="431" t="n">
        <v>184</v>
      </c>
      <c r="FG1097" s="688" t="n"/>
      <c r="FH1097" s="431" t="n"/>
      <c r="FI1097" s="451" t="n"/>
      <c r="FJ1097" s="451" t="n"/>
      <c r="FK1097" s="451" t="n"/>
      <c r="FM1097" s="429" t="n">
        <v>184</v>
      </c>
      <c r="FN1097" s="431" t="n">
        <v>184</v>
      </c>
      <c r="FO1097" s="688" t="n"/>
      <c r="FP1097" s="431" t="n"/>
      <c r="FQ1097" s="451" t="n"/>
      <c r="FR1097" s="451">
        <f>'CIRCUIT SIM'!KY187</f>
        <v/>
      </c>
      <c r="FS1097" s="451" t="n"/>
      <c r="FU1097" s="429" t="n">
        <v>184</v>
      </c>
      <c r="FV1097" s="431" t="n">
        <v>184</v>
      </c>
      <c r="FW1097" s="688" t="n"/>
      <c r="FX1097" s="431" t="n"/>
      <c r="FY1097" s="451" t="n"/>
      <c r="FZ1097" s="562">
        <f>'CIRCUIT SIM'!JG187</f>
        <v/>
      </c>
      <c r="GA1097" s="451" t="n"/>
      <c r="GC1097" s="429" t="n">
        <v>184</v>
      </c>
      <c r="GD1097" s="431" t="n">
        <v>184</v>
      </c>
      <c r="GE1097" s="688" t="n"/>
      <c r="GF1097" s="431" t="n"/>
      <c r="GG1097" s="451" t="n"/>
      <c r="GH1097" s="451" t="n"/>
      <c r="GI1097" s="451" t="n"/>
      <c r="GK1097" s="429" t="n">
        <v>184</v>
      </c>
      <c r="GL1097" s="431" t="n">
        <v>184</v>
      </c>
      <c r="GM1097" s="688" t="n"/>
      <c r="GN1097" s="431" t="n"/>
      <c r="GO1097" s="451" t="n"/>
      <c r="GP1097" s="451" t="n"/>
      <c r="GQ1097" s="451" t="n"/>
      <c r="GS1097" s="429" t="n">
        <v>184</v>
      </c>
      <c r="GT1097" s="431" t="n">
        <v>184</v>
      </c>
      <c r="GU1097" s="688" t="n"/>
      <c r="GV1097" s="431" t="n"/>
      <c r="GW1097" s="451" t="n"/>
      <c r="GX1097" s="451" t="n"/>
      <c r="GY1097" s="451" t="n"/>
      <c r="HA1097" s="429" t="n">
        <v>184</v>
      </c>
      <c r="HB1097" s="431" t="n">
        <v>184</v>
      </c>
      <c r="HC1097" s="688" t="n"/>
      <c r="HD1097" s="431" t="n"/>
      <c r="HE1097" s="451" t="n"/>
      <c r="HF1097" s="451" t="n"/>
      <c r="HG1097" s="451" t="n"/>
    </row>
    <row r="1098">
      <c r="A1098" s="429" t="n">
        <v>185</v>
      </c>
      <c r="B1098" s="431" t="n">
        <v>185</v>
      </c>
      <c r="C1098" s="688" t="n"/>
      <c r="D1098" s="431" t="n"/>
      <c r="E1098" s="429" t="n"/>
      <c r="F1098" s="429" t="n"/>
      <c r="G1098" s="429" t="n"/>
      <c r="I1098" s="429" t="n">
        <v>185</v>
      </c>
      <c r="J1098" s="431" t="n">
        <v>185</v>
      </c>
      <c r="K1098" s="429" t="n"/>
      <c r="L1098" s="431" t="n"/>
      <c r="M1098" s="451" t="n"/>
      <c r="N1098" s="422">
        <f>'CIRCUIT SIM'!Y188</f>
        <v/>
      </c>
      <c r="O1098" s="451" t="n"/>
      <c r="Q1098" s="429" t="n">
        <v>185</v>
      </c>
      <c r="R1098" s="431" t="n">
        <v>185</v>
      </c>
      <c r="S1098" s="429" t="n"/>
      <c r="T1098" s="431" t="n"/>
      <c r="U1098" s="429" t="n"/>
      <c r="V1098" s="386">
        <f>'CIRCUIT SIM'!AO188</f>
        <v/>
      </c>
      <c r="W1098" s="451" t="n"/>
      <c r="Y1098" s="429" t="n">
        <v>185</v>
      </c>
      <c r="Z1098" s="431" t="n">
        <v>185</v>
      </c>
      <c r="AA1098" s="429" t="n"/>
      <c r="AB1098" s="431" t="n"/>
      <c r="AC1098" s="451" t="n"/>
      <c r="AD1098" s="451" t="n"/>
      <c r="AE1098" s="451" t="n"/>
      <c r="AG1098" s="429" t="n">
        <v>185</v>
      </c>
      <c r="AH1098" s="431" t="n">
        <v>185</v>
      </c>
      <c r="AI1098" s="429" t="n"/>
      <c r="AJ1098" s="431" t="n"/>
      <c r="AK1098" s="451" t="n"/>
      <c r="AL1098" s="451" t="n"/>
      <c r="AM1098" s="451" t="n"/>
      <c r="AO1098" s="429" t="n">
        <v>185</v>
      </c>
      <c r="AP1098" s="431" t="n">
        <v>185</v>
      </c>
      <c r="AQ1098" s="429" t="n"/>
      <c r="AR1098" s="431" t="n"/>
      <c r="AS1098" s="451" t="n"/>
      <c r="AT1098" s="451" t="n"/>
      <c r="AU1098" s="451" t="n"/>
      <c r="AW1098" s="429" t="n">
        <v>185</v>
      </c>
      <c r="AX1098" s="431" t="n">
        <v>185</v>
      </c>
      <c r="AY1098" s="429" t="n"/>
      <c r="AZ1098" s="431" t="n"/>
      <c r="BA1098" s="451" t="n"/>
      <c r="BB1098" s="451" t="n"/>
      <c r="BC1098" s="451" t="n"/>
      <c r="BE1098" s="429" t="n">
        <v>185</v>
      </c>
      <c r="BF1098" s="431" t="n"/>
      <c r="BG1098" s="429" t="n"/>
      <c r="BH1098" s="431" t="n"/>
      <c r="BI1098" s="451" t="n"/>
      <c r="BJ1098" s="451" t="n"/>
      <c r="BK1098" s="451" t="n"/>
      <c r="BM1098" s="429" t="n">
        <v>185</v>
      </c>
      <c r="BN1098" s="431" t="n">
        <v>185</v>
      </c>
      <c r="BO1098" s="429" t="n"/>
      <c r="BP1098" s="431" t="n"/>
      <c r="BQ1098" s="451" t="n"/>
      <c r="BR1098" s="451" t="n"/>
      <c r="BS1098" s="451" t="n"/>
      <c r="BU1098" s="429" t="n">
        <v>185</v>
      </c>
      <c r="BV1098" s="431" t="n">
        <v>185</v>
      </c>
      <c r="BW1098" s="429" t="n"/>
      <c r="BX1098" s="431" t="n"/>
      <c r="BY1098" s="451" t="n"/>
      <c r="BZ1098" s="451">
        <f>'CIRCUIT SIM'!EI188</f>
        <v/>
      </c>
      <c r="CA1098" s="451" t="n"/>
      <c r="CC1098" s="429" t="n">
        <v>185</v>
      </c>
      <c r="CD1098" s="431" t="n">
        <v>185</v>
      </c>
      <c r="CE1098" s="688" t="n"/>
      <c r="CF1098" s="431" t="n"/>
      <c r="CG1098" s="451" t="n"/>
      <c r="CH1098" s="562">
        <f>'CIRCUIT SIM'!LK188</f>
        <v/>
      </c>
      <c r="CI1098" s="451" t="n"/>
      <c r="CK1098" s="429" t="n">
        <v>185</v>
      </c>
      <c r="CL1098" s="431" t="n">
        <v>185</v>
      </c>
      <c r="CM1098" s="688" t="n"/>
      <c r="CN1098" s="431" t="n"/>
      <c r="CO1098" s="451" t="n"/>
      <c r="CP1098" s="451" t="n"/>
      <c r="CQ1098" s="451" t="n"/>
      <c r="CS1098" s="429" t="n">
        <v>185</v>
      </c>
      <c r="CT1098" s="431" t="n">
        <v>185</v>
      </c>
      <c r="CU1098" s="688" t="n"/>
      <c r="CV1098" s="431" t="n"/>
      <c r="CW1098" s="451" t="n"/>
      <c r="CX1098" s="451" t="n"/>
      <c r="CY1098" s="451" t="n"/>
      <c r="DA1098" s="429" t="n">
        <v>185</v>
      </c>
      <c r="DB1098" s="431" t="n">
        <v>185</v>
      </c>
      <c r="DC1098" s="688" t="n"/>
      <c r="DD1098" s="431" t="n"/>
      <c r="DE1098" s="451" t="n"/>
      <c r="DF1098" s="451" t="n"/>
      <c r="DG1098" s="451" t="n"/>
      <c r="DI1098" s="429" t="n">
        <v>185</v>
      </c>
      <c r="DJ1098" s="431" t="n">
        <v>185</v>
      </c>
      <c r="DK1098" s="688" t="n"/>
      <c r="DL1098" s="431" t="n"/>
      <c r="DM1098" s="429" t="n"/>
      <c r="DN1098" s="451" t="n"/>
      <c r="DO1098" s="451" t="n"/>
      <c r="DQ1098" s="429" t="n">
        <v>185</v>
      </c>
      <c r="DR1098" s="431" t="n">
        <v>185</v>
      </c>
      <c r="DS1098" s="688" t="n"/>
      <c r="DT1098" s="431" t="n"/>
      <c r="DU1098" s="451" t="n"/>
      <c r="DV1098" s="451" t="n"/>
      <c r="DW1098" s="451" t="n"/>
      <c r="DY1098" s="429" t="n">
        <v>185</v>
      </c>
      <c r="DZ1098" s="431" t="n">
        <v>185</v>
      </c>
      <c r="EA1098" s="688" t="n"/>
      <c r="EB1098" s="431" t="n"/>
      <c r="EC1098" s="451" t="n"/>
      <c r="ED1098" s="451" t="n"/>
      <c r="EE1098" s="451" t="n"/>
      <c r="EG1098" s="429" t="n">
        <v>185</v>
      </c>
      <c r="EH1098" s="431" t="n">
        <v>185</v>
      </c>
      <c r="EI1098" s="688" t="n"/>
      <c r="EJ1098" s="431" t="n"/>
      <c r="EK1098" s="451" t="n"/>
      <c r="EL1098" s="451" t="n"/>
      <c r="EM1098" s="451" t="n"/>
      <c r="EO1098" s="429" t="n">
        <v>185</v>
      </c>
      <c r="EP1098" s="431" t="n">
        <v>185</v>
      </c>
      <c r="EQ1098" s="688" t="n"/>
      <c r="ER1098" s="431" t="n"/>
      <c r="ES1098" s="451" t="n"/>
      <c r="ET1098" s="451" t="n"/>
      <c r="EU1098" s="451" t="n"/>
      <c r="EW1098" s="429" t="n">
        <v>185</v>
      </c>
      <c r="EX1098" s="431" t="n">
        <v>185</v>
      </c>
      <c r="EY1098" s="688" t="n"/>
      <c r="EZ1098" s="431" t="n"/>
      <c r="FA1098" s="451" t="n"/>
      <c r="FB1098" s="451" t="n"/>
      <c r="FC1098" s="451" t="n"/>
      <c r="FE1098" s="429" t="n">
        <v>185</v>
      </c>
      <c r="FF1098" s="431" t="n">
        <v>185</v>
      </c>
      <c r="FG1098" s="688" t="n"/>
      <c r="FH1098" s="431" t="n"/>
      <c r="FI1098" s="451" t="n"/>
      <c r="FJ1098" s="451" t="n"/>
      <c r="FK1098" s="451" t="n"/>
      <c r="FM1098" s="429" t="n">
        <v>185</v>
      </c>
      <c r="FN1098" s="431" t="n">
        <v>185</v>
      </c>
      <c r="FO1098" s="688" t="n"/>
      <c r="FP1098" s="431" t="n"/>
      <c r="FQ1098" s="451" t="n"/>
      <c r="FR1098" s="451">
        <f>'CIRCUIT SIM'!KY188</f>
        <v/>
      </c>
      <c r="FS1098" s="451" t="n"/>
      <c r="FU1098" s="429" t="n">
        <v>185</v>
      </c>
      <c r="FV1098" s="431" t="n">
        <v>185</v>
      </c>
      <c r="FW1098" s="688" t="n"/>
      <c r="FX1098" s="431" t="n"/>
      <c r="FY1098" s="451" t="n"/>
      <c r="FZ1098" s="562">
        <f>'CIRCUIT SIM'!JG188</f>
        <v/>
      </c>
      <c r="GA1098" s="451" t="n"/>
      <c r="GC1098" s="429" t="n">
        <v>185</v>
      </c>
      <c r="GD1098" s="431" t="n">
        <v>185</v>
      </c>
      <c r="GE1098" s="688" t="n"/>
      <c r="GF1098" s="431" t="n"/>
      <c r="GG1098" s="451" t="n"/>
      <c r="GH1098" s="451" t="n"/>
      <c r="GI1098" s="451" t="n"/>
      <c r="GK1098" s="429" t="n">
        <v>185</v>
      </c>
      <c r="GL1098" s="431" t="n">
        <v>185</v>
      </c>
      <c r="GM1098" s="688" t="n"/>
      <c r="GN1098" s="431" t="n"/>
      <c r="GO1098" s="451" t="n"/>
      <c r="GP1098" s="451" t="n"/>
      <c r="GQ1098" s="451" t="n"/>
      <c r="GS1098" s="429" t="n">
        <v>185</v>
      </c>
      <c r="GT1098" s="431" t="n">
        <v>185</v>
      </c>
      <c r="GU1098" s="688" t="n"/>
      <c r="GV1098" s="431" t="n"/>
      <c r="GW1098" s="451" t="n"/>
      <c r="GX1098" s="451" t="n"/>
      <c r="GY1098" s="451" t="n"/>
      <c r="HA1098" s="429" t="n">
        <v>185</v>
      </c>
      <c r="HB1098" s="431" t="n">
        <v>185</v>
      </c>
      <c r="HC1098" s="688" t="n"/>
      <c r="HD1098" s="431" t="n"/>
      <c r="HE1098" s="451" t="n"/>
      <c r="HF1098" s="451" t="n"/>
      <c r="HG1098" s="451" t="n"/>
    </row>
    <row r="1099">
      <c r="A1099" s="429" t="n">
        <v>186</v>
      </c>
      <c r="B1099" s="431" t="n">
        <v>186</v>
      </c>
      <c r="C1099" s="688" t="n"/>
      <c r="D1099" s="431" t="n"/>
      <c r="E1099" s="429" t="n"/>
      <c r="F1099" s="429" t="n"/>
      <c r="G1099" s="429" t="n"/>
      <c r="I1099" s="429" t="n">
        <v>186</v>
      </c>
      <c r="J1099" s="431" t="n">
        <v>186</v>
      </c>
      <c r="K1099" s="429" t="n"/>
      <c r="L1099" s="431" t="n"/>
      <c r="M1099" s="451" t="n"/>
      <c r="N1099" s="422">
        <f>'CIRCUIT SIM'!Y189</f>
        <v/>
      </c>
      <c r="O1099" s="451" t="n"/>
      <c r="Q1099" s="429" t="n">
        <v>186</v>
      </c>
      <c r="R1099" s="431" t="n">
        <v>186</v>
      </c>
      <c r="S1099" s="429" t="n"/>
      <c r="T1099" s="431" t="n"/>
      <c r="U1099" s="429" t="n"/>
      <c r="V1099" s="386">
        <f>'CIRCUIT SIM'!AO189</f>
        <v/>
      </c>
      <c r="W1099" s="451" t="n"/>
      <c r="Y1099" s="429" t="n">
        <v>186</v>
      </c>
      <c r="Z1099" s="431" t="n">
        <v>186</v>
      </c>
      <c r="AA1099" s="429" t="n"/>
      <c r="AB1099" s="431" t="n"/>
      <c r="AC1099" s="451" t="n"/>
      <c r="AD1099" s="451" t="n"/>
      <c r="AE1099" s="451" t="n"/>
      <c r="AG1099" s="429" t="n">
        <v>186</v>
      </c>
      <c r="AH1099" s="431" t="n">
        <v>186</v>
      </c>
      <c r="AI1099" s="429" t="n"/>
      <c r="AJ1099" s="431" t="n"/>
      <c r="AK1099" s="451" t="n"/>
      <c r="AL1099" s="451" t="n"/>
      <c r="AM1099" s="451" t="n"/>
      <c r="AO1099" s="429" t="n">
        <v>186</v>
      </c>
      <c r="AP1099" s="431" t="n">
        <v>186</v>
      </c>
      <c r="AQ1099" s="429" t="n"/>
      <c r="AR1099" s="431" t="n"/>
      <c r="AS1099" s="451" t="n"/>
      <c r="AT1099" s="451" t="n"/>
      <c r="AU1099" s="451" t="n"/>
      <c r="AW1099" s="429" t="n">
        <v>186</v>
      </c>
      <c r="AX1099" s="431" t="n">
        <v>186</v>
      </c>
      <c r="AY1099" s="429" t="n"/>
      <c r="AZ1099" s="431" t="n"/>
      <c r="BA1099" s="451" t="n"/>
      <c r="BB1099" s="451" t="n"/>
      <c r="BC1099" s="451" t="n"/>
      <c r="BE1099" s="429" t="n">
        <v>186</v>
      </c>
      <c r="BF1099" s="431" t="n"/>
      <c r="BG1099" s="429" t="n"/>
      <c r="BH1099" s="431" t="n"/>
      <c r="BI1099" s="451" t="n"/>
      <c r="BJ1099" s="451" t="n"/>
      <c r="BK1099" s="451" t="n"/>
      <c r="BM1099" s="429" t="n">
        <v>186</v>
      </c>
      <c r="BN1099" s="431" t="n">
        <v>186</v>
      </c>
      <c r="BO1099" s="429" t="n"/>
      <c r="BP1099" s="431" t="n"/>
      <c r="BQ1099" s="451" t="n"/>
      <c r="BR1099" s="451" t="n"/>
      <c r="BS1099" s="451" t="n"/>
      <c r="BU1099" s="429" t="n">
        <v>186</v>
      </c>
      <c r="BV1099" s="431" t="n">
        <v>186</v>
      </c>
      <c r="BW1099" s="429" t="n"/>
      <c r="BX1099" s="431" t="n"/>
      <c r="BY1099" s="451" t="n"/>
      <c r="BZ1099" s="451">
        <f>'CIRCUIT SIM'!EI189</f>
        <v/>
      </c>
      <c r="CA1099" s="451" t="n"/>
      <c r="CC1099" s="429" t="n">
        <v>186</v>
      </c>
      <c r="CD1099" s="431" t="n">
        <v>186</v>
      </c>
      <c r="CE1099" s="688" t="n"/>
      <c r="CF1099" s="431" t="n"/>
      <c r="CG1099" s="451" t="n"/>
      <c r="CH1099" s="562">
        <f>'CIRCUIT SIM'!LK189</f>
        <v/>
      </c>
      <c r="CI1099" s="451" t="n"/>
      <c r="CK1099" s="429" t="n">
        <v>186</v>
      </c>
      <c r="CL1099" s="431" t="n">
        <v>186</v>
      </c>
      <c r="CM1099" s="688" t="n"/>
      <c r="CN1099" s="431" t="n"/>
      <c r="CO1099" s="451" t="n"/>
      <c r="CP1099" s="451" t="n"/>
      <c r="CQ1099" s="451" t="n"/>
      <c r="CS1099" s="429" t="n">
        <v>186</v>
      </c>
      <c r="CT1099" s="431" t="n">
        <v>186</v>
      </c>
      <c r="CU1099" s="688" t="n"/>
      <c r="CV1099" s="431" t="n"/>
      <c r="CW1099" s="451" t="n"/>
      <c r="CX1099" s="451" t="n"/>
      <c r="CY1099" s="451" t="n"/>
      <c r="DA1099" s="429" t="n">
        <v>186</v>
      </c>
      <c r="DB1099" s="431" t="n">
        <v>186</v>
      </c>
      <c r="DC1099" s="688" t="n"/>
      <c r="DD1099" s="431" t="n"/>
      <c r="DE1099" s="451" t="n"/>
      <c r="DF1099" s="451" t="n"/>
      <c r="DG1099" s="451" t="n"/>
      <c r="DI1099" s="429" t="n">
        <v>186</v>
      </c>
      <c r="DJ1099" s="431" t="n">
        <v>186</v>
      </c>
      <c r="DK1099" s="688" t="n"/>
      <c r="DL1099" s="431" t="n"/>
      <c r="DM1099" s="429" t="n"/>
      <c r="DN1099" s="451" t="n"/>
      <c r="DO1099" s="451" t="n"/>
      <c r="DQ1099" s="429" t="n">
        <v>186</v>
      </c>
      <c r="DR1099" s="431" t="n">
        <v>186</v>
      </c>
      <c r="DS1099" s="688" t="n"/>
      <c r="DT1099" s="431" t="n"/>
      <c r="DU1099" s="451" t="n"/>
      <c r="DV1099" s="451" t="n"/>
      <c r="DW1099" s="451" t="n"/>
      <c r="DY1099" s="429" t="n">
        <v>186</v>
      </c>
      <c r="DZ1099" s="431" t="n">
        <v>186</v>
      </c>
      <c r="EA1099" s="688" t="n"/>
      <c r="EB1099" s="431" t="n"/>
      <c r="EC1099" s="451" t="n"/>
      <c r="ED1099" s="451" t="n"/>
      <c r="EE1099" s="451" t="n"/>
      <c r="EG1099" s="429" t="n">
        <v>186</v>
      </c>
      <c r="EH1099" s="431" t="n">
        <v>186</v>
      </c>
      <c r="EI1099" s="688" t="n"/>
      <c r="EJ1099" s="431" t="n"/>
      <c r="EK1099" s="451" t="n"/>
      <c r="EL1099" s="451" t="n"/>
      <c r="EM1099" s="451" t="n"/>
      <c r="EO1099" s="429" t="n">
        <v>186</v>
      </c>
      <c r="EP1099" s="431" t="n">
        <v>186</v>
      </c>
      <c r="EQ1099" s="688" t="n"/>
      <c r="ER1099" s="431" t="n"/>
      <c r="ES1099" s="451" t="n"/>
      <c r="ET1099" s="451" t="n"/>
      <c r="EU1099" s="451" t="n"/>
      <c r="EW1099" s="429" t="n">
        <v>186</v>
      </c>
      <c r="EX1099" s="431" t="n">
        <v>186</v>
      </c>
      <c r="EY1099" s="688" t="n"/>
      <c r="EZ1099" s="431" t="n"/>
      <c r="FA1099" s="451" t="n"/>
      <c r="FB1099" s="451" t="n"/>
      <c r="FC1099" s="451" t="n"/>
      <c r="FE1099" s="429" t="n">
        <v>186</v>
      </c>
      <c r="FF1099" s="431" t="n">
        <v>186</v>
      </c>
      <c r="FG1099" s="688" t="n"/>
      <c r="FH1099" s="431" t="n"/>
      <c r="FI1099" s="451" t="n"/>
      <c r="FJ1099" s="451" t="n"/>
      <c r="FK1099" s="451" t="n"/>
      <c r="FM1099" s="429" t="n">
        <v>186</v>
      </c>
      <c r="FN1099" s="431" t="n">
        <v>186</v>
      </c>
      <c r="FO1099" s="688" t="n"/>
      <c r="FP1099" s="431" t="n"/>
      <c r="FQ1099" s="451" t="n"/>
      <c r="FR1099" s="451">
        <f>'CIRCUIT SIM'!KY189</f>
        <v/>
      </c>
      <c r="FS1099" s="451" t="n"/>
      <c r="FU1099" s="429" t="n">
        <v>186</v>
      </c>
      <c r="FV1099" s="431" t="n">
        <v>186</v>
      </c>
      <c r="FW1099" s="688" t="n"/>
      <c r="FX1099" s="431" t="n"/>
      <c r="FY1099" s="451" t="n"/>
      <c r="FZ1099" s="562">
        <f>'CIRCUIT SIM'!JG189</f>
        <v/>
      </c>
      <c r="GA1099" s="451" t="n"/>
      <c r="GC1099" s="429" t="n">
        <v>186</v>
      </c>
      <c r="GD1099" s="431" t="n">
        <v>186</v>
      </c>
      <c r="GE1099" s="688" t="n"/>
      <c r="GF1099" s="431" t="n"/>
      <c r="GG1099" s="451" t="n"/>
      <c r="GH1099" s="451" t="n"/>
      <c r="GI1099" s="451" t="n"/>
      <c r="GK1099" s="429" t="n">
        <v>186</v>
      </c>
      <c r="GL1099" s="431" t="n">
        <v>186</v>
      </c>
      <c r="GM1099" s="688" t="n"/>
      <c r="GN1099" s="431" t="n"/>
      <c r="GO1099" s="451" t="n"/>
      <c r="GP1099" s="451" t="n"/>
      <c r="GQ1099" s="451" t="n"/>
      <c r="GS1099" s="429" t="n">
        <v>186</v>
      </c>
      <c r="GT1099" s="431" t="n">
        <v>186</v>
      </c>
      <c r="GU1099" s="688" t="n"/>
      <c r="GV1099" s="431" t="n"/>
      <c r="GW1099" s="451" t="n"/>
      <c r="GX1099" s="451" t="n"/>
      <c r="GY1099" s="451" t="n"/>
      <c r="HA1099" s="429" t="n">
        <v>186</v>
      </c>
      <c r="HB1099" s="431" t="n">
        <v>186</v>
      </c>
      <c r="HC1099" s="688" t="n"/>
      <c r="HD1099" s="431" t="n"/>
      <c r="HE1099" s="451" t="n"/>
      <c r="HF1099" s="451" t="n"/>
      <c r="HG1099" s="451" t="n"/>
    </row>
    <row r="1100">
      <c r="A1100" s="429" t="n">
        <v>187</v>
      </c>
      <c r="B1100" s="431" t="n">
        <v>187</v>
      </c>
      <c r="C1100" s="688" t="n"/>
      <c r="D1100" s="431" t="n"/>
      <c r="E1100" s="429" t="n"/>
      <c r="F1100" s="429" t="n"/>
      <c r="G1100" s="429" t="n"/>
      <c r="I1100" s="429" t="n">
        <v>187</v>
      </c>
      <c r="J1100" s="431" t="n">
        <v>187</v>
      </c>
      <c r="K1100" s="429" t="n"/>
      <c r="L1100" s="431" t="n"/>
      <c r="M1100" s="451" t="n"/>
      <c r="N1100" s="422">
        <f>'CIRCUIT SIM'!Y190</f>
        <v/>
      </c>
      <c r="O1100" s="451" t="n"/>
      <c r="Q1100" s="429" t="n">
        <v>187</v>
      </c>
      <c r="R1100" s="431" t="n">
        <v>187</v>
      </c>
      <c r="S1100" s="429" t="n"/>
      <c r="T1100" s="431" t="n"/>
      <c r="U1100" s="429" t="n"/>
      <c r="V1100" s="386">
        <f>'CIRCUIT SIM'!AO190</f>
        <v/>
      </c>
      <c r="W1100" s="451" t="n"/>
      <c r="Y1100" s="429" t="n">
        <v>187</v>
      </c>
      <c r="Z1100" s="431" t="n">
        <v>187</v>
      </c>
      <c r="AA1100" s="429" t="n"/>
      <c r="AB1100" s="431" t="n"/>
      <c r="AC1100" s="451" t="n"/>
      <c r="AD1100" s="451" t="n"/>
      <c r="AE1100" s="451" t="n"/>
      <c r="AG1100" s="429" t="n">
        <v>187</v>
      </c>
      <c r="AH1100" s="431" t="n">
        <v>187</v>
      </c>
      <c r="AI1100" s="429" t="n"/>
      <c r="AJ1100" s="431" t="n"/>
      <c r="AK1100" s="451" t="n"/>
      <c r="AL1100" s="451" t="n"/>
      <c r="AM1100" s="451" t="n"/>
      <c r="AO1100" s="429" t="n">
        <v>187</v>
      </c>
      <c r="AP1100" s="431" t="n">
        <v>187</v>
      </c>
      <c r="AQ1100" s="429" t="n"/>
      <c r="AR1100" s="431" t="n"/>
      <c r="AS1100" s="451" t="n"/>
      <c r="AT1100" s="451" t="n"/>
      <c r="AU1100" s="451" t="n"/>
      <c r="AW1100" s="429" t="n">
        <v>187</v>
      </c>
      <c r="AX1100" s="431" t="n">
        <v>187</v>
      </c>
      <c r="AY1100" s="429" t="n"/>
      <c r="AZ1100" s="431" t="n"/>
      <c r="BA1100" s="451" t="n"/>
      <c r="BB1100" s="451" t="n"/>
      <c r="BC1100" s="451" t="n"/>
      <c r="BE1100" s="429" t="n">
        <v>187</v>
      </c>
      <c r="BF1100" s="431" t="n"/>
      <c r="BG1100" s="429" t="n"/>
      <c r="BH1100" s="431" t="n"/>
      <c r="BI1100" s="451" t="n"/>
      <c r="BJ1100" s="451" t="n"/>
      <c r="BK1100" s="451" t="n"/>
      <c r="BM1100" s="429" t="n">
        <v>187</v>
      </c>
      <c r="BN1100" s="431" t="n">
        <v>187</v>
      </c>
      <c r="BO1100" s="429" t="n"/>
      <c r="BP1100" s="431" t="n"/>
      <c r="BQ1100" s="451" t="n"/>
      <c r="BR1100" s="451" t="n"/>
      <c r="BS1100" s="451" t="n"/>
      <c r="BU1100" s="429" t="n">
        <v>187</v>
      </c>
      <c r="BV1100" s="431" t="n">
        <v>187</v>
      </c>
      <c r="BW1100" s="429" t="n"/>
      <c r="BX1100" s="431" t="n"/>
      <c r="BY1100" s="451" t="n"/>
      <c r="BZ1100" s="451">
        <f>'CIRCUIT SIM'!EI190</f>
        <v/>
      </c>
      <c r="CA1100" s="451" t="n"/>
      <c r="CC1100" s="429" t="n">
        <v>187</v>
      </c>
      <c r="CD1100" s="431" t="n">
        <v>187</v>
      </c>
      <c r="CE1100" s="688" t="n"/>
      <c r="CF1100" s="431" t="n"/>
      <c r="CG1100" s="451" t="n"/>
      <c r="CH1100" s="562">
        <f>'CIRCUIT SIM'!LK190</f>
        <v/>
      </c>
      <c r="CI1100" s="451" t="n"/>
      <c r="CK1100" s="429" t="n">
        <v>187</v>
      </c>
      <c r="CL1100" s="431" t="n">
        <v>187</v>
      </c>
      <c r="CM1100" s="688" t="n"/>
      <c r="CN1100" s="431" t="n"/>
      <c r="CO1100" s="451" t="n"/>
      <c r="CP1100" s="451" t="n"/>
      <c r="CQ1100" s="451" t="n"/>
      <c r="CS1100" s="429" t="n">
        <v>187</v>
      </c>
      <c r="CT1100" s="431" t="n">
        <v>187</v>
      </c>
      <c r="CU1100" s="688" t="n"/>
      <c r="CV1100" s="431" t="n"/>
      <c r="CW1100" s="451" t="n"/>
      <c r="CX1100" s="451" t="n"/>
      <c r="CY1100" s="451" t="n"/>
      <c r="DA1100" s="429" t="n">
        <v>187</v>
      </c>
      <c r="DB1100" s="431" t="n">
        <v>187</v>
      </c>
      <c r="DC1100" s="688" t="n"/>
      <c r="DD1100" s="431" t="n"/>
      <c r="DE1100" s="451" t="n"/>
      <c r="DF1100" s="451" t="n"/>
      <c r="DG1100" s="451" t="n"/>
      <c r="DI1100" s="429" t="n">
        <v>187</v>
      </c>
      <c r="DJ1100" s="431" t="n">
        <v>187</v>
      </c>
      <c r="DK1100" s="688" t="n"/>
      <c r="DL1100" s="431" t="n"/>
      <c r="DM1100" s="429" t="n"/>
      <c r="DN1100" s="451" t="n"/>
      <c r="DO1100" s="451" t="n"/>
      <c r="DQ1100" s="429" t="n">
        <v>187</v>
      </c>
      <c r="DR1100" s="431" t="n">
        <v>187</v>
      </c>
      <c r="DS1100" s="688" t="n"/>
      <c r="DT1100" s="431" t="n"/>
      <c r="DU1100" s="451" t="n"/>
      <c r="DV1100" s="451" t="n"/>
      <c r="DW1100" s="451" t="n"/>
      <c r="DY1100" s="429" t="n">
        <v>187</v>
      </c>
      <c r="DZ1100" s="431" t="n">
        <v>187</v>
      </c>
      <c r="EA1100" s="688" t="n"/>
      <c r="EB1100" s="431" t="n"/>
      <c r="EC1100" s="451" t="n"/>
      <c r="ED1100" s="451" t="n"/>
      <c r="EE1100" s="451" t="n"/>
      <c r="EG1100" s="429" t="n">
        <v>187</v>
      </c>
      <c r="EH1100" s="431" t="n">
        <v>187</v>
      </c>
      <c r="EI1100" s="688" t="n"/>
      <c r="EJ1100" s="431" t="n"/>
      <c r="EK1100" s="451" t="n"/>
      <c r="EL1100" s="451" t="n"/>
      <c r="EM1100" s="451" t="n"/>
      <c r="EO1100" s="429" t="n">
        <v>187</v>
      </c>
      <c r="EP1100" s="431" t="n">
        <v>187</v>
      </c>
      <c r="EQ1100" s="688" t="n"/>
      <c r="ER1100" s="431" t="n"/>
      <c r="ES1100" s="451" t="n"/>
      <c r="ET1100" s="451" t="n"/>
      <c r="EU1100" s="451" t="n"/>
      <c r="EW1100" s="429" t="n">
        <v>187</v>
      </c>
      <c r="EX1100" s="431" t="n">
        <v>187</v>
      </c>
      <c r="EY1100" s="688" t="n"/>
      <c r="EZ1100" s="431" t="n"/>
      <c r="FA1100" s="451" t="n"/>
      <c r="FB1100" s="451" t="n"/>
      <c r="FC1100" s="451" t="n"/>
      <c r="FE1100" s="429" t="n">
        <v>187</v>
      </c>
      <c r="FF1100" s="431" t="n">
        <v>187</v>
      </c>
      <c r="FG1100" s="688" t="n"/>
      <c r="FH1100" s="431" t="n"/>
      <c r="FI1100" s="451" t="n"/>
      <c r="FJ1100" s="451" t="n"/>
      <c r="FK1100" s="451" t="n"/>
      <c r="FM1100" s="429" t="n">
        <v>187</v>
      </c>
      <c r="FN1100" s="431" t="n">
        <v>187</v>
      </c>
      <c r="FO1100" s="688" t="n"/>
      <c r="FP1100" s="431" t="n"/>
      <c r="FQ1100" s="451" t="n"/>
      <c r="FR1100" s="451">
        <f>'CIRCUIT SIM'!KY190</f>
        <v/>
      </c>
      <c r="FS1100" s="451" t="n"/>
      <c r="FU1100" s="429" t="n">
        <v>187</v>
      </c>
      <c r="FV1100" s="431" t="n">
        <v>187</v>
      </c>
      <c r="FW1100" s="688" t="n"/>
      <c r="FX1100" s="431" t="n"/>
      <c r="FY1100" s="451" t="n"/>
      <c r="FZ1100" s="562">
        <f>'CIRCUIT SIM'!JG190</f>
        <v/>
      </c>
      <c r="GA1100" s="451" t="n"/>
      <c r="GC1100" s="429" t="n">
        <v>187</v>
      </c>
      <c r="GD1100" s="431" t="n">
        <v>187</v>
      </c>
      <c r="GE1100" s="688" t="n"/>
      <c r="GF1100" s="431" t="n"/>
      <c r="GG1100" s="451" t="n"/>
      <c r="GH1100" s="451" t="n"/>
      <c r="GI1100" s="451" t="n"/>
      <c r="GK1100" s="429" t="n">
        <v>187</v>
      </c>
      <c r="GL1100" s="431" t="n">
        <v>187</v>
      </c>
      <c r="GM1100" s="688" t="n"/>
      <c r="GN1100" s="431" t="n"/>
      <c r="GO1100" s="451" t="n"/>
      <c r="GP1100" s="451" t="n"/>
      <c r="GQ1100" s="451" t="n"/>
      <c r="GS1100" s="429" t="n">
        <v>187</v>
      </c>
      <c r="GT1100" s="431" t="n">
        <v>187</v>
      </c>
      <c r="GU1100" s="688" t="n"/>
      <c r="GV1100" s="431" t="n"/>
      <c r="GW1100" s="451" t="n"/>
      <c r="GX1100" s="451" t="n"/>
      <c r="GY1100" s="451" t="n"/>
      <c r="HA1100" s="429" t="n">
        <v>187</v>
      </c>
      <c r="HB1100" s="431" t="n">
        <v>187</v>
      </c>
      <c r="HC1100" s="688" t="n"/>
      <c r="HD1100" s="431" t="n"/>
      <c r="HE1100" s="451" t="n"/>
      <c r="HF1100" s="451" t="n"/>
      <c r="HG1100" s="451" t="n"/>
    </row>
    <row r="1101">
      <c r="A1101" s="429" t="n">
        <v>188</v>
      </c>
      <c r="B1101" s="431" t="n">
        <v>188</v>
      </c>
      <c r="C1101" s="688" t="n"/>
      <c r="D1101" s="431" t="n"/>
      <c r="E1101" s="429" t="n"/>
      <c r="F1101" s="429" t="n"/>
      <c r="G1101" s="429" t="n"/>
      <c r="I1101" s="429" t="n">
        <v>188</v>
      </c>
      <c r="J1101" s="431" t="n">
        <v>188</v>
      </c>
      <c r="K1101" s="429" t="n"/>
      <c r="L1101" s="431" t="n"/>
      <c r="M1101" s="451" t="n"/>
      <c r="N1101" s="422">
        <f>'CIRCUIT SIM'!Y191</f>
        <v/>
      </c>
      <c r="O1101" s="451" t="n"/>
      <c r="Q1101" s="429" t="n">
        <v>188</v>
      </c>
      <c r="R1101" s="431" t="n">
        <v>188</v>
      </c>
      <c r="S1101" s="429" t="n"/>
      <c r="T1101" s="431" t="n"/>
      <c r="U1101" s="429" t="n"/>
      <c r="V1101" s="386">
        <f>'CIRCUIT SIM'!AO191</f>
        <v/>
      </c>
      <c r="W1101" s="451" t="n"/>
      <c r="Y1101" s="429" t="n">
        <v>188</v>
      </c>
      <c r="Z1101" s="431" t="n">
        <v>188</v>
      </c>
      <c r="AA1101" s="429" t="n"/>
      <c r="AB1101" s="431" t="n"/>
      <c r="AC1101" s="451" t="n"/>
      <c r="AD1101" s="451" t="n"/>
      <c r="AE1101" s="451" t="n"/>
      <c r="AG1101" s="429" t="n">
        <v>188</v>
      </c>
      <c r="AH1101" s="431" t="n">
        <v>188</v>
      </c>
      <c r="AI1101" s="429" t="n"/>
      <c r="AJ1101" s="431" t="n"/>
      <c r="AK1101" s="451" t="n"/>
      <c r="AL1101" s="451" t="n"/>
      <c r="AM1101" s="451" t="n"/>
      <c r="AO1101" s="429" t="n">
        <v>188</v>
      </c>
      <c r="AP1101" s="431" t="n">
        <v>188</v>
      </c>
      <c r="AQ1101" s="429" t="n"/>
      <c r="AR1101" s="431" t="n"/>
      <c r="AS1101" s="451" t="n"/>
      <c r="AT1101" s="451" t="n"/>
      <c r="AU1101" s="451" t="n"/>
      <c r="AW1101" s="429" t="n">
        <v>188</v>
      </c>
      <c r="AX1101" s="431" t="n">
        <v>188</v>
      </c>
      <c r="AY1101" s="429" t="n"/>
      <c r="AZ1101" s="431" t="n"/>
      <c r="BA1101" s="451" t="n"/>
      <c r="BB1101" s="451" t="n"/>
      <c r="BC1101" s="451" t="n"/>
      <c r="BE1101" s="429" t="n">
        <v>188</v>
      </c>
      <c r="BF1101" s="431" t="n"/>
      <c r="BG1101" s="429" t="n"/>
      <c r="BH1101" s="431" t="n"/>
      <c r="BI1101" s="451" t="n"/>
      <c r="BJ1101" s="451" t="n"/>
      <c r="BK1101" s="451" t="n"/>
      <c r="BM1101" s="429" t="n">
        <v>188</v>
      </c>
      <c r="BN1101" s="431" t="n">
        <v>188</v>
      </c>
      <c r="BO1101" s="429" t="n"/>
      <c r="BP1101" s="431" t="n"/>
      <c r="BQ1101" s="451" t="n"/>
      <c r="BR1101" s="451" t="n"/>
      <c r="BS1101" s="451" t="n"/>
      <c r="BU1101" s="429" t="n">
        <v>188</v>
      </c>
      <c r="BV1101" s="431" t="n">
        <v>188</v>
      </c>
      <c r="BW1101" s="429" t="n"/>
      <c r="BX1101" s="431" t="n"/>
      <c r="BY1101" s="451" t="n"/>
      <c r="BZ1101" s="451">
        <f>'CIRCUIT SIM'!EI191</f>
        <v/>
      </c>
      <c r="CA1101" s="451" t="n"/>
      <c r="CC1101" s="429" t="n">
        <v>188</v>
      </c>
      <c r="CD1101" s="431" t="n">
        <v>188</v>
      </c>
      <c r="CE1101" s="688" t="n"/>
      <c r="CF1101" s="431" t="n"/>
      <c r="CG1101" s="451" t="n"/>
      <c r="CH1101" s="562">
        <f>'CIRCUIT SIM'!LK191</f>
        <v/>
      </c>
      <c r="CI1101" s="451" t="n"/>
      <c r="CK1101" s="429" t="n">
        <v>188</v>
      </c>
      <c r="CL1101" s="431" t="n">
        <v>188</v>
      </c>
      <c r="CM1101" s="688" t="n"/>
      <c r="CN1101" s="431" t="n"/>
      <c r="CO1101" s="451" t="n"/>
      <c r="CP1101" s="451" t="n"/>
      <c r="CQ1101" s="451" t="n"/>
      <c r="CS1101" s="429" t="n">
        <v>188</v>
      </c>
      <c r="CT1101" s="431" t="n">
        <v>188</v>
      </c>
      <c r="CU1101" s="688" t="n"/>
      <c r="CV1101" s="431" t="n"/>
      <c r="CW1101" s="451" t="n"/>
      <c r="CX1101" s="451" t="n"/>
      <c r="CY1101" s="451" t="n"/>
      <c r="DA1101" s="429" t="n">
        <v>188</v>
      </c>
      <c r="DB1101" s="431" t="n">
        <v>188</v>
      </c>
      <c r="DC1101" s="688" t="n"/>
      <c r="DD1101" s="431" t="n"/>
      <c r="DE1101" s="451" t="n"/>
      <c r="DF1101" s="451" t="n"/>
      <c r="DG1101" s="451" t="n"/>
      <c r="DI1101" s="429" t="n">
        <v>188</v>
      </c>
      <c r="DJ1101" s="431" t="n">
        <v>188</v>
      </c>
      <c r="DK1101" s="688" t="n"/>
      <c r="DL1101" s="431" t="n"/>
      <c r="DM1101" s="429" t="n"/>
      <c r="DN1101" s="451" t="n"/>
      <c r="DO1101" s="451" t="n"/>
      <c r="DQ1101" s="429" t="n">
        <v>188</v>
      </c>
      <c r="DR1101" s="431" t="n">
        <v>188</v>
      </c>
      <c r="DS1101" s="688" t="n"/>
      <c r="DT1101" s="431" t="n"/>
      <c r="DU1101" s="451" t="n"/>
      <c r="DV1101" s="451" t="n"/>
      <c r="DW1101" s="451" t="n"/>
      <c r="DY1101" s="429" t="n">
        <v>188</v>
      </c>
      <c r="DZ1101" s="431" t="n">
        <v>188</v>
      </c>
      <c r="EA1101" s="688" t="n"/>
      <c r="EB1101" s="431" t="n"/>
      <c r="EC1101" s="451" t="n"/>
      <c r="ED1101" s="451" t="n"/>
      <c r="EE1101" s="451" t="n"/>
      <c r="EG1101" s="429" t="n">
        <v>188</v>
      </c>
      <c r="EH1101" s="431" t="n">
        <v>188</v>
      </c>
      <c r="EI1101" s="688" t="n"/>
      <c r="EJ1101" s="431" t="n"/>
      <c r="EK1101" s="451" t="n"/>
      <c r="EL1101" s="451" t="n"/>
      <c r="EM1101" s="451" t="n"/>
      <c r="EO1101" s="429" t="n">
        <v>188</v>
      </c>
      <c r="EP1101" s="431" t="n">
        <v>188</v>
      </c>
      <c r="EQ1101" s="688" t="n"/>
      <c r="ER1101" s="431" t="n"/>
      <c r="ES1101" s="451" t="n"/>
      <c r="ET1101" s="451" t="n"/>
      <c r="EU1101" s="451" t="n"/>
      <c r="EW1101" s="429" t="n">
        <v>188</v>
      </c>
      <c r="EX1101" s="431" t="n">
        <v>188</v>
      </c>
      <c r="EY1101" s="688" t="n"/>
      <c r="EZ1101" s="431" t="n"/>
      <c r="FA1101" s="451" t="n"/>
      <c r="FB1101" s="451" t="n"/>
      <c r="FC1101" s="451" t="n"/>
      <c r="FE1101" s="429" t="n">
        <v>188</v>
      </c>
      <c r="FF1101" s="431" t="n">
        <v>188</v>
      </c>
      <c r="FG1101" s="688" t="n"/>
      <c r="FH1101" s="431" t="n"/>
      <c r="FI1101" s="451" t="n"/>
      <c r="FJ1101" s="451" t="n"/>
      <c r="FK1101" s="451" t="n"/>
      <c r="FM1101" s="429" t="n">
        <v>188</v>
      </c>
      <c r="FN1101" s="431" t="n">
        <v>188</v>
      </c>
      <c r="FO1101" s="688" t="n"/>
      <c r="FP1101" s="431" t="n"/>
      <c r="FQ1101" s="451" t="n"/>
      <c r="FR1101" s="451" t="n"/>
      <c r="FS1101" s="451" t="n"/>
      <c r="FU1101" s="429" t="n">
        <v>188</v>
      </c>
      <c r="FV1101" s="431" t="n">
        <v>188</v>
      </c>
      <c r="FW1101" s="688" t="n"/>
      <c r="FX1101" s="431" t="n"/>
      <c r="FY1101" s="451" t="n"/>
      <c r="FZ1101" s="562">
        <f>'CIRCUIT SIM'!JG191</f>
        <v/>
      </c>
      <c r="GA1101" s="451" t="n"/>
      <c r="GC1101" s="429" t="n">
        <v>188</v>
      </c>
      <c r="GD1101" s="431" t="n">
        <v>188</v>
      </c>
      <c r="GE1101" s="688" t="n"/>
      <c r="GF1101" s="431" t="n"/>
      <c r="GG1101" s="451" t="n"/>
      <c r="GH1101" s="451" t="n"/>
      <c r="GI1101" s="451" t="n"/>
      <c r="GK1101" s="429" t="n">
        <v>188</v>
      </c>
      <c r="GL1101" s="431" t="n">
        <v>188</v>
      </c>
      <c r="GM1101" s="688" t="n"/>
      <c r="GN1101" s="431" t="n"/>
      <c r="GO1101" s="451" t="n"/>
      <c r="GP1101" s="451" t="n"/>
      <c r="GQ1101" s="451" t="n"/>
      <c r="GS1101" s="429" t="n">
        <v>188</v>
      </c>
      <c r="GT1101" s="431" t="n">
        <v>188</v>
      </c>
      <c r="GU1101" s="688" t="n"/>
      <c r="GV1101" s="431" t="n"/>
      <c r="GW1101" s="451" t="n"/>
      <c r="GX1101" s="451" t="n"/>
      <c r="GY1101" s="451" t="n"/>
      <c r="HA1101" s="429" t="n">
        <v>188</v>
      </c>
      <c r="HB1101" s="431" t="n">
        <v>188</v>
      </c>
      <c r="HC1101" s="688" t="n"/>
      <c r="HD1101" s="431" t="n"/>
      <c r="HE1101" s="451" t="n"/>
      <c r="HF1101" s="451" t="n"/>
      <c r="HG1101" s="451" t="n"/>
    </row>
    <row r="1102">
      <c r="A1102" s="429" t="n">
        <v>189</v>
      </c>
      <c r="B1102" s="431" t="n">
        <v>189</v>
      </c>
      <c r="C1102" s="688" t="n"/>
      <c r="D1102" s="431" t="n"/>
      <c r="E1102" s="429" t="n"/>
      <c r="F1102" s="429" t="n"/>
      <c r="G1102" s="429" t="n"/>
      <c r="I1102" s="429" t="n">
        <v>189</v>
      </c>
      <c r="J1102" s="431" t="n">
        <v>189</v>
      </c>
      <c r="K1102" s="429" t="n"/>
      <c r="L1102" s="431" t="n"/>
      <c r="M1102" s="451" t="n"/>
      <c r="N1102" s="422">
        <f>'CIRCUIT SIM'!Y192</f>
        <v/>
      </c>
      <c r="O1102" s="451" t="n"/>
      <c r="Q1102" s="429" t="n">
        <v>189</v>
      </c>
      <c r="R1102" s="431" t="n">
        <v>189</v>
      </c>
      <c r="S1102" s="429" t="n"/>
      <c r="T1102" s="431" t="n"/>
      <c r="U1102" s="429" t="n"/>
      <c r="V1102" s="386">
        <f>'CIRCUIT SIM'!AO192</f>
        <v/>
      </c>
      <c r="W1102" s="451" t="n"/>
      <c r="Y1102" s="429" t="n">
        <v>189</v>
      </c>
      <c r="Z1102" s="431" t="n">
        <v>189</v>
      </c>
      <c r="AA1102" s="429" t="n"/>
      <c r="AB1102" s="431" t="n"/>
      <c r="AC1102" s="451" t="n"/>
      <c r="AD1102" s="451" t="n"/>
      <c r="AE1102" s="451" t="n"/>
      <c r="AG1102" s="429" t="n">
        <v>189</v>
      </c>
      <c r="AH1102" s="431" t="n">
        <v>189</v>
      </c>
      <c r="AI1102" s="429" t="n"/>
      <c r="AJ1102" s="431" t="n"/>
      <c r="AK1102" s="451" t="n"/>
      <c r="AL1102" s="451" t="n"/>
      <c r="AM1102" s="451" t="n"/>
      <c r="AO1102" s="429" t="n">
        <v>189</v>
      </c>
      <c r="AP1102" s="431" t="n">
        <v>189</v>
      </c>
      <c r="AQ1102" s="429" t="n"/>
      <c r="AR1102" s="431" t="n"/>
      <c r="AS1102" s="451" t="n"/>
      <c r="AT1102" s="451" t="n"/>
      <c r="AU1102" s="451" t="n"/>
      <c r="AW1102" s="429" t="n">
        <v>189</v>
      </c>
      <c r="AX1102" s="431" t="n">
        <v>189</v>
      </c>
      <c r="AY1102" s="429" t="n"/>
      <c r="AZ1102" s="431" t="n"/>
      <c r="BA1102" s="451" t="n"/>
      <c r="BB1102" s="451" t="n"/>
      <c r="BC1102" s="451" t="n"/>
      <c r="BE1102" s="429" t="n">
        <v>189</v>
      </c>
      <c r="BF1102" s="431" t="n"/>
      <c r="BG1102" s="429" t="n"/>
      <c r="BH1102" s="431" t="n"/>
      <c r="BI1102" s="451" t="n"/>
      <c r="BJ1102" s="451" t="n"/>
      <c r="BK1102" s="451" t="n"/>
      <c r="BM1102" s="429" t="n">
        <v>189</v>
      </c>
      <c r="BN1102" s="431" t="n">
        <v>189</v>
      </c>
      <c r="BO1102" s="429" t="n"/>
      <c r="BP1102" s="431" t="n"/>
      <c r="BQ1102" s="451" t="n"/>
      <c r="BR1102" s="451" t="n"/>
      <c r="BS1102" s="451" t="n"/>
      <c r="BU1102" s="429" t="n">
        <v>189</v>
      </c>
      <c r="BV1102" s="431" t="n">
        <v>189</v>
      </c>
      <c r="BW1102" s="429" t="n"/>
      <c r="BX1102" s="431" t="n"/>
      <c r="BY1102" s="451" t="n"/>
      <c r="BZ1102" s="451">
        <f>'CIRCUIT SIM'!EI192</f>
        <v/>
      </c>
      <c r="CA1102" s="451" t="n"/>
      <c r="CC1102" s="429" t="n">
        <v>189</v>
      </c>
      <c r="CD1102" s="431" t="n">
        <v>189</v>
      </c>
      <c r="CE1102" s="688" t="n"/>
      <c r="CF1102" s="431" t="n"/>
      <c r="CG1102" s="451" t="n"/>
      <c r="CH1102" s="562">
        <f>'CIRCUIT SIM'!LK192</f>
        <v/>
      </c>
      <c r="CI1102" s="451" t="n"/>
      <c r="CK1102" s="429" t="n">
        <v>189</v>
      </c>
      <c r="CL1102" s="431" t="n">
        <v>189</v>
      </c>
      <c r="CM1102" s="688" t="n"/>
      <c r="CN1102" s="431" t="n"/>
      <c r="CO1102" s="451" t="n"/>
      <c r="CP1102" s="451" t="n"/>
      <c r="CQ1102" s="451" t="n"/>
      <c r="CS1102" s="429" t="n">
        <v>189</v>
      </c>
      <c r="CT1102" s="431" t="n">
        <v>189</v>
      </c>
      <c r="CU1102" s="688" t="n"/>
      <c r="CV1102" s="431" t="n"/>
      <c r="CW1102" s="451" t="n"/>
      <c r="CX1102" s="451" t="n"/>
      <c r="CY1102" s="451" t="n"/>
      <c r="DA1102" s="429" t="n">
        <v>189</v>
      </c>
      <c r="DB1102" s="431" t="n">
        <v>189</v>
      </c>
      <c r="DC1102" s="688" t="n"/>
      <c r="DD1102" s="431" t="n"/>
      <c r="DE1102" s="451" t="n"/>
      <c r="DF1102" s="451" t="n"/>
      <c r="DG1102" s="451" t="n"/>
      <c r="DI1102" s="429" t="n">
        <v>189</v>
      </c>
      <c r="DJ1102" s="431" t="n">
        <v>189</v>
      </c>
      <c r="DK1102" s="688" t="n"/>
      <c r="DL1102" s="431" t="n"/>
      <c r="DM1102" s="429" t="n"/>
      <c r="DN1102" s="451" t="n"/>
      <c r="DO1102" s="451" t="n"/>
      <c r="DQ1102" s="429" t="n">
        <v>189</v>
      </c>
      <c r="DR1102" s="431" t="n">
        <v>189</v>
      </c>
      <c r="DS1102" s="688" t="n"/>
      <c r="DT1102" s="431" t="n"/>
      <c r="DU1102" s="451" t="n"/>
      <c r="DV1102" s="451" t="n"/>
      <c r="DW1102" s="451" t="n"/>
      <c r="DY1102" s="429" t="n">
        <v>189</v>
      </c>
      <c r="DZ1102" s="431" t="n">
        <v>189</v>
      </c>
      <c r="EA1102" s="688" t="n"/>
      <c r="EB1102" s="431" t="n"/>
      <c r="EC1102" s="451" t="n"/>
      <c r="ED1102" s="451" t="n"/>
      <c r="EE1102" s="451" t="n"/>
      <c r="EG1102" s="429" t="n">
        <v>189</v>
      </c>
      <c r="EH1102" s="431" t="n">
        <v>189</v>
      </c>
      <c r="EI1102" s="688" t="n"/>
      <c r="EJ1102" s="431" t="n"/>
      <c r="EK1102" s="451" t="n"/>
      <c r="EL1102" s="451" t="n"/>
      <c r="EM1102" s="451" t="n"/>
      <c r="EO1102" s="429" t="n">
        <v>189</v>
      </c>
      <c r="EP1102" s="431" t="n">
        <v>189</v>
      </c>
      <c r="EQ1102" s="688" t="n"/>
      <c r="ER1102" s="431" t="n"/>
      <c r="ES1102" s="451" t="n"/>
      <c r="ET1102" s="451" t="n"/>
      <c r="EU1102" s="451" t="n"/>
      <c r="EW1102" s="429" t="n">
        <v>189</v>
      </c>
      <c r="EX1102" s="431" t="n">
        <v>189</v>
      </c>
      <c r="EY1102" s="688" t="n"/>
      <c r="EZ1102" s="431" t="n"/>
      <c r="FA1102" s="451" t="n"/>
      <c r="FB1102" s="451" t="n"/>
      <c r="FC1102" s="451" t="n"/>
      <c r="FE1102" s="429" t="n">
        <v>189</v>
      </c>
      <c r="FF1102" s="431" t="n">
        <v>189</v>
      </c>
      <c r="FG1102" s="688" t="n"/>
      <c r="FH1102" s="431" t="n"/>
      <c r="FI1102" s="451" t="n"/>
      <c r="FJ1102" s="451" t="n"/>
      <c r="FK1102" s="451" t="n"/>
      <c r="FM1102" s="429" t="n">
        <v>189</v>
      </c>
      <c r="FN1102" s="431" t="n">
        <v>189</v>
      </c>
      <c r="FO1102" s="688" t="n"/>
      <c r="FP1102" s="431" t="n"/>
      <c r="FQ1102" s="451" t="n"/>
      <c r="FR1102" s="451" t="n"/>
      <c r="FS1102" s="451" t="n"/>
      <c r="FU1102" s="429" t="n">
        <v>189</v>
      </c>
      <c r="FV1102" s="431" t="n">
        <v>189</v>
      </c>
      <c r="FW1102" s="688" t="n"/>
      <c r="FX1102" s="431" t="n"/>
      <c r="FY1102" s="451" t="n"/>
      <c r="FZ1102" s="562">
        <f>'CIRCUIT SIM'!JG192</f>
        <v/>
      </c>
      <c r="GA1102" s="451" t="n"/>
      <c r="GC1102" s="429" t="n">
        <v>189</v>
      </c>
      <c r="GD1102" s="431" t="n">
        <v>189</v>
      </c>
      <c r="GE1102" s="688" t="n"/>
      <c r="GF1102" s="431" t="n"/>
      <c r="GG1102" s="451" t="n"/>
      <c r="GH1102" s="451" t="n"/>
      <c r="GI1102" s="451" t="n"/>
      <c r="GK1102" s="429" t="n">
        <v>189</v>
      </c>
      <c r="GL1102" s="431" t="n">
        <v>189</v>
      </c>
      <c r="GM1102" s="688" t="n"/>
      <c r="GN1102" s="431" t="n"/>
      <c r="GO1102" s="451" t="n"/>
      <c r="GP1102" s="451" t="n"/>
      <c r="GQ1102" s="451" t="n"/>
      <c r="GS1102" s="429" t="n">
        <v>189</v>
      </c>
      <c r="GT1102" s="431" t="n">
        <v>189</v>
      </c>
      <c r="GU1102" s="688" t="n"/>
      <c r="GV1102" s="431" t="n"/>
      <c r="GW1102" s="451" t="n"/>
      <c r="GX1102" s="451" t="n"/>
      <c r="GY1102" s="451" t="n"/>
      <c r="HA1102" s="429" t="n">
        <v>189</v>
      </c>
      <c r="HB1102" s="431" t="n">
        <v>189</v>
      </c>
      <c r="HC1102" s="688" t="n"/>
      <c r="HD1102" s="431" t="n"/>
      <c r="HE1102" s="451" t="n"/>
      <c r="HF1102" s="451" t="n"/>
      <c r="HG1102" s="451" t="n"/>
    </row>
    <row r="1103">
      <c r="A1103" s="429" t="n">
        <v>190</v>
      </c>
      <c r="B1103" s="431" t="n">
        <v>190</v>
      </c>
      <c r="C1103" s="688" t="n"/>
      <c r="D1103" s="431" t="n"/>
      <c r="E1103" s="429" t="n"/>
      <c r="F1103" s="429" t="n"/>
      <c r="G1103" s="429" t="n"/>
      <c r="I1103" s="429" t="n">
        <v>190</v>
      </c>
      <c r="J1103" s="431" t="n">
        <v>190</v>
      </c>
      <c r="K1103" s="429" t="n"/>
      <c r="L1103" s="431" t="n"/>
      <c r="M1103" s="451" t="n"/>
      <c r="N1103" s="422">
        <f>'CIRCUIT SIM'!Y193</f>
        <v/>
      </c>
      <c r="O1103" s="451" t="n"/>
      <c r="Q1103" s="429" t="n">
        <v>190</v>
      </c>
      <c r="R1103" s="431" t="n">
        <v>190</v>
      </c>
      <c r="S1103" s="429" t="n"/>
      <c r="T1103" s="431" t="n"/>
      <c r="U1103" s="429" t="n"/>
      <c r="V1103" s="386">
        <f>'CIRCUIT SIM'!AO193</f>
        <v/>
      </c>
      <c r="W1103" s="451" t="n"/>
      <c r="Y1103" s="429" t="n">
        <v>190</v>
      </c>
      <c r="Z1103" s="431" t="n">
        <v>190</v>
      </c>
      <c r="AA1103" s="429" t="n"/>
      <c r="AB1103" s="431" t="n"/>
      <c r="AC1103" s="451" t="n"/>
      <c r="AD1103" s="451" t="n"/>
      <c r="AE1103" s="451" t="n"/>
      <c r="AG1103" s="429" t="n">
        <v>190</v>
      </c>
      <c r="AH1103" s="431" t="n">
        <v>190</v>
      </c>
      <c r="AI1103" s="429" t="n"/>
      <c r="AJ1103" s="431" t="n"/>
      <c r="AK1103" s="451" t="n"/>
      <c r="AL1103" s="451" t="n"/>
      <c r="AM1103" s="451" t="n"/>
      <c r="AO1103" s="429" t="n">
        <v>190</v>
      </c>
      <c r="AP1103" s="431" t="n">
        <v>190</v>
      </c>
      <c r="AQ1103" s="429" t="n"/>
      <c r="AR1103" s="431" t="n"/>
      <c r="AS1103" s="451" t="n"/>
      <c r="AT1103" s="451" t="n"/>
      <c r="AU1103" s="451" t="n"/>
      <c r="AW1103" s="429" t="n">
        <v>190</v>
      </c>
      <c r="AX1103" s="431" t="n">
        <v>190</v>
      </c>
      <c r="AY1103" s="429" t="n"/>
      <c r="AZ1103" s="431" t="n"/>
      <c r="BA1103" s="451" t="n"/>
      <c r="BB1103" s="451" t="n"/>
      <c r="BC1103" s="451" t="n"/>
      <c r="BE1103" s="429" t="n">
        <v>190</v>
      </c>
      <c r="BF1103" s="431" t="n"/>
      <c r="BG1103" s="429" t="n"/>
      <c r="BH1103" s="431" t="n"/>
      <c r="BI1103" s="451" t="n"/>
      <c r="BJ1103" s="451" t="n"/>
      <c r="BK1103" s="451" t="n"/>
      <c r="BM1103" s="429" t="n">
        <v>190</v>
      </c>
      <c r="BN1103" s="431" t="n">
        <v>190</v>
      </c>
      <c r="BO1103" s="429" t="n"/>
      <c r="BP1103" s="431" t="n"/>
      <c r="BQ1103" s="451" t="n"/>
      <c r="BR1103" s="451" t="n"/>
      <c r="BS1103" s="451" t="n"/>
      <c r="BU1103" s="429" t="n">
        <v>190</v>
      </c>
      <c r="BV1103" s="431" t="n">
        <v>190</v>
      </c>
      <c r="BW1103" s="429" t="n"/>
      <c r="BX1103" s="431" t="n"/>
      <c r="BY1103" s="451" t="n"/>
      <c r="BZ1103" s="451">
        <f>'CIRCUIT SIM'!EI193</f>
        <v/>
      </c>
      <c r="CA1103" s="451" t="n"/>
      <c r="CC1103" s="429" t="n">
        <v>190</v>
      </c>
      <c r="CD1103" s="431" t="n">
        <v>190</v>
      </c>
      <c r="CE1103" s="688" t="n"/>
      <c r="CF1103" s="431" t="n"/>
      <c r="CG1103" s="451" t="n"/>
      <c r="CH1103" s="562">
        <f>'CIRCUIT SIM'!LK193</f>
        <v/>
      </c>
      <c r="CI1103" s="451" t="n"/>
      <c r="CK1103" s="429" t="n">
        <v>190</v>
      </c>
      <c r="CL1103" s="431" t="n">
        <v>190</v>
      </c>
      <c r="CM1103" s="688" t="n"/>
      <c r="CN1103" s="431" t="n"/>
      <c r="CO1103" s="451" t="n"/>
      <c r="CP1103" s="451" t="n"/>
      <c r="CQ1103" s="451" t="n"/>
      <c r="CS1103" s="429" t="n">
        <v>190</v>
      </c>
      <c r="CT1103" s="431" t="n">
        <v>190</v>
      </c>
      <c r="CU1103" s="688" t="n"/>
      <c r="CV1103" s="431" t="n"/>
      <c r="CW1103" s="451" t="n"/>
      <c r="CX1103" s="451" t="n"/>
      <c r="CY1103" s="451" t="n"/>
      <c r="DA1103" s="429" t="n">
        <v>190</v>
      </c>
      <c r="DB1103" s="431" t="n">
        <v>190</v>
      </c>
      <c r="DC1103" s="688" t="n"/>
      <c r="DD1103" s="431" t="n"/>
      <c r="DE1103" s="451" t="n"/>
      <c r="DF1103" s="451" t="n"/>
      <c r="DG1103" s="451" t="n"/>
      <c r="DI1103" s="429" t="n">
        <v>190</v>
      </c>
      <c r="DJ1103" s="431" t="n">
        <v>190</v>
      </c>
      <c r="DK1103" s="688" t="n"/>
      <c r="DL1103" s="431" t="n"/>
      <c r="DM1103" s="429" t="n"/>
      <c r="DN1103" s="451" t="n"/>
      <c r="DO1103" s="451" t="n"/>
      <c r="DQ1103" s="429" t="n">
        <v>190</v>
      </c>
      <c r="DR1103" s="431" t="n">
        <v>190</v>
      </c>
      <c r="DS1103" s="688" t="n"/>
      <c r="DT1103" s="431" t="n"/>
      <c r="DU1103" s="451" t="n"/>
      <c r="DV1103" s="451" t="n"/>
      <c r="DW1103" s="451" t="n"/>
      <c r="DY1103" s="429" t="n">
        <v>190</v>
      </c>
      <c r="DZ1103" s="431" t="n">
        <v>190</v>
      </c>
      <c r="EA1103" s="688" t="n"/>
      <c r="EB1103" s="431" t="n"/>
      <c r="EC1103" s="451" t="n"/>
      <c r="ED1103" s="451" t="n"/>
      <c r="EE1103" s="451" t="n"/>
      <c r="EG1103" s="429" t="n">
        <v>190</v>
      </c>
      <c r="EH1103" s="431" t="n">
        <v>190</v>
      </c>
      <c r="EI1103" s="688" t="n"/>
      <c r="EJ1103" s="431" t="n"/>
      <c r="EK1103" s="451" t="n"/>
      <c r="EL1103" s="451" t="n"/>
      <c r="EM1103" s="451" t="n"/>
      <c r="EO1103" s="429" t="n">
        <v>190</v>
      </c>
      <c r="EP1103" s="431" t="n">
        <v>190</v>
      </c>
      <c r="EQ1103" s="688" t="n"/>
      <c r="ER1103" s="431" t="n"/>
      <c r="ES1103" s="451" t="n"/>
      <c r="ET1103" s="451" t="n"/>
      <c r="EU1103" s="451" t="n"/>
      <c r="EW1103" s="429" t="n">
        <v>190</v>
      </c>
      <c r="EX1103" s="431" t="n">
        <v>190</v>
      </c>
      <c r="EY1103" s="688" t="n"/>
      <c r="EZ1103" s="431" t="n"/>
      <c r="FA1103" s="451" t="n"/>
      <c r="FB1103" s="451" t="n"/>
      <c r="FC1103" s="451" t="n"/>
      <c r="FE1103" s="429" t="n">
        <v>190</v>
      </c>
      <c r="FF1103" s="431" t="n">
        <v>190</v>
      </c>
      <c r="FG1103" s="688" t="n"/>
      <c r="FH1103" s="431" t="n"/>
      <c r="FI1103" s="451" t="n"/>
      <c r="FJ1103" s="451" t="n"/>
      <c r="FK1103" s="451" t="n"/>
      <c r="FM1103" s="429" t="n">
        <v>190</v>
      </c>
      <c r="FN1103" s="431" t="n">
        <v>190</v>
      </c>
      <c r="FO1103" s="688" t="n"/>
      <c r="FP1103" s="431" t="n"/>
      <c r="FQ1103" s="451" t="n"/>
      <c r="FR1103" s="451" t="n"/>
      <c r="FS1103" s="451" t="n"/>
      <c r="FU1103" s="429" t="n">
        <v>190</v>
      </c>
      <c r="FV1103" s="431" t="n">
        <v>190</v>
      </c>
      <c r="FW1103" s="688" t="n"/>
      <c r="FX1103" s="431" t="n"/>
      <c r="FY1103" s="451" t="n"/>
      <c r="FZ1103" s="562">
        <f>'CIRCUIT SIM'!JG193</f>
        <v/>
      </c>
      <c r="GA1103" s="451" t="n"/>
      <c r="GC1103" s="429" t="n">
        <v>190</v>
      </c>
      <c r="GD1103" s="431" t="n">
        <v>190</v>
      </c>
      <c r="GE1103" s="688" t="n"/>
      <c r="GF1103" s="431" t="n"/>
      <c r="GG1103" s="451" t="n"/>
      <c r="GH1103" s="451" t="n"/>
      <c r="GI1103" s="451" t="n"/>
      <c r="GK1103" s="429" t="n">
        <v>190</v>
      </c>
      <c r="GL1103" s="431" t="n">
        <v>190</v>
      </c>
      <c r="GM1103" s="688" t="n"/>
      <c r="GN1103" s="431" t="n"/>
      <c r="GO1103" s="451" t="n"/>
      <c r="GP1103" s="451" t="n"/>
      <c r="GQ1103" s="451" t="n"/>
      <c r="GS1103" s="429" t="n">
        <v>190</v>
      </c>
      <c r="GT1103" s="431" t="n">
        <v>190</v>
      </c>
      <c r="GU1103" s="688" t="n"/>
      <c r="GV1103" s="431" t="n"/>
      <c r="GW1103" s="451" t="n"/>
      <c r="GX1103" s="451" t="n"/>
      <c r="GY1103" s="451" t="n"/>
      <c r="HA1103" s="429" t="n">
        <v>190</v>
      </c>
      <c r="HB1103" s="431" t="n">
        <v>190</v>
      </c>
      <c r="HC1103" s="688" t="n"/>
      <c r="HD1103" s="431" t="n"/>
      <c r="HE1103" s="451" t="n"/>
      <c r="HF1103" s="451" t="n"/>
      <c r="HG1103" s="451" t="n"/>
    </row>
    <row r="1104">
      <c r="A1104" s="429" t="n">
        <v>191</v>
      </c>
      <c r="B1104" s="431" t="n">
        <v>191</v>
      </c>
      <c r="C1104" s="688" t="n"/>
      <c r="D1104" s="431" t="n"/>
      <c r="E1104" s="429" t="n"/>
      <c r="F1104" s="429" t="n"/>
      <c r="G1104" s="429" t="n"/>
      <c r="I1104" s="429" t="n">
        <v>191</v>
      </c>
      <c r="J1104" s="431" t="n">
        <v>191</v>
      </c>
      <c r="K1104" s="429" t="n"/>
      <c r="L1104" s="431" t="n"/>
      <c r="M1104" s="451" t="n"/>
      <c r="N1104" s="422">
        <f>'CIRCUIT SIM'!Y194</f>
        <v/>
      </c>
      <c r="O1104" s="451" t="n"/>
      <c r="Q1104" s="429" t="n">
        <v>191</v>
      </c>
      <c r="R1104" s="431" t="n">
        <v>191</v>
      </c>
      <c r="S1104" s="429" t="n"/>
      <c r="T1104" s="431" t="n"/>
      <c r="U1104" s="429" t="n"/>
      <c r="V1104" s="386" t="n"/>
      <c r="W1104" s="451" t="n"/>
      <c r="Y1104" s="429" t="n">
        <v>191</v>
      </c>
      <c r="Z1104" s="431" t="n">
        <v>191</v>
      </c>
      <c r="AA1104" s="429" t="n"/>
      <c r="AB1104" s="431" t="n"/>
      <c r="AC1104" s="451" t="n"/>
      <c r="AD1104" s="451" t="n"/>
      <c r="AE1104" s="451" t="n"/>
      <c r="AG1104" s="429" t="n">
        <v>191</v>
      </c>
      <c r="AH1104" s="431" t="n">
        <v>191</v>
      </c>
      <c r="AI1104" s="429" t="n"/>
      <c r="AJ1104" s="431" t="n"/>
      <c r="AK1104" s="451" t="n"/>
      <c r="AL1104" s="451" t="n"/>
      <c r="AM1104" s="451" t="n"/>
      <c r="AO1104" s="429" t="n">
        <v>191</v>
      </c>
      <c r="AP1104" s="431" t="n">
        <v>191</v>
      </c>
      <c r="AQ1104" s="429" t="n"/>
      <c r="AR1104" s="431" t="n"/>
      <c r="AS1104" s="451" t="n"/>
      <c r="AT1104" s="451" t="n"/>
      <c r="AU1104" s="451" t="n"/>
      <c r="AW1104" s="429" t="n">
        <v>191</v>
      </c>
      <c r="AX1104" s="431" t="n">
        <v>191</v>
      </c>
      <c r="AY1104" s="429" t="n"/>
      <c r="AZ1104" s="431" t="n"/>
      <c r="BA1104" s="451" t="n"/>
      <c r="BB1104" s="451" t="n"/>
      <c r="BC1104" s="451" t="n"/>
      <c r="BE1104" s="429" t="n">
        <v>191</v>
      </c>
      <c r="BF1104" s="431" t="n"/>
      <c r="BG1104" s="429" t="n"/>
      <c r="BH1104" s="431" t="n"/>
      <c r="BI1104" s="451" t="n"/>
      <c r="BJ1104" s="451" t="n"/>
      <c r="BK1104" s="451" t="n"/>
      <c r="BM1104" s="429" t="n">
        <v>191</v>
      </c>
      <c r="BN1104" s="431" t="n">
        <v>191</v>
      </c>
      <c r="BO1104" s="429" t="n"/>
      <c r="BP1104" s="431" t="n"/>
      <c r="BQ1104" s="451" t="n"/>
      <c r="BR1104" s="451" t="n"/>
      <c r="BS1104" s="451" t="n"/>
      <c r="BU1104" s="429" t="n">
        <v>191</v>
      </c>
      <c r="BV1104" s="431" t="n">
        <v>191</v>
      </c>
      <c r="BW1104" s="429" t="n"/>
      <c r="BX1104" s="431" t="n"/>
      <c r="BY1104" s="451" t="n"/>
      <c r="BZ1104" s="451">
        <f>'CIRCUIT SIM'!EI194</f>
        <v/>
      </c>
      <c r="CA1104" s="451" t="n"/>
      <c r="CC1104" s="429" t="n">
        <v>191</v>
      </c>
      <c r="CD1104" s="431" t="n">
        <v>191</v>
      </c>
      <c r="CE1104" s="688" t="n"/>
      <c r="CF1104" s="431" t="n"/>
      <c r="CG1104" s="451" t="n"/>
      <c r="CH1104" s="562">
        <f>'CIRCUIT SIM'!LK194</f>
        <v/>
      </c>
      <c r="CI1104" s="451" t="n"/>
      <c r="CK1104" s="429" t="n">
        <v>191</v>
      </c>
      <c r="CL1104" s="431" t="n">
        <v>191</v>
      </c>
      <c r="CM1104" s="688" t="n"/>
      <c r="CN1104" s="431" t="n"/>
      <c r="CO1104" s="451" t="n"/>
      <c r="CP1104" s="451" t="n"/>
      <c r="CQ1104" s="451" t="n"/>
      <c r="CS1104" s="429" t="n">
        <v>191</v>
      </c>
      <c r="CT1104" s="431" t="n">
        <v>191</v>
      </c>
      <c r="CU1104" s="688" t="n"/>
      <c r="CV1104" s="431" t="n"/>
      <c r="CW1104" s="451" t="n"/>
      <c r="CX1104" s="451" t="n"/>
      <c r="CY1104" s="451" t="n"/>
      <c r="DA1104" s="429" t="n">
        <v>191</v>
      </c>
      <c r="DB1104" s="431" t="n">
        <v>191</v>
      </c>
      <c r="DC1104" s="688" t="n"/>
      <c r="DD1104" s="431" t="n"/>
      <c r="DE1104" s="451" t="n"/>
      <c r="DF1104" s="451" t="n"/>
      <c r="DG1104" s="451" t="n"/>
      <c r="DI1104" s="429" t="n">
        <v>191</v>
      </c>
      <c r="DJ1104" s="431" t="n">
        <v>191</v>
      </c>
      <c r="DK1104" s="688" t="n"/>
      <c r="DL1104" s="431" t="n"/>
      <c r="DM1104" s="429" t="n"/>
      <c r="DN1104" s="451" t="n"/>
      <c r="DO1104" s="451" t="n"/>
      <c r="DQ1104" s="429" t="n">
        <v>191</v>
      </c>
      <c r="DR1104" s="431" t="n">
        <v>191</v>
      </c>
      <c r="DS1104" s="688" t="n"/>
      <c r="DT1104" s="431" t="n"/>
      <c r="DU1104" s="451" t="n"/>
      <c r="DV1104" s="451" t="n"/>
      <c r="DW1104" s="451" t="n"/>
      <c r="DY1104" s="429" t="n">
        <v>191</v>
      </c>
      <c r="DZ1104" s="431" t="n">
        <v>191</v>
      </c>
      <c r="EA1104" s="688" t="n"/>
      <c r="EB1104" s="431" t="n"/>
      <c r="EC1104" s="451" t="n"/>
      <c r="ED1104" s="451" t="n"/>
      <c r="EE1104" s="451" t="n"/>
      <c r="EG1104" s="429" t="n">
        <v>191</v>
      </c>
      <c r="EH1104" s="431" t="n">
        <v>191</v>
      </c>
      <c r="EI1104" s="688" t="n"/>
      <c r="EJ1104" s="431" t="n"/>
      <c r="EK1104" s="451" t="n"/>
      <c r="EL1104" s="451" t="n"/>
      <c r="EM1104" s="451" t="n"/>
      <c r="EO1104" s="429" t="n">
        <v>191</v>
      </c>
      <c r="EP1104" s="431" t="n">
        <v>191</v>
      </c>
      <c r="EQ1104" s="688" t="n"/>
      <c r="ER1104" s="431" t="n"/>
      <c r="ES1104" s="451" t="n"/>
      <c r="ET1104" s="451" t="n"/>
      <c r="EU1104" s="451" t="n"/>
      <c r="EW1104" s="429" t="n">
        <v>191</v>
      </c>
      <c r="EX1104" s="431" t="n">
        <v>191</v>
      </c>
      <c r="EY1104" s="688" t="n"/>
      <c r="EZ1104" s="431" t="n"/>
      <c r="FA1104" s="451" t="n"/>
      <c r="FB1104" s="451" t="n"/>
      <c r="FC1104" s="451" t="n"/>
      <c r="FE1104" s="429" t="n">
        <v>191</v>
      </c>
      <c r="FF1104" s="431" t="n">
        <v>191</v>
      </c>
      <c r="FG1104" s="688" t="n"/>
      <c r="FH1104" s="431" t="n"/>
      <c r="FI1104" s="451" t="n"/>
      <c r="FJ1104" s="451" t="n"/>
      <c r="FK1104" s="451" t="n"/>
      <c r="FM1104" s="429" t="n">
        <v>191</v>
      </c>
      <c r="FN1104" s="431" t="n">
        <v>191</v>
      </c>
      <c r="FO1104" s="688" t="n"/>
      <c r="FP1104" s="431" t="n"/>
      <c r="FQ1104" s="451" t="n"/>
      <c r="FR1104" s="451" t="n"/>
      <c r="FS1104" s="451" t="n"/>
      <c r="FU1104" s="429" t="n">
        <v>191</v>
      </c>
      <c r="FV1104" s="431" t="n">
        <v>191</v>
      </c>
      <c r="FW1104" s="688" t="n"/>
      <c r="FX1104" s="431" t="n"/>
      <c r="FY1104" s="451" t="n"/>
      <c r="FZ1104" s="562">
        <f>'CIRCUIT SIM'!JG194</f>
        <v/>
      </c>
      <c r="GA1104" s="451" t="n"/>
      <c r="GC1104" s="429" t="n">
        <v>191</v>
      </c>
      <c r="GD1104" s="431" t="n">
        <v>191</v>
      </c>
      <c r="GE1104" s="688" t="n"/>
      <c r="GF1104" s="431" t="n"/>
      <c r="GG1104" s="451" t="n"/>
      <c r="GH1104" s="451" t="n"/>
      <c r="GI1104" s="451" t="n"/>
      <c r="GK1104" s="429" t="n">
        <v>191</v>
      </c>
      <c r="GL1104" s="431" t="n">
        <v>191</v>
      </c>
      <c r="GM1104" s="688" t="n"/>
      <c r="GN1104" s="431" t="n"/>
      <c r="GO1104" s="451" t="n"/>
      <c r="GP1104" s="451" t="n"/>
      <c r="GQ1104" s="451" t="n"/>
      <c r="GS1104" s="429" t="n">
        <v>191</v>
      </c>
      <c r="GT1104" s="431" t="n">
        <v>191</v>
      </c>
      <c r="GU1104" s="688" t="n"/>
      <c r="GV1104" s="431" t="n"/>
      <c r="GW1104" s="451" t="n"/>
      <c r="GX1104" s="451" t="n"/>
      <c r="GY1104" s="451" t="n"/>
      <c r="HA1104" s="429" t="n">
        <v>191</v>
      </c>
      <c r="HB1104" s="431" t="n">
        <v>191</v>
      </c>
      <c r="HC1104" s="688" t="n"/>
      <c r="HD1104" s="431" t="n"/>
      <c r="HE1104" s="451" t="n"/>
      <c r="HF1104" s="451" t="n"/>
      <c r="HG1104" s="451" t="n"/>
    </row>
    <row r="1105">
      <c r="A1105" s="429" t="n">
        <v>192</v>
      </c>
      <c r="B1105" s="431" t="n">
        <v>192</v>
      </c>
      <c r="C1105" s="688" t="n"/>
      <c r="D1105" s="431" t="n"/>
      <c r="E1105" s="429" t="n"/>
      <c r="F1105" s="429" t="n"/>
      <c r="G1105" s="429" t="n"/>
      <c r="I1105" s="429" t="n">
        <v>192</v>
      </c>
      <c r="J1105" s="431" t="n">
        <v>192</v>
      </c>
      <c r="K1105" s="429" t="n"/>
      <c r="L1105" s="431" t="n"/>
      <c r="M1105" s="451" t="n"/>
      <c r="N1105" s="422">
        <f>'CIRCUIT SIM'!Y195</f>
        <v/>
      </c>
      <c r="O1105" s="451" t="n"/>
      <c r="Q1105" s="429" t="n">
        <v>192</v>
      </c>
      <c r="R1105" s="431" t="n">
        <v>192</v>
      </c>
      <c r="S1105" s="429" t="n"/>
      <c r="T1105" s="431" t="n"/>
      <c r="U1105" s="429" t="n"/>
      <c r="V1105" s="386" t="n"/>
      <c r="W1105" s="451" t="n"/>
      <c r="Y1105" s="429" t="n">
        <v>192</v>
      </c>
      <c r="Z1105" s="431" t="n">
        <v>192</v>
      </c>
      <c r="AA1105" s="429" t="n"/>
      <c r="AB1105" s="431" t="n"/>
      <c r="AC1105" s="451" t="n"/>
      <c r="AD1105" s="451" t="n"/>
      <c r="AE1105" s="451" t="n"/>
      <c r="AG1105" s="429" t="n">
        <v>192</v>
      </c>
      <c r="AH1105" s="431" t="n">
        <v>192</v>
      </c>
      <c r="AI1105" s="429" t="n"/>
      <c r="AJ1105" s="431" t="n"/>
      <c r="AK1105" s="451" t="n"/>
      <c r="AL1105" s="451" t="n"/>
      <c r="AM1105" s="451" t="n"/>
      <c r="AO1105" s="429" t="n">
        <v>192</v>
      </c>
      <c r="AP1105" s="431" t="n">
        <v>192</v>
      </c>
      <c r="AQ1105" s="429" t="n"/>
      <c r="AR1105" s="431" t="n"/>
      <c r="AS1105" s="451" t="n"/>
      <c r="AT1105" s="451" t="n"/>
      <c r="AU1105" s="451" t="n"/>
      <c r="AW1105" s="429" t="n">
        <v>192</v>
      </c>
      <c r="AX1105" s="431" t="n">
        <v>192</v>
      </c>
      <c r="AY1105" s="429" t="n"/>
      <c r="AZ1105" s="431" t="n"/>
      <c r="BA1105" s="451" t="n"/>
      <c r="BB1105" s="451" t="n"/>
      <c r="BC1105" s="451" t="n"/>
      <c r="BE1105" s="429" t="n">
        <v>192</v>
      </c>
      <c r="BF1105" s="431" t="n"/>
      <c r="BG1105" s="429" t="n"/>
      <c r="BH1105" s="431" t="n"/>
      <c r="BI1105" s="451" t="n"/>
      <c r="BJ1105" s="451" t="n"/>
      <c r="BK1105" s="451" t="n"/>
      <c r="BM1105" s="429" t="n">
        <v>192</v>
      </c>
      <c r="BN1105" s="431" t="n">
        <v>192</v>
      </c>
      <c r="BO1105" s="429" t="n"/>
      <c r="BP1105" s="431" t="n"/>
      <c r="BQ1105" s="451" t="n"/>
      <c r="BR1105" s="451" t="n"/>
      <c r="BS1105" s="451" t="n"/>
      <c r="BU1105" s="429" t="n">
        <v>192</v>
      </c>
      <c r="BV1105" s="431" t="n">
        <v>192</v>
      </c>
      <c r="BW1105" s="429" t="n"/>
      <c r="BX1105" s="431" t="n"/>
      <c r="BY1105" s="451" t="n"/>
      <c r="BZ1105" s="451">
        <f>'CIRCUIT SIM'!EI195</f>
        <v/>
      </c>
      <c r="CA1105" s="451" t="n"/>
      <c r="CC1105" s="429" t="n">
        <v>192</v>
      </c>
      <c r="CD1105" s="431" t="n">
        <v>192</v>
      </c>
      <c r="CE1105" s="688" t="n"/>
      <c r="CF1105" s="431" t="n"/>
      <c r="CG1105" s="451" t="n"/>
      <c r="CH1105" s="562">
        <f>'CIRCUIT SIM'!LK195</f>
        <v/>
      </c>
      <c r="CI1105" s="451" t="n"/>
      <c r="CK1105" s="429" t="n">
        <v>192</v>
      </c>
      <c r="CL1105" s="431" t="n">
        <v>192</v>
      </c>
      <c r="CM1105" s="688" t="n"/>
      <c r="CN1105" s="431" t="n"/>
      <c r="CO1105" s="451" t="n"/>
      <c r="CP1105" s="451" t="n"/>
      <c r="CQ1105" s="451" t="n"/>
      <c r="CS1105" s="429" t="n">
        <v>192</v>
      </c>
      <c r="CT1105" s="431" t="n">
        <v>192</v>
      </c>
      <c r="CU1105" s="688" t="n"/>
      <c r="CV1105" s="431" t="n"/>
      <c r="CW1105" s="451" t="n"/>
      <c r="CX1105" s="451" t="n"/>
      <c r="CY1105" s="451" t="n"/>
      <c r="DA1105" s="429" t="n">
        <v>192</v>
      </c>
      <c r="DB1105" s="431" t="n">
        <v>192</v>
      </c>
      <c r="DC1105" s="688" t="n"/>
      <c r="DD1105" s="431" t="n"/>
      <c r="DE1105" s="451" t="n"/>
      <c r="DF1105" s="451" t="n"/>
      <c r="DG1105" s="451" t="n"/>
      <c r="DI1105" s="429" t="n">
        <v>192</v>
      </c>
      <c r="DJ1105" s="431" t="n">
        <v>192</v>
      </c>
      <c r="DK1105" s="688" t="n"/>
      <c r="DL1105" s="431" t="n"/>
      <c r="DM1105" s="429" t="n"/>
      <c r="DN1105" s="451" t="n"/>
      <c r="DO1105" s="451" t="n"/>
      <c r="DQ1105" s="429" t="n">
        <v>192</v>
      </c>
      <c r="DR1105" s="431" t="n">
        <v>192</v>
      </c>
      <c r="DS1105" s="688" t="n"/>
      <c r="DT1105" s="431" t="n"/>
      <c r="DU1105" s="451" t="n"/>
      <c r="DV1105" s="451" t="n"/>
      <c r="DW1105" s="451" t="n"/>
      <c r="DY1105" s="429" t="n">
        <v>192</v>
      </c>
      <c r="DZ1105" s="431" t="n">
        <v>192</v>
      </c>
      <c r="EA1105" s="688" t="n"/>
      <c r="EB1105" s="431" t="n"/>
      <c r="EC1105" s="451" t="n"/>
      <c r="ED1105" s="451" t="n"/>
      <c r="EE1105" s="451" t="n"/>
      <c r="EG1105" s="429" t="n">
        <v>192</v>
      </c>
      <c r="EH1105" s="431" t="n">
        <v>192</v>
      </c>
      <c r="EI1105" s="688" t="n"/>
      <c r="EJ1105" s="431" t="n"/>
      <c r="EK1105" s="451" t="n"/>
      <c r="EL1105" s="451" t="n"/>
      <c r="EM1105" s="451" t="n"/>
      <c r="EO1105" s="429" t="n">
        <v>192</v>
      </c>
      <c r="EP1105" s="431" t="n">
        <v>192</v>
      </c>
      <c r="EQ1105" s="688" t="n"/>
      <c r="ER1105" s="431" t="n"/>
      <c r="ES1105" s="451" t="n"/>
      <c r="ET1105" s="451" t="n"/>
      <c r="EU1105" s="451" t="n"/>
      <c r="EW1105" s="429" t="n">
        <v>192</v>
      </c>
      <c r="EX1105" s="431" t="n">
        <v>192</v>
      </c>
      <c r="EY1105" s="688" t="n"/>
      <c r="EZ1105" s="431" t="n"/>
      <c r="FA1105" s="451" t="n"/>
      <c r="FB1105" s="451" t="n"/>
      <c r="FC1105" s="451" t="n"/>
      <c r="FE1105" s="429" t="n">
        <v>192</v>
      </c>
      <c r="FF1105" s="431" t="n">
        <v>192</v>
      </c>
      <c r="FG1105" s="688" t="n"/>
      <c r="FH1105" s="431" t="n"/>
      <c r="FI1105" s="451" t="n"/>
      <c r="FJ1105" s="451" t="n"/>
      <c r="FK1105" s="451" t="n"/>
      <c r="FM1105" s="429" t="n">
        <v>192</v>
      </c>
      <c r="FN1105" s="431" t="n">
        <v>192</v>
      </c>
      <c r="FO1105" s="688" t="n"/>
      <c r="FP1105" s="431" t="n"/>
      <c r="FQ1105" s="451" t="n"/>
      <c r="FR1105" s="451" t="n"/>
      <c r="FS1105" s="451" t="n"/>
      <c r="FU1105" s="429" t="n">
        <v>192</v>
      </c>
      <c r="FV1105" s="431" t="n">
        <v>192</v>
      </c>
      <c r="FW1105" s="688" t="n"/>
      <c r="FX1105" s="431" t="n"/>
      <c r="FY1105" s="451" t="n"/>
      <c r="FZ1105" s="562">
        <f>'CIRCUIT SIM'!JG195</f>
        <v/>
      </c>
      <c r="GA1105" s="451" t="n"/>
      <c r="GC1105" s="429" t="n">
        <v>192</v>
      </c>
      <c r="GD1105" s="431" t="n">
        <v>192</v>
      </c>
      <c r="GE1105" s="688" t="n"/>
      <c r="GF1105" s="431" t="n"/>
      <c r="GG1105" s="451" t="n"/>
      <c r="GH1105" s="451" t="n"/>
      <c r="GI1105" s="451" t="n"/>
      <c r="GK1105" s="429" t="n">
        <v>192</v>
      </c>
      <c r="GL1105" s="431" t="n">
        <v>192</v>
      </c>
      <c r="GM1105" s="688" t="n"/>
      <c r="GN1105" s="431" t="n"/>
      <c r="GO1105" s="451" t="n"/>
      <c r="GP1105" s="451" t="n"/>
      <c r="GQ1105" s="451" t="n"/>
      <c r="GS1105" s="429" t="n">
        <v>192</v>
      </c>
      <c r="GT1105" s="431" t="n">
        <v>192</v>
      </c>
      <c r="GU1105" s="688" t="n"/>
      <c r="GV1105" s="431" t="n"/>
      <c r="GW1105" s="451" t="n"/>
      <c r="GX1105" s="451" t="n"/>
      <c r="GY1105" s="451" t="n"/>
      <c r="HA1105" s="429" t="n">
        <v>192</v>
      </c>
      <c r="HB1105" s="431" t="n">
        <v>192</v>
      </c>
      <c r="HC1105" s="688" t="n"/>
      <c r="HD1105" s="431" t="n"/>
      <c r="HE1105" s="451" t="n"/>
      <c r="HF1105" s="451" t="n"/>
      <c r="HG1105" s="451" t="n"/>
    </row>
    <row r="1106">
      <c r="A1106" s="429" t="n">
        <v>193</v>
      </c>
      <c r="B1106" s="431" t="n">
        <v>193</v>
      </c>
      <c r="C1106" s="688" t="n"/>
      <c r="D1106" s="431" t="n"/>
      <c r="E1106" s="429" t="n"/>
      <c r="F1106" s="429" t="n"/>
      <c r="G1106" s="429" t="n"/>
      <c r="I1106" s="429" t="n">
        <v>193</v>
      </c>
      <c r="J1106" s="431" t="n">
        <v>193</v>
      </c>
      <c r="K1106" s="429" t="n"/>
      <c r="L1106" s="431" t="n"/>
      <c r="M1106" s="451" t="n"/>
      <c r="N1106" s="422">
        <f>'CIRCUIT SIM'!Y196</f>
        <v/>
      </c>
      <c r="O1106" s="451" t="n"/>
      <c r="Q1106" s="429" t="n">
        <v>193</v>
      </c>
      <c r="R1106" s="431" t="n">
        <v>193</v>
      </c>
      <c r="S1106" s="429" t="n"/>
      <c r="T1106" s="431" t="n"/>
      <c r="U1106" s="429" t="n"/>
      <c r="V1106" s="386" t="n"/>
      <c r="W1106" s="451" t="n"/>
      <c r="Y1106" s="429" t="n">
        <v>193</v>
      </c>
      <c r="Z1106" s="431" t="n">
        <v>193</v>
      </c>
      <c r="AA1106" s="429" t="n"/>
      <c r="AB1106" s="431" t="n"/>
      <c r="AC1106" s="451" t="n"/>
      <c r="AD1106" s="451" t="n"/>
      <c r="AE1106" s="451" t="n"/>
      <c r="AG1106" s="429" t="n">
        <v>193</v>
      </c>
      <c r="AH1106" s="431" t="n">
        <v>193</v>
      </c>
      <c r="AI1106" s="429" t="n"/>
      <c r="AJ1106" s="431" t="n"/>
      <c r="AK1106" s="451" t="n"/>
      <c r="AL1106" s="451" t="n"/>
      <c r="AM1106" s="451" t="n"/>
      <c r="AO1106" s="429" t="n">
        <v>193</v>
      </c>
      <c r="AP1106" s="431" t="n">
        <v>193</v>
      </c>
      <c r="AQ1106" s="429" t="n"/>
      <c r="AR1106" s="431" t="n"/>
      <c r="AS1106" s="451" t="n"/>
      <c r="AT1106" s="451" t="n"/>
      <c r="AU1106" s="451" t="n"/>
      <c r="AW1106" s="429" t="n">
        <v>193</v>
      </c>
      <c r="AX1106" s="431" t="n">
        <v>193</v>
      </c>
      <c r="AY1106" s="429" t="n"/>
      <c r="AZ1106" s="431" t="n"/>
      <c r="BA1106" s="451" t="n"/>
      <c r="BB1106" s="451" t="n"/>
      <c r="BC1106" s="451" t="n"/>
      <c r="BE1106" s="429" t="n">
        <v>193</v>
      </c>
      <c r="BF1106" s="431" t="n"/>
      <c r="BG1106" s="429" t="n"/>
      <c r="BH1106" s="431" t="n"/>
      <c r="BI1106" s="451" t="n"/>
      <c r="BJ1106" s="451" t="n"/>
      <c r="BK1106" s="451" t="n"/>
      <c r="BM1106" s="429" t="n">
        <v>193</v>
      </c>
      <c r="BN1106" s="431" t="n">
        <v>193</v>
      </c>
      <c r="BO1106" s="429" t="n"/>
      <c r="BP1106" s="431" t="n"/>
      <c r="BQ1106" s="451" t="n"/>
      <c r="BR1106" s="451" t="n"/>
      <c r="BS1106" s="451" t="n"/>
      <c r="BU1106" s="429" t="n">
        <v>193</v>
      </c>
      <c r="BV1106" s="431" t="n">
        <v>193</v>
      </c>
      <c r="BW1106" s="429" t="n"/>
      <c r="BX1106" s="431" t="n"/>
      <c r="BY1106" s="451" t="n"/>
      <c r="BZ1106" s="451">
        <f>'CIRCUIT SIM'!EI196</f>
        <v/>
      </c>
      <c r="CA1106" s="451" t="n"/>
      <c r="CC1106" s="429" t="n">
        <v>193</v>
      </c>
      <c r="CD1106" s="431" t="n">
        <v>193</v>
      </c>
      <c r="CE1106" s="688" t="n"/>
      <c r="CF1106" s="431" t="n"/>
      <c r="CG1106" s="451" t="n"/>
      <c r="CH1106" s="562">
        <f>'CIRCUIT SIM'!LK196</f>
        <v/>
      </c>
      <c r="CI1106" s="451" t="n"/>
      <c r="CK1106" s="429" t="n">
        <v>193</v>
      </c>
      <c r="CL1106" s="431" t="n">
        <v>193</v>
      </c>
      <c r="CM1106" s="688" t="n"/>
      <c r="CN1106" s="431" t="n"/>
      <c r="CO1106" s="451" t="n"/>
      <c r="CP1106" s="451" t="n"/>
      <c r="CQ1106" s="451" t="n"/>
      <c r="CS1106" s="429" t="n">
        <v>193</v>
      </c>
      <c r="CT1106" s="431" t="n">
        <v>193</v>
      </c>
      <c r="CU1106" s="688" t="n"/>
      <c r="CV1106" s="431" t="n"/>
      <c r="CW1106" s="451" t="n"/>
      <c r="CX1106" s="451" t="n"/>
      <c r="CY1106" s="451" t="n"/>
      <c r="DA1106" s="429" t="n">
        <v>193</v>
      </c>
      <c r="DB1106" s="431" t="n">
        <v>193</v>
      </c>
      <c r="DC1106" s="688" t="n"/>
      <c r="DD1106" s="431" t="n"/>
      <c r="DE1106" s="451" t="n"/>
      <c r="DF1106" s="451" t="n"/>
      <c r="DG1106" s="451" t="n"/>
      <c r="DI1106" s="429" t="n">
        <v>193</v>
      </c>
      <c r="DJ1106" s="431" t="n">
        <v>193</v>
      </c>
      <c r="DK1106" s="688" t="n"/>
      <c r="DL1106" s="431" t="n"/>
      <c r="DM1106" s="429" t="n"/>
      <c r="DN1106" s="451" t="n"/>
      <c r="DO1106" s="451" t="n"/>
      <c r="DQ1106" s="429" t="n">
        <v>193</v>
      </c>
      <c r="DR1106" s="431" t="n">
        <v>193</v>
      </c>
      <c r="DS1106" s="688" t="n"/>
      <c r="DT1106" s="431" t="n"/>
      <c r="DU1106" s="451" t="n"/>
      <c r="DV1106" s="451" t="n"/>
      <c r="DW1106" s="451" t="n"/>
      <c r="DY1106" s="429" t="n">
        <v>193</v>
      </c>
      <c r="DZ1106" s="431" t="n">
        <v>193</v>
      </c>
      <c r="EA1106" s="688" t="n"/>
      <c r="EB1106" s="431" t="n"/>
      <c r="EC1106" s="451" t="n"/>
      <c r="ED1106" s="451" t="n"/>
      <c r="EE1106" s="451" t="n"/>
      <c r="EG1106" s="429" t="n">
        <v>193</v>
      </c>
      <c r="EH1106" s="431" t="n">
        <v>193</v>
      </c>
      <c r="EI1106" s="688" t="n"/>
      <c r="EJ1106" s="431" t="n"/>
      <c r="EK1106" s="451" t="n"/>
      <c r="EL1106" s="451" t="n"/>
      <c r="EM1106" s="451" t="n"/>
      <c r="EO1106" s="429" t="n">
        <v>193</v>
      </c>
      <c r="EP1106" s="431" t="n">
        <v>193</v>
      </c>
      <c r="EQ1106" s="688" t="n"/>
      <c r="ER1106" s="431" t="n"/>
      <c r="ES1106" s="451" t="n"/>
      <c r="ET1106" s="451" t="n"/>
      <c r="EU1106" s="451" t="n"/>
      <c r="EW1106" s="429" t="n">
        <v>193</v>
      </c>
      <c r="EX1106" s="431" t="n">
        <v>193</v>
      </c>
      <c r="EY1106" s="688" t="n"/>
      <c r="EZ1106" s="431" t="n"/>
      <c r="FA1106" s="451" t="n"/>
      <c r="FB1106" s="451" t="n"/>
      <c r="FC1106" s="451" t="n"/>
      <c r="FE1106" s="429" t="n">
        <v>193</v>
      </c>
      <c r="FF1106" s="431" t="n">
        <v>193</v>
      </c>
      <c r="FG1106" s="688" t="n"/>
      <c r="FH1106" s="431" t="n"/>
      <c r="FI1106" s="451" t="n"/>
      <c r="FJ1106" s="451" t="n"/>
      <c r="FK1106" s="451" t="n"/>
      <c r="FM1106" s="429" t="n">
        <v>193</v>
      </c>
      <c r="FN1106" s="431" t="n">
        <v>193</v>
      </c>
      <c r="FO1106" s="688" t="n"/>
      <c r="FP1106" s="431" t="n"/>
      <c r="FQ1106" s="451" t="n"/>
      <c r="FR1106" s="451" t="n"/>
      <c r="FS1106" s="451" t="n"/>
      <c r="FU1106" s="429" t="n">
        <v>193</v>
      </c>
      <c r="FV1106" s="431" t="n">
        <v>193</v>
      </c>
      <c r="FW1106" s="688" t="n"/>
      <c r="FX1106" s="431" t="n"/>
      <c r="FY1106" s="451" t="n"/>
      <c r="FZ1106" s="562">
        <f>'CIRCUIT SIM'!JG196</f>
        <v/>
      </c>
      <c r="GA1106" s="451" t="n"/>
      <c r="GC1106" s="429" t="n">
        <v>193</v>
      </c>
      <c r="GD1106" s="431" t="n">
        <v>193</v>
      </c>
      <c r="GE1106" s="688" t="n"/>
      <c r="GF1106" s="431" t="n"/>
      <c r="GG1106" s="451" t="n"/>
      <c r="GH1106" s="451" t="n"/>
      <c r="GI1106" s="451" t="n"/>
      <c r="GK1106" s="429" t="n">
        <v>193</v>
      </c>
      <c r="GL1106" s="431" t="n">
        <v>193</v>
      </c>
      <c r="GM1106" s="688" t="n"/>
      <c r="GN1106" s="431" t="n"/>
      <c r="GO1106" s="451" t="n"/>
      <c r="GP1106" s="451" t="n"/>
      <c r="GQ1106" s="451" t="n"/>
      <c r="GS1106" s="429" t="n">
        <v>193</v>
      </c>
      <c r="GT1106" s="431" t="n">
        <v>193</v>
      </c>
      <c r="GU1106" s="688" t="n"/>
      <c r="GV1106" s="431" t="n"/>
      <c r="GW1106" s="451" t="n"/>
      <c r="GX1106" s="451" t="n"/>
      <c r="GY1106" s="451" t="n"/>
      <c r="HA1106" s="429" t="n">
        <v>193</v>
      </c>
      <c r="HB1106" s="431" t="n">
        <v>193</v>
      </c>
      <c r="HC1106" s="688" t="n"/>
      <c r="HD1106" s="431" t="n"/>
      <c r="HE1106" s="451" t="n"/>
      <c r="HF1106" s="451" t="n"/>
      <c r="HG1106" s="451" t="n"/>
    </row>
    <row r="1107">
      <c r="A1107" s="429" t="n">
        <v>194</v>
      </c>
      <c r="B1107" s="431" t="n">
        <v>194</v>
      </c>
      <c r="C1107" s="688" t="n"/>
      <c r="D1107" s="431" t="n"/>
      <c r="E1107" s="429" t="n"/>
      <c r="F1107" s="429" t="n"/>
      <c r="G1107" s="429" t="n"/>
      <c r="I1107" s="429" t="n">
        <v>194</v>
      </c>
      <c r="J1107" s="431" t="n">
        <v>194</v>
      </c>
      <c r="K1107" s="429" t="n"/>
      <c r="L1107" s="431" t="n"/>
      <c r="M1107" s="451" t="n"/>
      <c r="N1107" s="422">
        <f>'CIRCUIT SIM'!Y197</f>
        <v/>
      </c>
      <c r="O1107" s="451" t="n"/>
      <c r="Q1107" s="429" t="n">
        <v>194</v>
      </c>
      <c r="R1107" s="431" t="n">
        <v>194</v>
      </c>
      <c r="S1107" s="429" t="n"/>
      <c r="T1107" s="431" t="n"/>
      <c r="U1107" s="429" t="n"/>
      <c r="V1107" s="386" t="n"/>
      <c r="W1107" s="451" t="n"/>
      <c r="Y1107" s="429" t="n">
        <v>194</v>
      </c>
      <c r="Z1107" s="431" t="n">
        <v>194</v>
      </c>
      <c r="AA1107" s="429" t="n"/>
      <c r="AB1107" s="431" t="n"/>
      <c r="AC1107" s="451" t="n"/>
      <c r="AD1107" s="451" t="n"/>
      <c r="AE1107" s="451" t="n"/>
      <c r="AG1107" s="429" t="n">
        <v>194</v>
      </c>
      <c r="AH1107" s="431" t="n">
        <v>194</v>
      </c>
      <c r="AI1107" s="429" t="n"/>
      <c r="AJ1107" s="431" t="n"/>
      <c r="AK1107" s="451" t="n"/>
      <c r="AL1107" s="451" t="n"/>
      <c r="AM1107" s="451" t="n"/>
      <c r="AO1107" s="429" t="n">
        <v>194</v>
      </c>
      <c r="AP1107" s="431" t="n">
        <v>194</v>
      </c>
      <c r="AQ1107" s="429" t="n"/>
      <c r="AR1107" s="431" t="n"/>
      <c r="AS1107" s="451" t="n"/>
      <c r="AT1107" s="451" t="n"/>
      <c r="AU1107" s="451" t="n"/>
      <c r="AW1107" s="429" t="n">
        <v>194</v>
      </c>
      <c r="AX1107" s="431" t="n">
        <v>194</v>
      </c>
      <c r="AY1107" s="429" t="n"/>
      <c r="AZ1107" s="431" t="n"/>
      <c r="BA1107" s="451" t="n"/>
      <c r="BB1107" s="451" t="n"/>
      <c r="BC1107" s="451" t="n"/>
      <c r="BE1107" s="429" t="n">
        <v>194</v>
      </c>
      <c r="BF1107" s="431" t="n"/>
      <c r="BG1107" s="429" t="n"/>
      <c r="BH1107" s="431" t="n"/>
      <c r="BI1107" s="451" t="n"/>
      <c r="BJ1107" s="451" t="n"/>
      <c r="BK1107" s="451" t="n"/>
      <c r="BM1107" s="429" t="n">
        <v>194</v>
      </c>
      <c r="BN1107" s="431" t="n">
        <v>194</v>
      </c>
      <c r="BO1107" s="429" t="n"/>
      <c r="BP1107" s="431" t="n"/>
      <c r="BQ1107" s="451" t="n"/>
      <c r="BR1107" s="451" t="n"/>
      <c r="BS1107" s="451" t="n"/>
      <c r="BU1107" s="429" t="n">
        <v>194</v>
      </c>
      <c r="BV1107" s="431" t="n">
        <v>194</v>
      </c>
      <c r="BW1107" s="429" t="n"/>
      <c r="BX1107" s="431" t="n"/>
      <c r="BY1107" s="451" t="n"/>
      <c r="BZ1107" s="451">
        <f>'CIRCUIT SIM'!EI197</f>
        <v/>
      </c>
      <c r="CA1107" s="451" t="n"/>
      <c r="CC1107" s="429" t="n">
        <v>194</v>
      </c>
      <c r="CD1107" s="431" t="n">
        <v>194</v>
      </c>
      <c r="CE1107" s="688" t="n"/>
      <c r="CF1107" s="431" t="n"/>
      <c r="CG1107" s="451" t="n"/>
      <c r="CH1107" s="562">
        <f>'CIRCUIT SIM'!LK197</f>
        <v/>
      </c>
      <c r="CI1107" s="451" t="n"/>
      <c r="CK1107" s="429" t="n">
        <v>194</v>
      </c>
      <c r="CL1107" s="431" t="n">
        <v>194</v>
      </c>
      <c r="CM1107" s="688" t="n"/>
      <c r="CN1107" s="431" t="n"/>
      <c r="CO1107" s="451" t="n"/>
      <c r="CP1107" s="451" t="n"/>
      <c r="CQ1107" s="451" t="n"/>
      <c r="CS1107" s="429" t="n">
        <v>194</v>
      </c>
      <c r="CT1107" s="431" t="n">
        <v>194</v>
      </c>
      <c r="CU1107" s="688" t="n"/>
      <c r="CV1107" s="431" t="n"/>
      <c r="CW1107" s="451" t="n"/>
      <c r="CX1107" s="451" t="n"/>
      <c r="CY1107" s="451" t="n"/>
      <c r="DA1107" s="429" t="n">
        <v>194</v>
      </c>
      <c r="DB1107" s="431" t="n">
        <v>194</v>
      </c>
      <c r="DC1107" s="688" t="n"/>
      <c r="DD1107" s="431" t="n"/>
      <c r="DE1107" s="451" t="n"/>
      <c r="DF1107" s="451" t="n"/>
      <c r="DG1107" s="451" t="n"/>
      <c r="DI1107" s="429" t="n">
        <v>194</v>
      </c>
      <c r="DJ1107" s="431" t="n">
        <v>194</v>
      </c>
      <c r="DK1107" s="688" t="n"/>
      <c r="DL1107" s="431" t="n"/>
      <c r="DM1107" s="429" t="n"/>
      <c r="DN1107" s="451" t="n"/>
      <c r="DO1107" s="451" t="n"/>
      <c r="DQ1107" s="429" t="n">
        <v>194</v>
      </c>
      <c r="DR1107" s="431" t="n">
        <v>194</v>
      </c>
      <c r="DS1107" s="688" t="n"/>
      <c r="DT1107" s="431" t="n"/>
      <c r="DU1107" s="451" t="n"/>
      <c r="DV1107" s="451" t="n"/>
      <c r="DW1107" s="451" t="n"/>
      <c r="DY1107" s="429" t="n">
        <v>194</v>
      </c>
      <c r="DZ1107" s="431" t="n">
        <v>194</v>
      </c>
      <c r="EA1107" s="688" t="n"/>
      <c r="EB1107" s="431" t="n"/>
      <c r="EC1107" s="451" t="n"/>
      <c r="ED1107" s="451" t="n"/>
      <c r="EE1107" s="451" t="n"/>
      <c r="EG1107" s="429" t="n">
        <v>194</v>
      </c>
      <c r="EH1107" s="431" t="n">
        <v>194</v>
      </c>
      <c r="EI1107" s="688" t="n"/>
      <c r="EJ1107" s="431" t="n"/>
      <c r="EK1107" s="451" t="n"/>
      <c r="EL1107" s="451" t="n"/>
      <c r="EM1107" s="451" t="n"/>
      <c r="EO1107" s="429" t="n">
        <v>194</v>
      </c>
      <c r="EP1107" s="431" t="n">
        <v>194</v>
      </c>
      <c r="EQ1107" s="688" t="n"/>
      <c r="ER1107" s="431" t="n"/>
      <c r="ES1107" s="451" t="n"/>
      <c r="ET1107" s="451" t="n"/>
      <c r="EU1107" s="451" t="n"/>
      <c r="EW1107" s="429" t="n">
        <v>194</v>
      </c>
      <c r="EX1107" s="431" t="n">
        <v>194</v>
      </c>
      <c r="EY1107" s="688" t="n"/>
      <c r="EZ1107" s="431" t="n"/>
      <c r="FA1107" s="451" t="n"/>
      <c r="FB1107" s="451" t="n"/>
      <c r="FC1107" s="451" t="n"/>
      <c r="FE1107" s="429" t="n">
        <v>194</v>
      </c>
      <c r="FF1107" s="431" t="n">
        <v>194</v>
      </c>
      <c r="FG1107" s="688" t="n"/>
      <c r="FH1107" s="431" t="n"/>
      <c r="FI1107" s="451" t="n"/>
      <c r="FJ1107" s="451" t="n"/>
      <c r="FK1107" s="451" t="n"/>
      <c r="FM1107" s="429" t="n">
        <v>194</v>
      </c>
      <c r="FN1107" s="431" t="n">
        <v>194</v>
      </c>
      <c r="FO1107" s="688" t="n"/>
      <c r="FP1107" s="431" t="n"/>
      <c r="FQ1107" s="451" t="n"/>
      <c r="FR1107" s="451" t="n"/>
      <c r="FS1107" s="451" t="n"/>
      <c r="FU1107" s="429" t="n">
        <v>194</v>
      </c>
      <c r="FV1107" s="431" t="n">
        <v>194</v>
      </c>
      <c r="FW1107" s="688" t="n"/>
      <c r="FX1107" s="431" t="n"/>
      <c r="FY1107" s="451" t="n"/>
      <c r="FZ1107" s="562">
        <f>'CIRCUIT SIM'!JG197</f>
        <v/>
      </c>
      <c r="GA1107" s="451" t="n"/>
      <c r="GC1107" s="429" t="n">
        <v>194</v>
      </c>
      <c r="GD1107" s="431" t="n">
        <v>194</v>
      </c>
      <c r="GE1107" s="688" t="n"/>
      <c r="GF1107" s="431" t="n"/>
      <c r="GG1107" s="451" t="n"/>
      <c r="GH1107" s="451" t="n"/>
      <c r="GI1107" s="451" t="n"/>
      <c r="GK1107" s="429" t="n">
        <v>194</v>
      </c>
      <c r="GL1107" s="431" t="n">
        <v>194</v>
      </c>
      <c r="GM1107" s="688" t="n"/>
      <c r="GN1107" s="431" t="n"/>
      <c r="GO1107" s="451" t="n"/>
      <c r="GP1107" s="451" t="n"/>
      <c r="GQ1107" s="451" t="n"/>
      <c r="GS1107" s="429" t="n">
        <v>194</v>
      </c>
      <c r="GT1107" s="431" t="n">
        <v>194</v>
      </c>
      <c r="GU1107" s="688" t="n"/>
      <c r="GV1107" s="431" t="n"/>
      <c r="GW1107" s="451" t="n"/>
      <c r="GX1107" s="451" t="n"/>
      <c r="GY1107" s="451" t="n"/>
      <c r="HA1107" s="429" t="n">
        <v>194</v>
      </c>
      <c r="HB1107" s="431" t="n">
        <v>194</v>
      </c>
      <c r="HC1107" s="688" t="n"/>
      <c r="HD1107" s="431" t="n"/>
      <c r="HE1107" s="451" t="n"/>
      <c r="HF1107" s="451" t="n"/>
      <c r="HG1107" s="451" t="n"/>
    </row>
    <row r="1108">
      <c r="A1108" s="429" t="n">
        <v>195</v>
      </c>
      <c r="B1108" s="431" t="n">
        <v>195</v>
      </c>
      <c r="C1108" s="688" t="n"/>
      <c r="D1108" s="431" t="n"/>
      <c r="E1108" s="429" t="n"/>
      <c r="F1108" s="429" t="n"/>
      <c r="G1108" s="429" t="n"/>
      <c r="I1108" s="429" t="n">
        <v>195</v>
      </c>
      <c r="J1108" s="431" t="n">
        <v>195</v>
      </c>
      <c r="K1108" s="429" t="n"/>
      <c r="L1108" s="431" t="n"/>
      <c r="M1108" s="451" t="n"/>
      <c r="N1108" s="422">
        <f>'CIRCUIT SIM'!Y198</f>
        <v/>
      </c>
      <c r="O1108" s="451" t="n"/>
      <c r="Q1108" s="429" t="n">
        <v>195</v>
      </c>
      <c r="R1108" s="431" t="n">
        <v>195</v>
      </c>
      <c r="S1108" s="429" t="n"/>
      <c r="T1108" s="431" t="n"/>
      <c r="U1108" s="429" t="n"/>
      <c r="V1108" s="386" t="n"/>
      <c r="W1108" s="451" t="n"/>
      <c r="Y1108" s="429" t="n">
        <v>195</v>
      </c>
      <c r="Z1108" s="431" t="n">
        <v>195</v>
      </c>
      <c r="AA1108" s="429" t="n"/>
      <c r="AB1108" s="431" t="n"/>
      <c r="AC1108" s="451" t="n"/>
      <c r="AD1108" s="451" t="n"/>
      <c r="AE1108" s="451" t="n"/>
      <c r="AG1108" s="429" t="n">
        <v>195</v>
      </c>
      <c r="AH1108" s="431" t="n">
        <v>195</v>
      </c>
      <c r="AI1108" s="429" t="n"/>
      <c r="AJ1108" s="431" t="n"/>
      <c r="AK1108" s="451" t="n"/>
      <c r="AL1108" s="451" t="n"/>
      <c r="AM1108" s="451" t="n"/>
      <c r="AO1108" s="429" t="n">
        <v>195</v>
      </c>
      <c r="AP1108" s="431" t="n">
        <v>195</v>
      </c>
      <c r="AQ1108" s="429" t="n"/>
      <c r="AR1108" s="431" t="n"/>
      <c r="AS1108" s="451" t="n"/>
      <c r="AT1108" s="451" t="n"/>
      <c r="AU1108" s="451" t="n"/>
      <c r="AW1108" s="429" t="n">
        <v>195</v>
      </c>
      <c r="AX1108" s="431" t="n">
        <v>195</v>
      </c>
      <c r="AY1108" s="429" t="n"/>
      <c r="AZ1108" s="431" t="n"/>
      <c r="BA1108" s="451" t="n"/>
      <c r="BB1108" s="451" t="n"/>
      <c r="BC1108" s="451" t="n"/>
      <c r="BE1108" s="429" t="n">
        <v>195</v>
      </c>
      <c r="BF1108" s="431" t="n"/>
      <c r="BG1108" s="429" t="n"/>
      <c r="BH1108" s="431" t="n"/>
      <c r="BI1108" s="451" t="n"/>
      <c r="BJ1108" s="451" t="n"/>
      <c r="BK1108" s="451" t="n"/>
      <c r="BM1108" s="429" t="n">
        <v>195</v>
      </c>
      <c r="BN1108" s="431" t="n">
        <v>195</v>
      </c>
      <c r="BO1108" s="429" t="n"/>
      <c r="BP1108" s="431" t="n"/>
      <c r="BQ1108" s="451" t="n"/>
      <c r="BR1108" s="451" t="n"/>
      <c r="BS1108" s="451" t="n"/>
      <c r="BU1108" s="429" t="n">
        <v>195</v>
      </c>
      <c r="BV1108" s="431" t="n">
        <v>195</v>
      </c>
      <c r="BW1108" s="429" t="n"/>
      <c r="BX1108" s="431" t="n"/>
      <c r="BY1108" s="451" t="n"/>
      <c r="BZ1108" s="451">
        <f>'CIRCUIT SIM'!EI198</f>
        <v/>
      </c>
      <c r="CA1108" s="451" t="n"/>
      <c r="CC1108" s="429" t="n">
        <v>195</v>
      </c>
      <c r="CD1108" s="431" t="n">
        <v>195</v>
      </c>
      <c r="CE1108" s="688" t="n"/>
      <c r="CF1108" s="431" t="n"/>
      <c r="CG1108" s="451" t="n"/>
      <c r="CH1108" s="562">
        <f>'CIRCUIT SIM'!LK198</f>
        <v/>
      </c>
      <c r="CI1108" s="451" t="n"/>
      <c r="CK1108" s="429" t="n">
        <v>195</v>
      </c>
      <c r="CL1108" s="431" t="n">
        <v>195</v>
      </c>
      <c r="CM1108" s="688" t="n"/>
      <c r="CN1108" s="431" t="n"/>
      <c r="CO1108" s="451" t="n"/>
      <c r="CP1108" s="451" t="n"/>
      <c r="CQ1108" s="451" t="n"/>
      <c r="CS1108" s="429" t="n">
        <v>195</v>
      </c>
      <c r="CT1108" s="431" t="n">
        <v>195</v>
      </c>
      <c r="CU1108" s="688" t="n"/>
      <c r="CV1108" s="431" t="n"/>
      <c r="CW1108" s="451" t="n"/>
      <c r="CX1108" s="451" t="n"/>
      <c r="CY1108" s="451" t="n"/>
      <c r="DA1108" s="429" t="n">
        <v>195</v>
      </c>
      <c r="DB1108" s="431" t="n">
        <v>195</v>
      </c>
      <c r="DC1108" s="688" t="n"/>
      <c r="DD1108" s="431" t="n"/>
      <c r="DE1108" s="451" t="n"/>
      <c r="DF1108" s="451" t="n"/>
      <c r="DG1108" s="451" t="n"/>
      <c r="DI1108" s="429" t="n">
        <v>195</v>
      </c>
      <c r="DJ1108" s="431" t="n">
        <v>195</v>
      </c>
      <c r="DK1108" s="688" t="n"/>
      <c r="DL1108" s="431" t="n"/>
      <c r="DM1108" s="429" t="n"/>
      <c r="DN1108" s="451" t="n"/>
      <c r="DO1108" s="451" t="n"/>
      <c r="DQ1108" s="429" t="n">
        <v>195</v>
      </c>
      <c r="DR1108" s="431" t="n">
        <v>195</v>
      </c>
      <c r="DS1108" s="688" t="n"/>
      <c r="DT1108" s="431" t="n"/>
      <c r="DU1108" s="451" t="n"/>
      <c r="DV1108" s="451" t="n"/>
      <c r="DW1108" s="451" t="n"/>
      <c r="DY1108" s="429" t="n">
        <v>195</v>
      </c>
      <c r="DZ1108" s="431" t="n">
        <v>195</v>
      </c>
      <c r="EA1108" s="688" t="n"/>
      <c r="EB1108" s="431" t="n"/>
      <c r="EC1108" s="451" t="n"/>
      <c r="ED1108" s="451" t="n"/>
      <c r="EE1108" s="451" t="n"/>
      <c r="EG1108" s="429" t="n">
        <v>195</v>
      </c>
      <c r="EH1108" s="431" t="n">
        <v>195</v>
      </c>
      <c r="EI1108" s="688" t="n"/>
      <c r="EJ1108" s="431" t="n"/>
      <c r="EK1108" s="451" t="n"/>
      <c r="EL1108" s="451" t="n"/>
      <c r="EM1108" s="451" t="n"/>
      <c r="EO1108" s="429" t="n">
        <v>195</v>
      </c>
      <c r="EP1108" s="431" t="n">
        <v>195</v>
      </c>
      <c r="EQ1108" s="688" t="n"/>
      <c r="ER1108" s="431" t="n"/>
      <c r="ES1108" s="451" t="n"/>
      <c r="ET1108" s="451" t="n"/>
      <c r="EU1108" s="451" t="n"/>
      <c r="EW1108" s="429" t="n">
        <v>195</v>
      </c>
      <c r="EX1108" s="431" t="n">
        <v>195</v>
      </c>
      <c r="EY1108" s="688" t="n"/>
      <c r="EZ1108" s="431" t="n"/>
      <c r="FA1108" s="451" t="n"/>
      <c r="FB1108" s="451" t="n"/>
      <c r="FC1108" s="451" t="n"/>
      <c r="FE1108" s="429" t="n">
        <v>195</v>
      </c>
      <c r="FF1108" s="431" t="n">
        <v>195</v>
      </c>
      <c r="FG1108" s="688" t="n"/>
      <c r="FH1108" s="431" t="n"/>
      <c r="FI1108" s="451" t="n"/>
      <c r="FJ1108" s="451" t="n"/>
      <c r="FK1108" s="451" t="n"/>
      <c r="FM1108" s="429" t="n">
        <v>195</v>
      </c>
      <c r="FN1108" s="431" t="n">
        <v>195</v>
      </c>
      <c r="FO1108" s="688" t="n"/>
      <c r="FP1108" s="431" t="n"/>
      <c r="FQ1108" s="451" t="n"/>
      <c r="FR1108" s="451" t="n"/>
      <c r="FS1108" s="451" t="n"/>
      <c r="FU1108" s="429" t="n">
        <v>195</v>
      </c>
      <c r="FV1108" s="431" t="n">
        <v>195</v>
      </c>
      <c r="FW1108" s="688" t="n"/>
      <c r="FX1108" s="431" t="n"/>
      <c r="FY1108" s="451" t="n"/>
      <c r="FZ1108" s="562">
        <f>'CIRCUIT SIM'!JG198</f>
        <v/>
      </c>
      <c r="GA1108" s="451" t="n"/>
      <c r="GC1108" s="429" t="n">
        <v>195</v>
      </c>
      <c r="GD1108" s="431" t="n">
        <v>195</v>
      </c>
      <c r="GE1108" s="688" t="n"/>
      <c r="GF1108" s="431" t="n"/>
      <c r="GG1108" s="451" t="n"/>
      <c r="GH1108" s="451" t="n"/>
      <c r="GI1108" s="451" t="n"/>
      <c r="GK1108" s="429" t="n">
        <v>195</v>
      </c>
      <c r="GL1108" s="431" t="n">
        <v>195</v>
      </c>
      <c r="GM1108" s="688" t="n"/>
      <c r="GN1108" s="431" t="n"/>
      <c r="GO1108" s="451" t="n"/>
      <c r="GP1108" s="451" t="n"/>
      <c r="GQ1108" s="451" t="n"/>
      <c r="GS1108" s="429" t="n">
        <v>195</v>
      </c>
      <c r="GT1108" s="431" t="n">
        <v>195</v>
      </c>
      <c r="GU1108" s="688" t="n"/>
      <c r="GV1108" s="431" t="n"/>
      <c r="GW1108" s="451" t="n"/>
      <c r="GX1108" s="451" t="n"/>
      <c r="GY1108" s="451" t="n"/>
      <c r="HA1108" s="429" t="n">
        <v>195</v>
      </c>
      <c r="HB1108" s="431" t="n">
        <v>195</v>
      </c>
      <c r="HC1108" s="688" t="n"/>
      <c r="HD1108" s="431" t="n"/>
      <c r="HE1108" s="451" t="n"/>
      <c r="HF1108" s="451" t="n"/>
      <c r="HG1108" s="451" t="n"/>
    </row>
    <row r="1109">
      <c r="A1109" s="429" t="n">
        <v>196</v>
      </c>
      <c r="B1109" s="431" t="n">
        <v>196</v>
      </c>
      <c r="C1109" s="688" t="n"/>
      <c r="D1109" s="431" t="n"/>
      <c r="E1109" s="429" t="n"/>
      <c r="F1109" s="429" t="n"/>
      <c r="G1109" s="429" t="n"/>
      <c r="I1109" s="429" t="n">
        <v>196</v>
      </c>
      <c r="J1109" s="431" t="n">
        <v>196</v>
      </c>
      <c r="K1109" s="429" t="n"/>
      <c r="L1109" s="431" t="n"/>
      <c r="M1109" s="451" t="n"/>
      <c r="N1109" s="422">
        <f>'CIRCUIT SIM'!Y199</f>
        <v/>
      </c>
      <c r="O1109" s="451" t="n"/>
      <c r="Q1109" s="429" t="n">
        <v>196</v>
      </c>
      <c r="R1109" s="431" t="n">
        <v>196</v>
      </c>
      <c r="S1109" s="429" t="n"/>
      <c r="T1109" s="431" t="n"/>
      <c r="U1109" s="429" t="n"/>
      <c r="V1109" s="386" t="n"/>
      <c r="W1109" s="451" t="n"/>
      <c r="Y1109" s="429" t="n">
        <v>196</v>
      </c>
      <c r="Z1109" s="431" t="n">
        <v>196</v>
      </c>
      <c r="AA1109" s="429" t="n"/>
      <c r="AB1109" s="431" t="n"/>
      <c r="AC1109" s="451" t="n"/>
      <c r="AD1109" s="451" t="n"/>
      <c r="AE1109" s="451" t="n"/>
      <c r="AG1109" s="429" t="n">
        <v>196</v>
      </c>
      <c r="AH1109" s="431" t="n">
        <v>196</v>
      </c>
      <c r="AI1109" s="429" t="n"/>
      <c r="AJ1109" s="431" t="n"/>
      <c r="AK1109" s="451" t="n"/>
      <c r="AL1109" s="451" t="n"/>
      <c r="AM1109" s="451" t="n"/>
      <c r="AO1109" s="429" t="n">
        <v>196</v>
      </c>
      <c r="AP1109" s="431" t="n">
        <v>196</v>
      </c>
      <c r="AQ1109" s="429" t="n"/>
      <c r="AR1109" s="431" t="n"/>
      <c r="AS1109" s="451" t="n"/>
      <c r="AT1109" s="451" t="n"/>
      <c r="AU1109" s="451" t="n"/>
      <c r="AW1109" s="429" t="n">
        <v>196</v>
      </c>
      <c r="AX1109" s="431" t="n">
        <v>196</v>
      </c>
      <c r="AY1109" s="429" t="n"/>
      <c r="AZ1109" s="431" t="n"/>
      <c r="BA1109" s="451" t="n"/>
      <c r="BB1109" s="451" t="n"/>
      <c r="BC1109" s="451" t="n"/>
      <c r="BE1109" s="429" t="n">
        <v>196</v>
      </c>
      <c r="BF1109" s="431" t="n"/>
      <c r="BG1109" s="429" t="n"/>
      <c r="BH1109" s="431" t="n"/>
      <c r="BI1109" s="451" t="n"/>
      <c r="BJ1109" s="451" t="n"/>
      <c r="BK1109" s="451" t="n"/>
      <c r="BM1109" s="429" t="n">
        <v>196</v>
      </c>
      <c r="BN1109" s="431" t="n">
        <v>196</v>
      </c>
      <c r="BO1109" s="429" t="n"/>
      <c r="BP1109" s="431" t="n"/>
      <c r="BQ1109" s="451" t="n"/>
      <c r="BR1109" s="451" t="n"/>
      <c r="BS1109" s="451" t="n"/>
      <c r="BU1109" s="429" t="n">
        <v>196</v>
      </c>
      <c r="BV1109" s="431" t="n">
        <v>196</v>
      </c>
      <c r="BW1109" s="429" t="n"/>
      <c r="BX1109" s="431" t="n"/>
      <c r="BY1109" s="451" t="n"/>
      <c r="BZ1109" s="451">
        <f>'CIRCUIT SIM'!EI199</f>
        <v/>
      </c>
      <c r="CA1109" s="451" t="n"/>
      <c r="CC1109" s="429" t="n">
        <v>196</v>
      </c>
      <c r="CD1109" s="431" t="n">
        <v>196</v>
      </c>
      <c r="CE1109" s="688" t="n"/>
      <c r="CF1109" s="431" t="n"/>
      <c r="CG1109" s="451" t="n"/>
      <c r="CH1109" s="562">
        <f>'CIRCUIT SIM'!LK199</f>
        <v/>
      </c>
      <c r="CI1109" s="451" t="n"/>
      <c r="CK1109" s="429" t="n">
        <v>196</v>
      </c>
      <c r="CL1109" s="431" t="n">
        <v>196</v>
      </c>
      <c r="CM1109" s="688" t="n"/>
      <c r="CN1109" s="431" t="n"/>
      <c r="CO1109" s="451" t="n"/>
      <c r="CP1109" s="451" t="n"/>
      <c r="CQ1109" s="451" t="n"/>
      <c r="CS1109" s="429" t="n">
        <v>196</v>
      </c>
      <c r="CT1109" s="431" t="n">
        <v>196</v>
      </c>
      <c r="CU1109" s="688" t="n"/>
      <c r="CV1109" s="431" t="n"/>
      <c r="CW1109" s="451" t="n"/>
      <c r="CX1109" s="451" t="n"/>
      <c r="CY1109" s="451" t="n"/>
      <c r="DA1109" s="429" t="n">
        <v>196</v>
      </c>
      <c r="DB1109" s="431" t="n">
        <v>196</v>
      </c>
      <c r="DC1109" s="688" t="n"/>
      <c r="DD1109" s="431" t="n"/>
      <c r="DE1109" s="451" t="n"/>
      <c r="DF1109" s="451" t="n"/>
      <c r="DG1109" s="451" t="n"/>
      <c r="DI1109" s="429" t="n">
        <v>196</v>
      </c>
      <c r="DJ1109" s="431" t="n">
        <v>196</v>
      </c>
      <c r="DK1109" s="688" t="n"/>
      <c r="DL1109" s="431" t="n"/>
      <c r="DM1109" s="429" t="n"/>
      <c r="DN1109" s="451" t="n"/>
      <c r="DO1109" s="451" t="n"/>
      <c r="DQ1109" s="429" t="n">
        <v>196</v>
      </c>
      <c r="DR1109" s="431" t="n">
        <v>196</v>
      </c>
      <c r="DS1109" s="688" t="n"/>
      <c r="DT1109" s="431" t="n"/>
      <c r="DU1109" s="451" t="n"/>
      <c r="DV1109" s="451" t="n"/>
      <c r="DW1109" s="451" t="n"/>
      <c r="DY1109" s="429" t="n">
        <v>196</v>
      </c>
      <c r="DZ1109" s="431" t="n">
        <v>196</v>
      </c>
      <c r="EA1109" s="688" t="n"/>
      <c r="EB1109" s="431" t="n"/>
      <c r="EC1109" s="451" t="n"/>
      <c r="ED1109" s="451" t="n"/>
      <c r="EE1109" s="451" t="n"/>
      <c r="EG1109" s="429" t="n">
        <v>196</v>
      </c>
      <c r="EH1109" s="431" t="n">
        <v>196</v>
      </c>
      <c r="EI1109" s="688" t="n"/>
      <c r="EJ1109" s="431" t="n"/>
      <c r="EK1109" s="451" t="n"/>
      <c r="EL1109" s="451" t="n"/>
      <c r="EM1109" s="451" t="n"/>
      <c r="EO1109" s="429" t="n">
        <v>196</v>
      </c>
      <c r="EP1109" s="431" t="n">
        <v>196</v>
      </c>
      <c r="EQ1109" s="688" t="n"/>
      <c r="ER1109" s="431" t="n"/>
      <c r="ES1109" s="451" t="n"/>
      <c r="ET1109" s="451" t="n"/>
      <c r="EU1109" s="451" t="n"/>
      <c r="EW1109" s="429" t="n">
        <v>196</v>
      </c>
      <c r="EX1109" s="431" t="n">
        <v>196</v>
      </c>
      <c r="EY1109" s="688" t="n"/>
      <c r="EZ1109" s="431" t="n"/>
      <c r="FA1109" s="451" t="n"/>
      <c r="FB1109" s="451" t="n"/>
      <c r="FC1109" s="451" t="n"/>
      <c r="FE1109" s="429" t="n">
        <v>196</v>
      </c>
      <c r="FF1109" s="431" t="n">
        <v>196</v>
      </c>
      <c r="FG1109" s="688" t="n"/>
      <c r="FH1109" s="431" t="n"/>
      <c r="FI1109" s="451" t="n"/>
      <c r="FJ1109" s="451" t="n"/>
      <c r="FK1109" s="451" t="n"/>
      <c r="FM1109" s="429" t="n">
        <v>196</v>
      </c>
      <c r="FN1109" s="431" t="n">
        <v>196</v>
      </c>
      <c r="FO1109" s="688" t="n"/>
      <c r="FP1109" s="431" t="n"/>
      <c r="FQ1109" s="451" t="n"/>
      <c r="FR1109" s="451" t="n"/>
      <c r="FS1109" s="451" t="n"/>
      <c r="FU1109" s="429" t="n">
        <v>196</v>
      </c>
      <c r="FV1109" s="431" t="n">
        <v>196</v>
      </c>
      <c r="FW1109" s="688" t="n"/>
      <c r="FX1109" s="431" t="n"/>
      <c r="FY1109" s="451" t="n"/>
      <c r="FZ1109" s="562">
        <f>'CIRCUIT SIM'!JG199</f>
        <v/>
      </c>
      <c r="GA1109" s="451" t="n"/>
      <c r="GC1109" s="429" t="n">
        <v>196</v>
      </c>
      <c r="GD1109" s="431" t="n">
        <v>196</v>
      </c>
      <c r="GE1109" s="688" t="n"/>
      <c r="GF1109" s="431" t="n"/>
      <c r="GG1109" s="451" t="n"/>
      <c r="GH1109" s="451" t="n"/>
      <c r="GI1109" s="451" t="n"/>
      <c r="GK1109" s="429" t="n">
        <v>196</v>
      </c>
      <c r="GL1109" s="431" t="n">
        <v>196</v>
      </c>
      <c r="GM1109" s="688" t="n"/>
      <c r="GN1109" s="431" t="n"/>
      <c r="GO1109" s="451" t="n"/>
      <c r="GP1109" s="451" t="n"/>
      <c r="GQ1109" s="451" t="n"/>
      <c r="GS1109" s="429" t="n">
        <v>196</v>
      </c>
      <c r="GT1109" s="431" t="n">
        <v>196</v>
      </c>
      <c r="GU1109" s="688" t="n"/>
      <c r="GV1109" s="431" t="n"/>
      <c r="GW1109" s="451" t="n"/>
      <c r="GX1109" s="451" t="n"/>
      <c r="GY1109" s="451" t="n"/>
      <c r="HA1109" s="429" t="n">
        <v>196</v>
      </c>
      <c r="HB1109" s="431" t="n">
        <v>196</v>
      </c>
      <c r="HC1109" s="688" t="n"/>
      <c r="HD1109" s="431" t="n"/>
      <c r="HE1109" s="451" t="n"/>
      <c r="HF1109" s="451" t="n"/>
      <c r="HG1109" s="451" t="n"/>
    </row>
    <row r="1110">
      <c r="A1110" s="429" t="n">
        <v>197</v>
      </c>
      <c r="B1110" s="431" t="n">
        <v>197</v>
      </c>
      <c r="C1110" s="688" t="n"/>
      <c r="D1110" s="431" t="n"/>
      <c r="E1110" s="429" t="n"/>
      <c r="F1110" s="429" t="n"/>
      <c r="G1110" s="429" t="n"/>
      <c r="I1110" s="429" t="n">
        <v>197</v>
      </c>
      <c r="J1110" s="431" t="n">
        <v>197</v>
      </c>
      <c r="K1110" s="429" t="n"/>
      <c r="L1110" s="431" t="n"/>
      <c r="M1110" s="451" t="n"/>
      <c r="N1110" s="422">
        <f>'CIRCUIT SIM'!Y200</f>
        <v/>
      </c>
      <c r="O1110" s="451" t="n"/>
      <c r="Q1110" s="429" t="n">
        <v>197</v>
      </c>
      <c r="R1110" s="431" t="n">
        <v>197</v>
      </c>
      <c r="S1110" s="429" t="n"/>
      <c r="T1110" s="431" t="n"/>
      <c r="U1110" s="429" t="n"/>
      <c r="V1110" s="386" t="n"/>
      <c r="W1110" s="451" t="n"/>
      <c r="Y1110" s="429" t="n">
        <v>197</v>
      </c>
      <c r="Z1110" s="431" t="n">
        <v>197</v>
      </c>
      <c r="AA1110" s="429" t="n"/>
      <c r="AB1110" s="431" t="n"/>
      <c r="AC1110" s="451" t="n"/>
      <c r="AD1110" s="451" t="n"/>
      <c r="AE1110" s="451" t="n"/>
      <c r="AG1110" s="429" t="n">
        <v>197</v>
      </c>
      <c r="AH1110" s="431" t="n">
        <v>197</v>
      </c>
      <c r="AI1110" s="429" t="n"/>
      <c r="AJ1110" s="431" t="n"/>
      <c r="AK1110" s="451" t="n"/>
      <c r="AL1110" s="451" t="n"/>
      <c r="AM1110" s="451" t="n"/>
      <c r="AO1110" s="429" t="n">
        <v>197</v>
      </c>
      <c r="AP1110" s="431" t="n">
        <v>197</v>
      </c>
      <c r="AQ1110" s="429" t="n"/>
      <c r="AR1110" s="431" t="n"/>
      <c r="AS1110" s="451" t="n"/>
      <c r="AT1110" s="451" t="n"/>
      <c r="AU1110" s="451" t="n"/>
      <c r="AW1110" s="429" t="n">
        <v>197</v>
      </c>
      <c r="AX1110" s="431" t="n">
        <v>197</v>
      </c>
      <c r="AY1110" s="429" t="n"/>
      <c r="AZ1110" s="431" t="n"/>
      <c r="BA1110" s="451" t="n"/>
      <c r="BB1110" s="451" t="n"/>
      <c r="BC1110" s="451" t="n"/>
      <c r="BE1110" s="429" t="n">
        <v>197</v>
      </c>
      <c r="BF1110" s="431" t="n"/>
      <c r="BG1110" s="429" t="n"/>
      <c r="BH1110" s="431" t="n"/>
      <c r="BI1110" s="451" t="n"/>
      <c r="BJ1110" s="451" t="n"/>
      <c r="BK1110" s="451" t="n"/>
      <c r="BM1110" s="429" t="n">
        <v>197</v>
      </c>
      <c r="BN1110" s="431" t="n">
        <v>197</v>
      </c>
      <c r="BO1110" s="429" t="n"/>
      <c r="BP1110" s="431" t="n"/>
      <c r="BQ1110" s="451" t="n"/>
      <c r="BR1110" s="451" t="n"/>
      <c r="BS1110" s="451" t="n"/>
      <c r="BU1110" s="429" t="n">
        <v>197</v>
      </c>
      <c r="BV1110" s="431" t="n">
        <v>197</v>
      </c>
      <c r="BW1110" s="429" t="n"/>
      <c r="BX1110" s="431" t="n"/>
      <c r="BY1110" s="451" t="n"/>
      <c r="BZ1110" s="451">
        <f>'CIRCUIT SIM'!EI200</f>
        <v/>
      </c>
      <c r="CA1110" s="451" t="n"/>
      <c r="CC1110" s="429" t="n">
        <v>197</v>
      </c>
      <c r="CD1110" s="431" t="n">
        <v>197</v>
      </c>
      <c r="CE1110" s="688" t="n"/>
      <c r="CF1110" s="431" t="n"/>
      <c r="CG1110" s="451" t="n"/>
      <c r="CH1110" s="562">
        <f>'CIRCUIT SIM'!LK200</f>
        <v/>
      </c>
      <c r="CI1110" s="451" t="n"/>
      <c r="CK1110" s="429" t="n">
        <v>197</v>
      </c>
      <c r="CL1110" s="431" t="n">
        <v>197</v>
      </c>
      <c r="CM1110" s="688" t="n"/>
      <c r="CN1110" s="431" t="n"/>
      <c r="CO1110" s="451" t="n"/>
      <c r="CP1110" s="451" t="n"/>
      <c r="CQ1110" s="451" t="n"/>
      <c r="CS1110" s="429" t="n">
        <v>197</v>
      </c>
      <c r="CT1110" s="431" t="n">
        <v>197</v>
      </c>
      <c r="CU1110" s="688" t="n"/>
      <c r="CV1110" s="431" t="n"/>
      <c r="CW1110" s="451" t="n"/>
      <c r="CX1110" s="451" t="n"/>
      <c r="CY1110" s="451" t="n"/>
      <c r="DA1110" s="429" t="n">
        <v>197</v>
      </c>
      <c r="DB1110" s="431" t="n">
        <v>197</v>
      </c>
      <c r="DC1110" s="688" t="n"/>
      <c r="DD1110" s="431" t="n"/>
      <c r="DE1110" s="451" t="n"/>
      <c r="DF1110" s="451" t="n"/>
      <c r="DG1110" s="451" t="n"/>
      <c r="DI1110" s="429" t="n">
        <v>197</v>
      </c>
      <c r="DJ1110" s="431" t="n">
        <v>197</v>
      </c>
      <c r="DK1110" s="688" t="n"/>
      <c r="DL1110" s="431" t="n"/>
      <c r="DM1110" s="429" t="n"/>
      <c r="DN1110" s="451" t="n"/>
      <c r="DO1110" s="451" t="n"/>
      <c r="DQ1110" s="429" t="n">
        <v>197</v>
      </c>
      <c r="DR1110" s="431" t="n">
        <v>197</v>
      </c>
      <c r="DS1110" s="688" t="n"/>
      <c r="DT1110" s="431" t="n"/>
      <c r="DU1110" s="451" t="n"/>
      <c r="DV1110" s="451" t="n"/>
      <c r="DW1110" s="451" t="n"/>
      <c r="DY1110" s="429" t="n">
        <v>197</v>
      </c>
      <c r="DZ1110" s="431" t="n">
        <v>197</v>
      </c>
      <c r="EA1110" s="688" t="n"/>
      <c r="EB1110" s="431" t="n"/>
      <c r="EC1110" s="451" t="n"/>
      <c r="ED1110" s="451" t="n"/>
      <c r="EE1110" s="451" t="n"/>
      <c r="EG1110" s="429" t="n">
        <v>197</v>
      </c>
      <c r="EH1110" s="431" t="n">
        <v>197</v>
      </c>
      <c r="EI1110" s="688" t="n"/>
      <c r="EJ1110" s="431" t="n"/>
      <c r="EK1110" s="451" t="n"/>
      <c r="EL1110" s="451" t="n"/>
      <c r="EM1110" s="451" t="n"/>
      <c r="EO1110" s="429" t="n">
        <v>197</v>
      </c>
      <c r="EP1110" s="431" t="n">
        <v>197</v>
      </c>
      <c r="EQ1110" s="688" t="n"/>
      <c r="ER1110" s="431" t="n"/>
      <c r="ES1110" s="451" t="n"/>
      <c r="ET1110" s="451" t="n"/>
      <c r="EU1110" s="451" t="n"/>
      <c r="EW1110" s="429" t="n">
        <v>197</v>
      </c>
      <c r="EX1110" s="431" t="n">
        <v>197</v>
      </c>
      <c r="EY1110" s="688" t="n"/>
      <c r="EZ1110" s="431" t="n"/>
      <c r="FA1110" s="451" t="n"/>
      <c r="FB1110" s="451" t="n"/>
      <c r="FC1110" s="451" t="n"/>
      <c r="FE1110" s="429" t="n">
        <v>197</v>
      </c>
      <c r="FF1110" s="431" t="n">
        <v>197</v>
      </c>
      <c r="FG1110" s="688" t="n"/>
      <c r="FH1110" s="431" t="n"/>
      <c r="FI1110" s="451" t="n"/>
      <c r="FJ1110" s="451" t="n"/>
      <c r="FK1110" s="451" t="n"/>
      <c r="FM1110" s="429" t="n">
        <v>197</v>
      </c>
      <c r="FN1110" s="431" t="n">
        <v>197</v>
      </c>
      <c r="FO1110" s="688" t="n"/>
      <c r="FP1110" s="431" t="n"/>
      <c r="FQ1110" s="451" t="n"/>
      <c r="FR1110" s="451" t="n"/>
      <c r="FS1110" s="451" t="n"/>
      <c r="FU1110" s="429" t="n">
        <v>197</v>
      </c>
      <c r="FV1110" s="431" t="n">
        <v>197</v>
      </c>
      <c r="FW1110" s="688" t="n"/>
      <c r="FX1110" s="431" t="n"/>
      <c r="FY1110" s="451" t="n"/>
      <c r="FZ1110" s="562">
        <f>'CIRCUIT SIM'!JG200</f>
        <v/>
      </c>
      <c r="GA1110" s="451" t="n"/>
      <c r="GC1110" s="429" t="n">
        <v>197</v>
      </c>
      <c r="GD1110" s="431" t="n">
        <v>197</v>
      </c>
      <c r="GE1110" s="688" t="n"/>
      <c r="GF1110" s="431" t="n"/>
      <c r="GG1110" s="451" t="n"/>
      <c r="GH1110" s="451" t="n"/>
      <c r="GI1110" s="451" t="n"/>
      <c r="GK1110" s="429" t="n">
        <v>197</v>
      </c>
      <c r="GL1110" s="431" t="n">
        <v>197</v>
      </c>
      <c r="GM1110" s="688" t="n"/>
      <c r="GN1110" s="431" t="n"/>
      <c r="GO1110" s="451" t="n"/>
      <c r="GP1110" s="451" t="n"/>
      <c r="GQ1110" s="451" t="n"/>
      <c r="GS1110" s="429" t="n">
        <v>197</v>
      </c>
      <c r="GT1110" s="431" t="n">
        <v>197</v>
      </c>
      <c r="GU1110" s="688" t="n"/>
      <c r="GV1110" s="431" t="n"/>
      <c r="GW1110" s="451" t="n"/>
      <c r="GX1110" s="451" t="n"/>
      <c r="GY1110" s="451" t="n"/>
      <c r="HA1110" s="429" t="n">
        <v>197</v>
      </c>
      <c r="HB1110" s="431" t="n">
        <v>197</v>
      </c>
      <c r="HC1110" s="688" t="n"/>
      <c r="HD1110" s="431" t="n"/>
      <c r="HE1110" s="451" t="n"/>
      <c r="HF1110" s="451" t="n"/>
      <c r="HG1110" s="451" t="n"/>
    </row>
    <row r="1111">
      <c r="A1111" s="429" t="n">
        <v>198</v>
      </c>
      <c r="B1111" s="431" t="n">
        <v>198</v>
      </c>
      <c r="C1111" s="688" t="n"/>
      <c r="D1111" s="431" t="n"/>
      <c r="E1111" s="429" t="n"/>
      <c r="F1111" s="429" t="n"/>
      <c r="G1111" s="429" t="n"/>
      <c r="I1111" s="429" t="n">
        <v>198</v>
      </c>
      <c r="J1111" s="431" t="n">
        <v>198</v>
      </c>
      <c r="K1111" s="429" t="n"/>
      <c r="L1111" s="431" t="n"/>
      <c r="M1111" s="451" t="n"/>
      <c r="N1111" s="422">
        <f>'CIRCUIT SIM'!Y201</f>
        <v/>
      </c>
      <c r="O1111" s="451" t="n"/>
      <c r="Q1111" s="429" t="n">
        <v>198</v>
      </c>
      <c r="R1111" s="431" t="n">
        <v>198</v>
      </c>
      <c r="S1111" s="429" t="n"/>
      <c r="T1111" s="431" t="n"/>
      <c r="U1111" s="429" t="n"/>
      <c r="V1111" s="386" t="n"/>
      <c r="W1111" s="451" t="n"/>
      <c r="Y1111" s="429" t="n">
        <v>198</v>
      </c>
      <c r="Z1111" s="431" t="n">
        <v>198</v>
      </c>
      <c r="AA1111" s="429" t="n"/>
      <c r="AB1111" s="431" t="n"/>
      <c r="AC1111" s="451" t="n"/>
      <c r="AD1111" s="451" t="n"/>
      <c r="AE1111" s="451" t="n"/>
      <c r="AG1111" s="429" t="n">
        <v>198</v>
      </c>
      <c r="AH1111" s="431" t="n">
        <v>198</v>
      </c>
      <c r="AI1111" s="429" t="n"/>
      <c r="AJ1111" s="431" t="n"/>
      <c r="AK1111" s="451" t="n"/>
      <c r="AL1111" s="451" t="n"/>
      <c r="AM1111" s="451" t="n"/>
      <c r="AO1111" s="429" t="n">
        <v>198</v>
      </c>
      <c r="AP1111" s="431" t="n">
        <v>198</v>
      </c>
      <c r="AQ1111" s="429" t="n"/>
      <c r="AR1111" s="431" t="n"/>
      <c r="AS1111" s="451" t="n"/>
      <c r="AT1111" s="451" t="n"/>
      <c r="AU1111" s="451" t="n"/>
      <c r="AW1111" s="429" t="n">
        <v>198</v>
      </c>
      <c r="AX1111" s="431" t="n">
        <v>198</v>
      </c>
      <c r="AY1111" s="429" t="n"/>
      <c r="AZ1111" s="431" t="n"/>
      <c r="BA1111" s="451" t="n"/>
      <c r="BB1111" s="451" t="n"/>
      <c r="BC1111" s="451" t="n"/>
      <c r="BE1111" s="429" t="n">
        <v>198</v>
      </c>
      <c r="BF1111" s="431" t="n"/>
      <c r="BG1111" s="429" t="n"/>
      <c r="BH1111" s="431" t="n"/>
      <c r="BI1111" s="451" t="n"/>
      <c r="BJ1111" s="451" t="n"/>
      <c r="BK1111" s="451" t="n"/>
      <c r="BM1111" s="429" t="n">
        <v>198</v>
      </c>
      <c r="BN1111" s="431" t="n">
        <v>198</v>
      </c>
      <c r="BO1111" s="429" t="n"/>
      <c r="BP1111" s="431" t="n"/>
      <c r="BQ1111" s="451" t="n"/>
      <c r="BR1111" s="451" t="n"/>
      <c r="BS1111" s="451" t="n"/>
      <c r="BU1111" s="429" t="n">
        <v>198</v>
      </c>
      <c r="BV1111" s="431" t="n">
        <v>198</v>
      </c>
      <c r="BW1111" s="429" t="n"/>
      <c r="BX1111" s="431" t="n"/>
      <c r="BY1111" s="451" t="n"/>
      <c r="BZ1111" s="451">
        <f>'CIRCUIT SIM'!EI201</f>
        <v/>
      </c>
      <c r="CA1111" s="451" t="n"/>
      <c r="CC1111" s="429" t="n">
        <v>198</v>
      </c>
      <c r="CD1111" s="431" t="n">
        <v>198</v>
      </c>
      <c r="CE1111" s="688" t="n"/>
      <c r="CF1111" s="431" t="n"/>
      <c r="CG1111" s="451" t="n"/>
      <c r="CH1111" s="562">
        <f>'CIRCUIT SIM'!LK201</f>
        <v/>
      </c>
      <c r="CI1111" s="451" t="n"/>
      <c r="CK1111" s="429" t="n">
        <v>198</v>
      </c>
      <c r="CL1111" s="431" t="n">
        <v>198</v>
      </c>
      <c r="CM1111" s="688" t="n"/>
      <c r="CN1111" s="431" t="n"/>
      <c r="CO1111" s="451" t="n"/>
      <c r="CP1111" s="451" t="n"/>
      <c r="CQ1111" s="451" t="n"/>
      <c r="CS1111" s="429" t="n">
        <v>198</v>
      </c>
      <c r="CT1111" s="431" t="n">
        <v>198</v>
      </c>
      <c r="CU1111" s="688" t="n"/>
      <c r="CV1111" s="431" t="n"/>
      <c r="CW1111" s="451" t="n"/>
      <c r="CX1111" s="451" t="n"/>
      <c r="CY1111" s="451" t="n"/>
      <c r="DA1111" s="429" t="n">
        <v>198</v>
      </c>
      <c r="DB1111" s="431" t="n">
        <v>198</v>
      </c>
      <c r="DC1111" s="688" t="n"/>
      <c r="DD1111" s="431" t="n"/>
      <c r="DE1111" s="451" t="n"/>
      <c r="DF1111" s="451" t="n"/>
      <c r="DG1111" s="451" t="n"/>
      <c r="DI1111" s="429" t="n">
        <v>198</v>
      </c>
      <c r="DJ1111" s="431" t="n">
        <v>198</v>
      </c>
      <c r="DK1111" s="688" t="n"/>
      <c r="DL1111" s="431" t="n"/>
      <c r="DM1111" s="429" t="n"/>
      <c r="DN1111" s="451" t="n"/>
      <c r="DO1111" s="451" t="n"/>
      <c r="DQ1111" s="429" t="n">
        <v>198</v>
      </c>
      <c r="DR1111" s="431" t="n">
        <v>198</v>
      </c>
      <c r="DS1111" s="688" t="n"/>
      <c r="DT1111" s="431" t="n"/>
      <c r="DU1111" s="451" t="n"/>
      <c r="DV1111" s="451" t="n"/>
      <c r="DW1111" s="451" t="n"/>
      <c r="DY1111" s="429" t="n">
        <v>198</v>
      </c>
      <c r="DZ1111" s="431" t="n">
        <v>198</v>
      </c>
      <c r="EA1111" s="688" t="n"/>
      <c r="EB1111" s="431" t="n"/>
      <c r="EC1111" s="451" t="n"/>
      <c r="ED1111" s="451" t="n"/>
      <c r="EE1111" s="451" t="n"/>
      <c r="EG1111" s="429" t="n">
        <v>198</v>
      </c>
      <c r="EH1111" s="431" t="n">
        <v>198</v>
      </c>
      <c r="EI1111" s="688" t="n"/>
      <c r="EJ1111" s="431" t="n"/>
      <c r="EK1111" s="451" t="n"/>
      <c r="EL1111" s="451" t="n"/>
      <c r="EM1111" s="451" t="n"/>
      <c r="EO1111" s="429" t="n">
        <v>198</v>
      </c>
      <c r="EP1111" s="431" t="n">
        <v>198</v>
      </c>
      <c r="EQ1111" s="688" t="n"/>
      <c r="ER1111" s="431" t="n"/>
      <c r="ES1111" s="451" t="n"/>
      <c r="ET1111" s="451" t="n"/>
      <c r="EU1111" s="451" t="n"/>
      <c r="EW1111" s="429" t="n">
        <v>198</v>
      </c>
      <c r="EX1111" s="431" t="n">
        <v>198</v>
      </c>
      <c r="EY1111" s="688" t="n"/>
      <c r="EZ1111" s="431" t="n"/>
      <c r="FA1111" s="451" t="n"/>
      <c r="FB1111" s="451" t="n"/>
      <c r="FC1111" s="451" t="n"/>
      <c r="FE1111" s="429" t="n">
        <v>198</v>
      </c>
      <c r="FF1111" s="431" t="n">
        <v>198</v>
      </c>
      <c r="FG1111" s="688" t="n"/>
      <c r="FH1111" s="431" t="n"/>
      <c r="FI1111" s="451" t="n"/>
      <c r="FJ1111" s="451" t="n"/>
      <c r="FK1111" s="451" t="n"/>
      <c r="FM1111" s="429" t="n">
        <v>198</v>
      </c>
      <c r="FN1111" s="431" t="n">
        <v>198</v>
      </c>
      <c r="FO1111" s="688" t="n"/>
      <c r="FP1111" s="431" t="n"/>
      <c r="FQ1111" s="451" t="n"/>
      <c r="FR1111" s="451" t="n"/>
      <c r="FS1111" s="451" t="n"/>
      <c r="FU1111" s="429" t="n">
        <v>198</v>
      </c>
      <c r="FV1111" s="431" t="n">
        <v>198</v>
      </c>
      <c r="FW1111" s="688" t="n"/>
      <c r="FX1111" s="431" t="n"/>
      <c r="FY1111" s="451" t="n"/>
      <c r="FZ1111" s="562">
        <f>'CIRCUIT SIM'!JG201</f>
        <v/>
      </c>
      <c r="GA1111" s="451" t="n"/>
      <c r="GC1111" s="429" t="n">
        <v>198</v>
      </c>
      <c r="GD1111" s="431" t="n">
        <v>198</v>
      </c>
      <c r="GE1111" s="688" t="n"/>
      <c r="GF1111" s="431" t="n"/>
      <c r="GG1111" s="451" t="n"/>
      <c r="GH1111" s="451" t="n"/>
      <c r="GI1111" s="451" t="n"/>
      <c r="GK1111" s="429" t="n">
        <v>198</v>
      </c>
      <c r="GL1111" s="431" t="n">
        <v>198</v>
      </c>
      <c r="GM1111" s="688" t="n"/>
      <c r="GN1111" s="431" t="n"/>
      <c r="GO1111" s="451" t="n"/>
      <c r="GP1111" s="451" t="n"/>
      <c r="GQ1111" s="451" t="n"/>
      <c r="GS1111" s="429" t="n">
        <v>198</v>
      </c>
      <c r="GT1111" s="431" t="n">
        <v>198</v>
      </c>
      <c r="GU1111" s="688" t="n"/>
      <c r="GV1111" s="431" t="n"/>
      <c r="GW1111" s="451" t="n"/>
      <c r="GX1111" s="451" t="n"/>
      <c r="GY1111" s="451" t="n"/>
      <c r="HA1111" s="429" t="n">
        <v>198</v>
      </c>
      <c r="HB1111" s="431" t="n">
        <v>198</v>
      </c>
      <c r="HC1111" s="688" t="n"/>
      <c r="HD1111" s="431" t="n"/>
      <c r="HE1111" s="451" t="n"/>
      <c r="HF1111" s="451" t="n"/>
      <c r="HG1111" s="451" t="n"/>
    </row>
    <row r="1112">
      <c r="A1112" s="429" t="n">
        <v>199</v>
      </c>
      <c r="B1112" s="431" t="n">
        <v>199</v>
      </c>
      <c r="C1112" s="688" t="n"/>
      <c r="D1112" s="431" t="n"/>
      <c r="E1112" s="429" t="n"/>
      <c r="F1112" s="429" t="n"/>
      <c r="G1112" s="429" t="n"/>
      <c r="I1112" s="429" t="n">
        <v>199</v>
      </c>
      <c r="J1112" s="431" t="n">
        <v>199</v>
      </c>
      <c r="K1112" s="429" t="n"/>
      <c r="L1112" s="431" t="n"/>
      <c r="M1112" s="451" t="n"/>
      <c r="N1112" s="422">
        <f>'CIRCUIT SIM'!Y202</f>
        <v/>
      </c>
      <c r="O1112" s="451" t="n"/>
      <c r="Q1112" s="429" t="n">
        <v>199</v>
      </c>
      <c r="R1112" s="431" t="n">
        <v>199</v>
      </c>
      <c r="S1112" s="429" t="n"/>
      <c r="T1112" s="431" t="n"/>
      <c r="U1112" s="429" t="n"/>
      <c r="V1112" s="386" t="n"/>
      <c r="W1112" s="451" t="n"/>
      <c r="Y1112" s="429" t="n">
        <v>199</v>
      </c>
      <c r="Z1112" s="431" t="n">
        <v>199</v>
      </c>
      <c r="AA1112" s="429" t="n"/>
      <c r="AB1112" s="431" t="n"/>
      <c r="AC1112" s="451" t="n"/>
      <c r="AD1112" s="451" t="n"/>
      <c r="AE1112" s="451" t="n"/>
      <c r="AG1112" s="429" t="n">
        <v>199</v>
      </c>
      <c r="AH1112" s="431" t="n">
        <v>199</v>
      </c>
      <c r="AI1112" s="429" t="n"/>
      <c r="AJ1112" s="431" t="n"/>
      <c r="AK1112" s="451" t="n"/>
      <c r="AL1112" s="451" t="n"/>
      <c r="AM1112" s="451" t="n"/>
      <c r="AO1112" s="429" t="n">
        <v>199</v>
      </c>
      <c r="AP1112" s="431" t="n">
        <v>199</v>
      </c>
      <c r="AQ1112" s="429" t="n"/>
      <c r="AR1112" s="431" t="n"/>
      <c r="AS1112" s="451" t="n"/>
      <c r="AT1112" s="451" t="n"/>
      <c r="AU1112" s="451" t="n"/>
      <c r="AW1112" s="429" t="n">
        <v>199</v>
      </c>
      <c r="AX1112" s="431" t="n">
        <v>199</v>
      </c>
      <c r="AY1112" s="429" t="n"/>
      <c r="AZ1112" s="431" t="n"/>
      <c r="BA1112" s="451" t="n"/>
      <c r="BB1112" s="451" t="n"/>
      <c r="BC1112" s="451" t="n"/>
      <c r="BE1112" s="429" t="n">
        <v>199</v>
      </c>
      <c r="BF1112" s="431" t="n"/>
      <c r="BG1112" s="429" t="n"/>
      <c r="BH1112" s="431" t="n"/>
      <c r="BI1112" s="451" t="n"/>
      <c r="BJ1112" s="451" t="n"/>
      <c r="BK1112" s="451" t="n"/>
      <c r="BM1112" s="429" t="n">
        <v>199</v>
      </c>
      <c r="BN1112" s="431" t="n">
        <v>199</v>
      </c>
      <c r="BO1112" s="429" t="n"/>
      <c r="BP1112" s="431" t="n"/>
      <c r="BQ1112" s="451" t="n"/>
      <c r="BR1112" s="451" t="n"/>
      <c r="BS1112" s="451" t="n"/>
      <c r="BU1112" s="429" t="n">
        <v>199</v>
      </c>
      <c r="BV1112" s="431" t="n">
        <v>199</v>
      </c>
      <c r="BW1112" s="429" t="n"/>
      <c r="BX1112" s="431" t="n"/>
      <c r="BY1112" s="451" t="n"/>
      <c r="BZ1112" s="451">
        <f>'CIRCUIT SIM'!EI202</f>
        <v/>
      </c>
      <c r="CA1112" s="451" t="n"/>
      <c r="CC1112" s="429" t="n">
        <v>199</v>
      </c>
      <c r="CD1112" s="431" t="n">
        <v>199</v>
      </c>
      <c r="CE1112" s="688" t="n"/>
      <c r="CF1112" s="431" t="n"/>
      <c r="CG1112" s="451" t="n"/>
      <c r="CH1112" s="562">
        <f>'CIRCUIT SIM'!LK202</f>
        <v/>
      </c>
      <c r="CI1112" s="451" t="n"/>
      <c r="CK1112" s="429" t="n">
        <v>199</v>
      </c>
      <c r="CL1112" s="431" t="n">
        <v>199</v>
      </c>
      <c r="CM1112" s="688" t="n"/>
      <c r="CN1112" s="431" t="n"/>
      <c r="CO1112" s="451" t="n"/>
      <c r="CP1112" s="451" t="n"/>
      <c r="CQ1112" s="451" t="n"/>
      <c r="CS1112" s="429" t="n">
        <v>199</v>
      </c>
      <c r="CT1112" s="431" t="n">
        <v>199</v>
      </c>
      <c r="CU1112" s="688" t="n"/>
      <c r="CV1112" s="431" t="n"/>
      <c r="CW1112" s="451" t="n"/>
      <c r="CX1112" s="451" t="n"/>
      <c r="CY1112" s="451" t="n"/>
      <c r="DA1112" s="429" t="n">
        <v>199</v>
      </c>
      <c r="DB1112" s="431" t="n">
        <v>199</v>
      </c>
      <c r="DC1112" s="688" t="n"/>
      <c r="DD1112" s="431" t="n"/>
      <c r="DE1112" s="451" t="n"/>
      <c r="DF1112" s="451" t="n"/>
      <c r="DG1112" s="451" t="n"/>
      <c r="DI1112" s="429" t="n">
        <v>199</v>
      </c>
      <c r="DJ1112" s="431" t="n">
        <v>199</v>
      </c>
      <c r="DK1112" s="688" t="n"/>
      <c r="DL1112" s="431" t="n"/>
      <c r="DM1112" s="429" t="n"/>
      <c r="DN1112" s="451" t="n"/>
      <c r="DO1112" s="451" t="n"/>
      <c r="DQ1112" s="429" t="n">
        <v>199</v>
      </c>
      <c r="DR1112" s="431" t="n">
        <v>199</v>
      </c>
      <c r="DS1112" s="688" t="n"/>
      <c r="DT1112" s="431" t="n"/>
      <c r="DU1112" s="451" t="n"/>
      <c r="DV1112" s="451" t="n"/>
      <c r="DW1112" s="451" t="n"/>
      <c r="DY1112" s="429" t="n">
        <v>199</v>
      </c>
      <c r="DZ1112" s="431" t="n">
        <v>199</v>
      </c>
      <c r="EA1112" s="688" t="n"/>
      <c r="EB1112" s="431" t="n"/>
      <c r="EC1112" s="451" t="n"/>
      <c r="ED1112" s="451" t="n"/>
      <c r="EE1112" s="451" t="n"/>
      <c r="EG1112" s="429" t="n">
        <v>199</v>
      </c>
      <c r="EH1112" s="431" t="n">
        <v>199</v>
      </c>
      <c r="EI1112" s="688" t="n"/>
      <c r="EJ1112" s="431" t="n"/>
      <c r="EK1112" s="451" t="n"/>
      <c r="EL1112" s="451" t="n"/>
      <c r="EM1112" s="451" t="n"/>
      <c r="EO1112" s="429" t="n">
        <v>199</v>
      </c>
      <c r="EP1112" s="431" t="n">
        <v>199</v>
      </c>
      <c r="EQ1112" s="688" t="n"/>
      <c r="ER1112" s="431" t="n"/>
      <c r="ES1112" s="451" t="n"/>
      <c r="ET1112" s="451" t="n"/>
      <c r="EU1112" s="451" t="n"/>
      <c r="EW1112" s="429" t="n">
        <v>199</v>
      </c>
      <c r="EX1112" s="431" t="n">
        <v>199</v>
      </c>
      <c r="EY1112" s="688" t="n"/>
      <c r="EZ1112" s="431" t="n"/>
      <c r="FA1112" s="451" t="n"/>
      <c r="FB1112" s="451" t="n"/>
      <c r="FC1112" s="451" t="n"/>
      <c r="FE1112" s="429" t="n">
        <v>199</v>
      </c>
      <c r="FF1112" s="431" t="n">
        <v>199</v>
      </c>
      <c r="FG1112" s="688" t="n"/>
      <c r="FH1112" s="431" t="n"/>
      <c r="FI1112" s="451" t="n"/>
      <c r="FJ1112" s="451" t="n"/>
      <c r="FK1112" s="451" t="n"/>
      <c r="FM1112" s="429" t="n">
        <v>199</v>
      </c>
      <c r="FN1112" s="431" t="n">
        <v>199</v>
      </c>
      <c r="FO1112" s="688" t="n"/>
      <c r="FP1112" s="431" t="n"/>
      <c r="FQ1112" s="451" t="n"/>
      <c r="FR1112" s="451" t="n"/>
      <c r="FS1112" s="451" t="n"/>
      <c r="FU1112" s="429" t="n">
        <v>199</v>
      </c>
      <c r="FV1112" s="431" t="n">
        <v>199</v>
      </c>
      <c r="FW1112" s="688" t="n"/>
      <c r="FX1112" s="431" t="n"/>
      <c r="FY1112" s="451" t="n"/>
      <c r="FZ1112" s="562">
        <f>'CIRCUIT SIM'!JG202</f>
        <v/>
      </c>
      <c r="GA1112" s="451" t="n"/>
      <c r="GC1112" s="429" t="n">
        <v>199</v>
      </c>
      <c r="GD1112" s="431" t="n">
        <v>199</v>
      </c>
      <c r="GE1112" s="688" t="n"/>
      <c r="GF1112" s="431" t="n"/>
      <c r="GG1112" s="451" t="n"/>
      <c r="GH1112" s="451" t="n"/>
      <c r="GI1112" s="451" t="n"/>
      <c r="GK1112" s="429" t="n">
        <v>199</v>
      </c>
      <c r="GL1112" s="431" t="n">
        <v>199</v>
      </c>
      <c r="GM1112" s="688" t="n"/>
      <c r="GN1112" s="431" t="n"/>
      <c r="GO1112" s="451" t="n"/>
      <c r="GP1112" s="451" t="n"/>
      <c r="GQ1112" s="451" t="n"/>
      <c r="GS1112" s="429" t="n">
        <v>199</v>
      </c>
      <c r="GT1112" s="431" t="n">
        <v>199</v>
      </c>
      <c r="GU1112" s="688" t="n"/>
      <c r="GV1112" s="431" t="n"/>
      <c r="GW1112" s="451" t="n"/>
      <c r="GX1112" s="451" t="n"/>
      <c r="GY1112" s="451" t="n"/>
      <c r="HA1112" s="429" t="n">
        <v>199</v>
      </c>
      <c r="HB1112" s="431" t="n">
        <v>199</v>
      </c>
      <c r="HC1112" s="688" t="n"/>
      <c r="HD1112" s="431" t="n"/>
      <c r="HE1112" s="451" t="n"/>
      <c r="HF1112" s="451" t="n"/>
      <c r="HG1112" s="451" t="n"/>
    </row>
    <row r="1113">
      <c r="A1113" s="429" t="n">
        <v>200</v>
      </c>
      <c r="B1113" s="431" t="n">
        <v>200</v>
      </c>
      <c r="C1113" s="688" t="n"/>
      <c r="D1113" s="431" t="n"/>
      <c r="E1113" s="429" t="n"/>
      <c r="F1113" s="429" t="n"/>
      <c r="G1113" s="429" t="n"/>
      <c r="I1113" s="429" t="n">
        <v>200</v>
      </c>
      <c r="J1113" s="431" t="n">
        <v>200</v>
      </c>
      <c r="K1113" s="429" t="n"/>
      <c r="L1113" s="431" t="n"/>
      <c r="M1113" s="451" t="n"/>
      <c r="N1113" s="422">
        <f>'CIRCUIT SIM'!Y203</f>
        <v/>
      </c>
      <c r="O1113" s="451" t="n"/>
      <c r="Q1113" s="429" t="n">
        <v>200</v>
      </c>
      <c r="R1113" s="431" t="n">
        <v>200</v>
      </c>
      <c r="S1113" s="429" t="n"/>
      <c r="T1113" s="431" t="n"/>
      <c r="U1113" s="429" t="n"/>
      <c r="V1113" s="386" t="n"/>
      <c r="W1113" s="451" t="n"/>
      <c r="Y1113" s="429" t="n">
        <v>200</v>
      </c>
      <c r="Z1113" s="431" t="n">
        <v>200</v>
      </c>
      <c r="AA1113" s="429" t="n"/>
      <c r="AB1113" s="431" t="n"/>
      <c r="AC1113" s="451" t="n"/>
      <c r="AD1113" s="451" t="n"/>
      <c r="AE1113" s="451" t="n"/>
      <c r="AG1113" s="429" t="n">
        <v>200</v>
      </c>
      <c r="AH1113" s="431" t="n">
        <v>200</v>
      </c>
      <c r="AI1113" s="429" t="n"/>
      <c r="AJ1113" s="431" t="n"/>
      <c r="AK1113" s="451" t="n"/>
      <c r="AL1113" s="451" t="n"/>
      <c r="AM1113" s="451" t="n"/>
      <c r="AO1113" s="429" t="n">
        <v>200</v>
      </c>
      <c r="AP1113" s="431" t="n">
        <v>200</v>
      </c>
      <c r="AQ1113" s="429" t="n"/>
      <c r="AR1113" s="431" t="n"/>
      <c r="AS1113" s="451" t="n"/>
      <c r="AT1113" s="451" t="n"/>
      <c r="AU1113" s="451" t="n"/>
      <c r="AW1113" s="429" t="n">
        <v>200</v>
      </c>
      <c r="AX1113" s="431" t="n">
        <v>200</v>
      </c>
      <c r="AY1113" s="429" t="n"/>
      <c r="AZ1113" s="431" t="n"/>
      <c r="BA1113" s="451" t="n"/>
      <c r="BB1113" s="451" t="n"/>
      <c r="BC1113" s="451" t="n"/>
      <c r="BE1113" s="429" t="n">
        <v>200</v>
      </c>
      <c r="BF1113" s="431" t="n"/>
      <c r="BG1113" s="429" t="n"/>
      <c r="BH1113" s="431" t="n"/>
      <c r="BI1113" s="451" t="n"/>
      <c r="BJ1113" s="451" t="n"/>
      <c r="BK1113" s="451" t="n"/>
      <c r="BM1113" s="429" t="n">
        <v>200</v>
      </c>
      <c r="BN1113" s="431" t="n">
        <v>200</v>
      </c>
      <c r="BO1113" s="429" t="n"/>
      <c r="BP1113" s="431" t="n"/>
      <c r="BQ1113" s="451" t="n"/>
      <c r="BR1113" s="451" t="n"/>
      <c r="BS1113" s="451" t="n"/>
      <c r="BU1113" s="429" t="n">
        <v>200</v>
      </c>
      <c r="BV1113" s="431" t="n">
        <v>200</v>
      </c>
      <c r="BW1113" s="429" t="n"/>
      <c r="BX1113" s="431" t="n"/>
      <c r="BY1113" s="451" t="n"/>
      <c r="BZ1113" s="451">
        <f>'CIRCUIT SIM'!EI203</f>
        <v/>
      </c>
      <c r="CA1113" s="451" t="n"/>
      <c r="CC1113" s="429" t="n">
        <v>200</v>
      </c>
      <c r="CD1113" s="431" t="n">
        <v>200</v>
      </c>
      <c r="CE1113" s="688" t="n"/>
      <c r="CF1113" s="431" t="n"/>
      <c r="CG1113" s="451" t="n"/>
      <c r="CH1113" s="562">
        <f>'CIRCUIT SIM'!LK203</f>
        <v/>
      </c>
      <c r="CI1113" s="451" t="n"/>
      <c r="CK1113" s="429" t="n">
        <v>200</v>
      </c>
      <c r="CL1113" s="431" t="n">
        <v>200</v>
      </c>
      <c r="CM1113" s="688" t="n"/>
      <c r="CN1113" s="431" t="n"/>
      <c r="CO1113" s="451" t="n"/>
      <c r="CP1113" s="451" t="n"/>
      <c r="CQ1113" s="451" t="n"/>
      <c r="CS1113" s="429" t="n">
        <v>200</v>
      </c>
      <c r="CT1113" s="431" t="n">
        <v>200</v>
      </c>
      <c r="CU1113" s="688" t="n"/>
      <c r="CV1113" s="431" t="n"/>
      <c r="CW1113" s="451" t="n"/>
      <c r="CX1113" s="451" t="n"/>
      <c r="CY1113" s="451" t="n"/>
      <c r="DA1113" s="429" t="n">
        <v>200</v>
      </c>
      <c r="DB1113" s="431" t="n">
        <v>200</v>
      </c>
      <c r="DC1113" s="688" t="n"/>
      <c r="DD1113" s="431" t="n"/>
      <c r="DE1113" s="451" t="n"/>
      <c r="DF1113" s="451" t="n"/>
      <c r="DG1113" s="451" t="n"/>
      <c r="DI1113" s="429" t="n">
        <v>200</v>
      </c>
      <c r="DJ1113" s="431" t="n">
        <v>200</v>
      </c>
      <c r="DK1113" s="688" t="n"/>
      <c r="DL1113" s="431" t="n"/>
      <c r="DM1113" s="429" t="n"/>
      <c r="DN1113" s="451" t="n"/>
      <c r="DO1113" s="451" t="n"/>
      <c r="DQ1113" s="429" t="n">
        <v>200</v>
      </c>
      <c r="DR1113" s="431" t="n">
        <v>200</v>
      </c>
      <c r="DS1113" s="688" t="n"/>
      <c r="DT1113" s="431" t="n"/>
      <c r="DU1113" s="451" t="n"/>
      <c r="DV1113" s="451" t="n"/>
      <c r="DW1113" s="451" t="n"/>
      <c r="DY1113" s="429" t="n">
        <v>200</v>
      </c>
      <c r="DZ1113" s="431" t="n">
        <v>200</v>
      </c>
      <c r="EA1113" s="688" t="n"/>
      <c r="EB1113" s="431" t="n"/>
      <c r="EC1113" s="451" t="n"/>
      <c r="ED1113" s="451" t="n"/>
      <c r="EE1113" s="451" t="n"/>
      <c r="EG1113" s="429" t="n">
        <v>200</v>
      </c>
      <c r="EH1113" s="431" t="n">
        <v>200</v>
      </c>
      <c r="EI1113" s="688" t="n"/>
      <c r="EJ1113" s="431" t="n"/>
      <c r="EK1113" s="451" t="n"/>
      <c r="EL1113" s="451" t="n"/>
      <c r="EM1113" s="451" t="n"/>
      <c r="EO1113" s="429" t="n">
        <v>200</v>
      </c>
      <c r="EP1113" s="431" t="n">
        <v>200</v>
      </c>
      <c r="EQ1113" s="688" t="n"/>
      <c r="ER1113" s="431" t="n"/>
      <c r="ES1113" s="451" t="n"/>
      <c r="ET1113" s="451" t="n"/>
      <c r="EU1113" s="451" t="n"/>
      <c r="EW1113" s="429" t="n">
        <v>200</v>
      </c>
      <c r="EX1113" s="431" t="n">
        <v>200</v>
      </c>
      <c r="EY1113" s="688" t="n"/>
      <c r="EZ1113" s="431" t="n"/>
      <c r="FA1113" s="451" t="n"/>
      <c r="FB1113" s="451" t="n"/>
      <c r="FC1113" s="451" t="n"/>
      <c r="FE1113" s="429" t="n">
        <v>200</v>
      </c>
      <c r="FF1113" s="431" t="n">
        <v>200</v>
      </c>
      <c r="FG1113" s="688" t="n"/>
      <c r="FH1113" s="431" t="n"/>
      <c r="FI1113" s="451" t="n"/>
      <c r="FJ1113" s="451" t="n"/>
      <c r="FK1113" s="451" t="n"/>
      <c r="FM1113" s="429" t="n">
        <v>200</v>
      </c>
      <c r="FN1113" s="431" t="n">
        <v>200</v>
      </c>
      <c r="FO1113" s="688" t="n"/>
      <c r="FP1113" s="431" t="n"/>
      <c r="FQ1113" s="451" t="n"/>
      <c r="FR1113" s="451" t="n"/>
      <c r="FS1113" s="451" t="n"/>
      <c r="FU1113" s="429" t="n">
        <v>200</v>
      </c>
      <c r="FV1113" s="431" t="n">
        <v>200</v>
      </c>
      <c r="FW1113" s="688" t="n"/>
      <c r="FX1113" s="431" t="n"/>
      <c r="FY1113" s="451" t="n"/>
      <c r="FZ1113" s="562">
        <f>'CIRCUIT SIM'!JG203</f>
        <v/>
      </c>
      <c r="GA1113" s="451" t="n"/>
      <c r="GC1113" s="429" t="n">
        <v>200</v>
      </c>
      <c r="GD1113" s="431" t="n">
        <v>200</v>
      </c>
      <c r="GE1113" s="688" t="n"/>
      <c r="GF1113" s="431" t="n"/>
      <c r="GG1113" s="451" t="n"/>
      <c r="GH1113" s="451" t="n"/>
      <c r="GI1113" s="451" t="n"/>
      <c r="GK1113" s="429" t="n">
        <v>200</v>
      </c>
      <c r="GL1113" s="431" t="n">
        <v>200</v>
      </c>
      <c r="GM1113" s="688" t="n"/>
      <c r="GN1113" s="431" t="n"/>
      <c r="GO1113" s="451" t="n"/>
      <c r="GP1113" s="451" t="n"/>
      <c r="GQ1113" s="451" t="n"/>
      <c r="GS1113" s="429" t="n">
        <v>200</v>
      </c>
      <c r="GT1113" s="431" t="n">
        <v>200</v>
      </c>
      <c r="GU1113" s="688" t="n"/>
      <c r="GV1113" s="431" t="n"/>
      <c r="GW1113" s="451" t="n"/>
      <c r="GX1113" s="451" t="n"/>
      <c r="GY1113" s="451" t="n"/>
      <c r="HA1113" s="429" t="n">
        <v>200</v>
      </c>
      <c r="HB1113" s="431" t="n">
        <v>200</v>
      </c>
      <c r="HC1113" s="688" t="n"/>
      <c r="HD1113" s="431" t="n"/>
      <c r="HE1113" s="451" t="n"/>
      <c r="HF1113" s="451" t="n"/>
      <c r="HG1113" s="451" t="n"/>
    </row>
    <row r="1114">
      <c r="A1114" s="429" t="n">
        <v>201</v>
      </c>
      <c r="B1114" s="431" t="n">
        <v>201</v>
      </c>
      <c r="C1114" s="688" t="n"/>
      <c r="D1114" s="431" t="n"/>
      <c r="E1114" s="429" t="n"/>
      <c r="F1114" s="429" t="n"/>
      <c r="G1114" s="429" t="n"/>
      <c r="I1114" s="429" t="n">
        <v>201</v>
      </c>
      <c r="J1114" s="431" t="n">
        <v>201</v>
      </c>
      <c r="K1114" s="429" t="n"/>
      <c r="L1114" s="431" t="n"/>
      <c r="M1114" s="451" t="n"/>
      <c r="N1114" s="422">
        <f>'CIRCUIT SIM'!Y204</f>
        <v/>
      </c>
      <c r="O1114" s="451" t="n"/>
      <c r="Q1114" s="429" t="n">
        <v>201</v>
      </c>
      <c r="R1114" s="431" t="n">
        <v>201</v>
      </c>
      <c r="S1114" s="429" t="n"/>
      <c r="T1114" s="431" t="n"/>
      <c r="U1114" s="429" t="n"/>
      <c r="V1114" s="386" t="n"/>
      <c r="W1114" s="451" t="n"/>
      <c r="Y1114" s="429" t="n">
        <v>201</v>
      </c>
      <c r="Z1114" s="431" t="n">
        <v>201</v>
      </c>
      <c r="AA1114" s="429" t="n"/>
      <c r="AB1114" s="431" t="n"/>
      <c r="AC1114" s="451" t="n"/>
      <c r="AD1114" s="451" t="n"/>
      <c r="AE1114" s="451" t="n"/>
      <c r="AG1114" s="429" t="n">
        <v>201</v>
      </c>
      <c r="AH1114" s="431" t="n">
        <v>201</v>
      </c>
      <c r="AI1114" s="429" t="n"/>
      <c r="AJ1114" s="431" t="n"/>
      <c r="AK1114" s="451" t="n"/>
      <c r="AL1114" s="451" t="n"/>
      <c r="AM1114" s="451" t="n"/>
      <c r="AO1114" s="429" t="n">
        <v>201</v>
      </c>
      <c r="AP1114" s="431" t="n">
        <v>201</v>
      </c>
      <c r="AQ1114" s="429" t="n"/>
      <c r="AR1114" s="431" t="n"/>
      <c r="AS1114" s="451" t="n"/>
      <c r="AT1114" s="451" t="n"/>
      <c r="AU1114" s="451" t="n"/>
      <c r="AW1114" s="429" t="n">
        <v>201</v>
      </c>
      <c r="AX1114" s="431" t="n">
        <v>201</v>
      </c>
      <c r="AY1114" s="429" t="n"/>
      <c r="AZ1114" s="431" t="n"/>
      <c r="BA1114" s="451" t="n"/>
      <c r="BB1114" s="451" t="n"/>
      <c r="BC1114" s="451" t="n"/>
      <c r="BE1114" s="429" t="n">
        <v>201</v>
      </c>
      <c r="BF1114" s="431" t="n"/>
      <c r="BG1114" s="429" t="n"/>
      <c r="BH1114" s="431" t="n"/>
      <c r="BI1114" s="451" t="n"/>
      <c r="BJ1114" s="451" t="n"/>
      <c r="BK1114" s="451" t="n"/>
      <c r="BM1114" s="429" t="n">
        <v>201</v>
      </c>
      <c r="BN1114" s="431" t="n">
        <v>201</v>
      </c>
      <c r="BO1114" s="429" t="n"/>
      <c r="BP1114" s="431" t="n"/>
      <c r="BQ1114" s="451" t="n"/>
      <c r="BR1114" s="451" t="n"/>
      <c r="BS1114" s="451" t="n"/>
      <c r="BU1114" s="429" t="n">
        <v>201</v>
      </c>
      <c r="BV1114" s="431" t="n">
        <v>201</v>
      </c>
      <c r="BW1114" s="429" t="n"/>
      <c r="BX1114" s="431" t="n"/>
      <c r="BY1114" s="451" t="n"/>
      <c r="BZ1114" s="451">
        <f>'CIRCUIT SIM'!EI204</f>
        <v/>
      </c>
      <c r="CA1114" s="451" t="n"/>
      <c r="CC1114" s="429" t="n">
        <v>201</v>
      </c>
      <c r="CD1114" s="431" t="n">
        <v>201</v>
      </c>
      <c r="CE1114" s="688" t="n"/>
      <c r="CF1114" s="431" t="n"/>
      <c r="CG1114" s="451" t="n"/>
      <c r="CH1114" s="562">
        <f>'CIRCUIT SIM'!LK204</f>
        <v/>
      </c>
      <c r="CI1114" s="451" t="n"/>
      <c r="CK1114" s="429" t="n">
        <v>201</v>
      </c>
      <c r="CL1114" s="431" t="n">
        <v>201</v>
      </c>
      <c r="CM1114" s="688" t="n"/>
      <c r="CN1114" s="431" t="n"/>
      <c r="CO1114" s="451" t="n"/>
      <c r="CP1114" s="451" t="n"/>
      <c r="CQ1114" s="451" t="n"/>
      <c r="CS1114" s="429" t="n">
        <v>201</v>
      </c>
      <c r="CT1114" s="431" t="n">
        <v>201</v>
      </c>
      <c r="CU1114" s="688" t="n"/>
      <c r="CV1114" s="431" t="n"/>
      <c r="CW1114" s="451" t="n"/>
      <c r="CX1114" s="451" t="n"/>
      <c r="CY1114" s="451" t="n"/>
      <c r="DA1114" s="429" t="n">
        <v>201</v>
      </c>
      <c r="DB1114" s="431" t="n">
        <v>201</v>
      </c>
      <c r="DC1114" s="688" t="n"/>
      <c r="DD1114" s="431" t="n"/>
      <c r="DE1114" s="451" t="n"/>
      <c r="DF1114" s="451" t="n"/>
      <c r="DG1114" s="451" t="n"/>
      <c r="DI1114" s="429" t="n">
        <v>201</v>
      </c>
      <c r="DJ1114" s="431" t="n">
        <v>201</v>
      </c>
      <c r="DK1114" s="688" t="n"/>
      <c r="DL1114" s="431" t="n"/>
      <c r="DM1114" s="429" t="n"/>
      <c r="DN1114" s="451" t="n"/>
      <c r="DO1114" s="451" t="n"/>
      <c r="DQ1114" s="429" t="n">
        <v>201</v>
      </c>
      <c r="DR1114" s="431" t="n">
        <v>201</v>
      </c>
      <c r="DS1114" s="688" t="n"/>
      <c r="DT1114" s="431" t="n"/>
      <c r="DU1114" s="451" t="n"/>
      <c r="DV1114" s="451" t="n"/>
      <c r="DW1114" s="451" t="n"/>
      <c r="DY1114" s="429" t="n">
        <v>201</v>
      </c>
      <c r="DZ1114" s="431" t="n">
        <v>201</v>
      </c>
      <c r="EA1114" s="688" t="n"/>
      <c r="EB1114" s="431" t="n"/>
      <c r="EC1114" s="451" t="n"/>
      <c r="ED1114" s="451" t="n"/>
      <c r="EE1114" s="451" t="n"/>
      <c r="EG1114" s="429" t="n">
        <v>201</v>
      </c>
      <c r="EH1114" s="431" t="n">
        <v>201</v>
      </c>
      <c r="EI1114" s="688" t="n"/>
      <c r="EJ1114" s="431" t="n"/>
      <c r="EK1114" s="451" t="n"/>
      <c r="EL1114" s="451" t="n"/>
      <c r="EM1114" s="451" t="n"/>
      <c r="EO1114" s="429" t="n">
        <v>201</v>
      </c>
      <c r="EP1114" s="431" t="n">
        <v>201</v>
      </c>
      <c r="EQ1114" s="688" t="n"/>
      <c r="ER1114" s="431" t="n"/>
      <c r="ES1114" s="451" t="n"/>
      <c r="ET1114" s="451" t="n"/>
      <c r="EU1114" s="451" t="n"/>
      <c r="EW1114" s="429" t="n">
        <v>201</v>
      </c>
      <c r="EX1114" s="431" t="n">
        <v>201</v>
      </c>
      <c r="EY1114" s="688" t="n"/>
      <c r="EZ1114" s="431" t="n"/>
      <c r="FA1114" s="451" t="n"/>
      <c r="FB1114" s="451" t="n"/>
      <c r="FC1114" s="451" t="n"/>
      <c r="FE1114" s="429" t="n">
        <v>201</v>
      </c>
      <c r="FF1114" s="431" t="n">
        <v>201</v>
      </c>
      <c r="FG1114" s="688" t="n"/>
      <c r="FH1114" s="431" t="n"/>
      <c r="FI1114" s="451" t="n"/>
      <c r="FJ1114" s="451" t="n"/>
      <c r="FK1114" s="451" t="n"/>
      <c r="FM1114" s="429" t="n">
        <v>201</v>
      </c>
      <c r="FN1114" s="431" t="n">
        <v>201</v>
      </c>
      <c r="FO1114" s="688" t="n"/>
      <c r="FP1114" s="431" t="n"/>
      <c r="FQ1114" s="451" t="n"/>
      <c r="FR1114" s="451" t="n"/>
      <c r="FS1114" s="451" t="n"/>
      <c r="FU1114" s="429" t="n">
        <v>201</v>
      </c>
      <c r="FV1114" s="431" t="n">
        <v>201</v>
      </c>
      <c r="FW1114" s="688" t="n"/>
      <c r="FX1114" s="431" t="n"/>
      <c r="FY1114" s="451" t="n"/>
      <c r="FZ1114" s="562">
        <f>'CIRCUIT SIM'!JG204</f>
        <v/>
      </c>
      <c r="GA1114" s="451" t="n"/>
      <c r="GC1114" s="429" t="n">
        <v>201</v>
      </c>
      <c r="GD1114" s="431" t="n">
        <v>201</v>
      </c>
      <c r="GE1114" s="688" t="n"/>
      <c r="GF1114" s="431" t="n"/>
      <c r="GG1114" s="451" t="n"/>
      <c r="GH1114" s="451" t="n"/>
      <c r="GI1114" s="451" t="n"/>
      <c r="GK1114" s="429" t="n">
        <v>201</v>
      </c>
      <c r="GL1114" s="431" t="n">
        <v>201</v>
      </c>
      <c r="GM1114" s="688" t="n"/>
      <c r="GN1114" s="431" t="n"/>
      <c r="GO1114" s="451" t="n"/>
      <c r="GP1114" s="451" t="n"/>
      <c r="GQ1114" s="451" t="n"/>
      <c r="GS1114" s="429" t="n">
        <v>201</v>
      </c>
      <c r="GT1114" s="431" t="n">
        <v>201</v>
      </c>
      <c r="GU1114" s="688" t="n"/>
      <c r="GV1114" s="431" t="n"/>
      <c r="GW1114" s="451" t="n"/>
      <c r="GX1114" s="451" t="n"/>
      <c r="GY1114" s="451" t="n"/>
      <c r="HA1114" s="429" t="n">
        <v>201</v>
      </c>
      <c r="HB1114" s="431" t="n">
        <v>201</v>
      </c>
      <c r="HC1114" s="688" t="n"/>
      <c r="HD1114" s="431" t="n"/>
      <c r="HE1114" s="451" t="n"/>
      <c r="HF1114" s="451" t="n"/>
      <c r="HG1114" s="451" t="n"/>
    </row>
    <row r="1115">
      <c r="A1115" s="429" t="n">
        <v>202</v>
      </c>
      <c r="B1115" s="431" t="n">
        <v>202</v>
      </c>
      <c r="C1115" s="688" t="n"/>
      <c r="D1115" s="431" t="n"/>
      <c r="E1115" s="429" t="n"/>
      <c r="F1115" s="429" t="n"/>
      <c r="G1115" s="429" t="n"/>
      <c r="I1115" s="429" t="n">
        <v>202</v>
      </c>
      <c r="J1115" s="431" t="n">
        <v>202</v>
      </c>
      <c r="K1115" s="429" t="n"/>
      <c r="L1115" s="431" t="n"/>
      <c r="M1115" s="451" t="n"/>
      <c r="N1115" s="422">
        <f>'CIRCUIT SIM'!Y205</f>
        <v/>
      </c>
      <c r="O1115" s="451" t="n"/>
      <c r="Q1115" s="429" t="n">
        <v>202</v>
      </c>
      <c r="R1115" s="431" t="n">
        <v>202</v>
      </c>
      <c r="S1115" s="429" t="n"/>
      <c r="T1115" s="431" t="n"/>
      <c r="U1115" s="429" t="n"/>
      <c r="V1115" s="386" t="n"/>
      <c r="W1115" s="451" t="n"/>
      <c r="Y1115" s="429" t="n">
        <v>202</v>
      </c>
      <c r="Z1115" s="431" t="n">
        <v>202</v>
      </c>
      <c r="AA1115" s="429" t="n"/>
      <c r="AB1115" s="431" t="n"/>
      <c r="AC1115" s="451" t="n"/>
      <c r="AD1115" s="451" t="n"/>
      <c r="AE1115" s="451" t="n"/>
      <c r="AG1115" s="429" t="n">
        <v>202</v>
      </c>
      <c r="AH1115" s="431" t="n">
        <v>202</v>
      </c>
      <c r="AI1115" s="429" t="n"/>
      <c r="AJ1115" s="431" t="n"/>
      <c r="AK1115" s="451" t="n"/>
      <c r="AL1115" s="451" t="n"/>
      <c r="AM1115" s="451" t="n"/>
      <c r="AO1115" s="429" t="n">
        <v>202</v>
      </c>
      <c r="AP1115" s="431" t="n">
        <v>202</v>
      </c>
      <c r="AQ1115" s="429" t="n"/>
      <c r="AR1115" s="431" t="n"/>
      <c r="AS1115" s="451" t="n"/>
      <c r="AT1115" s="451" t="n"/>
      <c r="AU1115" s="451" t="n"/>
      <c r="AW1115" s="429" t="n">
        <v>202</v>
      </c>
      <c r="AX1115" s="431" t="n">
        <v>202</v>
      </c>
      <c r="AY1115" s="429" t="n"/>
      <c r="AZ1115" s="431" t="n"/>
      <c r="BA1115" s="451" t="n"/>
      <c r="BB1115" s="451" t="n"/>
      <c r="BC1115" s="451" t="n"/>
      <c r="BE1115" s="429" t="n">
        <v>202</v>
      </c>
      <c r="BF1115" s="431" t="n"/>
      <c r="BG1115" s="429" t="n"/>
      <c r="BH1115" s="431" t="n"/>
      <c r="BI1115" s="451" t="n"/>
      <c r="BJ1115" s="451" t="n"/>
      <c r="BK1115" s="451" t="n"/>
      <c r="BM1115" s="429" t="n">
        <v>202</v>
      </c>
      <c r="BN1115" s="431" t="n">
        <v>202</v>
      </c>
      <c r="BO1115" s="429" t="n"/>
      <c r="BP1115" s="431" t="n"/>
      <c r="BQ1115" s="451" t="n"/>
      <c r="BR1115" s="451" t="n"/>
      <c r="BS1115" s="451" t="n"/>
      <c r="BU1115" s="429" t="n">
        <v>202</v>
      </c>
      <c r="BV1115" s="431" t="n">
        <v>202</v>
      </c>
      <c r="BW1115" s="429" t="n"/>
      <c r="BX1115" s="431" t="n"/>
      <c r="BY1115" s="451" t="n"/>
      <c r="BZ1115" s="451">
        <f>'CIRCUIT SIM'!EI205</f>
        <v/>
      </c>
      <c r="CA1115" s="451" t="n"/>
      <c r="CC1115" s="429" t="n">
        <v>202</v>
      </c>
      <c r="CD1115" s="431" t="n">
        <v>202</v>
      </c>
      <c r="CE1115" s="688" t="n"/>
      <c r="CF1115" s="431" t="n"/>
      <c r="CG1115" s="451" t="n"/>
      <c r="CH1115" s="562">
        <f>'CIRCUIT SIM'!LK205</f>
        <v/>
      </c>
      <c r="CI1115" s="451" t="n"/>
      <c r="CK1115" s="429" t="n">
        <v>202</v>
      </c>
      <c r="CL1115" s="431" t="n">
        <v>202</v>
      </c>
      <c r="CM1115" s="688" t="n"/>
      <c r="CN1115" s="431" t="n"/>
      <c r="CO1115" s="451" t="n"/>
      <c r="CP1115" s="451" t="n"/>
      <c r="CQ1115" s="451" t="n"/>
      <c r="CS1115" s="429" t="n">
        <v>202</v>
      </c>
      <c r="CT1115" s="431" t="n">
        <v>202</v>
      </c>
      <c r="CU1115" s="688" t="n"/>
      <c r="CV1115" s="431" t="n"/>
      <c r="CW1115" s="451" t="n"/>
      <c r="CX1115" s="451" t="n"/>
      <c r="CY1115" s="451" t="n"/>
      <c r="DA1115" s="429" t="n">
        <v>202</v>
      </c>
      <c r="DB1115" s="431" t="n">
        <v>202</v>
      </c>
      <c r="DC1115" s="688" t="n"/>
      <c r="DD1115" s="431" t="n"/>
      <c r="DE1115" s="451" t="n"/>
      <c r="DF1115" s="451" t="n"/>
      <c r="DG1115" s="451" t="n"/>
      <c r="DI1115" s="429" t="n">
        <v>202</v>
      </c>
      <c r="DJ1115" s="431" t="n">
        <v>202</v>
      </c>
      <c r="DK1115" s="688" t="n"/>
      <c r="DL1115" s="431" t="n"/>
      <c r="DM1115" s="429" t="n"/>
      <c r="DN1115" s="451" t="n"/>
      <c r="DO1115" s="451" t="n"/>
      <c r="DQ1115" s="429" t="n">
        <v>202</v>
      </c>
      <c r="DR1115" s="431" t="n">
        <v>202</v>
      </c>
      <c r="DS1115" s="688" t="n"/>
      <c r="DT1115" s="431" t="n"/>
      <c r="DU1115" s="451" t="n"/>
      <c r="DV1115" s="451" t="n"/>
      <c r="DW1115" s="451" t="n"/>
      <c r="DY1115" s="429" t="n">
        <v>202</v>
      </c>
      <c r="DZ1115" s="431" t="n">
        <v>202</v>
      </c>
      <c r="EA1115" s="688" t="n"/>
      <c r="EB1115" s="431" t="n"/>
      <c r="EC1115" s="451" t="n"/>
      <c r="ED1115" s="451" t="n"/>
      <c r="EE1115" s="451" t="n"/>
      <c r="EG1115" s="429" t="n">
        <v>202</v>
      </c>
      <c r="EH1115" s="431" t="n">
        <v>202</v>
      </c>
      <c r="EI1115" s="688" t="n"/>
      <c r="EJ1115" s="431" t="n"/>
      <c r="EK1115" s="451" t="n"/>
      <c r="EL1115" s="451" t="n"/>
      <c r="EM1115" s="451" t="n"/>
      <c r="EO1115" s="429" t="n">
        <v>202</v>
      </c>
      <c r="EP1115" s="431" t="n">
        <v>202</v>
      </c>
      <c r="EQ1115" s="688" t="n"/>
      <c r="ER1115" s="431" t="n"/>
      <c r="ES1115" s="451" t="n"/>
      <c r="ET1115" s="451" t="n"/>
      <c r="EU1115" s="451" t="n"/>
      <c r="EW1115" s="429" t="n">
        <v>202</v>
      </c>
      <c r="EX1115" s="431" t="n">
        <v>202</v>
      </c>
      <c r="EY1115" s="688" t="n"/>
      <c r="EZ1115" s="431" t="n"/>
      <c r="FA1115" s="451" t="n"/>
      <c r="FB1115" s="451" t="n"/>
      <c r="FC1115" s="451" t="n"/>
      <c r="FE1115" s="429" t="n">
        <v>202</v>
      </c>
      <c r="FF1115" s="431" t="n">
        <v>202</v>
      </c>
      <c r="FG1115" s="688" t="n"/>
      <c r="FH1115" s="431" t="n"/>
      <c r="FI1115" s="451" t="n"/>
      <c r="FJ1115" s="451" t="n"/>
      <c r="FK1115" s="451" t="n"/>
      <c r="FM1115" s="429" t="n">
        <v>202</v>
      </c>
      <c r="FN1115" s="431" t="n">
        <v>202</v>
      </c>
      <c r="FO1115" s="688" t="n"/>
      <c r="FP1115" s="431" t="n"/>
      <c r="FQ1115" s="451" t="n"/>
      <c r="FR1115" s="451" t="n"/>
      <c r="FS1115" s="451" t="n"/>
      <c r="FU1115" s="429" t="n">
        <v>202</v>
      </c>
      <c r="FV1115" s="431" t="n">
        <v>202</v>
      </c>
      <c r="FW1115" s="688" t="n"/>
      <c r="FX1115" s="431" t="n"/>
      <c r="FY1115" s="451" t="n"/>
      <c r="FZ1115" s="562">
        <f>'CIRCUIT SIM'!JG205</f>
        <v/>
      </c>
      <c r="GA1115" s="451" t="n"/>
      <c r="GC1115" s="429" t="n">
        <v>202</v>
      </c>
      <c r="GD1115" s="431" t="n">
        <v>202</v>
      </c>
      <c r="GE1115" s="688" t="n"/>
      <c r="GF1115" s="431" t="n"/>
      <c r="GG1115" s="451" t="n"/>
      <c r="GH1115" s="451" t="n"/>
      <c r="GI1115" s="451" t="n"/>
      <c r="GK1115" s="429" t="n">
        <v>202</v>
      </c>
      <c r="GL1115" s="431" t="n">
        <v>202</v>
      </c>
      <c r="GM1115" s="688" t="n"/>
      <c r="GN1115" s="431" t="n"/>
      <c r="GO1115" s="451" t="n"/>
      <c r="GP1115" s="451" t="n"/>
      <c r="GQ1115" s="451" t="n"/>
      <c r="GS1115" s="429" t="n">
        <v>202</v>
      </c>
      <c r="GT1115" s="431" t="n">
        <v>202</v>
      </c>
      <c r="GU1115" s="688" t="n"/>
      <c r="GV1115" s="431" t="n"/>
      <c r="GW1115" s="451" t="n"/>
      <c r="GX1115" s="451" t="n"/>
      <c r="GY1115" s="451" t="n"/>
      <c r="HA1115" s="429" t="n">
        <v>202</v>
      </c>
      <c r="HB1115" s="431" t="n">
        <v>202</v>
      </c>
      <c r="HC1115" s="688" t="n"/>
      <c r="HD1115" s="431" t="n"/>
      <c r="HE1115" s="451" t="n"/>
      <c r="HF1115" s="451" t="n"/>
      <c r="HG1115" s="451" t="n"/>
    </row>
    <row r="1116">
      <c r="A1116" s="429" t="n">
        <v>203</v>
      </c>
      <c r="B1116" s="431" t="n">
        <v>203</v>
      </c>
      <c r="C1116" s="688" t="n"/>
      <c r="D1116" s="431" t="n"/>
      <c r="E1116" s="429" t="n"/>
      <c r="F1116" s="429" t="n"/>
      <c r="G1116" s="429" t="n"/>
      <c r="I1116" s="429" t="n">
        <v>203</v>
      </c>
      <c r="J1116" s="431" t="n">
        <v>203</v>
      </c>
      <c r="K1116" s="429" t="n"/>
      <c r="L1116" s="431" t="n"/>
      <c r="M1116" s="451" t="n"/>
      <c r="N1116" s="422">
        <f>'CIRCUIT SIM'!Y206</f>
        <v/>
      </c>
      <c r="O1116" s="451" t="n"/>
      <c r="Q1116" s="429" t="n">
        <v>203</v>
      </c>
      <c r="R1116" s="431" t="n">
        <v>203</v>
      </c>
      <c r="S1116" s="429" t="n"/>
      <c r="T1116" s="431" t="n"/>
      <c r="U1116" s="429" t="n"/>
      <c r="V1116" s="386" t="n"/>
      <c r="W1116" s="451" t="n"/>
      <c r="Y1116" s="429" t="n">
        <v>203</v>
      </c>
      <c r="Z1116" s="431" t="n">
        <v>203</v>
      </c>
      <c r="AA1116" s="429" t="n"/>
      <c r="AB1116" s="431" t="n"/>
      <c r="AC1116" s="451" t="n"/>
      <c r="AD1116" s="451" t="n"/>
      <c r="AE1116" s="451" t="n"/>
      <c r="AG1116" s="429" t="n">
        <v>203</v>
      </c>
      <c r="AH1116" s="431" t="n">
        <v>203</v>
      </c>
      <c r="AI1116" s="429" t="n"/>
      <c r="AJ1116" s="431" t="n"/>
      <c r="AK1116" s="451" t="n"/>
      <c r="AL1116" s="451" t="n"/>
      <c r="AM1116" s="451" t="n"/>
      <c r="AO1116" s="429" t="n">
        <v>203</v>
      </c>
      <c r="AP1116" s="431" t="n">
        <v>203</v>
      </c>
      <c r="AQ1116" s="429" t="n"/>
      <c r="AR1116" s="431" t="n"/>
      <c r="AS1116" s="451" t="n"/>
      <c r="AT1116" s="451" t="n"/>
      <c r="AU1116" s="451" t="n"/>
      <c r="AW1116" s="429" t="n">
        <v>203</v>
      </c>
      <c r="AX1116" s="431" t="n">
        <v>203</v>
      </c>
      <c r="AY1116" s="429" t="n"/>
      <c r="AZ1116" s="431" t="n"/>
      <c r="BA1116" s="451" t="n"/>
      <c r="BB1116" s="451" t="n"/>
      <c r="BC1116" s="451" t="n"/>
      <c r="BE1116" s="429" t="n">
        <v>203</v>
      </c>
      <c r="BF1116" s="431" t="n"/>
      <c r="BG1116" s="429" t="n"/>
      <c r="BH1116" s="431" t="n"/>
      <c r="BI1116" s="451" t="n"/>
      <c r="BJ1116" s="451" t="n"/>
      <c r="BK1116" s="451" t="n"/>
      <c r="BM1116" s="429" t="n">
        <v>203</v>
      </c>
      <c r="BN1116" s="431" t="n">
        <v>203</v>
      </c>
      <c r="BO1116" s="429" t="n"/>
      <c r="BP1116" s="431" t="n"/>
      <c r="BQ1116" s="451" t="n"/>
      <c r="BR1116" s="451" t="n"/>
      <c r="BS1116" s="451" t="n"/>
      <c r="BU1116" s="429" t="n">
        <v>203</v>
      </c>
      <c r="BV1116" s="431" t="n">
        <v>203</v>
      </c>
      <c r="BW1116" s="429" t="n"/>
      <c r="BX1116" s="431" t="n"/>
      <c r="BY1116" s="451" t="n"/>
      <c r="BZ1116" s="451">
        <f>'CIRCUIT SIM'!EI206</f>
        <v/>
      </c>
      <c r="CA1116" s="451" t="n"/>
      <c r="CC1116" s="429" t="n">
        <v>203</v>
      </c>
      <c r="CD1116" s="431" t="n">
        <v>203</v>
      </c>
      <c r="CE1116" s="688" t="n"/>
      <c r="CF1116" s="431" t="n"/>
      <c r="CG1116" s="451" t="n"/>
      <c r="CH1116" s="562">
        <f>'CIRCUIT SIM'!LK206</f>
        <v/>
      </c>
      <c r="CI1116" s="451" t="n"/>
      <c r="CK1116" s="429" t="n">
        <v>203</v>
      </c>
      <c r="CL1116" s="431" t="n">
        <v>203</v>
      </c>
      <c r="CM1116" s="688" t="n"/>
      <c r="CN1116" s="431" t="n"/>
      <c r="CO1116" s="451" t="n"/>
      <c r="CP1116" s="451" t="n"/>
      <c r="CQ1116" s="451" t="n"/>
      <c r="CS1116" s="429" t="n">
        <v>203</v>
      </c>
      <c r="CT1116" s="431" t="n">
        <v>203</v>
      </c>
      <c r="CU1116" s="688" t="n"/>
      <c r="CV1116" s="431" t="n"/>
      <c r="CW1116" s="451" t="n"/>
      <c r="CX1116" s="451" t="n"/>
      <c r="CY1116" s="451" t="n"/>
      <c r="DA1116" s="429" t="n">
        <v>203</v>
      </c>
      <c r="DB1116" s="431" t="n">
        <v>203</v>
      </c>
      <c r="DC1116" s="688" t="n"/>
      <c r="DD1116" s="431" t="n"/>
      <c r="DE1116" s="451" t="n"/>
      <c r="DF1116" s="451" t="n"/>
      <c r="DG1116" s="451" t="n"/>
      <c r="DI1116" s="429" t="n">
        <v>203</v>
      </c>
      <c r="DJ1116" s="431" t="n">
        <v>203</v>
      </c>
      <c r="DK1116" s="688" t="n"/>
      <c r="DL1116" s="431" t="n"/>
      <c r="DM1116" s="429" t="n"/>
      <c r="DN1116" s="451" t="n"/>
      <c r="DO1116" s="451" t="n"/>
      <c r="DQ1116" s="429" t="n">
        <v>203</v>
      </c>
      <c r="DR1116" s="431" t="n">
        <v>203</v>
      </c>
      <c r="DS1116" s="688" t="n"/>
      <c r="DT1116" s="431" t="n"/>
      <c r="DU1116" s="451" t="n"/>
      <c r="DV1116" s="451" t="n"/>
      <c r="DW1116" s="451" t="n"/>
      <c r="DY1116" s="429" t="n">
        <v>203</v>
      </c>
      <c r="DZ1116" s="431" t="n">
        <v>203</v>
      </c>
      <c r="EA1116" s="688" t="n"/>
      <c r="EB1116" s="431" t="n"/>
      <c r="EC1116" s="451" t="n"/>
      <c r="ED1116" s="451" t="n"/>
      <c r="EE1116" s="451" t="n"/>
      <c r="EG1116" s="429" t="n">
        <v>203</v>
      </c>
      <c r="EH1116" s="431" t="n">
        <v>203</v>
      </c>
      <c r="EI1116" s="688" t="n"/>
      <c r="EJ1116" s="431" t="n"/>
      <c r="EK1116" s="451" t="n"/>
      <c r="EL1116" s="451" t="n"/>
      <c r="EM1116" s="451" t="n"/>
      <c r="EO1116" s="429" t="n">
        <v>203</v>
      </c>
      <c r="EP1116" s="431" t="n">
        <v>203</v>
      </c>
      <c r="EQ1116" s="688" t="n"/>
      <c r="ER1116" s="431" t="n"/>
      <c r="ES1116" s="451" t="n"/>
      <c r="ET1116" s="451" t="n"/>
      <c r="EU1116" s="451" t="n"/>
      <c r="EW1116" s="429" t="n">
        <v>203</v>
      </c>
      <c r="EX1116" s="431" t="n">
        <v>203</v>
      </c>
      <c r="EY1116" s="688" t="n"/>
      <c r="EZ1116" s="431" t="n"/>
      <c r="FA1116" s="451" t="n"/>
      <c r="FB1116" s="451" t="n"/>
      <c r="FC1116" s="451" t="n"/>
      <c r="FE1116" s="429" t="n">
        <v>203</v>
      </c>
      <c r="FF1116" s="431" t="n">
        <v>203</v>
      </c>
      <c r="FG1116" s="688" t="n"/>
      <c r="FH1116" s="431" t="n"/>
      <c r="FI1116" s="451" t="n"/>
      <c r="FJ1116" s="451" t="n"/>
      <c r="FK1116" s="451" t="n"/>
      <c r="FM1116" s="429" t="n">
        <v>203</v>
      </c>
      <c r="FN1116" s="431" t="n">
        <v>203</v>
      </c>
      <c r="FO1116" s="688" t="n"/>
      <c r="FP1116" s="431" t="n"/>
      <c r="FQ1116" s="451" t="n"/>
      <c r="FR1116" s="451" t="n"/>
      <c r="FS1116" s="451" t="n"/>
      <c r="FU1116" s="429" t="n">
        <v>203</v>
      </c>
      <c r="FV1116" s="431" t="n">
        <v>203</v>
      </c>
      <c r="FW1116" s="688" t="n"/>
      <c r="FX1116" s="431" t="n"/>
      <c r="FY1116" s="451" t="n"/>
      <c r="FZ1116" s="562">
        <f>'CIRCUIT SIM'!JG206</f>
        <v/>
      </c>
      <c r="GA1116" s="451" t="n"/>
      <c r="GC1116" s="429" t="n">
        <v>203</v>
      </c>
      <c r="GD1116" s="431" t="n">
        <v>203</v>
      </c>
      <c r="GE1116" s="688" t="n"/>
      <c r="GF1116" s="431" t="n"/>
      <c r="GG1116" s="451" t="n"/>
      <c r="GH1116" s="451" t="n"/>
      <c r="GI1116" s="451" t="n"/>
      <c r="GK1116" s="429" t="n">
        <v>203</v>
      </c>
      <c r="GL1116" s="431" t="n">
        <v>203</v>
      </c>
      <c r="GM1116" s="688" t="n"/>
      <c r="GN1116" s="431" t="n"/>
      <c r="GO1116" s="451" t="n"/>
      <c r="GP1116" s="451" t="n"/>
      <c r="GQ1116" s="451" t="n"/>
      <c r="GS1116" s="429" t="n">
        <v>203</v>
      </c>
      <c r="GT1116" s="431" t="n">
        <v>203</v>
      </c>
      <c r="GU1116" s="688" t="n"/>
      <c r="GV1116" s="431" t="n"/>
      <c r="GW1116" s="451" t="n"/>
      <c r="GX1116" s="451" t="n"/>
      <c r="GY1116" s="451" t="n"/>
      <c r="HA1116" s="429" t="n">
        <v>203</v>
      </c>
      <c r="HB1116" s="431" t="n">
        <v>203</v>
      </c>
      <c r="HC1116" s="688" t="n"/>
      <c r="HD1116" s="431" t="n"/>
      <c r="HE1116" s="451" t="n"/>
      <c r="HF1116" s="451" t="n"/>
      <c r="HG1116" s="451" t="n"/>
    </row>
    <row r="1117">
      <c r="A1117" s="429" t="n">
        <v>204</v>
      </c>
      <c r="B1117" s="431" t="n">
        <v>204</v>
      </c>
      <c r="C1117" s="688" t="n"/>
      <c r="D1117" s="431" t="n"/>
      <c r="E1117" s="429" t="n"/>
      <c r="F1117" s="429" t="n"/>
      <c r="G1117" s="429" t="n"/>
      <c r="I1117" s="429" t="n">
        <v>204</v>
      </c>
      <c r="J1117" s="431" t="n">
        <v>204</v>
      </c>
      <c r="K1117" s="429" t="n"/>
      <c r="L1117" s="431" t="n"/>
      <c r="M1117" s="451" t="n"/>
      <c r="N1117" s="422">
        <f>'CIRCUIT SIM'!Y207</f>
        <v/>
      </c>
      <c r="O1117" s="451" t="n"/>
      <c r="Q1117" s="429" t="n">
        <v>204</v>
      </c>
      <c r="R1117" s="431" t="n">
        <v>204</v>
      </c>
      <c r="S1117" s="429" t="n"/>
      <c r="T1117" s="431" t="n"/>
      <c r="U1117" s="429" t="n"/>
      <c r="V1117" s="386" t="n"/>
      <c r="W1117" s="451" t="n"/>
      <c r="Y1117" s="429" t="n">
        <v>204</v>
      </c>
      <c r="Z1117" s="431" t="n">
        <v>204</v>
      </c>
      <c r="AA1117" s="429" t="n"/>
      <c r="AB1117" s="431" t="n"/>
      <c r="AC1117" s="451" t="n"/>
      <c r="AD1117" s="451" t="n"/>
      <c r="AE1117" s="451" t="n"/>
      <c r="AG1117" s="429" t="n">
        <v>204</v>
      </c>
      <c r="AH1117" s="431" t="n">
        <v>204</v>
      </c>
      <c r="AI1117" s="429" t="n"/>
      <c r="AJ1117" s="431" t="n"/>
      <c r="AK1117" s="451" t="n"/>
      <c r="AL1117" s="451" t="n"/>
      <c r="AM1117" s="451" t="n"/>
      <c r="AO1117" s="429" t="n">
        <v>204</v>
      </c>
      <c r="AP1117" s="431" t="n">
        <v>204</v>
      </c>
      <c r="AQ1117" s="429" t="n"/>
      <c r="AR1117" s="431" t="n"/>
      <c r="AS1117" s="451" t="n"/>
      <c r="AT1117" s="451" t="n"/>
      <c r="AU1117" s="451" t="n"/>
      <c r="AW1117" s="429" t="n">
        <v>204</v>
      </c>
      <c r="AX1117" s="431" t="n">
        <v>204</v>
      </c>
      <c r="AY1117" s="429" t="n"/>
      <c r="AZ1117" s="431" t="n"/>
      <c r="BA1117" s="451" t="n"/>
      <c r="BB1117" s="451" t="n"/>
      <c r="BC1117" s="451" t="n"/>
      <c r="BE1117" s="429" t="n">
        <v>204</v>
      </c>
      <c r="BF1117" s="431" t="n"/>
      <c r="BG1117" s="429" t="n"/>
      <c r="BH1117" s="431" t="n"/>
      <c r="BI1117" s="451" t="n"/>
      <c r="BJ1117" s="451" t="n"/>
      <c r="BK1117" s="451" t="n"/>
      <c r="BM1117" s="429" t="n">
        <v>204</v>
      </c>
      <c r="BN1117" s="431" t="n">
        <v>204</v>
      </c>
      <c r="BO1117" s="429" t="n"/>
      <c r="BP1117" s="431" t="n"/>
      <c r="BQ1117" s="451" t="n"/>
      <c r="BR1117" s="451" t="n"/>
      <c r="BS1117" s="451" t="n"/>
      <c r="BU1117" s="429" t="n">
        <v>204</v>
      </c>
      <c r="BV1117" s="431" t="n">
        <v>204</v>
      </c>
      <c r="BW1117" s="429" t="n"/>
      <c r="BX1117" s="431" t="n"/>
      <c r="BY1117" s="451" t="n"/>
      <c r="BZ1117" s="451">
        <f>'CIRCUIT SIM'!EI207</f>
        <v/>
      </c>
      <c r="CA1117" s="451" t="n"/>
      <c r="CC1117" s="429" t="n">
        <v>204</v>
      </c>
      <c r="CD1117" s="431" t="n">
        <v>204</v>
      </c>
      <c r="CE1117" s="688" t="n"/>
      <c r="CF1117" s="431" t="n"/>
      <c r="CG1117" s="451" t="n"/>
      <c r="CH1117" s="562">
        <f>'CIRCUIT SIM'!LK207</f>
        <v/>
      </c>
      <c r="CI1117" s="451" t="n"/>
      <c r="CK1117" s="429" t="n">
        <v>204</v>
      </c>
      <c r="CL1117" s="431" t="n">
        <v>204</v>
      </c>
      <c r="CM1117" s="688" t="n"/>
      <c r="CN1117" s="431" t="n"/>
      <c r="CO1117" s="451" t="n"/>
      <c r="CP1117" s="451" t="n"/>
      <c r="CQ1117" s="451" t="n"/>
      <c r="CS1117" s="429" t="n">
        <v>204</v>
      </c>
      <c r="CT1117" s="431" t="n">
        <v>204</v>
      </c>
      <c r="CU1117" s="688" t="n"/>
      <c r="CV1117" s="431" t="n"/>
      <c r="CW1117" s="451" t="n"/>
      <c r="CX1117" s="451" t="n"/>
      <c r="CY1117" s="451" t="n"/>
      <c r="DA1117" s="429" t="n">
        <v>204</v>
      </c>
      <c r="DB1117" s="431" t="n">
        <v>204</v>
      </c>
      <c r="DC1117" s="688" t="n"/>
      <c r="DD1117" s="431" t="n"/>
      <c r="DE1117" s="451" t="n"/>
      <c r="DF1117" s="451" t="n"/>
      <c r="DG1117" s="451" t="n"/>
      <c r="DI1117" s="429" t="n">
        <v>204</v>
      </c>
      <c r="DJ1117" s="431" t="n">
        <v>204</v>
      </c>
      <c r="DK1117" s="688" t="n"/>
      <c r="DL1117" s="431" t="n"/>
      <c r="DM1117" s="429" t="n"/>
      <c r="DN1117" s="451" t="n"/>
      <c r="DO1117" s="451" t="n"/>
      <c r="DQ1117" s="429" t="n">
        <v>204</v>
      </c>
      <c r="DR1117" s="431" t="n">
        <v>204</v>
      </c>
      <c r="DS1117" s="688" t="n"/>
      <c r="DT1117" s="431" t="n"/>
      <c r="DU1117" s="451" t="n"/>
      <c r="DV1117" s="451" t="n"/>
      <c r="DW1117" s="451" t="n"/>
      <c r="DY1117" s="429" t="n">
        <v>204</v>
      </c>
      <c r="DZ1117" s="431" t="n">
        <v>204</v>
      </c>
      <c r="EA1117" s="688" t="n"/>
      <c r="EB1117" s="431" t="n"/>
      <c r="EC1117" s="451" t="n"/>
      <c r="ED1117" s="451" t="n"/>
      <c r="EE1117" s="451" t="n"/>
      <c r="EG1117" s="429" t="n">
        <v>204</v>
      </c>
      <c r="EH1117" s="431" t="n">
        <v>204</v>
      </c>
      <c r="EI1117" s="688" t="n"/>
      <c r="EJ1117" s="431" t="n"/>
      <c r="EK1117" s="451" t="n"/>
      <c r="EL1117" s="451" t="n"/>
      <c r="EM1117" s="451" t="n"/>
      <c r="EO1117" s="429" t="n">
        <v>204</v>
      </c>
      <c r="EP1117" s="431" t="n">
        <v>204</v>
      </c>
      <c r="EQ1117" s="688" t="n"/>
      <c r="ER1117" s="431" t="n"/>
      <c r="ES1117" s="451" t="n"/>
      <c r="ET1117" s="451" t="n"/>
      <c r="EU1117" s="451" t="n"/>
      <c r="EW1117" s="429" t="n">
        <v>204</v>
      </c>
      <c r="EX1117" s="431" t="n">
        <v>204</v>
      </c>
      <c r="EY1117" s="688" t="n"/>
      <c r="EZ1117" s="431" t="n"/>
      <c r="FA1117" s="451" t="n"/>
      <c r="FB1117" s="451" t="n"/>
      <c r="FC1117" s="451" t="n"/>
      <c r="FE1117" s="429" t="n">
        <v>204</v>
      </c>
      <c r="FF1117" s="431" t="n">
        <v>204</v>
      </c>
      <c r="FG1117" s="688" t="n"/>
      <c r="FH1117" s="431" t="n"/>
      <c r="FI1117" s="451" t="n"/>
      <c r="FJ1117" s="451" t="n"/>
      <c r="FK1117" s="451" t="n"/>
      <c r="FM1117" s="429" t="n">
        <v>204</v>
      </c>
      <c r="FN1117" s="431" t="n">
        <v>204</v>
      </c>
      <c r="FO1117" s="688" t="n"/>
      <c r="FP1117" s="431" t="n"/>
      <c r="FQ1117" s="451" t="n"/>
      <c r="FR1117" s="451" t="n"/>
      <c r="FS1117" s="451" t="n"/>
      <c r="FU1117" s="429" t="n">
        <v>204</v>
      </c>
      <c r="FV1117" s="431" t="n">
        <v>204</v>
      </c>
      <c r="FW1117" s="688" t="n"/>
      <c r="FX1117" s="431" t="n"/>
      <c r="FY1117" s="451" t="n"/>
      <c r="FZ1117" s="562">
        <f>'CIRCUIT SIM'!JG207</f>
        <v/>
      </c>
      <c r="GA1117" s="451" t="n"/>
      <c r="GC1117" s="429" t="n">
        <v>204</v>
      </c>
      <c r="GD1117" s="431" t="n">
        <v>204</v>
      </c>
      <c r="GE1117" s="688" t="n"/>
      <c r="GF1117" s="431" t="n"/>
      <c r="GG1117" s="451" t="n"/>
      <c r="GH1117" s="451" t="n"/>
      <c r="GI1117" s="451" t="n"/>
      <c r="GK1117" s="429" t="n">
        <v>204</v>
      </c>
      <c r="GL1117" s="431" t="n">
        <v>204</v>
      </c>
      <c r="GM1117" s="688" t="n"/>
      <c r="GN1117" s="431" t="n"/>
      <c r="GO1117" s="451" t="n"/>
      <c r="GP1117" s="451" t="n"/>
      <c r="GQ1117" s="451" t="n"/>
      <c r="GS1117" s="429" t="n">
        <v>204</v>
      </c>
      <c r="GT1117" s="431" t="n">
        <v>204</v>
      </c>
      <c r="GU1117" s="688" t="n"/>
      <c r="GV1117" s="431" t="n"/>
      <c r="GW1117" s="451" t="n"/>
      <c r="GX1117" s="451" t="n"/>
      <c r="GY1117" s="451" t="n"/>
      <c r="HA1117" s="429" t="n">
        <v>204</v>
      </c>
      <c r="HB1117" s="431" t="n">
        <v>204</v>
      </c>
      <c r="HC1117" s="688" t="n"/>
      <c r="HD1117" s="431" t="n"/>
      <c r="HE1117" s="451" t="n"/>
      <c r="HF1117" s="451" t="n"/>
      <c r="HG1117" s="451" t="n"/>
    </row>
    <row r="1118">
      <c r="A1118" s="429" t="n">
        <v>205</v>
      </c>
      <c r="B1118" s="431" t="n">
        <v>205</v>
      </c>
      <c r="C1118" s="688" t="n"/>
      <c r="D1118" s="431" t="n"/>
      <c r="E1118" s="429" t="n"/>
      <c r="F1118" s="429" t="n"/>
      <c r="G1118" s="429" t="n"/>
      <c r="I1118" s="429" t="n">
        <v>205</v>
      </c>
      <c r="J1118" s="431" t="n">
        <v>205</v>
      </c>
      <c r="K1118" s="429" t="n"/>
      <c r="L1118" s="431" t="n"/>
      <c r="M1118" s="451" t="n"/>
      <c r="N1118" s="422">
        <f>'CIRCUIT SIM'!Y208</f>
        <v/>
      </c>
      <c r="O1118" s="451" t="n"/>
      <c r="Q1118" s="429" t="n">
        <v>205</v>
      </c>
      <c r="R1118" s="431" t="n">
        <v>205</v>
      </c>
      <c r="S1118" s="429" t="n"/>
      <c r="T1118" s="431" t="n"/>
      <c r="U1118" s="429" t="n"/>
      <c r="V1118" s="386" t="n"/>
      <c r="W1118" s="451" t="n"/>
      <c r="Y1118" s="429" t="n">
        <v>205</v>
      </c>
      <c r="Z1118" s="431" t="n">
        <v>205</v>
      </c>
      <c r="AA1118" s="429" t="n"/>
      <c r="AB1118" s="431" t="n"/>
      <c r="AC1118" s="451" t="n"/>
      <c r="AD1118" s="451" t="n"/>
      <c r="AE1118" s="451" t="n"/>
      <c r="AG1118" s="429" t="n">
        <v>205</v>
      </c>
      <c r="AH1118" s="431" t="n">
        <v>205</v>
      </c>
      <c r="AI1118" s="429" t="n"/>
      <c r="AJ1118" s="431" t="n"/>
      <c r="AK1118" s="451" t="n"/>
      <c r="AL1118" s="451" t="n"/>
      <c r="AM1118" s="451" t="n"/>
      <c r="AO1118" s="429" t="n">
        <v>205</v>
      </c>
      <c r="AP1118" s="431" t="n">
        <v>205</v>
      </c>
      <c r="AQ1118" s="429" t="n"/>
      <c r="AR1118" s="431" t="n"/>
      <c r="AS1118" s="451" t="n"/>
      <c r="AT1118" s="451" t="n"/>
      <c r="AU1118" s="451" t="n"/>
      <c r="AW1118" s="429" t="n">
        <v>205</v>
      </c>
      <c r="AX1118" s="431" t="n">
        <v>205</v>
      </c>
      <c r="AY1118" s="429" t="n"/>
      <c r="AZ1118" s="431" t="n"/>
      <c r="BA1118" s="451" t="n"/>
      <c r="BB1118" s="451" t="n"/>
      <c r="BC1118" s="451" t="n"/>
      <c r="BE1118" s="429" t="n">
        <v>205</v>
      </c>
      <c r="BF1118" s="431" t="n"/>
      <c r="BG1118" s="429" t="n"/>
      <c r="BH1118" s="431" t="n"/>
      <c r="BI1118" s="451" t="n"/>
      <c r="BJ1118" s="451" t="n"/>
      <c r="BK1118" s="451" t="n"/>
      <c r="BM1118" s="429" t="n">
        <v>205</v>
      </c>
      <c r="BN1118" s="431" t="n">
        <v>205</v>
      </c>
      <c r="BO1118" s="429" t="n"/>
      <c r="BP1118" s="431" t="n"/>
      <c r="BQ1118" s="451" t="n"/>
      <c r="BR1118" s="451" t="n"/>
      <c r="BS1118" s="451" t="n"/>
      <c r="BU1118" s="429" t="n">
        <v>205</v>
      </c>
      <c r="BV1118" s="431" t="n">
        <v>205</v>
      </c>
      <c r="BW1118" s="429" t="n"/>
      <c r="BX1118" s="431" t="n"/>
      <c r="BY1118" s="451" t="n"/>
      <c r="BZ1118" s="451">
        <f>'CIRCUIT SIM'!EI208</f>
        <v/>
      </c>
      <c r="CA1118" s="451" t="n"/>
      <c r="CC1118" s="429" t="n">
        <v>205</v>
      </c>
      <c r="CD1118" s="431" t="n">
        <v>205</v>
      </c>
      <c r="CE1118" s="688" t="n"/>
      <c r="CF1118" s="431" t="n"/>
      <c r="CG1118" s="451" t="n"/>
      <c r="CH1118" s="562">
        <f>'CIRCUIT SIM'!LK208</f>
        <v/>
      </c>
      <c r="CI1118" s="451" t="n"/>
      <c r="CK1118" s="429" t="n">
        <v>205</v>
      </c>
      <c r="CL1118" s="431" t="n">
        <v>205</v>
      </c>
      <c r="CM1118" s="688" t="n"/>
      <c r="CN1118" s="431" t="n"/>
      <c r="CO1118" s="451" t="n"/>
      <c r="CP1118" s="451" t="n"/>
      <c r="CQ1118" s="451" t="n"/>
      <c r="CS1118" s="429" t="n">
        <v>205</v>
      </c>
      <c r="CT1118" s="431" t="n">
        <v>205</v>
      </c>
      <c r="CU1118" s="688" t="n"/>
      <c r="CV1118" s="431" t="n"/>
      <c r="CW1118" s="451" t="n"/>
      <c r="CX1118" s="451" t="n"/>
      <c r="CY1118" s="451" t="n"/>
      <c r="DA1118" s="429" t="n">
        <v>205</v>
      </c>
      <c r="DB1118" s="431" t="n">
        <v>205</v>
      </c>
      <c r="DC1118" s="688" t="n"/>
      <c r="DD1118" s="431" t="n"/>
      <c r="DE1118" s="451" t="n"/>
      <c r="DF1118" s="451" t="n"/>
      <c r="DG1118" s="451" t="n"/>
      <c r="DI1118" s="429" t="n">
        <v>205</v>
      </c>
      <c r="DJ1118" s="431" t="n">
        <v>205</v>
      </c>
      <c r="DK1118" s="688" t="n"/>
      <c r="DL1118" s="431" t="n"/>
      <c r="DM1118" s="429" t="n"/>
      <c r="DN1118" s="451" t="n"/>
      <c r="DO1118" s="451" t="n"/>
      <c r="DQ1118" s="429" t="n">
        <v>205</v>
      </c>
      <c r="DR1118" s="431" t="n">
        <v>205</v>
      </c>
      <c r="DS1118" s="688" t="n"/>
      <c r="DT1118" s="431" t="n"/>
      <c r="DU1118" s="451" t="n"/>
      <c r="DV1118" s="451" t="n"/>
      <c r="DW1118" s="451" t="n"/>
      <c r="DY1118" s="429" t="n">
        <v>205</v>
      </c>
      <c r="DZ1118" s="431" t="n">
        <v>205</v>
      </c>
      <c r="EA1118" s="688" t="n"/>
      <c r="EB1118" s="431" t="n"/>
      <c r="EC1118" s="451" t="n"/>
      <c r="ED1118" s="451" t="n"/>
      <c r="EE1118" s="451" t="n"/>
      <c r="EG1118" s="429" t="n">
        <v>205</v>
      </c>
      <c r="EH1118" s="431" t="n">
        <v>205</v>
      </c>
      <c r="EI1118" s="688" t="n"/>
      <c r="EJ1118" s="431" t="n"/>
      <c r="EK1118" s="451" t="n"/>
      <c r="EL1118" s="451" t="n"/>
      <c r="EM1118" s="451" t="n"/>
      <c r="EO1118" s="429" t="n">
        <v>205</v>
      </c>
      <c r="EP1118" s="431" t="n">
        <v>205</v>
      </c>
      <c r="EQ1118" s="688" t="n"/>
      <c r="ER1118" s="431" t="n"/>
      <c r="ES1118" s="451" t="n"/>
      <c r="ET1118" s="451" t="n"/>
      <c r="EU1118" s="451" t="n"/>
      <c r="EW1118" s="429" t="n">
        <v>205</v>
      </c>
      <c r="EX1118" s="431" t="n">
        <v>205</v>
      </c>
      <c r="EY1118" s="688" t="n"/>
      <c r="EZ1118" s="431" t="n"/>
      <c r="FA1118" s="451" t="n"/>
      <c r="FB1118" s="451" t="n"/>
      <c r="FC1118" s="451" t="n"/>
      <c r="FE1118" s="429" t="n">
        <v>205</v>
      </c>
      <c r="FF1118" s="431" t="n">
        <v>205</v>
      </c>
      <c r="FG1118" s="688" t="n"/>
      <c r="FH1118" s="431" t="n"/>
      <c r="FI1118" s="451" t="n"/>
      <c r="FJ1118" s="451" t="n"/>
      <c r="FK1118" s="451" t="n"/>
      <c r="FM1118" s="429" t="n">
        <v>205</v>
      </c>
      <c r="FN1118" s="431" t="n">
        <v>205</v>
      </c>
      <c r="FO1118" s="688" t="n"/>
      <c r="FP1118" s="431" t="n"/>
      <c r="FQ1118" s="451" t="n"/>
      <c r="FR1118" s="451" t="n"/>
      <c r="FS1118" s="451" t="n"/>
      <c r="FU1118" s="429" t="n">
        <v>205</v>
      </c>
      <c r="FV1118" s="431" t="n">
        <v>205</v>
      </c>
      <c r="FW1118" s="688" t="n"/>
      <c r="FX1118" s="431" t="n"/>
      <c r="FY1118" s="451" t="n"/>
      <c r="FZ1118" s="562">
        <f>'CIRCUIT SIM'!JG208</f>
        <v/>
      </c>
      <c r="GA1118" s="451" t="n"/>
      <c r="GC1118" s="429" t="n">
        <v>205</v>
      </c>
      <c r="GD1118" s="431" t="n">
        <v>205</v>
      </c>
      <c r="GE1118" s="688" t="n"/>
      <c r="GF1118" s="431" t="n"/>
      <c r="GG1118" s="451" t="n"/>
      <c r="GH1118" s="451" t="n"/>
      <c r="GI1118" s="451" t="n"/>
      <c r="GK1118" s="429" t="n">
        <v>205</v>
      </c>
      <c r="GL1118" s="431" t="n">
        <v>205</v>
      </c>
      <c r="GM1118" s="688" t="n"/>
      <c r="GN1118" s="431" t="n"/>
      <c r="GO1118" s="451" t="n"/>
      <c r="GP1118" s="451" t="n"/>
      <c r="GQ1118" s="451" t="n"/>
      <c r="GS1118" s="429" t="n">
        <v>205</v>
      </c>
      <c r="GT1118" s="431" t="n">
        <v>205</v>
      </c>
      <c r="GU1118" s="688" t="n"/>
      <c r="GV1118" s="431" t="n"/>
      <c r="GW1118" s="451" t="n"/>
      <c r="GX1118" s="451" t="n"/>
      <c r="GY1118" s="451" t="n"/>
      <c r="HA1118" s="429" t="n">
        <v>205</v>
      </c>
      <c r="HB1118" s="431" t="n">
        <v>205</v>
      </c>
      <c r="HC1118" s="688" t="n"/>
      <c r="HD1118" s="431" t="n"/>
      <c r="HE1118" s="451" t="n"/>
      <c r="HF1118" s="451" t="n"/>
      <c r="HG1118" s="451" t="n"/>
    </row>
    <row r="1119">
      <c r="A1119" s="429" t="n">
        <v>206</v>
      </c>
      <c r="B1119" s="431" t="n">
        <v>206</v>
      </c>
      <c r="C1119" s="688" t="n"/>
      <c r="D1119" s="431" t="n"/>
      <c r="E1119" s="429" t="n"/>
      <c r="F1119" s="429" t="n"/>
      <c r="G1119" s="429" t="n"/>
      <c r="I1119" s="429" t="n">
        <v>206</v>
      </c>
      <c r="J1119" s="431" t="n">
        <v>206</v>
      </c>
      <c r="K1119" s="429" t="n"/>
      <c r="L1119" s="431" t="n"/>
      <c r="M1119" s="451" t="n"/>
      <c r="N1119" s="422">
        <f>'CIRCUIT SIM'!Y209</f>
        <v/>
      </c>
      <c r="O1119" s="451" t="n"/>
      <c r="Q1119" s="429" t="n">
        <v>206</v>
      </c>
      <c r="R1119" s="431" t="n">
        <v>206</v>
      </c>
      <c r="S1119" s="429" t="n"/>
      <c r="T1119" s="431" t="n"/>
      <c r="U1119" s="429" t="n"/>
      <c r="V1119" s="386" t="n"/>
      <c r="W1119" s="451" t="n"/>
      <c r="Y1119" s="429" t="n">
        <v>206</v>
      </c>
      <c r="Z1119" s="431" t="n">
        <v>206</v>
      </c>
      <c r="AA1119" s="429" t="n"/>
      <c r="AB1119" s="431" t="n"/>
      <c r="AC1119" s="451" t="n"/>
      <c r="AD1119" s="451" t="n"/>
      <c r="AE1119" s="451" t="n"/>
      <c r="AG1119" s="429" t="n">
        <v>206</v>
      </c>
      <c r="AH1119" s="431" t="n">
        <v>206</v>
      </c>
      <c r="AI1119" s="429" t="n"/>
      <c r="AJ1119" s="431" t="n"/>
      <c r="AK1119" s="451" t="n"/>
      <c r="AL1119" s="451" t="n"/>
      <c r="AM1119" s="451" t="n"/>
      <c r="AO1119" s="429" t="n">
        <v>206</v>
      </c>
      <c r="AP1119" s="431" t="n">
        <v>206</v>
      </c>
      <c r="AQ1119" s="429" t="n"/>
      <c r="AR1119" s="431" t="n"/>
      <c r="AS1119" s="451" t="n"/>
      <c r="AT1119" s="451" t="n"/>
      <c r="AU1119" s="451" t="n"/>
      <c r="AW1119" s="429" t="n">
        <v>206</v>
      </c>
      <c r="AX1119" s="431" t="n">
        <v>206</v>
      </c>
      <c r="AY1119" s="429" t="n"/>
      <c r="AZ1119" s="431" t="n"/>
      <c r="BA1119" s="451" t="n"/>
      <c r="BB1119" s="451" t="n"/>
      <c r="BC1119" s="451" t="n"/>
      <c r="BE1119" s="429" t="n">
        <v>206</v>
      </c>
      <c r="BF1119" s="431" t="n"/>
      <c r="BG1119" s="429" t="n"/>
      <c r="BH1119" s="431" t="n"/>
      <c r="BI1119" s="451" t="n"/>
      <c r="BJ1119" s="451" t="n"/>
      <c r="BK1119" s="451" t="n"/>
      <c r="BM1119" s="429" t="n">
        <v>206</v>
      </c>
      <c r="BN1119" s="431" t="n">
        <v>206</v>
      </c>
      <c r="BO1119" s="429" t="n"/>
      <c r="BP1119" s="431" t="n"/>
      <c r="BQ1119" s="451" t="n"/>
      <c r="BR1119" s="451" t="n"/>
      <c r="BS1119" s="451" t="n"/>
      <c r="BU1119" s="429" t="n">
        <v>206</v>
      </c>
      <c r="BV1119" s="431" t="n">
        <v>206</v>
      </c>
      <c r="BW1119" s="429" t="n"/>
      <c r="BX1119" s="431" t="n"/>
      <c r="BY1119" s="451" t="n"/>
      <c r="BZ1119" s="451">
        <f>'CIRCUIT SIM'!EI209</f>
        <v/>
      </c>
      <c r="CA1119" s="451" t="n"/>
      <c r="CC1119" s="429" t="n">
        <v>206</v>
      </c>
      <c r="CD1119" s="431" t="n">
        <v>206</v>
      </c>
      <c r="CE1119" s="688" t="n"/>
      <c r="CF1119" s="431" t="n"/>
      <c r="CG1119" s="451" t="n"/>
      <c r="CH1119" s="562">
        <f>'CIRCUIT SIM'!LK209</f>
        <v/>
      </c>
      <c r="CI1119" s="451" t="n"/>
      <c r="CK1119" s="429" t="n">
        <v>206</v>
      </c>
      <c r="CL1119" s="431" t="n">
        <v>206</v>
      </c>
      <c r="CM1119" s="688" t="n"/>
      <c r="CN1119" s="431" t="n"/>
      <c r="CO1119" s="451" t="n"/>
      <c r="CP1119" s="451" t="n"/>
      <c r="CQ1119" s="451" t="n"/>
      <c r="CS1119" s="429" t="n">
        <v>206</v>
      </c>
      <c r="CT1119" s="431" t="n">
        <v>206</v>
      </c>
      <c r="CU1119" s="688" t="n"/>
      <c r="CV1119" s="431" t="n"/>
      <c r="CW1119" s="451" t="n"/>
      <c r="CX1119" s="451" t="n"/>
      <c r="CY1119" s="451" t="n"/>
      <c r="DA1119" s="429" t="n">
        <v>206</v>
      </c>
      <c r="DB1119" s="431" t="n">
        <v>206</v>
      </c>
      <c r="DC1119" s="688" t="n"/>
      <c r="DD1119" s="431" t="n"/>
      <c r="DE1119" s="451" t="n"/>
      <c r="DF1119" s="451" t="n"/>
      <c r="DG1119" s="451" t="n"/>
      <c r="DI1119" s="429" t="n">
        <v>206</v>
      </c>
      <c r="DJ1119" s="431" t="n">
        <v>206</v>
      </c>
      <c r="DK1119" s="688" t="n"/>
      <c r="DL1119" s="431" t="n"/>
      <c r="DM1119" s="429" t="n"/>
      <c r="DN1119" s="451" t="n"/>
      <c r="DO1119" s="451" t="n"/>
      <c r="DQ1119" s="429" t="n">
        <v>206</v>
      </c>
      <c r="DR1119" s="431" t="n">
        <v>206</v>
      </c>
      <c r="DS1119" s="688" t="n"/>
      <c r="DT1119" s="431" t="n"/>
      <c r="DU1119" s="451" t="n"/>
      <c r="DV1119" s="451" t="n"/>
      <c r="DW1119" s="451" t="n"/>
      <c r="DY1119" s="429" t="n">
        <v>206</v>
      </c>
      <c r="DZ1119" s="431" t="n">
        <v>206</v>
      </c>
      <c r="EA1119" s="688" t="n"/>
      <c r="EB1119" s="431" t="n"/>
      <c r="EC1119" s="451" t="n"/>
      <c r="ED1119" s="451" t="n"/>
      <c r="EE1119" s="451" t="n"/>
      <c r="EG1119" s="429" t="n">
        <v>206</v>
      </c>
      <c r="EH1119" s="431" t="n">
        <v>206</v>
      </c>
      <c r="EI1119" s="688" t="n"/>
      <c r="EJ1119" s="431" t="n"/>
      <c r="EK1119" s="451" t="n"/>
      <c r="EL1119" s="451" t="n"/>
      <c r="EM1119" s="451" t="n"/>
      <c r="EO1119" s="429" t="n">
        <v>206</v>
      </c>
      <c r="EP1119" s="431" t="n">
        <v>206</v>
      </c>
      <c r="EQ1119" s="688" t="n"/>
      <c r="ER1119" s="431" t="n"/>
      <c r="ES1119" s="451" t="n"/>
      <c r="ET1119" s="451" t="n"/>
      <c r="EU1119" s="451" t="n"/>
      <c r="EW1119" s="429" t="n">
        <v>206</v>
      </c>
      <c r="EX1119" s="431" t="n">
        <v>206</v>
      </c>
      <c r="EY1119" s="688" t="n"/>
      <c r="EZ1119" s="431" t="n"/>
      <c r="FA1119" s="451" t="n"/>
      <c r="FB1119" s="451" t="n"/>
      <c r="FC1119" s="451" t="n"/>
      <c r="FE1119" s="429" t="n">
        <v>206</v>
      </c>
      <c r="FF1119" s="431" t="n">
        <v>206</v>
      </c>
      <c r="FG1119" s="688" t="n"/>
      <c r="FH1119" s="431" t="n"/>
      <c r="FI1119" s="451" t="n"/>
      <c r="FJ1119" s="451" t="n"/>
      <c r="FK1119" s="451" t="n"/>
      <c r="FM1119" s="429" t="n">
        <v>206</v>
      </c>
      <c r="FN1119" s="431" t="n">
        <v>206</v>
      </c>
      <c r="FO1119" s="688" t="n"/>
      <c r="FP1119" s="431" t="n"/>
      <c r="FQ1119" s="451" t="n"/>
      <c r="FR1119" s="451" t="n"/>
      <c r="FS1119" s="451" t="n"/>
      <c r="FU1119" s="429" t="n">
        <v>206</v>
      </c>
      <c r="FV1119" s="431" t="n">
        <v>206</v>
      </c>
      <c r="FW1119" s="688" t="n"/>
      <c r="FX1119" s="431" t="n"/>
      <c r="FY1119" s="451" t="n"/>
      <c r="FZ1119" s="562">
        <f>'CIRCUIT SIM'!JG209</f>
        <v/>
      </c>
      <c r="GA1119" s="451" t="n"/>
      <c r="GC1119" s="429" t="n">
        <v>206</v>
      </c>
      <c r="GD1119" s="431" t="n">
        <v>206</v>
      </c>
      <c r="GE1119" s="688" t="n"/>
      <c r="GF1119" s="431" t="n"/>
      <c r="GG1119" s="451" t="n"/>
      <c r="GH1119" s="451" t="n"/>
      <c r="GI1119" s="451" t="n"/>
      <c r="GK1119" s="429" t="n">
        <v>206</v>
      </c>
      <c r="GL1119" s="431" t="n">
        <v>206</v>
      </c>
      <c r="GM1119" s="688" t="n"/>
      <c r="GN1119" s="431" t="n"/>
      <c r="GO1119" s="451" t="n"/>
      <c r="GP1119" s="451" t="n"/>
      <c r="GQ1119" s="451" t="n"/>
      <c r="GS1119" s="429" t="n">
        <v>206</v>
      </c>
      <c r="GT1119" s="431" t="n">
        <v>206</v>
      </c>
      <c r="GU1119" s="688" t="n"/>
      <c r="GV1119" s="431" t="n"/>
      <c r="GW1119" s="451" t="n"/>
      <c r="GX1119" s="451" t="n"/>
      <c r="GY1119" s="451" t="n"/>
      <c r="HA1119" s="429" t="n">
        <v>206</v>
      </c>
      <c r="HB1119" s="431" t="n">
        <v>206</v>
      </c>
      <c r="HC1119" s="688" t="n"/>
      <c r="HD1119" s="431" t="n"/>
      <c r="HE1119" s="451" t="n"/>
      <c r="HF1119" s="451" t="n"/>
      <c r="HG1119" s="451" t="n"/>
    </row>
    <row r="1120">
      <c r="A1120" s="429" t="n">
        <v>207</v>
      </c>
      <c r="B1120" s="431" t="n">
        <v>207</v>
      </c>
      <c r="C1120" s="688" t="n"/>
      <c r="D1120" s="431" t="n"/>
      <c r="E1120" s="429" t="n"/>
      <c r="F1120" s="429" t="n"/>
      <c r="G1120" s="429" t="n"/>
      <c r="I1120" s="429" t="n">
        <v>207</v>
      </c>
      <c r="J1120" s="431" t="n">
        <v>207</v>
      </c>
      <c r="K1120" s="429" t="n"/>
      <c r="L1120" s="431" t="n"/>
      <c r="M1120" s="451" t="n"/>
      <c r="N1120" s="422">
        <f>'CIRCUIT SIM'!Y210</f>
        <v/>
      </c>
      <c r="O1120" s="451" t="n"/>
      <c r="Q1120" s="429" t="n">
        <v>207</v>
      </c>
      <c r="R1120" s="431" t="n">
        <v>207</v>
      </c>
      <c r="S1120" s="429" t="n"/>
      <c r="T1120" s="431" t="n"/>
      <c r="U1120" s="429" t="n"/>
      <c r="V1120" s="386" t="n"/>
      <c r="W1120" s="451" t="n"/>
      <c r="Y1120" s="429" t="n">
        <v>207</v>
      </c>
      <c r="Z1120" s="431" t="n">
        <v>207</v>
      </c>
      <c r="AA1120" s="429" t="n"/>
      <c r="AB1120" s="431" t="n"/>
      <c r="AC1120" s="451" t="n"/>
      <c r="AD1120" s="451" t="n"/>
      <c r="AE1120" s="451" t="n"/>
      <c r="AG1120" s="429" t="n">
        <v>207</v>
      </c>
      <c r="AH1120" s="431" t="n">
        <v>207</v>
      </c>
      <c r="AI1120" s="429" t="n"/>
      <c r="AJ1120" s="431" t="n"/>
      <c r="AK1120" s="451" t="n"/>
      <c r="AL1120" s="451" t="n"/>
      <c r="AM1120" s="451" t="n"/>
      <c r="AO1120" s="429" t="n">
        <v>207</v>
      </c>
      <c r="AP1120" s="431" t="n">
        <v>207</v>
      </c>
      <c r="AQ1120" s="429" t="n"/>
      <c r="AR1120" s="431" t="n"/>
      <c r="AS1120" s="451" t="n"/>
      <c r="AT1120" s="451" t="n"/>
      <c r="AU1120" s="451" t="n"/>
      <c r="AW1120" s="429" t="n">
        <v>207</v>
      </c>
      <c r="AX1120" s="431" t="n">
        <v>207</v>
      </c>
      <c r="AY1120" s="429" t="n"/>
      <c r="AZ1120" s="431" t="n"/>
      <c r="BA1120" s="451" t="n"/>
      <c r="BB1120" s="451" t="n"/>
      <c r="BC1120" s="451" t="n"/>
      <c r="BE1120" s="429" t="n">
        <v>207</v>
      </c>
      <c r="BF1120" s="431" t="n"/>
      <c r="BG1120" s="429" t="n"/>
      <c r="BH1120" s="431" t="n"/>
      <c r="BI1120" s="451" t="n"/>
      <c r="BJ1120" s="451" t="n"/>
      <c r="BK1120" s="451" t="n"/>
      <c r="BM1120" s="429" t="n">
        <v>207</v>
      </c>
      <c r="BN1120" s="431" t="n">
        <v>207</v>
      </c>
      <c r="BO1120" s="429" t="n"/>
      <c r="BP1120" s="431" t="n"/>
      <c r="BQ1120" s="451" t="n"/>
      <c r="BR1120" s="451" t="n"/>
      <c r="BS1120" s="451" t="n"/>
      <c r="BU1120" s="429" t="n">
        <v>207</v>
      </c>
      <c r="BV1120" s="431" t="n">
        <v>207</v>
      </c>
      <c r="BW1120" s="429" t="n"/>
      <c r="BX1120" s="431" t="n"/>
      <c r="BY1120" s="451" t="n"/>
      <c r="BZ1120" s="451">
        <f>'CIRCUIT SIM'!EI210</f>
        <v/>
      </c>
      <c r="CA1120" s="451" t="n"/>
      <c r="CC1120" s="429" t="n">
        <v>207</v>
      </c>
      <c r="CD1120" s="431" t="n">
        <v>207</v>
      </c>
      <c r="CE1120" s="688" t="n"/>
      <c r="CF1120" s="431" t="n"/>
      <c r="CG1120" s="451" t="n"/>
      <c r="CH1120" s="562">
        <f>'CIRCUIT SIM'!LK208</f>
        <v/>
      </c>
      <c r="CI1120" s="451" t="n"/>
      <c r="CK1120" s="429" t="n">
        <v>207</v>
      </c>
      <c r="CL1120" s="431" t="n">
        <v>207</v>
      </c>
      <c r="CM1120" s="688" t="n"/>
      <c r="CN1120" s="431" t="n"/>
      <c r="CO1120" s="451" t="n"/>
      <c r="CP1120" s="451" t="n"/>
      <c r="CQ1120" s="451" t="n"/>
      <c r="CS1120" s="429" t="n">
        <v>207</v>
      </c>
      <c r="CT1120" s="431" t="n">
        <v>207</v>
      </c>
      <c r="CU1120" s="688" t="n"/>
      <c r="CV1120" s="431" t="n"/>
      <c r="CW1120" s="451" t="n"/>
      <c r="CX1120" s="451" t="n"/>
      <c r="CY1120" s="451" t="n"/>
      <c r="DA1120" s="429" t="n">
        <v>207</v>
      </c>
      <c r="DB1120" s="431" t="n">
        <v>207</v>
      </c>
      <c r="DC1120" s="688" t="n"/>
      <c r="DD1120" s="431" t="n"/>
      <c r="DE1120" s="451" t="n"/>
      <c r="DF1120" s="451" t="n"/>
      <c r="DG1120" s="451" t="n"/>
      <c r="DI1120" s="429" t="n">
        <v>207</v>
      </c>
      <c r="DJ1120" s="431" t="n">
        <v>207</v>
      </c>
      <c r="DK1120" s="688" t="n"/>
      <c r="DL1120" s="431" t="n"/>
      <c r="DM1120" s="429" t="n"/>
      <c r="DN1120" s="451" t="n"/>
      <c r="DO1120" s="451" t="n"/>
      <c r="DQ1120" s="429" t="n">
        <v>207</v>
      </c>
      <c r="DR1120" s="431" t="n">
        <v>207</v>
      </c>
      <c r="DS1120" s="688" t="n"/>
      <c r="DT1120" s="431" t="n"/>
      <c r="DU1120" s="451" t="n"/>
      <c r="DV1120" s="451" t="n"/>
      <c r="DW1120" s="451" t="n"/>
      <c r="DY1120" s="429" t="n">
        <v>207</v>
      </c>
      <c r="DZ1120" s="431" t="n">
        <v>207</v>
      </c>
      <c r="EA1120" s="688" t="n"/>
      <c r="EB1120" s="431" t="n"/>
      <c r="EC1120" s="451" t="n"/>
      <c r="ED1120" s="451" t="n"/>
      <c r="EE1120" s="451" t="n"/>
      <c r="EG1120" s="429" t="n">
        <v>207</v>
      </c>
      <c r="EH1120" s="431" t="n">
        <v>207</v>
      </c>
      <c r="EI1120" s="688" t="n"/>
      <c r="EJ1120" s="431" t="n"/>
      <c r="EK1120" s="451" t="n"/>
      <c r="EL1120" s="451" t="n"/>
      <c r="EM1120" s="451" t="n"/>
      <c r="EO1120" s="429" t="n">
        <v>207</v>
      </c>
      <c r="EP1120" s="431" t="n">
        <v>207</v>
      </c>
      <c r="EQ1120" s="688" t="n"/>
      <c r="ER1120" s="431" t="n"/>
      <c r="ES1120" s="451" t="n"/>
      <c r="ET1120" s="451" t="n"/>
      <c r="EU1120" s="451" t="n"/>
      <c r="EW1120" s="429" t="n">
        <v>207</v>
      </c>
      <c r="EX1120" s="431" t="n">
        <v>207</v>
      </c>
      <c r="EY1120" s="688" t="n"/>
      <c r="EZ1120" s="431" t="n"/>
      <c r="FA1120" s="451" t="n"/>
      <c r="FB1120" s="451" t="n"/>
      <c r="FC1120" s="451" t="n"/>
      <c r="FE1120" s="429" t="n">
        <v>207</v>
      </c>
      <c r="FF1120" s="431" t="n">
        <v>207</v>
      </c>
      <c r="FG1120" s="688" t="n"/>
      <c r="FH1120" s="431" t="n"/>
      <c r="FI1120" s="451" t="n"/>
      <c r="FJ1120" s="451" t="n"/>
      <c r="FK1120" s="451" t="n"/>
      <c r="FM1120" s="429" t="n">
        <v>207</v>
      </c>
      <c r="FN1120" s="431" t="n">
        <v>207</v>
      </c>
      <c r="FO1120" s="688" t="n"/>
      <c r="FP1120" s="431" t="n"/>
      <c r="FQ1120" s="451" t="n"/>
      <c r="FR1120" s="451" t="n"/>
      <c r="FS1120" s="451" t="n"/>
      <c r="FU1120" s="429" t="n">
        <v>207</v>
      </c>
      <c r="FV1120" s="431" t="n">
        <v>207</v>
      </c>
      <c r="FW1120" s="688" t="n"/>
      <c r="FX1120" s="431" t="n"/>
      <c r="FY1120" s="451" t="n"/>
      <c r="FZ1120" s="562">
        <f>'CIRCUIT SIM'!JG210</f>
        <v/>
      </c>
      <c r="GA1120" s="451" t="n"/>
      <c r="GC1120" s="429" t="n">
        <v>207</v>
      </c>
      <c r="GD1120" s="431" t="n">
        <v>207</v>
      </c>
      <c r="GE1120" s="688" t="n"/>
      <c r="GF1120" s="431" t="n"/>
      <c r="GG1120" s="451" t="n"/>
      <c r="GH1120" s="451" t="n"/>
      <c r="GI1120" s="451" t="n"/>
      <c r="GK1120" s="429" t="n">
        <v>207</v>
      </c>
      <c r="GL1120" s="431" t="n">
        <v>207</v>
      </c>
      <c r="GM1120" s="688" t="n"/>
      <c r="GN1120" s="431" t="n"/>
      <c r="GO1120" s="451" t="n"/>
      <c r="GP1120" s="451" t="n"/>
      <c r="GQ1120" s="451" t="n"/>
      <c r="GS1120" s="429" t="n">
        <v>207</v>
      </c>
      <c r="GT1120" s="431" t="n">
        <v>207</v>
      </c>
      <c r="GU1120" s="688" t="n"/>
      <c r="GV1120" s="431" t="n"/>
      <c r="GW1120" s="451" t="n"/>
      <c r="GX1120" s="451" t="n"/>
      <c r="GY1120" s="451" t="n"/>
      <c r="HA1120" s="429" t="n">
        <v>207</v>
      </c>
      <c r="HB1120" s="431" t="n">
        <v>207</v>
      </c>
      <c r="HC1120" s="688" t="n"/>
      <c r="HD1120" s="431" t="n"/>
      <c r="HE1120" s="451" t="n"/>
      <c r="HF1120" s="451" t="n"/>
      <c r="HG1120" s="451" t="n"/>
    </row>
    <row r="1121">
      <c r="A1121" s="429" t="n">
        <v>208</v>
      </c>
      <c r="B1121" s="431" t="n">
        <v>208</v>
      </c>
      <c r="C1121" s="688" t="n"/>
      <c r="D1121" s="431" t="n"/>
      <c r="E1121" s="429" t="n"/>
      <c r="F1121" s="429" t="n"/>
      <c r="G1121" s="429" t="n"/>
      <c r="I1121" s="429" t="n">
        <v>208</v>
      </c>
      <c r="J1121" s="431" t="n">
        <v>208</v>
      </c>
      <c r="K1121" s="429" t="n"/>
      <c r="L1121" s="431" t="n"/>
      <c r="M1121" s="451" t="n"/>
      <c r="N1121" s="422">
        <f>'CIRCUIT SIM'!Y211</f>
        <v/>
      </c>
      <c r="O1121" s="451" t="n"/>
      <c r="Q1121" s="429" t="n">
        <v>208</v>
      </c>
      <c r="R1121" s="431" t="n">
        <v>208</v>
      </c>
      <c r="S1121" s="429" t="n"/>
      <c r="T1121" s="431" t="n"/>
      <c r="U1121" s="429" t="n"/>
      <c r="V1121" s="386" t="n"/>
      <c r="W1121" s="451" t="n"/>
      <c r="Y1121" s="429" t="n">
        <v>208</v>
      </c>
      <c r="Z1121" s="431" t="n">
        <v>208</v>
      </c>
      <c r="AA1121" s="429" t="n"/>
      <c r="AB1121" s="431" t="n"/>
      <c r="AC1121" s="451" t="n"/>
      <c r="AD1121" s="451" t="n"/>
      <c r="AE1121" s="451" t="n"/>
      <c r="AG1121" s="429" t="n">
        <v>208</v>
      </c>
      <c r="AH1121" s="431" t="n">
        <v>208</v>
      </c>
      <c r="AI1121" s="429" t="n"/>
      <c r="AJ1121" s="431" t="n"/>
      <c r="AK1121" s="451" t="n"/>
      <c r="AL1121" s="451" t="n"/>
      <c r="AM1121" s="451" t="n"/>
      <c r="AO1121" s="429" t="n">
        <v>208</v>
      </c>
      <c r="AP1121" s="431" t="n">
        <v>208</v>
      </c>
      <c r="AQ1121" s="429" t="n"/>
      <c r="AR1121" s="431" t="n"/>
      <c r="AS1121" s="451" t="n"/>
      <c r="AT1121" s="451" t="n"/>
      <c r="AU1121" s="451" t="n"/>
      <c r="AW1121" s="429" t="n">
        <v>208</v>
      </c>
      <c r="AX1121" s="431" t="n">
        <v>208</v>
      </c>
      <c r="AY1121" s="429" t="n"/>
      <c r="AZ1121" s="431" t="n"/>
      <c r="BA1121" s="451" t="n"/>
      <c r="BB1121" s="451" t="n"/>
      <c r="BC1121" s="451" t="n"/>
      <c r="BE1121" s="429" t="n">
        <v>208</v>
      </c>
      <c r="BF1121" s="431" t="n"/>
      <c r="BG1121" s="429" t="n"/>
      <c r="BH1121" s="431" t="n"/>
      <c r="BI1121" s="451" t="n"/>
      <c r="BJ1121" s="451" t="n"/>
      <c r="BK1121" s="451" t="n"/>
      <c r="BM1121" s="429" t="n">
        <v>208</v>
      </c>
      <c r="BN1121" s="431" t="n">
        <v>208</v>
      </c>
      <c r="BO1121" s="429" t="n"/>
      <c r="BP1121" s="431" t="n"/>
      <c r="BQ1121" s="451" t="n"/>
      <c r="BR1121" s="451" t="n"/>
      <c r="BS1121" s="451" t="n"/>
      <c r="BU1121" s="429" t="n">
        <v>208</v>
      </c>
      <c r="BV1121" s="431" t="n">
        <v>208</v>
      </c>
      <c r="BW1121" s="429" t="n"/>
      <c r="BX1121" s="431" t="n"/>
      <c r="BY1121" s="451" t="n"/>
      <c r="BZ1121" s="451">
        <f>'CIRCUIT SIM'!EI211</f>
        <v/>
      </c>
      <c r="CA1121" s="451" t="n"/>
      <c r="CC1121" s="429" t="n">
        <v>208</v>
      </c>
      <c r="CD1121" s="431" t="n">
        <v>208</v>
      </c>
      <c r="CE1121" s="688" t="n"/>
      <c r="CF1121" s="431" t="n"/>
      <c r="CG1121" s="451" t="n"/>
      <c r="CH1121" s="562">
        <f>'CIRCUIT SIM'!LK209</f>
        <v/>
      </c>
      <c r="CI1121" s="451" t="n"/>
      <c r="CK1121" s="429" t="n">
        <v>208</v>
      </c>
      <c r="CL1121" s="431" t="n">
        <v>208</v>
      </c>
      <c r="CM1121" s="688" t="n"/>
      <c r="CN1121" s="431" t="n"/>
      <c r="CO1121" s="451" t="n"/>
      <c r="CP1121" s="451" t="n"/>
      <c r="CQ1121" s="451" t="n"/>
      <c r="CS1121" s="429" t="n">
        <v>208</v>
      </c>
      <c r="CT1121" s="431" t="n">
        <v>208</v>
      </c>
      <c r="CU1121" s="688" t="n"/>
      <c r="CV1121" s="431" t="n"/>
      <c r="CW1121" s="451" t="n"/>
      <c r="CX1121" s="451" t="n"/>
      <c r="CY1121" s="451" t="n"/>
      <c r="DA1121" s="429" t="n">
        <v>208</v>
      </c>
      <c r="DB1121" s="431" t="n">
        <v>208</v>
      </c>
      <c r="DC1121" s="688" t="n"/>
      <c r="DD1121" s="431" t="n"/>
      <c r="DE1121" s="451" t="n"/>
      <c r="DF1121" s="451" t="n"/>
      <c r="DG1121" s="451" t="n"/>
      <c r="DI1121" s="429" t="n">
        <v>208</v>
      </c>
      <c r="DJ1121" s="431" t="n">
        <v>208</v>
      </c>
      <c r="DK1121" s="688" t="n"/>
      <c r="DL1121" s="431" t="n"/>
      <c r="DM1121" s="429" t="n"/>
      <c r="DN1121" s="451" t="n"/>
      <c r="DO1121" s="451" t="n"/>
      <c r="DQ1121" s="429" t="n">
        <v>208</v>
      </c>
      <c r="DR1121" s="431" t="n">
        <v>208</v>
      </c>
      <c r="DS1121" s="688" t="n"/>
      <c r="DT1121" s="431" t="n"/>
      <c r="DU1121" s="451" t="n"/>
      <c r="DV1121" s="451" t="n"/>
      <c r="DW1121" s="451" t="n"/>
      <c r="DY1121" s="429" t="n">
        <v>208</v>
      </c>
      <c r="DZ1121" s="431" t="n">
        <v>208</v>
      </c>
      <c r="EA1121" s="688" t="n"/>
      <c r="EB1121" s="431" t="n"/>
      <c r="EC1121" s="451" t="n"/>
      <c r="ED1121" s="451" t="n"/>
      <c r="EE1121" s="451" t="n"/>
      <c r="EG1121" s="429" t="n">
        <v>208</v>
      </c>
      <c r="EH1121" s="431" t="n">
        <v>208</v>
      </c>
      <c r="EI1121" s="688" t="n"/>
      <c r="EJ1121" s="431" t="n"/>
      <c r="EK1121" s="451" t="n"/>
      <c r="EL1121" s="451" t="n"/>
      <c r="EM1121" s="451" t="n"/>
      <c r="EO1121" s="429" t="n">
        <v>208</v>
      </c>
      <c r="EP1121" s="431" t="n">
        <v>208</v>
      </c>
      <c r="EQ1121" s="688" t="n"/>
      <c r="ER1121" s="431" t="n"/>
      <c r="ES1121" s="451" t="n"/>
      <c r="ET1121" s="451" t="n"/>
      <c r="EU1121" s="451" t="n"/>
      <c r="EW1121" s="429" t="n">
        <v>208</v>
      </c>
      <c r="EX1121" s="431" t="n">
        <v>208</v>
      </c>
      <c r="EY1121" s="688" t="n"/>
      <c r="EZ1121" s="431" t="n"/>
      <c r="FA1121" s="451" t="n"/>
      <c r="FB1121" s="451" t="n"/>
      <c r="FC1121" s="451" t="n"/>
      <c r="FE1121" s="429" t="n">
        <v>208</v>
      </c>
      <c r="FF1121" s="431" t="n">
        <v>208</v>
      </c>
      <c r="FG1121" s="688" t="n"/>
      <c r="FH1121" s="431" t="n"/>
      <c r="FI1121" s="451" t="n"/>
      <c r="FJ1121" s="451" t="n"/>
      <c r="FK1121" s="451" t="n"/>
      <c r="FM1121" s="429" t="n">
        <v>208</v>
      </c>
      <c r="FN1121" s="431" t="n">
        <v>208</v>
      </c>
      <c r="FO1121" s="688" t="n"/>
      <c r="FP1121" s="431" t="n"/>
      <c r="FQ1121" s="451" t="n"/>
      <c r="FR1121" s="451" t="n"/>
      <c r="FS1121" s="451" t="n"/>
      <c r="FU1121" s="429" t="n">
        <v>208</v>
      </c>
      <c r="FV1121" s="431" t="n">
        <v>208</v>
      </c>
      <c r="FW1121" s="688" t="n"/>
      <c r="FX1121" s="431" t="n"/>
      <c r="FY1121" s="451" t="n"/>
      <c r="FZ1121" s="562">
        <f>'CIRCUIT SIM'!JG211</f>
        <v/>
      </c>
      <c r="GA1121" s="451" t="n"/>
      <c r="GC1121" s="429" t="n">
        <v>208</v>
      </c>
      <c r="GD1121" s="431" t="n">
        <v>208</v>
      </c>
      <c r="GE1121" s="688" t="n"/>
      <c r="GF1121" s="431" t="n"/>
      <c r="GG1121" s="451" t="n"/>
      <c r="GH1121" s="451" t="n"/>
      <c r="GI1121" s="451" t="n"/>
      <c r="GK1121" s="429" t="n">
        <v>208</v>
      </c>
      <c r="GL1121" s="431" t="n">
        <v>208</v>
      </c>
      <c r="GM1121" s="688" t="n"/>
      <c r="GN1121" s="431" t="n"/>
      <c r="GO1121" s="451" t="n"/>
      <c r="GP1121" s="451" t="n"/>
      <c r="GQ1121" s="451" t="n"/>
      <c r="GS1121" s="429" t="n">
        <v>208</v>
      </c>
      <c r="GT1121" s="431" t="n">
        <v>208</v>
      </c>
      <c r="GU1121" s="688" t="n"/>
      <c r="GV1121" s="431" t="n"/>
      <c r="GW1121" s="451" t="n"/>
      <c r="GX1121" s="451" t="n"/>
      <c r="GY1121" s="451" t="n"/>
      <c r="HA1121" s="429" t="n">
        <v>208</v>
      </c>
      <c r="HB1121" s="431" t="n">
        <v>208</v>
      </c>
      <c r="HC1121" s="688" t="n"/>
      <c r="HD1121" s="431" t="n"/>
      <c r="HE1121" s="451" t="n"/>
      <c r="HF1121" s="451" t="n"/>
      <c r="HG1121" s="451" t="n"/>
    </row>
    <row r="1122">
      <c r="A1122" s="429" t="n">
        <v>209</v>
      </c>
      <c r="B1122" s="431" t="n">
        <v>209</v>
      </c>
      <c r="C1122" s="688" t="n"/>
      <c r="D1122" s="431" t="n"/>
      <c r="E1122" s="429" t="n"/>
      <c r="F1122" s="429" t="n"/>
      <c r="G1122" s="429" t="n"/>
      <c r="I1122" s="429" t="n">
        <v>209</v>
      </c>
      <c r="J1122" s="431" t="n">
        <v>209</v>
      </c>
      <c r="K1122" s="429" t="n"/>
      <c r="L1122" s="431" t="n"/>
      <c r="M1122" s="451" t="n"/>
      <c r="N1122" s="422">
        <f>'CIRCUIT SIM'!Y212</f>
        <v/>
      </c>
      <c r="O1122" s="451" t="n"/>
      <c r="Q1122" s="429" t="n">
        <v>209</v>
      </c>
      <c r="R1122" s="431" t="n">
        <v>209</v>
      </c>
      <c r="S1122" s="429" t="n"/>
      <c r="T1122" s="431" t="n"/>
      <c r="U1122" s="429" t="n"/>
      <c r="V1122" s="386" t="n"/>
      <c r="W1122" s="451" t="n"/>
      <c r="Y1122" s="429" t="n">
        <v>209</v>
      </c>
      <c r="Z1122" s="431" t="n">
        <v>209</v>
      </c>
      <c r="AA1122" s="429" t="n"/>
      <c r="AB1122" s="431" t="n"/>
      <c r="AC1122" s="451" t="n"/>
      <c r="AD1122" s="451" t="n"/>
      <c r="AE1122" s="451" t="n"/>
      <c r="AG1122" s="429" t="n">
        <v>209</v>
      </c>
      <c r="AH1122" s="431" t="n">
        <v>209</v>
      </c>
      <c r="AI1122" s="429" t="n"/>
      <c r="AJ1122" s="431" t="n"/>
      <c r="AK1122" s="451" t="n"/>
      <c r="AL1122" s="451" t="n"/>
      <c r="AM1122" s="451" t="n"/>
      <c r="AO1122" s="429" t="n">
        <v>209</v>
      </c>
      <c r="AP1122" s="431" t="n">
        <v>209</v>
      </c>
      <c r="AQ1122" s="429" t="n"/>
      <c r="AR1122" s="431" t="n"/>
      <c r="AS1122" s="451" t="n"/>
      <c r="AT1122" s="451" t="n"/>
      <c r="AU1122" s="451" t="n"/>
      <c r="AW1122" s="429" t="n">
        <v>209</v>
      </c>
      <c r="AX1122" s="431" t="n">
        <v>209</v>
      </c>
      <c r="AY1122" s="429" t="n"/>
      <c r="AZ1122" s="431" t="n"/>
      <c r="BA1122" s="451" t="n"/>
      <c r="BB1122" s="451" t="n"/>
      <c r="BC1122" s="451" t="n"/>
      <c r="BE1122" s="429" t="n">
        <v>209</v>
      </c>
      <c r="BF1122" s="431" t="n"/>
      <c r="BG1122" s="429" t="n"/>
      <c r="BH1122" s="431" t="n"/>
      <c r="BI1122" s="451" t="n"/>
      <c r="BJ1122" s="451" t="n"/>
      <c r="BK1122" s="451" t="n"/>
      <c r="BM1122" s="429" t="n">
        <v>209</v>
      </c>
      <c r="BN1122" s="431" t="n">
        <v>209</v>
      </c>
      <c r="BO1122" s="429" t="n"/>
      <c r="BP1122" s="431" t="n"/>
      <c r="BQ1122" s="451" t="n"/>
      <c r="BR1122" s="451" t="n"/>
      <c r="BS1122" s="451" t="n"/>
      <c r="BU1122" s="429" t="n">
        <v>209</v>
      </c>
      <c r="BV1122" s="431" t="n">
        <v>209</v>
      </c>
      <c r="BW1122" s="429" t="n"/>
      <c r="BX1122" s="431" t="n"/>
      <c r="BY1122" s="451" t="n"/>
      <c r="BZ1122" s="451">
        <f>'CIRCUIT SIM'!EI212</f>
        <v/>
      </c>
      <c r="CA1122" s="451" t="n"/>
      <c r="CC1122" s="429" t="n">
        <v>209</v>
      </c>
      <c r="CD1122" s="431" t="n">
        <v>209</v>
      </c>
      <c r="CE1122" s="688" t="n"/>
      <c r="CF1122" s="431" t="n"/>
      <c r="CG1122" s="451" t="n"/>
      <c r="CH1122" s="562">
        <f>'CIRCUIT SIM'!LK210</f>
        <v/>
      </c>
      <c r="CI1122" s="451" t="n"/>
      <c r="CK1122" s="429" t="n">
        <v>209</v>
      </c>
      <c r="CL1122" s="431" t="n">
        <v>209</v>
      </c>
      <c r="CM1122" s="688" t="n"/>
      <c r="CN1122" s="431" t="n"/>
      <c r="CO1122" s="451" t="n"/>
      <c r="CP1122" s="451" t="n"/>
      <c r="CQ1122" s="451" t="n"/>
      <c r="CS1122" s="429" t="n">
        <v>209</v>
      </c>
      <c r="CT1122" s="431" t="n">
        <v>209</v>
      </c>
      <c r="CU1122" s="688" t="n"/>
      <c r="CV1122" s="431" t="n"/>
      <c r="CW1122" s="451" t="n"/>
      <c r="CX1122" s="451" t="n"/>
      <c r="CY1122" s="451" t="n"/>
      <c r="DA1122" s="429" t="n">
        <v>209</v>
      </c>
      <c r="DB1122" s="431" t="n">
        <v>209</v>
      </c>
      <c r="DC1122" s="688" t="n"/>
      <c r="DD1122" s="431" t="n"/>
      <c r="DE1122" s="451" t="n"/>
      <c r="DF1122" s="451" t="n"/>
      <c r="DG1122" s="451" t="n"/>
      <c r="DI1122" s="429" t="n">
        <v>209</v>
      </c>
      <c r="DJ1122" s="431" t="n">
        <v>209</v>
      </c>
      <c r="DK1122" s="688" t="n"/>
      <c r="DL1122" s="431" t="n"/>
      <c r="DM1122" s="429" t="n"/>
      <c r="DN1122" s="451" t="n"/>
      <c r="DO1122" s="451" t="n"/>
      <c r="DQ1122" s="429" t="n">
        <v>209</v>
      </c>
      <c r="DR1122" s="431" t="n">
        <v>209</v>
      </c>
      <c r="DS1122" s="688" t="n"/>
      <c r="DT1122" s="431" t="n"/>
      <c r="DU1122" s="451" t="n"/>
      <c r="DV1122" s="451" t="n"/>
      <c r="DW1122" s="451" t="n"/>
      <c r="DY1122" s="429" t="n">
        <v>209</v>
      </c>
      <c r="DZ1122" s="431" t="n">
        <v>209</v>
      </c>
      <c r="EA1122" s="688" t="n"/>
      <c r="EB1122" s="431" t="n"/>
      <c r="EC1122" s="451" t="n"/>
      <c r="ED1122" s="451" t="n"/>
      <c r="EE1122" s="451" t="n"/>
      <c r="EG1122" s="429" t="n">
        <v>209</v>
      </c>
      <c r="EH1122" s="431" t="n">
        <v>209</v>
      </c>
      <c r="EI1122" s="688" t="n"/>
      <c r="EJ1122" s="431" t="n"/>
      <c r="EK1122" s="451" t="n"/>
      <c r="EL1122" s="451" t="n"/>
      <c r="EM1122" s="451" t="n"/>
      <c r="EO1122" s="429" t="n">
        <v>209</v>
      </c>
      <c r="EP1122" s="431" t="n">
        <v>209</v>
      </c>
      <c r="EQ1122" s="688" t="n"/>
      <c r="ER1122" s="431" t="n"/>
      <c r="ES1122" s="451" t="n"/>
      <c r="ET1122" s="451" t="n"/>
      <c r="EU1122" s="451" t="n"/>
      <c r="EW1122" s="429" t="n">
        <v>209</v>
      </c>
      <c r="EX1122" s="431" t="n">
        <v>209</v>
      </c>
      <c r="EY1122" s="688" t="n"/>
      <c r="EZ1122" s="431" t="n"/>
      <c r="FA1122" s="451" t="n"/>
      <c r="FB1122" s="451" t="n"/>
      <c r="FC1122" s="451" t="n"/>
      <c r="FE1122" s="429" t="n">
        <v>209</v>
      </c>
      <c r="FF1122" s="431" t="n">
        <v>209</v>
      </c>
      <c r="FG1122" s="688" t="n"/>
      <c r="FH1122" s="431" t="n"/>
      <c r="FI1122" s="451" t="n"/>
      <c r="FJ1122" s="451" t="n"/>
      <c r="FK1122" s="451" t="n"/>
      <c r="FM1122" s="429" t="n">
        <v>209</v>
      </c>
      <c r="FN1122" s="431" t="n">
        <v>209</v>
      </c>
      <c r="FO1122" s="688" t="n"/>
      <c r="FP1122" s="431" t="n"/>
      <c r="FQ1122" s="451" t="n"/>
      <c r="FR1122" s="451" t="n"/>
      <c r="FS1122" s="451" t="n"/>
      <c r="FU1122" s="429" t="n">
        <v>209</v>
      </c>
      <c r="FV1122" s="431" t="n">
        <v>209</v>
      </c>
      <c r="FW1122" s="688" t="n"/>
      <c r="FX1122" s="431" t="n"/>
      <c r="FY1122" s="451" t="n"/>
      <c r="FZ1122" s="562">
        <f>'CIRCUIT SIM'!JG212</f>
        <v/>
      </c>
      <c r="GA1122" s="451" t="n"/>
      <c r="GC1122" s="429" t="n">
        <v>209</v>
      </c>
      <c r="GD1122" s="431" t="n">
        <v>209</v>
      </c>
      <c r="GE1122" s="688" t="n"/>
      <c r="GF1122" s="431" t="n"/>
      <c r="GG1122" s="451" t="n"/>
      <c r="GH1122" s="451" t="n"/>
      <c r="GI1122" s="451" t="n"/>
      <c r="GK1122" s="429" t="n">
        <v>209</v>
      </c>
      <c r="GL1122" s="431" t="n">
        <v>209</v>
      </c>
      <c r="GM1122" s="688" t="n"/>
      <c r="GN1122" s="431" t="n"/>
      <c r="GO1122" s="451" t="n"/>
      <c r="GP1122" s="451" t="n"/>
      <c r="GQ1122" s="451" t="n"/>
      <c r="GS1122" s="429" t="n">
        <v>209</v>
      </c>
      <c r="GT1122" s="431" t="n">
        <v>209</v>
      </c>
      <c r="GU1122" s="688" t="n"/>
      <c r="GV1122" s="431" t="n"/>
      <c r="GW1122" s="451" t="n"/>
      <c r="GX1122" s="451" t="n"/>
      <c r="GY1122" s="451" t="n"/>
      <c r="HA1122" s="429" t="n">
        <v>209</v>
      </c>
      <c r="HB1122" s="431" t="n">
        <v>209</v>
      </c>
      <c r="HC1122" s="688" t="n"/>
      <c r="HD1122" s="431" t="n"/>
      <c r="HE1122" s="451" t="n"/>
      <c r="HF1122" s="451" t="n"/>
      <c r="HG1122" s="451" t="n"/>
    </row>
    <row r="1123">
      <c r="A1123" s="429" t="n">
        <v>210</v>
      </c>
      <c r="B1123" s="431" t="n">
        <v>210</v>
      </c>
      <c r="C1123" s="688" t="n"/>
      <c r="D1123" s="431" t="n"/>
      <c r="E1123" s="429" t="n"/>
      <c r="F1123" s="429" t="n"/>
      <c r="G1123" s="429" t="n"/>
      <c r="I1123" s="429" t="n">
        <v>210</v>
      </c>
      <c r="J1123" s="431" t="n">
        <v>210</v>
      </c>
      <c r="K1123" s="429" t="n"/>
      <c r="L1123" s="431" t="n"/>
      <c r="M1123" s="451" t="n"/>
      <c r="N1123" s="422">
        <f>'CIRCUIT SIM'!Y213</f>
        <v/>
      </c>
      <c r="O1123" s="451" t="n"/>
      <c r="Q1123" s="429" t="n">
        <v>210</v>
      </c>
      <c r="R1123" s="431" t="n">
        <v>210</v>
      </c>
      <c r="S1123" s="429" t="n"/>
      <c r="T1123" s="431" t="n"/>
      <c r="U1123" s="429" t="n"/>
      <c r="V1123" s="386" t="n"/>
      <c r="W1123" s="451" t="n"/>
      <c r="Y1123" s="429" t="n">
        <v>210</v>
      </c>
      <c r="Z1123" s="431" t="n">
        <v>210</v>
      </c>
      <c r="AA1123" s="429" t="n"/>
      <c r="AB1123" s="431" t="n"/>
      <c r="AC1123" s="451" t="n"/>
      <c r="AD1123" s="451" t="n"/>
      <c r="AE1123" s="451" t="n"/>
      <c r="AG1123" s="429" t="n">
        <v>210</v>
      </c>
      <c r="AH1123" s="431" t="n">
        <v>210</v>
      </c>
      <c r="AI1123" s="429" t="n"/>
      <c r="AJ1123" s="431" t="n"/>
      <c r="AK1123" s="451" t="n"/>
      <c r="AL1123" s="451" t="n"/>
      <c r="AM1123" s="451" t="n"/>
      <c r="AO1123" s="429" t="n">
        <v>210</v>
      </c>
      <c r="AP1123" s="431" t="n">
        <v>210</v>
      </c>
      <c r="AQ1123" s="429" t="n"/>
      <c r="AR1123" s="431" t="n"/>
      <c r="AS1123" s="451" t="n"/>
      <c r="AT1123" s="451" t="n"/>
      <c r="AU1123" s="451" t="n"/>
      <c r="AW1123" s="429" t="n">
        <v>210</v>
      </c>
      <c r="AX1123" s="431" t="n">
        <v>210</v>
      </c>
      <c r="AY1123" s="429" t="n"/>
      <c r="AZ1123" s="431" t="n"/>
      <c r="BA1123" s="451" t="n"/>
      <c r="BB1123" s="451" t="n"/>
      <c r="BC1123" s="451" t="n"/>
      <c r="BE1123" s="429" t="n">
        <v>210</v>
      </c>
      <c r="BF1123" s="431" t="n"/>
      <c r="BG1123" s="429" t="n"/>
      <c r="BH1123" s="431" t="n"/>
      <c r="BI1123" s="451" t="n"/>
      <c r="BJ1123" s="451" t="n"/>
      <c r="BK1123" s="451" t="n"/>
      <c r="BM1123" s="429" t="n">
        <v>210</v>
      </c>
      <c r="BN1123" s="431" t="n">
        <v>210</v>
      </c>
      <c r="BO1123" s="429" t="n"/>
      <c r="BP1123" s="431" t="n"/>
      <c r="BQ1123" s="451" t="n"/>
      <c r="BR1123" s="451" t="n"/>
      <c r="BS1123" s="451" t="n"/>
      <c r="BU1123" s="429" t="n">
        <v>210</v>
      </c>
      <c r="BV1123" s="431" t="n">
        <v>210</v>
      </c>
      <c r="BW1123" s="429" t="n"/>
      <c r="BX1123" s="431" t="n"/>
      <c r="BY1123" s="451" t="n"/>
      <c r="BZ1123" s="451">
        <f>'CIRCUIT SIM'!EI213</f>
        <v/>
      </c>
      <c r="CA1123" s="451" t="n"/>
      <c r="CC1123" s="429" t="n">
        <v>210</v>
      </c>
      <c r="CD1123" s="431" t="n">
        <v>210</v>
      </c>
      <c r="CE1123" s="688" t="n"/>
      <c r="CF1123" s="431" t="n"/>
      <c r="CG1123" s="451" t="n"/>
      <c r="CH1123" s="562">
        <f>'CIRCUIT SIM'!LK211</f>
        <v/>
      </c>
      <c r="CI1123" s="451" t="n"/>
      <c r="CK1123" s="429" t="n">
        <v>210</v>
      </c>
      <c r="CL1123" s="431" t="n">
        <v>210</v>
      </c>
      <c r="CM1123" s="688" t="n"/>
      <c r="CN1123" s="431" t="n"/>
      <c r="CO1123" s="451" t="n"/>
      <c r="CP1123" s="451" t="n"/>
      <c r="CQ1123" s="451" t="n"/>
      <c r="CS1123" s="429" t="n">
        <v>210</v>
      </c>
      <c r="CT1123" s="431" t="n">
        <v>210</v>
      </c>
      <c r="CU1123" s="688" t="n"/>
      <c r="CV1123" s="431" t="n"/>
      <c r="CW1123" s="451" t="n"/>
      <c r="CX1123" s="451" t="n"/>
      <c r="CY1123" s="451" t="n"/>
      <c r="DA1123" s="429" t="n">
        <v>210</v>
      </c>
      <c r="DB1123" s="431" t="n">
        <v>210</v>
      </c>
      <c r="DC1123" s="688" t="n"/>
      <c r="DD1123" s="431" t="n"/>
      <c r="DE1123" s="451" t="n"/>
      <c r="DF1123" s="451" t="n"/>
      <c r="DG1123" s="451" t="n"/>
      <c r="DI1123" s="429" t="n">
        <v>210</v>
      </c>
      <c r="DJ1123" s="431" t="n">
        <v>210</v>
      </c>
      <c r="DK1123" s="688" t="n"/>
      <c r="DL1123" s="431" t="n"/>
      <c r="DM1123" s="429" t="n"/>
      <c r="DN1123" s="451" t="n"/>
      <c r="DO1123" s="451" t="n"/>
      <c r="DQ1123" s="429" t="n">
        <v>210</v>
      </c>
      <c r="DR1123" s="431" t="n">
        <v>210</v>
      </c>
      <c r="DS1123" s="688" t="n"/>
      <c r="DT1123" s="431" t="n"/>
      <c r="DU1123" s="451" t="n"/>
      <c r="DV1123" s="451" t="n"/>
      <c r="DW1123" s="451" t="n"/>
      <c r="DY1123" s="429" t="n">
        <v>210</v>
      </c>
      <c r="DZ1123" s="431" t="n">
        <v>210</v>
      </c>
      <c r="EA1123" s="688" t="n"/>
      <c r="EB1123" s="431" t="n"/>
      <c r="EC1123" s="451" t="n"/>
      <c r="ED1123" s="451" t="n"/>
      <c r="EE1123" s="451" t="n"/>
      <c r="EG1123" s="429" t="n">
        <v>210</v>
      </c>
      <c r="EH1123" s="431" t="n">
        <v>210</v>
      </c>
      <c r="EI1123" s="688" t="n"/>
      <c r="EJ1123" s="431" t="n"/>
      <c r="EK1123" s="451" t="n"/>
      <c r="EL1123" s="451" t="n"/>
      <c r="EM1123" s="451" t="n"/>
      <c r="EO1123" s="429" t="n">
        <v>210</v>
      </c>
      <c r="EP1123" s="431" t="n">
        <v>210</v>
      </c>
      <c r="EQ1123" s="688" t="n"/>
      <c r="ER1123" s="431" t="n"/>
      <c r="ES1123" s="451" t="n"/>
      <c r="ET1123" s="451" t="n"/>
      <c r="EU1123" s="451" t="n"/>
      <c r="EW1123" s="429" t="n">
        <v>210</v>
      </c>
      <c r="EX1123" s="431" t="n">
        <v>210</v>
      </c>
      <c r="EY1123" s="688" t="n"/>
      <c r="EZ1123" s="431" t="n"/>
      <c r="FA1123" s="451" t="n"/>
      <c r="FB1123" s="451" t="n"/>
      <c r="FC1123" s="451" t="n"/>
      <c r="FE1123" s="429" t="n">
        <v>210</v>
      </c>
      <c r="FF1123" s="431" t="n">
        <v>210</v>
      </c>
      <c r="FG1123" s="688" t="n"/>
      <c r="FH1123" s="431" t="n"/>
      <c r="FI1123" s="451" t="n"/>
      <c r="FJ1123" s="451" t="n"/>
      <c r="FK1123" s="451" t="n"/>
      <c r="FM1123" s="429" t="n">
        <v>210</v>
      </c>
      <c r="FN1123" s="431" t="n">
        <v>210</v>
      </c>
      <c r="FO1123" s="688" t="n"/>
      <c r="FP1123" s="431" t="n"/>
      <c r="FQ1123" s="451" t="n"/>
      <c r="FR1123" s="451" t="n"/>
      <c r="FS1123" s="451" t="n"/>
      <c r="FU1123" s="429" t="n">
        <v>210</v>
      </c>
      <c r="FV1123" s="431" t="n">
        <v>210</v>
      </c>
      <c r="FW1123" s="688" t="n"/>
      <c r="FX1123" s="431" t="n"/>
      <c r="FY1123" s="451" t="n"/>
      <c r="FZ1123" s="562">
        <f>'CIRCUIT SIM'!JG213</f>
        <v/>
      </c>
      <c r="GA1123" s="451" t="n"/>
      <c r="GC1123" s="429" t="n">
        <v>210</v>
      </c>
      <c r="GD1123" s="431" t="n">
        <v>210</v>
      </c>
      <c r="GE1123" s="688" t="n"/>
      <c r="GF1123" s="431" t="n"/>
      <c r="GG1123" s="451" t="n"/>
      <c r="GH1123" s="451" t="n"/>
      <c r="GI1123" s="451" t="n"/>
      <c r="GK1123" s="429" t="n">
        <v>210</v>
      </c>
      <c r="GL1123" s="431" t="n">
        <v>210</v>
      </c>
      <c r="GM1123" s="688" t="n"/>
      <c r="GN1123" s="431" t="n"/>
      <c r="GO1123" s="451" t="n"/>
      <c r="GP1123" s="451" t="n"/>
      <c r="GQ1123" s="451" t="n"/>
      <c r="GS1123" s="429" t="n">
        <v>210</v>
      </c>
      <c r="GT1123" s="431" t="n">
        <v>210</v>
      </c>
      <c r="GU1123" s="688" t="n"/>
      <c r="GV1123" s="431" t="n"/>
      <c r="GW1123" s="451" t="n"/>
      <c r="GX1123" s="451" t="n"/>
      <c r="GY1123" s="451" t="n"/>
      <c r="HA1123" s="429" t="n">
        <v>210</v>
      </c>
      <c r="HB1123" s="431" t="n">
        <v>210</v>
      </c>
      <c r="HC1123" s="688" t="n"/>
      <c r="HD1123" s="431" t="n"/>
      <c r="HE1123" s="451" t="n"/>
      <c r="HF1123" s="451" t="n"/>
      <c r="HG1123" s="451" t="n"/>
    </row>
    <row r="1124">
      <c r="A1124" s="429" t="n">
        <v>211</v>
      </c>
      <c r="B1124" s="431" t="n">
        <v>211</v>
      </c>
      <c r="C1124" s="688" t="n"/>
      <c r="D1124" s="431" t="n"/>
      <c r="E1124" s="429" t="n"/>
      <c r="F1124" s="429" t="n"/>
      <c r="G1124" s="429" t="n"/>
      <c r="I1124" s="429" t="n">
        <v>211</v>
      </c>
      <c r="J1124" s="431" t="n">
        <v>211</v>
      </c>
      <c r="K1124" s="429" t="n"/>
      <c r="L1124" s="431" t="n"/>
      <c r="M1124" s="451" t="n"/>
      <c r="N1124" s="422">
        <f>'CIRCUIT SIM'!Y214</f>
        <v/>
      </c>
      <c r="O1124" s="451" t="n"/>
      <c r="Q1124" s="429" t="n">
        <v>211</v>
      </c>
      <c r="R1124" s="431" t="n">
        <v>211</v>
      </c>
      <c r="S1124" s="429" t="n"/>
      <c r="T1124" s="431" t="n"/>
      <c r="U1124" s="429" t="n"/>
      <c r="V1124" s="386" t="n"/>
      <c r="W1124" s="451" t="n"/>
      <c r="Y1124" s="429" t="n">
        <v>211</v>
      </c>
      <c r="Z1124" s="431" t="n">
        <v>211</v>
      </c>
      <c r="AA1124" s="429" t="n"/>
      <c r="AB1124" s="431" t="n"/>
      <c r="AC1124" s="451" t="n"/>
      <c r="AD1124" s="451" t="n"/>
      <c r="AE1124" s="451" t="n"/>
      <c r="AG1124" s="429" t="n">
        <v>211</v>
      </c>
      <c r="AH1124" s="431" t="n">
        <v>211</v>
      </c>
      <c r="AI1124" s="429" t="n"/>
      <c r="AJ1124" s="431" t="n"/>
      <c r="AK1124" s="451" t="n"/>
      <c r="AL1124" s="451" t="n"/>
      <c r="AM1124" s="451" t="n"/>
      <c r="AO1124" s="429" t="n">
        <v>211</v>
      </c>
      <c r="AP1124" s="431" t="n">
        <v>211</v>
      </c>
      <c r="AQ1124" s="429" t="n"/>
      <c r="AR1124" s="431" t="n"/>
      <c r="AS1124" s="451" t="n"/>
      <c r="AT1124" s="451" t="n"/>
      <c r="AU1124" s="451" t="n"/>
      <c r="AW1124" s="429" t="n">
        <v>211</v>
      </c>
      <c r="AX1124" s="431" t="n">
        <v>211</v>
      </c>
      <c r="AY1124" s="429" t="n"/>
      <c r="AZ1124" s="431" t="n"/>
      <c r="BA1124" s="451" t="n"/>
      <c r="BB1124" s="451" t="n"/>
      <c r="BC1124" s="451" t="n"/>
      <c r="BE1124" s="429" t="n">
        <v>211</v>
      </c>
      <c r="BF1124" s="431" t="n"/>
      <c r="BG1124" s="429" t="n"/>
      <c r="BH1124" s="431" t="n"/>
      <c r="BI1124" s="451" t="n"/>
      <c r="BJ1124" s="451" t="n"/>
      <c r="BK1124" s="451" t="n"/>
      <c r="BM1124" s="429" t="n">
        <v>211</v>
      </c>
      <c r="BN1124" s="431" t="n">
        <v>211</v>
      </c>
      <c r="BO1124" s="429" t="n"/>
      <c r="BP1124" s="431" t="n"/>
      <c r="BQ1124" s="451" t="n"/>
      <c r="BR1124" s="451" t="n"/>
      <c r="BS1124" s="451" t="n"/>
      <c r="BU1124" s="429" t="n">
        <v>211</v>
      </c>
      <c r="BV1124" s="431" t="n">
        <v>211</v>
      </c>
      <c r="BW1124" s="429" t="n"/>
      <c r="BX1124" s="431" t="n"/>
      <c r="BY1124" s="451" t="n"/>
      <c r="BZ1124" s="451">
        <f>'CIRCUIT SIM'!EI214</f>
        <v/>
      </c>
      <c r="CA1124" s="451" t="n"/>
      <c r="CC1124" s="429" t="n">
        <v>211</v>
      </c>
      <c r="CD1124" s="431" t="n">
        <v>211</v>
      </c>
      <c r="CE1124" s="688" t="n"/>
      <c r="CF1124" s="431" t="n"/>
      <c r="CG1124" s="451" t="n"/>
      <c r="CH1124" s="562">
        <f>'CIRCUIT SIM'!LK212</f>
        <v/>
      </c>
      <c r="CI1124" s="451" t="n"/>
      <c r="CK1124" s="429" t="n">
        <v>211</v>
      </c>
      <c r="CL1124" s="431" t="n">
        <v>211</v>
      </c>
      <c r="CM1124" s="688" t="n"/>
      <c r="CN1124" s="431" t="n"/>
      <c r="CO1124" s="451" t="n"/>
      <c r="CP1124" s="451" t="n"/>
      <c r="CQ1124" s="451" t="n"/>
      <c r="CS1124" s="429" t="n">
        <v>211</v>
      </c>
      <c r="CT1124" s="431" t="n">
        <v>211</v>
      </c>
      <c r="CU1124" s="688" t="n"/>
      <c r="CV1124" s="431" t="n"/>
      <c r="CW1124" s="451" t="n"/>
      <c r="CX1124" s="451" t="n"/>
      <c r="CY1124" s="451" t="n"/>
      <c r="DA1124" s="429" t="n">
        <v>211</v>
      </c>
      <c r="DB1124" s="431" t="n">
        <v>211</v>
      </c>
      <c r="DC1124" s="688" t="n"/>
      <c r="DD1124" s="431" t="n"/>
      <c r="DE1124" s="451" t="n"/>
      <c r="DF1124" s="451" t="n"/>
      <c r="DG1124" s="451" t="n"/>
      <c r="DI1124" s="429" t="n">
        <v>211</v>
      </c>
      <c r="DJ1124" s="431" t="n">
        <v>211</v>
      </c>
      <c r="DK1124" s="688" t="n"/>
      <c r="DL1124" s="431" t="n"/>
      <c r="DM1124" s="429" t="n"/>
      <c r="DN1124" s="451" t="n"/>
      <c r="DO1124" s="451" t="n"/>
      <c r="DQ1124" s="429" t="n">
        <v>211</v>
      </c>
      <c r="DR1124" s="431" t="n">
        <v>211</v>
      </c>
      <c r="DS1124" s="688" t="n"/>
      <c r="DT1124" s="431" t="n"/>
      <c r="DU1124" s="451" t="n"/>
      <c r="DV1124" s="451" t="n"/>
      <c r="DW1124" s="451" t="n"/>
      <c r="DY1124" s="429" t="n">
        <v>211</v>
      </c>
      <c r="DZ1124" s="431" t="n">
        <v>211</v>
      </c>
      <c r="EA1124" s="688" t="n"/>
      <c r="EB1124" s="431" t="n"/>
      <c r="EC1124" s="451" t="n"/>
      <c r="ED1124" s="451" t="n"/>
      <c r="EE1124" s="451" t="n"/>
      <c r="EG1124" s="429" t="n">
        <v>211</v>
      </c>
      <c r="EH1124" s="431" t="n">
        <v>211</v>
      </c>
      <c r="EI1124" s="688" t="n"/>
      <c r="EJ1124" s="431" t="n"/>
      <c r="EK1124" s="451" t="n"/>
      <c r="EL1124" s="451" t="n"/>
      <c r="EM1124" s="451" t="n"/>
      <c r="EO1124" s="429" t="n">
        <v>211</v>
      </c>
      <c r="EP1124" s="431" t="n">
        <v>211</v>
      </c>
      <c r="EQ1124" s="688" t="n"/>
      <c r="ER1124" s="431" t="n"/>
      <c r="ES1124" s="451" t="n"/>
      <c r="ET1124" s="451" t="n"/>
      <c r="EU1124" s="451" t="n"/>
      <c r="EW1124" s="429" t="n">
        <v>211</v>
      </c>
      <c r="EX1124" s="431" t="n">
        <v>211</v>
      </c>
      <c r="EY1124" s="688" t="n"/>
      <c r="EZ1124" s="431" t="n"/>
      <c r="FA1124" s="451" t="n"/>
      <c r="FB1124" s="451" t="n"/>
      <c r="FC1124" s="451" t="n"/>
      <c r="FE1124" s="429" t="n">
        <v>211</v>
      </c>
      <c r="FF1124" s="431" t="n">
        <v>211</v>
      </c>
      <c r="FG1124" s="688" t="n"/>
      <c r="FH1124" s="431" t="n"/>
      <c r="FI1124" s="451" t="n"/>
      <c r="FJ1124" s="451" t="n"/>
      <c r="FK1124" s="451" t="n"/>
      <c r="FM1124" s="429" t="n">
        <v>211</v>
      </c>
      <c r="FN1124" s="431" t="n">
        <v>211</v>
      </c>
      <c r="FO1124" s="688" t="n"/>
      <c r="FP1124" s="431" t="n"/>
      <c r="FQ1124" s="451" t="n"/>
      <c r="FR1124" s="451" t="n"/>
      <c r="FS1124" s="451" t="n"/>
      <c r="FU1124" s="429" t="n">
        <v>211</v>
      </c>
      <c r="FV1124" s="431" t="n">
        <v>211</v>
      </c>
      <c r="FW1124" s="688" t="n"/>
      <c r="FX1124" s="431" t="n"/>
      <c r="FY1124" s="451" t="n"/>
      <c r="FZ1124" s="562">
        <f>'CIRCUIT SIM'!JG214</f>
        <v/>
      </c>
      <c r="GA1124" s="451" t="n"/>
      <c r="GC1124" s="429" t="n">
        <v>211</v>
      </c>
      <c r="GD1124" s="431" t="n">
        <v>211</v>
      </c>
      <c r="GE1124" s="688" t="n"/>
      <c r="GF1124" s="431" t="n"/>
      <c r="GG1124" s="451" t="n"/>
      <c r="GH1124" s="451" t="n"/>
      <c r="GI1124" s="451" t="n"/>
      <c r="GK1124" s="429" t="n">
        <v>211</v>
      </c>
      <c r="GL1124" s="431" t="n">
        <v>211</v>
      </c>
      <c r="GM1124" s="688" t="n"/>
      <c r="GN1124" s="431" t="n"/>
      <c r="GO1124" s="451" t="n"/>
      <c r="GP1124" s="451" t="n"/>
      <c r="GQ1124" s="451" t="n"/>
      <c r="GS1124" s="429" t="n">
        <v>211</v>
      </c>
      <c r="GT1124" s="431" t="n">
        <v>211</v>
      </c>
      <c r="GU1124" s="688" t="n"/>
      <c r="GV1124" s="431" t="n"/>
      <c r="GW1124" s="451" t="n"/>
      <c r="GX1124" s="451" t="n"/>
      <c r="GY1124" s="451" t="n"/>
      <c r="HA1124" s="429" t="n">
        <v>211</v>
      </c>
      <c r="HB1124" s="431" t="n">
        <v>211</v>
      </c>
      <c r="HC1124" s="688" t="n"/>
      <c r="HD1124" s="431" t="n"/>
      <c r="HE1124" s="451" t="n"/>
      <c r="HF1124" s="451" t="n"/>
      <c r="HG1124" s="451" t="n"/>
    </row>
    <row r="1125">
      <c r="A1125" s="429" t="n">
        <v>212</v>
      </c>
      <c r="B1125" s="431" t="n">
        <v>212</v>
      </c>
      <c r="C1125" s="688" t="n"/>
      <c r="D1125" s="431" t="n"/>
      <c r="E1125" s="429" t="n"/>
      <c r="F1125" s="429" t="n"/>
      <c r="G1125" s="429" t="n"/>
      <c r="I1125" s="429" t="n">
        <v>212</v>
      </c>
      <c r="J1125" s="431" t="n">
        <v>212</v>
      </c>
      <c r="K1125" s="429" t="n"/>
      <c r="L1125" s="431" t="n"/>
      <c r="M1125" s="451" t="n"/>
      <c r="N1125" s="422">
        <f>'CIRCUIT SIM'!Y215</f>
        <v/>
      </c>
      <c r="O1125" s="451" t="n"/>
      <c r="Q1125" s="429" t="n">
        <v>212</v>
      </c>
      <c r="R1125" s="431" t="n">
        <v>212</v>
      </c>
      <c r="S1125" s="429" t="n"/>
      <c r="T1125" s="431" t="n"/>
      <c r="U1125" s="429" t="n"/>
      <c r="V1125" s="386" t="n"/>
      <c r="W1125" s="451" t="n"/>
      <c r="Y1125" s="429" t="n">
        <v>212</v>
      </c>
      <c r="Z1125" s="431" t="n">
        <v>212</v>
      </c>
      <c r="AA1125" s="429" t="n"/>
      <c r="AB1125" s="431" t="n"/>
      <c r="AC1125" s="451" t="n"/>
      <c r="AD1125" s="451" t="n"/>
      <c r="AE1125" s="451" t="n"/>
      <c r="AG1125" s="429" t="n">
        <v>212</v>
      </c>
      <c r="AH1125" s="431" t="n">
        <v>212</v>
      </c>
      <c r="AI1125" s="429" t="n"/>
      <c r="AJ1125" s="431" t="n"/>
      <c r="AK1125" s="451" t="n"/>
      <c r="AL1125" s="451" t="n"/>
      <c r="AM1125" s="451" t="n"/>
      <c r="AO1125" s="429" t="n">
        <v>212</v>
      </c>
      <c r="AP1125" s="431" t="n">
        <v>212</v>
      </c>
      <c r="AQ1125" s="429" t="n"/>
      <c r="AR1125" s="431" t="n"/>
      <c r="AS1125" s="451" t="n"/>
      <c r="AT1125" s="451" t="n"/>
      <c r="AU1125" s="451" t="n"/>
      <c r="AW1125" s="429" t="n">
        <v>212</v>
      </c>
      <c r="AX1125" s="431" t="n">
        <v>212</v>
      </c>
      <c r="AY1125" s="429" t="n"/>
      <c r="AZ1125" s="431" t="n"/>
      <c r="BA1125" s="451" t="n"/>
      <c r="BB1125" s="451" t="n"/>
      <c r="BC1125" s="451" t="n"/>
      <c r="BE1125" s="429" t="n">
        <v>212</v>
      </c>
      <c r="BF1125" s="431" t="n"/>
      <c r="BG1125" s="429" t="n"/>
      <c r="BH1125" s="431" t="n"/>
      <c r="BI1125" s="451" t="n"/>
      <c r="BJ1125" s="451" t="n"/>
      <c r="BK1125" s="451" t="n"/>
      <c r="BM1125" s="429" t="n">
        <v>212</v>
      </c>
      <c r="BN1125" s="431" t="n">
        <v>212</v>
      </c>
      <c r="BO1125" s="429" t="n"/>
      <c r="BP1125" s="431" t="n"/>
      <c r="BQ1125" s="451" t="n"/>
      <c r="BR1125" s="451" t="n"/>
      <c r="BS1125" s="451" t="n"/>
      <c r="BU1125" s="429" t="n">
        <v>212</v>
      </c>
      <c r="BV1125" s="431" t="n">
        <v>212</v>
      </c>
      <c r="BW1125" s="429" t="n"/>
      <c r="BX1125" s="431" t="n"/>
      <c r="BY1125" s="451" t="n"/>
      <c r="BZ1125" s="451">
        <f>'CIRCUIT SIM'!EI215</f>
        <v/>
      </c>
      <c r="CA1125" s="451" t="n"/>
      <c r="CC1125" s="429" t="n">
        <v>212</v>
      </c>
      <c r="CD1125" s="431" t="n">
        <v>212</v>
      </c>
      <c r="CE1125" s="688" t="n"/>
      <c r="CF1125" s="431" t="n"/>
      <c r="CG1125" s="451" t="n"/>
      <c r="CH1125" s="562">
        <f>'CIRCUIT SIM'!LK213</f>
        <v/>
      </c>
      <c r="CI1125" s="451" t="n"/>
      <c r="CK1125" s="429" t="n">
        <v>212</v>
      </c>
      <c r="CL1125" s="431" t="n">
        <v>212</v>
      </c>
      <c r="CM1125" s="688" t="n"/>
      <c r="CN1125" s="431" t="n"/>
      <c r="CO1125" s="451" t="n"/>
      <c r="CP1125" s="451" t="n"/>
      <c r="CQ1125" s="451" t="n"/>
      <c r="CS1125" s="429" t="n">
        <v>212</v>
      </c>
      <c r="CT1125" s="431" t="n">
        <v>212</v>
      </c>
      <c r="CU1125" s="688" t="n"/>
      <c r="CV1125" s="431" t="n"/>
      <c r="CW1125" s="451" t="n"/>
      <c r="CX1125" s="451" t="n"/>
      <c r="CY1125" s="451" t="n"/>
      <c r="DA1125" s="429" t="n">
        <v>212</v>
      </c>
      <c r="DB1125" s="431" t="n">
        <v>212</v>
      </c>
      <c r="DC1125" s="688" t="n"/>
      <c r="DD1125" s="431" t="n"/>
      <c r="DE1125" s="451" t="n"/>
      <c r="DF1125" s="451" t="n"/>
      <c r="DG1125" s="451" t="n"/>
      <c r="DI1125" s="429" t="n">
        <v>212</v>
      </c>
      <c r="DJ1125" s="431" t="n">
        <v>212</v>
      </c>
      <c r="DK1125" s="688" t="n"/>
      <c r="DL1125" s="431" t="n"/>
      <c r="DM1125" s="429" t="n"/>
      <c r="DN1125" s="451" t="n"/>
      <c r="DO1125" s="451" t="n"/>
      <c r="DQ1125" s="429" t="n">
        <v>212</v>
      </c>
      <c r="DR1125" s="431" t="n">
        <v>212</v>
      </c>
      <c r="DS1125" s="688" t="n"/>
      <c r="DT1125" s="431" t="n"/>
      <c r="DU1125" s="451" t="n"/>
      <c r="DV1125" s="451" t="n"/>
      <c r="DW1125" s="451" t="n"/>
      <c r="DY1125" s="429" t="n">
        <v>212</v>
      </c>
      <c r="DZ1125" s="431" t="n">
        <v>212</v>
      </c>
      <c r="EA1125" s="688" t="n"/>
      <c r="EB1125" s="431" t="n"/>
      <c r="EC1125" s="451" t="n"/>
      <c r="ED1125" s="451" t="n"/>
      <c r="EE1125" s="451" t="n"/>
      <c r="EG1125" s="429" t="n">
        <v>212</v>
      </c>
      <c r="EH1125" s="431" t="n">
        <v>212</v>
      </c>
      <c r="EI1125" s="688" t="n"/>
      <c r="EJ1125" s="431" t="n"/>
      <c r="EK1125" s="451" t="n"/>
      <c r="EL1125" s="451" t="n"/>
      <c r="EM1125" s="451" t="n"/>
      <c r="EO1125" s="429" t="n">
        <v>212</v>
      </c>
      <c r="EP1125" s="431" t="n">
        <v>212</v>
      </c>
      <c r="EQ1125" s="688" t="n"/>
      <c r="ER1125" s="431" t="n"/>
      <c r="ES1125" s="451" t="n"/>
      <c r="ET1125" s="451" t="n"/>
      <c r="EU1125" s="451" t="n"/>
      <c r="EW1125" s="429" t="n">
        <v>212</v>
      </c>
      <c r="EX1125" s="431" t="n">
        <v>212</v>
      </c>
      <c r="EY1125" s="688" t="n"/>
      <c r="EZ1125" s="431" t="n"/>
      <c r="FA1125" s="451" t="n"/>
      <c r="FB1125" s="451" t="n"/>
      <c r="FC1125" s="451" t="n"/>
      <c r="FE1125" s="429" t="n">
        <v>212</v>
      </c>
      <c r="FF1125" s="431" t="n">
        <v>212</v>
      </c>
      <c r="FG1125" s="688" t="n"/>
      <c r="FH1125" s="431" t="n"/>
      <c r="FI1125" s="451" t="n"/>
      <c r="FJ1125" s="451" t="n"/>
      <c r="FK1125" s="451" t="n"/>
      <c r="FM1125" s="429" t="n">
        <v>212</v>
      </c>
      <c r="FN1125" s="431" t="n">
        <v>212</v>
      </c>
      <c r="FO1125" s="688" t="n"/>
      <c r="FP1125" s="431" t="n"/>
      <c r="FQ1125" s="451" t="n"/>
      <c r="FR1125" s="451" t="n"/>
      <c r="FS1125" s="451" t="n"/>
      <c r="FU1125" s="429" t="n">
        <v>212</v>
      </c>
      <c r="FV1125" s="431" t="n">
        <v>212</v>
      </c>
      <c r="FW1125" s="688" t="n"/>
      <c r="FX1125" s="431" t="n"/>
      <c r="FY1125" s="451" t="n"/>
      <c r="FZ1125" s="562">
        <f>'CIRCUIT SIM'!JG215</f>
        <v/>
      </c>
      <c r="GA1125" s="451" t="n"/>
      <c r="GC1125" s="429" t="n">
        <v>212</v>
      </c>
      <c r="GD1125" s="431" t="n">
        <v>212</v>
      </c>
      <c r="GE1125" s="688" t="n"/>
      <c r="GF1125" s="431" t="n"/>
      <c r="GG1125" s="451" t="n"/>
      <c r="GH1125" s="451" t="n"/>
      <c r="GI1125" s="451" t="n"/>
      <c r="GK1125" s="429" t="n">
        <v>212</v>
      </c>
      <c r="GL1125" s="431" t="n">
        <v>212</v>
      </c>
      <c r="GM1125" s="688" t="n"/>
      <c r="GN1125" s="431" t="n"/>
      <c r="GO1125" s="451" t="n"/>
      <c r="GP1125" s="451" t="n"/>
      <c r="GQ1125" s="451" t="n"/>
      <c r="GS1125" s="429" t="n">
        <v>212</v>
      </c>
      <c r="GT1125" s="431" t="n">
        <v>212</v>
      </c>
      <c r="GU1125" s="688" t="n"/>
      <c r="GV1125" s="431" t="n"/>
      <c r="GW1125" s="451" t="n"/>
      <c r="GX1125" s="451" t="n"/>
      <c r="GY1125" s="451" t="n"/>
      <c r="HA1125" s="429" t="n">
        <v>212</v>
      </c>
      <c r="HB1125" s="431" t="n">
        <v>212</v>
      </c>
      <c r="HC1125" s="688" t="n"/>
      <c r="HD1125" s="431" t="n"/>
      <c r="HE1125" s="451" t="n"/>
      <c r="HF1125" s="451" t="n"/>
      <c r="HG1125" s="451" t="n"/>
    </row>
    <row r="1126">
      <c r="A1126" s="429" t="n">
        <v>213</v>
      </c>
      <c r="B1126" s="431" t="n">
        <v>213</v>
      </c>
      <c r="C1126" s="688" t="n"/>
      <c r="D1126" s="431" t="n"/>
      <c r="E1126" s="429" t="n"/>
      <c r="F1126" s="429" t="n"/>
      <c r="G1126" s="429" t="n"/>
      <c r="I1126" s="429" t="n">
        <v>213</v>
      </c>
      <c r="J1126" s="431" t="n">
        <v>213</v>
      </c>
      <c r="K1126" s="429" t="n"/>
      <c r="L1126" s="431" t="n"/>
      <c r="M1126" s="451" t="n"/>
      <c r="N1126" s="422">
        <f>'CIRCUIT SIM'!Y216</f>
        <v/>
      </c>
      <c r="O1126" s="451" t="n"/>
      <c r="Q1126" s="429" t="n">
        <v>213</v>
      </c>
      <c r="R1126" s="431" t="n">
        <v>213</v>
      </c>
      <c r="S1126" s="429" t="n"/>
      <c r="T1126" s="431" t="n"/>
      <c r="U1126" s="429" t="n"/>
      <c r="V1126" s="386" t="n"/>
      <c r="W1126" s="451" t="n"/>
      <c r="Y1126" s="429" t="n">
        <v>213</v>
      </c>
      <c r="Z1126" s="431" t="n">
        <v>213</v>
      </c>
      <c r="AA1126" s="429" t="n"/>
      <c r="AB1126" s="431" t="n"/>
      <c r="AC1126" s="451" t="n"/>
      <c r="AD1126" s="451" t="n"/>
      <c r="AE1126" s="451" t="n"/>
      <c r="AG1126" s="429" t="n">
        <v>213</v>
      </c>
      <c r="AH1126" s="431" t="n">
        <v>213</v>
      </c>
      <c r="AI1126" s="429" t="n"/>
      <c r="AJ1126" s="431" t="n"/>
      <c r="AK1126" s="451" t="n"/>
      <c r="AL1126" s="451" t="n"/>
      <c r="AM1126" s="451" t="n"/>
      <c r="AO1126" s="429" t="n">
        <v>213</v>
      </c>
      <c r="AP1126" s="431" t="n">
        <v>213</v>
      </c>
      <c r="AQ1126" s="429" t="n"/>
      <c r="AR1126" s="431" t="n"/>
      <c r="AS1126" s="451" t="n"/>
      <c r="AT1126" s="451" t="n"/>
      <c r="AU1126" s="451" t="n"/>
      <c r="AW1126" s="429" t="n">
        <v>213</v>
      </c>
      <c r="AX1126" s="431" t="n">
        <v>213</v>
      </c>
      <c r="AY1126" s="429" t="n"/>
      <c r="AZ1126" s="431" t="n"/>
      <c r="BA1126" s="451" t="n"/>
      <c r="BB1126" s="451" t="n"/>
      <c r="BC1126" s="451" t="n"/>
      <c r="BE1126" s="429" t="n">
        <v>213</v>
      </c>
      <c r="BF1126" s="431" t="n"/>
      <c r="BG1126" s="429" t="n"/>
      <c r="BH1126" s="431" t="n"/>
      <c r="BI1126" s="451" t="n"/>
      <c r="BJ1126" s="451" t="n"/>
      <c r="BK1126" s="451" t="n"/>
      <c r="BM1126" s="429" t="n">
        <v>213</v>
      </c>
      <c r="BN1126" s="431" t="n">
        <v>213</v>
      </c>
      <c r="BO1126" s="429" t="n"/>
      <c r="BP1126" s="431" t="n"/>
      <c r="BQ1126" s="451" t="n"/>
      <c r="BR1126" s="451" t="n"/>
      <c r="BS1126" s="451" t="n"/>
      <c r="BU1126" s="429" t="n">
        <v>213</v>
      </c>
      <c r="BV1126" s="431" t="n">
        <v>213</v>
      </c>
      <c r="BW1126" s="429" t="n"/>
      <c r="BX1126" s="431" t="n"/>
      <c r="BY1126" s="451" t="n"/>
      <c r="BZ1126" s="451">
        <f>'CIRCUIT SIM'!EI216</f>
        <v/>
      </c>
      <c r="CA1126" s="451" t="n"/>
      <c r="CC1126" s="429" t="n">
        <v>213</v>
      </c>
      <c r="CD1126" s="431" t="n">
        <v>213</v>
      </c>
      <c r="CE1126" s="688" t="n"/>
      <c r="CF1126" s="431" t="n"/>
      <c r="CG1126" s="451" t="n"/>
      <c r="CH1126" s="562">
        <f>'CIRCUIT SIM'!LK214</f>
        <v/>
      </c>
      <c r="CI1126" s="451" t="n"/>
      <c r="CK1126" s="429" t="n">
        <v>213</v>
      </c>
      <c r="CL1126" s="431" t="n">
        <v>213</v>
      </c>
      <c r="CM1126" s="688" t="n"/>
      <c r="CN1126" s="431" t="n"/>
      <c r="CO1126" s="451" t="n"/>
      <c r="CP1126" s="451" t="n"/>
      <c r="CQ1126" s="451" t="n"/>
      <c r="CS1126" s="429" t="n">
        <v>213</v>
      </c>
      <c r="CT1126" s="431" t="n">
        <v>213</v>
      </c>
      <c r="CU1126" s="688" t="n"/>
      <c r="CV1126" s="431" t="n"/>
      <c r="CW1126" s="451" t="n"/>
      <c r="CX1126" s="451" t="n"/>
      <c r="CY1126" s="451" t="n"/>
      <c r="DA1126" s="429" t="n">
        <v>213</v>
      </c>
      <c r="DB1126" s="431" t="n">
        <v>213</v>
      </c>
      <c r="DC1126" s="688" t="n"/>
      <c r="DD1126" s="431" t="n"/>
      <c r="DE1126" s="451" t="n"/>
      <c r="DF1126" s="451" t="n"/>
      <c r="DG1126" s="451" t="n"/>
      <c r="DI1126" s="429" t="n">
        <v>213</v>
      </c>
      <c r="DJ1126" s="431" t="n">
        <v>213</v>
      </c>
      <c r="DK1126" s="688" t="n"/>
      <c r="DL1126" s="431" t="n"/>
      <c r="DM1126" s="429" t="n"/>
      <c r="DN1126" s="451" t="n"/>
      <c r="DO1126" s="451" t="n"/>
      <c r="DQ1126" s="429" t="n">
        <v>213</v>
      </c>
      <c r="DR1126" s="431" t="n">
        <v>213</v>
      </c>
      <c r="DS1126" s="688" t="n"/>
      <c r="DT1126" s="431" t="n"/>
      <c r="DU1126" s="451" t="n"/>
      <c r="DV1126" s="451" t="n"/>
      <c r="DW1126" s="451" t="n"/>
      <c r="DY1126" s="429" t="n">
        <v>213</v>
      </c>
      <c r="DZ1126" s="431" t="n">
        <v>213</v>
      </c>
      <c r="EA1126" s="688" t="n"/>
      <c r="EB1126" s="431" t="n"/>
      <c r="EC1126" s="451" t="n"/>
      <c r="ED1126" s="451" t="n"/>
      <c r="EE1126" s="451" t="n"/>
      <c r="EG1126" s="429" t="n">
        <v>213</v>
      </c>
      <c r="EH1126" s="431" t="n">
        <v>213</v>
      </c>
      <c r="EI1126" s="688" t="n"/>
      <c r="EJ1126" s="431" t="n"/>
      <c r="EK1126" s="451" t="n"/>
      <c r="EL1126" s="451" t="n"/>
      <c r="EM1126" s="451" t="n"/>
      <c r="EO1126" s="429" t="n">
        <v>213</v>
      </c>
      <c r="EP1126" s="431" t="n">
        <v>213</v>
      </c>
      <c r="EQ1126" s="688" t="n"/>
      <c r="ER1126" s="431" t="n"/>
      <c r="ES1126" s="451" t="n"/>
      <c r="ET1126" s="451" t="n"/>
      <c r="EU1126" s="451" t="n"/>
      <c r="EW1126" s="429" t="n">
        <v>213</v>
      </c>
      <c r="EX1126" s="431" t="n">
        <v>213</v>
      </c>
      <c r="EY1126" s="688" t="n"/>
      <c r="EZ1126" s="431" t="n"/>
      <c r="FA1126" s="451" t="n"/>
      <c r="FB1126" s="451" t="n"/>
      <c r="FC1126" s="451" t="n"/>
      <c r="FE1126" s="429" t="n">
        <v>213</v>
      </c>
      <c r="FF1126" s="431" t="n">
        <v>213</v>
      </c>
      <c r="FG1126" s="688" t="n"/>
      <c r="FH1126" s="431" t="n"/>
      <c r="FI1126" s="451" t="n"/>
      <c r="FJ1126" s="451" t="n"/>
      <c r="FK1126" s="451" t="n"/>
      <c r="FM1126" s="429" t="n">
        <v>213</v>
      </c>
      <c r="FN1126" s="431" t="n">
        <v>213</v>
      </c>
      <c r="FO1126" s="688" t="n"/>
      <c r="FP1126" s="431" t="n"/>
      <c r="FQ1126" s="451" t="n"/>
      <c r="FR1126" s="451" t="n"/>
      <c r="FS1126" s="451" t="n"/>
      <c r="FU1126" s="429" t="n">
        <v>213</v>
      </c>
      <c r="FV1126" s="431" t="n">
        <v>213</v>
      </c>
      <c r="FW1126" s="688" t="n"/>
      <c r="FX1126" s="431" t="n"/>
      <c r="FY1126" s="451" t="n"/>
      <c r="FZ1126" s="562">
        <f>'CIRCUIT SIM'!JG216</f>
        <v/>
      </c>
      <c r="GA1126" s="451" t="n"/>
      <c r="GC1126" s="429" t="n">
        <v>213</v>
      </c>
      <c r="GD1126" s="431" t="n">
        <v>213</v>
      </c>
      <c r="GE1126" s="688" t="n"/>
      <c r="GF1126" s="431" t="n"/>
      <c r="GG1126" s="451" t="n"/>
      <c r="GH1126" s="451" t="n"/>
      <c r="GI1126" s="451" t="n"/>
      <c r="GK1126" s="429" t="n">
        <v>213</v>
      </c>
      <c r="GL1126" s="431" t="n">
        <v>213</v>
      </c>
      <c r="GM1126" s="688" t="n"/>
      <c r="GN1126" s="431" t="n"/>
      <c r="GO1126" s="451" t="n"/>
      <c r="GP1126" s="451" t="n"/>
      <c r="GQ1126" s="451" t="n"/>
      <c r="GS1126" s="429" t="n">
        <v>213</v>
      </c>
      <c r="GT1126" s="431" t="n">
        <v>213</v>
      </c>
      <c r="GU1126" s="688" t="n"/>
      <c r="GV1126" s="431" t="n"/>
      <c r="GW1126" s="451" t="n"/>
      <c r="GX1126" s="451" t="n"/>
      <c r="GY1126" s="451" t="n"/>
      <c r="HA1126" s="429" t="n">
        <v>213</v>
      </c>
      <c r="HB1126" s="431" t="n">
        <v>213</v>
      </c>
      <c r="HC1126" s="688" t="n"/>
      <c r="HD1126" s="431" t="n"/>
      <c r="HE1126" s="451" t="n"/>
      <c r="HF1126" s="451" t="n"/>
      <c r="HG1126" s="451" t="n"/>
    </row>
    <row r="1127">
      <c r="A1127" s="429" t="n">
        <v>214</v>
      </c>
      <c r="B1127" s="431" t="n">
        <v>214</v>
      </c>
      <c r="C1127" s="688" t="n"/>
      <c r="D1127" s="431" t="n"/>
      <c r="E1127" s="429" t="n"/>
      <c r="F1127" s="429" t="n"/>
      <c r="G1127" s="429" t="n"/>
      <c r="I1127" s="429" t="n">
        <v>214</v>
      </c>
      <c r="J1127" s="431" t="n">
        <v>214</v>
      </c>
      <c r="K1127" s="429" t="n"/>
      <c r="L1127" s="431" t="n"/>
      <c r="M1127" s="451" t="n"/>
      <c r="N1127" s="422">
        <f>'CIRCUIT SIM'!Y217</f>
        <v/>
      </c>
      <c r="O1127" s="451" t="n"/>
      <c r="Q1127" s="429" t="n">
        <v>214</v>
      </c>
      <c r="R1127" s="431" t="n">
        <v>214</v>
      </c>
      <c r="S1127" s="429" t="n"/>
      <c r="T1127" s="431" t="n"/>
      <c r="U1127" s="429" t="n"/>
      <c r="V1127" s="386" t="n"/>
      <c r="W1127" s="451" t="n"/>
      <c r="Y1127" s="429" t="n">
        <v>214</v>
      </c>
      <c r="Z1127" s="431" t="n">
        <v>214</v>
      </c>
      <c r="AA1127" s="429" t="n"/>
      <c r="AB1127" s="431" t="n"/>
      <c r="AC1127" s="451" t="n"/>
      <c r="AD1127" s="451" t="n"/>
      <c r="AE1127" s="451" t="n"/>
      <c r="AG1127" s="429" t="n">
        <v>214</v>
      </c>
      <c r="AH1127" s="431" t="n">
        <v>214</v>
      </c>
      <c r="AI1127" s="429" t="n"/>
      <c r="AJ1127" s="431" t="n"/>
      <c r="AK1127" s="451" t="n"/>
      <c r="AL1127" s="451" t="n"/>
      <c r="AM1127" s="451" t="n"/>
      <c r="AO1127" s="429" t="n">
        <v>214</v>
      </c>
      <c r="AP1127" s="431" t="n">
        <v>214</v>
      </c>
      <c r="AQ1127" s="429" t="n"/>
      <c r="AR1127" s="431" t="n"/>
      <c r="AS1127" s="451" t="n"/>
      <c r="AT1127" s="451" t="n"/>
      <c r="AU1127" s="451" t="n"/>
      <c r="AW1127" s="429" t="n">
        <v>214</v>
      </c>
      <c r="AX1127" s="431" t="n">
        <v>214</v>
      </c>
      <c r="AY1127" s="429" t="n"/>
      <c r="AZ1127" s="431" t="n"/>
      <c r="BA1127" s="451" t="n"/>
      <c r="BB1127" s="451" t="n"/>
      <c r="BC1127" s="451" t="n"/>
      <c r="BE1127" s="429" t="n">
        <v>214</v>
      </c>
      <c r="BF1127" s="431" t="n"/>
      <c r="BG1127" s="429" t="n"/>
      <c r="BH1127" s="431" t="n"/>
      <c r="BI1127" s="451" t="n"/>
      <c r="BJ1127" s="451" t="n"/>
      <c r="BK1127" s="451" t="n"/>
      <c r="BM1127" s="429" t="n">
        <v>214</v>
      </c>
      <c r="BN1127" s="431" t="n">
        <v>214</v>
      </c>
      <c r="BO1127" s="429" t="n"/>
      <c r="BP1127" s="431" t="n"/>
      <c r="BQ1127" s="451" t="n"/>
      <c r="BR1127" s="451" t="n"/>
      <c r="BS1127" s="451" t="n"/>
      <c r="BU1127" s="429" t="n">
        <v>214</v>
      </c>
      <c r="BV1127" s="431" t="n">
        <v>214</v>
      </c>
      <c r="BW1127" s="429" t="n"/>
      <c r="BX1127" s="431" t="n"/>
      <c r="BY1127" s="451" t="n"/>
      <c r="BZ1127" s="451">
        <f>'CIRCUIT SIM'!EI217</f>
        <v/>
      </c>
      <c r="CA1127" s="451" t="n"/>
      <c r="CC1127" s="429" t="n">
        <v>214</v>
      </c>
      <c r="CD1127" s="431" t="n">
        <v>214</v>
      </c>
      <c r="CE1127" s="688" t="n"/>
      <c r="CF1127" s="431" t="n"/>
      <c r="CG1127" s="451" t="n"/>
      <c r="CH1127" s="562">
        <f>'CIRCUIT SIM'!LK215</f>
        <v/>
      </c>
      <c r="CI1127" s="451" t="n"/>
      <c r="CK1127" s="429" t="n">
        <v>214</v>
      </c>
      <c r="CL1127" s="431" t="n">
        <v>214</v>
      </c>
      <c r="CM1127" s="688" t="n"/>
      <c r="CN1127" s="431" t="n"/>
      <c r="CO1127" s="451" t="n"/>
      <c r="CP1127" s="451" t="n"/>
      <c r="CQ1127" s="451" t="n"/>
      <c r="CS1127" s="429" t="n">
        <v>214</v>
      </c>
      <c r="CT1127" s="431" t="n">
        <v>214</v>
      </c>
      <c r="CU1127" s="688" t="n"/>
      <c r="CV1127" s="431" t="n"/>
      <c r="CW1127" s="451" t="n"/>
      <c r="CX1127" s="451" t="n"/>
      <c r="CY1127" s="451" t="n"/>
      <c r="DA1127" s="429" t="n">
        <v>214</v>
      </c>
      <c r="DB1127" s="431" t="n">
        <v>214</v>
      </c>
      <c r="DC1127" s="688" t="n"/>
      <c r="DD1127" s="431" t="n"/>
      <c r="DE1127" s="451" t="n"/>
      <c r="DF1127" s="451" t="n"/>
      <c r="DG1127" s="451" t="n"/>
      <c r="DI1127" s="429" t="n">
        <v>214</v>
      </c>
      <c r="DJ1127" s="431" t="n">
        <v>214</v>
      </c>
      <c r="DK1127" s="688" t="n"/>
      <c r="DL1127" s="431" t="n"/>
      <c r="DM1127" s="429" t="n"/>
      <c r="DN1127" s="451" t="n"/>
      <c r="DO1127" s="451" t="n"/>
      <c r="DQ1127" s="429" t="n">
        <v>214</v>
      </c>
      <c r="DR1127" s="431" t="n">
        <v>214</v>
      </c>
      <c r="DS1127" s="688" t="n"/>
      <c r="DT1127" s="431" t="n"/>
      <c r="DU1127" s="451" t="n"/>
      <c r="DV1127" s="451" t="n"/>
      <c r="DW1127" s="451" t="n"/>
      <c r="DY1127" s="429" t="n">
        <v>214</v>
      </c>
      <c r="DZ1127" s="431" t="n">
        <v>214</v>
      </c>
      <c r="EA1127" s="688" t="n"/>
      <c r="EB1127" s="431" t="n"/>
      <c r="EC1127" s="451" t="n"/>
      <c r="ED1127" s="451" t="n"/>
      <c r="EE1127" s="451" t="n"/>
      <c r="EG1127" s="429" t="n">
        <v>214</v>
      </c>
      <c r="EH1127" s="431" t="n">
        <v>214</v>
      </c>
      <c r="EI1127" s="688" t="n"/>
      <c r="EJ1127" s="431" t="n"/>
      <c r="EK1127" s="451" t="n"/>
      <c r="EL1127" s="451" t="n"/>
      <c r="EM1127" s="451" t="n"/>
      <c r="EO1127" s="429" t="n">
        <v>214</v>
      </c>
      <c r="EP1127" s="431" t="n">
        <v>214</v>
      </c>
      <c r="EQ1127" s="688" t="n"/>
      <c r="ER1127" s="431" t="n"/>
      <c r="ES1127" s="451" t="n"/>
      <c r="ET1127" s="451" t="n"/>
      <c r="EU1127" s="451" t="n"/>
      <c r="EW1127" s="429" t="n">
        <v>214</v>
      </c>
      <c r="EX1127" s="431" t="n">
        <v>214</v>
      </c>
      <c r="EY1127" s="688" t="n"/>
      <c r="EZ1127" s="431" t="n"/>
      <c r="FA1127" s="451" t="n"/>
      <c r="FB1127" s="451" t="n"/>
      <c r="FC1127" s="451" t="n"/>
      <c r="FE1127" s="429" t="n">
        <v>214</v>
      </c>
      <c r="FF1127" s="431" t="n">
        <v>214</v>
      </c>
      <c r="FG1127" s="688" t="n"/>
      <c r="FH1127" s="431" t="n"/>
      <c r="FI1127" s="451" t="n"/>
      <c r="FJ1127" s="451" t="n"/>
      <c r="FK1127" s="451" t="n"/>
      <c r="FM1127" s="429" t="n">
        <v>214</v>
      </c>
      <c r="FN1127" s="431" t="n">
        <v>214</v>
      </c>
      <c r="FO1127" s="688" t="n"/>
      <c r="FP1127" s="431" t="n"/>
      <c r="FQ1127" s="451" t="n"/>
      <c r="FR1127" s="451" t="n"/>
      <c r="FS1127" s="451" t="n"/>
      <c r="FU1127" s="429" t="n">
        <v>214</v>
      </c>
      <c r="FV1127" s="431" t="n">
        <v>214</v>
      </c>
      <c r="FW1127" s="688" t="n"/>
      <c r="FX1127" s="431" t="n"/>
      <c r="FY1127" s="451" t="n"/>
      <c r="FZ1127" s="562">
        <f>'CIRCUIT SIM'!JG217</f>
        <v/>
      </c>
      <c r="GA1127" s="451" t="n"/>
      <c r="GC1127" s="429" t="n">
        <v>214</v>
      </c>
      <c r="GD1127" s="431" t="n">
        <v>214</v>
      </c>
      <c r="GE1127" s="688" t="n"/>
      <c r="GF1127" s="431" t="n"/>
      <c r="GG1127" s="451" t="n"/>
      <c r="GH1127" s="451" t="n"/>
      <c r="GI1127" s="451" t="n"/>
      <c r="GK1127" s="429" t="n">
        <v>214</v>
      </c>
      <c r="GL1127" s="431" t="n">
        <v>214</v>
      </c>
      <c r="GM1127" s="688" t="n"/>
      <c r="GN1127" s="431" t="n"/>
      <c r="GO1127" s="451" t="n"/>
      <c r="GP1127" s="451" t="n"/>
      <c r="GQ1127" s="451" t="n"/>
      <c r="GS1127" s="429" t="n">
        <v>214</v>
      </c>
      <c r="GT1127" s="431" t="n">
        <v>214</v>
      </c>
      <c r="GU1127" s="688" t="n"/>
      <c r="GV1127" s="431" t="n"/>
      <c r="GW1127" s="451" t="n"/>
      <c r="GX1127" s="451" t="n"/>
      <c r="GY1127" s="451" t="n"/>
      <c r="HA1127" s="429" t="n">
        <v>214</v>
      </c>
      <c r="HB1127" s="431" t="n">
        <v>214</v>
      </c>
      <c r="HC1127" s="688" t="n"/>
      <c r="HD1127" s="431" t="n"/>
      <c r="HE1127" s="451" t="n"/>
      <c r="HF1127" s="451" t="n"/>
      <c r="HG1127" s="451" t="n"/>
    </row>
    <row r="1128">
      <c r="A1128" s="429" t="n">
        <v>215</v>
      </c>
      <c r="B1128" s="431" t="n">
        <v>215</v>
      </c>
      <c r="C1128" s="688" t="n"/>
      <c r="D1128" s="431" t="n"/>
      <c r="E1128" s="429" t="n"/>
      <c r="F1128" s="429" t="n"/>
      <c r="G1128" s="429" t="n"/>
      <c r="I1128" s="429" t="n">
        <v>215</v>
      </c>
      <c r="J1128" s="431" t="n">
        <v>215</v>
      </c>
      <c r="K1128" s="429" t="n"/>
      <c r="L1128" s="431" t="n"/>
      <c r="M1128" s="451" t="n"/>
      <c r="N1128" s="422">
        <f>'CIRCUIT SIM'!Y218</f>
        <v/>
      </c>
      <c r="O1128" s="451" t="n"/>
      <c r="Q1128" s="429" t="n">
        <v>215</v>
      </c>
      <c r="R1128" s="431" t="n">
        <v>215</v>
      </c>
      <c r="S1128" s="429" t="n"/>
      <c r="T1128" s="431" t="n"/>
      <c r="U1128" s="429" t="n"/>
      <c r="V1128" s="386" t="n"/>
      <c r="W1128" s="451" t="n"/>
      <c r="Y1128" s="429" t="n">
        <v>215</v>
      </c>
      <c r="Z1128" s="431" t="n">
        <v>215</v>
      </c>
      <c r="AA1128" s="429" t="n"/>
      <c r="AB1128" s="431" t="n"/>
      <c r="AC1128" s="451" t="n"/>
      <c r="AD1128" s="451" t="n"/>
      <c r="AE1128" s="451" t="n"/>
      <c r="AG1128" s="429" t="n">
        <v>215</v>
      </c>
      <c r="AH1128" s="431" t="n">
        <v>215</v>
      </c>
      <c r="AI1128" s="429" t="n"/>
      <c r="AJ1128" s="431" t="n"/>
      <c r="AK1128" s="451" t="n"/>
      <c r="AL1128" s="451" t="n"/>
      <c r="AM1128" s="451" t="n"/>
      <c r="AO1128" s="429" t="n">
        <v>215</v>
      </c>
      <c r="AP1128" s="431" t="n">
        <v>215</v>
      </c>
      <c r="AQ1128" s="429" t="n"/>
      <c r="AR1128" s="431" t="n"/>
      <c r="AS1128" s="451" t="n"/>
      <c r="AT1128" s="451" t="n"/>
      <c r="AU1128" s="451" t="n"/>
      <c r="AW1128" s="429" t="n">
        <v>215</v>
      </c>
      <c r="AX1128" s="431" t="n">
        <v>215</v>
      </c>
      <c r="AY1128" s="429" t="n"/>
      <c r="AZ1128" s="431" t="n"/>
      <c r="BA1128" s="451" t="n"/>
      <c r="BB1128" s="451" t="n"/>
      <c r="BC1128" s="451" t="n"/>
      <c r="BE1128" s="429" t="n">
        <v>215</v>
      </c>
      <c r="BF1128" s="431" t="n"/>
      <c r="BG1128" s="429" t="n"/>
      <c r="BH1128" s="431" t="n"/>
      <c r="BI1128" s="451" t="n"/>
      <c r="BJ1128" s="451" t="n"/>
      <c r="BK1128" s="451" t="n"/>
      <c r="BM1128" s="429" t="n">
        <v>215</v>
      </c>
      <c r="BN1128" s="431" t="n">
        <v>215</v>
      </c>
      <c r="BO1128" s="429" t="n"/>
      <c r="BP1128" s="431" t="n"/>
      <c r="BQ1128" s="451" t="n"/>
      <c r="BR1128" s="451" t="n"/>
      <c r="BS1128" s="451" t="n"/>
      <c r="BU1128" s="429" t="n">
        <v>215</v>
      </c>
      <c r="BV1128" s="431" t="n">
        <v>215</v>
      </c>
      <c r="BW1128" s="429" t="n"/>
      <c r="BX1128" s="431" t="n"/>
      <c r="BY1128" s="451" t="n"/>
      <c r="BZ1128" s="451">
        <f>'CIRCUIT SIM'!EI218</f>
        <v/>
      </c>
      <c r="CA1128" s="451" t="n"/>
      <c r="CC1128" s="429" t="n">
        <v>215</v>
      </c>
      <c r="CD1128" s="431" t="n">
        <v>215</v>
      </c>
      <c r="CE1128" s="688" t="n"/>
      <c r="CF1128" s="431" t="n"/>
      <c r="CG1128" s="451" t="n"/>
      <c r="CH1128" s="562">
        <f>'CIRCUIT SIM'!LK216</f>
        <v/>
      </c>
      <c r="CI1128" s="451" t="n"/>
      <c r="CK1128" s="429" t="n">
        <v>215</v>
      </c>
      <c r="CL1128" s="431" t="n">
        <v>215</v>
      </c>
      <c r="CM1128" s="688" t="n"/>
      <c r="CN1128" s="431" t="n"/>
      <c r="CO1128" s="451" t="n"/>
      <c r="CP1128" s="451" t="n"/>
      <c r="CQ1128" s="451" t="n"/>
      <c r="CS1128" s="429" t="n">
        <v>215</v>
      </c>
      <c r="CT1128" s="431" t="n">
        <v>215</v>
      </c>
      <c r="CU1128" s="688" t="n"/>
      <c r="CV1128" s="431" t="n"/>
      <c r="CW1128" s="451" t="n"/>
      <c r="CX1128" s="451" t="n"/>
      <c r="CY1128" s="451" t="n"/>
      <c r="DA1128" s="429" t="n">
        <v>215</v>
      </c>
      <c r="DB1128" s="431" t="n">
        <v>215</v>
      </c>
      <c r="DC1128" s="688" t="n"/>
      <c r="DD1128" s="431" t="n"/>
      <c r="DE1128" s="451" t="n"/>
      <c r="DF1128" s="451" t="n"/>
      <c r="DG1128" s="451" t="n"/>
      <c r="DI1128" s="429" t="n">
        <v>215</v>
      </c>
      <c r="DJ1128" s="431" t="n">
        <v>215</v>
      </c>
      <c r="DK1128" s="688" t="n"/>
      <c r="DL1128" s="431" t="n"/>
      <c r="DM1128" s="429" t="n"/>
      <c r="DN1128" s="451" t="n"/>
      <c r="DO1128" s="451" t="n"/>
      <c r="DQ1128" s="429" t="n">
        <v>215</v>
      </c>
      <c r="DR1128" s="431" t="n">
        <v>215</v>
      </c>
      <c r="DS1128" s="688" t="n"/>
      <c r="DT1128" s="431" t="n"/>
      <c r="DU1128" s="451" t="n"/>
      <c r="DV1128" s="451" t="n"/>
      <c r="DW1128" s="451" t="n"/>
      <c r="DY1128" s="429" t="n">
        <v>215</v>
      </c>
      <c r="DZ1128" s="431" t="n">
        <v>215</v>
      </c>
      <c r="EA1128" s="688" t="n"/>
      <c r="EB1128" s="431" t="n"/>
      <c r="EC1128" s="451" t="n"/>
      <c r="ED1128" s="451" t="n"/>
      <c r="EE1128" s="451" t="n"/>
      <c r="EG1128" s="429" t="n">
        <v>215</v>
      </c>
      <c r="EH1128" s="431" t="n">
        <v>215</v>
      </c>
      <c r="EI1128" s="688" t="n"/>
      <c r="EJ1128" s="431" t="n"/>
      <c r="EK1128" s="451" t="n"/>
      <c r="EL1128" s="451" t="n"/>
      <c r="EM1128" s="451" t="n"/>
      <c r="EO1128" s="429" t="n">
        <v>215</v>
      </c>
      <c r="EP1128" s="431" t="n">
        <v>215</v>
      </c>
      <c r="EQ1128" s="688" t="n"/>
      <c r="ER1128" s="431" t="n"/>
      <c r="ES1128" s="451" t="n"/>
      <c r="ET1128" s="451" t="n"/>
      <c r="EU1128" s="451" t="n"/>
      <c r="EW1128" s="429" t="n">
        <v>215</v>
      </c>
      <c r="EX1128" s="431" t="n">
        <v>215</v>
      </c>
      <c r="EY1128" s="688" t="n"/>
      <c r="EZ1128" s="431" t="n"/>
      <c r="FA1128" s="451" t="n"/>
      <c r="FB1128" s="451" t="n"/>
      <c r="FC1128" s="451" t="n"/>
      <c r="FE1128" s="429" t="n">
        <v>215</v>
      </c>
      <c r="FF1128" s="431" t="n">
        <v>215</v>
      </c>
      <c r="FG1128" s="688" t="n"/>
      <c r="FH1128" s="431" t="n"/>
      <c r="FI1128" s="451" t="n"/>
      <c r="FJ1128" s="451" t="n"/>
      <c r="FK1128" s="451" t="n"/>
      <c r="FM1128" s="429" t="n">
        <v>215</v>
      </c>
      <c r="FN1128" s="431" t="n">
        <v>215</v>
      </c>
      <c r="FO1128" s="688" t="n"/>
      <c r="FP1128" s="431" t="n"/>
      <c r="FQ1128" s="451" t="n"/>
      <c r="FR1128" s="451" t="n"/>
      <c r="FS1128" s="451" t="n"/>
      <c r="FU1128" s="429" t="n">
        <v>215</v>
      </c>
      <c r="FV1128" s="431" t="n">
        <v>215</v>
      </c>
      <c r="FW1128" s="688" t="n"/>
      <c r="FX1128" s="431" t="n"/>
      <c r="FY1128" s="451" t="n"/>
      <c r="FZ1128" s="562">
        <f>'CIRCUIT SIM'!JG218</f>
        <v/>
      </c>
      <c r="GA1128" s="451" t="n"/>
      <c r="GC1128" s="429" t="n">
        <v>215</v>
      </c>
      <c r="GD1128" s="431" t="n">
        <v>215</v>
      </c>
      <c r="GE1128" s="688" t="n"/>
      <c r="GF1128" s="431" t="n"/>
      <c r="GG1128" s="451" t="n"/>
      <c r="GH1128" s="451" t="n"/>
      <c r="GI1128" s="451" t="n"/>
      <c r="GK1128" s="429" t="n">
        <v>215</v>
      </c>
      <c r="GL1128" s="431" t="n">
        <v>215</v>
      </c>
      <c r="GM1128" s="688" t="n"/>
      <c r="GN1128" s="431" t="n"/>
      <c r="GO1128" s="451" t="n"/>
      <c r="GP1128" s="451" t="n"/>
      <c r="GQ1128" s="451" t="n"/>
      <c r="GS1128" s="429" t="n">
        <v>215</v>
      </c>
      <c r="GT1128" s="431" t="n">
        <v>215</v>
      </c>
      <c r="GU1128" s="688" t="n"/>
      <c r="GV1128" s="431" t="n"/>
      <c r="GW1128" s="451" t="n"/>
      <c r="GX1128" s="451" t="n"/>
      <c r="GY1128" s="451" t="n"/>
      <c r="HA1128" s="429" t="n">
        <v>215</v>
      </c>
      <c r="HB1128" s="431" t="n">
        <v>215</v>
      </c>
      <c r="HC1128" s="688" t="n"/>
      <c r="HD1128" s="431" t="n"/>
      <c r="HE1128" s="451" t="n"/>
      <c r="HF1128" s="451" t="n"/>
      <c r="HG1128" s="451" t="n"/>
    </row>
    <row r="1129">
      <c r="A1129" s="429" t="n">
        <v>216</v>
      </c>
      <c r="B1129" s="431" t="n">
        <v>216</v>
      </c>
      <c r="C1129" s="688" t="n"/>
      <c r="D1129" s="431" t="n"/>
      <c r="E1129" s="429" t="n"/>
      <c r="F1129" s="429" t="n"/>
      <c r="G1129" s="429" t="n"/>
      <c r="I1129" s="429" t="n">
        <v>216</v>
      </c>
      <c r="J1129" s="431" t="n">
        <v>216</v>
      </c>
      <c r="K1129" s="429" t="n"/>
      <c r="L1129" s="431" t="n"/>
      <c r="M1129" s="451" t="n"/>
      <c r="N1129" s="422">
        <f>'CIRCUIT SIM'!Y219</f>
        <v/>
      </c>
      <c r="O1129" s="451" t="n"/>
      <c r="Q1129" s="429" t="n">
        <v>216</v>
      </c>
      <c r="R1129" s="431" t="n">
        <v>216</v>
      </c>
      <c r="S1129" s="429" t="n"/>
      <c r="T1129" s="431" t="n"/>
      <c r="U1129" s="429" t="n"/>
      <c r="V1129" s="386" t="n"/>
      <c r="W1129" s="451" t="n"/>
      <c r="Y1129" s="429" t="n">
        <v>216</v>
      </c>
      <c r="Z1129" s="431" t="n">
        <v>216</v>
      </c>
      <c r="AA1129" s="429" t="n"/>
      <c r="AB1129" s="431" t="n"/>
      <c r="AC1129" s="451" t="n"/>
      <c r="AD1129" s="451" t="n"/>
      <c r="AE1129" s="451" t="n"/>
      <c r="AG1129" s="429" t="n">
        <v>216</v>
      </c>
      <c r="AH1129" s="431" t="n">
        <v>216</v>
      </c>
      <c r="AI1129" s="429" t="n"/>
      <c r="AJ1129" s="431" t="n"/>
      <c r="AK1129" s="451" t="n"/>
      <c r="AL1129" s="451" t="n"/>
      <c r="AM1129" s="451" t="n"/>
      <c r="AO1129" s="429" t="n">
        <v>216</v>
      </c>
      <c r="AP1129" s="431" t="n">
        <v>216</v>
      </c>
      <c r="AQ1129" s="429" t="n"/>
      <c r="AR1129" s="431" t="n"/>
      <c r="AS1129" s="451" t="n"/>
      <c r="AT1129" s="451" t="n"/>
      <c r="AU1129" s="451" t="n"/>
      <c r="AW1129" s="429" t="n">
        <v>216</v>
      </c>
      <c r="AX1129" s="431" t="n">
        <v>216</v>
      </c>
      <c r="AY1129" s="429" t="n"/>
      <c r="AZ1129" s="431" t="n"/>
      <c r="BA1129" s="451" t="n"/>
      <c r="BB1129" s="451" t="n"/>
      <c r="BC1129" s="451" t="n"/>
      <c r="BE1129" s="429" t="n">
        <v>216</v>
      </c>
      <c r="BF1129" s="431" t="n"/>
      <c r="BG1129" s="429" t="n"/>
      <c r="BH1129" s="431" t="n"/>
      <c r="BI1129" s="451" t="n"/>
      <c r="BJ1129" s="451" t="n"/>
      <c r="BK1129" s="451" t="n"/>
      <c r="BM1129" s="429" t="n">
        <v>216</v>
      </c>
      <c r="BN1129" s="431" t="n">
        <v>216</v>
      </c>
      <c r="BO1129" s="429" t="n"/>
      <c r="BP1129" s="431" t="n"/>
      <c r="BQ1129" s="451" t="n"/>
      <c r="BR1129" s="451" t="n"/>
      <c r="BS1129" s="451" t="n"/>
      <c r="BU1129" s="429" t="n">
        <v>216</v>
      </c>
      <c r="BV1129" s="431" t="n">
        <v>216</v>
      </c>
      <c r="BW1129" s="429" t="n"/>
      <c r="BX1129" s="431" t="n"/>
      <c r="BY1129" s="451" t="n"/>
      <c r="BZ1129" s="451">
        <f>'CIRCUIT SIM'!EI219</f>
        <v/>
      </c>
      <c r="CA1129" s="451" t="n"/>
      <c r="CC1129" s="429" t="n">
        <v>216</v>
      </c>
      <c r="CD1129" s="431" t="n">
        <v>216</v>
      </c>
      <c r="CE1129" s="688" t="n"/>
      <c r="CF1129" s="431" t="n"/>
      <c r="CG1129" s="451" t="n"/>
      <c r="CH1129" s="562">
        <f>'CIRCUIT SIM'!LK217</f>
        <v/>
      </c>
      <c r="CI1129" s="451" t="n"/>
      <c r="CK1129" s="429" t="n">
        <v>216</v>
      </c>
      <c r="CL1129" s="431" t="n">
        <v>216</v>
      </c>
      <c r="CM1129" s="688" t="n"/>
      <c r="CN1129" s="431" t="n"/>
      <c r="CO1129" s="451" t="n"/>
      <c r="CP1129" s="451" t="n"/>
      <c r="CQ1129" s="451" t="n"/>
      <c r="CS1129" s="429" t="n">
        <v>216</v>
      </c>
      <c r="CT1129" s="431" t="n">
        <v>216</v>
      </c>
      <c r="CU1129" s="688" t="n"/>
      <c r="CV1129" s="431" t="n"/>
      <c r="CW1129" s="451" t="n"/>
      <c r="CX1129" s="451" t="n"/>
      <c r="CY1129" s="451" t="n"/>
      <c r="DA1129" s="429" t="n">
        <v>216</v>
      </c>
      <c r="DB1129" s="431" t="n">
        <v>216</v>
      </c>
      <c r="DC1129" s="688" t="n"/>
      <c r="DD1129" s="431" t="n"/>
      <c r="DE1129" s="451" t="n"/>
      <c r="DF1129" s="451" t="n"/>
      <c r="DG1129" s="451" t="n"/>
      <c r="DI1129" s="429" t="n">
        <v>216</v>
      </c>
      <c r="DJ1129" s="431" t="n">
        <v>216</v>
      </c>
      <c r="DK1129" s="688" t="n"/>
      <c r="DL1129" s="431" t="n"/>
      <c r="DM1129" s="429" t="n"/>
      <c r="DN1129" s="451" t="n"/>
      <c r="DO1129" s="451" t="n"/>
      <c r="DQ1129" s="429" t="n">
        <v>216</v>
      </c>
      <c r="DR1129" s="431" t="n">
        <v>216</v>
      </c>
      <c r="DS1129" s="688" t="n"/>
      <c r="DT1129" s="431" t="n"/>
      <c r="DU1129" s="451" t="n"/>
      <c r="DV1129" s="451" t="n"/>
      <c r="DW1129" s="451" t="n"/>
      <c r="DY1129" s="429" t="n">
        <v>216</v>
      </c>
      <c r="DZ1129" s="431" t="n">
        <v>216</v>
      </c>
      <c r="EA1129" s="688" t="n"/>
      <c r="EB1129" s="431" t="n"/>
      <c r="EC1129" s="451" t="n"/>
      <c r="ED1129" s="451" t="n"/>
      <c r="EE1129" s="451" t="n"/>
      <c r="EG1129" s="429" t="n">
        <v>216</v>
      </c>
      <c r="EH1129" s="431" t="n">
        <v>216</v>
      </c>
      <c r="EI1129" s="688" t="n"/>
      <c r="EJ1129" s="431" t="n"/>
      <c r="EK1129" s="451" t="n"/>
      <c r="EL1129" s="451" t="n"/>
      <c r="EM1129" s="451" t="n"/>
      <c r="EO1129" s="429" t="n">
        <v>216</v>
      </c>
      <c r="EP1129" s="431" t="n">
        <v>216</v>
      </c>
      <c r="EQ1129" s="688" t="n"/>
      <c r="ER1129" s="431" t="n"/>
      <c r="ES1129" s="451" t="n"/>
      <c r="ET1129" s="451" t="n"/>
      <c r="EU1129" s="451" t="n"/>
      <c r="EW1129" s="429" t="n">
        <v>216</v>
      </c>
      <c r="EX1129" s="431" t="n">
        <v>216</v>
      </c>
      <c r="EY1129" s="688" t="n"/>
      <c r="EZ1129" s="431" t="n"/>
      <c r="FA1129" s="451" t="n"/>
      <c r="FB1129" s="451" t="n"/>
      <c r="FC1129" s="451" t="n"/>
      <c r="FE1129" s="429" t="n">
        <v>216</v>
      </c>
      <c r="FF1129" s="431" t="n">
        <v>216</v>
      </c>
      <c r="FG1129" s="688" t="n"/>
      <c r="FH1129" s="431" t="n"/>
      <c r="FI1129" s="451" t="n"/>
      <c r="FJ1129" s="451" t="n"/>
      <c r="FK1129" s="451" t="n"/>
      <c r="FM1129" s="429" t="n">
        <v>216</v>
      </c>
      <c r="FN1129" s="431" t="n">
        <v>216</v>
      </c>
      <c r="FO1129" s="688" t="n"/>
      <c r="FP1129" s="431" t="n"/>
      <c r="FQ1129" s="451" t="n"/>
      <c r="FR1129" s="451" t="n"/>
      <c r="FS1129" s="451" t="n"/>
      <c r="FU1129" s="429" t="n">
        <v>216</v>
      </c>
      <c r="FV1129" s="431" t="n">
        <v>216</v>
      </c>
      <c r="FW1129" s="688" t="n"/>
      <c r="FX1129" s="431" t="n"/>
      <c r="FY1129" s="451" t="n"/>
      <c r="FZ1129" s="562">
        <f>'CIRCUIT SIM'!JG219</f>
        <v/>
      </c>
      <c r="GA1129" s="451" t="n"/>
      <c r="GC1129" s="429" t="n">
        <v>216</v>
      </c>
      <c r="GD1129" s="431" t="n">
        <v>216</v>
      </c>
      <c r="GE1129" s="688" t="n"/>
      <c r="GF1129" s="431" t="n"/>
      <c r="GG1129" s="451" t="n"/>
      <c r="GH1129" s="451" t="n"/>
      <c r="GI1129" s="451" t="n"/>
      <c r="GK1129" s="429" t="n">
        <v>216</v>
      </c>
      <c r="GL1129" s="431" t="n">
        <v>216</v>
      </c>
      <c r="GM1129" s="688" t="n"/>
      <c r="GN1129" s="431" t="n"/>
      <c r="GO1129" s="451" t="n"/>
      <c r="GP1129" s="451" t="n"/>
      <c r="GQ1129" s="451" t="n"/>
      <c r="GS1129" s="429" t="n">
        <v>216</v>
      </c>
      <c r="GT1129" s="431" t="n">
        <v>216</v>
      </c>
      <c r="GU1129" s="688" t="n"/>
      <c r="GV1129" s="431" t="n"/>
      <c r="GW1129" s="451" t="n"/>
      <c r="GX1129" s="451" t="n"/>
      <c r="GY1129" s="451" t="n"/>
      <c r="HA1129" s="429" t="n">
        <v>216</v>
      </c>
      <c r="HB1129" s="431" t="n">
        <v>216</v>
      </c>
      <c r="HC1129" s="688" t="n"/>
      <c r="HD1129" s="431" t="n"/>
      <c r="HE1129" s="451" t="n"/>
      <c r="HF1129" s="451" t="n"/>
      <c r="HG1129" s="451" t="n"/>
    </row>
    <row r="1130">
      <c r="A1130" s="429" t="n">
        <v>217</v>
      </c>
      <c r="B1130" s="431" t="n">
        <v>217</v>
      </c>
      <c r="C1130" s="688" t="n"/>
      <c r="D1130" s="431" t="n"/>
      <c r="E1130" s="429" t="n"/>
      <c r="F1130" s="429" t="n"/>
      <c r="G1130" s="429" t="n"/>
      <c r="I1130" s="429" t="n">
        <v>217</v>
      </c>
      <c r="J1130" s="431" t="n">
        <v>217</v>
      </c>
      <c r="K1130" s="429" t="n"/>
      <c r="L1130" s="431" t="n"/>
      <c r="M1130" s="451" t="n"/>
      <c r="N1130" s="422">
        <f>'CIRCUIT SIM'!Y220</f>
        <v/>
      </c>
      <c r="O1130" s="451" t="n"/>
      <c r="Q1130" s="429" t="n">
        <v>217</v>
      </c>
      <c r="R1130" s="431" t="n">
        <v>217</v>
      </c>
      <c r="S1130" s="429" t="n"/>
      <c r="T1130" s="431" t="n"/>
      <c r="U1130" s="429" t="n"/>
      <c r="V1130" s="386" t="n"/>
      <c r="W1130" s="451" t="n"/>
      <c r="Y1130" s="429" t="n">
        <v>217</v>
      </c>
      <c r="Z1130" s="431" t="n">
        <v>217</v>
      </c>
      <c r="AA1130" s="429" t="n"/>
      <c r="AB1130" s="431" t="n"/>
      <c r="AC1130" s="451" t="n"/>
      <c r="AD1130" s="451" t="n"/>
      <c r="AE1130" s="451" t="n"/>
      <c r="AG1130" s="429" t="n">
        <v>217</v>
      </c>
      <c r="AH1130" s="431" t="n">
        <v>217</v>
      </c>
      <c r="AI1130" s="429" t="n"/>
      <c r="AJ1130" s="431" t="n"/>
      <c r="AK1130" s="451" t="n"/>
      <c r="AL1130" s="451" t="n"/>
      <c r="AM1130" s="451" t="n"/>
      <c r="AO1130" s="429" t="n">
        <v>217</v>
      </c>
      <c r="AP1130" s="431" t="n">
        <v>217</v>
      </c>
      <c r="AQ1130" s="429" t="n"/>
      <c r="AR1130" s="431" t="n"/>
      <c r="AS1130" s="451" t="n"/>
      <c r="AT1130" s="451" t="n"/>
      <c r="AU1130" s="451" t="n"/>
      <c r="AW1130" s="429" t="n">
        <v>217</v>
      </c>
      <c r="AX1130" s="431" t="n">
        <v>217</v>
      </c>
      <c r="AY1130" s="429" t="n"/>
      <c r="AZ1130" s="431" t="n"/>
      <c r="BA1130" s="451" t="n"/>
      <c r="BB1130" s="451" t="n"/>
      <c r="BC1130" s="451" t="n"/>
      <c r="BE1130" s="429" t="n">
        <v>217</v>
      </c>
      <c r="BF1130" s="431" t="n"/>
      <c r="BG1130" s="429" t="n"/>
      <c r="BH1130" s="431" t="n"/>
      <c r="BI1130" s="451" t="n"/>
      <c r="BJ1130" s="451" t="n"/>
      <c r="BK1130" s="451" t="n"/>
      <c r="BM1130" s="429" t="n">
        <v>217</v>
      </c>
      <c r="BN1130" s="431" t="n">
        <v>217</v>
      </c>
      <c r="BO1130" s="429" t="n"/>
      <c r="BP1130" s="431" t="n"/>
      <c r="BQ1130" s="451" t="n"/>
      <c r="BR1130" s="451" t="n"/>
      <c r="BS1130" s="451" t="n"/>
      <c r="BU1130" s="429" t="n">
        <v>217</v>
      </c>
      <c r="BV1130" s="431" t="n">
        <v>217</v>
      </c>
      <c r="BW1130" s="429" t="n"/>
      <c r="BX1130" s="431" t="n"/>
      <c r="BY1130" s="451" t="n"/>
      <c r="BZ1130" s="451">
        <f>'CIRCUIT SIM'!EI220</f>
        <v/>
      </c>
      <c r="CA1130" s="451" t="n"/>
      <c r="CC1130" s="429" t="n">
        <v>217</v>
      </c>
      <c r="CD1130" s="431" t="n">
        <v>217</v>
      </c>
      <c r="CE1130" s="688" t="n"/>
      <c r="CF1130" s="431" t="n"/>
      <c r="CG1130" s="451" t="n"/>
      <c r="CH1130" s="562">
        <f>'CIRCUIT SIM'!LK218</f>
        <v/>
      </c>
      <c r="CI1130" s="451" t="n"/>
      <c r="CK1130" s="429" t="n">
        <v>217</v>
      </c>
      <c r="CL1130" s="431" t="n">
        <v>217</v>
      </c>
      <c r="CM1130" s="688" t="n"/>
      <c r="CN1130" s="431" t="n"/>
      <c r="CO1130" s="451" t="n"/>
      <c r="CP1130" s="451" t="n"/>
      <c r="CQ1130" s="451" t="n"/>
      <c r="CS1130" s="429" t="n">
        <v>217</v>
      </c>
      <c r="CT1130" s="431" t="n">
        <v>217</v>
      </c>
      <c r="CU1130" s="688" t="n"/>
      <c r="CV1130" s="431" t="n"/>
      <c r="CW1130" s="451" t="n"/>
      <c r="CX1130" s="451" t="n"/>
      <c r="CY1130" s="451" t="n"/>
      <c r="DA1130" s="429" t="n">
        <v>217</v>
      </c>
      <c r="DB1130" s="431" t="n">
        <v>217</v>
      </c>
      <c r="DC1130" s="688" t="n"/>
      <c r="DD1130" s="431" t="n"/>
      <c r="DE1130" s="451" t="n"/>
      <c r="DF1130" s="451" t="n"/>
      <c r="DG1130" s="451" t="n"/>
      <c r="DI1130" s="429" t="n">
        <v>217</v>
      </c>
      <c r="DJ1130" s="431" t="n">
        <v>217</v>
      </c>
      <c r="DK1130" s="688" t="n"/>
      <c r="DL1130" s="431" t="n"/>
      <c r="DM1130" s="429" t="n"/>
      <c r="DN1130" s="451" t="n"/>
      <c r="DO1130" s="451" t="n"/>
      <c r="DQ1130" s="429" t="n">
        <v>217</v>
      </c>
      <c r="DR1130" s="431" t="n">
        <v>217</v>
      </c>
      <c r="DS1130" s="688" t="n"/>
      <c r="DT1130" s="431" t="n"/>
      <c r="DU1130" s="451" t="n"/>
      <c r="DV1130" s="451" t="n"/>
      <c r="DW1130" s="451" t="n"/>
      <c r="DY1130" s="429" t="n">
        <v>217</v>
      </c>
      <c r="DZ1130" s="431" t="n">
        <v>217</v>
      </c>
      <c r="EA1130" s="688" t="n"/>
      <c r="EB1130" s="431" t="n"/>
      <c r="EC1130" s="451" t="n"/>
      <c r="ED1130" s="451" t="n"/>
      <c r="EE1130" s="451" t="n"/>
      <c r="EG1130" s="429" t="n">
        <v>217</v>
      </c>
      <c r="EH1130" s="431" t="n">
        <v>217</v>
      </c>
      <c r="EI1130" s="688" t="n"/>
      <c r="EJ1130" s="431" t="n"/>
      <c r="EK1130" s="451" t="n"/>
      <c r="EL1130" s="451" t="n"/>
      <c r="EM1130" s="451" t="n"/>
      <c r="EO1130" s="429" t="n">
        <v>217</v>
      </c>
      <c r="EP1130" s="431" t="n">
        <v>217</v>
      </c>
      <c r="EQ1130" s="688" t="n"/>
      <c r="ER1130" s="431" t="n"/>
      <c r="ES1130" s="451" t="n"/>
      <c r="ET1130" s="451" t="n"/>
      <c r="EU1130" s="451" t="n"/>
      <c r="EW1130" s="429" t="n">
        <v>217</v>
      </c>
      <c r="EX1130" s="431" t="n">
        <v>217</v>
      </c>
      <c r="EY1130" s="688" t="n"/>
      <c r="EZ1130" s="431" t="n"/>
      <c r="FA1130" s="451" t="n"/>
      <c r="FB1130" s="451" t="n"/>
      <c r="FC1130" s="451" t="n"/>
      <c r="FE1130" s="429" t="n">
        <v>217</v>
      </c>
      <c r="FF1130" s="431" t="n">
        <v>217</v>
      </c>
      <c r="FG1130" s="688" t="n"/>
      <c r="FH1130" s="431" t="n"/>
      <c r="FI1130" s="451" t="n"/>
      <c r="FJ1130" s="451" t="n"/>
      <c r="FK1130" s="451" t="n"/>
      <c r="FM1130" s="429" t="n">
        <v>217</v>
      </c>
      <c r="FN1130" s="431" t="n">
        <v>217</v>
      </c>
      <c r="FO1130" s="688" t="n"/>
      <c r="FP1130" s="431" t="n"/>
      <c r="FQ1130" s="451" t="n"/>
      <c r="FR1130" s="451" t="n"/>
      <c r="FS1130" s="451" t="n"/>
      <c r="FU1130" s="429" t="n">
        <v>217</v>
      </c>
      <c r="FV1130" s="431" t="n">
        <v>217</v>
      </c>
      <c r="FW1130" s="688" t="n"/>
      <c r="FX1130" s="431" t="n"/>
      <c r="FY1130" s="451" t="n"/>
      <c r="FZ1130" s="562">
        <f>'CIRCUIT SIM'!JG220</f>
        <v/>
      </c>
      <c r="GA1130" s="451" t="n"/>
      <c r="GC1130" s="429" t="n">
        <v>217</v>
      </c>
      <c r="GD1130" s="431" t="n">
        <v>217</v>
      </c>
      <c r="GE1130" s="688" t="n"/>
      <c r="GF1130" s="431" t="n"/>
      <c r="GG1130" s="451" t="n"/>
      <c r="GH1130" s="451" t="n"/>
      <c r="GI1130" s="451" t="n"/>
      <c r="GK1130" s="429" t="n">
        <v>217</v>
      </c>
      <c r="GL1130" s="431" t="n">
        <v>217</v>
      </c>
      <c r="GM1130" s="688" t="n"/>
      <c r="GN1130" s="431" t="n"/>
      <c r="GO1130" s="451" t="n"/>
      <c r="GP1130" s="451" t="n"/>
      <c r="GQ1130" s="451" t="n"/>
      <c r="GS1130" s="429" t="n">
        <v>217</v>
      </c>
      <c r="GT1130" s="431" t="n">
        <v>217</v>
      </c>
      <c r="GU1130" s="688" t="n"/>
      <c r="GV1130" s="431" t="n"/>
      <c r="GW1130" s="451" t="n"/>
      <c r="GX1130" s="451" t="n"/>
      <c r="GY1130" s="451" t="n"/>
      <c r="HA1130" s="429" t="n">
        <v>217</v>
      </c>
      <c r="HB1130" s="431" t="n">
        <v>217</v>
      </c>
      <c r="HC1130" s="688" t="n"/>
      <c r="HD1130" s="431" t="n"/>
      <c r="HE1130" s="451" t="n"/>
      <c r="HF1130" s="451" t="n"/>
      <c r="HG1130" s="451" t="n"/>
    </row>
    <row r="1131">
      <c r="A1131" s="429" t="n">
        <v>218</v>
      </c>
      <c r="B1131" s="431" t="n">
        <v>218</v>
      </c>
      <c r="C1131" s="688" t="n"/>
      <c r="D1131" s="431" t="n"/>
      <c r="E1131" s="429" t="n"/>
      <c r="F1131" s="429" t="n"/>
      <c r="G1131" s="429" t="n"/>
      <c r="I1131" s="429" t="n">
        <v>218</v>
      </c>
      <c r="J1131" s="431" t="n">
        <v>218</v>
      </c>
      <c r="K1131" s="429" t="n"/>
      <c r="L1131" s="431" t="n"/>
      <c r="M1131" s="451" t="n"/>
      <c r="N1131" s="422">
        <f>'CIRCUIT SIM'!Y221</f>
        <v/>
      </c>
      <c r="O1131" s="451" t="n"/>
      <c r="Q1131" s="429" t="n">
        <v>218</v>
      </c>
      <c r="R1131" s="431" t="n">
        <v>218</v>
      </c>
      <c r="S1131" s="429" t="n"/>
      <c r="T1131" s="431" t="n"/>
      <c r="U1131" s="429" t="n"/>
      <c r="V1131" s="386" t="n"/>
      <c r="W1131" s="451" t="n"/>
      <c r="Y1131" s="429" t="n">
        <v>218</v>
      </c>
      <c r="Z1131" s="431" t="n">
        <v>218</v>
      </c>
      <c r="AA1131" s="429" t="n"/>
      <c r="AB1131" s="431" t="n"/>
      <c r="AC1131" s="451" t="n"/>
      <c r="AD1131" s="451" t="n"/>
      <c r="AE1131" s="451" t="n"/>
      <c r="AG1131" s="429" t="n">
        <v>218</v>
      </c>
      <c r="AH1131" s="431" t="n">
        <v>218</v>
      </c>
      <c r="AI1131" s="429" t="n"/>
      <c r="AJ1131" s="431" t="n"/>
      <c r="AK1131" s="451" t="n"/>
      <c r="AL1131" s="451" t="n"/>
      <c r="AM1131" s="451" t="n"/>
      <c r="AO1131" s="429" t="n">
        <v>218</v>
      </c>
      <c r="AP1131" s="431" t="n">
        <v>218</v>
      </c>
      <c r="AQ1131" s="429" t="n"/>
      <c r="AR1131" s="431" t="n"/>
      <c r="AS1131" s="451" t="n"/>
      <c r="AT1131" s="451" t="n"/>
      <c r="AU1131" s="451" t="n"/>
      <c r="AW1131" s="429" t="n">
        <v>218</v>
      </c>
      <c r="AX1131" s="431" t="n">
        <v>218</v>
      </c>
      <c r="AY1131" s="429" t="n"/>
      <c r="AZ1131" s="431" t="n"/>
      <c r="BA1131" s="451" t="n"/>
      <c r="BB1131" s="451" t="n"/>
      <c r="BC1131" s="451" t="n"/>
      <c r="BE1131" s="429" t="n">
        <v>218</v>
      </c>
      <c r="BF1131" s="431" t="n"/>
      <c r="BG1131" s="429" t="n"/>
      <c r="BH1131" s="431" t="n"/>
      <c r="BI1131" s="451" t="n"/>
      <c r="BJ1131" s="451" t="n"/>
      <c r="BK1131" s="451" t="n"/>
      <c r="BM1131" s="429" t="n">
        <v>218</v>
      </c>
      <c r="BN1131" s="431" t="n">
        <v>218</v>
      </c>
      <c r="BO1131" s="429" t="n"/>
      <c r="BP1131" s="431" t="n"/>
      <c r="BQ1131" s="451" t="n"/>
      <c r="BR1131" s="451" t="n"/>
      <c r="BS1131" s="451" t="n"/>
      <c r="BU1131" s="429" t="n">
        <v>218</v>
      </c>
      <c r="BV1131" s="431" t="n">
        <v>218</v>
      </c>
      <c r="BW1131" s="429" t="n"/>
      <c r="BX1131" s="431" t="n"/>
      <c r="BY1131" s="451" t="n"/>
      <c r="BZ1131" s="451">
        <f>'CIRCUIT SIM'!EI221</f>
        <v/>
      </c>
      <c r="CA1131" s="451" t="n"/>
      <c r="CC1131" s="429" t="n">
        <v>218</v>
      </c>
      <c r="CD1131" s="431" t="n">
        <v>218</v>
      </c>
      <c r="CE1131" s="688" t="n"/>
      <c r="CF1131" s="431" t="n"/>
      <c r="CG1131" s="451" t="n"/>
      <c r="CH1131" s="562">
        <f>'CIRCUIT SIM'!LK219</f>
        <v/>
      </c>
      <c r="CI1131" s="451" t="n"/>
      <c r="CK1131" s="429" t="n">
        <v>218</v>
      </c>
      <c r="CL1131" s="431" t="n">
        <v>218</v>
      </c>
      <c r="CM1131" s="688" t="n"/>
      <c r="CN1131" s="431" t="n"/>
      <c r="CO1131" s="451" t="n"/>
      <c r="CP1131" s="451" t="n"/>
      <c r="CQ1131" s="451" t="n"/>
      <c r="CS1131" s="429" t="n">
        <v>218</v>
      </c>
      <c r="CT1131" s="431" t="n">
        <v>218</v>
      </c>
      <c r="CU1131" s="688" t="n"/>
      <c r="CV1131" s="431" t="n"/>
      <c r="CW1131" s="451" t="n"/>
      <c r="CX1131" s="451" t="n"/>
      <c r="CY1131" s="451" t="n"/>
      <c r="DA1131" s="429" t="n">
        <v>218</v>
      </c>
      <c r="DB1131" s="431" t="n">
        <v>218</v>
      </c>
      <c r="DC1131" s="688" t="n"/>
      <c r="DD1131" s="431" t="n"/>
      <c r="DE1131" s="451" t="n"/>
      <c r="DF1131" s="451" t="n"/>
      <c r="DG1131" s="451" t="n"/>
      <c r="DI1131" s="429" t="n">
        <v>218</v>
      </c>
      <c r="DJ1131" s="431" t="n">
        <v>218</v>
      </c>
      <c r="DK1131" s="688" t="n"/>
      <c r="DL1131" s="431" t="n"/>
      <c r="DM1131" s="429" t="n"/>
      <c r="DN1131" s="451" t="n"/>
      <c r="DO1131" s="451" t="n"/>
      <c r="DQ1131" s="429" t="n">
        <v>218</v>
      </c>
      <c r="DR1131" s="431" t="n">
        <v>218</v>
      </c>
      <c r="DS1131" s="688" t="n"/>
      <c r="DT1131" s="431" t="n"/>
      <c r="DU1131" s="451" t="n"/>
      <c r="DV1131" s="451" t="n"/>
      <c r="DW1131" s="451" t="n"/>
      <c r="DY1131" s="429" t="n">
        <v>218</v>
      </c>
      <c r="DZ1131" s="431" t="n">
        <v>218</v>
      </c>
      <c r="EA1131" s="688" t="n"/>
      <c r="EB1131" s="431" t="n"/>
      <c r="EC1131" s="451" t="n"/>
      <c r="ED1131" s="451" t="n"/>
      <c r="EE1131" s="451" t="n"/>
      <c r="EG1131" s="429" t="n">
        <v>218</v>
      </c>
      <c r="EH1131" s="431" t="n">
        <v>218</v>
      </c>
      <c r="EI1131" s="688" t="n"/>
      <c r="EJ1131" s="431" t="n"/>
      <c r="EK1131" s="451" t="n"/>
      <c r="EL1131" s="451" t="n"/>
      <c r="EM1131" s="451" t="n"/>
      <c r="EO1131" s="429" t="n">
        <v>218</v>
      </c>
      <c r="EP1131" s="431" t="n">
        <v>218</v>
      </c>
      <c r="EQ1131" s="688" t="n"/>
      <c r="ER1131" s="431" t="n"/>
      <c r="ES1131" s="451" t="n"/>
      <c r="ET1131" s="451" t="n"/>
      <c r="EU1131" s="451" t="n"/>
      <c r="EW1131" s="429" t="n">
        <v>218</v>
      </c>
      <c r="EX1131" s="431" t="n">
        <v>218</v>
      </c>
      <c r="EY1131" s="688" t="n"/>
      <c r="EZ1131" s="431" t="n"/>
      <c r="FA1131" s="451" t="n"/>
      <c r="FB1131" s="451" t="n"/>
      <c r="FC1131" s="451" t="n"/>
      <c r="FE1131" s="429" t="n">
        <v>218</v>
      </c>
      <c r="FF1131" s="431" t="n">
        <v>218</v>
      </c>
      <c r="FG1131" s="688" t="n"/>
      <c r="FH1131" s="431" t="n"/>
      <c r="FI1131" s="451" t="n"/>
      <c r="FJ1131" s="451" t="n"/>
      <c r="FK1131" s="451" t="n"/>
      <c r="FM1131" s="429" t="n">
        <v>218</v>
      </c>
      <c r="FN1131" s="431" t="n">
        <v>218</v>
      </c>
      <c r="FO1131" s="688" t="n"/>
      <c r="FP1131" s="431" t="n"/>
      <c r="FQ1131" s="451" t="n"/>
      <c r="FR1131" s="451" t="n"/>
      <c r="FS1131" s="451" t="n"/>
      <c r="FU1131" s="429" t="n">
        <v>218</v>
      </c>
      <c r="FV1131" s="431" t="n">
        <v>218</v>
      </c>
      <c r="FW1131" s="688" t="n"/>
      <c r="FX1131" s="431" t="n"/>
      <c r="FY1131" s="451" t="n"/>
      <c r="FZ1131" s="562">
        <f>'CIRCUIT SIM'!JG221</f>
        <v/>
      </c>
      <c r="GA1131" s="451" t="n"/>
      <c r="GC1131" s="429" t="n">
        <v>218</v>
      </c>
      <c r="GD1131" s="431" t="n">
        <v>218</v>
      </c>
      <c r="GE1131" s="688" t="n"/>
      <c r="GF1131" s="431" t="n"/>
      <c r="GG1131" s="451" t="n"/>
      <c r="GH1131" s="451" t="n"/>
      <c r="GI1131" s="451" t="n"/>
      <c r="GK1131" s="429" t="n">
        <v>218</v>
      </c>
      <c r="GL1131" s="431" t="n">
        <v>218</v>
      </c>
      <c r="GM1131" s="688" t="n"/>
      <c r="GN1131" s="431" t="n"/>
      <c r="GO1131" s="451" t="n"/>
      <c r="GP1131" s="451" t="n"/>
      <c r="GQ1131" s="451" t="n"/>
      <c r="GS1131" s="429" t="n">
        <v>218</v>
      </c>
      <c r="GT1131" s="431" t="n">
        <v>218</v>
      </c>
      <c r="GU1131" s="688" t="n"/>
      <c r="GV1131" s="431" t="n"/>
      <c r="GW1131" s="451" t="n"/>
      <c r="GX1131" s="451" t="n"/>
      <c r="GY1131" s="451" t="n"/>
      <c r="HA1131" s="429" t="n">
        <v>218</v>
      </c>
      <c r="HB1131" s="431" t="n">
        <v>218</v>
      </c>
      <c r="HC1131" s="688" t="n"/>
      <c r="HD1131" s="431" t="n"/>
      <c r="HE1131" s="451" t="n"/>
      <c r="HF1131" s="451" t="n"/>
      <c r="HG1131" s="451" t="n"/>
    </row>
    <row r="1132">
      <c r="A1132" s="429" t="n">
        <v>219</v>
      </c>
      <c r="B1132" s="431" t="n">
        <v>219</v>
      </c>
      <c r="C1132" s="688" t="n"/>
      <c r="D1132" s="431" t="n"/>
      <c r="E1132" s="429" t="n"/>
      <c r="F1132" s="429" t="n"/>
      <c r="G1132" s="429" t="n"/>
      <c r="I1132" s="429" t="n">
        <v>219</v>
      </c>
      <c r="J1132" s="431" t="n">
        <v>219</v>
      </c>
      <c r="K1132" s="429" t="n"/>
      <c r="L1132" s="431" t="n"/>
      <c r="M1132" s="451" t="n"/>
      <c r="N1132" s="422">
        <f>'CIRCUIT SIM'!Y222</f>
        <v/>
      </c>
      <c r="O1132" s="451" t="n"/>
      <c r="Q1132" s="429" t="n">
        <v>219</v>
      </c>
      <c r="R1132" s="431" t="n">
        <v>219</v>
      </c>
      <c r="S1132" s="429" t="n"/>
      <c r="T1132" s="431" t="n"/>
      <c r="U1132" s="429" t="n"/>
      <c r="V1132" s="386" t="n"/>
      <c r="W1132" s="451" t="n"/>
      <c r="Y1132" s="429" t="n">
        <v>219</v>
      </c>
      <c r="Z1132" s="431" t="n">
        <v>219</v>
      </c>
      <c r="AA1132" s="429" t="n"/>
      <c r="AB1132" s="431" t="n"/>
      <c r="AC1132" s="451" t="n"/>
      <c r="AD1132" s="451" t="n"/>
      <c r="AE1132" s="451" t="n"/>
      <c r="AG1132" s="429" t="n">
        <v>219</v>
      </c>
      <c r="AH1132" s="431" t="n">
        <v>219</v>
      </c>
      <c r="AI1132" s="429" t="n"/>
      <c r="AJ1132" s="431" t="n"/>
      <c r="AK1132" s="451" t="n"/>
      <c r="AL1132" s="451" t="n"/>
      <c r="AM1132" s="451" t="n"/>
      <c r="AO1132" s="429" t="n">
        <v>219</v>
      </c>
      <c r="AP1132" s="431" t="n">
        <v>219</v>
      </c>
      <c r="AQ1132" s="429" t="n"/>
      <c r="AR1132" s="431" t="n"/>
      <c r="AS1132" s="451" t="n"/>
      <c r="AT1132" s="451" t="n"/>
      <c r="AU1132" s="451" t="n"/>
      <c r="AW1132" s="429" t="n">
        <v>219</v>
      </c>
      <c r="AX1132" s="431" t="n">
        <v>219</v>
      </c>
      <c r="AY1132" s="429" t="n"/>
      <c r="AZ1132" s="431" t="n"/>
      <c r="BA1132" s="451" t="n"/>
      <c r="BB1132" s="451" t="n"/>
      <c r="BC1132" s="451" t="n"/>
      <c r="BE1132" s="429" t="n">
        <v>219</v>
      </c>
      <c r="BF1132" s="431" t="n"/>
      <c r="BG1132" s="429" t="n"/>
      <c r="BH1132" s="431" t="n"/>
      <c r="BI1132" s="451" t="n"/>
      <c r="BJ1132" s="451" t="n"/>
      <c r="BK1132" s="451" t="n"/>
      <c r="BM1132" s="429" t="n">
        <v>219</v>
      </c>
      <c r="BN1132" s="431" t="n">
        <v>219</v>
      </c>
      <c r="BO1132" s="429" t="n"/>
      <c r="BP1132" s="431" t="n"/>
      <c r="BQ1132" s="451" t="n"/>
      <c r="BR1132" s="451" t="n"/>
      <c r="BS1132" s="451" t="n"/>
      <c r="BU1132" s="429" t="n">
        <v>219</v>
      </c>
      <c r="BV1132" s="431" t="n">
        <v>219</v>
      </c>
      <c r="BW1132" s="429" t="n"/>
      <c r="BX1132" s="431" t="n"/>
      <c r="BY1132" s="451" t="n"/>
      <c r="BZ1132" s="451">
        <f>'CIRCUIT SIM'!EI222</f>
        <v/>
      </c>
      <c r="CA1132" s="451" t="n"/>
      <c r="CC1132" s="429" t="n">
        <v>219</v>
      </c>
      <c r="CD1132" s="431" t="n">
        <v>219</v>
      </c>
      <c r="CE1132" s="688" t="n"/>
      <c r="CF1132" s="431" t="n"/>
      <c r="CG1132" s="451" t="n"/>
      <c r="CH1132" s="562">
        <f>'CIRCUIT SIM'!LK220</f>
        <v/>
      </c>
      <c r="CI1132" s="451" t="n"/>
      <c r="CK1132" s="429" t="n">
        <v>219</v>
      </c>
      <c r="CL1132" s="431" t="n">
        <v>219</v>
      </c>
      <c r="CM1132" s="688" t="n"/>
      <c r="CN1132" s="431" t="n"/>
      <c r="CO1132" s="451" t="n"/>
      <c r="CP1132" s="451" t="n"/>
      <c r="CQ1132" s="451" t="n"/>
      <c r="CS1132" s="429" t="n">
        <v>219</v>
      </c>
      <c r="CT1132" s="431" t="n">
        <v>219</v>
      </c>
      <c r="CU1132" s="688" t="n"/>
      <c r="CV1132" s="431" t="n"/>
      <c r="CW1132" s="451" t="n"/>
      <c r="CX1132" s="451" t="n"/>
      <c r="CY1132" s="451" t="n"/>
      <c r="DA1132" s="429" t="n">
        <v>219</v>
      </c>
      <c r="DB1132" s="431" t="n">
        <v>219</v>
      </c>
      <c r="DC1132" s="688" t="n"/>
      <c r="DD1132" s="431" t="n"/>
      <c r="DE1132" s="451" t="n"/>
      <c r="DF1132" s="451" t="n"/>
      <c r="DG1132" s="451" t="n"/>
      <c r="DI1132" s="429" t="n">
        <v>219</v>
      </c>
      <c r="DJ1132" s="431" t="n">
        <v>219</v>
      </c>
      <c r="DK1132" s="688" t="n"/>
      <c r="DL1132" s="431" t="n"/>
      <c r="DM1132" s="429" t="n"/>
      <c r="DN1132" s="451" t="n"/>
      <c r="DO1132" s="451" t="n"/>
      <c r="DQ1132" s="429" t="n">
        <v>219</v>
      </c>
      <c r="DR1132" s="431" t="n">
        <v>219</v>
      </c>
      <c r="DS1132" s="688" t="n"/>
      <c r="DT1132" s="431" t="n"/>
      <c r="DU1132" s="451" t="n"/>
      <c r="DV1132" s="451" t="n"/>
      <c r="DW1132" s="451" t="n"/>
      <c r="DY1132" s="429" t="n">
        <v>219</v>
      </c>
      <c r="DZ1132" s="431" t="n">
        <v>219</v>
      </c>
      <c r="EA1132" s="688" t="n"/>
      <c r="EB1132" s="431" t="n"/>
      <c r="EC1132" s="451" t="n"/>
      <c r="ED1132" s="451" t="n"/>
      <c r="EE1132" s="451" t="n"/>
      <c r="EG1132" s="429" t="n">
        <v>219</v>
      </c>
      <c r="EH1132" s="431" t="n">
        <v>219</v>
      </c>
      <c r="EI1132" s="688" t="n"/>
      <c r="EJ1132" s="431" t="n"/>
      <c r="EK1132" s="451" t="n"/>
      <c r="EL1132" s="451" t="n"/>
      <c r="EM1132" s="451" t="n"/>
      <c r="EO1132" s="429" t="n">
        <v>219</v>
      </c>
      <c r="EP1132" s="431" t="n">
        <v>219</v>
      </c>
      <c r="EQ1132" s="688" t="n"/>
      <c r="ER1132" s="431" t="n"/>
      <c r="ES1132" s="451" t="n"/>
      <c r="ET1132" s="451" t="n"/>
      <c r="EU1132" s="451" t="n"/>
      <c r="EW1132" s="429" t="n">
        <v>219</v>
      </c>
      <c r="EX1132" s="431" t="n">
        <v>219</v>
      </c>
      <c r="EY1132" s="688" t="n"/>
      <c r="EZ1132" s="431" t="n"/>
      <c r="FA1132" s="451" t="n"/>
      <c r="FB1132" s="451" t="n"/>
      <c r="FC1132" s="451" t="n"/>
      <c r="FE1132" s="429" t="n">
        <v>219</v>
      </c>
      <c r="FF1132" s="431" t="n">
        <v>219</v>
      </c>
      <c r="FG1132" s="688" t="n"/>
      <c r="FH1132" s="431" t="n"/>
      <c r="FI1132" s="451" t="n"/>
      <c r="FJ1132" s="451" t="n"/>
      <c r="FK1132" s="451" t="n"/>
      <c r="FM1132" s="429" t="n">
        <v>219</v>
      </c>
      <c r="FN1132" s="431" t="n">
        <v>219</v>
      </c>
      <c r="FO1132" s="688" t="n"/>
      <c r="FP1132" s="431" t="n"/>
      <c r="FQ1132" s="451" t="n"/>
      <c r="FR1132" s="451" t="n"/>
      <c r="FS1132" s="451" t="n"/>
      <c r="FU1132" s="429" t="n">
        <v>219</v>
      </c>
      <c r="FV1132" s="431" t="n">
        <v>219</v>
      </c>
      <c r="FW1132" s="688" t="n"/>
      <c r="FX1132" s="431" t="n"/>
      <c r="FY1132" s="451" t="n"/>
      <c r="FZ1132" s="562">
        <f>'CIRCUIT SIM'!JG222</f>
        <v/>
      </c>
      <c r="GA1132" s="451" t="n"/>
      <c r="GC1132" s="429" t="n">
        <v>219</v>
      </c>
      <c r="GD1132" s="431" t="n">
        <v>219</v>
      </c>
      <c r="GE1132" s="688" t="n"/>
      <c r="GF1132" s="431" t="n"/>
      <c r="GG1132" s="451" t="n"/>
      <c r="GH1132" s="451" t="n"/>
      <c r="GI1132" s="451" t="n"/>
      <c r="GK1132" s="429" t="n">
        <v>219</v>
      </c>
      <c r="GL1132" s="431" t="n">
        <v>219</v>
      </c>
      <c r="GM1132" s="688" t="n"/>
      <c r="GN1132" s="431" t="n"/>
      <c r="GO1132" s="451" t="n"/>
      <c r="GP1132" s="451" t="n"/>
      <c r="GQ1132" s="451" t="n"/>
      <c r="GS1132" s="429" t="n">
        <v>219</v>
      </c>
      <c r="GT1132" s="431" t="n">
        <v>219</v>
      </c>
      <c r="GU1132" s="688" t="n"/>
      <c r="GV1132" s="431" t="n"/>
      <c r="GW1132" s="451" t="n"/>
      <c r="GX1132" s="451" t="n"/>
      <c r="GY1132" s="451" t="n"/>
      <c r="HA1132" s="429" t="n">
        <v>219</v>
      </c>
      <c r="HB1132" s="431" t="n">
        <v>219</v>
      </c>
      <c r="HC1132" s="688" t="n"/>
      <c r="HD1132" s="431" t="n"/>
      <c r="HE1132" s="451" t="n"/>
      <c r="HF1132" s="451" t="n"/>
      <c r="HG1132" s="451" t="n"/>
    </row>
    <row r="1133">
      <c r="A1133" s="429" t="n">
        <v>220</v>
      </c>
      <c r="B1133" s="431" t="n">
        <v>220</v>
      </c>
      <c r="C1133" s="688" t="n"/>
      <c r="D1133" s="431" t="n"/>
      <c r="E1133" s="429" t="n"/>
      <c r="F1133" s="429" t="n"/>
      <c r="G1133" s="429" t="n"/>
      <c r="I1133" s="429" t="n">
        <v>220</v>
      </c>
      <c r="J1133" s="431" t="n">
        <v>220</v>
      </c>
      <c r="K1133" s="429" t="n"/>
      <c r="L1133" s="431" t="n"/>
      <c r="M1133" s="451" t="n"/>
      <c r="N1133" s="422">
        <f>'CIRCUIT SIM'!Y223</f>
        <v/>
      </c>
      <c r="O1133" s="451" t="n"/>
      <c r="Q1133" s="429" t="n">
        <v>220</v>
      </c>
      <c r="R1133" s="431" t="n">
        <v>220</v>
      </c>
      <c r="S1133" s="429" t="n"/>
      <c r="T1133" s="431" t="n"/>
      <c r="U1133" s="429" t="n"/>
      <c r="V1133" s="386" t="n"/>
      <c r="W1133" s="451" t="n"/>
      <c r="Y1133" s="429" t="n">
        <v>220</v>
      </c>
      <c r="Z1133" s="431" t="n">
        <v>220</v>
      </c>
      <c r="AA1133" s="429" t="n"/>
      <c r="AB1133" s="431" t="n"/>
      <c r="AC1133" s="451" t="n"/>
      <c r="AD1133" s="451" t="n"/>
      <c r="AE1133" s="451" t="n"/>
      <c r="AG1133" s="429" t="n">
        <v>220</v>
      </c>
      <c r="AH1133" s="431" t="n">
        <v>220</v>
      </c>
      <c r="AI1133" s="429" t="n"/>
      <c r="AJ1133" s="431" t="n"/>
      <c r="AK1133" s="451" t="n"/>
      <c r="AL1133" s="451" t="n"/>
      <c r="AM1133" s="451" t="n"/>
      <c r="AO1133" s="429" t="n">
        <v>220</v>
      </c>
      <c r="AP1133" s="431" t="n">
        <v>220</v>
      </c>
      <c r="AQ1133" s="429" t="n"/>
      <c r="AR1133" s="431" t="n"/>
      <c r="AS1133" s="451" t="n"/>
      <c r="AT1133" s="451" t="n"/>
      <c r="AU1133" s="451" t="n"/>
      <c r="AW1133" s="429" t="n">
        <v>220</v>
      </c>
      <c r="AX1133" s="431" t="n">
        <v>220</v>
      </c>
      <c r="AY1133" s="429" t="n"/>
      <c r="AZ1133" s="431" t="n"/>
      <c r="BA1133" s="451" t="n"/>
      <c r="BB1133" s="451" t="n"/>
      <c r="BC1133" s="451" t="n"/>
      <c r="BE1133" s="429" t="n">
        <v>220</v>
      </c>
      <c r="BF1133" s="431" t="n"/>
      <c r="BG1133" s="429" t="n"/>
      <c r="BH1133" s="431" t="n"/>
      <c r="BI1133" s="451" t="n"/>
      <c r="BJ1133" s="451" t="n"/>
      <c r="BK1133" s="451" t="n"/>
      <c r="BM1133" s="429" t="n">
        <v>220</v>
      </c>
      <c r="BN1133" s="431" t="n">
        <v>220</v>
      </c>
      <c r="BO1133" s="429" t="n"/>
      <c r="BP1133" s="431" t="n"/>
      <c r="BQ1133" s="451" t="n"/>
      <c r="BR1133" s="451" t="n"/>
      <c r="BS1133" s="451" t="n"/>
      <c r="BU1133" s="429" t="n">
        <v>220</v>
      </c>
      <c r="BV1133" s="431" t="n">
        <v>220</v>
      </c>
      <c r="BW1133" s="429" t="n"/>
      <c r="BX1133" s="431" t="n"/>
      <c r="BY1133" s="451" t="n"/>
      <c r="BZ1133" s="451">
        <f>'CIRCUIT SIM'!EI223</f>
        <v/>
      </c>
      <c r="CA1133" s="451" t="n"/>
      <c r="CC1133" s="429" t="n">
        <v>220</v>
      </c>
      <c r="CD1133" s="431" t="n">
        <v>220</v>
      </c>
      <c r="CE1133" s="688" t="n"/>
      <c r="CF1133" s="431" t="n"/>
      <c r="CG1133" s="451" t="n"/>
      <c r="CH1133" s="562">
        <f>'CIRCUIT SIM'!LK221</f>
        <v/>
      </c>
      <c r="CI1133" s="451" t="n"/>
      <c r="CK1133" s="429" t="n">
        <v>220</v>
      </c>
      <c r="CL1133" s="431" t="n">
        <v>220</v>
      </c>
      <c r="CM1133" s="688" t="n"/>
      <c r="CN1133" s="431" t="n"/>
      <c r="CO1133" s="451" t="n"/>
      <c r="CP1133" s="451" t="n"/>
      <c r="CQ1133" s="451" t="n"/>
      <c r="CS1133" s="429" t="n">
        <v>220</v>
      </c>
      <c r="CT1133" s="431" t="n">
        <v>220</v>
      </c>
      <c r="CU1133" s="688" t="n"/>
      <c r="CV1133" s="431" t="n"/>
      <c r="CW1133" s="451" t="n"/>
      <c r="CX1133" s="451" t="n"/>
      <c r="CY1133" s="451" t="n"/>
      <c r="DA1133" s="429" t="n">
        <v>220</v>
      </c>
      <c r="DB1133" s="431" t="n">
        <v>220</v>
      </c>
      <c r="DC1133" s="688" t="n"/>
      <c r="DD1133" s="431" t="n"/>
      <c r="DE1133" s="451" t="n"/>
      <c r="DF1133" s="451" t="n"/>
      <c r="DG1133" s="451" t="n"/>
      <c r="DI1133" s="429" t="n">
        <v>220</v>
      </c>
      <c r="DJ1133" s="431" t="n">
        <v>220</v>
      </c>
      <c r="DK1133" s="688" t="n"/>
      <c r="DL1133" s="431" t="n"/>
      <c r="DM1133" s="429" t="n"/>
      <c r="DN1133" s="451" t="n"/>
      <c r="DO1133" s="451" t="n"/>
      <c r="DQ1133" s="429" t="n">
        <v>220</v>
      </c>
      <c r="DR1133" s="431" t="n">
        <v>220</v>
      </c>
      <c r="DS1133" s="688" t="n"/>
      <c r="DT1133" s="431" t="n"/>
      <c r="DU1133" s="451" t="n"/>
      <c r="DV1133" s="451" t="n"/>
      <c r="DW1133" s="451" t="n"/>
      <c r="DY1133" s="429" t="n">
        <v>220</v>
      </c>
      <c r="DZ1133" s="431" t="n">
        <v>220</v>
      </c>
      <c r="EA1133" s="688" t="n"/>
      <c r="EB1133" s="431" t="n"/>
      <c r="EC1133" s="451" t="n"/>
      <c r="ED1133" s="451" t="n"/>
      <c r="EE1133" s="451" t="n"/>
      <c r="EG1133" s="429" t="n">
        <v>220</v>
      </c>
      <c r="EH1133" s="431" t="n">
        <v>220</v>
      </c>
      <c r="EI1133" s="688" t="n"/>
      <c r="EJ1133" s="431" t="n"/>
      <c r="EK1133" s="451" t="n"/>
      <c r="EL1133" s="451" t="n"/>
      <c r="EM1133" s="451" t="n"/>
      <c r="EO1133" s="429" t="n">
        <v>220</v>
      </c>
      <c r="EP1133" s="431" t="n">
        <v>220</v>
      </c>
      <c r="EQ1133" s="688" t="n"/>
      <c r="ER1133" s="431" t="n"/>
      <c r="ES1133" s="451" t="n"/>
      <c r="ET1133" s="451" t="n"/>
      <c r="EU1133" s="451" t="n"/>
      <c r="EW1133" s="429" t="n">
        <v>220</v>
      </c>
      <c r="EX1133" s="431" t="n">
        <v>220</v>
      </c>
      <c r="EY1133" s="688" t="n"/>
      <c r="EZ1133" s="431" t="n"/>
      <c r="FA1133" s="451" t="n"/>
      <c r="FB1133" s="451" t="n"/>
      <c r="FC1133" s="451" t="n"/>
      <c r="FE1133" s="429" t="n">
        <v>220</v>
      </c>
      <c r="FF1133" s="431" t="n">
        <v>220</v>
      </c>
      <c r="FG1133" s="688" t="n"/>
      <c r="FH1133" s="431" t="n"/>
      <c r="FI1133" s="451" t="n"/>
      <c r="FJ1133" s="451" t="n"/>
      <c r="FK1133" s="451" t="n"/>
      <c r="FM1133" s="429" t="n">
        <v>220</v>
      </c>
      <c r="FN1133" s="431" t="n">
        <v>220</v>
      </c>
      <c r="FO1133" s="688" t="n"/>
      <c r="FP1133" s="431" t="n"/>
      <c r="FQ1133" s="451" t="n"/>
      <c r="FR1133" s="451" t="n"/>
      <c r="FS1133" s="451" t="n"/>
      <c r="FU1133" s="429" t="n">
        <v>220</v>
      </c>
      <c r="FV1133" s="431" t="n">
        <v>220</v>
      </c>
      <c r="FW1133" s="688" t="n"/>
      <c r="FX1133" s="431" t="n"/>
      <c r="FY1133" s="451" t="n"/>
      <c r="FZ1133" s="562">
        <f>'CIRCUIT SIM'!JG223</f>
        <v/>
      </c>
      <c r="GA1133" s="451" t="n"/>
      <c r="GC1133" s="429" t="n">
        <v>220</v>
      </c>
      <c r="GD1133" s="431" t="n">
        <v>220</v>
      </c>
      <c r="GE1133" s="688" t="n"/>
      <c r="GF1133" s="431" t="n"/>
      <c r="GG1133" s="451" t="n"/>
      <c r="GH1133" s="451" t="n"/>
      <c r="GI1133" s="451" t="n"/>
      <c r="GK1133" s="429" t="n">
        <v>220</v>
      </c>
      <c r="GL1133" s="431" t="n">
        <v>220</v>
      </c>
      <c r="GM1133" s="688" t="n"/>
      <c r="GN1133" s="431" t="n"/>
      <c r="GO1133" s="451" t="n"/>
      <c r="GP1133" s="451" t="n"/>
      <c r="GQ1133" s="451" t="n"/>
      <c r="GS1133" s="429" t="n">
        <v>220</v>
      </c>
      <c r="GT1133" s="431" t="n">
        <v>220</v>
      </c>
      <c r="GU1133" s="688" t="n"/>
      <c r="GV1133" s="431" t="n"/>
      <c r="GW1133" s="451" t="n"/>
      <c r="GX1133" s="451" t="n"/>
      <c r="GY1133" s="451" t="n"/>
      <c r="HA1133" s="429" t="n">
        <v>220</v>
      </c>
      <c r="HB1133" s="431" t="n">
        <v>220</v>
      </c>
      <c r="HC1133" s="688" t="n"/>
      <c r="HD1133" s="431" t="n"/>
      <c r="HE1133" s="451" t="n"/>
      <c r="HF1133" s="451" t="n"/>
      <c r="HG1133" s="451" t="n"/>
    </row>
    <row r="1134">
      <c r="A1134" s="429" t="n">
        <v>221</v>
      </c>
      <c r="B1134" s="431" t="n">
        <v>221</v>
      </c>
      <c r="C1134" s="688" t="n"/>
      <c r="D1134" s="431" t="n"/>
      <c r="E1134" s="429" t="n"/>
      <c r="F1134" s="429" t="n"/>
      <c r="G1134" s="429" t="n"/>
      <c r="I1134" s="429" t="n">
        <v>221</v>
      </c>
      <c r="J1134" s="431" t="n">
        <v>221</v>
      </c>
      <c r="K1134" s="429" t="n"/>
      <c r="L1134" s="431" t="n"/>
      <c r="M1134" s="451" t="n"/>
      <c r="N1134" s="422">
        <f>'CIRCUIT SIM'!Y224</f>
        <v/>
      </c>
      <c r="O1134" s="451" t="n"/>
      <c r="Q1134" s="429" t="n">
        <v>221</v>
      </c>
      <c r="R1134" s="431" t="n">
        <v>221</v>
      </c>
      <c r="S1134" s="429" t="n"/>
      <c r="T1134" s="431" t="n"/>
      <c r="U1134" s="429" t="n"/>
      <c r="V1134" s="386" t="n"/>
      <c r="W1134" s="451" t="n"/>
      <c r="Y1134" s="429" t="n">
        <v>221</v>
      </c>
      <c r="Z1134" s="431" t="n">
        <v>221</v>
      </c>
      <c r="AA1134" s="429" t="n"/>
      <c r="AB1134" s="431" t="n"/>
      <c r="AC1134" s="451" t="n"/>
      <c r="AD1134" s="451" t="n"/>
      <c r="AE1134" s="451" t="n"/>
      <c r="AG1134" s="429" t="n">
        <v>221</v>
      </c>
      <c r="AH1134" s="431" t="n">
        <v>221</v>
      </c>
      <c r="AI1134" s="429" t="n"/>
      <c r="AJ1134" s="431" t="n"/>
      <c r="AK1134" s="451" t="n"/>
      <c r="AL1134" s="451" t="n"/>
      <c r="AM1134" s="451" t="n"/>
      <c r="AO1134" s="429" t="n">
        <v>221</v>
      </c>
      <c r="AP1134" s="431" t="n">
        <v>221</v>
      </c>
      <c r="AQ1134" s="429" t="n"/>
      <c r="AR1134" s="431" t="n"/>
      <c r="AS1134" s="451" t="n"/>
      <c r="AT1134" s="451" t="n"/>
      <c r="AU1134" s="451" t="n"/>
      <c r="AW1134" s="429" t="n">
        <v>221</v>
      </c>
      <c r="AX1134" s="431" t="n">
        <v>221</v>
      </c>
      <c r="AY1134" s="429" t="n"/>
      <c r="AZ1134" s="431" t="n"/>
      <c r="BA1134" s="451" t="n"/>
      <c r="BB1134" s="451" t="n"/>
      <c r="BC1134" s="451" t="n"/>
      <c r="BE1134" s="429" t="n">
        <v>221</v>
      </c>
      <c r="BF1134" s="431" t="n"/>
      <c r="BG1134" s="429" t="n"/>
      <c r="BH1134" s="431" t="n"/>
      <c r="BI1134" s="451" t="n"/>
      <c r="BJ1134" s="451" t="n"/>
      <c r="BK1134" s="451" t="n"/>
      <c r="BM1134" s="429" t="n">
        <v>221</v>
      </c>
      <c r="BN1134" s="431" t="n">
        <v>221</v>
      </c>
      <c r="BO1134" s="429" t="n"/>
      <c r="BP1134" s="431" t="n"/>
      <c r="BQ1134" s="451" t="n"/>
      <c r="BR1134" s="451" t="n"/>
      <c r="BS1134" s="451" t="n"/>
      <c r="BU1134" s="429" t="n">
        <v>221</v>
      </c>
      <c r="BV1134" s="431" t="n">
        <v>221</v>
      </c>
      <c r="BW1134" s="429" t="n"/>
      <c r="BX1134" s="431" t="n"/>
      <c r="BY1134" s="451" t="n"/>
      <c r="BZ1134" s="451">
        <f>'CIRCUIT SIM'!EI224</f>
        <v/>
      </c>
      <c r="CA1134" s="451" t="n"/>
      <c r="CC1134" s="429" t="n">
        <v>221</v>
      </c>
      <c r="CD1134" s="431" t="n">
        <v>221</v>
      </c>
      <c r="CE1134" s="688" t="n"/>
      <c r="CF1134" s="431" t="n"/>
      <c r="CG1134" s="451" t="n"/>
      <c r="CH1134" s="562">
        <f>'CIRCUIT SIM'!LK222</f>
        <v/>
      </c>
      <c r="CI1134" s="451" t="n"/>
      <c r="CK1134" s="429" t="n">
        <v>221</v>
      </c>
      <c r="CL1134" s="431" t="n">
        <v>221</v>
      </c>
      <c r="CM1134" s="688" t="n"/>
      <c r="CN1134" s="431" t="n"/>
      <c r="CO1134" s="451" t="n"/>
      <c r="CP1134" s="451" t="n"/>
      <c r="CQ1134" s="451" t="n"/>
      <c r="CS1134" s="429" t="n">
        <v>221</v>
      </c>
      <c r="CT1134" s="431" t="n">
        <v>221</v>
      </c>
      <c r="CU1134" s="688" t="n"/>
      <c r="CV1134" s="431" t="n"/>
      <c r="CW1134" s="451" t="n"/>
      <c r="CX1134" s="451" t="n"/>
      <c r="CY1134" s="451" t="n"/>
      <c r="DA1134" s="429" t="n">
        <v>221</v>
      </c>
      <c r="DB1134" s="431" t="n">
        <v>221</v>
      </c>
      <c r="DC1134" s="688" t="n"/>
      <c r="DD1134" s="431" t="n"/>
      <c r="DE1134" s="451" t="n"/>
      <c r="DF1134" s="451" t="n"/>
      <c r="DG1134" s="451" t="n"/>
      <c r="DI1134" s="429" t="n">
        <v>221</v>
      </c>
      <c r="DJ1134" s="431" t="n">
        <v>221</v>
      </c>
      <c r="DK1134" s="688" t="n"/>
      <c r="DL1134" s="431" t="n"/>
      <c r="DM1134" s="429" t="n"/>
      <c r="DN1134" s="451" t="n"/>
      <c r="DO1134" s="451" t="n"/>
      <c r="DQ1134" s="429" t="n">
        <v>221</v>
      </c>
      <c r="DR1134" s="431" t="n">
        <v>221</v>
      </c>
      <c r="DS1134" s="688" t="n"/>
      <c r="DT1134" s="431" t="n"/>
      <c r="DU1134" s="451" t="n"/>
      <c r="DV1134" s="451" t="n"/>
      <c r="DW1134" s="451" t="n"/>
      <c r="DY1134" s="429" t="n">
        <v>221</v>
      </c>
      <c r="DZ1134" s="431" t="n">
        <v>221</v>
      </c>
      <c r="EA1134" s="688" t="n"/>
      <c r="EB1134" s="431" t="n"/>
      <c r="EC1134" s="451" t="n"/>
      <c r="ED1134" s="451" t="n"/>
      <c r="EE1134" s="451" t="n"/>
      <c r="EG1134" s="429" t="n">
        <v>221</v>
      </c>
      <c r="EH1134" s="431" t="n">
        <v>221</v>
      </c>
      <c r="EI1134" s="688" t="n"/>
      <c r="EJ1134" s="431" t="n"/>
      <c r="EK1134" s="451" t="n"/>
      <c r="EL1134" s="451" t="n"/>
      <c r="EM1134" s="451" t="n"/>
      <c r="EO1134" s="429" t="n">
        <v>221</v>
      </c>
      <c r="EP1134" s="431" t="n">
        <v>221</v>
      </c>
      <c r="EQ1134" s="688" t="n"/>
      <c r="ER1134" s="431" t="n"/>
      <c r="ES1134" s="451" t="n"/>
      <c r="ET1134" s="451" t="n"/>
      <c r="EU1134" s="451" t="n"/>
      <c r="EW1134" s="429" t="n">
        <v>221</v>
      </c>
      <c r="EX1134" s="431" t="n">
        <v>221</v>
      </c>
      <c r="EY1134" s="688" t="n"/>
      <c r="EZ1134" s="431" t="n"/>
      <c r="FA1134" s="451" t="n"/>
      <c r="FB1134" s="451" t="n"/>
      <c r="FC1134" s="451" t="n"/>
      <c r="FE1134" s="429" t="n">
        <v>221</v>
      </c>
      <c r="FF1134" s="431" t="n">
        <v>221</v>
      </c>
      <c r="FG1134" s="688" t="n"/>
      <c r="FH1134" s="431" t="n"/>
      <c r="FI1134" s="451" t="n"/>
      <c r="FJ1134" s="451" t="n"/>
      <c r="FK1134" s="451" t="n"/>
      <c r="FM1134" s="429" t="n">
        <v>221</v>
      </c>
      <c r="FN1134" s="431" t="n">
        <v>221</v>
      </c>
      <c r="FO1134" s="688" t="n"/>
      <c r="FP1134" s="431" t="n"/>
      <c r="FQ1134" s="451" t="n"/>
      <c r="FR1134" s="451" t="n"/>
      <c r="FS1134" s="451" t="n"/>
      <c r="FU1134" s="429" t="n">
        <v>221</v>
      </c>
      <c r="FV1134" s="431" t="n">
        <v>221</v>
      </c>
      <c r="FW1134" s="688" t="n"/>
      <c r="FX1134" s="431" t="n"/>
      <c r="FY1134" s="451" t="n"/>
      <c r="FZ1134" s="562">
        <f>'CIRCUIT SIM'!JG224</f>
        <v/>
      </c>
      <c r="GA1134" s="451" t="n"/>
      <c r="GC1134" s="429" t="n">
        <v>221</v>
      </c>
      <c r="GD1134" s="431" t="n">
        <v>221</v>
      </c>
      <c r="GE1134" s="688" t="n"/>
      <c r="GF1134" s="431" t="n"/>
      <c r="GG1134" s="451" t="n"/>
      <c r="GH1134" s="451" t="n"/>
      <c r="GI1134" s="451" t="n"/>
      <c r="GK1134" s="429" t="n">
        <v>221</v>
      </c>
      <c r="GL1134" s="431" t="n">
        <v>221</v>
      </c>
      <c r="GM1134" s="688" t="n"/>
      <c r="GN1134" s="431" t="n"/>
      <c r="GO1134" s="451" t="n"/>
      <c r="GP1134" s="451" t="n"/>
      <c r="GQ1134" s="451" t="n"/>
      <c r="GS1134" s="429" t="n">
        <v>221</v>
      </c>
      <c r="GT1134" s="431" t="n">
        <v>221</v>
      </c>
      <c r="GU1134" s="688" t="n"/>
      <c r="GV1134" s="431" t="n"/>
      <c r="GW1134" s="451" t="n"/>
      <c r="GX1134" s="451" t="n"/>
      <c r="GY1134" s="451" t="n"/>
      <c r="HA1134" s="429" t="n">
        <v>221</v>
      </c>
      <c r="HB1134" s="431" t="n">
        <v>221</v>
      </c>
      <c r="HC1134" s="688" t="n"/>
      <c r="HD1134" s="431" t="n"/>
      <c r="HE1134" s="451" t="n"/>
      <c r="HF1134" s="451" t="n"/>
      <c r="HG1134" s="451" t="n"/>
    </row>
    <row r="1135">
      <c r="A1135" s="429" t="n">
        <v>222</v>
      </c>
      <c r="B1135" s="431" t="n">
        <v>222</v>
      </c>
      <c r="C1135" s="688" t="n"/>
      <c r="D1135" s="431" t="n"/>
      <c r="E1135" s="429" t="n"/>
      <c r="F1135" s="429" t="n"/>
      <c r="G1135" s="429" t="n"/>
      <c r="I1135" s="429" t="n">
        <v>222</v>
      </c>
      <c r="J1135" s="431" t="n">
        <v>222</v>
      </c>
      <c r="K1135" s="429" t="n"/>
      <c r="L1135" s="431" t="n"/>
      <c r="M1135" s="451" t="n"/>
      <c r="N1135" s="422">
        <f>'CIRCUIT SIM'!Y225</f>
        <v/>
      </c>
      <c r="O1135" s="451" t="n"/>
      <c r="Q1135" s="429" t="n">
        <v>222</v>
      </c>
      <c r="R1135" s="431" t="n">
        <v>222</v>
      </c>
      <c r="S1135" s="429" t="n"/>
      <c r="T1135" s="431" t="n"/>
      <c r="U1135" s="429" t="n"/>
      <c r="V1135" s="386" t="n"/>
      <c r="W1135" s="451" t="n"/>
      <c r="Y1135" s="429" t="n">
        <v>222</v>
      </c>
      <c r="Z1135" s="431" t="n">
        <v>222</v>
      </c>
      <c r="AA1135" s="429" t="n"/>
      <c r="AB1135" s="431" t="n"/>
      <c r="AC1135" s="451" t="n"/>
      <c r="AD1135" s="451" t="n"/>
      <c r="AE1135" s="451" t="n"/>
      <c r="AG1135" s="429" t="n">
        <v>222</v>
      </c>
      <c r="AH1135" s="431" t="n">
        <v>222</v>
      </c>
      <c r="AI1135" s="429" t="n"/>
      <c r="AJ1135" s="431" t="n"/>
      <c r="AK1135" s="451" t="n"/>
      <c r="AL1135" s="451" t="n"/>
      <c r="AM1135" s="451" t="n"/>
      <c r="AO1135" s="429" t="n">
        <v>222</v>
      </c>
      <c r="AP1135" s="431" t="n">
        <v>222</v>
      </c>
      <c r="AQ1135" s="429" t="n"/>
      <c r="AR1135" s="431" t="n"/>
      <c r="AS1135" s="451" t="n"/>
      <c r="AT1135" s="451" t="n"/>
      <c r="AU1135" s="451" t="n"/>
      <c r="AW1135" s="429" t="n">
        <v>222</v>
      </c>
      <c r="AX1135" s="431" t="n">
        <v>222</v>
      </c>
      <c r="AY1135" s="429" t="n"/>
      <c r="AZ1135" s="431" t="n"/>
      <c r="BA1135" s="451" t="n"/>
      <c r="BB1135" s="451" t="n"/>
      <c r="BC1135" s="451" t="n"/>
      <c r="BE1135" s="429" t="n">
        <v>222</v>
      </c>
      <c r="BF1135" s="431" t="n"/>
      <c r="BG1135" s="429" t="n"/>
      <c r="BH1135" s="431" t="n"/>
      <c r="BI1135" s="451" t="n"/>
      <c r="BJ1135" s="451" t="n"/>
      <c r="BK1135" s="451" t="n"/>
      <c r="BM1135" s="429" t="n">
        <v>222</v>
      </c>
      <c r="BN1135" s="431" t="n">
        <v>222</v>
      </c>
      <c r="BO1135" s="429" t="n"/>
      <c r="BP1135" s="431" t="n"/>
      <c r="BQ1135" s="451" t="n"/>
      <c r="BR1135" s="451" t="n"/>
      <c r="BS1135" s="451" t="n"/>
      <c r="BU1135" s="429" t="n">
        <v>222</v>
      </c>
      <c r="BV1135" s="431" t="n">
        <v>222</v>
      </c>
      <c r="BW1135" s="429" t="n"/>
      <c r="BX1135" s="431" t="n"/>
      <c r="BY1135" s="451" t="n"/>
      <c r="BZ1135" s="451">
        <f>'CIRCUIT SIM'!EI225</f>
        <v/>
      </c>
      <c r="CA1135" s="451" t="n"/>
      <c r="CC1135" s="429" t="n">
        <v>222</v>
      </c>
      <c r="CD1135" s="431" t="n">
        <v>222</v>
      </c>
      <c r="CE1135" s="688" t="n"/>
      <c r="CF1135" s="431" t="n"/>
      <c r="CG1135" s="451" t="n"/>
      <c r="CH1135" s="562">
        <f>'CIRCUIT SIM'!LK223</f>
        <v/>
      </c>
      <c r="CI1135" s="451" t="n"/>
      <c r="CK1135" s="429" t="n">
        <v>222</v>
      </c>
      <c r="CL1135" s="431" t="n">
        <v>222</v>
      </c>
      <c r="CM1135" s="688" t="n"/>
      <c r="CN1135" s="431" t="n"/>
      <c r="CO1135" s="451" t="n"/>
      <c r="CP1135" s="451" t="n"/>
      <c r="CQ1135" s="451" t="n"/>
      <c r="CS1135" s="429" t="n">
        <v>222</v>
      </c>
      <c r="CT1135" s="431" t="n">
        <v>222</v>
      </c>
      <c r="CU1135" s="688" t="n"/>
      <c r="CV1135" s="431" t="n"/>
      <c r="CW1135" s="451" t="n"/>
      <c r="CX1135" s="451" t="n"/>
      <c r="CY1135" s="451" t="n"/>
      <c r="DA1135" s="429" t="n">
        <v>222</v>
      </c>
      <c r="DB1135" s="431" t="n">
        <v>222</v>
      </c>
      <c r="DC1135" s="688" t="n"/>
      <c r="DD1135" s="431" t="n"/>
      <c r="DE1135" s="451" t="n"/>
      <c r="DF1135" s="451" t="n"/>
      <c r="DG1135" s="451" t="n"/>
      <c r="DI1135" s="429" t="n">
        <v>222</v>
      </c>
      <c r="DJ1135" s="431" t="n">
        <v>222</v>
      </c>
      <c r="DK1135" s="688" t="n"/>
      <c r="DL1135" s="431" t="n"/>
      <c r="DM1135" s="429" t="n"/>
      <c r="DN1135" s="451" t="n"/>
      <c r="DO1135" s="451" t="n"/>
      <c r="DQ1135" s="429" t="n">
        <v>222</v>
      </c>
      <c r="DR1135" s="431" t="n">
        <v>222</v>
      </c>
      <c r="DS1135" s="688" t="n"/>
      <c r="DT1135" s="431" t="n"/>
      <c r="DU1135" s="451" t="n"/>
      <c r="DV1135" s="451" t="n"/>
      <c r="DW1135" s="451" t="n"/>
      <c r="DY1135" s="429" t="n">
        <v>222</v>
      </c>
      <c r="DZ1135" s="431" t="n">
        <v>222</v>
      </c>
      <c r="EA1135" s="688" t="n"/>
      <c r="EB1135" s="431" t="n"/>
      <c r="EC1135" s="451" t="n"/>
      <c r="ED1135" s="451" t="n"/>
      <c r="EE1135" s="451" t="n"/>
      <c r="EG1135" s="429" t="n">
        <v>222</v>
      </c>
      <c r="EH1135" s="431" t="n">
        <v>222</v>
      </c>
      <c r="EI1135" s="688" t="n"/>
      <c r="EJ1135" s="431" t="n"/>
      <c r="EK1135" s="451" t="n"/>
      <c r="EL1135" s="451" t="n"/>
      <c r="EM1135" s="451" t="n"/>
      <c r="EO1135" s="429" t="n">
        <v>222</v>
      </c>
      <c r="EP1135" s="431" t="n">
        <v>222</v>
      </c>
      <c r="EQ1135" s="688" t="n"/>
      <c r="ER1135" s="431" t="n"/>
      <c r="ES1135" s="451" t="n"/>
      <c r="ET1135" s="451" t="n"/>
      <c r="EU1135" s="451" t="n"/>
      <c r="EW1135" s="429" t="n">
        <v>222</v>
      </c>
      <c r="EX1135" s="431" t="n">
        <v>222</v>
      </c>
      <c r="EY1135" s="688" t="n"/>
      <c r="EZ1135" s="431" t="n"/>
      <c r="FA1135" s="451" t="n"/>
      <c r="FB1135" s="451" t="n"/>
      <c r="FC1135" s="451" t="n"/>
      <c r="FE1135" s="429" t="n">
        <v>222</v>
      </c>
      <c r="FF1135" s="431" t="n">
        <v>222</v>
      </c>
      <c r="FG1135" s="688" t="n"/>
      <c r="FH1135" s="431" t="n"/>
      <c r="FI1135" s="451" t="n"/>
      <c r="FJ1135" s="451" t="n"/>
      <c r="FK1135" s="451" t="n"/>
      <c r="FM1135" s="429" t="n">
        <v>222</v>
      </c>
      <c r="FN1135" s="431" t="n">
        <v>222</v>
      </c>
      <c r="FO1135" s="688" t="n"/>
      <c r="FP1135" s="431" t="n"/>
      <c r="FQ1135" s="451" t="n"/>
      <c r="FR1135" s="451" t="n"/>
      <c r="FS1135" s="451" t="n"/>
      <c r="FU1135" s="429" t="n">
        <v>222</v>
      </c>
      <c r="FV1135" s="431" t="n">
        <v>222</v>
      </c>
      <c r="FW1135" s="688" t="n"/>
      <c r="FX1135" s="431" t="n"/>
      <c r="FY1135" s="451" t="n"/>
      <c r="FZ1135" s="562">
        <f>'CIRCUIT SIM'!JG225</f>
        <v/>
      </c>
      <c r="GA1135" s="451" t="n"/>
      <c r="GC1135" s="429" t="n">
        <v>222</v>
      </c>
      <c r="GD1135" s="431" t="n">
        <v>222</v>
      </c>
      <c r="GE1135" s="688" t="n"/>
      <c r="GF1135" s="431" t="n"/>
      <c r="GG1135" s="451" t="n"/>
      <c r="GH1135" s="451" t="n"/>
      <c r="GI1135" s="451" t="n"/>
      <c r="GK1135" s="429" t="n">
        <v>222</v>
      </c>
      <c r="GL1135" s="431" t="n">
        <v>222</v>
      </c>
      <c r="GM1135" s="688" t="n"/>
      <c r="GN1135" s="431" t="n"/>
      <c r="GO1135" s="451" t="n"/>
      <c r="GP1135" s="451" t="n"/>
      <c r="GQ1135" s="451" t="n"/>
      <c r="GS1135" s="429" t="n">
        <v>222</v>
      </c>
      <c r="GT1135" s="431" t="n">
        <v>222</v>
      </c>
      <c r="GU1135" s="688" t="n"/>
      <c r="GV1135" s="431" t="n"/>
      <c r="GW1135" s="451" t="n"/>
      <c r="GX1135" s="451" t="n"/>
      <c r="GY1135" s="451" t="n"/>
      <c r="HA1135" s="429" t="n">
        <v>222</v>
      </c>
      <c r="HB1135" s="431" t="n">
        <v>222</v>
      </c>
      <c r="HC1135" s="688" t="n"/>
      <c r="HD1135" s="431" t="n"/>
      <c r="HE1135" s="451" t="n"/>
      <c r="HF1135" s="451" t="n"/>
      <c r="HG1135" s="451" t="n"/>
    </row>
    <row r="1136">
      <c r="A1136" s="429" t="n">
        <v>223</v>
      </c>
      <c r="B1136" s="431" t="n">
        <v>223</v>
      </c>
      <c r="C1136" s="688" t="n"/>
      <c r="D1136" s="431" t="n"/>
      <c r="E1136" s="429" t="n"/>
      <c r="F1136" s="429" t="n"/>
      <c r="G1136" s="429" t="n"/>
      <c r="I1136" s="429" t="n">
        <v>223</v>
      </c>
      <c r="J1136" s="431" t="n">
        <v>223</v>
      </c>
      <c r="K1136" s="429" t="n"/>
      <c r="L1136" s="431" t="n"/>
      <c r="M1136" s="451" t="n"/>
      <c r="N1136" s="422">
        <f>'CIRCUIT SIM'!Y226</f>
        <v/>
      </c>
      <c r="O1136" s="451" t="n"/>
      <c r="Q1136" s="429" t="n">
        <v>223</v>
      </c>
      <c r="R1136" s="431" t="n">
        <v>223</v>
      </c>
      <c r="S1136" s="429" t="n"/>
      <c r="T1136" s="431" t="n"/>
      <c r="U1136" s="429" t="n"/>
      <c r="V1136" s="386" t="n"/>
      <c r="W1136" s="451" t="n"/>
      <c r="Y1136" s="429" t="n">
        <v>223</v>
      </c>
      <c r="Z1136" s="431" t="n">
        <v>223</v>
      </c>
      <c r="AA1136" s="429" t="n"/>
      <c r="AB1136" s="431" t="n"/>
      <c r="AC1136" s="451" t="n"/>
      <c r="AD1136" s="451" t="n"/>
      <c r="AE1136" s="451" t="n"/>
      <c r="AG1136" s="429" t="n">
        <v>223</v>
      </c>
      <c r="AH1136" s="431" t="n">
        <v>223</v>
      </c>
      <c r="AI1136" s="429" t="n"/>
      <c r="AJ1136" s="431" t="n"/>
      <c r="AK1136" s="451" t="n"/>
      <c r="AL1136" s="451" t="n"/>
      <c r="AM1136" s="451" t="n"/>
      <c r="AO1136" s="429" t="n">
        <v>223</v>
      </c>
      <c r="AP1136" s="431" t="n">
        <v>223</v>
      </c>
      <c r="AQ1136" s="429" t="n"/>
      <c r="AR1136" s="431" t="n"/>
      <c r="AS1136" s="451" t="n"/>
      <c r="AT1136" s="451" t="n"/>
      <c r="AU1136" s="451" t="n"/>
      <c r="AW1136" s="429" t="n">
        <v>223</v>
      </c>
      <c r="AX1136" s="431" t="n">
        <v>223</v>
      </c>
      <c r="AY1136" s="429" t="n"/>
      <c r="AZ1136" s="431" t="n"/>
      <c r="BA1136" s="451" t="n"/>
      <c r="BB1136" s="451" t="n"/>
      <c r="BC1136" s="451" t="n"/>
      <c r="BE1136" s="429" t="n">
        <v>223</v>
      </c>
      <c r="BF1136" s="431" t="n"/>
      <c r="BG1136" s="429" t="n"/>
      <c r="BH1136" s="431" t="n"/>
      <c r="BI1136" s="451" t="n"/>
      <c r="BJ1136" s="451" t="n"/>
      <c r="BK1136" s="451" t="n"/>
      <c r="BM1136" s="429" t="n">
        <v>223</v>
      </c>
      <c r="BN1136" s="431" t="n">
        <v>223</v>
      </c>
      <c r="BO1136" s="429" t="n"/>
      <c r="BP1136" s="431" t="n"/>
      <c r="BQ1136" s="451" t="n"/>
      <c r="BR1136" s="451" t="n"/>
      <c r="BS1136" s="451" t="n"/>
      <c r="BU1136" s="429" t="n">
        <v>223</v>
      </c>
      <c r="BV1136" s="431" t="n">
        <v>223</v>
      </c>
      <c r="BW1136" s="429" t="n"/>
      <c r="BX1136" s="431" t="n"/>
      <c r="BY1136" s="451" t="n"/>
      <c r="BZ1136" s="451">
        <f>'CIRCUIT SIM'!EI226</f>
        <v/>
      </c>
      <c r="CA1136" s="451" t="n"/>
      <c r="CC1136" s="429" t="n">
        <v>223</v>
      </c>
      <c r="CD1136" s="431" t="n">
        <v>223</v>
      </c>
      <c r="CE1136" s="688" t="n"/>
      <c r="CF1136" s="431" t="n"/>
      <c r="CG1136" s="451" t="n"/>
      <c r="CH1136" s="562">
        <f>'CIRCUIT SIM'!LK224</f>
        <v/>
      </c>
      <c r="CI1136" s="451" t="n"/>
      <c r="CK1136" s="429" t="n">
        <v>223</v>
      </c>
      <c r="CL1136" s="431" t="n">
        <v>223</v>
      </c>
      <c r="CM1136" s="688" t="n"/>
      <c r="CN1136" s="431" t="n"/>
      <c r="CO1136" s="451" t="n"/>
      <c r="CP1136" s="451" t="n"/>
      <c r="CQ1136" s="451" t="n"/>
      <c r="CS1136" s="429" t="n">
        <v>223</v>
      </c>
      <c r="CT1136" s="431" t="n">
        <v>223</v>
      </c>
      <c r="CU1136" s="688" t="n"/>
      <c r="CV1136" s="431" t="n"/>
      <c r="CW1136" s="451" t="n"/>
      <c r="CX1136" s="451" t="n"/>
      <c r="CY1136" s="451" t="n"/>
      <c r="DA1136" s="429" t="n">
        <v>223</v>
      </c>
      <c r="DB1136" s="431" t="n">
        <v>223</v>
      </c>
      <c r="DC1136" s="688" t="n"/>
      <c r="DD1136" s="431" t="n"/>
      <c r="DE1136" s="451" t="n"/>
      <c r="DF1136" s="451" t="n"/>
      <c r="DG1136" s="451" t="n"/>
      <c r="DI1136" s="429" t="n">
        <v>223</v>
      </c>
      <c r="DJ1136" s="431" t="n">
        <v>223</v>
      </c>
      <c r="DK1136" s="688" t="n"/>
      <c r="DL1136" s="431" t="n"/>
      <c r="DM1136" s="429" t="n"/>
      <c r="DN1136" s="451" t="n"/>
      <c r="DO1136" s="451" t="n"/>
      <c r="DQ1136" s="429" t="n">
        <v>223</v>
      </c>
      <c r="DR1136" s="431" t="n">
        <v>223</v>
      </c>
      <c r="DS1136" s="688" t="n"/>
      <c r="DT1136" s="431" t="n"/>
      <c r="DU1136" s="451" t="n"/>
      <c r="DV1136" s="451" t="n"/>
      <c r="DW1136" s="451" t="n"/>
      <c r="DY1136" s="429" t="n">
        <v>223</v>
      </c>
      <c r="DZ1136" s="431" t="n">
        <v>223</v>
      </c>
      <c r="EA1136" s="688" t="n"/>
      <c r="EB1136" s="431" t="n"/>
      <c r="EC1136" s="451" t="n"/>
      <c r="ED1136" s="451" t="n"/>
      <c r="EE1136" s="451" t="n"/>
      <c r="EG1136" s="429" t="n">
        <v>223</v>
      </c>
      <c r="EH1136" s="431" t="n">
        <v>223</v>
      </c>
      <c r="EI1136" s="688" t="n"/>
      <c r="EJ1136" s="431" t="n"/>
      <c r="EK1136" s="451" t="n"/>
      <c r="EL1136" s="451" t="n"/>
      <c r="EM1136" s="451" t="n"/>
      <c r="EO1136" s="429" t="n">
        <v>223</v>
      </c>
      <c r="EP1136" s="431" t="n">
        <v>223</v>
      </c>
      <c r="EQ1136" s="688" t="n"/>
      <c r="ER1136" s="431" t="n"/>
      <c r="ES1136" s="451" t="n"/>
      <c r="ET1136" s="451" t="n"/>
      <c r="EU1136" s="451" t="n"/>
      <c r="EW1136" s="429" t="n">
        <v>223</v>
      </c>
      <c r="EX1136" s="431" t="n">
        <v>223</v>
      </c>
      <c r="EY1136" s="688" t="n"/>
      <c r="EZ1136" s="431" t="n"/>
      <c r="FA1136" s="451" t="n"/>
      <c r="FB1136" s="451" t="n"/>
      <c r="FC1136" s="451" t="n"/>
      <c r="FE1136" s="429" t="n">
        <v>223</v>
      </c>
      <c r="FF1136" s="431" t="n">
        <v>223</v>
      </c>
      <c r="FG1136" s="688" t="n"/>
      <c r="FH1136" s="431" t="n"/>
      <c r="FI1136" s="451" t="n"/>
      <c r="FJ1136" s="451" t="n"/>
      <c r="FK1136" s="451" t="n"/>
      <c r="FM1136" s="429" t="n">
        <v>223</v>
      </c>
      <c r="FN1136" s="431" t="n">
        <v>223</v>
      </c>
      <c r="FO1136" s="688" t="n"/>
      <c r="FP1136" s="431" t="n"/>
      <c r="FQ1136" s="451" t="n"/>
      <c r="FR1136" s="451" t="n"/>
      <c r="FS1136" s="451" t="n"/>
      <c r="FU1136" s="429" t="n">
        <v>223</v>
      </c>
      <c r="FV1136" s="431" t="n">
        <v>223</v>
      </c>
      <c r="FW1136" s="688" t="n"/>
      <c r="FX1136" s="431" t="n"/>
      <c r="FY1136" s="451" t="n"/>
      <c r="FZ1136" s="562">
        <f>'CIRCUIT SIM'!JG226</f>
        <v/>
      </c>
      <c r="GA1136" s="451" t="n"/>
      <c r="GC1136" s="429" t="n">
        <v>223</v>
      </c>
      <c r="GD1136" s="431" t="n">
        <v>223</v>
      </c>
      <c r="GE1136" s="688" t="n"/>
      <c r="GF1136" s="431" t="n"/>
      <c r="GG1136" s="451" t="n"/>
      <c r="GH1136" s="451" t="n"/>
      <c r="GI1136" s="451" t="n"/>
      <c r="GK1136" s="429" t="n">
        <v>223</v>
      </c>
      <c r="GL1136" s="431" t="n">
        <v>223</v>
      </c>
      <c r="GM1136" s="688" t="n"/>
      <c r="GN1136" s="431" t="n"/>
      <c r="GO1136" s="451" t="n"/>
      <c r="GP1136" s="451" t="n"/>
      <c r="GQ1136" s="451" t="n"/>
      <c r="GS1136" s="429" t="n">
        <v>223</v>
      </c>
      <c r="GT1136" s="431" t="n">
        <v>223</v>
      </c>
      <c r="GU1136" s="688" t="n"/>
      <c r="GV1136" s="431" t="n"/>
      <c r="GW1136" s="451" t="n"/>
      <c r="GX1136" s="451" t="n"/>
      <c r="GY1136" s="451" t="n"/>
      <c r="HA1136" s="429" t="n">
        <v>223</v>
      </c>
      <c r="HB1136" s="431" t="n">
        <v>223</v>
      </c>
      <c r="HC1136" s="688" t="n"/>
      <c r="HD1136" s="431" t="n"/>
      <c r="HE1136" s="451" t="n"/>
      <c r="HF1136" s="451" t="n"/>
      <c r="HG1136" s="451" t="n"/>
    </row>
    <row r="1137">
      <c r="A1137" s="429" t="n">
        <v>224</v>
      </c>
      <c r="B1137" s="431" t="n">
        <v>224</v>
      </c>
      <c r="C1137" s="688" t="n"/>
      <c r="D1137" s="431" t="n"/>
      <c r="E1137" s="429" t="n"/>
      <c r="F1137" s="429" t="n"/>
      <c r="G1137" s="429" t="n"/>
      <c r="I1137" s="429" t="n">
        <v>224</v>
      </c>
      <c r="J1137" s="431" t="n">
        <v>224</v>
      </c>
      <c r="K1137" s="429" t="n"/>
      <c r="L1137" s="431" t="n"/>
      <c r="M1137" s="451" t="n"/>
      <c r="N1137" s="422">
        <f>'CIRCUIT SIM'!Y227</f>
        <v/>
      </c>
      <c r="O1137" s="451" t="n"/>
      <c r="Q1137" s="429" t="n">
        <v>224</v>
      </c>
      <c r="R1137" s="431" t="n">
        <v>224</v>
      </c>
      <c r="S1137" s="429" t="n"/>
      <c r="T1137" s="431" t="n"/>
      <c r="U1137" s="429" t="n"/>
      <c r="V1137" s="386" t="n"/>
      <c r="W1137" s="451" t="n"/>
      <c r="Y1137" s="429" t="n">
        <v>224</v>
      </c>
      <c r="Z1137" s="431" t="n">
        <v>224</v>
      </c>
      <c r="AA1137" s="429" t="n"/>
      <c r="AB1137" s="431" t="n"/>
      <c r="AC1137" s="451" t="n"/>
      <c r="AD1137" s="451" t="n"/>
      <c r="AE1137" s="451" t="n"/>
      <c r="AG1137" s="429" t="n">
        <v>224</v>
      </c>
      <c r="AH1137" s="431" t="n">
        <v>224</v>
      </c>
      <c r="AI1137" s="429" t="n"/>
      <c r="AJ1137" s="431" t="n"/>
      <c r="AK1137" s="451" t="n"/>
      <c r="AL1137" s="451" t="n"/>
      <c r="AM1137" s="451" t="n"/>
      <c r="AO1137" s="429" t="n">
        <v>224</v>
      </c>
      <c r="AP1137" s="431" t="n">
        <v>224</v>
      </c>
      <c r="AQ1137" s="429" t="n"/>
      <c r="AR1137" s="431" t="n"/>
      <c r="AS1137" s="451" t="n"/>
      <c r="AT1137" s="451" t="n"/>
      <c r="AU1137" s="451" t="n"/>
      <c r="AW1137" s="429" t="n">
        <v>224</v>
      </c>
      <c r="AX1137" s="431" t="n">
        <v>224</v>
      </c>
      <c r="AY1137" s="429" t="n"/>
      <c r="AZ1137" s="431" t="n"/>
      <c r="BA1137" s="451" t="n"/>
      <c r="BB1137" s="451" t="n"/>
      <c r="BC1137" s="451" t="n"/>
      <c r="BE1137" s="429" t="n">
        <v>224</v>
      </c>
      <c r="BF1137" s="431" t="n"/>
      <c r="BG1137" s="429" t="n"/>
      <c r="BH1137" s="431" t="n"/>
      <c r="BI1137" s="451" t="n"/>
      <c r="BJ1137" s="451" t="n"/>
      <c r="BK1137" s="451" t="n"/>
      <c r="BM1137" s="429" t="n">
        <v>224</v>
      </c>
      <c r="BN1137" s="431" t="n">
        <v>224</v>
      </c>
      <c r="BO1137" s="429" t="n"/>
      <c r="BP1137" s="431" t="n"/>
      <c r="BQ1137" s="451" t="n"/>
      <c r="BR1137" s="451" t="n"/>
      <c r="BS1137" s="451" t="n"/>
      <c r="BU1137" s="429" t="n">
        <v>224</v>
      </c>
      <c r="BV1137" s="431" t="n">
        <v>224</v>
      </c>
      <c r="BW1137" s="429" t="n"/>
      <c r="BX1137" s="431" t="n"/>
      <c r="BY1137" s="451" t="n"/>
      <c r="BZ1137" s="451">
        <f>'CIRCUIT SIM'!EI227</f>
        <v/>
      </c>
      <c r="CA1137" s="451" t="n"/>
      <c r="CC1137" s="429" t="n">
        <v>224</v>
      </c>
      <c r="CD1137" s="431" t="n">
        <v>224</v>
      </c>
      <c r="CE1137" s="688" t="n"/>
      <c r="CF1137" s="431" t="n"/>
      <c r="CG1137" s="451" t="n"/>
      <c r="CH1137" s="562">
        <f>'CIRCUIT SIM'!LK225</f>
        <v/>
      </c>
      <c r="CI1137" s="451" t="n"/>
      <c r="CK1137" s="429" t="n">
        <v>224</v>
      </c>
      <c r="CL1137" s="431" t="n">
        <v>224</v>
      </c>
      <c r="CM1137" s="688" t="n"/>
      <c r="CN1137" s="431" t="n"/>
      <c r="CO1137" s="451" t="n"/>
      <c r="CP1137" s="451" t="n"/>
      <c r="CQ1137" s="451" t="n"/>
      <c r="CS1137" s="429" t="n">
        <v>224</v>
      </c>
      <c r="CT1137" s="431" t="n">
        <v>224</v>
      </c>
      <c r="CU1137" s="688" t="n"/>
      <c r="CV1137" s="431" t="n"/>
      <c r="CW1137" s="451" t="n"/>
      <c r="CX1137" s="451" t="n"/>
      <c r="CY1137" s="451" t="n"/>
      <c r="DA1137" s="429" t="n">
        <v>224</v>
      </c>
      <c r="DB1137" s="431" t="n">
        <v>224</v>
      </c>
      <c r="DC1137" s="688" t="n"/>
      <c r="DD1137" s="431" t="n"/>
      <c r="DE1137" s="451" t="n"/>
      <c r="DF1137" s="451" t="n"/>
      <c r="DG1137" s="451" t="n"/>
      <c r="DI1137" s="429" t="n">
        <v>224</v>
      </c>
      <c r="DJ1137" s="431" t="n">
        <v>224</v>
      </c>
      <c r="DK1137" s="688" t="n"/>
      <c r="DL1137" s="431" t="n"/>
      <c r="DM1137" s="429" t="n"/>
      <c r="DN1137" s="451" t="n"/>
      <c r="DO1137" s="451" t="n"/>
      <c r="DQ1137" s="429" t="n">
        <v>224</v>
      </c>
      <c r="DR1137" s="431" t="n">
        <v>224</v>
      </c>
      <c r="DS1137" s="688" t="n"/>
      <c r="DT1137" s="431" t="n"/>
      <c r="DU1137" s="451" t="n"/>
      <c r="DV1137" s="451" t="n"/>
      <c r="DW1137" s="451" t="n"/>
      <c r="DY1137" s="429" t="n">
        <v>224</v>
      </c>
      <c r="DZ1137" s="431" t="n">
        <v>224</v>
      </c>
      <c r="EA1137" s="688" t="n"/>
      <c r="EB1137" s="431" t="n"/>
      <c r="EC1137" s="451" t="n"/>
      <c r="ED1137" s="451" t="n"/>
      <c r="EE1137" s="451" t="n"/>
      <c r="EG1137" s="429" t="n">
        <v>224</v>
      </c>
      <c r="EH1137" s="431" t="n">
        <v>224</v>
      </c>
      <c r="EI1137" s="688" t="n"/>
      <c r="EJ1137" s="431" t="n"/>
      <c r="EK1137" s="451" t="n"/>
      <c r="EL1137" s="451" t="n"/>
      <c r="EM1137" s="451" t="n"/>
      <c r="EO1137" s="429" t="n">
        <v>224</v>
      </c>
      <c r="EP1137" s="431" t="n">
        <v>224</v>
      </c>
      <c r="EQ1137" s="688" t="n"/>
      <c r="ER1137" s="431" t="n"/>
      <c r="ES1137" s="451" t="n"/>
      <c r="ET1137" s="451" t="n"/>
      <c r="EU1137" s="451" t="n"/>
      <c r="EW1137" s="429" t="n">
        <v>224</v>
      </c>
      <c r="EX1137" s="431" t="n">
        <v>224</v>
      </c>
      <c r="EY1137" s="688" t="n"/>
      <c r="EZ1137" s="431" t="n"/>
      <c r="FA1137" s="451" t="n"/>
      <c r="FB1137" s="451" t="n"/>
      <c r="FC1137" s="451" t="n"/>
      <c r="FE1137" s="429" t="n">
        <v>224</v>
      </c>
      <c r="FF1137" s="431" t="n">
        <v>224</v>
      </c>
      <c r="FG1137" s="688" t="n"/>
      <c r="FH1137" s="431" t="n"/>
      <c r="FI1137" s="451" t="n"/>
      <c r="FJ1137" s="451" t="n"/>
      <c r="FK1137" s="451" t="n"/>
      <c r="FM1137" s="429" t="n">
        <v>224</v>
      </c>
      <c r="FN1137" s="431" t="n">
        <v>224</v>
      </c>
      <c r="FO1137" s="688" t="n"/>
      <c r="FP1137" s="431" t="n"/>
      <c r="FQ1137" s="451" t="n"/>
      <c r="FR1137" s="451" t="n"/>
      <c r="FS1137" s="451" t="n"/>
      <c r="FU1137" s="429" t="n">
        <v>224</v>
      </c>
      <c r="FV1137" s="431" t="n">
        <v>224</v>
      </c>
      <c r="FW1137" s="688" t="n"/>
      <c r="FX1137" s="431" t="n"/>
      <c r="FY1137" s="451" t="n"/>
      <c r="FZ1137" s="562">
        <f>'CIRCUIT SIM'!JG227</f>
        <v/>
      </c>
      <c r="GA1137" s="451" t="n"/>
      <c r="GC1137" s="429" t="n">
        <v>224</v>
      </c>
      <c r="GD1137" s="431" t="n">
        <v>224</v>
      </c>
      <c r="GE1137" s="688" t="n"/>
      <c r="GF1137" s="431" t="n"/>
      <c r="GG1137" s="451" t="n"/>
      <c r="GH1137" s="451" t="n"/>
      <c r="GI1137" s="451" t="n"/>
      <c r="GK1137" s="429" t="n">
        <v>224</v>
      </c>
      <c r="GL1137" s="431" t="n">
        <v>224</v>
      </c>
      <c r="GM1137" s="688" t="n"/>
      <c r="GN1137" s="431" t="n"/>
      <c r="GO1137" s="451" t="n"/>
      <c r="GP1137" s="451" t="n"/>
      <c r="GQ1137" s="451" t="n"/>
      <c r="GS1137" s="429" t="n">
        <v>224</v>
      </c>
      <c r="GT1137" s="431" t="n">
        <v>224</v>
      </c>
      <c r="GU1137" s="688" t="n"/>
      <c r="GV1137" s="431" t="n"/>
      <c r="GW1137" s="451" t="n"/>
      <c r="GX1137" s="451" t="n"/>
      <c r="GY1137" s="451" t="n"/>
      <c r="HA1137" s="429" t="n">
        <v>224</v>
      </c>
      <c r="HB1137" s="431" t="n">
        <v>224</v>
      </c>
      <c r="HC1137" s="688" t="n"/>
      <c r="HD1137" s="431" t="n"/>
      <c r="HE1137" s="451" t="n"/>
      <c r="HF1137" s="451" t="n"/>
      <c r="HG1137" s="451" t="n"/>
    </row>
    <row r="1138">
      <c r="A1138" s="429" t="n">
        <v>225</v>
      </c>
      <c r="B1138" s="431" t="n">
        <v>225</v>
      </c>
      <c r="C1138" s="688" t="n"/>
      <c r="D1138" s="431" t="n"/>
      <c r="E1138" s="429" t="n"/>
      <c r="F1138" s="429" t="n"/>
      <c r="G1138" s="429" t="n"/>
      <c r="I1138" s="429" t="n">
        <v>225</v>
      </c>
      <c r="J1138" s="431" t="n">
        <v>225</v>
      </c>
      <c r="K1138" s="429" t="n"/>
      <c r="L1138" s="431" t="n"/>
      <c r="M1138" s="451" t="n"/>
      <c r="N1138" s="422">
        <f>'CIRCUIT SIM'!Y228</f>
        <v/>
      </c>
      <c r="O1138" s="451" t="n"/>
      <c r="Q1138" s="429" t="n">
        <v>225</v>
      </c>
      <c r="R1138" s="431" t="n">
        <v>225</v>
      </c>
      <c r="S1138" s="429" t="n"/>
      <c r="T1138" s="431" t="n"/>
      <c r="U1138" s="429" t="n"/>
      <c r="V1138" s="386" t="n"/>
      <c r="W1138" s="451" t="n"/>
      <c r="Y1138" s="429" t="n">
        <v>225</v>
      </c>
      <c r="Z1138" s="431" t="n">
        <v>225</v>
      </c>
      <c r="AA1138" s="429" t="n"/>
      <c r="AB1138" s="431" t="n"/>
      <c r="AC1138" s="451" t="n"/>
      <c r="AD1138" s="451" t="n"/>
      <c r="AE1138" s="451" t="n"/>
      <c r="AG1138" s="429" t="n">
        <v>225</v>
      </c>
      <c r="AH1138" s="431" t="n">
        <v>225</v>
      </c>
      <c r="AI1138" s="429" t="n"/>
      <c r="AJ1138" s="431" t="n"/>
      <c r="AK1138" s="451" t="n"/>
      <c r="AL1138" s="451" t="n"/>
      <c r="AM1138" s="451" t="n"/>
      <c r="AO1138" s="429" t="n">
        <v>225</v>
      </c>
      <c r="AP1138" s="431" t="n">
        <v>225</v>
      </c>
      <c r="AQ1138" s="429" t="n"/>
      <c r="AR1138" s="431" t="n"/>
      <c r="AS1138" s="451" t="n"/>
      <c r="AT1138" s="451" t="n"/>
      <c r="AU1138" s="451" t="n"/>
      <c r="AW1138" s="429" t="n">
        <v>225</v>
      </c>
      <c r="AX1138" s="431" t="n">
        <v>225</v>
      </c>
      <c r="AY1138" s="429" t="n"/>
      <c r="AZ1138" s="431" t="n"/>
      <c r="BA1138" s="451" t="n"/>
      <c r="BB1138" s="451" t="n"/>
      <c r="BC1138" s="451" t="n"/>
      <c r="BE1138" s="429" t="n">
        <v>225</v>
      </c>
      <c r="BF1138" s="431" t="n"/>
      <c r="BG1138" s="429" t="n"/>
      <c r="BH1138" s="431" t="n"/>
      <c r="BI1138" s="451" t="n"/>
      <c r="BJ1138" s="451" t="n"/>
      <c r="BK1138" s="451" t="n"/>
      <c r="BM1138" s="429" t="n">
        <v>225</v>
      </c>
      <c r="BN1138" s="431" t="n">
        <v>225</v>
      </c>
      <c r="BO1138" s="429" t="n"/>
      <c r="BP1138" s="431" t="n"/>
      <c r="BQ1138" s="451" t="n"/>
      <c r="BR1138" s="451" t="n"/>
      <c r="BS1138" s="451" t="n"/>
      <c r="BU1138" s="429" t="n">
        <v>225</v>
      </c>
      <c r="BV1138" s="431" t="n">
        <v>225</v>
      </c>
      <c r="BW1138" s="429" t="n"/>
      <c r="BX1138" s="431" t="n"/>
      <c r="BY1138" s="451" t="n"/>
      <c r="BZ1138" s="451">
        <f>'CIRCUIT SIM'!EI228</f>
        <v/>
      </c>
      <c r="CA1138" s="451" t="n"/>
      <c r="CC1138" s="429" t="n">
        <v>225</v>
      </c>
      <c r="CD1138" s="431" t="n">
        <v>225</v>
      </c>
      <c r="CE1138" s="688" t="n"/>
      <c r="CF1138" s="431" t="n"/>
      <c r="CG1138" s="451" t="n"/>
      <c r="CH1138" s="562">
        <f>'CIRCUIT SIM'!LK226</f>
        <v/>
      </c>
      <c r="CI1138" s="451" t="n"/>
      <c r="CK1138" s="429" t="n">
        <v>225</v>
      </c>
      <c r="CL1138" s="431" t="n">
        <v>225</v>
      </c>
      <c r="CM1138" s="688" t="n"/>
      <c r="CN1138" s="431" t="n"/>
      <c r="CO1138" s="451" t="n"/>
      <c r="CP1138" s="451" t="n"/>
      <c r="CQ1138" s="451" t="n"/>
      <c r="CS1138" s="429" t="n">
        <v>225</v>
      </c>
      <c r="CT1138" s="431" t="n">
        <v>225</v>
      </c>
      <c r="CU1138" s="688" t="n"/>
      <c r="CV1138" s="431" t="n"/>
      <c r="CW1138" s="451" t="n"/>
      <c r="CX1138" s="451" t="n"/>
      <c r="CY1138" s="451" t="n"/>
      <c r="DA1138" s="429" t="n">
        <v>225</v>
      </c>
      <c r="DB1138" s="431" t="n">
        <v>225</v>
      </c>
      <c r="DC1138" s="688" t="n"/>
      <c r="DD1138" s="431" t="n"/>
      <c r="DE1138" s="451" t="n"/>
      <c r="DF1138" s="451" t="n"/>
      <c r="DG1138" s="451" t="n"/>
      <c r="DI1138" s="429" t="n">
        <v>225</v>
      </c>
      <c r="DJ1138" s="431" t="n">
        <v>225</v>
      </c>
      <c r="DK1138" s="688" t="n"/>
      <c r="DL1138" s="431" t="n"/>
      <c r="DM1138" s="429" t="n"/>
      <c r="DN1138" s="451" t="n"/>
      <c r="DO1138" s="451" t="n"/>
      <c r="DQ1138" s="429" t="n">
        <v>225</v>
      </c>
      <c r="DR1138" s="431" t="n">
        <v>225</v>
      </c>
      <c r="DS1138" s="688" t="n"/>
      <c r="DT1138" s="431" t="n"/>
      <c r="DU1138" s="451" t="n"/>
      <c r="DV1138" s="451" t="n"/>
      <c r="DW1138" s="451" t="n"/>
      <c r="DY1138" s="429" t="n">
        <v>225</v>
      </c>
      <c r="DZ1138" s="431" t="n">
        <v>225</v>
      </c>
      <c r="EA1138" s="688" t="n"/>
      <c r="EB1138" s="431" t="n"/>
      <c r="EC1138" s="451" t="n"/>
      <c r="ED1138" s="451" t="n"/>
      <c r="EE1138" s="451" t="n"/>
      <c r="EG1138" s="429" t="n">
        <v>225</v>
      </c>
      <c r="EH1138" s="431" t="n">
        <v>225</v>
      </c>
      <c r="EI1138" s="688" t="n"/>
      <c r="EJ1138" s="431" t="n"/>
      <c r="EK1138" s="451" t="n"/>
      <c r="EL1138" s="451" t="n"/>
      <c r="EM1138" s="451" t="n"/>
      <c r="EO1138" s="429" t="n">
        <v>225</v>
      </c>
      <c r="EP1138" s="431" t="n">
        <v>225</v>
      </c>
      <c r="EQ1138" s="688" t="n"/>
      <c r="ER1138" s="431" t="n"/>
      <c r="ES1138" s="451" t="n"/>
      <c r="ET1138" s="451" t="n"/>
      <c r="EU1138" s="451" t="n"/>
      <c r="EW1138" s="429" t="n">
        <v>225</v>
      </c>
      <c r="EX1138" s="431" t="n">
        <v>225</v>
      </c>
      <c r="EY1138" s="688" t="n"/>
      <c r="EZ1138" s="431" t="n"/>
      <c r="FA1138" s="451" t="n"/>
      <c r="FB1138" s="451" t="n"/>
      <c r="FC1138" s="451" t="n"/>
      <c r="FE1138" s="429" t="n">
        <v>225</v>
      </c>
      <c r="FF1138" s="431" t="n">
        <v>225</v>
      </c>
      <c r="FG1138" s="688" t="n"/>
      <c r="FH1138" s="431" t="n"/>
      <c r="FI1138" s="451" t="n"/>
      <c r="FJ1138" s="451" t="n"/>
      <c r="FK1138" s="451" t="n"/>
      <c r="FM1138" s="429" t="n">
        <v>225</v>
      </c>
      <c r="FN1138" s="431" t="n">
        <v>225</v>
      </c>
      <c r="FO1138" s="688" t="n"/>
      <c r="FP1138" s="431" t="n"/>
      <c r="FQ1138" s="451" t="n"/>
      <c r="FR1138" s="451" t="n"/>
      <c r="FS1138" s="451" t="n"/>
      <c r="FU1138" s="429" t="n">
        <v>225</v>
      </c>
      <c r="FV1138" s="431" t="n">
        <v>225</v>
      </c>
      <c r="FW1138" s="688" t="n"/>
      <c r="FX1138" s="431" t="n"/>
      <c r="FY1138" s="451" t="n"/>
      <c r="FZ1138" s="562">
        <f>'CIRCUIT SIM'!JG228</f>
        <v/>
      </c>
      <c r="GA1138" s="451" t="n"/>
      <c r="GC1138" s="429" t="n">
        <v>225</v>
      </c>
      <c r="GD1138" s="431" t="n">
        <v>225</v>
      </c>
      <c r="GE1138" s="688" t="n"/>
      <c r="GF1138" s="431" t="n"/>
      <c r="GG1138" s="451" t="n"/>
      <c r="GH1138" s="451" t="n"/>
      <c r="GI1138" s="451" t="n"/>
      <c r="GK1138" s="429" t="n">
        <v>225</v>
      </c>
      <c r="GL1138" s="431" t="n">
        <v>225</v>
      </c>
      <c r="GM1138" s="688" t="n"/>
      <c r="GN1138" s="431" t="n"/>
      <c r="GO1138" s="451" t="n"/>
      <c r="GP1138" s="451" t="n"/>
      <c r="GQ1138" s="451" t="n"/>
      <c r="GS1138" s="429" t="n">
        <v>225</v>
      </c>
      <c r="GT1138" s="431" t="n">
        <v>225</v>
      </c>
      <c r="GU1138" s="688" t="n"/>
      <c r="GV1138" s="431" t="n"/>
      <c r="GW1138" s="451" t="n"/>
      <c r="GX1138" s="451" t="n"/>
      <c r="GY1138" s="451" t="n"/>
      <c r="HA1138" s="429" t="n">
        <v>225</v>
      </c>
      <c r="HB1138" s="431" t="n">
        <v>225</v>
      </c>
      <c r="HC1138" s="688" t="n"/>
      <c r="HD1138" s="431" t="n"/>
      <c r="HE1138" s="451" t="n"/>
      <c r="HF1138" s="451" t="n"/>
      <c r="HG1138" s="451" t="n"/>
    </row>
    <row r="1139">
      <c r="A1139" s="429" t="n">
        <v>226</v>
      </c>
      <c r="B1139" s="431" t="n">
        <v>226</v>
      </c>
      <c r="C1139" s="688" t="n"/>
      <c r="D1139" s="431" t="n"/>
      <c r="E1139" s="429" t="n"/>
      <c r="F1139" s="429" t="n"/>
      <c r="G1139" s="429" t="n"/>
      <c r="I1139" s="429" t="n">
        <v>226</v>
      </c>
      <c r="J1139" s="431" t="n">
        <v>226</v>
      </c>
      <c r="K1139" s="429" t="n"/>
      <c r="L1139" s="431" t="n"/>
      <c r="M1139" s="451" t="n"/>
      <c r="N1139" s="422">
        <f>'CIRCUIT SIM'!Y229</f>
        <v/>
      </c>
      <c r="O1139" s="451" t="n"/>
      <c r="Q1139" s="429" t="n">
        <v>226</v>
      </c>
      <c r="R1139" s="431" t="n">
        <v>226</v>
      </c>
      <c r="S1139" s="429" t="n"/>
      <c r="T1139" s="431" t="n"/>
      <c r="U1139" s="429" t="n"/>
      <c r="V1139" s="386" t="n"/>
      <c r="W1139" s="451" t="n"/>
      <c r="Y1139" s="429" t="n">
        <v>226</v>
      </c>
      <c r="Z1139" s="431" t="n">
        <v>226</v>
      </c>
      <c r="AA1139" s="429" t="n"/>
      <c r="AB1139" s="431" t="n"/>
      <c r="AC1139" s="451" t="n"/>
      <c r="AD1139" s="451" t="n"/>
      <c r="AE1139" s="451" t="n"/>
      <c r="AG1139" s="429" t="n">
        <v>226</v>
      </c>
      <c r="AH1139" s="431" t="n">
        <v>226</v>
      </c>
      <c r="AI1139" s="429" t="n"/>
      <c r="AJ1139" s="431" t="n"/>
      <c r="AK1139" s="451" t="n"/>
      <c r="AL1139" s="451" t="n"/>
      <c r="AM1139" s="451" t="n"/>
      <c r="AO1139" s="429" t="n">
        <v>226</v>
      </c>
      <c r="AP1139" s="431" t="n">
        <v>226</v>
      </c>
      <c r="AQ1139" s="429" t="n"/>
      <c r="AR1139" s="431" t="n"/>
      <c r="AS1139" s="451" t="n"/>
      <c r="AT1139" s="451" t="n"/>
      <c r="AU1139" s="451" t="n"/>
      <c r="AW1139" s="429" t="n">
        <v>226</v>
      </c>
      <c r="AX1139" s="431" t="n">
        <v>226</v>
      </c>
      <c r="AY1139" s="429" t="n"/>
      <c r="AZ1139" s="431" t="n"/>
      <c r="BA1139" s="451" t="n"/>
      <c r="BB1139" s="451" t="n"/>
      <c r="BC1139" s="451" t="n"/>
      <c r="BE1139" s="429" t="n">
        <v>226</v>
      </c>
      <c r="BF1139" s="431" t="n"/>
      <c r="BG1139" s="429" t="n"/>
      <c r="BH1139" s="431" t="n"/>
      <c r="BI1139" s="451" t="n"/>
      <c r="BJ1139" s="451" t="n"/>
      <c r="BK1139" s="451" t="n"/>
      <c r="BM1139" s="429" t="n">
        <v>226</v>
      </c>
      <c r="BN1139" s="431" t="n">
        <v>226</v>
      </c>
      <c r="BO1139" s="429" t="n"/>
      <c r="BP1139" s="431" t="n"/>
      <c r="BQ1139" s="451" t="n"/>
      <c r="BR1139" s="451" t="n"/>
      <c r="BS1139" s="451" t="n"/>
      <c r="BU1139" s="429" t="n">
        <v>226</v>
      </c>
      <c r="BV1139" s="431" t="n">
        <v>226</v>
      </c>
      <c r="BW1139" s="429" t="n"/>
      <c r="BX1139" s="431" t="n"/>
      <c r="BY1139" s="451" t="n"/>
      <c r="BZ1139" s="451">
        <f>'CIRCUIT SIM'!EI229</f>
        <v/>
      </c>
      <c r="CA1139" s="451" t="n"/>
      <c r="CC1139" s="429" t="n">
        <v>226</v>
      </c>
      <c r="CD1139" s="431" t="n">
        <v>226</v>
      </c>
      <c r="CE1139" s="688" t="n"/>
      <c r="CF1139" s="431" t="n"/>
      <c r="CG1139" s="451" t="n"/>
      <c r="CH1139" s="562">
        <f>'CIRCUIT SIM'!LK227</f>
        <v/>
      </c>
      <c r="CI1139" s="451" t="n"/>
      <c r="CK1139" s="429" t="n">
        <v>226</v>
      </c>
      <c r="CL1139" s="431" t="n">
        <v>226</v>
      </c>
      <c r="CM1139" s="688" t="n"/>
      <c r="CN1139" s="431" t="n"/>
      <c r="CO1139" s="451" t="n"/>
      <c r="CP1139" s="451" t="n"/>
      <c r="CQ1139" s="451" t="n"/>
      <c r="CS1139" s="429" t="n">
        <v>226</v>
      </c>
      <c r="CT1139" s="431" t="n">
        <v>226</v>
      </c>
      <c r="CU1139" s="688" t="n"/>
      <c r="CV1139" s="431" t="n"/>
      <c r="CW1139" s="451" t="n"/>
      <c r="CX1139" s="451" t="n"/>
      <c r="CY1139" s="451" t="n"/>
      <c r="DA1139" s="429" t="n">
        <v>226</v>
      </c>
      <c r="DB1139" s="431" t="n">
        <v>226</v>
      </c>
      <c r="DC1139" s="688" t="n"/>
      <c r="DD1139" s="431" t="n"/>
      <c r="DE1139" s="451" t="n"/>
      <c r="DF1139" s="451" t="n"/>
      <c r="DG1139" s="451" t="n"/>
      <c r="DI1139" s="429" t="n">
        <v>226</v>
      </c>
      <c r="DJ1139" s="431" t="n">
        <v>226</v>
      </c>
      <c r="DK1139" s="688" t="n"/>
      <c r="DL1139" s="431" t="n"/>
      <c r="DM1139" s="429" t="n"/>
      <c r="DN1139" s="451" t="n"/>
      <c r="DO1139" s="451" t="n"/>
      <c r="DQ1139" s="429" t="n">
        <v>226</v>
      </c>
      <c r="DR1139" s="431" t="n">
        <v>226</v>
      </c>
      <c r="DS1139" s="688" t="n"/>
      <c r="DT1139" s="431" t="n"/>
      <c r="DU1139" s="451" t="n"/>
      <c r="DV1139" s="451" t="n"/>
      <c r="DW1139" s="451" t="n"/>
      <c r="DY1139" s="429" t="n">
        <v>226</v>
      </c>
      <c r="DZ1139" s="431" t="n">
        <v>226</v>
      </c>
      <c r="EA1139" s="688" t="n"/>
      <c r="EB1139" s="431" t="n"/>
      <c r="EC1139" s="451" t="n"/>
      <c r="ED1139" s="451" t="n"/>
      <c r="EE1139" s="451" t="n"/>
      <c r="EG1139" s="429" t="n">
        <v>226</v>
      </c>
      <c r="EH1139" s="431" t="n">
        <v>226</v>
      </c>
      <c r="EI1139" s="688" t="n"/>
      <c r="EJ1139" s="431" t="n"/>
      <c r="EK1139" s="451" t="n"/>
      <c r="EL1139" s="451" t="n"/>
      <c r="EM1139" s="451" t="n"/>
      <c r="EO1139" s="429" t="n">
        <v>226</v>
      </c>
      <c r="EP1139" s="431" t="n">
        <v>226</v>
      </c>
      <c r="EQ1139" s="688" t="n"/>
      <c r="ER1139" s="431" t="n"/>
      <c r="ES1139" s="451" t="n"/>
      <c r="ET1139" s="451" t="n"/>
      <c r="EU1139" s="451" t="n"/>
      <c r="EW1139" s="429" t="n">
        <v>226</v>
      </c>
      <c r="EX1139" s="431" t="n">
        <v>226</v>
      </c>
      <c r="EY1139" s="688" t="n"/>
      <c r="EZ1139" s="431" t="n"/>
      <c r="FA1139" s="451" t="n"/>
      <c r="FB1139" s="451" t="n"/>
      <c r="FC1139" s="451" t="n"/>
      <c r="FE1139" s="429" t="n">
        <v>226</v>
      </c>
      <c r="FF1139" s="431" t="n">
        <v>226</v>
      </c>
      <c r="FG1139" s="688" t="n"/>
      <c r="FH1139" s="431" t="n"/>
      <c r="FI1139" s="451" t="n"/>
      <c r="FJ1139" s="451" t="n"/>
      <c r="FK1139" s="451" t="n"/>
      <c r="FM1139" s="429" t="n">
        <v>226</v>
      </c>
      <c r="FN1139" s="431" t="n">
        <v>226</v>
      </c>
      <c r="FO1139" s="688" t="n"/>
      <c r="FP1139" s="431" t="n"/>
      <c r="FQ1139" s="451" t="n"/>
      <c r="FR1139" s="451" t="n"/>
      <c r="FS1139" s="451" t="n"/>
      <c r="FU1139" s="429" t="n">
        <v>226</v>
      </c>
      <c r="FV1139" s="431" t="n">
        <v>226</v>
      </c>
      <c r="FW1139" s="688" t="n"/>
      <c r="FX1139" s="431" t="n"/>
      <c r="FY1139" s="451" t="n"/>
      <c r="FZ1139" s="562">
        <f>'CIRCUIT SIM'!JG229</f>
        <v/>
      </c>
      <c r="GA1139" s="451" t="n"/>
      <c r="GC1139" s="429" t="n">
        <v>226</v>
      </c>
      <c r="GD1139" s="431" t="n">
        <v>226</v>
      </c>
      <c r="GE1139" s="688" t="n"/>
      <c r="GF1139" s="431" t="n"/>
      <c r="GG1139" s="451" t="n"/>
      <c r="GH1139" s="451" t="n"/>
      <c r="GI1139" s="451" t="n"/>
      <c r="GK1139" s="429" t="n">
        <v>226</v>
      </c>
      <c r="GL1139" s="431" t="n">
        <v>226</v>
      </c>
      <c r="GM1139" s="688" t="n"/>
      <c r="GN1139" s="431" t="n"/>
      <c r="GO1139" s="451" t="n"/>
      <c r="GP1139" s="451" t="n"/>
      <c r="GQ1139" s="451" t="n"/>
      <c r="GS1139" s="429" t="n">
        <v>226</v>
      </c>
      <c r="GT1139" s="431" t="n">
        <v>226</v>
      </c>
      <c r="GU1139" s="688" t="n"/>
      <c r="GV1139" s="431" t="n"/>
      <c r="GW1139" s="451" t="n"/>
      <c r="GX1139" s="451" t="n"/>
      <c r="GY1139" s="451" t="n"/>
      <c r="HA1139" s="429" t="n">
        <v>226</v>
      </c>
      <c r="HB1139" s="431" t="n">
        <v>226</v>
      </c>
      <c r="HC1139" s="688" t="n"/>
      <c r="HD1139" s="431" t="n"/>
      <c r="HE1139" s="451" t="n"/>
      <c r="HF1139" s="451" t="n"/>
      <c r="HG1139" s="451" t="n"/>
    </row>
    <row r="1140">
      <c r="A1140" s="429" t="n">
        <v>227</v>
      </c>
      <c r="B1140" s="431" t="n">
        <v>227</v>
      </c>
      <c r="C1140" s="688" t="n"/>
      <c r="D1140" s="431" t="n"/>
      <c r="E1140" s="429" t="n"/>
      <c r="F1140" s="429" t="n"/>
      <c r="G1140" s="429" t="n"/>
      <c r="I1140" s="429" t="n">
        <v>227</v>
      </c>
      <c r="J1140" s="431" t="n">
        <v>227</v>
      </c>
      <c r="K1140" s="429" t="n"/>
      <c r="L1140" s="431" t="n"/>
      <c r="M1140" s="451" t="n"/>
      <c r="N1140" s="422">
        <f>'CIRCUIT SIM'!Y230</f>
        <v/>
      </c>
      <c r="O1140" s="451" t="n"/>
      <c r="Q1140" s="429" t="n">
        <v>227</v>
      </c>
      <c r="R1140" s="431" t="n">
        <v>227</v>
      </c>
      <c r="S1140" s="429" t="n"/>
      <c r="T1140" s="431" t="n"/>
      <c r="U1140" s="429" t="n"/>
      <c r="V1140" s="386" t="n"/>
      <c r="W1140" s="451" t="n"/>
      <c r="Y1140" s="429" t="n">
        <v>227</v>
      </c>
      <c r="Z1140" s="431" t="n">
        <v>227</v>
      </c>
      <c r="AA1140" s="429" t="n"/>
      <c r="AB1140" s="431" t="n"/>
      <c r="AC1140" s="451" t="n"/>
      <c r="AD1140" s="451" t="n"/>
      <c r="AE1140" s="451" t="n"/>
      <c r="AG1140" s="429" t="n">
        <v>227</v>
      </c>
      <c r="AH1140" s="431" t="n">
        <v>227</v>
      </c>
      <c r="AI1140" s="429" t="n"/>
      <c r="AJ1140" s="431" t="n"/>
      <c r="AK1140" s="451" t="n"/>
      <c r="AL1140" s="451" t="n"/>
      <c r="AM1140" s="451" t="n"/>
      <c r="AO1140" s="429" t="n">
        <v>227</v>
      </c>
      <c r="AP1140" s="431" t="n">
        <v>227</v>
      </c>
      <c r="AQ1140" s="429" t="n"/>
      <c r="AR1140" s="431" t="n"/>
      <c r="AS1140" s="451" t="n"/>
      <c r="AT1140" s="451" t="n"/>
      <c r="AU1140" s="451" t="n"/>
      <c r="AW1140" s="429" t="n">
        <v>227</v>
      </c>
      <c r="AX1140" s="431" t="n">
        <v>227</v>
      </c>
      <c r="AY1140" s="429" t="n"/>
      <c r="AZ1140" s="431" t="n"/>
      <c r="BA1140" s="451" t="n"/>
      <c r="BB1140" s="451" t="n"/>
      <c r="BC1140" s="451" t="n"/>
      <c r="BE1140" s="429" t="n">
        <v>227</v>
      </c>
      <c r="BF1140" s="431" t="n"/>
      <c r="BG1140" s="429" t="n"/>
      <c r="BH1140" s="431" t="n"/>
      <c r="BI1140" s="451" t="n"/>
      <c r="BJ1140" s="451" t="n"/>
      <c r="BK1140" s="451" t="n"/>
      <c r="BM1140" s="429" t="n">
        <v>227</v>
      </c>
      <c r="BN1140" s="431" t="n">
        <v>227</v>
      </c>
      <c r="BO1140" s="429" t="n"/>
      <c r="BP1140" s="431" t="n"/>
      <c r="BQ1140" s="451" t="n"/>
      <c r="BR1140" s="451" t="n"/>
      <c r="BS1140" s="451" t="n"/>
      <c r="BU1140" s="429" t="n">
        <v>227</v>
      </c>
      <c r="BV1140" s="431" t="n">
        <v>227</v>
      </c>
      <c r="BW1140" s="429" t="n"/>
      <c r="BX1140" s="431" t="n"/>
      <c r="BY1140" s="451" t="n"/>
      <c r="BZ1140" s="451">
        <f>'CIRCUIT SIM'!EI230</f>
        <v/>
      </c>
      <c r="CA1140" s="451" t="n"/>
      <c r="CC1140" s="429" t="n">
        <v>227</v>
      </c>
      <c r="CD1140" s="431" t="n">
        <v>227</v>
      </c>
      <c r="CE1140" s="688" t="n"/>
      <c r="CF1140" s="431" t="n"/>
      <c r="CG1140" s="451" t="n"/>
      <c r="CH1140" s="562">
        <f>'CIRCUIT SIM'!LK228</f>
        <v/>
      </c>
      <c r="CI1140" s="451" t="n"/>
      <c r="CK1140" s="429" t="n">
        <v>227</v>
      </c>
      <c r="CL1140" s="431" t="n">
        <v>227</v>
      </c>
      <c r="CM1140" s="688" t="n"/>
      <c r="CN1140" s="431" t="n"/>
      <c r="CO1140" s="451" t="n"/>
      <c r="CP1140" s="451" t="n"/>
      <c r="CQ1140" s="451" t="n"/>
      <c r="CS1140" s="429" t="n">
        <v>227</v>
      </c>
      <c r="CT1140" s="431" t="n">
        <v>227</v>
      </c>
      <c r="CU1140" s="688" t="n"/>
      <c r="CV1140" s="431" t="n"/>
      <c r="CW1140" s="451" t="n"/>
      <c r="CX1140" s="451" t="n"/>
      <c r="CY1140" s="451" t="n"/>
      <c r="DA1140" s="429" t="n">
        <v>227</v>
      </c>
      <c r="DB1140" s="431" t="n">
        <v>227</v>
      </c>
      <c r="DC1140" s="688" t="n"/>
      <c r="DD1140" s="431" t="n"/>
      <c r="DE1140" s="451" t="n"/>
      <c r="DF1140" s="451" t="n"/>
      <c r="DG1140" s="451" t="n"/>
      <c r="DI1140" s="429" t="n">
        <v>227</v>
      </c>
      <c r="DJ1140" s="431" t="n">
        <v>227</v>
      </c>
      <c r="DK1140" s="688" t="n"/>
      <c r="DL1140" s="431" t="n"/>
      <c r="DM1140" s="429" t="n"/>
      <c r="DN1140" s="451" t="n"/>
      <c r="DO1140" s="451" t="n"/>
      <c r="DQ1140" s="429" t="n">
        <v>227</v>
      </c>
      <c r="DR1140" s="431" t="n">
        <v>227</v>
      </c>
      <c r="DS1140" s="688" t="n"/>
      <c r="DT1140" s="431" t="n"/>
      <c r="DU1140" s="451" t="n"/>
      <c r="DV1140" s="451" t="n"/>
      <c r="DW1140" s="451" t="n"/>
      <c r="DY1140" s="429" t="n">
        <v>227</v>
      </c>
      <c r="DZ1140" s="431" t="n">
        <v>227</v>
      </c>
      <c r="EA1140" s="688" t="n"/>
      <c r="EB1140" s="431" t="n"/>
      <c r="EC1140" s="451" t="n"/>
      <c r="ED1140" s="451" t="n"/>
      <c r="EE1140" s="451" t="n"/>
      <c r="EG1140" s="429" t="n">
        <v>227</v>
      </c>
      <c r="EH1140" s="431" t="n">
        <v>227</v>
      </c>
      <c r="EI1140" s="688" t="n"/>
      <c r="EJ1140" s="431" t="n"/>
      <c r="EK1140" s="451" t="n"/>
      <c r="EL1140" s="451" t="n"/>
      <c r="EM1140" s="451" t="n"/>
      <c r="EO1140" s="429" t="n">
        <v>227</v>
      </c>
      <c r="EP1140" s="431" t="n">
        <v>227</v>
      </c>
      <c r="EQ1140" s="688" t="n"/>
      <c r="ER1140" s="431" t="n"/>
      <c r="ES1140" s="451" t="n"/>
      <c r="ET1140" s="451" t="n"/>
      <c r="EU1140" s="451" t="n"/>
      <c r="EW1140" s="429" t="n">
        <v>227</v>
      </c>
      <c r="EX1140" s="431" t="n">
        <v>227</v>
      </c>
      <c r="EY1140" s="688" t="n"/>
      <c r="EZ1140" s="431" t="n"/>
      <c r="FA1140" s="451" t="n"/>
      <c r="FB1140" s="451" t="n"/>
      <c r="FC1140" s="451" t="n"/>
      <c r="FE1140" s="429" t="n">
        <v>227</v>
      </c>
      <c r="FF1140" s="431" t="n">
        <v>227</v>
      </c>
      <c r="FG1140" s="688" t="n"/>
      <c r="FH1140" s="431" t="n"/>
      <c r="FI1140" s="451" t="n"/>
      <c r="FJ1140" s="451" t="n"/>
      <c r="FK1140" s="451" t="n"/>
      <c r="FM1140" s="429" t="n">
        <v>227</v>
      </c>
      <c r="FN1140" s="431" t="n">
        <v>227</v>
      </c>
      <c r="FO1140" s="688" t="n"/>
      <c r="FP1140" s="431" t="n"/>
      <c r="FQ1140" s="451" t="n"/>
      <c r="FR1140" s="451" t="n"/>
      <c r="FS1140" s="451" t="n"/>
      <c r="FU1140" s="429" t="n">
        <v>227</v>
      </c>
      <c r="FV1140" s="431" t="n">
        <v>227</v>
      </c>
      <c r="FW1140" s="688" t="n"/>
      <c r="FX1140" s="431" t="n"/>
      <c r="FY1140" s="451" t="n"/>
      <c r="FZ1140" s="562">
        <f>'CIRCUIT SIM'!JG230</f>
        <v/>
      </c>
      <c r="GA1140" s="451" t="n"/>
      <c r="GC1140" s="429" t="n">
        <v>227</v>
      </c>
      <c r="GD1140" s="431" t="n">
        <v>227</v>
      </c>
      <c r="GE1140" s="688" t="n"/>
      <c r="GF1140" s="431" t="n"/>
      <c r="GG1140" s="451" t="n"/>
      <c r="GH1140" s="451" t="n"/>
      <c r="GI1140" s="451" t="n"/>
      <c r="GK1140" s="429" t="n">
        <v>227</v>
      </c>
      <c r="GL1140" s="431" t="n">
        <v>227</v>
      </c>
      <c r="GM1140" s="688" t="n"/>
      <c r="GN1140" s="431" t="n"/>
      <c r="GO1140" s="451" t="n"/>
      <c r="GP1140" s="451" t="n"/>
      <c r="GQ1140" s="451" t="n"/>
      <c r="GS1140" s="429" t="n">
        <v>227</v>
      </c>
      <c r="GT1140" s="431" t="n">
        <v>227</v>
      </c>
      <c r="GU1140" s="688" t="n"/>
      <c r="GV1140" s="431" t="n"/>
      <c r="GW1140" s="451" t="n"/>
      <c r="GX1140" s="451" t="n"/>
      <c r="GY1140" s="451" t="n"/>
      <c r="HA1140" s="429" t="n">
        <v>227</v>
      </c>
      <c r="HB1140" s="431" t="n">
        <v>227</v>
      </c>
      <c r="HC1140" s="688" t="n"/>
      <c r="HD1140" s="431" t="n"/>
      <c r="HE1140" s="451" t="n"/>
      <c r="HF1140" s="451" t="n"/>
      <c r="HG1140" s="451" t="n"/>
    </row>
    <row r="1141">
      <c r="A1141" s="429" t="n">
        <v>228</v>
      </c>
      <c r="B1141" s="431" t="n">
        <v>228</v>
      </c>
      <c r="C1141" s="688" t="n"/>
      <c r="D1141" s="431" t="n"/>
      <c r="E1141" s="429" t="n"/>
      <c r="F1141" s="429" t="n"/>
      <c r="G1141" s="429" t="n"/>
      <c r="I1141" s="429" t="n">
        <v>228</v>
      </c>
      <c r="J1141" s="431" t="n">
        <v>228</v>
      </c>
      <c r="K1141" s="429" t="n"/>
      <c r="L1141" s="431" t="n"/>
      <c r="M1141" s="451" t="n"/>
      <c r="N1141" s="422">
        <f>'CIRCUIT SIM'!Y231</f>
        <v/>
      </c>
      <c r="O1141" s="451" t="n"/>
      <c r="Q1141" s="429" t="n">
        <v>228</v>
      </c>
      <c r="R1141" s="431" t="n">
        <v>228</v>
      </c>
      <c r="S1141" s="429" t="n"/>
      <c r="T1141" s="431" t="n"/>
      <c r="U1141" s="429" t="n"/>
      <c r="V1141" s="386" t="n"/>
      <c r="W1141" s="451" t="n"/>
      <c r="Y1141" s="429" t="n">
        <v>228</v>
      </c>
      <c r="Z1141" s="431" t="n">
        <v>228</v>
      </c>
      <c r="AA1141" s="429" t="n"/>
      <c r="AB1141" s="431" t="n"/>
      <c r="AC1141" s="451" t="n"/>
      <c r="AD1141" s="451" t="n"/>
      <c r="AE1141" s="451" t="n"/>
      <c r="AG1141" s="429" t="n">
        <v>228</v>
      </c>
      <c r="AH1141" s="431" t="n">
        <v>228</v>
      </c>
      <c r="AI1141" s="429" t="n"/>
      <c r="AJ1141" s="431" t="n"/>
      <c r="AK1141" s="451" t="n"/>
      <c r="AL1141" s="451" t="n"/>
      <c r="AM1141" s="451" t="n"/>
      <c r="AO1141" s="429" t="n">
        <v>228</v>
      </c>
      <c r="AP1141" s="431" t="n">
        <v>228</v>
      </c>
      <c r="AQ1141" s="429" t="n"/>
      <c r="AR1141" s="431" t="n"/>
      <c r="AS1141" s="451" t="n"/>
      <c r="AT1141" s="451" t="n"/>
      <c r="AU1141" s="451" t="n"/>
      <c r="AW1141" s="429" t="n">
        <v>228</v>
      </c>
      <c r="AX1141" s="431" t="n">
        <v>228</v>
      </c>
      <c r="AY1141" s="429" t="n"/>
      <c r="AZ1141" s="431" t="n"/>
      <c r="BA1141" s="451" t="n"/>
      <c r="BB1141" s="451" t="n"/>
      <c r="BC1141" s="451" t="n"/>
      <c r="BE1141" s="429" t="n">
        <v>228</v>
      </c>
      <c r="BF1141" s="431" t="n"/>
      <c r="BG1141" s="429" t="n"/>
      <c r="BH1141" s="431" t="n"/>
      <c r="BI1141" s="451" t="n"/>
      <c r="BJ1141" s="451" t="n"/>
      <c r="BK1141" s="451" t="n"/>
      <c r="BM1141" s="429" t="n">
        <v>228</v>
      </c>
      <c r="BN1141" s="431" t="n">
        <v>228</v>
      </c>
      <c r="BO1141" s="429" t="n"/>
      <c r="BP1141" s="431" t="n"/>
      <c r="BQ1141" s="451" t="n"/>
      <c r="BR1141" s="451" t="n"/>
      <c r="BS1141" s="451" t="n"/>
      <c r="BU1141" s="429" t="n">
        <v>228</v>
      </c>
      <c r="BV1141" s="431" t="n">
        <v>228</v>
      </c>
      <c r="BW1141" s="429" t="n"/>
      <c r="BX1141" s="431" t="n"/>
      <c r="BY1141" s="451" t="n"/>
      <c r="BZ1141" s="451">
        <f>'CIRCUIT SIM'!EI231</f>
        <v/>
      </c>
      <c r="CA1141" s="451" t="n"/>
      <c r="CC1141" s="429" t="n">
        <v>228</v>
      </c>
      <c r="CD1141" s="431" t="n">
        <v>228</v>
      </c>
      <c r="CE1141" s="688" t="n"/>
      <c r="CF1141" s="431" t="n"/>
      <c r="CG1141" s="451" t="n"/>
      <c r="CH1141" s="562">
        <f>'CIRCUIT SIM'!LK229</f>
        <v/>
      </c>
      <c r="CI1141" s="451" t="n"/>
      <c r="CK1141" s="429" t="n">
        <v>228</v>
      </c>
      <c r="CL1141" s="431" t="n">
        <v>228</v>
      </c>
      <c r="CM1141" s="688" t="n"/>
      <c r="CN1141" s="431" t="n"/>
      <c r="CO1141" s="451" t="n"/>
      <c r="CP1141" s="451" t="n"/>
      <c r="CQ1141" s="451" t="n"/>
      <c r="CS1141" s="429" t="n">
        <v>228</v>
      </c>
      <c r="CT1141" s="431" t="n">
        <v>228</v>
      </c>
      <c r="CU1141" s="688" t="n"/>
      <c r="CV1141" s="431" t="n"/>
      <c r="CW1141" s="451" t="n"/>
      <c r="CX1141" s="451" t="n"/>
      <c r="CY1141" s="451" t="n"/>
      <c r="DA1141" s="429" t="n">
        <v>228</v>
      </c>
      <c r="DB1141" s="431" t="n">
        <v>228</v>
      </c>
      <c r="DC1141" s="688" t="n"/>
      <c r="DD1141" s="431" t="n"/>
      <c r="DE1141" s="451" t="n"/>
      <c r="DF1141" s="451" t="n"/>
      <c r="DG1141" s="451" t="n"/>
      <c r="DI1141" s="429" t="n">
        <v>228</v>
      </c>
      <c r="DJ1141" s="431" t="n">
        <v>228</v>
      </c>
      <c r="DK1141" s="688" t="n"/>
      <c r="DL1141" s="431" t="n"/>
      <c r="DM1141" s="429" t="n"/>
      <c r="DN1141" s="451" t="n"/>
      <c r="DO1141" s="451" t="n"/>
      <c r="DQ1141" s="429" t="n">
        <v>228</v>
      </c>
      <c r="DR1141" s="431" t="n">
        <v>228</v>
      </c>
      <c r="DS1141" s="688" t="n"/>
      <c r="DT1141" s="431" t="n"/>
      <c r="DU1141" s="451" t="n"/>
      <c r="DV1141" s="451" t="n"/>
      <c r="DW1141" s="451" t="n"/>
      <c r="DY1141" s="429" t="n">
        <v>228</v>
      </c>
      <c r="DZ1141" s="431" t="n">
        <v>228</v>
      </c>
      <c r="EA1141" s="688" t="n"/>
      <c r="EB1141" s="431" t="n"/>
      <c r="EC1141" s="451" t="n"/>
      <c r="ED1141" s="451" t="n"/>
      <c r="EE1141" s="451" t="n"/>
      <c r="EG1141" s="429" t="n">
        <v>228</v>
      </c>
      <c r="EH1141" s="431" t="n">
        <v>228</v>
      </c>
      <c r="EI1141" s="688" t="n"/>
      <c r="EJ1141" s="431" t="n"/>
      <c r="EK1141" s="451" t="n"/>
      <c r="EL1141" s="451" t="n"/>
      <c r="EM1141" s="451" t="n"/>
      <c r="EO1141" s="429" t="n">
        <v>228</v>
      </c>
      <c r="EP1141" s="431" t="n">
        <v>228</v>
      </c>
      <c r="EQ1141" s="688" t="n"/>
      <c r="ER1141" s="431" t="n"/>
      <c r="ES1141" s="451" t="n"/>
      <c r="ET1141" s="451" t="n"/>
      <c r="EU1141" s="451" t="n"/>
      <c r="EW1141" s="429" t="n">
        <v>228</v>
      </c>
      <c r="EX1141" s="431" t="n">
        <v>228</v>
      </c>
      <c r="EY1141" s="688" t="n"/>
      <c r="EZ1141" s="431" t="n"/>
      <c r="FA1141" s="451" t="n"/>
      <c r="FB1141" s="451" t="n"/>
      <c r="FC1141" s="451" t="n"/>
      <c r="FE1141" s="429" t="n">
        <v>228</v>
      </c>
      <c r="FF1141" s="431" t="n">
        <v>228</v>
      </c>
      <c r="FG1141" s="688" t="n"/>
      <c r="FH1141" s="431" t="n"/>
      <c r="FI1141" s="451" t="n"/>
      <c r="FJ1141" s="451" t="n"/>
      <c r="FK1141" s="451" t="n"/>
      <c r="FM1141" s="429" t="n">
        <v>228</v>
      </c>
      <c r="FN1141" s="431" t="n">
        <v>228</v>
      </c>
      <c r="FO1141" s="688" t="n"/>
      <c r="FP1141" s="431" t="n"/>
      <c r="FQ1141" s="451" t="n"/>
      <c r="FR1141" s="451" t="n"/>
      <c r="FS1141" s="451" t="n"/>
      <c r="FU1141" s="429" t="n">
        <v>228</v>
      </c>
      <c r="FV1141" s="431" t="n">
        <v>228</v>
      </c>
      <c r="FW1141" s="688" t="n"/>
      <c r="FX1141" s="431" t="n"/>
      <c r="FY1141" s="451" t="n"/>
      <c r="FZ1141" s="562">
        <f>'CIRCUIT SIM'!JG231</f>
        <v/>
      </c>
      <c r="GA1141" s="451" t="n"/>
      <c r="GC1141" s="429" t="n">
        <v>228</v>
      </c>
      <c r="GD1141" s="431" t="n">
        <v>228</v>
      </c>
      <c r="GE1141" s="688" t="n"/>
      <c r="GF1141" s="431" t="n"/>
      <c r="GG1141" s="451" t="n"/>
      <c r="GH1141" s="451" t="n"/>
      <c r="GI1141" s="451" t="n"/>
      <c r="GK1141" s="429" t="n">
        <v>228</v>
      </c>
      <c r="GL1141" s="431" t="n">
        <v>228</v>
      </c>
      <c r="GM1141" s="688" t="n"/>
      <c r="GN1141" s="431" t="n"/>
      <c r="GO1141" s="451" t="n"/>
      <c r="GP1141" s="451" t="n"/>
      <c r="GQ1141" s="451" t="n"/>
      <c r="GS1141" s="429" t="n">
        <v>228</v>
      </c>
      <c r="GT1141" s="431" t="n">
        <v>228</v>
      </c>
      <c r="GU1141" s="688" t="n"/>
      <c r="GV1141" s="431" t="n"/>
      <c r="GW1141" s="451" t="n"/>
      <c r="GX1141" s="451" t="n"/>
      <c r="GY1141" s="451" t="n"/>
      <c r="HA1141" s="429" t="n">
        <v>228</v>
      </c>
      <c r="HB1141" s="431" t="n">
        <v>228</v>
      </c>
      <c r="HC1141" s="688" t="n"/>
      <c r="HD1141" s="431" t="n"/>
      <c r="HE1141" s="451" t="n"/>
      <c r="HF1141" s="451" t="n"/>
      <c r="HG1141" s="451" t="n"/>
    </row>
    <row r="1142">
      <c r="A1142" s="429" t="n">
        <v>229</v>
      </c>
      <c r="B1142" s="431" t="n">
        <v>229</v>
      </c>
      <c r="C1142" s="688" t="n"/>
      <c r="D1142" s="431" t="n"/>
      <c r="E1142" s="429" t="n"/>
      <c r="F1142" s="429" t="n"/>
      <c r="G1142" s="429" t="n"/>
      <c r="I1142" s="429" t="n">
        <v>229</v>
      </c>
      <c r="J1142" s="431" t="n">
        <v>229</v>
      </c>
      <c r="K1142" s="429" t="n"/>
      <c r="L1142" s="431" t="n"/>
      <c r="M1142" s="451" t="n"/>
      <c r="N1142" s="422">
        <f>'CIRCUIT SIM'!Y232</f>
        <v/>
      </c>
      <c r="O1142" s="451" t="n"/>
      <c r="Q1142" s="429" t="n">
        <v>229</v>
      </c>
      <c r="R1142" s="431" t="n">
        <v>229</v>
      </c>
      <c r="S1142" s="429" t="n"/>
      <c r="T1142" s="431" t="n"/>
      <c r="U1142" s="429" t="n"/>
      <c r="V1142" s="386" t="n"/>
      <c r="W1142" s="451" t="n"/>
      <c r="Y1142" s="429" t="n">
        <v>229</v>
      </c>
      <c r="Z1142" s="431" t="n">
        <v>229</v>
      </c>
      <c r="AA1142" s="429" t="n"/>
      <c r="AB1142" s="431" t="n"/>
      <c r="AC1142" s="451" t="n"/>
      <c r="AD1142" s="451" t="n"/>
      <c r="AE1142" s="451" t="n"/>
      <c r="AG1142" s="429" t="n">
        <v>229</v>
      </c>
      <c r="AH1142" s="431" t="n">
        <v>229</v>
      </c>
      <c r="AI1142" s="429" t="n"/>
      <c r="AJ1142" s="431" t="n"/>
      <c r="AK1142" s="451" t="n"/>
      <c r="AL1142" s="451" t="n"/>
      <c r="AM1142" s="451" t="n"/>
      <c r="AO1142" s="429" t="n">
        <v>229</v>
      </c>
      <c r="AP1142" s="431" t="n">
        <v>229</v>
      </c>
      <c r="AQ1142" s="429" t="n"/>
      <c r="AR1142" s="431" t="n"/>
      <c r="AS1142" s="451" t="n"/>
      <c r="AT1142" s="451" t="n"/>
      <c r="AU1142" s="451" t="n"/>
      <c r="AW1142" s="429" t="n">
        <v>229</v>
      </c>
      <c r="AX1142" s="431" t="n">
        <v>229</v>
      </c>
      <c r="AY1142" s="429" t="n"/>
      <c r="AZ1142" s="431" t="n"/>
      <c r="BA1142" s="451" t="n"/>
      <c r="BB1142" s="451" t="n"/>
      <c r="BC1142" s="451" t="n"/>
      <c r="BE1142" s="429" t="n">
        <v>229</v>
      </c>
      <c r="BF1142" s="431" t="n"/>
      <c r="BG1142" s="429" t="n"/>
      <c r="BH1142" s="431" t="n"/>
      <c r="BI1142" s="451" t="n"/>
      <c r="BJ1142" s="451" t="n"/>
      <c r="BK1142" s="451" t="n"/>
      <c r="BM1142" s="429" t="n">
        <v>229</v>
      </c>
      <c r="BN1142" s="431" t="n">
        <v>229</v>
      </c>
      <c r="BO1142" s="429" t="n"/>
      <c r="BP1142" s="431" t="n"/>
      <c r="BQ1142" s="451" t="n"/>
      <c r="BR1142" s="451" t="n"/>
      <c r="BS1142" s="451" t="n"/>
      <c r="BU1142" s="429" t="n">
        <v>229</v>
      </c>
      <c r="BV1142" s="431" t="n">
        <v>229</v>
      </c>
      <c r="BW1142" s="429" t="n"/>
      <c r="BX1142" s="431" t="n"/>
      <c r="BY1142" s="451" t="n"/>
      <c r="BZ1142" s="451">
        <f>'CIRCUIT SIM'!EI232</f>
        <v/>
      </c>
      <c r="CA1142" s="451" t="n"/>
      <c r="CC1142" s="429" t="n">
        <v>229</v>
      </c>
      <c r="CD1142" s="431" t="n">
        <v>229</v>
      </c>
      <c r="CE1142" s="688" t="n"/>
      <c r="CF1142" s="431" t="n"/>
      <c r="CG1142" s="451" t="n"/>
      <c r="CH1142" s="562">
        <f>'CIRCUIT SIM'!LK230</f>
        <v/>
      </c>
      <c r="CI1142" s="451" t="n"/>
      <c r="CK1142" s="429" t="n">
        <v>229</v>
      </c>
      <c r="CL1142" s="431" t="n">
        <v>229</v>
      </c>
      <c r="CM1142" s="688" t="n"/>
      <c r="CN1142" s="431" t="n"/>
      <c r="CO1142" s="451" t="n"/>
      <c r="CP1142" s="451" t="n"/>
      <c r="CQ1142" s="451" t="n"/>
      <c r="CS1142" s="429" t="n">
        <v>229</v>
      </c>
      <c r="CT1142" s="431" t="n">
        <v>229</v>
      </c>
      <c r="CU1142" s="688" t="n"/>
      <c r="CV1142" s="431" t="n"/>
      <c r="CW1142" s="451" t="n"/>
      <c r="CX1142" s="451" t="n"/>
      <c r="CY1142" s="451" t="n"/>
      <c r="DA1142" s="429" t="n">
        <v>229</v>
      </c>
      <c r="DB1142" s="431" t="n">
        <v>229</v>
      </c>
      <c r="DC1142" s="688" t="n"/>
      <c r="DD1142" s="431" t="n"/>
      <c r="DE1142" s="451" t="n"/>
      <c r="DF1142" s="451" t="n"/>
      <c r="DG1142" s="451" t="n"/>
      <c r="DI1142" s="429" t="n">
        <v>229</v>
      </c>
      <c r="DJ1142" s="431" t="n">
        <v>229</v>
      </c>
      <c r="DK1142" s="688" t="n"/>
      <c r="DL1142" s="431" t="n"/>
      <c r="DM1142" s="429" t="n"/>
      <c r="DN1142" s="451" t="n"/>
      <c r="DO1142" s="451" t="n"/>
      <c r="DQ1142" s="429" t="n">
        <v>229</v>
      </c>
      <c r="DR1142" s="431" t="n">
        <v>229</v>
      </c>
      <c r="DS1142" s="688" t="n"/>
      <c r="DT1142" s="431" t="n"/>
      <c r="DU1142" s="451" t="n"/>
      <c r="DV1142" s="451" t="n"/>
      <c r="DW1142" s="451" t="n"/>
      <c r="DY1142" s="429" t="n">
        <v>229</v>
      </c>
      <c r="DZ1142" s="431" t="n">
        <v>229</v>
      </c>
      <c r="EA1142" s="688" t="n"/>
      <c r="EB1142" s="431" t="n"/>
      <c r="EC1142" s="451" t="n"/>
      <c r="ED1142" s="451" t="n"/>
      <c r="EE1142" s="451" t="n"/>
      <c r="EG1142" s="429" t="n">
        <v>229</v>
      </c>
      <c r="EH1142" s="431" t="n">
        <v>229</v>
      </c>
      <c r="EI1142" s="688" t="n"/>
      <c r="EJ1142" s="431" t="n"/>
      <c r="EK1142" s="451" t="n"/>
      <c r="EL1142" s="451" t="n"/>
      <c r="EM1142" s="451" t="n"/>
      <c r="EO1142" s="429" t="n">
        <v>229</v>
      </c>
      <c r="EP1142" s="431" t="n">
        <v>229</v>
      </c>
      <c r="EQ1142" s="688" t="n"/>
      <c r="ER1142" s="431" t="n"/>
      <c r="ES1142" s="451" t="n"/>
      <c r="ET1142" s="451" t="n"/>
      <c r="EU1142" s="451" t="n"/>
      <c r="EW1142" s="429" t="n">
        <v>229</v>
      </c>
      <c r="EX1142" s="431" t="n">
        <v>229</v>
      </c>
      <c r="EY1142" s="688" t="n"/>
      <c r="EZ1142" s="431" t="n"/>
      <c r="FA1142" s="451" t="n"/>
      <c r="FB1142" s="451" t="n"/>
      <c r="FC1142" s="451" t="n"/>
      <c r="FE1142" s="429" t="n">
        <v>229</v>
      </c>
      <c r="FF1142" s="431" t="n">
        <v>229</v>
      </c>
      <c r="FG1142" s="688" t="n"/>
      <c r="FH1142" s="431" t="n"/>
      <c r="FI1142" s="451" t="n"/>
      <c r="FJ1142" s="451" t="n"/>
      <c r="FK1142" s="451" t="n"/>
      <c r="FM1142" s="429" t="n">
        <v>229</v>
      </c>
      <c r="FN1142" s="431" t="n">
        <v>229</v>
      </c>
      <c r="FO1142" s="688" t="n"/>
      <c r="FP1142" s="431" t="n"/>
      <c r="FQ1142" s="451" t="n"/>
      <c r="FR1142" s="451" t="n"/>
      <c r="FS1142" s="451" t="n"/>
      <c r="FU1142" s="429" t="n">
        <v>229</v>
      </c>
      <c r="FV1142" s="431" t="n">
        <v>229</v>
      </c>
      <c r="FW1142" s="688" t="n"/>
      <c r="FX1142" s="431" t="n"/>
      <c r="FY1142" s="451" t="n"/>
      <c r="FZ1142" s="562">
        <f>'CIRCUIT SIM'!JG232</f>
        <v/>
      </c>
      <c r="GA1142" s="451" t="n"/>
      <c r="GC1142" s="429" t="n">
        <v>229</v>
      </c>
      <c r="GD1142" s="431" t="n">
        <v>229</v>
      </c>
      <c r="GE1142" s="688" t="n"/>
      <c r="GF1142" s="431" t="n"/>
      <c r="GG1142" s="451" t="n"/>
      <c r="GH1142" s="451" t="n"/>
      <c r="GI1142" s="451" t="n"/>
      <c r="GK1142" s="429" t="n">
        <v>229</v>
      </c>
      <c r="GL1142" s="431" t="n">
        <v>229</v>
      </c>
      <c r="GM1142" s="688" t="n"/>
      <c r="GN1142" s="431" t="n"/>
      <c r="GO1142" s="451" t="n"/>
      <c r="GP1142" s="451" t="n"/>
      <c r="GQ1142" s="451" t="n"/>
      <c r="GS1142" s="429" t="n">
        <v>229</v>
      </c>
      <c r="GT1142" s="431" t="n">
        <v>229</v>
      </c>
      <c r="GU1142" s="688" t="n"/>
      <c r="GV1142" s="431" t="n"/>
      <c r="GW1142" s="451" t="n"/>
      <c r="GX1142" s="451" t="n"/>
      <c r="GY1142" s="451" t="n"/>
      <c r="HA1142" s="429" t="n">
        <v>229</v>
      </c>
      <c r="HB1142" s="431" t="n">
        <v>229</v>
      </c>
      <c r="HC1142" s="688" t="n"/>
      <c r="HD1142" s="431" t="n"/>
      <c r="HE1142" s="451" t="n"/>
      <c r="HF1142" s="451" t="n"/>
      <c r="HG1142" s="451" t="n"/>
    </row>
    <row r="1143">
      <c r="A1143" s="429" t="n">
        <v>230</v>
      </c>
      <c r="B1143" s="431" t="n">
        <v>230</v>
      </c>
      <c r="C1143" s="688" t="n"/>
      <c r="D1143" s="431" t="n"/>
      <c r="E1143" s="429" t="n"/>
      <c r="F1143" s="429" t="n"/>
      <c r="G1143" s="429" t="n"/>
      <c r="I1143" s="429" t="n">
        <v>230</v>
      </c>
      <c r="J1143" s="431" t="n">
        <v>230</v>
      </c>
      <c r="K1143" s="429" t="n"/>
      <c r="L1143" s="431" t="n"/>
      <c r="M1143" s="451" t="n"/>
      <c r="N1143" s="422">
        <f>'CIRCUIT SIM'!Y233</f>
        <v/>
      </c>
      <c r="O1143" s="451" t="n"/>
      <c r="Q1143" s="429" t="n">
        <v>230</v>
      </c>
      <c r="R1143" s="431" t="n">
        <v>230</v>
      </c>
      <c r="S1143" s="429" t="n"/>
      <c r="T1143" s="431" t="n"/>
      <c r="U1143" s="429" t="n"/>
      <c r="V1143" s="386" t="n"/>
      <c r="W1143" s="451" t="n"/>
      <c r="Y1143" s="429" t="n">
        <v>230</v>
      </c>
      <c r="Z1143" s="431" t="n">
        <v>230</v>
      </c>
      <c r="AA1143" s="429" t="n"/>
      <c r="AB1143" s="431" t="n"/>
      <c r="AC1143" s="451" t="n"/>
      <c r="AD1143" s="451" t="n"/>
      <c r="AE1143" s="451" t="n"/>
      <c r="AG1143" s="429" t="n">
        <v>230</v>
      </c>
      <c r="AH1143" s="431" t="n">
        <v>230</v>
      </c>
      <c r="AI1143" s="429" t="n"/>
      <c r="AJ1143" s="431" t="n"/>
      <c r="AK1143" s="451" t="n"/>
      <c r="AL1143" s="451" t="n"/>
      <c r="AM1143" s="451" t="n"/>
      <c r="AO1143" s="429" t="n">
        <v>230</v>
      </c>
      <c r="AP1143" s="431" t="n">
        <v>230</v>
      </c>
      <c r="AQ1143" s="429" t="n"/>
      <c r="AR1143" s="431" t="n"/>
      <c r="AS1143" s="451" t="n"/>
      <c r="AT1143" s="451" t="n"/>
      <c r="AU1143" s="451" t="n"/>
      <c r="AW1143" s="429" t="n">
        <v>230</v>
      </c>
      <c r="AX1143" s="431" t="n">
        <v>230</v>
      </c>
      <c r="AY1143" s="429" t="n"/>
      <c r="AZ1143" s="431" t="n"/>
      <c r="BA1143" s="451" t="n"/>
      <c r="BB1143" s="451" t="n"/>
      <c r="BC1143" s="451" t="n"/>
      <c r="BE1143" s="429" t="n">
        <v>230</v>
      </c>
      <c r="BF1143" s="431" t="n"/>
      <c r="BG1143" s="429" t="n"/>
      <c r="BH1143" s="431" t="n"/>
      <c r="BI1143" s="451" t="n"/>
      <c r="BJ1143" s="451" t="n"/>
      <c r="BK1143" s="451" t="n"/>
      <c r="BM1143" s="429" t="n">
        <v>230</v>
      </c>
      <c r="BN1143" s="431" t="n">
        <v>230</v>
      </c>
      <c r="BO1143" s="429" t="n"/>
      <c r="BP1143" s="431" t="n"/>
      <c r="BQ1143" s="451" t="n"/>
      <c r="BR1143" s="451" t="n"/>
      <c r="BS1143" s="451" t="n"/>
      <c r="BU1143" s="429" t="n">
        <v>230</v>
      </c>
      <c r="BV1143" s="431" t="n">
        <v>230</v>
      </c>
      <c r="BW1143" s="429" t="n"/>
      <c r="BX1143" s="431" t="n"/>
      <c r="BY1143" s="451" t="n"/>
      <c r="BZ1143" s="451">
        <f>'CIRCUIT SIM'!EI233</f>
        <v/>
      </c>
      <c r="CA1143" s="451" t="n"/>
      <c r="CC1143" s="429" t="n">
        <v>230</v>
      </c>
      <c r="CD1143" s="431" t="n">
        <v>230</v>
      </c>
      <c r="CE1143" s="688" t="n"/>
      <c r="CF1143" s="431" t="n"/>
      <c r="CG1143" s="451" t="n"/>
      <c r="CH1143" s="562">
        <f>'CIRCUIT SIM'!LK231</f>
        <v/>
      </c>
      <c r="CI1143" s="451" t="n"/>
      <c r="CK1143" s="429" t="n">
        <v>230</v>
      </c>
      <c r="CL1143" s="431" t="n">
        <v>230</v>
      </c>
      <c r="CM1143" s="688" t="n"/>
      <c r="CN1143" s="431" t="n"/>
      <c r="CO1143" s="451" t="n"/>
      <c r="CP1143" s="451" t="n"/>
      <c r="CQ1143" s="451" t="n"/>
      <c r="CS1143" s="429" t="n">
        <v>230</v>
      </c>
      <c r="CT1143" s="431" t="n">
        <v>230</v>
      </c>
      <c r="CU1143" s="688" t="n"/>
      <c r="CV1143" s="431" t="n"/>
      <c r="CW1143" s="451" t="n"/>
      <c r="CX1143" s="451" t="n"/>
      <c r="CY1143" s="451" t="n"/>
      <c r="DA1143" s="429" t="n">
        <v>230</v>
      </c>
      <c r="DB1143" s="431" t="n">
        <v>230</v>
      </c>
      <c r="DC1143" s="688" t="n"/>
      <c r="DD1143" s="431" t="n"/>
      <c r="DE1143" s="451" t="n"/>
      <c r="DF1143" s="451" t="n"/>
      <c r="DG1143" s="451" t="n"/>
      <c r="DI1143" s="429" t="n">
        <v>230</v>
      </c>
      <c r="DJ1143" s="431" t="n">
        <v>230</v>
      </c>
      <c r="DK1143" s="688" t="n"/>
      <c r="DL1143" s="431" t="n"/>
      <c r="DM1143" s="429" t="n"/>
      <c r="DN1143" s="451" t="n"/>
      <c r="DO1143" s="451" t="n"/>
      <c r="DQ1143" s="429" t="n">
        <v>230</v>
      </c>
      <c r="DR1143" s="431" t="n">
        <v>230</v>
      </c>
      <c r="DS1143" s="688" t="n"/>
      <c r="DT1143" s="431" t="n"/>
      <c r="DU1143" s="451" t="n"/>
      <c r="DV1143" s="451" t="n"/>
      <c r="DW1143" s="451" t="n"/>
      <c r="DY1143" s="429" t="n">
        <v>230</v>
      </c>
      <c r="DZ1143" s="431" t="n">
        <v>230</v>
      </c>
      <c r="EA1143" s="688" t="n"/>
      <c r="EB1143" s="431" t="n"/>
      <c r="EC1143" s="451" t="n"/>
      <c r="ED1143" s="451" t="n"/>
      <c r="EE1143" s="451" t="n"/>
      <c r="EG1143" s="429" t="n">
        <v>230</v>
      </c>
      <c r="EH1143" s="431" t="n">
        <v>230</v>
      </c>
      <c r="EI1143" s="688" t="n"/>
      <c r="EJ1143" s="431" t="n"/>
      <c r="EK1143" s="451" t="n"/>
      <c r="EL1143" s="451" t="n"/>
      <c r="EM1143" s="451" t="n"/>
      <c r="EO1143" s="429" t="n">
        <v>230</v>
      </c>
      <c r="EP1143" s="431" t="n">
        <v>230</v>
      </c>
      <c r="EQ1143" s="688" t="n"/>
      <c r="ER1143" s="431" t="n"/>
      <c r="ES1143" s="451" t="n"/>
      <c r="ET1143" s="451" t="n"/>
      <c r="EU1143" s="451" t="n"/>
      <c r="EW1143" s="429" t="n">
        <v>230</v>
      </c>
      <c r="EX1143" s="431" t="n">
        <v>230</v>
      </c>
      <c r="EY1143" s="688" t="n"/>
      <c r="EZ1143" s="431" t="n"/>
      <c r="FA1143" s="451" t="n"/>
      <c r="FB1143" s="451" t="n"/>
      <c r="FC1143" s="451" t="n"/>
      <c r="FE1143" s="429" t="n">
        <v>230</v>
      </c>
      <c r="FF1143" s="431" t="n">
        <v>230</v>
      </c>
      <c r="FG1143" s="688" t="n"/>
      <c r="FH1143" s="431" t="n"/>
      <c r="FI1143" s="451" t="n"/>
      <c r="FJ1143" s="451" t="n"/>
      <c r="FK1143" s="451" t="n"/>
      <c r="FM1143" s="429" t="n">
        <v>230</v>
      </c>
      <c r="FN1143" s="431" t="n">
        <v>230</v>
      </c>
      <c r="FO1143" s="688" t="n"/>
      <c r="FP1143" s="431" t="n"/>
      <c r="FQ1143" s="451" t="n"/>
      <c r="FR1143" s="451" t="n"/>
      <c r="FS1143" s="451" t="n"/>
      <c r="FU1143" s="429" t="n">
        <v>230</v>
      </c>
      <c r="FV1143" s="431" t="n">
        <v>230</v>
      </c>
      <c r="FW1143" s="688" t="n"/>
      <c r="FX1143" s="431" t="n"/>
      <c r="FY1143" s="451" t="n"/>
      <c r="FZ1143" s="562">
        <f>'CIRCUIT SIM'!JG233</f>
        <v/>
      </c>
      <c r="GA1143" s="451" t="n"/>
      <c r="GC1143" s="429" t="n">
        <v>230</v>
      </c>
      <c r="GD1143" s="431" t="n">
        <v>230</v>
      </c>
      <c r="GE1143" s="688" t="n"/>
      <c r="GF1143" s="431" t="n"/>
      <c r="GG1143" s="451" t="n"/>
      <c r="GH1143" s="451" t="n"/>
      <c r="GI1143" s="451" t="n"/>
      <c r="GK1143" s="429" t="n">
        <v>230</v>
      </c>
      <c r="GL1143" s="431" t="n">
        <v>230</v>
      </c>
      <c r="GM1143" s="688" t="n"/>
      <c r="GN1143" s="431" t="n"/>
      <c r="GO1143" s="451" t="n"/>
      <c r="GP1143" s="451" t="n"/>
      <c r="GQ1143" s="451" t="n"/>
      <c r="GS1143" s="429" t="n">
        <v>230</v>
      </c>
      <c r="GT1143" s="431" t="n">
        <v>230</v>
      </c>
      <c r="GU1143" s="688" t="n"/>
      <c r="GV1143" s="431" t="n"/>
      <c r="GW1143" s="451" t="n"/>
      <c r="GX1143" s="451" t="n"/>
      <c r="GY1143" s="451" t="n"/>
      <c r="HA1143" s="429" t="n">
        <v>230</v>
      </c>
      <c r="HB1143" s="431" t="n">
        <v>230</v>
      </c>
      <c r="HC1143" s="688" t="n"/>
      <c r="HD1143" s="431" t="n"/>
      <c r="HE1143" s="451" t="n"/>
      <c r="HF1143" s="451" t="n"/>
      <c r="HG1143" s="451" t="n"/>
    </row>
    <row r="1144">
      <c r="A1144" s="429" t="n">
        <v>231</v>
      </c>
      <c r="B1144" s="431" t="n">
        <v>231</v>
      </c>
      <c r="C1144" s="688" t="n"/>
      <c r="D1144" s="431" t="n"/>
      <c r="E1144" s="429" t="n"/>
      <c r="F1144" s="429" t="n"/>
      <c r="G1144" s="429" t="n"/>
      <c r="I1144" s="429" t="n">
        <v>231</v>
      </c>
      <c r="J1144" s="431" t="n">
        <v>231</v>
      </c>
      <c r="K1144" s="429" t="n"/>
      <c r="L1144" s="431" t="n"/>
      <c r="M1144" s="451" t="n"/>
      <c r="N1144" s="422">
        <f>'CIRCUIT SIM'!Y234</f>
        <v/>
      </c>
      <c r="O1144" s="451" t="n"/>
      <c r="Q1144" s="429" t="n">
        <v>231</v>
      </c>
      <c r="R1144" s="431" t="n">
        <v>231</v>
      </c>
      <c r="S1144" s="429" t="n"/>
      <c r="T1144" s="431" t="n"/>
      <c r="U1144" s="429" t="n"/>
      <c r="V1144" s="386" t="n"/>
      <c r="W1144" s="451" t="n"/>
      <c r="Y1144" s="429" t="n">
        <v>231</v>
      </c>
      <c r="Z1144" s="431" t="n">
        <v>231</v>
      </c>
      <c r="AA1144" s="429" t="n"/>
      <c r="AB1144" s="431" t="n"/>
      <c r="AC1144" s="451" t="n"/>
      <c r="AD1144" s="451" t="n"/>
      <c r="AE1144" s="451" t="n"/>
      <c r="AG1144" s="429" t="n">
        <v>231</v>
      </c>
      <c r="AH1144" s="431" t="n">
        <v>231</v>
      </c>
      <c r="AI1144" s="429" t="n"/>
      <c r="AJ1144" s="431" t="n"/>
      <c r="AK1144" s="451" t="n"/>
      <c r="AL1144" s="451" t="n"/>
      <c r="AM1144" s="451" t="n"/>
      <c r="AO1144" s="429" t="n">
        <v>231</v>
      </c>
      <c r="AP1144" s="431" t="n">
        <v>231</v>
      </c>
      <c r="AQ1144" s="429" t="n"/>
      <c r="AR1144" s="431" t="n"/>
      <c r="AS1144" s="451" t="n"/>
      <c r="AT1144" s="451" t="n"/>
      <c r="AU1144" s="451" t="n"/>
      <c r="AW1144" s="429" t="n">
        <v>231</v>
      </c>
      <c r="AX1144" s="431" t="n">
        <v>231</v>
      </c>
      <c r="AY1144" s="429" t="n"/>
      <c r="AZ1144" s="431" t="n"/>
      <c r="BA1144" s="451" t="n"/>
      <c r="BB1144" s="451" t="n"/>
      <c r="BC1144" s="451" t="n"/>
      <c r="BE1144" s="429" t="n">
        <v>231</v>
      </c>
      <c r="BF1144" s="431" t="n"/>
      <c r="BG1144" s="429" t="n"/>
      <c r="BH1144" s="431" t="n"/>
      <c r="BI1144" s="451" t="n"/>
      <c r="BJ1144" s="451" t="n"/>
      <c r="BK1144" s="451" t="n"/>
      <c r="BM1144" s="429" t="n">
        <v>231</v>
      </c>
      <c r="BN1144" s="431" t="n">
        <v>231</v>
      </c>
      <c r="BO1144" s="429" t="n"/>
      <c r="BP1144" s="431" t="n"/>
      <c r="BQ1144" s="451" t="n"/>
      <c r="BR1144" s="451" t="n"/>
      <c r="BS1144" s="451" t="n"/>
      <c r="BU1144" s="429" t="n">
        <v>231</v>
      </c>
      <c r="BV1144" s="431" t="n">
        <v>231</v>
      </c>
      <c r="BW1144" s="429" t="n"/>
      <c r="BX1144" s="431" t="n"/>
      <c r="BY1144" s="451" t="n"/>
      <c r="BZ1144" s="451">
        <f>'CIRCUIT SIM'!EI234</f>
        <v/>
      </c>
      <c r="CA1144" s="451" t="n"/>
      <c r="CC1144" s="429" t="n">
        <v>231</v>
      </c>
      <c r="CD1144" s="431" t="n">
        <v>231</v>
      </c>
      <c r="CE1144" s="688" t="n"/>
      <c r="CF1144" s="431" t="n"/>
      <c r="CG1144" s="451" t="n"/>
      <c r="CH1144" s="562">
        <f>'CIRCUIT SIM'!LK232</f>
        <v/>
      </c>
      <c r="CI1144" s="451" t="n"/>
      <c r="CK1144" s="429" t="n">
        <v>231</v>
      </c>
      <c r="CL1144" s="431" t="n">
        <v>231</v>
      </c>
      <c r="CM1144" s="688" t="n"/>
      <c r="CN1144" s="431" t="n"/>
      <c r="CO1144" s="451" t="n"/>
      <c r="CP1144" s="451" t="n"/>
      <c r="CQ1144" s="451" t="n"/>
      <c r="CS1144" s="429" t="n">
        <v>231</v>
      </c>
      <c r="CT1144" s="431" t="n">
        <v>231</v>
      </c>
      <c r="CU1144" s="688" t="n"/>
      <c r="CV1144" s="431" t="n"/>
      <c r="CW1144" s="451" t="n"/>
      <c r="CX1144" s="451" t="n"/>
      <c r="CY1144" s="451" t="n"/>
      <c r="DA1144" s="429" t="n">
        <v>231</v>
      </c>
      <c r="DB1144" s="431" t="n">
        <v>231</v>
      </c>
      <c r="DC1144" s="688" t="n"/>
      <c r="DD1144" s="431" t="n"/>
      <c r="DE1144" s="451" t="n"/>
      <c r="DF1144" s="451" t="n"/>
      <c r="DG1144" s="451" t="n"/>
      <c r="DI1144" s="429" t="n">
        <v>231</v>
      </c>
      <c r="DJ1144" s="431" t="n">
        <v>231</v>
      </c>
      <c r="DK1144" s="688" t="n"/>
      <c r="DL1144" s="431" t="n"/>
      <c r="DM1144" s="429" t="n"/>
      <c r="DN1144" s="451" t="n"/>
      <c r="DO1144" s="451" t="n"/>
      <c r="DQ1144" s="429" t="n">
        <v>231</v>
      </c>
      <c r="DR1144" s="431" t="n">
        <v>231</v>
      </c>
      <c r="DS1144" s="688" t="n"/>
      <c r="DT1144" s="431" t="n"/>
      <c r="DU1144" s="451" t="n"/>
      <c r="DV1144" s="451" t="n"/>
      <c r="DW1144" s="451" t="n"/>
      <c r="DY1144" s="429" t="n">
        <v>231</v>
      </c>
      <c r="DZ1144" s="431" t="n">
        <v>231</v>
      </c>
      <c r="EA1144" s="688" t="n"/>
      <c r="EB1144" s="431" t="n"/>
      <c r="EC1144" s="451" t="n"/>
      <c r="ED1144" s="451" t="n"/>
      <c r="EE1144" s="451" t="n"/>
      <c r="EG1144" s="429" t="n">
        <v>231</v>
      </c>
      <c r="EH1144" s="431" t="n">
        <v>231</v>
      </c>
      <c r="EI1144" s="688" t="n"/>
      <c r="EJ1144" s="431" t="n"/>
      <c r="EK1144" s="451" t="n"/>
      <c r="EL1144" s="451" t="n"/>
      <c r="EM1144" s="451" t="n"/>
      <c r="EO1144" s="429" t="n">
        <v>231</v>
      </c>
      <c r="EP1144" s="431" t="n">
        <v>231</v>
      </c>
      <c r="EQ1144" s="688" t="n"/>
      <c r="ER1144" s="431" t="n"/>
      <c r="ES1144" s="451" t="n"/>
      <c r="ET1144" s="451" t="n"/>
      <c r="EU1144" s="451" t="n"/>
      <c r="EW1144" s="429" t="n">
        <v>231</v>
      </c>
      <c r="EX1144" s="431" t="n">
        <v>231</v>
      </c>
      <c r="EY1144" s="688" t="n"/>
      <c r="EZ1144" s="431" t="n"/>
      <c r="FA1144" s="451" t="n"/>
      <c r="FB1144" s="451" t="n"/>
      <c r="FC1144" s="451" t="n"/>
      <c r="FE1144" s="429" t="n">
        <v>231</v>
      </c>
      <c r="FF1144" s="431" t="n">
        <v>231</v>
      </c>
      <c r="FG1144" s="688" t="n"/>
      <c r="FH1144" s="431" t="n"/>
      <c r="FI1144" s="451" t="n"/>
      <c r="FJ1144" s="451" t="n"/>
      <c r="FK1144" s="451" t="n"/>
      <c r="FM1144" s="429" t="n">
        <v>231</v>
      </c>
      <c r="FN1144" s="431" t="n">
        <v>231</v>
      </c>
      <c r="FO1144" s="688" t="n"/>
      <c r="FP1144" s="431" t="n"/>
      <c r="FQ1144" s="451" t="n"/>
      <c r="FR1144" s="451" t="n"/>
      <c r="FS1144" s="451" t="n"/>
      <c r="FU1144" s="429" t="n">
        <v>231</v>
      </c>
      <c r="FV1144" s="431" t="n">
        <v>231</v>
      </c>
      <c r="FW1144" s="688" t="n"/>
      <c r="FX1144" s="431" t="n"/>
      <c r="FY1144" s="451" t="n"/>
      <c r="FZ1144" s="562">
        <f>'CIRCUIT SIM'!JG234</f>
        <v/>
      </c>
      <c r="GA1144" s="451" t="n"/>
      <c r="GC1144" s="429" t="n">
        <v>231</v>
      </c>
      <c r="GD1144" s="431" t="n">
        <v>231</v>
      </c>
      <c r="GE1144" s="688" t="n"/>
      <c r="GF1144" s="431" t="n"/>
      <c r="GG1144" s="451" t="n"/>
      <c r="GH1144" s="451" t="n"/>
      <c r="GI1144" s="451" t="n"/>
      <c r="GK1144" s="429" t="n">
        <v>231</v>
      </c>
      <c r="GL1144" s="431" t="n">
        <v>231</v>
      </c>
      <c r="GM1144" s="688" t="n"/>
      <c r="GN1144" s="431" t="n"/>
      <c r="GO1144" s="451" t="n"/>
      <c r="GP1144" s="451" t="n"/>
      <c r="GQ1144" s="451" t="n"/>
      <c r="GS1144" s="429" t="n">
        <v>231</v>
      </c>
      <c r="GT1144" s="431" t="n">
        <v>231</v>
      </c>
      <c r="GU1144" s="688" t="n"/>
      <c r="GV1144" s="431" t="n"/>
      <c r="GW1144" s="451" t="n"/>
      <c r="GX1144" s="451" t="n"/>
      <c r="GY1144" s="451" t="n"/>
      <c r="HA1144" s="429" t="n">
        <v>231</v>
      </c>
      <c r="HB1144" s="431" t="n">
        <v>231</v>
      </c>
      <c r="HC1144" s="688" t="n"/>
      <c r="HD1144" s="431" t="n"/>
      <c r="HE1144" s="451" t="n"/>
      <c r="HF1144" s="451" t="n"/>
      <c r="HG1144" s="451" t="n"/>
    </row>
    <row r="1145">
      <c r="A1145" s="429" t="n">
        <v>232</v>
      </c>
      <c r="B1145" s="431" t="n">
        <v>232</v>
      </c>
      <c r="C1145" s="688" t="n"/>
      <c r="D1145" s="431" t="n"/>
      <c r="E1145" s="429" t="n"/>
      <c r="F1145" s="429" t="n"/>
      <c r="G1145" s="429" t="n"/>
      <c r="I1145" s="429" t="n">
        <v>232</v>
      </c>
      <c r="J1145" s="431" t="n">
        <v>232</v>
      </c>
      <c r="K1145" s="429" t="n"/>
      <c r="L1145" s="431" t="n"/>
      <c r="M1145" s="451" t="n"/>
      <c r="N1145" s="422">
        <f>'CIRCUIT SIM'!Y235</f>
        <v/>
      </c>
      <c r="O1145" s="451" t="n"/>
      <c r="Q1145" s="429" t="n">
        <v>232</v>
      </c>
      <c r="R1145" s="431" t="n">
        <v>232</v>
      </c>
      <c r="S1145" s="429" t="n"/>
      <c r="T1145" s="431" t="n"/>
      <c r="U1145" s="429" t="n"/>
      <c r="V1145" s="386" t="n"/>
      <c r="W1145" s="451" t="n"/>
      <c r="Y1145" s="429" t="n">
        <v>232</v>
      </c>
      <c r="Z1145" s="431" t="n">
        <v>232</v>
      </c>
      <c r="AA1145" s="429" t="n"/>
      <c r="AB1145" s="431" t="n"/>
      <c r="AC1145" s="451" t="n"/>
      <c r="AD1145" s="451" t="n"/>
      <c r="AE1145" s="451" t="n"/>
      <c r="AG1145" s="429" t="n">
        <v>232</v>
      </c>
      <c r="AH1145" s="431" t="n">
        <v>232</v>
      </c>
      <c r="AI1145" s="429" t="n"/>
      <c r="AJ1145" s="431" t="n"/>
      <c r="AK1145" s="451" t="n"/>
      <c r="AL1145" s="451" t="n"/>
      <c r="AM1145" s="451" t="n"/>
      <c r="AO1145" s="429" t="n">
        <v>232</v>
      </c>
      <c r="AP1145" s="431" t="n">
        <v>232</v>
      </c>
      <c r="AQ1145" s="429" t="n"/>
      <c r="AR1145" s="431" t="n"/>
      <c r="AS1145" s="451" t="n"/>
      <c r="AT1145" s="451" t="n"/>
      <c r="AU1145" s="451" t="n"/>
      <c r="AW1145" s="429" t="n">
        <v>232</v>
      </c>
      <c r="AX1145" s="431" t="n">
        <v>232</v>
      </c>
      <c r="AY1145" s="429" t="n"/>
      <c r="AZ1145" s="431" t="n"/>
      <c r="BA1145" s="451" t="n"/>
      <c r="BB1145" s="451" t="n"/>
      <c r="BC1145" s="451" t="n"/>
      <c r="BE1145" s="429" t="n">
        <v>232</v>
      </c>
      <c r="BF1145" s="431" t="n"/>
      <c r="BG1145" s="429" t="n"/>
      <c r="BH1145" s="431" t="n"/>
      <c r="BI1145" s="451" t="n"/>
      <c r="BJ1145" s="451" t="n"/>
      <c r="BK1145" s="451" t="n"/>
      <c r="BM1145" s="429" t="n">
        <v>232</v>
      </c>
      <c r="BN1145" s="431" t="n">
        <v>232</v>
      </c>
      <c r="BO1145" s="429" t="n"/>
      <c r="BP1145" s="431" t="n"/>
      <c r="BQ1145" s="451" t="n"/>
      <c r="BR1145" s="451" t="n"/>
      <c r="BS1145" s="451" t="n"/>
      <c r="BU1145" s="429" t="n">
        <v>232</v>
      </c>
      <c r="BV1145" s="431" t="n">
        <v>232</v>
      </c>
      <c r="BW1145" s="429" t="n"/>
      <c r="BX1145" s="431" t="n"/>
      <c r="BY1145" s="451" t="n"/>
      <c r="BZ1145" s="451">
        <f>'CIRCUIT SIM'!EI235</f>
        <v/>
      </c>
      <c r="CA1145" s="451" t="n"/>
      <c r="CC1145" s="429" t="n">
        <v>232</v>
      </c>
      <c r="CD1145" s="431" t="n">
        <v>232</v>
      </c>
      <c r="CE1145" s="688" t="n"/>
      <c r="CF1145" s="431" t="n"/>
      <c r="CG1145" s="451" t="n"/>
      <c r="CH1145" s="562">
        <f>'CIRCUIT SIM'!LK233</f>
        <v/>
      </c>
      <c r="CI1145" s="451" t="n"/>
      <c r="CK1145" s="429" t="n">
        <v>232</v>
      </c>
      <c r="CL1145" s="431" t="n">
        <v>232</v>
      </c>
      <c r="CM1145" s="688" t="n"/>
      <c r="CN1145" s="431" t="n"/>
      <c r="CO1145" s="451" t="n"/>
      <c r="CP1145" s="451" t="n"/>
      <c r="CQ1145" s="451" t="n"/>
      <c r="CS1145" s="429" t="n">
        <v>232</v>
      </c>
      <c r="CT1145" s="431" t="n">
        <v>232</v>
      </c>
      <c r="CU1145" s="688" t="n"/>
      <c r="CV1145" s="431" t="n"/>
      <c r="CW1145" s="451" t="n"/>
      <c r="CX1145" s="451" t="n"/>
      <c r="CY1145" s="451" t="n"/>
      <c r="DA1145" s="429" t="n">
        <v>232</v>
      </c>
      <c r="DB1145" s="431" t="n">
        <v>232</v>
      </c>
      <c r="DC1145" s="688" t="n"/>
      <c r="DD1145" s="431" t="n"/>
      <c r="DE1145" s="451" t="n"/>
      <c r="DF1145" s="451" t="n"/>
      <c r="DG1145" s="451" t="n"/>
      <c r="DI1145" s="429" t="n">
        <v>232</v>
      </c>
      <c r="DJ1145" s="431" t="n">
        <v>232</v>
      </c>
      <c r="DK1145" s="688" t="n"/>
      <c r="DL1145" s="431" t="n"/>
      <c r="DM1145" s="429" t="n"/>
      <c r="DN1145" s="451" t="n"/>
      <c r="DO1145" s="451" t="n"/>
      <c r="DQ1145" s="429" t="n">
        <v>232</v>
      </c>
      <c r="DR1145" s="431" t="n">
        <v>232</v>
      </c>
      <c r="DS1145" s="688" t="n"/>
      <c r="DT1145" s="431" t="n"/>
      <c r="DU1145" s="451" t="n"/>
      <c r="DV1145" s="451" t="n"/>
      <c r="DW1145" s="451" t="n"/>
      <c r="DY1145" s="429" t="n">
        <v>232</v>
      </c>
      <c r="DZ1145" s="431" t="n">
        <v>232</v>
      </c>
      <c r="EA1145" s="688" t="n"/>
      <c r="EB1145" s="431" t="n"/>
      <c r="EC1145" s="451" t="n"/>
      <c r="ED1145" s="451" t="n"/>
      <c r="EE1145" s="451" t="n"/>
      <c r="EG1145" s="429" t="n">
        <v>232</v>
      </c>
      <c r="EH1145" s="431" t="n">
        <v>232</v>
      </c>
      <c r="EI1145" s="688" t="n"/>
      <c r="EJ1145" s="431" t="n"/>
      <c r="EK1145" s="451" t="n"/>
      <c r="EL1145" s="451" t="n"/>
      <c r="EM1145" s="451" t="n"/>
      <c r="EO1145" s="429" t="n">
        <v>232</v>
      </c>
      <c r="EP1145" s="431" t="n">
        <v>232</v>
      </c>
      <c r="EQ1145" s="688" t="n"/>
      <c r="ER1145" s="431" t="n"/>
      <c r="ES1145" s="451" t="n"/>
      <c r="ET1145" s="451" t="n"/>
      <c r="EU1145" s="451" t="n"/>
      <c r="EW1145" s="429" t="n">
        <v>232</v>
      </c>
      <c r="EX1145" s="431" t="n">
        <v>232</v>
      </c>
      <c r="EY1145" s="688" t="n"/>
      <c r="EZ1145" s="431" t="n"/>
      <c r="FA1145" s="451" t="n"/>
      <c r="FB1145" s="451" t="n"/>
      <c r="FC1145" s="451" t="n"/>
      <c r="FE1145" s="429" t="n">
        <v>232</v>
      </c>
      <c r="FF1145" s="431" t="n">
        <v>232</v>
      </c>
      <c r="FG1145" s="688" t="n"/>
      <c r="FH1145" s="431" t="n"/>
      <c r="FI1145" s="451" t="n"/>
      <c r="FJ1145" s="451" t="n"/>
      <c r="FK1145" s="451" t="n"/>
      <c r="FM1145" s="429" t="n">
        <v>232</v>
      </c>
      <c r="FN1145" s="431" t="n">
        <v>232</v>
      </c>
      <c r="FO1145" s="688" t="n"/>
      <c r="FP1145" s="431" t="n"/>
      <c r="FQ1145" s="451" t="n"/>
      <c r="FR1145" s="451" t="n"/>
      <c r="FS1145" s="451" t="n"/>
      <c r="FU1145" s="429" t="n">
        <v>232</v>
      </c>
      <c r="FV1145" s="431" t="n">
        <v>232</v>
      </c>
      <c r="FW1145" s="688" t="n"/>
      <c r="FX1145" s="431" t="n"/>
      <c r="FY1145" s="451" t="n"/>
      <c r="FZ1145" s="562">
        <f>'CIRCUIT SIM'!JG235</f>
        <v/>
      </c>
      <c r="GA1145" s="451" t="n"/>
      <c r="GC1145" s="429" t="n">
        <v>232</v>
      </c>
      <c r="GD1145" s="431" t="n">
        <v>232</v>
      </c>
      <c r="GE1145" s="688" t="n"/>
      <c r="GF1145" s="431" t="n"/>
      <c r="GG1145" s="451" t="n"/>
      <c r="GH1145" s="451" t="n"/>
      <c r="GI1145" s="451" t="n"/>
      <c r="GK1145" s="429" t="n">
        <v>232</v>
      </c>
      <c r="GL1145" s="431" t="n">
        <v>232</v>
      </c>
      <c r="GM1145" s="688" t="n"/>
      <c r="GN1145" s="431" t="n"/>
      <c r="GO1145" s="451" t="n"/>
      <c r="GP1145" s="451" t="n"/>
      <c r="GQ1145" s="451" t="n"/>
      <c r="GS1145" s="429" t="n">
        <v>232</v>
      </c>
      <c r="GT1145" s="431" t="n">
        <v>232</v>
      </c>
      <c r="GU1145" s="688" t="n"/>
      <c r="GV1145" s="431" t="n"/>
      <c r="GW1145" s="451" t="n"/>
      <c r="GX1145" s="451" t="n"/>
      <c r="GY1145" s="451" t="n"/>
      <c r="HA1145" s="429" t="n">
        <v>232</v>
      </c>
      <c r="HB1145" s="431" t="n">
        <v>232</v>
      </c>
      <c r="HC1145" s="688" t="n"/>
      <c r="HD1145" s="431" t="n"/>
      <c r="HE1145" s="451" t="n"/>
      <c r="HF1145" s="451" t="n"/>
      <c r="HG1145" s="451" t="n"/>
    </row>
    <row r="1146">
      <c r="A1146" s="429" t="n">
        <v>233</v>
      </c>
      <c r="B1146" s="431" t="n">
        <v>233</v>
      </c>
      <c r="C1146" s="688" t="n"/>
      <c r="D1146" s="431" t="n"/>
      <c r="E1146" s="429" t="n"/>
      <c r="F1146" s="429" t="n"/>
      <c r="G1146" s="429" t="n"/>
      <c r="I1146" s="429" t="n">
        <v>233</v>
      </c>
      <c r="J1146" s="431" t="n">
        <v>233</v>
      </c>
      <c r="K1146" s="429" t="n"/>
      <c r="L1146" s="431" t="n"/>
      <c r="M1146" s="451" t="n"/>
      <c r="N1146" s="422">
        <f>'CIRCUIT SIM'!Y236</f>
        <v/>
      </c>
      <c r="O1146" s="451" t="n"/>
      <c r="Q1146" s="429" t="n">
        <v>233</v>
      </c>
      <c r="R1146" s="431" t="n">
        <v>233</v>
      </c>
      <c r="S1146" s="429" t="n"/>
      <c r="T1146" s="431" t="n"/>
      <c r="U1146" s="429" t="n"/>
      <c r="V1146" s="386" t="n"/>
      <c r="W1146" s="451" t="n"/>
      <c r="Y1146" s="429" t="n">
        <v>233</v>
      </c>
      <c r="Z1146" s="431" t="n">
        <v>233</v>
      </c>
      <c r="AA1146" s="429" t="n"/>
      <c r="AB1146" s="431" t="n"/>
      <c r="AC1146" s="451" t="n"/>
      <c r="AD1146" s="451" t="n"/>
      <c r="AE1146" s="451" t="n"/>
      <c r="AG1146" s="429" t="n">
        <v>233</v>
      </c>
      <c r="AH1146" s="431" t="n">
        <v>233</v>
      </c>
      <c r="AI1146" s="429" t="n"/>
      <c r="AJ1146" s="431" t="n"/>
      <c r="AK1146" s="451" t="n"/>
      <c r="AL1146" s="451" t="n"/>
      <c r="AM1146" s="451" t="n"/>
      <c r="AO1146" s="429" t="n">
        <v>233</v>
      </c>
      <c r="AP1146" s="431" t="n">
        <v>233</v>
      </c>
      <c r="AQ1146" s="429" t="n"/>
      <c r="AR1146" s="431" t="n"/>
      <c r="AS1146" s="451" t="n"/>
      <c r="AT1146" s="451" t="n"/>
      <c r="AU1146" s="451" t="n"/>
      <c r="AW1146" s="429" t="n">
        <v>233</v>
      </c>
      <c r="AX1146" s="431" t="n">
        <v>233</v>
      </c>
      <c r="AY1146" s="429" t="n"/>
      <c r="AZ1146" s="431" t="n"/>
      <c r="BA1146" s="451" t="n"/>
      <c r="BB1146" s="451" t="n"/>
      <c r="BC1146" s="451" t="n"/>
      <c r="BE1146" s="429" t="n">
        <v>233</v>
      </c>
      <c r="BF1146" s="431" t="n"/>
      <c r="BG1146" s="429" t="n"/>
      <c r="BH1146" s="431" t="n"/>
      <c r="BI1146" s="451" t="n"/>
      <c r="BJ1146" s="451" t="n"/>
      <c r="BK1146" s="451" t="n"/>
      <c r="BM1146" s="429" t="n">
        <v>233</v>
      </c>
      <c r="BN1146" s="431" t="n">
        <v>233</v>
      </c>
      <c r="BO1146" s="429" t="n"/>
      <c r="BP1146" s="431" t="n"/>
      <c r="BQ1146" s="451" t="n"/>
      <c r="BR1146" s="451" t="n"/>
      <c r="BS1146" s="451" t="n"/>
      <c r="BU1146" s="429" t="n">
        <v>233</v>
      </c>
      <c r="BV1146" s="431" t="n">
        <v>233</v>
      </c>
      <c r="BW1146" s="429" t="n"/>
      <c r="BX1146" s="431" t="n"/>
      <c r="BY1146" s="451" t="n"/>
      <c r="BZ1146" s="451">
        <f>'CIRCUIT SIM'!EI236</f>
        <v/>
      </c>
      <c r="CA1146" s="451" t="n"/>
      <c r="CC1146" s="429" t="n">
        <v>233</v>
      </c>
      <c r="CD1146" s="431" t="n">
        <v>233</v>
      </c>
      <c r="CE1146" s="688" t="n"/>
      <c r="CF1146" s="431" t="n"/>
      <c r="CG1146" s="451" t="n"/>
      <c r="CH1146" s="562">
        <f>'CIRCUIT SIM'!LK234</f>
        <v/>
      </c>
      <c r="CI1146" s="451" t="n"/>
      <c r="CK1146" s="429" t="n">
        <v>233</v>
      </c>
      <c r="CL1146" s="431" t="n">
        <v>233</v>
      </c>
      <c r="CM1146" s="688" t="n"/>
      <c r="CN1146" s="431" t="n"/>
      <c r="CO1146" s="451" t="n"/>
      <c r="CP1146" s="451" t="n"/>
      <c r="CQ1146" s="451" t="n"/>
      <c r="CS1146" s="429" t="n">
        <v>233</v>
      </c>
      <c r="CT1146" s="431" t="n">
        <v>233</v>
      </c>
      <c r="CU1146" s="688" t="n"/>
      <c r="CV1146" s="431" t="n"/>
      <c r="CW1146" s="451" t="n"/>
      <c r="CX1146" s="451" t="n"/>
      <c r="CY1146" s="451" t="n"/>
      <c r="DA1146" s="429" t="n">
        <v>233</v>
      </c>
      <c r="DB1146" s="431" t="n">
        <v>233</v>
      </c>
      <c r="DC1146" s="688" t="n"/>
      <c r="DD1146" s="431" t="n"/>
      <c r="DE1146" s="451" t="n"/>
      <c r="DF1146" s="451" t="n"/>
      <c r="DG1146" s="451" t="n"/>
      <c r="DI1146" s="429" t="n">
        <v>233</v>
      </c>
      <c r="DJ1146" s="431" t="n">
        <v>233</v>
      </c>
      <c r="DK1146" s="688" t="n"/>
      <c r="DL1146" s="431" t="n"/>
      <c r="DM1146" s="429" t="n"/>
      <c r="DN1146" s="451" t="n"/>
      <c r="DO1146" s="451" t="n"/>
      <c r="DQ1146" s="429" t="n">
        <v>233</v>
      </c>
      <c r="DR1146" s="431" t="n">
        <v>233</v>
      </c>
      <c r="DS1146" s="688" t="n"/>
      <c r="DT1146" s="431" t="n"/>
      <c r="DU1146" s="451" t="n"/>
      <c r="DV1146" s="451" t="n"/>
      <c r="DW1146" s="451" t="n"/>
      <c r="DY1146" s="429" t="n">
        <v>233</v>
      </c>
      <c r="DZ1146" s="431" t="n">
        <v>233</v>
      </c>
      <c r="EA1146" s="688" t="n"/>
      <c r="EB1146" s="431" t="n"/>
      <c r="EC1146" s="451" t="n"/>
      <c r="ED1146" s="451" t="n"/>
      <c r="EE1146" s="451" t="n"/>
      <c r="EG1146" s="429" t="n">
        <v>233</v>
      </c>
      <c r="EH1146" s="431" t="n">
        <v>233</v>
      </c>
      <c r="EI1146" s="688" t="n"/>
      <c r="EJ1146" s="431" t="n"/>
      <c r="EK1146" s="451" t="n"/>
      <c r="EL1146" s="451" t="n"/>
      <c r="EM1146" s="451" t="n"/>
      <c r="EO1146" s="429" t="n">
        <v>233</v>
      </c>
      <c r="EP1146" s="431" t="n">
        <v>233</v>
      </c>
      <c r="EQ1146" s="688" t="n"/>
      <c r="ER1146" s="431" t="n"/>
      <c r="ES1146" s="451" t="n"/>
      <c r="ET1146" s="451" t="n"/>
      <c r="EU1146" s="451" t="n"/>
      <c r="EW1146" s="429" t="n">
        <v>233</v>
      </c>
      <c r="EX1146" s="431" t="n">
        <v>233</v>
      </c>
      <c r="EY1146" s="688" t="n"/>
      <c r="EZ1146" s="431" t="n"/>
      <c r="FA1146" s="451" t="n"/>
      <c r="FB1146" s="451" t="n"/>
      <c r="FC1146" s="451" t="n"/>
      <c r="FE1146" s="429" t="n">
        <v>233</v>
      </c>
      <c r="FF1146" s="431" t="n">
        <v>233</v>
      </c>
      <c r="FG1146" s="688" t="n"/>
      <c r="FH1146" s="431" t="n"/>
      <c r="FI1146" s="451" t="n"/>
      <c r="FJ1146" s="451" t="n"/>
      <c r="FK1146" s="451" t="n"/>
      <c r="FM1146" s="429" t="n">
        <v>233</v>
      </c>
      <c r="FN1146" s="431" t="n">
        <v>233</v>
      </c>
      <c r="FO1146" s="688" t="n"/>
      <c r="FP1146" s="431" t="n"/>
      <c r="FQ1146" s="451" t="n"/>
      <c r="FR1146" s="451" t="n"/>
      <c r="FS1146" s="451" t="n"/>
      <c r="FU1146" s="429" t="n">
        <v>233</v>
      </c>
      <c r="FV1146" s="431" t="n">
        <v>233</v>
      </c>
      <c r="FW1146" s="688" t="n"/>
      <c r="FX1146" s="431" t="n"/>
      <c r="FY1146" s="451" t="n"/>
      <c r="FZ1146" s="562">
        <f>'CIRCUIT SIM'!JG236</f>
        <v/>
      </c>
      <c r="GA1146" s="451" t="n"/>
      <c r="GC1146" s="429" t="n">
        <v>233</v>
      </c>
      <c r="GD1146" s="431" t="n">
        <v>233</v>
      </c>
      <c r="GE1146" s="688" t="n"/>
      <c r="GF1146" s="431" t="n"/>
      <c r="GG1146" s="451" t="n"/>
      <c r="GH1146" s="451" t="n"/>
      <c r="GI1146" s="451" t="n"/>
      <c r="GK1146" s="429" t="n">
        <v>233</v>
      </c>
      <c r="GL1146" s="431" t="n">
        <v>233</v>
      </c>
      <c r="GM1146" s="688" t="n"/>
      <c r="GN1146" s="431" t="n"/>
      <c r="GO1146" s="451" t="n"/>
      <c r="GP1146" s="451" t="n"/>
      <c r="GQ1146" s="451" t="n"/>
      <c r="GS1146" s="429" t="n">
        <v>233</v>
      </c>
      <c r="GT1146" s="431" t="n">
        <v>233</v>
      </c>
      <c r="GU1146" s="688" t="n"/>
      <c r="GV1146" s="431" t="n"/>
      <c r="GW1146" s="451" t="n"/>
      <c r="GX1146" s="451" t="n"/>
      <c r="GY1146" s="451" t="n"/>
      <c r="HA1146" s="429" t="n">
        <v>233</v>
      </c>
      <c r="HB1146" s="431" t="n">
        <v>233</v>
      </c>
      <c r="HC1146" s="688" t="n"/>
      <c r="HD1146" s="431" t="n"/>
      <c r="HE1146" s="451" t="n"/>
      <c r="HF1146" s="451" t="n"/>
      <c r="HG1146" s="451" t="n"/>
    </row>
    <row r="1147">
      <c r="A1147" s="429" t="n">
        <v>234</v>
      </c>
      <c r="B1147" s="431" t="n">
        <v>234</v>
      </c>
      <c r="C1147" s="688" t="n"/>
      <c r="D1147" s="431" t="n"/>
      <c r="E1147" s="429" t="n"/>
      <c r="F1147" s="429" t="n"/>
      <c r="G1147" s="429" t="n"/>
      <c r="I1147" s="429" t="n">
        <v>234</v>
      </c>
      <c r="J1147" s="431" t="n">
        <v>234</v>
      </c>
      <c r="K1147" s="429" t="n"/>
      <c r="L1147" s="431" t="n"/>
      <c r="M1147" s="451" t="n"/>
      <c r="N1147" s="422">
        <f>'CIRCUIT SIM'!Y237</f>
        <v/>
      </c>
      <c r="O1147" s="451" t="n"/>
      <c r="Q1147" s="429" t="n">
        <v>234</v>
      </c>
      <c r="R1147" s="431" t="n">
        <v>234</v>
      </c>
      <c r="S1147" s="429" t="n"/>
      <c r="T1147" s="431" t="n"/>
      <c r="U1147" s="429" t="n"/>
      <c r="V1147" s="386" t="n"/>
      <c r="W1147" s="451" t="n"/>
      <c r="Y1147" s="429" t="n">
        <v>234</v>
      </c>
      <c r="Z1147" s="431" t="n">
        <v>234</v>
      </c>
      <c r="AA1147" s="429" t="n"/>
      <c r="AB1147" s="431" t="n"/>
      <c r="AC1147" s="451" t="n"/>
      <c r="AD1147" s="451" t="n"/>
      <c r="AE1147" s="451" t="n"/>
      <c r="AG1147" s="429" t="n">
        <v>234</v>
      </c>
      <c r="AH1147" s="431" t="n">
        <v>234</v>
      </c>
      <c r="AI1147" s="429" t="n"/>
      <c r="AJ1147" s="431" t="n"/>
      <c r="AK1147" s="451" t="n"/>
      <c r="AL1147" s="451" t="n"/>
      <c r="AM1147" s="451" t="n"/>
      <c r="AO1147" s="429" t="n">
        <v>234</v>
      </c>
      <c r="AP1147" s="431" t="n">
        <v>234</v>
      </c>
      <c r="AQ1147" s="429" t="n"/>
      <c r="AR1147" s="431" t="n"/>
      <c r="AS1147" s="451" t="n"/>
      <c r="AT1147" s="451" t="n"/>
      <c r="AU1147" s="451" t="n"/>
      <c r="AW1147" s="429" t="n">
        <v>234</v>
      </c>
      <c r="AX1147" s="431" t="n">
        <v>234</v>
      </c>
      <c r="AY1147" s="429" t="n"/>
      <c r="AZ1147" s="431" t="n"/>
      <c r="BA1147" s="451" t="n"/>
      <c r="BB1147" s="451" t="n"/>
      <c r="BC1147" s="451" t="n"/>
      <c r="BE1147" s="429" t="n">
        <v>234</v>
      </c>
      <c r="BF1147" s="431" t="n"/>
      <c r="BG1147" s="429" t="n"/>
      <c r="BH1147" s="431" t="n"/>
      <c r="BI1147" s="451" t="n"/>
      <c r="BJ1147" s="451" t="n"/>
      <c r="BK1147" s="451" t="n"/>
      <c r="BM1147" s="429" t="n">
        <v>234</v>
      </c>
      <c r="BN1147" s="431" t="n">
        <v>234</v>
      </c>
      <c r="BO1147" s="429" t="n"/>
      <c r="BP1147" s="431" t="n"/>
      <c r="BQ1147" s="451" t="n"/>
      <c r="BR1147" s="451" t="n"/>
      <c r="BS1147" s="451" t="n"/>
      <c r="BU1147" s="429" t="n">
        <v>234</v>
      </c>
      <c r="BV1147" s="431" t="n">
        <v>234</v>
      </c>
      <c r="BW1147" s="429" t="n"/>
      <c r="BX1147" s="431" t="n"/>
      <c r="BY1147" s="451" t="n"/>
      <c r="BZ1147" s="451">
        <f>'CIRCUIT SIM'!EI237</f>
        <v/>
      </c>
      <c r="CA1147" s="451" t="n"/>
      <c r="CC1147" s="429" t="n">
        <v>234</v>
      </c>
      <c r="CD1147" s="431" t="n">
        <v>234</v>
      </c>
      <c r="CE1147" s="688" t="n"/>
      <c r="CF1147" s="431" t="n"/>
      <c r="CG1147" s="451" t="n"/>
      <c r="CH1147" s="562">
        <f>'CIRCUIT SIM'!LK235</f>
        <v/>
      </c>
      <c r="CI1147" s="451" t="n"/>
      <c r="CK1147" s="429" t="n">
        <v>234</v>
      </c>
      <c r="CL1147" s="431" t="n">
        <v>234</v>
      </c>
      <c r="CM1147" s="688" t="n"/>
      <c r="CN1147" s="431" t="n"/>
      <c r="CO1147" s="451" t="n"/>
      <c r="CP1147" s="451" t="n"/>
      <c r="CQ1147" s="451" t="n"/>
      <c r="CS1147" s="429" t="n">
        <v>234</v>
      </c>
      <c r="CT1147" s="431" t="n">
        <v>234</v>
      </c>
      <c r="CU1147" s="688" t="n"/>
      <c r="CV1147" s="431" t="n"/>
      <c r="CW1147" s="451" t="n"/>
      <c r="CX1147" s="451" t="n"/>
      <c r="CY1147" s="451" t="n"/>
      <c r="DA1147" s="429" t="n">
        <v>234</v>
      </c>
      <c r="DB1147" s="431" t="n">
        <v>234</v>
      </c>
      <c r="DC1147" s="688" t="n"/>
      <c r="DD1147" s="431" t="n"/>
      <c r="DE1147" s="451" t="n"/>
      <c r="DF1147" s="451" t="n"/>
      <c r="DG1147" s="451" t="n"/>
      <c r="DI1147" s="429" t="n">
        <v>234</v>
      </c>
      <c r="DJ1147" s="431" t="n">
        <v>234</v>
      </c>
      <c r="DK1147" s="688" t="n"/>
      <c r="DL1147" s="431" t="n"/>
      <c r="DM1147" s="429" t="n"/>
      <c r="DN1147" s="451" t="n"/>
      <c r="DO1147" s="451" t="n"/>
      <c r="DQ1147" s="429" t="n">
        <v>234</v>
      </c>
      <c r="DR1147" s="431" t="n">
        <v>234</v>
      </c>
      <c r="DS1147" s="688" t="n"/>
      <c r="DT1147" s="431" t="n"/>
      <c r="DU1147" s="451" t="n"/>
      <c r="DV1147" s="451" t="n"/>
      <c r="DW1147" s="451" t="n"/>
      <c r="DY1147" s="429" t="n">
        <v>234</v>
      </c>
      <c r="DZ1147" s="431" t="n">
        <v>234</v>
      </c>
      <c r="EA1147" s="688" t="n"/>
      <c r="EB1147" s="431" t="n"/>
      <c r="EC1147" s="451" t="n"/>
      <c r="ED1147" s="451" t="n"/>
      <c r="EE1147" s="451" t="n"/>
      <c r="EG1147" s="429" t="n">
        <v>234</v>
      </c>
      <c r="EH1147" s="431" t="n">
        <v>234</v>
      </c>
      <c r="EI1147" s="688" t="n"/>
      <c r="EJ1147" s="431" t="n"/>
      <c r="EK1147" s="451" t="n"/>
      <c r="EL1147" s="451" t="n"/>
      <c r="EM1147" s="451" t="n"/>
      <c r="EO1147" s="429" t="n">
        <v>234</v>
      </c>
      <c r="EP1147" s="431" t="n">
        <v>234</v>
      </c>
      <c r="EQ1147" s="688" t="n"/>
      <c r="ER1147" s="431" t="n"/>
      <c r="ES1147" s="451" t="n"/>
      <c r="ET1147" s="451" t="n"/>
      <c r="EU1147" s="451" t="n"/>
      <c r="EW1147" s="429" t="n">
        <v>234</v>
      </c>
      <c r="EX1147" s="431" t="n">
        <v>234</v>
      </c>
      <c r="EY1147" s="688" t="n"/>
      <c r="EZ1147" s="431" t="n"/>
      <c r="FA1147" s="451" t="n"/>
      <c r="FB1147" s="451" t="n"/>
      <c r="FC1147" s="451" t="n"/>
      <c r="FE1147" s="429" t="n">
        <v>234</v>
      </c>
      <c r="FF1147" s="431" t="n">
        <v>234</v>
      </c>
      <c r="FG1147" s="688" t="n"/>
      <c r="FH1147" s="431" t="n"/>
      <c r="FI1147" s="451" t="n"/>
      <c r="FJ1147" s="451" t="n"/>
      <c r="FK1147" s="451" t="n"/>
      <c r="FM1147" s="429" t="n">
        <v>234</v>
      </c>
      <c r="FN1147" s="431" t="n">
        <v>234</v>
      </c>
      <c r="FO1147" s="688" t="n"/>
      <c r="FP1147" s="431" t="n"/>
      <c r="FQ1147" s="451" t="n"/>
      <c r="FR1147" s="451" t="n"/>
      <c r="FS1147" s="451" t="n"/>
      <c r="FU1147" s="429" t="n">
        <v>234</v>
      </c>
      <c r="FV1147" s="431" t="n">
        <v>234</v>
      </c>
      <c r="FW1147" s="688" t="n"/>
      <c r="FX1147" s="431" t="n"/>
      <c r="FY1147" s="451" t="n"/>
      <c r="FZ1147" s="562">
        <f>'CIRCUIT SIM'!JG237</f>
        <v/>
      </c>
      <c r="GA1147" s="451" t="n"/>
      <c r="GC1147" s="429" t="n">
        <v>234</v>
      </c>
      <c r="GD1147" s="431" t="n">
        <v>234</v>
      </c>
      <c r="GE1147" s="688" t="n"/>
      <c r="GF1147" s="431" t="n"/>
      <c r="GG1147" s="451" t="n"/>
      <c r="GH1147" s="451" t="n"/>
      <c r="GI1147" s="451" t="n"/>
      <c r="GK1147" s="429" t="n">
        <v>234</v>
      </c>
      <c r="GL1147" s="431" t="n">
        <v>234</v>
      </c>
      <c r="GM1147" s="688" t="n"/>
      <c r="GN1147" s="431" t="n"/>
      <c r="GO1147" s="451" t="n"/>
      <c r="GP1147" s="451" t="n"/>
      <c r="GQ1147" s="451" t="n"/>
      <c r="GS1147" s="429" t="n">
        <v>234</v>
      </c>
      <c r="GT1147" s="431" t="n">
        <v>234</v>
      </c>
      <c r="GU1147" s="688" t="n"/>
      <c r="GV1147" s="431" t="n"/>
      <c r="GW1147" s="451" t="n"/>
      <c r="GX1147" s="451" t="n"/>
      <c r="GY1147" s="451" t="n"/>
      <c r="HA1147" s="429" t="n">
        <v>234</v>
      </c>
      <c r="HB1147" s="431" t="n">
        <v>234</v>
      </c>
      <c r="HC1147" s="688" t="n"/>
      <c r="HD1147" s="431" t="n"/>
      <c r="HE1147" s="451" t="n"/>
      <c r="HF1147" s="451" t="n"/>
      <c r="HG1147" s="451" t="n"/>
    </row>
    <row r="1148">
      <c r="A1148" s="429" t="n">
        <v>235</v>
      </c>
      <c r="B1148" s="431" t="n">
        <v>235</v>
      </c>
      <c r="C1148" s="688" t="n"/>
      <c r="D1148" s="431" t="n"/>
      <c r="E1148" s="429" t="n"/>
      <c r="F1148" s="429" t="n"/>
      <c r="G1148" s="429" t="n"/>
      <c r="I1148" s="429" t="n">
        <v>235</v>
      </c>
      <c r="J1148" s="431" t="n">
        <v>235</v>
      </c>
      <c r="K1148" s="429" t="n"/>
      <c r="L1148" s="431" t="n"/>
      <c r="M1148" s="451" t="n"/>
      <c r="N1148" s="422">
        <f>'CIRCUIT SIM'!Y238</f>
        <v/>
      </c>
      <c r="O1148" s="451" t="n"/>
      <c r="Q1148" s="429" t="n">
        <v>235</v>
      </c>
      <c r="R1148" s="431" t="n">
        <v>235</v>
      </c>
      <c r="S1148" s="429" t="n"/>
      <c r="T1148" s="431" t="n"/>
      <c r="U1148" s="429" t="n"/>
      <c r="V1148" s="386" t="n"/>
      <c r="W1148" s="451" t="n"/>
      <c r="Y1148" s="429" t="n">
        <v>235</v>
      </c>
      <c r="Z1148" s="431" t="n">
        <v>235</v>
      </c>
      <c r="AA1148" s="429" t="n"/>
      <c r="AB1148" s="431" t="n"/>
      <c r="AC1148" s="451" t="n"/>
      <c r="AD1148" s="451" t="n"/>
      <c r="AE1148" s="451" t="n"/>
      <c r="AG1148" s="429" t="n">
        <v>235</v>
      </c>
      <c r="AH1148" s="431" t="n">
        <v>235</v>
      </c>
      <c r="AI1148" s="429" t="n"/>
      <c r="AJ1148" s="431" t="n"/>
      <c r="AK1148" s="451" t="n"/>
      <c r="AL1148" s="451" t="n"/>
      <c r="AM1148" s="451" t="n"/>
      <c r="AO1148" s="429" t="n">
        <v>235</v>
      </c>
      <c r="AP1148" s="431" t="n">
        <v>235</v>
      </c>
      <c r="AQ1148" s="429" t="n"/>
      <c r="AR1148" s="431" t="n"/>
      <c r="AS1148" s="451" t="n"/>
      <c r="AT1148" s="451" t="n"/>
      <c r="AU1148" s="451" t="n"/>
      <c r="AW1148" s="429" t="n">
        <v>235</v>
      </c>
      <c r="AX1148" s="431" t="n">
        <v>235</v>
      </c>
      <c r="AY1148" s="429" t="n"/>
      <c r="AZ1148" s="431" t="n"/>
      <c r="BA1148" s="451" t="n"/>
      <c r="BB1148" s="451" t="n"/>
      <c r="BC1148" s="451" t="n"/>
      <c r="BE1148" s="429" t="n">
        <v>235</v>
      </c>
      <c r="BF1148" s="431" t="n"/>
      <c r="BG1148" s="429" t="n"/>
      <c r="BH1148" s="431" t="n"/>
      <c r="BI1148" s="451" t="n"/>
      <c r="BJ1148" s="451" t="n"/>
      <c r="BK1148" s="451" t="n"/>
      <c r="BM1148" s="429" t="n">
        <v>235</v>
      </c>
      <c r="BN1148" s="431" t="n">
        <v>235</v>
      </c>
      <c r="BO1148" s="429" t="n"/>
      <c r="BP1148" s="431" t="n"/>
      <c r="BQ1148" s="451" t="n"/>
      <c r="BR1148" s="451" t="n"/>
      <c r="BS1148" s="451" t="n"/>
      <c r="BU1148" s="429" t="n">
        <v>235</v>
      </c>
      <c r="BV1148" s="431" t="n">
        <v>235</v>
      </c>
      <c r="BW1148" s="429" t="n"/>
      <c r="BX1148" s="431" t="n"/>
      <c r="BY1148" s="451" t="n"/>
      <c r="BZ1148" s="451">
        <f>'CIRCUIT SIM'!EI238</f>
        <v/>
      </c>
      <c r="CA1148" s="451" t="n"/>
      <c r="CC1148" s="429" t="n">
        <v>235</v>
      </c>
      <c r="CD1148" s="431" t="n">
        <v>235</v>
      </c>
      <c r="CE1148" s="688" t="n"/>
      <c r="CF1148" s="431" t="n"/>
      <c r="CG1148" s="451" t="n"/>
      <c r="CH1148" s="562">
        <f>'CIRCUIT SIM'!LK236</f>
        <v/>
      </c>
      <c r="CI1148" s="451" t="n"/>
      <c r="CK1148" s="429" t="n">
        <v>235</v>
      </c>
      <c r="CL1148" s="431" t="n">
        <v>235</v>
      </c>
      <c r="CM1148" s="688" t="n"/>
      <c r="CN1148" s="431" t="n"/>
      <c r="CO1148" s="451" t="n"/>
      <c r="CP1148" s="451" t="n"/>
      <c r="CQ1148" s="451" t="n"/>
      <c r="CS1148" s="429" t="n">
        <v>235</v>
      </c>
      <c r="CT1148" s="431" t="n">
        <v>235</v>
      </c>
      <c r="CU1148" s="688" t="n"/>
      <c r="CV1148" s="431" t="n"/>
      <c r="CW1148" s="451" t="n"/>
      <c r="CX1148" s="451" t="n"/>
      <c r="CY1148" s="451" t="n"/>
      <c r="DA1148" s="429" t="n">
        <v>235</v>
      </c>
      <c r="DB1148" s="431" t="n">
        <v>235</v>
      </c>
      <c r="DC1148" s="688" t="n"/>
      <c r="DD1148" s="431" t="n"/>
      <c r="DE1148" s="451" t="n"/>
      <c r="DF1148" s="451" t="n"/>
      <c r="DG1148" s="451" t="n"/>
      <c r="DI1148" s="429" t="n">
        <v>235</v>
      </c>
      <c r="DJ1148" s="431" t="n">
        <v>235</v>
      </c>
      <c r="DK1148" s="688" t="n"/>
      <c r="DL1148" s="431" t="n"/>
      <c r="DM1148" s="429" t="n"/>
      <c r="DN1148" s="451" t="n"/>
      <c r="DO1148" s="451" t="n"/>
      <c r="DQ1148" s="429" t="n">
        <v>235</v>
      </c>
      <c r="DR1148" s="431" t="n">
        <v>235</v>
      </c>
      <c r="DS1148" s="688" t="n"/>
      <c r="DT1148" s="431" t="n"/>
      <c r="DU1148" s="451" t="n"/>
      <c r="DV1148" s="451" t="n"/>
      <c r="DW1148" s="451" t="n"/>
      <c r="DY1148" s="429" t="n">
        <v>235</v>
      </c>
      <c r="DZ1148" s="431" t="n">
        <v>235</v>
      </c>
      <c r="EA1148" s="688" t="n"/>
      <c r="EB1148" s="431" t="n"/>
      <c r="EC1148" s="451" t="n"/>
      <c r="ED1148" s="451" t="n"/>
      <c r="EE1148" s="451" t="n"/>
      <c r="EG1148" s="429" t="n">
        <v>235</v>
      </c>
      <c r="EH1148" s="431" t="n">
        <v>235</v>
      </c>
      <c r="EI1148" s="688" t="n"/>
      <c r="EJ1148" s="431" t="n"/>
      <c r="EK1148" s="451" t="n"/>
      <c r="EL1148" s="451" t="n"/>
      <c r="EM1148" s="451" t="n"/>
      <c r="EO1148" s="429" t="n">
        <v>235</v>
      </c>
      <c r="EP1148" s="431" t="n">
        <v>235</v>
      </c>
      <c r="EQ1148" s="688" t="n"/>
      <c r="ER1148" s="431" t="n"/>
      <c r="ES1148" s="451" t="n"/>
      <c r="ET1148" s="451" t="n"/>
      <c r="EU1148" s="451" t="n"/>
      <c r="EW1148" s="429" t="n">
        <v>235</v>
      </c>
      <c r="EX1148" s="431" t="n">
        <v>235</v>
      </c>
      <c r="EY1148" s="688" t="n"/>
      <c r="EZ1148" s="431" t="n"/>
      <c r="FA1148" s="451" t="n"/>
      <c r="FB1148" s="451" t="n"/>
      <c r="FC1148" s="451" t="n"/>
      <c r="FE1148" s="429" t="n">
        <v>235</v>
      </c>
      <c r="FF1148" s="431" t="n">
        <v>235</v>
      </c>
      <c r="FG1148" s="688" t="n"/>
      <c r="FH1148" s="431" t="n"/>
      <c r="FI1148" s="451" t="n"/>
      <c r="FJ1148" s="451" t="n"/>
      <c r="FK1148" s="451" t="n"/>
      <c r="FM1148" s="429" t="n">
        <v>235</v>
      </c>
      <c r="FN1148" s="431" t="n">
        <v>235</v>
      </c>
      <c r="FO1148" s="688" t="n"/>
      <c r="FP1148" s="431" t="n"/>
      <c r="FQ1148" s="451" t="n"/>
      <c r="FR1148" s="451" t="n"/>
      <c r="FS1148" s="451" t="n"/>
      <c r="FU1148" s="429" t="n">
        <v>235</v>
      </c>
      <c r="FV1148" s="431" t="n">
        <v>235</v>
      </c>
      <c r="FW1148" s="688" t="n"/>
      <c r="FX1148" s="431" t="n"/>
      <c r="FY1148" s="451" t="n"/>
      <c r="FZ1148" s="562">
        <f>'CIRCUIT SIM'!JG238</f>
        <v/>
      </c>
      <c r="GA1148" s="451" t="n"/>
      <c r="GC1148" s="429" t="n">
        <v>235</v>
      </c>
      <c r="GD1148" s="431" t="n">
        <v>235</v>
      </c>
      <c r="GE1148" s="688" t="n"/>
      <c r="GF1148" s="431" t="n"/>
      <c r="GG1148" s="451" t="n"/>
      <c r="GH1148" s="451" t="n"/>
      <c r="GI1148" s="451" t="n"/>
      <c r="GK1148" s="429" t="n">
        <v>235</v>
      </c>
      <c r="GL1148" s="431" t="n">
        <v>235</v>
      </c>
      <c r="GM1148" s="688" t="n"/>
      <c r="GN1148" s="431" t="n"/>
      <c r="GO1148" s="451" t="n"/>
      <c r="GP1148" s="451" t="n"/>
      <c r="GQ1148" s="451" t="n"/>
      <c r="GS1148" s="429" t="n">
        <v>235</v>
      </c>
      <c r="GT1148" s="431" t="n">
        <v>235</v>
      </c>
      <c r="GU1148" s="688" t="n"/>
      <c r="GV1148" s="431" t="n"/>
      <c r="GW1148" s="451" t="n"/>
      <c r="GX1148" s="451" t="n"/>
      <c r="GY1148" s="451" t="n"/>
      <c r="HA1148" s="429" t="n">
        <v>235</v>
      </c>
      <c r="HB1148" s="431" t="n">
        <v>235</v>
      </c>
      <c r="HC1148" s="688" t="n"/>
      <c r="HD1148" s="431" t="n"/>
      <c r="HE1148" s="451" t="n"/>
      <c r="HF1148" s="451" t="n"/>
      <c r="HG1148" s="451" t="n"/>
    </row>
    <row r="1149">
      <c r="A1149" s="429" t="n">
        <v>236</v>
      </c>
      <c r="B1149" s="431" t="n">
        <v>236</v>
      </c>
      <c r="C1149" s="688" t="n"/>
      <c r="D1149" s="431" t="n"/>
      <c r="E1149" s="429" t="n"/>
      <c r="F1149" s="429" t="n"/>
      <c r="G1149" s="429" t="n"/>
      <c r="I1149" s="429" t="n">
        <v>236</v>
      </c>
      <c r="J1149" s="431" t="n">
        <v>236</v>
      </c>
      <c r="K1149" s="429" t="n"/>
      <c r="L1149" s="431" t="n"/>
      <c r="M1149" s="451" t="n"/>
      <c r="N1149" s="422">
        <f>'CIRCUIT SIM'!Y239</f>
        <v/>
      </c>
      <c r="O1149" s="451" t="n"/>
      <c r="Q1149" s="429" t="n">
        <v>236</v>
      </c>
      <c r="R1149" s="431" t="n">
        <v>236</v>
      </c>
      <c r="S1149" s="429" t="n"/>
      <c r="T1149" s="431" t="n"/>
      <c r="U1149" s="429" t="n"/>
      <c r="V1149" s="386" t="n"/>
      <c r="W1149" s="451" t="n"/>
      <c r="Y1149" s="429" t="n">
        <v>236</v>
      </c>
      <c r="Z1149" s="431" t="n">
        <v>236</v>
      </c>
      <c r="AA1149" s="429" t="n"/>
      <c r="AB1149" s="431" t="n"/>
      <c r="AC1149" s="451" t="n"/>
      <c r="AD1149" s="451" t="n"/>
      <c r="AE1149" s="451" t="n"/>
      <c r="AG1149" s="429" t="n">
        <v>236</v>
      </c>
      <c r="AH1149" s="431" t="n">
        <v>236</v>
      </c>
      <c r="AI1149" s="429" t="n"/>
      <c r="AJ1149" s="431" t="n"/>
      <c r="AK1149" s="451" t="n"/>
      <c r="AL1149" s="451" t="n"/>
      <c r="AM1149" s="451" t="n"/>
      <c r="AO1149" s="429" t="n">
        <v>236</v>
      </c>
      <c r="AP1149" s="431" t="n">
        <v>236</v>
      </c>
      <c r="AQ1149" s="429" t="n"/>
      <c r="AR1149" s="431" t="n"/>
      <c r="AS1149" s="451" t="n"/>
      <c r="AT1149" s="451" t="n"/>
      <c r="AU1149" s="451" t="n"/>
      <c r="AW1149" s="429" t="n">
        <v>236</v>
      </c>
      <c r="AX1149" s="431" t="n">
        <v>236</v>
      </c>
      <c r="AY1149" s="429" t="n"/>
      <c r="AZ1149" s="431" t="n"/>
      <c r="BA1149" s="451" t="n"/>
      <c r="BB1149" s="451" t="n"/>
      <c r="BC1149" s="451" t="n"/>
      <c r="BE1149" s="429" t="n">
        <v>236</v>
      </c>
      <c r="BF1149" s="431" t="n"/>
      <c r="BG1149" s="429" t="n"/>
      <c r="BH1149" s="431" t="n"/>
      <c r="BI1149" s="451" t="n"/>
      <c r="BJ1149" s="451" t="n"/>
      <c r="BK1149" s="451" t="n"/>
      <c r="BM1149" s="429" t="n">
        <v>236</v>
      </c>
      <c r="BN1149" s="431" t="n">
        <v>236</v>
      </c>
      <c r="BO1149" s="429" t="n"/>
      <c r="BP1149" s="431" t="n"/>
      <c r="BQ1149" s="451" t="n"/>
      <c r="BR1149" s="451" t="n"/>
      <c r="BS1149" s="451" t="n"/>
      <c r="BU1149" s="429" t="n">
        <v>236</v>
      </c>
      <c r="BV1149" s="431" t="n">
        <v>236</v>
      </c>
      <c r="BW1149" s="429" t="n"/>
      <c r="BX1149" s="431" t="n"/>
      <c r="BY1149" s="451" t="n"/>
      <c r="BZ1149" s="451">
        <f>'CIRCUIT SIM'!EI239</f>
        <v/>
      </c>
      <c r="CA1149" s="451" t="n"/>
      <c r="CC1149" s="429" t="n">
        <v>236</v>
      </c>
      <c r="CD1149" s="431" t="n">
        <v>236</v>
      </c>
      <c r="CE1149" s="688" t="n"/>
      <c r="CF1149" s="431" t="n"/>
      <c r="CG1149" s="451" t="n"/>
      <c r="CH1149" s="562">
        <f>'CIRCUIT SIM'!LK237</f>
        <v/>
      </c>
      <c r="CI1149" s="451" t="n"/>
      <c r="CK1149" s="429" t="n">
        <v>236</v>
      </c>
      <c r="CL1149" s="431" t="n">
        <v>236</v>
      </c>
      <c r="CM1149" s="688" t="n"/>
      <c r="CN1149" s="431" t="n"/>
      <c r="CO1149" s="451" t="n"/>
      <c r="CP1149" s="451" t="n"/>
      <c r="CQ1149" s="451" t="n"/>
      <c r="CS1149" s="429" t="n">
        <v>236</v>
      </c>
      <c r="CT1149" s="431" t="n">
        <v>236</v>
      </c>
      <c r="CU1149" s="688" t="n"/>
      <c r="CV1149" s="431" t="n"/>
      <c r="CW1149" s="451" t="n"/>
      <c r="CX1149" s="451" t="n"/>
      <c r="CY1149" s="451" t="n"/>
      <c r="DA1149" s="429" t="n">
        <v>236</v>
      </c>
      <c r="DB1149" s="431" t="n">
        <v>236</v>
      </c>
      <c r="DC1149" s="688" t="n"/>
      <c r="DD1149" s="431" t="n"/>
      <c r="DE1149" s="451" t="n"/>
      <c r="DF1149" s="451" t="n"/>
      <c r="DG1149" s="451" t="n"/>
      <c r="DI1149" s="429" t="n">
        <v>236</v>
      </c>
      <c r="DJ1149" s="431" t="n">
        <v>236</v>
      </c>
      <c r="DK1149" s="688" t="n"/>
      <c r="DL1149" s="431" t="n"/>
      <c r="DM1149" s="429" t="n"/>
      <c r="DN1149" s="451" t="n"/>
      <c r="DO1149" s="451" t="n"/>
      <c r="DQ1149" s="429" t="n">
        <v>236</v>
      </c>
      <c r="DR1149" s="431" t="n">
        <v>236</v>
      </c>
      <c r="DS1149" s="688" t="n"/>
      <c r="DT1149" s="431" t="n"/>
      <c r="DU1149" s="451" t="n"/>
      <c r="DV1149" s="451" t="n"/>
      <c r="DW1149" s="451" t="n"/>
      <c r="DY1149" s="429" t="n">
        <v>236</v>
      </c>
      <c r="DZ1149" s="431" t="n">
        <v>236</v>
      </c>
      <c r="EA1149" s="688" t="n"/>
      <c r="EB1149" s="431" t="n"/>
      <c r="EC1149" s="451" t="n"/>
      <c r="ED1149" s="451" t="n"/>
      <c r="EE1149" s="451" t="n"/>
      <c r="EG1149" s="429" t="n">
        <v>236</v>
      </c>
      <c r="EH1149" s="431" t="n">
        <v>236</v>
      </c>
      <c r="EI1149" s="688" t="n"/>
      <c r="EJ1149" s="431" t="n"/>
      <c r="EK1149" s="451" t="n"/>
      <c r="EL1149" s="451" t="n"/>
      <c r="EM1149" s="451" t="n"/>
      <c r="EO1149" s="429" t="n">
        <v>236</v>
      </c>
      <c r="EP1149" s="431" t="n">
        <v>236</v>
      </c>
      <c r="EQ1149" s="688" t="n"/>
      <c r="ER1149" s="431" t="n"/>
      <c r="ES1149" s="451" t="n"/>
      <c r="ET1149" s="451" t="n"/>
      <c r="EU1149" s="451" t="n"/>
      <c r="EW1149" s="429" t="n">
        <v>236</v>
      </c>
      <c r="EX1149" s="431" t="n">
        <v>236</v>
      </c>
      <c r="EY1149" s="688" t="n"/>
      <c r="EZ1149" s="431" t="n"/>
      <c r="FA1149" s="451" t="n"/>
      <c r="FB1149" s="451" t="n"/>
      <c r="FC1149" s="451" t="n"/>
      <c r="FE1149" s="429" t="n">
        <v>236</v>
      </c>
      <c r="FF1149" s="431" t="n">
        <v>236</v>
      </c>
      <c r="FG1149" s="688" t="n"/>
      <c r="FH1149" s="431" t="n"/>
      <c r="FI1149" s="451" t="n"/>
      <c r="FJ1149" s="451" t="n"/>
      <c r="FK1149" s="451" t="n"/>
      <c r="FM1149" s="429" t="n">
        <v>236</v>
      </c>
      <c r="FN1149" s="431" t="n">
        <v>236</v>
      </c>
      <c r="FO1149" s="688" t="n"/>
      <c r="FP1149" s="431" t="n"/>
      <c r="FQ1149" s="451" t="n"/>
      <c r="FR1149" s="451" t="n"/>
      <c r="FS1149" s="451" t="n"/>
      <c r="FU1149" s="429" t="n">
        <v>236</v>
      </c>
      <c r="FV1149" s="431" t="n">
        <v>236</v>
      </c>
      <c r="FW1149" s="688" t="n"/>
      <c r="FX1149" s="431" t="n"/>
      <c r="FY1149" s="451" t="n"/>
      <c r="FZ1149" s="562">
        <f>'CIRCUIT SIM'!JG239</f>
        <v/>
      </c>
      <c r="GA1149" s="451" t="n"/>
      <c r="GC1149" s="429" t="n">
        <v>236</v>
      </c>
      <c r="GD1149" s="431" t="n">
        <v>236</v>
      </c>
      <c r="GE1149" s="688" t="n"/>
      <c r="GF1149" s="431" t="n"/>
      <c r="GG1149" s="451" t="n"/>
      <c r="GH1149" s="451" t="n"/>
      <c r="GI1149" s="451" t="n"/>
      <c r="GK1149" s="429" t="n">
        <v>236</v>
      </c>
      <c r="GL1149" s="431" t="n">
        <v>236</v>
      </c>
      <c r="GM1149" s="688" t="n"/>
      <c r="GN1149" s="431" t="n"/>
      <c r="GO1149" s="451" t="n"/>
      <c r="GP1149" s="451" t="n"/>
      <c r="GQ1149" s="451" t="n"/>
      <c r="GS1149" s="429" t="n">
        <v>236</v>
      </c>
      <c r="GT1149" s="431" t="n">
        <v>236</v>
      </c>
      <c r="GU1149" s="688" t="n"/>
      <c r="GV1149" s="431" t="n"/>
      <c r="GW1149" s="451" t="n"/>
      <c r="GX1149" s="451" t="n"/>
      <c r="GY1149" s="451" t="n"/>
      <c r="HA1149" s="429" t="n">
        <v>236</v>
      </c>
      <c r="HB1149" s="431" t="n">
        <v>236</v>
      </c>
      <c r="HC1149" s="688" t="n"/>
      <c r="HD1149" s="431" t="n"/>
      <c r="HE1149" s="451" t="n"/>
      <c r="HF1149" s="451" t="n"/>
      <c r="HG1149" s="451" t="n"/>
    </row>
    <row r="1150">
      <c r="A1150" s="429" t="n">
        <v>237</v>
      </c>
      <c r="B1150" s="431" t="n">
        <v>237</v>
      </c>
      <c r="C1150" s="688" t="n"/>
      <c r="D1150" s="431" t="n"/>
      <c r="E1150" s="429" t="n"/>
      <c r="F1150" s="429" t="n"/>
      <c r="G1150" s="429" t="n"/>
      <c r="I1150" s="429" t="n">
        <v>237</v>
      </c>
      <c r="J1150" s="431" t="n">
        <v>237</v>
      </c>
      <c r="K1150" s="429" t="n"/>
      <c r="L1150" s="431" t="n"/>
      <c r="M1150" s="451" t="n"/>
      <c r="N1150" s="422">
        <f>'CIRCUIT SIM'!Y240</f>
        <v/>
      </c>
      <c r="O1150" s="451" t="n"/>
      <c r="Q1150" s="429" t="n">
        <v>237</v>
      </c>
      <c r="R1150" s="431" t="n">
        <v>237</v>
      </c>
      <c r="S1150" s="429" t="n"/>
      <c r="T1150" s="431" t="n"/>
      <c r="U1150" s="429" t="n"/>
      <c r="V1150" s="386" t="n"/>
      <c r="W1150" s="451" t="n"/>
      <c r="Y1150" s="429" t="n">
        <v>237</v>
      </c>
      <c r="Z1150" s="431" t="n">
        <v>237</v>
      </c>
      <c r="AA1150" s="429" t="n"/>
      <c r="AB1150" s="431" t="n"/>
      <c r="AC1150" s="451" t="n"/>
      <c r="AD1150" s="451" t="n"/>
      <c r="AE1150" s="451" t="n"/>
      <c r="AG1150" s="429" t="n">
        <v>237</v>
      </c>
      <c r="AH1150" s="431" t="n">
        <v>237</v>
      </c>
      <c r="AI1150" s="429" t="n"/>
      <c r="AJ1150" s="431" t="n"/>
      <c r="AK1150" s="451" t="n"/>
      <c r="AL1150" s="451" t="n"/>
      <c r="AM1150" s="451" t="n"/>
      <c r="AO1150" s="429" t="n">
        <v>237</v>
      </c>
      <c r="AP1150" s="431" t="n">
        <v>237</v>
      </c>
      <c r="AQ1150" s="429" t="n"/>
      <c r="AR1150" s="431" t="n"/>
      <c r="AS1150" s="451" t="n"/>
      <c r="AT1150" s="451" t="n"/>
      <c r="AU1150" s="451" t="n"/>
      <c r="AW1150" s="429" t="n">
        <v>237</v>
      </c>
      <c r="AX1150" s="431" t="n">
        <v>237</v>
      </c>
      <c r="AY1150" s="429" t="n"/>
      <c r="AZ1150" s="431" t="n"/>
      <c r="BA1150" s="451" t="n"/>
      <c r="BB1150" s="451" t="n"/>
      <c r="BC1150" s="451" t="n"/>
      <c r="BE1150" s="429" t="n">
        <v>237</v>
      </c>
      <c r="BF1150" s="431" t="n"/>
      <c r="BG1150" s="429" t="n"/>
      <c r="BH1150" s="431" t="n"/>
      <c r="BI1150" s="451" t="n"/>
      <c r="BJ1150" s="451" t="n"/>
      <c r="BK1150" s="451" t="n"/>
      <c r="BM1150" s="429" t="n">
        <v>237</v>
      </c>
      <c r="BN1150" s="431" t="n">
        <v>237</v>
      </c>
      <c r="BO1150" s="429" t="n"/>
      <c r="BP1150" s="431" t="n"/>
      <c r="BQ1150" s="451" t="n"/>
      <c r="BR1150" s="451" t="n"/>
      <c r="BS1150" s="451" t="n"/>
      <c r="BU1150" s="429" t="n">
        <v>237</v>
      </c>
      <c r="BV1150" s="431" t="n">
        <v>237</v>
      </c>
      <c r="BW1150" s="429" t="n"/>
      <c r="BX1150" s="431" t="n"/>
      <c r="BY1150" s="451" t="n"/>
      <c r="BZ1150" s="451">
        <f>'CIRCUIT SIM'!EI240</f>
        <v/>
      </c>
      <c r="CA1150" s="451" t="n"/>
      <c r="CC1150" s="429" t="n">
        <v>237</v>
      </c>
      <c r="CD1150" s="431" t="n">
        <v>237</v>
      </c>
      <c r="CE1150" s="688" t="n"/>
      <c r="CF1150" s="431" t="n"/>
      <c r="CG1150" s="451" t="n"/>
      <c r="CH1150" s="562">
        <f>'CIRCUIT SIM'!LK238</f>
        <v/>
      </c>
      <c r="CI1150" s="451" t="n"/>
      <c r="CK1150" s="429" t="n">
        <v>237</v>
      </c>
      <c r="CL1150" s="431" t="n">
        <v>237</v>
      </c>
      <c r="CM1150" s="688" t="n"/>
      <c r="CN1150" s="431" t="n"/>
      <c r="CO1150" s="451" t="n"/>
      <c r="CP1150" s="451" t="n"/>
      <c r="CQ1150" s="451" t="n"/>
      <c r="CS1150" s="429" t="n">
        <v>237</v>
      </c>
      <c r="CT1150" s="431" t="n">
        <v>237</v>
      </c>
      <c r="CU1150" s="688" t="n"/>
      <c r="CV1150" s="431" t="n"/>
      <c r="CW1150" s="451" t="n"/>
      <c r="CX1150" s="451" t="n"/>
      <c r="CY1150" s="451" t="n"/>
      <c r="DA1150" s="429" t="n">
        <v>237</v>
      </c>
      <c r="DB1150" s="431" t="n">
        <v>237</v>
      </c>
      <c r="DC1150" s="688" t="n"/>
      <c r="DD1150" s="431" t="n"/>
      <c r="DE1150" s="451" t="n"/>
      <c r="DF1150" s="451" t="n"/>
      <c r="DG1150" s="451" t="n"/>
      <c r="DI1150" s="429" t="n">
        <v>237</v>
      </c>
      <c r="DJ1150" s="431" t="n">
        <v>237</v>
      </c>
      <c r="DK1150" s="688" t="n"/>
      <c r="DL1150" s="431" t="n"/>
      <c r="DM1150" s="429" t="n"/>
      <c r="DN1150" s="451" t="n"/>
      <c r="DO1150" s="451" t="n"/>
      <c r="DQ1150" s="429" t="n">
        <v>237</v>
      </c>
      <c r="DR1150" s="431" t="n">
        <v>237</v>
      </c>
      <c r="DS1150" s="688" t="n"/>
      <c r="DT1150" s="431" t="n"/>
      <c r="DU1150" s="451" t="n"/>
      <c r="DV1150" s="451" t="n"/>
      <c r="DW1150" s="451" t="n"/>
      <c r="DY1150" s="429" t="n">
        <v>237</v>
      </c>
      <c r="DZ1150" s="431" t="n">
        <v>237</v>
      </c>
      <c r="EA1150" s="688" t="n"/>
      <c r="EB1150" s="431" t="n"/>
      <c r="EC1150" s="451" t="n"/>
      <c r="ED1150" s="451" t="n"/>
      <c r="EE1150" s="451" t="n"/>
      <c r="EG1150" s="429" t="n">
        <v>237</v>
      </c>
      <c r="EH1150" s="431" t="n">
        <v>237</v>
      </c>
      <c r="EI1150" s="688" t="n"/>
      <c r="EJ1150" s="431" t="n"/>
      <c r="EK1150" s="451" t="n"/>
      <c r="EL1150" s="451" t="n"/>
      <c r="EM1150" s="451" t="n"/>
      <c r="EO1150" s="429" t="n">
        <v>237</v>
      </c>
      <c r="EP1150" s="431" t="n">
        <v>237</v>
      </c>
      <c r="EQ1150" s="688" t="n"/>
      <c r="ER1150" s="431" t="n"/>
      <c r="ES1150" s="451" t="n"/>
      <c r="ET1150" s="451" t="n"/>
      <c r="EU1150" s="451" t="n"/>
      <c r="EW1150" s="429" t="n">
        <v>237</v>
      </c>
      <c r="EX1150" s="431" t="n">
        <v>237</v>
      </c>
      <c r="EY1150" s="688" t="n"/>
      <c r="EZ1150" s="431" t="n"/>
      <c r="FA1150" s="451" t="n"/>
      <c r="FB1150" s="451" t="n"/>
      <c r="FC1150" s="451" t="n"/>
      <c r="FE1150" s="429" t="n">
        <v>237</v>
      </c>
      <c r="FF1150" s="431" t="n">
        <v>237</v>
      </c>
      <c r="FG1150" s="688" t="n"/>
      <c r="FH1150" s="431" t="n"/>
      <c r="FI1150" s="451" t="n"/>
      <c r="FJ1150" s="451" t="n"/>
      <c r="FK1150" s="451" t="n"/>
      <c r="FM1150" s="429" t="n">
        <v>237</v>
      </c>
      <c r="FN1150" s="431" t="n">
        <v>237</v>
      </c>
      <c r="FO1150" s="688" t="n"/>
      <c r="FP1150" s="431" t="n"/>
      <c r="FQ1150" s="451" t="n"/>
      <c r="FR1150" s="451" t="n"/>
      <c r="FS1150" s="451" t="n"/>
      <c r="FU1150" s="429" t="n">
        <v>237</v>
      </c>
      <c r="FV1150" s="431" t="n">
        <v>237</v>
      </c>
      <c r="FW1150" s="688" t="n"/>
      <c r="FX1150" s="431" t="n"/>
      <c r="FY1150" s="451" t="n"/>
      <c r="FZ1150" s="562">
        <f>'CIRCUIT SIM'!JG240</f>
        <v/>
      </c>
      <c r="GA1150" s="451" t="n"/>
      <c r="GC1150" s="429" t="n">
        <v>237</v>
      </c>
      <c r="GD1150" s="431" t="n">
        <v>237</v>
      </c>
      <c r="GE1150" s="688" t="n"/>
      <c r="GF1150" s="431" t="n"/>
      <c r="GG1150" s="451" t="n"/>
      <c r="GH1150" s="451" t="n"/>
      <c r="GI1150" s="451" t="n"/>
      <c r="GK1150" s="429" t="n">
        <v>237</v>
      </c>
      <c r="GL1150" s="431" t="n">
        <v>237</v>
      </c>
      <c r="GM1150" s="688" t="n"/>
      <c r="GN1150" s="431" t="n"/>
      <c r="GO1150" s="451" t="n"/>
      <c r="GP1150" s="451" t="n"/>
      <c r="GQ1150" s="451" t="n"/>
      <c r="GS1150" s="429" t="n">
        <v>237</v>
      </c>
      <c r="GT1150" s="431" t="n">
        <v>237</v>
      </c>
      <c r="GU1150" s="688" t="n"/>
      <c r="GV1150" s="431" t="n"/>
      <c r="GW1150" s="451" t="n"/>
      <c r="GX1150" s="451" t="n"/>
      <c r="GY1150" s="451" t="n"/>
      <c r="HA1150" s="429" t="n">
        <v>237</v>
      </c>
      <c r="HB1150" s="431" t="n">
        <v>237</v>
      </c>
      <c r="HC1150" s="688" t="n"/>
      <c r="HD1150" s="431" t="n"/>
      <c r="HE1150" s="451" t="n"/>
      <c r="HF1150" s="451" t="n"/>
      <c r="HG1150" s="451" t="n"/>
    </row>
    <row r="1151">
      <c r="A1151" s="429" t="n">
        <v>238</v>
      </c>
      <c r="B1151" s="431" t="n">
        <v>238</v>
      </c>
      <c r="C1151" s="688" t="n"/>
      <c r="D1151" s="431" t="n"/>
      <c r="E1151" s="429" t="n"/>
      <c r="F1151" s="429" t="n"/>
      <c r="G1151" s="429" t="n"/>
      <c r="I1151" s="429" t="n">
        <v>238</v>
      </c>
      <c r="J1151" s="431" t="n">
        <v>238</v>
      </c>
      <c r="K1151" s="429" t="n"/>
      <c r="L1151" s="431" t="n"/>
      <c r="M1151" s="451" t="n"/>
      <c r="N1151" s="422">
        <f>'CIRCUIT SIM'!Y241</f>
        <v/>
      </c>
      <c r="O1151" s="451" t="n"/>
      <c r="Q1151" s="429" t="n">
        <v>238</v>
      </c>
      <c r="R1151" s="431" t="n">
        <v>238</v>
      </c>
      <c r="S1151" s="429" t="n"/>
      <c r="T1151" s="431" t="n"/>
      <c r="U1151" s="429" t="n"/>
      <c r="V1151" s="386" t="n"/>
      <c r="W1151" s="451" t="n"/>
      <c r="Y1151" s="429" t="n">
        <v>238</v>
      </c>
      <c r="Z1151" s="431" t="n">
        <v>238</v>
      </c>
      <c r="AA1151" s="429" t="n"/>
      <c r="AB1151" s="431" t="n"/>
      <c r="AC1151" s="451" t="n"/>
      <c r="AD1151" s="451" t="n"/>
      <c r="AE1151" s="451" t="n"/>
      <c r="AG1151" s="429" t="n">
        <v>238</v>
      </c>
      <c r="AH1151" s="431" t="n">
        <v>238</v>
      </c>
      <c r="AI1151" s="429" t="n"/>
      <c r="AJ1151" s="431" t="n"/>
      <c r="AK1151" s="451" t="n"/>
      <c r="AL1151" s="451" t="n"/>
      <c r="AM1151" s="451" t="n"/>
      <c r="AO1151" s="429" t="n">
        <v>238</v>
      </c>
      <c r="AP1151" s="431" t="n">
        <v>238</v>
      </c>
      <c r="AQ1151" s="429" t="n"/>
      <c r="AR1151" s="431" t="n"/>
      <c r="AS1151" s="451" t="n"/>
      <c r="AT1151" s="451" t="n"/>
      <c r="AU1151" s="451" t="n"/>
      <c r="AW1151" s="429" t="n">
        <v>238</v>
      </c>
      <c r="AX1151" s="431" t="n">
        <v>238</v>
      </c>
      <c r="AY1151" s="429" t="n"/>
      <c r="AZ1151" s="431" t="n"/>
      <c r="BA1151" s="451" t="n"/>
      <c r="BB1151" s="451" t="n"/>
      <c r="BC1151" s="451" t="n"/>
      <c r="BE1151" s="429" t="n">
        <v>238</v>
      </c>
      <c r="BF1151" s="431" t="n"/>
      <c r="BG1151" s="429" t="n"/>
      <c r="BH1151" s="431" t="n"/>
      <c r="BI1151" s="451" t="n"/>
      <c r="BJ1151" s="451" t="n"/>
      <c r="BK1151" s="451" t="n"/>
      <c r="BM1151" s="429" t="n">
        <v>238</v>
      </c>
      <c r="BN1151" s="431" t="n">
        <v>238</v>
      </c>
      <c r="BO1151" s="429" t="n"/>
      <c r="BP1151" s="431" t="n"/>
      <c r="BQ1151" s="451" t="n"/>
      <c r="BR1151" s="451" t="n"/>
      <c r="BS1151" s="451" t="n"/>
      <c r="BU1151" s="429" t="n">
        <v>238</v>
      </c>
      <c r="BV1151" s="431" t="n">
        <v>238</v>
      </c>
      <c r="BW1151" s="429" t="n"/>
      <c r="BX1151" s="431" t="n"/>
      <c r="BY1151" s="451" t="n"/>
      <c r="BZ1151" s="451">
        <f>'CIRCUIT SIM'!EI241</f>
        <v/>
      </c>
      <c r="CA1151" s="451" t="n"/>
      <c r="CC1151" s="429" t="n">
        <v>238</v>
      </c>
      <c r="CD1151" s="431" t="n">
        <v>238</v>
      </c>
      <c r="CE1151" s="688" t="n"/>
      <c r="CF1151" s="431" t="n"/>
      <c r="CG1151" s="451" t="n"/>
      <c r="CH1151" s="562">
        <f>'CIRCUIT SIM'!LK239</f>
        <v/>
      </c>
      <c r="CI1151" s="451" t="n"/>
      <c r="CK1151" s="429" t="n">
        <v>238</v>
      </c>
      <c r="CL1151" s="431" t="n">
        <v>238</v>
      </c>
      <c r="CM1151" s="688" t="n"/>
      <c r="CN1151" s="431" t="n"/>
      <c r="CO1151" s="451" t="n"/>
      <c r="CP1151" s="451" t="n"/>
      <c r="CQ1151" s="451" t="n"/>
      <c r="CS1151" s="429" t="n">
        <v>238</v>
      </c>
      <c r="CT1151" s="431" t="n">
        <v>238</v>
      </c>
      <c r="CU1151" s="688" t="n"/>
      <c r="CV1151" s="431" t="n"/>
      <c r="CW1151" s="451" t="n"/>
      <c r="CX1151" s="451" t="n"/>
      <c r="CY1151" s="451" t="n"/>
      <c r="DA1151" s="429" t="n">
        <v>238</v>
      </c>
      <c r="DB1151" s="431" t="n">
        <v>238</v>
      </c>
      <c r="DC1151" s="688" t="n"/>
      <c r="DD1151" s="431" t="n"/>
      <c r="DE1151" s="451" t="n"/>
      <c r="DF1151" s="451" t="n"/>
      <c r="DG1151" s="451" t="n"/>
      <c r="DI1151" s="429" t="n">
        <v>238</v>
      </c>
      <c r="DJ1151" s="431" t="n">
        <v>238</v>
      </c>
      <c r="DK1151" s="688" t="n"/>
      <c r="DL1151" s="431" t="n"/>
      <c r="DM1151" s="429" t="n"/>
      <c r="DN1151" s="451" t="n"/>
      <c r="DO1151" s="451" t="n"/>
      <c r="DQ1151" s="429" t="n">
        <v>238</v>
      </c>
      <c r="DR1151" s="431" t="n">
        <v>238</v>
      </c>
      <c r="DS1151" s="688" t="n"/>
      <c r="DT1151" s="431" t="n"/>
      <c r="DU1151" s="451" t="n"/>
      <c r="DV1151" s="451" t="n"/>
      <c r="DW1151" s="451" t="n"/>
      <c r="DY1151" s="429" t="n">
        <v>238</v>
      </c>
      <c r="DZ1151" s="431" t="n">
        <v>238</v>
      </c>
      <c r="EA1151" s="688" t="n"/>
      <c r="EB1151" s="431" t="n"/>
      <c r="EC1151" s="451" t="n"/>
      <c r="ED1151" s="451" t="n"/>
      <c r="EE1151" s="451" t="n"/>
      <c r="EG1151" s="429" t="n">
        <v>238</v>
      </c>
      <c r="EH1151" s="431" t="n">
        <v>238</v>
      </c>
      <c r="EI1151" s="688" t="n"/>
      <c r="EJ1151" s="431" t="n"/>
      <c r="EK1151" s="451" t="n"/>
      <c r="EL1151" s="451" t="n"/>
      <c r="EM1151" s="451" t="n"/>
      <c r="EO1151" s="429" t="n">
        <v>238</v>
      </c>
      <c r="EP1151" s="431" t="n">
        <v>238</v>
      </c>
      <c r="EQ1151" s="688" t="n"/>
      <c r="ER1151" s="431" t="n"/>
      <c r="ES1151" s="451" t="n"/>
      <c r="ET1151" s="451" t="n"/>
      <c r="EU1151" s="451" t="n"/>
      <c r="EW1151" s="429" t="n">
        <v>238</v>
      </c>
      <c r="EX1151" s="431" t="n">
        <v>238</v>
      </c>
      <c r="EY1151" s="688" t="n"/>
      <c r="EZ1151" s="431" t="n"/>
      <c r="FA1151" s="451" t="n"/>
      <c r="FB1151" s="451" t="n"/>
      <c r="FC1151" s="451" t="n"/>
      <c r="FE1151" s="429" t="n">
        <v>238</v>
      </c>
      <c r="FF1151" s="431" t="n">
        <v>238</v>
      </c>
      <c r="FG1151" s="688" t="n"/>
      <c r="FH1151" s="431" t="n"/>
      <c r="FI1151" s="451" t="n"/>
      <c r="FJ1151" s="451" t="n"/>
      <c r="FK1151" s="451" t="n"/>
      <c r="FM1151" s="429" t="n">
        <v>238</v>
      </c>
      <c r="FN1151" s="431" t="n">
        <v>238</v>
      </c>
      <c r="FO1151" s="688" t="n"/>
      <c r="FP1151" s="431" t="n"/>
      <c r="FQ1151" s="451" t="n"/>
      <c r="FR1151" s="451" t="n"/>
      <c r="FS1151" s="451" t="n"/>
      <c r="FU1151" s="429" t="n">
        <v>238</v>
      </c>
      <c r="FV1151" s="431" t="n">
        <v>238</v>
      </c>
      <c r="FW1151" s="688" t="n"/>
      <c r="FX1151" s="431" t="n"/>
      <c r="FY1151" s="451" t="n"/>
      <c r="FZ1151" s="562">
        <f>'CIRCUIT SIM'!JG241</f>
        <v/>
      </c>
      <c r="GA1151" s="451" t="n"/>
      <c r="GC1151" s="429" t="n">
        <v>238</v>
      </c>
      <c r="GD1151" s="431" t="n">
        <v>238</v>
      </c>
      <c r="GE1151" s="688" t="n"/>
      <c r="GF1151" s="431" t="n"/>
      <c r="GG1151" s="451" t="n"/>
      <c r="GH1151" s="451" t="n"/>
      <c r="GI1151" s="451" t="n"/>
      <c r="GK1151" s="429" t="n">
        <v>238</v>
      </c>
      <c r="GL1151" s="431" t="n">
        <v>238</v>
      </c>
      <c r="GM1151" s="688" t="n"/>
      <c r="GN1151" s="431" t="n"/>
      <c r="GO1151" s="451" t="n"/>
      <c r="GP1151" s="451" t="n"/>
      <c r="GQ1151" s="451" t="n"/>
      <c r="GS1151" s="429" t="n">
        <v>238</v>
      </c>
      <c r="GT1151" s="431" t="n">
        <v>238</v>
      </c>
      <c r="GU1151" s="688" t="n"/>
      <c r="GV1151" s="431" t="n"/>
      <c r="GW1151" s="451" t="n"/>
      <c r="GX1151" s="451" t="n"/>
      <c r="GY1151" s="451" t="n"/>
      <c r="HA1151" s="429" t="n">
        <v>238</v>
      </c>
      <c r="HB1151" s="431" t="n">
        <v>238</v>
      </c>
      <c r="HC1151" s="688" t="n"/>
      <c r="HD1151" s="431" t="n"/>
      <c r="HE1151" s="451" t="n"/>
      <c r="HF1151" s="451" t="n"/>
      <c r="HG1151" s="451" t="n"/>
    </row>
    <row r="1152">
      <c r="A1152" s="429" t="n">
        <v>239</v>
      </c>
      <c r="B1152" s="431" t="n">
        <v>239</v>
      </c>
      <c r="C1152" s="688" t="n"/>
      <c r="D1152" s="431" t="n"/>
      <c r="E1152" s="429" t="n"/>
      <c r="F1152" s="429" t="n"/>
      <c r="G1152" s="429" t="n"/>
      <c r="I1152" s="429" t="n">
        <v>239</v>
      </c>
      <c r="J1152" s="431" t="n">
        <v>239</v>
      </c>
      <c r="K1152" s="429" t="n"/>
      <c r="L1152" s="431" t="n"/>
      <c r="M1152" s="451" t="n"/>
      <c r="N1152" s="422">
        <f>'CIRCUIT SIM'!Y242</f>
        <v/>
      </c>
      <c r="O1152" s="451" t="n"/>
      <c r="Q1152" s="429" t="n">
        <v>239</v>
      </c>
      <c r="R1152" s="431" t="n">
        <v>239</v>
      </c>
      <c r="S1152" s="429" t="n"/>
      <c r="T1152" s="431" t="n"/>
      <c r="U1152" s="429" t="n"/>
      <c r="V1152" s="386" t="n"/>
      <c r="W1152" s="451" t="n"/>
      <c r="Y1152" s="429" t="n">
        <v>239</v>
      </c>
      <c r="Z1152" s="431" t="n">
        <v>239</v>
      </c>
      <c r="AA1152" s="429" t="n"/>
      <c r="AB1152" s="431" t="n"/>
      <c r="AC1152" s="451" t="n"/>
      <c r="AD1152" s="451" t="n"/>
      <c r="AE1152" s="451" t="n"/>
      <c r="AG1152" s="429" t="n">
        <v>239</v>
      </c>
      <c r="AH1152" s="431" t="n">
        <v>239</v>
      </c>
      <c r="AI1152" s="429" t="n"/>
      <c r="AJ1152" s="431" t="n"/>
      <c r="AK1152" s="451" t="n"/>
      <c r="AL1152" s="451" t="n"/>
      <c r="AM1152" s="451" t="n"/>
      <c r="AO1152" s="429" t="n">
        <v>239</v>
      </c>
      <c r="AP1152" s="431" t="n">
        <v>239</v>
      </c>
      <c r="AQ1152" s="429" t="n"/>
      <c r="AR1152" s="431" t="n"/>
      <c r="AS1152" s="451" t="n"/>
      <c r="AT1152" s="451" t="n"/>
      <c r="AU1152" s="451" t="n"/>
      <c r="AW1152" s="429" t="n">
        <v>239</v>
      </c>
      <c r="AX1152" s="431" t="n">
        <v>239</v>
      </c>
      <c r="AY1152" s="429" t="n"/>
      <c r="AZ1152" s="431" t="n"/>
      <c r="BA1152" s="451" t="n"/>
      <c r="BB1152" s="451" t="n"/>
      <c r="BC1152" s="451" t="n"/>
      <c r="BE1152" s="429" t="n">
        <v>239</v>
      </c>
      <c r="BF1152" s="431" t="n"/>
      <c r="BG1152" s="429" t="n"/>
      <c r="BH1152" s="431" t="n"/>
      <c r="BI1152" s="451" t="n"/>
      <c r="BJ1152" s="451" t="n"/>
      <c r="BK1152" s="451" t="n"/>
      <c r="BM1152" s="429" t="n">
        <v>239</v>
      </c>
      <c r="BN1152" s="431" t="n">
        <v>239</v>
      </c>
      <c r="BO1152" s="429" t="n"/>
      <c r="BP1152" s="431" t="n"/>
      <c r="BQ1152" s="451" t="n"/>
      <c r="BR1152" s="451" t="n"/>
      <c r="BS1152" s="451" t="n"/>
      <c r="BU1152" s="429" t="n">
        <v>239</v>
      </c>
      <c r="BV1152" s="431" t="n">
        <v>239</v>
      </c>
      <c r="BW1152" s="429" t="n"/>
      <c r="BX1152" s="431" t="n"/>
      <c r="BY1152" s="451" t="n"/>
      <c r="BZ1152" s="451">
        <f>'CIRCUIT SIM'!EI242</f>
        <v/>
      </c>
      <c r="CA1152" s="451" t="n"/>
      <c r="CC1152" s="429" t="n">
        <v>239</v>
      </c>
      <c r="CD1152" s="431" t="n">
        <v>239</v>
      </c>
      <c r="CE1152" s="688" t="n"/>
      <c r="CF1152" s="431" t="n"/>
      <c r="CG1152" s="451" t="n"/>
      <c r="CH1152" s="562">
        <f>'CIRCUIT SIM'!LK240</f>
        <v/>
      </c>
      <c r="CI1152" s="451" t="n"/>
      <c r="CK1152" s="429" t="n">
        <v>239</v>
      </c>
      <c r="CL1152" s="431" t="n">
        <v>239</v>
      </c>
      <c r="CM1152" s="688" t="n"/>
      <c r="CN1152" s="431" t="n"/>
      <c r="CO1152" s="451" t="n"/>
      <c r="CP1152" s="451" t="n"/>
      <c r="CQ1152" s="451" t="n"/>
      <c r="CS1152" s="429" t="n">
        <v>239</v>
      </c>
      <c r="CT1152" s="431" t="n">
        <v>239</v>
      </c>
      <c r="CU1152" s="688" t="n"/>
      <c r="CV1152" s="431" t="n"/>
      <c r="CW1152" s="451" t="n"/>
      <c r="CX1152" s="451" t="n"/>
      <c r="CY1152" s="451" t="n"/>
      <c r="DA1152" s="429" t="n">
        <v>239</v>
      </c>
      <c r="DB1152" s="431" t="n">
        <v>239</v>
      </c>
      <c r="DC1152" s="688" t="n"/>
      <c r="DD1152" s="431" t="n"/>
      <c r="DE1152" s="451" t="n"/>
      <c r="DF1152" s="451" t="n"/>
      <c r="DG1152" s="451" t="n"/>
      <c r="DI1152" s="429" t="n">
        <v>239</v>
      </c>
      <c r="DJ1152" s="431" t="n">
        <v>239</v>
      </c>
      <c r="DK1152" s="688" t="n"/>
      <c r="DL1152" s="431" t="n"/>
      <c r="DM1152" s="429" t="n"/>
      <c r="DN1152" s="451" t="n"/>
      <c r="DO1152" s="451" t="n"/>
      <c r="DQ1152" s="429" t="n">
        <v>239</v>
      </c>
      <c r="DR1152" s="431" t="n">
        <v>239</v>
      </c>
      <c r="DS1152" s="688" t="n"/>
      <c r="DT1152" s="431" t="n"/>
      <c r="DU1152" s="451" t="n"/>
      <c r="DV1152" s="451" t="n"/>
      <c r="DW1152" s="451" t="n"/>
      <c r="DY1152" s="429" t="n">
        <v>239</v>
      </c>
      <c r="DZ1152" s="431" t="n">
        <v>239</v>
      </c>
      <c r="EA1152" s="688" t="n"/>
      <c r="EB1152" s="431" t="n"/>
      <c r="EC1152" s="451" t="n"/>
      <c r="ED1152" s="451" t="n"/>
      <c r="EE1152" s="451" t="n"/>
      <c r="EG1152" s="429" t="n">
        <v>239</v>
      </c>
      <c r="EH1152" s="431" t="n">
        <v>239</v>
      </c>
      <c r="EI1152" s="688" t="n"/>
      <c r="EJ1152" s="431" t="n"/>
      <c r="EK1152" s="451" t="n"/>
      <c r="EL1152" s="451" t="n"/>
      <c r="EM1152" s="451" t="n"/>
      <c r="EO1152" s="429" t="n">
        <v>239</v>
      </c>
      <c r="EP1152" s="431" t="n">
        <v>239</v>
      </c>
      <c r="EQ1152" s="688" t="n"/>
      <c r="ER1152" s="431" t="n"/>
      <c r="ES1152" s="451" t="n"/>
      <c r="ET1152" s="451" t="n"/>
      <c r="EU1152" s="451" t="n"/>
      <c r="EW1152" s="429" t="n">
        <v>239</v>
      </c>
      <c r="EX1152" s="431" t="n">
        <v>239</v>
      </c>
      <c r="EY1152" s="688" t="n"/>
      <c r="EZ1152" s="431" t="n"/>
      <c r="FA1152" s="451" t="n"/>
      <c r="FB1152" s="451" t="n"/>
      <c r="FC1152" s="451" t="n"/>
      <c r="FE1152" s="429" t="n">
        <v>239</v>
      </c>
      <c r="FF1152" s="431" t="n">
        <v>239</v>
      </c>
      <c r="FG1152" s="688" t="n"/>
      <c r="FH1152" s="431" t="n"/>
      <c r="FI1152" s="451" t="n"/>
      <c r="FJ1152" s="451" t="n"/>
      <c r="FK1152" s="451" t="n"/>
      <c r="FM1152" s="429" t="n">
        <v>239</v>
      </c>
      <c r="FN1152" s="431" t="n">
        <v>239</v>
      </c>
      <c r="FO1152" s="688" t="n"/>
      <c r="FP1152" s="431" t="n"/>
      <c r="FQ1152" s="451" t="n"/>
      <c r="FR1152" s="451" t="n"/>
      <c r="FS1152" s="451" t="n"/>
      <c r="FU1152" s="429" t="n">
        <v>239</v>
      </c>
      <c r="FV1152" s="431" t="n">
        <v>239</v>
      </c>
      <c r="FW1152" s="688" t="n"/>
      <c r="FX1152" s="431" t="n"/>
      <c r="FY1152" s="451" t="n"/>
      <c r="FZ1152" s="562">
        <f>'CIRCUIT SIM'!JG242</f>
        <v/>
      </c>
      <c r="GA1152" s="451" t="n"/>
      <c r="GC1152" s="429" t="n">
        <v>239</v>
      </c>
      <c r="GD1152" s="431" t="n">
        <v>239</v>
      </c>
      <c r="GE1152" s="688" t="n"/>
      <c r="GF1152" s="431" t="n"/>
      <c r="GG1152" s="451" t="n"/>
      <c r="GH1152" s="451" t="n"/>
      <c r="GI1152" s="451" t="n"/>
      <c r="GK1152" s="429" t="n">
        <v>239</v>
      </c>
      <c r="GL1152" s="431" t="n">
        <v>239</v>
      </c>
      <c r="GM1152" s="688" t="n"/>
      <c r="GN1152" s="431" t="n"/>
      <c r="GO1152" s="451" t="n"/>
      <c r="GP1152" s="451" t="n"/>
      <c r="GQ1152" s="451" t="n"/>
      <c r="GS1152" s="429" t="n">
        <v>239</v>
      </c>
      <c r="GT1152" s="431" t="n">
        <v>239</v>
      </c>
      <c r="GU1152" s="688" t="n"/>
      <c r="GV1152" s="431" t="n"/>
      <c r="GW1152" s="451" t="n"/>
      <c r="GX1152" s="451" t="n"/>
      <c r="GY1152" s="451" t="n"/>
      <c r="HA1152" s="429" t="n">
        <v>239</v>
      </c>
      <c r="HB1152" s="431" t="n">
        <v>239</v>
      </c>
      <c r="HC1152" s="688" t="n"/>
      <c r="HD1152" s="431" t="n"/>
      <c r="HE1152" s="451" t="n"/>
      <c r="HF1152" s="451" t="n"/>
      <c r="HG1152" s="451" t="n"/>
    </row>
    <row r="1153">
      <c r="A1153" s="429" t="n">
        <v>240</v>
      </c>
      <c r="B1153" s="431" t="n">
        <v>240</v>
      </c>
      <c r="C1153" s="688" t="n"/>
      <c r="D1153" s="431" t="n"/>
      <c r="E1153" s="429" t="n"/>
      <c r="F1153" s="429" t="n"/>
      <c r="G1153" s="429" t="n"/>
      <c r="I1153" s="429" t="n">
        <v>240</v>
      </c>
      <c r="J1153" s="431" t="n">
        <v>240</v>
      </c>
      <c r="K1153" s="429" t="n"/>
      <c r="L1153" s="431" t="n"/>
      <c r="M1153" s="451" t="n"/>
      <c r="N1153" s="422">
        <f>'CIRCUIT SIM'!Y243</f>
        <v/>
      </c>
      <c r="O1153" s="451" t="n"/>
      <c r="Q1153" s="429" t="n">
        <v>240</v>
      </c>
      <c r="R1153" s="431" t="n">
        <v>240</v>
      </c>
      <c r="S1153" s="429" t="n"/>
      <c r="T1153" s="431" t="n"/>
      <c r="U1153" s="429" t="n"/>
      <c r="V1153" s="386" t="n"/>
      <c r="W1153" s="451" t="n"/>
      <c r="Y1153" s="429" t="n">
        <v>240</v>
      </c>
      <c r="Z1153" s="431" t="n">
        <v>240</v>
      </c>
      <c r="AA1153" s="429" t="n"/>
      <c r="AB1153" s="431" t="n"/>
      <c r="AC1153" s="451" t="n"/>
      <c r="AD1153" s="451" t="n"/>
      <c r="AE1153" s="451" t="n"/>
      <c r="AG1153" s="429" t="n">
        <v>240</v>
      </c>
      <c r="AH1153" s="431" t="n">
        <v>240</v>
      </c>
      <c r="AI1153" s="429" t="n"/>
      <c r="AJ1153" s="431" t="n"/>
      <c r="AK1153" s="451" t="n"/>
      <c r="AL1153" s="451" t="n"/>
      <c r="AM1153" s="451" t="n"/>
      <c r="AO1153" s="429" t="n">
        <v>240</v>
      </c>
      <c r="AP1153" s="431" t="n">
        <v>240</v>
      </c>
      <c r="AQ1153" s="429" t="n"/>
      <c r="AR1153" s="431" t="n"/>
      <c r="AS1153" s="451" t="n"/>
      <c r="AT1153" s="451" t="n"/>
      <c r="AU1153" s="451" t="n"/>
      <c r="AW1153" s="429" t="n">
        <v>240</v>
      </c>
      <c r="AX1153" s="431" t="n">
        <v>240</v>
      </c>
      <c r="AY1153" s="429" t="n"/>
      <c r="AZ1153" s="431" t="n"/>
      <c r="BA1153" s="451" t="n"/>
      <c r="BB1153" s="451" t="n"/>
      <c r="BC1153" s="451" t="n"/>
      <c r="BE1153" s="429" t="n">
        <v>240</v>
      </c>
      <c r="BF1153" s="431" t="n"/>
      <c r="BG1153" s="429" t="n"/>
      <c r="BH1153" s="431" t="n"/>
      <c r="BI1153" s="451" t="n"/>
      <c r="BJ1153" s="451" t="n"/>
      <c r="BK1153" s="451" t="n"/>
      <c r="BM1153" s="429" t="n">
        <v>240</v>
      </c>
      <c r="BN1153" s="431" t="n">
        <v>240</v>
      </c>
      <c r="BO1153" s="429" t="n"/>
      <c r="BP1153" s="431" t="n"/>
      <c r="BQ1153" s="451" t="n"/>
      <c r="BR1153" s="451" t="n"/>
      <c r="BS1153" s="451" t="n"/>
      <c r="BU1153" s="429" t="n">
        <v>240</v>
      </c>
      <c r="BV1153" s="431" t="n">
        <v>240</v>
      </c>
      <c r="BW1153" s="429" t="n"/>
      <c r="BX1153" s="431" t="n"/>
      <c r="BY1153" s="451" t="n"/>
      <c r="BZ1153" s="451">
        <f>'CIRCUIT SIM'!EI243</f>
        <v/>
      </c>
      <c r="CA1153" s="451" t="n"/>
      <c r="CC1153" s="429" t="n">
        <v>240</v>
      </c>
      <c r="CD1153" s="431" t="n">
        <v>240</v>
      </c>
      <c r="CE1153" s="688" t="n"/>
      <c r="CF1153" s="431" t="n"/>
      <c r="CG1153" s="451" t="n"/>
      <c r="CH1153" s="562">
        <f>'CIRCUIT SIM'!LK241</f>
        <v/>
      </c>
      <c r="CI1153" s="451" t="n"/>
      <c r="CK1153" s="429" t="n">
        <v>240</v>
      </c>
      <c r="CL1153" s="431" t="n">
        <v>240</v>
      </c>
      <c r="CM1153" s="688" t="n"/>
      <c r="CN1153" s="431" t="n"/>
      <c r="CO1153" s="451" t="n"/>
      <c r="CP1153" s="451" t="n"/>
      <c r="CQ1153" s="451" t="n"/>
      <c r="CS1153" s="429" t="n">
        <v>240</v>
      </c>
      <c r="CT1153" s="431" t="n">
        <v>240</v>
      </c>
      <c r="CU1153" s="688" t="n"/>
      <c r="CV1153" s="431" t="n"/>
      <c r="CW1153" s="451" t="n"/>
      <c r="CX1153" s="451" t="n"/>
      <c r="CY1153" s="451" t="n"/>
      <c r="DA1153" s="429" t="n">
        <v>240</v>
      </c>
      <c r="DB1153" s="431" t="n">
        <v>240</v>
      </c>
      <c r="DC1153" s="688" t="n"/>
      <c r="DD1153" s="431" t="n"/>
      <c r="DE1153" s="451" t="n"/>
      <c r="DF1153" s="451" t="n"/>
      <c r="DG1153" s="451" t="n"/>
      <c r="DI1153" s="429" t="n">
        <v>240</v>
      </c>
      <c r="DJ1153" s="431" t="n">
        <v>240</v>
      </c>
      <c r="DK1153" s="688" t="n"/>
      <c r="DL1153" s="431" t="n"/>
      <c r="DM1153" s="429" t="n"/>
      <c r="DN1153" s="451" t="n"/>
      <c r="DO1153" s="451" t="n"/>
      <c r="DQ1153" s="429" t="n">
        <v>240</v>
      </c>
      <c r="DR1153" s="431" t="n">
        <v>240</v>
      </c>
      <c r="DS1153" s="688" t="n"/>
      <c r="DT1153" s="431" t="n"/>
      <c r="DU1153" s="451" t="n"/>
      <c r="DV1153" s="451" t="n"/>
      <c r="DW1153" s="451" t="n"/>
      <c r="DY1153" s="429" t="n">
        <v>240</v>
      </c>
      <c r="DZ1153" s="431" t="n">
        <v>240</v>
      </c>
      <c r="EA1153" s="688" t="n"/>
      <c r="EB1153" s="431" t="n"/>
      <c r="EC1153" s="451" t="n"/>
      <c r="ED1153" s="451" t="n"/>
      <c r="EE1153" s="451" t="n"/>
      <c r="EG1153" s="429" t="n">
        <v>240</v>
      </c>
      <c r="EH1153" s="431" t="n">
        <v>240</v>
      </c>
      <c r="EI1153" s="688" t="n"/>
      <c r="EJ1153" s="431" t="n"/>
      <c r="EK1153" s="451" t="n"/>
      <c r="EL1153" s="451" t="n"/>
      <c r="EM1153" s="451" t="n"/>
      <c r="EO1153" s="429" t="n">
        <v>240</v>
      </c>
      <c r="EP1153" s="431" t="n">
        <v>240</v>
      </c>
      <c r="EQ1153" s="688" t="n"/>
      <c r="ER1153" s="431" t="n"/>
      <c r="ES1153" s="451" t="n"/>
      <c r="ET1153" s="451" t="n"/>
      <c r="EU1153" s="451" t="n"/>
      <c r="EW1153" s="429" t="n">
        <v>240</v>
      </c>
      <c r="EX1153" s="431" t="n">
        <v>240</v>
      </c>
      <c r="EY1153" s="688" t="n"/>
      <c r="EZ1153" s="431" t="n"/>
      <c r="FA1153" s="451" t="n"/>
      <c r="FB1153" s="451" t="n"/>
      <c r="FC1153" s="451" t="n"/>
      <c r="FE1153" s="429" t="n">
        <v>240</v>
      </c>
      <c r="FF1153" s="431" t="n">
        <v>240</v>
      </c>
      <c r="FG1153" s="688" t="n"/>
      <c r="FH1153" s="431" t="n"/>
      <c r="FI1153" s="451" t="n"/>
      <c r="FJ1153" s="451" t="n"/>
      <c r="FK1153" s="451" t="n"/>
      <c r="FM1153" s="429" t="n">
        <v>240</v>
      </c>
      <c r="FN1153" s="431" t="n">
        <v>240</v>
      </c>
      <c r="FO1153" s="688" t="n"/>
      <c r="FP1153" s="431" t="n"/>
      <c r="FQ1153" s="451" t="n"/>
      <c r="FR1153" s="451" t="n"/>
      <c r="FS1153" s="451" t="n"/>
      <c r="FU1153" s="429" t="n">
        <v>240</v>
      </c>
      <c r="FV1153" s="431" t="n">
        <v>240</v>
      </c>
      <c r="FW1153" s="688" t="n"/>
      <c r="FX1153" s="431" t="n"/>
      <c r="FY1153" s="451" t="n"/>
      <c r="FZ1153" s="562">
        <f>'CIRCUIT SIM'!JG243</f>
        <v/>
      </c>
      <c r="GA1153" s="451" t="n"/>
      <c r="GC1153" s="429" t="n">
        <v>240</v>
      </c>
      <c r="GD1153" s="431" t="n">
        <v>240</v>
      </c>
      <c r="GE1153" s="688" t="n"/>
      <c r="GF1153" s="431" t="n"/>
      <c r="GG1153" s="451" t="n"/>
      <c r="GH1153" s="451" t="n"/>
      <c r="GI1153" s="451" t="n"/>
      <c r="GK1153" s="429" t="n">
        <v>240</v>
      </c>
      <c r="GL1153" s="431" t="n">
        <v>240</v>
      </c>
      <c r="GM1153" s="688" t="n"/>
      <c r="GN1153" s="431" t="n"/>
      <c r="GO1153" s="451" t="n"/>
      <c r="GP1153" s="451" t="n"/>
      <c r="GQ1153" s="451" t="n"/>
      <c r="GS1153" s="429" t="n">
        <v>240</v>
      </c>
      <c r="GT1153" s="431" t="n">
        <v>240</v>
      </c>
      <c r="GU1153" s="688" t="n"/>
      <c r="GV1153" s="431" t="n"/>
      <c r="GW1153" s="451" t="n"/>
      <c r="GX1153" s="451" t="n"/>
      <c r="GY1153" s="451" t="n"/>
      <c r="HA1153" s="429" t="n">
        <v>240</v>
      </c>
      <c r="HB1153" s="431" t="n">
        <v>240</v>
      </c>
      <c r="HC1153" s="688" t="n"/>
      <c r="HD1153" s="431" t="n"/>
      <c r="HE1153" s="451" t="n"/>
      <c r="HF1153" s="451" t="n"/>
      <c r="HG1153" s="451" t="n"/>
    </row>
    <row r="1154">
      <c r="A1154" s="429" t="n">
        <v>241</v>
      </c>
      <c r="B1154" s="431" t="n">
        <v>241</v>
      </c>
      <c r="C1154" s="688" t="n"/>
      <c r="D1154" s="431" t="n"/>
      <c r="E1154" s="429" t="n"/>
      <c r="F1154" s="429" t="n"/>
      <c r="G1154" s="429" t="n"/>
      <c r="I1154" s="429" t="n">
        <v>241</v>
      </c>
      <c r="J1154" s="431" t="n">
        <v>241</v>
      </c>
      <c r="K1154" s="429" t="n"/>
      <c r="L1154" s="431" t="n"/>
      <c r="M1154" s="451" t="n"/>
      <c r="N1154" s="422">
        <f>'CIRCUIT SIM'!Y244</f>
        <v/>
      </c>
      <c r="O1154" s="451" t="n"/>
      <c r="Q1154" s="429" t="n">
        <v>241</v>
      </c>
      <c r="R1154" s="431" t="n">
        <v>241</v>
      </c>
      <c r="S1154" s="429" t="n"/>
      <c r="T1154" s="431" t="n"/>
      <c r="U1154" s="429" t="n"/>
      <c r="V1154" s="386" t="n"/>
      <c r="W1154" s="451" t="n"/>
      <c r="Y1154" s="429" t="n">
        <v>241</v>
      </c>
      <c r="Z1154" s="431" t="n">
        <v>241</v>
      </c>
      <c r="AA1154" s="429" t="n"/>
      <c r="AB1154" s="431" t="n"/>
      <c r="AC1154" s="451" t="n"/>
      <c r="AD1154" s="451" t="n"/>
      <c r="AE1154" s="451" t="n"/>
      <c r="AG1154" s="429" t="n">
        <v>241</v>
      </c>
      <c r="AH1154" s="431" t="n">
        <v>241</v>
      </c>
      <c r="AI1154" s="429" t="n"/>
      <c r="AJ1154" s="431" t="n"/>
      <c r="AK1154" s="451" t="n"/>
      <c r="AL1154" s="451" t="n"/>
      <c r="AM1154" s="451" t="n"/>
      <c r="AO1154" s="429" t="n">
        <v>241</v>
      </c>
      <c r="AP1154" s="431" t="n">
        <v>241</v>
      </c>
      <c r="AQ1154" s="429" t="n"/>
      <c r="AR1154" s="431" t="n"/>
      <c r="AS1154" s="451" t="n"/>
      <c r="AT1154" s="451" t="n"/>
      <c r="AU1154" s="451" t="n"/>
      <c r="AW1154" s="429" t="n">
        <v>241</v>
      </c>
      <c r="AX1154" s="431" t="n">
        <v>241</v>
      </c>
      <c r="AY1154" s="429" t="n"/>
      <c r="AZ1154" s="431" t="n"/>
      <c r="BA1154" s="451" t="n"/>
      <c r="BB1154" s="451" t="n"/>
      <c r="BC1154" s="451" t="n"/>
      <c r="BE1154" s="429" t="n">
        <v>241</v>
      </c>
      <c r="BF1154" s="431" t="n"/>
      <c r="BG1154" s="429" t="n"/>
      <c r="BH1154" s="431" t="n"/>
      <c r="BI1154" s="451" t="n"/>
      <c r="BJ1154" s="451" t="n"/>
      <c r="BK1154" s="451" t="n"/>
      <c r="BM1154" s="429" t="n">
        <v>241</v>
      </c>
      <c r="BN1154" s="431" t="n">
        <v>241</v>
      </c>
      <c r="BO1154" s="429" t="n"/>
      <c r="BP1154" s="431" t="n"/>
      <c r="BQ1154" s="451" t="n"/>
      <c r="BR1154" s="451" t="n"/>
      <c r="BS1154" s="451" t="n"/>
      <c r="BU1154" s="429" t="n">
        <v>241</v>
      </c>
      <c r="BV1154" s="431" t="n">
        <v>241</v>
      </c>
      <c r="BW1154" s="429" t="n"/>
      <c r="BX1154" s="431" t="n"/>
      <c r="BY1154" s="451" t="n"/>
      <c r="BZ1154" s="451">
        <f>'CIRCUIT SIM'!EI244</f>
        <v/>
      </c>
      <c r="CA1154" s="451" t="n"/>
      <c r="CC1154" s="429" t="n">
        <v>241</v>
      </c>
      <c r="CD1154" s="431" t="n">
        <v>241</v>
      </c>
      <c r="CE1154" s="688" t="n"/>
      <c r="CF1154" s="431" t="n"/>
      <c r="CG1154" s="451" t="n"/>
      <c r="CH1154" s="562">
        <f>'CIRCUIT SIM'!LK242</f>
        <v/>
      </c>
      <c r="CI1154" s="451" t="n"/>
      <c r="CK1154" s="429" t="n">
        <v>241</v>
      </c>
      <c r="CL1154" s="431" t="n">
        <v>241</v>
      </c>
      <c r="CM1154" s="688" t="n"/>
      <c r="CN1154" s="431" t="n"/>
      <c r="CO1154" s="451" t="n"/>
      <c r="CP1154" s="451" t="n"/>
      <c r="CQ1154" s="451" t="n"/>
      <c r="CS1154" s="429" t="n">
        <v>241</v>
      </c>
      <c r="CT1154" s="431" t="n">
        <v>241</v>
      </c>
      <c r="CU1154" s="688" t="n"/>
      <c r="CV1154" s="431" t="n"/>
      <c r="CW1154" s="451" t="n"/>
      <c r="CX1154" s="451" t="n"/>
      <c r="CY1154" s="451" t="n"/>
      <c r="DA1154" s="429" t="n">
        <v>241</v>
      </c>
      <c r="DB1154" s="431" t="n">
        <v>241</v>
      </c>
      <c r="DC1154" s="688" t="n"/>
      <c r="DD1154" s="431" t="n"/>
      <c r="DE1154" s="451" t="n"/>
      <c r="DF1154" s="451" t="n"/>
      <c r="DG1154" s="451" t="n"/>
      <c r="DI1154" s="429" t="n">
        <v>241</v>
      </c>
      <c r="DJ1154" s="431" t="n">
        <v>241</v>
      </c>
      <c r="DK1154" s="688" t="n"/>
      <c r="DL1154" s="431" t="n"/>
      <c r="DM1154" s="429" t="n"/>
      <c r="DN1154" s="451" t="n"/>
      <c r="DO1154" s="451" t="n"/>
      <c r="DQ1154" s="429" t="n">
        <v>241</v>
      </c>
      <c r="DR1154" s="431" t="n">
        <v>241</v>
      </c>
      <c r="DS1154" s="688" t="n"/>
      <c r="DT1154" s="431" t="n"/>
      <c r="DU1154" s="451" t="n"/>
      <c r="DV1154" s="451" t="n"/>
      <c r="DW1154" s="451" t="n"/>
      <c r="DY1154" s="429" t="n">
        <v>241</v>
      </c>
      <c r="DZ1154" s="431" t="n">
        <v>241</v>
      </c>
      <c r="EA1154" s="688" t="n"/>
      <c r="EB1154" s="431" t="n"/>
      <c r="EC1154" s="451" t="n"/>
      <c r="ED1154" s="451" t="n"/>
      <c r="EE1154" s="451" t="n"/>
      <c r="EG1154" s="429" t="n">
        <v>241</v>
      </c>
      <c r="EH1154" s="431" t="n">
        <v>241</v>
      </c>
      <c r="EI1154" s="688" t="n"/>
      <c r="EJ1154" s="431" t="n"/>
      <c r="EK1154" s="451" t="n"/>
      <c r="EL1154" s="451" t="n"/>
      <c r="EM1154" s="451" t="n"/>
      <c r="EO1154" s="429" t="n">
        <v>241</v>
      </c>
      <c r="EP1154" s="431" t="n">
        <v>241</v>
      </c>
      <c r="EQ1154" s="688" t="n"/>
      <c r="ER1154" s="431" t="n"/>
      <c r="ES1154" s="451" t="n"/>
      <c r="ET1154" s="451" t="n"/>
      <c r="EU1154" s="451" t="n"/>
      <c r="EW1154" s="429" t="n">
        <v>241</v>
      </c>
      <c r="EX1154" s="431" t="n">
        <v>241</v>
      </c>
      <c r="EY1154" s="688" t="n"/>
      <c r="EZ1154" s="431" t="n"/>
      <c r="FA1154" s="451" t="n"/>
      <c r="FB1154" s="451" t="n"/>
      <c r="FC1154" s="451" t="n"/>
      <c r="FE1154" s="429" t="n">
        <v>241</v>
      </c>
      <c r="FF1154" s="431" t="n">
        <v>241</v>
      </c>
      <c r="FG1154" s="688" t="n"/>
      <c r="FH1154" s="431" t="n"/>
      <c r="FI1154" s="451" t="n"/>
      <c r="FJ1154" s="451" t="n"/>
      <c r="FK1154" s="451" t="n"/>
      <c r="FM1154" s="429" t="n">
        <v>241</v>
      </c>
      <c r="FN1154" s="431" t="n">
        <v>241</v>
      </c>
      <c r="FO1154" s="688" t="n"/>
      <c r="FP1154" s="431" t="n"/>
      <c r="FQ1154" s="451" t="n"/>
      <c r="FR1154" s="451" t="n"/>
      <c r="FS1154" s="451" t="n"/>
      <c r="FU1154" s="429" t="n">
        <v>241</v>
      </c>
      <c r="FV1154" s="431" t="n">
        <v>241</v>
      </c>
      <c r="FW1154" s="688" t="n"/>
      <c r="FX1154" s="431" t="n"/>
      <c r="FY1154" s="451" t="n"/>
      <c r="FZ1154" s="562">
        <f>'CIRCUIT SIM'!JG244</f>
        <v/>
      </c>
      <c r="GA1154" s="451" t="n"/>
      <c r="GC1154" s="429" t="n">
        <v>241</v>
      </c>
      <c r="GD1154" s="431" t="n">
        <v>241</v>
      </c>
      <c r="GE1154" s="688" t="n"/>
      <c r="GF1154" s="431" t="n"/>
      <c r="GG1154" s="451" t="n"/>
      <c r="GH1154" s="451" t="n"/>
      <c r="GI1154" s="451" t="n"/>
      <c r="GK1154" s="429" t="n">
        <v>241</v>
      </c>
      <c r="GL1154" s="431" t="n">
        <v>241</v>
      </c>
      <c r="GM1154" s="688" t="n"/>
      <c r="GN1154" s="431" t="n"/>
      <c r="GO1154" s="451" t="n"/>
      <c r="GP1154" s="451" t="n"/>
      <c r="GQ1154" s="451" t="n"/>
      <c r="GS1154" s="429" t="n">
        <v>241</v>
      </c>
      <c r="GT1154" s="431" t="n">
        <v>241</v>
      </c>
      <c r="GU1154" s="688" t="n"/>
      <c r="GV1154" s="431" t="n"/>
      <c r="GW1154" s="451" t="n"/>
      <c r="GX1154" s="451" t="n"/>
      <c r="GY1154" s="451" t="n"/>
      <c r="HA1154" s="429" t="n">
        <v>241</v>
      </c>
      <c r="HB1154" s="431" t="n">
        <v>241</v>
      </c>
      <c r="HC1154" s="688" t="n"/>
      <c r="HD1154" s="431" t="n"/>
      <c r="HE1154" s="451" t="n"/>
      <c r="HF1154" s="451" t="n"/>
      <c r="HG1154" s="451" t="n"/>
    </row>
    <row r="1155">
      <c r="A1155" s="429" t="n">
        <v>242</v>
      </c>
      <c r="B1155" s="431" t="n">
        <v>242</v>
      </c>
      <c r="C1155" s="688" t="n"/>
      <c r="D1155" s="431" t="n"/>
      <c r="E1155" s="429" t="n"/>
      <c r="F1155" s="429" t="n"/>
      <c r="G1155" s="429" t="n"/>
      <c r="I1155" s="429" t="n">
        <v>242</v>
      </c>
      <c r="J1155" s="431" t="n">
        <v>242</v>
      </c>
      <c r="K1155" s="429" t="n"/>
      <c r="L1155" s="431" t="n"/>
      <c r="M1155" s="451" t="n"/>
      <c r="N1155" s="422">
        <f>'CIRCUIT SIM'!Y245</f>
        <v/>
      </c>
      <c r="O1155" s="451" t="n"/>
      <c r="Q1155" s="429" t="n">
        <v>242</v>
      </c>
      <c r="R1155" s="431" t="n">
        <v>242</v>
      </c>
      <c r="S1155" s="429" t="n"/>
      <c r="T1155" s="431" t="n"/>
      <c r="U1155" s="429" t="n"/>
      <c r="V1155" s="386" t="n"/>
      <c r="W1155" s="451" t="n"/>
      <c r="Y1155" s="429" t="n">
        <v>242</v>
      </c>
      <c r="Z1155" s="431" t="n">
        <v>242</v>
      </c>
      <c r="AA1155" s="429" t="n"/>
      <c r="AB1155" s="431" t="n"/>
      <c r="AC1155" s="451" t="n"/>
      <c r="AD1155" s="451" t="n"/>
      <c r="AE1155" s="451" t="n"/>
      <c r="AG1155" s="429" t="n">
        <v>242</v>
      </c>
      <c r="AH1155" s="431" t="n">
        <v>242</v>
      </c>
      <c r="AI1155" s="429" t="n"/>
      <c r="AJ1155" s="431" t="n"/>
      <c r="AK1155" s="451" t="n"/>
      <c r="AL1155" s="451" t="n"/>
      <c r="AM1155" s="451" t="n"/>
      <c r="AO1155" s="429" t="n">
        <v>242</v>
      </c>
      <c r="AP1155" s="431" t="n">
        <v>242</v>
      </c>
      <c r="AQ1155" s="429" t="n"/>
      <c r="AR1155" s="431" t="n"/>
      <c r="AS1155" s="451" t="n"/>
      <c r="AT1155" s="451" t="n"/>
      <c r="AU1155" s="451" t="n"/>
      <c r="AW1155" s="429" t="n">
        <v>242</v>
      </c>
      <c r="AX1155" s="431" t="n">
        <v>242</v>
      </c>
      <c r="AY1155" s="429" t="n"/>
      <c r="AZ1155" s="431" t="n"/>
      <c r="BA1155" s="451" t="n"/>
      <c r="BB1155" s="451" t="n"/>
      <c r="BC1155" s="451" t="n"/>
      <c r="BE1155" s="429" t="n">
        <v>242</v>
      </c>
      <c r="BF1155" s="431" t="n"/>
      <c r="BG1155" s="429" t="n"/>
      <c r="BH1155" s="431" t="n"/>
      <c r="BI1155" s="451" t="n"/>
      <c r="BJ1155" s="451" t="n"/>
      <c r="BK1155" s="451" t="n"/>
      <c r="BM1155" s="429" t="n">
        <v>242</v>
      </c>
      <c r="BN1155" s="431" t="n">
        <v>242</v>
      </c>
      <c r="BO1155" s="429" t="n"/>
      <c r="BP1155" s="431" t="n"/>
      <c r="BQ1155" s="451" t="n"/>
      <c r="BR1155" s="451" t="n"/>
      <c r="BS1155" s="451" t="n"/>
      <c r="BU1155" s="429" t="n">
        <v>242</v>
      </c>
      <c r="BV1155" s="431" t="n">
        <v>242</v>
      </c>
      <c r="BW1155" s="429" t="n"/>
      <c r="BX1155" s="431" t="n"/>
      <c r="BY1155" s="451" t="n"/>
      <c r="BZ1155" s="451">
        <f>'CIRCUIT SIM'!EI245</f>
        <v/>
      </c>
      <c r="CA1155" s="451" t="n"/>
      <c r="CC1155" s="429" t="n">
        <v>242</v>
      </c>
      <c r="CD1155" s="431" t="n">
        <v>242</v>
      </c>
      <c r="CE1155" s="688" t="n"/>
      <c r="CF1155" s="431" t="n"/>
      <c r="CG1155" s="451" t="n"/>
      <c r="CH1155" s="562">
        <f>'CIRCUIT SIM'!LK243</f>
        <v/>
      </c>
      <c r="CI1155" s="451" t="n"/>
      <c r="CK1155" s="429" t="n">
        <v>242</v>
      </c>
      <c r="CL1155" s="431" t="n">
        <v>242</v>
      </c>
      <c r="CM1155" s="688" t="n"/>
      <c r="CN1155" s="431" t="n"/>
      <c r="CO1155" s="451" t="n"/>
      <c r="CP1155" s="451" t="n"/>
      <c r="CQ1155" s="451" t="n"/>
      <c r="CS1155" s="429" t="n">
        <v>242</v>
      </c>
      <c r="CT1155" s="431" t="n">
        <v>242</v>
      </c>
      <c r="CU1155" s="688" t="n"/>
      <c r="CV1155" s="431" t="n"/>
      <c r="CW1155" s="451" t="n"/>
      <c r="CX1155" s="451" t="n"/>
      <c r="CY1155" s="451" t="n"/>
      <c r="DA1155" s="429" t="n">
        <v>242</v>
      </c>
      <c r="DB1155" s="431" t="n">
        <v>242</v>
      </c>
      <c r="DC1155" s="688" t="n"/>
      <c r="DD1155" s="431" t="n"/>
      <c r="DE1155" s="451" t="n"/>
      <c r="DF1155" s="451" t="n"/>
      <c r="DG1155" s="451" t="n"/>
      <c r="DI1155" s="429" t="n">
        <v>242</v>
      </c>
      <c r="DJ1155" s="431" t="n">
        <v>242</v>
      </c>
      <c r="DK1155" s="688" t="n"/>
      <c r="DL1155" s="431" t="n"/>
      <c r="DM1155" s="429" t="n"/>
      <c r="DN1155" s="451" t="n"/>
      <c r="DO1155" s="451" t="n"/>
      <c r="DQ1155" s="429" t="n">
        <v>242</v>
      </c>
      <c r="DR1155" s="431" t="n">
        <v>242</v>
      </c>
      <c r="DS1155" s="688" t="n"/>
      <c r="DT1155" s="431" t="n"/>
      <c r="DU1155" s="451" t="n"/>
      <c r="DV1155" s="451" t="n"/>
      <c r="DW1155" s="451" t="n"/>
      <c r="DY1155" s="429" t="n">
        <v>242</v>
      </c>
      <c r="DZ1155" s="431" t="n">
        <v>242</v>
      </c>
      <c r="EA1155" s="688" t="n"/>
      <c r="EB1155" s="431" t="n"/>
      <c r="EC1155" s="451" t="n"/>
      <c r="ED1155" s="451" t="n"/>
      <c r="EE1155" s="451" t="n"/>
      <c r="EG1155" s="429" t="n">
        <v>242</v>
      </c>
      <c r="EH1155" s="431" t="n">
        <v>242</v>
      </c>
      <c r="EI1155" s="688" t="n"/>
      <c r="EJ1155" s="431" t="n"/>
      <c r="EK1155" s="451" t="n"/>
      <c r="EL1155" s="451" t="n"/>
      <c r="EM1155" s="451" t="n"/>
      <c r="EO1155" s="429" t="n">
        <v>242</v>
      </c>
      <c r="EP1155" s="431" t="n">
        <v>242</v>
      </c>
      <c r="EQ1155" s="688" t="n"/>
      <c r="ER1155" s="431" t="n"/>
      <c r="ES1155" s="451" t="n"/>
      <c r="ET1155" s="451" t="n"/>
      <c r="EU1155" s="451" t="n"/>
      <c r="EW1155" s="429" t="n">
        <v>242</v>
      </c>
      <c r="EX1155" s="431" t="n">
        <v>242</v>
      </c>
      <c r="EY1155" s="688" t="n"/>
      <c r="EZ1155" s="431" t="n"/>
      <c r="FA1155" s="451" t="n"/>
      <c r="FB1155" s="451" t="n"/>
      <c r="FC1155" s="451" t="n"/>
      <c r="FE1155" s="429" t="n">
        <v>242</v>
      </c>
      <c r="FF1155" s="431" t="n">
        <v>242</v>
      </c>
      <c r="FG1155" s="688" t="n"/>
      <c r="FH1155" s="431" t="n"/>
      <c r="FI1155" s="451" t="n"/>
      <c r="FJ1155" s="451" t="n"/>
      <c r="FK1155" s="451" t="n"/>
      <c r="FM1155" s="429" t="n">
        <v>242</v>
      </c>
      <c r="FN1155" s="431" t="n">
        <v>242</v>
      </c>
      <c r="FO1155" s="688" t="n"/>
      <c r="FP1155" s="431" t="n"/>
      <c r="FQ1155" s="451" t="n"/>
      <c r="FR1155" s="451" t="n"/>
      <c r="FS1155" s="451" t="n"/>
      <c r="FU1155" s="429" t="n">
        <v>242</v>
      </c>
      <c r="FV1155" s="431" t="n">
        <v>242</v>
      </c>
      <c r="FW1155" s="688" t="n"/>
      <c r="FX1155" s="431" t="n"/>
      <c r="FY1155" s="451" t="n"/>
      <c r="FZ1155" s="562">
        <f>'CIRCUIT SIM'!JG245</f>
        <v/>
      </c>
      <c r="GA1155" s="451" t="n"/>
      <c r="GC1155" s="429" t="n">
        <v>242</v>
      </c>
      <c r="GD1155" s="431" t="n">
        <v>242</v>
      </c>
      <c r="GE1155" s="688" t="n"/>
      <c r="GF1155" s="431" t="n"/>
      <c r="GG1155" s="451" t="n"/>
      <c r="GH1155" s="451" t="n"/>
      <c r="GI1155" s="451" t="n"/>
      <c r="GK1155" s="429" t="n">
        <v>242</v>
      </c>
      <c r="GL1155" s="431" t="n">
        <v>242</v>
      </c>
      <c r="GM1155" s="688" t="n"/>
      <c r="GN1155" s="431" t="n"/>
      <c r="GO1155" s="451" t="n"/>
      <c r="GP1155" s="451" t="n"/>
      <c r="GQ1155" s="451" t="n"/>
      <c r="GS1155" s="429" t="n">
        <v>242</v>
      </c>
      <c r="GT1155" s="431" t="n">
        <v>242</v>
      </c>
      <c r="GU1155" s="688" t="n"/>
      <c r="GV1155" s="431" t="n"/>
      <c r="GW1155" s="451" t="n"/>
      <c r="GX1155" s="451" t="n"/>
      <c r="GY1155" s="451" t="n"/>
      <c r="HA1155" s="429" t="n">
        <v>242</v>
      </c>
      <c r="HB1155" s="431" t="n">
        <v>242</v>
      </c>
      <c r="HC1155" s="688" t="n"/>
      <c r="HD1155" s="431" t="n"/>
      <c r="HE1155" s="451" t="n"/>
      <c r="HF1155" s="451" t="n"/>
      <c r="HG1155" s="451" t="n"/>
    </row>
    <row r="1156">
      <c r="A1156" s="429" t="n">
        <v>243</v>
      </c>
      <c r="B1156" s="431" t="n">
        <v>243</v>
      </c>
      <c r="C1156" s="688" t="n"/>
      <c r="D1156" s="431" t="n"/>
      <c r="E1156" s="429" t="n"/>
      <c r="F1156" s="429" t="n"/>
      <c r="G1156" s="429" t="n"/>
      <c r="I1156" s="429" t="n">
        <v>243</v>
      </c>
      <c r="J1156" s="431" t="n">
        <v>243</v>
      </c>
      <c r="K1156" s="429" t="n"/>
      <c r="L1156" s="431" t="n"/>
      <c r="M1156" s="451" t="n"/>
      <c r="N1156" s="422">
        <f>'CIRCUIT SIM'!Y246</f>
        <v/>
      </c>
      <c r="O1156" s="451" t="n"/>
      <c r="Q1156" s="429" t="n">
        <v>243</v>
      </c>
      <c r="R1156" s="431" t="n">
        <v>243</v>
      </c>
      <c r="S1156" s="429" t="n"/>
      <c r="T1156" s="431" t="n"/>
      <c r="U1156" s="429" t="n"/>
      <c r="V1156" s="386" t="n"/>
      <c r="W1156" s="451" t="n"/>
      <c r="Y1156" s="429" t="n">
        <v>243</v>
      </c>
      <c r="Z1156" s="431" t="n">
        <v>243</v>
      </c>
      <c r="AA1156" s="429" t="n"/>
      <c r="AB1156" s="431" t="n"/>
      <c r="AC1156" s="451" t="n"/>
      <c r="AD1156" s="451" t="n"/>
      <c r="AE1156" s="451" t="n"/>
      <c r="AG1156" s="429" t="n">
        <v>243</v>
      </c>
      <c r="AH1156" s="431" t="n">
        <v>243</v>
      </c>
      <c r="AI1156" s="429" t="n"/>
      <c r="AJ1156" s="431" t="n"/>
      <c r="AK1156" s="451" t="n"/>
      <c r="AL1156" s="451" t="n"/>
      <c r="AM1156" s="451" t="n"/>
      <c r="AO1156" s="429" t="n">
        <v>243</v>
      </c>
      <c r="AP1156" s="431" t="n">
        <v>243</v>
      </c>
      <c r="AQ1156" s="429" t="n"/>
      <c r="AR1156" s="431" t="n"/>
      <c r="AS1156" s="451" t="n"/>
      <c r="AT1156" s="451" t="n"/>
      <c r="AU1156" s="451" t="n"/>
      <c r="AW1156" s="429" t="n">
        <v>243</v>
      </c>
      <c r="AX1156" s="431" t="n">
        <v>243</v>
      </c>
      <c r="AY1156" s="429" t="n"/>
      <c r="AZ1156" s="431" t="n"/>
      <c r="BA1156" s="451" t="n"/>
      <c r="BB1156" s="451" t="n"/>
      <c r="BC1156" s="451" t="n"/>
      <c r="BE1156" s="429" t="n">
        <v>243</v>
      </c>
      <c r="BF1156" s="431" t="n"/>
      <c r="BG1156" s="429" t="n"/>
      <c r="BH1156" s="431" t="n"/>
      <c r="BI1156" s="451" t="n"/>
      <c r="BJ1156" s="451" t="n"/>
      <c r="BK1156" s="451" t="n"/>
      <c r="BM1156" s="429" t="n">
        <v>243</v>
      </c>
      <c r="BN1156" s="431" t="n">
        <v>243</v>
      </c>
      <c r="BO1156" s="429" t="n"/>
      <c r="BP1156" s="431" t="n"/>
      <c r="BQ1156" s="451" t="n"/>
      <c r="BR1156" s="451" t="n"/>
      <c r="BS1156" s="451" t="n"/>
      <c r="BU1156" s="429" t="n">
        <v>243</v>
      </c>
      <c r="BV1156" s="431" t="n">
        <v>243</v>
      </c>
      <c r="BW1156" s="429" t="n"/>
      <c r="BX1156" s="431" t="n"/>
      <c r="BY1156" s="451" t="n"/>
      <c r="BZ1156" s="451">
        <f>'CIRCUIT SIM'!EI246</f>
        <v/>
      </c>
      <c r="CA1156" s="451" t="n"/>
      <c r="CC1156" s="429" t="n">
        <v>243</v>
      </c>
      <c r="CD1156" s="431" t="n">
        <v>243</v>
      </c>
      <c r="CE1156" s="688" t="n"/>
      <c r="CF1156" s="431" t="n"/>
      <c r="CG1156" s="451" t="n"/>
      <c r="CH1156" s="562">
        <f>'CIRCUIT SIM'!LK244</f>
        <v/>
      </c>
      <c r="CI1156" s="451" t="n"/>
      <c r="CK1156" s="429" t="n">
        <v>243</v>
      </c>
      <c r="CL1156" s="431" t="n">
        <v>243</v>
      </c>
      <c r="CM1156" s="688" t="n"/>
      <c r="CN1156" s="431" t="n"/>
      <c r="CO1156" s="451" t="n"/>
      <c r="CP1156" s="451" t="n"/>
      <c r="CQ1156" s="451" t="n"/>
      <c r="CS1156" s="429" t="n">
        <v>243</v>
      </c>
      <c r="CT1156" s="431" t="n">
        <v>243</v>
      </c>
      <c r="CU1156" s="688" t="n"/>
      <c r="CV1156" s="431" t="n"/>
      <c r="CW1156" s="451" t="n"/>
      <c r="CX1156" s="451" t="n"/>
      <c r="CY1156" s="451" t="n"/>
      <c r="DA1156" s="429" t="n">
        <v>243</v>
      </c>
      <c r="DB1156" s="431" t="n">
        <v>243</v>
      </c>
      <c r="DC1156" s="688" t="n"/>
      <c r="DD1156" s="431" t="n"/>
      <c r="DE1156" s="451" t="n"/>
      <c r="DF1156" s="451" t="n"/>
      <c r="DG1156" s="451" t="n"/>
      <c r="DI1156" s="429" t="n">
        <v>243</v>
      </c>
      <c r="DJ1156" s="431" t="n">
        <v>243</v>
      </c>
      <c r="DK1156" s="688" t="n"/>
      <c r="DL1156" s="431" t="n"/>
      <c r="DM1156" s="429" t="n"/>
      <c r="DN1156" s="451" t="n"/>
      <c r="DO1156" s="451" t="n"/>
      <c r="DQ1156" s="429" t="n">
        <v>243</v>
      </c>
      <c r="DR1156" s="431" t="n">
        <v>243</v>
      </c>
      <c r="DS1156" s="688" t="n"/>
      <c r="DT1156" s="431" t="n"/>
      <c r="DU1156" s="451" t="n"/>
      <c r="DV1156" s="451" t="n"/>
      <c r="DW1156" s="451" t="n"/>
      <c r="DY1156" s="429" t="n">
        <v>243</v>
      </c>
      <c r="DZ1156" s="431" t="n">
        <v>243</v>
      </c>
      <c r="EA1156" s="688" t="n"/>
      <c r="EB1156" s="431" t="n"/>
      <c r="EC1156" s="451" t="n"/>
      <c r="ED1156" s="451" t="n"/>
      <c r="EE1156" s="451" t="n"/>
      <c r="EG1156" s="429" t="n">
        <v>243</v>
      </c>
      <c r="EH1156" s="431" t="n">
        <v>243</v>
      </c>
      <c r="EI1156" s="688" t="n"/>
      <c r="EJ1156" s="431" t="n"/>
      <c r="EK1156" s="451" t="n"/>
      <c r="EL1156" s="451" t="n"/>
      <c r="EM1156" s="451" t="n"/>
      <c r="EO1156" s="429" t="n">
        <v>243</v>
      </c>
      <c r="EP1156" s="431" t="n">
        <v>243</v>
      </c>
      <c r="EQ1156" s="688" t="n"/>
      <c r="ER1156" s="431" t="n"/>
      <c r="ES1156" s="451" t="n"/>
      <c r="ET1156" s="451" t="n"/>
      <c r="EU1156" s="451" t="n"/>
      <c r="EW1156" s="429" t="n">
        <v>243</v>
      </c>
      <c r="EX1156" s="431" t="n">
        <v>243</v>
      </c>
      <c r="EY1156" s="688" t="n"/>
      <c r="EZ1156" s="431" t="n"/>
      <c r="FA1156" s="451" t="n"/>
      <c r="FB1156" s="451" t="n"/>
      <c r="FC1156" s="451" t="n"/>
      <c r="FE1156" s="429" t="n">
        <v>243</v>
      </c>
      <c r="FF1156" s="431" t="n">
        <v>243</v>
      </c>
      <c r="FG1156" s="688" t="n"/>
      <c r="FH1156" s="431" t="n"/>
      <c r="FI1156" s="451" t="n"/>
      <c r="FJ1156" s="451" t="n"/>
      <c r="FK1156" s="451" t="n"/>
      <c r="FM1156" s="429" t="n">
        <v>243</v>
      </c>
      <c r="FN1156" s="431" t="n">
        <v>243</v>
      </c>
      <c r="FO1156" s="688" t="n"/>
      <c r="FP1156" s="431" t="n"/>
      <c r="FQ1156" s="451" t="n"/>
      <c r="FR1156" s="451" t="n"/>
      <c r="FS1156" s="451" t="n"/>
      <c r="FU1156" s="429" t="n">
        <v>243</v>
      </c>
      <c r="FV1156" s="431" t="n">
        <v>243</v>
      </c>
      <c r="FW1156" s="688" t="n"/>
      <c r="FX1156" s="431" t="n"/>
      <c r="FY1156" s="451" t="n"/>
      <c r="FZ1156" s="562">
        <f>'CIRCUIT SIM'!JG246</f>
        <v/>
      </c>
      <c r="GA1156" s="451" t="n"/>
      <c r="GC1156" s="429" t="n">
        <v>243</v>
      </c>
      <c r="GD1156" s="431" t="n">
        <v>243</v>
      </c>
      <c r="GE1156" s="688" t="n"/>
      <c r="GF1156" s="431" t="n"/>
      <c r="GG1156" s="451" t="n"/>
      <c r="GH1156" s="451" t="n"/>
      <c r="GI1156" s="451" t="n"/>
      <c r="GK1156" s="429" t="n">
        <v>243</v>
      </c>
      <c r="GL1156" s="431" t="n">
        <v>243</v>
      </c>
      <c r="GM1156" s="688" t="n"/>
      <c r="GN1156" s="431" t="n"/>
      <c r="GO1156" s="451" t="n"/>
      <c r="GP1156" s="451" t="n"/>
      <c r="GQ1156" s="451" t="n"/>
      <c r="GS1156" s="429" t="n">
        <v>243</v>
      </c>
      <c r="GT1156" s="431" t="n">
        <v>243</v>
      </c>
      <c r="GU1156" s="688" t="n"/>
      <c r="GV1156" s="431" t="n"/>
      <c r="GW1156" s="451" t="n"/>
      <c r="GX1156" s="451" t="n"/>
      <c r="GY1156" s="451" t="n"/>
      <c r="HA1156" s="429" t="n">
        <v>243</v>
      </c>
      <c r="HB1156" s="431" t="n">
        <v>243</v>
      </c>
      <c r="HC1156" s="688" t="n"/>
      <c r="HD1156" s="431" t="n"/>
      <c r="HE1156" s="451" t="n"/>
      <c r="HF1156" s="451" t="n"/>
      <c r="HG1156" s="451" t="n"/>
    </row>
    <row r="1157">
      <c r="A1157" s="429" t="n">
        <v>244</v>
      </c>
      <c r="B1157" s="431" t="n">
        <v>244</v>
      </c>
      <c r="C1157" s="688" t="n"/>
      <c r="D1157" s="431" t="n"/>
      <c r="E1157" s="429" t="n"/>
      <c r="F1157" s="429" t="n"/>
      <c r="G1157" s="429" t="n"/>
      <c r="I1157" s="429" t="n">
        <v>244</v>
      </c>
      <c r="J1157" s="431" t="n">
        <v>244</v>
      </c>
      <c r="K1157" s="429" t="n"/>
      <c r="L1157" s="431" t="n"/>
      <c r="M1157" s="451" t="n"/>
      <c r="N1157" s="422">
        <f>'CIRCUIT SIM'!Y247</f>
        <v/>
      </c>
      <c r="O1157" s="451" t="n"/>
      <c r="Q1157" s="429" t="n">
        <v>244</v>
      </c>
      <c r="R1157" s="431" t="n">
        <v>244</v>
      </c>
      <c r="S1157" s="429" t="n"/>
      <c r="T1157" s="431" t="n"/>
      <c r="U1157" s="429" t="n"/>
      <c r="V1157" s="451" t="n"/>
      <c r="W1157" s="451" t="n"/>
      <c r="Y1157" s="429" t="n">
        <v>244</v>
      </c>
      <c r="Z1157" s="431" t="n">
        <v>244</v>
      </c>
      <c r="AA1157" s="429" t="n"/>
      <c r="AB1157" s="431" t="n"/>
      <c r="AC1157" s="451" t="n"/>
      <c r="AD1157" s="451" t="n"/>
      <c r="AE1157" s="451" t="n"/>
      <c r="AG1157" s="429" t="n">
        <v>244</v>
      </c>
      <c r="AH1157" s="431" t="n">
        <v>244</v>
      </c>
      <c r="AI1157" s="429" t="n"/>
      <c r="AJ1157" s="431" t="n"/>
      <c r="AK1157" s="451" t="n"/>
      <c r="AL1157" s="451" t="n"/>
      <c r="AM1157" s="451" t="n"/>
      <c r="AO1157" s="429" t="n">
        <v>244</v>
      </c>
      <c r="AP1157" s="431" t="n">
        <v>244</v>
      </c>
      <c r="AQ1157" s="429" t="n"/>
      <c r="AR1157" s="431" t="n"/>
      <c r="AS1157" s="451" t="n"/>
      <c r="AT1157" s="451" t="n"/>
      <c r="AU1157" s="451" t="n"/>
      <c r="AW1157" s="429" t="n">
        <v>244</v>
      </c>
      <c r="AX1157" s="431" t="n">
        <v>244</v>
      </c>
      <c r="AY1157" s="429" t="n"/>
      <c r="AZ1157" s="431" t="n"/>
      <c r="BA1157" s="451" t="n"/>
      <c r="BB1157" s="451" t="n"/>
      <c r="BC1157" s="451" t="n"/>
      <c r="BE1157" s="429" t="n">
        <v>244</v>
      </c>
      <c r="BF1157" s="431" t="n"/>
      <c r="BG1157" s="429" t="n"/>
      <c r="BH1157" s="431" t="n"/>
      <c r="BI1157" s="451" t="n"/>
      <c r="BJ1157" s="451" t="n"/>
      <c r="BK1157" s="451" t="n"/>
      <c r="BM1157" s="429" t="n">
        <v>244</v>
      </c>
      <c r="BN1157" s="431" t="n">
        <v>244</v>
      </c>
      <c r="BO1157" s="429" t="n"/>
      <c r="BP1157" s="431" t="n"/>
      <c r="BQ1157" s="451" t="n"/>
      <c r="BR1157" s="451" t="n"/>
      <c r="BS1157" s="451" t="n"/>
      <c r="BU1157" s="429" t="n">
        <v>244</v>
      </c>
      <c r="BV1157" s="431" t="n">
        <v>244</v>
      </c>
      <c r="BW1157" s="429" t="n"/>
      <c r="BX1157" s="431" t="n"/>
      <c r="BY1157" s="451" t="n"/>
      <c r="BZ1157" s="451">
        <f>'CIRCUIT SIM'!EI247</f>
        <v/>
      </c>
      <c r="CA1157" s="451" t="n"/>
      <c r="CC1157" s="429" t="n">
        <v>244</v>
      </c>
      <c r="CD1157" s="431" t="n">
        <v>244</v>
      </c>
      <c r="CE1157" s="688" t="n"/>
      <c r="CF1157" s="431" t="n"/>
      <c r="CG1157" s="451" t="n"/>
      <c r="CH1157" s="562">
        <f>'CIRCUIT SIM'!LK245</f>
        <v/>
      </c>
      <c r="CI1157" s="451" t="n"/>
      <c r="CK1157" s="429" t="n">
        <v>244</v>
      </c>
      <c r="CL1157" s="431" t="n">
        <v>244</v>
      </c>
      <c r="CM1157" s="688" t="n"/>
      <c r="CN1157" s="431" t="n"/>
      <c r="CO1157" s="451" t="n"/>
      <c r="CP1157" s="451" t="n"/>
      <c r="CQ1157" s="451" t="n"/>
      <c r="CS1157" s="429" t="n">
        <v>244</v>
      </c>
      <c r="CT1157" s="431" t="n">
        <v>244</v>
      </c>
      <c r="CU1157" s="688" t="n"/>
      <c r="CV1157" s="431" t="n"/>
      <c r="CW1157" s="451" t="n"/>
      <c r="CX1157" s="451" t="n"/>
      <c r="CY1157" s="451" t="n"/>
      <c r="DA1157" s="429" t="n">
        <v>244</v>
      </c>
      <c r="DB1157" s="431" t="n">
        <v>244</v>
      </c>
      <c r="DC1157" s="688" t="n"/>
      <c r="DD1157" s="431" t="n"/>
      <c r="DE1157" s="451" t="n"/>
      <c r="DF1157" s="451" t="n"/>
      <c r="DG1157" s="451" t="n"/>
      <c r="DI1157" s="429" t="n">
        <v>244</v>
      </c>
      <c r="DJ1157" s="431" t="n">
        <v>244</v>
      </c>
      <c r="DK1157" s="688" t="n"/>
      <c r="DL1157" s="431" t="n"/>
      <c r="DM1157" s="429" t="n"/>
      <c r="DN1157" s="451" t="n"/>
      <c r="DO1157" s="451" t="n"/>
      <c r="DQ1157" s="429" t="n">
        <v>244</v>
      </c>
      <c r="DR1157" s="431" t="n">
        <v>244</v>
      </c>
      <c r="DS1157" s="688" t="n"/>
      <c r="DT1157" s="431" t="n"/>
      <c r="DU1157" s="451" t="n"/>
      <c r="DV1157" s="451" t="n"/>
      <c r="DW1157" s="451" t="n"/>
      <c r="DY1157" s="429" t="n">
        <v>244</v>
      </c>
      <c r="DZ1157" s="431" t="n">
        <v>244</v>
      </c>
      <c r="EA1157" s="688" t="n"/>
      <c r="EB1157" s="431" t="n"/>
      <c r="EC1157" s="451" t="n"/>
      <c r="ED1157" s="451" t="n"/>
      <c r="EE1157" s="451" t="n"/>
      <c r="EG1157" s="429" t="n">
        <v>244</v>
      </c>
      <c r="EH1157" s="431" t="n">
        <v>244</v>
      </c>
      <c r="EI1157" s="688" t="n"/>
      <c r="EJ1157" s="431" t="n"/>
      <c r="EK1157" s="451" t="n"/>
      <c r="EL1157" s="451" t="n"/>
      <c r="EM1157" s="451" t="n"/>
      <c r="EO1157" s="429" t="n">
        <v>244</v>
      </c>
      <c r="EP1157" s="431" t="n">
        <v>244</v>
      </c>
      <c r="EQ1157" s="688" t="n"/>
      <c r="ER1157" s="431" t="n"/>
      <c r="ES1157" s="451" t="n"/>
      <c r="ET1157" s="451" t="n"/>
      <c r="EU1157" s="451" t="n"/>
      <c r="EW1157" s="429" t="n">
        <v>244</v>
      </c>
      <c r="EX1157" s="431" t="n">
        <v>244</v>
      </c>
      <c r="EY1157" s="688" t="n"/>
      <c r="EZ1157" s="431" t="n"/>
      <c r="FA1157" s="451" t="n"/>
      <c r="FB1157" s="451" t="n"/>
      <c r="FC1157" s="451" t="n"/>
      <c r="FE1157" s="429" t="n">
        <v>244</v>
      </c>
      <c r="FF1157" s="431" t="n">
        <v>244</v>
      </c>
      <c r="FG1157" s="688" t="n"/>
      <c r="FH1157" s="431" t="n"/>
      <c r="FI1157" s="451" t="n"/>
      <c r="FJ1157" s="451" t="n"/>
      <c r="FK1157" s="451" t="n"/>
      <c r="FM1157" s="429" t="n">
        <v>244</v>
      </c>
      <c r="FN1157" s="431" t="n">
        <v>244</v>
      </c>
      <c r="FO1157" s="688" t="n"/>
      <c r="FP1157" s="431" t="n"/>
      <c r="FQ1157" s="451" t="n"/>
      <c r="FR1157" s="451" t="n"/>
      <c r="FS1157" s="451" t="n"/>
      <c r="FU1157" s="429" t="n">
        <v>244</v>
      </c>
      <c r="FV1157" s="431" t="n">
        <v>244</v>
      </c>
      <c r="FW1157" s="688" t="n"/>
      <c r="FX1157" s="431" t="n"/>
      <c r="FY1157" s="451" t="n"/>
      <c r="FZ1157" s="562">
        <f>'CIRCUIT SIM'!JG247</f>
        <v/>
      </c>
      <c r="GA1157" s="451" t="n"/>
      <c r="GC1157" s="429" t="n">
        <v>244</v>
      </c>
      <c r="GD1157" s="431" t="n">
        <v>244</v>
      </c>
      <c r="GE1157" s="688" t="n"/>
      <c r="GF1157" s="431" t="n"/>
      <c r="GG1157" s="451" t="n"/>
      <c r="GH1157" s="451" t="n"/>
      <c r="GI1157" s="451" t="n"/>
      <c r="GK1157" s="429" t="n">
        <v>244</v>
      </c>
      <c r="GL1157" s="431" t="n">
        <v>244</v>
      </c>
      <c r="GM1157" s="688" t="n"/>
      <c r="GN1157" s="431" t="n"/>
      <c r="GO1157" s="451" t="n"/>
      <c r="GP1157" s="451" t="n"/>
      <c r="GQ1157" s="451" t="n"/>
      <c r="GS1157" s="429" t="n">
        <v>244</v>
      </c>
      <c r="GT1157" s="431" t="n">
        <v>244</v>
      </c>
      <c r="GU1157" s="688" t="n"/>
      <c r="GV1157" s="431" t="n"/>
      <c r="GW1157" s="451" t="n"/>
      <c r="GX1157" s="451" t="n"/>
      <c r="GY1157" s="451" t="n"/>
      <c r="HA1157" s="429" t="n">
        <v>244</v>
      </c>
      <c r="HB1157" s="431" t="n">
        <v>244</v>
      </c>
      <c r="HC1157" s="688" t="n"/>
      <c r="HD1157" s="431" t="n"/>
      <c r="HE1157" s="451" t="n"/>
      <c r="HF1157" s="451" t="n"/>
      <c r="HG1157" s="451" t="n"/>
    </row>
    <row r="1158">
      <c r="A1158" s="429" t="n">
        <v>245</v>
      </c>
      <c r="B1158" s="431" t="n">
        <v>245</v>
      </c>
      <c r="C1158" s="688" t="n"/>
      <c r="D1158" s="431" t="n"/>
      <c r="E1158" s="429" t="n"/>
      <c r="F1158" s="429" t="n"/>
      <c r="G1158" s="429" t="n"/>
      <c r="I1158" s="429" t="n">
        <v>245</v>
      </c>
      <c r="J1158" s="431" t="n">
        <v>245</v>
      </c>
      <c r="K1158" s="429" t="n"/>
      <c r="L1158" s="431" t="n"/>
      <c r="M1158" s="451" t="n"/>
      <c r="N1158" s="422">
        <f>'CIRCUIT SIM'!Y248</f>
        <v/>
      </c>
      <c r="O1158" s="451" t="n"/>
      <c r="Q1158" s="429" t="n">
        <v>245</v>
      </c>
      <c r="R1158" s="431" t="n">
        <v>245</v>
      </c>
      <c r="S1158" s="429" t="n"/>
      <c r="T1158" s="431" t="n"/>
      <c r="U1158" s="429" t="n"/>
      <c r="V1158" s="451" t="n"/>
      <c r="W1158" s="451" t="n"/>
      <c r="Y1158" s="429" t="n">
        <v>245</v>
      </c>
      <c r="Z1158" s="431" t="n">
        <v>245</v>
      </c>
      <c r="AA1158" s="429" t="n"/>
      <c r="AB1158" s="431" t="n"/>
      <c r="AC1158" s="451" t="n"/>
      <c r="AD1158" s="451" t="n"/>
      <c r="AE1158" s="451" t="n"/>
      <c r="AG1158" s="429" t="n">
        <v>245</v>
      </c>
      <c r="AH1158" s="431" t="n">
        <v>245</v>
      </c>
      <c r="AI1158" s="429" t="n"/>
      <c r="AJ1158" s="431" t="n"/>
      <c r="AK1158" s="451" t="n"/>
      <c r="AL1158" s="451" t="n"/>
      <c r="AM1158" s="451" t="n"/>
      <c r="AO1158" s="429" t="n">
        <v>245</v>
      </c>
      <c r="AP1158" s="431" t="n">
        <v>245</v>
      </c>
      <c r="AQ1158" s="429" t="n"/>
      <c r="AR1158" s="431" t="n"/>
      <c r="AS1158" s="451" t="n"/>
      <c r="AT1158" s="451" t="n"/>
      <c r="AU1158" s="451" t="n"/>
      <c r="AW1158" s="429" t="n">
        <v>245</v>
      </c>
      <c r="AX1158" s="431" t="n">
        <v>245</v>
      </c>
      <c r="AY1158" s="429" t="n"/>
      <c r="AZ1158" s="431" t="n"/>
      <c r="BA1158" s="451" t="n"/>
      <c r="BB1158" s="451" t="n"/>
      <c r="BC1158" s="451" t="n"/>
      <c r="BE1158" s="429" t="n">
        <v>245</v>
      </c>
      <c r="BF1158" s="431" t="n"/>
      <c r="BG1158" s="429" t="n"/>
      <c r="BH1158" s="431" t="n"/>
      <c r="BI1158" s="451" t="n"/>
      <c r="BJ1158" s="451" t="n"/>
      <c r="BK1158" s="451" t="n"/>
      <c r="BM1158" s="429" t="n">
        <v>245</v>
      </c>
      <c r="BN1158" s="431" t="n">
        <v>245</v>
      </c>
      <c r="BO1158" s="429" t="n"/>
      <c r="BP1158" s="431" t="n"/>
      <c r="BQ1158" s="451" t="n"/>
      <c r="BR1158" s="451" t="n"/>
      <c r="BS1158" s="451" t="n"/>
      <c r="BU1158" s="429" t="n">
        <v>245</v>
      </c>
      <c r="BV1158" s="431" t="n">
        <v>245</v>
      </c>
      <c r="BW1158" s="429" t="n"/>
      <c r="BX1158" s="431" t="n"/>
      <c r="BY1158" s="451" t="n"/>
      <c r="BZ1158" s="451">
        <f>'CIRCUIT SIM'!EI248</f>
        <v/>
      </c>
      <c r="CA1158" s="451" t="n"/>
      <c r="CC1158" s="429" t="n">
        <v>245</v>
      </c>
      <c r="CD1158" s="431" t="n">
        <v>245</v>
      </c>
      <c r="CE1158" s="688" t="n"/>
      <c r="CF1158" s="431" t="n"/>
      <c r="CG1158" s="451" t="n"/>
      <c r="CH1158" s="562">
        <f>'CIRCUIT SIM'!LK246</f>
        <v/>
      </c>
      <c r="CI1158" s="451" t="n"/>
      <c r="CK1158" s="429" t="n">
        <v>245</v>
      </c>
      <c r="CL1158" s="431" t="n">
        <v>245</v>
      </c>
      <c r="CM1158" s="688" t="n"/>
      <c r="CN1158" s="431" t="n"/>
      <c r="CO1158" s="451" t="n"/>
      <c r="CP1158" s="451" t="n"/>
      <c r="CQ1158" s="451" t="n"/>
      <c r="CS1158" s="429" t="n">
        <v>245</v>
      </c>
      <c r="CT1158" s="431" t="n">
        <v>245</v>
      </c>
      <c r="CU1158" s="688" t="n"/>
      <c r="CV1158" s="431" t="n"/>
      <c r="CW1158" s="451" t="n"/>
      <c r="CX1158" s="451" t="n"/>
      <c r="CY1158" s="451" t="n"/>
      <c r="DA1158" s="429" t="n">
        <v>245</v>
      </c>
      <c r="DB1158" s="431" t="n">
        <v>245</v>
      </c>
      <c r="DC1158" s="688" t="n"/>
      <c r="DD1158" s="431" t="n"/>
      <c r="DE1158" s="451" t="n"/>
      <c r="DF1158" s="451" t="n"/>
      <c r="DG1158" s="451" t="n"/>
      <c r="DI1158" s="429" t="n">
        <v>245</v>
      </c>
      <c r="DJ1158" s="431" t="n">
        <v>245</v>
      </c>
      <c r="DK1158" s="688" t="n"/>
      <c r="DL1158" s="431" t="n"/>
      <c r="DM1158" s="429" t="n"/>
      <c r="DN1158" s="451" t="n"/>
      <c r="DO1158" s="451" t="n"/>
      <c r="DQ1158" s="429" t="n">
        <v>245</v>
      </c>
      <c r="DR1158" s="431" t="n">
        <v>245</v>
      </c>
      <c r="DS1158" s="688" t="n"/>
      <c r="DT1158" s="431" t="n"/>
      <c r="DU1158" s="451" t="n"/>
      <c r="DV1158" s="451" t="n"/>
      <c r="DW1158" s="451" t="n"/>
      <c r="DY1158" s="429" t="n">
        <v>245</v>
      </c>
      <c r="DZ1158" s="431" t="n">
        <v>245</v>
      </c>
      <c r="EA1158" s="688" t="n"/>
      <c r="EB1158" s="431" t="n"/>
      <c r="EC1158" s="451" t="n"/>
      <c r="ED1158" s="451" t="n"/>
      <c r="EE1158" s="451" t="n"/>
      <c r="EG1158" s="429" t="n">
        <v>245</v>
      </c>
      <c r="EH1158" s="431" t="n">
        <v>245</v>
      </c>
      <c r="EI1158" s="688" t="n"/>
      <c r="EJ1158" s="431" t="n"/>
      <c r="EK1158" s="451" t="n"/>
      <c r="EL1158" s="451" t="n"/>
      <c r="EM1158" s="451" t="n"/>
      <c r="EO1158" s="429" t="n">
        <v>245</v>
      </c>
      <c r="EP1158" s="431" t="n">
        <v>245</v>
      </c>
      <c r="EQ1158" s="688" t="n"/>
      <c r="ER1158" s="431" t="n"/>
      <c r="ES1158" s="451" t="n"/>
      <c r="ET1158" s="451" t="n"/>
      <c r="EU1158" s="451" t="n"/>
      <c r="EW1158" s="429" t="n">
        <v>245</v>
      </c>
      <c r="EX1158" s="431" t="n">
        <v>245</v>
      </c>
      <c r="EY1158" s="688" t="n"/>
      <c r="EZ1158" s="431" t="n"/>
      <c r="FA1158" s="451" t="n"/>
      <c r="FB1158" s="451" t="n"/>
      <c r="FC1158" s="451" t="n"/>
      <c r="FE1158" s="429" t="n">
        <v>245</v>
      </c>
      <c r="FF1158" s="431" t="n">
        <v>245</v>
      </c>
      <c r="FG1158" s="688" t="n"/>
      <c r="FH1158" s="431" t="n"/>
      <c r="FI1158" s="451" t="n"/>
      <c r="FJ1158" s="451" t="n"/>
      <c r="FK1158" s="451" t="n"/>
      <c r="FM1158" s="429" t="n">
        <v>245</v>
      </c>
      <c r="FN1158" s="431" t="n">
        <v>245</v>
      </c>
      <c r="FO1158" s="688" t="n"/>
      <c r="FP1158" s="431" t="n"/>
      <c r="FQ1158" s="451" t="n"/>
      <c r="FR1158" s="451" t="n"/>
      <c r="FS1158" s="451" t="n"/>
      <c r="FU1158" s="429" t="n">
        <v>245</v>
      </c>
      <c r="FV1158" s="431" t="n">
        <v>245</v>
      </c>
      <c r="FW1158" s="688" t="n"/>
      <c r="FX1158" s="431" t="n"/>
      <c r="FY1158" s="451" t="n"/>
      <c r="FZ1158" s="562">
        <f>'CIRCUIT SIM'!JG248</f>
        <v/>
      </c>
      <c r="GA1158" s="451" t="n"/>
      <c r="GC1158" s="429" t="n">
        <v>245</v>
      </c>
      <c r="GD1158" s="431" t="n">
        <v>245</v>
      </c>
      <c r="GE1158" s="688" t="n"/>
      <c r="GF1158" s="431" t="n"/>
      <c r="GG1158" s="451" t="n"/>
      <c r="GH1158" s="451" t="n"/>
      <c r="GI1158" s="451" t="n"/>
      <c r="GK1158" s="429" t="n">
        <v>245</v>
      </c>
      <c r="GL1158" s="431" t="n">
        <v>245</v>
      </c>
      <c r="GM1158" s="688" t="n"/>
      <c r="GN1158" s="431" t="n"/>
      <c r="GO1158" s="451" t="n"/>
      <c r="GP1158" s="451" t="n"/>
      <c r="GQ1158" s="451" t="n"/>
      <c r="GS1158" s="429" t="n">
        <v>245</v>
      </c>
      <c r="GT1158" s="431" t="n">
        <v>245</v>
      </c>
      <c r="GU1158" s="688" t="n"/>
      <c r="GV1158" s="431" t="n"/>
      <c r="GW1158" s="451" t="n"/>
      <c r="GX1158" s="451" t="n"/>
      <c r="GY1158" s="451" t="n"/>
      <c r="HA1158" s="429" t="n">
        <v>245</v>
      </c>
      <c r="HB1158" s="431" t="n">
        <v>245</v>
      </c>
      <c r="HC1158" s="688" t="n"/>
      <c r="HD1158" s="431" t="n"/>
      <c r="HE1158" s="451" t="n"/>
      <c r="HF1158" s="451" t="n"/>
      <c r="HG1158" s="451" t="n"/>
    </row>
    <row r="1159">
      <c r="A1159" s="429" t="n">
        <v>246</v>
      </c>
      <c r="B1159" s="431" t="n">
        <v>246</v>
      </c>
      <c r="C1159" s="688" t="n"/>
      <c r="D1159" s="431" t="n"/>
      <c r="E1159" s="429" t="n"/>
      <c r="F1159" s="429" t="n"/>
      <c r="G1159" s="429" t="n"/>
      <c r="I1159" s="429" t="n">
        <v>246</v>
      </c>
      <c r="J1159" s="431" t="n">
        <v>246</v>
      </c>
      <c r="K1159" s="429" t="n"/>
      <c r="L1159" s="431" t="n"/>
      <c r="M1159" s="451" t="n"/>
      <c r="N1159" s="422">
        <f>'CIRCUIT SIM'!Y249</f>
        <v/>
      </c>
      <c r="O1159" s="451" t="n"/>
      <c r="Q1159" s="429" t="n">
        <v>246</v>
      </c>
      <c r="R1159" s="431" t="n">
        <v>246</v>
      </c>
      <c r="S1159" s="429" t="n"/>
      <c r="T1159" s="431" t="n"/>
      <c r="U1159" s="429" t="n"/>
      <c r="V1159" s="451" t="n"/>
      <c r="W1159" s="451" t="n"/>
      <c r="Y1159" s="429" t="n">
        <v>246</v>
      </c>
      <c r="Z1159" s="431" t="n">
        <v>246</v>
      </c>
      <c r="AA1159" s="429" t="n"/>
      <c r="AB1159" s="431" t="n"/>
      <c r="AC1159" s="451" t="n"/>
      <c r="AD1159" s="451" t="n"/>
      <c r="AE1159" s="451" t="n"/>
      <c r="AG1159" s="429" t="n">
        <v>246</v>
      </c>
      <c r="AH1159" s="431" t="n">
        <v>246</v>
      </c>
      <c r="AI1159" s="429" t="n"/>
      <c r="AJ1159" s="431" t="n"/>
      <c r="AK1159" s="451" t="n"/>
      <c r="AL1159" s="451" t="n"/>
      <c r="AM1159" s="451" t="n"/>
      <c r="AO1159" s="429" t="n">
        <v>246</v>
      </c>
      <c r="AP1159" s="431" t="n">
        <v>246</v>
      </c>
      <c r="AQ1159" s="429" t="n"/>
      <c r="AR1159" s="431" t="n"/>
      <c r="AS1159" s="451" t="n"/>
      <c r="AT1159" s="451" t="n"/>
      <c r="AU1159" s="451" t="n"/>
      <c r="AW1159" s="429" t="n">
        <v>246</v>
      </c>
      <c r="AX1159" s="431" t="n">
        <v>246</v>
      </c>
      <c r="AY1159" s="429" t="n"/>
      <c r="AZ1159" s="431" t="n"/>
      <c r="BA1159" s="451" t="n"/>
      <c r="BB1159" s="451" t="n"/>
      <c r="BC1159" s="451" t="n"/>
      <c r="BE1159" s="429" t="n">
        <v>246</v>
      </c>
      <c r="BF1159" s="431" t="n"/>
      <c r="BG1159" s="429" t="n"/>
      <c r="BH1159" s="431" t="n"/>
      <c r="BI1159" s="451" t="n"/>
      <c r="BJ1159" s="451" t="n"/>
      <c r="BK1159" s="451" t="n"/>
      <c r="BM1159" s="429" t="n">
        <v>246</v>
      </c>
      <c r="BN1159" s="431" t="n">
        <v>246</v>
      </c>
      <c r="BO1159" s="429" t="n"/>
      <c r="BP1159" s="431" t="n"/>
      <c r="BQ1159" s="451" t="n"/>
      <c r="BR1159" s="451" t="n"/>
      <c r="BS1159" s="451" t="n"/>
      <c r="BU1159" s="429" t="n">
        <v>246</v>
      </c>
      <c r="BV1159" s="431" t="n">
        <v>246</v>
      </c>
      <c r="BW1159" s="429" t="n"/>
      <c r="BX1159" s="431" t="n"/>
      <c r="BY1159" s="451" t="n"/>
      <c r="BZ1159" s="451" t="n"/>
      <c r="CA1159" s="451" t="n"/>
      <c r="CC1159" s="429" t="n">
        <v>246</v>
      </c>
      <c r="CD1159" s="431" t="n">
        <v>246</v>
      </c>
      <c r="CE1159" s="688" t="n"/>
      <c r="CF1159" s="431" t="n"/>
      <c r="CG1159" s="451" t="n"/>
      <c r="CH1159" s="562">
        <f>'CIRCUIT SIM'!LK247</f>
        <v/>
      </c>
      <c r="CI1159" s="451" t="n"/>
      <c r="CK1159" s="429" t="n">
        <v>246</v>
      </c>
      <c r="CL1159" s="431" t="n">
        <v>246</v>
      </c>
      <c r="CM1159" s="688" t="n"/>
      <c r="CN1159" s="431" t="n"/>
      <c r="CO1159" s="451" t="n"/>
      <c r="CP1159" s="451" t="n"/>
      <c r="CQ1159" s="451" t="n"/>
      <c r="CS1159" s="429" t="n">
        <v>246</v>
      </c>
      <c r="CT1159" s="431" t="n">
        <v>246</v>
      </c>
      <c r="CU1159" s="688" t="n"/>
      <c r="CV1159" s="431" t="n"/>
      <c r="CW1159" s="451" t="n"/>
      <c r="CX1159" s="451" t="n"/>
      <c r="CY1159" s="451" t="n"/>
      <c r="DA1159" s="429" t="n">
        <v>246</v>
      </c>
      <c r="DB1159" s="431" t="n">
        <v>246</v>
      </c>
      <c r="DC1159" s="688" t="n"/>
      <c r="DD1159" s="431" t="n"/>
      <c r="DE1159" s="451" t="n"/>
      <c r="DF1159" s="451" t="n"/>
      <c r="DG1159" s="451" t="n"/>
      <c r="DI1159" s="429" t="n">
        <v>246</v>
      </c>
      <c r="DJ1159" s="431" t="n">
        <v>246</v>
      </c>
      <c r="DK1159" s="688" t="n"/>
      <c r="DL1159" s="431" t="n"/>
      <c r="DM1159" s="429" t="n"/>
      <c r="DN1159" s="451" t="n"/>
      <c r="DO1159" s="451" t="n"/>
      <c r="DQ1159" s="429" t="n">
        <v>246</v>
      </c>
      <c r="DR1159" s="431" t="n">
        <v>246</v>
      </c>
      <c r="DS1159" s="688" t="n"/>
      <c r="DT1159" s="431" t="n"/>
      <c r="DU1159" s="451" t="n"/>
      <c r="DV1159" s="451" t="n"/>
      <c r="DW1159" s="451" t="n"/>
      <c r="DY1159" s="429" t="n">
        <v>246</v>
      </c>
      <c r="DZ1159" s="431" t="n">
        <v>246</v>
      </c>
      <c r="EA1159" s="688" t="n"/>
      <c r="EB1159" s="431" t="n"/>
      <c r="EC1159" s="451" t="n"/>
      <c r="ED1159" s="451" t="n"/>
      <c r="EE1159" s="451" t="n"/>
      <c r="EG1159" s="429" t="n">
        <v>246</v>
      </c>
      <c r="EH1159" s="431" t="n">
        <v>246</v>
      </c>
      <c r="EI1159" s="688" t="n"/>
      <c r="EJ1159" s="431" t="n"/>
      <c r="EK1159" s="451" t="n"/>
      <c r="EL1159" s="451" t="n"/>
      <c r="EM1159" s="451" t="n"/>
      <c r="EO1159" s="429" t="n">
        <v>246</v>
      </c>
      <c r="EP1159" s="431" t="n">
        <v>246</v>
      </c>
      <c r="EQ1159" s="688" t="n"/>
      <c r="ER1159" s="431" t="n"/>
      <c r="ES1159" s="451" t="n"/>
      <c r="ET1159" s="451" t="n"/>
      <c r="EU1159" s="451" t="n"/>
      <c r="EW1159" s="429" t="n">
        <v>246</v>
      </c>
      <c r="EX1159" s="431" t="n">
        <v>246</v>
      </c>
      <c r="EY1159" s="688" t="n"/>
      <c r="EZ1159" s="431" t="n"/>
      <c r="FA1159" s="451" t="n"/>
      <c r="FB1159" s="451" t="n"/>
      <c r="FC1159" s="451" t="n"/>
      <c r="FE1159" s="429" t="n">
        <v>246</v>
      </c>
      <c r="FF1159" s="431" t="n">
        <v>246</v>
      </c>
      <c r="FG1159" s="688" t="n"/>
      <c r="FH1159" s="431" t="n"/>
      <c r="FI1159" s="451" t="n"/>
      <c r="FJ1159" s="451" t="n"/>
      <c r="FK1159" s="451" t="n"/>
      <c r="FM1159" s="429" t="n">
        <v>246</v>
      </c>
      <c r="FN1159" s="431" t="n">
        <v>246</v>
      </c>
      <c r="FO1159" s="688" t="n"/>
      <c r="FP1159" s="431" t="n"/>
      <c r="FQ1159" s="451" t="n"/>
      <c r="FR1159" s="451" t="n"/>
      <c r="FS1159" s="451" t="n"/>
      <c r="FU1159" s="429" t="n">
        <v>246</v>
      </c>
      <c r="FV1159" s="431" t="n">
        <v>246</v>
      </c>
      <c r="FW1159" s="688" t="n"/>
      <c r="FX1159" s="431" t="n"/>
      <c r="FY1159" s="451" t="n"/>
      <c r="FZ1159" s="562">
        <f>'CIRCUIT SIM'!JG249</f>
        <v/>
      </c>
      <c r="GA1159" s="451" t="n"/>
      <c r="GC1159" s="429" t="n">
        <v>246</v>
      </c>
      <c r="GD1159" s="431" t="n">
        <v>246</v>
      </c>
      <c r="GE1159" s="688" t="n"/>
      <c r="GF1159" s="431" t="n"/>
      <c r="GG1159" s="451" t="n"/>
      <c r="GH1159" s="451" t="n"/>
      <c r="GI1159" s="451" t="n"/>
      <c r="GK1159" s="429" t="n">
        <v>246</v>
      </c>
      <c r="GL1159" s="431" t="n">
        <v>246</v>
      </c>
      <c r="GM1159" s="688" t="n"/>
      <c r="GN1159" s="431" t="n"/>
      <c r="GO1159" s="451" t="n"/>
      <c r="GP1159" s="451" t="n"/>
      <c r="GQ1159" s="451" t="n"/>
      <c r="GS1159" s="429" t="n">
        <v>246</v>
      </c>
      <c r="GT1159" s="431" t="n">
        <v>246</v>
      </c>
      <c r="GU1159" s="688" t="n"/>
      <c r="GV1159" s="431" t="n"/>
      <c r="GW1159" s="451" t="n"/>
      <c r="GX1159" s="451" t="n"/>
      <c r="GY1159" s="451" t="n"/>
      <c r="HA1159" s="429" t="n">
        <v>246</v>
      </c>
      <c r="HB1159" s="431" t="n">
        <v>246</v>
      </c>
      <c r="HC1159" s="688" t="n"/>
      <c r="HD1159" s="431" t="n"/>
      <c r="HE1159" s="451" t="n"/>
      <c r="HF1159" s="451" t="n"/>
      <c r="HG1159" s="451" t="n"/>
    </row>
    <row r="1160">
      <c r="A1160" s="429" t="n">
        <v>247</v>
      </c>
      <c r="B1160" s="431" t="n">
        <v>247</v>
      </c>
      <c r="C1160" s="688" t="n"/>
      <c r="D1160" s="431" t="n"/>
      <c r="E1160" s="429" t="n"/>
      <c r="F1160" s="429" t="n"/>
      <c r="G1160" s="429" t="n"/>
      <c r="I1160" s="429" t="n">
        <v>247</v>
      </c>
      <c r="J1160" s="431" t="n">
        <v>247</v>
      </c>
      <c r="K1160" s="429" t="n"/>
      <c r="L1160" s="431" t="n"/>
      <c r="M1160" s="451" t="n"/>
      <c r="N1160" s="422">
        <f>'CIRCUIT SIM'!Y250</f>
        <v/>
      </c>
      <c r="O1160" s="451" t="n"/>
      <c r="Q1160" s="429" t="n">
        <v>247</v>
      </c>
      <c r="R1160" s="431" t="n">
        <v>247</v>
      </c>
      <c r="S1160" s="429" t="n"/>
      <c r="T1160" s="431" t="n"/>
      <c r="U1160" s="429" t="n"/>
      <c r="V1160" s="451" t="n"/>
      <c r="W1160" s="451" t="n"/>
      <c r="Y1160" s="429" t="n">
        <v>247</v>
      </c>
      <c r="Z1160" s="431" t="n">
        <v>247</v>
      </c>
      <c r="AA1160" s="429" t="n"/>
      <c r="AB1160" s="431" t="n"/>
      <c r="AC1160" s="451" t="n"/>
      <c r="AD1160" s="451" t="n"/>
      <c r="AE1160" s="451" t="n"/>
      <c r="AG1160" s="429" t="n">
        <v>247</v>
      </c>
      <c r="AH1160" s="431" t="n">
        <v>247</v>
      </c>
      <c r="AI1160" s="429" t="n"/>
      <c r="AJ1160" s="431" t="n"/>
      <c r="AK1160" s="451" t="n"/>
      <c r="AL1160" s="451" t="n"/>
      <c r="AM1160" s="451" t="n"/>
      <c r="AO1160" s="429" t="n">
        <v>247</v>
      </c>
      <c r="AP1160" s="431" t="n">
        <v>247</v>
      </c>
      <c r="AQ1160" s="429" t="n"/>
      <c r="AR1160" s="431" t="n"/>
      <c r="AS1160" s="451" t="n"/>
      <c r="AT1160" s="451" t="n"/>
      <c r="AU1160" s="451" t="n"/>
      <c r="AW1160" s="429" t="n">
        <v>247</v>
      </c>
      <c r="AX1160" s="431" t="n">
        <v>247</v>
      </c>
      <c r="AY1160" s="429" t="n"/>
      <c r="AZ1160" s="431" t="n"/>
      <c r="BA1160" s="451" t="n"/>
      <c r="BB1160" s="451" t="n"/>
      <c r="BC1160" s="451" t="n"/>
      <c r="BE1160" s="429" t="n">
        <v>247</v>
      </c>
      <c r="BF1160" s="431" t="n"/>
      <c r="BG1160" s="429" t="n"/>
      <c r="BH1160" s="431" t="n"/>
      <c r="BI1160" s="451" t="n"/>
      <c r="BJ1160" s="451" t="n"/>
      <c r="BK1160" s="451" t="n"/>
      <c r="BM1160" s="429" t="n">
        <v>247</v>
      </c>
      <c r="BN1160" s="431" t="n">
        <v>247</v>
      </c>
      <c r="BO1160" s="429" t="n"/>
      <c r="BP1160" s="431" t="n"/>
      <c r="BQ1160" s="451" t="n"/>
      <c r="BR1160" s="451" t="n"/>
      <c r="BS1160" s="451" t="n"/>
      <c r="BU1160" s="429" t="n">
        <v>247</v>
      </c>
      <c r="BV1160" s="431" t="n">
        <v>247</v>
      </c>
      <c r="BW1160" s="429" t="n"/>
      <c r="BX1160" s="431" t="n"/>
      <c r="BY1160" s="451" t="n"/>
      <c r="BZ1160" s="451" t="n"/>
      <c r="CA1160" s="451" t="n"/>
      <c r="CC1160" s="429" t="n">
        <v>247</v>
      </c>
      <c r="CD1160" s="431" t="n">
        <v>247</v>
      </c>
      <c r="CE1160" s="688" t="n"/>
      <c r="CF1160" s="431" t="n"/>
      <c r="CG1160" s="451" t="n"/>
      <c r="CH1160" s="562">
        <f>'CIRCUIT SIM'!LK248</f>
        <v/>
      </c>
      <c r="CI1160" s="451" t="n"/>
      <c r="CK1160" s="429" t="n">
        <v>247</v>
      </c>
      <c r="CL1160" s="431" t="n">
        <v>247</v>
      </c>
      <c r="CM1160" s="688" t="n"/>
      <c r="CN1160" s="431" t="n"/>
      <c r="CO1160" s="451" t="n"/>
      <c r="CP1160" s="451" t="n"/>
      <c r="CQ1160" s="451" t="n"/>
      <c r="CS1160" s="429" t="n">
        <v>247</v>
      </c>
      <c r="CT1160" s="431" t="n">
        <v>247</v>
      </c>
      <c r="CU1160" s="688" t="n"/>
      <c r="CV1160" s="431" t="n"/>
      <c r="CW1160" s="451" t="n"/>
      <c r="CX1160" s="451" t="n"/>
      <c r="CY1160" s="451" t="n"/>
      <c r="DA1160" s="429" t="n">
        <v>247</v>
      </c>
      <c r="DB1160" s="431" t="n">
        <v>247</v>
      </c>
      <c r="DC1160" s="688" t="n"/>
      <c r="DD1160" s="431" t="n"/>
      <c r="DE1160" s="451" t="n"/>
      <c r="DF1160" s="451" t="n"/>
      <c r="DG1160" s="451" t="n"/>
      <c r="DI1160" s="429" t="n">
        <v>247</v>
      </c>
      <c r="DJ1160" s="431" t="n">
        <v>247</v>
      </c>
      <c r="DK1160" s="688" t="n"/>
      <c r="DL1160" s="431" t="n"/>
      <c r="DM1160" s="429" t="n"/>
      <c r="DN1160" s="451" t="n"/>
      <c r="DO1160" s="451" t="n"/>
      <c r="DQ1160" s="429" t="n">
        <v>247</v>
      </c>
      <c r="DR1160" s="431" t="n">
        <v>247</v>
      </c>
      <c r="DS1160" s="688" t="n"/>
      <c r="DT1160" s="431" t="n"/>
      <c r="DU1160" s="451" t="n"/>
      <c r="DV1160" s="451" t="n"/>
      <c r="DW1160" s="451" t="n"/>
      <c r="DY1160" s="429" t="n">
        <v>247</v>
      </c>
      <c r="DZ1160" s="431" t="n">
        <v>247</v>
      </c>
      <c r="EA1160" s="688" t="n"/>
      <c r="EB1160" s="431" t="n"/>
      <c r="EC1160" s="451" t="n"/>
      <c r="ED1160" s="451" t="n"/>
      <c r="EE1160" s="451" t="n"/>
      <c r="EG1160" s="429" t="n">
        <v>247</v>
      </c>
      <c r="EH1160" s="431" t="n">
        <v>247</v>
      </c>
      <c r="EI1160" s="688" t="n"/>
      <c r="EJ1160" s="431" t="n"/>
      <c r="EK1160" s="451" t="n"/>
      <c r="EL1160" s="451" t="n"/>
      <c r="EM1160" s="451" t="n"/>
      <c r="EO1160" s="429" t="n">
        <v>247</v>
      </c>
      <c r="EP1160" s="431" t="n">
        <v>247</v>
      </c>
      <c r="EQ1160" s="688" t="n"/>
      <c r="ER1160" s="431" t="n"/>
      <c r="ES1160" s="451" t="n"/>
      <c r="ET1160" s="451" t="n"/>
      <c r="EU1160" s="451" t="n"/>
      <c r="EW1160" s="429" t="n">
        <v>247</v>
      </c>
      <c r="EX1160" s="431" t="n">
        <v>247</v>
      </c>
      <c r="EY1160" s="688" t="n"/>
      <c r="EZ1160" s="431" t="n"/>
      <c r="FA1160" s="451" t="n"/>
      <c r="FB1160" s="451" t="n"/>
      <c r="FC1160" s="451" t="n"/>
      <c r="FE1160" s="429" t="n">
        <v>247</v>
      </c>
      <c r="FF1160" s="431" t="n">
        <v>247</v>
      </c>
      <c r="FG1160" s="688" t="n"/>
      <c r="FH1160" s="431" t="n"/>
      <c r="FI1160" s="451" t="n"/>
      <c r="FJ1160" s="451" t="n"/>
      <c r="FK1160" s="451" t="n"/>
      <c r="FM1160" s="429" t="n">
        <v>247</v>
      </c>
      <c r="FN1160" s="431" t="n">
        <v>247</v>
      </c>
      <c r="FO1160" s="688" t="n"/>
      <c r="FP1160" s="431" t="n"/>
      <c r="FQ1160" s="451" t="n"/>
      <c r="FR1160" s="451" t="n"/>
      <c r="FS1160" s="451" t="n"/>
      <c r="FU1160" s="429" t="n">
        <v>247</v>
      </c>
      <c r="FV1160" s="431" t="n">
        <v>247</v>
      </c>
      <c r="FW1160" s="688" t="n"/>
      <c r="FX1160" s="431" t="n"/>
      <c r="FY1160" s="451" t="n"/>
      <c r="FZ1160" s="562">
        <f>'CIRCUIT SIM'!JG250</f>
        <v/>
      </c>
      <c r="GA1160" s="451" t="n"/>
      <c r="GC1160" s="429" t="n">
        <v>247</v>
      </c>
      <c r="GD1160" s="431" t="n">
        <v>247</v>
      </c>
      <c r="GE1160" s="688" t="n"/>
      <c r="GF1160" s="431" t="n"/>
      <c r="GG1160" s="451" t="n"/>
      <c r="GH1160" s="451" t="n"/>
      <c r="GI1160" s="451" t="n"/>
      <c r="GK1160" s="429" t="n">
        <v>247</v>
      </c>
      <c r="GL1160" s="431" t="n">
        <v>247</v>
      </c>
      <c r="GM1160" s="688" t="n"/>
      <c r="GN1160" s="431" t="n"/>
      <c r="GO1160" s="451" t="n"/>
      <c r="GP1160" s="451" t="n"/>
      <c r="GQ1160" s="451" t="n"/>
      <c r="GS1160" s="429" t="n">
        <v>247</v>
      </c>
      <c r="GT1160" s="431" t="n">
        <v>247</v>
      </c>
      <c r="GU1160" s="688" t="n"/>
      <c r="GV1160" s="431" t="n"/>
      <c r="GW1160" s="451" t="n"/>
      <c r="GX1160" s="451" t="n"/>
      <c r="GY1160" s="451" t="n"/>
      <c r="HA1160" s="429" t="n">
        <v>247</v>
      </c>
      <c r="HB1160" s="431" t="n">
        <v>247</v>
      </c>
      <c r="HC1160" s="688" t="n"/>
      <c r="HD1160" s="431" t="n"/>
      <c r="HE1160" s="451" t="n"/>
      <c r="HF1160" s="451" t="n"/>
      <c r="HG1160" s="451" t="n"/>
    </row>
    <row r="1161">
      <c r="A1161" s="429" t="n">
        <v>248</v>
      </c>
      <c r="B1161" s="431" t="n">
        <v>248</v>
      </c>
      <c r="C1161" s="688" t="n"/>
      <c r="D1161" s="431" t="n"/>
      <c r="E1161" s="429" t="n"/>
      <c r="F1161" s="429" t="n"/>
      <c r="G1161" s="429" t="n"/>
      <c r="I1161" s="429" t="n">
        <v>248</v>
      </c>
      <c r="J1161" s="431" t="n">
        <v>248</v>
      </c>
      <c r="K1161" s="429" t="n"/>
      <c r="L1161" s="431" t="n"/>
      <c r="M1161" s="451" t="n"/>
      <c r="N1161" s="422">
        <f>'CIRCUIT SIM'!Y251</f>
        <v/>
      </c>
      <c r="O1161" s="451" t="n"/>
      <c r="Q1161" s="429" t="n">
        <v>248</v>
      </c>
      <c r="R1161" s="431" t="n">
        <v>248</v>
      </c>
      <c r="S1161" s="429" t="n"/>
      <c r="T1161" s="431" t="n"/>
      <c r="U1161" s="429" t="n"/>
      <c r="V1161" s="451" t="n"/>
      <c r="W1161" s="451" t="n"/>
      <c r="Y1161" s="429" t="n">
        <v>248</v>
      </c>
      <c r="Z1161" s="431" t="n">
        <v>248</v>
      </c>
      <c r="AA1161" s="429" t="n"/>
      <c r="AB1161" s="431" t="n"/>
      <c r="AC1161" s="451" t="n"/>
      <c r="AD1161" s="451" t="n"/>
      <c r="AE1161" s="451" t="n"/>
      <c r="AG1161" s="429" t="n">
        <v>248</v>
      </c>
      <c r="AH1161" s="431" t="n">
        <v>248</v>
      </c>
      <c r="AI1161" s="429" t="n"/>
      <c r="AJ1161" s="431" t="n"/>
      <c r="AK1161" s="451" t="n"/>
      <c r="AL1161" s="451" t="n"/>
      <c r="AM1161" s="451" t="n"/>
      <c r="AO1161" s="429" t="n">
        <v>248</v>
      </c>
      <c r="AP1161" s="431" t="n">
        <v>248</v>
      </c>
      <c r="AQ1161" s="429" t="n"/>
      <c r="AR1161" s="431" t="n"/>
      <c r="AS1161" s="451" t="n"/>
      <c r="AT1161" s="451" t="n"/>
      <c r="AU1161" s="451" t="n"/>
      <c r="AW1161" s="429" t="n">
        <v>248</v>
      </c>
      <c r="AX1161" s="431" t="n">
        <v>248</v>
      </c>
      <c r="AY1161" s="429" t="n"/>
      <c r="AZ1161" s="431" t="n"/>
      <c r="BA1161" s="451" t="n"/>
      <c r="BB1161" s="451" t="n"/>
      <c r="BC1161" s="451" t="n"/>
      <c r="BE1161" s="429" t="n">
        <v>248</v>
      </c>
      <c r="BF1161" s="431" t="n"/>
      <c r="BG1161" s="429" t="n"/>
      <c r="BH1161" s="431" t="n"/>
      <c r="BI1161" s="451" t="n"/>
      <c r="BJ1161" s="451" t="n"/>
      <c r="BK1161" s="451" t="n"/>
      <c r="BM1161" s="429" t="n">
        <v>248</v>
      </c>
      <c r="BN1161" s="431" t="n">
        <v>248</v>
      </c>
      <c r="BO1161" s="429" t="n"/>
      <c r="BP1161" s="431" t="n"/>
      <c r="BQ1161" s="451" t="n"/>
      <c r="BR1161" s="451" t="n"/>
      <c r="BS1161" s="451" t="n"/>
      <c r="BU1161" s="429" t="n">
        <v>248</v>
      </c>
      <c r="BV1161" s="431" t="n">
        <v>248</v>
      </c>
      <c r="BW1161" s="429" t="n"/>
      <c r="BX1161" s="431" t="n"/>
      <c r="BY1161" s="451" t="n"/>
      <c r="BZ1161" s="451" t="n"/>
      <c r="CA1161" s="451" t="n"/>
      <c r="CC1161" s="429" t="n">
        <v>248</v>
      </c>
      <c r="CD1161" s="431" t="n">
        <v>248</v>
      </c>
      <c r="CE1161" s="688" t="n"/>
      <c r="CF1161" s="431" t="n"/>
      <c r="CG1161" s="451" t="n"/>
      <c r="CH1161" s="562">
        <f>'CIRCUIT SIM'!LK249</f>
        <v/>
      </c>
      <c r="CI1161" s="451" t="n"/>
      <c r="CK1161" s="429" t="n">
        <v>248</v>
      </c>
      <c r="CL1161" s="431" t="n">
        <v>248</v>
      </c>
      <c r="CM1161" s="688" t="n"/>
      <c r="CN1161" s="431" t="n"/>
      <c r="CO1161" s="451" t="n"/>
      <c r="CP1161" s="451" t="n"/>
      <c r="CQ1161" s="451" t="n"/>
      <c r="CS1161" s="429" t="n">
        <v>248</v>
      </c>
      <c r="CT1161" s="431" t="n">
        <v>248</v>
      </c>
      <c r="CU1161" s="688" t="n"/>
      <c r="CV1161" s="431" t="n"/>
      <c r="CW1161" s="451" t="n"/>
      <c r="CX1161" s="451" t="n"/>
      <c r="CY1161" s="451" t="n"/>
      <c r="DA1161" s="429" t="n">
        <v>248</v>
      </c>
      <c r="DB1161" s="431" t="n">
        <v>248</v>
      </c>
      <c r="DC1161" s="688" t="n"/>
      <c r="DD1161" s="431" t="n"/>
      <c r="DE1161" s="451" t="n"/>
      <c r="DF1161" s="451" t="n"/>
      <c r="DG1161" s="451" t="n"/>
      <c r="DI1161" s="429" t="n">
        <v>248</v>
      </c>
      <c r="DJ1161" s="431" t="n">
        <v>248</v>
      </c>
      <c r="DK1161" s="688" t="n"/>
      <c r="DL1161" s="431" t="n"/>
      <c r="DM1161" s="429" t="n"/>
      <c r="DN1161" s="451" t="n"/>
      <c r="DO1161" s="451" t="n"/>
      <c r="DQ1161" s="429" t="n">
        <v>248</v>
      </c>
      <c r="DR1161" s="431" t="n">
        <v>248</v>
      </c>
      <c r="DS1161" s="688" t="n"/>
      <c r="DT1161" s="431" t="n"/>
      <c r="DU1161" s="451" t="n"/>
      <c r="DV1161" s="451" t="n"/>
      <c r="DW1161" s="451" t="n"/>
      <c r="DY1161" s="429" t="n">
        <v>248</v>
      </c>
      <c r="DZ1161" s="431" t="n">
        <v>248</v>
      </c>
      <c r="EA1161" s="688" t="n"/>
      <c r="EB1161" s="431" t="n"/>
      <c r="EC1161" s="451" t="n"/>
      <c r="ED1161" s="451" t="n"/>
      <c r="EE1161" s="451" t="n"/>
      <c r="EG1161" s="429" t="n">
        <v>248</v>
      </c>
      <c r="EH1161" s="431" t="n">
        <v>248</v>
      </c>
      <c r="EI1161" s="688" t="n"/>
      <c r="EJ1161" s="431" t="n"/>
      <c r="EK1161" s="451" t="n"/>
      <c r="EL1161" s="451" t="n"/>
      <c r="EM1161" s="451" t="n"/>
      <c r="EO1161" s="429" t="n">
        <v>248</v>
      </c>
      <c r="EP1161" s="431" t="n">
        <v>248</v>
      </c>
      <c r="EQ1161" s="688" t="n"/>
      <c r="ER1161" s="431" t="n"/>
      <c r="ES1161" s="451" t="n"/>
      <c r="ET1161" s="451" t="n"/>
      <c r="EU1161" s="451" t="n"/>
      <c r="EW1161" s="429" t="n">
        <v>248</v>
      </c>
      <c r="EX1161" s="431" t="n">
        <v>248</v>
      </c>
      <c r="EY1161" s="688" t="n"/>
      <c r="EZ1161" s="431" t="n"/>
      <c r="FA1161" s="451" t="n"/>
      <c r="FB1161" s="451" t="n"/>
      <c r="FC1161" s="451" t="n"/>
      <c r="FE1161" s="429" t="n">
        <v>248</v>
      </c>
      <c r="FF1161" s="431" t="n">
        <v>248</v>
      </c>
      <c r="FG1161" s="688" t="n"/>
      <c r="FH1161" s="431" t="n"/>
      <c r="FI1161" s="451" t="n"/>
      <c r="FJ1161" s="451" t="n"/>
      <c r="FK1161" s="451" t="n"/>
      <c r="FM1161" s="429" t="n">
        <v>248</v>
      </c>
      <c r="FN1161" s="431" t="n">
        <v>248</v>
      </c>
      <c r="FO1161" s="688" t="n"/>
      <c r="FP1161" s="431" t="n"/>
      <c r="FQ1161" s="451" t="n"/>
      <c r="FR1161" s="451" t="n"/>
      <c r="FS1161" s="451" t="n"/>
      <c r="FU1161" s="429" t="n">
        <v>248</v>
      </c>
      <c r="FV1161" s="431" t="n">
        <v>248</v>
      </c>
      <c r="FW1161" s="688" t="n"/>
      <c r="FX1161" s="431" t="n"/>
      <c r="FY1161" s="451" t="n"/>
      <c r="FZ1161" s="562">
        <f>'CIRCUIT SIM'!JG251</f>
        <v/>
      </c>
      <c r="GA1161" s="451" t="n"/>
      <c r="GC1161" s="429" t="n">
        <v>248</v>
      </c>
      <c r="GD1161" s="431" t="n">
        <v>248</v>
      </c>
      <c r="GE1161" s="688" t="n"/>
      <c r="GF1161" s="431" t="n"/>
      <c r="GG1161" s="451" t="n"/>
      <c r="GH1161" s="451" t="n"/>
      <c r="GI1161" s="451" t="n"/>
      <c r="GK1161" s="429" t="n">
        <v>248</v>
      </c>
      <c r="GL1161" s="431" t="n">
        <v>248</v>
      </c>
      <c r="GM1161" s="688" t="n"/>
      <c r="GN1161" s="431" t="n"/>
      <c r="GO1161" s="451" t="n"/>
      <c r="GP1161" s="451" t="n"/>
      <c r="GQ1161" s="451" t="n"/>
      <c r="GS1161" s="429" t="n">
        <v>248</v>
      </c>
      <c r="GT1161" s="431" t="n">
        <v>248</v>
      </c>
      <c r="GU1161" s="688" t="n"/>
      <c r="GV1161" s="431" t="n"/>
      <c r="GW1161" s="451" t="n"/>
      <c r="GX1161" s="451" t="n"/>
      <c r="GY1161" s="451" t="n"/>
      <c r="HA1161" s="429" t="n">
        <v>248</v>
      </c>
      <c r="HB1161" s="431" t="n">
        <v>248</v>
      </c>
      <c r="HC1161" s="688" t="n"/>
      <c r="HD1161" s="431" t="n"/>
      <c r="HE1161" s="451" t="n"/>
      <c r="HF1161" s="451" t="n"/>
      <c r="HG1161" s="451" t="n"/>
    </row>
    <row r="1162">
      <c r="A1162" s="429" t="n">
        <v>249</v>
      </c>
      <c r="B1162" s="431" t="n">
        <v>249</v>
      </c>
      <c r="C1162" s="688" t="n"/>
      <c r="D1162" s="431" t="n"/>
      <c r="E1162" s="429" t="n"/>
      <c r="F1162" s="429" t="n"/>
      <c r="G1162" s="429" t="n"/>
      <c r="I1162" s="429" t="n">
        <v>249</v>
      </c>
      <c r="J1162" s="431" t="n">
        <v>249</v>
      </c>
      <c r="K1162" s="429" t="n"/>
      <c r="L1162" s="431" t="n"/>
      <c r="M1162" s="451" t="n"/>
      <c r="N1162" s="422" t="n"/>
      <c r="O1162" s="451" t="n"/>
      <c r="Q1162" s="429" t="n">
        <v>249</v>
      </c>
      <c r="R1162" s="431" t="n">
        <v>249</v>
      </c>
      <c r="S1162" s="429" t="n"/>
      <c r="T1162" s="431" t="n"/>
      <c r="U1162" s="429" t="n"/>
      <c r="V1162" s="451" t="n"/>
      <c r="W1162" s="451" t="n"/>
      <c r="Y1162" s="429" t="n">
        <v>249</v>
      </c>
      <c r="Z1162" s="431" t="n">
        <v>249</v>
      </c>
      <c r="AA1162" s="429" t="n"/>
      <c r="AB1162" s="431" t="n"/>
      <c r="AC1162" s="451" t="n"/>
      <c r="AD1162" s="451" t="n"/>
      <c r="AE1162" s="451" t="n"/>
      <c r="AG1162" s="429" t="n">
        <v>249</v>
      </c>
      <c r="AH1162" s="431" t="n">
        <v>249</v>
      </c>
      <c r="AI1162" s="429" t="n"/>
      <c r="AJ1162" s="431" t="n"/>
      <c r="AK1162" s="451" t="n"/>
      <c r="AL1162" s="451" t="n"/>
      <c r="AM1162" s="451" t="n"/>
      <c r="AO1162" s="429" t="n">
        <v>249</v>
      </c>
      <c r="AP1162" s="431" t="n">
        <v>249</v>
      </c>
      <c r="AQ1162" s="429" t="n"/>
      <c r="AR1162" s="431" t="n"/>
      <c r="AS1162" s="451" t="n"/>
      <c r="AT1162" s="451" t="n"/>
      <c r="AU1162" s="451" t="n"/>
      <c r="AW1162" s="429" t="n">
        <v>249</v>
      </c>
      <c r="AX1162" s="431" t="n">
        <v>249</v>
      </c>
      <c r="AY1162" s="429" t="n"/>
      <c r="AZ1162" s="431" t="n"/>
      <c r="BA1162" s="451" t="n"/>
      <c r="BB1162" s="451" t="n"/>
      <c r="BC1162" s="451" t="n"/>
      <c r="BE1162" s="429" t="n">
        <v>249</v>
      </c>
      <c r="BF1162" s="431" t="n"/>
      <c r="BG1162" s="429" t="n"/>
      <c r="BH1162" s="431" t="n"/>
      <c r="BI1162" s="451" t="n"/>
      <c r="BJ1162" s="451" t="n"/>
      <c r="BK1162" s="451" t="n"/>
      <c r="BM1162" s="429" t="n">
        <v>249</v>
      </c>
      <c r="BN1162" s="431" t="n">
        <v>249</v>
      </c>
      <c r="BO1162" s="429" t="n"/>
      <c r="BP1162" s="431" t="n"/>
      <c r="BQ1162" s="451" t="n"/>
      <c r="BR1162" s="451" t="n"/>
      <c r="BS1162" s="451" t="n"/>
      <c r="BU1162" s="429" t="n">
        <v>249</v>
      </c>
      <c r="BV1162" s="431" t="n">
        <v>249</v>
      </c>
      <c r="BW1162" s="429" t="n"/>
      <c r="BX1162" s="431" t="n"/>
      <c r="BY1162" s="451" t="n"/>
      <c r="BZ1162" s="451" t="n"/>
      <c r="CA1162" s="451" t="n"/>
      <c r="CC1162" s="429" t="n">
        <v>249</v>
      </c>
      <c r="CD1162" s="431" t="n">
        <v>249</v>
      </c>
      <c r="CE1162" s="688" t="n"/>
      <c r="CF1162" s="431" t="n"/>
      <c r="CG1162" s="451" t="n"/>
      <c r="CH1162" s="562">
        <f>'CIRCUIT SIM'!LK250</f>
        <v/>
      </c>
      <c r="CI1162" s="451" t="n"/>
      <c r="CK1162" s="429" t="n">
        <v>249</v>
      </c>
      <c r="CL1162" s="431" t="n">
        <v>249</v>
      </c>
      <c r="CM1162" s="688" t="n"/>
      <c r="CN1162" s="431" t="n"/>
      <c r="CO1162" s="451" t="n"/>
      <c r="CP1162" s="451" t="n"/>
      <c r="CQ1162" s="451" t="n"/>
      <c r="CS1162" s="429" t="n">
        <v>249</v>
      </c>
      <c r="CT1162" s="431" t="n">
        <v>249</v>
      </c>
      <c r="CU1162" s="688" t="n"/>
      <c r="CV1162" s="431" t="n"/>
      <c r="CW1162" s="451" t="n"/>
      <c r="CX1162" s="451" t="n"/>
      <c r="CY1162" s="451" t="n"/>
      <c r="DA1162" s="429" t="n">
        <v>249</v>
      </c>
      <c r="DB1162" s="431" t="n">
        <v>249</v>
      </c>
      <c r="DC1162" s="688" t="n"/>
      <c r="DD1162" s="431" t="n"/>
      <c r="DE1162" s="451" t="n"/>
      <c r="DF1162" s="451" t="n"/>
      <c r="DG1162" s="451" t="n"/>
      <c r="DI1162" s="429" t="n">
        <v>249</v>
      </c>
      <c r="DJ1162" s="431" t="n">
        <v>249</v>
      </c>
      <c r="DK1162" s="688" t="n"/>
      <c r="DL1162" s="431" t="n"/>
      <c r="DM1162" s="429" t="n"/>
      <c r="DN1162" s="451" t="n"/>
      <c r="DO1162" s="451" t="n"/>
      <c r="DQ1162" s="429" t="n">
        <v>249</v>
      </c>
      <c r="DR1162" s="431" t="n">
        <v>249</v>
      </c>
      <c r="DS1162" s="688" t="n"/>
      <c r="DT1162" s="431" t="n"/>
      <c r="DU1162" s="451" t="n"/>
      <c r="DV1162" s="451" t="n"/>
      <c r="DW1162" s="451" t="n"/>
      <c r="DY1162" s="429" t="n">
        <v>249</v>
      </c>
      <c r="DZ1162" s="431" t="n">
        <v>249</v>
      </c>
      <c r="EA1162" s="688" t="n"/>
      <c r="EB1162" s="431" t="n"/>
      <c r="EC1162" s="451" t="n"/>
      <c r="ED1162" s="451" t="n"/>
      <c r="EE1162" s="451" t="n"/>
      <c r="EG1162" s="429" t="n">
        <v>249</v>
      </c>
      <c r="EH1162" s="431" t="n">
        <v>249</v>
      </c>
      <c r="EI1162" s="688" t="n"/>
      <c r="EJ1162" s="431" t="n"/>
      <c r="EK1162" s="451" t="n"/>
      <c r="EL1162" s="451" t="n"/>
      <c r="EM1162" s="451" t="n"/>
      <c r="EO1162" s="429" t="n">
        <v>249</v>
      </c>
      <c r="EP1162" s="431" t="n">
        <v>249</v>
      </c>
      <c r="EQ1162" s="688" t="n"/>
      <c r="ER1162" s="431" t="n"/>
      <c r="ES1162" s="451" t="n"/>
      <c r="ET1162" s="451" t="n"/>
      <c r="EU1162" s="451" t="n"/>
      <c r="EW1162" s="429" t="n">
        <v>249</v>
      </c>
      <c r="EX1162" s="431" t="n">
        <v>249</v>
      </c>
      <c r="EY1162" s="688" t="n"/>
      <c r="EZ1162" s="431" t="n"/>
      <c r="FA1162" s="451" t="n"/>
      <c r="FB1162" s="451" t="n"/>
      <c r="FC1162" s="451" t="n"/>
      <c r="FE1162" s="429" t="n">
        <v>249</v>
      </c>
      <c r="FF1162" s="431" t="n">
        <v>249</v>
      </c>
      <c r="FG1162" s="688" t="n"/>
      <c r="FH1162" s="431" t="n"/>
      <c r="FI1162" s="451" t="n"/>
      <c r="FJ1162" s="451" t="n"/>
      <c r="FK1162" s="451" t="n"/>
      <c r="FM1162" s="429" t="n">
        <v>249</v>
      </c>
      <c r="FN1162" s="431" t="n">
        <v>249</v>
      </c>
      <c r="FO1162" s="688" t="n"/>
      <c r="FP1162" s="431" t="n"/>
      <c r="FQ1162" s="451" t="n"/>
      <c r="FR1162" s="451" t="n"/>
      <c r="FS1162" s="451" t="n"/>
      <c r="FU1162" s="429" t="n">
        <v>249</v>
      </c>
      <c r="FV1162" s="431" t="n">
        <v>249</v>
      </c>
      <c r="FW1162" s="688" t="n"/>
      <c r="FX1162" s="431" t="n"/>
      <c r="FY1162" s="451" t="n"/>
      <c r="FZ1162" s="562">
        <f>'CIRCUIT SIM'!JG252</f>
        <v/>
      </c>
      <c r="GA1162" s="451" t="n"/>
      <c r="GC1162" s="429" t="n">
        <v>249</v>
      </c>
      <c r="GD1162" s="431" t="n">
        <v>249</v>
      </c>
      <c r="GE1162" s="688" t="n"/>
      <c r="GF1162" s="431" t="n"/>
      <c r="GG1162" s="451" t="n"/>
      <c r="GH1162" s="451" t="n"/>
      <c r="GI1162" s="451" t="n"/>
      <c r="GK1162" s="429" t="n">
        <v>249</v>
      </c>
      <c r="GL1162" s="431" t="n">
        <v>249</v>
      </c>
      <c r="GM1162" s="688" t="n"/>
      <c r="GN1162" s="431" t="n"/>
      <c r="GO1162" s="451" t="n"/>
      <c r="GP1162" s="451" t="n"/>
      <c r="GQ1162" s="451" t="n"/>
      <c r="GS1162" s="429" t="n">
        <v>249</v>
      </c>
      <c r="GT1162" s="431" t="n">
        <v>249</v>
      </c>
      <c r="GU1162" s="688" t="n"/>
      <c r="GV1162" s="431" t="n"/>
      <c r="GW1162" s="451" t="n"/>
      <c r="GX1162" s="451" t="n"/>
      <c r="GY1162" s="451" t="n"/>
      <c r="HA1162" s="429" t="n">
        <v>249</v>
      </c>
      <c r="HB1162" s="431" t="n">
        <v>249</v>
      </c>
      <c r="HC1162" s="688" t="n"/>
      <c r="HD1162" s="431" t="n"/>
      <c r="HE1162" s="451" t="n"/>
      <c r="HF1162" s="451" t="n"/>
      <c r="HG1162" s="451" t="n"/>
    </row>
    <row r="1163">
      <c r="A1163" s="429" t="n">
        <v>250</v>
      </c>
      <c r="B1163" s="431" t="n">
        <v>250</v>
      </c>
      <c r="C1163" s="688" t="n"/>
      <c r="D1163" s="431" t="n"/>
      <c r="E1163" s="429" t="n"/>
      <c r="F1163" s="429" t="n"/>
      <c r="G1163" s="429" t="n"/>
      <c r="I1163" s="429" t="n">
        <v>250</v>
      </c>
      <c r="J1163" s="431" t="n">
        <v>250</v>
      </c>
      <c r="K1163" s="429" t="n"/>
      <c r="L1163" s="431" t="n"/>
      <c r="M1163" s="451" t="n"/>
      <c r="N1163" s="422" t="n"/>
      <c r="O1163" s="451" t="n"/>
      <c r="Q1163" s="429" t="n">
        <v>250</v>
      </c>
      <c r="R1163" s="431" t="n">
        <v>250</v>
      </c>
      <c r="S1163" s="429" t="n"/>
      <c r="T1163" s="431" t="n"/>
      <c r="U1163" s="429" t="n"/>
      <c r="V1163" s="451" t="n"/>
      <c r="W1163" s="451" t="n"/>
      <c r="Y1163" s="429" t="n">
        <v>250</v>
      </c>
      <c r="Z1163" s="431" t="n">
        <v>250</v>
      </c>
      <c r="AA1163" s="429" t="n"/>
      <c r="AB1163" s="431" t="n"/>
      <c r="AC1163" s="451" t="n"/>
      <c r="AD1163" s="451" t="n"/>
      <c r="AE1163" s="451" t="n"/>
      <c r="AG1163" s="429" t="n">
        <v>250</v>
      </c>
      <c r="AH1163" s="431" t="n">
        <v>250</v>
      </c>
      <c r="AI1163" s="429" t="n"/>
      <c r="AJ1163" s="431" t="n"/>
      <c r="AK1163" s="451" t="n"/>
      <c r="AL1163" s="451" t="n"/>
      <c r="AM1163" s="451" t="n"/>
      <c r="AO1163" s="429" t="n">
        <v>250</v>
      </c>
      <c r="AP1163" s="431" t="n">
        <v>250</v>
      </c>
      <c r="AQ1163" s="429" t="n"/>
      <c r="AR1163" s="431" t="n"/>
      <c r="AS1163" s="451" t="n"/>
      <c r="AT1163" s="451" t="n"/>
      <c r="AU1163" s="451" t="n"/>
      <c r="AW1163" s="429" t="n">
        <v>250</v>
      </c>
      <c r="AX1163" s="431" t="n">
        <v>250</v>
      </c>
      <c r="AY1163" s="429" t="n"/>
      <c r="AZ1163" s="431" t="n"/>
      <c r="BA1163" s="451" t="n"/>
      <c r="BB1163" s="451" t="n"/>
      <c r="BC1163" s="451" t="n"/>
      <c r="BE1163" s="429" t="n">
        <v>250</v>
      </c>
      <c r="BF1163" s="431" t="n"/>
      <c r="BG1163" s="429" t="n"/>
      <c r="BH1163" s="431" t="n"/>
      <c r="BI1163" s="451" t="n"/>
      <c r="BJ1163" s="451" t="n"/>
      <c r="BK1163" s="451" t="n"/>
      <c r="BM1163" s="429" t="n">
        <v>250</v>
      </c>
      <c r="BN1163" s="431" t="n">
        <v>250</v>
      </c>
      <c r="BO1163" s="429" t="n"/>
      <c r="BP1163" s="431" t="n"/>
      <c r="BQ1163" s="451" t="n"/>
      <c r="BR1163" s="451" t="n"/>
      <c r="BS1163" s="451" t="n"/>
      <c r="BU1163" s="429" t="n">
        <v>250</v>
      </c>
      <c r="BV1163" s="431" t="n">
        <v>250</v>
      </c>
      <c r="BW1163" s="429" t="n"/>
      <c r="BX1163" s="431" t="n"/>
      <c r="BY1163" s="451" t="n"/>
      <c r="BZ1163" s="451" t="n"/>
      <c r="CA1163" s="451" t="n"/>
      <c r="CC1163" s="429" t="n">
        <v>250</v>
      </c>
      <c r="CD1163" s="431" t="n">
        <v>250</v>
      </c>
      <c r="CE1163" s="688" t="n"/>
      <c r="CF1163" s="431" t="n"/>
      <c r="CG1163" s="451" t="n"/>
      <c r="CH1163" s="562">
        <f>'CIRCUIT SIM'!LK251</f>
        <v/>
      </c>
      <c r="CI1163" s="451" t="n"/>
      <c r="CK1163" s="429" t="n">
        <v>250</v>
      </c>
      <c r="CL1163" s="431" t="n">
        <v>250</v>
      </c>
      <c r="CM1163" s="688" t="n"/>
      <c r="CN1163" s="431" t="n"/>
      <c r="CO1163" s="451" t="n"/>
      <c r="CP1163" s="451" t="n"/>
      <c r="CQ1163" s="451" t="n"/>
      <c r="CS1163" s="429" t="n">
        <v>250</v>
      </c>
      <c r="CT1163" s="431" t="n">
        <v>250</v>
      </c>
      <c r="CU1163" s="688" t="n"/>
      <c r="CV1163" s="431" t="n"/>
      <c r="CW1163" s="451" t="n"/>
      <c r="CX1163" s="451" t="n"/>
      <c r="CY1163" s="451" t="n"/>
      <c r="DA1163" s="429" t="n">
        <v>250</v>
      </c>
      <c r="DB1163" s="431" t="n">
        <v>250</v>
      </c>
      <c r="DC1163" s="688" t="n"/>
      <c r="DD1163" s="431" t="n"/>
      <c r="DE1163" s="451" t="n"/>
      <c r="DF1163" s="451" t="n"/>
      <c r="DG1163" s="451" t="n"/>
      <c r="DI1163" s="429" t="n">
        <v>250</v>
      </c>
      <c r="DJ1163" s="431" t="n">
        <v>250</v>
      </c>
      <c r="DK1163" s="688" t="n"/>
      <c r="DL1163" s="431" t="n"/>
      <c r="DM1163" s="429" t="n"/>
      <c r="DN1163" s="451" t="n"/>
      <c r="DO1163" s="451" t="n"/>
      <c r="DQ1163" s="429" t="n">
        <v>250</v>
      </c>
      <c r="DR1163" s="431" t="n">
        <v>250</v>
      </c>
      <c r="DS1163" s="688" t="n"/>
      <c r="DT1163" s="431" t="n"/>
      <c r="DU1163" s="451" t="n"/>
      <c r="DV1163" s="451" t="n"/>
      <c r="DW1163" s="451" t="n"/>
      <c r="DY1163" s="429" t="n">
        <v>250</v>
      </c>
      <c r="DZ1163" s="431" t="n">
        <v>250</v>
      </c>
      <c r="EA1163" s="688" t="n"/>
      <c r="EB1163" s="431" t="n"/>
      <c r="EC1163" s="451" t="n"/>
      <c r="ED1163" s="451" t="n"/>
      <c r="EE1163" s="451" t="n"/>
      <c r="EG1163" s="429" t="n">
        <v>250</v>
      </c>
      <c r="EH1163" s="431" t="n">
        <v>250</v>
      </c>
      <c r="EI1163" s="688" t="n"/>
      <c r="EJ1163" s="431" t="n"/>
      <c r="EK1163" s="451" t="n"/>
      <c r="EL1163" s="451" t="n"/>
      <c r="EM1163" s="451" t="n"/>
      <c r="EO1163" s="429" t="n">
        <v>250</v>
      </c>
      <c r="EP1163" s="431" t="n">
        <v>250</v>
      </c>
      <c r="EQ1163" s="688" t="n"/>
      <c r="ER1163" s="431" t="n"/>
      <c r="ES1163" s="451" t="n"/>
      <c r="ET1163" s="451" t="n"/>
      <c r="EU1163" s="451" t="n"/>
      <c r="EW1163" s="429" t="n">
        <v>250</v>
      </c>
      <c r="EX1163" s="431" t="n">
        <v>250</v>
      </c>
      <c r="EY1163" s="688" t="n"/>
      <c r="EZ1163" s="431" t="n"/>
      <c r="FA1163" s="451" t="n"/>
      <c r="FB1163" s="451" t="n"/>
      <c r="FC1163" s="451" t="n"/>
      <c r="FE1163" s="429" t="n">
        <v>250</v>
      </c>
      <c r="FF1163" s="431" t="n">
        <v>250</v>
      </c>
      <c r="FG1163" s="688" t="n"/>
      <c r="FH1163" s="431" t="n"/>
      <c r="FI1163" s="451" t="n"/>
      <c r="FJ1163" s="451" t="n"/>
      <c r="FK1163" s="451" t="n"/>
      <c r="FM1163" s="429" t="n">
        <v>250</v>
      </c>
      <c r="FN1163" s="431" t="n">
        <v>250</v>
      </c>
      <c r="FO1163" s="688" t="n"/>
      <c r="FP1163" s="431" t="n"/>
      <c r="FQ1163" s="451" t="n"/>
      <c r="FR1163" s="451" t="n"/>
      <c r="FS1163" s="451" t="n"/>
      <c r="FU1163" s="429" t="n">
        <v>250</v>
      </c>
      <c r="FV1163" s="431" t="n">
        <v>250</v>
      </c>
      <c r="FW1163" s="688" t="n"/>
      <c r="FX1163" s="431" t="n"/>
      <c r="FY1163" s="451" t="n"/>
      <c r="FZ1163" s="562">
        <f>'CIRCUIT SIM'!JG253</f>
        <v/>
      </c>
      <c r="GA1163" s="451" t="n"/>
      <c r="GC1163" s="429" t="n">
        <v>250</v>
      </c>
      <c r="GD1163" s="431" t="n">
        <v>250</v>
      </c>
      <c r="GE1163" s="688" t="n"/>
      <c r="GF1163" s="431" t="n"/>
      <c r="GG1163" s="451" t="n"/>
      <c r="GH1163" s="451" t="n"/>
      <c r="GI1163" s="451" t="n"/>
      <c r="GK1163" s="429" t="n">
        <v>250</v>
      </c>
      <c r="GL1163" s="431" t="n">
        <v>250</v>
      </c>
      <c r="GM1163" s="688" t="n"/>
      <c r="GN1163" s="431" t="n"/>
      <c r="GO1163" s="451" t="n"/>
      <c r="GP1163" s="451" t="n"/>
      <c r="GQ1163" s="451" t="n"/>
      <c r="GS1163" s="429" t="n">
        <v>250</v>
      </c>
      <c r="GT1163" s="431" t="n">
        <v>250</v>
      </c>
      <c r="GU1163" s="688" t="n"/>
      <c r="GV1163" s="431" t="n"/>
      <c r="GW1163" s="451" t="n"/>
      <c r="GX1163" s="451" t="n"/>
      <c r="GY1163" s="451" t="n"/>
      <c r="HA1163" s="429" t="n">
        <v>250</v>
      </c>
      <c r="HB1163" s="431" t="n">
        <v>250</v>
      </c>
      <c r="HC1163" s="688" t="n"/>
      <c r="HD1163" s="431" t="n"/>
      <c r="HE1163" s="451" t="n"/>
      <c r="HF1163" s="451" t="n"/>
      <c r="HG1163" s="451" t="n"/>
    </row>
    <row r="1164">
      <c r="A1164" s="429" t="n">
        <v>251</v>
      </c>
      <c r="B1164" s="431" t="n">
        <v>251</v>
      </c>
      <c r="C1164" s="688" t="inlineStr">
        <is>
          <t>spare</t>
        </is>
      </c>
      <c r="D1164" s="431" t="n"/>
      <c r="E1164" s="429" t="n"/>
      <c r="F1164" s="429" t="n"/>
      <c r="G1164" s="429" t="n"/>
      <c r="I1164" s="429" t="n">
        <v>251</v>
      </c>
      <c r="J1164" s="431" t="n">
        <v>251</v>
      </c>
      <c r="K1164" s="429" t="inlineStr">
        <is>
          <t>spare</t>
        </is>
      </c>
      <c r="L1164" s="431" t="n"/>
      <c r="M1164" s="451" t="n"/>
      <c r="N1164" s="422" t="n"/>
      <c r="O1164" s="451" t="n"/>
      <c r="Q1164" s="429" t="n">
        <v>251</v>
      </c>
      <c r="R1164" s="431" t="n">
        <v>251</v>
      </c>
      <c r="S1164" s="429" t="inlineStr">
        <is>
          <t>spare</t>
        </is>
      </c>
      <c r="T1164" s="431" t="n"/>
      <c r="U1164" s="429" t="n"/>
      <c r="V1164" s="451" t="n"/>
      <c r="W1164" s="451" t="n"/>
      <c r="Y1164" s="429" t="n">
        <v>251</v>
      </c>
      <c r="Z1164" s="431" t="n">
        <v>251</v>
      </c>
      <c r="AA1164" s="429" t="inlineStr">
        <is>
          <t>spare</t>
        </is>
      </c>
      <c r="AB1164" s="431" t="n"/>
      <c r="AC1164" s="451" t="n"/>
      <c r="AD1164" s="451" t="n"/>
      <c r="AE1164" s="451" t="n"/>
      <c r="AG1164" s="429" t="n">
        <v>251</v>
      </c>
      <c r="AH1164" s="431" t="n">
        <v>251</v>
      </c>
      <c r="AI1164" s="429" t="inlineStr">
        <is>
          <t>spare</t>
        </is>
      </c>
      <c r="AJ1164" s="431" t="n"/>
      <c r="AK1164" s="451" t="n"/>
      <c r="AL1164" s="451" t="n"/>
      <c r="AM1164" s="451" t="n"/>
      <c r="AO1164" s="429" t="n">
        <v>251</v>
      </c>
      <c r="AP1164" s="431" t="n">
        <v>251</v>
      </c>
      <c r="AQ1164" s="429" t="inlineStr">
        <is>
          <t>spare</t>
        </is>
      </c>
      <c r="AR1164" s="431" t="n"/>
      <c r="AS1164" s="451" t="n"/>
      <c r="AT1164" s="451" t="n"/>
      <c r="AU1164" s="451" t="n"/>
      <c r="AW1164" s="429" t="n">
        <v>251</v>
      </c>
      <c r="AX1164" s="431" t="n">
        <v>251</v>
      </c>
      <c r="AY1164" s="429" t="inlineStr">
        <is>
          <t>spare</t>
        </is>
      </c>
      <c r="AZ1164" s="431" t="n"/>
      <c r="BA1164" s="451" t="n"/>
      <c r="BB1164" s="451" t="n"/>
      <c r="BC1164" s="451" t="n"/>
      <c r="BE1164" s="429" t="n">
        <v>251</v>
      </c>
      <c r="BF1164" s="431" t="n"/>
      <c r="BG1164" s="429" t="inlineStr">
        <is>
          <t>spare</t>
        </is>
      </c>
      <c r="BH1164" s="431" t="n"/>
      <c r="BI1164" s="451" t="n"/>
      <c r="BJ1164" s="451" t="n"/>
      <c r="BK1164" s="451" t="n"/>
      <c r="BM1164" s="429" t="n">
        <v>251</v>
      </c>
      <c r="BN1164" s="431" t="n">
        <v>251</v>
      </c>
      <c r="BO1164" s="429" t="inlineStr">
        <is>
          <t>spare</t>
        </is>
      </c>
      <c r="BP1164" s="431" t="n"/>
      <c r="BQ1164" s="451" t="n"/>
      <c r="BR1164" s="451" t="n"/>
      <c r="BS1164" s="451" t="n"/>
      <c r="BU1164" s="429" t="n">
        <v>251</v>
      </c>
      <c r="BV1164" s="431" t="n">
        <v>251</v>
      </c>
      <c r="BW1164" s="429" t="inlineStr">
        <is>
          <t>spare</t>
        </is>
      </c>
      <c r="BX1164" s="431" t="n"/>
      <c r="BY1164" s="451" t="n"/>
      <c r="BZ1164" s="451" t="n"/>
      <c r="CA1164" s="451" t="n"/>
      <c r="CC1164" s="429" t="n">
        <v>251</v>
      </c>
      <c r="CD1164" s="431" t="n">
        <v>251</v>
      </c>
      <c r="CE1164" s="688" t="inlineStr">
        <is>
          <t>spare</t>
        </is>
      </c>
      <c r="CF1164" s="431" t="n"/>
      <c r="CG1164" s="451" t="n"/>
      <c r="CH1164" s="562">
        <f>'CIRCUIT SIM'!LK252</f>
        <v/>
      </c>
      <c r="CI1164" s="451" t="n"/>
      <c r="CK1164" s="429" t="n">
        <v>251</v>
      </c>
      <c r="CL1164" s="431" t="n">
        <v>251</v>
      </c>
      <c r="CM1164" s="688" t="inlineStr">
        <is>
          <t>spare</t>
        </is>
      </c>
      <c r="CN1164" s="431" t="n"/>
      <c r="CO1164" s="451" t="n"/>
      <c r="CP1164" s="451" t="n"/>
      <c r="CQ1164" s="451" t="n"/>
      <c r="CS1164" s="429" t="n">
        <v>251</v>
      </c>
      <c r="CT1164" s="431" t="n">
        <v>251</v>
      </c>
      <c r="CU1164" s="688" t="inlineStr">
        <is>
          <t>spare</t>
        </is>
      </c>
      <c r="CV1164" s="431" t="n"/>
      <c r="CW1164" s="451" t="n"/>
      <c r="CX1164" s="451" t="n"/>
      <c r="CY1164" s="451" t="n"/>
      <c r="DA1164" s="429" t="n">
        <v>251</v>
      </c>
      <c r="DB1164" s="431" t="n">
        <v>251</v>
      </c>
      <c r="DC1164" s="688" t="inlineStr">
        <is>
          <t>spare</t>
        </is>
      </c>
      <c r="DD1164" s="431" t="n"/>
      <c r="DE1164" s="451" t="n"/>
      <c r="DF1164" s="451" t="n"/>
      <c r="DG1164" s="451" t="n"/>
      <c r="DI1164" s="429" t="n">
        <v>251</v>
      </c>
      <c r="DJ1164" s="431" t="n">
        <v>251</v>
      </c>
      <c r="DK1164" s="688" t="inlineStr">
        <is>
          <t>spare</t>
        </is>
      </c>
      <c r="DL1164" s="431" t="n"/>
      <c r="DM1164" s="429" t="n"/>
      <c r="DN1164" s="451" t="n"/>
      <c r="DO1164" s="451" t="n"/>
      <c r="DQ1164" s="429" t="n">
        <v>251</v>
      </c>
      <c r="DR1164" s="431" t="n">
        <v>251</v>
      </c>
      <c r="DS1164" s="688" t="inlineStr">
        <is>
          <t>spare</t>
        </is>
      </c>
      <c r="DT1164" s="431" t="n"/>
      <c r="DU1164" s="451" t="n"/>
      <c r="DV1164" s="451" t="n"/>
      <c r="DW1164" s="451" t="n"/>
      <c r="DY1164" s="429" t="n">
        <v>251</v>
      </c>
      <c r="DZ1164" s="431" t="n">
        <v>251</v>
      </c>
      <c r="EA1164" s="688" t="inlineStr">
        <is>
          <t>spare</t>
        </is>
      </c>
      <c r="EB1164" s="431" t="n"/>
      <c r="EC1164" s="451" t="n"/>
      <c r="ED1164" s="451" t="n"/>
      <c r="EE1164" s="451" t="n"/>
      <c r="EG1164" s="429" t="n">
        <v>251</v>
      </c>
      <c r="EH1164" s="431" t="n">
        <v>251</v>
      </c>
      <c r="EI1164" s="688" t="inlineStr">
        <is>
          <t>spare</t>
        </is>
      </c>
      <c r="EJ1164" s="431" t="n"/>
      <c r="EK1164" s="451" t="n"/>
      <c r="EL1164" s="451" t="n"/>
      <c r="EM1164" s="451" t="n"/>
      <c r="EO1164" s="429" t="n">
        <v>251</v>
      </c>
      <c r="EP1164" s="431" t="n">
        <v>251</v>
      </c>
      <c r="EQ1164" s="688" t="inlineStr">
        <is>
          <t>spare</t>
        </is>
      </c>
      <c r="ER1164" s="431" t="n"/>
      <c r="ES1164" s="451" t="n"/>
      <c r="ET1164" s="451" t="n"/>
      <c r="EU1164" s="451" t="n"/>
      <c r="EW1164" s="429" t="n">
        <v>251</v>
      </c>
      <c r="EX1164" s="431" t="n">
        <v>251</v>
      </c>
      <c r="EY1164" s="688" t="inlineStr">
        <is>
          <t>spare</t>
        </is>
      </c>
      <c r="EZ1164" s="431" t="n"/>
      <c r="FA1164" s="451" t="n"/>
      <c r="FB1164" s="451" t="n"/>
      <c r="FC1164" s="451" t="n"/>
      <c r="FE1164" s="429" t="n">
        <v>251</v>
      </c>
      <c r="FF1164" s="431" t="n">
        <v>251</v>
      </c>
      <c r="FG1164" s="688" t="inlineStr">
        <is>
          <t>spare</t>
        </is>
      </c>
      <c r="FH1164" s="431" t="n"/>
      <c r="FI1164" s="451" t="n"/>
      <c r="FJ1164" s="451" t="n"/>
      <c r="FK1164" s="451" t="n"/>
      <c r="FM1164" s="429" t="n">
        <v>251</v>
      </c>
      <c r="FN1164" s="431" t="n">
        <v>251</v>
      </c>
      <c r="FO1164" s="688" t="inlineStr">
        <is>
          <t>spare</t>
        </is>
      </c>
      <c r="FP1164" s="431" t="n"/>
      <c r="FQ1164" s="451" t="n"/>
      <c r="FR1164" s="451" t="n"/>
      <c r="FS1164" s="451" t="n"/>
      <c r="FU1164" s="429" t="n">
        <v>251</v>
      </c>
      <c r="FV1164" s="431" t="n">
        <v>251</v>
      </c>
      <c r="FW1164" s="688" t="inlineStr">
        <is>
          <t>spare</t>
        </is>
      </c>
      <c r="FX1164" s="431" t="n"/>
      <c r="FY1164" s="451" t="n"/>
      <c r="FZ1164" s="562">
        <f>'CIRCUIT SIM'!JG254</f>
        <v/>
      </c>
      <c r="GA1164" s="451" t="n"/>
      <c r="GC1164" s="429" t="n">
        <v>251</v>
      </c>
      <c r="GD1164" s="431" t="n">
        <v>251</v>
      </c>
      <c r="GE1164" s="688" t="inlineStr">
        <is>
          <t>spare</t>
        </is>
      </c>
      <c r="GF1164" s="431" t="n"/>
      <c r="GG1164" s="451" t="n"/>
      <c r="GH1164" s="451" t="n"/>
      <c r="GI1164" s="451" t="n"/>
      <c r="GK1164" s="429" t="n">
        <v>251</v>
      </c>
      <c r="GL1164" s="431" t="n">
        <v>251</v>
      </c>
      <c r="GM1164" s="688" t="inlineStr">
        <is>
          <t>spare</t>
        </is>
      </c>
      <c r="GN1164" s="431" t="n"/>
      <c r="GO1164" s="451" t="n"/>
      <c r="GP1164" s="451" t="n"/>
      <c r="GQ1164" s="451" t="n"/>
      <c r="GS1164" s="429" t="n">
        <v>251</v>
      </c>
      <c r="GT1164" s="431" t="n">
        <v>251</v>
      </c>
      <c r="GU1164" s="688" t="inlineStr">
        <is>
          <t>spare</t>
        </is>
      </c>
      <c r="GV1164" s="431" t="n"/>
      <c r="GW1164" s="451" t="n"/>
      <c r="GX1164" s="451" t="n"/>
      <c r="GY1164" s="451" t="n"/>
      <c r="HA1164" s="429" t="n">
        <v>251</v>
      </c>
      <c r="HB1164" s="431" t="n">
        <v>251</v>
      </c>
      <c r="HC1164" s="688" t="inlineStr">
        <is>
          <t>spare</t>
        </is>
      </c>
      <c r="HD1164" s="431" t="n"/>
      <c r="HE1164" s="451" t="n"/>
      <c r="HF1164" s="451" t="n"/>
      <c r="HG1164" s="451" t="n"/>
    </row>
    <row r="1165">
      <c r="A1165" s="429" t="n">
        <v>252</v>
      </c>
      <c r="B1165" s="431" t="n">
        <v>252</v>
      </c>
      <c r="C1165" s="688" t="inlineStr">
        <is>
          <t>spare</t>
        </is>
      </c>
      <c r="D1165" s="431" t="n"/>
      <c r="E1165" s="429" t="n"/>
      <c r="F1165" s="429" t="n"/>
      <c r="G1165" s="429" t="n"/>
      <c r="I1165" s="429" t="n">
        <v>252</v>
      </c>
      <c r="J1165" s="431" t="n">
        <v>252</v>
      </c>
      <c r="K1165" s="429" t="inlineStr">
        <is>
          <t>spare</t>
        </is>
      </c>
      <c r="L1165" s="431" t="n"/>
      <c r="M1165" s="451" t="n"/>
      <c r="N1165" s="422" t="n"/>
      <c r="O1165" s="451" t="n"/>
      <c r="Q1165" s="429" t="n">
        <v>252</v>
      </c>
      <c r="R1165" s="431" t="n">
        <v>252</v>
      </c>
      <c r="S1165" s="429" t="inlineStr">
        <is>
          <t>spare</t>
        </is>
      </c>
      <c r="T1165" s="431" t="n"/>
      <c r="U1165" s="429" t="n"/>
      <c r="V1165" s="451" t="n"/>
      <c r="W1165" s="451" t="n"/>
      <c r="Y1165" s="429" t="n">
        <v>252</v>
      </c>
      <c r="Z1165" s="431" t="n">
        <v>252</v>
      </c>
      <c r="AA1165" s="429" t="inlineStr">
        <is>
          <t>spare</t>
        </is>
      </c>
      <c r="AB1165" s="431" t="n"/>
      <c r="AC1165" s="451" t="n"/>
      <c r="AD1165" s="451" t="n"/>
      <c r="AE1165" s="451" t="n"/>
      <c r="AG1165" s="429" t="n">
        <v>252</v>
      </c>
      <c r="AH1165" s="431" t="n">
        <v>252</v>
      </c>
      <c r="AI1165" s="429" t="inlineStr">
        <is>
          <t>spare</t>
        </is>
      </c>
      <c r="AJ1165" s="431" t="n"/>
      <c r="AK1165" s="451" t="n"/>
      <c r="AL1165" s="451" t="n"/>
      <c r="AM1165" s="451" t="n"/>
      <c r="AO1165" s="429" t="n">
        <v>252</v>
      </c>
      <c r="AP1165" s="431" t="n">
        <v>252</v>
      </c>
      <c r="AQ1165" s="429" t="inlineStr">
        <is>
          <t>spare</t>
        </is>
      </c>
      <c r="AR1165" s="431" t="n"/>
      <c r="AS1165" s="451" t="n"/>
      <c r="AT1165" s="451" t="n"/>
      <c r="AU1165" s="451" t="n"/>
      <c r="AW1165" s="429" t="n">
        <v>252</v>
      </c>
      <c r="AX1165" s="431" t="n">
        <v>252</v>
      </c>
      <c r="AY1165" s="429" t="inlineStr">
        <is>
          <t>spare</t>
        </is>
      </c>
      <c r="AZ1165" s="431" t="n"/>
      <c r="BA1165" s="451" t="n"/>
      <c r="BB1165" s="451" t="n"/>
      <c r="BC1165" s="451" t="n"/>
      <c r="BE1165" s="429" t="n">
        <v>252</v>
      </c>
      <c r="BF1165" s="431" t="n"/>
      <c r="BG1165" s="429" t="inlineStr">
        <is>
          <t>spare</t>
        </is>
      </c>
      <c r="BH1165" s="431" t="n"/>
      <c r="BI1165" s="451" t="n"/>
      <c r="BJ1165" s="451" t="n"/>
      <c r="BK1165" s="451" t="n"/>
      <c r="BM1165" s="429" t="n">
        <v>252</v>
      </c>
      <c r="BN1165" s="431" t="n">
        <v>252</v>
      </c>
      <c r="BO1165" s="429" t="inlineStr">
        <is>
          <t>spare</t>
        </is>
      </c>
      <c r="BP1165" s="431" t="n"/>
      <c r="BQ1165" s="451" t="n"/>
      <c r="BR1165" s="451" t="n"/>
      <c r="BS1165" s="451" t="n"/>
      <c r="BU1165" s="429" t="n">
        <v>252</v>
      </c>
      <c r="BV1165" s="431" t="n">
        <v>252</v>
      </c>
      <c r="BW1165" s="429" t="inlineStr">
        <is>
          <t>spare</t>
        </is>
      </c>
      <c r="BX1165" s="431" t="n"/>
      <c r="BY1165" s="451" t="n"/>
      <c r="BZ1165" s="451" t="n"/>
      <c r="CA1165" s="451" t="n"/>
      <c r="CC1165" s="429" t="n">
        <v>252</v>
      </c>
      <c r="CD1165" s="431" t="n">
        <v>252</v>
      </c>
      <c r="CE1165" s="688" t="inlineStr">
        <is>
          <t>spare</t>
        </is>
      </c>
      <c r="CF1165" s="431" t="n"/>
      <c r="CG1165" s="451" t="n"/>
      <c r="CH1165" s="562">
        <f>'CIRCUIT SIM'!LK253</f>
        <v/>
      </c>
      <c r="CI1165" s="451" t="n"/>
      <c r="CK1165" s="429" t="n">
        <v>252</v>
      </c>
      <c r="CL1165" s="431" t="n">
        <v>252</v>
      </c>
      <c r="CM1165" s="688" t="inlineStr">
        <is>
          <t>spare</t>
        </is>
      </c>
      <c r="CN1165" s="431" t="n"/>
      <c r="CO1165" s="451" t="n"/>
      <c r="CP1165" s="451" t="n"/>
      <c r="CQ1165" s="451" t="n"/>
      <c r="CS1165" s="429" t="n">
        <v>252</v>
      </c>
      <c r="CT1165" s="431" t="n">
        <v>252</v>
      </c>
      <c r="CU1165" s="688" t="inlineStr">
        <is>
          <t>spare</t>
        </is>
      </c>
      <c r="CV1165" s="431" t="n"/>
      <c r="CW1165" s="451" t="n"/>
      <c r="CX1165" s="451" t="n"/>
      <c r="CY1165" s="451" t="n"/>
      <c r="DA1165" s="429" t="n">
        <v>252</v>
      </c>
      <c r="DB1165" s="431" t="n">
        <v>252</v>
      </c>
      <c r="DC1165" s="688" t="inlineStr">
        <is>
          <t>spare</t>
        </is>
      </c>
      <c r="DD1165" s="431" t="n"/>
      <c r="DE1165" s="451" t="n"/>
      <c r="DF1165" s="451" t="n"/>
      <c r="DG1165" s="451" t="n"/>
      <c r="DI1165" s="429" t="n">
        <v>252</v>
      </c>
      <c r="DJ1165" s="431" t="n">
        <v>252</v>
      </c>
      <c r="DK1165" s="688" t="inlineStr">
        <is>
          <t>spare</t>
        </is>
      </c>
      <c r="DL1165" s="431" t="n"/>
      <c r="DM1165" s="429" t="n"/>
      <c r="DN1165" s="451" t="n"/>
      <c r="DO1165" s="451" t="n"/>
      <c r="DQ1165" s="429" t="n">
        <v>252</v>
      </c>
      <c r="DR1165" s="431" t="n">
        <v>252</v>
      </c>
      <c r="DS1165" s="688" t="inlineStr">
        <is>
          <t>spare</t>
        </is>
      </c>
      <c r="DT1165" s="431" t="n"/>
      <c r="DU1165" s="451" t="n"/>
      <c r="DV1165" s="451" t="n"/>
      <c r="DW1165" s="451" t="n"/>
      <c r="DY1165" s="429" t="n">
        <v>252</v>
      </c>
      <c r="DZ1165" s="431" t="n">
        <v>252</v>
      </c>
      <c r="EA1165" s="688" t="inlineStr">
        <is>
          <t>spare</t>
        </is>
      </c>
      <c r="EB1165" s="431" t="n"/>
      <c r="EC1165" s="451" t="n"/>
      <c r="ED1165" s="451" t="n"/>
      <c r="EE1165" s="451" t="n"/>
      <c r="EG1165" s="429" t="n">
        <v>252</v>
      </c>
      <c r="EH1165" s="431" t="n">
        <v>252</v>
      </c>
      <c r="EI1165" s="688" t="inlineStr">
        <is>
          <t>spare</t>
        </is>
      </c>
      <c r="EJ1165" s="431" t="n"/>
      <c r="EK1165" s="451" t="n"/>
      <c r="EL1165" s="451" t="n"/>
      <c r="EM1165" s="451" t="n"/>
      <c r="EO1165" s="429" t="n">
        <v>252</v>
      </c>
      <c r="EP1165" s="431" t="n">
        <v>252</v>
      </c>
      <c r="EQ1165" s="688" t="inlineStr">
        <is>
          <t>spare</t>
        </is>
      </c>
      <c r="ER1165" s="431" t="n"/>
      <c r="ES1165" s="451" t="n"/>
      <c r="ET1165" s="451" t="n"/>
      <c r="EU1165" s="451" t="n"/>
      <c r="EW1165" s="429" t="n">
        <v>252</v>
      </c>
      <c r="EX1165" s="431" t="n">
        <v>252</v>
      </c>
      <c r="EY1165" s="688" t="inlineStr">
        <is>
          <t>spare</t>
        </is>
      </c>
      <c r="EZ1165" s="431" t="n"/>
      <c r="FA1165" s="451" t="n"/>
      <c r="FB1165" s="451" t="n"/>
      <c r="FC1165" s="451" t="n"/>
      <c r="FE1165" s="429" t="n">
        <v>252</v>
      </c>
      <c r="FF1165" s="431" t="n">
        <v>252</v>
      </c>
      <c r="FG1165" s="688" t="inlineStr">
        <is>
          <t>spare</t>
        </is>
      </c>
      <c r="FH1165" s="431" t="n"/>
      <c r="FI1165" s="451" t="n"/>
      <c r="FJ1165" s="451" t="n"/>
      <c r="FK1165" s="451" t="n"/>
      <c r="FM1165" s="429" t="n">
        <v>252</v>
      </c>
      <c r="FN1165" s="431" t="n">
        <v>252</v>
      </c>
      <c r="FO1165" s="688" t="inlineStr">
        <is>
          <t>spare</t>
        </is>
      </c>
      <c r="FP1165" s="431" t="n"/>
      <c r="FQ1165" s="451" t="n"/>
      <c r="FR1165" s="451" t="n"/>
      <c r="FS1165" s="451" t="n"/>
      <c r="FU1165" s="429" t="n">
        <v>252</v>
      </c>
      <c r="FV1165" s="431" t="n">
        <v>252</v>
      </c>
      <c r="FW1165" s="688" t="inlineStr">
        <is>
          <t>spare</t>
        </is>
      </c>
      <c r="FX1165" s="431" t="n"/>
      <c r="FY1165" s="451" t="n"/>
      <c r="FZ1165" s="562">
        <f>'CIRCUIT SIM'!JG255</f>
        <v/>
      </c>
      <c r="GA1165" s="451" t="n"/>
      <c r="GC1165" s="429" t="n">
        <v>252</v>
      </c>
      <c r="GD1165" s="431" t="n">
        <v>252</v>
      </c>
      <c r="GE1165" s="688" t="inlineStr">
        <is>
          <t>spare</t>
        </is>
      </c>
      <c r="GF1165" s="431" t="n"/>
      <c r="GG1165" s="451" t="n"/>
      <c r="GH1165" s="451" t="n"/>
      <c r="GI1165" s="451" t="n"/>
      <c r="GK1165" s="429" t="n">
        <v>252</v>
      </c>
      <c r="GL1165" s="431" t="n">
        <v>252</v>
      </c>
      <c r="GM1165" s="688" t="inlineStr">
        <is>
          <t>spare</t>
        </is>
      </c>
      <c r="GN1165" s="431" t="n"/>
      <c r="GO1165" s="451" t="n"/>
      <c r="GP1165" s="451" t="n"/>
      <c r="GQ1165" s="451" t="n"/>
      <c r="GS1165" s="429" t="n">
        <v>252</v>
      </c>
      <c r="GT1165" s="431" t="n">
        <v>252</v>
      </c>
      <c r="GU1165" s="688" t="inlineStr">
        <is>
          <t>spare</t>
        </is>
      </c>
      <c r="GV1165" s="431" t="n"/>
      <c r="GW1165" s="451" t="n"/>
      <c r="GX1165" s="451" t="n"/>
      <c r="GY1165" s="451" t="n"/>
      <c r="HA1165" s="429" t="n">
        <v>252</v>
      </c>
      <c r="HB1165" s="431" t="n">
        <v>252</v>
      </c>
      <c r="HC1165" s="688" t="inlineStr">
        <is>
          <t>spare</t>
        </is>
      </c>
      <c r="HD1165" s="431" t="n"/>
      <c r="HE1165" s="451" t="n"/>
      <c r="HF1165" s="451" t="n"/>
      <c r="HG1165" s="451" t="n"/>
    </row>
    <row r="1166">
      <c r="A1166" s="429" t="n">
        <v>253</v>
      </c>
      <c r="B1166" s="431" t="n">
        <v>253</v>
      </c>
      <c r="C1166" s="688" t="inlineStr">
        <is>
          <t>spare</t>
        </is>
      </c>
      <c r="D1166" s="431" t="n"/>
      <c r="E1166" s="429" t="n"/>
      <c r="F1166" s="429" t="n"/>
      <c r="G1166" s="429" t="n"/>
      <c r="I1166" s="429" t="n">
        <v>253</v>
      </c>
      <c r="J1166" s="431" t="n">
        <v>253</v>
      </c>
      <c r="K1166" s="429" t="inlineStr">
        <is>
          <t>spare</t>
        </is>
      </c>
      <c r="L1166" s="431" t="n"/>
      <c r="M1166" s="451" t="n"/>
      <c r="N1166" s="422" t="n"/>
      <c r="O1166" s="451" t="n"/>
      <c r="Q1166" s="429" t="n">
        <v>253</v>
      </c>
      <c r="R1166" s="431" t="n">
        <v>253</v>
      </c>
      <c r="S1166" s="429" t="inlineStr">
        <is>
          <t>spare</t>
        </is>
      </c>
      <c r="T1166" s="431" t="n"/>
      <c r="U1166" s="429" t="n"/>
      <c r="V1166" s="451" t="n"/>
      <c r="W1166" s="451" t="n"/>
      <c r="Y1166" s="429" t="n">
        <v>253</v>
      </c>
      <c r="Z1166" s="431" t="n">
        <v>253</v>
      </c>
      <c r="AA1166" s="429" t="inlineStr">
        <is>
          <t>spare</t>
        </is>
      </c>
      <c r="AB1166" s="431" t="n"/>
      <c r="AC1166" s="451" t="n"/>
      <c r="AD1166" s="451" t="n"/>
      <c r="AE1166" s="451" t="n"/>
      <c r="AG1166" s="429" t="n">
        <v>253</v>
      </c>
      <c r="AH1166" s="431" t="n">
        <v>253</v>
      </c>
      <c r="AI1166" s="429" t="inlineStr">
        <is>
          <t>spare</t>
        </is>
      </c>
      <c r="AJ1166" s="431" t="n"/>
      <c r="AK1166" s="451" t="n"/>
      <c r="AL1166" s="451" t="n"/>
      <c r="AM1166" s="451" t="n"/>
      <c r="AO1166" s="429" t="n">
        <v>253</v>
      </c>
      <c r="AP1166" s="431" t="n">
        <v>253</v>
      </c>
      <c r="AQ1166" s="429" t="inlineStr">
        <is>
          <t>spare</t>
        </is>
      </c>
      <c r="AR1166" s="431" t="n"/>
      <c r="AS1166" s="451" t="n"/>
      <c r="AT1166" s="451" t="n"/>
      <c r="AU1166" s="451" t="n"/>
      <c r="AW1166" s="429" t="n">
        <v>253</v>
      </c>
      <c r="AX1166" s="431" t="n">
        <v>253</v>
      </c>
      <c r="AY1166" s="429" t="inlineStr">
        <is>
          <t>spare</t>
        </is>
      </c>
      <c r="AZ1166" s="431" t="n"/>
      <c r="BA1166" s="451" t="n"/>
      <c r="BB1166" s="451" t="n"/>
      <c r="BC1166" s="451" t="n"/>
      <c r="BE1166" s="429" t="n">
        <v>253</v>
      </c>
      <c r="BF1166" s="431" t="n"/>
      <c r="BG1166" s="429" t="inlineStr">
        <is>
          <t>spare</t>
        </is>
      </c>
      <c r="BH1166" s="431" t="n"/>
      <c r="BI1166" s="451" t="n"/>
      <c r="BJ1166" s="451" t="n"/>
      <c r="BK1166" s="451" t="n"/>
      <c r="BM1166" s="429" t="n">
        <v>253</v>
      </c>
      <c r="BN1166" s="431" t="n">
        <v>253</v>
      </c>
      <c r="BO1166" s="429" t="inlineStr">
        <is>
          <t>spare</t>
        </is>
      </c>
      <c r="BP1166" s="431" t="n"/>
      <c r="BQ1166" s="451" t="n"/>
      <c r="BR1166" s="451" t="n"/>
      <c r="BS1166" s="451" t="n"/>
      <c r="BU1166" s="429" t="n">
        <v>253</v>
      </c>
      <c r="BV1166" s="431" t="n">
        <v>253</v>
      </c>
      <c r="BW1166" s="429" t="inlineStr">
        <is>
          <t>spare</t>
        </is>
      </c>
      <c r="BX1166" s="431" t="n"/>
      <c r="BY1166" s="451" t="n"/>
      <c r="BZ1166" s="451" t="n"/>
      <c r="CA1166" s="451" t="n"/>
      <c r="CC1166" s="429" t="n">
        <v>253</v>
      </c>
      <c r="CD1166" s="431" t="n">
        <v>253</v>
      </c>
      <c r="CE1166" s="688" t="inlineStr">
        <is>
          <t>spare</t>
        </is>
      </c>
      <c r="CF1166" s="431" t="n"/>
      <c r="CG1166" s="451" t="n"/>
      <c r="CH1166" s="562">
        <f>'CIRCUIT SIM'!LK254</f>
        <v/>
      </c>
      <c r="CI1166" s="451" t="n"/>
      <c r="CK1166" s="429" t="n">
        <v>253</v>
      </c>
      <c r="CL1166" s="431" t="n">
        <v>253</v>
      </c>
      <c r="CM1166" s="688" t="inlineStr">
        <is>
          <t>spare</t>
        </is>
      </c>
      <c r="CN1166" s="431" t="n"/>
      <c r="CO1166" s="451" t="n"/>
      <c r="CP1166" s="451" t="n"/>
      <c r="CQ1166" s="451" t="n"/>
      <c r="CS1166" s="429" t="n">
        <v>253</v>
      </c>
      <c r="CT1166" s="431" t="n">
        <v>253</v>
      </c>
      <c r="CU1166" s="688" t="inlineStr">
        <is>
          <t>spare</t>
        </is>
      </c>
      <c r="CV1166" s="431" t="n"/>
      <c r="CW1166" s="451" t="n"/>
      <c r="CX1166" s="451" t="n"/>
      <c r="CY1166" s="451" t="n"/>
      <c r="DA1166" s="429" t="n">
        <v>253</v>
      </c>
      <c r="DB1166" s="431" t="n">
        <v>253</v>
      </c>
      <c r="DC1166" s="688" t="inlineStr">
        <is>
          <t>spare</t>
        </is>
      </c>
      <c r="DD1166" s="431" t="n"/>
      <c r="DE1166" s="451" t="n"/>
      <c r="DF1166" s="451" t="n"/>
      <c r="DG1166" s="451" t="n"/>
      <c r="DI1166" s="429" t="n">
        <v>253</v>
      </c>
      <c r="DJ1166" s="431" t="n">
        <v>253</v>
      </c>
      <c r="DK1166" s="688" t="inlineStr">
        <is>
          <t>spare</t>
        </is>
      </c>
      <c r="DL1166" s="431" t="n"/>
      <c r="DM1166" s="429" t="n"/>
      <c r="DN1166" s="451" t="n"/>
      <c r="DO1166" s="451" t="n"/>
      <c r="DQ1166" s="429" t="n">
        <v>253</v>
      </c>
      <c r="DR1166" s="431" t="n">
        <v>253</v>
      </c>
      <c r="DS1166" s="688" t="inlineStr">
        <is>
          <t>spare</t>
        </is>
      </c>
      <c r="DT1166" s="431" t="n"/>
      <c r="DU1166" s="451" t="n"/>
      <c r="DV1166" s="451" t="n"/>
      <c r="DW1166" s="451" t="n"/>
      <c r="DY1166" s="429" t="n">
        <v>253</v>
      </c>
      <c r="DZ1166" s="431" t="n">
        <v>253</v>
      </c>
      <c r="EA1166" s="688" t="inlineStr">
        <is>
          <t>spare</t>
        </is>
      </c>
      <c r="EB1166" s="431" t="n"/>
      <c r="EC1166" s="451" t="n"/>
      <c r="ED1166" s="451" t="n"/>
      <c r="EE1166" s="451" t="n"/>
      <c r="EG1166" s="429" t="n">
        <v>253</v>
      </c>
      <c r="EH1166" s="431" t="n">
        <v>253</v>
      </c>
      <c r="EI1166" s="688" t="inlineStr">
        <is>
          <t>spare</t>
        </is>
      </c>
      <c r="EJ1166" s="431" t="n"/>
      <c r="EK1166" s="451" t="n"/>
      <c r="EL1166" s="451" t="n"/>
      <c r="EM1166" s="451" t="n"/>
      <c r="EO1166" s="429" t="n">
        <v>253</v>
      </c>
      <c r="EP1166" s="431" t="n">
        <v>253</v>
      </c>
      <c r="EQ1166" s="688" t="inlineStr">
        <is>
          <t>spare</t>
        </is>
      </c>
      <c r="ER1166" s="431" t="n"/>
      <c r="ES1166" s="451" t="n"/>
      <c r="ET1166" s="451" t="n"/>
      <c r="EU1166" s="451" t="n"/>
      <c r="EW1166" s="429" t="n">
        <v>253</v>
      </c>
      <c r="EX1166" s="431" t="n">
        <v>253</v>
      </c>
      <c r="EY1166" s="688" t="inlineStr">
        <is>
          <t>spare</t>
        </is>
      </c>
      <c r="EZ1166" s="431" t="n"/>
      <c r="FA1166" s="451" t="n"/>
      <c r="FB1166" s="451" t="n"/>
      <c r="FC1166" s="451" t="n"/>
      <c r="FE1166" s="429" t="n">
        <v>253</v>
      </c>
      <c r="FF1166" s="431" t="n">
        <v>253</v>
      </c>
      <c r="FG1166" s="688" t="inlineStr">
        <is>
          <t>spare</t>
        </is>
      </c>
      <c r="FH1166" s="431" t="n"/>
      <c r="FI1166" s="451" t="n"/>
      <c r="FJ1166" s="451" t="n"/>
      <c r="FK1166" s="451" t="n"/>
      <c r="FM1166" s="429" t="n">
        <v>253</v>
      </c>
      <c r="FN1166" s="431" t="n">
        <v>253</v>
      </c>
      <c r="FO1166" s="688" t="inlineStr">
        <is>
          <t>spare</t>
        </is>
      </c>
      <c r="FP1166" s="431" t="n"/>
      <c r="FQ1166" s="451" t="n"/>
      <c r="FR1166" s="451" t="n"/>
      <c r="FS1166" s="451" t="n"/>
      <c r="FU1166" s="429" t="n">
        <v>253</v>
      </c>
      <c r="FV1166" s="431" t="n">
        <v>253</v>
      </c>
      <c r="FW1166" s="688" t="inlineStr">
        <is>
          <t>spare</t>
        </is>
      </c>
      <c r="FX1166" s="431" t="n"/>
      <c r="FY1166" s="451" t="n"/>
      <c r="FZ1166" s="562">
        <f>'CIRCUIT SIM'!JG256</f>
        <v/>
      </c>
      <c r="GA1166" s="451" t="n"/>
      <c r="GC1166" s="429" t="n">
        <v>253</v>
      </c>
      <c r="GD1166" s="431" t="n">
        <v>253</v>
      </c>
      <c r="GE1166" s="688" t="inlineStr">
        <is>
          <t>spare</t>
        </is>
      </c>
      <c r="GF1166" s="431" t="n"/>
      <c r="GG1166" s="451" t="n"/>
      <c r="GH1166" s="451" t="n"/>
      <c r="GI1166" s="451" t="n"/>
      <c r="GK1166" s="429" t="n">
        <v>253</v>
      </c>
      <c r="GL1166" s="431" t="n">
        <v>253</v>
      </c>
      <c r="GM1166" s="688" t="inlineStr">
        <is>
          <t>spare</t>
        </is>
      </c>
      <c r="GN1166" s="431" t="n"/>
      <c r="GO1166" s="451" t="n"/>
      <c r="GP1166" s="451" t="n"/>
      <c r="GQ1166" s="451" t="n"/>
      <c r="GS1166" s="429" t="n">
        <v>253</v>
      </c>
      <c r="GT1166" s="431" t="n">
        <v>253</v>
      </c>
      <c r="GU1166" s="688" t="inlineStr">
        <is>
          <t>spare</t>
        </is>
      </c>
      <c r="GV1166" s="431" t="n"/>
      <c r="GW1166" s="451" t="n"/>
      <c r="GX1166" s="451" t="n"/>
      <c r="GY1166" s="451" t="n"/>
      <c r="HA1166" s="429" t="n">
        <v>253</v>
      </c>
      <c r="HB1166" s="431" t="n">
        <v>253</v>
      </c>
      <c r="HC1166" s="688" t="inlineStr">
        <is>
          <t>spare</t>
        </is>
      </c>
      <c r="HD1166" s="431" t="n"/>
      <c r="HE1166" s="451" t="n"/>
      <c r="HF1166" s="451" t="n"/>
      <c r="HG1166" s="451" t="n"/>
    </row>
    <row r="1167">
      <c r="A1167" s="429" t="n">
        <v>254</v>
      </c>
      <c r="B1167" s="431" t="n">
        <v>254</v>
      </c>
      <c r="C1167" s="688" t="inlineStr">
        <is>
          <t>spare</t>
        </is>
      </c>
      <c r="D1167" s="431" t="n"/>
      <c r="E1167" s="429" t="n"/>
      <c r="F1167" s="429" t="n"/>
      <c r="G1167" s="429" t="n"/>
      <c r="I1167" s="429" t="n">
        <v>254</v>
      </c>
      <c r="J1167" s="431" t="n">
        <v>254</v>
      </c>
      <c r="K1167" s="429" t="inlineStr">
        <is>
          <t>spare</t>
        </is>
      </c>
      <c r="L1167" s="431" t="n"/>
      <c r="M1167" s="451" t="n"/>
      <c r="N1167" s="422" t="n"/>
      <c r="O1167" s="451" t="n"/>
      <c r="Q1167" s="429" t="n">
        <v>254</v>
      </c>
      <c r="R1167" s="431" t="n">
        <v>254</v>
      </c>
      <c r="S1167" s="429" t="inlineStr">
        <is>
          <t>spare</t>
        </is>
      </c>
      <c r="T1167" s="431" t="n"/>
      <c r="U1167" s="429" t="n"/>
      <c r="V1167" s="451" t="n"/>
      <c r="W1167" s="451" t="n"/>
      <c r="Y1167" s="429" t="n">
        <v>254</v>
      </c>
      <c r="Z1167" s="431" t="n">
        <v>254</v>
      </c>
      <c r="AA1167" s="429" t="inlineStr">
        <is>
          <t>spare</t>
        </is>
      </c>
      <c r="AB1167" s="431" t="n"/>
      <c r="AC1167" s="451" t="n"/>
      <c r="AD1167" s="451" t="n"/>
      <c r="AE1167" s="451" t="n"/>
      <c r="AG1167" s="429" t="n">
        <v>254</v>
      </c>
      <c r="AH1167" s="431" t="n">
        <v>254</v>
      </c>
      <c r="AI1167" s="429" t="inlineStr">
        <is>
          <t>spare</t>
        </is>
      </c>
      <c r="AJ1167" s="431" t="n"/>
      <c r="AK1167" s="451" t="n"/>
      <c r="AL1167" s="451" t="n"/>
      <c r="AM1167" s="451" t="n"/>
      <c r="AO1167" s="429" t="n">
        <v>254</v>
      </c>
      <c r="AP1167" s="431" t="n">
        <v>254</v>
      </c>
      <c r="AQ1167" s="429" t="inlineStr">
        <is>
          <t>spare</t>
        </is>
      </c>
      <c r="AR1167" s="431" t="n"/>
      <c r="AS1167" s="451" t="n"/>
      <c r="AT1167" s="451" t="n"/>
      <c r="AU1167" s="451" t="n"/>
      <c r="AW1167" s="429" t="n">
        <v>254</v>
      </c>
      <c r="AX1167" s="431" t="n">
        <v>254</v>
      </c>
      <c r="AY1167" s="429" t="inlineStr">
        <is>
          <t>spare</t>
        </is>
      </c>
      <c r="AZ1167" s="431" t="n"/>
      <c r="BA1167" s="451" t="n"/>
      <c r="BB1167" s="451" t="n"/>
      <c r="BC1167" s="451" t="n"/>
      <c r="BE1167" s="429" t="n">
        <v>254</v>
      </c>
      <c r="BF1167" s="431" t="n"/>
      <c r="BG1167" s="429" t="inlineStr">
        <is>
          <t>spare</t>
        </is>
      </c>
      <c r="BH1167" s="431" t="n"/>
      <c r="BI1167" s="451" t="n"/>
      <c r="BJ1167" s="451" t="n"/>
      <c r="BK1167" s="451" t="n"/>
      <c r="BM1167" s="429" t="n">
        <v>254</v>
      </c>
      <c r="BN1167" s="431" t="n">
        <v>254</v>
      </c>
      <c r="BO1167" s="429" t="inlineStr">
        <is>
          <t>spare</t>
        </is>
      </c>
      <c r="BP1167" s="431" t="n"/>
      <c r="BQ1167" s="451" t="n"/>
      <c r="BR1167" s="451" t="n"/>
      <c r="BS1167" s="451" t="n"/>
      <c r="BU1167" s="429" t="n">
        <v>254</v>
      </c>
      <c r="BV1167" s="431" t="n">
        <v>254</v>
      </c>
      <c r="BW1167" s="429" t="inlineStr">
        <is>
          <t>spare</t>
        </is>
      </c>
      <c r="BX1167" s="431" t="n"/>
      <c r="BY1167" s="451" t="n"/>
      <c r="BZ1167" s="451" t="n"/>
      <c r="CA1167" s="451" t="n"/>
      <c r="CC1167" s="429" t="n">
        <v>254</v>
      </c>
      <c r="CD1167" s="431" t="n">
        <v>254</v>
      </c>
      <c r="CE1167" s="688" t="inlineStr">
        <is>
          <t>spare</t>
        </is>
      </c>
      <c r="CF1167" s="431" t="n"/>
      <c r="CG1167" s="451" t="n"/>
      <c r="CH1167" s="562">
        <f>'CIRCUIT SIM'!LK255</f>
        <v/>
      </c>
      <c r="CI1167" s="451" t="n"/>
      <c r="CK1167" s="429" t="n">
        <v>254</v>
      </c>
      <c r="CL1167" s="431" t="n">
        <v>254</v>
      </c>
      <c r="CM1167" s="688" t="inlineStr">
        <is>
          <t>spare</t>
        </is>
      </c>
      <c r="CN1167" s="431" t="n"/>
      <c r="CO1167" s="451" t="n"/>
      <c r="CP1167" s="451" t="n"/>
      <c r="CQ1167" s="451" t="n"/>
      <c r="CS1167" s="429" t="n">
        <v>254</v>
      </c>
      <c r="CT1167" s="431" t="n">
        <v>254</v>
      </c>
      <c r="CU1167" s="688" t="inlineStr">
        <is>
          <t>spare</t>
        </is>
      </c>
      <c r="CV1167" s="431" t="n"/>
      <c r="CW1167" s="451" t="n"/>
      <c r="CX1167" s="451" t="n"/>
      <c r="CY1167" s="451" t="n"/>
      <c r="DA1167" s="429" t="n">
        <v>254</v>
      </c>
      <c r="DB1167" s="431" t="n">
        <v>254</v>
      </c>
      <c r="DC1167" s="688" t="inlineStr">
        <is>
          <t>spare</t>
        </is>
      </c>
      <c r="DD1167" s="431" t="n"/>
      <c r="DE1167" s="451" t="n"/>
      <c r="DF1167" s="451" t="n"/>
      <c r="DG1167" s="451" t="n"/>
      <c r="DI1167" s="429" t="n">
        <v>254</v>
      </c>
      <c r="DJ1167" s="431" t="n">
        <v>254</v>
      </c>
      <c r="DK1167" s="688" t="inlineStr">
        <is>
          <t>spare</t>
        </is>
      </c>
      <c r="DL1167" s="431" t="n"/>
      <c r="DM1167" s="429" t="n"/>
      <c r="DN1167" s="451" t="n"/>
      <c r="DO1167" s="451" t="n"/>
      <c r="DQ1167" s="429" t="n">
        <v>254</v>
      </c>
      <c r="DR1167" s="431" t="n">
        <v>254</v>
      </c>
      <c r="DS1167" s="688" t="inlineStr">
        <is>
          <t>spare</t>
        </is>
      </c>
      <c r="DT1167" s="431" t="n"/>
      <c r="DU1167" s="451" t="n"/>
      <c r="DV1167" s="451" t="n"/>
      <c r="DW1167" s="451" t="n"/>
      <c r="DY1167" s="429" t="n">
        <v>254</v>
      </c>
      <c r="DZ1167" s="431" t="n">
        <v>254</v>
      </c>
      <c r="EA1167" s="688" t="inlineStr">
        <is>
          <t>spare</t>
        </is>
      </c>
      <c r="EB1167" s="431" t="n"/>
      <c r="EC1167" s="451" t="n"/>
      <c r="ED1167" s="451" t="n"/>
      <c r="EE1167" s="451" t="n"/>
      <c r="EG1167" s="429" t="n">
        <v>254</v>
      </c>
      <c r="EH1167" s="431" t="n">
        <v>254</v>
      </c>
      <c r="EI1167" s="688" t="inlineStr">
        <is>
          <t>spare</t>
        </is>
      </c>
      <c r="EJ1167" s="431" t="n"/>
      <c r="EK1167" s="451" t="n"/>
      <c r="EL1167" s="451" t="n"/>
      <c r="EM1167" s="451" t="n"/>
      <c r="EO1167" s="429" t="n">
        <v>254</v>
      </c>
      <c r="EP1167" s="431" t="n">
        <v>254</v>
      </c>
      <c r="EQ1167" s="688" t="inlineStr">
        <is>
          <t>spare</t>
        </is>
      </c>
      <c r="ER1167" s="431" t="n"/>
      <c r="ES1167" s="451" t="n"/>
      <c r="ET1167" s="451" t="n"/>
      <c r="EU1167" s="451" t="n"/>
      <c r="EW1167" s="429" t="n">
        <v>254</v>
      </c>
      <c r="EX1167" s="431" t="n">
        <v>254</v>
      </c>
      <c r="EY1167" s="688" t="inlineStr">
        <is>
          <t>spare</t>
        </is>
      </c>
      <c r="EZ1167" s="431" t="n"/>
      <c r="FA1167" s="451" t="n"/>
      <c r="FB1167" s="451" t="n"/>
      <c r="FC1167" s="451" t="n"/>
      <c r="FE1167" s="429" t="n">
        <v>254</v>
      </c>
      <c r="FF1167" s="431" t="n">
        <v>254</v>
      </c>
      <c r="FG1167" s="688" t="inlineStr">
        <is>
          <t>spare</t>
        </is>
      </c>
      <c r="FH1167" s="431" t="n"/>
      <c r="FI1167" s="451" t="n"/>
      <c r="FJ1167" s="451" t="n"/>
      <c r="FK1167" s="451" t="n"/>
      <c r="FM1167" s="429" t="n">
        <v>254</v>
      </c>
      <c r="FN1167" s="431" t="n">
        <v>254</v>
      </c>
      <c r="FO1167" s="688" t="inlineStr">
        <is>
          <t>spare</t>
        </is>
      </c>
      <c r="FP1167" s="431" t="n"/>
      <c r="FQ1167" s="451" t="n"/>
      <c r="FR1167" s="451" t="n"/>
      <c r="FS1167" s="451" t="n"/>
      <c r="FU1167" s="429" t="n">
        <v>254</v>
      </c>
      <c r="FV1167" s="431" t="n">
        <v>254</v>
      </c>
      <c r="FW1167" s="688" t="inlineStr">
        <is>
          <t>spare</t>
        </is>
      </c>
      <c r="FX1167" s="431" t="n"/>
      <c r="FY1167" s="451" t="n"/>
      <c r="FZ1167" s="562">
        <f>'CIRCUIT SIM'!JG257</f>
        <v/>
      </c>
      <c r="GA1167" s="451" t="n"/>
      <c r="GC1167" s="429" t="n">
        <v>254</v>
      </c>
      <c r="GD1167" s="431" t="n">
        <v>254</v>
      </c>
      <c r="GE1167" s="688" t="inlineStr">
        <is>
          <t>spare</t>
        </is>
      </c>
      <c r="GF1167" s="431" t="n"/>
      <c r="GG1167" s="451" t="n"/>
      <c r="GH1167" s="451" t="n"/>
      <c r="GI1167" s="451" t="n"/>
      <c r="GK1167" s="429" t="n">
        <v>254</v>
      </c>
      <c r="GL1167" s="431" t="n">
        <v>254</v>
      </c>
      <c r="GM1167" s="688" t="inlineStr">
        <is>
          <t>spare</t>
        </is>
      </c>
      <c r="GN1167" s="431" t="n"/>
      <c r="GO1167" s="451" t="n"/>
      <c r="GP1167" s="451" t="n"/>
      <c r="GQ1167" s="451" t="n"/>
      <c r="GS1167" s="429" t="n">
        <v>254</v>
      </c>
      <c r="GT1167" s="431" t="n">
        <v>254</v>
      </c>
      <c r="GU1167" s="688" t="inlineStr">
        <is>
          <t>spare</t>
        </is>
      </c>
      <c r="GV1167" s="431" t="n"/>
      <c r="GW1167" s="451" t="n"/>
      <c r="GX1167" s="451" t="n"/>
      <c r="GY1167" s="451" t="n"/>
      <c r="HA1167" s="429" t="n">
        <v>254</v>
      </c>
      <c r="HB1167" s="431" t="n">
        <v>254</v>
      </c>
      <c r="HC1167" s="688" t="inlineStr">
        <is>
          <t>spare</t>
        </is>
      </c>
      <c r="HD1167" s="431" t="n"/>
      <c r="HE1167" s="451" t="n"/>
      <c r="HF1167" s="451" t="n"/>
      <c r="HG1167" s="451" t="n"/>
    </row>
    <row r="1168">
      <c r="A1168" s="429" t="n">
        <v>255</v>
      </c>
      <c r="B1168" s="431" t="n">
        <v>255</v>
      </c>
      <c r="C1168" s="688" t="inlineStr">
        <is>
          <t>spare</t>
        </is>
      </c>
      <c r="D1168" s="431" t="n"/>
      <c r="E1168" s="429" t="n"/>
      <c r="F1168" s="429" t="n"/>
      <c r="G1168" s="429" t="n"/>
      <c r="I1168" s="429" t="n">
        <v>255</v>
      </c>
      <c r="J1168" s="431" t="n">
        <v>255</v>
      </c>
      <c r="K1168" s="429" t="inlineStr">
        <is>
          <t>spare</t>
        </is>
      </c>
      <c r="L1168" s="431" t="n"/>
      <c r="M1168" s="451" t="n"/>
      <c r="N1168" s="422" t="n"/>
      <c r="O1168" s="451" t="n"/>
      <c r="Q1168" s="429" t="n">
        <v>255</v>
      </c>
      <c r="R1168" s="431" t="n">
        <v>255</v>
      </c>
      <c r="S1168" s="429" t="inlineStr">
        <is>
          <t>spare</t>
        </is>
      </c>
      <c r="T1168" s="431" t="n"/>
      <c r="U1168" s="429" t="n"/>
      <c r="V1168" s="451" t="n"/>
      <c r="W1168" s="451" t="n"/>
      <c r="Y1168" s="429" t="n">
        <v>255</v>
      </c>
      <c r="Z1168" s="431" t="n">
        <v>255</v>
      </c>
      <c r="AA1168" s="429" t="inlineStr">
        <is>
          <t>spare</t>
        </is>
      </c>
      <c r="AB1168" s="431" t="n"/>
      <c r="AC1168" s="451" t="n"/>
      <c r="AD1168" s="451" t="n"/>
      <c r="AE1168" s="451" t="n"/>
      <c r="AG1168" s="429" t="n">
        <v>255</v>
      </c>
      <c r="AH1168" s="431" t="n">
        <v>255</v>
      </c>
      <c r="AI1168" s="429" t="inlineStr">
        <is>
          <t>spare</t>
        </is>
      </c>
      <c r="AJ1168" s="431" t="n"/>
      <c r="AK1168" s="451" t="n"/>
      <c r="AL1168" s="451" t="n"/>
      <c r="AM1168" s="451" t="n"/>
      <c r="AO1168" s="429" t="n">
        <v>255</v>
      </c>
      <c r="AP1168" s="431" t="n">
        <v>255</v>
      </c>
      <c r="AQ1168" s="429" t="inlineStr">
        <is>
          <t>spare</t>
        </is>
      </c>
      <c r="AR1168" s="431" t="n"/>
      <c r="AS1168" s="451" t="n"/>
      <c r="AT1168" s="451" t="n"/>
      <c r="AU1168" s="451" t="n"/>
      <c r="AW1168" s="429" t="n">
        <v>255</v>
      </c>
      <c r="AX1168" s="431" t="n">
        <v>255</v>
      </c>
      <c r="AY1168" s="429" t="inlineStr">
        <is>
          <t>spare</t>
        </is>
      </c>
      <c r="AZ1168" s="431" t="n"/>
      <c r="BA1168" s="451" t="n"/>
      <c r="BB1168" s="451" t="n"/>
      <c r="BC1168" s="451" t="n"/>
      <c r="BE1168" s="429" t="n">
        <v>255</v>
      </c>
      <c r="BF1168" s="431" t="n"/>
      <c r="BG1168" s="429" t="inlineStr">
        <is>
          <t>spare</t>
        </is>
      </c>
      <c r="BH1168" s="431" t="n"/>
      <c r="BI1168" s="451" t="n"/>
      <c r="BJ1168" s="451" t="n"/>
      <c r="BK1168" s="451" t="n"/>
      <c r="BM1168" s="429" t="n">
        <v>255</v>
      </c>
      <c r="BN1168" s="431" t="n">
        <v>255</v>
      </c>
      <c r="BO1168" s="429" t="inlineStr">
        <is>
          <t>spare</t>
        </is>
      </c>
      <c r="BP1168" s="431" t="n"/>
      <c r="BQ1168" s="451" t="n"/>
      <c r="BR1168" s="451" t="n"/>
      <c r="BS1168" s="451" t="n"/>
      <c r="BU1168" s="429" t="n">
        <v>255</v>
      </c>
      <c r="BV1168" s="431" t="n">
        <v>255</v>
      </c>
      <c r="BW1168" s="429" t="inlineStr">
        <is>
          <t>spare</t>
        </is>
      </c>
      <c r="BX1168" s="431" t="n"/>
      <c r="BY1168" s="451" t="n"/>
      <c r="BZ1168" s="451" t="n"/>
      <c r="CA1168" s="451" t="n"/>
      <c r="CC1168" s="429" t="n">
        <v>255</v>
      </c>
      <c r="CD1168" s="431" t="n">
        <v>255</v>
      </c>
      <c r="CE1168" s="688" t="inlineStr">
        <is>
          <t>spare</t>
        </is>
      </c>
      <c r="CF1168" s="431" t="n"/>
      <c r="CG1168" s="451" t="n"/>
      <c r="CH1168" s="562">
        <f>'CIRCUIT SIM'!LK256</f>
        <v/>
      </c>
      <c r="CI1168" s="451" t="n"/>
      <c r="CK1168" s="429" t="n">
        <v>255</v>
      </c>
      <c r="CL1168" s="431" t="n">
        <v>255</v>
      </c>
      <c r="CM1168" s="688" t="inlineStr">
        <is>
          <t>spare</t>
        </is>
      </c>
      <c r="CN1168" s="431" t="n"/>
      <c r="CO1168" s="451" t="n"/>
      <c r="CP1168" s="451" t="n"/>
      <c r="CQ1168" s="451" t="n"/>
      <c r="CS1168" s="429" t="n">
        <v>255</v>
      </c>
      <c r="CT1168" s="431" t="n">
        <v>255</v>
      </c>
      <c r="CU1168" s="688" t="inlineStr">
        <is>
          <t>spare</t>
        </is>
      </c>
      <c r="CV1168" s="431" t="n"/>
      <c r="CW1168" s="451" t="n"/>
      <c r="CX1168" s="451" t="n"/>
      <c r="CY1168" s="451" t="n"/>
      <c r="DA1168" s="429" t="n">
        <v>255</v>
      </c>
      <c r="DB1168" s="431" t="n">
        <v>255</v>
      </c>
      <c r="DC1168" s="688" t="inlineStr">
        <is>
          <t>spare</t>
        </is>
      </c>
      <c r="DD1168" s="431" t="n"/>
      <c r="DE1168" s="451" t="n"/>
      <c r="DF1168" s="451" t="n"/>
      <c r="DG1168" s="451" t="n"/>
      <c r="DI1168" s="429" t="n">
        <v>255</v>
      </c>
      <c r="DJ1168" s="431" t="n">
        <v>255</v>
      </c>
      <c r="DK1168" s="688" t="inlineStr">
        <is>
          <t>spare</t>
        </is>
      </c>
      <c r="DL1168" s="431" t="n"/>
      <c r="DM1168" s="429" t="n"/>
      <c r="DN1168" s="451" t="n"/>
      <c r="DO1168" s="451" t="n"/>
      <c r="DQ1168" s="429" t="n">
        <v>255</v>
      </c>
      <c r="DR1168" s="431" t="n">
        <v>255</v>
      </c>
      <c r="DS1168" s="688" t="inlineStr">
        <is>
          <t>spare</t>
        </is>
      </c>
      <c r="DT1168" s="431" t="n"/>
      <c r="DU1168" s="451" t="n"/>
      <c r="DV1168" s="451" t="n"/>
      <c r="DW1168" s="451" t="n"/>
      <c r="DY1168" s="429" t="n">
        <v>255</v>
      </c>
      <c r="DZ1168" s="431" t="n">
        <v>255</v>
      </c>
      <c r="EA1168" s="688" t="inlineStr">
        <is>
          <t>spare</t>
        </is>
      </c>
      <c r="EB1168" s="431" t="n"/>
      <c r="EC1168" s="451" t="n"/>
      <c r="ED1168" s="451" t="n"/>
      <c r="EE1168" s="451" t="n"/>
      <c r="EG1168" s="429" t="n">
        <v>255</v>
      </c>
      <c r="EH1168" s="431" t="n">
        <v>255</v>
      </c>
      <c r="EI1168" s="688" t="inlineStr">
        <is>
          <t>spare</t>
        </is>
      </c>
      <c r="EJ1168" s="431" t="n"/>
      <c r="EK1168" s="451" t="n"/>
      <c r="EL1168" s="451" t="n"/>
      <c r="EM1168" s="451" t="n"/>
      <c r="EO1168" s="429" t="n">
        <v>255</v>
      </c>
      <c r="EP1168" s="431" t="n">
        <v>255</v>
      </c>
      <c r="EQ1168" s="688" t="inlineStr">
        <is>
          <t>spare</t>
        </is>
      </c>
      <c r="ER1168" s="431" t="n"/>
      <c r="ES1168" s="451" t="n"/>
      <c r="ET1168" s="451" t="n"/>
      <c r="EU1168" s="451" t="n"/>
      <c r="EW1168" s="429" t="n">
        <v>255</v>
      </c>
      <c r="EX1168" s="431" t="n">
        <v>255</v>
      </c>
      <c r="EY1168" s="688" t="inlineStr">
        <is>
          <t>spare</t>
        </is>
      </c>
      <c r="EZ1168" s="431" t="n"/>
      <c r="FA1168" s="451" t="n"/>
      <c r="FB1168" s="451" t="n"/>
      <c r="FC1168" s="451" t="n"/>
      <c r="FE1168" s="429" t="n">
        <v>255</v>
      </c>
      <c r="FF1168" s="431" t="n">
        <v>255</v>
      </c>
      <c r="FG1168" s="688" t="inlineStr">
        <is>
          <t>spare</t>
        </is>
      </c>
      <c r="FH1168" s="431" t="n"/>
      <c r="FI1168" s="451" t="n"/>
      <c r="FJ1168" s="451" t="n"/>
      <c r="FK1168" s="451" t="n"/>
      <c r="FM1168" s="429" t="n">
        <v>255</v>
      </c>
      <c r="FN1168" s="431" t="n">
        <v>255</v>
      </c>
      <c r="FO1168" s="688" t="inlineStr">
        <is>
          <t>spare</t>
        </is>
      </c>
      <c r="FP1168" s="431" t="n"/>
      <c r="FQ1168" s="451" t="n"/>
      <c r="FR1168" s="451" t="n"/>
      <c r="FS1168" s="451" t="n"/>
      <c r="FU1168" s="429" t="n">
        <v>255</v>
      </c>
      <c r="FV1168" s="431" t="n">
        <v>255</v>
      </c>
      <c r="FW1168" s="688" t="inlineStr">
        <is>
          <t>spare</t>
        </is>
      </c>
      <c r="FX1168" s="431" t="n"/>
      <c r="FY1168" s="451" t="n"/>
      <c r="FZ1168" s="562" t="n"/>
      <c r="GA1168" s="451" t="n"/>
      <c r="GC1168" s="429" t="n">
        <v>255</v>
      </c>
      <c r="GD1168" s="431" t="n">
        <v>255</v>
      </c>
      <c r="GE1168" s="688" t="inlineStr">
        <is>
          <t>spare</t>
        </is>
      </c>
      <c r="GF1168" s="431" t="n"/>
      <c r="GG1168" s="451" t="n"/>
      <c r="GH1168" s="451" t="n"/>
      <c r="GI1168" s="451" t="n"/>
      <c r="GK1168" s="429" t="n">
        <v>255</v>
      </c>
      <c r="GL1168" s="431" t="n">
        <v>255</v>
      </c>
      <c r="GM1168" s="688" t="inlineStr">
        <is>
          <t>spare</t>
        </is>
      </c>
      <c r="GN1168" s="431" t="n"/>
      <c r="GO1168" s="451" t="n"/>
      <c r="GP1168" s="451" t="n"/>
      <c r="GQ1168" s="451" t="n"/>
      <c r="GS1168" s="429" t="n">
        <v>255</v>
      </c>
      <c r="GT1168" s="431" t="n">
        <v>255</v>
      </c>
      <c r="GU1168" s="688" t="inlineStr">
        <is>
          <t>spare</t>
        </is>
      </c>
      <c r="GV1168" s="431" t="n"/>
      <c r="GW1168" s="451" t="n"/>
      <c r="GX1168" s="451" t="n"/>
      <c r="GY1168" s="451" t="n"/>
      <c r="HA1168" s="429" t="n">
        <v>255</v>
      </c>
      <c r="HB1168" s="431" t="n">
        <v>255</v>
      </c>
      <c r="HC1168" s="688" t="inlineStr">
        <is>
          <t>spare</t>
        </is>
      </c>
      <c r="HD1168" s="431" t="n"/>
      <c r="HE1168" s="451" t="n"/>
      <c r="HF1168" s="451" t="n"/>
      <c r="HG1168" s="451" t="n"/>
    </row>
    <row r="1169">
      <c r="A1169" s="429" t="n">
        <v>256</v>
      </c>
      <c r="B1169" s="431" t="n">
        <v>256</v>
      </c>
      <c r="C1169" s="688" t="inlineStr">
        <is>
          <t>spare</t>
        </is>
      </c>
      <c r="D1169" s="431" t="n"/>
      <c r="E1169" s="429" t="n"/>
      <c r="F1169" s="429" t="n"/>
      <c r="G1169" s="429" t="n"/>
      <c r="I1169" s="429" t="n">
        <v>256</v>
      </c>
      <c r="J1169" s="431" t="n">
        <v>256</v>
      </c>
      <c r="K1169" s="429" t="inlineStr">
        <is>
          <t>spare</t>
        </is>
      </c>
      <c r="L1169" s="431" t="n"/>
      <c r="M1169" s="451" t="n"/>
      <c r="N1169" s="422" t="n"/>
      <c r="O1169" s="451" t="n"/>
      <c r="Q1169" s="429" t="n">
        <v>256</v>
      </c>
      <c r="R1169" s="431" t="n">
        <v>256</v>
      </c>
      <c r="S1169" s="429" t="inlineStr">
        <is>
          <t>spare</t>
        </is>
      </c>
      <c r="T1169" s="431" t="n"/>
      <c r="U1169" s="429" t="n"/>
      <c r="V1169" s="451" t="n"/>
      <c r="W1169" s="451" t="n"/>
      <c r="Y1169" s="429" t="n">
        <v>256</v>
      </c>
      <c r="Z1169" s="431" t="n">
        <v>256</v>
      </c>
      <c r="AA1169" s="429" t="inlineStr">
        <is>
          <t>spare</t>
        </is>
      </c>
      <c r="AB1169" s="431" t="n"/>
      <c r="AC1169" s="451" t="n"/>
      <c r="AD1169" s="451" t="n"/>
      <c r="AE1169" s="451" t="n"/>
      <c r="AG1169" s="429" t="n">
        <v>256</v>
      </c>
      <c r="AH1169" s="431" t="n">
        <v>256</v>
      </c>
      <c r="AI1169" s="429" t="inlineStr">
        <is>
          <t>spare</t>
        </is>
      </c>
      <c r="AJ1169" s="431" t="n"/>
      <c r="AK1169" s="451" t="n"/>
      <c r="AL1169" s="451" t="n"/>
      <c r="AM1169" s="451" t="n"/>
      <c r="AO1169" s="429" t="n">
        <v>256</v>
      </c>
      <c r="AP1169" s="431" t="n">
        <v>256</v>
      </c>
      <c r="AQ1169" s="429" t="inlineStr">
        <is>
          <t>spare</t>
        </is>
      </c>
      <c r="AR1169" s="431" t="n"/>
      <c r="AS1169" s="451" t="n"/>
      <c r="AT1169" s="451" t="n"/>
      <c r="AU1169" s="451" t="n"/>
      <c r="AW1169" s="429" t="n">
        <v>256</v>
      </c>
      <c r="AX1169" s="431" t="n">
        <v>256</v>
      </c>
      <c r="AY1169" s="429" t="inlineStr">
        <is>
          <t>spare</t>
        </is>
      </c>
      <c r="AZ1169" s="431" t="n"/>
      <c r="BA1169" s="451" t="n"/>
      <c r="BB1169" s="451" t="n"/>
      <c r="BC1169" s="451" t="n"/>
      <c r="BE1169" s="429" t="n">
        <v>256</v>
      </c>
      <c r="BF1169" s="431" t="n"/>
      <c r="BG1169" s="429" t="inlineStr">
        <is>
          <t>spare</t>
        </is>
      </c>
      <c r="BH1169" s="431" t="n"/>
      <c r="BI1169" s="451" t="n"/>
      <c r="BJ1169" s="451" t="n"/>
      <c r="BK1169" s="451" t="n"/>
      <c r="BM1169" s="429" t="n">
        <v>256</v>
      </c>
      <c r="BN1169" s="431" t="n">
        <v>256</v>
      </c>
      <c r="BO1169" s="429" t="inlineStr">
        <is>
          <t>spare</t>
        </is>
      </c>
      <c r="BP1169" s="431" t="n"/>
      <c r="BQ1169" s="451" t="n"/>
      <c r="BR1169" s="451" t="n"/>
      <c r="BS1169" s="451" t="n"/>
      <c r="BU1169" s="429" t="n">
        <v>256</v>
      </c>
      <c r="BV1169" s="431" t="n">
        <v>256</v>
      </c>
      <c r="BW1169" s="429" t="inlineStr">
        <is>
          <t>spare</t>
        </is>
      </c>
      <c r="BX1169" s="431" t="n"/>
      <c r="BY1169" s="451" t="n"/>
      <c r="BZ1169" s="451" t="n"/>
      <c r="CA1169" s="451" t="n"/>
      <c r="CC1169" s="429" t="n">
        <v>256</v>
      </c>
      <c r="CD1169" s="431" t="n">
        <v>256</v>
      </c>
      <c r="CE1169" s="688" t="inlineStr">
        <is>
          <t>spare</t>
        </is>
      </c>
      <c r="CF1169" s="431" t="n"/>
      <c r="CG1169" s="451" t="n"/>
      <c r="CH1169" s="562">
        <f>'CIRCUIT SIM'!LK257</f>
        <v/>
      </c>
      <c r="CI1169" s="451" t="n"/>
      <c r="CK1169" s="429" t="n">
        <v>256</v>
      </c>
      <c r="CL1169" s="431" t="n">
        <v>256</v>
      </c>
      <c r="CM1169" s="688" t="inlineStr">
        <is>
          <t>spare</t>
        </is>
      </c>
      <c r="CN1169" s="431" t="n"/>
      <c r="CO1169" s="451" t="n"/>
      <c r="CP1169" s="451" t="n"/>
      <c r="CQ1169" s="451" t="n"/>
      <c r="CS1169" s="429" t="n">
        <v>256</v>
      </c>
      <c r="CT1169" s="431" t="n">
        <v>256</v>
      </c>
      <c r="CU1169" s="688" t="inlineStr">
        <is>
          <t>spare</t>
        </is>
      </c>
      <c r="CV1169" s="431" t="n"/>
      <c r="CW1169" s="451" t="n"/>
      <c r="CX1169" s="451" t="n"/>
      <c r="CY1169" s="451" t="n"/>
      <c r="DA1169" s="429" t="n">
        <v>256</v>
      </c>
      <c r="DB1169" s="431" t="n">
        <v>256</v>
      </c>
      <c r="DC1169" s="688" t="inlineStr">
        <is>
          <t>spare</t>
        </is>
      </c>
      <c r="DD1169" s="431" t="n"/>
      <c r="DE1169" s="451" t="n"/>
      <c r="DF1169" s="451" t="n"/>
      <c r="DG1169" s="451" t="n"/>
      <c r="DI1169" s="429" t="n">
        <v>256</v>
      </c>
      <c r="DJ1169" s="431" t="n">
        <v>256</v>
      </c>
      <c r="DK1169" s="688" t="inlineStr">
        <is>
          <t>spare</t>
        </is>
      </c>
      <c r="DL1169" s="431" t="n"/>
      <c r="DM1169" s="429" t="n"/>
      <c r="DN1169" s="451" t="n"/>
      <c r="DO1169" s="451" t="n"/>
      <c r="DQ1169" s="429" t="n">
        <v>256</v>
      </c>
      <c r="DR1169" s="431" t="n">
        <v>256</v>
      </c>
      <c r="DS1169" s="688" t="inlineStr">
        <is>
          <t>spare</t>
        </is>
      </c>
      <c r="DT1169" s="431" t="n"/>
      <c r="DU1169" s="451" t="n"/>
      <c r="DV1169" s="451" t="n"/>
      <c r="DW1169" s="451" t="n"/>
      <c r="DY1169" s="429" t="n">
        <v>256</v>
      </c>
      <c r="DZ1169" s="431" t="n">
        <v>256</v>
      </c>
      <c r="EA1169" s="688" t="inlineStr">
        <is>
          <t>spare</t>
        </is>
      </c>
      <c r="EB1169" s="431" t="n"/>
      <c r="EC1169" s="451" t="n"/>
      <c r="ED1169" s="451" t="n"/>
      <c r="EE1169" s="451" t="n"/>
      <c r="EG1169" s="429" t="n">
        <v>256</v>
      </c>
      <c r="EH1169" s="431" t="n">
        <v>256</v>
      </c>
      <c r="EI1169" s="688" t="inlineStr">
        <is>
          <t>spare</t>
        </is>
      </c>
      <c r="EJ1169" s="431" t="n"/>
      <c r="EK1169" s="451" t="n"/>
      <c r="EL1169" s="451" t="n"/>
      <c r="EM1169" s="451" t="n"/>
      <c r="EO1169" s="429" t="n">
        <v>256</v>
      </c>
      <c r="EP1169" s="431" t="n">
        <v>256</v>
      </c>
      <c r="EQ1169" s="688" t="inlineStr">
        <is>
          <t>spare</t>
        </is>
      </c>
      <c r="ER1169" s="431" t="n"/>
      <c r="ES1169" s="451" t="n"/>
      <c r="ET1169" s="451" t="n"/>
      <c r="EU1169" s="451" t="n"/>
      <c r="EW1169" s="429" t="n">
        <v>256</v>
      </c>
      <c r="EX1169" s="431" t="n">
        <v>256</v>
      </c>
      <c r="EY1169" s="688" t="inlineStr">
        <is>
          <t>spare</t>
        </is>
      </c>
      <c r="EZ1169" s="431" t="n"/>
      <c r="FA1169" s="451" t="n"/>
      <c r="FB1169" s="451" t="n"/>
      <c r="FC1169" s="451" t="n"/>
      <c r="FE1169" s="429" t="n">
        <v>256</v>
      </c>
      <c r="FF1169" s="431" t="n">
        <v>256</v>
      </c>
      <c r="FG1169" s="688" t="inlineStr">
        <is>
          <t>spare</t>
        </is>
      </c>
      <c r="FH1169" s="431" t="n"/>
      <c r="FI1169" s="451" t="n"/>
      <c r="FJ1169" s="451" t="n"/>
      <c r="FK1169" s="451" t="n"/>
      <c r="FM1169" s="429" t="n">
        <v>256</v>
      </c>
      <c r="FN1169" s="431" t="n">
        <v>256</v>
      </c>
      <c r="FO1169" s="688" t="inlineStr">
        <is>
          <t>spare</t>
        </is>
      </c>
      <c r="FP1169" s="431" t="n"/>
      <c r="FQ1169" s="451" t="n"/>
      <c r="FR1169" s="451" t="n"/>
      <c r="FS1169" s="451" t="n"/>
      <c r="FU1169" s="429" t="n">
        <v>256</v>
      </c>
      <c r="FV1169" s="431" t="n">
        <v>256</v>
      </c>
      <c r="FW1169" s="688" t="inlineStr">
        <is>
          <t>spare</t>
        </is>
      </c>
      <c r="FX1169" s="431" t="n"/>
      <c r="FY1169" s="451" t="n"/>
      <c r="FZ1169" s="562" t="n"/>
      <c r="GA1169" s="451" t="n"/>
      <c r="GC1169" s="429" t="n">
        <v>256</v>
      </c>
      <c r="GD1169" s="431" t="n">
        <v>256</v>
      </c>
      <c r="GE1169" s="688" t="inlineStr">
        <is>
          <t>spare</t>
        </is>
      </c>
      <c r="GF1169" s="431" t="n"/>
      <c r="GG1169" s="451" t="n"/>
      <c r="GH1169" s="451" t="n"/>
      <c r="GI1169" s="451" t="n"/>
      <c r="GK1169" s="429" t="n">
        <v>256</v>
      </c>
      <c r="GL1169" s="431" t="n">
        <v>256</v>
      </c>
      <c r="GM1169" s="688" t="inlineStr">
        <is>
          <t>spare</t>
        </is>
      </c>
      <c r="GN1169" s="431" t="n"/>
      <c r="GO1169" s="451" t="n"/>
      <c r="GP1169" s="451" t="n"/>
      <c r="GQ1169" s="451" t="n"/>
      <c r="GS1169" s="429" t="n">
        <v>256</v>
      </c>
      <c r="GT1169" s="431" t="n">
        <v>256</v>
      </c>
      <c r="GU1169" s="688" t="inlineStr">
        <is>
          <t>spare</t>
        </is>
      </c>
      <c r="GV1169" s="431" t="n"/>
      <c r="GW1169" s="451" t="n"/>
      <c r="GX1169" s="451" t="n"/>
      <c r="GY1169" s="451" t="n"/>
      <c r="HA1169" s="429" t="n">
        <v>256</v>
      </c>
      <c r="HB1169" s="431" t="n">
        <v>256</v>
      </c>
      <c r="HC1169" s="688" t="inlineStr">
        <is>
          <t>spare</t>
        </is>
      </c>
      <c r="HD1169" s="431" t="n"/>
      <c r="HE1169" s="451" t="n"/>
      <c r="HF1169" s="451" t="n"/>
      <c r="HG1169" s="451" t="n"/>
    </row>
    <row r="1170">
      <c r="A1170" s="429" t="n">
        <v>257</v>
      </c>
      <c r="B1170" s="431" t="n">
        <v>257</v>
      </c>
      <c r="C1170" s="688" t="inlineStr">
        <is>
          <t>spare</t>
        </is>
      </c>
      <c r="D1170" s="431" t="n"/>
      <c r="E1170" s="429" t="n"/>
      <c r="F1170" s="429" t="n"/>
      <c r="G1170" s="429" t="n"/>
      <c r="I1170" s="429" t="n">
        <v>257</v>
      </c>
      <c r="J1170" s="431" t="n">
        <v>257</v>
      </c>
      <c r="K1170" s="429" t="inlineStr">
        <is>
          <t>spare</t>
        </is>
      </c>
      <c r="L1170" s="431" t="n"/>
      <c r="M1170" s="451" t="n"/>
      <c r="N1170" s="422" t="n"/>
      <c r="O1170" s="451" t="n"/>
      <c r="Q1170" s="429" t="n">
        <v>257</v>
      </c>
      <c r="R1170" s="431" t="n">
        <v>257</v>
      </c>
      <c r="S1170" s="429" t="inlineStr">
        <is>
          <t>spare</t>
        </is>
      </c>
      <c r="T1170" s="431" t="n"/>
      <c r="U1170" s="429" t="n"/>
      <c r="V1170" s="451" t="n"/>
      <c r="W1170" s="451" t="n"/>
      <c r="Y1170" s="429" t="n">
        <v>257</v>
      </c>
      <c r="Z1170" s="431" t="n">
        <v>257</v>
      </c>
      <c r="AA1170" s="429" t="inlineStr">
        <is>
          <t>spare</t>
        </is>
      </c>
      <c r="AB1170" s="431" t="n"/>
      <c r="AC1170" s="451" t="n"/>
      <c r="AD1170" s="451" t="n"/>
      <c r="AE1170" s="451" t="n"/>
      <c r="AG1170" s="429" t="n">
        <v>257</v>
      </c>
      <c r="AH1170" s="431" t="n">
        <v>257</v>
      </c>
      <c r="AI1170" s="429" t="inlineStr">
        <is>
          <t>spare</t>
        </is>
      </c>
      <c r="AJ1170" s="431" t="n"/>
      <c r="AK1170" s="451" t="n"/>
      <c r="AL1170" s="451" t="n"/>
      <c r="AM1170" s="451" t="n"/>
      <c r="AO1170" s="429" t="n">
        <v>257</v>
      </c>
      <c r="AP1170" s="431" t="n">
        <v>257</v>
      </c>
      <c r="AQ1170" s="429" t="inlineStr">
        <is>
          <t>spare</t>
        </is>
      </c>
      <c r="AR1170" s="431" t="n"/>
      <c r="AS1170" s="451" t="n"/>
      <c r="AT1170" s="451" t="n"/>
      <c r="AU1170" s="451" t="n"/>
      <c r="AW1170" s="429" t="n">
        <v>257</v>
      </c>
      <c r="AX1170" s="431" t="n">
        <v>257</v>
      </c>
      <c r="AY1170" s="429" t="inlineStr">
        <is>
          <t>spare</t>
        </is>
      </c>
      <c r="AZ1170" s="431" t="n"/>
      <c r="BA1170" s="451" t="n"/>
      <c r="BB1170" s="451" t="n"/>
      <c r="BC1170" s="451" t="n"/>
      <c r="BE1170" s="429" t="n">
        <v>257</v>
      </c>
      <c r="BF1170" s="431" t="n"/>
      <c r="BG1170" s="429" t="inlineStr">
        <is>
          <t>spare</t>
        </is>
      </c>
      <c r="BH1170" s="431" t="n"/>
      <c r="BI1170" s="451" t="n"/>
      <c r="BJ1170" s="451" t="n"/>
      <c r="BK1170" s="451" t="n"/>
      <c r="BM1170" s="429" t="n">
        <v>257</v>
      </c>
      <c r="BN1170" s="431" t="n">
        <v>257</v>
      </c>
      <c r="BO1170" s="429" t="inlineStr">
        <is>
          <t>spare</t>
        </is>
      </c>
      <c r="BP1170" s="431" t="n"/>
      <c r="BQ1170" s="451" t="n"/>
      <c r="BR1170" s="451" t="n"/>
      <c r="BS1170" s="451" t="n"/>
      <c r="BU1170" s="429" t="n">
        <v>257</v>
      </c>
      <c r="BV1170" s="431" t="n">
        <v>257</v>
      </c>
      <c r="BW1170" s="429" t="inlineStr">
        <is>
          <t>spare</t>
        </is>
      </c>
      <c r="BX1170" s="431" t="n"/>
      <c r="BY1170" s="451" t="n"/>
      <c r="BZ1170" s="451" t="n"/>
      <c r="CA1170" s="451" t="n"/>
      <c r="CC1170" s="429" t="n">
        <v>257</v>
      </c>
      <c r="CD1170" s="431" t="n">
        <v>257</v>
      </c>
      <c r="CE1170" s="688" t="inlineStr">
        <is>
          <t>spare</t>
        </is>
      </c>
      <c r="CF1170" s="431" t="n"/>
      <c r="CG1170" s="451" t="n"/>
      <c r="CH1170" s="562">
        <f>'CIRCUIT SIM'!LK258</f>
        <v/>
      </c>
      <c r="CI1170" s="451" t="n"/>
      <c r="CK1170" s="429" t="n">
        <v>257</v>
      </c>
      <c r="CL1170" s="431" t="n">
        <v>257</v>
      </c>
      <c r="CM1170" s="688" t="inlineStr">
        <is>
          <t>spare</t>
        </is>
      </c>
      <c r="CN1170" s="431" t="n"/>
      <c r="CO1170" s="451" t="n"/>
      <c r="CP1170" s="451" t="n"/>
      <c r="CQ1170" s="451" t="n"/>
      <c r="CS1170" s="429" t="n">
        <v>257</v>
      </c>
      <c r="CT1170" s="431" t="n">
        <v>257</v>
      </c>
      <c r="CU1170" s="688" t="inlineStr">
        <is>
          <t>spare</t>
        </is>
      </c>
      <c r="CV1170" s="431" t="n"/>
      <c r="CW1170" s="451" t="n"/>
      <c r="CX1170" s="451" t="n"/>
      <c r="CY1170" s="451" t="n"/>
      <c r="DA1170" s="429" t="n">
        <v>257</v>
      </c>
      <c r="DB1170" s="431" t="n">
        <v>257</v>
      </c>
      <c r="DC1170" s="688" t="inlineStr">
        <is>
          <t>spare</t>
        </is>
      </c>
      <c r="DD1170" s="431" t="n"/>
      <c r="DE1170" s="451" t="n"/>
      <c r="DF1170" s="451" t="n"/>
      <c r="DG1170" s="451" t="n"/>
      <c r="DI1170" s="429" t="n">
        <v>257</v>
      </c>
      <c r="DJ1170" s="431" t="n">
        <v>257</v>
      </c>
      <c r="DK1170" s="688" t="inlineStr">
        <is>
          <t>spare</t>
        </is>
      </c>
      <c r="DL1170" s="431" t="n"/>
      <c r="DM1170" s="429" t="n"/>
      <c r="DN1170" s="451" t="n"/>
      <c r="DO1170" s="451" t="n"/>
      <c r="DQ1170" s="429" t="n">
        <v>257</v>
      </c>
      <c r="DR1170" s="431" t="n">
        <v>257</v>
      </c>
      <c r="DS1170" s="688" t="inlineStr">
        <is>
          <t>spare</t>
        </is>
      </c>
      <c r="DT1170" s="431" t="n"/>
      <c r="DU1170" s="451" t="n"/>
      <c r="DV1170" s="451" t="n"/>
      <c r="DW1170" s="451" t="n"/>
      <c r="DY1170" s="429" t="n">
        <v>257</v>
      </c>
      <c r="DZ1170" s="431" t="n">
        <v>257</v>
      </c>
      <c r="EA1170" s="688" t="inlineStr">
        <is>
          <t>spare</t>
        </is>
      </c>
      <c r="EB1170" s="431" t="n"/>
      <c r="EC1170" s="451" t="n"/>
      <c r="ED1170" s="451" t="n"/>
      <c r="EE1170" s="451" t="n"/>
      <c r="EG1170" s="429" t="n">
        <v>257</v>
      </c>
      <c r="EH1170" s="431" t="n">
        <v>257</v>
      </c>
      <c r="EI1170" s="688" t="inlineStr">
        <is>
          <t>spare</t>
        </is>
      </c>
      <c r="EJ1170" s="431" t="n"/>
      <c r="EK1170" s="451" t="n"/>
      <c r="EL1170" s="451" t="n"/>
      <c r="EM1170" s="451" t="n"/>
      <c r="EO1170" s="429" t="n">
        <v>257</v>
      </c>
      <c r="EP1170" s="431" t="n">
        <v>257</v>
      </c>
      <c r="EQ1170" s="688" t="inlineStr">
        <is>
          <t>spare</t>
        </is>
      </c>
      <c r="ER1170" s="431" t="n"/>
      <c r="ES1170" s="451" t="n"/>
      <c r="ET1170" s="451" t="n"/>
      <c r="EU1170" s="451" t="n"/>
      <c r="EW1170" s="429" t="n">
        <v>257</v>
      </c>
      <c r="EX1170" s="431" t="n">
        <v>257</v>
      </c>
      <c r="EY1170" s="688" t="inlineStr">
        <is>
          <t>spare</t>
        </is>
      </c>
      <c r="EZ1170" s="431" t="n"/>
      <c r="FA1170" s="451" t="n"/>
      <c r="FB1170" s="451" t="n"/>
      <c r="FC1170" s="451" t="n"/>
      <c r="FE1170" s="429" t="n">
        <v>257</v>
      </c>
      <c r="FF1170" s="431" t="n">
        <v>257</v>
      </c>
      <c r="FG1170" s="688" t="inlineStr">
        <is>
          <t>spare</t>
        </is>
      </c>
      <c r="FH1170" s="431" t="n"/>
      <c r="FI1170" s="451" t="n"/>
      <c r="FJ1170" s="451" t="n"/>
      <c r="FK1170" s="451" t="n"/>
      <c r="FM1170" s="429" t="n">
        <v>257</v>
      </c>
      <c r="FN1170" s="431" t="n">
        <v>257</v>
      </c>
      <c r="FO1170" s="688" t="inlineStr">
        <is>
          <t>spare</t>
        </is>
      </c>
      <c r="FP1170" s="431" t="n"/>
      <c r="FQ1170" s="451" t="n"/>
      <c r="FR1170" s="451" t="n"/>
      <c r="FS1170" s="451" t="n"/>
      <c r="FU1170" s="429" t="n">
        <v>257</v>
      </c>
      <c r="FV1170" s="431" t="n">
        <v>257</v>
      </c>
      <c r="FW1170" s="688" t="inlineStr">
        <is>
          <t>spare</t>
        </is>
      </c>
      <c r="FX1170" s="431" t="n"/>
      <c r="FY1170" s="451" t="n"/>
      <c r="FZ1170" s="562" t="n"/>
      <c r="GA1170" s="451" t="n"/>
      <c r="GC1170" s="429" t="n">
        <v>257</v>
      </c>
      <c r="GD1170" s="431" t="n">
        <v>257</v>
      </c>
      <c r="GE1170" s="688" t="inlineStr">
        <is>
          <t>spare</t>
        </is>
      </c>
      <c r="GF1170" s="431" t="n"/>
      <c r="GG1170" s="451" t="n"/>
      <c r="GH1170" s="451" t="n"/>
      <c r="GI1170" s="451" t="n"/>
      <c r="GK1170" s="429" t="n">
        <v>257</v>
      </c>
      <c r="GL1170" s="431" t="n">
        <v>257</v>
      </c>
      <c r="GM1170" s="688" t="inlineStr">
        <is>
          <t>spare</t>
        </is>
      </c>
      <c r="GN1170" s="431" t="n"/>
      <c r="GO1170" s="451" t="n"/>
      <c r="GP1170" s="451" t="n"/>
      <c r="GQ1170" s="451" t="n"/>
      <c r="GS1170" s="429" t="n">
        <v>257</v>
      </c>
      <c r="GT1170" s="431" t="n">
        <v>257</v>
      </c>
      <c r="GU1170" s="688" t="inlineStr">
        <is>
          <t>spare</t>
        </is>
      </c>
      <c r="GV1170" s="431" t="n"/>
      <c r="GW1170" s="451" t="n"/>
      <c r="GX1170" s="451" t="n"/>
      <c r="GY1170" s="451" t="n"/>
      <c r="HA1170" s="429" t="n">
        <v>257</v>
      </c>
      <c r="HB1170" s="431" t="n">
        <v>257</v>
      </c>
      <c r="HC1170" s="688" t="inlineStr">
        <is>
          <t>spare</t>
        </is>
      </c>
      <c r="HD1170" s="431" t="n"/>
      <c r="HE1170" s="451" t="n"/>
      <c r="HF1170" s="451" t="n"/>
      <c r="HG1170" s="451" t="n"/>
    </row>
    <row r="1171">
      <c r="A1171" s="429" t="n">
        <v>258</v>
      </c>
      <c r="B1171" s="431" t="n">
        <v>258</v>
      </c>
      <c r="C1171" s="688" t="inlineStr">
        <is>
          <t>spare</t>
        </is>
      </c>
      <c r="D1171" s="431" t="n"/>
      <c r="E1171" s="429" t="n"/>
      <c r="F1171" s="429" t="n"/>
      <c r="G1171" s="429" t="n"/>
      <c r="I1171" s="429" t="n">
        <v>258</v>
      </c>
      <c r="J1171" s="431" t="n">
        <v>258</v>
      </c>
      <c r="K1171" s="429" t="inlineStr">
        <is>
          <t>spare</t>
        </is>
      </c>
      <c r="L1171" s="431" t="n"/>
      <c r="M1171" s="451" t="n"/>
      <c r="N1171" s="422" t="n"/>
      <c r="O1171" s="451" t="n"/>
      <c r="Q1171" s="429" t="n">
        <v>258</v>
      </c>
      <c r="R1171" s="431" t="n">
        <v>258</v>
      </c>
      <c r="S1171" s="429" t="inlineStr">
        <is>
          <t>spare</t>
        </is>
      </c>
      <c r="T1171" s="431" t="n"/>
      <c r="U1171" s="429" t="n"/>
      <c r="V1171" s="451" t="n"/>
      <c r="W1171" s="451" t="n"/>
      <c r="Y1171" s="429" t="n">
        <v>258</v>
      </c>
      <c r="Z1171" s="431" t="n">
        <v>258</v>
      </c>
      <c r="AA1171" s="429" t="inlineStr">
        <is>
          <t>spare</t>
        </is>
      </c>
      <c r="AB1171" s="431" t="n"/>
      <c r="AC1171" s="451" t="n"/>
      <c r="AD1171" s="451" t="n"/>
      <c r="AE1171" s="451" t="n"/>
      <c r="AG1171" s="429" t="n">
        <v>258</v>
      </c>
      <c r="AH1171" s="431" t="n">
        <v>258</v>
      </c>
      <c r="AI1171" s="429" t="inlineStr">
        <is>
          <t>spare</t>
        </is>
      </c>
      <c r="AJ1171" s="431" t="n"/>
      <c r="AK1171" s="451" t="n"/>
      <c r="AL1171" s="451" t="n"/>
      <c r="AM1171" s="451" t="n"/>
      <c r="AO1171" s="429" t="n">
        <v>258</v>
      </c>
      <c r="AP1171" s="431" t="n">
        <v>258</v>
      </c>
      <c r="AQ1171" s="429" t="inlineStr">
        <is>
          <t>spare</t>
        </is>
      </c>
      <c r="AR1171" s="431" t="n"/>
      <c r="AS1171" s="451" t="n"/>
      <c r="AT1171" s="451" t="n"/>
      <c r="AU1171" s="451" t="n"/>
      <c r="AW1171" s="429" t="n">
        <v>258</v>
      </c>
      <c r="AX1171" s="431" t="n">
        <v>258</v>
      </c>
      <c r="AY1171" s="429" t="inlineStr">
        <is>
          <t>spare</t>
        </is>
      </c>
      <c r="AZ1171" s="431" t="n"/>
      <c r="BA1171" s="451" t="n"/>
      <c r="BB1171" s="451" t="n"/>
      <c r="BC1171" s="451" t="n"/>
      <c r="BE1171" s="429" t="n">
        <v>258</v>
      </c>
      <c r="BF1171" s="431" t="n"/>
      <c r="BG1171" s="429" t="inlineStr">
        <is>
          <t>spare</t>
        </is>
      </c>
      <c r="BH1171" s="431" t="n"/>
      <c r="BI1171" s="451" t="n"/>
      <c r="BJ1171" s="451" t="n"/>
      <c r="BK1171" s="451" t="n"/>
      <c r="BM1171" s="429" t="n">
        <v>258</v>
      </c>
      <c r="BN1171" s="431" t="n">
        <v>258</v>
      </c>
      <c r="BO1171" s="429" t="inlineStr">
        <is>
          <t>spare</t>
        </is>
      </c>
      <c r="BP1171" s="431" t="n"/>
      <c r="BQ1171" s="451" t="n"/>
      <c r="BR1171" s="451" t="n"/>
      <c r="BS1171" s="451" t="n"/>
      <c r="BU1171" s="429" t="n">
        <v>258</v>
      </c>
      <c r="BV1171" s="431" t="n">
        <v>258</v>
      </c>
      <c r="BW1171" s="429" t="inlineStr">
        <is>
          <t>spare</t>
        </is>
      </c>
      <c r="BX1171" s="431" t="n"/>
      <c r="BY1171" s="451" t="n"/>
      <c r="BZ1171" s="451" t="n"/>
      <c r="CA1171" s="451" t="n"/>
      <c r="CC1171" s="429" t="n">
        <v>258</v>
      </c>
      <c r="CD1171" s="431" t="n">
        <v>258</v>
      </c>
      <c r="CE1171" s="688" t="inlineStr">
        <is>
          <t>spare</t>
        </is>
      </c>
      <c r="CF1171" s="431" t="n"/>
      <c r="CG1171" s="451" t="n"/>
      <c r="CH1171" s="562">
        <f>'CIRCUIT SIM'!LK259</f>
        <v/>
      </c>
      <c r="CI1171" s="451" t="n"/>
      <c r="CK1171" s="429" t="n">
        <v>258</v>
      </c>
      <c r="CL1171" s="431" t="n">
        <v>258</v>
      </c>
      <c r="CM1171" s="688" t="inlineStr">
        <is>
          <t>spare</t>
        </is>
      </c>
      <c r="CN1171" s="431" t="n"/>
      <c r="CO1171" s="451" t="n"/>
      <c r="CP1171" s="451" t="n"/>
      <c r="CQ1171" s="451" t="n"/>
      <c r="CS1171" s="429" t="n">
        <v>258</v>
      </c>
      <c r="CT1171" s="431" t="n">
        <v>258</v>
      </c>
      <c r="CU1171" s="688" t="inlineStr">
        <is>
          <t>spare</t>
        </is>
      </c>
      <c r="CV1171" s="431" t="n"/>
      <c r="CW1171" s="451" t="n"/>
      <c r="CX1171" s="451" t="n"/>
      <c r="CY1171" s="451" t="n"/>
      <c r="DA1171" s="429" t="n">
        <v>258</v>
      </c>
      <c r="DB1171" s="431" t="n">
        <v>258</v>
      </c>
      <c r="DC1171" s="688" t="inlineStr">
        <is>
          <t>spare</t>
        </is>
      </c>
      <c r="DD1171" s="431" t="n"/>
      <c r="DE1171" s="451" t="n"/>
      <c r="DF1171" s="451" t="n"/>
      <c r="DG1171" s="451" t="n"/>
      <c r="DI1171" s="429" t="n">
        <v>258</v>
      </c>
      <c r="DJ1171" s="431" t="n">
        <v>258</v>
      </c>
      <c r="DK1171" s="688" t="inlineStr">
        <is>
          <t>spare</t>
        </is>
      </c>
      <c r="DL1171" s="431" t="n"/>
      <c r="DM1171" s="429" t="n"/>
      <c r="DN1171" s="451" t="n"/>
      <c r="DO1171" s="451" t="n"/>
      <c r="DQ1171" s="429" t="n">
        <v>258</v>
      </c>
      <c r="DR1171" s="431" t="n">
        <v>258</v>
      </c>
      <c r="DS1171" s="688" t="inlineStr">
        <is>
          <t>spare</t>
        </is>
      </c>
      <c r="DT1171" s="431" t="n"/>
      <c r="DU1171" s="451" t="n"/>
      <c r="DV1171" s="451" t="n"/>
      <c r="DW1171" s="451" t="n"/>
      <c r="DY1171" s="429" t="n">
        <v>258</v>
      </c>
      <c r="DZ1171" s="431" t="n">
        <v>258</v>
      </c>
      <c r="EA1171" s="688" t="inlineStr">
        <is>
          <t>spare</t>
        </is>
      </c>
      <c r="EB1171" s="431" t="n"/>
      <c r="EC1171" s="451" t="n"/>
      <c r="ED1171" s="451" t="n"/>
      <c r="EE1171" s="451" t="n"/>
      <c r="EG1171" s="429" t="n">
        <v>258</v>
      </c>
      <c r="EH1171" s="431" t="n">
        <v>258</v>
      </c>
      <c r="EI1171" s="688" t="inlineStr">
        <is>
          <t>spare</t>
        </is>
      </c>
      <c r="EJ1171" s="431" t="n"/>
      <c r="EK1171" s="451" t="n"/>
      <c r="EL1171" s="451" t="n"/>
      <c r="EM1171" s="451" t="n"/>
      <c r="EO1171" s="429" t="n">
        <v>258</v>
      </c>
      <c r="EP1171" s="431" t="n">
        <v>258</v>
      </c>
      <c r="EQ1171" s="688" t="inlineStr">
        <is>
          <t>spare</t>
        </is>
      </c>
      <c r="ER1171" s="431" t="n"/>
      <c r="ES1171" s="451" t="n"/>
      <c r="ET1171" s="451" t="n"/>
      <c r="EU1171" s="451" t="n"/>
      <c r="EW1171" s="429" t="n">
        <v>258</v>
      </c>
      <c r="EX1171" s="431" t="n">
        <v>258</v>
      </c>
      <c r="EY1171" s="688" t="inlineStr">
        <is>
          <t>spare</t>
        </is>
      </c>
      <c r="EZ1171" s="431" t="n"/>
      <c r="FA1171" s="451" t="n"/>
      <c r="FB1171" s="451" t="n"/>
      <c r="FC1171" s="451" t="n"/>
      <c r="FE1171" s="429" t="n">
        <v>258</v>
      </c>
      <c r="FF1171" s="431" t="n">
        <v>258</v>
      </c>
      <c r="FG1171" s="688" t="inlineStr">
        <is>
          <t>spare</t>
        </is>
      </c>
      <c r="FH1171" s="431" t="n"/>
      <c r="FI1171" s="451" t="n"/>
      <c r="FJ1171" s="451" t="n"/>
      <c r="FK1171" s="451" t="n"/>
      <c r="FM1171" s="429" t="n">
        <v>258</v>
      </c>
      <c r="FN1171" s="431" t="n">
        <v>258</v>
      </c>
      <c r="FO1171" s="688" t="inlineStr">
        <is>
          <t>spare</t>
        </is>
      </c>
      <c r="FP1171" s="431" t="n"/>
      <c r="FQ1171" s="451" t="n"/>
      <c r="FR1171" s="451" t="n"/>
      <c r="FS1171" s="451" t="n"/>
      <c r="FU1171" s="429" t="n">
        <v>258</v>
      </c>
      <c r="FV1171" s="431" t="n">
        <v>258</v>
      </c>
      <c r="FW1171" s="688" t="inlineStr">
        <is>
          <t>spare</t>
        </is>
      </c>
      <c r="FX1171" s="431" t="n"/>
      <c r="FY1171" s="451" t="n"/>
      <c r="FZ1171" s="562" t="n"/>
      <c r="GA1171" s="451" t="n"/>
      <c r="GC1171" s="429" t="n">
        <v>258</v>
      </c>
      <c r="GD1171" s="431" t="n">
        <v>258</v>
      </c>
      <c r="GE1171" s="688" t="inlineStr">
        <is>
          <t>spare</t>
        </is>
      </c>
      <c r="GF1171" s="431" t="n"/>
      <c r="GG1171" s="451" t="n"/>
      <c r="GH1171" s="451" t="n"/>
      <c r="GI1171" s="451" t="n"/>
      <c r="GK1171" s="429" t="n">
        <v>258</v>
      </c>
      <c r="GL1171" s="431" t="n">
        <v>258</v>
      </c>
      <c r="GM1171" s="688" t="inlineStr">
        <is>
          <t>spare</t>
        </is>
      </c>
      <c r="GN1171" s="431" t="n"/>
      <c r="GO1171" s="451" t="n"/>
      <c r="GP1171" s="451" t="n"/>
      <c r="GQ1171" s="451" t="n"/>
      <c r="GS1171" s="429" t="n">
        <v>258</v>
      </c>
      <c r="GT1171" s="431" t="n">
        <v>258</v>
      </c>
      <c r="GU1171" s="688" t="inlineStr">
        <is>
          <t>spare</t>
        </is>
      </c>
      <c r="GV1171" s="431" t="n"/>
      <c r="GW1171" s="451" t="n"/>
      <c r="GX1171" s="451" t="n"/>
      <c r="GY1171" s="451" t="n"/>
      <c r="HA1171" s="429" t="n">
        <v>258</v>
      </c>
      <c r="HB1171" s="431" t="n">
        <v>258</v>
      </c>
      <c r="HC1171" s="688" t="inlineStr">
        <is>
          <t>spare</t>
        </is>
      </c>
      <c r="HD1171" s="431" t="n"/>
      <c r="HE1171" s="451" t="n"/>
      <c r="HF1171" s="451" t="n"/>
      <c r="HG1171" s="451" t="n"/>
    </row>
    <row r="1172">
      <c r="A1172" s="429" t="n">
        <v>259</v>
      </c>
      <c r="B1172" s="431" t="n">
        <v>259</v>
      </c>
      <c r="C1172" s="688" t="inlineStr">
        <is>
          <t>spare</t>
        </is>
      </c>
      <c r="D1172" s="431" t="n"/>
      <c r="E1172" s="429" t="n"/>
      <c r="F1172" s="429" t="n"/>
      <c r="G1172" s="429" t="n"/>
      <c r="I1172" s="429" t="n">
        <v>259</v>
      </c>
      <c r="J1172" s="431" t="n">
        <v>259</v>
      </c>
      <c r="K1172" s="429" t="inlineStr">
        <is>
          <t>spare</t>
        </is>
      </c>
      <c r="L1172" s="431" t="n"/>
      <c r="M1172" s="451" t="n"/>
      <c r="N1172" s="422" t="n"/>
      <c r="O1172" s="451" t="n"/>
      <c r="Q1172" s="429" t="n">
        <v>259</v>
      </c>
      <c r="R1172" s="431" t="n">
        <v>259</v>
      </c>
      <c r="S1172" s="429" t="inlineStr">
        <is>
          <t>spare</t>
        </is>
      </c>
      <c r="T1172" s="431" t="n"/>
      <c r="U1172" s="429" t="n"/>
      <c r="V1172" s="451" t="n"/>
      <c r="W1172" s="451" t="n"/>
      <c r="Y1172" s="429" t="n">
        <v>259</v>
      </c>
      <c r="Z1172" s="431" t="n">
        <v>259</v>
      </c>
      <c r="AA1172" s="429" t="inlineStr">
        <is>
          <t>spare</t>
        </is>
      </c>
      <c r="AB1172" s="431" t="n"/>
      <c r="AC1172" s="451" t="n"/>
      <c r="AD1172" s="451" t="n"/>
      <c r="AE1172" s="451" t="n"/>
      <c r="AG1172" s="429" t="n">
        <v>259</v>
      </c>
      <c r="AH1172" s="431" t="n">
        <v>259</v>
      </c>
      <c r="AI1172" s="429" t="inlineStr">
        <is>
          <t>spare</t>
        </is>
      </c>
      <c r="AJ1172" s="431" t="n"/>
      <c r="AK1172" s="451" t="n"/>
      <c r="AL1172" s="451" t="n"/>
      <c r="AM1172" s="451" t="n"/>
      <c r="AO1172" s="429" t="n">
        <v>259</v>
      </c>
      <c r="AP1172" s="431" t="n">
        <v>259</v>
      </c>
      <c r="AQ1172" s="429" t="inlineStr">
        <is>
          <t>spare</t>
        </is>
      </c>
      <c r="AR1172" s="431" t="n"/>
      <c r="AS1172" s="451" t="n"/>
      <c r="AT1172" s="451" t="n"/>
      <c r="AU1172" s="451" t="n"/>
      <c r="AW1172" s="429" t="n">
        <v>259</v>
      </c>
      <c r="AX1172" s="431" t="n">
        <v>259</v>
      </c>
      <c r="AY1172" s="429" t="inlineStr">
        <is>
          <t>spare</t>
        </is>
      </c>
      <c r="AZ1172" s="431" t="n"/>
      <c r="BA1172" s="451" t="n"/>
      <c r="BB1172" s="451" t="n"/>
      <c r="BC1172" s="451" t="n"/>
      <c r="BE1172" s="429" t="n">
        <v>259</v>
      </c>
      <c r="BF1172" s="431" t="n"/>
      <c r="BG1172" s="429" t="inlineStr">
        <is>
          <t>spare</t>
        </is>
      </c>
      <c r="BH1172" s="431" t="n"/>
      <c r="BI1172" s="451" t="n"/>
      <c r="BJ1172" s="451" t="n"/>
      <c r="BK1172" s="451" t="n"/>
      <c r="BM1172" s="429" t="n">
        <v>259</v>
      </c>
      <c r="BN1172" s="431" t="n">
        <v>259</v>
      </c>
      <c r="BO1172" s="429" t="inlineStr">
        <is>
          <t>spare</t>
        </is>
      </c>
      <c r="BP1172" s="431" t="n"/>
      <c r="BQ1172" s="451" t="n"/>
      <c r="BR1172" s="451" t="n"/>
      <c r="BS1172" s="451" t="n"/>
      <c r="BU1172" s="429" t="n">
        <v>259</v>
      </c>
      <c r="BV1172" s="431" t="n">
        <v>259</v>
      </c>
      <c r="BW1172" s="429" t="inlineStr">
        <is>
          <t>spare</t>
        </is>
      </c>
      <c r="BX1172" s="431" t="n"/>
      <c r="BY1172" s="451" t="n"/>
      <c r="BZ1172" s="451" t="n"/>
      <c r="CA1172" s="451" t="n"/>
      <c r="CC1172" s="429" t="n">
        <v>259</v>
      </c>
      <c r="CD1172" s="431" t="n">
        <v>259</v>
      </c>
      <c r="CE1172" s="688" t="inlineStr">
        <is>
          <t>spare</t>
        </is>
      </c>
      <c r="CF1172" s="431" t="n"/>
      <c r="CG1172" s="451" t="n"/>
      <c r="CH1172" s="562">
        <f>'CIRCUIT SIM'!LK260</f>
        <v/>
      </c>
      <c r="CI1172" s="451" t="n"/>
      <c r="CK1172" s="429" t="n">
        <v>259</v>
      </c>
      <c r="CL1172" s="431" t="n">
        <v>259</v>
      </c>
      <c r="CM1172" s="688" t="inlineStr">
        <is>
          <t>spare</t>
        </is>
      </c>
      <c r="CN1172" s="431" t="n"/>
      <c r="CO1172" s="451" t="n"/>
      <c r="CP1172" s="451" t="n"/>
      <c r="CQ1172" s="451" t="n"/>
      <c r="CS1172" s="429" t="n">
        <v>259</v>
      </c>
      <c r="CT1172" s="431" t="n">
        <v>259</v>
      </c>
      <c r="CU1172" s="688" t="inlineStr">
        <is>
          <t>spare</t>
        </is>
      </c>
      <c r="CV1172" s="431" t="n"/>
      <c r="CW1172" s="451" t="n"/>
      <c r="CX1172" s="451" t="n"/>
      <c r="CY1172" s="451" t="n"/>
      <c r="DA1172" s="429" t="n">
        <v>259</v>
      </c>
      <c r="DB1172" s="431" t="n">
        <v>259</v>
      </c>
      <c r="DC1172" s="688" t="inlineStr">
        <is>
          <t>spare</t>
        </is>
      </c>
      <c r="DD1172" s="431" t="n"/>
      <c r="DE1172" s="451" t="n"/>
      <c r="DF1172" s="451" t="n"/>
      <c r="DG1172" s="451" t="n"/>
      <c r="DI1172" s="429" t="n">
        <v>259</v>
      </c>
      <c r="DJ1172" s="431" t="n">
        <v>259</v>
      </c>
      <c r="DK1172" s="688" t="inlineStr">
        <is>
          <t>spare</t>
        </is>
      </c>
      <c r="DL1172" s="431" t="n"/>
      <c r="DM1172" s="429" t="n"/>
      <c r="DN1172" s="451" t="n"/>
      <c r="DO1172" s="451" t="n"/>
      <c r="DQ1172" s="429" t="n">
        <v>259</v>
      </c>
      <c r="DR1172" s="431" t="n">
        <v>259</v>
      </c>
      <c r="DS1172" s="688" t="inlineStr">
        <is>
          <t>spare</t>
        </is>
      </c>
      <c r="DT1172" s="431" t="n"/>
      <c r="DU1172" s="451" t="n"/>
      <c r="DV1172" s="451" t="n"/>
      <c r="DW1172" s="451" t="n"/>
      <c r="DY1172" s="429" t="n">
        <v>259</v>
      </c>
      <c r="DZ1172" s="431" t="n">
        <v>259</v>
      </c>
      <c r="EA1172" s="688" t="inlineStr">
        <is>
          <t>spare</t>
        </is>
      </c>
      <c r="EB1172" s="431" t="n"/>
      <c r="EC1172" s="451" t="n"/>
      <c r="ED1172" s="451" t="n"/>
      <c r="EE1172" s="451" t="n"/>
      <c r="EG1172" s="429" t="n">
        <v>259</v>
      </c>
      <c r="EH1172" s="431" t="n">
        <v>259</v>
      </c>
      <c r="EI1172" s="688" t="inlineStr">
        <is>
          <t>spare</t>
        </is>
      </c>
      <c r="EJ1172" s="431" t="n"/>
      <c r="EK1172" s="451" t="n"/>
      <c r="EL1172" s="451" t="n"/>
      <c r="EM1172" s="451" t="n"/>
      <c r="EO1172" s="429" t="n">
        <v>259</v>
      </c>
      <c r="EP1172" s="431" t="n">
        <v>259</v>
      </c>
      <c r="EQ1172" s="688" t="inlineStr">
        <is>
          <t>spare</t>
        </is>
      </c>
      <c r="ER1172" s="431" t="n"/>
      <c r="ES1172" s="451" t="n"/>
      <c r="ET1172" s="451" t="n"/>
      <c r="EU1172" s="451" t="n"/>
      <c r="EW1172" s="429" t="n">
        <v>259</v>
      </c>
      <c r="EX1172" s="431" t="n">
        <v>259</v>
      </c>
      <c r="EY1172" s="688" t="inlineStr">
        <is>
          <t>spare</t>
        </is>
      </c>
      <c r="EZ1172" s="431" t="n"/>
      <c r="FA1172" s="451" t="n"/>
      <c r="FB1172" s="451" t="n"/>
      <c r="FC1172" s="451" t="n"/>
      <c r="FE1172" s="429" t="n">
        <v>259</v>
      </c>
      <c r="FF1172" s="431" t="n">
        <v>259</v>
      </c>
      <c r="FG1172" s="688" t="inlineStr">
        <is>
          <t>spare</t>
        </is>
      </c>
      <c r="FH1172" s="431" t="n"/>
      <c r="FI1172" s="451" t="n"/>
      <c r="FJ1172" s="451" t="n"/>
      <c r="FK1172" s="451" t="n"/>
      <c r="FM1172" s="429" t="n">
        <v>259</v>
      </c>
      <c r="FN1172" s="431" t="n">
        <v>259</v>
      </c>
      <c r="FO1172" s="688" t="inlineStr">
        <is>
          <t>spare</t>
        </is>
      </c>
      <c r="FP1172" s="431" t="n"/>
      <c r="FQ1172" s="451" t="n"/>
      <c r="FR1172" s="451" t="n"/>
      <c r="FS1172" s="451" t="n"/>
      <c r="FU1172" s="429" t="n">
        <v>259</v>
      </c>
      <c r="FV1172" s="431" t="n">
        <v>259</v>
      </c>
      <c r="FW1172" s="688" t="inlineStr">
        <is>
          <t>spare</t>
        </is>
      </c>
      <c r="FX1172" s="431" t="n"/>
      <c r="FY1172" s="451" t="n"/>
      <c r="FZ1172" s="562" t="n"/>
      <c r="GA1172" s="451" t="n"/>
      <c r="GC1172" s="429" t="n">
        <v>259</v>
      </c>
      <c r="GD1172" s="431" t="n">
        <v>259</v>
      </c>
      <c r="GE1172" s="688" t="inlineStr">
        <is>
          <t>spare</t>
        </is>
      </c>
      <c r="GF1172" s="431" t="n"/>
      <c r="GG1172" s="451" t="n"/>
      <c r="GH1172" s="451" t="n"/>
      <c r="GI1172" s="451" t="n"/>
      <c r="GK1172" s="429" t="n">
        <v>259</v>
      </c>
      <c r="GL1172" s="431" t="n">
        <v>259</v>
      </c>
      <c r="GM1172" s="688" t="inlineStr">
        <is>
          <t>spare</t>
        </is>
      </c>
      <c r="GN1172" s="431" t="n"/>
      <c r="GO1172" s="451" t="n"/>
      <c r="GP1172" s="451" t="n"/>
      <c r="GQ1172" s="451" t="n"/>
      <c r="GS1172" s="429" t="n">
        <v>259</v>
      </c>
      <c r="GT1172" s="431" t="n">
        <v>259</v>
      </c>
      <c r="GU1172" s="688" t="inlineStr">
        <is>
          <t>spare</t>
        </is>
      </c>
      <c r="GV1172" s="431" t="n"/>
      <c r="GW1172" s="451" t="n"/>
      <c r="GX1172" s="451" t="n"/>
      <c r="GY1172" s="451" t="n"/>
      <c r="HA1172" s="429" t="n">
        <v>259</v>
      </c>
      <c r="HB1172" s="431" t="n">
        <v>259</v>
      </c>
      <c r="HC1172" s="688" t="inlineStr">
        <is>
          <t>spare</t>
        </is>
      </c>
      <c r="HD1172" s="431" t="n"/>
      <c r="HE1172" s="451" t="n"/>
      <c r="HF1172" s="451" t="n"/>
      <c r="HG1172" s="451" t="n"/>
    </row>
    <row r="1173">
      <c r="A1173" s="429" t="n">
        <v>260</v>
      </c>
      <c r="B1173" s="431" t="n">
        <v>260</v>
      </c>
      <c r="C1173" s="688" t="inlineStr">
        <is>
          <t>spare</t>
        </is>
      </c>
      <c r="D1173" s="431" t="n"/>
      <c r="E1173" s="429" t="n"/>
      <c r="F1173" s="429" t="n"/>
      <c r="G1173" s="429" t="n"/>
      <c r="I1173" s="429" t="n">
        <v>260</v>
      </c>
      <c r="J1173" s="431" t="n">
        <v>260</v>
      </c>
      <c r="K1173" s="429" t="inlineStr">
        <is>
          <t>spare</t>
        </is>
      </c>
      <c r="L1173" s="431" t="n"/>
      <c r="M1173" s="451" t="n"/>
      <c r="N1173" s="422" t="n"/>
      <c r="O1173" s="451" t="n"/>
      <c r="Q1173" s="429" t="n">
        <v>260</v>
      </c>
      <c r="R1173" s="431" t="n">
        <v>260</v>
      </c>
      <c r="S1173" s="429" t="inlineStr">
        <is>
          <t>spare</t>
        </is>
      </c>
      <c r="T1173" s="431" t="n"/>
      <c r="U1173" s="429" t="n"/>
      <c r="V1173" s="451" t="n"/>
      <c r="W1173" s="451" t="n"/>
      <c r="Y1173" s="429" t="n">
        <v>260</v>
      </c>
      <c r="Z1173" s="431" t="n">
        <v>260</v>
      </c>
      <c r="AA1173" s="429" t="inlineStr">
        <is>
          <t>spare</t>
        </is>
      </c>
      <c r="AB1173" s="431" t="n"/>
      <c r="AC1173" s="451" t="n"/>
      <c r="AD1173" s="451" t="n"/>
      <c r="AE1173" s="451" t="n"/>
      <c r="AG1173" s="429" t="n">
        <v>260</v>
      </c>
      <c r="AH1173" s="431" t="n">
        <v>260</v>
      </c>
      <c r="AI1173" s="429" t="inlineStr">
        <is>
          <t>spare</t>
        </is>
      </c>
      <c r="AJ1173" s="431" t="n"/>
      <c r="AK1173" s="451" t="n"/>
      <c r="AL1173" s="451" t="n"/>
      <c r="AM1173" s="451" t="n"/>
      <c r="AO1173" s="429" t="n">
        <v>260</v>
      </c>
      <c r="AP1173" s="431" t="n">
        <v>260</v>
      </c>
      <c r="AQ1173" s="429" t="inlineStr">
        <is>
          <t>spare</t>
        </is>
      </c>
      <c r="AR1173" s="431" t="n"/>
      <c r="AS1173" s="451" t="n"/>
      <c r="AT1173" s="451" t="n"/>
      <c r="AU1173" s="451" t="n"/>
      <c r="AW1173" s="429" t="n">
        <v>260</v>
      </c>
      <c r="AX1173" s="431" t="n">
        <v>260</v>
      </c>
      <c r="AY1173" s="429" t="inlineStr">
        <is>
          <t>spare</t>
        </is>
      </c>
      <c r="AZ1173" s="431" t="n"/>
      <c r="BA1173" s="451" t="n"/>
      <c r="BB1173" s="451" t="n"/>
      <c r="BC1173" s="451" t="n"/>
      <c r="BE1173" s="429" t="n">
        <v>260</v>
      </c>
      <c r="BF1173" s="431" t="n"/>
      <c r="BG1173" s="429" t="inlineStr">
        <is>
          <t>spare</t>
        </is>
      </c>
      <c r="BH1173" s="431" t="n"/>
      <c r="BI1173" s="451" t="n"/>
      <c r="BJ1173" s="451" t="n"/>
      <c r="BK1173" s="451" t="n"/>
      <c r="BM1173" s="429" t="n">
        <v>260</v>
      </c>
      <c r="BN1173" s="431" t="n">
        <v>260</v>
      </c>
      <c r="BO1173" s="429" t="inlineStr">
        <is>
          <t>spare</t>
        </is>
      </c>
      <c r="BP1173" s="431" t="n"/>
      <c r="BQ1173" s="451" t="n"/>
      <c r="BR1173" s="451" t="n"/>
      <c r="BS1173" s="451" t="n"/>
      <c r="BU1173" s="429" t="n">
        <v>260</v>
      </c>
      <c r="BV1173" s="431" t="n">
        <v>260</v>
      </c>
      <c r="BW1173" s="429" t="inlineStr">
        <is>
          <t>spare</t>
        </is>
      </c>
      <c r="BX1173" s="431" t="n"/>
      <c r="BY1173" s="451" t="n"/>
      <c r="BZ1173" s="451" t="n"/>
      <c r="CA1173" s="451" t="n"/>
      <c r="CC1173" s="429" t="n">
        <v>260</v>
      </c>
      <c r="CD1173" s="431" t="n">
        <v>260</v>
      </c>
      <c r="CE1173" s="688" t="inlineStr">
        <is>
          <t>spare</t>
        </is>
      </c>
      <c r="CF1173" s="431" t="n"/>
      <c r="CG1173" s="451" t="n"/>
      <c r="CH1173" s="562">
        <f>'CIRCUIT SIM'!LK261</f>
        <v/>
      </c>
      <c r="CI1173" s="451" t="n"/>
      <c r="CK1173" s="429" t="n">
        <v>260</v>
      </c>
      <c r="CL1173" s="431" t="n">
        <v>260</v>
      </c>
      <c r="CM1173" s="688" t="inlineStr">
        <is>
          <t>spare</t>
        </is>
      </c>
      <c r="CN1173" s="431" t="n"/>
      <c r="CO1173" s="451" t="n"/>
      <c r="CP1173" s="451" t="n"/>
      <c r="CQ1173" s="451" t="n"/>
      <c r="CS1173" s="429" t="n">
        <v>260</v>
      </c>
      <c r="CT1173" s="431" t="n">
        <v>260</v>
      </c>
      <c r="CU1173" s="688" t="inlineStr">
        <is>
          <t>spare</t>
        </is>
      </c>
      <c r="CV1173" s="431" t="n"/>
      <c r="CW1173" s="451" t="n"/>
      <c r="CX1173" s="451" t="n"/>
      <c r="CY1173" s="451" t="n"/>
      <c r="DA1173" s="429" t="n">
        <v>260</v>
      </c>
      <c r="DB1173" s="431" t="n">
        <v>260</v>
      </c>
      <c r="DC1173" s="688" t="inlineStr">
        <is>
          <t>spare</t>
        </is>
      </c>
      <c r="DD1173" s="431" t="n"/>
      <c r="DE1173" s="451" t="n"/>
      <c r="DF1173" s="451" t="n"/>
      <c r="DG1173" s="451" t="n"/>
      <c r="DI1173" s="429" t="n">
        <v>260</v>
      </c>
      <c r="DJ1173" s="431" t="n">
        <v>260</v>
      </c>
      <c r="DK1173" s="688" t="inlineStr">
        <is>
          <t>spare</t>
        </is>
      </c>
      <c r="DL1173" s="431" t="n"/>
      <c r="DM1173" s="429" t="n"/>
      <c r="DN1173" s="451" t="n"/>
      <c r="DO1173" s="451" t="n"/>
      <c r="DQ1173" s="429" t="n">
        <v>260</v>
      </c>
      <c r="DR1173" s="431" t="n">
        <v>260</v>
      </c>
      <c r="DS1173" s="688" t="inlineStr">
        <is>
          <t>spare</t>
        </is>
      </c>
      <c r="DT1173" s="431" t="n"/>
      <c r="DU1173" s="451" t="n"/>
      <c r="DV1173" s="451" t="n"/>
      <c r="DW1173" s="451" t="n"/>
      <c r="DY1173" s="429" t="n">
        <v>260</v>
      </c>
      <c r="DZ1173" s="431" t="n">
        <v>260</v>
      </c>
      <c r="EA1173" s="688" t="inlineStr">
        <is>
          <t>spare</t>
        </is>
      </c>
      <c r="EB1173" s="431" t="n"/>
      <c r="EC1173" s="451" t="n"/>
      <c r="ED1173" s="451" t="n"/>
      <c r="EE1173" s="451" t="n"/>
      <c r="EG1173" s="429" t="n">
        <v>260</v>
      </c>
      <c r="EH1173" s="431" t="n">
        <v>260</v>
      </c>
      <c r="EI1173" s="688" t="inlineStr">
        <is>
          <t>spare</t>
        </is>
      </c>
      <c r="EJ1173" s="431" t="n"/>
      <c r="EK1173" s="451" t="n"/>
      <c r="EL1173" s="451" t="n"/>
      <c r="EM1173" s="451" t="n"/>
      <c r="EO1173" s="429" t="n">
        <v>260</v>
      </c>
      <c r="EP1173" s="431" t="n">
        <v>260</v>
      </c>
      <c r="EQ1173" s="688" t="inlineStr">
        <is>
          <t>spare</t>
        </is>
      </c>
      <c r="ER1173" s="431" t="n"/>
      <c r="ES1173" s="451" t="n"/>
      <c r="ET1173" s="451" t="n"/>
      <c r="EU1173" s="451" t="n"/>
      <c r="EW1173" s="429" t="n">
        <v>260</v>
      </c>
      <c r="EX1173" s="431" t="n">
        <v>260</v>
      </c>
      <c r="EY1173" s="688" t="inlineStr">
        <is>
          <t>spare</t>
        </is>
      </c>
      <c r="EZ1173" s="431" t="n"/>
      <c r="FA1173" s="451" t="n"/>
      <c r="FB1173" s="451" t="n"/>
      <c r="FC1173" s="451" t="n"/>
      <c r="FE1173" s="429" t="n">
        <v>260</v>
      </c>
      <c r="FF1173" s="431" t="n">
        <v>260</v>
      </c>
      <c r="FG1173" s="688" t="inlineStr">
        <is>
          <t>spare</t>
        </is>
      </c>
      <c r="FH1173" s="431" t="n"/>
      <c r="FI1173" s="451" t="n"/>
      <c r="FJ1173" s="451" t="n"/>
      <c r="FK1173" s="451" t="n"/>
      <c r="FM1173" s="429" t="n">
        <v>260</v>
      </c>
      <c r="FN1173" s="431" t="n">
        <v>260</v>
      </c>
      <c r="FO1173" s="688" t="inlineStr">
        <is>
          <t>spare</t>
        </is>
      </c>
      <c r="FP1173" s="431" t="n"/>
      <c r="FQ1173" s="451" t="n"/>
      <c r="FR1173" s="451" t="n"/>
      <c r="FS1173" s="451" t="n"/>
      <c r="FU1173" s="429" t="n">
        <v>260</v>
      </c>
      <c r="FV1173" s="431" t="n">
        <v>260</v>
      </c>
      <c r="FW1173" s="688" t="inlineStr">
        <is>
          <t>spare</t>
        </is>
      </c>
      <c r="FX1173" s="431" t="n"/>
      <c r="FY1173" s="451" t="n"/>
      <c r="FZ1173" s="562" t="n"/>
      <c r="GA1173" s="451" t="n"/>
      <c r="GC1173" s="429" t="n">
        <v>260</v>
      </c>
      <c r="GD1173" s="431" t="n">
        <v>260</v>
      </c>
      <c r="GE1173" s="688" t="inlineStr">
        <is>
          <t>spare</t>
        </is>
      </c>
      <c r="GF1173" s="431" t="n"/>
      <c r="GG1173" s="451" t="n"/>
      <c r="GH1173" s="451" t="n"/>
      <c r="GI1173" s="451" t="n"/>
      <c r="GK1173" s="429" t="n">
        <v>260</v>
      </c>
      <c r="GL1173" s="431" t="n">
        <v>260</v>
      </c>
      <c r="GM1173" s="688" t="inlineStr">
        <is>
          <t>spare</t>
        </is>
      </c>
      <c r="GN1173" s="431" t="n"/>
      <c r="GO1173" s="451" t="n"/>
      <c r="GP1173" s="451" t="n"/>
      <c r="GQ1173" s="451" t="n"/>
      <c r="GS1173" s="429" t="n">
        <v>260</v>
      </c>
      <c r="GT1173" s="431" t="n">
        <v>260</v>
      </c>
      <c r="GU1173" s="688" t="inlineStr">
        <is>
          <t>spare</t>
        </is>
      </c>
      <c r="GV1173" s="431" t="n"/>
      <c r="GW1173" s="451" t="n"/>
      <c r="GX1173" s="451" t="n"/>
      <c r="GY1173" s="451" t="n"/>
      <c r="HA1173" s="429" t="n">
        <v>260</v>
      </c>
      <c r="HB1173" s="431" t="n">
        <v>260</v>
      </c>
      <c r="HC1173" s="688" t="inlineStr">
        <is>
          <t>spare</t>
        </is>
      </c>
      <c r="HD1173" s="431" t="n"/>
      <c r="HE1173" s="451" t="n"/>
      <c r="HF1173" s="451" t="n"/>
      <c r="HG1173" s="451" t="n"/>
    </row>
    <row r="1174">
      <c r="A1174" s="429" t="n">
        <v>261</v>
      </c>
      <c r="B1174" s="431" t="n">
        <v>261</v>
      </c>
      <c r="C1174" s="688" t="inlineStr">
        <is>
          <t>spare</t>
        </is>
      </c>
      <c r="D1174" s="431" t="n"/>
      <c r="E1174" s="429" t="n"/>
      <c r="F1174" s="429" t="n"/>
      <c r="G1174" s="429" t="n"/>
      <c r="I1174" s="429" t="n">
        <v>261</v>
      </c>
      <c r="J1174" s="431" t="n">
        <v>261</v>
      </c>
      <c r="K1174" s="429" t="inlineStr">
        <is>
          <t>spare</t>
        </is>
      </c>
      <c r="L1174" s="431" t="n"/>
      <c r="M1174" s="451" t="n"/>
      <c r="N1174" s="422" t="n"/>
      <c r="O1174" s="451" t="n"/>
      <c r="Q1174" s="429" t="n">
        <v>261</v>
      </c>
      <c r="R1174" s="431" t="n">
        <v>261</v>
      </c>
      <c r="S1174" s="429" t="inlineStr">
        <is>
          <t>spare</t>
        </is>
      </c>
      <c r="T1174" s="431" t="n"/>
      <c r="U1174" s="429" t="n"/>
      <c r="V1174" s="451" t="n"/>
      <c r="W1174" s="451" t="n"/>
      <c r="Y1174" s="429" t="n">
        <v>261</v>
      </c>
      <c r="Z1174" s="431" t="n">
        <v>261</v>
      </c>
      <c r="AA1174" s="429" t="inlineStr">
        <is>
          <t>spare</t>
        </is>
      </c>
      <c r="AB1174" s="431" t="n"/>
      <c r="AC1174" s="451" t="n"/>
      <c r="AD1174" s="451" t="n"/>
      <c r="AE1174" s="451" t="n"/>
      <c r="AG1174" s="429" t="n">
        <v>261</v>
      </c>
      <c r="AH1174" s="431" t="n">
        <v>261</v>
      </c>
      <c r="AI1174" s="429" t="inlineStr">
        <is>
          <t>spare</t>
        </is>
      </c>
      <c r="AJ1174" s="431" t="n"/>
      <c r="AK1174" s="451" t="n"/>
      <c r="AL1174" s="451" t="n"/>
      <c r="AM1174" s="451" t="n"/>
      <c r="AO1174" s="429" t="n">
        <v>261</v>
      </c>
      <c r="AP1174" s="431" t="n">
        <v>261</v>
      </c>
      <c r="AQ1174" s="429" t="inlineStr">
        <is>
          <t>spare</t>
        </is>
      </c>
      <c r="AR1174" s="431" t="n"/>
      <c r="AS1174" s="451" t="n"/>
      <c r="AT1174" s="451" t="n"/>
      <c r="AU1174" s="451" t="n"/>
      <c r="AW1174" s="429" t="n">
        <v>261</v>
      </c>
      <c r="AX1174" s="431" t="n">
        <v>261</v>
      </c>
      <c r="AY1174" s="429" t="inlineStr">
        <is>
          <t>spare</t>
        </is>
      </c>
      <c r="AZ1174" s="431" t="n"/>
      <c r="BA1174" s="451" t="n"/>
      <c r="BB1174" s="451" t="n"/>
      <c r="BC1174" s="451" t="n"/>
      <c r="BE1174" s="429" t="n">
        <v>261</v>
      </c>
      <c r="BF1174" s="431" t="n"/>
      <c r="BG1174" s="429" t="inlineStr">
        <is>
          <t>spare</t>
        </is>
      </c>
      <c r="BH1174" s="431" t="n"/>
      <c r="BI1174" s="451" t="n"/>
      <c r="BJ1174" s="451" t="n"/>
      <c r="BK1174" s="451" t="n"/>
      <c r="BM1174" s="429" t="n">
        <v>261</v>
      </c>
      <c r="BN1174" s="431" t="n">
        <v>261</v>
      </c>
      <c r="BO1174" s="429" t="inlineStr">
        <is>
          <t>spare</t>
        </is>
      </c>
      <c r="BP1174" s="431" t="n"/>
      <c r="BQ1174" s="451" t="n"/>
      <c r="BR1174" s="451" t="n"/>
      <c r="BS1174" s="451" t="n"/>
      <c r="BU1174" s="429" t="n">
        <v>261</v>
      </c>
      <c r="BV1174" s="431" t="n">
        <v>261</v>
      </c>
      <c r="BW1174" s="429" t="inlineStr">
        <is>
          <t>spare</t>
        </is>
      </c>
      <c r="BX1174" s="431" t="n"/>
      <c r="BY1174" s="451" t="n"/>
      <c r="BZ1174" s="451" t="n"/>
      <c r="CA1174" s="451" t="n"/>
      <c r="CC1174" s="429" t="n">
        <v>261</v>
      </c>
      <c r="CD1174" s="431" t="n">
        <v>261</v>
      </c>
      <c r="CE1174" s="688" t="inlineStr">
        <is>
          <t>spare</t>
        </is>
      </c>
      <c r="CF1174" s="431" t="n"/>
      <c r="CG1174" s="451" t="n"/>
      <c r="CH1174" s="562">
        <f>'CIRCUIT SIM'!LK262</f>
        <v/>
      </c>
      <c r="CI1174" s="451" t="n"/>
      <c r="CK1174" s="429" t="n">
        <v>261</v>
      </c>
      <c r="CL1174" s="431" t="n">
        <v>261</v>
      </c>
      <c r="CM1174" s="688" t="inlineStr">
        <is>
          <t>spare</t>
        </is>
      </c>
      <c r="CN1174" s="431" t="n"/>
      <c r="CO1174" s="451" t="n"/>
      <c r="CP1174" s="451" t="n"/>
      <c r="CQ1174" s="451" t="n"/>
      <c r="CS1174" s="429" t="n">
        <v>261</v>
      </c>
      <c r="CT1174" s="431" t="n">
        <v>261</v>
      </c>
      <c r="CU1174" s="688" t="inlineStr">
        <is>
          <t>spare</t>
        </is>
      </c>
      <c r="CV1174" s="431" t="n"/>
      <c r="CW1174" s="451" t="n"/>
      <c r="CX1174" s="451" t="n"/>
      <c r="CY1174" s="451" t="n"/>
      <c r="DA1174" s="429" t="n">
        <v>261</v>
      </c>
      <c r="DB1174" s="431" t="n">
        <v>261</v>
      </c>
      <c r="DC1174" s="688" t="inlineStr">
        <is>
          <t>spare</t>
        </is>
      </c>
      <c r="DD1174" s="431" t="n"/>
      <c r="DE1174" s="451" t="n"/>
      <c r="DF1174" s="451" t="n"/>
      <c r="DG1174" s="451" t="n"/>
      <c r="DI1174" s="429" t="n">
        <v>261</v>
      </c>
      <c r="DJ1174" s="431" t="n">
        <v>261</v>
      </c>
      <c r="DK1174" s="688" t="inlineStr">
        <is>
          <t>spare</t>
        </is>
      </c>
      <c r="DL1174" s="431" t="n"/>
      <c r="DM1174" s="429" t="n"/>
      <c r="DN1174" s="451" t="n"/>
      <c r="DO1174" s="451" t="n"/>
      <c r="DQ1174" s="429" t="n">
        <v>261</v>
      </c>
      <c r="DR1174" s="431" t="n">
        <v>261</v>
      </c>
      <c r="DS1174" s="688" t="inlineStr">
        <is>
          <t>spare</t>
        </is>
      </c>
      <c r="DT1174" s="431" t="n"/>
      <c r="DU1174" s="451" t="n"/>
      <c r="DV1174" s="451" t="n"/>
      <c r="DW1174" s="451" t="n"/>
      <c r="DY1174" s="429" t="n">
        <v>261</v>
      </c>
      <c r="DZ1174" s="431" t="n">
        <v>261</v>
      </c>
      <c r="EA1174" s="688" t="inlineStr">
        <is>
          <t>spare</t>
        </is>
      </c>
      <c r="EB1174" s="431" t="n"/>
      <c r="EC1174" s="451" t="n"/>
      <c r="ED1174" s="451" t="n"/>
      <c r="EE1174" s="451" t="n"/>
      <c r="EG1174" s="429" t="n">
        <v>261</v>
      </c>
      <c r="EH1174" s="431" t="n">
        <v>261</v>
      </c>
      <c r="EI1174" s="688" t="inlineStr">
        <is>
          <t>spare</t>
        </is>
      </c>
      <c r="EJ1174" s="431" t="n"/>
      <c r="EK1174" s="451" t="n"/>
      <c r="EL1174" s="451" t="n"/>
      <c r="EM1174" s="451" t="n"/>
      <c r="EO1174" s="429" t="n">
        <v>261</v>
      </c>
      <c r="EP1174" s="431" t="n">
        <v>261</v>
      </c>
      <c r="EQ1174" s="688" t="inlineStr">
        <is>
          <t>spare</t>
        </is>
      </c>
      <c r="ER1174" s="431" t="n"/>
      <c r="ES1174" s="451" t="n"/>
      <c r="ET1174" s="451" t="n"/>
      <c r="EU1174" s="451" t="n"/>
      <c r="EW1174" s="429" t="n">
        <v>261</v>
      </c>
      <c r="EX1174" s="431" t="n">
        <v>261</v>
      </c>
      <c r="EY1174" s="688" t="inlineStr">
        <is>
          <t>spare</t>
        </is>
      </c>
      <c r="EZ1174" s="431" t="n"/>
      <c r="FA1174" s="451" t="n"/>
      <c r="FB1174" s="451" t="n"/>
      <c r="FC1174" s="451" t="n"/>
      <c r="FE1174" s="429" t="n">
        <v>261</v>
      </c>
      <c r="FF1174" s="431" t="n">
        <v>261</v>
      </c>
      <c r="FG1174" s="688" t="inlineStr">
        <is>
          <t>spare</t>
        </is>
      </c>
      <c r="FH1174" s="431" t="n"/>
      <c r="FI1174" s="451" t="n"/>
      <c r="FJ1174" s="451" t="n"/>
      <c r="FK1174" s="451" t="n"/>
      <c r="FM1174" s="429" t="n">
        <v>261</v>
      </c>
      <c r="FN1174" s="431" t="n">
        <v>261</v>
      </c>
      <c r="FO1174" s="688" t="inlineStr">
        <is>
          <t>spare</t>
        </is>
      </c>
      <c r="FP1174" s="431" t="n"/>
      <c r="FQ1174" s="451" t="n"/>
      <c r="FR1174" s="451" t="n"/>
      <c r="FS1174" s="451" t="n"/>
      <c r="FU1174" s="429" t="n">
        <v>261</v>
      </c>
      <c r="FV1174" s="431" t="n">
        <v>261</v>
      </c>
      <c r="FW1174" s="688" t="inlineStr">
        <is>
          <t>spare</t>
        </is>
      </c>
      <c r="FX1174" s="431" t="n"/>
      <c r="FY1174" s="451" t="n"/>
      <c r="FZ1174" s="562" t="n"/>
      <c r="GA1174" s="451" t="n"/>
      <c r="GC1174" s="429" t="n">
        <v>261</v>
      </c>
      <c r="GD1174" s="431" t="n">
        <v>261</v>
      </c>
      <c r="GE1174" s="688" t="inlineStr">
        <is>
          <t>spare</t>
        </is>
      </c>
      <c r="GF1174" s="431" t="n"/>
      <c r="GG1174" s="451" t="n"/>
      <c r="GH1174" s="451" t="n"/>
      <c r="GI1174" s="451" t="n"/>
      <c r="GK1174" s="429" t="n">
        <v>261</v>
      </c>
      <c r="GL1174" s="431" t="n">
        <v>261</v>
      </c>
      <c r="GM1174" s="688" t="inlineStr">
        <is>
          <t>spare</t>
        </is>
      </c>
      <c r="GN1174" s="431" t="n"/>
      <c r="GO1174" s="451" t="n"/>
      <c r="GP1174" s="451" t="n"/>
      <c r="GQ1174" s="451" t="n"/>
      <c r="GS1174" s="429" t="n">
        <v>261</v>
      </c>
      <c r="GT1174" s="431" t="n">
        <v>261</v>
      </c>
      <c r="GU1174" s="688" t="inlineStr">
        <is>
          <t>spare</t>
        </is>
      </c>
      <c r="GV1174" s="431" t="n"/>
      <c r="GW1174" s="451" t="n"/>
      <c r="GX1174" s="451" t="n"/>
      <c r="GY1174" s="451" t="n"/>
      <c r="HA1174" s="429" t="n">
        <v>261</v>
      </c>
      <c r="HB1174" s="431" t="n">
        <v>261</v>
      </c>
      <c r="HC1174" s="688" t="inlineStr">
        <is>
          <t>spare</t>
        </is>
      </c>
      <c r="HD1174" s="431" t="n"/>
      <c r="HE1174" s="451" t="n"/>
      <c r="HF1174" s="451" t="n"/>
      <c r="HG1174" s="451" t="n"/>
    </row>
    <row r="1175">
      <c r="A1175" s="429" t="n">
        <v>262</v>
      </c>
      <c r="B1175" s="431" t="n">
        <v>262</v>
      </c>
      <c r="C1175" s="688" t="inlineStr">
        <is>
          <t>spare</t>
        </is>
      </c>
      <c r="D1175" s="431" t="n"/>
      <c r="E1175" s="429" t="n"/>
      <c r="F1175" s="429" t="n"/>
      <c r="G1175" s="429" t="n"/>
      <c r="I1175" s="429" t="n">
        <v>262</v>
      </c>
      <c r="J1175" s="431" t="n">
        <v>262</v>
      </c>
      <c r="K1175" s="429" t="inlineStr">
        <is>
          <t>spare</t>
        </is>
      </c>
      <c r="L1175" s="431" t="n"/>
      <c r="M1175" s="451" t="n"/>
      <c r="N1175" s="422" t="n"/>
      <c r="O1175" s="451" t="n"/>
      <c r="Q1175" s="429" t="n">
        <v>262</v>
      </c>
      <c r="R1175" s="431" t="n">
        <v>262</v>
      </c>
      <c r="S1175" s="429" t="inlineStr">
        <is>
          <t>spare</t>
        </is>
      </c>
      <c r="T1175" s="431" t="n"/>
      <c r="U1175" s="429" t="n"/>
      <c r="V1175" s="451" t="n"/>
      <c r="W1175" s="451" t="n"/>
      <c r="Y1175" s="429" t="n">
        <v>262</v>
      </c>
      <c r="Z1175" s="431" t="n">
        <v>262</v>
      </c>
      <c r="AA1175" s="429" t="inlineStr">
        <is>
          <t>spare</t>
        </is>
      </c>
      <c r="AB1175" s="431" t="n"/>
      <c r="AC1175" s="451" t="n"/>
      <c r="AD1175" s="451" t="n"/>
      <c r="AE1175" s="451" t="n"/>
      <c r="AG1175" s="429" t="n">
        <v>262</v>
      </c>
      <c r="AH1175" s="431" t="n">
        <v>262</v>
      </c>
      <c r="AI1175" s="429" t="inlineStr">
        <is>
          <t>spare</t>
        </is>
      </c>
      <c r="AJ1175" s="431" t="n"/>
      <c r="AK1175" s="451" t="n"/>
      <c r="AL1175" s="451" t="n"/>
      <c r="AM1175" s="451" t="n"/>
      <c r="AO1175" s="429" t="n">
        <v>262</v>
      </c>
      <c r="AP1175" s="431" t="n">
        <v>262</v>
      </c>
      <c r="AQ1175" s="429" t="inlineStr">
        <is>
          <t>spare</t>
        </is>
      </c>
      <c r="AR1175" s="431" t="n"/>
      <c r="AS1175" s="451" t="n"/>
      <c r="AT1175" s="451" t="n"/>
      <c r="AU1175" s="451" t="n"/>
      <c r="AW1175" s="429" t="n">
        <v>262</v>
      </c>
      <c r="AX1175" s="431" t="n">
        <v>262</v>
      </c>
      <c r="AY1175" s="429" t="inlineStr">
        <is>
          <t>spare</t>
        </is>
      </c>
      <c r="AZ1175" s="431" t="n"/>
      <c r="BA1175" s="451" t="n"/>
      <c r="BB1175" s="451" t="n"/>
      <c r="BC1175" s="451" t="n"/>
      <c r="BE1175" s="429" t="n">
        <v>262</v>
      </c>
      <c r="BF1175" s="431" t="n"/>
      <c r="BG1175" s="429" t="inlineStr">
        <is>
          <t>spare</t>
        </is>
      </c>
      <c r="BH1175" s="431" t="n"/>
      <c r="BI1175" s="451" t="n"/>
      <c r="BJ1175" s="451" t="n"/>
      <c r="BK1175" s="451" t="n"/>
      <c r="BM1175" s="429" t="n">
        <v>262</v>
      </c>
      <c r="BN1175" s="431" t="n">
        <v>262</v>
      </c>
      <c r="BO1175" s="429" t="inlineStr">
        <is>
          <t>spare</t>
        </is>
      </c>
      <c r="BP1175" s="431" t="n"/>
      <c r="BQ1175" s="451" t="n"/>
      <c r="BR1175" s="451" t="n"/>
      <c r="BS1175" s="451" t="n"/>
      <c r="BU1175" s="429" t="n">
        <v>262</v>
      </c>
      <c r="BV1175" s="431" t="n">
        <v>262</v>
      </c>
      <c r="BW1175" s="429" t="inlineStr">
        <is>
          <t>spare</t>
        </is>
      </c>
      <c r="BX1175" s="431" t="n"/>
      <c r="BY1175" s="451" t="n"/>
      <c r="BZ1175" s="451" t="n"/>
      <c r="CA1175" s="451" t="n"/>
      <c r="CC1175" s="429" t="n">
        <v>262</v>
      </c>
      <c r="CD1175" s="431" t="n">
        <v>262</v>
      </c>
      <c r="CE1175" s="688" t="inlineStr">
        <is>
          <t>spare</t>
        </is>
      </c>
      <c r="CF1175" s="431" t="n"/>
      <c r="CG1175" s="451" t="n"/>
      <c r="CH1175" s="562">
        <f>'CIRCUIT SIM'!LK263</f>
        <v/>
      </c>
      <c r="CI1175" s="451" t="n"/>
      <c r="CK1175" s="429" t="n">
        <v>262</v>
      </c>
      <c r="CL1175" s="431" t="n">
        <v>262</v>
      </c>
      <c r="CM1175" s="688" t="inlineStr">
        <is>
          <t>spare</t>
        </is>
      </c>
      <c r="CN1175" s="431" t="n"/>
      <c r="CO1175" s="451" t="n"/>
      <c r="CP1175" s="451" t="n"/>
      <c r="CQ1175" s="451" t="n"/>
      <c r="CS1175" s="429" t="n">
        <v>262</v>
      </c>
      <c r="CT1175" s="431" t="n">
        <v>262</v>
      </c>
      <c r="CU1175" s="688" t="inlineStr">
        <is>
          <t>spare</t>
        </is>
      </c>
      <c r="CV1175" s="431" t="n"/>
      <c r="CW1175" s="451" t="n"/>
      <c r="CX1175" s="451" t="n"/>
      <c r="CY1175" s="451" t="n"/>
      <c r="DA1175" s="429" t="n">
        <v>262</v>
      </c>
      <c r="DB1175" s="431" t="n">
        <v>262</v>
      </c>
      <c r="DC1175" s="688" t="inlineStr">
        <is>
          <t>spare</t>
        </is>
      </c>
      <c r="DD1175" s="431" t="n"/>
      <c r="DE1175" s="451" t="n"/>
      <c r="DF1175" s="451" t="n"/>
      <c r="DG1175" s="451" t="n"/>
      <c r="DI1175" s="429" t="n">
        <v>262</v>
      </c>
      <c r="DJ1175" s="431" t="n">
        <v>262</v>
      </c>
      <c r="DK1175" s="688" t="inlineStr">
        <is>
          <t>spare</t>
        </is>
      </c>
      <c r="DL1175" s="431" t="n"/>
      <c r="DM1175" s="429" t="n"/>
      <c r="DN1175" s="451" t="n"/>
      <c r="DO1175" s="451" t="n"/>
      <c r="DQ1175" s="429" t="n">
        <v>262</v>
      </c>
      <c r="DR1175" s="431" t="n">
        <v>262</v>
      </c>
      <c r="DS1175" s="688" t="inlineStr">
        <is>
          <t>spare</t>
        </is>
      </c>
      <c r="DT1175" s="431" t="n"/>
      <c r="DU1175" s="451" t="n"/>
      <c r="DV1175" s="451" t="n"/>
      <c r="DW1175" s="451" t="n"/>
      <c r="DY1175" s="429" t="n">
        <v>262</v>
      </c>
      <c r="DZ1175" s="431" t="n">
        <v>262</v>
      </c>
      <c r="EA1175" s="688" t="inlineStr">
        <is>
          <t>spare</t>
        </is>
      </c>
      <c r="EB1175" s="431" t="n"/>
      <c r="EC1175" s="451" t="n"/>
      <c r="ED1175" s="451" t="n"/>
      <c r="EE1175" s="451" t="n"/>
      <c r="EG1175" s="429" t="n">
        <v>262</v>
      </c>
      <c r="EH1175" s="431" t="n">
        <v>262</v>
      </c>
      <c r="EI1175" s="688" t="inlineStr">
        <is>
          <t>spare</t>
        </is>
      </c>
      <c r="EJ1175" s="431" t="n"/>
      <c r="EK1175" s="451" t="n"/>
      <c r="EL1175" s="451" t="n"/>
      <c r="EM1175" s="451" t="n"/>
      <c r="EO1175" s="429" t="n">
        <v>262</v>
      </c>
      <c r="EP1175" s="431" t="n">
        <v>262</v>
      </c>
      <c r="EQ1175" s="688" t="inlineStr">
        <is>
          <t>spare</t>
        </is>
      </c>
      <c r="ER1175" s="431" t="n"/>
      <c r="ES1175" s="451" t="n"/>
      <c r="ET1175" s="451" t="n"/>
      <c r="EU1175" s="451" t="n"/>
      <c r="EW1175" s="429" t="n">
        <v>262</v>
      </c>
      <c r="EX1175" s="431" t="n">
        <v>262</v>
      </c>
      <c r="EY1175" s="688" t="inlineStr">
        <is>
          <t>spare</t>
        </is>
      </c>
      <c r="EZ1175" s="431" t="n"/>
      <c r="FA1175" s="451" t="n"/>
      <c r="FB1175" s="451" t="n"/>
      <c r="FC1175" s="451" t="n"/>
      <c r="FE1175" s="429" t="n">
        <v>262</v>
      </c>
      <c r="FF1175" s="431" t="n">
        <v>262</v>
      </c>
      <c r="FG1175" s="688" t="inlineStr">
        <is>
          <t>spare</t>
        </is>
      </c>
      <c r="FH1175" s="431" t="n"/>
      <c r="FI1175" s="451" t="n"/>
      <c r="FJ1175" s="451" t="n"/>
      <c r="FK1175" s="451" t="n"/>
      <c r="FM1175" s="429" t="n">
        <v>262</v>
      </c>
      <c r="FN1175" s="431" t="n">
        <v>262</v>
      </c>
      <c r="FO1175" s="688" t="inlineStr">
        <is>
          <t>spare</t>
        </is>
      </c>
      <c r="FP1175" s="431" t="n"/>
      <c r="FQ1175" s="451" t="n"/>
      <c r="FR1175" s="451" t="n"/>
      <c r="FS1175" s="451" t="n"/>
      <c r="FU1175" s="429" t="n">
        <v>262</v>
      </c>
      <c r="FV1175" s="431" t="n">
        <v>262</v>
      </c>
      <c r="FW1175" s="688" t="inlineStr">
        <is>
          <t>spare</t>
        </is>
      </c>
      <c r="FX1175" s="431" t="n"/>
      <c r="FY1175" s="451" t="n"/>
      <c r="FZ1175" s="562" t="n"/>
      <c r="GA1175" s="451" t="n"/>
      <c r="GC1175" s="429" t="n">
        <v>262</v>
      </c>
      <c r="GD1175" s="431" t="n">
        <v>262</v>
      </c>
      <c r="GE1175" s="688" t="inlineStr">
        <is>
          <t>spare</t>
        </is>
      </c>
      <c r="GF1175" s="431" t="n"/>
      <c r="GG1175" s="451" t="n"/>
      <c r="GH1175" s="451" t="n"/>
      <c r="GI1175" s="451" t="n"/>
      <c r="GK1175" s="429" t="n">
        <v>262</v>
      </c>
      <c r="GL1175" s="431" t="n">
        <v>262</v>
      </c>
      <c r="GM1175" s="688" t="inlineStr">
        <is>
          <t>spare</t>
        </is>
      </c>
      <c r="GN1175" s="431" t="n"/>
      <c r="GO1175" s="451" t="n"/>
      <c r="GP1175" s="451" t="n"/>
      <c r="GQ1175" s="451" t="n"/>
      <c r="GS1175" s="429" t="n">
        <v>262</v>
      </c>
      <c r="GT1175" s="431" t="n">
        <v>262</v>
      </c>
      <c r="GU1175" s="688" t="inlineStr">
        <is>
          <t>spare</t>
        </is>
      </c>
      <c r="GV1175" s="431" t="n"/>
      <c r="GW1175" s="451" t="n"/>
      <c r="GX1175" s="451" t="n"/>
      <c r="GY1175" s="451" t="n"/>
      <c r="HA1175" s="429" t="n">
        <v>262</v>
      </c>
      <c r="HB1175" s="431" t="n">
        <v>262</v>
      </c>
      <c r="HC1175" s="688" t="inlineStr">
        <is>
          <t>spare</t>
        </is>
      </c>
      <c r="HD1175" s="431" t="n"/>
      <c r="HE1175" s="451" t="n"/>
      <c r="HF1175" s="451" t="n"/>
      <c r="HG1175" s="451" t="n"/>
    </row>
    <row r="1176">
      <c r="A1176" s="429" t="n">
        <v>263</v>
      </c>
      <c r="B1176" s="431" t="n">
        <v>263</v>
      </c>
      <c r="C1176" s="688" t="inlineStr">
        <is>
          <t>spare</t>
        </is>
      </c>
      <c r="D1176" s="431" t="n"/>
      <c r="E1176" s="429" t="n"/>
      <c r="F1176" s="429" t="n"/>
      <c r="G1176" s="429" t="n"/>
      <c r="I1176" s="429" t="n">
        <v>263</v>
      </c>
      <c r="J1176" s="431" t="n">
        <v>263</v>
      </c>
      <c r="K1176" s="429" t="inlineStr">
        <is>
          <t>spare</t>
        </is>
      </c>
      <c r="L1176" s="431" t="n"/>
      <c r="M1176" s="451" t="n"/>
      <c r="N1176" s="422" t="n"/>
      <c r="O1176" s="451" t="n"/>
      <c r="Q1176" s="429" t="n">
        <v>263</v>
      </c>
      <c r="R1176" s="431" t="n">
        <v>263</v>
      </c>
      <c r="S1176" s="429" t="inlineStr">
        <is>
          <t>spare</t>
        </is>
      </c>
      <c r="T1176" s="431" t="n"/>
      <c r="U1176" s="429" t="n"/>
      <c r="V1176" s="451" t="n"/>
      <c r="W1176" s="451" t="n"/>
      <c r="Y1176" s="429" t="n">
        <v>263</v>
      </c>
      <c r="Z1176" s="431" t="n">
        <v>263</v>
      </c>
      <c r="AA1176" s="429" t="inlineStr">
        <is>
          <t>spare</t>
        </is>
      </c>
      <c r="AB1176" s="431" t="n"/>
      <c r="AC1176" s="451" t="n"/>
      <c r="AD1176" s="451" t="n"/>
      <c r="AE1176" s="451" t="n"/>
      <c r="AG1176" s="429" t="n">
        <v>263</v>
      </c>
      <c r="AH1176" s="431" t="n">
        <v>263</v>
      </c>
      <c r="AI1176" s="429" t="inlineStr">
        <is>
          <t>spare</t>
        </is>
      </c>
      <c r="AJ1176" s="431" t="n"/>
      <c r="AK1176" s="451" t="n"/>
      <c r="AL1176" s="451" t="n"/>
      <c r="AM1176" s="451" t="n"/>
      <c r="AO1176" s="429" t="n">
        <v>263</v>
      </c>
      <c r="AP1176" s="431" t="n">
        <v>263</v>
      </c>
      <c r="AQ1176" s="429" t="inlineStr">
        <is>
          <t>spare</t>
        </is>
      </c>
      <c r="AR1176" s="431" t="n"/>
      <c r="AS1176" s="451" t="n"/>
      <c r="AT1176" s="451" t="n"/>
      <c r="AU1176" s="451" t="n"/>
      <c r="AW1176" s="429" t="n">
        <v>263</v>
      </c>
      <c r="AX1176" s="431" t="n">
        <v>263</v>
      </c>
      <c r="AY1176" s="429" t="inlineStr">
        <is>
          <t>spare</t>
        </is>
      </c>
      <c r="AZ1176" s="431" t="n"/>
      <c r="BA1176" s="451" t="n"/>
      <c r="BB1176" s="451" t="n"/>
      <c r="BC1176" s="451" t="n"/>
      <c r="BE1176" s="429" t="n">
        <v>263</v>
      </c>
      <c r="BF1176" s="431" t="n"/>
      <c r="BG1176" s="429" t="inlineStr">
        <is>
          <t>spare</t>
        </is>
      </c>
      <c r="BH1176" s="431" t="n"/>
      <c r="BI1176" s="451" t="n"/>
      <c r="BJ1176" s="451" t="n"/>
      <c r="BK1176" s="451" t="n"/>
      <c r="BM1176" s="429" t="n">
        <v>263</v>
      </c>
      <c r="BN1176" s="431" t="n">
        <v>263</v>
      </c>
      <c r="BO1176" s="429" t="inlineStr">
        <is>
          <t>spare</t>
        </is>
      </c>
      <c r="BP1176" s="431" t="n"/>
      <c r="BQ1176" s="451" t="n"/>
      <c r="BR1176" s="451" t="n"/>
      <c r="BS1176" s="451" t="n"/>
      <c r="BU1176" s="429" t="n">
        <v>263</v>
      </c>
      <c r="BV1176" s="431" t="n">
        <v>263</v>
      </c>
      <c r="BW1176" s="429" t="inlineStr">
        <is>
          <t>spare</t>
        </is>
      </c>
      <c r="BX1176" s="431" t="n"/>
      <c r="BY1176" s="451" t="n"/>
      <c r="BZ1176" s="451" t="n"/>
      <c r="CA1176" s="451" t="n"/>
      <c r="CC1176" s="429" t="n">
        <v>263</v>
      </c>
      <c r="CD1176" s="431" t="n">
        <v>263</v>
      </c>
      <c r="CE1176" s="688" t="inlineStr">
        <is>
          <t>spare</t>
        </is>
      </c>
      <c r="CF1176" s="431" t="n"/>
      <c r="CG1176" s="451" t="n"/>
      <c r="CH1176" s="562">
        <f>'CIRCUIT SIM'!LK264</f>
        <v/>
      </c>
      <c r="CI1176" s="451" t="n"/>
      <c r="CK1176" s="429" t="n">
        <v>263</v>
      </c>
      <c r="CL1176" s="431" t="n">
        <v>263</v>
      </c>
      <c r="CM1176" s="688" t="inlineStr">
        <is>
          <t>spare</t>
        </is>
      </c>
      <c r="CN1176" s="431" t="n"/>
      <c r="CO1176" s="451" t="n"/>
      <c r="CP1176" s="451" t="n"/>
      <c r="CQ1176" s="451" t="n"/>
      <c r="CS1176" s="429" t="n">
        <v>263</v>
      </c>
      <c r="CT1176" s="431" t="n">
        <v>263</v>
      </c>
      <c r="CU1176" s="688" t="inlineStr">
        <is>
          <t>spare</t>
        </is>
      </c>
      <c r="CV1176" s="431" t="n"/>
      <c r="CW1176" s="451" t="n"/>
      <c r="CX1176" s="451" t="n"/>
      <c r="CY1176" s="451" t="n"/>
      <c r="DA1176" s="429" t="n">
        <v>263</v>
      </c>
      <c r="DB1176" s="431" t="n">
        <v>263</v>
      </c>
      <c r="DC1176" s="688" t="inlineStr">
        <is>
          <t>spare</t>
        </is>
      </c>
      <c r="DD1176" s="431" t="n"/>
      <c r="DE1176" s="451" t="n"/>
      <c r="DF1176" s="451" t="n"/>
      <c r="DG1176" s="451" t="n"/>
      <c r="DI1176" s="429" t="n">
        <v>263</v>
      </c>
      <c r="DJ1176" s="431" t="n">
        <v>263</v>
      </c>
      <c r="DK1176" s="688" t="inlineStr">
        <is>
          <t>spare</t>
        </is>
      </c>
      <c r="DL1176" s="431" t="n"/>
      <c r="DM1176" s="429" t="n"/>
      <c r="DN1176" s="451" t="n"/>
      <c r="DO1176" s="451" t="n"/>
      <c r="DQ1176" s="429" t="n">
        <v>263</v>
      </c>
      <c r="DR1176" s="431" t="n">
        <v>263</v>
      </c>
      <c r="DS1176" s="688" t="inlineStr">
        <is>
          <t>spare</t>
        </is>
      </c>
      <c r="DT1176" s="431" t="n"/>
      <c r="DU1176" s="451" t="n"/>
      <c r="DV1176" s="451" t="n"/>
      <c r="DW1176" s="451" t="n"/>
      <c r="DY1176" s="429" t="n">
        <v>263</v>
      </c>
      <c r="DZ1176" s="431" t="n">
        <v>263</v>
      </c>
      <c r="EA1176" s="688" t="inlineStr">
        <is>
          <t>spare</t>
        </is>
      </c>
      <c r="EB1176" s="431" t="n"/>
      <c r="EC1176" s="451" t="n"/>
      <c r="ED1176" s="451" t="n"/>
      <c r="EE1176" s="451" t="n"/>
      <c r="EG1176" s="429" t="n">
        <v>263</v>
      </c>
      <c r="EH1176" s="431" t="n">
        <v>263</v>
      </c>
      <c r="EI1176" s="688" t="inlineStr">
        <is>
          <t>spare</t>
        </is>
      </c>
      <c r="EJ1176" s="431" t="n"/>
      <c r="EK1176" s="451" t="n"/>
      <c r="EL1176" s="451" t="n"/>
      <c r="EM1176" s="451" t="n"/>
      <c r="EO1176" s="429" t="n">
        <v>263</v>
      </c>
      <c r="EP1176" s="431" t="n">
        <v>263</v>
      </c>
      <c r="EQ1176" s="688" t="inlineStr">
        <is>
          <t>spare</t>
        </is>
      </c>
      <c r="ER1176" s="431" t="n"/>
      <c r="ES1176" s="451" t="n"/>
      <c r="ET1176" s="451" t="n"/>
      <c r="EU1176" s="451" t="n"/>
      <c r="EW1176" s="429" t="n">
        <v>263</v>
      </c>
      <c r="EX1176" s="431" t="n">
        <v>263</v>
      </c>
      <c r="EY1176" s="688" t="inlineStr">
        <is>
          <t>spare</t>
        </is>
      </c>
      <c r="EZ1176" s="431" t="n"/>
      <c r="FA1176" s="451" t="n"/>
      <c r="FB1176" s="451" t="n"/>
      <c r="FC1176" s="451" t="n"/>
      <c r="FE1176" s="429" t="n">
        <v>263</v>
      </c>
      <c r="FF1176" s="431" t="n">
        <v>263</v>
      </c>
      <c r="FG1176" s="688" t="inlineStr">
        <is>
          <t>spare</t>
        </is>
      </c>
      <c r="FH1176" s="431" t="n"/>
      <c r="FI1176" s="451" t="n"/>
      <c r="FJ1176" s="451" t="n"/>
      <c r="FK1176" s="451" t="n"/>
      <c r="FM1176" s="429" t="n">
        <v>263</v>
      </c>
      <c r="FN1176" s="431" t="n">
        <v>263</v>
      </c>
      <c r="FO1176" s="688" t="inlineStr">
        <is>
          <t>spare</t>
        </is>
      </c>
      <c r="FP1176" s="431" t="n"/>
      <c r="FQ1176" s="451" t="n"/>
      <c r="FR1176" s="451" t="n"/>
      <c r="FS1176" s="451" t="n"/>
      <c r="FU1176" s="429" t="n">
        <v>263</v>
      </c>
      <c r="FV1176" s="431" t="n">
        <v>263</v>
      </c>
      <c r="FW1176" s="688" t="inlineStr">
        <is>
          <t>spare</t>
        </is>
      </c>
      <c r="FX1176" s="431" t="n"/>
      <c r="FY1176" s="451" t="n"/>
      <c r="FZ1176" s="562" t="n"/>
      <c r="GA1176" s="451" t="n"/>
      <c r="GC1176" s="429" t="n">
        <v>263</v>
      </c>
      <c r="GD1176" s="431" t="n">
        <v>263</v>
      </c>
      <c r="GE1176" s="688" t="inlineStr">
        <is>
          <t>spare</t>
        </is>
      </c>
      <c r="GF1176" s="431" t="n"/>
      <c r="GG1176" s="451" t="n"/>
      <c r="GH1176" s="451" t="n"/>
      <c r="GI1176" s="451" t="n"/>
      <c r="GK1176" s="429" t="n">
        <v>263</v>
      </c>
      <c r="GL1176" s="431" t="n">
        <v>263</v>
      </c>
      <c r="GM1176" s="688" t="inlineStr">
        <is>
          <t>spare</t>
        </is>
      </c>
      <c r="GN1176" s="431" t="n"/>
      <c r="GO1176" s="451" t="n"/>
      <c r="GP1176" s="451" t="n"/>
      <c r="GQ1176" s="451" t="n"/>
      <c r="GS1176" s="429" t="n">
        <v>263</v>
      </c>
      <c r="GT1176" s="431" t="n">
        <v>263</v>
      </c>
      <c r="GU1176" s="688" t="inlineStr">
        <is>
          <t>spare</t>
        </is>
      </c>
      <c r="GV1176" s="431" t="n"/>
      <c r="GW1176" s="451" t="n"/>
      <c r="GX1176" s="451" t="n"/>
      <c r="GY1176" s="451" t="n"/>
      <c r="HA1176" s="429" t="n">
        <v>263</v>
      </c>
      <c r="HB1176" s="431" t="n">
        <v>263</v>
      </c>
      <c r="HC1176" s="688" t="inlineStr">
        <is>
          <t>spare</t>
        </is>
      </c>
      <c r="HD1176" s="431" t="n"/>
      <c r="HE1176" s="451" t="n"/>
      <c r="HF1176" s="451" t="n"/>
      <c r="HG1176" s="451" t="n"/>
    </row>
    <row r="1177">
      <c r="A1177" s="429" t="n">
        <v>264</v>
      </c>
      <c r="B1177" s="431" t="n">
        <v>264</v>
      </c>
      <c r="C1177" s="688" t="inlineStr">
        <is>
          <t>spare</t>
        </is>
      </c>
      <c r="D1177" s="431" t="n"/>
      <c r="E1177" s="429" t="n"/>
      <c r="F1177" s="429" t="n"/>
      <c r="G1177" s="429" t="n"/>
      <c r="I1177" s="429" t="n">
        <v>264</v>
      </c>
      <c r="J1177" s="431" t="n">
        <v>264</v>
      </c>
      <c r="K1177" s="429" t="inlineStr">
        <is>
          <t>spare</t>
        </is>
      </c>
      <c r="L1177" s="431" t="n"/>
      <c r="M1177" s="451" t="n"/>
      <c r="N1177" s="422" t="n"/>
      <c r="O1177" s="451" t="n"/>
      <c r="Q1177" s="429" t="n">
        <v>264</v>
      </c>
      <c r="R1177" s="431" t="n">
        <v>264</v>
      </c>
      <c r="S1177" s="429" t="inlineStr">
        <is>
          <t>spare</t>
        </is>
      </c>
      <c r="T1177" s="431" t="n"/>
      <c r="U1177" s="429" t="n"/>
      <c r="V1177" s="451" t="n"/>
      <c r="W1177" s="451" t="n"/>
      <c r="Y1177" s="429" t="n">
        <v>264</v>
      </c>
      <c r="Z1177" s="431" t="n">
        <v>264</v>
      </c>
      <c r="AA1177" s="429" t="inlineStr">
        <is>
          <t>spare</t>
        </is>
      </c>
      <c r="AB1177" s="431" t="n"/>
      <c r="AC1177" s="451" t="n"/>
      <c r="AD1177" s="451" t="n"/>
      <c r="AE1177" s="451" t="n"/>
      <c r="AG1177" s="429" t="n">
        <v>264</v>
      </c>
      <c r="AH1177" s="431" t="n">
        <v>264</v>
      </c>
      <c r="AI1177" s="429" t="inlineStr">
        <is>
          <t>spare</t>
        </is>
      </c>
      <c r="AJ1177" s="431" t="n"/>
      <c r="AK1177" s="451" t="n"/>
      <c r="AL1177" s="451" t="n"/>
      <c r="AM1177" s="451" t="n"/>
      <c r="AO1177" s="429" t="n">
        <v>264</v>
      </c>
      <c r="AP1177" s="431" t="n">
        <v>264</v>
      </c>
      <c r="AQ1177" s="429" t="inlineStr">
        <is>
          <t>spare</t>
        </is>
      </c>
      <c r="AR1177" s="431" t="n"/>
      <c r="AS1177" s="451" t="n"/>
      <c r="AT1177" s="451" t="n"/>
      <c r="AU1177" s="451" t="n"/>
      <c r="AW1177" s="429" t="n">
        <v>264</v>
      </c>
      <c r="AX1177" s="431" t="n">
        <v>264</v>
      </c>
      <c r="AY1177" s="429" t="inlineStr">
        <is>
          <t>spare</t>
        </is>
      </c>
      <c r="AZ1177" s="431" t="n"/>
      <c r="BA1177" s="451" t="n"/>
      <c r="BB1177" s="451" t="n"/>
      <c r="BC1177" s="451" t="n"/>
      <c r="BE1177" s="429" t="n">
        <v>264</v>
      </c>
      <c r="BF1177" s="431" t="n"/>
      <c r="BG1177" s="429" t="inlineStr">
        <is>
          <t>spare</t>
        </is>
      </c>
      <c r="BH1177" s="431" t="n"/>
      <c r="BI1177" s="451" t="n"/>
      <c r="BJ1177" s="451" t="n"/>
      <c r="BK1177" s="451" t="n"/>
      <c r="BM1177" s="429" t="n">
        <v>264</v>
      </c>
      <c r="BN1177" s="431" t="n">
        <v>264</v>
      </c>
      <c r="BO1177" s="429" t="inlineStr">
        <is>
          <t>spare</t>
        </is>
      </c>
      <c r="BP1177" s="431" t="n"/>
      <c r="BQ1177" s="451" t="n"/>
      <c r="BR1177" s="451" t="n"/>
      <c r="BS1177" s="451" t="n"/>
      <c r="BU1177" s="429" t="n">
        <v>264</v>
      </c>
      <c r="BV1177" s="431" t="n">
        <v>264</v>
      </c>
      <c r="BW1177" s="429" t="inlineStr">
        <is>
          <t>spare</t>
        </is>
      </c>
      <c r="BX1177" s="431" t="n"/>
      <c r="BY1177" s="451" t="n"/>
      <c r="BZ1177" s="451" t="n"/>
      <c r="CA1177" s="451" t="n"/>
      <c r="CC1177" s="429" t="n">
        <v>264</v>
      </c>
      <c r="CD1177" s="431" t="n">
        <v>264</v>
      </c>
      <c r="CE1177" s="688" t="inlineStr">
        <is>
          <t>spare</t>
        </is>
      </c>
      <c r="CF1177" s="431" t="n"/>
      <c r="CG1177" s="451" t="n"/>
      <c r="CH1177" s="562">
        <f>'CIRCUIT SIM'!LK265</f>
        <v/>
      </c>
      <c r="CI1177" s="451" t="n"/>
      <c r="CK1177" s="429" t="n">
        <v>264</v>
      </c>
      <c r="CL1177" s="431" t="n">
        <v>264</v>
      </c>
      <c r="CM1177" s="688" t="inlineStr">
        <is>
          <t>spare</t>
        </is>
      </c>
      <c r="CN1177" s="431" t="n"/>
      <c r="CO1177" s="451" t="n"/>
      <c r="CP1177" s="451" t="n"/>
      <c r="CQ1177" s="451" t="n"/>
      <c r="CS1177" s="429" t="n">
        <v>264</v>
      </c>
      <c r="CT1177" s="431" t="n">
        <v>264</v>
      </c>
      <c r="CU1177" s="688" t="inlineStr">
        <is>
          <t>spare</t>
        </is>
      </c>
      <c r="CV1177" s="431" t="n"/>
      <c r="CW1177" s="451" t="n"/>
      <c r="CX1177" s="451" t="n"/>
      <c r="CY1177" s="451" t="n"/>
      <c r="DA1177" s="429" t="n">
        <v>264</v>
      </c>
      <c r="DB1177" s="431" t="n">
        <v>264</v>
      </c>
      <c r="DC1177" s="688" t="inlineStr">
        <is>
          <t>spare</t>
        </is>
      </c>
      <c r="DD1177" s="431" t="n"/>
      <c r="DE1177" s="451" t="n"/>
      <c r="DF1177" s="451" t="n"/>
      <c r="DG1177" s="451" t="n"/>
      <c r="DI1177" s="429" t="n">
        <v>264</v>
      </c>
      <c r="DJ1177" s="431" t="n">
        <v>264</v>
      </c>
      <c r="DK1177" s="688" t="inlineStr">
        <is>
          <t>spare</t>
        </is>
      </c>
      <c r="DL1177" s="431" t="n"/>
      <c r="DM1177" s="429" t="n"/>
      <c r="DN1177" s="451" t="n"/>
      <c r="DO1177" s="451" t="n"/>
      <c r="DQ1177" s="429" t="n">
        <v>264</v>
      </c>
      <c r="DR1177" s="431" t="n">
        <v>264</v>
      </c>
      <c r="DS1177" s="688" t="inlineStr">
        <is>
          <t>spare</t>
        </is>
      </c>
      <c r="DT1177" s="431" t="n"/>
      <c r="DU1177" s="451" t="n"/>
      <c r="DV1177" s="451" t="n"/>
      <c r="DW1177" s="451" t="n"/>
      <c r="DY1177" s="429" t="n">
        <v>264</v>
      </c>
      <c r="DZ1177" s="431" t="n">
        <v>264</v>
      </c>
      <c r="EA1177" s="688" t="inlineStr">
        <is>
          <t>spare</t>
        </is>
      </c>
      <c r="EB1177" s="431" t="n"/>
      <c r="EC1177" s="451" t="n"/>
      <c r="ED1177" s="451" t="n"/>
      <c r="EE1177" s="451" t="n"/>
      <c r="EG1177" s="429" t="n">
        <v>264</v>
      </c>
      <c r="EH1177" s="431" t="n">
        <v>264</v>
      </c>
      <c r="EI1177" s="688" t="inlineStr">
        <is>
          <t>spare</t>
        </is>
      </c>
      <c r="EJ1177" s="431" t="n"/>
      <c r="EK1177" s="451" t="n"/>
      <c r="EL1177" s="451" t="n"/>
      <c r="EM1177" s="451" t="n"/>
      <c r="EO1177" s="429" t="n">
        <v>264</v>
      </c>
      <c r="EP1177" s="431" t="n">
        <v>264</v>
      </c>
      <c r="EQ1177" s="688" t="inlineStr">
        <is>
          <t>spare</t>
        </is>
      </c>
      <c r="ER1177" s="431" t="n"/>
      <c r="ES1177" s="451" t="n"/>
      <c r="ET1177" s="451" t="n"/>
      <c r="EU1177" s="451" t="n"/>
      <c r="EW1177" s="429" t="n">
        <v>264</v>
      </c>
      <c r="EX1177" s="431" t="n">
        <v>264</v>
      </c>
      <c r="EY1177" s="688" t="inlineStr">
        <is>
          <t>spare</t>
        </is>
      </c>
      <c r="EZ1177" s="431" t="n"/>
      <c r="FA1177" s="451" t="n"/>
      <c r="FB1177" s="451" t="n"/>
      <c r="FC1177" s="451" t="n"/>
      <c r="FE1177" s="429" t="n">
        <v>264</v>
      </c>
      <c r="FF1177" s="431" t="n">
        <v>264</v>
      </c>
      <c r="FG1177" s="688" t="inlineStr">
        <is>
          <t>spare</t>
        </is>
      </c>
      <c r="FH1177" s="431" t="n"/>
      <c r="FI1177" s="451" t="n"/>
      <c r="FJ1177" s="451" t="n"/>
      <c r="FK1177" s="451" t="n"/>
      <c r="FM1177" s="429" t="n">
        <v>264</v>
      </c>
      <c r="FN1177" s="431" t="n">
        <v>264</v>
      </c>
      <c r="FO1177" s="688" t="inlineStr">
        <is>
          <t>spare</t>
        </is>
      </c>
      <c r="FP1177" s="431" t="n"/>
      <c r="FQ1177" s="451" t="n"/>
      <c r="FR1177" s="451" t="n"/>
      <c r="FS1177" s="451" t="n"/>
      <c r="FU1177" s="429" t="n">
        <v>264</v>
      </c>
      <c r="FV1177" s="431" t="n">
        <v>264</v>
      </c>
      <c r="FW1177" s="688" t="inlineStr">
        <is>
          <t>spare</t>
        </is>
      </c>
      <c r="FX1177" s="431" t="n"/>
      <c r="FY1177" s="451" t="n"/>
      <c r="FZ1177" s="562" t="n"/>
      <c r="GA1177" s="451" t="n"/>
      <c r="GC1177" s="429" t="n">
        <v>264</v>
      </c>
      <c r="GD1177" s="431" t="n">
        <v>264</v>
      </c>
      <c r="GE1177" s="688" t="inlineStr">
        <is>
          <t>spare</t>
        </is>
      </c>
      <c r="GF1177" s="431" t="n"/>
      <c r="GG1177" s="451" t="n"/>
      <c r="GH1177" s="451" t="n"/>
      <c r="GI1177" s="451" t="n"/>
      <c r="GK1177" s="429" t="n">
        <v>264</v>
      </c>
      <c r="GL1177" s="431" t="n">
        <v>264</v>
      </c>
      <c r="GM1177" s="688" t="inlineStr">
        <is>
          <t>spare</t>
        </is>
      </c>
      <c r="GN1177" s="431" t="n"/>
      <c r="GO1177" s="451" t="n"/>
      <c r="GP1177" s="451" t="n"/>
      <c r="GQ1177" s="451" t="n"/>
      <c r="GS1177" s="429" t="n">
        <v>264</v>
      </c>
      <c r="GT1177" s="431" t="n">
        <v>264</v>
      </c>
      <c r="GU1177" s="688" t="inlineStr">
        <is>
          <t>spare</t>
        </is>
      </c>
      <c r="GV1177" s="431" t="n"/>
      <c r="GW1177" s="451" t="n"/>
      <c r="GX1177" s="451" t="n"/>
      <c r="GY1177" s="451" t="n"/>
      <c r="HA1177" s="429" t="n">
        <v>264</v>
      </c>
      <c r="HB1177" s="431" t="n">
        <v>264</v>
      </c>
      <c r="HC1177" s="688" t="inlineStr">
        <is>
          <t>spare</t>
        </is>
      </c>
      <c r="HD1177" s="431" t="n"/>
      <c r="HE1177" s="451" t="n"/>
      <c r="HF1177" s="451" t="n"/>
      <c r="HG1177" s="451" t="n"/>
    </row>
    <row r="1178">
      <c r="A1178" s="429" t="n">
        <v>265</v>
      </c>
      <c r="B1178" s="431" t="n">
        <v>265</v>
      </c>
      <c r="C1178" s="688" t="inlineStr">
        <is>
          <t>spare</t>
        </is>
      </c>
      <c r="D1178" s="431" t="n"/>
      <c r="E1178" s="429" t="n"/>
      <c r="F1178" s="429" t="n"/>
      <c r="G1178" s="429" t="n"/>
      <c r="I1178" s="429" t="n">
        <v>265</v>
      </c>
      <c r="J1178" s="431" t="n">
        <v>265</v>
      </c>
      <c r="K1178" s="429" t="inlineStr">
        <is>
          <t>spare</t>
        </is>
      </c>
      <c r="L1178" s="431" t="n"/>
      <c r="M1178" s="451" t="n"/>
      <c r="N1178" s="422" t="n"/>
      <c r="O1178" s="451" t="n"/>
      <c r="Q1178" s="429" t="n">
        <v>265</v>
      </c>
      <c r="R1178" s="431" t="n">
        <v>265</v>
      </c>
      <c r="S1178" s="429" t="inlineStr">
        <is>
          <t>spare</t>
        </is>
      </c>
      <c r="T1178" s="431" t="n"/>
      <c r="U1178" s="429" t="n"/>
      <c r="V1178" s="451" t="n"/>
      <c r="W1178" s="451" t="n"/>
      <c r="Y1178" s="429" t="n">
        <v>265</v>
      </c>
      <c r="Z1178" s="431" t="n">
        <v>265</v>
      </c>
      <c r="AA1178" s="429" t="inlineStr">
        <is>
          <t>spare</t>
        </is>
      </c>
      <c r="AB1178" s="431" t="n"/>
      <c r="AC1178" s="451" t="n"/>
      <c r="AD1178" s="451" t="n"/>
      <c r="AE1178" s="451" t="n"/>
      <c r="AG1178" s="429" t="n">
        <v>265</v>
      </c>
      <c r="AH1178" s="431" t="n">
        <v>265</v>
      </c>
      <c r="AI1178" s="429" t="inlineStr">
        <is>
          <t>spare</t>
        </is>
      </c>
      <c r="AJ1178" s="431" t="n"/>
      <c r="AK1178" s="451" t="n"/>
      <c r="AL1178" s="451" t="n"/>
      <c r="AM1178" s="451" t="n"/>
      <c r="AO1178" s="429" t="n">
        <v>265</v>
      </c>
      <c r="AP1178" s="431" t="n">
        <v>265</v>
      </c>
      <c r="AQ1178" s="429" t="inlineStr">
        <is>
          <t>spare</t>
        </is>
      </c>
      <c r="AR1178" s="431" t="n"/>
      <c r="AS1178" s="451" t="n"/>
      <c r="AT1178" s="451" t="n"/>
      <c r="AU1178" s="451" t="n"/>
      <c r="AW1178" s="429" t="n">
        <v>265</v>
      </c>
      <c r="AX1178" s="431" t="n">
        <v>265</v>
      </c>
      <c r="AY1178" s="429" t="inlineStr">
        <is>
          <t>spare</t>
        </is>
      </c>
      <c r="AZ1178" s="431" t="n"/>
      <c r="BA1178" s="451" t="n"/>
      <c r="BB1178" s="451" t="n"/>
      <c r="BC1178" s="451" t="n"/>
      <c r="BE1178" s="429" t="n">
        <v>265</v>
      </c>
      <c r="BF1178" s="431" t="n"/>
      <c r="BG1178" s="429" t="inlineStr">
        <is>
          <t>spare</t>
        </is>
      </c>
      <c r="BH1178" s="431" t="n"/>
      <c r="BI1178" s="451" t="n"/>
      <c r="BJ1178" s="451" t="n"/>
      <c r="BK1178" s="451" t="n"/>
      <c r="BM1178" s="429" t="n">
        <v>265</v>
      </c>
      <c r="BN1178" s="431" t="n">
        <v>265</v>
      </c>
      <c r="BO1178" s="429" t="inlineStr">
        <is>
          <t>spare</t>
        </is>
      </c>
      <c r="BP1178" s="431" t="n"/>
      <c r="BQ1178" s="451" t="n"/>
      <c r="BR1178" s="451" t="n"/>
      <c r="BS1178" s="451" t="n"/>
      <c r="BU1178" s="429" t="n">
        <v>265</v>
      </c>
      <c r="BV1178" s="431" t="n">
        <v>265</v>
      </c>
      <c r="BW1178" s="429" t="inlineStr">
        <is>
          <t>spare</t>
        </is>
      </c>
      <c r="BX1178" s="431" t="n"/>
      <c r="BY1178" s="451" t="n"/>
      <c r="BZ1178" s="451" t="n"/>
      <c r="CA1178" s="451" t="n"/>
      <c r="CC1178" s="429" t="n">
        <v>265</v>
      </c>
      <c r="CD1178" s="431" t="n">
        <v>265</v>
      </c>
      <c r="CE1178" s="688" t="inlineStr">
        <is>
          <t>spare</t>
        </is>
      </c>
      <c r="CF1178" s="431" t="n"/>
      <c r="CG1178" s="451" t="n"/>
      <c r="CH1178" s="562">
        <f>'CIRCUIT SIM'!LK266</f>
        <v/>
      </c>
      <c r="CI1178" s="451" t="n"/>
      <c r="CK1178" s="429" t="n">
        <v>265</v>
      </c>
      <c r="CL1178" s="431" t="n">
        <v>265</v>
      </c>
      <c r="CM1178" s="688" t="inlineStr">
        <is>
          <t>spare</t>
        </is>
      </c>
      <c r="CN1178" s="431" t="n"/>
      <c r="CO1178" s="451" t="n"/>
      <c r="CP1178" s="451" t="n"/>
      <c r="CQ1178" s="451" t="n"/>
      <c r="CS1178" s="429" t="n">
        <v>265</v>
      </c>
      <c r="CT1178" s="431" t="n">
        <v>265</v>
      </c>
      <c r="CU1178" s="688" t="inlineStr">
        <is>
          <t>spare</t>
        </is>
      </c>
      <c r="CV1178" s="431" t="n"/>
      <c r="CW1178" s="451" t="n"/>
      <c r="CX1178" s="451" t="n"/>
      <c r="CY1178" s="451" t="n"/>
      <c r="DA1178" s="429" t="n">
        <v>265</v>
      </c>
      <c r="DB1178" s="431" t="n">
        <v>265</v>
      </c>
      <c r="DC1178" s="688" t="inlineStr">
        <is>
          <t>spare</t>
        </is>
      </c>
      <c r="DD1178" s="431" t="n"/>
      <c r="DE1178" s="451" t="n"/>
      <c r="DF1178" s="451" t="n"/>
      <c r="DG1178" s="451" t="n"/>
      <c r="DI1178" s="429" t="n">
        <v>265</v>
      </c>
      <c r="DJ1178" s="431" t="n">
        <v>265</v>
      </c>
      <c r="DK1178" s="688" t="inlineStr">
        <is>
          <t>spare</t>
        </is>
      </c>
      <c r="DL1178" s="431" t="n"/>
      <c r="DM1178" s="429" t="n"/>
      <c r="DN1178" s="451" t="n"/>
      <c r="DO1178" s="451" t="n"/>
      <c r="DQ1178" s="429" t="n">
        <v>265</v>
      </c>
      <c r="DR1178" s="431" t="n">
        <v>265</v>
      </c>
      <c r="DS1178" s="688" t="inlineStr">
        <is>
          <t>spare</t>
        </is>
      </c>
      <c r="DT1178" s="431" t="n"/>
      <c r="DU1178" s="451" t="n"/>
      <c r="DV1178" s="451" t="n"/>
      <c r="DW1178" s="451" t="n"/>
      <c r="DY1178" s="429" t="n">
        <v>265</v>
      </c>
      <c r="DZ1178" s="431" t="n">
        <v>265</v>
      </c>
      <c r="EA1178" s="688" t="inlineStr">
        <is>
          <t>spare</t>
        </is>
      </c>
      <c r="EB1178" s="431" t="n"/>
      <c r="EC1178" s="451" t="n"/>
      <c r="ED1178" s="451" t="n"/>
      <c r="EE1178" s="451" t="n"/>
      <c r="EG1178" s="429" t="n">
        <v>265</v>
      </c>
      <c r="EH1178" s="431" t="n">
        <v>265</v>
      </c>
      <c r="EI1178" s="688" t="inlineStr">
        <is>
          <t>spare</t>
        </is>
      </c>
      <c r="EJ1178" s="431" t="n"/>
      <c r="EK1178" s="451" t="n"/>
      <c r="EL1178" s="451" t="n"/>
      <c r="EM1178" s="451" t="n"/>
      <c r="EO1178" s="429" t="n">
        <v>265</v>
      </c>
      <c r="EP1178" s="431" t="n">
        <v>265</v>
      </c>
      <c r="EQ1178" s="688" t="inlineStr">
        <is>
          <t>spare</t>
        </is>
      </c>
      <c r="ER1178" s="431" t="n"/>
      <c r="ES1178" s="451" t="n"/>
      <c r="ET1178" s="451" t="n"/>
      <c r="EU1178" s="451" t="n"/>
      <c r="EW1178" s="429" t="n">
        <v>265</v>
      </c>
      <c r="EX1178" s="431" t="n">
        <v>265</v>
      </c>
      <c r="EY1178" s="688" t="inlineStr">
        <is>
          <t>spare</t>
        </is>
      </c>
      <c r="EZ1178" s="431" t="n"/>
      <c r="FA1178" s="451" t="n"/>
      <c r="FB1178" s="451" t="n"/>
      <c r="FC1178" s="451" t="n"/>
      <c r="FE1178" s="429" t="n">
        <v>265</v>
      </c>
      <c r="FF1178" s="431" t="n">
        <v>265</v>
      </c>
      <c r="FG1178" s="688" t="inlineStr">
        <is>
          <t>spare</t>
        </is>
      </c>
      <c r="FH1178" s="431" t="n"/>
      <c r="FI1178" s="451" t="n"/>
      <c r="FJ1178" s="451" t="n"/>
      <c r="FK1178" s="451" t="n"/>
      <c r="FM1178" s="429" t="n">
        <v>265</v>
      </c>
      <c r="FN1178" s="431" t="n">
        <v>265</v>
      </c>
      <c r="FO1178" s="688" t="inlineStr">
        <is>
          <t>spare</t>
        </is>
      </c>
      <c r="FP1178" s="431" t="n"/>
      <c r="FQ1178" s="451" t="n"/>
      <c r="FR1178" s="451" t="n"/>
      <c r="FS1178" s="451" t="n"/>
      <c r="FU1178" s="429" t="n">
        <v>265</v>
      </c>
      <c r="FV1178" s="431" t="n">
        <v>265</v>
      </c>
      <c r="FW1178" s="688" t="inlineStr">
        <is>
          <t>spare</t>
        </is>
      </c>
      <c r="FX1178" s="431" t="n"/>
      <c r="FY1178" s="451" t="n"/>
      <c r="FZ1178" s="562" t="n"/>
      <c r="GA1178" s="451" t="n"/>
      <c r="GC1178" s="429" t="n">
        <v>265</v>
      </c>
      <c r="GD1178" s="431" t="n">
        <v>265</v>
      </c>
      <c r="GE1178" s="688" t="inlineStr">
        <is>
          <t>spare</t>
        </is>
      </c>
      <c r="GF1178" s="431" t="n"/>
      <c r="GG1178" s="451" t="n"/>
      <c r="GH1178" s="451" t="n"/>
      <c r="GI1178" s="451" t="n"/>
      <c r="GK1178" s="429" t="n">
        <v>265</v>
      </c>
      <c r="GL1178" s="431" t="n">
        <v>265</v>
      </c>
      <c r="GM1178" s="688" t="inlineStr">
        <is>
          <t>spare</t>
        </is>
      </c>
      <c r="GN1178" s="431" t="n"/>
      <c r="GO1178" s="451" t="n"/>
      <c r="GP1178" s="451" t="n"/>
      <c r="GQ1178" s="451" t="n"/>
      <c r="GS1178" s="429" t="n">
        <v>265</v>
      </c>
      <c r="GT1178" s="431" t="n">
        <v>265</v>
      </c>
      <c r="GU1178" s="688" t="inlineStr">
        <is>
          <t>spare</t>
        </is>
      </c>
      <c r="GV1178" s="431" t="n"/>
      <c r="GW1178" s="451" t="n"/>
      <c r="GX1178" s="451" t="n"/>
      <c r="GY1178" s="451" t="n"/>
      <c r="HA1178" s="429" t="n">
        <v>265</v>
      </c>
      <c r="HB1178" s="431" t="n">
        <v>265</v>
      </c>
      <c r="HC1178" s="688" t="inlineStr">
        <is>
          <t>spare</t>
        </is>
      </c>
      <c r="HD1178" s="431" t="n"/>
      <c r="HE1178" s="451" t="n"/>
      <c r="HF1178" s="451" t="n"/>
      <c r="HG1178" s="451" t="n"/>
    </row>
    <row r="1179">
      <c r="A1179" s="429" t="n">
        <v>266</v>
      </c>
      <c r="B1179" s="431" t="n">
        <v>266</v>
      </c>
      <c r="C1179" s="688" t="inlineStr">
        <is>
          <t>spare</t>
        </is>
      </c>
      <c r="D1179" s="431" t="n"/>
      <c r="E1179" s="429" t="n"/>
      <c r="F1179" s="429" t="n"/>
      <c r="G1179" s="429" t="n"/>
      <c r="I1179" s="429" t="n">
        <v>266</v>
      </c>
      <c r="J1179" s="431" t="n">
        <v>266</v>
      </c>
      <c r="K1179" s="429" t="inlineStr">
        <is>
          <t>spare</t>
        </is>
      </c>
      <c r="L1179" s="431" t="n"/>
      <c r="M1179" s="451" t="n"/>
      <c r="N1179" s="422" t="n"/>
      <c r="O1179" s="451" t="n"/>
      <c r="Q1179" s="429" t="n">
        <v>266</v>
      </c>
      <c r="R1179" s="431" t="n">
        <v>266</v>
      </c>
      <c r="S1179" s="429" t="inlineStr">
        <is>
          <t>spare</t>
        </is>
      </c>
      <c r="T1179" s="431" t="n"/>
      <c r="U1179" s="429" t="n"/>
      <c r="V1179" s="451" t="n"/>
      <c r="W1179" s="451" t="n"/>
      <c r="Y1179" s="429" t="n">
        <v>266</v>
      </c>
      <c r="Z1179" s="431" t="n">
        <v>266</v>
      </c>
      <c r="AA1179" s="429" t="inlineStr">
        <is>
          <t>spare</t>
        </is>
      </c>
      <c r="AB1179" s="431" t="n"/>
      <c r="AC1179" s="451" t="n"/>
      <c r="AD1179" s="451" t="n"/>
      <c r="AE1179" s="451" t="n"/>
      <c r="AG1179" s="429" t="n">
        <v>266</v>
      </c>
      <c r="AH1179" s="431" t="n">
        <v>266</v>
      </c>
      <c r="AI1179" s="429" t="inlineStr">
        <is>
          <t>spare</t>
        </is>
      </c>
      <c r="AJ1179" s="431" t="n"/>
      <c r="AK1179" s="451" t="n"/>
      <c r="AL1179" s="451" t="n"/>
      <c r="AM1179" s="451" t="n"/>
      <c r="AO1179" s="429" t="n">
        <v>266</v>
      </c>
      <c r="AP1179" s="431" t="n">
        <v>266</v>
      </c>
      <c r="AQ1179" s="429" t="inlineStr">
        <is>
          <t>spare</t>
        </is>
      </c>
      <c r="AR1179" s="431" t="n"/>
      <c r="AS1179" s="451" t="n"/>
      <c r="AT1179" s="451" t="n"/>
      <c r="AU1179" s="451" t="n"/>
      <c r="AW1179" s="429" t="n">
        <v>266</v>
      </c>
      <c r="AX1179" s="431" t="n">
        <v>266</v>
      </c>
      <c r="AY1179" s="429" t="inlineStr">
        <is>
          <t>spare</t>
        </is>
      </c>
      <c r="AZ1179" s="431" t="n"/>
      <c r="BA1179" s="451" t="n"/>
      <c r="BB1179" s="451" t="n"/>
      <c r="BC1179" s="451" t="n"/>
      <c r="BE1179" s="429" t="n">
        <v>266</v>
      </c>
      <c r="BF1179" s="431" t="n"/>
      <c r="BG1179" s="429" t="inlineStr">
        <is>
          <t>spare</t>
        </is>
      </c>
      <c r="BH1179" s="431" t="n"/>
      <c r="BI1179" s="451" t="n"/>
      <c r="BJ1179" s="451" t="n"/>
      <c r="BK1179" s="451" t="n"/>
      <c r="BM1179" s="429" t="n">
        <v>266</v>
      </c>
      <c r="BN1179" s="431" t="n">
        <v>266</v>
      </c>
      <c r="BO1179" s="429" t="inlineStr">
        <is>
          <t>spare</t>
        </is>
      </c>
      <c r="BP1179" s="431" t="n"/>
      <c r="BQ1179" s="451" t="n"/>
      <c r="BR1179" s="451" t="n"/>
      <c r="BS1179" s="451" t="n"/>
      <c r="BU1179" s="429" t="n">
        <v>266</v>
      </c>
      <c r="BV1179" s="431" t="n">
        <v>266</v>
      </c>
      <c r="BW1179" s="429" t="inlineStr">
        <is>
          <t>spare</t>
        </is>
      </c>
      <c r="BX1179" s="431" t="n"/>
      <c r="BY1179" s="451" t="n"/>
      <c r="BZ1179" s="451" t="n"/>
      <c r="CA1179" s="451" t="n"/>
      <c r="CC1179" s="429" t="n">
        <v>266</v>
      </c>
      <c r="CD1179" s="431" t="n">
        <v>266</v>
      </c>
      <c r="CE1179" s="688" t="inlineStr">
        <is>
          <t>spare</t>
        </is>
      </c>
      <c r="CF1179" s="431" t="n"/>
      <c r="CG1179" s="451" t="n"/>
      <c r="CH1179" s="562">
        <f>'CIRCUIT SIM'!LK267</f>
        <v/>
      </c>
      <c r="CI1179" s="451" t="n"/>
      <c r="CK1179" s="429" t="n">
        <v>266</v>
      </c>
      <c r="CL1179" s="431" t="n">
        <v>266</v>
      </c>
      <c r="CM1179" s="688" t="inlineStr">
        <is>
          <t>spare</t>
        </is>
      </c>
      <c r="CN1179" s="431" t="n"/>
      <c r="CO1179" s="451" t="n"/>
      <c r="CP1179" s="451" t="n"/>
      <c r="CQ1179" s="451" t="n"/>
      <c r="CS1179" s="429" t="n">
        <v>266</v>
      </c>
      <c r="CT1179" s="431" t="n">
        <v>266</v>
      </c>
      <c r="CU1179" s="688" t="inlineStr">
        <is>
          <t>spare</t>
        </is>
      </c>
      <c r="CV1179" s="431" t="n"/>
      <c r="CW1179" s="451" t="n"/>
      <c r="CX1179" s="451" t="n"/>
      <c r="CY1179" s="451" t="n"/>
      <c r="DA1179" s="429" t="n">
        <v>266</v>
      </c>
      <c r="DB1179" s="431" t="n">
        <v>266</v>
      </c>
      <c r="DC1179" s="688" t="inlineStr">
        <is>
          <t>spare</t>
        </is>
      </c>
      <c r="DD1179" s="431" t="n"/>
      <c r="DE1179" s="451" t="n"/>
      <c r="DF1179" s="451" t="n"/>
      <c r="DG1179" s="451" t="n"/>
      <c r="DI1179" s="429" t="n">
        <v>266</v>
      </c>
      <c r="DJ1179" s="431" t="n">
        <v>266</v>
      </c>
      <c r="DK1179" s="688" t="inlineStr">
        <is>
          <t>spare</t>
        </is>
      </c>
      <c r="DL1179" s="431" t="n"/>
      <c r="DM1179" s="429" t="n"/>
      <c r="DN1179" s="451" t="n"/>
      <c r="DO1179" s="451" t="n"/>
      <c r="DQ1179" s="429" t="n">
        <v>266</v>
      </c>
      <c r="DR1179" s="431" t="n">
        <v>266</v>
      </c>
      <c r="DS1179" s="688" t="inlineStr">
        <is>
          <t>spare</t>
        </is>
      </c>
      <c r="DT1179" s="431" t="n"/>
      <c r="DU1179" s="451" t="n"/>
      <c r="DV1179" s="451" t="n"/>
      <c r="DW1179" s="451" t="n"/>
      <c r="DY1179" s="429" t="n">
        <v>266</v>
      </c>
      <c r="DZ1179" s="431" t="n">
        <v>266</v>
      </c>
      <c r="EA1179" s="688" t="inlineStr">
        <is>
          <t>spare</t>
        </is>
      </c>
      <c r="EB1179" s="431" t="n"/>
      <c r="EC1179" s="451" t="n"/>
      <c r="ED1179" s="451" t="n"/>
      <c r="EE1179" s="451" t="n"/>
      <c r="EG1179" s="429" t="n">
        <v>266</v>
      </c>
      <c r="EH1179" s="431" t="n">
        <v>266</v>
      </c>
      <c r="EI1179" s="688" t="inlineStr">
        <is>
          <t>spare</t>
        </is>
      </c>
      <c r="EJ1179" s="431" t="n"/>
      <c r="EK1179" s="451" t="n"/>
      <c r="EL1179" s="451" t="n"/>
      <c r="EM1179" s="451" t="n"/>
      <c r="EO1179" s="429" t="n">
        <v>266</v>
      </c>
      <c r="EP1179" s="431" t="n">
        <v>266</v>
      </c>
      <c r="EQ1179" s="688" t="inlineStr">
        <is>
          <t>spare</t>
        </is>
      </c>
      <c r="ER1179" s="431" t="n"/>
      <c r="ES1179" s="451" t="n"/>
      <c r="ET1179" s="451" t="n"/>
      <c r="EU1179" s="451" t="n"/>
      <c r="EW1179" s="429" t="n">
        <v>266</v>
      </c>
      <c r="EX1179" s="431" t="n">
        <v>266</v>
      </c>
      <c r="EY1179" s="688" t="inlineStr">
        <is>
          <t>spare</t>
        </is>
      </c>
      <c r="EZ1179" s="431" t="n"/>
      <c r="FA1179" s="451" t="n"/>
      <c r="FB1179" s="451" t="n"/>
      <c r="FC1179" s="451" t="n"/>
      <c r="FE1179" s="429" t="n">
        <v>266</v>
      </c>
      <c r="FF1179" s="431" t="n">
        <v>266</v>
      </c>
      <c r="FG1179" s="688" t="inlineStr">
        <is>
          <t>spare</t>
        </is>
      </c>
      <c r="FH1179" s="431" t="n"/>
      <c r="FI1179" s="451" t="n"/>
      <c r="FJ1179" s="451" t="n"/>
      <c r="FK1179" s="451" t="n"/>
      <c r="FM1179" s="429" t="n">
        <v>266</v>
      </c>
      <c r="FN1179" s="431" t="n">
        <v>266</v>
      </c>
      <c r="FO1179" s="688" t="inlineStr">
        <is>
          <t>spare</t>
        </is>
      </c>
      <c r="FP1179" s="431" t="n"/>
      <c r="FQ1179" s="451" t="n"/>
      <c r="FR1179" s="451" t="n"/>
      <c r="FS1179" s="451" t="n"/>
      <c r="FU1179" s="429" t="n">
        <v>266</v>
      </c>
      <c r="FV1179" s="431" t="n">
        <v>266</v>
      </c>
      <c r="FW1179" s="688" t="inlineStr">
        <is>
          <t>spare</t>
        </is>
      </c>
      <c r="FX1179" s="431" t="n"/>
      <c r="FY1179" s="451" t="n"/>
      <c r="FZ1179" s="562" t="n"/>
      <c r="GA1179" s="451" t="n"/>
      <c r="GC1179" s="429" t="n">
        <v>266</v>
      </c>
      <c r="GD1179" s="431" t="n">
        <v>266</v>
      </c>
      <c r="GE1179" s="688" t="inlineStr">
        <is>
          <t>spare</t>
        </is>
      </c>
      <c r="GF1179" s="431" t="n"/>
      <c r="GG1179" s="451" t="n"/>
      <c r="GH1179" s="451" t="n"/>
      <c r="GI1179" s="451" t="n"/>
      <c r="GK1179" s="429" t="n">
        <v>266</v>
      </c>
      <c r="GL1179" s="431" t="n">
        <v>266</v>
      </c>
      <c r="GM1179" s="688" t="inlineStr">
        <is>
          <t>spare</t>
        </is>
      </c>
      <c r="GN1179" s="431" t="n"/>
      <c r="GO1179" s="451" t="n"/>
      <c r="GP1179" s="451" t="n"/>
      <c r="GQ1179" s="451" t="n"/>
      <c r="GS1179" s="429" t="n">
        <v>266</v>
      </c>
      <c r="GT1179" s="431" t="n">
        <v>266</v>
      </c>
      <c r="GU1179" s="688" t="inlineStr">
        <is>
          <t>spare</t>
        </is>
      </c>
      <c r="GV1179" s="431" t="n"/>
      <c r="GW1179" s="451" t="n"/>
      <c r="GX1179" s="451" t="n"/>
      <c r="GY1179" s="451" t="n"/>
      <c r="HA1179" s="429" t="n">
        <v>266</v>
      </c>
      <c r="HB1179" s="431" t="n">
        <v>266</v>
      </c>
      <c r="HC1179" s="688" t="inlineStr">
        <is>
          <t>spare</t>
        </is>
      </c>
      <c r="HD1179" s="431" t="n"/>
      <c r="HE1179" s="451" t="n"/>
      <c r="HF1179" s="451" t="n"/>
      <c r="HG1179" s="451" t="n"/>
    </row>
    <row r="1180">
      <c r="A1180" s="429" t="n">
        <v>267</v>
      </c>
      <c r="B1180" s="431" t="n">
        <v>267</v>
      </c>
      <c r="C1180" s="688" t="inlineStr">
        <is>
          <t>spare</t>
        </is>
      </c>
      <c r="D1180" s="431" t="n"/>
      <c r="E1180" s="429" t="n"/>
      <c r="F1180" s="429" t="n"/>
      <c r="G1180" s="429" t="n"/>
      <c r="I1180" s="429" t="n">
        <v>267</v>
      </c>
      <c r="J1180" s="431" t="n">
        <v>267</v>
      </c>
      <c r="K1180" s="429" t="inlineStr">
        <is>
          <t>spare</t>
        </is>
      </c>
      <c r="L1180" s="431" t="n"/>
      <c r="M1180" s="451" t="n"/>
      <c r="N1180" s="422" t="n"/>
      <c r="O1180" s="451" t="n"/>
      <c r="Q1180" s="429" t="n">
        <v>267</v>
      </c>
      <c r="R1180" s="431" t="n">
        <v>267</v>
      </c>
      <c r="S1180" s="429" t="inlineStr">
        <is>
          <t>spare</t>
        </is>
      </c>
      <c r="T1180" s="431" t="n"/>
      <c r="U1180" s="429" t="n"/>
      <c r="V1180" s="451" t="n"/>
      <c r="W1180" s="451" t="n"/>
      <c r="Y1180" s="429" t="n">
        <v>267</v>
      </c>
      <c r="Z1180" s="431" t="n">
        <v>267</v>
      </c>
      <c r="AA1180" s="429" t="inlineStr">
        <is>
          <t>spare</t>
        </is>
      </c>
      <c r="AB1180" s="431" t="n"/>
      <c r="AC1180" s="451" t="n"/>
      <c r="AD1180" s="451" t="n"/>
      <c r="AE1180" s="451" t="n"/>
      <c r="AG1180" s="429" t="n">
        <v>267</v>
      </c>
      <c r="AH1180" s="431" t="n">
        <v>267</v>
      </c>
      <c r="AI1180" s="429" t="inlineStr">
        <is>
          <t>spare</t>
        </is>
      </c>
      <c r="AJ1180" s="431" t="n"/>
      <c r="AK1180" s="451" t="n"/>
      <c r="AL1180" s="451" t="n"/>
      <c r="AM1180" s="451" t="n"/>
      <c r="AO1180" s="429" t="n">
        <v>267</v>
      </c>
      <c r="AP1180" s="431" t="n">
        <v>267</v>
      </c>
      <c r="AQ1180" s="429" t="inlineStr">
        <is>
          <t>spare</t>
        </is>
      </c>
      <c r="AR1180" s="431" t="n"/>
      <c r="AS1180" s="451" t="n"/>
      <c r="AT1180" s="451" t="n"/>
      <c r="AU1180" s="451" t="n"/>
      <c r="AW1180" s="429" t="n">
        <v>267</v>
      </c>
      <c r="AX1180" s="431" t="n">
        <v>267</v>
      </c>
      <c r="AY1180" s="429" t="inlineStr">
        <is>
          <t>spare</t>
        </is>
      </c>
      <c r="AZ1180" s="431" t="n"/>
      <c r="BA1180" s="451" t="n"/>
      <c r="BB1180" s="451" t="n"/>
      <c r="BC1180" s="451" t="n"/>
      <c r="BE1180" s="429" t="n">
        <v>267</v>
      </c>
      <c r="BF1180" s="431" t="n"/>
      <c r="BG1180" s="429" t="inlineStr">
        <is>
          <t>spare</t>
        </is>
      </c>
      <c r="BH1180" s="431" t="n"/>
      <c r="BI1180" s="451" t="n"/>
      <c r="BJ1180" s="451" t="n"/>
      <c r="BK1180" s="451" t="n"/>
      <c r="BM1180" s="429" t="n">
        <v>267</v>
      </c>
      <c r="BN1180" s="431" t="n">
        <v>267</v>
      </c>
      <c r="BO1180" s="429" t="inlineStr">
        <is>
          <t>spare</t>
        </is>
      </c>
      <c r="BP1180" s="431" t="n"/>
      <c r="BQ1180" s="451" t="n"/>
      <c r="BR1180" s="451" t="n"/>
      <c r="BS1180" s="451" t="n"/>
      <c r="BU1180" s="429" t="n">
        <v>267</v>
      </c>
      <c r="BV1180" s="431" t="n">
        <v>267</v>
      </c>
      <c r="BW1180" s="429" t="inlineStr">
        <is>
          <t>spare</t>
        </is>
      </c>
      <c r="BX1180" s="431" t="n"/>
      <c r="BY1180" s="451" t="n"/>
      <c r="BZ1180" s="451" t="n"/>
      <c r="CA1180" s="451" t="n"/>
      <c r="CC1180" s="429" t="n">
        <v>267</v>
      </c>
      <c r="CD1180" s="431" t="n">
        <v>267</v>
      </c>
      <c r="CE1180" s="688" t="inlineStr">
        <is>
          <t>spare</t>
        </is>
      </c>
      <c r="CF1180" s="431" t="n"/>
      <c r="CG1180" s="451" t="n"/>
      <c r="CH1180" s="562">
        <f>'CIRCUIT SIM'!LK268</f>
        <v/>
      </c>
      <c r="CI1180" s="451" t="n"/>
      <c r="CK1180" s="429" t="n">
        <v>267</v>
      </c>
      <c r="CL1180" s="431" t="n">
        <v>267</v>
      </c>
      <c r="CM1180" s="688" t="inlineStr">
        <is>
          <t>spare</t>
        </is>
      </c>
      <c r="CN1180" s="431" t="n"/>
      <c r="CO1180" s="451" t="n"/>
      <c r="CP1180" s="451" t="n"/>
      <c r="CQ1180" s="451" t="n"/>
      <c r="CS1180" s="429" t="n">
        <v>267</v>
      </c>
      <c r="CT1180" s="431" t="n">
        <v>267</v>
      </c>
      <c r="CU1180" s="688" t="inlineStr">
        <is>
          <t>spare</t>
        </is>
      </c>
      <c r="CV1180" s="431" t="n"/>
      <c r="CW1180" s="451" t="n"/>
      <c r="CX1180" s="451" t="n"/>
      <c r="CY1180" s="451" t="n"/>
      <c r="DA1180" s="429" t="n">
        <v>267</v>
      </c>
      <c r="DB1180" s="431" t="n">
        <v>267</v>
      </c>
      <c r="DC1180" s="688" t="inlineStr">
        <is>
          <t>spare</t>
        </is>
      </c>
      <c r="DD1180" s="431" t="n"/>
      <c r="DE1180" s="451" t="n"/>
      <c r="DF1180" s="451" t="n"/>
      <c r="DG1180" s="451" t="n"/>
      <c r="DI1180" s="429" t="n">
        <v>267</v>
      </c>
      <c r="DJ1180" s="431" t="n">
        <v>267</v>
      </c>
      <c r="DK1180" s="688" t="inlineStr">
        <is>
          <t>spare</t>
        </is>
      </c>
      <c r="DL1180" s="431" t="n"/>
      <c r="DM1180" s="429" t="n"/>
      <c r="DN1180" s="451" t="n"/>
      <c r="DO1180" s="451" t="n"/>
      <c r="DQ1180" s="429" t="n">
        <v>267</v>
      </c>
      <c r="DR1180" s="431" t="n">
        <v>267</v>
      </c>
      <c r="DS1180" s="688" t="inlineStr">
        <is>
          <t>spare</t>
        </is>
      </c>
      <c r="DT1180" s="431" t="n"/>
      <c r="DU1180" s="451" t="n"/>
      <c r="DV1180" s="451" t="n"/>
      <c r="DW1180" s="451" t="n"/>
      <c r="DY1180" s="429" t="n">
        <v>267</v>
      </c>
      <c r="DZ1180" s="431" t="n">
        <v>267</v>
      </c>
      <c r="EA1180" s="688" t="inlineStr">
        <is>
          <t>spare</t>
        </is>
      </c>
      <c r="EB1180" s="431" t="n"/>
      <c r="EC1180" s="451" t="n"/>
      <c r="ED1180" s="451" t="n"/>
      <c r="EE1180" s="451" t="n"/>
      <c r="EG1180" s="429" t="n">
        <v>267</v>
      </c>
      <c r="EH1180" s="431" t="n">
        <v>267</v>
      </c>
      <c r="EI1180" s="688" t="inlineStr">
        <is>
          <t>spare</t>
        </is>
      </c>
      <c r="EJ1180" s="431" t="n"/>
      <c r="EK1180" s="451" t="n"/>
      <c r="EL1180" s="451" t="n"/>
      <c r="EM1180" s="451" t="n"/>
      <c r="EO1180" s="429" t="n">
        <v>267</v>
      </c>
      <c r="EP1180" s="431" t="n">
        <v>267</v>
      </c>
      <c r="EQ1180" s="688" t="inlineStr">
        <is>
          <t>spare</t>
        </is>
      </c>
      <c r="ER1180" s="431" t="n"/>
      <c r="ES1180" s="451" t="n"/>
      <c r="ET1180" s="451" t="n"/>
      <c r="EU1180" s="451" t="n"/>
      <c r="EW1180" s="429" t="n">
        <v>267</v>
      </c>
      <c r="EX1180" s="431" t="n">
        <v>267</v>
      </c>
      <c r="EY1180" s="688" t="inlineStr">
        <is>
          <t>spare</t>
        </is>
      </c>
      <c r="EZ1180" s="431" t="n"/>
      <c r="FA1180" s="451" t="n"/>
      <c r="FB1180" s="451" t="n"/>
      <c r="FC1180" s="451" t="n"/>
      <c r="FE1180" s="429" t="n">
        <v>267</v>
      </c>
      <c r="FF1180" s="431" t="n">
        <v>267</v>
      </c>
      <c r="FG1180" s="688" t="inlineStr">
        <is>
          <t>spare</t>
        </is>
      </c>
      <c r="FH1180" s="431" t="n"/>
      <c r="FI1180" s="451" t="n"/>
      <c r="FJ1180" s="451" t="n"/>
      <c r="FK1180" s="451" t="n"/>
      <c r="FM1180" s="429" t="n">
        <v>267</v>
      </c>
      <c r="FN1180" s="431" t="n">
        <v>267</v>
      </c>
      <c r="FO1180" s="688" t="inlineStr">
        <is>
          <t>spare</t>
        </is>
      </c>
      <c r="FP1180" s="431" t="n"/>
      <c r="FQ1180" s="451" t="n"/>
      <c r="FR1180" s="451" t="n"/>
      <c r="FS1180" s="451" t="n"/>
      <c r="FU1180" s="429" t="n">
        <v>267</v>
      </c>
      <c r="FV1180" s="431" t="n">
        <v>267</v>
      </c>
      <c r="FW1180" s="688" t="inlineStr">
        <is>
          <t>spare</t>
        </is>
      </c>
      <c r="FX1180" s="431" t="n"/>
      <c r="FY1180" s="451" t="n"/>
      <c r="FZ1180" s="562" t="n"/>
      <c r="GA1180" s="451" t="n"/>
      <c r="GC1180" s="429" t="n">
        <v>267</v>
      </c>
      <c r="GD1180" s="431" t="n">
        <v>267</v>
      </c>
      <c r="GE1180" s="688" t="inlineStr">
        <is>
          <t>spare</t>
        </is>
      </c>
      <c r="GF1180" s="431" t="n"/>
      <c r="GG1180" s="451" t="n"/>
      <c r="GH1180" s="451" t="n"/>
      <c r="GI1180" s="451" t="n"/>
      <c r="GK1180" s="429" t="n">
        <v>267</v>
      </c>
      <c r="GL1180" s="431" t="n">
        <v>267</v>
      </c>
      <c r="GM1180" s="688" t="inlineStr">
        <is>
          <t>spare</t>
        </is>
      </c>
      <c r="GN1180" s="431" t="n"/>
      <c r="GO1180" s="451" t="n"/>
      <c r="GP1180" s="451" t="n"/>
      <c r="GQ1180" s="451" t="n"/>
      <c r="GS1180" s="429" t="n">
        <v>267</v>
      </c>
      <c r="GT1180" s="431" t="n">
        <v>267</v>
      </c>
      <c r="GU1180" s="688" t="inlineStr">
        <is>
          <t>spare</t>
        </is>
      </c>
      <c r="GV1180" s="431" t="n"/>
      <c r="GW1180" s="451" t="n"/>
      <c r="GX1180" s="451" t="n"/>
      <c r="GY1180" s="451" t="n"/>
      <c r="HA1180" s="429" t="n">
        <v>267</v>
      </c>
      <c r="HB1180" s="431" t="n">
        <v>267</v>
      </c>
      <c r="HC1180" s="688" t="inlineStr">
        <is>
          <t>spare</t>
        </is>
      </c>
      <c r="HD1180" s="431" t="n"/>
      <c r="HE1180" s="451" t="n"/>
      <c r="HF1180" s="451" t="n"/>
      <c r="HG1180" s="451" t="n"/>
    </row>
    <row r="1181">
      <c r="A1181" s="429" t="n">
        <v>268</v>
      </c>
      <c r="B1181" s="431" t="n">
        <v>268</v>
      </c>
      <c r="C1181" s="688" t="inlineStr">
        <is>
          <t>spare</t>
        </is>
      </c>
      <c r="D1181" s="431" t="n"/>
      <c r="E1181" s="429" t="n"/>
      <c r="F1181" s="429" t="n"/>
      <c r="G1181" s="429" t="n"/>
      <c r="I1181" s="429" t="n">
        <v>268</v>
      </c>
      <c r="J1181" s="431" t="n">
        <v>268</v>
      </c>
      <c r="K1181" s="429" t="inlineStr">
        <is>
          <t>spare</t>
        </is>
      </c>
      <c r="L1181" s="431" t="n"/>
      <c r="M1181" s="451" t="n"/>
      <c r="N1181" s="422" t="n"/>
      <c r="O1181" s="451" t="n"/>
      <c r="Q1181" s="429" t="n">
        <v>268</v>
      </c>
      <c r="R1181" s="431" t="n">
        <v>268</v>
      </c>
      <c r="S1181" s="429" t="inlineStr">
        <is>
          <t>spare</t>
        </is>
      </c>
      <c r="T1181" s="431" t="n"/>
      <c r="U1181" s="429" t="n"/>
      <c r="V1181" s="451" t="n"/>
      <c r="W1181" s="451" t="n"/>
      <c r="Y1181" s="429" t="n">
        <v>268</v>
      </c>
      <c r="Z1181" s="431" t="n">
        <v>268</v>
      </c>
      <c r="AA1181" s="429" t="inlineStr">
        <is>
          <t>spare</t>
        </is>
      </c>
      <c r="AB1181" s="431" t="n"/>
      <c r="AC1181" s="451" t="n"/>
      <c r="AD1181" s="451" t="n"/>
      <c r="AE1181" s="451" t="n"/>
      <c r="AG1181" s="429" t="n">
        <v>268</v>
      </c>
      <c r="AH1181" s="431" t="n">
        <v>268</v>
      </c>
      <c r="AI1181" s="429" t="inlineStr">
        <is>
          <t>spare</t>
        </is>
      </c>
      <c r="AJ1181" s="431" t="n"/>
      <c r="AK1181" s="451" t="n"/>
      <c r="AL1181" s="451" t="n"/>
      <c r="AM1181" s="451" t="n"/>
      <c r="AO1181" s="429" t="n">
        <v>268</v>
      </c>
      <c r="AP1181" s="431" t="n">
        <v>268</v>
      </c>
      <c r="AQ1181" s="429" t="inlineStr">
        <is>
          <t>spare</t>
        </is>
      </c>
      <c r="AR1181" s="431" t="n"/>
      <c r="AS1181" s="451" t="n"/>
      <c r="AT1181" s="451" t="n"/>
      <c r="AU1181" s="451" t="n"/>
      <c r="AW1181" s="429" t="n">
        <v>268</v>
      </c>
      <c r="AX1181" s="431" t="n">
        <v>268</v>
      </c>
      <c r="AY1181" s="429" t="inlineStr">
        <is>
          <t>spare</t>
        </is>
      </c>
      <c r="AZ1181" s="431" t="n"/>
      <c r="BA1181" s="451" t="n"/>
      <c r="BB1181" s="451" t="n"/>
      <c r="BC1181" s="451" t="n"/>
      <c r="BE1181" s="429" t="n">
        <v>268</v>
      </c>
      <c r="BF1181" s="431" t="n"/>
      <c r="BG1181" s="429" t="inlineStr">
        <is>
          <t>spare</t>
        </is>
      </c>
      <c r="BH1181" s="431" t="n"/>
      <c r="BI1181" s="451" t="n"/>
      <c r="BJ1181" s="451" t="n"/>
      <c r="BK1181" s="451" t="n"/>
      <c r="BM1181" s="429" t="n">
        <v>268</v>
      </c>
      <c r="BN1181" s="431" t="n">
        <v>268</v>
      </c>
      <c r="BO1181" s="429" t="inlineStr">
        <is>
          <t>spare</t>
        </is>
      </c>
      <c r="BP1181" s="431" t="n"/>
      <c r="BQ1181" s="451" t="n"/>
      <c r="BR1181" s="451" t="n"/>
      <c r="BS1181" s="451" t="n"/>
      <c r="BU1181" s="429" t="n">
        <v>268</v>
      </c>
      <c r="BV1181" s="431" t="n">
        <v>268</v>
      </c>
      <c r="BW1181" s="429" t="inlineStr">
        <is>
          <t>spare</t>
        </is>
      </c>
      <c r="BX1181" s="431" t="n"/>
      <c r="BY1181" s="451" t="n"/>
      <c r="BZ1181" s="451" t="n"/>
      <c r="CA1181" s="451" t="n"/>
      <c r="CC1181" s="429" t="n">
        <v>268</v>
      </c>
      <c r="CD1181" s="431" t="n">
        <v>268</v>
      </c>
      <c r="CE1181" s="688" t="inlineStr">
        <is>
          <t>spare</t>
        </is>
      </c>
      <c r="CF1181" s="431" t="n"/>
      <c r="CG1181" s="451" t="n"/>
      <c r="CH1181" s="562">
        <f>'CIRCUIT SIM'!LK269</f>
        <v/>
      </c>
      <c r="CI1181" s="451" t="n"/>
      <c r="CK1181" s="429" t="n">
        <v>268</v>
      </c>
      <c r="CL1181" s="431" t="n">
        <v>268</v>
      </c>
      <c r="CM1181" s="688" t="inlineStr">
        <is>
          <t>spare</t>
        </is>
      </c>
      <c r="CN1181" s="431" t="n"/>
      <c r="CO1181" s="451" t="n"/>
      <c r="CP1181" s="451" t="n"/>
      <c r="CQ1181" s="451" t="n"/>
      <c r="CS1181" s="429" t="n">
        <v>268</v>
      </c>
      <c r="CT1181" s="431" t="n">
        <v>268</v>
      </c>
      <c r="CU1181" s="688" t="inlineStr">
        <is>
          <t>spare</t>
        </is>
      </c>
      <c r="CV1181" s="431" t="n"/>
      <c r="CW1181" s="451" t="n"/>
      <c r="CX1181" s="451" t="n"/>
      <c r="CY1181" s="451" t="n"/>
      <c r="DA1181" s="429" t="n">
        <v>268</v>
      </c>
      <c r="DB1181" s="431" t="n">
        <v>268</v>
      </c>
      <c r="DC1181" s="688" t="inlineStr">
        <is>
          <t>spare</t>
        </is>
      </c>
      <c r="DD1181" s="431" t="n"/>
      <c r="DE1181" s="451" t="n"/>
      <c r="DF1181" s="451" t="n"/>
      <c r="DG1181" s="451" t="n"/>
      <c r="DI1181" s="429" t="n">
        <v>268</v>
      </c>
      <c r="DJ1181" s="431" t="n">
        <v>268</v>
      </c>
      <c r="DK1181" s="688" t="inlineStr">
        <is>
          <t>spare</t>
        </is>
      </c>
      <c r="DL1181" s="431" t="n"/>
      <c r="DM1181" s="429" t="n"/>
      <c r="DN1181" s="451" t="n"/>
      <c r="DO1181" s="451" t="n"/>
      <c r="DQ1181" s="429" t="n">
        <v>268</v>
      </c>
      <c r="DR1181" s="431" t="n">
        <v>268</v>
      </c>
      <c r="DS1181" s="688" t="inlineStr">
        <is>
          <t>spare</t>
        </is>
      </c>
      <c r="DT1181" s="431" t="n"/>
      <c r="DU1181" s="451" t="n"/>
      <c r="DV1181" s="451" t="n"/>
      <c r="DW1181" s="451" t="n"/>
      <c r="DY1181" s="429" t="n">
        <v>268</v>
      </c>
      <c r="DZ1181" s="431" t="n">
        <v>268</v>
      </c>
      <c r="EA1181" s="688" t="inlineStr">
        <is>
          <t>spare</t>
        </is>
      </c>
      <c r="EB1181" s="431" t="n"/>
      <c r="EC1181" s="451" t="n"/>
      <c r="ED1181" s="451" t="n"/>
      <c r="EE1181" s="451" t="n"/>
      <c r="EG1181" s="429" t="n">
        <v>268</v>
      </c>
      <c r="EH1181" s="431" t="n">
        <v>268</v>
      </c>
      <c r="EI1181" s="688" t="inlineStr">
        <is>
          <t>spare</t>
        </is>
      </c>
      <c r="EJ1181" s="431" t="n"/>
      <c r="EK1181" s="451" t="n"/>
      <c r="EL1181" s="451" t="n"/>
      <c r="EM1181" s="451" t="n"/>
      <c r="EO1181" s="429" t="n">
        <v>268</v>
      </c>
      <c r="EP1181" s="431" t="n">
        <v>268</v>
      </c>
      <c r="EQ1181" s="688" t="inlineStr">
        <is>
          <t>spare</t>
        </is>
      </c>
      <c r="ER1181" s="431" t="n"/>
      <c r="ES1181" s="451" t="n"/>
      <c r="ET1181" s="451" t="n"/>
      <c r="EU1181" s="451" t="n"/>
      <c r="EW1181" s="429" t="n">
        <v>268</v>
      </c>
      <c r="EX1181" s="431" t="n">
        <v>268</v>
      </c>
      <c r="EY1181" s="688" t="inlineStr">
        <is>
          <t>spare</t>
        </is>
      </c>
      <c r="EZ1181" s="431" t="n"/>
      <c r="FA1181" s="451" t="n"/>
      <c r="FB1181" s="451" t="n"/>
      <c r="FC1181" s="451" t="n"/>
      <c r="FE1181" s="429" t="n">
        <v>268</v>
      </c>
      <c r="FF1181" s="431" t="n">
        <v>268</v>
      </c>
      <c r="FG1181" s="688" t="inlineStr">
        <is>
          <t>spare</t>
        </is>
      </c>
      <c r="FH1181" s="431" t="n"/>
      <c r="FI1181" s="451" t="n"/>
      <c r="FJ1181" s="451" t="n"/>
      <c r="FK1181" s="451" t="n"/>
      <c r="FM1181" s="429" t="n">
        <v>268</v>
      </c>
      <c r="FN1181" s="431" t="n">
        <v>268</v>
      </c>
      <c r="FO1181" s="688" t="inlineStr">
        <is>
          <t>spare</t>
        </is>
      </c>
      <c r="FP1181" s="431" t="n"/>
      <c r="FQ1181" s="451" t="n"/>
      <c r="FR1181" s="451" t="n"/>
      <c r="FS1181" s="451" t="n"/>
      <c r="FU1181" s="429" t="n">
        <v>268</v>
      </c>
      <c r="FV1181" s="431" t="n">
        <v>268</v>
      </c>
      <c r="FW1181" s="688" t="inlineStr">
        <is>
          <t>spare</t>
        </is>
      </c>
      <c r="FX1181" s="431" t="n"/>
      <c r="FY1181" s="451" t="n"/>
      <c r="FZ1181" s="562" t="n"/>
      <c r="GA1181" s="451" t="n"/>
      <c r="GC1181" s="429" t="n">
        <v>268</v>
      </c>
      <c r="GD1181" s="431" t="n">
        <v>268</v>
      </c>
      <c r="GE1181" s="688" t="inlineStr">
        <is>
          <t>spare</t>
        </is>
      </c>
      <c r="GF1181" s="431" t="n"/>
      <c r="GG1181" s="451" t="n"/>
      <c r="GH1181" s="451" t="n"/>
      <c r="GI1181" s="451" t="n"/>
      <c r="GK1181" s="429" t="n">
        <v>268</v>
      </c>
      <c r="GL1181" s="431" t="n">
        <v>268</v>
      </c>
      <c r="GM1181" s="688" t="inlineStr">
        <is>
          <t>spare</t>
        </is>
      </c>
      <c r="GN1181" s="431" t="n"/>
      <c r="GO1181" s="451" t="n"/>
      <c r="GP1181" s="451" t="n"/>
      <c r="GQ1181" s="451" t="n"/>
      <c r="GS1181" s="429" t="n">
        <v>268</v>
      </c>
      <c r="GT1181" s="431" t="n">
        <v>268</v>
      </c>
      <c r="GU1181" s="688" t="inlineStr">
        <is>
          <t>spare</t>
        </is>
      </c>
      <c r="GV1181" s="431" t="n"/>
      <c r="GW1181" s="451" t="n"/>
      <c r="GX1181" s="451" t="n"/>
      <c r="GY1181" s="451" t="n"/>
      <c r="HA1181" s="429" t="n">
        <v>268</v>
      </c>
      <c r="HB1181" s="431" t="n">
        <v>268</v>
      </c>
      <c r="HC1181" s="688" t="inlineStr">
        <is>
          <t>spare</t>
        </is>
      </c>
      <c r="HD1181" s="431" t="n"/>
      <c r="HE1181" s="451" t="n"/>
      <c r="HF1181" s="451" t="n"/>
      <c r="HG1181" s="451" t="n"/>
    </row>
    <row r="1182">
      <c r="A1182" s="429" t="n">
        <v>269</v>
      </c>
      <c r="B1182" s="431" t="n">
        <v>269</v>
      </c>
      <c r="C1182" s="688" t="inlineStr">
        <is>
          <t>spare</t>
        </is>
      </c>
      <c r="D1182" s="431" t="n"/>
      <c r="E1182" s="429" t="n"/>
      <c r="F1182" s="429" t="n"/>
      <c r="G1182" s="429" t="n"/>
      <c r="I1182" s="429" t="n">
        <v>269</v>
      </c>
      <c r="J1182" s="431" t="n">
        <v>269</v>
      </c>
      <c r="K1182" s="429" t="inlineStr">
        <is>
          <t>spare</t>
        </is>
      </c>
      <c r="L1182" s="431" t="n"/>
      <c r="M1182" s="451" t="n"/>
      <c r="N1182" s="422" t="n"/>
      <c r="O1182" s="451" t="n"/>
      <c r="Q1182" s="429" t="n">
        <v>269</v>
      </c>
      <c r="R1182" s="431" t="n">
        <v>269</v>
      </c>
      <c r="S1182" s="429" t="inlineStr">
        <is>
          <t>spare</t>
        </is>
      </c>
      <c r="T1182" s="431" t="n"/>
      <c r="U1182" s="429" t="n"/>
      <c r="V1182" s="451" t="n"/>
      <c r="W1182" s="451" t="n"/>
      <c r="Y1182" s="429" t="n">
        <v>269</v>
      </c>
      <c r="Z1182" s="431" t="n">
        <v>269</v>
      </c>
      <c r="AA1182" s="429" t="inlineStr">
        <is>
          <t>spare</t>
        </is>
      </c>
      <c r="AB1182" s="431" t="n"/>
      <c r="AC1182" s="451" t="n"/>
      <c r="AD1182" s="451" t="n"/>
      <c r="AE1182" s="451" t="n"/>
      <c r="AG1182" s="429" t="n">
        <v>269</v>
      </c>
      <c r="AH1182" s="431" t="n">
        <v>269</v>
      </c>
      <c r="AI1182" s="429" t="inlineStr">
        <is>
          <t>spare</t>
        </is>
      </c>
      <c r="AJ1182" s="431" t="n"/>
      <c r="AK1182" s="451" t="n"/>
      <c r="AL1182" s="451" t="n"/>
      <c r="AM1182" s="451" t="n"/>
      <c r="AO1182" s="429" t="n">
        <v>269</v>
      </c>
      <c r="AP1182" s="431" t="n">
        <v>269</v>
      </c>
      <c r="AQ1182" s="429" t="inlineStr">
        <is>
          <t>spare</t>
        </is>
      </c>
      <c r="AR1182" s="431" t="n"/>
      <c r="AS1182" s="451" t="n"/>
      <c r="AT1182" s="451" t="n"/>
      <c r="AU1182" s="451" t="n"/>
      <c r="AW1182" s="429" t="n">
        <v>269</v>
      </c>
      <c r="AX1182" s="431" t="n">
        <v>269</v>
      </c>
      <c r="AY1182" s="429" t="inlineStr">
        <is>
          <t>spare</t>
        </is>
      </c>
      <c r="AZ1182" s="431" t="n"/>
      <c r="BA1182" s="451" t="n"/>
      <c r="BB1182" s="451" t="n"/>
      <c r="BC1182" s="451" t="n"/>
      <c r="BE1182" s="429" t="n">
        <v>269</v>
      </c>
      <c r="BF1182" s="431" t="n"/>
      <c r="BG1182" s="429" t="inlineStr">
        <is>
          <t>spare</t>
        </is>
      </c>
      <c r="BH1182" s="431" t="n"/>
      <c r="BI1182" s="451" t="n"/>
      <c r="BJ1182" s="451" t="n"/>
      <c r="BK1182" s="451" t="n"/>
      <c r="BM1182" s="429" t="n">
        <v>269</v>
      </c>
      <c r="BN1182" s="431" t="n">
        <v>269</v>
      </c>
      <c r="BO1182" s="429" t="inlineStr">
        <is>
          <t>spare</t>
        </is>
      </c>
      <c r="BP1182" s="431" t="n"/>
      <c r="BQ1182" s="451" t="n"/>
      <c r="BR1182" s="451" t="n"/>
      <c r="BS1182" s="451" t="n"/>
      <c r="BU1182" s="429" t="n">
        <v>269</v>
      </c>
      <c r="BV1182" s="431" t="n">
        <v>269</v>
      </c>
      <c r="BW1182" s="429" t="inlineStr">
        <is>
          <t>spare</t>
        </is>
      </c>
      <c r="BX1182" s="431" t="n"/>
      <c r="BY1182" s="451" t="n"/>
      <c r="BZ1182" s="451" t="n"/>
      <c r="CA1182" s="451" t="n"/>
      <c r="CC1182" s="429" t="n">
        <v>269</v>
      </c>
      <c r="CD1182" s="431" t="n">
        <v>269</v>
      </c>
      <c r="CE1182" s="688" t="inlineStr">
        <is>
          <t>spare</t>
        </is>
      </c>
      <c r="CF1182" s="431" t="n"/>
      <c r="CG1182" s="451" t="n"/>
      <c r="CH1182" s="562">
        <f>'CIRCUIT SIM'!LK270</f>
        <v/>
      </c>
      <c r="CI1182" s="451" t="n"/>
      <c r="CK1182" s="429" t="n">
        <v>269</v>
      </c>
      <c r="CL1182" s="431" t="n">
        <v>269</v>
      </c>
      <c r="CM1182" s="688" t="inlineStr">
        <is>
          <t>spare</t>
        </is>
      </c>
      <c r="CN1182" s="431" t="n"/>
      <c r="CO1182" s="451" t="n"/>
      <c r="CP1182" s="451" t="n"/>
      <c r="CQ1182" s="451" t="n"/>
      <c r="CS1182" s="429" t="n">
        <v>269</v>
      </c>
      <c r="CT1182" s="431" t="n">
        <v>269</v>
      </c>
      <c r="CU1182" s="688" t="inlineStr">
        <is>
          <t>spare</t>
        </is>
      </c>
      <c r="CV1182" s="431" t="n"/>
      <c r="CW1182" s="451" t="n"/>
      <c r="CX1182" s="451" t="n"/>
      <c r="CY1182" s="451" t="n"/>
      <c r="DA1182" s="429" t="n">
        <v>269</v>
      </c>
      <c r="DB1182" s="431" t="n">
        <v>269</v>
      </c>
      <c r="DC1182" s="688" t="inlineStr">
        <is>
          <t>spare</t>
        </is>
      </c>
      <c r="DD1182" s="431" t="n"/>
      <c r="DE1182" s="451" t="n"/>
      <c r="DF1182" s="451" t="n"/>
      <c r="DG1182" s="451" t="n"/>
      <c r="DI1182" s="429" t="n">
        <v>269</v>
      </c>
      <c r="DJ1182" s="431" t="n">
        <v>269</v>
      </c>
      <c r="DK1182" s="688" t="inlineStr">
        <is>
          <t>spare</t>
        </is>
      </c>
      <c r="DL1182" s="431" t="n"/>
      <c r="DM1182" s="429" t="n"/>
      <c r="DN1182" s="451" t="n"/>
      <c r="DO1182" s="451" t="n"/>
      <c r="DQ1182" s="429" t="n">
        <v>269</v>
      </c>
      <c r="DR1182" s="431" t="n">
        <v>269</v>
      </c>
      <c r="DS1182" s="688" t="inlineStr">
        <is>
          <t>spare</t>
        </is>
      </c>
      <c r="DT1182" s="431" t="n"/>
      <c r="DU1182" s="451" t="n"/>
      <c r="DV1182" s="451" t="n"/>
      <c r="DW1182" s="451" t="n"/>
      <c r="DY1182" s="429" t="n">
        <v>269</v>
      </c>
      <c r="DZ1182" s="431" t="n">
        <v>269</v>
      </c>
      <c r="EA1182" s="688" t="inlineStr">
        <is>
          <t>spare</t>
        </is>
      </c>
      <c r="EB1182" s="431" t="n"/>
      <c r="EC1182" s="451" t="n"/>
      <c r="ED1182" s="451" t="n"/>
      <c r="EE1182" s="451" t="n"/>
      <c r="EG1182" s="429" t="n">
        <v>269</v>
      </c>
      <c r="EH1182" s="431" t="n">
        <v>269</v>
      </c>
      <c r="EI1182" s="688" t="inlineStr">
        <is>
          <t>spare</t>
        </is>
      </c>
      <c r="EJ1182" s="431" t="n"/>
      <c r="EK1182" s="451" t="n"/>
      <c r="EL1182" s="451" t="n"/>
      <c r="EM1182" s="451" t="n"/>
      <c r="EO1182" s="429" t="n">
        <v>269</v>
      </c>
      <c r="EP1182" s="431" t="n">
        <v>269</v>
      </c>
      <c r="EQ1182" s="688" t="inlineStr">
        <is>
          <t>spare</t>
        </is>
      </c>
      <c r="ER1182" s="431" t="n"/>
      <c r="ES1182" s="451" t="n"/>
      <c r="ET1182" s="451" t="n"/>
      <c r="EU1182" s="451" t="n"/>
      <c r="EW1182" s="429" t="n">
        <v>269</v>
      </c>
      <c r="EX1182" s="431" t="n">
        <v>269</v>
      </c>
      <c r="EY1182" s="688" t="inlineStr">
        <is>
          <t>spare</t>
        </is>
      </c>
      <c r="EZ1182" s="431" t="n"/>
      <c r="FA1182" s="451" t="n"/>
      <c r="FB1182" s="451" t="n"/>
      <c r="FC1182" s="451" t="n"/>
      <c r="FE1182" s="429" t="n">
        <v>269</v>
      </c>
      <c r="FF1182" s="431" t="n">
        <v>269</v>
      </c>
      <c r="FG1182" s="688" t="inlineStr">
        <is>
          <t>spare</t>
        </is>
      </c>
      <c r="FH1182" s="431" t="n"/>
      <c r="FI1182" s="451" t="n"/>
      <c r="FJ1182" s="451" t="n"/>
      <c r="FK1182" s="451" t="n"/>
      <c r="FM1182" s="429" t="n">
        <v>269</v>
      </c>
      <c r="FN1182" s="431" t="n">
        <v>269</v>
      </c>
      <c r="FO1182" s="688" t="inlineStr">
        <is>
          <t>spare</t>
        </is>
      </c>
      <c r="FP1182" s="431" t="n"/>
      <c r="FQ1182" s="451" t="n"/>
      <c r="FR1182" s="451" t="n"/>
      <c r="FS1182" s="451" t="n"/>
      <c r="FU1182" s="429" t="n">
        <v>269</v>
      </c>
      <c r="FV1182" s="431" t="n">
        <v>269</v>
      </c>
      <c r="FW1182" s="688" t="inlineStr">
        <is>
          <t>spare</t>
        </is>
      </c>
      <c r="FX1182" s="431" t="n"/>
      <c r="FY1182" s="451" t="n"/>
      <c r="FZ1182" s="562" t="n"/>
      <c r="GA1182" s="451" t="n"/>
      <c r="GC1182" s="429" t="n">
        <v>269</v>
      </c>
      <c r="GD1182" s="431" t="n">
        <v>269</v>
      </c>
      <c r="GE1182" s="688" t="inlineStr">
        <is>
          <t>spare</t>
        </is>
      </c>
      <c r="GF1182" s="431" t="n"/>
      <c r="GG1182" s="451" t="n"/>
      <c r="GH1182" s="451" t="n"/>
      <c r="GI1182" s="451" t="n"/>
      <c r="GK1182" s="429" t="n">
        <v>269</v>
      </c>
      <c r="GL1182" s="431" t="n">
        <v>269</v>
      </c>
      <c r="GM1182" s="688" t="inlineStr">
        <is>
          <t>spare</t>
        </is>
      </c>
      <c r="GN1182" s="431" t="n"/>
      <c r="GO1182" s="451" t="n"/>
      <c r="GP1182" s="451" t="n"/>
      <c r="GQ1182" s="451" t="n"/>
      <c r="GS1182" s="429" t="n">
        <v>269</v>
      </c>
      <c r="GT1182" s="431" t="n">
        <v>269</v>
      </c>
      <c r="GU1182" s="688" t="inlineStr">
        <is>
          <t>spare</t>
        </is>
      </c>
      <c r="GV1182" s="431" t="n"/>
      <c r="GW1182" s="451" t="n"/>
      <c r="GX1182" s="451" t="n"/>
      <c r="GY1182" s="451" t="n"/>
      <c r="HA1182" s="429" t="n">
        <v>269</v>
      </c>
      <c r="HB1182" s="431" t="n">
        <v>269</v>
      </c>
      <c r="HC1182" s="688" t="inlineStr">
        <is>
          <t>spare</t>
        </is>
      </c>
      <c r="HD1182" s="431" t="n"/>
      <c r="HE1182" s="451" t="n"/>
      <c r="HF1182" s="451" t="n"/>
      <c r="HG1182" s="451" t="n"/>
    </row>
    <row r="1183">
      <c r="A1183" s="429" t="n">
        <v>270</v>
      </c>
      <c r="B1183" s="431" t="n">
        <v>270</v>
      </c>
      <c r="C1183" s="688" t="inlineStr">
        <is>
          <t>spare</t>
        </is>
      </c>
      <c r="D1183" s="431" t="n"/>
      <c r="E1183" s="429" t="n"/>
      <c r="F1183" s="429" t="n"/>
      <c r="G1183" s="429" t="n"/>
      <c r="I1183" s="429" t="n">
        <v>270</v>
      </c>
      <c r="J1183" s="431" t="n">
        <v>270</v>
      </c>
      <c r="K1183" s="429" t="inlineStr">
        <is>
          <t>spare</t>
        </is>
      </c>
      <c r="L1183" s="431" t="n"/>
      <c r="M1183" s="451" t="n"/>
      <c r="N1183" s="422" t="n"/>
      <c r="O1183" s="451" t="n"/>
      <c r="Q1183" s="429" t="n">
        <v>270</v>
      </c>
      <c r="R1183" s="431" t="n">
        <v>270</v>
      </c>
      <c r="S1183" s="429" t="inlineStr">
        <is>
          <t>spare</t>
        </is>
      </c>
      <c r="T1183" s="431" t="n"/>
      <c r="U1183" s="429" t="n"/>
      <c r="V1183" s="451" t="n"/>
      <c r="W1183" s="451" t="n"/>
      <c r="Y1183" s="429" t="n">
        <v>270</v>
      </c>
      <c r="Z1183" s="431" t="n">
        <v>270</v>
      </c>
      <c r="AA1183" s="429" t="inlineStr">
        <is>
          <t>spare</t>
        </is>
      </c>
      <c r="AB1183" s="431" t="n"/>
      <c r="AC1183" s="451" t="n"/>
      <c r="AD1183" s="451" t="n"/>
      <c r="AE1183" s="451" t="n"/>
      <c r="AG1183" s="429" t="n">
        <v>270</v>
      </c>
      <c r="AH1183" s="431" t="n">
        <v>270</v>
      </c>
      <c r="AI1183" s="429" t="inlineStr">
        <is>
          <t>spare</t>
        </is>
      </c>
      <c r="AJ1183" s="431" t="n"/>
      <c r="AK1183" s="451" t="n"/>
      <c r="AL1183" s="451" t="n"/>
      <c r="AM1183" s="451" t="n"/>
      <c r="AO1183" s="429" t="n">
        <v>270</v>
      </c>
      <c r="AP1183" s="431" t="n">
        <v>270</v>
      </c>
      <c r="AQ1183" s="429" t="inlineStr">
        <is>
          <t>spare</t>
        </is>
      </c>
      <c r="AR1183" s="431" t="n"/>
      <c r="AS1183" s="451" t="n"/>
      <c r="AT1183" s="451" t="n"/>
      <c r="AU1183" s="451" t="n"/>
      <c r="AW1183" s="429" t="n">
        <v>270</v>
      </c>
      <c r="AX1183" s="431" t="n">
        <v>270</v>
      </c>
      <c r="AY1183" s="429" t="inlineStr">
        <is>
          <t>spare</t>
        </is>
      </c>
      <c r="AZ1183" s="431" t="n"/>
      <c r="BA1183" s="451" t="n"/>
      <c r="BB1183" s="451" t="n"/>
      <c r="BC1183" s="451" t="n"/>
      <c r="BE1183" s="429" t="n">
        <v>270</v>
      </c>
      <c r="BF1183" s="431" t="n"/>
      <c r="BG1183" s="429" t="inlineStr">
        <is>
          <t>spare</t>
        </is>
      </c>
      <c r="BH1183" s="431" t="n"/>
      <c r="BI1183" s="451" t="n"/>
      <c r="BJ1183" s="451" t="n"/>
      <c r="BK1183" s="451" t="n"/>
      <c r="BM1183" s="429" t="n">
        <v>270</v>
      </c>
      <c r="BN1183" s="431" t="n">
        <v>270</v>
      </c>
      <c r="BO1183" s="429" t="inlineStr">
        <is>
          <t>spare</t>
        </is>
      </c>
      <c r="BP1183" s="431" t="n"/>
      <c r="BQ1183" s="451" t="n"/>
      <c r="BR1183" s="451" t="n"/>
      <c r="BS1183" s="451" t="n"/>
      <c r="BU1183" s="429" t="n">
        <v>270</v>
      </c>
      <c r="BV1183" s="431" t="n">
        <v>270</v>
      </c>
      <c r="BW1183" s="429" t="inlineStr">
        <is>
          <t>spare</t>
        </is>
      </c>
      <c r="BX1183" s="431" t="n"/>
      <c r="BY1183" s="451" t="n"/>
      <c r="BZ1183" s="451" t="n"/>
      <c r="CA1183" s="451" t="n"/>
      <c r="CC1183" s="429" t="n">
        <v>270</v>
      </c>
      <c r="CD1183" s="431" t="n">
        <v>270</v>
      </c>
      <c r="CE1183" s="688" t="inlineStr">
        <is>
          <t>spare</t>
        </is>
      </c>
      <c r="CF1183" s="431" t="n"/>
      <c r="CG1183" s="451" t="n"/>
      <c r="CH1183" s="562">
        <f>'CIRCUIT SIM'!LK271</f>
        <v/>
      </c>
      <c r="CI1183" s="451" t="n"/>
      <c r="CK1183" s="429" t="n">
        <v>270</v>
      </c>
      <c r="CL1183" s="431" t="n">
        <v>270</v>
      </c>
      <c r="CM1183" s="688" t="inlineStr">
        <is>
          <t>spare</t>
        </is>
      </c>
      <c r="CN1183" s="431" t="n"/>
      <c r="CO1183" s="451" t="n"/>
      <c r="CP1183" s="451" t="n"/>
      <c r="CQ1183" s="451" t="n"/>
      <c r="CS1183" s="429" t="n">
        <v>270</v>
      </c>
      <c r="CT1183" s="431" t="n">
        <v>270</v>
      </c>
      <c r="CU1183" s="688" t="inlineStr">
        <is>
          <t>spare</t>
        </is>
      </c>
      <c r="CV1183" s="431" t="n"/>
      <c r="CW1183" s="451" t="n"/>
      <c r="CX1183" s="451" t="n"/>
      <c r="CY1183" s="451" t="n"/>
      <c r="DA1183" s="429" t="n">
        <v>270</v>
      </c>
      <c r="DB1183" s="431" t="n">
        <v>270</v>
      </c>
      <c r="DC1183" s="688" t="inlineStr">
        <is>
          <t>spare</t>
        </is>
      </c>
      <c r="DD1183" s="431" t="n"/>
      <c r="DE1183" s="451" t="n"/>
      <c r="DF1183" s="451" t="n"/>
      <c r="DG1183" s="451" t="n"/>
      <c r="DI1183" s="429" t="n">
        <v>270</v>
      </c>
      <c r="DJ1183" s="431" t="n">
        <v>270</v>
      </c>
      <c r="DK1183" s="688" t="inlineStr">
        <is>
          <t>spare</t>
        </is>
      </c>
      <c r="DL1183" s="431" t="n"/>
      <c r="DM1183" s="429" t="n"/>
      <c r="DN1183" s="451" t="n"/>
      <c r="DO1183" s="451" t="n"/>
      <c r="DQ1183" s="429" t="n">
        <v>270</v>
      </c>
      <c r="DR1183" s="431" t="n">
        <v>270</v>
      </c>
      <c r="DS1183" s="688" t="inlineStr">
        <is>
          <t>spare</t>
        </is>
      </c>
      <c r="DT1183" s="431" t="n"/>
      <c r="DU1183" s="451" t="n"/>
      <c r="DV1183" s="451" t="n"/>
      <c r="DW1183" s="451" t="n"/>
      <c r="DY1183" s="429" t="n">
        <v>270</v>
      </c>
      <c r="DZ1183" s="431" t="n">
        <v>270</v>
      </c>
      <c r="EA1183" s="688" t="inlineStr">
        <is>
          <t>spare</t>
        </is>
      </c>
      <c r="EB1183" s="431" t="n"/>
      <c r="EC1183" s="451" t="n"/>
      <c r="ED1183" s="451" t="n"/>
      <c r="EE1183" s="451" t="n"/>
      <c r="EG1183" s="429" t="n">
        <v>270</v>
      </c>
      <c r="EH1183" s="431" t="n">
        <v>270</v>
      </c>
      <c r="EI1183" s="688" t="inlineStr">
        <is>
          <t>spare</t>
        </is>
      </c>
      <c r="EJ1183" s="431" t="n"/>
      <c r="EK1183" s="451" t="n"/>
      <c r="EL1183" s="451" t="n"/>
      <c r="EM1183" s="451" t="n"/>
      <c r="EO1183" s="429" t="n">
        <v>270</v>
      </c>
      <c r="EP1183" s="431" t="n">
        <v>270</v>
      </c>
      <c r="EQ1183" s="688" t="inlineStr">
        <is>
          <t>spare</t>
        </is>
      </c>
      <c r="ER1183" s="431" t="n"/>
      <c r="ES1183" s="451" t="n"/>
      <c r="ET1183" s="451" t="n"/>
      <c r="EU1183" s="451" t="n"/>
      <c r="EW1183" s="429" t="n">
        <v>270</v>
      </c>
      <c r="EX1183" s="431" t="n">
        <v>270</v>
      </c>
      <c r="EY1183" s="688" t="inlineStr">
        <is>
          <t>spare</t>
        </is>
      </c>
      <c r="EZ1183" s="431" t="n"/>
      <c r="FA1183" s="451" t="n"/>
      <c r="FB1183" s="451" t="n"/>
      <c r="FC1183" s="451" t="n"/>
      <c r="FE1183" s="429" t="n">
        <v>270</v>
      </c>
      <c r="FF1183" s="431" t="n">
        <v>270</v>
      </c>
      <c r="FG1183" s="688" t="inlineStr">
        <is>
          <t>spare</t>
        </is>
      </c>
      <c r="FH1183" s="431" t="n"/>
      <c r="FI1183" s="451" t="n"/>
      <c r="FJ1183" s="451" t="n"/>
      <c r="FK1183" s="451" t="n"/>
      <c r="FM1183" s="429" t="n">
        <v>270</v>
      </c>
      <c r="FN1183" s="431" t="n">
        <v>270</v>
      </c>
      <c r="FO1183" s="688" t="inlineStr">
        <is>
          <t>spare</t>
        </is>
      </c>
      <c r="FP1183" s="431" t="n"/>
      <c r="FQ1183" s="451" t="n"/>
      <c r="FR1183" s="451" t="n"/>
      <c r="FS1183" s="451" t="n"/>
      <c r="FU1183" s="429" t="n">
        <v>270</v>
      </c>
      <c r="FV1183" s="431" t="n">
        <v>270</v>
      </c>
      <c r="FW1183" s="688" t="inlineStr">
        <is>
          <t>spare</t>
        </is>
      </c>
      <c r="FX1183" s="431" t="n"/>
      <c r="FY1183" s="451" t="n"/>
      <c r="FZ1183" s="562" t="n"/>
      <c r="GA1183" s="451" t="n"/>
      <c r="GC1183" s="429" t="n">
        <v>270</v>
      </c>
      <c r="GD1183" s="431" t="n">
        <v>270</v>
      </c>
      <c r="GE1183" s="688" t="inlineStr">
        <is>
          <t>spare</t>
        </is>
      </c>
      <c r="GF1183" s="431" t="n"/>
      <c r="GG1183" s="451" t="n"/>
      <c r="GH1183" s="451" t="n"/>
      <c r="GI1183" s="451" t="n"/>
      <c r="GK1183" s="429" t="n">
        <v>270</v>
      </c>
      <c r="GL1183" s="431" t="n">
        <v>270</v>
      </c>
      <c r="GM1183" s="688" t="inlineStr">
        <is>
          <t>spare</t>
        </is>
      </c>
      <c r="GN1183" s="431" t="n"/>
      <c r="GO1183" s="451" t="n"/>
      <c r="GP1183" s="451" t="n"/>
      <c r="GQ1183" s="451" t="n"/>
      <c r="GS1183" s="429" t="n">
        <v>270</v>
      </c>
      <c r="GT1183" s="431" t="n">
        <v>270</v>
      </c>
      <c r="GU1183" s="688" t="inlineStr">
        <is>
          <t>spare</t>
        </is>
      </c>
      <c r="GV1183" s="431" t="n"/>
      <c r="GW1183" s="451" t="n"/>
      <c r="GX1183" s="451" t="n"/>
      <c r="GY1183" s="451" t="n"/>
      <c r="HA1183" s="429" t="n">
        <v>270</v>
      </c>
      <c r="HB1183" s="431" t="n">
        <v>270</v>
      </c>
      <c r="HC1183" s="688" t="inlineStr">
        <is>
          <t>spare</t>
        </is>
      </c>
      <c r="HD1183" s="431" t="n"/>
      <c r="HE1183" s="451" t="n"/>
      <c r="HF1183" s="451" t="n"/>
      <c r="HG1183" s="451" t="n"/>
    </row>
    <row r="1184">
      <c r="A1184" s="429" t="n">
        <v>271</v>
      </c>
      <c r="B1184" s="431" t="n">
        <v>271</v>
      </c>
      <c r="C1184" s="688" t="inlineStr">
        <is>
          <t>spare</t>
        </is>
      </c>
      <c r="D1184" s="431" t="n"/>
      <c r="E1184" s="429" t="n"/>
      <c r="F1184" s="429" t="n"/>
      <c r="G1184" s="429" t="n"/>
      <c r="I1184" s="429" t="n">
        <v>271</v>
      </c>
      <c r="J1184" s="431" t="n">
        <v>271</v>
      </c>
      <c r="K1184" s="429" t="inlineStr">
        <is>
          <t>spare</t>
        </is>
      </c>
      <c r="L1184" s="431" t="n"/>
      <c r="M1184" s="451" t="n"/>
      <c r="N1184" s="422" t="n"/>
      <c r="O1184" s="451" t="n"/>
      <c r="Q1184" s="429" t="n">
        <v>271</v>
      </c>
      <c r="R1184" s="431" t="n">
        <v>271</v>
      </c>
      <c r="S1184" s="429" t="inlineStr">
        <is>
          <t>spare</t>
        </is>
      </c>
      <c r="T1184" s="431" t="n"/>
      <c r="U1184" s="429" t="n"/>
      <c r="V1184" s="451" t="n"/>
      <c r="W1184" s="451" t="n"/>
      <c r="Y1184" s="429" t="n">
        <v>271</v>
      </c>
      <c r="Z1184" s="431" t="n">
        <v>271</v>
      </c>
      <c r="AA1184" s="429" t="inlineStr">
        <is>
          <t>spare</t>
        </is>
      </c>
      <c r="AB1184" s="431" t="n"/>
      <c r="AC1184" s="451" t="n"/>
      <c r="AD1184" s="451" t="n"/>
      <c r="AE1184" s="451" t="n"/>
      <c r="AG1184" s="429" t="n">
        <v>271</v>
      </c>
      <c r="AH1184" s="431" t="n">
        <v>271</v>
      </c>
      <c r="AI1184" s="429" t="inlineStr">
        <is>
          <t>spare</t>
        </is>
      </c>
      <c r="AJ1184" s="431" t="n"/>
      <c r="AK1184" s="451" t="n"/>
      <c r="AL1184" s="451" t="n"/>
      <c r="AM1184" s="451" t="n"/>
      <c r="AO1184" s="429" t="n">
        <v>271</v>
      </c>
      <c r="AP1184" s="431" t="n">
        <v>271</v>
      </c>
      <c r="AQ1184" s="429" t="inlineStr">
        <is>
          <t>spare</t>
        </is>
      </c>
      <c r="AR1184" s="431" t="n"/>
      <c r="AS1184" s="451" t="n"/>
      <c r="AT1184" s="451" t="n"/>
      <c r="AU1184" s="451" t="n"/>
      <c r="AW1184" s="429" t="n">
        <v>271</v>
      </c>
      <c r="AX1184" s="431" t="n">
        <v>271</v>
      </c>
      <c r="AY1184" s="429" t="inlineStr">
        <is>
          <t>spare</t>
        </is>
      </c>
      <c r="AZ1184" s="431" t="n"/>
      <c r="BA1184" s="451" t="n"/>
      <c r="BB1184" s="451" t="n"/>
      <c r="BC1184" s="451" t="n"/>
      <c r="BE1184" s="429" t="n">
        <v>271</v>
      </c>
      <c r="BF1184" s="431" t="n"/>
      <c r="BG1184" s="429" t="inlineStr">
        <is>
          <t>spare</t>
        </is>
      </c>
      <c r="BH1184" s="431" t="n"/>
      <c r="BI1184" s="451" t="n"/>
      <c r="BJ1184" s="451" t="n"/>
      <c r="BK1184" s="451" t="n"/>
      <c r="BM1184" s="429" t="n">
        <v>271</v>
      </c>
      <c r="BN1184" s="431" t="n">
        <v>271</v>
      </c>
      <c r="BO1184" s="429" t="inlineStr">
        <is>
          <t>spare</t>
        </is>
      </c>
      <c r="BP1184" s="431" t="n"/>
      <c r="BQ1184" s="451" t="n"/>
      <c r="BR1184" s="451" t="n"/>
      <c r="BS1184" s="451" t="n"/>
      <c r="BU1184" s="429" t="n">
        <v>271</v>
      </c>
      <c r="BV1184" s="431" t="n">
        <v>271</v>
      </c>
      <c r="BW1184" s="429" t="inlineStr">
        <is>
          <t>spare</t>
        </is>
      </c>
      <c r="BX1184" s="431" t="n"/>
      <c r="BY1184" s="451" t="n"/>
      <c r="BZ1184" s="451" t="n"/>
      <c r="CA1184" s="451" t="n"/>
      <c r="CC1184" s="429" t="n">
        <v>271</v>
      </c>
      <c r="CD1184" s="431" t="n">
        <v>271</v>
      </c>
      <c r="CE1184" s="688" t="inlineStr">
        <is>
          <t>spare</t>
        </is>
      </c>
      <c r="CF1184" s="431" t="n"/>
      <c r="CG1184" s="451" t="n"/>
      <c r="CH1184" s="562">
        <f>'CIRCUIT SIM'!LK272</f>
        <v/>
      </c>
      <c r="CI1184" s="451" t="n"/>
      <c r="CK1184" s="429" t="n">
        <v>271</v>
      </c>
      <c r="CL1184" s="431" t="n">
        <v>271</v>
      </c>
      <c r="CM1184" s="688" t="inlineStr">
        <is>
          <t>spare</t>
        </is>
      </c>
      <c r="CN1184" s="431" t="n"/>
      <c r="CO1184" s="451" t="n"/>
      <c r="CP1184" s="451" t="n"/>
      <c r="CQ1184" s="451" t="n"/>
      <c r="CS1184" s="429" t="n">
        <v>271</v>
      </c>
      <c r="CT1184" s="431" t="n">
        <v>271</v>
      </c>
      <c r="CU1184" s="688" t="inlineStr">
        <is>
          <t>spare</t>
        </is>
      </c>
      <c r="CV1184" s="431" t="n"/>
      <c r="CW1184" s="451" t="n"/>
      <c r="CX1184" s="451" t="n"/>
      <c r="CY1184" s="451" t="n"/>
      <c r="DA1184" s="429" t="n">
        <v>271</v>
      </c>
      <c r="DB1184" s="431" t="n">
        <v>271</v>
      </c>
      <c r="DC1184" s="688" t="inlineStr">
        <is>
          <t>spare</t>
        </is>
      </c>
      <c r="DD1184" s="431" t="n"/>
      <c r="DE1184" s="451" t="n"/>
      <c r="DF1184" s="451" t="n"/>
      <c r="DG1184" s="451" t="n"/>
      <c r="DI1184" s="429" t="n">
        <v>271</v>
      </c>
      <c r="DJ1184" s="431" t="n">
        <v>271</v>
      </c>
      <c r="DK1184" s="688" t="inlineStr">
        <is>
          <t>spare</t>
        </is>
      </c>
      <c r="DL1184" s="431" t="n"/>
      <c r="DM1184" s="429" t="n"/>
      <c r="DN1184" s="451" t="n"/>
      <c r="DO1184" s="451" t="n"/>
      <c r="DQ1184" s="429" t="n">
        <v>271</v>
      </c>
      <c r="DR1184" s="431" t="n">
        <v>271</v>
      </c>
      <c r="DS1184" s="688" t="inlineStr">
        <is>
          <t>spare</t>
        </is>
      </c>
      <c r="DT1184" s="431" t="n"/>
      <c r="DU1184" s="451" t="n"/>
      <c r="DV1184" s="451" t="n"/>
      <c r="DW1184" s="451" t="n"/>
      <c r="DY1184" s="429" t="n">
        <v>271</v>
      </c>
      <c r="DZ1184" s="431" t="n">
        <v>271</v>
      </c>
      <c r="EA1184" s="688" t="inlineStr">
        <is>
          <t>spare</t>
        </is>
      </c>
      <c r="EB1184" s="431" t="n"/>
      <c r="EC1184" s="451" t="n"/>
      <c r="ED1184" s="451" t="n"/>
      <c r="EE1184" s="451" t="n"/>
      <c r="EG1184" s="429" t="n">
        <v>271</v>
      </c>
      <c r="EH1184" s="431" t="n">
        <v>271</v>
      </c>
      <c r="EI1184" s="688" t="inlineStr">
        <is>
          <t>spare</t>
        </is>
      </c>
      <c r="EJ1184" s="431" t="n"/>
      <c r="EK1184" s="451" t="n"/>
      <c r="EL1184" s="451" t="n"/>
      <c r="EM1184" s="451" t="n"/>
      <c r="EO1184" s="429" t="n">
        <v>271</v>
      </c>
      <c r="EP1184" s="431" t="n">
        <v>271</v>
      </c>
      <c r="EQ1184" s="688" t="inlineStr">
        <is>
          <t>spare</t>
        </is>
      </c>
      <c r="ER1184" s="431" t="n"/>
      <c r="ES1184" s="451" t="n"/>
      <c r="ET1184" s="451" t="n"/>
      <c r="EU1184" s="451" t="n"/>
      <c r="EW1184" s="429" t="n">
        <v>271</v>
      </c>
      <c r="EX1184" s="431" t="n">
        <v>271</v>
      </c>
      <c r="EY1184" s="688" t="inlineStr">
        <is>
          <t>spare</t>
        </is>
      </c>
      <c r="EZ1184" s="431" t="n"/>
      <c r="FA1184" s="451" t="n"/>
      <c r="FB1184" s="451" t="n"/>
      <c r="FC1184" s="451" t="n"/>
      <c r="FE1184" s="429" t="n">
        <v>271</v>
      </c>
      <c r="FF1184" s="431" t="n">
        <v>271</v>
      </c>
      <c r="FG1184" s="688" t="inlineStr">
        <is>
          <t>spare</t>
        </is>
      </c>
      <c r="FH1184" s="431" t="n"/>
      <c r="FI1184" s="451" t="n"/>
      <c r="FJ1184" s="451" t="n"/>
      <c r="FK1184" s="451" t="n"/>
      <c r="FM1184" s="429" t="n">
        <v>271</v>
      </c>
      <c r="FN1184" s="431" t="n">
        <v>271</v>
      </c>
      <c r="FO1184" s="688" t="inlineStr">
        <is>
          <t>spare</t>
        </is>
      </c>
      <c r="FP1184" s="431" t="n"/>
      <c r="FQ1184" s="451" t="n"/>
      <c r="FR1184" s="451" t="n"/>
      <c r="FS1184" s="451" t="n"/>
      <c r="FU1184" s="429" t="n">
        <v>271</v>
      </c>
      <c r="FV1184" s="431" t="n">
        <v>271</v>
      </c>
      <c r="FW1184" s="688" t="inlineStr">
        <is>
          <t>spare</t>
        </is>
      </c>
      <c r="FX1184" s="431" t="n"/>
      <c r="FY1184" s="451" t="n"/>
      <c r="FZ1184" s="562" t="n"/>
      <c r="GA1184" s="451" t="n"/>
      <c r="GC1184" s="429" t="n">
        <v>271</v>
      </c>
      <c r="GD1184" s="431" t="n">
        <v>271</v>
      </c>
      <c r="GE1184" s="688" t="inlineStr">
        <is>
          <t>spare</t>
        </is>
      </c>
      <c r="GF1184" s="431" t="n"/>
      <c r="GG1184" s="451" t="n"/>
      <c r="GH1184" s="451" t="n"/>
      <c r="GI1184" s="451" t="n"/>
      <c r="GK1184" s="429" t="n">
        <v>271</v>
      </c>
      <c r="GL1184" s="431" t="n">
        <v>271</v>
      </c>
      <c r="GM1184" s="688" t="inlineStr">
        <is>
          <t>spare</t>
        </is>
      </c>
      <c r="GN1184" s="431" t="n"/>
      <c r="GO1184" s="451" t="n"/>
      <c r="GP1184" s="451" t="n"/>
      <c r="GQ1184" s="451" t="n"/>
      <c r="GS1184" s="429" t="n">
        <v>271</v>
      </c>
      <c r="GT1184" s="431" t="n">
        <v>271</v>
      </c>
      <c r="GU1184" s="688" t="inlineStr">
        <is>
          <t>spare</t>
        </is>
      </c>
      <c r="GV1184" s="431" t="n"/>
      <c r="GW1184" s="451" t="n"/>
      <c r="GX1184" s="451" t="n"/>
      <c r="GY1184" s="451" t="n"/>
      <c r="HA1184" s="429" t="n">
        <v>271</v>
      </c>
      <c r="HB1184" s="431" t="n">
        <v>271</v>
      </c>
      <c r="HC1184" s="688" t="inlineStr">
        <is>
          <t>spare</t>
        </is>
      </c>
      <c r="HD1184" s="431" t="n"/>
      <c r="HE1184" s="451" t="n"/>
      <c r="HF1184" s="451" t="n"/>
      <c r="HG1184" s="451" t="n"/>
    </row>
    <row r="1185">
      <c r="A1185" s="429" t="n">
        <v>272</v>
      </c>
      <c r="B1185" s="431" t="n">
        <v>272</v>
      </c>
      <c r="C1185" s="688" t="inlineStr">
        <is>
          <t>spare</t>
        </is>
      </c>
      <c r="D1185" s="431" t="n"/>
      <c r="E1185" s="429" t="n"/>
      <c r="F1185" s="429" t="n"/>
      <c r="G1185" s="429" t="n"/>
      <c r="I1185" s="429" t="n">
        <v>272</v>
      </c>
      <c r="J1185" s="431" t="n">
        <v>272</v>
      </c>
      <c r="K1185" s="429" t="inlineStr">
        <is>
          <t>spare</t>
        </is>
      </c>
      <c r="L1185" s="431" t="n"/>
      <c r="M1185" s="451" t="n"/>
      <c r="N1185" s="422" t="n"/>
      <c r="O1185" s="451" t="n"/>
      <c r="Q1185" s="429" t="n">
        <v>272</v>
      </c>
      <c r="R1185" s="431" t="n">
        <v>272</v>
      </c>
      <c r="S1185" s="429" t="inlineStr">
        <is>
          <t>spare</t>
        </is>
      </c>
      <c r="T1185" s="431" t="n"/>
      <c r="U1185" s="429" t="n"/>
      <c r="V1185" s="451" t="n"/>
      <c r="W1185" s="451" t="n"/>
      <c r="Y1185" s="429" t="n">
        <v>272</v>
      </c>
      <c r="Z1185" s="431" t="n">
        <v>272</v>
      </c>
      <c r="AA1185" s="429" t="inlineStr">
        <is>
          <t>spare</t>
        </is>
      </c>
      <c r="AB1185" s="431" t="n"/>
      <c r="AC1185" s="451" t="n"/>
      <c r="AD1185" s="451" t="n"/>
      <c r="AE1185" s="451" t="n"/>
      <c r="AG1185" s="429" t="n">
        <v>272</v>
      </c>
      <c r="AH1185" s="431" t="n">
        <v>272</v>
      </c>
      <c r="AI1185" s="429" t="inlineStr">
        <is>
          <t>spare</t>
        </is>
      </c>
      <c r="AJ1185" s="431" t="n"/>
      <c r="AK1185" s="451" t="n"/>
      <c r="AL1185" s="451" t="n"/>
      <c r="AM1185" s="451" t="n"/>
      <c r="AO1185" s="429" t="n">
        <v>272</v>
      </c>
      <c r="AP1185" s="431" t="n">
        <v>272</v>
      </c>
      <c r="AQ1185" s="429" t="inlineStr">
        <is>
          <t>spare</t>
        </is>
      </c>
      <c r="AR1185" s="431" t="n"/>
      <c r="AS1185" s="451" t="n"/>
      <c r="AT1185" s="451" t="n"/>
      <c r="AU1185" s="451" t="n"/>
      <c r="AW1185" s="429" t="n">
        <v>272</v>
      </c>
      <c r="AX1185" s="431" t="n">
        <v>272</v>
      </c>
      <c r="AY1185" s="429" t="inlineStr">
        <is>
          <t>spare</t>
        </is>
      </c>
      <c r="AZ1185" s="431" t="n"/>
      <c r="BA1185" s="451" t="n"/>
      <c r="BB1185" s="451" t="n"/>
      <c r="BC1185" s="451" t="n"/>
      <c r="BE1185" s="429" t="n">
        <v>272</v>
      </c>
      <c r="BF1185" s="431" t="n"/>
      <c r="BG1185" s="429" t="inlineStr">
        <is>
          <t>spare</t>
        </is>
      </c>
      <c r="BH1185" s="431" t="n"/>
      <c r="BI1185" s="451" t="n"/>
      <c r="BJ1185" s="451" t="n"/>
      <c r="BK1185" s="451" t="n"/>
      <c r="BM1185" s="429" t="n">
        <v>272</v>
      </c>
      <c r="BN1185" s="431" t="n">
        <v>272</v>
      </c>
      <c r="BO1185" s="429" t="inlineStr">
        <is>
          <t>spare</t>
        </is>
      </c>
      <c r="BP1185" s="431" t="n"/>
      <c r="BQ1185" s="451" t="n"/>
      <c r="BR1185" s="451" t="n"/>
      <c r="BS1185" s="451" t="n"/>
      <c r="BU1185" s="429" t="n">
        <v>272</v>
      </c>
      <c r="BV1185" s="431" t="n">
        <v>272</v>
      </c>
      <c r="BW1185" s="429" t="inlineStr">
        <is>
          <t>spare</t>
        </is>
      </c>
      <c r="BX1185" s="431" t="n"/>
      <c r="BY1185" s="451" t="n"/>
      <c r="BZ1185" s="451" t="n"/>
      <c r="CA1185" s="451" t="n"/>
      <c r="CC1185" s="429" t="n">
        <v>272</v>
      </c>
      <c r="CD1185" s="431" t="n">
        <v>272</v>
      </c>
      <c r="CE1185" s="688" t="inlineStr">
        <is>
          <t>spare</t>
        </is>
      </c>
      <c r="CF1185" s="431" t="n"/>
      <c r="CG1185" s="451" t="n"/>
      <c r="CH1185" s="562">
        <f>'CIRCUIT SIM'!LK273</f>
        <v/>
      </c>
      <c r="CI1185" s="451" t="n"/>
      <c r="CK1185" s="429" t="n">
        <v>272</v>
      </c>
      <c r="CL1185" s="431" t="n">
        <v>272</v>
      </c>
      <c r="CM1185" s="688" t="inlineStr">
        <is>
          <t>spare</t>
        </is>
      </c>
      <c r="CN1185" s="431" t="n"/>
      <c r="CO1185" s="451" t="n"/>
      <c r="CP1185" s="451" t="n"/>
      <c r="CQ1185" s="451" t="n"/>
      <c r="CS1185" s="429" t="n">
        <v>272</v>
      </c>
      <c r="CT1185" s="431" t="n">
        <v>272</v>
      </c>
      <c r="CU1185" s="688" t="inlineStr">
        <is>
          <t>spare</t>
        </is>
      </c>
      <c r="CV1185" s="431" t="n"/>
      <c r="CW1185" s="451" t="n"/>
      <c r="CX1185" s="451" t="n"/>
      <c r="CY1185" s="451" t="n"/>
      <c r="DA1185" s="429" t="n">
        <v>272</v>
      </c>
      <c r="DB1185" s="431" t="n">
        <v>272</v>
      </c>
      <c r="DC1185" s="688" t="inlineStr">
        <is>
          <t>spare</t>
        </is>
      </c>
      <c r="DD1185" s="431" t="n"/>
      <c r="DE1185" s="451" t="n"/>
      <c r="DF1185" s="451" t="n"/>
      <c r="DG1185" s="451" t="n"/>
      <c r="DI1185" s="429" t="n">
        <v>272</v>
      </c>
      <c r="DJ1185" s="431" t="n">
        <v>272</v>
      </c>
      <c r="DK1185" s="688" t="inlineStr">
        <is>
          <t>spare</t>
        </is>
      </c>
      <c r="DL1185" s="431" t="n"/>
      <c r="DM1185" s="429" t="n"/>
      <c r="DN1185" s="451" t="n"/>
      <c r="DO1185" s="451" t="n"/>
      <c r="DQ1185" s="429" t="n">
        <v>272</v>
      </c>
      <c r="DR1185" s="431" t="n">
        <v>272</v>
      </c>
      <c r="DS1185" s="688" t="inlineStr">
        <is>
          <t>spare</t>
        </is>
      </c>
      <c r="DT1185" s="431" t="n"/>
      <c r="DU1185" s="451" t="n"/>
      <c r="DV1185" s="451" t="n"/>
      <c r="DW1185" s="451" t="n"/>
      <c r="DY1185" s="429" t="n">
        <v>272</v>
      </c>
      <c r="DZ1185" s="431" t="n">
        <v>272</v>
      </c>
      <c r="EA1185" s="688" t="inlineStr">
        <is>
          <t>spare</t>
        </is>
      </c>
      <c r="EB1185" s="431" t="n"/>
      <c r="EC1185" s="451" t="n"/>
      <c r="ED1185" s="451" t="n"/>
      <c r="EE1185" s="451" t="n"/>
      <c r="EG1185" s="429" t="n">
        <v>272</v>
      </c>
      <c r="EH1185" s="431" t="n">
        <v>272</v>
      </c>
      <c r="EI1185" s="688" t="inlineStr">
        <is>
          <t>spare</t>
        </is>
      </c>
      <c r="EJ1185" s="431" t="n"/>
      <c r="EK1185" s="451" t="n"/>
      <c r="EL1185" s="451" t="n"/>
      <c r="EM1185" s="451" t="n"/>
      <c r="EO1185" s="429" t="n">
        <v>272</v>
      </c>
      <c r="EP1185" s="431" t="n">
        <v>272</v>
      </c>
      <c r="EQ1185" s="688" t="inlineStr">
        <is>
          <t>spare</t>
        </is>
      </c>
      <c r="ER1185" s="431" t="n"/>
      <c r="ES1185" s="451" t="n"/>
      <c r="ET1185" s="451" t="n"/>
      <c r="EU1185" s="451" t="n"/>
      <c r="EW1185" s="429" t="n">
        <v>272</v>
      </c>
      <c r="EX1185" s="431" t="n">
        <v>272</v>
      </c>
      <c r="EY1185" s="688" t="inlineStr">
        <is>
          <t>spare</t>
        </is>
      </c>
      <c r="EZ1185" s="431" t="n"/>
      <c r="FA1185" s="451" t="n"/>
      <c r="FB1185" s="451" t="n"/>
      <c r="FC1185" s="451" t="n"/>
      <c r="FE1185" s="429" t="n">
        <v>272</v>
      </c>
      <c r="FF1185" s="431" t="n">
        <v>272</v>
      </c>
      <c r="FG1185" s="688" t="inlineStr">
        <is>
          <t>spare</t>
        </is>
      </c>
      <c r="FH1185" s="431" t="n"/>
      <c r="FI1185" s="451" t="n"/>
      <c r="FJ1185" s="451" t="n"/>
      <c r="FK1185" s="451" t="n"/>
      <c r="FM1185" s="429" t="n">
        <v>272</v>
      </c>
      <c r="FN1185" s="431" t="n">
        <v>272</v>
      </c>
      <c r="FO1185" s="688" t="inlineStr">
        <is>
          <t>spare</t>
        </is>
      </c>
      <c r="FP1185" s="431" t="n"/>
      <c r="FQ1185" s="451" t="n"/>
      <c r="FR1185" s="451" t="n"/>
      <c r="FS1185" s="451" t="n"/>
      <c r="FU1185" s="429" t="n">
        <v>272</v>
      </c>
      <c r="FV1185" s="431" t="n">
        <v>272</v>
      </c>
      <c r="FW1185" s="688" t="inlineStr">
        <is>
          <t>spare</t>
        </is>
      </c>
      <c r="FX1185" s="431" t="n"/>
      <c r="FY1185" s="451" t="n"/>
      <c r="FZ1185" s="562" t="n"/>
      <c r="GA1185" s="451" t="n"/>
      <c r="GC1185" s="429" t="n">
        <v>272</v>
      </c>
      <c r="GD1185" s="431" t="n">
        <v>272</v>
      </c>
      <c r="GE1185" s="688" t="inlineStr">
        <is>
          <t>spare</t>
        </is>
      </c>
      <c r="GF1185" s="431" t="n"/>
      <c r="GG1185" s="451" t="n"/>
      <c r="GH1185" s="451" t="n"/>
      <c r="GI1185" s="451" t="n"/>
      <c r="GK1185" s="429" t="n">
        <v>272</v>
      </c>
      <c r="GL1185" s="431" t="n">
        <v>272</v>
      </c>
      <c r="GM1185" s="688" t="inlineStr">
        <is>
          <t>spare</t>
        </is>
      </c>
      <c r="GN1185" s="431" t="n"/>
      <c r="GO1185" s="451" t="n"/>
      <c r="GP1185" s="451" t="n"/>
      <c r="GQ1185" s="451" t="n"/>
      <c r="GS1185" s="429" t="n">
        <v>272</v>
      </c>
      <c r="GT1185" s="431" t="n">
        <v>272</v>
      </c>
      <c r="GU1185" s="688" t="inlineStr">
        <is>
          <t>spare</t>
        </is>
      </c>
      <c r="GV1185" s="431" t="n"/>
      <c r="GW1185" s="451" t="n"/>
      <c r="GX1185" s="451" t="n"/>
      <c r="GY1185" s="451" t="n"/>
      <c r="HA1185" s="429" t="n">
        <v>272</v>
      </c>
      <c r="HB1185" s="431" t="n">
        <v>272</v>
      </c>
      <c r="HC1185" s="688" t="inlineStr">
        <is>
          <t>spare</t>
        </is>
      </c>
      <c r="HD1185" s="431" t="n"/>
      <c r="HE1185" s="451" t="n"/>
      <c r="HF1185" s="451" t="n"/>
      <c r="HG1185" s="451" t="n"/>
    </row>
    <row r="1186">
      <c r="A1186" s="429" t="n">
        <v>273</v>
      </c>
      <c r="B1186" s="431" t="n">
        <v>273</v>
      </c>
      <c r="C1186" s="688" t="inlineStr">
        <is>
          <t>spare</t>
        </is>
      </c>
      <c r="D1186" s="431" t="n"/>
      <c r="E1186" s="429" t="n"/>
      <c r="F1186" s="429" t="n"/>
      <c r="G1186" s="429" t="n"/>
      <c r="I1186" s="429" t="n">
        <v>273</v>
      </c>
      <c r="J1186" s="431" t="n">
        <v>273</v>
      </c>
      <c r="K1186" s="429" t="inlineStr">
        <is>
          <t>spare</t>
        </is>
      </c>
      <c r="L1186" s="431" t="n"/>
      <c r="M1186" s="451" t="n"/>
      <c r="N1186" s="422" t="n"/>
      <c r="O1186" s="451" t="n"/>
      <c r="Q1186" s="429" t="n">
        <v>273</v>
      </c>
      <c r="R1186" s="431" t="n">
        <v>273</v>
      </c>
      <c r="S1186" s="429" t="inlineStr">
        <is>
          <t>spare</t>
        </is>
      </c>
      <c r="T1186" s="431" t="n"/>
      <c r="U1186" s="429" t="n"/>
      <c r="V1186" s="451" t="n"/>
      <c r="W1186" s="451" t="n"/>
      <c r="Y1186" s="429" t="n">
        <v>273</v>
      </c>
      <c r="Z1186" s="431" t="n">
        <v>273</v>
      </c>
      <c r="AA1186" s="429" t="inlineStr">
        <is>
          <t>spare</t>
        </is>
      </c>
      <c r="AB1186" s="431" t="n"/>
      <c r="AC1186" s="451" t="n"/>
      <c r="AD1186" s="451" t="n"/>
      <c r="AE1186" s="451" t="n"/>
      <c r="AG1186" s="429" t="n">
        <v>273</v>
      </c>
      <c r="AH1186" s="431" t="n">
        <v>273</v>
      </c>
      <c r="AI1186" s="429" t="inlineStr">
        <is>
          <t>spare</t>
        </is>
      </c>
      <c r="AJ1186" s="431" t="n"/>
      <c r="AK1186" s="451" t="n"/>
      <c r="AL1186" s="451" t="n"/>
      <c r="AM1186" s="451" t="n"/>
      <c r="AO1186" s="429" t="n">
        <v>273</v>
      </c>
      <c r="AP1186" s="431" t="n">
        <v>273</v>
      </c>
      <c r="AQ1186" s="429" t="inlineStr">
        <is>
          <t>spare</t>
        </is>
      </c>
      <c r="AR1186" s="431" t="n"/>
      <c r="AS1186" s="451" t="n"/>
      <c r="AT1186" s="451" t="n"/>
      <c r="AU1186" s="451" t="n"/>
      <c r="AW1186" s="429" t="n">
        <v>273</v>
      </c>
      <c r="AX1186" s="431" t="n">
        <v>273</v>
      </c>
      <c r="AY1186" s="429" t="inlineStr">
        <is>
          <t>spare</t>
        </is>
      </c>
      <c r="AZ1186" s="431" t="n"/>
      <c r="BA1186" s="451" t="n"/>
      <c r="BB1186" s="451" t="n"/>
      <c r="BC1186" s="451" t="n"/>
      <c r="BE1186" s="429" t="n">
        <v>273</v>
      </c>
      <c r="BF1186" s="431" t="n"/>
      <c r="BG1186" s="429" t="inlineStr">
        <is>
          <t>spare</t>
        </is>
      </c>
      <c r="BH1186" s="431" t="n"/>
      <c r="BI1186" s="451" t="n"/>
      <c r="BJ1186" s="451" t="n"/>
      <c r="BK1186" s="451" t="n"/>
      <c r="BM1186" s="429" t="n">
        <v>273</v>
      </c>
      <c r="BN1186" s="431" t="n">
        <v>273</v>
      </c>
      <c r="BO1186" s="429" t="inlineStr">
        <is>
          <t>spare</t>
        </is>
      </c>
      <c r="BP1186" s="431" t="n"/>
      <c r="BQ1186" s="451" t="n"/>
      <c r="BR1186" s="451" t="n"/>
      <c r="BS1186" s="451" t="n"/>
      <c r="BU1186" s="429" t="n">
        <v>273</v>
      </c>
      <c r="BV1186" s="431" t="n">
        <v>273</v>
      </c>
      <c r="BW1186" s="429" t="inlineStr">
        <is>
          <t>spare</t>
        </is>
      </c>
      <c r="BX1186" s="431" t="n"/>
      <c r="BY1186" s="451" t="n"/>
      <c r="BZ1186" s="451" t="n"/>
      <c r="CA1186" s="451" t="n"/>
      <c r="CC1186" s="429" t="n">
        <v>273</v>
      </c>
      <c r="CD1186" s="431" t="n">
        <v>273</v>
      </c>
      <c r="CE1186" s="688" t="inlineStr">
        <is>
          <t>spare</t>
        </is>
      </c>
      <c r="CF1186" s="431" t="n"/>
      <c r="CG1186" s="451" t="n"/>
      <c r="CH1186" s="562">
        <f>'CIRCUIT SIM'!LK274</f>
        <v/>
      </c>
      <c r="CI1186" s="451" t="n"/>
      <c r="CK1186" s="429" t="n">
        <v>273</v>
      </c>
      <c r="CL1186" s="431" t="n">
        <v>273</v>
      </c>
      <c r="CM1186" s="688" t="inlineStr">
        <is>
          <t>spare</t>
        </is>
      </c>
      <c r="CN1186" s="431" t="n"/>
      <c r="CO1186" s="451" t="n"/>
      <c r="CP1186" s="451" t="n"/>
      <c r="CQ1186" s="451" t="n"/>
      <c r="CS1186" s="429" t="n">
        <v>273</v>
      </c>
      <c r="CT1186" s="431" t="n">
        <v>273</v>
      </c>
      <c r="CU1186" s="688" t="inlineStr">
        <is>
          <t>spare</t>
        </is>
      </c>
      <c r="CV1186" s="431" t="n"/>
      <c r="CW1186" s="451" t="n"/>
      <c r="CX1186" s="451" t="n"/>
      <c r="CY1186" s="451" t="n"/>
      <c r="DA1186" s="429" t="n">
        <v>273</v>
      </c>
      <c r="DB1186" s="431" t="n">
        <v>273</v>
      </c>
      <c r="DC1186" s="688" t="inlineStr">
        <is>
          <t>spare</t>
        </is>
      </c>
      <c r="DD1186" s="431" t="n"/>
      <c r="DE1186" s="451" t="n"/>
      <c r="DF1186" s="451" t="n"/>
      <c r="DG1186" s="451" t="n"/>
      <c r="DI1186" s="429" t="n">
        <v>273</v>
      </c>
      <c r="DJ1186" s="431" t="n">
        <v>273</v>
      </c>
      <c r="DK1186" s="688" t="inlineStr">
        <is>
          <t>spare</t>
        </is>
      </c>
      <c r="DL1186" s="431" t="n"/>
      <c r="DM1186" s="429" t="n"/>
      <c r="DN1186" s="451" t="n"/>
      <c r="DO1186" s="451" t="n"/>
      <c r="DQ1186" s="429" t="n">
        <v>273</v>
      </c>
      <c r="DR1186" s="431" t="n">
        <v>273</v>
      </c>
      <c r="DS1186" s="688" t="inlineStr">
        <is>
          <t>spare</t>
        </is>
      </c>
      <c r="DT1186" s="431" t="n"/>
      <c r="DU1186" s="451" t="n"/>
      <c r="DV1186" s="451" t="n"/>
      <c r="DW1186" s="451" t="n"/>
      <c r="DY1186" s="429" t="n">
        <v>273</v>
      </c>
      <c r="DZ1186" s="431" t="n">
        <v>273</v>
      </c>
      <c r="EA1186" s="688" t="inlineStr">
        <is>
          <t>spare</t>
        </is>
      </c>
      <c r="EB1186" s="431" t="n"/>
      <c r="EC1186" s="451" t="n"/>
      <c r="ED1186" s="451" t="n"/>
      <c r="EE1186" s="451" t="n"/>
      <c r="EG1186" s="429" t="n">
        <v>273</v>
      </c>
      <c r="EH1186" s="431" t="n">
        <v>273</v>
      </c>
      <c r="EI1186" s="688" t="inlineStr">
        <is>
          <t>spare</t>
        </is>
      </c>
      <c r="EJ1186" s="431" t="n"/>
      <c r="EK1186" s="451" t="n"/>
      <c r="EL1186" s="451" t="n"/>
      <c r="EM1186" s="451" t="n"/>
      <c r="EO1186" s="429" t="n">
        <v>273</v>
      </c>
      <c r="EP1186" s="431" t="n">
        <v>273</v>
      </c>
      <c r="EQ1186" s="688" t="inlineStr">
        <is>
          <t>spare</t>
        </is>
      </c>
      <c r="ER1186" s="431" t="n"/>
      <c r="ES1186" s="451" t="n"/>
      <c r="ET1186" s="451" t="n"/>
      <c r="EU1186" s="451" t="n"/>
      <c r="EW1186" s="429" t="n">
        <v>273</v>
      </c>
      <c r="EX1186" s="431" t="n">
        <v>273</v>
      </c>
      <c r="EY1186" s="688" t="inlineStr">
        <is>
          <t>spare</t>
        </is>
      </c>
      <c r="EZ1186" s="431" t="n"/>
      <c r="FA1186" s="451" t="n"/>
      <c r="FB1186" s="451" t="n"/>
      <c r="FC1186" s="451" t="n"/>
      <c r="FE1186" s="429" t="n">
        <v>273</v>
      </c>
      <c r="FF1186" s="431" t="n">
        <v>273</v>
      </c>
      <c r="FG1186" s="688" t="inlineStr">
        <is>
          <t>spare</t>
        </is>
      </c>
      <c r="FH1186" s="431" t="n"/>
      <c r="FI1186" s="451" t="n"/>
      <c r="FJ1186" s="451" t="n"/>
      <c r="FK1186" s="451" t="n"/>
      <c r="FM1186" s="429" t="n">
        <v>273</v>
      </c>
      <c r="FN1186" s="431" t="n">
        <v>273</v>
      </c>
      <c r="FO1186" s="688" t="inlineStr">
        <is>
          <t>spare</t>
        </is>
      </c>
      <c r="FP1186" s="431" t="n"/>
      <c r="FQ1186" s="451" t="n"/>
      <c r="FR1186" s="451" t="n"/>
      <c r="FS1186" s="451" t="n"/>
      <c r="FU1186" s="429" t="n">
        <v>273</v>
      </c>
      <c r="FV1186" s="431" t="n">
        <v>273</v>
      </c>
      <c r="FW1186" s="688" t="inlineStr">
        <is>
          <t>spare</t>
        </is>
      </c>
      <c r="FX1186" s="431" t="n"/>
      <c r="FY1186" s="451" t="n"/>
      <c r="FZ1186" s="562" t="n"/>
      <c r="GA1186" s="451" t="n"/>
      <c r="GC1186" s="429" t="n">
        <v>273</v>
      </c>
      <c r="GD1186" s="431" t="n">
        <v>273</v>
      </c>
      <c r="GE1186" s="688" t="inlineStr">
        <is>
          <t>spare</t>
        </is>
      </c>
      <c r="GF1186" s="431" t="n"/>
      <c r="GG1186" s="451" t="n"/>
      <c r="GH1186" s="451" t="n"/>
      <c r="GI1186" s="451" t="n"/>
      <c r="GK1186" s="429" t="n">
        <v>273</v>
      </c>
      <c r="GL1186" s="431" t="n">
        <v>273</v>
      </c>
      <c r="GM1186" s="688" t="inlineStr">
        <is>
          <t>spare</t>
        </is>
      </c>
      <c r="GN1186" s="431" t="n"/>
      <c r="GO1186" s="451" t="n"/>
      <c r="GP1186" s="451" t="n"/>
      <c r="GQ1186" s="451" t="n"/>
      <c r="GS1186" s="429" t="n">
        <v>273</v>
      </c>
      <c r="GT1186" s="431" t="n">
        <v>273</v>
      </c>
      <c r="GU1186" s="688" t="inlineStr">
        <is>
          <t>spare</t>
        </is>
      </c>
      <c r="GV1186" s="431" t="n"/>
      <c r="GW1186" s="451" t="n"/>
      <c r="GX1186" s="451" t="n"/>
      <c r="GY1186" s="451" t="n"/>
      <c r="HA1186" s="429" t="n">
        <v>273</v>
      </c>
      <c r="HB1186" s="431" t="n">
        <v>273</v>
      </c>
      <c r="HC1186" s="688" t="inlineStr">
        <is>
          <t>spare</t>
        </is>
      </c>
      <c r="HD1186" s="431" t="n"/>
      <c r="HE1186" s="451" t="n"/>
      <c r="HF1186" s="451" t="n"/>
      <c r="HG1186" s="451" t="n"/>
    </row>
    <row r="1187">
      <c r="A1187" s="429" t="n">
        <v>274</v>
      </c>
      <c r="B1187" s="431" t="n">
        <v>274</v>
      </c>
      <c r="C1187" s="688" t="inlineStr">
        <is>
          <t>spare</t>
        </is>
      </c>
      <c r="D1187" s="431" t="n"/>
      <c r="E1187" s="429" t="n"/>
      <c r="F1187" s="429" t="n"/>
      <c r="G1187" s="429" t="n"/>
      <c r="I1187" s="429" t="n">
        <v>274</v>
      </c>
      <c r="J1187" s="431" t="n">
        <v>274</v>
      </c>
      <c r="K1187" s="429" t="inlineStr">
        <is>
          <t>spare</t>
        </is>
      </c>
      <c r="L1187" s="431" t="n"/>
      <c r="M1187" s="451" t="n"/>
      <c r="N1187" s="422" t="n"/>
      <c r="O1187" s="451" t="n"/>
      <c r="Q1187" s="429" t="n">
        <v>274</v>
      </c>
      <c r="R1187" s="431" t="n">
        <v>274</v>
      </c>
      <c r="S1187" s="429" t="inlineStr">
        <is>
          <t>spare</t>
        </is>
      </c>
      <c r="T1187" s="431" t="n"/>
      <c r="U1187" s="429" t="n"/>
      <c r="V1187" s="451" t="n"/>
      <c r="W1187" s="451" t="n"/>
      <c r="Y1187" s="429" t="n">
        <v>274</v>
      </c>
      <c r="Z1187" s="431" t="n">
        <v>274</v>
      </c>
      <c r="AA1187" s="429" t="inlineStr">
        <is>
          <t>spare</t>
        </is>
      </c>
      <c r="AB1187" s="431" t="n"/>
      <c r="AC1187" s="451" t="n"/>
      <c r="AD1187" s="451" t="n"/>
      <c r="AE1187" s="451" t="n"/>
      <c r="AG1187" s="429" t="n">
        <v>274</v>
      </c>
      <c r="AH1187" s="431" t="n">
        <v>274</v>
      </c>
      <c r="AI1187" s="429" t="inlineStr">
        <is>
          <t>spare</t>
        </is>
      </c>
      <c r="AJ1187" s="431" t="n"/>
      <c r="AK1187" s="451" t="n"/>
      <c r="AL1187" s="451" t="n"/>
      <c r="AM1187" s="451" t="n"/>
      <c r="AO1187" s="429" t="n">
        <v>274</v>
      </c>
      <c r="AP1187" s="431" t="n">
        <v>274</v>
      </c>
      <c r="AQ1187" s="429" t="inlineStr">
        <is>
          <t>spare</t>
        </is>
      </c>
      <c r="AR1187" s="431" t="n"/>
      <c r="AS1187" s="451" t="n"/>
      <c r="AT1187" s="451" t="n"/>
      <c r="AU1187" s="451" t="n"/>
      <c r="AW1187" s="429" t="n">
        <v>274</v>
      </c>
      <c r="AX1187" s="431" t="n">
        <v>274</v>
      </c>
      <c r="AY1187" s="429" t="inlineStr">
        <is>
          <t>spare</t>
        </is>
      </c>
      <c r="AZ1187" s="431" t="n"/>
      <c r="BA1187" s="451" t="n"/>
      <c r="BB1187" s="451" t="n"/>
      <c r="BC1187" s="451" t="n"/>
      <c r="BE1187" s="429" t="n">
        <v>274</v>
      </c>
      <c r="BF1187" s="431" t="n"/>
      <c r="BG1187" s="429" t="inlineStr">
        <is>
          <t>spare</t>
        </is>
      </c>
      <c r="BH1187" s="431" t="n"/>
      <c r="BI1187" s="451" t="n"/>
      <c r="BJ1187" s="451" t="n"/>
      <c r="BK1187" s="451" t="n"/>
      <c r="BM1187" s="429" t="n">
        <v>274</v>
      </c>
      <c r="BN1187" s="431" t="n">
        <v>274</v>
      </c>
      <c r="BO1187" s="429" t="inlineStr">
        <is>
          <t>spare</t>
        </is>
      </c>
      <c r="BP1187" s="431" t="n"/>
      <c r="BQ1187" s="451" t="n"/>
      <c r="BR1187" s="451" t="n"/>
      <c r="BS1187" s="451" t="n"/>
      <c r="BU1187" s="429" t="n">
        <v>274</v>
      </c>
      <c r="BV1187" s="431" t="n">
        <v>274</v>
      </c>
      <c r="BW1187" s="429" t="inlineStr">
        <is>
          <t>spare</t>
        </is>
      </c>
      <c r="BX1187" s="431" t="n"/>
      <c r="BY1187" s="451" t="n"/>
      <c r="BZ1187" s="451" t="n"/>
      <c r="CA1187" s="451" t="n"/>
      <c r="CC1187" s="429" t="n">
        <v>274</v>
      </c>
      <c r="CD1187" s="431" t="n">
        <v>274</v>
      </c>
      <c r="CE1187" s="688" t="inlineStr">
        <is>
          <t>spare</t>
        </is>
      </c>
      <c r="CF1187" s="431" t="n"/>
      <c r="CG1187" s="451" t="n"/>
      <c r="CH1187" s="562">
        <f>'CIRCUIT SIM'!LK275</f>
        <v/>
      </c>
      <c r="CI1187" s="451" t="n"/>
      <c r="CK1187" s="429" t="n">
        <v>274</v>
      </c>
      <c r="CL1187" s="431" t="n">
        <v>274</v>
      </c>
      <c r="CM1187" s="688" t="inlineStr">
        <is>
          <t>spare</t>
        </is>
      </c>
      <c r="CN1187" s="431" t="n"/>
      <c r="CO1187" s="451" t="n"/>
      <c r="CP1187" s="451" t="n"/>
      <c r="CQ1187" s="451" t="n"/>
      <c r="CS1187" s="429" t="n">
        <v>274</v>
      </c>
      <c r="CT1187" s="431" t="n">
        <v>274</v>
      </c>
      <c r="CU1187" s="688" t="inlineStr">
        <is>
          <t>spare</t>
        </is>
      </c>
      <c r="CV1187" s="431" t="n"/>
      <c r="CW1187" s="451" t="n"/>
      <c r="CX1187" s="451" t="n"/>
      <c r="CY1187" s="451" t="n"/>
      <c r="DA1187" s="429" t="n">
        <v>274</v>
      </c>
      <c r="DB1187" s="431" t="n">
        <v>274</v>
      </c>
      <c r="DC1187" s="688" t="inlineStr">
        <is>
          <t>spare</t>
        </is>
      </c>
      <c r="DD1187" s="431" t="n"/>
      <c r="DE1187" s="451" t="n"/>
      <c r="DF1187" s="451" t="n"/>
      <c r="DG1187" s="451" t="n"/>
      <c r="DI1187" s="429" t="n">
        <v>274</v>
      </c>
      <c r="DJ1187" s="431" t="n">
        <v>274</v>
      </c>
      <c r="DK1187" s="688" t="inlineStr">
        <is>
          <t>spare</t>
        </is>
      </c>
      <c r="DL1187" s="431" t="n"/>
      <c r="DM1187" s="429" t="n"/>
      <c r="DN1187" s="451" t="n"/>
      <c r="DO1187" s="451" t="n"/>
      <c r="DQ1187" s="429" t="n">
        <v>274</v>
      </c>
      <c r="DR1187" s="431" t="n">
        <v>274</v>
      </c>
      <c r="DS1187" s="688" t="inlineStr">
        <is>
          <t>spare</t>
        </is>
      </c>
      <c r="DT1187" s="431" t="n"/>
      <c r="DU1187" s="451" t="n"/>
      <c r="DV1187" s="451" t="n"/>
      <c r="DW1187" s="451" t="n"/>
      <c r="DY1187" s="429" t="n">
        <v>274</v>
      </c>
      <c r="DZ1187" s="431" t="n">
        <v>274</v>
      </c>
      <c r="EA1187" s="688" t="inlineStr">
        <is>
          <t>spare</t>
        </is>
      </c>
      <c r="EB1187" s="431" t="n"/>
      <c r="EC1187" s="451" t="n"/>
      <c r="ED1187" s="451" t="n"/>
      <c r="EE1187" s="451" t="n"/>
      <c r="EG1187" s="429" t="n">
        <v>274</v>
      </c>
      <c r="EH1187" s="431" t="n">
        <v>274</v>
      </c>
      <c r="EI1187" s="688" t="inlineStr">
        <is>
          <t>spare</t>
        </is>
      </c>
      <c r="EJ1187" s="431" t="n"/>
      <c r="EK1187" s="451" t="n"/>
      <c r="EL1187" s="451" t="n"/>
      <c r="EM1187" s="451" t="n"/>
      <c r="EO1187" s="429" t="n">
        <v>274</v>
      </c>
      <c r="EP1187" s="431" t="n">
        <v>274</v>
      </c>
      <c r="EQ1187" s="688" t="inlineStr">
        <is>
          <t>spare</t>
        </is>
      </c>
      <c r="ER1187" s="431" t="n"/>
      <c r="ES1187" s="451" t="n"/>
      <c r="ET1187" s="451" t="n"/>
      <c r="EU1187" s="451" t="n"/>
      <c r="EW1187" s="429" t="n">
        <v>274</v>
      </c>
      <c r="EX1187" s="431" t="n">
        <v>274</v>
      </c>
      <c r="EY1187" s="688" t="inlineStr">
        <is>
          <t>spare</t>
        </is>
      </c>
      <c r="EZ1187" s="431" t="n"/>
      <c r="FA1187" s="451" t="n"/>
      <c r="FB1187" s="451" t="n"/>
      <c r="FC1187" s="451" t="n"/>
      <c r="FE1187" s="429" t="n">
        <v>274</v>
      </c>
      <c r="FF1187" s="431" t="n">
        <v>274</v>
      </c>
      <c r="FG1187" s="688" t="inlineStr">
        <is>
          <t>spare</t>
        </is>
      </c>
      <c r="FH1187" s="431" t="n"/>
      <c r="FI1187" s="451" t="n"/>
      <c r="FJ1187" s="451" t="n"/>
      <c r="FK1187" s="451" t="n"/>
      <c r="FM1187" s="429" t="n">
        <v>274</v>
      </c>
      <c r="FN1187" s="431" t="n">
        <v>274</v>
      </c>
      <c r="FO1187" s="688" t="inlineStr">
        <is>
          <t>spare</t>
        </is>
      </c>
      <c r="FP1187" s="431" t="n"/>
      <c r="FQ1187" s="451" t="n"/>
      <c r="FR1187" s="451" t="n"/>
      <c r="FS1187" s="451" t="n"/>
      <c r="FU1187" s="429" t="n">
        <v>274</v>
      </c>
      <c r="FV1187" s="431" t="n">
        <v>274</v>
      </c>
      <c r="FW1187" s="688" t="inlineStr">
        <is>
          <t>spare</t>
        </is>
      </c>
      <c r="FX1187" s="431" t="n"/>
      <c r="FY1187" s="451" t="n"/>
      <c r="FZ1187" s="562" t="n"/>
      <c r="GA1187" s="451" t="n"/>
      <c r="GC1187" s="429" t="n">
        <v>274</v>
      </c>
      <c r="GD1187" s="431" t="n">
        <v>274</v>
      </c>
      <c r="GE1187" s="688" t="inlineStr">
        <is>
          <t>spare</t>
        </is>
      </c>
      <c r="GF1187" s="431" t="n"/>
      <c r="GG1187" s="451" t="n"/>
      <c r="GH1187" s="451" t="n"/>
      <c r="GI1187" s="451" t="n"/>
      <c r="GK1187" s="429" t="n">
        <v>274</v>
      </c>
      <c r="GL1187" s="431" t="n">
        <v>274</v>
      </c>
      <c r="GM1187" s="688" t="inlineStr">
        <is>
          <t>spare</t>
        </is>
      </c>
      <c r="GN1187" s="431" t="n"/>
      <c r="GO1187" s="451" t="n"/>
      <c r="GP1187" s="451" t="n"/>
      <c r="GQ1187" s="451" t="n"/>
      <c r="GS1187" s="429" t="n">
        <v>274</v>
      </c>
      <c r="GT1187" s="431" t="n">
        <v>274</v>
      </c>
      <c r="GU1187" s="688" t="inlineStr">
        <is>
          <t>spare</t>
        </is>
      </c>
      <c r="GV1187" s="431" t="n"/>
      <c r="GW1187" s="451" t="n"/>
      <c r="GX1187" s="451" t="n"/>
      <c r="GY1187" s="451" t="n"/>
      <c r="HA1187" s="429" t="n">
        <v>274</v>
      </c>
      <c r="HB1187" s="431" t="n">
        <v>274</v>
      </c>
      <c r="HC1187" s="688" t="inlineStr">
        <is>
          <t>spare</t>
        </is>
      </c>
      <c r="HD1187" s="431" t="n"/>
      <c r="HE1187" s="451" t="n"/>
      <c r="HF1187" s="451" t="n"/>
      <c r="HG1187" s="451" t="n"/>
    </row>
    <row r="1188">
      <c r="A1188" s="429" t="n">
        <v>275</v>
      </c>
      <c r="B1188" s="431" t="n">
        <v>275</v>
      </c>
      <c r="C1188" s="688" t="inlineStr">
        <is>
          <t>spare</t>
        </is>
      </c>
      <c r="D1188" s="431" t="n"/>
      <c r="E1188" s="429" t="n"/>
      <c r="F1188" s="429" t="n"/>
      <c r="G1188" s="429" t="n"/>
      <c r="I1188" s="429" t="n">
        <v>275</v>
      </c>
      <c r="J1188" s="431" t="n">
        <v>275</v>
      </c>
      <c r="K1188" s="429" t="inlineStr">
        <is>
          <t>spare</t>
        </is>
      </c>
      <c r="L1188" s="431" t="n"/>
      <c r="M1188" s="451" t="n"/>
      <c r="N1188" s="422" t="n"/>
      <c r="O1188" s="451" t="n"/>
      <c r="Q1188" s="429" t="n">
        <v>275</v>
      </c>
      <c r="R1188" s="431" t="n">
        <v>275</v>
      </c>
      <c r="S1188" s="429" t="inlineStr">
        <is>
          <t>spare</t>
        </is>
      </c>
      <c r="T1188" s="431" t="n"/>
      <c r="U1188" s="429" t="n"/>
      <c r="V1188" s="451" t="n"/>
      <c r="W1188" s="451" t="n"/>
      <c r="Y1188" s="429" t="n">
        <v>275</v>
      </c>
      <c r="Z1188" s="431" t="n">
        <v>275</v>
      </c>
      <c r="AA1188" s="429" t="inlineStr">
        <is>
          <t>spare</t>
        </is>
      </c>
      <c r="AB1188" s="431" t="n"/>
      <c r="AC1188" s="451" t="n"/>
      <c r="AD1188" s="451" t="n"/>
      <c r="AE1188" s="451" t="n"/>
      <c r="AG1188" s="429" t="n">
        <v>275</v>
      </c>
      <c r="AH1188" s="431" t="n">
        <v>275</v>
      </c>
      <c r="AI1188" s="429" t="inlineStr">
        <is>
          <t>spare</t>
        </is>
      </c>
      <c r="AJ1188" s="431" t="n"/>
      <c r="AK1188" s="451" t="n"/>
      <c r="AL1188" s="451" t="n"/>
      <c r="AM1188" s="451" t="n"/>
      <c r="AO1188" s="429" t="n">
        <v>275</v>
      </c>
      <c r="AP1188" s="431" t="n">
        <v>275</v>
      </c>
      <c r="AQ1188" s="429" t="inlineStr">
        <is>
          <t>spare</t>
        </is>
      </c>
      <c r="AR1188" s="431" t="n"/>
      <c r="AS1188" s="451" t="n"/>
      <c r="AT1188" s="451" t="n"/>
      <c r="AU1188" s="451" t="n"/>
      <c r="AW1188" s="429" t="n">
        <v>275</v>
      </c>
      <c r="AX1188" s="431" t="n">
        <v>275</v>
      </c>
      <c r="AY1188" s="429" t="inlineStr">
        <is>
          <t>spare</t>
        </is>
      </c>
      <c r="AZ1188" s="431" t="n"/>
      <c r="BA1188" s="451" t="n"/>
      <c r="BB1188" s="451" t="n"/>
      <c r="BC1188" s="451" t="n"/>
      <c r="BE1188" s="429" t="n">
        <v>275</v>
      </c>
      <c r="BF1188" s="431" t="n"/>
      <c r="BG1188" s="429" t="inlineStr">
        <is>
          <t>spare</t>
        </is>
      </c>
      <c r="BH1188" s="431" t="n"/>
      <c r="BI1188" s="451" t="n"/>
      <c r="BJ1188" s="451" t="n"/>
      <c r="BK1188" s="451" t="n"/>
      <c r="BM1188" s="429" t="n">
        <v>275</v>
      </c>
      <c r="BN1188" s="431" t="n">
        <v>275</v>
      </c>
      <c r="BO1188" s="429" t="inlineStr">
        <is>
          <t>spare</t>
        </is>
      </c>
      <c r="BP1188" s="431" t="n"/>
      <c r="BQ1188" s="451" t="n"/>
      <c r="BR1188" s="451" t="n"/>
      <c r="BS1188" s="451" t="n"/>
      <c r="BU1188" s="429" t="n">
        <v>275</v>
      </c>
      <c r="BV1188" s="431" t="n">
        <v>275</v>
      </c>
      <c r="BW1188" s="429" t="inlineStr">
        <is>
          <t>spare</t>
        </is>
      </c>
      <c r="BX1188" s="431" t="n"/>
      <c r="BY1188" s="451" t="n"/>
      <c r="BZ1188" s="451" t="n"/>
      <c r="CA1188" s="451" t="n"/>
      <c r="CC1188" s="429" t="n">
        <v>275</v>
      </c>
      <c r="CD1188" s="431" t="n">
        <v>275</v>
      </c>
      <c r="CE1188" s="688" t="inlineStr">
        <is>
          <t>spare</t>
        </is>
      </c>
      <c r="CF1188" s="431" t="n"/>
      <c r="CG1188" s="451" t="n"/>
      <c r="CH1188" s="562">
        <f>'CIRCUIT SIM'!LK276</f>
        <v/>
      </c>
      <c r="CI1188" s="451" t="n"/>
      <c r="CK1188" s="429" t="n">
        <v>275</v>
      </c>
      <c r="CL1188" s="431" t="n">
        <v>275</v>
      </c>
      <c r="CM1188" s="688" t="inlineStr">
        <is>
          <t>spare</t>
        </is>
      </c>
      <c r="CN1188" s="431" t="n"/>
      <c r="CO1188" s="451" t="n"/>
      <c r="CP1188" s="451" t="n"/>
      <c r="CQ1188" s="451" t="n"/>
      <c r="CS1188" s="429" t="n">
        <v>275</v>
      </c>
      <c r="CT1188" s="431" t="n">
        <v>275</v>
      </c>
      <c r="CU1188" s="688" t="inlineStr">
        <is>
          <t>spare</t>
        </is>
      </c>
      <c r="CV1188" s="431" t="n"/>
      <c r="CW1188" s="451" t="n"/>
      <c r="CX1188" s="451" t="n"/>
      <c r="CY1188" s="451" t="n"/>
      <c r="DA1188" s="429" t="n">
        <v>275</v>
      </c>
      <c r="DB1188" s="431" t="n">
        <v>275</v>
      </c>
      <c r="DC1188" s="688" t="inlineStr">
        <is>
          <t>spare</t>
        </is>
      </c>
      <c r="DD1188" s="431" t="n"/>
      <c r="DE1188" s="451" t="n"/>
      <c r="DF1188" s="451" t="n"/>
      <c r="DG1188" s="451" t="n"/>
      <c r="DI1188" s="429" t="n">
        <v>275</v>
      </c>
      <c r="DJ1188" s="431" t="n">
        <v>275</v>
      </c>
      <c r="DK1188" s="688" t="inlineStr">
        <is>
          <t>spare</t>
        </is>
      </c>
      <c r="DL1188" s="431" t="n"/>
      <c r="DM1188" s="429" t="n"/>
      <c r="DN1188" s="451" t="n"/>
      <c r="DO1188" s="451" t="n"/>
      <c r="DQ1188" s="429" t="n">
        <v>275</v>
      </c>
      <c r="DR1188" s="431" t="n">
        <v>275</v>
      </c>
      <c r="DS1188" s="688" t="inlineStr">
        <is>
          <t>spare</t>
        </is>
      </c>
      <c r="DT1188" s="431" t="n"/>
      <c r="DU1188" s="451" t="n"/>
      <c r="DV1188" s="451" t="n"/>
      <c r="DW1188" s="451" t="n"/>
      <c r="DY1188" s="429" t="n">
        <v>275</v>
      </c>
      <c r="DZ1188" s="431" t="n">
        <v>275</v>
      </c>
      <c r="EA1188" s="688" t="inlineStr">
        <is>
          <t>spare</t>
        </is>
      </c>
      <c r="EB1188" s="431" t="n"/>
      <c r="EC1188" s="451" t="n"/>
      <c r="ED1188" s="451" t="n"/>
      <c r="EE1188" s="451" t="n"/>
      <c r="EG1188" s="429" t="n">
        <v>275</v>
      </c>
      <c r="EH1188" s="431" t="n">
        <v>275</v>
      </c>
      <c r="EI1188" s="688" t="inlineStr">
        <is>
          <t>spare</t>
        </is>
      </c>
      <c r="EJ1188" s="431" t="n"/>
      <c r="EK1188" s="451" t="n"/>
      <c r="EL1188" s="451" t="n"/>
      <c r="EM1188" s="451" t="n"/>
      <c r="EO1188" s="429" t="n">
        <v>275</v>
      </c>
      <c r="EP1188" s="431" t="n">
        <v>275</v>
      </c>
      <c r="EQ1188" s="688" t="inlineStr">
        <is>
          <t>spare</t>
        </is>
      </c>
      <c r="ER1188" s="431" t="n"/>
      <c r="ES1188" s="451" t="n"/>
      <c r="ET1188" s="451" t="n"/>
      <c r="EU1188" s="451" t="n"/>
      <c r="EW1188" s="429" t="n">
        <v>275</v>
      </c>
      <c r="EX1188" s="431" t="n">
        <v>275</v>
      </c>
      <c r="EY1188" s="688" t="inlineStr">
        <is>
          <t>spare</t>
        </is>
      </c>
      <c r="EZ1188" s="431" t="n"/>
      <c r="FA1188" s="451" t="n"/>
      <c r="FB1188" s="451" t="n"/>
      <c r="FC1188" s="451" t="n"/>
      <c r="FE1188" s="429" t="n">
        <v>275</v>
      </c>
      <c r="FF1188" s="431" t="n">
        <v>275</v>
      </c>
      <c r="FG1188" s="688" t="inlineStr">
        <is>
          <t>spare</t>
        </is>
      </c>
      <c r="FH1188" s="431" t="n"/>
      <c r="FI1188" s="451" t="n"/>
      <c r="FJ1188" s="451" t="n"/>
      <c r="FK1188" s="451" t="n"/>
      <c r="FM1188" s="429" t="n">
        <v>275</v>
      </c>
      <c r="FN1188" s="431" t="n">
        <v>275</v>
      </c>
      <c r="FO1188" s="688" t="inlineStr">
        <is>
          <t>spare</t>
        </is>
      </c>
      <c r="FP1188" s="431" t="n"/>
      <c r="FQ1188" s="451" t="n"/>
      <c r="FR1188" s="451" t="n"/>
      <c r="FS1188" s="451" t="n"/>
      <c r="FU1188" s="429" t="n">
        <v>275</v>
      </c>
      <c r="FV1188" s="431" t="n">
        <v>275</v>
      </c>
      <c r="FW1188" s="688" t="inlineStr">
        <is>
          <t>spare</t>
        </is>
      </c>
      <c r="FX1188" s="431" t="n"/>
      <c r="FY1188" s="451" t="n"/>
      <c r="FZ1188" s="562" t="n"/>
      <c r="GA1188" s="451" t="n"/>
      <c r="GC1188" s="429" t="n">
        <v>275</v>
      </c>
      <c r="GD1188" s="431" t="n">
        <v>275</v>
      </c>
      <c r="GE1188" s="688" t="inlineStr">
        <is>
          <t>spare</t>
        </is>
      </c>
      <c r="GF1188" s="431" t="n"/>
      <c r="GG1188" s="451" t="n"/>
      <c r="GH1188" s="451" t="n"/>
      <c r="GI1188" s="451" t="n"/>
      <c r="GK1188" s="429" t="n">
        <v>275</v>
      </c>
      <c r="GL1188" s="431" t="n">
        <v>275</v>
      </c>
      <c r="GM1188" s="688" t="inlineStr">
        <is>
          <t>spare</t>
        </is>
      </c>
      <c r="GN1188" s="431" t="n"/>
      <c r="GO1188" s="451" t="n"/>
      <c r="GP1188" s="451" t="n"/>
      <c r="GQ1188" s="451" t="n"/>
      <c r="GS1188" s="429" t="n">
        <v>275</v>
      </c>
      <c r="GT1188" s="431" t="n">
        <v>275</v>
      </c>
      <c r="GU1188" s="688" t="inlineStr">
        <is>
          <t>spare</t>
        </is>
      </c>
      <c r="GV1188" s="431" t="n"/>
      <c r="GW1188" s="451" t="n"/>
      <c r="GX1188" s="451" t="n"/>
      <c r="GY1188" s="451" t="n"/>
      <c r="HA1188" s="429" t="n">
        <v>275</v>
      </c>
      <c r="HB1188" s="431" t="n">
        <v>275</v>
      </c>
      <c r="HC1188" s="688" t="inlineStr">
        <is>
          <t>spare</t>
        </is>
      </c>
      <c r="HD1188" s="431" t="n"/>
      <c r="HE1188" s="451" t="n"/>
      <c r="HF1188" s="451" t="n"/>
      <c r="HG1188" s="451" t="n"/>
    </row>
    <row r="1189">
      <c r="A1189" s="429" t="n">
        <v>276</v>
      </c>
      <c r="B1189" s="431" t="n">
        <v>276</v>
      </c>
      <c r="C1189" s="688" t="inlineStr">
        <is>
          <t>spare</t>
        </is>
      </c>
      <c r="D1189" s="431" t="n"/>
      <c r="E1189" s="429" t="n"/>
      <c r="F1189" s="429" t="n"/>
      <c r="G1189" s="429" t="n"/>
      <c r="I1189" s="429" t="n">
        <v>276</v>
      </c>
      <c r="J1189" s="431" t="n">
        <v>276</v>
      </c>
      <c r="K1189" s="429" t="inlineStr">
        <is>
          <t>spare</t>
        </is>
      </c>
      <c r="L1189" s="431" t="n"/>
      <c r="M1189" s="451" t="n"/>
      <c r="N1189" s="422" t="n"/>
      <c r="O1189" s="451" t="n"/>
      <c r="Q1189" s="429" t="n">
        <v>276</v>
      </c>
      <c r="R1189" s="431" t="n">
        <v>276</v>
      </c>
      <c r="S1189" s="429" t="inlineStr">
        <is>
          <t>spare</t>
        </is>
      </c>
      <c r="T1189" s="431" t="n"/>
      <c r="U1189" s="429" t="n"/>
      <c r="V1189" s="451" t="n"/>
      <c r="W1189" s="451" t="n"/>
      <c r="Y1189" s="429" t="n">
        <v>276</v>
      </c>
      <c r="Z1189" s="431" t="n">
        <v>276</v>
      </c>
      <c r="AA1189" s="429" t="inlineStr">
        <is>
          <t>spare</t>
        </is>
      </c>
      <c r="AB1189" s="431" t="n"/>
      <c r="AC1189" s="451" t="n"/>
      <c r="AD1189" s="451" t="n"/>
      <c r="AE1189" s="451" t="n"/>
      <c r="AG1189" s="429" t="n">
        <v>276</v>
      </c>
      <c r="AH1189" s="431" t="n">
        <v>276</v>
      </c>
      <c r="AI1189" s="429" t="inlineStr">
        <is>
          <t>spare</t>
        </is>
      </c>
      <c r="AJ1189" s="431" t="n"/>
      <c r="AK1189" s="451" t="n"/>
      <c r="AL1189" s="451" t="n"/>
      <c r="AM1189" s="451" t="n"/>
      <c r="AO1189" s="429" t="n">
        <v>276</v>
      </c>
      <c r="AP1189" s="431" t="n">
        <v>276</v>
      </c>
      <c r="AQ1189" s="429" t="inlineStr">
        <is>
          <t>spare</t>
        </is>
      </c>
      <c r="AR1189" s="431" t="n"/>
      <c r="AS1189" s="451" t="n"/>
      <c r="AT1189" s="451" t="n"/>
      <c r="AU1189" s="451" t="n"/>
      <c r="AW1189" s="429" t="n">
        <v>276</v>
      </c>
      <c r="AX1189" s="431" t="n">
        <v>276</v>
      </c>
      <c r="AY1189" s="429" t="inlineStr">
        <is>
          <t>spare</t>
        </is>
      </c>
      <c r="AZ1189" s="431" t="n"/>
      <c r="BA1189" s="451" t="n"/>
      <c r="BB1189" s="451" t="n"/>
      <c r="BC1189" s="451" t="n"/>
      <c r="BE1189" s="429" t="n">
        <v>276</v>
      </c>
      <c r="BF1189" s="431" t="n"/>
      <c r="BG1189" s="429" t="inlineStr">
        <is>
          <t>spare</t>
        </is>
      </c>
      <c r="BH1189" s="431" t="n"/>
      <c r="BI1189" s="451" t="n"/>
      <c r="BJ1189" s="451" t="n"/>
      <c r="BK1189" s="451" t="n"/>
      <c r="BM1189" s="429" t="n">
        <v>276</v>
      </c>
      <c r="BN1189" s="431" t="n">
        <v>276</v>
      </c>
      <c r="BO1189" s="429" t="inlineStr">
        <is>
          <t>spare</t>
        </is>
      </c>
      <c r="BP1189" s="431" t="n"/>
      <c r="BQ1189" s="451" t="n"/>
      <c r="BR1189" s="451" t="n"/>
      <c r="BS1189" s="451" t="n"/>
      <c r="BU1189" s="429" t="n">
        <v>276</v>
      </c>
      <c r="BV1189" s="431" t="n">
        <v>276</v>
      </c>
      <c r="BW1189" s="429" t="inlineStr">
        <is>
          <t>spare</t>
        </is>
      </c>
      <c r="BX1189" s="431" t="n"/>
      <c r="BY1189" s="451" t="n"/>
      <c r="BZ1189" s="451" t="n"/>
      <c r="CA1189" s="451" t="n"/>
      <c r="CC1189" s="429" t="n">
        <v>276</v>
      </c>
      <c r="CD1189" s="431" t="n">
        <v>276</v>
      </c>
      <c r="CE1189" s="688" t="inlineStr">
        <is>
          <t>spare</t>
        </is>
      </c>
      <c r="CF1189" s="431" t="n"/>
      <c r="CG1189" s="451" t="n"/>
      <c r="CH1189" s="562">
        <f>'CIRCUIT SIM'!LK277</f>
        <v/>
      </c>
      <c r="CI1189" s="451" t="n"/>
      <c r="CK1189" s="429" t="n">
        <v>276</v>
      </c>
      <c r="CL1189" s="431" t="n">
        <v>276</v>
      </c>
      <c r="CM1189" s="688" t="inlineStr">
        <is>
          <t>spare</t>
        </is>
      </c>
      <c r="CN1189" s="431" t="n"/>
      <c r="CO1189" s="451" t="n"/>
      <c r="CP1189" s="451" t="n"/>
      <c r="CQ1189" s="451" t="n"/>
      <c r="CS1189" s="429" t="n">
        <v>276</v>
      </c>
      <c r="CT1189" s="431" t="n">
        <v>276</v>
      </c>
      <c r="CU1189" s="688" t="inlineStr">
        <is>
          <t>spare</t>
        </is>
      </c>
      <c r="CV1189" s="431" t="n"/>
      <c r="CW1189" s="451" t="n"/>
      <c r="CX1189" s="451" t="n"/>
      <c r="CY1189" s="451" t="n"/>
      <c r="DA1189" s="429" t="n">
        <v>276</v>
      </c>
      <c r="DB1189" s="431" t="n">
        <v>276</v>
      </c>
      <c r="DC1189" s="688" t="inlineStr">
        <is>
          <t>spare</t>
        </is>
      </c>
      <c r="DD1189" s="431" t="n"/>
      <c r="DE1189" s="451" t="n"/>
      <c r="DF1189" s="451" t="n"/>
      <c r="DG1189" s="451" t="n"/>
      <c r="DI1189" s="429" t="n">
        <v>276</v>
      </c>
      <c r="DJ1189" s="431" t="n">
        <v>276</v>
      </c>
      <c r="DK1189" s="688" t="inlineStr">
        <is>
          <t>spare</t>
        </is>
      </c>
      <c r="DL1189" s="431" t="n"/>
      <c r="DM1189" s="429" t="n"/>
      <c r="DN1189" s="451" t="n"/>
      <c r="DO1189" s="451" t="n"/>
      <c r="DQ1189" s="429" t="n">
        <v>276</v>
      </c>
      <c r="DR1189" s="431" t="n">
        <v>276</v>
      </c>
      <c r="DS1189" s="688" t="inlineStr">
        <is>
          <t>spare</t>
        </is>
      </c>
      <c r="DT1189" s="431" t="n"/>
      <c r="DU1189" s="451" t="n"/>
      <c r="DV1189" s="451" t="n"/>
      <c r="DW1189" s="451" t="n"/>
      <c r="DY1189" s="429" t="n">
        <v>276</v>
      </c>
      <c r="DZ1189" s="431" t="n">
        <v>276</v>
      </c>
      <c r="EA1189" s="688" t="inlineStr">
        <is>
          <t>spare</t>
        </is>
      </c>
      <c r="EB1189" s="431" t="n"/>
      <c r="EC1189" s="451" t="n"/>
      <c r="ED1189" s="451" t="n"/>
      <c r="EE1189" s="451" t="n"/>
      <c r="EG1189" s="429" t="n">
        <v>276</v>
      </c>
      <c r="EH1189" s="431" t="n">
        <v>276</v>
      </c>
      <c r="EI1189" s="688" t="inlineStr">
        <is>
          <t>spare</t>
        </is>
      </c>
      <c r="EJ1189" s="431" t="n"/>
      <c r="EK1189" s="451" t="n"/>
      <c r="EL1189" s="451" t="n"/>
      <c r="EM1189" s="451" t="n"/>
      <c r="EO1189" s="429" t="n">
        <v>276</v>
      </c>
      <c r="EP1189" s="431" t="n">
        <v>276</v>
      </c>
      <c r="EQ1189" s="688" t="inlineStr">
        <is>
          <t>spare</t>
        </is>
      </c>
      <c r="ER1189" s="431" t="n"/>
      <c r="ES1189" s="451" t="n"/>
      <c r="ET1189" s="451" t="n"/>
      <c r="EU1189" s="451" t="n"/>
      <c r="EW1189" s="429" t="n">
        <v>276</v>
      </c>
      <c r="EX1189" s="431" t="n">
        <v>276</v>
      </c>
      <c r="EY1189" s="688" t="inlineStr">
        <is>
          <t>spare</t>
        </is>
      </c>
      <c r="EZ1189" s="431" t="n"/>
      <c r="FA1189" s="451" t="n"/>
      <c r="FB1189" s="451" t="n"/>
      <c r="FC1189" s="451" t="n"/>
      <c r="FE1189" s="429" t="n">
        <v>276</v>
      </c>
      <c r="FF1189" s="431" t="n">
        <v>276</v>
      </c>
      <c r="FG1189" s="688" t="inlineStr">
        <is>
          <t>spare</t>
        </is>
      </c>
      <c r="FH1189" s="431" t="n"/>
      <c r="FI1189" s="451" t="n"/>
      <c r="FJ1189" s="451" t="n"/>
      <c r="FK1189" s="451" t="n"/>
      <c r="FM1189" s="429" t="n">
        <v>276</v>
      </c>
      <c r="FN1189" s="431" t="n">
        <v>276</v>
      </c>
      <c r="FO1189" s="688" t="inlineStr">
        <is>
          <t>spare</t>
        </is>
      </c>
      <c r="FP1189" s="431" t="n"/>
      <c r="FQ1189" s="451" t="n"/>
      <c r="FR1189" s="451" t="n"/>
      <c r="FS1189" s="451" t="n"/>
      <c r="FU1189" s="429" t="n">
        <v>276</v>
      </c>
      <c r="FV1189" s="431" t="n">
        <v>276</v>
      </c>
      <c r="FW1189" s="688" t="inlineStr">
        <is>
          <t>spare</t>
        </is>
      </c>
      <c r="FX1189" s="431" t="n"/>
      <c r="FY1189" s="451" t="n"/>
      <c r="FZ1189" s="562" t="n"/>
      <c r="GA1189" s="451" t="n"/>
      <c r="GC1189" s="429" t="n">
        <v>276</v>
      </c>
      <c r="GD1189" s="431" t="n">
        <v>276</v>
      </c>
      <c r="GE1189" s="688" t="inlineStr">
        <is>
          <t>spare</t>
        </is>
      </c>
      <c r="GF1189" s="431" t="n"/>
      <c r="GG1189" s="451" t="n"/>
      <c r="GH1189" s="451" t="n"/>
      <c r="GI1189" s="451" t="n"/>
      <c r="GK1189" s="429" t="n">
        <v>276</v>
      </c>
      <c r="GL1189" s="431" t="n">
        <v>276</v>
      </c>
      <c r="GM1189" s="688" t="inlineStr">
        <is>
          <t>spare</t>
        </is>
      </c>
      <c r="GN1189" s="431" t="n"/>
      <c r="GO1189" s="451" t="n"/>
      <c r="GP1189" s="451" t="n"/>
      <c r="GQ1189" s="451" t="n"/>
      <c r="GS1189" s="429" t="n">
        <v>276</v>
      </c>
      <c r="GT1189" s="431" t="n">
        <v>276</v>
      </c>
      <c r="GU1189" s="688" t="inlineStr">
        <is>
          <t>spare</t>
        </is>
      </c>
      <c r="GV1189" s="431" t="n"/>
      <c r="GW1189" s="451" t="n"/>
      <c r="GX1189" s="451" t="n"/>
      <c r="GY1189" s="451" t="n"/>
      <c r="HA1189" s="429" t="n">
        <v>276</v>
      </c>
      <c r="HB1189" s="431" t="n">
        <v>276</v>
      </c>
      <c r="HC1189" s="688" t="inlineStr">
        <is>
          <t>spare</t>
        </is>
      </c>
      <c r="HD1189" s="431" t="n"/>
      <c r="HE1189" s="451" t="n"/>
      <c r="HF1189" s="451" t="n"/>
      <c r="HG1189" s="451" t="n"/>
    </row>
    <row r="1190">
      <c r="A1190" s="429" t="n">
        <v>277</v>
      </c>
      <c r="B1190" s="431" t="n">
        <v>277</v>
      </c>
      <c r="C1190" s="688" t="inlineStr">
        <is>
          <t>spare</t>
        </is>
      </c>
      <c r="D1190" s="431" t="n"/>
      <c r="E1190" s="429" t="n"/>
      <c r="F1190" s="429" t="n"/>
      <c r="G1190" s="429" t="n"/>
      <c r="I1190" s="429" t="n">
        <v>277</v>
      </c>
      <c r="J1190" s="431" t="n">
        <v>277</v>
      </c>
      <c r="K1190" s="429" t="inlineStr">
        <is>
          <t>spare</t>
        </is>
      </c>
      <c r="L1190" s="431" t="n"/>
      <c r="M1190" s="451" t="n"/>
      <c r="N1190" s="422" t="n"/>
      <c r="O1190" s="451" t="n"/>
      <c r="Q1190" s="429" t="n">
        <v>277</v>
      </c>
      <c r="R1190" s="431" t="n">
        <v>277</v>
      </c>
      <c r="S1190" s="429" t="inlineStr">
        <is>
          <t>spare</t>
        </is>
      </c>
      <c r="T1190" s="431" t="n"/>
      <c r="U1190" s="429" t="n"/>
      <c r="V1190" s="451" t="n"/>
      <c r="W1190" s="451" t="n"/>
      <c r="Y1190" s="429" t="n">
        <v>277</v>
      </c>
      <c r="Z1190" s="431" t="n">
        <v>277</v>
      </c>
      <c r="AA1190" s="429" t="inlineStr">
        <is>
          <t>spare</t>
        </is>
      </c>
      <c r="AB1190" s="431" t="n"/>
      <c r="AC1190" s="451" t="n"/>
      <c r="AD1190" s="451" t="n"/>
      <c r="AE1190" s="451" t="n"/>
      <c r="AG1190" s="429" t="n">
        <v>277</v>
      </c>
      <c r="AH1190" s="431" t="n">
        <v>277</v>
      </c>
      <c r="AI1190" s="429" t="inlineStr">
        <is>
          <t>spare</t>
        </is>
      </c>
      <c r="AJ1190" s="431" t="n"/>
      <c r="AK1190" s="451" t="n"/>
      <c r="AL1190" s="451" t="n"/>
      <c r="AM1190" s="451" t="n"/>
      <c r="AO1190" s="429" t="n">
        <v>277</v>
      </c>
      <c r="AP1190" s="431" t="n">
        <v>277</v>
      </c>
      <c r="AQ1190" s="429" t="inlineStr">
        <is>
          <t>spare</t>
        </is>
      </c>
      <c r="AR1190" s="431" t="n"/>
      <c r="AS1190" s="451" t="n"/>
      <c r="AT1190" s="451" t="n"/>
      <c r="AU1190" s="451" t="n"/>
      <c r="AW1190" s="429" t="n">
        <v>277</v>
      </c>
      <c r="AX1190" s="431" t="n">
        <v>277</v>
      </c>
      <c r="AY1190" s="429" t="inlineStr">
        <is>
          <t>spare</t>
        </is>
      </c>
      <c r="AZ1190" s="431" t="n"/>
      <c r="BA1190" s="451" t="n"/>
      <c r="BB1190" s="451" t="n"/>
      <c r="BC1190" s="451" t="n"/>
      <c r="BE1190" s="429" t="n">
        <v>277</v>
      </c>
      <c r="BF1190" s="431" t="n"/>
      <c r="BG1190" s="429" t="inlineStr">
        <is>
          <t>spare</t>
        </is>
      </c>
      <c r="BH1190" s="431" t="n"/>
      <c r="BI1190" s="451" t="n"/>
      <c r="BJ1190" s="451" t="n"/>
      <c r="BK1190" s="451" t="n"/>
      <c r="BM1190" s="429" t="n">
        <v>277</v>
      </c>
      <c r="BN1190" s="431" t="n">
        <v>277</v>
      </c>
      <c r="BO1190" s="429" t="inlineStr">
        <is>
          <t>spare</t>
        </is>
      </c>
      <c r="BP1190" s="431" t="n"/>
      <c r="BQ1190" s="451" t="n"/>
      <c r="BR1190" s="451" t="n"/>
      <c r="BS1190" s="451" t="n"/>
      <c r="BU1190" s="429" t="n">
        <v>277</v>
      </c>
      <c r="BV1190" s="431" t="n">
        <v>277</v>
      </c>
      <c r="BW1190" s="429" t="inlineStr">
        <is>
          <t>spare</t>
        </is>
      </c>
      <c r="BX1190" s="431" t="n"/>
      <c r="BY1190" s="451" t="n"/>
      <c r="BZ1190" s="451" t="n"/>
      <c r="CA1190" s="451" t="n"/>
      <c r="CC1190" s="429" t="n">
        <v>277</v>
      </c>
      <c r="CD1190" s="431" t="n">
        <v>277</v>
      </c>
      <c r="CE1190" s="688" t="inlineStr">
        <is>
          <t>spare</t>
        </is>
      </c>
      <c r="CF1190" s="431" t="n"/>
      <c r="CG1190" s="451" t="n"/>
      <c r="CH1190" s="562">
        <f>'CIRCUIT SIM'!LK278</f>
        <v/>
      </c>
      <c r="CI1190" s="451" t="n"/>
      <c r="CK1190" s="429" t="n">
        <v>277</v>
      </c>
      <c r="CL1190" s="431" t="n">
        <v>277</v>
      </c>
      <c r="CM1190" s="688" t="inlineStr">
        <is>
          <t>spare</t>
        </is>
      </c>
      <c r="CN1190" s="431" t="n"/>
      <c r="CO1190" s="451" t="n"/>
      <c r="CP1190" s="451" t="n"/>
      <c r="CQ1190" s="451" t="n"/>
      <c r="CS1190" s="429" t="n">
        <v>277</v>
      </c>
      <c r="CT1190" s="431" t="n">
        <v>277</v>
      </c>
      <c r="CU1190" s="688" t="inlineStr">
        <is>
          <t>spare</t>
        </is>
      </c>
      <c r="CV1190" s="431" t="n"/>
      <c r="CW1190" s="451" t="n"/>
      <c r="CX1190" s="451" t="n"/>
      <c r="CY1190" s="451" t="n"/>
      <c r="DA1190" s="429" t="n">
        <v>277</v>
      </c>
      <c r="DB1190" s="431" t="n">
        <v>277</v>
      </c>
      <c r="DC1190" s="688" t="inlineStr">
        <is>
          <t>spare</t>
        </is>
      </c>
      <c r="DD1190" s="431" t="n"/>
      <c r="DE1190" s="451" t="n"/>
      <c r="DF1190" s="451" t="n"/>
      <c r="DG1190" s="451" t="n"/>
      <c r="DI1190" s="429" t="n">
        <v>277</v>
      </c>
      <c r="DJ1190" s="431" t="n">
        <v>277</v>
      </c>
      <c r="DK1190" s="688" t="inlineStr">
        <is>
          <t>spare</t>
        </is>
      </c>
      <c r="DL1190" s="431" t="n"/>
      <c r="DM1190" s="429" t="n"/>
      <c r="DN1190" s="451" t="n"/>
      <c r="DO1190" s="451" t="n"/>
      <c r="DQ1190" s="429" t="n">
        <v>277</v>
      </c>
      <c r="DR1190" s="431" t="n">
        <v>277</v>
      </c>
      <c r="DS1190" s="688" t="inlineStr">
        <is>
          <t>spare</t>
        </is>
      </c>
      <c r="DT1190" s="431" t="n"/>
      <c r="DU1190" s="451" t="n"/>
      <c r="DV1190" s="451" t="n"/>
      <c r="DW1190" s="451" t="n"/>
      <c r="DY1190" s="429" t="n">
        <v>277</v>
      </c>
      <c r="DZ1190" s="431" t="n">
        <v>277</v>
      </c>
      <c r="EA1190" s="688" t="inlineStr">
        <is>
          <t>spare</t>
        </is>
      </c>
      <c r="EB1190" s="431" t="n"/>
      <c r="EC1190" s="451" t="n"/>
      <c r="ED1190" s="451" t="n"/>
      <c r="EE1190" s="451" t="n"/>
      <c r="EG1190" s="429" t="n">
        <v>277</v>
      </c>
      <c r="EH1190" s="431" t="n">
        <v>277</v>
      </c>
      <c r="EI1190" s="688" t="inlineStr">
        <is>
          <t>spare</t>
        </is>
      </c>
      <c r="EJ1190" s="431" t="n"/>
      <c r="EK1190" s="451" t="n"/>
      <c r="EL1190" s="451" t="n"/>
      <c r="EM1190" s="451" t="n"/>
      <c r="EO1190" s="429" t="n">
        <v>277</v>
      </c>
      <c r="EP1190" s="431" t="n">
        <v>277</v>
      </c>
      <c r="EQ1190" s="688" t="inlineStr">
        <is>
          <t>spare</t>
        </is>
      </c>
      <c r="ER1190" s="431" t="n"/>
      <c r="ES1190" s="451" t="n"/>
      <c r="ET1190" s="451" t="n"/>
      <c r="EU1190" s="451" t="n"/>
      <c r="EW1190" s="429" t="n">
        <v>277</v>
      </c>
      <c r="EX1190" s="431" t="n">
        <v>277</v>
      </c>
      <c r="EY1190" s="688" t="inlineStr">
        <is>
          <t>spare</t>
        </is>
      </c>
      <c r="EZ1190" s="431" t="n"/>
      <c r="FA1190" s="451" t="n"/>
      <c r="FB1190" s="451" t="n"/>
      <c r="FC1190" s="451" t="n"/>
      <c r="FE1190" s="429" t="n">
        <v>277</v>
      </c>
      <c r="FF1190" s="431" t="n">
        <v>277</v>
      </c>
      <c r="FG1190" s="688" t="inlineStr">
        <is>
          <t>spare</t>
        </is>
      </c>
      <c r="FH1190" s="431" t="n"/>
      <c r="FI1190" s="451" t="n"/>
      <c r="FJ1190" s="451" t="n"/>
      <c r="FK1190" s="451" t="n"/>
      <c r="FM1190" s="429" t="n">
        <v>277</v>
      </c>
      <c r="FN1190" s="431" t="n">
        <v>277</v>
      </c>
      <c r="FO1190" s="688" t="inlineStr">
        <is>
          <t>spare</t>
        </is>
      </c>
      <c r="FP1190" s="431" t="n"/>
      <c r="FQ1190" s="451" t="n"/>
      <c r="FR1190" s="451" t="n"/>
      <c r="FS1190" s="451" t="n"/>
      <c r="FU1190" s="429" t="n">
        <v>277</v>
      </c>
      <c r="FV1190" s="431" t="n">
        <v>277</v>
      </c>
      <c r="FW1190" s="688" t="inlineStr">
        <is>
          <t>spare</t>
        </is>
      </c>
      <c r="FX1190" s="431" t="n"/>
      <c r="FY1190" s="451" t="n"/>
      <c r="FZ1190" s="562" t="n"/>
      <c r="GA1190" s="451" t="n"/>
      <c r="GC1190" s="429" t="n">
        <v>277</v>
      </c>
      <c r="GD1190" s="431" t="n">
        <v>277</v>
      </c>
      <c r="GE1190" s="688" t="inlineStr">
        <is>
          <t>spare</t>
        </is>
      </c>
      <c r="GF1190" s="431" t="n"/>
      <c r="GG1190" s="451" t="n"/>
      <c r="GH1190" s="451" t="n"/>
      <c r="GI1190" s="451" t="n"/>
      <c r="GK1190" s="429" t="n">
        <v>277</v>
      </c>
      <c r="GL1190" s="431" t="n">
        <v>277</v>
      </c>
      <c r="GM1190" s="688" t="inlineStr">
        <is>
          <t>spare</t>
        </is>
      </c>
      <c r="GN1190" s="431" t="n"/>
      <c r="GO1190" s="451" t="n"/>
      <c r="GP1190" s="451" t="n"/>
      <c r="GQ1190" s="451" t="n"/>
      <c r="GS1190" s="429" t="n">
        <v>277</v>
      </c>
      <c r="GT1190" s="431" t="n">
        <v>277</v>
      </c>
      <c r="GU1190" s="688" t="inlineStr">
        <is>
          <t>spare</t>
        </is>
      </c>
      <c r="GV1190" s="431" t="n"/>
      <c r="GW1190" s="451" t="n"/>
      <c r="GX1190" s="451" t="n"/>
      <c r="GY1190" s="451" t="n"/>
      <c r="HA1190" s="429" t="n">
        <v>277</v>
      </c>
      <c r="HB1190" s="431" t="n">
        <v>277</v>
      </c>
      <c r="HC1190" s="688" t="inlineStr">
        <is>
          <t>spare</t>
        </is>
      </c>
      <c r="HD1190" s="431" t="n"/>
      <c r="HE1190" s="451" t="n"/>
      <c r="HF1190" s="451" t="n"/>
      <c r="HG1190" s="451" t="n"/>
    </row>
    <row r="1191">
      <c r="A1191" s="429" t="n">
        <v>278</v>
      </c>
      <c r="B1191" s="431" t="n">
        <v>278</v>
      </c>
      <c r="C1191" s="688" t="inlineStr">
        <is>
          <t>spare</t>
        </is>
      </c>
      <c r="D1191" s="431" t="n"/>
      <c r="E1191" s="429" t="n"/>
      <c r="F1191" s="429" t="n"/>
      <c r="G1191" s="429" t="n"/>
      <c r="I1191" s="429" t="n">
        <v>278</v>
      </c>
      <c r="J1191" s="431" t="n">
        <v>278</v>
      </c>
      <c r="K1191" s="429" t="inlineStr">
        <is>
          <t>spare</t>
        </is>
      </c>
      <c r="L1191" s="431" t="n"/>
      <c r="M1191" s="451" t="n"/>
      <c r="N1191" s="422" t="n"/>
      <c r="O1191" s="451" t="n"/>
      <c r="Q1191" s="429" t="n">
        <v>278</v>
      </c>
      <c r="R1191" s="431" t="n">
        <v>278</v>
      </c>
      <c r="S1191" s="429" t="inlineStr">
        <is>
          <t>spare</t>
        </is>
      </c>
      <c r="T1191" s="431" t="n"/>
      <c r="U1191" s="429" t="n"/>
      <c r="V1191" s="451" t="n"/>
      <c r="W1191" s="451" t="n"/>
      <c r="Y1191" s="429" t="n">
        <v>278</v>
      </c>
      <c r="Z1191" s="431" t="n">
        <v>278</v>
      </c>
      <c r="AA1191" s="429" t="inlineStr">
        <is>
          <t>spare</t>
        </is>
      </c>
      <c r="AB1191" s="431" t="n"/>
      <c r="AC1191" s="451" t="n"/>
      <c r="AD1191" s="451" t="n"/>
      <c r="AE1191" s="451" t="n"/>
      <c r="AG1191" s="429" t="n">
        <v>278</v>
      </c>
      <c r="AH1191" s="431" t="n">
        <v>278</v>
      </c>
      <c r="AI1191" s="429" t="inlineStr">
        <is>
          <t>spare</t>
        </is>
      </c>
      <c r="AJ1191" s="431" t="n"/>
      <c r="AK1191" s="451" t="n"/>
      <c r="AL1191" s="451" t="n"/>
      <c r="AM1191" s="451" t="n"/>
      <c r="AO1191" s="429" t="n">
        <v>278</v>
      </c>
      <c r="AP1191" s="431" t="n">
        <v>278</v>
      </c>
      <c r="AQ1191" s="429" t="inlineStr">
        <is>
          <t>spare</t>
        </is>
      </c>
      <c r="AR1191" s="431" t="n"/>
      <c r="AS1191" s="451" t="n"/>
      <c r="AT1191" s="451" t="n"/>
      <c r="AU1191" s="451" t="n"/>
      <c r="AW1191" s="429" t="n">
        <v>278</v>
      </c>
      <c r="AX1191" s="431" t="n">
        <v>278</v>
      </c>
      <c r="AY1191" s="429" t="inlineStr">
        <is>
          <t>spare</t>
        </is>
      </c>
      <c r="AZ1191" s="431" t="n"/>
      <c r="BA1191" s="451" t="n"/>
      <c r="BB1191" s="451" t="n"/>
      <c r="BC1191" s="451" t="n"/>
      <c r="BE1191" s="429" t="n">
        <v>278</v>
      </c>
      <c r="BF1191" s="431" t="n"/>
      <c r="BG1191" s="429" t="inlineStr">
        <is>
          <t>spare</t>
        </is>
      </c>
      <c r="BH1191" s="431" t="n"/>
      <c r="BI1191" s="451" t="n"/>
      <c r="BJ1191" s="451" t="n"/>
      <c r="BK1191" s="451" t="n"/>
      <c r="BM1191" s="429" t="n">
        <v>278</v>
      </c>
      <c r="BN1191" s="431" t="n">
        <v>278</v>
      </c>
      <c r="BO1191" s="429" t="inlineStr">
        <is>
          <t>spare</t>
        </is>
      </c>
      <c r="BP1191" s="431" t="n"/>
      <c r="BQ1191" s="451" t="n"/>
      <c r="BR1191" s="451" t="n"/>
      <c r="BS1191" s="451" t="n"/>
      <c r="BU1191" s="429" t="n">
        <v>278</v>
      </c>
      <c r="BV1191" s="431" t="n">
        <v>278</v>
      </c>
      <c r="BW1191" s="429" t="inlineStr">
        <is>
          <t>spare</t>
        </is>
      </c>
      <c r="BX1191" s="431" t="n"/>
      <c r="BY1191" s="451" t="n"/>
      <c r="BZ1191" s="451" t="n"/>
      <c r="CA1191" s="451" t="n"/>
      <c r="CC1191" s="429" t="n">
        <v>278</v>
      </c>
      <c r="CD1191" s="431" t="n">
        <v>278</v>
      </c>
      <c r="CE1191" s="688" t="inlineStr">
        <is>
          <t>spare</t>
        </is>
      </c>
      <c r="CF1191" s="431" t="n"/>
      <c r="CG1191" s="451" t="n"/>
      <c r="CH1191" s="562">
        <f>'CIRCUIT SIM'!LK279</f>
        <v/>
      </c>
      <c r="CI1191" s="451" t="n"/>
      <c r="CK1191" s="429" t="n">
        <v>278</v>
      </c>
      <c r="CL1191" s="431" t="n">
        <v>278</v>
      </c>
      <c r="CM1191" s="688" t="inlineStr">
        <is>
          <t>spare</t>
        </is>
      </c>
      <c r="CN1191" s="431" t="n"/>
      <c r="CO1191" s="451" t="n"/>
      <c r="CP1191" s="451" t="n"/>
      <c r="CQ1191" s="451" t="n"/>
      <c r="CS1191" s="429" t="n">
        <v>278</v>
      </c>
      <c r="CT1191" s="431" t="n">
        <v>278</v>
      </c>
      <c r="CU1191" s="688" t="inlineStr">
        <is>
          <t>spare</t>
        </is>
      </c>
      <c r="CV1191" s="431" t="n"/>
      <c r="CW1191" s="451" t="n"/>
      <c r="CX1191" s="451" t="n"/>
      <c r="CY1191" s="451" t="n"/>
      <c r="DA1191" s="429" t="n">
        <v>278</v>
      </c>
      <c r="DB1191" s="431" t="n">
        <v>278</v>
      </c>
      <c r="DC1191" s="688" t="inlineStr">
        <is>
          <t>spare</t>
        </is>
      </c>
      <c r="DD1191" s="431" t="n"/>
      <c r="DE1191" s="451" t="n"/>
      <c r="DF1191" s="451" t="n"/>
      <c r="DG1191" s="451" t="n"/>
      <c r="DI1191" s="429" t="n">
        <v>278</v>
      </c>
      <c r="DJ1191" s="431" t="n">
        <v>278</v>
      </c>
      <c r="DK1191" s="688" t="inlineStr">
        <is>
          <t>spare</t>
        </is>
      </c>
      <c r="DL1191" s="431" t="n"/>
      <c r="DM1191" s="429" t="n"/>
      <c r="DN1191" s="451" t="n"/>
      <c r="DO1191" s="451" t="n"/>
      <c r="DQ1191" s="429" t="n">
        <v>278</v>
      </c>
      <c r="DR1191" s="431" t="n">
        <v>278</v>
      </c>
      <c r="DS1191" s="688" t="inlineStr">
        <is>
          <t>spare</t>
        </is>
      </c>
      <c r="DT1191" s="431" t="n"/>
      <c r="DU1191" s="451" t="n"/>
      <c r="DV1191" s="451" t="n"/>
      <c r="DW1191" s="451" t="n"/>
      <c r="DY1191" s="429" t="n">
        <v>278</v>
      </c>
      <c r="DZ1191" s="431" t="n">
        <v>278</v>
      </c>
      <c r="EA1191" s="688" t="inlineStr">
        <is>
          <t>spare</t>
        </is>
      </c>
      <c r="EB1191" s="431" t="n"/>
      <c r="EC1191" s="451" t="n"/>
      <c r="ED1191" s="451" t="n"/>
      <c r="EE1191" s="451" t="n"/>
      <c r="EG1191" s="429" t="n">
        <v>278</v>
      </c>
      <c r="EH1191" s="431" t="n">
        <v>278</v>
      </c>
      <c r="EI1191" s="688" t="inlineStr">
        <is>
          <t>spare</t>
        </is>
      </c>
      <c r="EJ1191" s="431" t="n"/>
      <c r="EK1191" s="451" t="n"/>
      <c r="EL1191" s="451" t="n"/>
      <c r="EM1191" s="451" t="n"/>
      <c r="EO1191" s="429" t="n">
        <v>278</v>
      </c>
      <c r="EP1191" s="431" t="n">
        <v>278</v>
      </c>
      <c r="EQ1191" s="688" t="inlineStr">
        <is>
          <t>spare</t>
        </is>
      </c>
      <c r="ER1191" s="431" t="n"/>
      <c r="ES1191" s="451" t="n"/>
      <c r="ET1191" s="451" t="n"/>
      <c r="EU1191" s="451" t="n"/>
      <c r="EW1191" s="429" t="n">
        <v>278</v>
      </c>
      <c r="EX1191" s="431" t="n">
        <v>278</v>
      </c>
      <c r="EY1191" s="688" t="inlineStr">
        <is>
          <t>spare</t>
        </is>
      </c>
      <c r="EZ1191" s="431" t="n"/>
      <c r="FA1191" s="451" t="n"/>
      <c r="FB1191" s="451" t="n"/>
      <c r="FC1191" s="451" t="n"/>
      <c r="FE1191" s="429" t="n">
        <v>278</v>
      </c>
      <c r="FF1191" s="431" t="n">
        <v>278</v>
      </c>
      <c r="FG1191" s="688" t="inlineStr">
        <is>
          <t>spare</t>
        </is>
      </c>
      <c r="FH1191" s="431" t="n"/>
      <c r="FI1191" s="451" t="n"/>
      <c r="FJ1191" s="451" t="n"/>
      <c r="FK1191" s="451" t="n"/>
      <c r="FM1191" s="429" t="n">
        <v>278</v>
      </c>
      <c r="FN1191" s="431" t="n">
        <v>278</v>
      </c>
      <c r="FO1191" s="688" t="inlineStr">
        <is>
          <t>spare</t>
        </is>
      </c>
      <c r="FP1191" s="431" t="n"/>
      <c r="FQ1191" s="451" t="n"/>
      <c r="FR1191" s="451" t="n"/>
      <c r="FS1191" s="451" t="n"/>
      <c r="FU1191" s="429" t="n">
        <v>278</v>
      </c>
      <c r="FV1191" s="431" t="n">
        <v>278</v>
      </c>
      <c r="FW1191" s="688" t="inlineStr">
        <is>
          <t>spare</t>
        </is>
      </c>
      <c r="FX1191" s="431" t="n"/>
      <c r="FY1191" s="451" t="n"/>
      <c r="FZ1191" s="562" t="n"/>
      <c r="GA1191" s="451" t="n"/>
      <c r="GC1191" s="429" t="n">
        <v>278</v>
      </c>
      <c r="GD1191" s="431" t="n">
        <v>278</v>
      </c>
      <c r="GE1191" s="688" t="inlineStr">
        <is>
          <t>spare</t>
        </is>
      </c>
      <c r="GF1191" s="431" t="n"/>
      <c r="GG1191" s="451" t="n"/>
      <c r="GH1191" s="451" t="n"/>
      <c r="GI1191" s="451" t="n"/>
      <c r="GK1191" s="429" t="n">
        <v>278</v>
      </c>
      <c r="GL1191" s="431" t="n">
        <v>278</v>
      </c>
      <c r="GM1191" s="688" t="inlineStr">
        <is>
          <t>spare</t>
        </is>
      </c>
      <c r="GN1191" s="431" t="n"/>
      <c r="GO1191" s="451" t="n"/>
      <c r="GP1191" s="451" t="n"/>
      <c r="GQ1191" s="451" t="n"/>
      <c r="GS1191" s="429" t="n">
        <v>278</v>
      </c>
      <c r="GT1191" s="431" t="n">
        <v>278</v>
      </c>
      <c r="GU1191" s="688" t="inlineStr">
        <is>
          <t>spare</t>
        </is>
      </c>
      <c r="GV1191" s="431" t="n"/>
      <c r="GW1191" s="451" t="n"/>
      <c r="GX1191" s="451" t="n"/>
      <c r="GY1191" s="451" t="n"/>
      <c r="HA1191" s="429" t="n">
        <v>278</v>
      </c>
      <c r="HB1191" s="431" t="n">
        <v>278</v>
      </c>
      <c r="HC1191" s="688" t="inlineStr">
        <is>
          <t>spare</t>
        </is>
      </c>
      <c r="HD1191" s="431" t="n"/>
      <c r="HE1191" s="451" t="n"/>
      <c r="HF1191" s="451" t="n"/>
      <c r="HG1191" s="451" t="n"/>
    </row>
    <row r="1192">
      <c r="A1192" s="429" t="n">
        <v>279</v>
      </c>
      <c r="B1192" s="431" t="n">
        <v>279</v>
      </c>
      <c r="C1192" s="688" t="inlineStr">
        <is>
          <t>spare</t>
        </is>
      </c>
      <c r="D1192" s="431" t="n"/>
      <c r="E1192" s="429" t="n"/>
      <c r="F1192" s="429" t="n"/>
      <c r="G1192" s="429" t="n"/>
      <c r="I1192" s="429" t="n">
        <v>279</v>
      </c>
      <c r="J1192" s="431" t="n">
        <v>279</v>
      </c>
      <c r="K1192" s="429" t="inlineStr">
        <is>
          <t>spare</t>
        </is>
      </c>
      <c r="L1192" s="431" t="n"/>
      <c r="M1192" s="451" t="n"/>
      <c r="N1192" s="422" t="n"/>
      <c r="O1192" s="451" t="n"/>
      <c r="Q1192" s="429" t="n">
        <v>279</v>
      </c>
      <c r="R1192" s="431" t="n">
        <v>279</v>
      </c>
      <c r="S1192" s="429" t="inlineStr">
        <is>
          <t>spare</t>
        </is>
      </c>
      <c r="T1192" s="431" t="n"/>
      <c r="U1192" s="429" t="n"/>
      <c r="V1192" s="451" t="n"/>
      <c r="W1192" s="451" t="n"/>
      <c r="Y1192" s="429" t="n">
        <v>279</v>
      </c>
      <c r="Z1192" s="431" t="n">
        <v>279</v>
      </c>
      <c r="AA1192" s="429" t="inlineStr">
        <is>
          <t>spare</t>
        </is>
      </c>
      <c r="AB1192" s="431" t="n"/>
      <c r="AC1192" s="451" t="n"/>
      <c r="AD1192" s="451" t="n"/>
      <c r="AE1192" s="451" t="n"/>
      <c r="AG1192" s="429" t="n">
        <v>279</v>
      </c>
      <c r="AH1192" s="431" t="n">
        <v>279</v>
      </c>
      <c r="AI1192" s="429" t="inlineStr">
        <is>
          <t>spare</t>
        </is>
      </c>
      <c r="AJ1192" s="431" t="n"/>
      <c r="AK1192" s="451" t="n"/>
      <c r="AL1192" s="451" t="n"/>
      <c r="AM1192" s="451" t="n"/>
      <c r="AO1192" s="429" t="n">
        <v>279</v>
      </c>
      <c r="AP1192" s="431" t="n">
        <v>279</v>
      </c>
      <c r="AQ1192" s="429" t="inlineStr">
        <is>
          <t>spare</t>
        </is>
      </c>
      <c r="AR1192" s="431" t="n"/>
      <c r="AS1192" s="451" t="n"/>
      <c r="AT1192" s="451" t="n"/>
      <c r="AU1192" s="451" t="n"/>
      <c r="AW1192" s="429" t="n">
        <v>279</v>
      </c>
      <c r="AX1192" s="431" t="n">
        <v>279</v>
      </c>
      <c r="AY1192" s="429" t="inlineStr">
        <is>
          <t>spare</t>
        </is>
      </c>
      <c r="AZ1192" s="431" t="n"/>
      <c r="BA1192" s="451" t="n"/>
      <c r="BB1192" s="451" t="n"/>
      <c r="BC1192" s="451" t="n"/>
      <c r="BE1192" s="429" t="n">
        <v>279</v>
      </c>
      <c r="BF1192" s="431" t="n"/>
      <c r="BG1192" s="429" t="inlineStr">
        <is>
          <t>spare</t>
        </is>
      </c>
      <c r="BH1192" s="431" t="n"/>
      <c r="BI1192" s="451" t="n"/>
      <c r="BJ1192" s="451" t="n"/>
      <c r="BK1192" s="451" t="n"/>
      <c r="BM1192" s="429" t="n">
        <v>279</v>
      </c>
      <c r="BN1192" s="431" t="n">
        <v>279</v>
      </c>
      <c r="BO1192" s="429" t="inlineStr">
        <is>
          <t>spare</t>
        </is>
      </c>
      <c r="BP1192" s="431" t="n"/>
      <c r="BQ1192" s="451" t="n"/>
      <c r="BR1192" s="451" t="n"/>
      <c r="BS1192" s="451" t="n"/>
      <c r="BU1192" s="429" t="n">
        <v>279</v>
      </c>
      <c r="BV1192" s="431" t="n">
        <v>279</v>
      </c>
      <c r="BW1192" s="429" t="inlineStr">
        <is>
          <t>spare</t>
        </is>
      </c>
      <c r="BX1192" s="431" t="n"/>
      <c r="BY1192" s="451" t="n"/>
      <c r="BZ1192" s="451" t="n"/>
      <c r="CA1192" s="451" t="n"/>
      <c r="CC1192" s="429" t="n">
        <v>279</v>
      </c>
      <c r="CD1192" s="431" t="n">
        <v>279</v>
      </c>
      <c r="CE1192" s="688" t="inlineStr">
        <is>
          <t>spare</t>
        </is>
      </c>
      <c r="CF1192" s="431" t="n"/>
      <c r="CG1192" s="451" t="n"/>
      <c r="CH1192" s="562">
        <f>'CIRCUIT SIM'!LK280</f>
        <v/>
      </c>
      <c r="CI1192" s="451" t="n"/>
      <c r="CK1192" s="429" t="n">
        <v>279</v>
      </c>
      <c r="CL1192" s="431" t="n">
        <v>279</v>
      </c>
      <c r="CM1192" s="688" t="inlineStr">
        <is>
          <t>spare</t>
        </is>
      </c>
      <c r="CN1192" s="431" t="n"/>
      <c r="CO1192" s="451" t="n"/>
      <c r="CP1192" s="451" t="n"/>
      <c r="CQ1192" s="451" t="n"/>
      <c r="CS1192" s="429" t="n">
        <v>279</v>
      </c>
      <c r="CT1192" s="431" t="n">
        <v>279</v>
      </c>
      <c r="CU1192" s="688" t="inlineStr">
        <is>
          <t>spare</t>
        </is>
      </c>
      <c r="CV1192" s="431" t="n"/>
      <c r="CW1192" s="451" t="n"/>
      <c r="CX1192" s="451" t="n"/>
      <c r="CY1192" s="451" t="n"/>
      <c r="DA1192" s="429" t="n">
        <v>279</v>
      </c>
      <c r="DB1192" s="431" t="n">
        <v>279</v>
      </c>
      <c r="DC1192" s="688" t="inlineStr">
        <is>
          <t>spare</t>
        </is>
      </c>
      <c r="DD1192" s="431" t="n"/>
      <c r="DE1192" s="451" t="n"/>
      <c r="DF1192" s="451" t="n"/>
      <c r="DG1192" s="451" t="n"/>
      <c r="DI1192" s="429" t="n">
        <v>279</v>
      </c>
      <c r="DJ1192" s="431" t="n">
        <v>279</v>
      </c>
      <c r="DK1192" s="688" t="inlineStr">
        <is>
          <t>spare</t>
        </is>
      </c>
      <c r="DL1192" s="431" t="n"/>
      <c r="DM1192" s="429" t="n"/>
      <c r="DN1192" s="451" t="n"/>
      <c r="DO1192" s="451" t="n"/>
      <c r="DQ1192" s="429" t="n">
        <v>279</v>
      </c>
      <c r="DR1192" s="431" t="n">
        <v>279</v>
      </c>
      <c r="DS1192" s="688" t="inlineStr">
        <is>
          <t>spare</t>
        </is>
      </c>
      <c r="DT1192" s="431" t="n"/>
      <c r="DU1192" s="451" t="n"/>
      <c r="DV1192" s="451" t="n"/>
      <c r="DW1192" s="451" t="n"/>
      <c r="DY1192" s="429" t="n">
        <v>279</v>
      </c>
      <c r="DZ1192" s="431" t="n">
        <v>279</v>
      </c>
      <c r="EA1192" s="688" t="inlineStr">
        <is>
          <t>spare</t>
        </is>
      </c>
      <c r="EB1192" s="431" t="n"/>
      <c r="EC1192" s="451" t="n"/>
      <c r="ED1192" s="451" t="n"/>
      <c r="EE1192" s="451" t="n"/>
      <c r="EG1192" s="429" t="n">
        <v>279</v>
      </c>
      <c r="EH1192" s="431" t="n">
        <v>279</v>
      </c>
      <c r="EI1192" s="688" t="inlineStr">
        <is>
          <t>spare</t>
        </is>
      </c>
      <c r="EJ1192" s="431" t="n"/>
      <c r="EK1192" s="451" t="n"/>
      <c r="EL1192" s="451" t="n"/>
      <c r="EM1192" s="451" t="n"/>
      <c r="EO1192" s="429" t="n">
        <v>279</v>
      </c>
      <c r="EP1192" s="431" t="n">
        <v>279</v>
      </c>
      <c r="EQ1192" s="688" t="inlineStr">
        <is>
          <t>spare</t>
        </is>
      </c>
      <c r="ER1192" s="431" t="n"/>
      <c r="ES1192" s="451" t="n"/>
      <c r="ET1192" s="451" t="n"/>
      <c r="EU1192" s="451" t="n"/>
      <c r="EW1192" s="429" t="n">
        <v>279</v>
      </c>
      <c r="EX1192" s="431" t="n">
        <v>279</v>
      </c>
      <c r="EY1192" s="688" t="inlineStr">
        <is>
          <t>spare</t>
        </is>
      </c>
      <c r="EZ1192" s="431" t="n"/>
      <c r="FA1192" s="451" t="n"/>
      <c r="FB1192" s="451" t="n"/>
      <c r="FC1192" s="451" t="n"/>
      <c r="FE1192" s="429" t="n">
        <v>279</v>
      </c>
      <c r="FF1192" s="431" t="n">
        <v>279</v>
      </c>
      <c r="FG1192" s="688" t="inlineStr">
        <is>
          <t>spare</t>
        </is>
      </c>
      <c r="FH1192" s="431" t="n"/>
      <c r="FI1192" s="451" t="n"/>
      <c r="FJ1192" s="451" t="n"/>
      <c r="FK1192" s="451" t="n"/>
      <c r="FM1192" s="429" t="n">
        <v>279</v>
      </c>
      <c r="FN1192" s="431" t="n">
        <v>279</v>
      </c>
      <c r="FO1192" s="688" t="inlineStr">
        <is>
          <t>spare</t>
        </is>
      </c>
      <c r="FP1192" s="431" t="n"/>
      <c r="FQ1192" s="451" t="n"/>
      <c r="FR1192" s="451" t="n"/>
      <c r="FS1192" s="451" t="n"/>
      <c r="FU1192" s="429" t="n">
        <v>279</v>
      </c>
      <c r="FV1192" s="431" t="n">
        <v>279</v>
      </c>
      <c r="FW1192" s="688" t="inlineStr">
        <is>
          <t>spare</t>
        </is>
      </c>
      <c r="FX1192" s="431" t="n"/>
      <c r="FY1192" s="451" t="n"/>
      <c r="FZ1192" s="562" t="n"/>
      <c r="GA1192" s="451" t="n"/>
      <c r="GC1192" s="429" t="n">
        <v>279</v>
      </c>
      <c r="GD1192" s="431" t="n">
        <v>279</v>
      </c>
      <c r="GE1192" s="688" t="inlineStr">
        <is>
          <t>spare</t>
        </is>
      </c>
      <c r="GF1192" s="431" t="n"/>
      <c r="GG1192" s="451" t="n"/>
      <c r="GH1192" s="451" t="n"/>
      <c r="GI1192" s="451" t="n"/>
      <c r="GK1192" s="429" t="n">
        <v>279</v>
      </c>
      <c r="GL1192" s="431" t="n">
        <v>279</v>
      </c>
      <c r="GM1192" s="688" t="inlineStr">
        <is>
          <t>spare</t>
        </is>
      </c>
      <c r="GN1192" s="431" t="n"/>
      <c r="GO1192" s="451" t="n"/>
      <c r="GP1192" s="451" t="n"/>
      <c r="GQ1192" s="451" t="n"/>
      <c r="GS1192" s="429" t="n">
        <v>279</v>
      </c>
      <c r="GT1192" s="431" t="n">
        <v>279</v>
      </c>
      <c r="GU1192" s="688" t="inlineStr">
        <is>
          <t>spare</t>
        </is>
      </c>
      <c r="GV1192" s="431" t="n"/>
      <c r="GW1192" s="451" t="n"/>
      <c r="GX1192" s="451" t="n"/>
      <c r="GY1192" s="451" t="n"/>
      <c r="HA1192" s="429" t="n">
        <v>279</v>
      </c>
      <c r="HB1192" s="431" t="n">
        <v>279</v>
      </c>
      <c r="HC1192" s="688" t="inlineStr">
        <is>
          <t>spare</t>
        </is>
      </c>
      <c r="HD1192" s="431" t="n"/>
      <c r="HE1192" s="451" t="n"/>
      <c r="HF1192" s="451" t="n"/>
      <c r="HG1192" s="451" t="n"/>
    </row>
    <row r="1193">
      <c r="A1193" s="429" t="n">
        <v>280</v>
      </c>
      <c r="B1193" s="431" t="n">
        <v>280</v>
      </c>
      <c r="C1193" s="688" t="inlineStr">
        <is>
          <t>spare</t>
        </is>
      </c>
      <c r="D1193" s="431" t="n"/>
      <c r="E1193" s="429" t="n"/>
      <c r="F1193" s="429" t="n"/>
      <c r="G1193" s="429" t="n"/>
      <c r="I1193" s="429" t="n">
        <v>280</v>
      </c>
      <c r="J1193" s="431" t="n">
        <v>280</v>
      </c>
      <c r="K1193" s="429" t="inlineStr">
        <is>
          <t>spare</t>
        </is>
      </c>
      <c r="L1193" s="431" t="n"/>
      <c r="M1193" s="451" t="n"/>
      <c r="N1193" s="422" t="n"/>
      <c r="O1193" s="451" t="n"/>
      <c r="Q1193" s="429" t="n">
        <v>280</v>
      </c>
      <c r="R1193" s="431" t="n">
        <v>280</v>
      </c>
      <c r="S1193" s="429" t="inlineStr">
        <is>
          <t>spare</t>
        </is>
      </c>
      <c r="T1193" s="431" t="n"/>
      <c r="U1193" s="429" t="n"/>
      <c r="V1193" s="451" t="n"/>
      <c r="W1193" s="451" t="n"/>
      <c r="Y1193" s="429" t="n">
        <v>280</v>
      </c>
      <c r="Z1193" s="431" t="n">
        <v>280</v>
      </c>
      <c r="AA1193" s="429" t="inlineStr">
        <is>
          <t>spare</t>
        </is>
      </c>
      <c r="AB1193" s="431" t="n"/>
      <c r="AC1193" s="451" t="n"/>
      <c r="AD1193" s="451" t="n"/>
      <c r="AE1193" s="451" t="n"/>
      <c r="AG1193" s="429" t="n">
        <v>280</v>
      </c>
      <c r="AH1193" s="431" t="n">
        <v>280</v>
      </c>
      <c r="AI1193" s="429" t="inlineStr">
        <is>
          <t>spare</t>
        </is>
      </c>
      <c r="AJ1193" s="431" t="n"/>
      <c r="AK1193" s="451" t="n"/>
      <c r="AL1193" s="451" t="n"/>
      <c r="AM1193" s="451" t="n"/>
      <c r="AO1193" s="429" t="n">
        <v>280</v>
      </c>
      <c r="AP1193" s="431" t="n">
        <v>280</v>
      </c>
      <c r="AQ1193" s="429" t="inlineStr">
        <is>
          <t>spare</t>
        </is>
      </c>
      <c r="AR1193" s="431" t="n"/>
      <c r="AS1193" s="451" t="n"/>
      <c r="AT1193" s="451" t="n"/>
      <c r="AU1193" s="451" t="n"/>
      <c r="AW1193" s="429" t="n">
        <v>280</v>
      </c>
      <c r="AX1193" s="431" t="n">
        <v>280</v>
      </c>
      <c r="AY1193" s="429" t="inlineStr">
        <is>
          <t>spare</t>
        </is>
      </c>
      <c r="AZ1193" s="431" t="n"/>
      <c r="BA1193" s="451" t="n"/>
      <c r="BB1193" s="451" t="n"/>
      <c r="BC1193" s="451" t="n"/>
      <c r="BE1193" s="429" t="n">
        <v>280</v>
      </c>
      <c r="BF1193" s="431" t="n"/>
      <c r="BG1193" s="429" t="inlineStr">
        <is>
          <t>spare</t>
        </is>
      </c>
      <c r="BH1193" s="431" t="n"/>
      <c r="BI1193" s="451" t="n"/>
      <c r="BJ1193" s="451" t="n"/>
      <c r="BK1193" s="451" t="n"/>
      <c r="BM1193" s="429" t="n">
        <v>280</v>
      </c>
      <c r="BN1193" s="431" t="n">
        <v>280</v>
      </c>
      <c r="BO1193" s="429" t="inlineStr">
        <is>
          <t>spare</t>
        </is>
      </c>
      <c r="BP1193" s="431" t="n"/>
      <c r="BQ1193" s="451" t="n"/>
      <c r="BR1193" s="451" t="n"/>
      <c r="BS1193" s="451" t="n"/>
      <c r="BU1193" s="429" t="n">
        <v>280</v>
      </c>
      <c r="BV1193" s="431" t="n">
        <v>280</v>
      </c>
      <c r="BW1193" s="429" t="inlineStr">
        <is>
          <t>spare</t>
        </is>
      </c>
      <c r="BX1193" s="431" t="n"/>
      <c r="BY1193" s="451" t="n"/>
      <c r="BZ1193" s="451" t="n"/>
      <c r="CA1193" s="451" t="n"/>
      <c r="CC1193" s="429" t="n">
        <v>280</v>
      </c>
      <c r="CD1193" s="431" t="n">
        <v>280</v>
      </c>
      <c r="CE1193" s="688" t="inlineStr">
        <is>
          <t>spare</t>
        </is>
      </c>
      <c r="CF1193" s="431" t="n"/>
      <c r="CG1193" s="451" t="n"/>
      <c r="CH1193" s="562">
        <f>'CIRCUIT SIM'!LK281</f>
        <v/>
      </c>
      <c r="CI1193" s="451" t="n"/>
      <c r="CK1193" s="429" t="n">
        <v>280</v>
      </c>
      <c r="CL1193" s="431" t="n">
        <v>280</v>
      </c>
      <c r="CM1193" s="688" t="inlineStr">
        <is>
          <t>spare</t>
        </is>
      </c>
      <c r="CN1193" s="431" t="n"/>
      <c r="CO1193" s="451" t="n"/>
      <c r="CP1193" s="451" t="n"/>
      <c r="CQ1193" s="451" t="n"/>
      <c r="CS1193" s="429" t="n">
        <v>280</v>
      </c>
      <c r="CT1193" s="431" t="n">
        <v>280</v>
      </c>
      <c r="CU1193" s="688" t="inlineStr">
        <is>
          <t>spare</t>
        </is>
      </c>
      <c r="CV1193" s="431" t="n"/>
      <c r="CW1193" s="451" t="n"/>
      <c r="CX1193" s="451" t="n"/>
      <c r="CY1193" s="451" t="n"/>
      <c r="DA1193" s="429" t="n">
        <v>280</v>
      </c>
      <c r="DB1193" s="431" t="n">
        <v>280</v>
      </c>
      <c r="DC1193" s="688" t="inlineStr">
        <is>
          <t>spare</t>
        </is>
      </c>
      <c r="DD1193" s="431" t="n"/>
      <c r="DE1193" s="451" t="n"/>
      <c r="DF1193" s="451" t="n"/>
      <c r="DG1193" s="451" t="n"/>
      <c r="DI1193" s="429" t="n">
        <v>280</v>
      </c>
      <c r="DJ1193" s="431" t="n">
        <v>280</v>
      </c>
      <c r="DK1193" s="688" t="inlineStr">
        <is>
          <t>spare</t>
        </is>
      </c>
      <c r="DL1193" s="431" t="n"/>
      <c r="DM1193" s="429" t="n"/>
      <c r="DN1193" s="451" t="n"/>
      <c r="DO1193" s="451" t="n"/>
      <c r="DQ1193" s="429" t="n">
        <v>280</v>
      </c>
      <c r="DR1193" s="431" t="n">
        <v>280</v>
      </c>
      <c r="DS1193" s="688" t="inlineStr">
        <is>
          <t>spare</t>
        </is>
      </c>
      <c r="DT1193" s="431" t="n"/>
      <c r="DU1193" s="451" t="n"/>
      <c r="DV1193" s="451" t="n"/>
      <c r="DW1193" s="451" t="n"/>
      <c r="DY1193" s="429" t="n">
        <v>280</v>
      </c>
      <c r="DZ1193" s="431" t="n">
        <v>280</v>
      </c>
      <c r="EA1193" s="688" t="inlineStr">
        <is>
          <t>spare</t>
        </is>
      </c>
      <c r="EB1193" s="431" t="n"/>
      <c r="EC1193" s="451" t="n"/>
      <c r="ED1193" s="451" t="n"/>
      <c r="EE1193" s="451" t="n"/>
      <c r="EG1193" s="429" t="n">
        <v>280</v>
      </c>
      <c r="EH1193" s="431" t="n">
        <v>280</v>
      </c>
      <c r="EI1193" s="688" t="inlineStr">
        <is>
          <t>spare</t>
        </is>
      </c>
      <c r="EJ1193" s="431" t="n"/>
      <c r="EK1193" s="451" t="n"/>
      <c r="EL1193" s="451" t="n"/>
      <c r="EM1193" s="451" t="n"/>
      <c r="EO1193" s="429" t="n">
        <v>280</v>
      </c>
      <c r="EP1193" s="431" t="n">
        <v>280</v>
      </c>
      <c r="EQ1193" s="688" t="inlineStr">
        <is>
          <t>spare</t>
        </is>
      </c>
      <c r="ER1193" s="431" t="n"/>
      <c r="ES1193" s="451" t="n"/>
      <c r="ET1193" s="451" t="n"/>
      <c r="EU1193" s="451" t="n"/>
      <c r="EW1193" s="429" t="n">
        <v>280</v>
      </c>
      <c r="EX1193" s="431" t="n">
        <v>280</v>
      </c>
      <c r="EY1193" s="688" t="inlineStr">
        <is>
          <t>spare</t>
        </is>
      </c>
      <c r="EZ1193" s="431" t="n"/>
      <c r="FA1193" s="451" t="n"/>
      <c r="FB1193" s="451" t="n"/>
      <c r="FC1193" s="451" t="n"/>
      <c r="FE1193" s="429" t="n">
        <v>280</v>
      </c>
      <c r="FF1193" s="431" t="n">
        <v>280</v>
      </c>
      <c r="FG1193" s="688" t="inlineStr">
        <is>
          <t>spare</t>
        </is>
      </c>
      <c r="FH1193" s="431" t="n"/>
      <c r="FI1193" s="451" t="n"/>
      <c r="FJ1193" s="451" t="n"/>
      <c r="FK1193" s="451" t="n"/>
      <c r="FM1193" s="429" t="n">
        <v>280</v>
      </c>
      <c r="FN1193" s="431" t="n">
        <v>280</v>
      </c>
      <c r="FO1193" s="688" t="inlineStr">
        <is>
          <t>spare</t>
        </is>
      </c>
      <c r="FP1193" s="431" t="n"/>
      <c r="FQ1193" s="451" t="n"/>
      <c r="FR1193" s="451" t="n"/>
      <c r="FS1193" s="451" t="n"/>
      <c r="FU1193" s="429" t="n">
        <v>280</v>
      </c>
      <c r="FV1193" s="431" t="n">
        <v>280</v>
      </c>
      <c r="FW1193" s="688" t="inlineStr">
        <is>
          <t>spare</t>
        </is>
      </c>
      <c r="FX1193" s="431" t="n"/>
      <c r="FY1193" s="451" t="n"/>
      <c r="FZ1193" s="562" t="n"/>
      <c r="GA1193" s="451" t="n"/>
      <c r="GC1193" s="429" t="n">
        <v>280</v>
      </c>
      <c r="GD1193" s="431" t="n">
        <v>280</v>
      </c>
      <c r="GE1193" s="688" t="inlineStr">
        <is>
          <t>spare</t>
        </is>
      </c>
      <c r="GF1193" s="431" t="n"/>
      <c r="GG1193" s="451" t="n"/>
      <c r="GH1193" s="451" t="n"/>
      <c r="GI1193" s="451" t="n"/>
      <c r="GK1193" s="429" t="n">
        <v>280</v>
      </c>
      <c r="GL1193" s="431" t="n">
        <v>280</v>
      </c>
      <c r="GM1193" s="688" t="inlineStr">
        <is>
          <t>spare</t>
        </is>
      </c>
      <c r="GN1193" s="431" t="n"/>
      <c r="GO1193" s="451" t="n"/>
      <c r="GP1193" s="451" t="n"/>
      <c r="GQ1193" s="451" t="n"/>
      <c r="GS1193" s="429" t="n">
        <v>280</v>
      </c>
      <c r="GT1193" s="431" t="n">
        <v>280</v>
      </c>
      <c r="GU1193" s="688" t="inlineStr">
        <is>
          <t>spare</t>
        </is>
      </c>
      <c r="GV1193" s="431" t="n"/>
      <c r="GW1193" s="451" t="n"/>
      <c r="GX1193" s="451" t="n"/>
      <c r="GY1193" s="451" t="n"/>
      <c r="HA1193" s="429" t="n">
        <v>280</v>
      </c>
      <c r="HB1193" s="431" t="n">
        <v>280</v>
      </c>
      <c r="HC1193" s="688" t="inlineStr">
        <is>
          <t>spare</t>
        </is>
      </c>
      <c r="HD1193" s="431" t="n"/>
      <c r="HE1193" s="451" t="n"/>
      <c r="HF1193" s="451" t="n"/>
      <c r="HG1193" s="451" t="n"/>
    </row>
    <row r="1196">
      <c r="L1196" s="335" t="n"/>
    </row>
    <row r="1197">
      <c r="C1197" s="265" t="n"/>
      <c r="D1197" s="265" t="n"/>
      <c r="H1197" s="265" t="n"/>
      <c r="I1197" s="265" t="n"/>
      <c r="J1197" s="265" t="n"/>
      <c r="M1197" s="265" t="n"/>
      <c r="P1197" s="265" t="n"/>
      <c r="S1197" s="265" t="n"/>
      <c r="T1197" s="265" t="n"/>
      <c r="V1197" s="265" t="n"/>
      <c r="W1197" s="265" t="n"/>
      <c r="X1197" s="265" t="n"/>
      <c r="Y1197" s="265" t="n"/>
      <c r="Z1197" s="265" t="n"/>
      <c r="AA1197" s="265" t="n"/>
      <c r="AB1197" s="265" t="n"/>
      <c r="AC1197" s="265" t="n"/>
      <c r="AD1197" s="265" t="n"/>
      <c r="AE1197" s="265" t="n"/>
      <c r="AF1197" s="265" t="n"/>
      <c r="AG1197" s="265" t="n"/>
      <c r="AH1197" s="265" t="n"/>
      <c r="AI1197" s="265" t="n"/>
      <c r="AJ1197" s="265" t="n"/>
      <c r="AK1197" s="265" t="n"/>
      <c r="AL1197" s="265" t="n"/>
      <c r="AM1197" s="265" t="n"/>
      <c r="AN1197" s="265" t="n"/>
      <c r="AO1197" s="265" t="n"/>
      <c r="AP1197" s="265" t="n"/>
      <c r="AQ1197" s="265" t="n"/>
      <c r="AR1197" s="265" t="n"/>
      <c r="AS1197" s="265" t="n"/>
      <c r="AT1197" s="265" t="n"/>
      <c r="AU1197" s="265" t="n"/>
      <c r="AV1197" s="265" t="n"/>
      <c r="AW1197" s="265" t="n"/>
      <c r="AX1197" s="265" t="n"/>
      <c r="AY1197" s="265" t="n"/>
      <c r="AZ1197" s="265" t="n"/>
      <c r="BA1197" s="265" t="n"/>
      <c r="BB1197" s="265" t="n"/>
      <c r="BC1197" s="265" t="n"/>
      <c r="BD1197" s="265" t="n"/>
      <c r="BE1197" s="265" t="n"/>
      <c r="BF1197" s="265" t="n"/>
      <c r="BG1197" s="265" t="n"/>
      <c r="BH1197" s="265" t="n"/>
      <c r="BI1197" s="265" t="n"/>
      <c r="BJ1197" s="265" t="n"/>
      <c r="BK1197" s="265" t="n"/>
      <c r="BL1197" s="265" t="n"/>
      <c r="BM1197" s="265" t="n"/>
      <c r="BN1197" s="265" t="n"/>
      <c r="BO1197" s="265" t="n"/>
      <c r="BP1197" s="265" t="n"/>
      <c r="BQ1197" s="265" t="n"/>
      <c r="BR1197" s="265" t="n"/>
      <c r="BS1197" s="265" t="n"/>
      <c r="BT1197" s="265" t="n"/>
      <c r="BU1197" s="265" t="n"/>
      <c r="BV1197" s="265" t="n"/>
      <c r="BW1197" s="265" t="n"/>
      <c r="BX1197" s="265" t="n"/>
      <c r="BY1197" s="265" t="n"/>
      <c r="BZ1197" s="265" t="n"/>
      <c r="CA1197" s="265" t="n"/>
      <c r="CB1197" s="265" t="n"/>
      <c r="CC1197" s="265" t="n"/>
      <c r="CD1197" s="265" t="n"/>
      <c r="CE1197" s="265" t="n"/>
      <c r="CF1197" s="265" t="n"/>
      <c r="CG1197" s="265" t="n"/>
      <c r="CH1197" s="265" t="n"/>
      <c r="CI1197" s="265" t="n"/>
      <c r="CJ1197" s="265" t="n"/>
      <c r="CK1197" s="265" t="n"/>
      <c r="CL1197" s="265" t="n"/>
      <c r="CM1197" s="265" t="n"/>
      <c r="CN1197" s="265" t="n"/>
      <c r="CO1197" s="265" t="n"/>
      <c r="CP1197" s="265" t="n"/>
      <c r="CQ1197" s="265" t="n"/>
      <c r="CR1197" s="265" t="n"/>
      <c r="CS1197" s="265" t="n"/>
      <c r="CT1197" s="265" t="n"/>
      <c r="CU1197" s="265" t="n"/>
    </row>
    <row r="1198">
      <c r="C1198" s="265" t="n"/>
      <c r="D1198" s="265" t="n"/>
      <c r="H1198" s="265" t="n"/>
      <c r="I1198" s="265" t="n"/>
      <c r="J1198" s="265" t="n"/>
      <c r="M1198" s="265" t="n"/>
      <c r="P1198" s="265" t="n"/>
      <c r="S1198" s="265" t="n"/>
      <c r="T1198" s="265" t="n"/>
      <c r="V1198" s="265" t="n"/>
      <c r="W1198" s="265" t="n"/>
      <c r="X1198" s="265" t="n"/>
      <c r="Y1198" s="265" t="n"/>
      <c r="Z1198" s="265" t="n"/>
      <c r="AA1198" s="265" t="n"/>
      <c r="AB1198" s="265" t="n"/>
      <c r="AC1198" s="265" t="n"/>
      <c r="AD1198" s="265" t="n"/>
      <c r="AE1198" s="265" t="n"/>
      <c r="AF1198" s="265" t="n"/>
      <c r="AG1198" s="265" t="n"/>
      <c r="AH1198" s="265" t="n"/>
      <c r="AI1198" s="265" t="n"/>
      <c r="AJ1198" s="265" t="n"/>
      <c r="AK1198" s="265" t="n"/>
      <c r="AL1198" s="265" t="n"/>
      <c r="AM1198" s="265" t="n"/>
      <c r="AN1198" s="265" t="n"/>
      <c r="AO1198" s="265" t="n"/>
      <c r="AP1198" s="265" t="n"/>
      <c r="AQ1198" s="265" t="n"/>
      <c r="AR1198" s="265" t="n"/>
      <c r="AS1198" s="265" t="n"/>
      <c r="AT1198" s="265" t="n"/>
      <c r="AU1198" s="265" t="n"/>
      <c r="AV1198" s="265" t="n"/>
      <c r="AW1198" s="265" t="n"/>
      <c r="AX1198" s="265" t="n"/>
      <c r="AY1198" s="265" t="n"/>
      <c r="AZ1198" s="265" t="n"/>
      <c r="BA1198" s="265" t="n"/>
      <c r="BB1198" s="265" t="n"/>
      <c r="BC1198" s="265" t="n"/>
      <c r="BD1198" s="265" t="n"/>
      <c r="BE1198" s="265" t="n"/>
      <c r="BF1198" s="265" t="n"/>
      <c r="BG1198" s="265" t="n"/>
      <c r="BH1198" s="265" t="n"/>
      <c r="BI1198" s="265" t="n"/>
      <c r="BJ1198" s="265" t="n"/>
      <c r="BK1198" s="265" t="n"/>
      <c r="BL1198" s="265" t="n"/>
      <c r="BM1198" s="265" t="n"/>
      <c r="BN1198" s="265" t="n"/>
      <c r="BO1198" s="265" t="n"/>
      <c r="BP1198" s="265" t="n"/>
      <c r="BQ1198" s="265" t="n"/>
      <c r="BR1198" s="265" t="n"/>
      <c r="BS1198" s="265" t="n"/>
      <c r="BT1198" s="265" t="n"/>
      <c r="BU1198" s="265" t="n"/>
      <c r="BV1198" s="265" t="n"/>
      <c r="BW1198" s="265" t="n"/>
      <c r="BX1198" s="265" t="n"/>
      <c r="BY1198" s="265" t="n"/>
      <c r="BZ1198" s="265" t="n"/>
      <c r="CA1198" s="265" t="n"/>
      <c r="CB1198" s="265" t="n"/>
      <c r="CC1198" s="265" t="n"/>
      <c r="CD1198" s="265" t="n"/>
      <c r="CE1198" s="265" t="n"/>
      <c r="CF1198" s="265" t="n"/>
      <c r="CG1198" s="265" t="n"/>
      <c r="CH1198" s="265" t="n"/>
      <c r="CI1198" s="265" t="n"/>
      <c r="CJ1198" s="265" t="n"/>
      <c r="CK1198" s="265" t="n"/>
      <c r="CL1198" s="265" t="n"/>
      <c r="CM1198" s="265" t="n"/>
      <c r="CN1198" s="265" t="n"/>
      <c r="CO1198" s="265" t="n"/>
      <c r="CP1198" s="265" t="n"/>
      <c r="CQ1198" s="265" t="n"/>
      <c r="CR1198" s="265" t="n"/>
      <c r="CS1198" s="265" t="n"/>
      <c r="CT1198" s="265" t="n"/>
      <c r="CU1198" s="265" t="n"/>
    </row>
    <row r="1199">
      <c r="C1199" s="265" t="n"/>
      <c r="D1199" s="265" t="n"/>
      <c r="H1199" s="265" t="n"/>
      <c r="I1199" s="265" t="n"/>
      <c r="J1199" s="265" t="n"/>
      <c r="M1199" s="265" t="n"/>
      <c r="P1199" s="265" t="n"/>
      <c r="S1199" s="265" t="n"/>
      <c r="T1199" s="265" t="n"/>
      <c r="V1199" s="265" t="n"/>
      <c r="W1199" s="265" t="n"/>
      <c r="X1199" s="265" t="n"/>
      <c r="Y1199" s="265" t="n"/>
      <c r="Z1199" s="265" t="n"/>
      <c r="AA1199" s="265" t="n"/>
      <c r="AB1199" s="265" t="n"/>
      <c r="AC1199" s="265" t="n"/>
      <c r="AD1199" s="265" t="n"/>
      <c r="AE1199" s="265" t="n"/>
      <c r="AF1199" s="265" t="n"/>
      <c r="AG1199" s="265" t="n"/>
      <c r="AH1199" s="265" t="n"/>
      <c r="AI1199" s="265" t="n"/>
      <c r="AJ1199" s="265" t="n"/>
      <c r="AK1199" s="265" t="n"/>
      <c r="AL1199" s="265" t="n"/>
      <c r="AM1199" s="265" t="n"/>
      <c r="AN1199" s="265" t="n"/>
      <c r="AO1199" s="265" t="n"/>
      <c r="AP1199" s="265" t="n"/>
      <c r="AQ1199" s="265" t="n"/>
      <c r="AR1199" s="265" t="n"/>
      <c r="AS1199" s="265" t="n"/>
      <c r="AT1199" s="265" t="n"/>
      <c r="AU1199" s="265" t="n"/>
      <c r="AV1199" s="265" t="n"/>
      <c r="AW1199" s="265" t="n"/>
      <c r="AX1199" s="265" t="n"/>
      <c r="AY1199" s="265" t="n"/>
      <c r="AZ1199" s="265" t="n"/>
      <c r="BA1199" s="265" t="n"/>
      <c r="BB1199" s="265" t="n"/>
      <c r="BC1199" s="265" t="n"/>
      <c r="BD1199" s="265" t="n"/>
      <c r="BE1199" s="265" t="n"/>
      <c r="BF1199" s="265" t="n"/>
      <c r="BG1199" s="265" t="n"/>
      <c r="BH1199" s="265" t="n"/>
      <c r="BI1199" s="265" t="n"/>
      <c r="BJ1199" s="265" t="n"/>
      <c r="BK1199" s="265" t="n"/>
      <c r="BL1199" s="265" t="n"/>
      <c r="BM1199" s="265" t="n"/>
      <c r="BN1199" s="265" t="n"/>
      <c r="BO1199" s="265" t="n"/>
      <c r="BP1199" s="265" t="n"/>
      <c r="BQ1199" s="265" t="n"/>
      <c r="BR1199" s="265" t="n"/>
      <c r="BS1199" s="265" t="n"/>
      <c r="BT1199" s="265" t="n"/>
      <c r="BU1199" s="265" t="n"/>
      <c r="BV1199" s="265" t="n"/>
      <c r="BW1199" s="265" t="n"/>
      <c r="BX1199" s="265" t="n"/>
      <c r="BY1199" s="265" t="n"/>
      <c r="BZ1199" s="265" t="n"/>
      <c r="CA1199" s="265" t="n"/>
      <c r="CB1199" s="265" t="n"/>
      <c r="CC1199" s="265" t="n"/>
      <c r="CD1199" s="265" t="n"/>
      <c r="CE1199" s="265" t="n"/>
      <c r="CF1199" s="265" t="n"/>
      <c r="CG1199" s="265" t="n"/>
      <c r="CH1199" s="265" t="n"/>
      <c r="CI1199" s="265" t="n"/>
      <c r="CJ1199" s="265" t="n"/>
      <c r="CK1199" s="265" t="n"/>
      <c r="CL1199" s="265" t="n"/>
      <c r="CM1199" s="265" t="n"/>
      <c r="CN1199" s="265" t="n"/>
      <c r="CO1199" s="265" t="n"/>
      <c r="CP1199" s="265" t="n"/>
      <c r="CQ1199" s="265" t="n"/>
      <c r="CR1199" s="265" t="n"/>
      <c r="CS1199" s="265" t="n"/>
      <c r="CT1199" s="265" t="n"/>
      <c r="CU1199" s="265" t="n"/>
    </row>
    <row r="1203" ht="45.75" customHeight="1">
      <c r="A1203" s="665" t="inlineStr">
        <is>
          <t>Instructor_Data</t>
        </is>
      </c>
      <c r="B1203" s="798" t="n"/>
      <c r="C1203" s="798" t="n"/>
      <c r="D1203" s="798" t="n"/>
      <c r="E1203" s="798" t="n"/>
      <c r="F1203" s="798" t="n"/>
      <c r="G1203" s="798" t="n"/>
      <c r="H1203" s="798" t="n"/>
      <c r="I1203" s="798" t="n"/>
      <c r="J1203" s="798" t="n"/>
      <c r="K1203" s="798" t="n"/>
      <c r="L1203" s="798" t="n"/>
      <c r="M1203" s="798" t="n"/>
      <c r="N1203" s="798" t="n"/>
      <c r="O1203" s="309" t="n"/>
    </row>
    <row r="1207" ht="21" customHeight="1">
      <c r="A1207" s="808" t="inlineStr">
        <is>
          <t xml:space="preserve">INPUTs from Instructor </t>
        </is>
      </c>
      <c r="B1207" s="798" t="n"/>
      <c r="C1207" s="798" t="n"/>
      <c r="D1207" s="798" t="n"/>
      <c r="E1207" s="798" t="n"/>
      <c r="F1207" s="798" t="n"/>
      <c r="G1207" s="309" t="n"/>
    </row>
    <row r="1208">
      <c r="A1208" s="5" t="inlineStr">
        <is>
          <t>SR.No</t>
        </is>
      </c>
      <c r="B1208" s="5" t="inlineStr">
        <is>
          <t>Variable</t>
        </is>
      </c>
      <c r="C1208" s="19" t="inlineStr">
        <is>
          <t>Labels</t>
        </is>
      </c>
      <c r="D1208" s="5" t="inlineStr">
        <is>
          <t>Data Type</t>
        </is>
      </c>
      <c r="E1208" s="5" t="inlineStr">
        <is>
          <t xml:space="preserve">Source </t>
        </is>
      </c>
      <c r="F1208" s="5" t="inlineStr">
        <is>
          <t>Value</t>
        </is>
      </c>
      <c r="G1208" s="5" t="inlineStr">
        <is>
          <t>Remark</t>
        </is>
      </c>
    </row>
    <row r="1209">
      <c r="A1209" s="804" t="n">
        <v>1</v>
      </c>
      <c r="B1209" s="805" t="inlineStr">
        <is>
          <t>Fault_Number</t>
        </is>
      </c>
      <c r="C1209" s="805" t="inlineStr">
        <is>
          <t xml:space="preserve">Fault Number </t>
        </is>
      </c>
      <c r="D1209" s="804" t="inlineStr">
        <is>
          <t>Integer</t>
        </is>
      </c>
      <c r="E1209" s="804" t="inlineStr">
        <is>
          <t>Instructor UI</t>
        </is>
      </c>
      <c r="F1209" s="804" t="n">
        <v>0</v>
      </c>
      <c r="G1209" s="805" t="inlineStr">
        <is>
          <t>101 to 116 (0 = None)</t>
        </is>
      </c>
    </row>
    <row r="1210">
      <c r="A1210" s="804" t="n">
        <v>2</v>
      </c>
      <c r="B1210" s="805" t="inlineStr">
        <is>
          <t>Cause_Number</t>
        </is>
      </c>
      <c r="C1210" s="805" t="inlineStr">
        <is>
          <t>Cause Number</t>
        </is>
      </c>
      <c r="D1210" s="804" t="inlineStr">
        <is>
          <t>Integer</t>
        </is>
      </c>
      <c r="E1210" s="804" t="inlineStr">
        <is>
          <t>Instructor UI</t>
        </is>
      </c>
      <c r="F1210" s="804" t="n">
        <v>0</v>
      </c>
      <c r="G1210" s="805" t="inlineStr">
        <is>
          <t>10101 to 11601 (0 = Default)</t>
        </is>
      </c>
    </row>
    <row r="1211">
      <c r="A1211" s="804" t="n">
        <v>3</v>
      </c>
      <c r="B1211" s="805" t="inlineStr">
        <is>
          <t>Fault_Command_Action</t>
        </is>
      </c>
      <c r="C1211" s="805" t="inlineStr">
        <is>
          <t>Fault Command Action</t>
        </is>
      </c>
      <c r="D1211" s="804" t="inlineStr">
        <is>
          <t>Integer</t>
        </is>
      </c>
      <c r="E1211" s="804" t="inlineStr">
        <is>
          <t>Instructor UI</t>
        </is>
      </c>
      <c r="F1211" s="804" t="n">
        <v>0</v>
      </c>
      <c r="G1211" s="805" t="inlineStr">
        <is>
          <t>0: Idle, 1: Trigger, 2: Reset</t>
        </is>
      </c>
    </row>
    <row r="1212">
      <c r="A1212" s="804" t="n">
        <v>4</v>
      </c>
      <c r="B1212" s="805" t="inlineStr">
        <is>
          <t>Spare</t>
        </is>
      </c>
      <c r="C1212" s="805" t="inlineStr">
        <is>
          <t>Spare</t>
        </is>
      </c>
      <c r="D1212" s="804" t="inlineStr">
        <is>
          <t>Integer</t>
        </is>
      </c>
      <c r="E1212" s="804" t="inlineStr">
        <is>
          <t>Instructor UI</t>
        </is>
      </c>
      <c r="F1212" s="804" t="n">
        <v>0</v>
      </c>
      <c r="G1212" s="805" t="inlineStr">
        <is>
          <t>Spare (Compression highlights excluded)</t>
        </is>
      </c>
    </row>
    <row r="1213">
      <c r="A1213" s="429" t="n">
        <v>5</v>
      </c>
      <c r="B1213" s="431" t="n"/>
      <c r="C1213" s="688" t="inlineStr">
        <is>
          <t>Spare</t>
        </is>
      </c>
      <c r="D1213" s="431" t="n"/>
      <c r="E1213" s="429" t="n"/>
      <c r="F1213" s="429" t="n"/>
      <c r="G1213" s="429" t="n"/>
    </row>
    <row r="1214">
      <c r="A1214" s="429" t="n">
        <v>6</v>
      </c>
      <c r="B1214" s="431" t="n"/>
      <c r="C1214" s="688" t="inlineStr">
        <is>
          <t>Spare</t>
        </is>
      </c>
      <c r="D1214" s="431" t="n"/>
      <c r="E1214" s="429" t="n"/>
      <c r="F1214" s="429" t="n"/>
      <c r="G1214" s="429" t="n"/>
    </row>
    <row r="1215">
      <c r="A1215" s="429" t="n">
        <v>7</v>
      </c>
      <c r="B1215" s="431" t="n"/>
      <c r="C1215" s="688" t="inlineStr">
        <is>
          <t>Spare</t>
        </is>
      </c>
      <c r="D1215" s="431" t="n"/>
      <c r="E1215" s="429" t="n"/>
      <c r="F1215" s="429" t="n"/>
      <c r="G1215" s="429" t="n"/>
    </row>
    <row r="1216">
      <c r="A1216" s="429" t="n">
        <v>8</v>
      </c>
      <c r="B1216" s="431" t="n"/>
      <c r="C1216" s="688" t="inlineStr">
        <is>
          <t>Spare</t>
        </is>
      </c>
      <c r="D1216" s="431" t="n"/>
      <c r="E1216" s="429" t="n"/>
      <c r="F1216" s="429" t="n"/>
      <c r="G1216" s="429" t="n"/>
    </row>
    <row r="1217">
      <c r="A1217" s="429" t="n">
        <v>9</v>
      </c>
      <c r="B1217" s="431" t="n"/>
      <c r="C1217" s="688" t="inlineStr">
        <is>
          <t>Spare</t>
        </is>
      </c>
      <c r="D1217" s="431" t="n"/>
      <c r="E1217" s="429" t="n"/>
      <c r="F1217" s="429" t="n"/>
      <c r="G1217" s="429" t="n"/>
    </row>
    <row r="1218">
      <c r="A1218" s="429" t="n">
        <v>10</v>
      </c>
      <c r="B1218" s="431" t="n"/>
      <c r="C1218" s="688" t="inlineStr">
        <is>
          <t>Spare</t>
        </is>
      </c>
      <c r="D1218" s="431" t="n"/>
      <c r="E1218" s="429" t="n"/>
      <c r="F1218" s="429" t="n"/>
      <c r="G1218" s="429" t="n"/>
    </row>
    <row r="1219">
      <c r="A1219" s="429" t="n">
        <v>11</v>
      </c>
      <c r="B1219" s="431" t="n"/>
      <c r="C1219" s="688" t="inlineStr">
        <is>
          <t>Spare</t>
        </is>
      </c>
      <c r="D1219" s="431" t="n"/>
      <c r="E1219" s="429" t="n"/>
      <c r="F1219" s="429" t="n"/>
      <c r="G1219" s="429" t="n"/>
    </row>
    <row r="1220">
      <c r="A1220" s="429" t="n">
        <v>12</v>
      </c>
      <c r="B1220" s="431" t="n"/>
      <c r="C1220" s="688" t="inlineStr">
        <is>
          <t>Spare</t>
        </is>
      </c>
      <c r="D1220" s="431" t="n"/>
      <c r="E1220" s="429" t="n"/>
      <c r="F1220" s="429" t="n"/>
      <c r="G1220" s="429" t="n"/>
    </row>
    <row r="1221">
      <c r="A1221" s="429" t="n">
        <v>13</v>
      </c>
      <c r="B1221" s="431" t="n"/>
      <c r="C1221" s="688" t="inlineStr">
        <is>
          <t>Spare</t>
        </is>
      </c>
      <c r="D1221" s="431" t="n"/>
      <c r="E1221" s="429" t="n"/>
      <c r="F1221" s="429" t="n"/>
      <c r="G1221" s="429" t="n"/>
    </row>
    <row r="1222">
      <c r="A1222" s="429" t="n">
        <v>14</v>
      </c>
      <c r="B1222" s="431" t="n"/>
      <c r="C1222" s="688" t="inlineStr">
        <is>
          <t>Spare</t>
        </is>
      </c>
      <c r="D1222" s="431" t="n"/>
      <c r="E1222" s="429" t="n"/>
      <c r="F1222" s="429" t="n"/>
      <c r="G1222" s="429" t="n"/>
    </row>
    <row r="1223">
      <c r="A1223" s="429" t="n">
        <v>15</v>
      </c>
      <c r="B1223" s="431" t="n"/>
      <c r="C1223" s="688" t="inlineStr">
        <is>
          <t>Spare</t>
        </is>
      </c>
      <c r="D1223" s="431" t="n"/>
      <c r="E1223" s="429" t="n"/>
      <c r="F1223" s="429" t="n"/>
      <c r="G1223" s="429" t="n"/>
    </row>
    <row r="1224">
      <c r="A1224" s="429" t="n">
        <v>16</v>
      </c>
      <c r="B1224" s="431" t="n"/>
      <c r="C1224" s="688" t="inlineStr">
        <is>
          <t>Spare</t>
        </is>
      </c>
      <c r="D1224" s="431" t="n"/>
      <c r="E1224" s="429" t="n"/>
      <c r="F1224" s="429" t="n"/>
      <c r="G1224" s="429" t="n"/>
    </row>
    <row r="1225">
      <c r="A1225" s="429" t="n">
        <v>17</v>
      </c>
      <c r="B1225" s="431" t="n"/>
      <c r="C1225" s="688" t="inlineStr">
        <is>
          <t>Spare</t>
        </is>
      </c>
      <c r="D1225" s="431" t="n"/>
      <c r="E1225" s="429" t="n"/>
      <c r="F1225" s="429" t="n"/>
      <c r="G1225" s="429" t="n"/>
    </row>
    <row r="1226">
      <c r="A1226" s="429" t="n">
        <v>18</v>
      </c>
      <c r="B1226" s="431" t="n"/>
      <c r="C1226" s="688" t="inlineStr">
        <is>
          <t>Spare</t>
        </is>
      </c>
      <c r="D1226" s="431" t="n"/>
      <c r="E1226" s="429" t="n"/>
      <c r="F1226" s="429" t="n"/>
      <c r="G1226" s="429" t="n"/>
    </row>
    <row r="1227">
      <c r="A1227" s="429" t="n">
        <v>19</v>
      </c>
      <c r="B1227" s="431" t="n"/>
      <c r="C1227" s="688" t="inlineStr">
        <is>
          <t>Spare</t>
        </is>
      </c>
      <c r="D1227" s="431" t="n"/>
      <c r="E1227" s="429" t="n"/>
      <c r="F1227" s="429" t="n"/>
      <c r="G1227" s="429" t="n"/>
    </row>
    <row r="1228">
      <c r="A1228" s="429" t="n">
        <v>20</v>
      </c>
      <c r="B1228" s="431" t="n"/>
      <c r="C1228" s="688" t="inlineStr">
        <is>
          <t>Spare</t>
        </is>
      </c>
      <c r="D1228" s="431" t="n"/>
      <c r="E1228" s="429" t="n"/>
      <c r="F1228" s="429" t="n"/>
      <c r="G1228" s="429" t="n"/>
    </row>
    <row r="1229">
      <c r="A1229" s="429" t="n">
        <v>21</v>
      </c>
      <c r="B1229" s="431" t="n"/>
      <c r="C1229" s="688" t="inlineStr">
        <is>
          <t>Spare</t>
        </is>
      </c>
      <c r="D1229" s="431" t="n"/>
      <c r="E1229" s="429" t="n"/>
      <c r="F1229" s="429" t="n"/>
      <c r="G1229" s="429" t="n"/>
    </row>
    <row r="1230">
      <c r="A1230" s="429" t="n">
        <v>22</v>
      </c>
      <c r="B1230" s="431" t="n"/>
      <c r="C1230" s="688" t="inlineStr">
        <is>
          <t>Spare</t>
        </is>
      </c>
      <c r="D1230" s="431" t="n"/>
      <c r="E1230" s="429" t="n"/>
      <c r="F1230" s="429" t="n"/>
      <c r="G1230" s="429" t="n"/>
    </row>
    <row r="1231">
      <c r="A1231" s="429" t="n">
        <v>23</v>
      </c>
      <c r="B1231" s="431" t="n"/>
      <c r="C1231" s="688" t="inlineStr">
        <is>
          <t>Spare</t>
        </is>
      </c>
      <c r="D1231" s="431" t="n"/>
      <c r="E1231" s="429" t="n"/>
      <c r="F1231" s="429" t="n"/>
      <c r="G1231" s="429" t="n"/>
    </row>
    <row r="1232">
      <c r="A1232" s="429" t="n">
        <v>24</v>
      </c>
      <c r="B1232" s="431" t="n"/>
      <c r="C1232" s="688" t="inlineStr">
        <is>
          <t>Spare</t>
        </is>
      </c>
      <c r="D1232" s="431" t="n"/>
      <c r="E1232" s="429" t="n"/>
      <c r="F1232" s="429" t="n"/>
      <c r="G1232" s="429" t="n"/>
    </row>
    <row r="1233">
      <c r="A1233" s="429" t="n">
        <v>25</v>
      </c>
      <c r="B1233" s="431" t="n"/>
      <c r="C1233" s="688" t="inlineStr">
        <is>
          <t>Spare</t>
        </is>
      </c>
      <c r="D1233" s="431" t="n"/>
      <c r="E1233" s="429" t="n"/>
      <c r="F1233" s="429" t="n"/>
      <c r="G1233" s="429" t="n"/>
    </row>
    <row r="1241" ht="45.75" customHeight="1">
      <c r="A1241" s="706" t="inlineStr">
        <is>
          <t>Spare_Data</t>
        </is>
      </c>
    </row>
    <row r="1244" ht="21" customHeight="1">
      <c r="A1244" s="808" t="inlineStr">
        <is>
          <t>OTHER INPUTs</t>
        </is>
      </c>
      <c r="B1244" s="798" t="n"/>
      <c r="C1244" s="798" t="n"/>
      <c r="D1244" s="798" t="n"/>
      <c r="E1244" s="798" t="n"/>
      <c r="F1244" s="798" t="n"/>
      <c r="G1244" s="309" t="n"/>
      <c r="K1244" s="810" t="inlineStr">
        <is>
          <t>Other OUTPUTs</t>
        </is>
      </c>
      <c r="L1244" s="798" t="n"/>
      <c r="M1244" s="798" t="n"/>
      <c r="N1244" s="798" t="n"/>
      <c r="O1244" s="798" t="n"/>
      <c r="P1244" s="798" t="n"/>
      <c r="Q1244" s="309" t="n"/>
    </row>
    <row r="1245">
      <c r="A1245" s="5" t="inlineStr">
        <is>
          <t>SR.No</t>
        </is>
      </c>
      <c r="B1245" s="5" t="inlineStr">
        <is>
          <t>Variable</t>
        </is>
      </c>
      <c r="C1245" s="19" t="inlineStr">
        <is>
          <t>Labels</t>
        </is>
      </c>
      <c r="D1245" s="5" t="inlineStr">
        <is>
          <t>Data Type</t>
        </is>
      </c>
      <c r="E1245" s="5" t="inlineStr">
        <is>
          <t xml:space="preserve">Source </t>
        </is>
      </c>
      <c r="F1245" s="5" t="inlineStr">
        <is>
          <t>Value</t>
        </is>
      </c>
      <c r="G1245" s="5" t="inlineStr">
        <is>
          <t>Remark</t>
        </is>
      </c>
      <c r="K1245" s="5" t="inlineStr">
        <is>
          <t>SR.No</t>
        </is>
      </c>
      <c r="L1245" s="5" t="inlineStr">
        <is>
          <t>Variable</t>
        </is>
      </c>
      <c r="M1245" s="5" t="inlineStr">
        <is>
          <t>Labels</t>
        </is>
      </c>
      <c r="N1245" s="5" t="inlineStr">
        <is>
          <t>Data Types</t>
        </is>
      </c>
      <c r="O1245" s="5" t="inlineStr">
        <is>
          <t>Source</t>
        </is>
      </c>
      <c r="P1245" s="5" t="inlineStr">
        <is>
          <t>Value</t>
        </is>
      </c>
      <c r="Q1245" s="5" t="inlineStr">
        <is>
          <t>Remark</t>
        </is>
      </c>
    </row>
    <row r="1246">
      <c r="A1246" s="429" t="n">
        <v>1</v>
      </c>
      <c r="B1246" s="431" t="n"/>
      <c r="C1246" s="688" t="inlineStr">
        <is>
          <t>Spare</t>
        </is>
      </c>
      <c r="D1246" s="431" t="n"/>
      <c r="E1246" s="429" t="n"/>
      <c r="F1246" s="429" t="n"/>
      <c r="G1246" s="429" t="n"/>
      <c r="K1246" s="429" t="n">
        <v>1</v>
      </c>
      <c r="L1246" s="431" t="n"/>
      <c r="M1246" s="429" t="inlineStr">
        <is>
          <t>Spare</t>
        </is>
      </c>
      <c r="N1246" s="431" t="n"/>
      <c r="O1246" s="451" t="n"/>
      <c r="P1246" s="451" t="n"/>
      <c r="Q1246" s="429" t="n"/>
    </row>
    <row r="1247">
      <c r="A1247" s="429" t="n">
        <v>2</v>
      </c>
      <c r="B1247" s="431" t="n"/>
      <c r="C1247" s="688" t="inlineStr">
        <is>
          <t>Spare</t>
        </is>
      </c>
      <c r="D1247" s="431" t="n"/>
      <c r="E1247" s="429" t="n"/>
      <c r="F1247" s="429" t="n"/>
      <c r="G1247" s="429" t="n"/>
      <c r="K1247" s="429" t="n">
        <v>2</v>
      </c>
      <c r="L1247" s="431" t="n"/>
      <c r="M1247" s="429" t="inlineStr">
        <is>
          <t>Spare</t>
        </is>
      </c>
      <c r="N1247" s="431" t="n"/>
      <c r="O1247" s="451" t="n"/>
      <c r="P1247" s="451" t="n"/>
      <c r="Q1247" s="429" t="n"/>
    </row>
    <row r="1248">
      <c r="A1248" s="429" t="n">
        <v>3</v>
      </c>
      <c r="B1248" s="431" t="n"/>
      <c r="C1248" s="688" t="inlineStr">
        <is>
          <t>Spare</t>
        </is>
      </c>
      <c r="D1248" s="431" t="n"/>
      <c r="E1248" s="429" t="n"/>
      <c r="F1248" s="429" t="n"/>
      <c r="G1248" s="429" t="n"/>
      <c r="K1248" s="429" t="n">
        <v>3</v>
      </c>
      <c r="L1248" s="431" t="n"/>
      <c r="M1248" s="429" t="inlineStr">
        <is>
          <t>Spare</t>
        </is>
      </c>
      <c r="N1248" s="431" t="n"/>
      <c r="O1248" s="451" t="n"/>
      <c r="P1248" s="451" t="n"/>
      <c r="Q1248" s="429" t="n"/>
    </row>
    <row r="1249">
      <c r="A1249" s="429" t="n">
        <v>4</v>
      </c>
      <c r="B1249" s="431" t="n"/>
      <c r="C1249" s="688" t="inlineStr">
        <is>
          <t>Spare</t>
        </is>
      </c>
      <c r="D1249" s="431" t="n"/>
      <c r="E1249" s="429" t="n"/>
      <c r="F1249" s="429" t="n"/>
      <c r="G1249" s="429" t="n"/>
      <c r="K1249" s="429" t="n">
        <v>4</v>
      </c>
      <c r="L1249" s="431" t="n"/>
      <c r="M1249" s="429" t="inlineStr">
        <is>
          <t>Spare</t>
        </is>
      </c>
      <c r="N1249" s="431" t="n"/>
      <c r="O1249" s="451" t="n"/>
      <c r="P1249" s="451" t="n"/>
      <c r="Q1249" s="429" t="n"/>
    </row>
    <row r="1250">
      <c r="A1250" s="429" t="n">
        <v>5</v>
      </c>
      <c r="B1250" s="431" t="n"/>
      <c r="C1250" s="688" t="inlineStr">
        <is>
          <t>Spare</t>
        </is>
      </c>
      <c r="D1250" s="431" t="n"/>
      <c r="E1250" s="429" t="n"/>
      <c r="F1250" s="429" t="n"/>
      <c r="G1250" s="429" t="n"/>
      <c r="K1250" s="429" t="n">
        <v>5</v>
      </c>
      <c r="L1250" s="431" t="n"/>
      <c r="M1250" s="429" t="inlineStr">
        <is>
          <t>Spare</t>
        </is>
      </c>
      <c r="N1250" s="431" t="n"/>
      <c r="O1250" s="451" t="n"/>
      <c r="P1250" s="451" t="n"/>
      <c r="Q1250" s="429" t="n"/>
    </row>
    <row r="1251">
      <c r="A1251" s="429" t="n">
        <v>6</v>
      </c>
      <c r="B1251" s="431" t="n"/>
      <c r="C1251" s="688" t="inlineStr">
        <is>
          <t>Spare</t>
        </is>
      </c>
      <c r="D1251" s="431" t="n"/>
      <c r="E1251" s="429" t="n"/>
      <c r="F1251" s="429" t="n"/>
      <c r="G1251" s="429" t="n"/>
      <c r="K1251" s="429" t="n">
        <v>6</v>
      </c>
      <c r="L1251" s="431" t="n"/>
      <c r="M1251" s="429" t="inlineStr">
        <is>
          <t>Spare</t>
        </is>
      </c>
      <c r="N1251" s="431" t="n"/>
      <c r="O1251" s="451" t="n"/>
      <c r="P1251" s="451" t="n"/>
      <c r="Q1251" s="429" t="n"/>
    </row>
    <row r="1252">
      <c r="A1252" s="429" t="n">
        <v>7</v>
      </c>
      <c r="B1252" s="431" t="n"/>
      <c r="C1252" s="688" t="inlineStr">
        <is>
          <t>Spare</t>
        </is>
      </c>
      <c r="D1252" s="431" t="n"/>
      <c r="E1252" s="429" t="n"/>
      <c r="F1252" s="429" t="n"/>
      <c r="G1252" s="429" t="n"/>
      <c r="K1252" s="429" t="n">
        <v>7</v>
      </c>
      <c r="L1252" s="431" t="n"/>
      <c r="M1252" s="429" t="inlineStr">
        <is>
          <t>Spare</t>
        </is>
      </c>
      <c r="N1252" s="431" t="n"/>
      <c r="O1252" s="451" t="n"/>
      <c r="P1252" s="451" t="n"/>
      <c r="Q1252" s="429" t="n"/>
    </row>
    <row r="1253">
      <c r="A1253" s="429" t="n">
        <v>8</v>
      </c>
      <c r="B1253" s="431" t="n"/>
      <c r="C1253" s="688" t="inlineStr">
        <is>
          <t>Spare</t>
        </is>
      </c>
      <c r="D1253" s="431" t="n"/>
      <c r="E1253" s="429" t="n"/>
      <c r="F1253" s="429" t="n"/>
      <c r="G1253" s="429" t="n"/>
      <c r="K1253" s="429" t="n">
        <v>8</v>
      </c>
      <c r="L1253" s="431" t="n"/>
      <c r="M1253" s="429" t="inlineStr">
        <is>
          <t>Spare</t>
        </is>
      </c>
      <c r="N1253" s="431" t="n"/>
      <c r="O1253" s="451" t="n"/>
      <c r="P1253" s="451" t="n"/>
      <c r="Q1253" s="429" t="n"/>
    </row>
    <row r="1254">
      <c r="A1254" s="429" t="n">
        <v>9</v>
      </c>
      <c r="B1254" s="431" t="n"/>
      <c r="C1254" s="688" t="inlineStr">
        <is>
          <t>Spare</t>
        </is>
      </c>
      <c r="D1254" s="431" t="n"/>
      <c r="E1254" s="429" t="n"/>
      <c r="F1254" s="429" t="n"/>
      <c r="G1254" s="429" t="n"/>
      <c r="K1254" s="429" t="n">
        <v>9</v>
      </c>
      <c r="L1254" s="431" t="n"/>
      <c r="M1254" s="429" t="inlineStr">
        <is>
          <t>Spare</t>
        </is>
      </c>
      <c r="N1254" s="431" t="n"/>
      <c r="O1254" s="451" t="n"/>
      <c r="P1254" s="451" t="n"/>
      <c r="Q1254" s="429" t="n"/>
    </row>
    <row r="1255">
      <c r="A1255" s="429" t="n">
        <v>10</v>
      </c>
      <c r="B1255" s="431" t="n"/>
      <c r="C1255" s="688" t="inlineStr">
        <is>
          <t>Spare</t>
        </is>
      </c>
      <c r="D1255" s="431" t="n"/>
      <c r="E1255" s="429" t="n"/>
      <c r="F1255" s="429" t="n"/>
      <c r="G1255" s="429" t="n"/>
      <c r="K1255" s="429" t="n">
        <v>10</v>
      </c>
      <c r="L1255" s="431" t="n"/>
      <c r="M1255" s="429" t="inlineStr">
        <is>
          <t>Spare</t>
        </is>
      </c>
      <c r="N1255" s="431" t="n"/>
      <c r="O1255" s="451" t="n"/>
      <c r="P1255" s="451" t="n"/>
      <c r="Q1255" s="429" t="n"/>
    </row>
    <row r="1256">
      <c r="A1256" s="429" t="n">
        <v>11</v>
      </c>
      <c r="B1256" s="431" t="n"/>
      <c r="C1256" s="688" t="inlineStr">
        <is>
          <t>Spare</t>
        </is>
      </c>
      <c r="D1256" s="431" t="n"/>
      <c r="E1256" s="429" t="n"/>
      <c r="F1256" s="429" t="n"/>
      <c r="G1256" s="429" t="n"/>
      <c r="K1256" s="429" t="n">
        <v>11</v>
      </c>
      <c r="L1256" s="431" t="n"/>
      <c r="M1256" s="429" t="inlineStr">
        <is>
          <t>Spare</t>
        </is>
      </c>
      <c r="N1256" s="431" t="n"/>
      <c r="O1256" s="451" t="n"/>
      <c r="P1256" s="451" t="n"/>
      <c r="Q1256" s="429" t="n"/>
    </row>
    <row r="1257">
      <c r="A1257" s="429" t="n">
        <v>12</v>
      </c>
      <c r="B1257" s="431" t="n"/>
      <c r="C1257" s="688" t="inlineStr">
        <is>
          <t>Spare</t>
        </is>
      </c>
      <c r="D1257" s="431" t="n"/>
      <c r="E1257" s="429" t="n"/>
      <c r="F1257" s="429" t="n"/>
      <c r="G1257" s="429" t="n"/>
      <c r="K1257" s="429" t="n">
        <v>12</v>
      </c>
      <c r="L1257" s="431" t="n"/>
      <c r="M1257" s="429" t="inlineStr">
        <is>
          <t>Spare</t>
        </is>
      </c>
      <c r="N1257" s="431" t="n"/>
      <c r="O1257" s="451" t="n"/>
      <c r="P1257" s="451" t="n"/>
      <c r="Q1257" s="429" t="n"/>
    </row>
    <row r="1258">
      <c r="A1258" s="429" t="n">
        <v>13</v>
      </c>
      <c r="B1258" s="431" t="n"/>
      <c r="C1258" s="688" t="inlineStr">
        <is>
          <t>Spare</t>
        </is>
      </c>
      <c r="D1258" s="431" t="n"/>
      <c r="E1258" s="429" t="n"/>
      <c r="F1258" s="429" t="n"/>
      <c r="G1258" s="429" t="n"/>
      <c r="K1258" s="429" t="n">
        <v>13</v>
      </c>
      <c r="L1258" s="431" t="n"/>
      <c r="M1258" s="429" t="inlineStr">
        <is>
          <t>Spare</t>
        </is>
      </c>
      <c r="N1258" s="431" t="n"/>
      <c r="O1258" s="451" t="n"/>
      <c r="P1258" s="451" t="n"/>
      <c r="Q1258" s="429" t="n"/>
    </row>
    <row r="1259">
      <c r="A1259" s="429" t="n">
        <v>14</v>
      </c>
      <c r="B1259" s="431" t="n"/>
      <c r="C1259" s="688" t="inlineStr">
        <is>
          <t>Spare</t>
        </is>
      </c>
      <c r="D1259" s="431" t="n"/>
      <c r="E1259" s="429" t="n"/>
      <c r="F1259" s="429" t="n"/>
      <c r="G1259" s="429" t="n"/>
      <c r="K1259" s="429" t="n">
        <v>14</v>
      </c>
      <c r="L1259" s="431" t="n"/>
      <c r="M1259" s="429" t="inlineStr">
        <is>
          <t>Spare</t>
        </is>
      </c>
      <c r="N1259" s="431" t="n"/>
      <c r="O1259" s="451" t="n"/>
      <c r="P1259" s="451" t="n"/>
      <c r="Q1259" s="429" t="n"/>
    </row>
    <row r="1260">
      <c r="A1260" s="429" t="n">
        <v>15</v>
      </c>
      <c r="B1260" s="431" t="n"/>
      <c r="C1260" s="688" t="inlineStr">
        <is>
          <t>Spare</t>
        </is>
      </c>
      <c r="D1260" s="431" t="n"/>
      <c r="E1260" s="429" t="n"/>
      <c r="F1260" s="429" t="n"/>
      <c r="G1260" s="429" t="n"/>
      <c r="K1260" s="429" t="n">
        <v>15</v>
      </c>
      <c r="L1260" s="431" t="n"/>
      <c r="M1260" s="429" t="inlineStr">
        <is>
          <t>Spare</t>
        </is>
      </c>
      <c r="N1260" s="431" t="n"/>
      <c r="O1260" s="451" t="n"/>
      <c r="P1260" s="451" t="n"/>
      <c r="Q1260" s="429" t="n"/>
    </row>
    <row r="1261">
      <c r="A1261" s="429" t="n">
        <v>16</v>
      </c>
      <c r="B1261" s="431" t="n"/>
      <c r="C1261" s="688" t="inlineStr">
        <is>
          <t>Spare</t>
        </is>
      </c>
      <c r="D1261" s="431" t="n"/>
      <c r="E1261" s="429" t="n"/>
      <c r="F1261" s="429" t="n"/>
      <c r="G1261" s="429" t="n"/>
      <c r="K1261" s="429" t="n">
        <v>16</v>
      </c>
      <c r="L1261" s="431" t="n"/>
      <c r="M1261" s="429" t="inlineStr">
        <is>
          <t>Spare</t>
        </is>
      </c>
      <c r="N1261" s="431" t="n"/>
      <c r="O1261" s="451" t="n"/>
      <c r="P1261" s="451" t="n"/>
      <c r="Q1261" s="429" t="n"/>
    </row>
    <row r="1262">
      <c r="A1262" s="429" t="n">
        <v>17</v>
      </c>
      <c r="B1262" s="431" t="n"/>
      <c r="C1262" s="688" t="inlineStr">
        <is>
          <t>Spare</t>
        </is>
      </c>
      <c r="D1262" s="431" t="n"/>
      <c r="E1262" s="429" t="n"/>
      <c r="F1262" s="429" t="n"/>
      <c r="G1262" s="429" t="n"/>
      <c r="K1262" s="429" t="n">
        <v>17</v>
      </c>
      <c r="L1262" s="431" t="n"/>
      <c r="M1262" s="429" t="inlineStr">
        <is>
          <t>Spare</t>
        </is>
      </c>
      <c r="N1262" s="431" t="n"/>
      <c r="O1262" s="451" t="n"/>
      <c r="P1262" s="451" t="n"/>
      <c r="Q1262" s="429" t="n"/>
    </row>
    <row r="1263">
      <c r="A1263" s="429" t="n">
        <v>18</v>
      </c>
      <c r="B1263" s="431" t="n"/>
      <c r="C1263" s="688" t="inlineStr">
        <is>
          <t>Spare</t>
        </is>
      </c>
      <c r="D1263" s="431" t="n"/>
      <c r="E1263" s="429" t="n"/>
      <c r="F1263" s="429" t="n"/>
      <c r="G1263" s="429" t="n"/>
      <c r="K1263" s="429" t="n">
        <v>18</v>
      </c>
      <c r="L1263" s="431" t="n"/>
      <c r="M1263" s="429" t="inlineStr">
        <is>
          <t>Spare</t>
        </is>
      </c>
      <c r="N1263" s="431" t="n"/>
      <c r="O1263" s="451" t="n"/>
      <c r="P1263" s="451" t="n"/>
      <c r="Q1263" s="429" t="n"/>
    </row>
    <row r="1264">
      <c r="A1264" s="429" t="n">
        <v>19</v>
      </c>
      <c r="B1264" s="431" t="n"/>
      <c r="C1264" s="688" t="inlineStr">
        <is>
          <t>Spare</t>
        </is>
      </c>
      <c r="D1264" s="431" t="n"/>
      <c r="E1264" s="429" t="n"/>
      <c r="F1264" s="429" t="n"/>
      <c r="G1264" s="429" t="n"/>
      <c r="K1264" s="429" t="n">
        <v>19</v>
      </c>
      <c r="L1264" s="431" t="n"/>
      <c r="M1264" s="429" t="inlineStr">
        <is>
          <t>Spare</t>
        </is>
      </c>
      <c r="N1264" s="431" t="n"/>
      <c r="O1264" s="451" t="n"/>
      <c r="P1264" s="451" t="n"/>
      <c r="Q1264" s="429" t="n"/>
    </row>
    <row r="1265">
      <c r="A1265" s="429" t="n">
        <v>20</v>
      </c>
      <c r="B1265" s="431" t="n"/>
      <c r="C1265" s="688" t="inlineStr">
        <is>
          <t>Spare</t>
        </is>
      </c>
      <c r="D1265" s="431" t="n"/>
      <c r="E1265" s="429" t="n"/>
      <c r="F1265" s="429" t="n"/>
      <c r="G1265" s="429" t="n"/>
      <c r="K1265" s="429" t="n">
        <v>20</v>
      </c>
      <c r="L1265" s="431" t="n"/>
      <c r="M1265" s="429" t="inlineStr">
        <is>
          <t>Spare</t>
        </is>
      </c>
      <c r="N1265" s="431" t="n"/>
      <c r="O1265" s="451" t="n"/>
      <c r="P1265" s="451" t="n"/>
      <c r="Q1265" s="429" t="n"/>
    </row>
    <row r="1266">
      <c r="A1266" s="429" t="n">
        <v>21</v>
      </c>
      <c r="B1266" s="431" t="n"/>
      <c r="C1266" s="688" t="inlineStr">
        <is>
          <t>Spare</t>
        </is>
      </c>
      <c r="D1266" s="431" t="n"/>
      <c r="E1266" s="429" t="n"/>
      <c r="F1266" s="429" t="n"/>
      <c r="G1266" s="429" t="n"/>
      <c r="K1266" s="429" t="n">
        <v>21</v>
      </c>
      <c r="L1266" s="431" t="n"/>
      <c r="M1266" s="429" t="inlineStr">
        <is>
          <t>Spare</t>
        </is>
      </c>
      <c r="N1266" s="431" t="n"/>
      <c r="O1266" s="451" t="n"/>
      <c r="P1266" s="451" t="n"/>
      <c r="Q1266" s="429" t="n"/>
    </row>
    <row r="1267">
      <c r="A1267" s="429" t="n">
        <v>22</v>
      </c>
      <c r="B1267" s="431" t="n"/>
      <c r="C1267" s="688" t="inlineStr">
        <is>
          <t>Spare</t>
        </is>
      </c>
      <c r="D1267" s="431" t="n"/>
      <c r="E1267" s="429" t="n"/>
      <c r="F1267" s="429" t="n"/>
      <c r="G1267" s="429" t="n"/>
      <c r="K1267" s="429" t="n">
        <v>22</v>
      </c>
      <c r="L1267" s="431" t="n"/>
      <c r="M1267" s="429" t="inlineStr">
        <is>
          <t>Spare</t>
        </is>
      </c>
      <c r="N1267" s="431" t="n"/>
      <c r="O1267" s="451" t="n"/>
      <c r="P1267" s="451" t="n"/>
      <c r="Q1267" s="429" t="n"/>
    </row>
    <row r="1268">
      <c r="A1268" s="429" t="n">
        <v>23</v>
      </c>
      <c r="B1268" s="431" t="n"/>
      <c r="C1268" s="688" t="inlineStr">
        <is>
          <t>Spare</t>
        </is>
      </c>
      <c r="D1268" s="431" t="n"/>
      <c r="E1268" s="429" t="n"/>
      <c r="F1268" s="429" t="n"/>
      <c r="G1268" s="429" t="n"/>
      <c r="K1268" s="429" t="n">
        <v>23</v>
      </c>
      <c r="L1268" s="431" t="n"/>
      <c r="M1268" s="429" t="inlineStr">
        <is>
          <t>Spare</t>
        </is>
      </c>
      <c r="N1268" s="431" t="n"/>
      <c r="O1268" s="451" t="n"/>
      <c r="P1268" s="451" t="n"/>
      <c r="Q1268" s="429" t="n"/>
    </row>
    <row r="1269">
      <c r="A1269" s="429" t="n">
        <v>24</v>
      </c>
      <c r="B1269" s="431" t="n"/>
      <c r="C1269" s="688" t="inlineStr">
        <is>
          <t>Spare</t>
        </is>
      </c>
      <c r="D1269" s="431" t="n"/>
      <c r="E1269" s="429" t="n"/>
      <c r="F1269" s="429" t="n"/>
      <c r="G1269" s="429" t="n"/>
      <c r="K1269" s="429" t="n">
        <v>24</v>
      </c>
      <c r="L1269" s="431" t="n"/>
      <c r="M1269" s="429" t="inlineStr">
        <is>
          <t>Spare</t>
        </is>
      </c>
      <c r="N1269" s="431" t="n"/>
      <c r="O1269" s="451" t="n"/>
      <c r="P1269" s="451" t="n"/>
      <c r="Q1269" s="429" t="n"/>
    </row>
    <row r="1270">
      <c r="A1270" s="429" t="n">
        <v>25</v>
      </c>
      <c r="B1270" s="431" t="n"/>
      <c r="C1270" s="688" t="inlineStr">
        <is>
          <t>Spare</t>
        </is>
      </c>
      <c r="D1270" s="431" t="n"/>
      <c r="E1270" s="429" t="n"/>
      <c r="F1270" s="429" t="n"/>
      <c r="G1270" s="429" t="n"/>
      <c r="K1270" s="429" t="n">
        <v>25</v>
      </c>
      <c r="L1270" s="431" t="n"/>
      <c r="M1270" s="429" t="inlineStr">
        <is>
          <t>Spare</t>
        </is>
      </c>
      <c r="N1270" s="431" t="n"/>
      <c r="O1270" s="451" t="n"/>
      <c r="P1270" s="451" t="n"/>
      <c r="Q1270" s="429" t="n"/>
    </row>
    <row r="1271">
      <c r="A1271" s="429" t="n">
        <v>26</v>
      </c>
      <c r="B1271" s="431" t="n"/>
      <c r="C1271" s="688" t="inlineStr">
        <is>
          <t>Spare</t>
        </is>
      </c>
      <c r="D1271" s="431" t="n"/>
      <c r="E1271" s="429" t="n"/>
      <c r="F1271" s="429" t="n"/>
      <c r="G1271" s="429" t="n"/>
      <c r="K1271" s="429" t="n">
        <v>26</v>
      </c>
      <c r="L1271" s="431" t="n"/>
      <c r="M1271" s="429" t="inlineStr">
        <is>
          <t>Spare</t>
        </is>
      </c>
      <c r="N1271" s="431" t="n"/>
      <c r="O1271" s="451" t="n"/>
      <c r="P1271" s="451" t="n"/>
      <c r="Q1271" s="429" t="n"/>
    </row>
    <row r="1272">
      <c r="A1272" s="429" t="n">
        <v>27</v>
      </c>
      <c r="B1272" s="431" t="n"/>
      <c r="C1272" s="688" t="inlineStr">
        <is>
          <t>Spare</t>
        </is>
      </c>
      <c r="D1272" s="431" t="n"/>
      <c r="E1272" s="429" t="n"/>
      <c r="F1272" s="429" t="n"/>
      <c r="G1272" s="429" t="n"/>
      <c r="K1272" s="429" t="n">
        <v>27</v>
      </c>
      <c r="L1272" s="431" t="n"/>
      <c r="M1272" s="429" t="inlineStr">
        <is>
          <t>Spare</t>
        </is>
      </c>
      <c r="N1272" s="431" t="n"/>
      <c r="O1272" s="451" t="n"/>
      <c r="P1272" s="451" t="n"/>
      <c r="Q1272" s="429" t="n"/>
    </row>
    <row r="1273">
      <c r="A1273" s="429" t="n">
        <v>28</v>
      </c>
      <c r="B1273" s="431" t="n"/>
      <c r="C1273" s="688" t="inlineStr">
        <is>
          <t>Spare</t>
        </is>
      </c>
      <c r="D1273" s="431" t="n"/>
      <c r="E1273" s="429" t="n"/>
      <c r="F1273" s="429" t="n"/>
      <c r="G1273" s="429" t="n"/>
      <c r="K1273" s="429" t="n">
        <v>28</v>
      </c>
      <c r="L1273" s="431" t="n"/>
      <c r="M1273" s="429" t="inlineStr">
        <is>
          <t>Spare</t>
        </is>
      </c>
      <c r="N1273" s="431" t="n"/>
      <c r="O1273" s="451" t="n"/>
      <c r="P1273" s="451" t="n"/>
      <c r="Q1273" s="429" t="n"/>
    </row>
    <row r="1274">
      <c r="A1274" s="429" t="n">
        <v>29</v>
      </c>
      <c r="B1274" s="431" t="n"/>
      <c r="C1274" s="688" t="inlineStr">
        <is>
          <t>Spare</t>
        </is>
      </c>
      <c r="D1274" s="431" t="n"/>
      <c r="E1274" s="429" t="n"/>
      <c r="F1274" s="429" t="n"/>
      <c r="G1274" s="429" t="n"/>
      <c r="K1274" s="429" t="n">
        <v>29</v>
      </c>
      <c r="L1274" s="431" t="n"/>
      <c r="M1274" s="429" t="inlineStr">
        <is>
          <t>Spare</t>
        </is>
      </c>
      <c r="N1274" s="431" t="n"/>
      <c r="O1274" s="451" t="n"/>
      <c r="P1274" s="451" t="n"/>
      <c r="Q1274" s="429" t="n"/>
    </row>
    <row r="1275">
      <c r="A1275" s="429" t="n">
        <v>30</v>
      </c>
      <c r="B1275" s="431" t="n"/>
      <c r="C1275" s="688" t="inlineStr">
        <is>
          <t>Spare</t>
        </is>
      </c>
      <c r="D1275" s="431" t="n"/>
      <c r="E1275" s="429" t="n"/>
      <c r="F1275" s="429" t="n"/>
      <c r="G1275" s="429" t="n"/>
      <c r="K1275" s="429" t="n">
        <v>30</v>
      </c>
      <c r="L1275" s="431" t="n"/>
      <c r="M1275" s="429" t="inlineStr">
        <is>
          <t>Spare</t>
        </is>
      </c>
      <c r="N1275" s="431" t="n"/>
      <c r="O1275" s="451" t="n"/>
      <c r="P1275" s="451" t="n"/>
      <c r="Q1275" s="429" t="n"/>
    </row>
    <row r="1276">
      <c r="A1276" s="429" t="n">
        <v>31</v>
      </c>
      <c r="B1276" s="431" t="n"/>
      <c r="C1276" s="688" t="inlineStr">
        <is>
          <t>Spare</t>
        </is>
      </c>
      <c r="D1276" s="431" t="n"/>
      <c r="E1276" s="429" t="n"/>
      <c r="F1276" s="429" t="n"/>
      <c r="G1276" s="429" t="n"/>
      <c r="K1276" s="429" t="n">
        <v>31</v>
      </c>
      <c r="L1276" s="431" t="n"/>
      <c r="M1276" s="429" t="inlineStr">
        <is>
          <t>Spare</t>
        </is>
      </c>
      <c r="N1276" s="431" t="n"/>
      <c r="O1276" s="451" t="n"/>
      <c r="P1276" s="451" t="n"/>
      <c r="Q1276" s="429" t="n"/>
    </row>
    <row r="1277">
      <c r="A1277" s="429" t="n">
        <v>32</v>
      </c>
      <c r="B1277" s="431" t="n"/>
      <c r="C1277" s="688" t="inlineStr">
        <is>
          <t>Spare</t>
        </is>
      </c>
      <c r="D1277" s="431" t="n"/>
      <c r="E1277" s="429" t="n"/>
      <c r="F1277" s="429" t="n"/>
      <c r="G1277" s="429" t="n"/>
      <c r="K1277" s="429" t="n">
        <v>32</v>
      </c>
      <c r="L1277" s="431" t="n"/>
      <c r="M1277" s="429" t="inlineStr">
        <is>
          <t>Spare</t>
        </is>
      </c>
      <c r="N1277" s="431" t="n"/>
      <c r="O1277" s="451" t="n"/>
      <c r="P1277" s="451" t="n"/>
      <c r="Q1277" s="429" t="n"/>
    </row>
    <row r="1278">
      <c r="A1278" s="429" t="n">
        <v>33</v>
      </c>
      <c r="B1278" s="431" t="n"/>
      <c r="C1278" s="688" t="inlineStr">
        <is>
          <t>Spare</t>
        </is>
      </c>
      <c r="D1278" s="431" t="n"/>
      <c r="E1278" s="429" t="n"/>
      <c r="F1278" s="429" t="n"/>
      <c r="G1278" s="429" t="n"/>
      <c r="K1278" s="429" t="n">
        <v>33</v>
      </c>
      <c r="L1278" s="431" t="n"/>
      <c r="M1278" s="429" t="inlineStr">
        <is>
          <t>Spare</t>
        </is>
      </c>
      <c r="N1278" s="431" t="n"/>
      <c r="O1278" s="451" t="n"/>
      <c r="P1278" s="451" t="n"/>
      <c r="Q1278" s="429" t="n"/>
    </row>
    <row r="1279">
      <c r="A1279" s="429" t="n">
        <v>34</v>
      </c>
      <c r="B1279" s="431" t="n"/>
      <c r="C1279" s="688" t="inlineStr">
        <is>
          <t>Spare</t>
        </is>
      </c>
      <c r="D1279" s="431" t="n"/>
      <c r="E1279" s="429" t="n"/>
      <c r="F1279" s="429" t="n"/>
      <c r="G1279" s="429" t="n"/>
      <c r="K1279" s="429" t="n">
        <v>34</v>
      </c>
      <c r="L1279" s="431" t="n"/>
      <c r="M1279" s="429" t="inlineStr">
        <is>
          <t>Spare</t>
        </is>
      </c>
      <c r="N1279" s="431" t="n"/>
      <c r="O1279" s="451" t="n"/>
      <c r="P1279" s="451" t="n"/>
      <c r="Q1279" s="429" t="n"/>
    </row>
    <row r="1280">
      <c r="A1280" s="429" t="n">
        <v>35</v>
      </c>
      <c r="B1280" s="431" t="n"/>
      <c r="C1280" s="688" t="inlineStr">
        <is>
          <t>Spare</t>
        </is>
      </c>
      <c r="D1280" s="431" t="n"/>
      <c r="E1280" s="429" t="n"/>
      <c r="F1280" s="429" t="n"/>
      <c r="G1280" s="429" t="n"/>
      <c r="K1280" s="429" t="n">
        <v>35</v>
      </c>
      <c r="L1280" s="431" t="n"/>
      <c r="M1280" s="429" t="inlineStr">
        <is>
          <t>Spare</t>
        </is>
      </c>
      <c r="N1280" s="431" t="n"/>
      <c r="O1280" s="451" t="n"/>
      <c r="P1280" s="451" t="n"/>
      <c r="Q1280" s="429" t="n"/>
    </row>
    <row r="1281">
      <c r="A1281" s="429" t="n">
        <v>36</v>
      </c>
      <c r="B1281" s="431" t="n"/>
      <c r="C1281" s="688" t="inlineStr">
        <is>
          <t>Spare</t>
        </is>
      </c>
      <c r="D1281" s="431" t="n"/>
      <c r="E1281" s="429" t="n"/>
      <c r="F1281" s="429" t="n"/>
      <c r="G1281" s="429" t="n"/>
      <c r="K1281" s="429" t="n">
        <v>36</v>
      </c>
      <c r="L1281" s="431" t="n"/>
      <c r="M1281" s="429" t="inlineStr">
        <is>
          <t>Spare</t>
        </is>
      </c>
      <c r="N1281" s="431" t="n"/>
      <c r="O1281" s="451" t="n"/>
      <c r="P1281" s="451" t="n"/>
      <c r="Q1281" s="429" t="n"/>
    </row>
    <row r="1282">
      <c r="A1282" s="429" t="n">
        <v>37</v>
      </c>
      <c r="B1282" s="431" t="n"/>
      <c r="C1282" s="688" t="inlineStr">
        <is>
          <t>Spare</t>
        </is>
      </c>
      <c r="D1282" s="431" t="n"/>
      <c r="E1282" s="429" t="n"/>
      <c r="F1282" s="429" t="n"/>
      <c r="G1282" s="429" t="n"/>
      <c r="K1282" s="429" t="n">
        <v>37</v>
      </c>
      <c r="L1282" s="431" t="n"/>
      <c r="M1282" s="429" t="inlineStr">
        <is>
          <t>Spare</t>
        </is>
      </c>
      <c r="N1282" s="431" t="n"/>
      <c r="O1282" s="451" t="n"/>
      <c r="P1282" s="451" t="n"/>
      <c r="Q1282" s="429" t="n"/>
    </row>
    <row r="1283">
      <c r="A1283" s="429" t="n">
        <v>38</v>
      </c>
      <c r="B1283" s="431" t="n"/>
      <c r="C1283" s="688" t="inlineStr">
        <is>
          <t>Spare</t>
        </is>
      </c>
      <c r="D1283" s="431" t="n"/>
      <c r="E1283" s="429" t="n"/>
      <c r="F1283" s="429" t="n"/>
      <c r="G1283" s="429" t="n"/>
      <c r="K1283" s="429" t="n">
        <v>38</v>
      </c>
      <c r="L1283" s="431" t="n"/>
      <c r="M1283" s="429" t="inlineStr">
        <is>
          <t>Spare</t>
        </is>
      </c>
      <c r="N1283" s="431" t="n"/>
      <c r="O1283" s="451" t="n"/>
      <c r="P1283" s="451" t="n"/>
      <c r="Q1283" s="429" t="n"/>
    </row>
    <row r="1284">
      <c r="A1284" s="429" t="n">
        <v>39</v>
      </c>
      <c r="B1284" s="431" t="n"/>
      <c r="C1284" s="688" t="inlineStr">
        <is>
          <t>Spare</t>
        </is>
      </c>
      <c r="D1284" s="431" t="n"/>
      <c r="E1284" s="429" t="n"/>
      <c r="F1284" s="429" t="n"/>
      <c r="G1284" s="429" t="n"/>
      <c r="K1284" s="429" t="n">
        <v>39</v>
      </c>
      <c r="L1284" s="431" t="n"/>
      <c r="M1284" s="429" t="inlineStr">
        <is>
          <t>Spare</t>
        </is>
      </c>
      <c r="N1284" s="431" t="n"/>
      <c r="O1284" s="451" t="n"/>
      <c r="P1284" s="451" t="n"/>
      <c r="Q1284" s="429" t="n"/>
    </row>
    <row r="1285">
      <c r="A1285" s="429" t="n">
        <v>40</v>
      </c>
      <c r="B1285" s="431" t="n"/>
      <c r="C1285" s="688" t="inlineStr">
        <is>
          <t>Spare</t>
        </is>
      </c>
      <c r="D1285" s="431" t="n"/>
      <c r="E1285" s="429" t="n"/>
      <c r="F1285" s="429" t="n"/>
      <c r="G1285" s="429" t="n"/>
      <c r="K1285" s="429" t="n">
        <v>40</v>
      </c>
      <c r="L1285" s="431" t="n"/>
      <c r="M1285" s="429" t="inlineStr">
        <is>
          <t>Spare</t>
        </is>
      </c>
      <c r="N1285" s="431" t="n"/>
      <c r="O1285" s="451" t="n"/>
      <c r="P1285" s="451" t="n"/>
      <c r="Q1285" s="429" t="n"/>
    </row>
    <row r="1286">
      <c r="A1286" s="429" t="n">
        <v>41</v>
      </c>
      <c r="B1286" s="431" t="n"/>
      <c r="C1286" s="688" t="inlineStr">
        <is>
          <t>Spare</t>
        </is>
      </c>
      <c r="D1286" s="431" t="n"/>
      <c r="E1286" s="429" t="n"/>
      <c r="F1286" s="429" t="n"/>
      <c r="G1286" s="429" t="n"/>
      <c r="K1286" s="429" t="n">
        <v>41</v>
      </c>
      <c r="L1286" s="431" t="n"/>
      <c r="M1286" s="429" t="inlineStr">
        <is>
          <t>Spare</t>
        </is>
      </c>
      <c r="N1286" s="431" t="n"/>
      <c r="O1286" s="451" t="n"/>
      <c r="P1286" s="451" t="n"/>
      <c r="Q1286" s="429" t="n"/>
    </row>
    <row r="1287">
      <c r="A1287" s="429" t="n">
        <v>42</v>
      </c>
      <c r="B1287" s="431" t="n"/>
      <c r="C1287" s="688" t="inlineStr">
        <is>
          <t>Spare</t>
        </is>
      </c>
      <c r="D1287" s="431" t="n"/>
      <c r="E1287" s="429" t="n"/>
      <c r="F1287" s="429" t="n"/>
      <c r="G1287" s="429" t="n"/>
      <c r="K1287" s="429" t="n">
        <v>42</v>
      </c>
      <c r="L1287" s="431" t="n"/>
      <c r="M1287" s="429" t="inlineStr">
        <is>
          <t>Spare</t>
        </is>
      </c>
      <c r="N1287" s="431" t="n"/>
      <c r="O1287" s="451" t="n"/>
      <c r="P1287" s="451" t="n"/>
      <c r="Q1287" s="429" t="n"/>
    </row>
    <row r="1288">
      <c r="A1288" s="429" t="n">
        <v>43</v>
      </c>
      <c r="B1288" s="431" t="n"/>
      <c r="C1288" s="688" t="inlineStr">
        <is>
          <t>Spare</t>
        </is>
      </c>
      <c r="D1288" s="431" t="n"/>
      <c r="E1288" s="429" t="n"/>
      <c r="F1288" s="429" t="n"/>
      <c r="G1288" s="429" t="n"/>
      <c r="K1288" s="429" t="n">
        <v>43</v>
      </c>
      <c r="L1288" s="431" t="n"/>
      <c r="M1288" s="429" t="inlineStr">
        <is>
          <t>Spare</t>
        </is>
      </c>
      <c r="N1288" s="431" t="n"/>
      <c r="O1288" s="451" t="n"/>
      <c r="P1288" s="451" t="n"/>
      <c r="Q1288" s="429" t="n"/>
    </row>
    <row r="1289">
      <c r="A1289" s="429" t="n">
        <v>44</v>
      </c>
      <c r="B1289" s="431" t="n"/>
      <c r="C1289" s="688" t="inlineStr">
        <is>
          <t>Spare</t>
        </is>
      </c>
      <c r="D1289" s="431" t="n"/>
      <c r="E1289" s="429" t="n"/>
      <c r="F1289" s="429" t="n"/>
      <c r="G1289" s="429" t="n"/>
      <c r="K1289" s="429" t="n">
        <v>44</v>
      </c>
      <c r="L1289" s="431" t="n"/>
      <c r="M1289" s="429" t="inlineStr">
        <is>
          <t>Spare</t>
        </is>
      </c>
      <c r="N1289" s="431" t="n"/>
      <c r="O1289" s="451" t="n"/>
      <c r="P1289" s="451" t="n"/>
      <c r="Q1289" s="429" t="n"/>
    </row>
    <row r="1290">
      <c r="A1290" s="429" t="n">
        <v>45</v>
      </c>
      <c r="B1290" s="431" t="n"/>
      <c r="C1290" s="688" t="inlineStr">
        <is>
          <t>Spare</t>
        </is>
      </c>
      <c r="D1290" s="431" t="n"/>
      <c r="E1290" s="429" t="n"/>
      <c r="F1290" s="429" t="n"/>
      <c r="G1290" s="429" t="n"/>
      <c r="K1290" s="429" t="n">
        <v>45</v>
      </c>
      <c r="L1290" s="431" t="n"/>
      <c r="M1290" s="429" t="inlineStr">
        <is>
          <t>Spare</t>
        </is>
      </c>
      <c r="N1290" s="431" t="n"/>
      <c r="O1290" s="451" t="n"/>
      <c r="P1290" s="451" t="n"/>
      <c r="Q1290" s="429" t="n"/>
    </row>
    <row r="1291">
      <c r="A1291" s="429" t="n">
        <v>46</v>
      </c>
      <c r="B1291" s="431" t="n"/>
      <c r="C1291" s="688" t="inlineStr">
        <is>
          <t>Spare</t>
        </is>
      </c>
      <c r="D1291" s="431" t="n"/>
      <c r="E1291" s="429" t="n"/>
      <c r="F1291" s="429" t="n"/>
      <c r="G1291" s="429" t="n"/>
      <c r="K1291" s="429" t="n">
        <v>46</v>
      </c>
      <c r="L1291" s="431" t="n"/>
      <c r="M1291" s="429" t="inlineStr">
        <is>
          <t>Spare</t>
        </is>
      </c>
      <c r="N1291" s="431" t="n"/>
      <c r="O1291" s="451" t="n"/>
      <c r="P1291" s="451" t="n"/>
      <c r="Q1291" s="429" t="n"/>
    </row>
    <row r="1292">
      <c r="A1292" s="429" t="n">
        <v>47</v>
      </c>
      <c r="B1292" s="431" t="n"/>
      <c r="C1292" s="688" t="inlineStr">
        <is>
          <t>Spare</t>
        </is>
      </c>
      <c r="D1292" s="431" t="n"/>
      <c r="E1292" s="429" t="n"/>
      <c r="F1292" s="429" t="n"/>
      <c r="G1292" s="429" t="n"/>
      <c r="K1292" s="429" t="n">
        <v>47</v>
      </c>
      <c r="L1292" s="431" t="n"/>
      <c r="M1292" s="429" t="inlineStr">
        <is>
          <t>Spare</t>
        </is>
      </c>
      <c r="N1292" s="431" t="n"/>
      <c r="O1292" s="451" t="n"/>
      <c r="P1292" s="451" t="n"/>
      <c r="Q1292" s="429" t="n"/>
    </row>
    <row r="1293">
      <c r="A1293" s="429" t="n">
        <v>48</v>
      </c>
      <c r="B1293" s="431" t="n"/>
      <c r="C1293" s="688" t="inlineStr">
        <is>
          <t>Spare</t>
        </is>
      </c>
      <c r="D1293" s="431" t="n"/>
      <c r="E1293" s="429" t="n"/>
      <c r="F1293" s="429" t="n"/>
      <c r="G1293" s="429" t="n"/>
      <c r="K1293" s="429" t="n">
        <v>48</v>
      </c>
      <c r="L1293" s="431" t="n"/>
      <c r="M1293" s="429" t="inlineStr">
        <is>
          <t>Spare</t>
        </is>
      </c>
      <c r="N1293" s="431" t="n"/>
      <c r="O1293" s="451" t="n"/>
      <c r="P1293" s="451" t="n"/>
      <c r="Q1293" s="429" t="n"/>
    </row>
    <row r="1294">
      <c r="A1294" s="429" t="n">
        <v>49</v>
      </c>
      <c r="B1294" s="431" t="n"/>
      <c r="C1294" s="688" t="inlineStr">
        <is>
          <t>Spare</t>
        </is>
      </c>
      <c r="D1294" s="431" t="n"/>
      <c r="E1294" s="429" t="n"/>
      <c r="F1294" s="429" t="n"/>
      <c r="G1294" s="429" t="n"/>
      <c r="K1294" s="429" t="n">
        <v>49</v>
      </c>
      <c r="L1294" s="431" t="n"/>
      <c r="M1294" s="429" t="inlineStr">
        <is>
          <t>Spare</t>
        </is>
      </c>
      <c r="N1294" s="431" t="n"/>
      <c r="O1294" s="451" t="n"/>
      <c r="P1294" s="451" t="n"/>
      <c r="Q1294" s="429" t="n"/>
    </row>
    <row r="1295">
      <c r="A1295" s="429" t="n">
        <v>50</v>
      </c>
      <c r="B1295" s="431" t="n"/>
      <c r="C1295" s="688" t="inlineStr">
        <is>
          <t>Spare</t>
        </is>
      </c>
      <c r="D1295" s="431" t="n"/>
      <c r="E1295" s="429" t="n"/>
      <c r="F1295" s="429" t="n"/>
      <c r="G1295" s="429" t="n"/>
      <c r="K1295" s="429" t="n">
        <v>50</v>
      </c>
      <c r="L1295" s="431" t="n"/>
      <c r="M1295" s="429" t="inlineStr">
        <is>
          <t>Spare</t>
        </is>
      </c>
      <c r="N1295" s="431" t="n"/>
      <c r="O1295" s="451" t="n"/>
      <c r="P1295" s="451" t="n"/>
      <c r="Q1295" s="429" t="n"/>
    </row>
    <row r="1296">
      <c r="A1296" s="429" t="n">
        <v>51</v>
      </c>
      <c r="B1296" s="431" t="n"/>
      <c r="C1296" s="688" t="inlineStr">
        <is>
          <t>Spare</t>
        </is>
      </c>
      <c r="D1296" s="431" t="n"/>
      <c r="E1296" s="429" t="n"/>
      <c r="F1296" s="429" t="n"/>
      <c r="G1296" s="429" t="n"/>
      <c r="K1296" s="429" t="n">
        <v>51</v>
      </c>
      <c r="L1296" s="431" t="n"/>
      <c r="M1296" s="429" t="inlineStr">
        <is>
          <t>Spare</t>
        </is>
      </c>
      <c r="N1296" s="431" t="n"/>
      <c r="O1296" s="451" t="n"/>
      <c r="P1296" s="451" t="n"/>
      <c r="Q1296" s="429" t="n"/>
    </row>
    <row r="1297">
      <c r="A1297" s="429" t="n">
        <v>52</v>
      </c>
      <c r="B1297" s="431" t="n"/>
      <c r="C1297" s="688" t="inlineStr">
        <is>
          <t>Spare</t>
        </is>
      </c>
      <c r="D1297" s="431" t="n"/>
      <c r="E1297" s="429" t="n"/>
      <c r="F1297" s="429" t="n"/>
      <c r="G1297" s="429" t="n"/>
    </row>
    <row r="1298">
      <c r="A1298" s="429" t="n">
        <v>53</v>
      </c>
      <c r="B1298" s="431" t="n"/>
      <c r="C1298" s="688" t="inlineStr">
        <is>
          <t>Spare</t>
        </is>
      </c>
      <c r="D1298" s="431" t="n"/>
      <c r="E1298" s="429" t="n"/>
      <c r="F1298" s="429" t="n"/>
      <c r="G1298" s="429" t="n"/>
    </row>
    <row r="1299">
      <c r="A1299" s="429" t="n">
        <v>54</v>
      </c>
      <c r="B1299" s="431" t="n"/>
      <c r="C1299" s="688" t="inlineStr">
        <is>
          <t>Spare</t>
        </is>
      </c>
      <c r="D1299" s="431" t="n"/>
      <c r="E1299" s="429" t="n"/>
      <c r="F1299" s="429" t="n"/>
      <c r="G1299" s="429" t="n"/>
    </row>
    <row r="1300">
      <c r="A1300" s="429" t="n">
        <v>55</v>
      </c>
      <c r="B1300" s="431" t="n"/>
      <c r="C1300" s="688" t="inlineStr">
        <is>
          <t>Spare</t>
        </is>
      </c>
      <c r="D1300" s="431" t="n"/>
      <c r="E1300" s="429" t="n"/>
      <c r="F1300" s="429" t="n"/>
      <c r="G1300" s="429" t="n"/>
    </row>
    <row r="1301">
      <c r="A1301" s="429" t="n">
        <v>56</v>
      </c>
      <c r="B1301" s="431" t="n"/>
      <c r="C1301" s="688" t="inlineStr">
        <is>
          <t>Spare</t>
        </is>
      </c>
      <c r="D1301" s="431" t="n"/>
      <c r="E1301" s="429" t="n"/>
      <c r="F1301" s="429" t="n"/>
      <c r="G1301" s="429" t="n"/>
    </row>
    <row r="1302">
      <c r="A1302" s="429" t="n">
        <v>57</v>
      </c>
      <c r="B1302" s="431" t="n"/>
      <c r="C1302" s="688" t="inlineStr">
        <is>
          <t>Spare</t>
        </is>
      </c>
      <c r="D1302" s="431" t="n"/>
      <c r="E1302" s="429" t="n"/>
      <c r="F1302" s="429" t="n"/>
      <c r="G1302" s="429" t="n"/>
    </row>
    <row r="1310">
      <c r="A1310" s="567" t="inlineStr">
        <is>
          <t>Sr No.</t>
        </is>
      </c>
      <c r="B1310" s="568" t="inlineStr">
        <is>
          <t>Description</t>
        </is>
      </c>
      <c r="C1310" s="568" t="inlineStr">
        <is>
          <t>Data from Excel to Maintenance PTT</t>
        </is>
      </c>
      <c r="E1310" s="567" t="inlineStr">
        <is>
          <t>Sr No.</t>
        </is>
      </c>
      <c r="F1310" s="568" t="inlineStr">
        <is>
          <t>Description</t>
        </is>
      </c>
      <c r="G1310" s="568" t="inlineStr">
        <is>
          <t>Data from Maintenance PTT to Excel</t>
        </is>
      </c>
      <c r="I1310" s="567" t="inlineStr">
        <is>
          <t>Sr No.</t>
        </is>
      </c>
      <c r="J1310" s="568" t="inlineStr">
        <is>
          <t>Description</t>
        </is>
      </c>
      <c r="K1310" s="568" t="inlineStr">
        <is>
          <t>Data from Excel to Driving Cab</t>
        </is>
      </c>
      <c r="M1310" s="567" t="inlineStr">
        <is>
          <t>Sr No.</t>
        </is>
      </c>
      <c r="N1310" s="568" t="inlineStr">
        <is>
          <t>Description</t>
        </is>
      </c>
      <c r="O1310" s="568" t="inlineStr">
        <is>
          <t>Data from Driving Cab to Excel</t>
        </is>
      </c>
      <c r="Q1310" s="567" t="inlineStr">
        <is>
          <t>Sr No.</t>
        </is>
      </c>
      <c r="R1310" s="568" t="inlineStr">
        <is>
          <t>Description</t>
        </is>
      </c>
      <c r="S1310" s="568" t="inlineStr">
        <is>
          <t>Data from from Excel to Driving  PTT</t>
        </is>
      </c>
      <c r="U1310" s="567" t="inlineStr">
        <is>
          <t>Sr No.</t>
        </is>
      </c>
      <c r="V1310" s="568" t="inlineStr">
        <is>
          <t>Description</t>
        </is>
      </c>
      <c r="W1310" s="568" t="inlineStr">
        <is>
          <t>Data from Driving PTT to Excel</t>
        </is>
      </c>
    </row>
    <row r="1311">
      <c r="A1311" s="429" t="n">
        <v>1</v>
      </c>
      <c r="B1311" s="429" t="inlineStr">
        <is>
          <t>Speed</t>
        </is>
      </c>
      <c r="C1311" s="429" t="n">
        <v>10</v>
      </c>
      <c r="E1311" s="429" t="n">
        <v>1</v>
      </c>
      <c r="F1311" s="429" t="n"/>
      <c r="G1311" s="429" t="n">
        <v>5</v>
      </c>
      <c r="I1311" s="429" t="n">
        <v>1</v>
      </c>
      <c r="J1311" s="429" t="n">
        <v>12120</v>
      </c>
      <c r="K1311" s="429" t="n">
        <v>5</v>
      </c>
      <c r="M1311" s="429" t="n">
        <v>1</v>
      </c>
      <c r="N1311" s="429" t="n">
        <v>12120</v>
      </c>
      <c r="O1311" s="429" t="n">
        <v>55</v>
      </c>
      <c r="Q1311" s="429" t="n">
        <v>1</v>
      </c>
      <c r="R1311" s="429" t="n">
        <v>12120</v>
      </c>
      <c r="S1311" s="429" t="n">
        <v>5</v>
      </c>
      <c r="U1311" s="429" t="n">
        <v>1</v>
      </c>
      <c r="V1311" s="429" t="n">
        <v>12120</v>
      </c>
      <c r="W1311" s="429" t="n">
        <v>5</v>
      </c>
    </row>
    <row r="1312">
      <c r="A1312" s="429">
        <f>A1311+1</f>
        <v/>
      </c>
      <c r="B1312" s="429" t="n">
        <v>688</v>
      </c>
      <c r="C1312" s="429" t="n">
        <v>2</v>
      </c>
      <c r="E1312" s="429">
        <f>E1311+1</f>
        <v/>
      </c>
      <c r="F1312" s="429" t="n"/>
      <c r="G1312" s="429" t="n">
        <v>2</v>
      </c>
      <c r="I1312" s="429">
        <f>I1311+1</f>
        <v/>
      </c>
      <c r="J1312" s="429" t="n">
        <v>688</v>
      </c>
      <c r="K1312" s="429" t="n">
        <v>10</v>
      </c>
      <c r="M1312" s="429">
        <f>M1311+1</f>
        <v/>
      </c>
      <c r="N1312" s="429" t="n">
        <v>688</v>
      </c>
      <c r="O1312" s="429" t="n">
        <v>5</v>
      </c>
      <c r="Q1312" s="429">
        <f>Q1311+1</f>
        <v/>
      </c>
      <c r="R1312" s="429" t="n">
        <v>688</v>
      </c>
      <c r="S1312" s="429" t="n">
        <v>2</v>
      </c>
      <c r="U1312" s="429">
        <f>U1311+1</f>
        <v/>
      </c>
      <c r="V1312" s="429" t="n">
        <v>688</v>
      </c>
      <c r="W1312" s="429" t="n">
        <v>2</v>
      </c>
    </row>
    <row r="1313">
      <c r="A1313" s="429">
        <f>A1312+1</f>
        <v/>
      </c>
      <c r="B1313" s="429" t="n">
        <v>86</v>
      </c>
      <c r="C1313" s="429" t="n">
        <v>3</v>
      </c>
      <c r="E1313" s="429">
        <f>E1312+1</f>
        <v/>
      </c>
      <c r="F1313" s="429" t="n"/>
      <c r="G1313" s="429" t="n">
        <v>3</v>
      </c>
      <c r="I1313" s="429">
        <f>I1312+1</f>
        <v/>
      </c>
      <c r="J1313" s="429" t="n">
        <v>86</v>
      </c>
      <c r="K1313" s="429" t="n">
        <v>25</v>
      </c>
      <c r="M1313" s="429">
        <f>M1312+1</f>
        <v/>
      </c>
      <c r="N1313" s="429" t="n">
        <v>86</v>
      </c>
      <c r="O1313" s="429" t="n">
        <v>6</v>
      </c>
      <c r="Q1313" s="429">
        <f>Q1312+1</f>
        <v/>
      </c>
      <c r="R1313" s="429" t="n">
        <v>86</v>
      </c>
      <c r="S1313" s="429" t="n">
        <v>3</v>
      </c>
      <c r="U1313" s="429">
        <f>U1312+1</f>
        <v/>
      </c>
      <c r="V1313" s="429" t="n">
        <v>86</v>
      </c>
      <c r="W1313" s="429" t="n">
        <v>3</v>
      </c>
    </row>
    <row r="1314">
      <c r="A1314" s="429">
        <f>A1313+1</f>
        <v/>
      </c>
      <c r="B1314" s="429" t="n">
        <v>890</v>
      </c>
      <c r="C1314" s="429" t="n">
        <v>4</v>
      </c>
      <c r="E1314" s="429">
        <f>E1313+1</f>
        <v/>
      </c>
      <c r="F1314" s="429" t="n"/>
      <c r="G1314" s="429" t="n">
        <v>4</v>
      </c>
      <c r="I1314" s="429">
        <f>I1313+1</f>
        <v/>
      </c>
      <c r="J1314" s="429" t="n">
        <v>890</v>
      </c>
      <c r="K1314" s="429" t="n">
        <v>5</v>
      </c>
      <c r="M1314" s="429">
        <f>M1313+1</f>
        <v/>
      </c>
      <c r="N1314" s="429" t="n">
        <v>890</v>
      </c>
      <c r="O1314" s="429" t="n">
        <v>0</v>
      </c>
      <c r="Q1314" s="429">
        <f>Q1313+1</f>
        <v/>
      </c>
      <c r="R1314" s="429" t="n">
        <v>890</v>
      </c>
      <c r="S1314" s="429" t="n">
        <v>4</v>
      </c>
      <c r="U1314" s="429">
        <f>U1313+1</f>
        <v/>
      </c>
      <c r="V1314" s="429" t="n">
        <v>890</v>
      </c>
      <c r="W1314" s="429" t="n">
        <v>4</v>
      </c>
    </row>
    <row r="1315">
      <c r="A1315" s="429">
        <f>A1314+1</f>
        <v/>
      </c>
      <c r="B1315" s="429" t="n">
        <v>4476</v>
      </c>
      <c r="C1315" s="429" t="n">
        <v>5</v>
      </c>
      <c r="E1315" s="429">
        <f>E1314+1</f>
        <v/>
      </c>
      <c r="F1315" s="429" t="n"/>
      <c r="G1315" s="429" t="n">
        <v>5</v>
      </c>
      <c r="I1315" s="429">
        <f>I1314+1</f>
        <v/>
      </c>
      <c r="J1315" s="429" t="n">
        <v>4476</v>
      </c>
      <c r="K1315" s="429" t="n">
        <v>8</v>
      </c>
      <c r="M1315" s="429">
        <f>M1314+1</f>
        <v/>
      </c>
      <c r="N1315" s="429" t="n">
        <v>4476</v>
      </c>
      <c r="O1315" s="429" t="n">
        <v>5</v>
      </c>
      <c r="Q1315" s="429">
        <f>Q1314+1</f>
        <v/>
      </c>
      <c r="R1315" s="429" t="n">
        <v>4476</v>
      </c>
      <c r="S1315" s="429" t="n">
        <v>5</v>
      </c>
      <c r="U1315" s="429">
        <f>U1314+1</f>
        <v/>
      </c>
      <c r="V1315" s="429" t="n">
        <v>4476</v>
      </c>
      <c r="W1315" s="429" t="n">
        <v>5</v>
      </c>
    </row>
    <row r="1316">
      <c r="A1316" s="429">
        <f>A1315+1</f>
        <v/>
      </c>
      <c r="B1316" s="429" t="n">
        <v>58</v>
      </c>
      <c r="C1316" s="429" t="n">
        <v>6</v>
      </c>
      <c r="E1316" s="429">
        <f>E1315+1</f>
        <v/>
      </c>
      <c r="F1316" s="429" t="n"/>
      <c r="G1316" s="429" t="n">
        <v>6</v>
      </c>
      <c r="I1316" s="429">
        <f>I1315+1</f>
        <v/>
      </c>
      <c r="J1316" s="429" t="n">
        <v>58</v>
      </c>
      <c r="K1316" s="429" t="n">
        <v>6</v>
      </c>
      <c r="M1316" s="429">
        <f>M1315+1</f>
        <v/>
      </c>
      <c r="N1316" s="429" t="n">
        <v>58</v>
      </c>
      <c r="O1316" s="429" t="n">
        <v>6</v>
      </c>
      <c r="Q1316" s="429">
        <f>Q1315+1</f>
        <v/>
      </c>
      <c r="R1316" s="429" t="n">
        <v>58</v>
      </c>
      <c r="S1316" s="429" t="n">
        <v>6</v>
      </c>
      <c r="U1316" s="429">
        <f>U1315+1</f>
        <v/>
      </c>
      <c r="V1316" s="429" t="n">
        <v>58</v>
      </c>
      <c r="W1316" s="429" t="n">
        <v>6</v>
      </c>
    </row>
    <row r="1317">
      <c r="A1317" s="429">
        <f>A1316+1</f>
        <v/>
      </c>
      <c r="B1317" s="429" t="n">
        <v>7</v>
      </c>
      <c r="C1317" s="429" t="n">
        <v>7</v>
      </c>
      <c r="E1317" s="429">
        <f>E1316+1</f>
        <v/>
      </c>
      <c r="F1317" s="429" t="n"/>
      <c r="G1317" s="429" t="n">
        <v>7</v>
      </c>
      <c r="I1317" s="429">
        <f>I1316+1</f>
        <v/>
      </c>
      <c r="J1317" s="429" t="n">
        <v>7</v>
      </c>
      <c r="K1317" s="429" t="n">
        <v>7</v>
      </c>
      <c r="M1317" s="429">
        <f>M1316+1</f>
        <v/>
      </c>
      <c r="N1317" s="429" t="n">
        <v>7</v>
      </c>
      <c r="O1317" s="429" t="n">
        <v>7</v>
      </c>
      <c r="Q1317" s="429">
        <f>Q1316+1</f>
        <v/>
      </c>
      <c r="R1317" s="429" t="n">
        <v>7</v>
      </c>
      <c r="S1317" s="429" t="n">
        <v>7</v>
      </c>
      <c r="U1317" s="429">
        <f>U1316+1</f>
        <v/>
      </c>
      <c r="V1317" s="429" t="n">
        <v>7</v>
      </c>
      <c r="W1317" s="429" t="n">
        <v>7</v>
      </c>
    </row>
    <row r="1318">
      <c r="A1318" s="429">
        <f>A1317+1</f>
        <v/>
      </c>
      <c r="B1318" s="429" t="n">
        <v>8</v>
      </c>
      <c r="C1318" s="429" t="n">
        <v>8</v>
      </c>
      <c r="E1318" s="429">
        <f>E1317+1</f>
        <v/>
      </c>
      <c r="F1318" s="429" t="n"/>
      <c r="G1318" s="429" t="n">
        <v>8</v>
      </c>
      <c r="I1318" s="429">
        <f>I1317+1</f>
        <v/>
      </c>
      <c r="J1318" s="429" t="n">
        <v>8</v>
      </c>
      <c r="K1318" s="429" t="n">
        <v>8</v>
      </c>
      <c r="M1318" s="429">
        <f>M1317+1</f>
        <v/>
      </c>
      <c r="N1318" s="429" t="n">
        <v>8</v>
      </c>
      <c r="O1318" s="429" t="n">
        <v>8</v>
      </c>
      <c r="Q1318" s="429">
        <f>Q1317+1</f>
        <v/>
      </c>
      <c r="R1318" s="429" t="n">
        <v>8</v>
      </c>
      <c r="S1318" s="429" t="n">
        <v>8</v>
      </c>
      <c r="U1318" s="429">
        <f>U1317+1</f>
        <v/>
      </c>
      <c r="V1318" s="429" t="n">
        <v>8</v>
      </c>
      <c r="W1318" s="429" t="n">
        <v>8</v>
      </c>
    </row>
    <row r="1319">
      <c r="A1319" s="429">
        <f>A1318+1</f>
        <v/>
      </c>
      <c r="B1319" s="429" t="n">
        <v>9</v>
      </c>
      <c r="C1319" s="429" t="n">
        <v>10</v>
      </c>
      <c r="E1319" s="429">
        <f>E1318+1</f>
        <v/>
      </c>
      <c r="F1319" s="429" t="n"/>
      <c r="G1319" s="429" t="n">
        <v>10</v>
      </c>
      <c r="I1319" s="429">
        <f>I1318+1</f>
        <v/>
      </c>
      <c r="J1319" s="429" t="n">
        <v>9</v>
      </c>
      <c r="K1319" s="429" t="n">
        <v>10</v>
      </c>
      <c r="M1319" s="429">
        <f>M1318+1</f>
        <v/>
      </c>
      <c r="N1319" s="429" t="n">
        <v>9</v>
      </c>
      <c r="O1319" s="429" t="n">
        <v>10</v>
      </c>
      <c r="Q1319" s="429">
        <f>Q1318+1</f>
        <v/>
      </c>
      <c r="R1319" s="429" t="n">
        <v>9</v>
      </c>
      <c r="S1319" s="429" t="n">
        <v>10</v>
      </c>
      <c r="U1319" s="429">
        <f>U1318+1</f>
        <v/>
      </c>
      <c r="V1319" s="429" t="n">
        <v>9</v>
      </c>
      <c r="W1319" s="429" t="n">
        <v>10</v>
      </c>
    </row>
    <row r="1320">
      <c r="A1320" s="429">
        <f>A1319+1</f>
        <v/>
      </c>
      <c r="B1320" s="429" t="n">
        <v>10</v>
      </c>
      <c r="C1320" s="429" t="n">
        <v>11</v>
      </c>
      <c r="E1320" s="429">
        <f>E1319+1</f>
        <v/>
      </c>
      <c r="F1320" s="429" t="n"/>
      <c r="G1320" s="429" t="n">
        <v>11</v>
      </c>
      <c r="I1320" s="429">
        <f>I1319+1</f>
        <v/>
      </c>
      <c r="J1320" s="429" t="n">
        <v>10</v>
      </c>
      <c r="K1320" s="429" t="n">
        <v>11</v>
      </c>
      <c r="M1320" s="429">
        <f>M1319+1</f>
        <v/>
      </c>
      <c r="N1320" s="429" t="n">
        <v>10</v>
      </c>
      <c r="O1320" s="429" t="n">
        <v>11</v>
      </c>
      <c r="Q1320" s="429">
        <f>Q1319+1</f>
        <v/>
      </c>
      <c r="R1320" s="429" t="n">
        <v>10</v>
      </c>
      <c r="S1320" s="429" t="n">
        <v>11</v>
      </c>
      <c r="U1320" s="429">
        <f>U1319+1</f>
        <v/>
      </c>
      <c r="V1320" s="429" t="n">
        <v>10</v>
      </c>
      <c r="W1320" s="429" t="n">
        <v>11</v>
      </c>
    </row>
    <row r="1321">
      <c r="A1321" s="429">
        <f>A1320+1</f>
        <v/>
      </c>
      <c r="B1321" s="429" t="n">
        <v>11</v>
      </c>
      <c r="C1321" s="429" t="n">
        <v>12</v>
      </c>
      <c r="E1321" s="429">
        <f>E1320+1</f>
        <v/>
      </c>
      <c r="F1321" s="429" t="n"/>
      <c r="G1321" s="429" t="n">
        <v>12</v>
      </c>
      <c r="I1321" s="429">
        <f>I1320+1</f>
        <v/>
      </c>
      <c r="J1321" s="429" t="n">
        <v>11</v>
      </c>
      <c r="K1321" s="429" t="n">
        <v>12</v>
      </c>
      <c r="M1321" s="429">
        <f>M1320+1</f>
        <v/>
      </c>
      <c r="N1321" s="429" t="n">
        <v>11</v>
      </c>
      <c r="O1321" s="429" t="n">
        <v>12</v>
      </c>
      <c r="Q1321" s="429">
        <f>Q1320+1</f>
        <v/>
      </c>
      <c r="R1321" s="429" t="n">
        <v>11</v>
      </c>
      <c r="S1321" s="429" t="n">
        <v>12</v>
      </c>
      <c r="U1321" s="429">
        <f>U1320+1</f>
        <v/>
      </c>
      <c r="V1321" s="429" t="n">
        <v>11</v>
      </c>
      <c r="W1321" s="429" t="n">
        <v>12</v>
      </c>
    </row>
    <row r="1322">
      <c r="A1322" s="429">
        <f>A1321+1</f>
        <v/>
      </c>
      <c r="B1322" s="429" t="n">
        <v>12</v>
      </c>
      <c r="C1322" s="429" t="n">
        <v>13</v>
      </c>
      <c r="E1322" s="429">
        <f>E1321+1</f>
        <v/>
      </c>
      <c r="F1322" s="429" t="n"/>
      <c r="G1322" s="429" t="n">
        <v>13</v>
      </c>
      <c r="I1322" s="429">
        <f>I1321+1</f>
        <v/>
      </c>
      <c r="J1322" s="429" t="n">
        <v>12</v>
      </c>
      <c r="K1322" s="429" t="n">
        <v>13</v>
      </c>
      <c r="M1322" s="429">
        <f>M1321+1</f>
        <v/>
      </c>
      <c r="N1322" s="429" t="n">
        <v>12</v>
      </c>
      <c r="O1322" s="429" t="n">
        <v>13</v>
      </c>
      <c r="Q1322" s="429">
        <f>Q1321+1</f>
        <v/>
      </c>
      <c r="R1322" s="429" t="n">
        <v>12</v>
      </c>
      <c r="S1322" s="429" t="n">
        <v>13</v>
      </c>
      <c r="U1322" s="429">
        <f>U1321+1</f>
        <v/>
      </c>
      <c r="V1322" s="429" t="n">
        <v>12</v>
      </c>
      <c r="W1322" s="429" t="n">
        <v>13</v>
      </c>
    </row>
    <row r="1323">
      <c r="A1323" s="429">
        <f>A1322+1</f>
        <v/>
      </c>
      <c r="B1323" s="429" t="n">
        <v>13</v>
      </c>
      <c r="C1323" s="429" t="n">
        <v>14</v>
      </c>
      <c r="E1323" s="429">
        <f>E1322+1</f>
        <v/>
      </c>
      <c r="F1323" s="429" t="n"/>
      <c r="G1323" s="429" t="n">
        <v>14</v>
      </c>
      <c r="I1323" s="429">
        <f>I1322+1</f>
        <v/>
      </c>
      <c r="J1323" s="429" t="n">
        <v>13</v>
      </c>
      <c r="K1323" s="429" t="n">
        <v>14</v>
      </c>
      <c r="M1323" s="429">
        <f>M1322+1</f>
        <v/>
      </c>
      <c r="N1323" s="429" t="n">
        <v>13</v>
      </c>
      <c r="O1323" s="429" t="n">
        <v>14</v>
      </c>
      <c r="Q1323" s="429">
        <f>Q1322+1</f>
        <v/>
      </c>
      <c r="R1323" s="429" t="n">
        <v>13</v>
      </c>
      <c r="S1323" s="429" t="n">
        <v>14</v>
      </c>
      <c r="U1323" s="429">
        <f>U1322+1</f>
        <v/>
      </c>
      <c r="V1323" s="429" t="n">
        <v>13</v>
      </c>
      <c r="W1323" s="429" t="n">
        <v>14</v>
      </c>
    </row>
    <row r="1324">
      <c r="A1324" s="429">
        <f>A1323+1</f>
        <v/>
      </c>
      <c r="B1324" s="429" t="n">
        <v>14</v>
      </c>
      <c r="C1324" s="429" t="n">
        <v>15</v>
      </c>
      <c r="E1324" s="429">
        <f>E1323+1</f>
        <v/>
      </c>
      <c r="F1324" s="429" t="n"/>
      <c r="G1324" s="429" t="n">
        <v>15</v>
      </c>
      <c r="I1324" s="429">
        <f>I1323+1</f>
        <v/>
      </c>
      <c r="J1324" s="429" t="n">
        <v>14</v>
      </c>
      <c r="K1324" s="429" t="n">
        <v>15</v>
      </c>
      <c r="M1324" s="429">
        <f>M1323+1</f>
        <v/>
      </c>
      <c r="N1324" s="429" t="n">
        <v>14</v>
      </c>
      <c r="O1324" s="429" t="n">
        <v>15</v>
      </c>
      <c r="Q1324" s="429">
        <f>Q1323+1</f>
        <v/>
      </c>
      <c r="R1324" s="429" t="n">
        <v>14</v>
      </c>
      <c r="S1324" s="429" t="n">
        <v>15</v>
      </c>
      <c r="U1324" s="429">
        <f>U1323+1</f>
        <v/>
      </c>
      <c r="V1324" s="429" t="n">
        <v>14</v>
      </c>
      <c r="W1324" s="429" t="n">
        <v>15</v>
      </c>
    </row>
    <row r="1325">
      <c r="A1325" s="429">
        <f>A1324+1</f>
        <v/>
      </c>
      <c r="B1325" s="429" t="n">
        <v>15</v>
      </c>
      <c r="C1325" s="429" t="n">
        <v>16</v>
      </c>
      <c r="E1325" s="429">
        <f>E1324+1</f>
        <v/>
      </c>
      <c r="F1325" s="429" t="n"/>
      <c r="G1325" s="429" t="n">
        <v>16</v>
      </c>
      <c r="I1325" s="429">
        <f>I1324+1</f>
        <v/>
      </c>
      <c r="J1325" s="429" t="n">
        <v>15</v>
      </c>
      <c r="K1325" s="429" t="n">
        <v>16</v>
      </c>
      <c r="M1325" s="429">
        <f>M1324+1</f>
        <v/>
      </c>
      <c r="N1325" s="429" t="n">
        <v>15</v>
      </c>
      <c r="O1325" s="429" t="n">
        <v>16</v>
      </c>
      <c r="Q1325" s="429">
        <f>Q1324+1</f>
        <v/>
      </c>
      <c r="R1325" s="429" t="n">
        <v>15</v>
      </c>
      <c r="S1325" s="429" t="n">
        <v>16</v>
      </c>
      <c r="U1325" s="429">
        <f>U1324+1</f>
        <v/>
      </c>
      <c r="V1325" s="429" t="n">
        <v>15</v>
      </c>
      <c r="W1325" s="429" t="n">
        <v>16</v>
      </c>
    </row>
    <row r="1326">
      <c r="A1326" s="429">
        <f>A1325+1</f>
        <v/>
      </c>
      <c r="B1326" s="429" t="n"/>
      <c r="C1326" s="429" t="n"/>
      <c r="E1326" s="429">
        <f>E1325+1</f>
        <v/>
      </c>
      <c r="F1326" s="429" t="n"/>
      <c r="G1326" s="429" t="n"/>
      <c r="I1326" s="429">
        <f>I1325+1</f>
        <v/>
      </c>
      <c r="J1326" s="429" t="n"/>
      <c r="K1326" s="429" t="n"/>
      <c r="M1326" s="429">
        <f>M1325+1</f>
        <v/>
      </c>
      <c r="N1326" s="429" t="n"/>
      <c r="O1326" s="429" t="n"/>
      <c r="Q1326" s="429">
        <f>Q1325+1</f>
        <v/>
      </c>
      <c r="R1326" s="429" t="n"/>
      <c r="S1326" s="429" t="n"/>
      <c r="U1326" s="429">
        <f>U1325+1</f>
        <v/>
      </c>
      <c r="V1326" s="429" t="n"/>
      <c r="W1326" s="429" t="n"/>
    </row>
    <row r="1327">
      <c r="A1327" s="429">
        <f>A1326+1</f>
        <v/>
      </c>
      <c r="B1327" s="429" t="n"/>
      <c r="C1327" s="429" t="n"/>
      <c r="E1327" s="429">
        <f>E1326+1</f>
        <v/>
      </c>
      <c r="F1327" s="429" t="n"/>
      <c r="G1327" s="429" t="n"/>
      <c r="I1327" s="429">
        <f>I1326+1</f>
        <v/>
      </c>
      <c r="J1327" s="429" t="n"/>
      <c r="K1327" s="429" t="n"/>
      <c r="M1327" s="429">
        <f>M1326+1</f>
        <v/>
      </c>
      <c r="N1327" s="429" t="n"/>
      <c r="O1327" s="429" t="n"/>
      <c r="Q1327" s="429">
        <f>Q1326+1</f>
        <v/>
      </c>
      <c r="R1327" s="429" t="n"/>
      <c r="S1327" s="429" t="n"/>
      <c r="U1327" s="429">
        <f>U1326+1</f>
        <v/>
      </c>
      <c r="V1327" s="429" t="n"/>
      <c r="W1327" s="429" t="n"/>
    </row>
    <row r="1328">
      <c r="A1328" s="429">
        <f>A1327+1</f>
        <v/>
      </c>
      <c r="B1328" s="429" t="n"/>
      <c r="C1328" s="429" t="n"/>
      <c r="E1328" s="429">
        <f>E1327+1</f>
        <v/>
      </c>
      <c r="F1328" s="429" t="n"/>
      <c r="G1328" s="429" t="n"/>
      <c r="I1328" s="429">
        <f>I1327+1</f>
        <v/>
      </c>
      <c r="J1328" s="429" t="n"/>
      <c r="K1328" s="429" t="n"/>
      <c r="M1328" s="429">
        <f>M1327+1</f>
        <v/>
      </c>
      <c r="N1328" s="429" t="n"/>
      <c r="O1328" s="429" t="n"/>
      <c r="Q1328" s="429">
        <f>Q1327+1</f>
        <v/>
      </c>
      <c r="R1328" s="429" t="n"/>
      <c r="S1328" s="429" t="n"/>
      <c r="U1328" s="429">
        <f>U1327+1</f>
        <v/>
      </c>
      <c r="V1328" s="429" t="n"/>
      <c r="W1328" s="429" t="n"/>
    </row>
    <row r="1329">
      <c r="A1329" s="429">
        <f>A1328+1</f>
        <v/>
      </c>
      <c r="B1329" s="429" t="n"/>
      <c r="C1329" s="429" t="n"/>
      <c r="E1329" s="429">
        <f>E1328+1</f>
        <v/>
      </c>
      <c r="F1329" s="429" t="n"/>
      <c r="G1329" s="429" t="n"/>
      <c r="I1329" s="429">
        <f>I1328+1</f>
        <v/>
      </c>
      <c r="J1329" s="429" t="n"/>
      <c r="K1329" s="429" t="n"/>
      <c r="M1329" s="429">
        <f>M1328+1</f>
        <v/>
      </c>
      <c r="N1329" s="429" t="n"/>
      <c r="O1329" s="429" t="n"/>
      <c r="Q1329" s="429">
        <f>Q1328+1</f>
        <v/>
      </c>
      <c r="R1329" s="429" t="n"/>
      <c r="S1329" s="429" t="n"/>
      <c r="U1329" s="429">
        <f>U1328+1</f>
        <v/>
      </c>
      <c r="V1329" s="429" t="n"/>
      <c r="W1329" s="429" t="n"/>
    </row>
    <row r="1330">
      <c r="A1330" s="429">
        <f>A1329+1</f>
        <v/>
      </c>
      <c r="B1330" s="429" t="n"/>
      <c r="C1330" s="429" t="n"/>
      <c r="E1330" s="429">
        <f>E1329+1</f>
        <v/>
      </c>
      <c r="F1330" s="429" t="n"/>
      <c r="G1330" s="429" t="n"/>
      <c r="I1330" s="429">
        <f>I1329+1</f>
        <v/>
      </c>
      <c r="J1330" s="429" t="n"/>
      <c r="K1330" s="429" t="n"/>
      <c r="M1330" s="429">
        <f>M1329+1</f>
        <v/>
      </c>
      <c r="N1330" s="429" t="n"/>
      <c r="O1330" s="429" t="n"/>
      <c r="Q1330" s="429">
        <f>Q1329+1</f>
        <v/>
      </c>
      <c r="R1330" s="429" t="n"/>
      <c r="S1330" s="429" t="n"/>
      <c r="U1330" s="429">
        <f>U1329+1</f>
        <v/>
      </c>
      <c r="V1330" s="429" t="n"/>
      <c r="W1330" s="429" t="n"/>
    </row>
    <row r="1331">
      <c r="A1331" s="429">
        <f>A1330+1</f>
        <v/>
      </c>
      <c r="B1331" s="429" t="n"/>
      <c r="C1331" s="429" t="n"/>
      <c r="E1331" s="429">
        <f>E1330+1</f>
        <v/>
      </c>
      <c r="F1331" s="429" t="n"/>
      <c r="G1331" s="429" t="n"/>
      <c r="I1331" s="429">
        <f>I1330+1</f>
        <v/>
      </c>
      <c r="J1331" s="429" t="n"/>
      <c r="K1331" s="429" t="n"/>
      <c r="M1331" s="429">
        <f>M1330+1</f>
        <v/>
      </c>
      <c r="N1331" s="429" t="n"/>
      <c r="O1331" s="429" t="n"/>
      <c r="Q1331" s="429">
        <f>Q1330+1</f>
        <v/>
      </c>
      <c r="R1331" s="429" t="n"/>
      <c r="S1331" s="429" t="n"/>
      <c r="U1331" s="429">
        <f>U1330+1</f>
        <v/>
      </c>
      <c r="V1331" s="429" t="n"/>
      <c r="W1331" s="429" t="n"/>
    </row>
    <row r="1332">
      <c r="A1332" s="429">
        <f>A1331+1</f>
        <v/>
      </c>
      <c r="B1332" s="429" t="n"/>
      <c r="C1332" s="429" t="n"/>
      <c r="E1332" s="429">
        <f>E1331+1</f>
        <v/>
      </c>
      <c r="F1332" s="429" t="n"/>
      <c r="G1332" s="429" t="n"/>
      <c r="I1332" s="429">
        <f>I1331+1</f>
        <v/>
      </c>
      <c r="J1332" s="429" t="n"/>
      <c r="K1332" s="429" t="n"/>
      <c r="M1332" s="429">
        <f>M1331+1</f>
        <v/>
      </c>
      <c r="N1332" s="429" t="n"/>
      <c r="O1332" s="429" t="n"/>
      <c r="Q1332" s="429">
        <f>Q1331+1</f>
        <v/>
      </c>
      <c r="R1332" s="429" t="n"/>
      <c r="S1332" s="429" t="n"/>
      <c r="U1332" s="429">
        <f>U1331+1</f>
        <v/>
      </c>
      <c r="V1332" s="429" t="n"/>
      <c r="W1332" s="429" t="n"/>
    </row>
    <row r="1333">
      <c r="A1333" s="429">
        <f>A1332+1</f>
        <v/>
      </c>
      <c r="B1333" s="429" t="n"/>
      <c r="C1333" s="429" t="n"/>
      <c r="E1333" s="429">
        <f>E1332+1</f>
        <v/>
      </c>
      <c r="F1333" s="429" t="n"/>
      <c r="G1333" s="429" t="n"/>
      <c r="I1333" s="429">
        <f>I1332+1</f>
        <v/>
      </c>
      <c r="J1333" s="429" t="n"/>
      <c r="K1333" s="429" t="n"/>
      <c r="M1333" s="429">
        <f>M1332+1</f>
        <v/>
      </c>
      <c r="N1333" s="429" t="n"/>
      <c r="O1333" s="429" t="n"/>
      <c r="Q1333" s="429">
        <f>Q1332+1</f>
        <v/>
      </c>
      <c r="R1333" s="429" t="n"/>
      <c r="S1333" s="429" t="n"/>
      <c r="U1333" s="429">
        <f>U1332+1</f>
        <v/>
      </c>
      <c r="V1333" s="429" t="n"/>
      <c r="W1333" s="429" t="n"/>
    </row>
    <row r="1334">
      <c r="A1334" s="429">
        <f>A1333+1</f>
        <v/>
      </c>
      <c r="B1334" s="429" t="n"/>
      <c r="C1334" s="429" t="n"/>
      <c r="E1334" s="429">
        <f>E1333+1</f>
        <v/>
      </c>
      <c r="F1334" s="429" t="n"/>
      <c r="G1334" s="429" t="n"/>
      <c r="I1334" s="429">
        <f>I1333+1</f>
        <v/>
      </c>
      <c r="J1334" s="429" t="n"/>
      <c r="K1334" s="429" t="n"/>
      <c r="M1334" s="429">
        <f>M1333+1</f>
        <v/>
      </c>
      <c r="N1334" s="429" t="n"/>
      <c r="O1334" s="429" t="n"/>
      <c r="Q1334" s="429">
        <f>Q1333+1</f>
        <v/>
      </c>
      <c r="R1334" s="429" t="n"/>
      <c r="S1334" s="429" t="n"/>
      <c r="U1334" s="429">
        <f>U1333+1</f>
        <v/>
      </c>
      <c r="V1334" s="429" t="n"/>
      <c r="W1334" s="429" t="n"/>
    </row>
    <row r="1335">
      <c r="A1335" s="429">
        <f>A1334+1</f>
        <v/>
      </c>
      <c r="B1335" s="429" t="n"/>
      <c r="C1335" s="429" t="n"/>
      <c r="E1335" s="429">
        <f>E1334+1</f>
        <v/>
      </c>
      <c r="F1335" s="429" t="n"/>
      <c r="G1335" s="429" t="n"/>
      <c r="I1335" s="429">
        <f>I1334+1</f>
        <v/>
      </c>
      <c r="J1335" s="429" t="n"/>
      <c r="K1335" s="429" t="n"/>
      <c r="M1335" s="429">
        <f>M1334+1</f>
        <v/>
      </c>
      <c r="N1335" s="429" t="n"/>
      <c r="O1335" s="429" t="n"/>
      <c r="Q1335" s="429">
        <f>Q1334+1</f>
        <v/>
      </c>
      <c r="R1335" s="429" t="n"/>
      <c r="S1335" s="429" t="n"/>
      <c r="U1335" s="429">
        <f>U1334+1</f>
        <v/>
      </c>
      <c r="V1335" s="429" t="n"/>
      <c r="W1335" s="429" t="n"/>
    </row>
    <row r="1336">
      <c r="A1336" s="429">
        <f>A1335+1</f>
        <v/>
      </c>
      <c r="B1336" s="429" t="n"/>
      <c r="C1336" s="429" t="n"/>
      <c r="E1336" s="429">
        <f>E1335+1</f>
        <v/>
      </c>
      <c r="F1336" s="429" t="n"/>
      <c r="G1336" s="429" t="n"/>
      <c r="I1336" s="429">
        <f>I1335+1</f>
        <v/>
      </c>
      <c r="J1336" s="429" t="n"/>
      <c r="K1336" s="429" t="n"/>
      <c r="M1336" s="429">
        <f>M1335+1</f>
        <v/>
      </c>
      <c r="N1336" s="429" t="n"/>
      <c r="O1336" s="429" t="n"/>
      <c r="Q1336" s="429">
        <f>Q1335+1</f>
        <v/>
      </c>
      <c r="R1336" s="429" t="n"/>
      <c r="S1336" s="429" t="n"/>
      <c r="U1336" s="429">
        <f>U1335+1</f>
        <v/>
      </c>
      <c r="V1336" s="429" t="n"/>
      <c r="W1336" s="429" t="n"/>
    </row>
    <row r="1337">
      <c r="A1337" s="429">
        <f>A1336+1</f>
        <v/>
      </c>
      <c r="B1337" s="429" t="n"/>
      <c r="C1337" s="429" t="n"/>
      <c r="E1337" s="429">
        <f>E1336+1</f>
        <v/>
      </c>
      <c r="F1337" s="429" t="n"/>
      <c r="G1337" s="429" t="n"/>
      <c r="I1337" s="429">
        <f>I1336+1</f>
        <v/>
      </c>
      <c r="J1337" s="429" t="n"/>
      <c r="K1337" s="429" t="n"/>
      <c r="M1337" s="429">
        <f>M1336+1</f>
        <v/>
      </c>
      <c r="N1337" s="429" t="n"/>
      <c r="O1337" s="429" t="n"/>
      <c r="Q1337" s="429">
        <f>Q1336+1</f>
        <v/>
      </c>
      <c r="R1337" s="429" t="n"/>
      <c r="S1337" s="429" t="n"/>
      <c r="U1337" s="429">
        <f>U1336+1</f>
        <v/>
      </c>
      <c r="V1337" s="429" t="n"/>
      <c r="W1337" s="429" t="n"/>
    </row>
    <row r="1338">
      <c r="A1338" s="429">
        <f>A1337+1</f>
        <v/>
      </c>
      <c r="B1338" s="429" t="n"/>
      <c r="C1338" s="429" t="n"/>
      <c r="E1338" s="429">
        <f>E1337+1</f>
        <v/>
      </c>
      <c r="F1338" s="429" t="n"/>
      <c r="G1338" s="429" t="n"/>
      <c r="I1338" s="429">
        <f>I1337+1</f>
        <v/>
      </c>
      <c r="J1338" s="429" t="n"/>
      <c r="K1338" s="429" t="n"/>
      <c r="M1338" s="429">
        <f>M1337+1</f>
        <v/>
      </c>
      <c r="N1338" s="429" t="n"/>
      <c r="O1338" s="429" t="n"/>
      <c r="Q1338" s="429">
        <f>Q1337+1</f>
        <v/>
      </c>
      <c r="R1338" s="429" t="n"/>
      <c r="S1338" s="429" t="n"/>
      <c r="U1338" s="429">
        <f>U1337+1</f>
        <v/>
      </c>
      <c r="V1338" s="429" t="n"/>
      <c r="W1338" s="429" t="n"/>
    </row>
    <row r="1339">
      <c r="A1339" s="429">
        <f>A1338+1</f>
        <v/>
      </c>
      <c r="B1339" s="429" t="n"/>
      <c r="C1339" s="429" t="n"/>
      <c r="E1339" s="429">
        <f>E1338+1</f>
        <v/>
      </c>
      <c r="F1339" s="429" t="n"/>
      <c r="G1339" s="429" t="n"/>
      <c r="I1339" s="429">
        <f>I1338+1</f>
        <v/>
      </c>
      <c r="J1339" s="429" t="n"/>
      <c r="K1339" s="429" t="n"/>
      <c r="M1339" s="429">
        <f>M1338+1</f>
        <v/>
      </c>
      <c r="N1339" s="429" t="n"/>
      <c r="O1339" s="429" t="n"/>
      <c r="Q1339" s="429">
        <f>Q1338+1</f>
        <v/>
      </c>
      <c r="R1339" s="429" t="n"/>
      <c r="S1339" s="429" t="n"/>
      <c r="U1339" s="429">
        <f>U1338+1</f>
        <v/>
      </c>
      <c r="V1339" s="429" t="n"/>
      <c r="W1339" s="429" t="n"/>
    </row>
    <row r="1340">
      <c r="A1340" s="429">
        <f>A1339+1</f>
        <v/>
      </c>
      <c r="B1340" s="429" t="n"/>
      <c r="C1340" s="429" t="n"/>
      <c r="E1340" s="429">
        <f>E1339+1</f>
        <v/>
      </c>
      <c r="F1340" s="429" t="n"/>
      <c r="G1340" s="429" t="n"/>
      <c r="I1340" s="429">
        <f>I1339+1</f>
        <v/>
      </c>
      <c r="J1340" s="429" t="n"/>
      <c r="K1340" s="429" t="n"/>
      <c r="M1340" s="429">
        <f>M1339+1</f>
        <v/>
      </c>
      <c r="N1340" s="429" t="n"/>
      <c r="O1340" s="429" t="n"/>
      <c r="Q1340" s="429">
        <f>Q1339+1</f>
        <v/>
      </c>
      <c r="R1340" s="429" t="n"/>
      <c r="S1340" s="429" t="n"/>
      <c r="U1340" s="429">
        <f>U1339+1</f>
        <v/>
      </c>
      <c r="V1340" s="429" t="n"/>
      <c r="W1340" s="429" t="n"/>
    </row>
    <row r="1341">
      <c r="A1341" s="429">
        <f>A1340+1</f>
        <v/>
      </c>
      <c r="B1341" s="429" t="n"/>
      <c r="C1341" s="429" t="n"/>
      <c r="E1341" s="429">
        <f>E1340+1</f>
        <v/>
      </c>
      <c r="F1341" s="429" t="n"/>
      <c r="G1341" s="429" t="n"/>
      <c r="I1341" s="429">
        <f>I1340+1</f>
        <v/>
      </c>
      <c r="J1341" s="429" t="n"/>
      <c r="K1341" s="429" t="n"/>
      <c r="M1341" s="429">
        <f>M1340+1</f>
        <v/>
      </c>
      <c r="N1341" s="429" t="n"/>
      <c r="O1341" s="429" t="n"/>
      <c r="Q1341" s="429">
        <f>Q1340+1</f>
        <v/>
      </c>
      <c r="R1341" s="429" t="n"/>
      <c r="S1341" s="429" t="n"/>
      <c r="U1341" s="429">
        <f>U1340+1</f>
        <v/>
      </c>
      <c r="V1341" s="429" t="n"/>
      <c r="W1341" s="429" t="n"/>
    </row>
    <row r="1342">
      <c r="A1342" s="429">
        <f>A1341+1</f>
        <v/>
      </c>
      <c r="B1342" s="429" t="n"/>
      <c r="C1342" s="429" t="n"/>
      <c r="E1342" s="429">
        <f>E1341+1</f>
        <v/>
      </c>
      <c r="F1342" s="429" t="n"/>
      <c r="G1342" s="429" t="n"/>
      <c r="I1342" s="429">
        <f>I1341+1</f>
        <v/>
      </c>
      <c r="J1342" s="429" t="n"/>
      <c r="K1342" s="429" t="n"/>
      <c r="M1342" s="429">
        <f>M1341+1</f>
        <v/>
      </c>
      <c r="N1342" s="429" t="n"/>
      <c r="O1342" s="429" t="n"/>
      <c r="Q1342" s="429">
        <f>Q1341+1</f>
        <v/>
      </c>
      <c r="R1342" s="429" t="n"/>
      <c r="S1342" s="429" t="n"/>
      <c r="U1342" s="429">
        <f>U1341+1</f>
        <v/>
      </c>
      <c r="V1342" s="429" t="n"/>
      <c r="W1342" s="429" t="n"/>
    </row>
    <row r="1343">
      <c r="A1343" s="429">
        <f>A1342+1</f>
        <v/>
      </c>
      <c r="B1343" s="429" t="n"/>
      <c r="C1343" s="429" t="n"/>
      <c r="E1343" s="429">
        <f>E1342+1</f>
        <v/>
      </c>
      <c r="F1343" s="429" t="n"/>
      <c r="G1343" s="429" t="n"/>
      <c r="I1343" s="429">
        <f>I1342+1</f>
        <v/>
      </c>
      <c r="J1343" s="429" t="n"/>
      <c r="K1343" s="429" t="n"/>
      <c r="M1343" s="429">
        <f>M1342+1</f>
        <v/>
      </c>
      <c r="N1343" s="429" t="n"/>
      <c r="O1343" s="429" t="n"/>
      <c r="Q1343" s="429">
        <f>Q1342+1</f>
        <v/>
      </c>
      <c r="R1343" s="429" t="n"/>
      <c r="S1343" s="429" t="n"/>
      <c r="U1343" s="429">
        <f>U1342+1</f>
        <v/>
      </c>
      <c r="V1343" s="429" t="n"/>
      <c r="W1343" s="429" t="n"/>
    </row>
    <row r="1344">
      <c r="A1344" s="429">
        <f>A1343+1</f>
        <v/>
      </c>
      <c r="B1344" s="429" t="n"/>
      <c r="C1344" s="429" t="n"/>
      <c r="E1344" s="429">
        <f>E1343+1</f>
        <v/>
      </c>
      <c r="F1344" s="429" t="n"/>
      <c r="G1344" s="429" t="n"/>
      <c r="I1344" s="429">
        <f>I1343+1</f>
        <v/>
      </c>
      <c r="J1344" s="429" t="n"/>
      <c r="K1344" s="429" t="n"/>
      <c r="M1344" s="429">
        <f>M1343+1</f>
        <v/>
      </c>
      <c r="N1344" s="429" t="n"/>
      <c r="O1344" s="429" t="n"/>
      <c r="Q1344" s="429">
        <f>Q1343+1</f>
        <v/>
      </c>
      <c r="R1344" s="429" t="n"/>
      <c r="S1344" s="429" t="n"/>
      <c r="U1344" s="429">
        <f>U1343+1</f>
        <v/>
      </c>
      <c r="V1344" s="429" t="n"/>
      <c r="W1344" s="429" t="n"/>
    </row>
    <row r="1345">
      <c r="A1345" s="429">
        <f>A1344+1</f>
        <v/>
      </c>
      <c r="B1345" s="429" t="n"/>
      <c r="C1345" s="429" t="n"/>
      <c r="E1345" s="429">
        <f>E1344+1</f>
        <v/>
      </c>
      <c r="F1345" s="429" t="n"/>
      <c r="G1345" s="429" t="n"/>
      <c r="I1345" s="429">
        <f>I1344+1</f>
        <v/>
      </c>
      <c r="J1345" s="429" t="n"/>
      <c r="K1345" s="429" t="n"/>
      <c r="M1345" s="429">
        <f>M1344+1</f>
        <v/>
      </c>
      <c r="N1345" s="429" t="n"/>
      <c r="O1345" s="429" t="n"/>
      <c r="Q1345" s="429">
        <f>Q1344+1</f>
        <v/>
      </c>
      <c r="R1345" s="429" t="n"/>
      <c r="S1345" s="429" t="n"/>
      <c r="U1345" s="429">
        <f>U1344+1</f>
        <v/>
      </c>
      <c r="V1345" s="429" t="n"/>
      <c r="W1345" s="429" t="n"/>
    </row>
    <row r="1346">
      <c r="A1346" s="429">
        <f>A1345+1</f>
        <v/>
      </c>
      <c r="B1346" s="429" t="n"/>
      <c r="C1346" s="429" t="n"/>
      <c r="E1346" s="429">
        <f>E1345+1</f>
        <v/>
      </c>
      <c r="F1346" s="429" t="n"/>
      <c r="G1346" s="429" t="n"/>
      <c r="I1346" s="429">
        <f>I1345+1</f>
        <v/>
      </c>
      <c r="J1346" s="429" t="n"/>
      <c r="K1346" s="429" t="n"/>
      <c r="M1346" s="429">
        <f>M1345+1</f>
        <v/>
      </c>
      <c r="N1346" s="429" t="n"/>
      <c r="O1346" s="429" t="n"/>
      <c r="Q1346" s="429">
        <f>Q1345+1</f>
        <v/>
      </c>
      <c r="R1346" s="429" t="n"/>
      <c r="S1346" s="429" t="n"/>
      <c r="U1346" s="429">
        <f>U1345+1</f>
        <v/>
      </c>
      <c r="V1346" s="429" t="n"/>
      <c r="W1346" s="429" t="n"/>
    </row>
    <row r="1347">
      <c r="A1347" s="429">
        <f>A1346+1</f>
        <v/>
      </c>
      <c r="B1347" s="429" t="n"/>
      <c r="C1347" s="429" t="n"/>
      <c r="E1347" s="429">
        <f>E1346+1</f>
        <v/>
      </c>
      <c r="F1347" s="429" t="n"/>
      <c r="G1347" s="429" t="n"/>
      <c r="I1347" s="429">
        <f>I1346+1</f>
        <v/>
      </c>
      <c r="J1347" s="429" t="n"/>
      <c r="K1347" s="429" t="n"/>
      <c r="M1347" s="429">
        <f>M1346+1</f>
        <v/>
      </c>
      <c r="N1347" s="429" t="n"/>
      <c r="O1347" s="429" t="n"/>
      <c r="Q1347" s="429">
        <f>Q1346+1</f>
        <v/>
      </c>
      <c r="R1347" s="429" t="n"/>
      <c r="S1347" s="429" t="n"/>
      <c r="U1347" s="429">
        <f>U1346+1</f>
        <v/>
      </c>
      <c r="V1347" s="429" t="n"/>
      <c r="W1347" s="429" t="n"/>
    </row>
    <row r="1348">
      <c r="A1348" s="429">
        <f>A1347+1</f>
        <v/>
      </c>
      <c r="B1348" s="429" t="n"/>
      <c r="C1348" s="429" t="n"/>
      <c r="E1348" s="429">
        <f>E1347+1</f>
        <v/>
      </c>
      <c r="F1348" s="429" t="n"/>
      <c r="G1348" s="429" t="n"/>
      <c r="I1348" s="429">
        <f>I1347+1</f>
        <v/>
      </c>
      <c r="J1348" s="429" t="n"/>
      <c r="K1348" s="429" t="n"/>
      <c r="M1348" s="429">
        <f>M1347+1</f>
        <v/>
      </c>
      <c r="N1348" s="429" t="n"/>
      <c r="O1348" s="429" t="n"/>
      <c r="Q1348" s="429">
        <f>Q1347+1</f>
        <v/>
      </c>
      <c r="R1348" s="429" t="n"/>
      <c r="S1348" s="429" t="n"/>
      <c r="U1348" s="429">
        <f>U1347+1</f>
        <v/>
      </c>
      <c r="V1348" s="429" t="n"/>
      <c r="W1348" s="429" t="n"/>
    </row>
    <row r="1349">
      <c r="A1349" s="429">
        <f>A1348+1</f>
        <v/>
      </c>
      <c r="B1349" s="429" t="n"/>
      <c r="C1349" s="429" t="n"/>
      <c r="E1349" s="429">
        <f>E1348+1</f>
        <v/>
      </c>
      <c r="F1349" s="429" t="n"/>
      <c r="G1349" s="429" t="n"/>
      <c r="I1349" s="429">
        <f>I1348+1</f>
        <v/>
      </c>
      <c r="J1349" s="429" t="n"/>
      <c r="K1349" s="429" t="n"/>
      <c r="M1349" s="429">
        <f>M1348+1</f>
        <v/>
      </c>
      <c r="N1349" s="429" t="n"/>
      <c r="O1349" s="429" t="n"/>
      <c r="Q1349" s="429">
        <f>Q1348+1</f>
        <v/>
      </c>
      <c r="R1349" s="429" t="n"/>
      <c r="S1349" s="429" t="n"/>
      <c r="U1349" s="429">
        <f>U1348+1</f>
        <v/>
      </c>
      <c r="V1349" s="429" t="n"/>
      <c r="W1349" s="429" t="n"/>
    </row>
    <row r="1350">
      <c r="A1350" s="429">
        <f>A1349+1</f>
        <v/>
      </c>
      <c r="B1350" s="429" t="n"/>
      <c r="C1350" s="429" t="n"/>
      <c r="E1350" s="429">
        <f>E1349+1</f>
        <v/>
      </c>
      <c r="F1350" s="429" t="n"/>
      <c r="G1350" s="429" t="n"/>
      <c r="I1350" s="429">
        <f>I1349+1</f>
        <v/>
      </c>
      <c r="J1350" s="429" t="n"/>
      <c r="K1350" s="429" t="n"/>
      <c r="M1350" s="429">
        <f>M1349+1</f>
        <v/>
      </c>
      <c r="N1350" s="429" t="n"/>
      <c r="O1350" s="429" t="n"/>
      <c r="Q1350" s="429">
        <f>Q1349+1</f>
        <v/>
      </c>
      <c r="R1350" s="429" t="n"/>
      <c r="S1350" s="429" t="n"/>
      <c r="U1350" s="429">
        <f>U1349+1</f>
        <v/>
      </c>
      <c r="V1350" s="429" t="n"/>
      <c r="W1350" s="429" t="n"/>
    </row>
    <row r="1351">
      <c r="A1351" s="429">
        <f>A1350+1</f>
        <v/>
      </c>
      <c r="B1351" s="429" t="n"/>
      <c r="C1351" s="429" t="n"/>
      <c r="E1351" s="429">
        <f>E1350+1</f>
        <v/>
      </c>
      <c r="F1351" s="429" t="n"/>
      <c r="G1351" s="429" t="n"/>
      <c r="I1351" s="429">
        <f>I1350+1</f>
        <v/>
      </c>
      <c r="J1351" s="429" t="n"/>
      <c r="K1351" s="429" t="n"/>
      <c r="M1351" s="429">
        <f>M1350+1</f>
        <v/>
      </c>
      <c r="N1351" s="429" t="n"/>
      <c r="O1351" s="429" t="n"/>
      <c r="Q1351" s="429">
        <f>Q1350+1</f>
        <v/>
      </c>
      <c r="R1351" s="429" t="n"/>
      <c r="S1351" s="429" t="n"/>
      <c r="U1351" s="429">
        <f>U1350+1</f>
        <v/>
      </c>
      <c r="V1351" s="429" t="n"/>
      <c r="W1351" s="429" t="n"/>
    </row>
    <row r="1352">
      <c r="A1352" s="429">
        <f>A1351+1</f>
        <v/>
      </c>
      <c r="B1352" s="429" t="n"/>
      <c r="C1352" s="429" t="n"/>
      <c r="E1352" s="429">
        <f>E1351+1</f>
        <v/>
      </c>
      <c r="F1352" s="429" t="n"/>
      <c r="G1352" s="429" t="n"/>
      <c r="I1352" s="429">
        <f>I1351+1</f>
        <v/>
      </c>
      <c r="J1352" s="429" t="n"/>
      <c r="K1352" s="429" t="n"/>
      <c r="M1352" s="429">
        <f>M1351+1</f>
        <v/>
      </c>
      <c r="N1352" s="429" t="n"/>
      <c r="O1352" s="429" t="n"/>
      <c r="Q1352" s="429">
        <f>Q1351+1</f>
        <v/>
      </c>
      <c r="R1352" s="429" t="n"/>
      <c r="S1352" s="429" t="n"/>
      <c r="U1352" s="429">
        <f>U1351+1</f>
        <v/>
      </c>
      <c r="V1352" s="429" t="n"/>
      <c r="W1352" s="429" t="n"/>
    </row>
    <row r="1353">
      <c r="A1353" s="429">
        <f>A1352+1</f>
        <v/>
      </c>
      <c r="B1353" s="429" t="n"/>
      <c r="C1353" s="429" t="n"/>
      <c r="E1353" s="429">
        <f>E1352+1</f>
        <v/>
      </c>
      <c r="F1353" s="429" t="n"/>
      <c r="G1353" s="429" t="n"/>
      <c r="I1353" s="429">
        <f>I1352+1</f>
        <v/>
      </c>
      <c r="J1353" s="429" t="n"/>
      <c r="K1353" s="429" t="n"/>
      <c r="M1353" s="429">
        <f>M1352+1</f>
        <v/>
      </c>
      <c r="N1353" s="429" t="n"/>
      <c r="O1353" s="429" t="n"/>
      <c r="Q1353" s="429">
        <f>Q1352+1</f>
        <v/>
      </c>
      <c r="R1353" s="429" t="n"/>
      <c r="S1353" s="429" t="n"/>
      <c r="U1353" s="429">
        <f>U1352+1</f>
        <v/>
      </c>
      <c r="V1353" s="429" t="n"/>
      <c r="W1353" s="429" t="n"/>
    </row>
    <row r="1354">
      <c r="A1354" s="429">
        <f>A1353+1</f>
        <v/>
      </c>
      <c r="B1354" s="429" t="n"/>
      <c r="C1354" s="429" t="n"/>
      <c r="E1354" s="429">
        <f>E1353+1</f>
        <v/>
      </c>
      <c r="F1354" s="429" t="n"/>
      <c r="G1354" s="429" t="n"/>
      <c r="I1354" s="429">
        <f>I1353+1</f>
        <v/>
      </c>
      <c r="J1354" s="429" t="n"/>
      <c r="K1354" s="429" t="n"/>
      <c r="M1354" s="429">
        <f>M1353+1</f>
        <v/>
      </c>
      <c r="N1354" s="429" t="n"/>
      <c r="O1354" s="429" t="n"/>
      <c r="Q1354" s="429">
        <f>Q1353+1</f>
        <v/>
      </c>
      <c r="R1354" s="429" t="n"/>
      <c r="S1354" s="429" t="n"/>
      <c r="U1354" s="429">
        <f>U1353+1</f>
        <v/>
      </c>
      <c r="V1354" s="429" t="n"/>
      <c r="W1354" s="429" t="n"/>
    </row>
    <row r="1355">
      <c r="A1355" s="429">
        <f>A1354+1</f>
        <v/>
      </c>
      <c r="B1355" s="429" t="n"/>
      <c r="C1355" s="429" t="n"/>
      <c r="E1355" s="429">
        <f>E1354+1</f>
        <v/>
      </c>
      <c r="F1355" s="429" t="n"/>
      <c r="G1355" s="429" t="n"/>
      <c r="I1355" s="429">
        <f>I1354+1</f>
        <v/>
      </c>
      <c r="J1355" s="429" t="n"/>
      <c r="K1355" s="429" t="n"/>
      <c r="M1355" s="429">
        <f>M1354+1</f>
        <v/>
      </c>
      <c r="N1355" s="429" t="n"/>
      <c r="O1355" s="429" t="n"/>
      <c r="Q1355" s="429">
        <f>Q1354+1</f>
        <v/>
      </c>
      <c r="R1355" s="429" t="n"/>
      <c r="S1355" s="429" t="n"/>
      <c r="U1355" s="429">
        <f>U1354+1</f>
        <v/>
      </c>
      <c r="V1355" s="429" t="n"/>
      <c r="W1355" s="429" t="n"/>
    </row>
    <row r="1356">
      <c r="A1356" s="429">
        <f>A1355+1</f>
        <v/>
      </c>
      <c r="B1356" s="429" t="n"/>
      <c r="C1356" s="429" t="n"/>
      <c r="E1356" s="429">
        <f>E1355+1</f>
        <v/>
      </c>
      <c r="F1356" s="429" t="n"/>
      <c r="G1356" s="429" t="n"/>
      <c r="I1356" s="429">
        <f>I1355+1</f>
        <v/>
      </c>
      <c r="J1356" s="429" t="n"/>
      <c r="K1356" s="429" t="n"/>
      <c r="M1356" s="429">
        <f>M1355+1</f>
        <v/>
      </c>
      <c r="N1356" s="429" t="n"/>
      <c r="O1356" s="429" t="n"/>
      <c r="Q1356" s="429">
        <f>Q1355+1</f>
        <v/>
      </c>
      <c r="R1356" s="429" t="n"/>
      <c r="S1356" s="429" t="n"/>
      <c r="U1356" s="429">
        <f>U1355+1</f>
        <v/>
      </c>
      <c r="V1356" s="429" t="n"/>
      <c r="W1356" s="429" t="n"/>
    </row>
    <row r="1357">
      <c r="A1357" s="429">
        <f>A1356+1</f>
        <v/>
      </c>
      <c r="B1357" s="429" t="n"/>
      <c r="C1357" s="429" t="n"/>
      <c r="E1357" s="429">
        <f>E1356+1</f>
        <v/>
      </c>
      <c r="F1357" s="429" t="n"/>
      <c r="G1357" s="429" t="n"/>
      <c r="I1357" s="429">
        <f>I1356+1</f>
        <v/>
      </c>
      <c r="J1357" s="429" t="n"/>
      <c r="K1357" s="429" t="n"/>
      <c r="M1357" s="429">
        <f>M1356+1</f>
        <v/>
      </c>
      <c r="N1357" s="429" t="n"/>
      <c r="O1357" s="429" t="n"/>
      <c r="Q1357" s="429">
        <f>Q1356+1</f>
        <v/>
      </c>
      <c r="R1357" s="429" t="n"/>
      <c r="S1357" s="429" t="n"/>
      <c r="U1357" s="429">
        <f>U1356+1</f>
        <v/>
      </c>
      <c r="V1357" s="429" t="n"/>
      <c r="W1357" s="429" t="n"/>
    </row>
    <row r="1358">
      <c r="A1358" s="429">
        <f>A1357+1</f>
        <v/>
      </c>
      <c r="B1358" s="429" t="n"/>
      <c r="C1358" s="429" t="n"/>
      <c r="E1358" s="429">
        <f>E1357+1</f>
        <v/>
      </c>
      <c r="F1358" s="429" t="n"/>
      <c r="G1358" s="429" t="n"/>
      <c r="I1358" s="429">
        <f>I1357+1</f>
        <v/>
      </c>
      <c r="J1358" s="429" t="n"/>
      <c r="K1358" s="429" t="n"/>
      <c r="M1358" s="429">
        <f>M1357+1</f>
        <v/>
      </c>
      <c r="N1358" s="429" t="n"/>
      <c r="O1358" s="429" t="n"/>
      <c r="Q1358" s="429">
        <f>Q1357+1</f>
        <v/>
      </c>
      <c r="R1358" s="429" t="n"/>
      <c r="S1358" s="429" t="n"/>
      <c r="U1358" s="429">
        <f>U1357+1</f>
        <v/>
      </c>
      <c r="V1358" s="429" t="n"/>
      <c r="W1358" s="429" t="n"/>
    </row>
    <row r="1359">
      <c r="A1359" s="429">
        <f>A1358+1</f>
        <v/>
      </c>
      <c r="B1359" s="429" t="n"/>
      <c r="C1359" s="429" t="n"/>
      <c r="E1359" s="429">
        <f>E1358+1</f>
        <v/>
      </c>
      <c r="F1359" s="429" t="n"/>
      <c r="G1359" s="429" t="n"/>
      <c r="I1359" s="429">
        <f>I1358+1</f>
        <v/>
      </c>
      <c r="J1359" s="429" t="n"/>
      <c r="K1359" s="429" t="n"/>
      <c r="M1359" s="429">
        <f>M1358+1</f>
        <v/>
      </c>
      <c r="N1359" s="429" t="n"/>
      <c r="O1359" s="429" t="n"/>
      <c r="Q1359" s="429">
        <f>Q1358+1</f>
        <v/>
      </c>
      <c r="R1359" s="429" t="n"/>
      <c r="S1359" s="429" t="n"/>
      <c r="U1359" s="429">
        <f>U1358+1</f>
        <v/>
      </c>
      <c r="V1359" s="429" t="n"/>
      <c r="W1359" s="429" t="n"/>
    </row>
    <row r="1360">
      <c r="A1360" s="429">
        <f>A1359+1</f>
        <v/>
      </c>
      <c r="B1360" s="429" t="n"/>
      <c r="C1360" s="429" t="n"/>
      <c r="E1360" s="429">
        <f>E1359+1</f>
        <v/>
      </c>
      <c r="F1360" s="429" t="n"/>
      <c r="G1360" s="429" t="n"/>
      <c r="I1360" s="429">
        <f>I1359+1</f>
        <v/>
      </c>
      <c r="J1360" s="429" t="n"/>
      <c r="K1360" s="429" t="n"/>
      <c r="M1360" s="429">
        <f>M1359+1</f>
        <v/>
      </c>
      <c r="N1360" s="429" t="n"/>
      <c r="O1360" s="429" t="n"/>
      <c r="Q1360" s="429">
        <f>Q1359+1</f>
        <v/>
      </c>
      <c r="R1360" s="429" t="n"/>
      <c r="S1360" s="429" t="n"/>
      <c r="U1360" s="429">
        <f>U1359+1</f>
        <v/>
      </c>
      <c r="V1360" s="429" t="n"/>
      <c r="W1360" s="429" t="n"/>
    </row>
    <row r="1799" ht="41.25" customHeight="1">
      <c r="A1799" s="702" t="inlineStr">
        <is>
          <t>WORKSTATION TO PLC</t>
        </is>
      </c>
      <c r="B1799" s="792" t="n"/>
      <c r="C1799" s="792" t="n"/>
      <c r="D1799" s="792" t="n"/>
      <c r="E1799" s="792" t="n"/>
      <c r="F1799" s="792" t="n"/>
      <c r="G1799" s="569" t="n"/>
      <c r="H1799" s="702" t="inlineStr">
        <is>
          <t>PLC TO WORKSTATION</t>
        </is>
      </c>
      <c r="I1799" s="792" t="n"/>
      <c r="J1799" s="792" t="n"/>
      <c r="K1799" s="792" t="n"/>
      <c r="L1799" s="792" t="n"/>
      <c r="M1799" s="792" t="n"/>
      <c r="N1799" s="570" t="n"/>
      <c r="O1799" s="570" t="n"/>
    </row>
    <row r="1800" customFormat="1" s="265">
      <c r="A1800" s="5" t="inlineStr">
        <is>
          <t>SR.No</t>
        </is>
      </c>
      <c r="B1800" s="5" t="inlineStr">
        <is>
          <t>Variable</t>
        </is>
      </c>
      <c r="C1800" s="5" t="inlineStr">
        <is>
          <t>Data Type</t>
        </is>
      </c>
      <c r="D1800" s="5" t="inlineStr">
        <is>
          <t>Source</t>
        </is>
      </c>
      <c r="E1800" s="5" t="inlineStr">
        <is>
          <t>Value</t>
        </is>
      </c>
      <c r="F1800" s="5" t="inlineStr">
        <is>
          <t>Remark</t>
        </is>
      </c>
      <c r="G1800" s="571" t="inlineStr">
        <is>
          <t>Dont Touch</t>
        </is>
      </c>
      <c r="H1800" s="423" t="inlineStr">
        <is>
          <t>SR.No</t>
        </is>
      </c>
      <c r="I1800" s="5" t="inlineStr">
        <is>
          <t>Variable</t>
        </is>
      </c>
      <c r="J1800" s="5" t="inlineStr">
        <is>
          <t>Data Type</t>
        </is>
      </c>
      <c r="K1800" s="5" t="inlineStr">
        <is>
          <t>Source</t>
        </is>
      </c>
      <c r="L1800" s="5" t="inlineStr">
        <is>
          <t>Value</t>
        </is>
      </c>
      <c r="M1800" s="5" t="inlineStr">
        <is>
          <t>Remark</t>
        </is>
      </c>
    </row>
    <row r="1801">
      <c r="A1801" s="429" t="n">
        <v>1</v>
      </c>
      <c r="B1801" s="429" t="inlineStr">
        <is>
          <t>COMPRESSOR 1</t>
        </is>
      </c>
      <c r="C1801" s="429" t="inlineStr">
        <is>
          <t>INTERGER</t>
        </is>
      </c>
      <c r="D1801" s="429" t="inlineStr">
        <is>
          <t>Excel</t>
        </is>
      </c>
      <c r="E1801" s="429">
        <f>IF($F$13=0,G1801,0)</f>
        <v/>
      </c>
      <c r="F1801" s="429" t="inlineStr">
        <is>
          <t>DO00</t>
        </is>
      </c>
      <c r="G1801" s="429">
        <f>'Mode Logic'!L18</f>
        <v/>
      </c>
      <c r="H1801" s="572" t="n">
        <v>1</v>
      </c>
      <c r="I1801" s="429" t="inlineStr">
        <is>
          <t>HP</t>
        </is>
      </c>
      <c r="J1801" s="429" t="inlineStr">
        <is>
          <t>INTERGER</t>
        </is>
      </c>
      <c r="K1801" s="429" t="inlineStr">
        <is>
          <t>TRUE</t>
        </is>
      </c>
      <c r="L1801" s="429" t="n">
        <v>0</v>
      </c>
      <c r="M1801" s="429" t="n"/>
      <c r="Q1801" s="335" t="n"/>
      <c r="U1801" s="335" t="n"/>
      <c r="CB1801" s="321" t="n"/>
      <c r="CE1801" s="335" t="n"/>
    </row>
    <row r="1802">
      <c r="A1802" s="429">
        <f>A1801+1</f>
        <v/>
      </c>
      <c r="B1802" s="429" t="inlineStr">
        <is>
          <t>COMPRESSOR 2</t>
        </is>
      </c>
      <c r="C1802" s="429" t="inlineStr">
        <is>
          <t>INTERGER</t>
        </is>
      </c>
      <c r="D1802" s="429" t="inlineStr">
        <is>
          <t>Excel</t>
        </is>
      </c>
      <c r="E1802" s="429">
        <f>IF($F$13=0,G1802,0)</f>
        <v/>
      </c>
      <c r="F1802" s="429" t="inlineStr">
        <is>
          <t>DO01</t>
        </is>
      </c>
      <c r="G1802" s="429">
        <f>'Mode Logic'!M18</f>
        <v/>
      </c>
      <c r="H1802" s="572" t="n">
        <v>2</v>
      </c>
      <c r="I1802" s="429" t="inlineStr">
        <is>
          <t>HP</t>
        </is>
      </c>
      <c r="J1802" s="429" t="inlineStr">
        <is>
          <t>INTERGER</t>
        </is>
      </c>
      <c r="K1802" s="429" t="inlineStr">
        <is>
          <t>TRUE</t>
        </is>
      </c>
      <c r="L1802" s="429" t="n">
        <v>0</v>
      </c>
      <c r="M1802" s="429" t="n"/>
      <c r="Q1802" s="335" t="n"/>
      <c r="U1802" s="335" t="n"/>
      <c r="CB1802" s="321" t="n"/>
      <c r="CE1802" s="335" t="n"/>
    </row>
    <row r="1803">
      <c r="A1803" s="429">
        <f>A1802+1</f>
        <v/>
      </c>
      <c r="B1803" s="429" t="inlineStr">
        <is>
          <t>COMPRESSOR 3</t>
        </is>
      </c>
      <c r="C1803" s="429" t="inlineStr">
        <is>
          <t>INTERGER</t>
        </is>
      </c>
      <c r="D1803" s="429" t="inlineStr">
        <is>
          <t>Excel</t>
        </is>
      </c>
      <c r="E1803" s="429">
        <f>IF($F$13=0,G1803,0)</f>
        <v/>
      </c>
      <c r="F1803" s="429" t="inlineStr">
        <is>
          <t>DO02</t>
        </is>
      </c>
      <c r="G1803" s="429">
        <f>'Mode Logic'!N18</f>
        <v/>
      </c>
      <c r="H1803" s="572" t="n">
        <v>3</v>
      </c>
      <c r="I1803" s="429" t="inlineStr">
        <is>
          <t>LP</t>
        </is>
      </c>
      <c r="J1803" s="429" t="inlineStr">
        <is>
          <t>INTERGER</t>
        </is>
      </c>
      <c r="K1803" s="429" t="inlineStr">
        <is>
          <t>TRUE</t>
        </is>
      </c>
      <c r="L1803" s="429" t="n">
        <v>0</v>
      </c>
      <c r="M1803" s="429" t="n"/>
      <c r="Q1803" s="335" t="n"/>
      <c r="U1803" s="335" t="n"/>
      <c r="CB1803" s="321" t="n"/>
      <c r="CE1803" s="335" t="n"/>
    </row>
    <row r="1804">
      <c r="A1804" s="429">
        <f>A1803+1</f>
        <v/>
      </c>
      <c r="B1804" s="429" t="inlineStr">
        <is>
          <t>COMPRESSOR 4</t>
        </is>
      </c>
      <c r="C1804" s="429" t="inlineStr">
        <is>
          <t>INTERGER</t>
        </is>
      </c>
      <c r="D1804" s="429" t="inlineStr">
        <is>
          <t>Excel</t>
        </is>
      </c>
      <c r="E1804" s="429">
        <f>IF($F$13=0,G1804,0)</f>
        <v/>
      </c>
      <c r="F1804" s="429" t="inlineStr">
        <is>
          <t>DO03</t>
        </is>
      </c>
      <c r="G1804" s="429">
        <f>'Mode Logic'!O18</f>
        <v/>
      </c>
      <c r="H1804" s="572" t="n">
        <v>4</v>
      </c>
      <c r="I1804" s="429" t="inlineStr">
        <is>
          <t>LP</t>
        </is>
      </c>
      <c r="J1804" s="429" t="inlineStr">
        <is>
          <t>INTERGER</t>
        </is>
      </c>
      <c r="K1804" s="429" t="inlineStr">
        <is>
          <t>TRUE</t>
        </is>
      </c>
      <c r="L1804" s="429" t="n">
        <v>0</v>
      </c>
      <c r="M1804" s="429" t="n"/>
      <c r="Q1804" s="335" t="n"/>
      <c r="U1804" s="335" t="n"/>
      <c r="CB1804" s="321" t="n"/>
      <c r="CE1804" s="335" t="n"/>
    </row>
    <row r="1805">
      <c r="A1805" s="429">
        <f>A1804+1</f>
        <v/>
      </c>
      <c r="B1805" s="429" t="inlineStr">
        <is>
          <t>Solenoid 1</t>
        </is>
      </c>
      <c r="C1805" s="429" t="inlineStr">
        <is>
          <t>INTERGER</t>
        </is>
      </c>
      <c r="D1805" s="429" t="inlineStr">
        <is>
          <t>Excel</t>
        </is>
      </c>
      <c r="E1805" s="429">
        <f>IF($F$13=0,G1805,0)</f>
        <v/>
      </c>
      <c r="F1805" s="429" t="inlineStr">
        <is>
          <t>DO04</t>
        </is>
      </c>
      <c r="G1805" s="429">
        <f>G1801</f>
        <v/>
      </c>
      <c r="H1805" s="572" t="n">
        <v>5</v>
      </c>
      <c r="I1805" s="429" t="n"/>
      <c r="J1805" s="429" t="n"/>
      <c r="K1805" s="429" t="n"/>
      <c r="L1805" s="429" t="n"/>
      <c r="M1805" s="429" t="n"/>
      <c r="Q1805" s="335" t="n"/>
      <c r="U1805" s="335" t="n"/>
      <c r="CB1805" s="321" t="n"/>
      <c r="CE1805" s="335" t="n"/>
    </row>
    <row r="1806">
      <c r="A1806" s="429">
        <f>A1805+1</f>
        <v/>
      </c>
      <c r="B1806" s="429" t="inlineStr">
        <is>
          <t>Solenoid 2</t>
        </is>
      </c>
      <c r="C1806" s="429" t="inlineStr">
        <is>
          <t>INTERGER</t>
        </is>
      </c>
      <c r="D1806" s="429" t="inlineStr">
        <is>
          <t>Excel</t>
        </is>
      </c>
      <c r="E1806" s="429">
        <f>IF($F$13=0,G1806,0)</f>
        <v/>
      </c>
      <c r="F1806" s="429" t="inlineStr">
        <is>
          <t>DO05</t>
        </is>
      </c>
      <c r="G1806" s="429">
        <f>G1802</f>
        <v/>
      </c>
      <c r="H1806" s="572" t="n">
        <v>6</v>
      </c>
      <c r="I1806" s="429" t="n"/>
      <c r="J1806" s="429" t="n"/>
      <c r="K1806" s="429" t="n"/>
      <c r="L1806" s="429" t="n"/>
      <c r="M1806" s="429" t="n"/>
      <c r="O1806" s="335" t="n"/>
      <c r="P1806" s="265" t="n"/>
      <c r="R1806" s="335" t="n"/>
      <c r="T1806" s="265" t="n"/>
      <c r="U1806" s="335" t="n"/>
      <c r="CD1806" s="321" t="n"/>
      <c r="CE1806" s="335" t="n"/>
    </row>
    <row r="1807">
      <c r="A1807" s="429">
        <f>A1806+1</f>
        <v/>
      </c>
      <c r="B1807" s="429" t="inlineStr">
        <is>
          <t>Solenoid 3</t>
        </is>
      </c>
      <c r="C1807" s="429" t="inlineStr">
        <is>
          <t>INTERGER</t>
        </is>
      </c>
      <c r="D1807" s="429" t="inlineStr">
        <is>
          <t>Excel</t>
        </is>
      </c>
      <c r="E1807" s="429">
        <f>IF($F$13=0,G1807,0)</f>
        <v/>
      </c>
      <c r="F1807" s="429" t="inlineStr">
        <is>
          <t>DO06</t>
        </is>
      </c>
      <c r="G1807" s="429">
        <f>G1803</f>
        <v/>
      </c>
      <c r="H1807" s="265" t="n"/>
    </row>
    <row r="1808">
      <c r="A1808" s="429">
        <f>A1807+1</f>
        <v/>
      </c>
      <c r="B1808" s="429" t="inlineStr">
        <is>
          <t>Solenoid 4</t>
        </is>
      </c>
      <c r="C1808" s="429" t="inlineStr">
        <is>
          <t>INTERGER</t>
        </is>
      </c>
      <c r="D1808" s="429" t="inlineStr">
        <is>
          <t>Excel</t>
        </is>
      </c>
      <c r="E1808" s="429">
        <f>IF($F$13=0,G1808,0)</f>
        <v/>
      </c>
      <c r="F1808" s="429" t="inlineStr">
        <is>
          <t>DO07</t>
        </is>
      </c>
      <c r="G1808" s="429">
        <f>G1804</f>
        <v/>
      </c>
      <c r="H1808" s="265" t="n"/>
    </row>
    <row r="1809">
      <c r="A1809" s="429">
        <f>A1808+1</f>
        <v/>
      </c>
      <c r="B1809" s="429" t="inlineStr">
        <is>
          <t>Supply Air Fan 1</t>
        </is>
      </c>
      <c r="C1809" s="429" t="inlineStr">
        <is>
          <t>INTERGER</t>
        </is>
      </c>
      <c r="D1809" s="429" t="inlineStr">
        <is>
          <t>Excel</t>
        </is>
      </c>
      <c r="E1809" s="429">
        <f>IF($F$13=0,G1809,0)</f>
        <v/>
      </c>
      <c r="F1809" s="429" t="inlineStr">
        <is>
          <t>DO08</t>
        </is>
      </c>
      <c r="G1809" s="429">
        <f>'Mode Logic'!U18</f>
        <v/>
      </c>
      <c r="H1809" s="265" t="n"/>
    </row>
    <row r="1810">
      <c r="A1810" s="429">
        <f>A1809+1</f>
        <v/>
      </c>
      <c r="B1810" s="429" t="inlineStr">
        <is>
          <t>Supply Air Fan 2</t>
        </is>
      </c>
      <c r="C1810" s="429" t="inlineStr">
        <is>
          <t>INTERGER</t>
        </is>
      </c>
      <c r="D1810" s="429" t="inlineStr">
        <is>
          <t>Excel</t>
        </is>
      </c>
      <c r="E1810" s="429">
        <f>IF($F$13=0,G1810,0)</f>
        <v/>
      </c>
      <c r="F1810" s="429" t="inlineStr">
        <is>
          <t>DO09</t>
        </is>
      </c>
      <c r="G1810" s="429">
        <f>'Mode Logic'!V18</f>
        <v/>
      </c>
      <c r="H1810" s="265" t="n"/>
    </row>
    <row r="1811">
      <c r="A1811" s="429">
        <f>A1810+1</f>
        <v/>
      </c>
      <c r="B1811" s="429" t="inlineStr">
        <is>
          <t>Condensor Fan 1</t>
        </is>
      </c>
      <c r="C1811" s="429" t="inlineStr">
        <is>
          <t>INTERGER</t>
        </is>
      </c>
      <c r="D1811" s="429" t="inlineStr">
        <is>
          <t>Excel</t>
        </is>
      </c>
      <c r="E1811" s="429">
        <f>IF($F$13=0,G1811,0)</f>
        <v/>
      </c>
      <c r="F1811" s="429" t="inlineStr">
        <is>
          <t>DO10</t>
        </is>
      </c>
      <c r="G1811" s="429">
        <f>'Mode Logic'!S18</f>
        <v/>
      </c>
      <c r="H1811" s="265" t="n"/>
    </row>
    <row r="1812">
      <c r="A1812" s="429">
        <f>A1811+1</f>
        <v/>
      </c>
      <c r="B1812" s="429" t="inlineStr">
        <is>
          <t>Condensor Fan 2</t>
        </is>
      </c>
      <c r="C1812" s="429" t="inlineStr">
        <is>
          <t>INTERGER</t>
        </is>
      </c>
      <c r="D1812" s="429" t="inlineStr">
        <is>
          <t>Excel</t>
        </is>
      </c>
      <c r="E1812" s="429">
        <f>IF($F$13=0,G1812,0)</f>
        <v/>
      </c>
      <c r="F1812" s="429" t="inlineStr">
        <is>
          <t>DO11</t>
        </is>
      </c>
      <c r="G1812" s="429">
        <f>'Mode Logic'!T18</f>
        <v/>
      </c>
      <c r="H1812" s="265" t="n"/>
    </row>
    <row r="1813">
      <c r="A1813" s="429">
        <f>A1812+1</f>
        <v/>
      </c>
      <c r="B1813" s="429" t="inlineStr">
        <is>
          <t>Heater 1</t>
        </is>
      </c>
      <c r="C1813" s="429" t="inlineStr">
        <is>
          <t>INTERGER</t>
        </is>
      </c>
      <c r="D1813" s="429" t="inlineStr">
        <is>
          <t>Excel</t>
        </is>
      </c>
      <c r="E1813" s="429">
        <f>IF($F$13=1,1,G1813)</f>
        <v/>
      </c>
      <c r="F1813" s="429" t="inlineStr">
        <is>
          <t>DO12</t>
        </is>
      </c>
      <c r="G1813" s="429">
        <f>'Mode Logic'!R18</f>
        <v/>
      </c>
      <c r="H1813" s="265" t="n"/>
    </row>
    <row r="1814">
      <c r="A1814" s="429">
        <f>A1813+1</f>
        <v/>
      </c>
      <c r="B1814" s="429" t="inlineStr">
        <is>
          <t>Heater 2</t>
        </is>
      </c>
      <c r="C1814" s="429" t="inlineStr">
        <is>
          <t>INTERGER</t>
        </is>
      </c>
      <c r="D1814" s="429" t="inlineStr">
        <is>
          <t>Excel</t>
        </is>
      </c>
      <c r="E1814" s="429">
        <f>IF($F$13=1,1,G1814)</f>
        <v/>
      </c>
      <c r="F1814" s="429" t="inlineStr">
        <is>
          <t>DO13</t>
        </is>
      </c>
      <c r="G1814" s="429">
        <f>'Mode Logic'!R18</f>
        <v/>
      </c>
      <c r="H1814" s="265" t="n"/>
    </row>
    <row r="1815">
      <c r="A1815" s="429">
        <f>A1814+1</f>
        <v/>
      </c>
      <c r="B1815" s="429" t="inlineStr">
        <is>
          <t>SPARE</t>
        </is>
      </c>
      <c r="C1815" s="429" t="inlineStr">
        <is>
          <t>INTERGER</t>
        </is>
      </c>
      <c r="D1815" s="429" t="inlineStr">
        <is>
          <t>Excel</t>
        </is>
      </c>
      <c r="E1815" s="429" t="n">
        <v>0</v>
      </c>
      <c r="F1815" s="429" t="inlineStr">
        <is>
          <t>DO14</t>
        </is>
      </c>
      <c r="H1815" s="265" t="n"/>
    </row>
    <row r="1816">
      <c r="A1816" s="429">
        <f>A1815+1</f>
        <v/>
      </c>
      <c r="B1816" s="429" t="inlineStr">
        <is>
          <t>SPARE</t>
        </is>
      </c>
      <c r="C1816" s="429" t="inlineStr">
        <is>
          <t>INTERGER</t>
        </is>
      </c>
      <c r="D1816" s="429" t="inlineStr">
        <is>
          <t>Excel</t>
        </is>
      </c>
      <c r="E1816" s="429" t="n">
        <v>0</v>
      </c>
      <c r="F1816" s="429" t="inlineStr">
        <is>
          <t>DO15</t>
        </is>
      </c>
      <c r="H1816" s="265" t="n"/>
    </row>
    <row r="1817">
      <c r="A1817" s="429">
        <f>A1816+1</f>
        <v/>
      </c>
      <c r="B1817" s="429" t="inlineStr">
        <is>
          <t>SPARE</t>
        </is>
      </c>
      <c r="C1817" s="429" t="inlineStr">
        <is>
          <t>INTERGER</t>
        </is>
      </c>
      <c r="D1817" s="429" t="inlineStr">
        <is>
          <t>Excel</t>
        </is>
      </c>
      <c r="E1817" s="429" t="n">
        <v>0</v>
      </c>
      <c r="F1817" s="429" t="inlineStr">
        <is>
          <t>DO16</t>
        </is>
      </c>
      <c r="H1817" s="265" t="n"/>
    </row>
    <row r="1818">
      <c r="A1818" s="429">
        <f>A1817+1</f>
        <v/>
      </c>
      <c r="B1818" s="429" t="inlineStr">
        <is>
          <t>SPARE</t>
        </is>
      </c>
      <c r="C1818" s="429" t="inlineStr">
        <is>
          <t>INTERGER</t>
        </is>
      </c>
      <c r="D1818" s="429" t="inlineStr">
        <is>
          <t>Excel</t>
        </is>
      </c>
      <c r="E1818" s="429" t="n">
        <v>0</v>
      </c>
      <c r="F1818" s="429" t="inlineStr">
        <is>
          <t>DO17</t>
        </is>
      </c>
      <c r="H1818" s="265" t="n"/>
    </row>
    <row r="1819">
      <c r="A1819" s="429">
        <f>A1818+1</f>
        <v/>
      </c>
      <c r="B1819" s="429" t="inlineStr">
        <is>
          <t>SPARE</t>
        </is>
      </c>
      <c r="C1819" s="429" t="inlineStr">
        <is>
          <t>INTERGER</t>
        </is>
      </c>
      <c r="D1819" s="429" t="inlineStr">
        <is>
          <t>Excel</t>
        </is>
      </c>
      <c r="E1819" s="429" t="n">
        <v>0</v>
      </c>
      <c r="F1819" s="429" t="inlineStr">
        <is>
          <t>DO18</t>
        </is>
      </c>
      <c r="H1819" s="265" t="n"/>
    </row>
    <row r="1820">
      <c r="A1820" s="429">
        <f>A1819+1</f>
        <v/>
      </c>
      <c r="B1820" s="429" t="inlineStr">
        <is>
          <t>SPARE</t>
        </is>
      </c>
      <c r="C1820" s="429" t="inlineStr">
        <is>
          <t>INTERGER</t>
        </is>
      </c>
      <c r="D1820" s="429" t="inlineStr">
        <is>
          <t>Excel</t>
        </is>
      </c>
      <c r="E1820" s="429" t="n">
        <v>0</v>
      </c>
      <c r="F1820" s="429" t="inlineStr">
        <is>
          <t>DO19</t>
        </is>
      </c>
      <c r="H1820" s="265" t="n"/>
    </row>
    <row r="1821">
      <c r="A1821" s="429">
        <f>A1820+1</f>
        <v/>
      </c>
      <c r="B1821" s="429" t="n"/>
      <c r="C1821" s="688" t="n"/>
      <c r="D1821" s="451" t="n"/>
      <c r="E1821" s="429" t="n">
        <v>0</v>
      </c>
      <c r="F1821" s="429" t="n"/>
      <c r="H1821" s="265" t="n"/>
    </row>
    <row r="1822">
      <c r="A1822" s="429">
        <f>A1821+1</f>
        <v/>
      </c>
      <c r="B1822" s="429" t="n"/>
      <c r="C1822" s="688" t="n"/>
      <c r="D1822" s="451" t="n"/>
      <c r="E1822" s="429" t="n">
        <v>0</v>
      </c>
      <c r="F1822" s="429" t="n"/>
      <c r="H1822" s="265" t="n"/>
    </row>
    <row r="1823">
      <c r="A1823" s="429">
        <f>A1822+1</f>
        <v/>
      </c>
      <c r="B1823" s="429" t="n"/>
      <c r="C1823" s="688" t="n"/>
      <c r="D1823" s="451" t="n"/>
      <c r="E1823" s="429" t="n">
        <v>0</v>
      </c>
      <c r="F1823" s="429" t="n"/>
      <c r="H1823" s="265" t="n"/>
    </row>
    <row r="1824">
      <c r="A1824" s="429">
        <f>A1823+1</f>
        <v/>
      </c>
      <c r="B1824" s="429" t="n"/>
      <c r="C1824" s="688" t="n"/>
      <c r="D1824" s="451" t="n"/>
      <c r="E1824" s="429" t="n"/>
      <c r="F1824" s="429" t="n"/>
      <c r="H1824" s="265" t="n"/>
    </row>
    <row r="1825">
      <c r="A1825" s="429">
        <f>A1824+1</f>
        <v/>
      </c>
      <c r="B1825" s="429" t="n"/>
      <c r="C1825" s="688" t="n"/>
      <c r="D1825" s="451" t="n"/>
      <c r="E1825" s="429" t="n"/>
      <c r="F1825" s="429" t="n"/>
      <c r="H1825" s="265" t="n"/>
    </row>
    <row r="1826">
      <c r="A1826" s="429">
        <f>A1825+1</f>
        <v/>
      </c>
      <c r="B1826" s="429" t="n"/>
      <c r="C1826" s="688" t="n"/>
      <c r="D1826" s="451" t="n"/>
      <c r="E1826" s="429" t="n"/>
      <c r="F1826" s="429" t="n"/>
      <c r="H1826" s="265" t="n"/>
    </row>
    <row r="1827">
      <c r="A1827" s="429">
        <f>A1826+1</f>
        <v/>
      </c>
      <c r="B1827" s="429" t="n"/>
      <c r="C1827" s="688" t="n"/>
      <c r="D1827" s="451" t="n"/>
      <c r="E1827" s="429" t="n"/>
      <c r="F1827" s="429" t="n"/>
      <c r="H1827" s="265" t="n"/>
    </row>
    <row r="1828">
      <c r="H1828" s="265" t="n"/>
    </row>
  </sheetData>
  <mergeCells count="50">
    <mergeCell ref="I443:I446"/>
    <mergeCell ref="BU913:CA913"/>
    <mergeCell ref="AG913:AM913"/>
    <mergeCell ref="B552:B553"/>
    <mergeCell ref="I819:O819"/>
    <mergeCell ref="B612:B613"/>
    <mergeCell ref="A1799:F1799"/>
    <mergeCell ref="A1241:S1241"/>
    <mergeCell ref="A911:G911"/>
    <mergeCell ref="B617:B618"/>
    <mergeCell ref="B542:B543"/>
    <mergeCell ref="DK8:DQ8"/>
    <mergeCell ref="B548:B549"/>
    <mergeCell ref="CK8:CQ8"/>
    <mergeCell ref="B610:B611"/>
    <mergeCell ref="AH8:AU8"/>
    <mergeCell ref="S8:AF8"/>
    <mergeCell ref="A907:CQ907"/>
    <mergeCell ref="V552:V553"/>
    <mergeCell ref="A819:G819"/>
    <mergeCell ref="H1799:M1799"/>
    <mergeCell ref="A67:V67"/>
    <mergeCell ref="Y913:AE913"/>
    <mergeCell ref="A527:G527"/>
    <mergeCell ref="BE913:BK913"/>
    <mergeCell ref="A1207:G1207"/>
    <mergeCell ref="B624:B625"/>
    <mergeCell ref="U527:AA527"/>
    <mergeCell ref="K527:Q527"/>
    <mergeCell ref="V548:V549"/>
    <mergeCell ref="A70:G70"/>
    <mergeCell ref="Q913:W913"/>
    <mergeCell ref="BV8:CI8"/>
    <mergeCell ref="K1244:Q1244"/>
    <mergeCell ref="B602:B603"/>
    <mergeCell ref="B620:B621"/>
    <mergeCell ref="A8:N8"/>
    <mergeCell ref="A3:BG3"/>
    <mergeCell ref="A523:AT523"/>
    <mergeCell ref="B605:B606"/>
    <mergeCell ref="B597:B599"/>
    <mergeCell ref="AD527:AJ527"/>
    <mergeCell ref="BE8:BR8"/>
    <mergeCell ref="H70:N70"/>
    <mergeCell ref="I913:O913"/>
    <mergeCell ref="A816:O816"/>
    <mergeCell ref="B607:B608"/>
    <mergeCell ref="A1244:G1244"/>
    <mergeCell ref="V542:V543"/>
    <mergeCell ref="A1203:O1203"/>
  </mergeCell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B25" sqref="AB25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11"/>
  <sheetViews>
    <sheetView zoomScale="85" zoomScaleNormal="85" workbookViewId="0">
      <selection activeCell="B19" sqref="B19"/>
    </sheetView>
  </sheetViews>
  <sheetFormatPr baseColWidth="8" defaultRowHeight="15"/>
  <cols>
    <col width="34.140625" customWidth="1" min="1" max="1"/>
    <col width="19.7109375" customWidth="1" style="2" min="2" max="2"/>
    <col width="23" customWidth="1" min="3" max="3"/>
    <col width="28" customWidth="1" min="4" max="4"/>
    <col width="24.85546875" customWidth="1" min="5" max="5"/>
    <col width="28.140625" customWidth="1" min="6" max="6"/>
    <col width="19.42578125" customWidth="1" min="7" max="7"/>
    <col width="21.42578125" customWidth="1" min="8" max="8"/>
    <col width="38.28515625" customWidth="1" min="9" max="9"/>
    <col width="23.85546875" customWidth="1" min="10" max="10"/>
    <col width="24.42578125" customWidth="1" min="11" max="11"/>
    <col width="19" customWidth="1" min="12" max="12"/>
    <col width="23.42578125" customWidth="1" min="13" max="13"/>
    <col width="34.140625" customWidth="1" min="14" max="14"/>
  </cols>
  <sheetData>
    <row r="1" ht="15.75" customHeight="1" thickBot="1">
      <c r="A1" s="708" t="inlineStr">
        <is>
          <t>Inputs</t>
        </is>
      </c>
      <c r="B1" s="811" t="n"/>
      <c r="C1" s="812" t="n"/>
      <c r="I1" s="126" t="inlineStr">
        <is>
          <t>Sr. No</t>
        </is>
      </c>
      <c r="J1" s="127" t="inlineStr">
        <is>
          <t>Item</t>
        </is>
      </c>
      <c r="K1" s="127" t="inlineStr">
        <is>
          <t>Heat Load (W)</t>
        </is>
      </c>
      <c r="L1" s="127" t="inlineStr">
        <is>
          <t>Qty</t>
        </is>
      </c>
      <c r="M1" s="128" t="inlineStr">
        <is>
          <t>Total Heat Load (W)</t>
        </is>
      </c>
      <c r="N1" s="125" t="n"/>
    </row>
    <row r="2" ht="15.75" customHeight="1" thickBot="1">
      <c r="A2" s="78" t="inlineStr">
        <is>
          <t>c</t>
        </is>
      </c>
      <c r="B2" s="79" t="n">
        <v>1</v>
      </c>
      <c r="C2" s="81" t="inlineStr">
        <is>
          <t>KJ/Kg</t>
        </is>
      </c>
      <c r="D2" s="715" t="n"/>
      <c r="E2" s="714" t="inlineStr">
        <is>
          <t>Outputs</t>
        </is>
      </c>
      <c r="F2" s="811" t="n"/>
      <c r="G2" s="812" t="n"/>
      <c r="I2" s="129" t="n">
        <v>1</v>
      </c>
      <c r="J2" s="124" t="inlineStr">
        <is>
          <t>Passenger</t>
        </is>
      </c>
      <c r="K2" s="124" t="n">
        <v>72.84</v>
      </c>
      <c r="L2" s="124" t="n">
        <v>340</v>
      </c>
      <c r="M2" s="130">
        <f>K2*L2</f>
        <v/>
      </c>
      <c r="N2" s="125" t="n"/>
    </row>
    <row r="3" ht="15.75" customHeight="1" thickBot="1">
      <c r="A3" s="82" t="inlineStr">
        <is>
          <t>Set Point</t>
        </is>
      </c>
      <c r="B3" s="715">
        <f>'LFD OLD'!F5+273</f>
        <v/>
      </c>
      <c r="C3" s="83" t="inlineStr">
        <is>
          <t>K</t>
        </is>
      </c>
      <c r="D3" s="715" t="n"/>
      <c r="E3" s="97" t="inlineStr">
        <is>
          <t>Return Air</t>
        </is>
      </c>
      <c r="F3" s="98">
        <f>B18-J32</f>
        <v/>
      </c>
      <c r="G3" s="99" t="inlineStr">
        <is>
          <t>C</t>
        </is>
      </c>
      <c r="I3" s="129" t="n">
        <v>2</v>
      </c>
      <c r="J3" s="124" t="inlineStr">
        <is>
          <t>Solar Gain</t>
        </is>
      </c>
      <c r="K3" s="124" t="n">
        <v>2336</v>
      </c>
      <c r="L3" s="124" t="n">
        <v>1</v>
      </c>
      <c r="M3" s="130">
        <f>K3*L3</f>
        <v/>
      </c>
      <c r="N3" s="125" t="n"/>
    </row>
    <row r="4">
      <c r="A4" s="82" t="inlineStr">
        <is>
          <t>Ambient Temp</t>
        </is>
      </c>
      <c r="B4" s="715">
        <f>'LFD OLD'!F7+273</f>
        <v/>
      </c>
      <c r="C4" s="83" t="inlineStr">
        <is>
          <t>K</t>
        </is>
      </c>
      <c r="D4" s="715" t="n"/>
      <c r="E4" s="100" t="n"/>
      <c r="F4" s="100" t="n"/>
      <c r="G4" s="100" t="n"/>
      <c r="I4" s="129" t="n">
        <v>3</v>
      </c>
      <c r="J4" s="124" t="inlineStr">
        <is>
          <t>Transmission Gain</t>
        </is>
      </c>
      <c r="K4" s="124" t="n">
        <v>2882</v>
      </c>
      <c r="L4" s="124" t="n">
        <v>1</v>
      </c>
      <c r="M4" s="130">
        <f>K4*L4</f>
        <v/>
      </c>
      <c r="N4" s="125" t="n"/>
    </row>
    <row r="5">
      <c r="A5" s="82" t="inlineStr">
        <is>
          <t>Supply Temp</t>
        </is>
      </c>
      <c r="B5" s="715">
        <f>'LFD OLD'!F8+273</f>
        <v/>
      </c>
      <c r="C5" s="83" t="inlineStr">
        <is>
          <t>K</t>
        </is>
      </c>
      <c r="D5" s="715" t="n"/>
      <c r="E5" s="100" t="n"/>
      <c r="F5" s="100" t="n"/>
      <c r="G5" s="100" t="n"/>
      <c r="I5" s="129" t="n">
        <v>4</v>
      </c>
      <c r="J5" s="124" t="inlineStr">
        <is>
          <t>Internal Equipment</t>
        </is>
      </c>
      <c r="K5" s="124" t="n">
        <v>2500</v>
      </c>
      <c r="L5" s="124" t="n">
        <v>1</v>
      </c>
      <c r="M5" s="130">
        <f>K5*L5</f>
        <v/>
      </c>
      <c r="N5" s="125" t="n"/>
    </row>
    <row r="6">
      <c r="A6" s="82" t="inlineStr">
        <is>
          <t>Time</t>
        </is>
      </c>
      <c r="B6" s="101" t="n">
        <v>0.8</v>
      </c>
      <c r="C6" s="83" t="inlineStr">
        <is>
          <t>s</t>
        </is>
      </c>
      <c r="D6" s="715" t="n"/>
      <c r="E6" s="100" t="inlineStr">
        <is>
          <t>Supply Air Temp</t>
        </is>
      </c>
      <c r="F6" s="100">
        <f>IF(B14=1,(F3+B3-273)/2,F3)</f>
        <v/>
      </c>
      <c r="G6" s="100" t="n"/>
      <c r="I6" s="129" t="n">
        <v>5</v>
      </c>
      <c r="J6" s="124" t="inlineStr">
        <is>
          <t>Fan Motor Load</t>
        </is>
      </c>
      <c r="K6" s="124" t="n">
        <v>4000</v>
      </c>
      <c r="L6" s="124" t="n">
        <v>1</v>
      </c>
      <c r="M6" s="130">
        <f>K6*L6</f>
        <v/>
      </c>
      <c r="N6" s="125" t="n"/>
    </row>
    <row r="7">
      <c r="A7" s="82" t="inlineStr">
        <is>
          <t xml:space="preserve">Loading </t>
        </is>
      </c>
      <c r="B7" s="715">
        <f>'DATA TRANSFER'!F40</f>
        <v/>
      </c>
      <c r="C7" s="83" t="inlineStr">
        <is>
          <t>pax</t>
        </is>
      </c>
      <c r="D7" s="715" t="n"/>
      <c r="E7" s="100" t="n"/>
      <c r="F7" s="100" t="n"/>
      <c r="G7" s="100" t="n"/>
      <c r="I7" s="129" t="n">
        <v>6</v>
      </c>
      <c r="J7" s="124" t="inlineStr">
        <is>
          <t>Fresh Air Load</t>
        </is>
      </c>
      <c r="K7" s="124" t="n">
        <v>6663</v>
      </c>
      <c r="L7" s="124" t="n">
        <v>1</v>
      </c>
      <c r="M7" s="130">
        <f>K7*L7</f>
        <v/>
      </c>
      <c r="N7" s="125" t="n"/>
    </row>
    <row r="8" ht="15.75" customHeight="1" thickBot="1">
      <c r="A8" s="82" t="inlineStr">
        <is>
          <t>Heat Load Damper</t>
        </is>
      </c>
      <c r="B8" s="101" t="n">
        <v>0.8</v>
      </c>
      <c r="C8" s="83" t="inlineStr">
        <is>
          <t>0-1</t>
        </is>
      </c>
      <c r="D8" s="715" t="n"/>
      <c r="E8" s="100" t="inlineStr">
        <is>
          <t>Damper Pos</t>
        </is>
      </c>
      <c r="F8" s="100">
        <f>B7*25+25*IF('DATA TRANSFER'!CP18=1,0,1)*IF('DATA TRANSFER'!AE22=0,0,1)</f>
        <v/>
      </c>
      <c r="G8" s="100" t="n"/>
      <c r="I8" s="129" t="n">
        <v>7</v>
      </c>
      <c r="J8" s="124" t="inlineStr">
        <is>
          <t>Door Opening Load</t>
        </is>
      </c>
      <c r="K8" s="124" t="n">
        <v>525</v>
      </c>
      <c r="L8" s="134" t="n">
        <v>1</v>
      </c>
      <c r="M8" s="133">
        <f>K8*L8</f>
        <v/>
      </c>
      <c r="N8" s="125" t="n"/>
    </row>
    <row r="9" ht="15.75" customHeight="1" thickBot="1">
      <c r="A9" s="102" t="inlineStr">
        <is>
          <t>Comp 1</t>
        </is>
      </c>
      <c r="B9" s="103">
        <f>'Mode Logic'!L18</f>
        <v/>
      </c>
      <c r="C9" s="104" t="inlineStr">
        <is>
          <t>On/off</t>
        </is>
      </c>
      <c r="D9" s="715" t="n"/>
      <c r="E9" s="715" t="n"/>
      <c r="F9" s="715">
        <f>IF('DATA TRANSFER'!AE24=1,100,Calculation!F8)</f>
        <v/>
      </c>
      <c r="G9" s="715" t="n"/>
      <c r="I9" s="131" t="n"/>
      <c r="J9" s="132" t="n"/>
      <c r="K9" s="137" t="n"/>
      <c r="L9" s="138" t="inlineStr">
        <is>
          <t>Total Heat Load</t>
        </is>
      </c>
      <c r="M9" s="139">
        <f>SUM(M2:M8)</f>
        <v/>
      </c>
      <c r="N9" s="136" t="inlineStr">
        <is>
          <t>W</t>
        </is>
      </c>
    </row>
    <row r="10" ht="23.25" customHeight="1">
      <c r="A10" s="102" t="inlineStr">
        <is>
          <t>Comp 2</t>
        </is>
      </c>
      <c r="B10" s="103">
        <f>'Mode Logic'!M18</f>
        <v/>
      </c>
      <c r="C10" s="104" t="inlineStr">
        <is>
          <t>On/off</t>
        </is>
      </c>
      <c r="D10" s="715" t="inlineStr">
        <is>
          <t>HVAC 1 DMA</t>
        </is>
      </c>
      <c r="E10" s="715" t="n"/>
      <c r="F10" s="715" t="n"/>
      <c r="G10" s="715" t="n"/>
      <c r="I10" s="100" t="n"/>
      <c r="J10" s="100" t="n"/>
      <c r="K10" s="100" t="n"/>
      <c r="L10" s="100" t="n"/>
      <c r="M10" s="100" t="n"/>
    </row>
    <row r="11" ht="15.75" customHeight="1" thickBot="1">
      <c r="A11" s="102" t="inlineStr">
        <is>
          <t>Comp 3</t>
        </is>
      </c>
      <c r="B11" s="103">
        <f>'Mode Logic'!N18</f>
        <v/>
      </c>
      <c r="C11" s="104" t="inlineStr">
        <is>
          <t>On/off</t>
        </is>
      </c>
      <c r="E11" s="715" t="n"/>
      <c r="F11" s="715" t="n"/>
      <c r="G11" s="715" t="n"/>
      <c r="I11" s="100" t="n"/>
      <c r="J11" s="100" t="n"/>
      <c r="K11" s="100" t="n"/>
      <c r="L11" s="100" t="n"/>
      <c r="M11" s="100" t="n"/>
    </row>
    <row r="12" ht="15.75" customHeight="1" thickBot="1">
      <c r="A12" s="102" t="inlineStr">
        <is>
          <t>Comp 4</t>
        </is>
      </c>
      <c r="B12" s="103">
        <f>'Mode Logic'!O18</f>
        <v/>
      </c>
      <c r="C12" s="104" t="inlineStr">
        <is>
          <t>On/off</t>
        </is>
      </c>
      <c r="E12" s="715" t="n"/>
      <c r="F12" s="715" t="n"/>
      <c r="G12" s="715" t="n"/>
      <c r="I12" s="813" t="inlineStr">
        <is>
          <t>Fresh Air Load</t>
        </is>
      </c>
      <c r="J12" s="814" t="n"/>
      <c r="K12" s="814" t="n"/>
      <c r="L12" s="814" t="n"/>
      <c r="M12" s="815" t="n"/>
    </row>
    <row r="13">
      <c r="A13" s="102" t="inlineStr">
        <is>
          <t>Heater</t>
        </is>
      </c>
      <c r="B13" s="103">
        <f>'DATA TRANSFER'!M24</f>
        <v/>
      </c>
      <c r="C13" s="104" t="inlineStr">
        <is>
          <t>On/off</t>
        </is>
      </c>
      <c r="D13" s="715" t="n"/>
      <c r="E13" s="715" t="n"/>
      <c r="F13" s="715" t="n"/>
      <c r="G13" s="715" t="n"/>
      <c r="I13" s="106" t="inlineStr">
        <is>
          <t>Air Flow</t>
        </is>
      </c>
      <c r="J13" s="107">
        <f>IF(B17=1,3037,0)/3600</f>
        <v/>
      </c>
      <c r="K13" s="107" t="inlineStr">
        <is>
          <t>m^3/s</t>
        </is>
      </c>
      <c r="L13" s="107" t="n"/>
      <c r="M13" s="108" t="n"/>
      <c r="N13" s="715" t="n"/>
    </row>
    <row r="14">
      <c r="A14" s="102" t="inlineStr">
        <is>
          <t>FAD</t>
        </is>
      </c>
      <c r="B14" s="103">
        <f>'DATA TRANSFER'!M16</f>
        <v/>
      </c>
      <c r="C14" s="104" t="n"/>
      <c r="D14" s="715" t="n"/>
      <c r="E14" s="715" t="n"/>
      <c r="F14" s="715" t="n"/>
      <c r="G14" s="715" t="n"/>
      <c r="I14" s="109" t="inlineStr">
        <is>
          <t>Delta T</t>
        </is>
      </c>
      <c r="J14" s="100">
        <f>B9-B7</f>
        <v/>
      </c>
      <c r="K14" s="100" t="inlineStr">
        <is>
          <t>K</t>
        </is>
      </c>
      <c r="L14" s="100" t="n"/>
      <c r="M14" s="110" t="n"/>
      <c r="N14" s="715" t="n"/>
    </row>
    <row r="15">
      <c r="A15" s="102" t="inlineStr">
        <is>
          <t xml:space="preserve">Cooling </t>
        </is>
      </c>
      <c r="B15" s="103">
        <f>IF(AND(B9:B12),47,IF(OR(B9:B12),10,IF(B13=1,-9,0)))</f>
        <v/>
      </c>
      <c r="C15" s="104" t="inlineStr">
        <is>
          <t>KW</t>
        </is>
      </c>
      <c r="D15" s="715" t="n"/>
      <c r="E15" s="715" t="n"/>
      <c r="F15" s="715" t="n"/>
      <c r="G15" s="715" t="n"/>
      <c r="I15" s="109" t="n"/>
      <c r="J15" s="100" t="n"/>
      <c r="K15" s="100" t="n"/>
      <c r="L15" s="100" t="n"/>
      <c r="M15" s="110" t="n"/>
      <c r="N15" s="715" t="n"/>
    </row>
    <row r="16">
      <c r="A16" s="82" t="n"/>
      <c r="B16" s="715">
        <f>B15*1000</f>
        <v/>
      </c>
      <c r="C16" s="83" t="inlineStr">
        <is>
          <t>W</t>
        </is>
      </c>
      <c r="D16" s="715" t="n"/>
      <c r="E16" s="715" t="n"/>
      <c r="F16" s="715" t="n"/>
      <c r="G16" s="715" t="n"/>
      <c r="I16" s="109" t="inlineStr">
        <is>
          <t xml:space="preserve">Heat Load </t>
        </is>
      </c>
      <c r="J16" s="100">
        <f>J13*J14</f>
        <v/>
      </c>
      <c r="K16" s="100" t="inlineStr">
        <is>
          <t>KW</t>
        </is>
      </c>
      <c r="L16" s="100" t="n"/>
      <c r="M16" s="110" t="n"/>
      <c r="N16" s="715" t="n"/>
    </row>
    <row r="17" ht="15.75" customHeight="1" thickBot="1">
      <c r="A17" s="82" t="n"/>
      <c r="B17" s="715" t="n"/>
      <c r="C17" s="83" t="n"/>
      <c r="D17" s="715" t="n"/>
      <c r="E17" s="715" t="n"/>
      <c r="F17" s="715" t="n"/>
      <c r="G17" s="715" t="n"/>
      <c r="I17" s="111" t="n"/>
      <c r="J17" s="112">
        <f>J16*1000</f>
        <v/>
      </c>
      <c r="K17" s="112" t="inlineStr">
        <is>
          <t>W</t>
        </is>
      </c>
      <c r="L17" s="112" t="n"/>
      <c r="M17" s="114" t="n"/>
      <c r="N17" s="715" t="n"/>
    </row>
    <row r="18" ht="15.75" customHeight="1" thickBot="1">
      <c r="A18" s="82" t="inlineStr">
        <is>
          <t>Internal Temp(RAT)</t>
        </is>
      </c>
      <c r="B18" s="715">
        <f>'DATA TRANSFER'!F38</f>
        <v/>
      </c>
      <c r="C18" s="83" t="inlineStr">
        <is>
          <t>C</t>
        </is>
      </c>
      <c r="D18" s="715" t="n"/>
      <c r="E18" s="715" t="n"/>
      <c r="F18" s="715" t="n"/>
      <c r="G18" s="715" t="n"/>
      <c r="I18" s="100" t="n"/>
      <c r="J18" s="100" t="n"/>
      <c r="K18" s="100" t="n"/>
      <c r="L18" s="100">
        <f>'Mode Logic'!M18</f>
        <v/>
      </c>
      <c r="M18" s="100" t="n"/>
      <c r="N18" s="715" t="n"/>
    </row>
    <row r="19">
      <c r="A19" s="82" t="inlineStr">
        <is>
          <t>Time Elapsed since Preconditioning</t>
        </is>
      </c>
      <c r="B19" s="715">
        <f>'DATA TRANSFER'!F34</f>
        <v/>
      </c>
      <c r="C19" s="83" t="inlineStr">
        <is>
          <t>mins</t>
        </is>
      </c>
      <c r="D19" s="334" t="inlineStr">
        <is>
          <t>Need to add timer start once preconditioning is triggered</t>
        </is>
      </c>
      <c r="E19" s="715" t="n"/>
      <c r="F19" s="715" t="n"/>
      <c r="G19" s="715" t="n"/>
      <c r="I19" s="135" t="inlineStr">
        <is>
          <t>Total Heat Load</t>
        </is>
      </c>
      <c r="J19" s="135" t="n"/>
      <c r="K19" s="135" t="n"/>
      <c r="L19" s="135" t="n"/>
      <c r="M19" s="135" t="n"/>
      <c r="N19" s="715" t="n"/>
    </row>
    <row r="20">
      <c r="A20" s="82" t="n"/>
      <c r="B20" s="715" t="n"/>
      <c r="C20" s="83" t="n"/>
      <c r="D20" s="715" t="n"/>
      <c r="E20" s="715" t="n"/>
      <c r="F20" s="715" t="n"/>
      <c r="G20" s="715" t="n"/>
      <c r="I20" s="124" t="n">
        <v>1</v>
      </c>
      <c r="J20" s="124" t="inlineStr">
        <is>
          <t>Heat Load</t>
        </is>
      </c>
      <c r="K20" s="124">
        <f>M9</f>
        <v/>
      </c>
      <c r="L20" s="124" t="inlineStr">
        <is>
          <t>W</t>
        </is>
      </c>
      <c r="M20" s="124" t="n"/>
      <c r="N20" s="715" t="n"/>
    </row>
    <row r="21" ht="15.75" customHeight="1" thickBot="1">
      <c r="A21" s="105" t="n"/>
      <c r="B21" s="85" t="n"/>
      <c r="C21" s="86" t="n"/>
      <c r="D21" s="715" t="n"/>
      <c r="E21" s="715" t="n"/>
      <c r="F21" s="715" t="n"/>
      <c r="G21" s="715" t="n"/>
      <c r="I21" s="124" t="n">
        <v>2</v>
      </c>
      <c r="J21" s="124" t="inlineStr">
        <is>
          <t>Freah Air</t>
        </is>
      </c>
      <c r="K21" s="124">
        <f>J17*G8/100</f>
        <v/>
      </c>
      <c r="L21" s="124" t="inlineStr">
        <is>
          <t>W</t>
        </is>
      </c>
      <c r="M21" s="124" t="n"/>
      <c r="N21" s="715" t="n"/>
    </row>
    <row r="22" ht="15.75" customHeight="1" thickBot="1">
      <c r="A22" s="715" t="n"/>
      <c r="B22" s="715" t="n"/>
      <c r="C22" s="715" t="n"/>
      <c r="D22" s="715" t="n"/>
      <c r="E22" s="715" t="n"/>
      <c r="F22" s="715" t="n"/>
      <c r="G22" s="715" t="n"/>
      <c r="I22" s="124" t="n">
        <v>3</v>
      </c>
      <c r="J22" s="124" t="inlineStr">
        <is>
          <t xml:space="preserve">Operational </t>
        </is>
      </c>
      <c r="K22" s="124" t="n"/>
      <c r="L22" s="124" t="inlineStr">
        <is>
          <t>W</t>
        </is>
      </c>
      <c r="M22" s="124" t="n"/>
      <c r="N22" s="715" t="n"/>
    </row>
    <row r="23" ht="15.75" customHeight="1" thickBot="1">
      <c r="A23" s="231" t="inlineStr">
        <is>
          <t>Comp 1</t>
        </is>
      </c>
      <c r="B23" s="232">
        <f>'DATA TRANSFER'!M41</f>
        <v/>
      </c>
      <c r="C23" s="233" t="inlineStr">
        <is>
          <t>On/off</t>
        </is>
      </c>
      <c r="D23" s="715" t="n"/>
      <c r="E23" s="715" t="n"/>
      <c r="F23" s="715" t="n"/>
      <c r="G23" s="715" t="n"/>
      <c r="I23" s="115" t="inlineStr">
        <is>
          <t>Total Heat Load</t>
        </is>
      </c>
      <c r="J23" s="115" t="n"/>
      <c r="K23" s="115">
        <f>SUM(K20:K22)</f>
        <v/>
      </c>
      <c r="L23" s="100" t="n"/>
      <c r="M23" s="100" t="n"/>
      <c r="N23" s="715" t="n"/>
    </row>
    <row r="24">
      <c r="A24" s="234" t="inlineStr">
        <is>
          <t>Comp 2</t>
        </is>
      </c>
      <c r="B24" s="103">
        <f>'DATA TRANSFER'!M42</f>
        <v/>
      </c>
      <c r="C24" s="235" t="inlineStr">
        <is>
          <t>On/off</t>
        </is>
      </c>
      <c r="D24" s="715" t="inlineStr">
        <is>
          <t>HVAC 1 DMB</t>
        </is>
      </c>
      <c r="E24" s="715" t="n"/>
      <c r="F24" s="715" t="n"/>
      <c r="G24" s="715" t="n"/>
      <c r="I24" s="715" t="n"/>
      <c r="J24" s="715" t="n"/>
      <c r="K24" s="715" t="n"/>
      <c r="L24" s="715" t="n"/>
      <c r="M24" s="715" t="n"/>
      <c r="N24" s="715" t="n"/>
    </row>
    <row r="25" ht="15.75" customHeight="1" thickBot="1">
      <c r="A25" s="234" t="inlineStr">
        <is>
          <t>Comp 3</t>
        </is>
      </c>
      <c r="B25" s="103">
        <f>'DATA TRANSFER'!M43</f>
        <v/>
      </c>
      <c r="C25" s="235" t="inlineStr">
        <is>
          <t>On/off</t>
        </is>
      </c>
      <c r="D25" s="715" t="n"/>
      <c r="E25" s="715" t="n"/>
      <c r="F25" s="715" t="n"/>
      <c r="G25" s="715" t="n"/>
      <c r="I25" s="715" t="n"/>
      <c r="J25" s="715" t="n"/>
      <c r="K25" s="715" t="n"/>
      <c r="L25" s="715" t="n"/>
      <c r="M25" s="715" t="n"/>
      <c r="N25" s="715" t="n"/>
    </row>
    <row r="26" ht="15.75" customHeight="1" thickBot="1">
      <c r="A26" s="234" t="inlineStr">
        <is>
          <t>Comp 4</t>
        </is>
      </c>
      <c r="B26" s="103">
        <f>'DATA TRANSFER'!M46</f>
        <v/>
      </c>
      <c r="C26" s="235" t="inlineStr">
        <is>
          <t>On/off</t>
        </is>
      </c>
      <c r="D26" s="715" t="n"/>
      <c r="E26" s="715" t="n"/>
      <c r="F26" s="715" t="n"/>
      <c r="G26" s="715" t="n"/>
      <c r="I26" s="708" t="inlineStr">
        <is>
          <t xml:space="preserve">Change in Temp </t>
        </is>
      </c>
      <c r="J26" s="708" t="n"/>
      <c r="K26" s="708" t="n"/>
      <c r="L26" s="708" t="n"/>
      <c r="M26" s="708" t="n"/>
      <c r="N26" s="715" t="n"/>
    </row>
    <row r="27">
      <c r="A27" s="234" t="inlineStr">
        <is>
          <t>Heater</t>
        </is>
      </c>
      <c r="B27" s="103" t="n">
        <v>1</v>
      </c>
      <c r="C27" s="235" t="inlineStr">
        <is>
          <t>On/off</t>
        </is>
      </c>
      <c r="D27" s="715" t="n"/>
      <c r="E27" s="715" t="n"/>
      <c r="F27" s="715" t="n"/>
      <c r="G27" s="715" t="n"/>
      <c r="I27" s="116" t="n">
        <v>1</v>
      </c>
      <c r="J27" s="117" t="inlineStr">
        <is>
          <t>Delta W</t>
        </is>
      </c>
      <c r="K27" s="117">
        <f>B16-K23</f>
        <v/>
      </c>
      <c r="L27" s="117" t="inlineStr">
        <is>
          <t>W</t>
        </is>
      </c>
      <c r="M27" s="118" t="n"/>
      <c r="N27" s="715" t="n"/>
    </row>
    <row r="28">
      <c r="A28" s="234" t="inlineStr">
        <is>
          <t>FAD</t>
        </is>
      </c>
      <c r="B28" s="103" t="n">
        <v>1</v>
      </c>
      <c r="C28" s="235" t="n"/>
      <c r="D28" s="715" t="n"/>
      <c r="E28" s="715" t="n"/>
      <c r="F28" s="715" t="n"/>
      <c r="G28" s="715" t="n"/>
      <c r="I28" s="102" t="n">
        <v>2</v>
      </c>
      <c r="J28" s="103" t="inlineStr">
        <is>
          <t>Time</t>
        </is>
      </c>
      <c r="K28" s="103">
        <f>B6</f>
        <v/>
      </c>
      <c r="L28" s="103" t="inlineStr">
        <is>
          <t>s</t>
        </is>
      </c>
      <c r="M28" s="104" t="n"/>
      <c r="N28" s="715" t="inlineStr">
        <is>
          <t>DM1 HVAC1</t>
        </is>
      </c>
    </row>
    <row r="29">
      <c r="A29" s="234" t="inlineStr">
        <is>
          <t xml:space="preserve">Cooling </t>
        </is>
      </c>
      <c r="B29" s="103">
        <f>IF(AND(B23:B26),47,IF(OR(B23:B26),10,IF(B27=1,-9,0)))</f>
        <v/>
      </c>
      <c r="C29" s="235" t="inlineStr">
        <is>
          <t>KW</t>
        </is>
      </c>
      <c r="D29" s="715" t="n"/>
      <c r="E29" s="715" t="n"/>
      <c r="F29" s="715" t="n"/>
      <c r="G29" s="715" t="n"/>
      <c r="I29" s="102" t="n">
        <v>3</v>
      </c>
      <c r="J29" s="103" t="inlineStr">
        <is>
          <t>c</t>
        </is>
      </c>
      <c r="K29" s="103" t="n">
        <v>1</v>
      </c>
      <c r="L29" s="103" t="inlineStr">
        <is>
          <t>Kj/Kg.K</t>
        </is>
      </c>
      <c r="M29" s="104" t="n"/>
      <c r="N29" s="715" t="n"/>
    </row>
    <row r="30" ht="15.75" customHeight="1" thickBot="1">
      <c r="A30" s="204" t="n"/>
      <c r="B30" s="171">
        <f>B29*1000</f>
        <v/>
      </c>
      <c r="C30" s="172" t="inlineStr">
        <is>
          <t>W</t>
        </is>
      </c>
      <c r="D30" s="715" t="n"/>
      <c r="E30" s="715" t="n"/>
      <c r="F30" s="715" t="n"/>
      <c r="G30" s="715" t="n"/>
      <c r="I30" s="119" t="n">
        <v>4</v>
      </c>
      <c r="J30" s="120" t="inlineStr">
        <is>
          <t>m</t>
        </is>
      </c>
      <c r="K30" s="120" t="n">
        <v>1000</v>
      </c>
      <c r="L30" s="120" t="inlineStr">
        <is>
          <t>Kg</t>
        </is>
      </c>
      <c r="M30" s="121" t="n"/>
      <c r="N30" s="715" t="n"/>
    </row>
    <row r="31" ht="15.75" customHeight="1" thickBot="1">
      <c r="E31" s="715" t="n"/>
      <c r="F31" s="715" t="n"/>
      <c r="G31" s="715" t="n"/>
      <c r="I31" s="715" t="n"/>
      <c r="J31" s="715" t="n"/>
      <c r="K31" s="715" t="n"/>
      <c r="L31" s="715" t="n"/>
      <c r="M31" s="715" t="n"/>
      <c r="N31" s="715" t="n"/>
    </row>
    <row r="32" ht="15.75" customHeight="1" thickBot="1">
      <c r="A32" s="209" t="n"/>
      <c r="B32" s="210" t="inlineStr">
        <is>
          <t>DMA</t>
        </is>
      </c>
      <c r="C32" s="210" t="inlineStr">
        <is>
          <t>TCA</t>
        </is>
      </c>
      <c r="D32" s="211" t="inlineStr">
        <is>
          <t>DMB</t>
        </is>
      </c>
      <c r="E32" s="715" t="n"/>
      <c r="F32" s="715" t="n"/>
      <c r="G32" s="715" t="n"/>
      <c r="I32" s="122" t="inlineStr">
        <is>
          <t xml:space="preserve">Change </t>
        </is>
      </c>
      <c r="J32" s="123">
        <f>(1/1000)*(K27*K28)/(K29*K30)</f>
        <v/>
      </c>
      <c r="K32" s="113" t="inlineStr">
        <is>
          <t>C</t>
        </is>
      </c>
      <c r="L32" s="715" t="n"/>
      <c r="M32" s="715" t="n"/>
      <c r="N32" s="715" t="n"/>
    </row>
    <row r="33">
      <c r="A33" s="207" t="inlineStr">
        <is>
          <t xml:space="preserve">Set Point </t>
        </is>
      </c>
      <c r="B33" s="715">
        <f>IF(TCMS!D24&gt;0,Calculation!O40+TCMS!D24,O40)</f>
        <v/>
      </c>
      <c r="C33" s="715">
        <f>IF(TCMS!E24&gt;0,Calculation!P40+TCMS!E24,P40)</f>
        <v/>
      </c>
      <c r="D33" s="169">
        <f>IF(TCMS!F24&gt;0,Calculation!Q40+TCMS!F24,Q40)</f>
        <v/>
      </c>
      <c r="E33" s="715" t="n"/>
      <c r="F33" s="715" t="n"/>
      <c r="G33" s="715" t="n"/>
      <c r="I33" s="715" t="n"/>
      <c r="J33" s="715" t="n"/>
      <c r="K33" s="715" t="n"/>
      <c r="L33" s="715" t="n"/>
      <c r="M33" s="715" t="n"/>
      <c r="N33" s="715" t="n"/>
    </row>
    <row r="34" ht="15.75" customHeight="1" thickBot="1">
      <c r="A34" s="208" t="inlineStr">
        <is>
          <t>Ambient Temp</t>
        </is>
      </c>
      <c r="B34" s="715">
        <f>'DATA TRANSFER'!F39</f>
        <v/>
      </c>
      <c r="C34" s="715">
        <f>B34</f>
        <v/>
      </c>
      <c r="D34" s="169">
        <f>C34</f>
        <v/>
      </c>
      <c r="E34" s="715" t="n"/>
      <c r="F34" s="715" t="n"/>
      <c r="G34" s="715" t="n"/>
      <c r="I34" s="715" t="n"/>
      <c r="J34" s="715" t="n"/>
      <c r="K34" s="715" t="n"/>
      <c r="L34" s="715" t="n"/>
      <c r="M34" s="715" t="n"/>
      <c r="N34" s="715" t="n"/>
    </row>
    <row r="35" ht="15.75" customHeight="1" thickBot="1">
      <c r="A35" s="208" t="inlineStr">
        <is>
          <t>RAT</t>
        </is>
      </c>
      <c r="B35" s="715">
        <f>'DATA TRANSFER'!Q584</f>
        <v/>
      </c>
      <c r="C35" s="715">
        <f>'DATA TRANSFER'!G38</f>
        <v/>
      </c>
      <c r="D35" s="169">
        <f>'DATA TRANSFER'!H38</f>
        <v/>
      </c>
      <c r="E35" s="715" t="n"/>
      <c r="F35" s="715" t="n"/>
      <c r="G35" s="715" t="n"/>
      <c r="I35" s="708" t="inlineStr">
        <is>
          <t xml:space="preserve">Change in Temp </t>
        </is>
      </c>
      <c r="J35" s="708" t="n"/>
      <c r="K35" s="708" t="n"/>
      <c r="L35" s="708" t="n"/>
      <c r="M35" s="708" t="n"/>
      <c r="N35" s="715" t="n"/>
    </row>
    <row r="36" ht="15.75" customHeight="1" thickBot="1">
      <c r="A36" s="204" t="inlineStr">
        <is>
          <t>New RAT</t>
        </is>
      </c>
      <c r="B36" s="171">
        <f>B35-B90</f>
        <v/>
      </c>
      <c r="C36" s="171">
        <f>C35-C90</f>
        <v/>
      </c>
      <c r="D36" s="172">
        <f>D35-B90</f>
        <v/>
      </c>
      <c r="I36" s="116" t="n">
        <v>1</v>
      </c>
      <c r="J36" s="117" t="inlineStr">
        <is>
          <t>Delta W</t>
        </is>
      </c>
      <c r="K36" s="117">
        <f>B15-K23</f>
        <v/>
      </c>
      <c r="L36" s="117" t="inlineStr">
        <is>
          <t>W</t>
        </is>
      </c>
      <c r="M36" s="118" t="n"/>
      <c r="N36" s="715" t="n"/>
    </row>
    <row r="37" ht="15.75" customHeight="1" thickBot="1">
      <c r="I37" s="102" t="n">
        <v>2</v>
      </c>
      <c r="J37" s="103" t="inlineStr">
        <is>
          <t>Time</t>
        </is>
      </c>
      <c r="K37" s="103">
        <f>B15</f>
        <v/>
      </c>
      <c r="L37" s="103" t="inlineStr">
        <is>
          <t>s</t>
        </is>
      </c>
      <c r="M37" s="104" t="n"/>
      <c r="N37" s="715" t="inlineStr">
        <is>
          <t>DM1 HVAC2</t>
        </is>
      </c>
    </row>
    <row r="38">
      <c r="A38" s="184" t="inlineStr">
        <is>
          <t>Pre-Cool</t>
        </is>
      </c>
      <c r="B38" s="716">
        <f>IF('Mode Logic'!B27=1,1,0)</f>
        <v/>
      </c>
      <c r="C38" s="716">
        <f>B38</f>
        <v/>
      </c>
      <c r="D38" s="179">
        <f>C38</f>
        <v/>
      </c>
      <c r="E38" s="36">
        <f>IF(B48=1,0,IF(OR(B38=1,B39=1,B40=1),0,IF('Mode Logic'!B30=1,1,0)))*IF(B50=1,0,1)</f>
        <v/>
      </c>
      <c r="F38">
        <f>'DATA TRANSFER'!F38</f>
        <v/>
      </c>
      <c r="I38" s="102" t="n">
        <v>3</v>
      </c>
      <c r="J38" s="103" t="inlineStr">
        <is>
          <t>c</t>
        </is>
      </c>
      <c r="K38" s="103" t="n">
        <v>1</v>
      </c>
      <c r="L38" s="103" t="inlineStr">
        <is>
          <t>Kj/Kg.K</t>
        </is>
      </c>
      <c r="M38" s="104" t="n"/>
      <c r="N38" s="715" t="n"/>
    </row>
    <row r="39" ht="15.75" customHeight="1" thickBot="1">
      <c r="A39" s="208" t="inlineStr">
        <is>
          <t>Pre-heat</t>
        </is>
      </c>
      <c r="B39" s="715">
        <f>IF('Mode Logic'!B26=1,1,0)</f>
        <v/>
      </c>
      <c r="C39" s="715">
        <f>B39</f>
        <v/>
      </c>
      <c r="D39" s="169">
        <f>C39</f>
        <v/>
      </c>
      <c r="I39" s="119" t="n">
        <v>4</v>
      </c>
      <c r="J39" s="120" t="inlineStr">
        <is>
          <t>m</t>
        </is>
      </c>
      <c r="K39" s="120" t="n">
        <v>1000</v>
      </c>
      <c r="L39" s="120" t="inlineStr">
        <is>
          <t>Kg</t>
        </is>
      </c>
      <c r="M39" s="121" t="n"/>
      <c r="N39" s="715" t="n"/>
    </row>
    <row r="40" ht="15.75" customHeight="1" thickBot="1">
      <c r="A40" s="208" t="inlineStr">
        <is>
          <t>Auto Cool 1 (Cooling Circuits Disabled)</t>
        </is>
      </c>
      <c r="B40" s="715">
        <f>IF(B48=1,0,IF(B38=0,IF('Mode Logic'!B29=1,1,0)))*IF(B50=1,0,1)</f>
        <v/>
      </c>
      <c r="C40" s="715">
        <f>B40</f>
        <v/>
      </c>
      <c r="D40" s="715">
        <f>IF(OR(D48=0,D38=0,D50=0),1,IF(AND(D35&gt;=D33+1.5,D35&lt;D33+2.5),1,0))</f>
        <v/>
      </c>
      <c r="E40" s="2" t="inlineStr">
        <is>
          <t>FAT&lt;T4</t>
        </is>
      </c>
      <c r="G40">
        <f>IF(OR(B48=0,B38=0,B50=0),1,IF(AND(B35&gt;=B33+1.5,B35&lt;B33+2.5),1,0))</f>
        <v/>
      </c>
    </row>
    <row r="41" ht="15.75" customHeight="1" thickBot="1">
      <c r="A41" s="208" t="inlineStr">
        <is>
          <t>Auto Cool 2</t>
        </is>
      </c>
      <c r="B41" s="715">
        <f>IF(B48=1,0,IF(OR(B38=1,B39=1,B40=1),0,IF('Mode Logic'!B30=1,1,0)))*IF(B50=1,0,1)</f>
        <v/>
      </c>
      <c r="C41" s="715">
        <f>B41</f>
        <v/>
      </c>
      <c r="D41" s="169">
        <f>IF(OR(D48=1,D38=1,D50=1),0,IF(AND(D35&gt;=D33,D35&lt;D33+1),1,0))</f>
        <v/>
      </c>
      <c r="I41" s="122" t="inlineStr">
        <is>
          <t xml:space="preserve">Change </t>
        </is>
      </c>
      <c r="J41" s="123">
        <f>(1/1000)*(K36*K37)/(K38*K39)</f>
        <v/>
      </c>
      <c r="K41" s="113" t="inlineStr">
        <is>
          <t>C</t>
        </is>
      </c>
    </row>
    <row r="42">
      <c r="A42" s="208" t="inlineStr">
        <is>
          <t>Auto Cool 3</t>
        </is>
      </c>
      <c r="B42" s="2">
        <f>IF(B48=1,0,IF(OR(B38=1,B39=1,B40=1,B41=1),0,IF('Mode Logic'!B31=1,1,0)))*IF(OR(B50=1,B49),0,1)</f>
        <v/>
      </c>
      <c r="C42" s="2">
        <f>B42</f>
        <v/>
      </c>
      <c r="D42" s="215">
        <f>IF(OR(D48=1,D38=1,D50=1,N1=1,N2=1),0,IF(AND(D35&gt;=D33+2.5,D35&lt;D33+3.5),1,0))</f>
        <v/>
      </c>
      <c r="E42">
        <f>IF(OR(B48=1,B38=1,B50=1,L1=1,L2=1),0,IF(AND(B35&gt;=B33+2.5,B35&lt;B33+3.5),1,0))</f>
        <v/>
      </c>
    </row>
    <row r="43">
      <c r="A43" s="208" t="inlineStr">
        <is>
          <t>Temp reference for Internal Smoke</t>
        </is>
      </c>
      <c r="B43" s="2" t="n">
        <v>45</v>
      </c>
      <c r="C43" s="2" t="n">
        <v>45</v>
      </c>
      <c r="D43" s="215" t="n">
        <v>45</v>
      </c>
    </row>
    <row r="44">
      <c r="A44" s="208" t="inlineStr">
        <is>
          <t>Internal Smoke GUI input</t>
        </is>
      </c>
      <c r="B44" s="2">
        <f>'DATA TRANSFER'!F28</f>
        <v/>
      </c>
      <c r="C44" s="2" t="n"/>
      <c r="D44" s="215" t="n"/>
    </row>
    <row r="45">
      <c r="A45" s="208" t="inlineStr">
        <is>
          <t>External Smoke GUI input</t>
        </is>
      </c>
      <c r="B45" s="2">
        <f>'DATA TRANSFER'!F29</f>
        <v/>
      </c>
      <c r="C45" s="2" t="n"/>
      <c r="D45" s="215" t="n"/>
      <c r="E45" s="715" t="n"/>
      <c r="F45" s="715" t="n"/>
      <c r="H45" s="715" t="n"/>
      <c r="I45" s="715" t="n"/>
      <c r="J45" s="715" t="n"/>
      <c r="K45" s="715" t="n"/>
      <c r="L45" s="715" t="n"/>
      <c r="M45" s="715" t="n"/>
      <c r="N45" s="715" t="n"/>
    </row>
    <row r="46">
      <c r="A46" s="208" t="n"/>
      <c r="C46" s="2" t="n"/>
      <c r="D46" s="215" t="n"/>
      <c r="E46" s="715" t="n"/>
      <c r="F46" s="715" t="n"/>
      <c r="G46" s="715" t="n"/>
      <c r="H46" s="715" t="n"/>
      <c r="I46" s="715" t="n"/>
      <c r="J46" s="715" t="n"/>
      <c r="K46" s="715" t="n"/>
      <c r="L46" s="715" t="n"/>
      <c r="M46" s="715" t="n"/>
      <c r="N46" s="715" t="n"/>
    </row>
    <row r="47">
      <c r="A47" s="208" t="n"/>
      <c r="C47" s="2" t="n"/>
      <c r="D47" s="215" t="n"/>
      <c r="E47" s="715">
        <f>IF(B44=1,IF(OR(B35&lt;B43,'DATA TRANSFER'!Q585=1,'DATA TRANSFER'!$F$12=1),1,0),IF('DATA TRANSFER'!F31=1,IF(OR(B35&lt;B34,'DATA TRANSFER'!Q585=1,'DATA TRANSFER'!$F$12=1),1,0),IF(OR(B35&lt;B33,'DATA TRANSFER'!Q585=1,'DATA TRANSFER'!$F$12=1),1,0)))</f>
        <v/>
      </c>
      <c r="F47" s="715" t="n"/>
      <c r="G47" s="715" t="n"/>
      <c r="H47" s="715" t="n"/>
      <c r="I47" s="715" t="n"/>
      <c r="J47" s="715" t="n"/>
      <c r="K47" s="715" t="n"/>
      <c r="L47" s="715" t="n"/>
      <c r="M47" s="715" t="n"/>
      <c r="N47" s="715" t="n"/>
    </row>
    <row r="48">
      <c r="A48" s="208" t="inlineStr">
        <is>
          <t>Vent</t>
        </is>
      </c>
      <c r="B48" s="715">
        <f>IF(B44=1,IF(OR(B35&lt;B43,'DATA TRANSFER'!Q585=1,'DATA TRANSFER'!$F$12=1),1,0),IF('DATA TRANSFER'!F31=1,IF(OR(B35&lt;B34,'DATA TRANSFER'!Q585=1,'DATA TRANSFER'!$F$12=1),1,0),IF(OR(B35&lt;B33,'DATA TRANSFER'!Q585=1,'DATA TRANSFER'!$F$12=1),1,0)))</f>
        <v/>
      </c>
      <c r="C48" s="715">
        <f>B48</f>
        <v/>
      </c>
      <c r="D48" s="169">
        <f>IF(AND(OR('DATA TRANSFER'!H38&lt;25,'DATA TRANSFER'!H59=1,'DATA TRANSFER'!$CP$37=1),D49=0),1,0)</f>
        <v/>
      </c>
      <c r="E48" s="715">
        <f>IF('DATA TRANSFER'!F31=1,IF(OR(B35&lt;B34,'DATA TRANSFER'!Q585=1,'DATA TRANSFER'!$F$12=1),1,0),IF(OR(B35&lt;B33,'DATA TRANSFER'!Q585=1,'DATA TRANSFER'!$F$12=1),1,0))</f>
        <v/>
      </c>
      <c r="F48" s="715">
        <f>IF('DATA TRANSFER'!F31=1,IF(OR(B35&lt;B34,'DATA TRANSFER'!Q585=1,'DATA TRANSFER'!$F$12=1),1,0),IF(OR(B35&lt;B33,'DATA TRANSFER'!Q585=1,'DATA TRANSFER'!$F$12=1),1,0))</f>
        <v/>
      </c>
      <c r="G48" s="715">
        <f>IF(AND(OR('DATA TRANSFER'!F38&lt;25,'DATA TRANSFER'!DF14=1,'DATA TRANSFER'!F46),B49=0),1,0)</f>
        <v/>
      </c>
      <c r="H48" s="715" t="n"/>
      <c r="I48" s="715" t="n"/>
      <c r="J48" s="715" t="n"/>
      <c r="K48" s="715" t="n"/>
      <c r="L48" s="715" t="n"/>
      <c r="M48" s="715" t="n"/>
      <c r="N48" s="715" t="n"/>
    </row>
    <row r="49" ht="15.75" customHeight="1" thickBot="1">
      <c r="A49" s="208" t="inlineStr">
        <is>
          <t>Int Smoke</t>
        </is>
      </c>
      <c r="B49" s="715" t="n">
        <v>0</v>
      </c>
      <c r="C49" s="715">
        <f>B49</f>
        <v/>
      </c>
      <c r="D49" s="169">
        <f>C49</f>
        <v/>
      </c>
      <c r="E49" s="424">
        <f>IF(OR(B35&lt;B33,'DATA TRANSFER'!Q585=1,'DATA TRANSFER'!$F$12=1),1,0)</f>
        <v/>
      </c>
      <c r="F49" s="715" t="n"/>
      <c r="G49" s="715" t="n"/>
      <c r="H49" s="715" t="n"/>
      <c r="I49" s="715" t="n"/>
      <c r="J49" s="715" t="n"/>
      <c r="K49" s="715" t="n"/>
      <c r="L49" s="715" t="n"/>
      <c r="M49" s="715" t="n"/>
      <c r="N49" s="715" t="n"/>
    </row>
    <row r="50">
      <c r="A50" s="208" t="inlineStr">
        <is>
          <t>Ext Smoke</t>
        </is>
      </c>
      <c r="B50" s="715" t="n">
        <v>0</v>
      </c>
      <c r="C50" s="715">
        <f>B50</f>
        <v/>
      </c>
      <c r="D50" s="169">
        <f>C50</f>
        <v/>
      </c>
      <c r="E50" s="715" t="n"/>
      <c r="F50" s="779" t="inlineStr">
        <is>
          <t>close external damper-FAD</t>
        </is>
      </c>
      <c r="G50" s="153">
        <f>IF(OR(B51,C51,D51,),1,0)</f>
        <v/>
      </c>
      <c r="H50" s="715" t="n"/>
      <c r="I50" s="184" t="inlineStr">
        <is>
          <t>DM A</t>
        </is>
      </c>
      <c r="J50" s="716" t="inlineStr">
        <is>
          <t>TCA</t>
        </is>
      </c>
      <c r="K50" s="179" t="inlineStr">
        <is>
          <t>DM B</t>
        </is>
      </c>
      <c r="L50" s="715" t="n"/>
      <c r="M50" s="715" t="n"/>
      <c r="N50" s="715" t="n"/>
    </row>
    <row r="51" ht="15.75" customHeight="1" thickBot="1">
      <c r="A51" s="212" t="inlineStr">
        <is>
          <t>FAD</t>
        </is>
      </c>
      <c r="B51" s="715">
        <f>IF(OR(TCMS!D27=1,1,TCMS!D28=1,1),1,0)</f>
        <v/>
      </c>
      <c r="C51" s="715">
        <f>B51</f>
        <v/>
      </c>
      <c r="D51" s="715">
        <f>IF(OR(TCMS!F27=1,1,TCMS!F28=1,1),1,0)</f>
        <v/>
      </c>
      <c r="E51" s="715" t="n"/>
      <c r="F51" s="154" t="inlineStr">
        <is>
          <t>close internal damper-RAD</t>
        </is>
      </c>
      <c r="G51" s="155">
        <f>IF(OR(B52:D52),1,0)</f>
        <v/>
      </c>
      <c r="H51" s="715" t="n"/>
      <c r="I51" s="204">
        <f>IF('DATA TRANSFER'!Q584=1,IF((Calculation!B36&gt;=(Calculation!B33+0.5)),0,1),IF(AND('DATA TRANSFER'!$F$13=1,Calculation!B36&lt;=Calculation!B33),1,0))</f>
        <v/>
      </c>
      <c r="J51" s="204">
        <f>IF('DATA TRANSFER'!DG14=1,    IF(Calculation!C36&gt;=Calculation!C33+0.5,1,       IF(Calculation!C36&lt;=Calculation!C33-0.5,0,'DATA TRANSFER'!DG15)),'DATA TRANSFER'!DG15)</f>
        <v/>
      </c>
      <c r="K51" s="204">
        <f>IF('DATA TRANSFER'!DH14=1,    IF(Calculation!D36&gt;=Calculation!D33+0.5,1,       IF(Calculation!D36&lt;=Calculation!D33-0.5,0,'DATA TRANSFER'!DH15)),'DATA TRANSFER'!DH15)</f>
        <v/>
      </c>
      <c r="L51" s="715" t="n"/>
      <c r="M51" s="715" t="n"/>
      <c r="N51" s="715" t="n"/>
    </row>
    <row r="52" ht="15.75" customHeight="1" thickBot="1">
      <c r="A52" s="213" t="inlineStr">
        <is>
          <t>RAD</t>
        </is>
      </c>
      <c r="B52" s="171">
        <f>IF(OR(B49=1,'DATA TRANSFER'!F563=0),0,1)</f>
        <v/>
      </c>
      <c r="C52" s="715">
        <f>B52</f>
        <v/>
      </c>
      <c r="D52" s="171">
        <f>IF(OR(TCMS!F27=2,1,TCMS!F28=2,1),1,0)</f>
        <v/>
      </c>
      <c r="E52" s="715" t="n"/>
      <c r="F52" s="715" t="n"/>
      <c r="G52" s="715" t="n"/>
      <c r="H52" s="715" t="n"/>
      <c r="I52" s="715" t="n"/>
      <c r="J52" s="715" t="n"/>
      <c r="K52" s="715" t="n"/>
      <c r="L52" s="715" t="n"/>
      <c r="M52" s="715" t="n"/>
      <c r="N52" s="715" t="n"/>
    </row>
    <row r="53" ht="15.75" customHeight="1" thickBot="1">
      <c r="E53" s="715" t="n"/>
      <c r="F53" s="715" t="n"/>
      <c r="G53" s="715" t="n"/>
      <c r="H53" s="715" t="n"/>
      <c r="I53" s="715" t="n"/>
      <c r="J53" s="715" t="n"/>
      <c r="K53" s="715" t="n"/>
      <c r="L53" s="715" t="n"/>
      <c r="M53" s="715" t="n"/>
      <c r="N53" s="715" t="n"/>
      <c r="O53" s="715" t="n"/>
    </row>
    <row r="54">
      <c r="A54" s="184" t="n"/>
      <c r="B54" s="716" t="inlineStr">
        <is>
          <t>DM1</t>
        </is>
      </c>
      <c r="C54" s="816" t="n"/>
      <c r="D54" s="716" t="inlineStr">
        <is>
          <t>T2</t>
        </is>
      </c>
      <c r="E54" s="716" t="n"/>
      <c r="F54" s="716" t="inlineStr">
        <is>
          <t>DM6</t>
        </is>
      </c>
      <c r="G54" s="179" t="n"/>
      <c r="H54" s="715" t="n"/>
      <c r="I54" s="715" t="n"/>
      <c r="J54" s="715" t="n"/>
      <c r="K54" s="715" t="n"/>
      <c r="L54" s="715" t="n"/>
      <c r="M54" s="715" t="n"/>
      <c r="N54" s="715" t="n"/>
      <c r="O54" s="715" t="n"/>
    </row>
    <row r="55">
      <c r="A55" s="208" t="n"/>
      <c r="B55" s="715" t="inlineStr">
        <is>
          <t>HVAC 1</t>
        </is>
      </c>
      <c r="C55" s="715" t="inlineStr">
        <is>
          <t>HVAC 2</t>
        </is>
      </c>
      <c r="D55" s="715" t="inlineStr">
        <is>
          <t>HVAC 1</t>
        </is>
      </c>
      <c r="E55" s="715" t="inlineStr">
        <is>
          <t>HVAC 2</t>
        </is>
      </c>
      <c r="F55" s="715" t="inlineStr">
        <is>
          <t>HVAC 1</t>
        </is>
      </c>
      <c r="G55" s="169" t="inlineStr">
        <is>
          <t>HVAC 2</t>
        </is>
      </c>
      <c r="H55" s="715" t="n"/>
      <c r="M55" s="715" t="n"/>
      <c r="N55" s="715" t="n"/>
      <c r="O55" s="715" t="n"/>
    </row>
    <row r="56">
      <c r="A56" s="207" t="inlineStr">
        <is>
          <t>Fault</t>
        </is>
      </c>
      <c r="B56" s="715" t="n">
        <v>0</v>
      </c>
      <c r="C56" s="715">
        <f>B56</f>
        <v/>
      </c>
      <c r="D56" s="715">
        <f t="array" ref="D56">IF(OR('DATA TRANSFER'!$AD$61:$AH$61=1),1,0)</f>
        <v/>
      </c>
      <c r="E56" s="715">
        <f t="array" ref="E56">IF(OR('DATA TRANSFER'!$AD$61:$AH$61=1),1,0)</f>
        <v/>
      </c>
      <c r="F56" s="715">
        <f t="array" ref="F56">IF(OR('DATA TRANSFER'!$AD$61:$AH$61=1),1,0)</f>
        <v/>
      </c>
      <c r="G56" s="169">
        <f t="array" ref="G56">IF(OR('DATA TRANSFER'!$AD$61:$AH$61=1),1,0)</f>
        <v/>
      </c>
      <c r="H56" s="715" t="n"/>
      <c r="M56" s="715" t="n"/>
      <c r="N56" s="715" t="n"/>
      <c r="O56" s="715" t="n"/>
    </row>
    <row r="57">
      <c r="A57" s="208" t="inlineStr">
        <is>
          <t>Pre-Cool</t>
        </is>
      </c>
      <c r="B57" s="715">
        <f>B38</f>
        <v/>
      </c>
      <c r="C57" s="715">
        <f>B57</f>
        <v/>
      </c>
      <c r="D57" s="715">
        <f>C38</f>
        <v/>
      </c>
      <c r="E57" s="715">
        <f>C38</f>
        <v/>
      </c>
      <c r="F57" s="715">
        <f>D38</f>
        <v/>
      </c>
      <c r="G57" s="169">
        <f>D38</f>
        <v/>
      </c>
      <c r="H57" s="715" t="n"/>
      <c r="M57" s="715" t="n"/>
      <c r="N57" s="715" t="n"/>
      <c r="O57" s="715" t="n"/>
    </row>
    <row r="58">
      <c r="A58" s="208" t="inlineStr">
        <is>
          <t>Pre-heat</t>
        </is>
      </c>
      <c r="B58" s="715">
        <f>B39</f>
        <v/>
      </c>
      <c r="C58" s="715">
        <f>B58</f>
        <v/>
      </c>
      <c r="D58" s="715">
        <f>C39</f>
        <v/>
      </c>
      <c r="E58" s="715">
        <f>C39</f>
        <v/>
      </c>
      <c r="F58" s="715">
        <f>D39</f>
        <v/>
      </c>
      <c r="G58" s="169">
        <f>D39</f>
        <v/>
      </c>
      <c r="H58" s="715" t="n"/>
      <c r="M58" s="715" t="n"/>
      <c r="N58" s="715" t="n"/>
      <c r="O58" s="715" t="n"/>
    </row>
    <row r="59" ht="25.5" customHeight="1">
      <c r="A59" s="208" t="inlineStr">
        <is>
          <t>Auto Cool 1 (Cooling Circuits Disabled)</t>
        </is>
      </c>
      <c r="B59" s="715">
        <f>B40</f>
        <v/>
      </c>
      <c r="C59" s="715">
        <f>B59</f>
        <v/>
      </c>
      <c r="D59" s="715">
        <f>C40</f>
        <v/>
      </c>
      <c r="E59" s="715">
        <f>C40</f>
        <v/>
      </c>
      <c r="F59" s="715">
        <f>D40</f>
        <v/>
      </c>
      <c r="G59" s="169">
        <f>D40</f>
        <v/>
      </c>
      <c r="H59" s="715" t="n"/>
      <c r="M59" s="715" t="n"/>
      <c r="N59" s="715" t="n"/>
      <c r="O59" s="715" t="n"/>
    </row>
    <row r="60" ht="19.5" customHeight="1">
      <c r="A60" s="208" t="inlineStr">
        <is>
          <t>Auto Cool 2</t>
        </is>
      </c>
      <c r="B60" s="715">
        <f>B41</f>
        <v/>
      </c>
      <c r="C60" s="715">
        <f>B60</f>
        <v/>
      </c>
      <c r="D60" s="715">
        <f>C40</f>
        <v/>
      </c>
      <c r="E60" s="715">
        <f>C40</f>
        <v/>
      </c>
      <c r="F60" s="715">
        <f>D41</f>
        <v/>
      </c>
      <c r="G60" s="169">
        <f>D41</f>
        <v/>
      </c>
      <c r="H60" s="715" t="n"/>
      <c r="M60" s="715" t="n"/>
      <c r="N60" s="715" t="n"/>
      <c r="O60" s="715" t="n"/>
    </row>
    <row r="61" ht="19.5" customHeight="1">
      <c r="A61" s="208" t="inlineStr">
        <is>
          <t>Auto Cool 5</t>
        </is>
      </c>
      <c r="B61" s="2">
        <f>B42</f>
        <v/>
      </c>
      <c r="C61" s="715">
        <f>B61</f>
        <v/>
      </c>
      <c r="D61" s="2">
        <f>C42</f>
        <v/>
      </c>
      <c r="E61" s="2">
        <f>C42</f>
        <v/>
      </c>
      <c r="F61" s="715">
        <f>D42</f>
        <v/>
      </c>
      <c r="G61" s="215">
        <f>D42</f>
        <v/>
      </c>
      <c r="H61" s="715" t="n"/>
      <c r="M61" s="715" t="n"/>
      <c r="N61" s="715" t="n"/>
      <c r="O61" s="715" t="n"/>
    </row>
    <row r="62">
      <c r="A62" s="208" t="inlineStr">
        <is>
          <t>Heat Mode</t>
        </is>
      </c>
      <c r="B62" s="2" t="n">
        <v>0</v>
      </c>
      <c r="C62" s="715" t="n"/>
      <c r="D62" s="715" t="n"/>
      <c r="E62" s="2" t="n"/>
      <c r="F62" s="715" t="n"/>
      <c r="G62" s="215" t="n"/>
      <c r="H62" s="715" t="n"/>
      <c r="J62" s="715" t="n"/>
      <c r="M62" s="715" t="n"/>
      <c r="N62" s="715" t="n"/>
      <c r="O62" s="715" t="n"/>
    </row>
    <row r="63">
      <c r="A63" s="208" t="inlineStr">
        <is>
          <t>Dehumidification Mode</t>
        </is>
      </c>
      <c r="B63" s="2" t="n">
        <v>0</v>
      </c>
      <c r="C63" s="715" t="n"/>
      <c r="D63" s="715" t="n"/>
      <c r="E63" s="2" t="n"/>
      <c r="F63" s="715" t="n"/>
      <c r="G63" s="215" t="n"/>
      <c r="H63" s="715" t="n"/>
      <c r="I63" s="715" t="n"/>
      <c r="J63" s="715" t="n"/>
      <c r="K63" s="715" t="n"/>
    </row>
    <row r="64">
      <c r="A64" s="208" t="inlineStr">
        <is>
          <t>Emergency Vent Mode</t>
        </is>
      </c>
      <c r="B64" s="2">
        <f>'LFD OLD'!R45</f>
        <v/>
      </c>
      <c r="C64" s="715" t="n"/>
      <c r="D64" s="715" t="n"/>
      <c r="E64" s="2" t="n"/>
      <c r="F64" s="715" t="n"/>
      <c r="G64" s="215" t="n"/>
      <c r="H64" s="715" t="n"/>
      <c r="I64" s="715" t="n"/>
      <c r="J64" s="715" t="n"/>
      <c r="K64" s="715" t="n"/>
    </row>
    <row r="65">
      <c r="A65" s="208" t="inlineStr">
        <is>
          <t>Heater</t>
        </is>
      </c>
      <c r="B65" s="2">
        <f>VLOOKUP(1,'Mode Logic'!B26:E36,3,FALSE)</f>
        <v/>
      </c>
      <c r="C65" s="715" t="n"/>
      <c r="D65" s="715" t="n"/>
      <c r="E65" s="2" t="n"/>
      <c r="F65" s="715" t="n"/>
      <c r="G65" s="215" t="n"/>
      <c r="H65" s="715" t="n"/>
      <c r="I65" s="715" t="n"/>
      <c r="J65" s="715" t="n"/>
      <c r="K65" s="715" t="n"/>
    </row>
    <row r="66">
      <c r="A66" s="208" t="inlineStr">
        <is>
          <t>Condensor Fan</t>
        </is>
      </c>
      <c r="B66" s="2">
        <f>VLOOKUP(1,'Mode Logic'!B26:E36,4,FALSE)</f>
        <v/>
      </c>
      <c r="C66" s="715">
        <f>B66</f>
        <v/>
      </c>
      <c r="D66" s="715" t="n"/>
      <c r="E66" s="2" t="n"/>
      <c r="F66" s="715" t="n"/>
      <c r="G66" s="215" t="n"/>
      <c r="H66" s="715" t="n"/>
      <c r="I66" s="715" t="n"/>
      <c r="J66" s="715" t="n"/>
      <c r="K66" s="715" t="n"/>
    </row>
    <row r="67">
      <c r="A67" s="208" t="inlineStr">
        <is>
          <t>Vent</t>
        </is>
      </c>
      <c r="B67" s="715">
        <f>B48</f>
        <v/>
      </c>
      <c r="C67" s="715">
        <f>B67</f>
        <v/>
      </c>
      <c r="D67" s="715">
        <f>C48</f>
        <v/>
      </c>
      <c r="E67" s="715">
        <f>D48</f>
        <v/>
      </c>
      <c r="F67" s="715">
        <f>D48</f>
        <v/>
      </c>
      <c r="G67" s="169">
        <f>D48</f>
        <v/>
      </c>
      <c r="H67" s="715" t="n"/>
      <c r="I67" s="715" t="n"/>
      <c r="J67" s="715" t="n"/>
      <c r="K67" s="715" t="n"/>
    </row>
    <row r="68">
      <c r="A68" s="208" t="inlineStr">
        <is>
          <t>Int Smoke</t>
        </is>
      </c>
      <c r="B68" s="715">
        <f>B49</f>
        <v/>
      </c>
      <c r="C68" s="715">
        <f>B68</f>
        <v/>
      </c>
      <c r="D68" s="715">
        <f>C49</f>
        <v/>
      </c>
      <c r="E68" s="715">
        <f>C49</f>
        <v/>
      </c>
      <c r="F68" s="715">
        <f>D49</f>
        <v/>
      </c>
      <c r="G68" s="169">
        <f>D49</f>
        <v/>
      </c>
      <c r="H68" s="715" t="n"/>
      <c r="I68" s="715" t="n"/>
      <c r="J68" s="715" t="n"/>
      <c r="K68" s="715" t="n"/>
    </row>
    <row r="69">
      <c r="A69" s="208" t="inlineStr">
        <is>
          <t>Ext Smoke</t>
        </is>
      </c>
      <c r="B69" s="715">
        <f>B50</f>
        <v/>
      </c>
      <c r="C69" s="715">
        <f>B69</f>
        <v/>
      </c>
      <c r="D69" s="715">
        <f>C50</f>
        <v/>
      </c>
      <c r="E69" s="715">
        <f>C50</f>
        <v/>
      </c>
      <c r="F69" s="715">
        <f>D50</f>
        <v/>
      </c>
      <c r="G69" s="169">
        <f>D50</f>
        <v/>
      </c>
      <c r="H69" s="715" t="n"/>
      <c r="I69" s="715" t="n"/>
      <c r="J69" s="715" t="n"/>
      <c r="K69" s="715" t="n"/>
    </row>
    <row r="70">
      <c r="A70" s="208" t="inlineStr">
        <is>
          <t>FAD</t>
        </is>
      </c>
      <c r="B70" s="715">
        <f>B51</f>
        <v/>
      </c>
      <c r="C70" s="715">
        <f>B70</f>
        <v/>
      </c>
      <c r="D70" s="715">
        <f>C51</f>
        <v/>
      </c>
      <c r="E70" s="715">
        <f>C51</f>
        <v/>
      </c>
      <c r="F70" s="715">
        <f>D51</f>
        <v/>
      </c>
      <c r="G70" s="169">
        <f>D51</f>
        <v/>
      </c>
      <c r="H70" s="715" t="n"/>
      <c r="I70" s="715" t="n"/>
      <c r="J70" s="715" t="n"/>
      <c r="K70" s="715" t="n"/>
      <c r="N70" s="715" t="n"/>
    </row>
    <row r="71">
      <c r="A71" s="208" t="inlineStr">
        <is>
          <t>RAD</t>
        </is>
      </c>
      <c r="B71" s="715">
        <f>B52</f>
        <v/>
      </c>
      <c r="C71" s="715">
        <f>B71</f>
        <v/>
      </c>
      <c r="D71" s="715">
        <f>C52</f>
        <v/>
      </c>
      <c r="E71" s="715">
        <f>C52</f>
        <v/>
      </c>
      <c r="F71" s="715">
        <f>D52</f>
        <v/>
      </c>
      <c r="G71" s="169">
        <f>D52</f>
        <v/>
      </c>
      <c r="H71" s="715" t="n"/>
      <c r="I71" s="715" t="n"/>
      <c r="J71" s="715" t="n"/>
      <c r="K71" s="715" t="n"/>
    </row>
    <row r="72">
      <c r="A72" s="208" t="n"/>
      <c r="B72" s="715" t="n"/>
      <c r="C72" s="715" t="n"/>
      <c r="D72" s="715" t="n"/>
      <c r="E72" s="715" t="n"/>
      <c r="F72" s="715" t="n"/>
      <c r="G72" s="169" t="n"/>
      <c r="H72" s="715" t="n"/>
      <c r="I72" s="715" t="n"/>
      <c r="J72" s="715" t="n"/>
      <c r="K72" s="715" t="n"/>
    </row>
    <row r="73">
      <c r="A73" s="208" t="inlineStr">
        <is>
          <t>Comp 1</t>
        </is>
      </c>
      <c r="B73" s="715">
        <f>IF(B56=0,IF(VLOOKUP(1,'Mode Logic'!B26:K37,7,FALSE),1,0))</f>
        <v/>
      </c>
      <c r="C73" s="715">
        <f>B73</f>
        <v/>
      </c>
      <c r="D73" s="715">
        <f>IF(D56=0,IF(OR(D57:D66,D69),1,0))</f>
        <v/>
      </c>
      <c r="E73" s="715">
        <f>IF(E56=0,IF(OR(E57:E66,E69),1,0))</f>
        <v/>
      </c>
      <c r="F73" s="715">
        <f>IF(F56=0,IF(OR(F57:F66,F69),1,0))</f>
        <v/>
      </c>
      <c r="G73" s="169">
        <f>IF(G56=0,IF(OR(G57:G66,G69),1,0))</f>
        <v/>
      </c>
      <c r="H73" s="715" t="n"/>
      <c r="I73" s="715" t="n"/>
      <c r="J73" s="715" t="n"/>
      <c r="K73" s="715" t="n"/>
    </row>
    <row r="74">
      <c r="A74" s="208" t="inlineStr">
        <is>
          <t>Comp 2</t>
        </is>
      </c>
      <c r="B74" s="715">
        <f>IF(B56=0,IF(VLOOKUP(1,'Mode Logic'!B26:K37,8,FALSE),1,0))</f>
        <v/>
      </c>
      <c r="C74" s="715">
        <f>B74</f>
        <v/>
      </c>
      <c r="D74" s="715">
        <f>IF(D56=0,IF(OR(D57:D66,D69),1,0))</f>
        <v/>
      </c>
      <c r="E74" s="715">
        <f>IF(E56=0,IF(OR(E57:E66,E69),1,0))</f>
        <v/>
      </c>
      <c r="F74" s="715">
        <f>IF(F56=0,IF(OR(F57:F66,F69),1,0))</f>
        <v/>
      </c>
      <c r="G74" s="169">
        <f>IF(G56=0,IF(OR(G57:G66,G69),1,0))</f>
        <v/>
      </c>
      <c r="H74" s="715" t="n"/>
      <c r="I74" s="715" t="n"/>
      <c r="J74" s="715" t="n"/>
      <c r="K74" s="715" t="n"/>
    </row>
    <row r="75">
      <c r="A75" s="208" t="inlineStr">
        <is>
          <t>Comp 3</t>
        </is>
      </c>
      <c r="B75" s="2">
        <f>IF(B56=0,IF(VLOOKUP(1,'Mode Logic'!B26:K37,9,FALSE),1,0))</f>
        <v/>
      </c>
      <c r="C75" s="715">
        <f>B75</f>
        <v/>
      </c>
      <c r="D75" s="2">
        <f>IF(D56=0,IF(OR(D57:D66,D69),1,0))</f>
        <v/>
      </c>
      <c r="E75" s="2">
        <f>IF(E56=0,IF(OR(E57:E66,E69),1,0))</f>
        <v/>
      </c>
      <c r="F75" s="2">
        <f>IF(F56=0,IF(OR(F57:F66,F69),1,0))</f>
        <v/>
      </c>
      <c r="G75" s="215">
        <f>IF(G56=0,IF(OR(G57:G66,G69),1,0))</f>
        <v/>
      </c>
      <c r="H75" s="715" t="n"/>
      <c r="I75" s="715" t="n"/>
      <c r="J75" s="715" t="n"/>
      <c r="K75" s="715" t="n"/>
    </row>
    <row r="76">
      <c r="A76" s="208" t="inlineStr">
        <is>
          <t>Comp 4</t>
        </is>
      </c>
      <c r="B76" s="2">
        <f>IF(B56=0,IF(VLOOKUP(1,'Mode Logic'!B26:K37,10,FALSE),1,0))</f>
        <v/>
      </c>
      <c r="C76" s="715">
        <f>B76</f>
        <v/>
      </c>
      <c r="D76" s="2">
        <f>IF(D56=0,IF(OR(D57:D66,D69),1,0))</f>
        <v/>
      </c>
      <c r="E76" s="2">
        <f>IF(E56=0,IF(OR(E57:E66,E69),1,0))</f>
        <v/>
      </c>
      <c r="F76" s="2">
        <f>IF(F56=0,IF(OR(F57:F66,F69),1,0))</f>
        <v/>
      </c>
      <c r="G76" s="215">
        <f>IF(G56=0,IF(OR(G57:G66,G69),1,0))</f>
        <v/>
      </c>
      <c r="K76" s="715" t="n"/>
    </row>
    <row r="77">
      <c r="A77" s="208" t="inlineStr">
        <is>
          <t>FAD</t>
        </is>
      </c>
      <c r="B77" s="715">
        <f>IF(B56=0,IF(VLOOKUP(1,'Mode Logic'!B26:N37,11,FALSE),1,0))</f>
        <v/>
      </c>
      <c r="C77" s="715">
        <f>B77</f>
        <v/>
      </c>
      <c r="D77" s="715" t="n"/>
      <c r="E77" s="715" t="n"/>
      <c r="F77" s="715" t="n"/>
      <c r="G77" s="169" t="n"/>
      <c r="K77" s="715" t="n"/>
    </row>
    <row r="78" ht="15.75" customHeight="1" thickBot="1">
      <c r="A78" s="204" t="inlineStr">
        <is>
          <t>RAD</t>
        </is>
      </c>
      <c r="B78" s="171">
        <f>B52</f>
        <v/>
      </c>
      <c r="C78" s="171">
        <f>B78</f>
        <v/>
      </c>
      <c r="D78" s="171" t="n"/>
      <c r="E78" s="171" t="n"/>
      <c r="F78" s="171" t="n"/>
      <c r="G78" s="172" t="n"/>
      <c r="H78" s="715" t="n"/>
      <c r="I78" s="715" t="n"/>
      <c r="J78" s="715" t="n"/>
      <c r="K78" s="715" t="n"/>
    </row>
    <row r="79" ht="15.75" customHeight="1" thickBot="1">
      <c r="H79" s="715" t="n"/>
      <c r="I79" s="715" t="n"/>
      <c r="J79" s="715" t="n"/>
      <c r="K79" s="715" t="n"/>
    </row>
    <row r="80">
      <c r="A80" s="184" t="inlineStr">
        <is>
          <t>Pax Heat Load</t>
        </is>
      </c>
      <c r="B80" s="716">
        <f>$M$9</f>
        <v/>
      </c>
      <c r="C80" s="716">
        <f>$M$9</f>
        <v/>
      </c>
      <c r="D80" s="716">
        <f>$M$9</f>
        <v/>
      </c>
      <c r="E80" s="716">
        <f>$M$9</f>
        <v/>
      </c>
      <c r="F80" s="716">
        <f>$M$9</f>
        <v/>
      </c>
      <c r="G80" s="179">
        <f>$M$9</f>
        <v/>
      </c>
      <c r="H80" s="715" t="n"/>
      <c r="I80" s="715" t="n"/>
      <c r="J80" s="715" t="n"/>
      <c r="K80" s="715" t="n"/>
    </row>
    <row r="81">
      <c r="A81" s="208" t="inlineStr">
        <is>
          <t>FAD Load</t>
        </is>
      </c>
      <c r="B81" s="715">
        <f>IF(B77=1,$J$17*$F$8/100,0)</f>
        <v/>
      </c>
      <c r="C81" s="715">
        <f>IF(C77=1,$J$17*$F$8/100,0)</f>
        <v/>
      </c>
      <c r="D81" s="715">
        <f>IF(D77=1,$J$17*$F$8/100,0)</f>
        <v/>
      </c>
      <c r="E81" s="715">
        <f>IF(E77=1,$J$17*$F$8/100,0)</f>
        <v/>
      </c>
      <c r="F81" s="715">
        <f>IF(F77=1,$J$17*$F$8/100,0)</f>
        <v/>
      </c>
      <c r="G81" s="169">
        <f>IF(G77=1,$J$17*$F$8/100,0)</f>
        <v/>
      </c>
      <c r="H81" s="715" t="n"/>
      <c r="I81" s="715" t="n"/>
      <c r="J81" s="715" t="n"/>
      <c r="K81" s="715" t="n"/>
    </row>
    <row r="82">
      <c r="A82" s="208" t="inlineStr">
        <is>
          <t>Operational Heat</t>
        </is>
      </c>
      <c r="B82" s="715">
        <f>$K$23</f>
        <v/>
      </c>
      <c r="C82" s="715" t="n"/>
      <c r="D82" s="715" t="n"/>
      <c r="E82" s="715" t="n"/>
      <c r="F82" s="715" t="n"/>
      <c r="G82" s="169" t="n"/>
      <c r="H82" s="715" t="n"/>
      <c r="I82" s="715" t="n"/>
      <c r="J82" s="715" t="n"/>
      <c r="K82" s="715" t="n"/>
    </row>
    <row r="83" ht="15.75" customHeight="1" thickBot="1">
      <c r="A83" s="204" t="inlineStr">
        <is>
          <t xml:space="preserve">Total </t>
        </is>
      </c>
      <c r="B83" s="171">
        <f>SUM(B80:B82)*$B$8</f>
        <v/>
      </c>
      <c r="C83" s="171">
        <f>SUM(C80:C82)*$B$8</f>
        <v/>
      </c>
      <c r="D83" s="171">
        <f>SUM(D80:D82)*$B$8</f>
        <v/>
      </c>
      <c r="E83" s="171">
        <f>SUM(E80:E82)*$B$8</f>
        <v/>
      </c>
      <c r="F83" s="171">
        <f>SUM(F80:F82)*$B$8</f>
        <v/>
      </c>
      <c r="G83" s="172">
        <f>SUM(G80:G82)*$B$8</f>
        <v/>
      </c>
      <c r="H83" s="715" t="n"/>
      <c r="I83" s="715" t="n"/>
      <c r="J83" s="715" t="n"/>
      <c r="K83" s="715" t="n"/>
      <c r="N83" s="715" t="n"/>
    </row>
    <row r="84" ht="15.75" customHeight="1" thickBot="1">
      <c r="F84" s="715" t="n"/>
      <c r="G84" s="715" t="n"/>
      <c r="K84" s="715" t="n"/>
      <c r="N84" s="715" t="n"/>
    </row>
    <row r="85">
      <c r="A85" s="184" t="inlineStr">
        <is>
          <t>Cooling</t>
        </is>
      </c>
      <c r="B85" s="716">
        <f>IF(AND(B73:B76),75000,IF(OR(B73:B76),70000,0))</f>
        <v/>
      </c>
      <c r="C85" s="716">
        <f>IF(AND(C73:C76),47000,IF(OR(C73:C76),10000,0))</f>
        <v/>
      </c>
      <c r="D85" s="716">
        <f>IF(AND(D73:D76),47000,IF(OR(D73:D76),10000,0))</f>
        <v/>
      </c>
      <c r="E85" s="716">
        <f>IF(AND(E73:E76),47000,IF(OR(E73:E76),10000,0))</f>
        <v/>
      </c>
      <c r="F85" s="716">
        <f>IF(AND(F73:F76),47000,IF(OR(F73:F76),10000,0))</f>
        <v/>
      </c>
      <c r="G85" s="179">
        <f>IF(AND(G73:G76),47000,IF(OR(G73:G76),10000,0))</f>
        <v/>
      </c>
      <c r="H85" s="715" t="n"/>
      <c r="I85" s="715" t="n"/>
      <c r="J85" s="715" t="n"/>
      <c r="K85" s="715" t="n"/>
      <c r="N85" s="715" t="n"/>
    </row>
    <row r="86">
      <c r="A86" s="208" t="inlineStr">
        <is>
          <t>Delta W</t>
        </is>
      </c>
      <c r="B86" s="715">
        <f>B85-B83</f>
        <v/>
      </c>
      <c r="C86" s="715">
        <f>C85-C83</f>
        <v/>
      </c>
      <c r="D86" s="715">
        <f>D85-D84</f>
        <v/>
      </c>
      <c r="E86" s="715">
        <f>E85-E84</f>
        <v/>
      </c>
      <c r="F86" s="715">
        <f>F85-F84</f>
        <v/>
      </c>
      <c r="G86" s="169">
        <f>G85-G84</f>
        <v/>
      </c>
      <c r="H86" s="715" t="n"/>
      <c r="I86" s="715" t="n"/>
      <c r="J86" s="715" t="n"/>
      <c r="K86" s="715" t="n"/>
      <c r="N86" s="715" t="n"/>
    </row>
    <row r="87" ht="15.75" customHeight="1" thickBot="1">
      <c r="A87" s="204" t="inlineStr">
        <is>
          <t>Time</t>
        </is>
      </c>
      <c r="B87" s="171">
        <f>$B$6</f>
        <v/>
      </c>
      <c r="C87" s="171">
        <f>$B$6</f>
        <v/>
      </c>
      <c r="D87" s="171">
        <f>$B$6</f>
        <v/>
      </c>
      <c r="E87" s="171">
        <f>$B$6</f>
        <v/>
      </c>
      <c r="F87" s="171">
        <f>$B$6</f>
        <v/>
      </c>
      <c r="G87" s="172">
        <f>$B$6</f>
        <v/>
      </c>
      <c r="H87" s="715" t="n"/>
      <c r="I87" s="715" t="n"/>
      <c r="J87" s="715" t="n"/>
      <c r="K87" s="715" t="n"/>
      <c r="L87" s="715" t="n"/>
      <c r="M87" s="715" t="n"/>
      <c r="N87" s="715" t="n"/>
    </row>
    <row r="88" ht="15.75" customHeight="1" thickBot="1">
      <c r="B88" s="716" t="n"/>
      <c r="H88" s="715" t="n"/>
      <c r="I88" s="715" t="n"/>
      <c r="J88" s="715" t="n"/>
      <c r="K88" s="715" t="n"/>
      <c r="L88" s="715" t="n"/>
      <c r="M88" s="715" t="n"/>
      <c r="N88" s="715" t="n"/>
    </row>
    <row r="89">
      <c r="A89" s="184" t="inlineStr">
        <is>
          <t>Total Delta W</t>
        </is>
      </c>
      <c r="B89" s="716">
        <f>B86+C86</f>
        <v/>
      </c>
      <c r="C89" s="716">
        <f>D86+E86</f>
        <v/>
      </c>
      <c r="D89" s="716">
        <f>F86+G86</f>
        <v/>
      </c>
      <c r="E89" s="716" t="n"/>
      <c r="F89" s="716" t="n"/>
      <c r="G89" s="179" t="n"/>
      <c r="H89" s="715" t="n"/>
      <c r="I89" s="715" t="n"/>
      <c r="J89" s="715" t="n"/>
      <c r="K89" s="715" t="n"/>
      <c r="L89" s="715" t="n"/>
      <c r="M89" s="715" t="n"/>
      <c r="N89" s="715" t="n"/>
    </row>
    <row r="90" ht="15.75" customHeight="1" thickBot="1">
      <c r="A90" s="204" t="inlineStr">
        <is>
          <t>Change</t>
        </is>
      </c>
      <c r="B90" s="171">
        <f>((1/1000)*((B89*$B$6)/($K$29*$K$30)))</f>
        <v/>
      </c>
      <c r="C90" s="171">
        <f>((1/1000)*((C89*$B$6)/($K$29*$K$30)))</f>
        <v/>
      </c>
      <c r="D90" s="171">
        <f>((1/1000)*((D89*$B$6)/($K$29*$K$30)))</f>
        <v/>
      </c>
      <c r="E90" s="171" t="n"/>
      <c r="F90" s="171" t="n"/>
      <c r="G90" s="172" t="n"/>
      <c r="H90" s="715" t="n"/>
      <c r="I90" s="715" t="n"/>
      <c r="J90" s="715" t="n"/>
      <c r="K90" s="715" t="n"/>
      <c r="L90" s="715" t="n"/>
      <c r="M90" s="715" t="n"/>
      <c r="N90" s="715" t="n"/>
    </row>
    <row r="91">
      <c r="A91" s="715" t="n"/>
      <c r="B91" s="715" t="n"/>
      <c r="C91" s="715" t="n"/>
      <c r="D91" s="715" t="n"/>
      <c r="E91" s="715" t="n"/>
      <c r="F91" s="715" t="n"/>
      <c r="G91" s="715" t="n"/>
      <c r="H91" s="715" t="n"/>
      <c r="I91" s="715" t="n"/>
      <c r="J91" s="715" t="n"/>
      <c r="K91" s="715" t="n"/>
      <c r="L91" s="715" t="n"/>
      <c r="M91" s="715" t="n"/>
      <c r="N91" s="715" t="n"/>
    </row>
    <row r="92">
      <c r="A92" s="709" t="inlineStr">
        <is>
          <t>HVAC SYSTEM COMMANDS SCREEN</t>
        </is>
      </c>
      <c r="E92" s="715" t="n"/>
      <c r="F92" s="710" t="inlineStr">
        <is>
          <t>REMOTE CBs COMMANDS</t>
        </is>
      </c>
      <c r="L92" s="715" t="n"/>
      <c r="M92" s="715" t="n"/>
      <c r="N92" s="715" t="n"/>
    </row>
    <row r="93" ht="15.75" customHeight="1" thickBot="1">
      <c r="A93" s="715" t="n"/>
      <c r="B93" s="715" t="n"/>
      <c r="C93" s="715" t="n"/>
      <c r="D93" s="715" t="n"/>
      <c r="E93" s="715" t="n"/>
      <c r="F93" s="715" t="n"/>
      <c r="G93" s="715" t="n"/>
      <c r="H93" s="715" t="n"/>
      <c r="L93" s="715" t="n"/>
      <c r="M93" s="715" t="n"/>
      <c r="N93" s="715" t="n"/>
    </row>
    <row r="94">
      <c r="A94" s="156" t="inlineStr">
        <is>
          <t>ISOLATE DMA HVAC 1</t>
        </is>
      </c>
      <c r="B94" s="156" t="inlineStr">
        <is>
          <t>ISOLATE TCA HVAC 1</t>
        </is>
      </c>
      <c r="C94" s="157" t="inlineStr">
        <is>
          <t>ISOLATE DMB HVAC 1</t>
        </is>
      </c>
      <c r="D94" s="158" t="inlineStr">
        <is>
          <t>HW ISOLATE</t>
        </is>
      </c>
      <c r="E94" s="715" t="n"/>
      <c r="F94" s="156" t="inlineStr">
        <is>
          <t>DMA HVAC 1 CB TRIP</t>
        </is>
      </c>
      <c r="G94" s="156" t="inlineStr">
        <is>
          <t>TCA HVAC 1 CB TRIP</t>
        </is>
      </c>
      <c r="H94" s="156" t="inlineStr">
        <is>
          <t>DMB HVAC 1 CB TRIP</t>
        </is>
      </c>
      <c r="I94" s="158" t="inlineStr">
        <is>
          <t>HW OFF DUE TO CB TRIP</t>
        </is>
      </c>
      <c r="L94" s="715" t="n"/>
      <c r="M94" s="715" t="n"/>
      <c r="N94" s="715" t="n"/>
    </row>
    <row r="95" ht="15.75" customHeight="1" thickBot="1">
      <c r="A95" s="203">
        <f>--AND(TCMS!C97=1,TCMS!C100=1,(TCMS!C97+TCMS!C100+TCMS!D97+TCMS!D100+TCMS!E97+TCMS!E100)=2,'DATA TRANSFER'!F46)</f>
        <v/>
      </c>
      <c r="B95" s="163">
        <f>--AND(TCMS!D97=1,TCMS!D100=1,(TCMS!C97+TCMS!C100+TCMS!D97+TCMS!D100+TCMS!E97+TCMS!E100)=2)</f>
        <v/>
      </c>
      <c r="C95" s="203">
        <f>--AND(TCMS!E97=1,TCMS!E100=1,(TCMS!C97+TCMS!C100+TCMS!D97+TCMS!D100+TCMS!E97+TCMS!E100)=2)</f>
        <v/>
      </c>
      <c r="D95" s="165" t="n"/>
      <c r="E95" s="715" t="n"/>
      <c r="F95" s="163">
        <f>IF((TCMS!C105=0),1,0)</f>
        <v/>
      </c>
      <c r="G95" s="163" t="n"/>
      <c r="H95" s="164" t="n"/>
      <c r="I95" s="165">
        <f>IF(OR(C95,D95,E95,F95,G95,H95,C98,D98,E98,F98,G98,H98),1,0)</f>
        <v/>
      </c>
      <c r="L95" s="715" t="n"/>
      <c r="M95" s="715" t="n"/>
      <c r="N95" s="715" t="n"/>
    </row>
    <row r="96">
      <c r="A96" s="715" t="n"/>
      <c r="B96" s="715" t="n"/>
      <c r="C96" s="715" t="n"/>
      <c r="D96" s="715" t="n"/>
      <c r="E96" s="715" t="n"/>
      <c r="F96" s="715" t="n"/>
      <c r="G96" s="715" t="n"/>
      <c r="H96" s="715" t="n"/>
      <c r="L96" s="715" t="n"/>
      <c r="M96" s="715" t="n"/>
      <c r="N96" s="715" t="n"/>
    </row>
    <row r="97">
      <c r="A97" s="156" t="inlineStr">
        <is>
          <t>FAULT DMA HVAC 1</t>
        </is>
      </c>
      <c r="B97" s="156" t="inlineStr">
        <is>
          <t>FAULT TCA</t>
        </is>
      </c>
      <c r="C97" s="156" t="inlineStr">
        <is>
          <t>FAULT DMB</t>
        </is>
      </c>
      <c r="D97" s="715" t="n"/>
      <c r="E97" s="715" t="n"/>
      <c r="F97" s="156" t="inlineStr">
        <is>
          <t>DMA HVAC 2 CB TRIP</t>
        </is>
      </c>
      <c r="G97" s="156" t="inlineStr">
        <is>
          <t>TCA HVAC 2 CB TRIP</t>
        </is>
      </c>
      <c r="H97" s="156" t="inlineStr">
        <is>
          <t>DMB HVAC 2 CB TRIP</t>
        </is>
      </c>
      <c r="L97" s="715" t="n"/>
      <c r="M97" s="715" t="n"/>
      <c r="N97" s="715" t="n"/>
    </row>
    <row r="98">
      <c r="A98" s="163" t="n"/>
      <c r="B98" s="163" t="n"/>
      <c r="C98" s="164" t="n"/>
      <c r="D98" s="715" t="n"/>
      <c r="E98" s="715" t="n"/>
      <c r="F98" s="163" t="n"/>
      <c r="G98" s="163" t="n"/>
      <c r="H98" s="164" t="n"/>
      <c r="L98" s="715" t="n"/>
      <c r="M98" s="715" t="n"/>
      <c r="N98" s="715" t="n"/>
    </row>
    <row r="99">
      <c r="A99" s="715" t="n"/>
      <c r="B99" s="715" t="n"/>
      <c r="C99" s="715" t="n"/>
      <c r="D99" s="715" t="n"/>
      <c r="E99" s="715" t="n"/>
      <c r="F99" s="715" t="n"/>
      <c r="G99" s="715" t="n"/>
      <c r="H99" s="715" t="n"/>
      <c r="L99" s="715" t="n"/>
      <c r="M99" s="715" t="n"/>
      <c r="N99" s="715" t="n"/>
    </row>
    <row r="100">
      <c r="A100" s="156" t="inlineStr">
        <is>
          <t>AUTO DMA</t>
        </is>
      </c>
      <c r="B100" s="156" t="inlineStr">
        <is>
          <t>AUTO TCA</t>
        </is>
      </c>
      <c r="C100" s="156" t="inlineStr">
        <is>
          <t>AUTO DMB</t>
        </is>
      </c>
      <c r="D100" s="715" t="n"/>
      <c r="E100" s="715" t="n"/>
      <c r="F100" s="715" t="n"/>
      <c r="G100" s="715" t="n"/>
      <c r="H100" s="715" t="n"/>
      <c r="L100" s="715" t="n"/>
      <c r="M100" s="715" t="n"/>
      <c r="N100" s="715" t="n"/>
    </row>
    <row r="101">
      <c r="A101" s="163">
        <f>IF(OR(TCMS!E62=1,TCMS!E65=1),1,0)</f>
        <v/>
      </c>
      <c r="B101" s="163">
        <f>IF(OR(TCMS!E62=1,TCMS!E65=1),1,0)</f>
        <v/>
      </c>
      <c r="C101" s="164">
        <f>IF(OR(TCMS!E62=1,TCMS!E65=1),1,0)</f>
        <v/>
      </c>
      <c r="D101" s="715" t="n"/>
      <c r="E101" s="715" t="n"/>
      <c r="F101" s="715" t="n"/>
      <c r="G101" s="715" t="n"/>
      <c r="H101" s="715" t="n"/>
      <c r="L101" s="715" t="n"/>
      <c r="M101" s="715" t="n"/>
      <c r="N101" s="715" t="n"/>
    </row>
    <row r="102" ht="15.75" customHeight="1" thickBot="1">
      <c r="A102" s="715" t="n"/>
      <c r="B102" s="715" t="n"/>
      <c r="C102" s="715" t="n"/>
      <c r="D102" s="715" t="n"/>
      <c r="E102" s="715" t="n"/>
      <c r="F102" s="715" t="n"/>
      <c r="G102" s="715" t="n"/>
      <c r="H102" s="715" t="n"/>
      <c r="L102" s="715" t="n"/>
      <c r="M102" s="715" t="n"/>
      <c r="N102" s="715" t="n"/>
    </row>
    <row r="103">
      <c r="A103" s="156" t="inlineStr">
        <is>
          <t>RESET DMA</t>
        </is>
      </c>
      <c r="B103" s="156" t="inlineStr">
        <is>
          <t>RESET TCA</t>
        </is>
      </c>
      <c r="C103" s="157" t="inlineStr">
        <is>
          <t>RESET DMB</t>
        </is>
      </c>
      <c r="D103" s="158" t="inlineStr">
        <is>
          <t>HW RESET</t>
        </is>
      </c>
      <c r="E103" s="715" t="n"/>
      <c r="F103" s="715" t="n"/>
      <c r="G103" s="715" t="n"/>
      <c r="H103" s="715" t="n"/>
      <c r="L103" s="715" t="n"/>
      <c r="M103" s="715" t="n"/>
      <c r="N103" s="715" t="n"/>
    </row>
    <row r="104" ht="15.75" customHeight="1" thickBot="1">
      <c r="A104" s="163">
        <f>TCMS!C103</f>
        <v/>
      </c>
      <c r="B104" s="163" t="n"/>
      <c r="C104" s="164">
        <f>TCMS!C103</f>
        <v/>
      </c>
      <c r="D104" s="165">
        <f>IF(OR(A104,C104),1,0)</f>
        <v/>
      </c>
      <c r="E104" s="715" t="n"/>
      <c r="F104" s="715" t="n"/>
      <c r="G104" s="715" t="n"/>
      <c r="H104" s="715" t="n"/>
      <c r="L104" s="715" t="n"/>
      <c r="M104" s="715" t="n"/>
      <c r="N104" s="715" t="n"/>
    </row>
    <row r="105" ht="15.75" customHeight="1" thickBot="1">
      <c r="A105" s="715" t="n"/>
      <c r="B105" s="715" t="n"/>
      <c r="C105" s="715" t="n"/>
      <c r="D105" s="715" t="n"/>
      <c r="E105" s="715" t="n"/>
      <c r="F105" s="715" t="n"/>
      <c r="G105" s="715" t="n"/>
      <c r="H105" s="715" t="n"/>
      <c r="L105" s="715" t="n"/>
      <c r="M105" s="715" t="n"/>
      <c r="N105" s="715" t="n"/>
    </row>
    <row r="106">
      <c r="A106" s="156" t="inlineStr">
        <is>
          <t>VENT MODE DMA</t>
        </is>
      </c>
      <c r="B106" s="156" t="inlineStr">
        <is>
          <t>VENT MODE TCA</t>
        </is>
      </c>
      <c r="C106" s="157" t="inlineStr">
        <is>
          <t>VENT MODE DMB</t>
        </is>
      </c>
      <c r="D106" s="158" t="inlineStr">
        <is>
          <t>HW IN VENT MODE</t>
        </is>
      </c>
      <c r="E106" s="715" t="n"/>
      <c r="F106" s="715" t="n"/>
      <c r="G106" s="715" t="n"/>
      <c r="H106" s="715" t="n"/>
      <c r="J106" s="715" t="n"/>
      <c r="K106" s="715" t="n"/>
      <c r="L106" s="715" t="n"/>
      <c r="M106" s="715" t="n"/>
      <c r="N106" s="715" t="n"/>
    </row>
    <row r="107" ht="15.75" customHeight="1" thickBot="1">
      <c r="A107" s="163" t="n"/>
      <c r="B107" s="163" t="n"/>
      <c r="C107" s="164" t="n"/>
      <c r="D107" s="165" t="n"/>
      <c r="E107" s="715" t="n"/>
      <c r="F107" s="715" t="n"/>
      <c r="G107" s="715" t="n"/>
      <c r="H107" s="715" t="n"/>
      <c r="J107" s="715" t="n"/>
      <c r="K107" s="715" t="n"/>
      <c r="L107" s="715" t="n"/>
      <c r="M107" s="715" t="n"/>
      <c r="N107" s="715" t="n"/>
    </row>
    <row r="108" ht="15.75" customHeight="1" thickBot="1">
      <c r="A108" s="715" t="n"/>
      <c r="B108" s="715" t="n"/>
      <c r="C108" s="715" t="n"/>
      <c r="D108" s="715" t="n"/>
      <c r="E108" s="715" t="n"/>
      <c r="F108" s="715" t="n"/>
      <c r="G108" s="715" t="n"/>
      <c r="H108" s="715" t="n"/>
      <c r="J108" s="715" t="n"/>
      <c r="K108" s="715" t="n"/>
      <c r="L108" s="715" t="n"/>
      <c r="M108" s="715" t="n"/>
      <c r="N108" s="715" t="n"/>
    </row>
    <row r="109">
      <c r="A109" s="160" t="inlineStr">
        <is>
          <t>SET POINT DMA</t>
        </is>
      </c>
      <c r="B109" s="160" t="inlineStr">
        <is>
          <t>SET POINT TCA</t>
        </is>
      </c>
      <c r="C109" s="160" t="inlineStr">
        <is>
          <t>SET POINT DMB</t>
        </is>
      </c>
      <c r="D109" s="158" t="n"/>
      <c r="E109" s="715" t="n"/>
      <c r="F109" s="715" t="n"/>
      <c r="G109" s="715" t="n"/>
      <c r="H109" s="715" t="n"/>
      <c r="J109" s="715" t="n"/>
      <c r="K109" s="715" t="n"/>
      <c r="L109" s="715" t="n"/>
      <c r="M109" s="715" t="n"/>
      <c r="N109" s="715" t="n"/>
    </row>
    <row r="110" ht="15.75" customHeight="1" thickBot="1">
      <c r="A110" s="163">
        <f>IF(AND(TCMS!D74=1,TCMS!D75=1),1,0)</f>
        <v/>
      </c>
      <c r="B110" s="163">
        <f>IF(AND(TCMS!E74=1,TCMS!E75=1),1,0)</f>
        <v/>
      </c>
      <c r="C110" s="164">
        <f>IF(AND(TCMS!F74=1,TCMS!F75=1),1,0)</f>
        <v/>
      </c>
      <c r="D110" s="165">
        <f>IF(OR(A110:C110),1,0)</f>
        <v/>
      </c>
      <c r="E110" s="715" t="n"/>
      <c r="F110" s="715" t="n"/>
      <c r="G110" s="715" t="n"/>
      <c r="H110" s="715" t="n"/>
      <c r="J110" s="715" t="n"/>
      <c r="K110" s="715" t="n"/>
      <c r="L110" s="715" t="n"/>
      <c r="M110" s="715" t="n"/>
      <c r="N110" s="715" t="n"/>
    </row>
    <row r="111" ht="15.75" customHeight="1" thickBot="1">
      <c r="A111" s="715" t="n"/>
      <c r="B111" s="715" t="n"/>
      <c r="C111" s="715" t="n"/>
      <c r="D111" s="715" t="n"/>
      <c r="E111" s="715" t="n"/>
      <c r="F111" s="715" t="n"/>
      <c r="G111" s="715" t="n"/>
      <c r="H111" s="715" t="n"/>
      <c r="J111" s="715" t="n"/>
      <c r="K111" s="715" t="n"/>
      <c r="L111" s="715" t="n"/>
      <c r="M111" s="715" t="n"/>
      <c r="N111" s="715" t="n"/>
    </row>
    <row r="112">
      <c r="A112" s="156" t="inlineStr">
        <is>
          <t>RESET SMOKE DMA</t>
        </is>
      </c>
      <c r="B112" s="156" t="inlineStr">
        <is>
          <t>RESET SMOKE TCA</t>
        </is>
      </c>
      <c r="C112" s="156" t="inlineStr">
        <is>
          <t>RESET SMOKE DMB</t>
        </is>
      </c>
      <c r="D112" s="158" t="inlineStr">
        <is>
          <t>HW SMOKE RESET</t>
        </is>
      </c>
      <c r="E112" s="715" t="n"/>
      <c r="F112" s="715" t="n"/>
      <c r="G112" s="715" t="n"/>
      <c r="H112" s="715" t="n"/>
      <c r="J112" s="715" t="n"/>
      <c r="K112" s="715" t="n"/>
      <c r="L112" s="715" t="n"/>
      <c r="M112" s="715" t="n"/>
      <c r="N112" s="715" t="n"/>
    </row>
    <row r="113" ht="15.75" customHeight="1" thickBot="1">
      <c r="A113" s="163" t="n"/>
      <c r="B113" s="163" t="n"/>
      <c r="C113" s="164" t="n"/>
      <c r="D113" s="165" t="n"/>
      <c r="E113" s="715" t="n"/>
      <c r="F113" s="715" t="n"/>
      <c r="G113" s="715" t="n"/>
      <c r="H113" s="715" t="n"/>
      <c r="J113" s="715" t="n"/>
      <c r="K113" s="715" t="n"/>
      <c r="L113" s="715" t="n"/>
      <c r="M113" s="715" t="n"/>
      <c r="N113" s="715" t="n"/>
    </row>
    <row r="114">
      <c r="A114" s="715" t="n"/>
      <c r="B114" s="715" t="n"/>
      <c r="C114" s="715" t="n"/>
      <c r="D114" s="715" t="n"/>
      <c r="E114" s="715" t="n"/>
      <c r="F114" s="715" t="n"/>
      <c r="G114" s="715" t="n"/>
      <c r="H114" s="715" t="n"/>
      <c r="I114" s="715" t="n"/>
      <c r="J114" s="715" t="n"/>
      <c r="K114" s="715" t="n"/>
      <c r="L114" s="715" t="n"/>
      <c r="M114" s="715" t="n"/>
      <c r="N114" s="715" t="n"/>
    </row>
    <row r="115">
      <c r="A115" s="156" t="inlineStr">
        <is>
          <t>ISOLATE DMA HVAC 2</t>
        </is>
      </c>
      <c r="B115" s="156" t="inlineStr">
        <is>
          <t>ISOLATE TCA HVAC 2</t>
        </is>
      </c>
      <c r="C115" s="157" t="inlineStr">
        <is>
          <t>ISOLATE DMB HVAC 2</t>
        </is>
      </c>
      <c r="D115" s="715" t="n"/>
      <c r="E115" s="715" t="n"/>
      <c r="F115" s="715" t="n"/>
      <c r="G115" s="715" t="n"/>
      <c r="H115" s="715" t="n"/>
      <c r="I115" s="715" t="n"/>
      <c r="J115" s="715" t="n"/>
      <c r="K115" s="715" t="n"/>
      <c r="L115" s="715" t="n"/>
      <c r="M115" s="715" t="n"/>
      <c r="N115" s="715" t="n"/>
    </row>
    <row r="116">
      <c r="A116" s="163" t="n"/>
      <c r="B116" s="163" t="n"/>
      <c r="C116" s="164" t="n"/>
      <c r="D116" s="715" t="n"/>
      <c r="E116" s="715" t="n"/>
      <c r="F116" s="715" t="n"/>
      <c r="G116" s="715" t="n"/>
      <c r="H116" s="715" t="n"/>
      <c r="I116" s="715" t="n"/>
      <c r="J116" s="715" t="n"/>
      <c r="K116" s="715" t="n"/>
      <c r="L116" s="715" t="n"/>
      <c r="M116" s="715" t="n"/>
      <c r="N116" s="715" t="n"/>
    </row>
    <row r="117">
      <c r="A117" s="715" t="n"/>
      <c r="B117" s="715" t="n"/>
      <c r="C117" s="715" t="n"/>
      <c r="D117" s="715" t="n"/>
      <c r="E117" s="715" t="n"/>
      <c r="F117" s="715" t="n"/>
      <c r="G117" s="715" t="n"/>
      <c r="H117" s="715" t="n"/>
      <c r="I117" s="715" t="n"/>
      <c r="J117" s="715" t="n"/>
      <c r="K117" s="715" t="n"/>
      <c r="L117" s="715" t="n"/>
      <c r="M117" s="715" t="n"/>
      <c r="N117" s="715" t="n"/>
    </row>
    <row r="118">
      <c r="A118" s="715" t="n"/>
      <c r="B118" s="715" t="n"/>
      <c r="C118" s="715" t="n"/>
      <c r="D118" s="715" t="n"/>
      <c r="E118" s="715" t="n"/>
      <c r="F118" s="715" t="n"/>
      <c r="G118" s="715" t="n"/>
      <c r="H118" s="715" t="n"/>
      <c r="I118" s="715" t="n"/>
      <c r="J118" s="715" t="n"/>
      <c r="K118" s="715" t="n"/>
      <c r="L118" s="715" t="n"/>
      <c r="M118" s="715" t="n"/>
      <c r="N118" s="715" t="n"/>
    </row>
    <row r="119">
      <c r="A119" s="715" t="n"/>
      <c r="B119" s="715" t="n"/>
      <c r="C119" s="715" t="n"/>
      <c r="D119" s="715" t="n"/>
      <c r="E119" s="715" t="n"/>
      <c r="F119" s="715" t="n"/>
      <c r="G119" s="715" t="n"/>
      <c r="H119" s="715" t="n"/>
      <c r="I119" s="715" t="n"/>
      <c r="J119" s="715" t="n"/>
      <c r="K119" s="715" t="n"/>
      <c r="L119" s="715" t="n"/>
      <c r="M119" s="715" t="n"/>
      <c r="N119" s="715" t="n"/>
    </row>
    <row r="120">
      <c r="A120" s="156" t="inlineStr">
        <is>
          <t>FAULT DMA HVAC 1</t>
        </is>
      </c>
      <c r="B120" s="156" t="inlineStr">
        <is>
          <t>FAULT TCA</t>
        </is>
      </c>
      <c r="C120" s="156" t="inlineStr">
        <is>
          <t>FAULT DMB</t>
        </is>
      </c>
      <c r="D120" s="715" t="n"/>
      <c r="E120" s="715" t="n"/>
      <c r="F120" s="715" t="n"/>
      <c r="G120" s="715" t="n"/>
      <c r="H120" s="715" t="n"/>
      <c r="I120" s="715" t="n"/>
      <c r="J120" s="715" t="n"/>
      <c r="K120" s="715" t="n"/>
      <c r="L120" s="715" t="n"/>
      <c r="M120" s="715" t="n"/>
      <c r="N120" s="715" t="n"/>
    </row>
    <row r="121">
      <c r="A121" s="159" t="n"/>
      <c r="B121" s="159" t="n"/>
      <c r="C121" s="159" t="n"/>
      <c r="D121" s="715" t="n"/>
      <c r="E121" s="715" t="n"/>
      <c r="F121" s="715" t="n"/>
      <c r="G121" s="715" t="n"/>
      <c r="H121" s="715" t="n"/>
      <c r="I121" s="715" t="n"/>
      <c r="J121" s="715" t="n"/>
      <c r="K121" s="715" t="n"/>
      <c r="L121" s="715" t="n"/>
      <c r="M121" s="715" t="n"/>
      <c r="N121" s="715" t="n"/>
    </row>
    <row r="122" ht="15.75" customHeight="1">
      <c r="A122" s="715" t="n"/>
      <c r="B122" s="161" t="n"/>
      <c r="C122" s="161" t="n"/>
      <c r="D122" s="715" t="n"/>
      <c r="E122" s="161" t="n"/>
      <c r="F122" s="161" t="n"/>
      <c r="G122" s="715" t="n"/>
      <c r="H122" s="715" t="n"/>
      <c r="I122" s="715" t="n"/>
      <c r="J122" s="715" t="n"/>
      <c r="K122" s="715" t="n"/>
      <c r="L122" s="715" t="n"/>
      <c r="M122" s="715" t="n"/>
      <c r="N122" s="715" t="n"/>
    </row>
    <row r="123" ht="15.75" customHeight="1">
      <c r="A123" s="715" t="n"/>
      <c r="E123" s="162" t="n"/>
      <c r="F123" s="162" t="n"/>
      <c r="G123" s="715" t="n"/>
      <c r="H123" s="715" t="n"/>
      <c r="I123" s="715" t="n"/>
      <c r="J123" s="715" t="n"/>
      <c r="K123" s="715" t="n"/>
      <c r="L123" s="715" t="n"/>
      <c r="M123" s="715" t="n"/>
      <c r="N123" s="715" t="n"/>
    </row>
    <row r="124">
      <c r="A124" s="715" t="n"/>
      <c r="E124" s="715" t="n"/>
      <c r="F124" s="715" t="n"/>
      <c r="G124" s="715" t="n"/>
      <c r="H124" s="715" t="n"/>
      <c r="I124" s="715" t="n"/>
      <c r="J124" s="715" t="n"/>
      <c r="K124" s="715" t="n"/>
      <c r="L124" s="715" t="n"/>
      <c r="M124" s="715" t="n"/>
      <c r="N124" s="715" t="n"/>
    </row>
    <row r="125">
      <c r="A125" s="715" t="n"/>
      <c r="E125" s="715" t="n"/>
      <c r="F125" s="715" t="n"/>
      <c r="G125" s="715" t="n"/>
      <c r="H125" s="715" t="n"/>
      <c r="I125" s="715" t="n"/>
      <c r="J125" s="715" t="n"/>
      <c r="K125" s="715" t="n"/>
      <c r="L125" s="715" t="n"/>
      <c r="M125" s="715" t="n"/>
      <c r="N125" s="715" t="n"/>
    </row>
    <row r="135" ht="19.5" customHeight="1">
      <c r="B135" s="214" t="n"/>
    </row>
    <row r="136" ht="16.5" customHeight="1" thickBot="1">
      <c r="A136" s="162" t="n"/>
      <c r="B136" s="162" t="n"/>
      <c r="C136" s="162" t="n"/>
    </row>
    <row r="137" ht="15.75" customHeight="1" thickBot="1">
      <c r="A137" s="209" t="inlineStr">
        <is>
          <t>cooling level</t>
        </is>
      </c>
      <c r="B137" s="211" t="inlineStr">
        <is>
          <t>cooling capacity (kw)</t>
        </is>
      </c>
      <c r="C137" s="158" t="inlineStr">
        <is>
          <t xml:space="preserve">w </t>
        </is>
      </c>
    </row>
    <row r="138" ht="19.5" customHeight="1">
      <c r="A138" s="221" t="n">
        <v>1</v>
      </c>
      <c r="B138" s="222" t="n">
        <v>10</v>
      </c>
      <c r="C138" s="223" t="n">
        <v>10000</v>
      </c>
    </row>
    <row r="139" ht="19.5" customHeight="1">
      <c r="A139" s="216" t="n">
        <v>2</v>
      </c>
      <c r="B139" s="218" t="n">
        <v>11</v>
      </c>
      <c r="C139" s="223" t="n">
        <v>11000</v>
      </c>
    </row>
    <row r="140" ht="19.5" customHeight="1">
      <c r="A140" s="216" t="n">
        <v>3</v>
      </c>
      <c r="B140" s="218" t="n">
        <v>12</v>
      </c>
      <c r="C140" s="223" t="n">
        <v>12000</v>
      </c>
    </row>
    <row r="141" ht="19.5" customHeight="1">
      <c r="A141" s="216" t="n">
        <v>4</v>
      </c>
      <c r="B141" s="218" t="n">
        <v>13</v>
      </c>
      <c r="C141" s="223" t="n">
        <v>13000</v>
      </c>
    </row>
    <row r="142" ht="19.5" customHeight="1">
      <c r="A142" s="216" t="n">
        <v>5</v>
      </c>
      <c r="B142" s="218" t="n">
        <v>15</v>
      </c>
      <c r="C142" s="223" t="n">
        <v>14000</v>
      </c>
    </row>
    <row r="143" ht="19.5" customHeight="1">
      <c r="A143" s="216" t="n">
        <v>6</v>
      </c>
      <c r="B143" s="218" t="n">
        <v>23</v>
      </c>
      <c r="C143" s="223" t="n">
        <v>23000</v>
      </c>
    </row>
    <row r="144" ht="19.5" customHeight="1">
      <c r="A144" s="216" t="n">
        <v>7</v>
      </c>
      <c r="B144" s="218" t="n">
        <v>34</v>
      </c>
      <c r="C144" s="223" t="n">
        <v>34000</v>
      </c>
    </row>
    <row r="145" ht="20.25" customHeight="1" thickBot="1">
      <c r="A145" s="219" t="n">
        <v>8</v>
      </c>
      <c r="B145" s="220" t="n">
        <v>47</v>
      </c>
      <c r="C145" s="224" t="n">
        <v>47000</v>
      </c>
    </row>
    <row r="146" ht="19.5" customHeight="1">
      <c r="A146" s="214" t="n"/>
    </row>
    <row r="147" ht="19.5" customHeight="1">
      <c r="A147" s="214" t="n"/>
      <c r="C147">
        <f>IF(A138=1,10,IF(A139=2,11, IF(A140=3,12,IF(A141=4,13,IF(A142=5,15,IF(A143=6,23,IF(A144=7,34,IF(A145=8,47,0))))))))</f>
        <v/>
      </c>
    </row>
    <row r="345">
      <c r="F345">
        <f>'DATA TRANSFER'!F34</f>
        <v/>
      </c>
    </row>
    <row r="584">
      <c r="Q584">
        <f>'DATA TRANSFER'!Q584</f>
        <v/>
      </c>
    </row>
    <row r="611">
      <c r="L611">
        <f>'DATA TRANSFER'!F38</f>
        <v/>
      </c>
    </row>
  </sheetData>
  <mergeCells count="8">
    <mergeCell ref="I12:M12"/>
    <mergeCell ref="E2:G2"/>
    <mergeCell ref="B54:C54"/>
    <mergeCell ref="A1:C1"/>
    <mergeCell ref="H62:I62"/>
    <mergeCell ref="A92:D92"/>
    <mergeCell ref="J62:K62"/>
    <mergeCell ref="F92:H92"/>
  </mergeCell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588"/>
  <sheetViews>
    <sheetView topLeftCell="I1" zoomScale="110" zoomScaleNormal="110" workbookViewId="0">
      <selection activeCell="P18" sqref="P18"/>
    </sheetView>
  </sheetViews>
  <sheetFormatPr baseColWidth="8" defaultColWidth="9" defaultRowHeight="15"/>
  <cols>
    <col width="9" customWidth="1" style="265" min="1" max="1"/>
    <col width="39.85546875" customWidth="1" style="265" min="2" max="2"/>
    <col width="60.5703125" customWidth="1" style="265" min="3" max="3"/>
    <col width="18.85546875" customWidth="1" style="265" min="4" max="10"/>
    <col width="60.42578125" customWidth="1" style="265" min="11" max="11"/>
    <col width="18.85546875" customWidth="1" style="265" min="12" max="12"/>
    <col width="18.5703125" customWidth="1" style="265" min="13" max="13"/>
    <col width="44.42578125" customWidth="1" style="265" min="14" max="14"/>
    <col width="18.5703125" customWidth="1" style="265" min="15" max="16"/>
    <col width="18.5703125" customWidth="1" style="335" min="17" max="18"/>
    <col width="19" customWidth="1" style="335" min="19" max="21"/>
    <col width="18.42578125" customWidth="1" style="335" min="22" max="22"/>
    <col width="9" customWidth="1" style="335" min="23" max="16384"/>
  </cols>
  <sheetData>
    <row r="1" ht="15.75" customHeight="1" thickBot="1">
      <c r="B1" s="717" t="inlineStr">
        <is>
          <t>Inputs</t>
        </is>
      </c>
      <c r="C1" s="817" t="n"/>
      <c r="D1" s="818" t="n"/>
      <c r="F1" s="720" t="inlineStr">
        <is>
          <t>Temp</t>
        </is>
      </c>
      <c r="G1" s="720" t="inlineStr">
        <is>
          <t>Values</t>
        </is>
      </c>
      <c r="H1" s="265" t="inlineStr">
        <is>
          <t>Kelvin</t>
        </is>
      </c>
      <c r="J1" s="720" t="inlineStr">
        <is>
          <t>For Operating Panel Screen</t>
        </is>
      </c>
    </row>
    <row r="2">
      <c r="B2" s="322" t="inlineStr">
        <is>
          <t>c</t>
        </is>
      </c>
      <c r="C2" s="264" t="n">
        <v>1</v>
      </c>
      <c r="D2" s="323" t="inlineStr">
        <is>
          <t>KJ/Kg</t>
        </is>
      </c>
      <c r="F2" s="265" t="inlineStr">
        <is>
          <t>T1</t>
        </is>
      </c>
      <c r="G2" s="265" t="n">
        <v>18</v>
      </c>
      <c r="H2" s="265">
        <f>G2+273.15</f>
        <v/>
      </c>
      <c r="J2" s="428" t="inlineStr">
        <is>
          <t>Status</t>
        </is>
      </c>
      <c r="K2" s="428" t="inlineStr">
        <is>
          <t>Modes of Operation</t>
        </is>
      </c>
      <c r="L2" s="428" t="inlineStr">
        <is>
          <t>Compressor 1</t>
        </is>
      </c>
      <c r="M2" s="428" t="inlineStr">
        <is>
          <t>Compressor 2</t>
        </is>
      </c>
      <c r="N2" s="428" t="inlineStr">
        <is>
          <t>Compressor 3</t>
        </is>
      </c>
      <c r="O2" s="428" t="inlineStr">
        <is>
          <t>Compressor 4</t>
        </is>
      </c>
      <c r="P2" s="428" t="inlineStr">
        <is>
          <t>FAD</t>
        </is>
      </c>
      <c r="Q2" s="428" t="inlineStr">
        <is>
          <t>RAD</t>
        </is>
      </c>
      <c r="R2" s="428" t="inlineStr">
        <is>
          <t>Heater</t>
        </is>
      </c>
      <c r="S2" s="428" t="inlineStr">
        <is>
          <t>Condensor Fan</t>
        </is>
      </c>
      <c r="T2" s="428" t="inlineStr">
        <is>
          <t>Evaporator Fan 1</t>
        </is>
      </c>
      <c r="U2" s="428" t="inlineStr">
        <is>
          <t>Evaporator Fan 2</t>
        </is>
      </c>
    </row>
    <row r="3">
      <c r="B3" s="324" t="inlineStr">
        <is>
          <t>Set Point</t>
        </is>
      </c>
      <c r="C3" s="265">
        <f>'DATA TRANSFER'!F37+273.15</f>
        <v/>
      </c>
      <c r="D3" s="325" t="inlineStr">
        <is>
          <t>K</t>
        </is>
      </c>
      <c r="F3" s="265" t="inlineStr">
        <is>
          <t>T2</t>
        </is>
      </c>
      <c r="G3" s="265" t="n">
        <v>25</v>
      </c>
      <c r="H3" s="265">
        <f>G3+273.15</f>
        <v/>
      </c>
      <c r="J3" s="429">
        <f t="array" ref="J3">IF(AND(J13:J15=0,J6=0),IF(AND(Calculation!B33&gt;Calculation!B35,C3-C19&gt;3,C7&lt;=10%,C21&lt;=60,C20&lt;60),1,0),0)</f>
        <v/>
      </c>
      <c r="K3" s="430">
        <f>C26</f>
        <v/>
      </c>
      <c r="L3" s="429">
        <f>H26</f>
        <v/>
      </c>
      <c r="M3" s="429">
        <f>I26</f>
        <v/>
      </c>
      <c r="N3" s="429">
        <f>J26</f>
        <v/>
      </c>
      <c r="O3" s="429">
        <f>K26</f>
        <v/>
      </c>
      <c r="P3" s="431" t="n">
        <v>0</v>
      </c>
      <c r="Q3" s="431">
        <f>Calculation!$B$52</f>
        <v/>
      </c>
      <c r="R3" s="431" t="n">
        <v>1</v>
      </c>
      <c r="S3" s="431" t="n">
        <v>0</v>
      </c>
      <c r="T3" s="431" t="n">
        <v>1</v>
      </c>
      <c r="U3" s="431" t="n">
        <v>1</v>
      </c>
      <c r="AB3" s="335" t="inlineStr">
        <is>
          <t>Preconditioning: Preheating</t>
        </is>
      </c>
    </row>
    <row r="4">
      <c r="B4" s="324" t="inlineStr">
        <is>
          <t>Ambient Temp</t>
        </is>
      </c>
      <c r="C4" s="265">
        <f>'DATA TRANSFER'!F39+273.15</f>
        <v/>
      </c>
      <c r="D4" s="325" t="inlineStr">
        <is>
          <t>K</t>
        </is>
      </c>
      <c r="F4" s="265" t="inlineStr">
        <is>
          <t>T3</t>
        </is>
      </c>
      <c r="G4" s="265" t="n">
        <v>43</v>
      </c>
      <c r="H4" s="265">
        <f>G4+273.15</f>
        <v/>
      </c>
      <c r="J4" s="429">
        <f t="array" ref="J4">IF(AND(J13:J15=0),B27,0)</f>
        <v/>
      </c>
      <c r="K4" s="430">
        <f>C27</f>
        <v/>
      </c>
      <c r="L4" s="429" t="n">
        <v>1</v>
      </c>
      <c r="M4" s="429" t="n">
        <v>1</v>
      </c>
      <c r="N4" s="429" t="n">
        <v>1</v>
      </c>
      <c r="O4" s="429" t="n">
        <v>1</v>
      </c>
      <c r="P4" s="431" t="n">
        <v>0</v>
      </c>
      <c r="Q4" s="431" t="n">
        <v>1</v>
      </c>
      <c r="R4" s="431" t="n">
        <v>0</v>
      </c>
      <c r="S4" s="431" t="n">
        <v>1</v>
      </c>
      <c r="T4" s="431" t="n">
        <v>1</v>
      </c>
      <c r="U4" s="431" t="n">
        <v>1</v>
      </c>
      <c r="AB4" s="335" t="inlineStr">
        <is>
          <t>Preconditioning: Precooling</t>
        </is>
      </c>
    </row>
    <row r="5">
      <c r="B5" s="324" t="inlineStr">
        <is>
          <t>Supply Temp</t>
        </is>
      </c>
      <c r="C5" s="265">
        <f>'DATA TRANSFER'!F39+273.15</f>
        <v/>
      </c>
      <c r="D5" s="325" t="inlineStr">
        <is>
          <t>K</t>
        </is>
      </c>
      <c r="F5" s="265" t="inlineStr">
        <is>
          <t>T4</t>
        </is>
      </c>
      <c r="G5" s="265" t="n">
        <v>10</v>
      </c>
      <c r="H5" s="265">
        <f>G5+273.15</f>
        <v/>
      </c>
      <c r="J5" s="432">
        <f>B28</f>
        <v/>
      </c>
      <c r="K5" s="433">
        <f>C28</f>
        <v/>
      </c>
      <c r="L5" s="432" t="n"/>
      <c r="M5" s="432" t="n"/>
      <c r="N5" s="432" t="n"/>
      <c r="O5" s="432" t="n"/>
      <c r="P5" s="434" t="n">
        <v>1</v>
      </c>
      <c r="Q5" s="434" t="n">
        <v>1</v>
      </c>
      <c r="R5" s="434" t="n">
        <v>0</v>
      </c>
      <c r="S5" s="434" t="n">
        <v>1</v>
      </c>
      <c r="T5" s="434" t="n">
        <v>1</v>
      </c>
      <c r="U5" s="434" t="n">
        <v>1</v>
      </c>
      <c r="AB5" s="335" t="inlineStr">
        <is>
          <t>Cooling Mode</t>
        </is>
      </c>
    </row>
    <row r="6">
      <c r="B6" s="324" t="inlineStr">
        <is>
          <t>Time</t>
        </is>
      </c>
      <c r="C6" s="265" t="n">
        <v>0.8</v>
      </c>
      <c r="D6" s="325" t="inlineStr">
        <is>
          <t>s</t>
        </is>
      </c>
      <c r="F6" s="265" t="inlineStr">
        <is>
          <t>T5</t>
        </is>
      </c>
      <c r="G6" s="265" t="n">
        <v>11</v>
      </c>
      <c r="H6" s="265">
        <f>G6+273.15</f>
        <v/>
      </c>
      <c r="J6" s="429">
        <f>IF(AND('DATA TRANSFER'!Q584-Calculation!B33&gt;=-0.5,'DATA TRANSFER'!Q584-Calculation!B33&lt;0.5,J13=0,J14=0,J15=0),1,0)</f>
        <v/>
      </c>
      <c r="K6" s="430">
        <f>C29</f>
        <v/>
      </c>
      <c r="L6" s="429" t="n">
        <v>0</v>
      </c>
      <c r="M6" s="429" t="n">
        <v>0</v>
      </c>
      <c r="N6" s="429" t="n">
        <v>0</v>
      </c>
      <c r="O6" s="429" t="n">
        <v>0</v>
      </c>
      <c r="P6" s="429" t="n">
        <v>0</v>
      </c>
      <c r="Q6" s="429" t="n">
        <v>0</v>
      </c>
      <c r="R6" s="429" t="n">
        <v>0</v>
      </c>
      <c r="S6" s="429" t="n">
        <v>1</v>
      </c>
      <c r="T6" s="429" t="n">
        <v>1</v>
      </c>
      <c r="U6" s="429" t="n">
        <v>1</v>
      </c>
      <c r="AB6" s="335" t="inlineStr">
        <is>
          <t>Standard Automatic Cooling State 1 (Cooling Circuits Disabled)</t>
        </is>
      </c>
    </row>
    <row r="7">
      <c r="B7" s="324" t="inlineStr">
        <is>
          <t xml:space="preserve">Loading </t>
        </is>
      </c>
      <c r="C7" s="329">
        <f>E7/100</f>
        <v/>
      </c>
      <c r="D7" s="325" t="inlineStr">
        <is>
          <t>%</t>
        </is>
      </c>
      <c r="E7" s="265">
        <f>'DATA TRANSFER'!F40</f>
        <v/>
      </c>
      <c r="F7" s="265" t="inlineStr">
        <is>
          <t>T6</t>
        </is>
      </c>
      <c r="G7" s="265" t="n">
        <v>12</v>
      </c>
      <c r="H7" s="265">
        <f>G7+273.15</f>
        <v/>
      </c>
      <c r="J7" s="429">
        <f t="array" ref="J7">IF(AND(B31=1,Calculation!B35-Calculation!B33&gt;=0.5,Calculation!B35-Calculation!B33&lt;3,J13:J15=0),1,0)</f>
        <v/>
      </c>
      <c r="K7" s="430" t="inlineStr">
        <is>
          <t>Standard Automatic Cooling State 2 (Up to 25% Modulated Cooling)</t>
        </is>
      </c>
      <c r="L7" s="429" t="n">
        <v>1</v>
      </c>
      <c r="M7" s="429" t="n">
        <v>0</v>
      </c>
      <c r="N7" s="429" t="n">
        <v>0</v>
      </c>
      <c r="O7" s="429" t="n">
        <v>0</v>
      </c>
      <c r="P7" s="431" t="n">
        <v>0</v>
      </c>
      <c r="Q7" s="431" t="n">
        <v>1</v>
      </c>
      <c r="R7" s="431" t="n">
        <v>0</v>
      </c>
      <c r="S7" s="435" t="n">
        <v>1</v>
      </c>
      <c r="T7" s="431" t="n">
        <v>1</v>
      </c>
      <c r="U7" s="431" t="n">
        <v>1</v>
      </c>
      <c r="AB7" s="335" t="inlineStr">
        <is>
          <t>Standard Automatic Cooling State 2 (Up to 25% Modulated Cooling)</t>
        </is>
      </c>
    </row>
    <row r="8">
      <c r="B8" s="324" t="inlineStr">
        <is>
          <t>Current Mode</t>
        </is>
      </c>
      <c r="C8" s="265">
        <f>IFERROR(VLOOKUP(1,B26:C39,2,FALSE)," ")</f>
        <v/>
      </c>
      <c r="D8" s="325" t="inlineStr">
        <is>
          <t>0-1</t>
        </is>
      </c>
      <c r="F8" s="265" t="inlineStr">
        <is>
          <t>T7</t>
        </is>
      </c>
      <c r="G8" s="265" t="n">
        <v>30</v>
      </c>
      <c r="H8" s="265">
        <f>G8+273.15</f>
        <v/>
      </c>
      <c r="J8" s="429">
        <f t="array" ref="J8">IF(AND(B31=1,Calculation!B35-Calculation!B33&gt;=3,Calculation!B35-Calculation!B33&lt;4.5,J13:J15=0),1,0)</f>
        <v/>
      </c>
      <c r="K8" s="430" t="inlineStr">
        <is>
          <t>Standard Automatic Cooling State 3 (Up to 50% Modulated Cooling)</t>
        </is>
      </c>
      <c r="L8" s="429" t="n">
        <v>1</v>
      </c>
      <c r="M8" s="429" t="n">
        <v>1</v>
      </c>
      <c r="N8" s="429" t="n">
        <v>0</v>
      </c>
      <c r="O8" s="429" t="n">
        <v>0</v>
      </c>
      <c r="P8" s="431" t="n">
        <v>0</v>
      </c>
      <c r="Q8" s="431" t="n">
        <v>1</v>
      </c>
      <c r="R8" s="431" t="n">
        <v>0</v>
      </c>
      <c r="S8" s="431" t="n">
        <v>1</v>
      </c>
      <c r="T8" s="431" t="n">
        <v>1</v>
      </c>
      <c r="U8" s="431" t="n">
        <v>1</v>
      </c>
      <c r="AB8" s="335" t="inlineStr">
        <is>
          <t>Standard Automatic Cooling State 3 (Up to 50% Modulated Cooling)</t>
        </is>
      </c>
    </row>
    <row r="9">
      <c r="B9" s="324" t="inlineStr">
        <is>
          <t>Comp 1</t>
        </is>
      </c>
      <c r="C9" s="265">
        <f>IFERROR(VLOOKUP($C$8,$C$26:$H$40,6,FALSE)," ")</f>
        <v/>
      </c>
      <c r="D9" s="325" t="inlineStr">
        <is>
          <t>On/off</t>
        </is>
      </c>
      <c r="F9" s="265" t="inlineStr">
        <is>
          <t>RAT</t>
        </is>
      </c>
      <c r="G9" s="265" t="n">
        <v>32</v>
      </c>
      <c r="H9" s="265">
        <f>G9+273.15</f>
        <v/>
      </c>
      <c r="J9" s="429">
        <f t="array" ref="J9">IF(AND(B31=1,Calculation!B35-Calculation!B33&gt;=4.5,Calculation!B35-Calculation!B33&lt;6,J13:J15=0),1,0)</f>
        <v/>
      </c>
      <c r="K9" s="430" t="inlineStr">
        <is>
          <t>Standard Automatic Cooling State 4 (Up to 75% Modulated Cooling)</t>
        </is>
      </c>
      <c r="L9" s="429" t="n">
        <v>1</v>
      </c>
      <c r="M9" s="429" t="n">
        <v>1</v>
      </c>
      <c r="N9" s="429" t="n">
        <v>1</v>
      </c>
      <c r="O9" s="429" t="n">
        <v>0</v>
      </c>
      <c r="P9" s="431" t="n">
        <v>0</v>
      </c>
      <c r="Q9" s="431" t="n">
        <v>1</v>
      </c>
      <c r="R9" s="431" t="n">
        <v>0</v>
      </c>
      <c r="S9" s="431" t="n">
        <v>1</v>
      </c>
      <c r="T9" s="431" t="n">
        <v>1</v>
      </c>
      <c r="U9" s="431" t="n">
        <v>1</v>
      </c>
      <c r="AB9" s="335" t="inlineStr">
        <is>
          <t>Standard Automatic Cooling State 4 (Up to 75% Modulated Cooling)</t>
        </is>
      </c>
    </row>
    <row r="10">
      <c r="B10" s="324" t="inlineStr">
        <is>
          <t>Comp 2</t>
        </is>
      </c>
      <c r="C10" s="265">
        <f>IFERROR(VLOOKUP($C$8,$C$26:$M$40,7,FALSE)," ")</f>
        <v/>
      </c>
      <c r="D10" s="325" t="inlineStr">
        <is>
          <t>On/off</t>
        </is>
      </c>
      <c r="F10" s="265" t="inlineStr">
        <is>
          <t>FAT</t>
        </is>
      </c>
      <c r="G10" s="265">
        <f>C18</f>
        <v/>
      </c>
      <c r="H10" s="265">
        <f>G10+273.15</f>
        <v/>
      </c>
      <c r="J10" s="429">
        <f t="array" ref="J10">IF(AND(B31=1,Calculation!B35-Calculation!B33&gt;=6,J13:J15=0),1,0)</f>
        <v/>
      </c>
      <c r="K10" s="430" t="inlineStr">
        <is>
          <t>Standard Automatic Cooling State 5 (Up to 100% Modulated Cooling)</t>
        </is>
      </c>
      <c r="L10" s="429" t="n">
        <v>1</v>
      </c>
      <c r="M10" s="429" t="n">
        <v>1</v>
      </c>
      <c r="N10" s="429" t="n">
        <v>1</v>
      </c>
      <c r="O10" s="429" t="n">
        <v>1</v>
      </c>
      <c r="P10" s="431" t="n">
        <v>0</v>
      </c>
      <c r="Q10" s="431" t="n">
        <v>1</v>
      </c>
      <c r="R10" s="431" t="n">
        <v>1</v>
      </c>
      <c r="S10" s="431" t="n">
        <v>1</v>
      </c>
      <c r="T10" s="431" t="n">
        <v>1</v>
      </c>
      <c r="U10" s="431" t="n">
        <v>1</v>
      </c>
      <c r="AB10" s="335" t="inlineStr">
        <is>
          <t>Standard Automatic Cooling State 5 (Up to 100% Modulated Cooling)</t>
        </is>
      </c>
      <c r="CD10" s="335">
        <f>'DATA TRANSFER'!F38</f>
        <v/>
      </c>
    </row>
    <row r="11">
      <c r="B11" s="324" t="inlineStr">
        <is>
          <t>Comp 3</t>
        </is>
      </c>
      <c r="C11" s="265">
        <f>IFERROR(VLOOKUP($C$8,$C$26:$M$40,8,FALSE)," ")</f>
        <v/>
      </c>
      <c r="D11" s="325" t="inlineStr">
        <is>
          <t>On/off</t>
        </is>
      </c>
      <c r="F11" s="265" t="inlineStr">
        <is>
          <t>SAT</t>
        </is>
      </c>
      <c r="J11" s="429">
        <f t="array" ref="J11">IF(AND(J6=0,J12:J15=0,J3=0),B32,0)</f>
        <v/>
      </c>
      <c r="K11" s="430">
        <f>C32</f>
        <v/>
      </c>
      <c r="L11" s="429">
        <f>IF(AND(L13=0,L14=0),H32,0)</f>
        <v/>
      </c>
      <c r="M11" s="429">
        <f>I32</f>
        <v/>
      </c>
      <c r="N11" s="429">
        <f>J32</f>
        <v/>
      </c>
      <c r="O11" s="429">
        <f>K32</f>
        <v/>
      </c>
      <c r="P11" s="431" t="n">
        <v>1</v>
      </c>
      <c r="Q11" s="431" t="n">
        <v>1</v>
      </c>
      <c r="R11" s="431" t="n">
        <v>0</v>
      </c>
      <c r="S11" s="431" t="n">
        <v>0</v>
      </c>
      <c r="T11" s="431" t="n">
        <v>1</v>
      </c>
      <c r="U11" s="431" t="n">
        <v>1</v>
      </c>
      <c r="AB11" s="335" t="inlineStr">
        <is>
          <t>Ventilation Mode</t>
        </is>
      </c>
    </row>
    <row r="12">
      <c r="B12" s="324" t="inlineStr">
        <is>
          <t>Comp 4</t>
        </is>
      </c>
      <c r="C12" s="265">
        <f>IFERROR(VLOOKUP($C$8,$C$26:$M$40,9,FALSE)," ")</f>
        <v/>
      </c>
      <c r="D12" s="325" t="inlineStr">
        <is>
          <t>On/off</t>
        </is>
      </c>
      <c r="F12" s="265" t="inlineStr">
        <is>
          <t>Set Point</t>
        </is>
      </c>
      <c r="G12" s="265">
        <f>Calculation!B33</f>
        <v/>
      </c>
      <c r="J12" s="429">
        <f t="array" ref="J12">IF(AND(J13:J15=0,J3=0),B33,0)</f>
        <v/>
      </c>
      <c r="K12" s="430">
        <f>C33</f>
        <v/>
      </c>
      <c r="L12" s="429">
        <f>H32</f>
        <v/>
      </c>
      <c r="M12" s="429">
        <f>I33</f>
        <v/>
      </c>
      <c r="N12" s="429">
        <f>J33</f>
        <v/>
      </c>
      <c r="O12" s="429">
        <f>K33</f>
        <v/>
      </c>
      <c r="P12" s="429" t="n">
        <v>0</v>
      </c>
      <c r="Q12" s="429" t="n">
        <v>1</v>
      </c>
      <c r="R12" s="431" t="n">
        <v>1</v>
      </c>
      <c r="S12" s="431" t="n">
        <v>0</v>
      </c>
      <c r="T12" s="431" t="n">
        <v>1</v>
      </c>
      <c r="U12" s="431" t="n">
        <v>1</v>
      </c>
      <c r="AB12" s="335" t="inlineStr">
        <is>
          <t>Heating Mode</t>
        </is>
      </c>
    </row>
    <row r="13">
      <c r="B13" s="324" t="inlineStr">
        <is>
          <t>Heater</t>
        </is>
      </c>
      <c r="C13" s="265">
        <f>IFERROR(VLOOKUP($C$8,$C$26:$M$40,2,FALSE)," ")</f>
        <v/>
      </c>
      <c r="D13" s="325" t="inlineStr">
        <is>
          <t>On/off</t>
        </is>
      </c>
      <c r="F13" s="265" t="inlineStr">
        <is>
          <t>old rat</t>
        </is>
      </c>
      <c r="G13" s="425">
        <f>Calculation!B35</f>
        <v/>
      </c>
      <c r="J13" s="429">
        <f>'DATA TRANSFER'!F28</f>
        <v/>
      </c>
      <c r="K13" s="430">
        <f>C34</f>
        <v/>
      </c>
      <c r="L13" s="429">
        <f>H33</f>
        <v/>
      </c>
      <c r="M13" s="429" t="n">
        <v>0</v>
      </c>
      <c r="N13" s="429" t="n">
        <v>0</v>
      </c>
      <c r="O13" s="429" t="n">
        <v>0</v>
      </c>
      <c r="P13" s="429" t="n">
        <v>0</v>
      </c>
      <c r="Q13" s="429" t="n">
        <v>0</v>
      </c>
      <c r="R13" s="431" t="n">
        <v>0</v>
      </c>
      <c r="S13" s="431" t="n">
        <v>0</v>
      </c>
      <c r="T13" s="431" t="n">
        <v>0</v>
      </c>
      <c r="U13" s="431" t="n">
        <v>0</v>
      </c>
      <c r="AB13" s="335" t="inlineStr">
        <is>
          <t>Internal Smoke Mode</t>
        </is>
      </c>
    </row>
    <row r="14">
      <c r="B14" s="324" t="inlineStr">
        <is>
          <t>FAD</t>
        </is>
      </c>
      <c r="C14" s="265">
        <f>IFERROR(VLOOKUP($C$8,$C$26:$M$40,10,FALSE)," ")</f>
        <v/>
      </c>
      <c r="D14" s="325" t="n"/>
      <c r="F14" s="265" t="inlineStr">
        <is>
          <t>new rat</t>
        </is>
      </c>
      <c r="G14" s="425">
        <f>Calculation!B36</f>
        <v/>
      </c>
      <c r="J14" s="429">
        <f>'DATA TRANSFER'!F29</f>
        <v/>
      </c>
      <c r="K14" s="430">
        <f>C35</f>
        <v/>
      </c>
      <c r="L14" s="429" t="n">
        <v>1</v>
      </c>
      <c r="M14" s="429" t="n">
        <v>1</v>
      </c>
      <c r="N14" s="429" t="n">
        <v>1</v>
      </c>
      <c r="O14" s="429" t="n">
        <v>1</v>
      </c>
      <c r="P14" s="429" t="n">
        <v>0</v>
      </c>
      <c r="Q14" s="429" t="n">
        <v>1</v>
      </c>
      <c r="R14" s="431" t="n">
        <v>0</v>
      </c>
      <c r="S14" s="429" t="n">
        <v>1</v>
      </c>
      <c r="T14" s="429" t="n">
        <v>1</v>
      </c>
      <c r="U14" s="429" t="n">
        <v>1</v>
      </c>
      <c r="AB14" s="335" t="inlineStr">
        <is>
          <t>External Smoke Mode</t>
        </is>
      </c>
    </row>
    <row r="15">
      <c r="B15" s="324" t="inlineStr">
        <is>
          <t>RAD</t>
        </is>
      </c>
      <c r="C15" s="265">
        <f>IFERROR(VLOOKUP($C$8,$C$26:$M$40,11,FALSE)," ")</f>
        <v/>
      </c>
      <c r="D15" s="325" t="n"/>
      <c r="J15" s="429">
        <f>'DATA TRANSFER'!F31</f>
        <v/>
      </c>
      <c r="K15" s="430">
        <f>C37</f>
        <v/>
      </c>
      <c r="L15" s="429" t="n">
        <v>0</v>
      </c>
      <c r="M15" s="429" t="n">
        <v>0</v>
      </c>
      <c r="N15" s="429" t="n">
        <v>0</v>
      </c>
      <c r="O15" s="429" t="n">
        <v>0</v>
      </c>
      <c r="P15" s="429" t="n">
        <v>0</v>
      </c>
      <c r="Q15" s="429" t="n">
        <v>0</v>
      </c>
      <c r="R15" s="429" t="n">
        <v>0</v>
      </c>
      <c r="S15" s="429" t="n">
        <v>0</v>
      </c>
      <c r="T15" s="429" t="n">
        <v>1</v>
      </c>
      <c r="U15" s="429" t="n">
        <v>1</v>
      </c>
      <c r="AB15" s="335" t="inlineStr">
        <is>
          <t>Emergency Ventilation Mode</t>
        </is>
      </c>
    </row>
    <row r="16">
      <c r="B16" s="324" t="inlineStr">
        <is>
          <t xml:space="preserve">Cooling </t>
        </is>
      </c>
      <c r="D16" s="325" t="inlineStr">
        <is>
          <t>KW</t>
        </is>
      </c>
    </row>
    <row r="17">
      <c r="B17" s="324" t="n"/>
      <c r="C17" s="265">
        <f>C16*1000</f>
        <v/>
      </c>
      <c r="D17" s="325" t="n"/>
      <c r="J17" s="429" t="n"/>
      <c r="K17" s="428" t="inlineStr">
        <is>
          <t>Current Mode</t>
        </is>
      </c>
      <c r="L17" s="428" t="inlineStr">
        <is>
          <t>Compressor 1</t>
        </is>
      </c>
      <c r="M17" s="428" t="inlineStr">
        <is>
          <t>Compressor 2</t>
        </is>
      </c>
      <c r="N17" s="428" t="inlineStr">
        <is>
          <t>Compressor 3</t>
        </is>
      </c>
      <c r="O17" s="428" t="inlineStr">
        <is>
          <t>Compressor 4</t>
        </is>
      </c>
      <c r="P17" s="428">
        <f>P2</f>
        <v/>
      </c>
      <c r="Q17" s="428">
        <f>Q2</f>
        <v/>
      </c>
      <c r="R17" s="428">
        <f>R2</f>
        <v/>
      </c>
      <c r="S17" s="428">
        <f>S2</f>
        <v/>
      </c>
      <c r="T17" s="428" t="inlineStr">
        <is>
          <t>Condensor Fan 2</t>
        </is>
      </c>
      <c r="U17" s="428">
        <f>T2</f>
        <v/>
      </c>
      <c r="V17" s="428">
        <f>U2</f>
        <v/>
      </c>
    </row>
    <row r="18" ht="17.25" customHeight="1">
      <c r="B18" s="324" t="inlineStr">
        <is>
          <t>Fresh Air Temp (FAT)</t>
        </is>
      </c>
      <c r="C18" s="265">
        <f>'DATA TRANSFER'!F39</f>
        <v/>
      </c>
      <c r="D18" s="325" t="inlineStr">
        <is>
          <t>oc</t>
        </is>
      </c>
      <c r="J18" s="429">
        <f>VLOOKUP(1,J3:K15,1,FALSE)</f>
        <v/>
      </c>
      <c r="K18" s="429">
        <f>VLOOKUP(1,J3:P15,2,FALSE)</f>
        <v/>
      </c>
      <c r="L18" s="429">
        <f>VLOOKUP($K$18,$K$3:$O$15,2,FALSE)</f>
        <v/>
      </c>
      <c r="M18" s="429">
        <f>VLOOKUP($K$18,$K$3:$O$15,3,FALSE)</f>
        <v/>
      </c>
      <c r="N18" s="429">
        <f>VLOOKUP($K$18,$K$3:$O$15,4,FALSE)</f>
        <v/>
      </c>
      <c r="O18" s="429">
        <f>VLOOKUP($K$18,$K$3:$O$15,5,FALSE)</f>
        <v/>
      </c>
      <c r="P18" s="429">
        <f>VLOOKUP($K$18,$K$3:$U$15,6,FALSE)</f>
        <v/>
      </c>
      <c r="Q18" s="429">
        <f>VLOOKUP($K$18,$K$3:$U$15,7,FALSE)</f>
        <v/>
      </c>
      <c r="R18" s="429">
        <f>VLOOKUP($K$18,$K$3:$U$15,8,FALSE)</f>
        <v/>
      </c>
      <c r="S18" s="429">
        <f>VLOOKUP($K$18,$K$3:$U$15,9,FALSE)</f>
        <v/>
      </c>
      <c r="T18" s="429">
        <f>S18</f>
        <v/>
      </c>
      <c r="U18" s="429">
        <f>VLOOKUP($K$18,$K$3:$U$15,10,FALSE)</f>
        <v/>
      </c>
      <c r="V18" s="429">
        <f>VLOOKUP($K$18,$K$3:$U$15,11,FALSE)</f>
        <v/>
      </c>
    </row>
    <row r="19">
      <c r="B19" s="324">
        <f>Calculation!B36+273.15</f>
        <v/>
      </c>
      <c r="C19" s="265">
        <f>Calculation!B35+273.15</f>
        <v/>
      </c>
      <c r="D19" s="325" t="inlineStr">
        <is>
          <t>K</t>
        </is>
      </c>
      <c r="S19" s="335">
        <f>VLOOKUP($K$18,$K$3:$U$15,9,FALSE)</f>
        <v/>
      </c>
    </row>
    <row r="20">
      <c r="B20" s="324" t="inlineStr">
        <is>
          <t>Time Since HVAC ON</t>
        </is>
      </c>
      <c r="C20" s="819">
        <f>Calculation!B19</f>
        <v/>
      </c>
      <c r="D20" s="325" t="inlineStr">
        <is>
          <t>min</t>
        </is>
      </c>
    </row>
    <row r="21" ht="15.75" customHeight="1" thickBot="1">
      <c r="B21" s="326" t="inlineStr">
        <is>
          <t>Relative Humiditty</t>
        </is>
      </c>
      <c r="C21" s="327">
        <f>'DATA TRANSFER'!F43</f>
        <v/>
      </c>
      <c r="D21" s="328" t="n"/>
    </row>
    <row r="25" customFormat="1" s="720">
      <c r="A25" s="720" t="inlineStr">
        <is>
          <t>Sr No</t>
        </is>
      </c>
      <c r="B25" s="720" t="inlineStr">
        <is>
          <t>Status of Operation</t>
        </is>
      </c>
      <c r="C25" s="720" t="inlineStr">
        <is>
          <t>Status</t>
        </is>
      </c>
      <c r="D25" s="720" t="inlineStr">
        <is>
          <t>Heater</t>
        </is>
      </c>
      <c r="E25" s="720" t="inlineStr">
        <is>
          <t>Condensor Fan</t>
        </is>
      </c>
      <c r="F25" s="720" t="inlineStr">
        <is>
          <t>Evaporator Fan 1</t>
        </is>
      </c>
      <c r="G25" s="720" t="inlineStr">
        <is>
          <t>Evaporator Fan 2</t>
        </is>
      </c>
      <c r="H25" s="720" t="inlineStr">
        <is>
          <t>Compressor 1</t>
        </is>
      </c>
      <c r="I25" s="720" t="inlineStr">
        <is>
          <t>Compressor 2</t>
        </is>
      </c>
      <c r="J25" s="720" t="inlineStr">
        <is>
          <t>Compressor 3</t>
        </is>
      </c>
      <c r="K25" s="720" t="inlineStr">
        <is>
          <t>Compressor 4</t>
        </is>
      </c>
      <c r="L25" s="720" t="inlineStr">
        <is>
          <t>FAD</t>
        </is>
      </c>
      <c r="M25" s="720" t="inlineStr">
        <is>
          <t>RAD</t>
        </is>
      </c>
      <c r="N25" s="720" t="inlineStr">
        <is>
          <t>Remarks</t>
        </is>
      </c>
    </row>
    <row r="26">
      <c r="A26" s="265" t="n">
        <v>1</v>
      </c>
      <c r="B26" s="265" t="n">
        <v>0</v>
      </c>
      <c r="C26" s="321" t="inlineStr">
        <is>
          <t>Preconditioning: Preheating</t>
        </is>
      </c>
      <c r="D26" s="330" t="n">
        <v>1</v>
      </c>
      <c r="E26" s="330" t="n">
        <v>0</v>
      </c>
      <c r="F26" s="330" t="n">
        <v>1</v>
      </c>
      <c r="G26" s="330" t="n">
        <v>1</v>
      </c>
      <c r="H26" s="330" t="n">
        <v>0</v>
      </c>
      <c r="I26" s="330" t="n">
        <v>0</v>
      </c>
      <c r="J26" s="330" t="n">
        <v>0</v>
      </c>
      <c r="K26" s="330" t="n">
        <v>0</v>
      </c>
      <c r="L26" s="330" t="n">
        <v>0</v>
      </c>
      <c r="M26" s="330">
        <f>Calculation!$B$52</f>
        <v/>
      </c>
      <c r="N26" s="330" t="inlineStr">
        <is>
          <t>pre-Heating operation</t>
        </is>
      </c>
    </row>
    <row r="27">
      <c r="A27" s="265" t="n">
        <v>2</v>
      </c>
      <c r="B27" s="265">
        <f>IF(AND(C19-C3&gt;3,C7&lt;=10%,C21&lt;=60,Calculation!B19&lt;60,B32=0),1,0)</f>
        <v/>
      </c>
      <c r="C27" s="321" t="inlineStr">
        <is>
          <t>Preconditioning: Precooling</t>
        </is>
      </c>
      <c r="D27" s="330" t="n">
        <v>0</v>
      </c>
      <c r="E27" s="330" t="n">
        <v>1</v>
      </c>
      <c r="F27" s="330" t="n">
        <v>1</v>
      </c>
      <c r="G27" s="330" t="n">
        <v>1</v>
      </c>
      <c r="H27" s="330" t="n">
        <v>1</v>
      </c>
      <c r="I27" s="330" t="n">
        <v>1</v>
      </c>
      <c r="J27" s="330" t="n">
        <v>1</v>
      </c>
      <c r="K27" s="330" t="n">
        <v>1</v>
      </c>
      <c r="L27" s="330" t="n">
        <v>0</v>
      </c>
      <c r="M27" s="330" t="n">
        <v>1</v>
      </c>
      <c r="N27" s="330" t="inlineStr">
        <is>
          <t>pre-Cooling operation</t>
        </is>
      </c>
    </row>
    <row r="28">
      <c r="A28" s="265" t="n">
        <v>3</v>
      </c>
      <c r="B28" s="265" t="n">
        <v>0</v>
      </c>
      <c r="C28" s="321" t="inlineStr">
        <is>
          <t>Cooling Mode</t>
        </is>
      </c>
      <c r="D28" s="330" t="n">
        <v>0</v>
      </c>
      <c r="E28" s="330" t="n">
        <v>1</v>
      </c>
      <c r="F28" s="330" t="n">
        <v>1</v>
      </c>
      <c r="G28" s="330" t="n">
        <v>1</v>
      </c>
      <c r="H28" s="330" t="n">
        <v>1</v>
      </c>
      <c r="I28" s="330" t="n">
        <v>1</v>
      </c>
      <c r="J28" s="330" t="n">
        <v>1</v>
      </c>
      <c r="K28" s="330" t="n">
        <v>1</v>
      </c>
      <c r="L28" s="330" t="n">
        <v>1</v>
      </c>
      <c r="M28" s="330" t="n">
        <v>1</v>
      </c>
      <c r="N28" s="330" t="inlineStr">
        <is>
          <t>Cooling demand dependent</t>
        </is>
      </c>
    </row>
    <row r="29">
      <c r="A29" s="265" t="n">
        <v>4</v>
      </c>
      <c r="B29" s="265">
        <f t="array" ref="B29">IF(AND(B26:B27=0,B32=0),IF(C18&lt;G5,1,0),0)</f>
        <v/>
      </c>
      <c r="C29" s="321" t="inlineStr">
        <is>
          <t>Standard Automatic Cooling State 1 (Cooling Circuits Disabled)</t>
        </is>
      </c>
      <c r="D29" s="265" t="n">
        <v>0</v>
      </c>
      <c r="E29" s="265" t="n">
        <v>0</v>
      </c>
      <c r="F29" s="265" t="n">
        <v>1</v>
      </c>
      <c r="G29" s="265" t="n">
        <v>1</v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265" t="n">
        <v>0</v>
      </c>
      <c r="N29" s="330" t="n"/>
    </row>
    <row r="30">
      <c r="A30" s="265" t="n">
        <v>5</v>
      </c>
      <c r="B30" s="265">
        <f>IF(AND(H5&lt;=H10,H10&lt;H7,B32=0),1,0)</f>
        <v/>
      </c>
      <c r="C30" s="321" t="inlineStr">
        <is>
          <t>Standard Automatic Cooling State 2 (Up to 50% Modulated Cooling)</t>
        </is>
      </c>
      <c r="D30" s="330">
        <f>IF(J15=0,IF(AND(Calculation!B33&gt;Calculation!B35,C3-C19&gt;3,C7&lt;=10%,C21&lt;=60,C20&lt;=60),1,0))</f>
        <v/>
      </c>
      <c r="E30" s="269" t="n">
        <v>1</v>
      </c>
      <c r="F30" s="330" t="n">
        <v>1</v>
      </c>
      <c r="G30" s="330" t="n">
        <v>1</v>
      </c>
      <c r="H30" s="330" t="n">
        <v>1</v>
      </c>
      <c r="I30" s="330" t="n">
        <v>1</v>
      </c>
      <c r="J30" s="330" t="n">
        <v>0</v>
      </c>
      <c r="K30" s="330" t="n">
        <v>0</v>
      </c>
      <c r="L30" s="333" t="n"/>
      <c r="M30" s="330" t="n"/>
      <c r="N30" s="330" t="n"/>
    </row>
    <row r="31">
      <c r="A31" s="265" t="n">
        <v>6</v>
      </c>
      <c r="B31" s="265">
        <f t="array" ref="B31">IF(AND(B26:B27=0,B32=0,B34=0,B35=0),IF(C18&gt;=G7,1,0),0)</f>
        <v/>
      </c>
      <c r="C31" s="321" t="inlineStr">
        <is>
          <t>Standard Automatic Cooling State 3 (Up to 100% Modulated Cooling)</t>
        </is>
      </c>
      <c r="D31" s="330" t="n">
        <v>0</v>
      </c>
      <c r="E31" s="330" t="n">
        <v>1</v>
      </c>
      <c r="F31" s="330" t="n">
        <v>1</v>
      </c>
      <c r="G31" s="330" t="n">
        <v>1</v>
      </c>
      <c r="H31" s="330" t="n">
        <v>1</v>
      </c>
      <c r="I31" s="330" t="n">
        <v>1</v>
      </c>
      <c r="J31" s="330" t="n">
        <v>1</v>
      </c>
      <c r="K31" s="330" t="n">
        <v>1</v>
      </c>
      <c r="L31" s="333" t="n"/>
      <c r="M31" s="330" t="n"/>
      <c r="N31" s="330" t="n"/>
    </row>
    <row r="32" ht="19.5" customHeight="1">
      <c r="A32" s="265" t="n">
        <v>7</v>
      </c>
      <c r="B32" s="265">
        <f>IF(AND(B26=0),Calculation!B67,0)</f>
        <v/>
      </c>
      <c r="C32" s="321" t="inlineStr">
        <is>
          <t>Ventilation Mode</t>
        </is>
      </c>
      <c r="D32" s="330" t="n">
        <v>0</v>
      </c>
      <c r="E32" s="330" t="n">
        <v>0</v>
      </c>
      <c r="F32" s="330" t="n">
        <v>1</v>
      </c>
      <c r="G32" s="330" t="n">
        <v>1</v>
      </c>
      <c r="H32" s="330" t="n">
        <v>0</v>
      </c>
      <c r="I32" s="330" t="n">
        <v>0</v>
      </c>
      <c r="J32" s="330" t="n">
        <v>0</v>
      </c>
      <c r="K32" s="330" t="n">
        <v>0</v>
      </c>
      <c r="L32" s="330" t="n">
        <v>0</v>
      </c>
      <c r="M32" s="330" t="n">
        <v>1</v>
      </c>
      <c r="N32" s="330" t="inlineStr">
        <is>
          <t>Fresh air intake closed</t>
        </is>
      </c>
    </row>
    <row r="33" ht="19.5" customHeight="1">
      <c r="A33" s="265" t="n">
        <v>8</v>
      </c>
      <c r="B33" s="265">
        <f>IF(Calculation!B33-Calculation!B35&gt;5,1,0)</f>
        <v/>
      </c>
      <c r="C33" s="321" t="inlineStr">
        <is>
          <t>Heating Mode</t>
        </is>
      </c>
      <c r="D33" s="330" t="n">
        <v>1</v>
      </c>
      <c r="E33" s="330" t="n">
        <v>0</v>
      </c>
      <c r="F33" s="330" t="n">
        <v>1</v>
      </c>
      <c r="G33" s="330" t="n">
        <v>1</v>
      </c>
      <c r="H33" s="330" t="n">
        <v>0</v>
      </c>
      <c r="I33" s="330" t="n">
        <v>0</v>
      </c>
      <c r="J33" s="330" t="n">
        <v>0</v>
      </c>
      <c r="K33" s="330" t="n">
        <v>0</v>
      </c>
      <c r="L33" s="330" t="inlineStr">
        <is>
          <t>0/1</t>
        </is>
      </c>
      <c r="M33" s="330" t="n">
        <v>1</v>
      </c>
      <c r="N33" s="330" t="inlineStr">
        <is>
          <t>Cooling/dehumidification with possible reheat</t>
        </is>
      </c>
    </row>
    <row r="34" ht="20.25" customHeight="1">
      <c r="A34" s="265" t="n">
        <v>9</v>
      </c>
      <c r="B34" s="265" t="n">
        <v>0</v>
      </c>
      <c r="C34" s="321" t="inlineStr">
        <is>
          <t>Internal Smoke Mode</t>
        </is>
      </c>
      <c r="D34" s="330" t="n">
        <v>0</v>
      </c>
      <c r="E34" s="330" t="n">
        <v>0</v>
      </c>
      <c r="F34" s="330" t="n">
        <v>1</v>
      </c>
      <c r="G34" s="330" t="n">
        <v>1</v>
      </c>
      <c r="H34" s="330" t="n">
        <v>0</v>
      </c>
      <c r="I34" s="330" t="n">
        <v>0</v>
      </c>
      <c r="J34" s="330" t="n">
        <v>0</v>
      </c>
      <c r="K34" s="330" t="n">
        <v>0</v>
      </c>
      <c r="L34" s="330" t="n">
        <v>1</v>
      </c>
      <c r="M34" s="330" t="n">
        <v>0</v>
      </c>
      <c r="N34" s="330" t="inlineStr">
        <is>
          <t>Maximum ventilation / smoke removal</t>
        </is>
      </c>
    </row>
    <row r="35">
      <c r="A35" s="265" t="n">
        <v>10</v>
      </c>
      <c r="B35" s="265" t="n">
        <v>0</v>
      </c>
      <c r="C35" s="321" t="inlineStr">
        <is>
          <t>External Smoke Mode</t>
        </is>
      </c>
      <c r="D35" s="330" t="n">
        <v>0</v>
      </c>
      <c r="E35" s="330" t="n">
        <v>0</v>
      </c>
      <c r="F35" s="330" t="n">
        <v>1</v>
      </c>
      <c r="G35" s="330" t="n">
        <v>1</v>
      </c>
      <c r="H35" s="330" t="n">
        <v>0</v>
      </c>
      <c r="L35" s="265" t="n">
        <v>0</v>
      </c>
      <c r="M35" s="265" t="n">
        <v>1</v>
      </c>
    </row>
    <row r="36">
      <c r="A36" s="265" t="n">
        <v>11</v>
      </c>
      <c r="C36" s="321" t="inlineStr">
        <is>
          <t>Dehumidification Mode</t>
        </is>
      </c>
      <c r="D36" s="330" t="inlineStr">
        <is>
          <t>0/1</t>
        </is>
      </c>
      <c r="E36" s="330" t="n">
        <v>1</v>
      </c>
      <c r="F36" s="330" t="n">
        <v>1</v>
      </c>
      <c r="G36" s="330" t="n">
        <v>1</v>
      </c>
      <c r="H36" s="330" t="n">
        <v>1</v>
      </c>
      <c r="L36" s="265" t="n">
        <v>0</v>
      </c>
      <c r="M36" s="265" t="n">
        <v>1</v>
      </c>
    </row>
    <row r="37">
      <c r="A37" s="265" t="n">
        <v>12</v>
      </c>
      <c r="C37" s="321" t="inlineStr">
        <is>
          <t>Emergency Ventilation Mode</t>
        </is>
      </c>
      <c r="D37" s="330" t="n">
        <v>0</v>
      </c>
      <c r="E37" s="330" t="inlineStr">
        <is>
          <t>0/1</t>
        </is>
      </c>
      <c r="F37" s="330" t="n">
        <v>1</v>
      </c>
      <c r="G37" s="330" t="n">
        <v>1</v>
      </c>
      <c r="H37" s="330" t="n">
        <v>0</v>
      </c>
      <c r="L37" s="265" t="n">
        <v>1</v>
      </c>
      <c r="M37" s="265" t="n">
        <v>1</v>
      </c>
    </row>
    <row r="38">
      <c r="A38" s="265" t="n">
        <v>13</v>
      </c>
      <c r="F38" s="265">
        <f>'DATA TRANSFER'!F38</f>
        <v/>
      </c>
    </row>
    <row r="39">
      <c r="A39" s="265" t="n">
        <v>14</v>
      </c>
      <c r="G39" s="265">
        <f>'DATA TRANSFER'!G38</f>
        <v/>
      </c>
    </row>
    <row r="40">
      <c r="A40" s="265" t="n">
        <v>15</v>
      </c>
      <c r="E40" s="265">
        <f>IF(OR(E26:E36),1,0)</f>
        <v/>
      </c>
    </row>
    <row r="41">
      <c r="C41" s="269" t="n"/>
      <c r="D41" s="331" t="n"/>
      <c r="E41" s="269" t="n"/>
      <c r="F41" s="269" t="n"/>
      <c r="G41" s="269" t="n"/>
      <c r="H41" s="269" t="n"/>
      <c r="I41" s="269" t="n"/>
      <c r="J41" s="269" t="n"/>
      <c r="K41" s="269" t="n"/>
      <c r="L41" s="331" t="n"/>
      <c r="M41" s="269" t="n"/>
      <c r="N41" s="269" t="n"/>
    </row>
    <row r="42">
      <c r="B42" s="720" t="inlineStr">
        <is>
          <t>HVAC Staggered Start</t>
        </is>
      </c>
    </row>
    <row r="43">
      <c r="B43" s="265" t="inlineStr">
        <is>
          <t>Compressor 1</t>
        </is>
      </c>
      <c r="C43" s="265">
        <f>IF('DATA TRANSFER'!CP23=1,1,0)</f>
        <v/>
      </c>
    </row>
    <row r="44">
      <c r="B44" s="265" t="inlineStr">
        <is>
          <t>Time Elapsed since Compressor 1 start</t>
        </is>
      </c>
      <c r="C44" s="265">
        <f>'DATA TRANSFER'!Q587</f>
        <v/>
      </c>
    </row>
    <row r="45">
      <c r="B45" s="265" t="inlineStr">
        <is>
          <t>Compressor 2</t>
        </is>
      </c>
      <c r="C45" s="265">
        <f>IF(AND(Calculation!B24=1,'Mode Logic'!C43=1,'Mode Logic'!C44&gt;=1),1,0)</f>
        <v/>
      </c>
      <c r="D45" s="333" t="n"/>
      <c r="E45" s="330">
        <f>Calculation!B19</f>
        <v/>
      </c>
      <c r="F45" s="330" t="n"/>
      <c r="G45" s="330" t="n"/>
      <c r="H45" s="330" t="n"/>
      <c r="I45" s="330" t="n"/>
      <c r="J45" s="330" t="n"/>
      <c r="K45" s="330" t="n"/>
      <c r="L45" s="333" t="n"/>
      <c r="M45" s="330" t="n"/>
      <c r="N45" s="330" t="n"/>
    </row>
    <row r="46">
      <c r="D46" s="333" t="n"/>
      <c r="E46" s="330" t="n"/>
      <c r="F46" s="330" t="n"/>
      <c r="G46" s="330" t="n"/>
      <c r="H46" s="330" t="n"/>
      <c r="I46" s="330" t="n"/>
      <c r="J46" s="330" t="n"/>
      <c r="K46" s="330" t="n"/>
      <c r="L46" s="333" t="n"/>
      <c r="M46" s="330" t="n"/>
      <c r="N46" s="330" t="n"/>
    </row>
    <row r="47">
      <c r="B47" s="265" t="inlineStr">
        <is>
          <t>Compressor 3</t>
        </is>
      </c>
      <c r="C47" s="332" t="n"/>
      <c r="D47" s="333" t="n"/>
      <c r="E47" s="330" t="n"/>
      <c r="F47" s="330" t="n"/>
      <c r="G47" s="330" t="n"/>
      <c r="H47" s="330" t="n"/>
      <c r="I47" s="330" t="n"/>
      <c r="J47" s="330" t="n"/>
      <c r="K47" s="330" t="n"/>
      <c r="L47" s="331" t="n"/>
      <c r="M47" s="330" t="n"/>
    </row>
    <row r="48">
      <c r="D48" s="333" t="n"/>
      <c r="E48" s="330" t="n"/>
      <c r="F48" s="330" t="n"/>
      <c r="G48" s="330" t="n"/>
      <c r="H48" s="330" t="n"/>
      <c r="I48" s="330" t="n"/>
      <c r="J48" s="330" t="n"/>
      <c r="K48" s="330" t="n"/>
      <c r="L48" s="331" t="n"/>
      <c r="M48" s="330" t="n"/>
    </row>
    <row r="49">
      <c r="B49" s="265" t="inlineStr">
        <is>
          <t>Compressor 4</t>
        </is>
      </c>
      <c r="C49" s="332" t="n"/>
      <c r="D49" s="333" t="n"/>
      <c r="E49" s="330" t="n"/>
      <c r="F49" s="330" t="n"/>
      <c r="G49" s="330" t="n"/>
      <c r="H49" s="330" t="n"/>
      <c r="I49" s="330" t="n"/>
      <c r="J49" s="330" t="n"/>
      <c r="K49" s="330" t="n"/>
      <c r="L49" s="333" t="n"/>
      <c r="M49" s="330" t="n"/>
    </row>
    <row r="50">
      <c r="C50" s="332" t="n"/>
      <c r="D50" s="333" t="n"/>
      <c r="E50" s="330" t="n"/>
      <c r="F50" s="269" t="n"/>
      <c r="G50" s="269" t="n"/>
      <c r="H50" s="330" t="n"/>
      <c r="I50" s="330" t="n"/>
      <c r="J50" s="330" t="n"/>
      <c r="K50" s="330" t="n"/>
      <c r="L50" s="331" t="n"/>
      <c r="M50" s="330" t="n"/>
    </row>
    <row r="376">
      <c r="F376" s="265">
        <f>'DATA TRANSFER'!F39</f>
        <v/>
      </c>
    </row>
    <row r="584">
      <c r="Q584" s="335">
        <f>IF(AND('DATA TRANSFER'!Q584-Calculation!B33&gt;=-0.5,'DATA TRANSFER'!Q584-Calculation!B33&lt;0.5,J13=0,J14=0),1,0)</f>
        <v/>
      </c>
    </row>
    <row r="587">
      <c r="R587" s="335">
        <f>'DATA TRANSFER'!R590</f>
        <v/>
      </c>
    </row>
    <row r="588">
      <c r="R588" s="335">
        <f>'DATA TRANSFER'!Q587</f>
        <v/>
      </c>
    </row>
  </sheetData>
  <mergeCells count="3">
    <mergeCell ref="B1:D1"/>
    <mergeCell ref="J1:L1"/>
    <mergeCell ref="B42:C42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topLeftCell="B1" zoomScale="70" zoomScaleNormal="70" workbookViewId="0">
      <selection activeCell="B12" sqref="B12:B20"/>
    </sheetView>
  </sheetViews>
  <sheetFormatPr baseColWidth="8" defaultColWidth="9.140625" defaultRowHeight="15.75"/>
  <cols>
    <col width="42.42578125" customWidth="1" style="267" min="1" max="1"/>
    <col width="61.7109375" customWidth="1" style="267" min="2" max="2"/>
    <col width="23" customWidth="1" style="267" min="3" max="3"/>
    <col width="36.85546875" customWidth="1" style="267" min="4" max="4"/>
    <col width="24.28515625" customWidth="1" style="267" min="5" max="5"/>
    <col width="21" customWidth="1" style="267" min="6" max="6"/>
    <col width="13.140625" customWidth="1" style="267" min="7" max="7"/>
    <col width="14" customWidth="1" style="267" min="8" max="8"/>
    <col width="20" customWidth="1" style="267" min="9" max="9"/>
    <col width="17.85546875" customWidth="1" style="267" min="10" max="10"/>
    <col width="28.42578125" customWidth="1" style="267" min="11" max="11"/>
    <col width="9.140625" customWidth="1" style="267" min="12" max="16384"/>
  </cols>
  <sheetData>
    <row r="1" ht="66" customHeight="1">
      <c r="A1" s="270" t="inlineStr">
        <is>
          <t>MODE</t>
        </is>
      </c>
      <c r="B1" s="270" t="inlineStr">
        <is>
          <t>Passenger Load</t>
        </is>
      </c>
      <c r="C1" s="270" t="inlineStr">
        <is>
          <t>Season</t>
        </is>
      </c>
      <c r="D1" s="270" t="inlineStr">
        <is>
          <t>Time</t>
        </is>
      </c>
      <c r="E1" s="270" t="inlineStr">
        <is>
          <t>Ambient Temp Min</t>
        </is>
      </c>
      <c r="F1" s="270" t="inlineStr">
        <is>
          <t>Ambient Temp Max</t>
        </is>
      </c>
      <c r="G1" s="270" t="inlineStr">
        <is>
          <t>Set Point Min</t>
        </is>
      </c>
      <c r="H1" s="270" t="inlineStr">
        <is>
          <t>Set Point Max</t>
        </is>
      </c>
      <c r="I1" s="270" t="inlineStr">
        <is>
          <t>RH Min</t>
        </is>
      </c>
      <c r="J1" s="270" t="inlineStr">
        <is>
          <t>RH Max</t>
        </is>
      </c>
      <c r="K1" s="270" t="inlineStr">
        <is>
          <t>Return Air Temperature</t>
        </is>
      </c>
    </row>
    <row r="2" ht="31.5" customHeight="1">
      <c r="A2" s="724" t="inlineStr">
        <is>
          <t>Fresh Air Ventilation</t>
        </is>
      </c>
      <c r="B2" s="724" t="inlineStr">
        <is>
          <t>AW0</t>
        </is>
      </c>
      <c r="C2" s="724" t="inlineStr">
        <is>
          <t>Summer, Rainy, Winter</t>
        </is>
      </c>
      <c r="D2" s="724" t="inlineStr">
        <is>
          <t>Morning, Afternoon, Night</t>
        </is>
      </c>
      <c r="E2" s="724" t="n">
        <v>15</v>
      </c>
      <c r="F2" s="724" t="n">
        <v>50</v>
      </c>
      <c r="G2" s="724" t="n">
        <v>18</v>
      </c>
      <c r="H2" s="724" t="n">
        <v>34</v>
      </c>
      <c r="I2" s="268" t="n">
        <v>0.4</v>
      </c>
      <c r="J2" s="268" t="n">
        <v>0.6</v>
      </c>
      <c r="K2" s="724" t="inlineStr">
        <is>
          <t>Initial = Ambient, Final = Set Point</t>
        </is>
      </c>
    </row>
    <row r="3" ht="17.25" customHeight="1">
      <c r="A3" s="724" t="inlineStr">
        <is>
          <t>COOL 1</t>
        </is>
      </c>
      <c r="B3" s="724" t="inlineStr">
        <is>
          <t>AW0 Laod 0, AW1 Load 50 ,AW2 Load 300, AW3 Load 380</t>
        </is>
      </c>
      <c r="C3" s="724" t="inlineStr">
        <is>
          <t>Summer</t>
        </is>
      </c>
      <c r="D3" s="724" t="inlineStr">
        <is>
          <t>Morning</t>
        </is>
      </c>
      <c r="E3" s="724" t="n">
        <v>25</v>
      </c>
      <c r="F3" s="724" t="n">
        <v>36</v>
      </c>
      <c r="G3" s="724" t="n">
        <v>18</v>
      </c>
      <c r="H3" s="724" t="n">
        <v>34</v>
      </c>
      <c r="I3" s="268" t="n">
        <v>0.4</v>
      </c>
      <c r="J3" s="268" t="n">
        <v>0.6</v>
      </c>
      <c r="K3" s="724" t="inlineStr">
        <is>
          <t>RAT &gt; Set Point</t>
        </is>
      </c>
    </row>
    <row r="4" ht="24.75" customHeight="1">
      <c r="A4" s="800" t="n"/>
      <c r="B4" s="800" t="n"/>
      <c r="C4" s="800" t="n"/>
      <c r="D4" s="724" t="inlineStr">
        <is>
          <t>Afternoon</t>
        </is>
      </c>
      <c r="E4" s="724" t="n">
        <v>36</v>
      </c>
      <c r="F4" s="724" t="n">
        <v>42.5</v>
      </c>
      <c r="G4" s="724" t="n">
        <v>18</v>
      </c>
      <c r="H4" s="724" t="n">
        <v>34</v>
      </c>
      <c r="I4" s="268" t="n">
        <v>0.4</v>
      </c>
      <c r="J4" s="268" t="n">
        <v>0.6</v>
      </c>
      <c r="K4" s="724" t="inlineStr">
        <is>
          <t>RAT &gt; Set Point</t>
        </is>
      </c>
    </row>
    <row r="5" ht="20.25" customHeight="1">
      <c r="A5" s="800" t="n"/>
      <c r="B5" s="800" t="n"/>
      <c r="C5" s="168" t="n"/>
      <c r="D5" s="724" t="inlineStr">
        <is>
          <t>Night</t>
        </is>
      </c>
      <c r="E5" s="724" t="n">
        <v>25</v>
      </c>
      <c r="F5" s="724" t="n">
        <v>32</v>
      </c>
      <c r="G5" s="724" t="n">
        <v>18</v>
      </c>
      <c r="H5" s="724" t="n">
        <v>34</v>
      </c>
      <c r="I5" s="268" t="n">
        <v>0.4</v>
      </c>
      <c r="J5" s="268" t="n">
        <v>0.6</v>
      </c>
      <c r="K5" s="724" t="inlineStr">
        <is>
          <t>RAT &gt; Set Point</t>
        </is>
      </c>
    </row>
    <row r="6" ht="17.25" customHeight="1">
      <c r="A6" s="800" t="n"/>
      <c r="B6" s="800" t="n"/>
      <c r="C6" s="724" t="inlineStr">
        <is>
          <t>Rainy</t>
        </is>
      </c>
      <c r="D6" s="724" t="inlineStr">
        <is>
          <t>Morning</t>
        </is>
      </c>
      <c r="E6" s="724" t="n">
        <v>25</v>
      </c>
      <c r="F6" s="724" t="n">
        <v>30</v>
      </c>
      <c r="G6" s="724" t="n">
        <v>18</v>
      </c>
      <c r="H6" s="724" t="n">
        <v>34</v>
      </c>
      <c r="I6" s="268" t="n">
        <v>0.5</v>
      </c>
      <c r="J6" s="268" t="n">
        <v>0.75</v>
      </c>
      <c r="K6" s="724" t="inlineStr">
        <is>
          <t>RAT &gt; Set Point</t>
        </is>
      </c>
    </row>
    <row r="7" ht="21.75" customHeight="1">
      <c r="A7" s="800" t="n"/>
      <c r="B7" s="800" t="n"/>
      <c r="C7" s="800" t="n"/>
      <c r="D7" s="724" t="inlineStr">
        <is>
          <t>Afternoon</t>
        </is>
      </c>
      <c r="E7" s="724" t="n">
        <v>30</v>
      </c>
      <c r="F7" s="724" t="n">
        <v>33</v>
      </c>
      <c r="G7" s="724" t="n">
        <v>18</v>
      </c>
      <c r="H7" s="724" t="n">
        <v>34</v>
      </c>
      <c r="I7" s="268" t="n">
        <v>0.5</v>
      </c>
      <c r="J7" s="268" t="n">
        <v>0.75</v>
      </c>
      <c r="K7" s="724" t="inlineStr">
        <is>
          <t>RAT &gt; Set Point</t>
        </is>
      </c>
    </row>
    <row r="8" ht="20.25" customHeight="1">
      <c r="A8" s="800" t="n"/>
      <c r="B8" s="800" t="n"/>
      <c r="C8" s="168" t="n"/>
      <c r="D8" s="724" t="inlineStr">
        <is>
          <t>Night</t>
        </is>
      </c>
      <c r="E8" s="724" t="n">
        <v>25</v>
      </c>
      <c r="F8" s="724" t="n">
        <v>28</v>
      </c>
      <c r="G8" s="724" t="n">
        <v>18</v>
      </c>
      <c r="H8" s="724" t="n">
        <v>34</v>
      </c>
      <c r="I8" s="268" t="n">
        <v>0.5</v>
      </c>
      <c r="J8" s="268" t="n">
        <v>0.75</v>
      </c>
      <c r="K8" s="724" t="inlineStr">
        <is>
          <t>RAT &gt; Set Point</t>
        </is>
      </c>
    </row>
    <row r="9" ht="23.25" customHeight="1">
      <c r="A9" s="800" t="n"/>
      <c r="B9" s="800" t="n"/>
      <c r="C9" s="724" t="inlineStr">
        <is>
          <t>Winter</t>
        </is>
      </c>
      <c r="D9" s="724" t="inlineStr">
        <is>
          <t>Morning</t>
        </is>
      </c>
      <c r="E9" s="724" t="n">
        <v>4</v>
      </c>
      <c r="F9" s="724" t="n">
        <v>18</v>
      </c>
      <c r="G9" s="724" t="n">
        <v>18</v>
      </c>
      <c r="H9" s="724" t="n">
        <v>34</v>
      </c>
      <c r="I9" s="268" t="n">
        <v>0.3</v>
      </c>
      <c r="J9" s="268" t="n">
        <v>0.6</v>
      </c>
      <c r="K9" s="724" t="inlineStr">
        <is>
          <t>RAT &gt; Set Point</t>
        </is>
      </c>
    </row>
    <row r="10" ht="18.75" customHeight="1">
      <c r="A10" s="800" t="n"/>
      <c r="B10" s="800" t="n"/>
      <c r="C10" s="800" t="n"/>
      <c r="D10" s="724" t="inlineStr">
        <is>
          <t>Afternoon</t>
        </is>
      </c>
      <c r="E10" s="724" t="n">
        <v>18</v>
      </c>
      <c r="F10" s="724" t="n">
        <v>28</v>
      </c>
      <c r="G10" s="724" t="n">
        <v>18</v>
      </c>
      <c r="H10" s="724" t="n">
        <v>34</v>
      </c>
      <c r="I10" s="268" t="n">
        <v>0.3</v>
      </c>
      <c r="J10" s="268" t="n">
        <v>0.6</v>
      </c>
      <c r="K10" s="724" t="inlineStr">
        <is>
          <t>RAT &gt; Set Point</t>
        </is>
      </c>
    </row>
    <row r="11">
      <c r="A11" s="168" t="n"/>
      <c r="B11" s="168" t="n"/>
      <c r="C11" s="168" t="n"/>
      <c r="D11" s="724" t="inlineStr">
        <is>
          <t>Night</t>
        </is>
      </c>
      <c r="E11" s="724" t="n">
        <v>4</v>
      </c>
      <c r="F11" s="724" t="n">
        <v>15</v>
      </c>
      <c r="G11" s="724" t="n">
        <v>18</v>
      </c>
      <c r="H11" s="724" t="n">
        <v>34</v>
      </c>
      <c r="I11" s="268" t="n">
        <v>0.3</v>
      </c>
      <c r="J11" s="268" t="n">
        <v>0.6</v>
      </c>
      <c r="K11" s="724" t="inlineStr">
        <is>
          <t>RAT &gt; Set Point</t>
        </is>
      </c>
    </row>
    <row r="12" ht="20.25" customHeight="1">
      <c r="A12" s="724" t="inlineStr">
        <is>
          <t>COOL 2</t>
        </is>
      </c>
      <c r="B12" s="724" t="inlineStr">
        <is>
          <t>AW0 Laod 0, AW1 Load 50 ,AW2 Load 300, AW3 Load 380</t>
        </is>
      </c>
      <c r="C12" s="724" t="inlineStr">
        <is>
          <t>Summer</t>
        </is>
      </c>
      <c r="D12" s="724" t="inlineStr">
        <is>
          <t>Morning</t>
        </is>
      </c>
      <c r="E12" s="724" t="n">
        <v>25</v>
      </c>
      <c r="F12" s="724" t="n">
        <v>36</v>
      </c>
      <c r="G12" s="724" t="n">
        <v>18</v>
      </c>
      <c r="H12" s="724" t="n">
        <v>34</v>
      </c>
      <c r="I12" s="268" t="n">
        <v>0.4</v>
      </c>
      <c r="J12" s="268" t="n">
        <v>0.6</v>
      </c>
      <c r="K12" s="724" t="inlineStr">
        <is>
          <t xml:space="preserve">RAT &gt; SP </t>
        </is>
      </c>
    </row>
    <row r="13" ht="21.75" customHeight="1">
      <c r="A13" s="800" t="n"/>
      <c r="B13" s="800" t="n"/>
      <c r="C13" s="800" t="n"/>
      <c r="D13" s="724" t="inlineStr">
        <is>
          <t>Afternoon</t>
        </is>
      </c>
      <c r="E13" s="724" t="n">
        <v>36</v>
      </c>
      <c r="F13" s="724" t="n">
        <v>50</v>
      </c>
      <c r="G13" s="724" t="n">
        <v>18</v>
      </c>
      <c r="H13" s="724" t="n">
        <v>34</v>
      </c>
      <c r="I13" s="268" t="n">
        <v>0.4</v>
      </c>
      <c r="J13" s="268" t="n">
        <v>0.6</v>
      </c>
      <c r="K13" s="724" t="inlineStr">
        <is>
          <t xml:space="preserve">RAT &gt; SP </t>
        </is>
      </c>
    </row>
    <row r="14" ht="18.75" customHeight="1">
      <c r="A14" s="800" t="n"/>
      <c r="B14" s="800" t="n"/>
      <c r="C14" s="168" t="n"/>
      <c r="D14" s="724" t="inlineStr">
        <is>
          <t>Night</t>
        </is>
      </c>
      <c r="E14" s="724" t="n">
        <v>25</v>
      </c>
      <c r="F14" s="724" t="n">
        <v>32</v>
      </c>
      <c r="G14" s="724" t="n">
        <v>18</v>
      </c>
      <c r="H14" s="724" t="n">
        <v>34</v>
      </c>
      <c r="I14" s="268" t="n">
        <v>0.4</v>
      </c>
      <c r="J14" s="268" t="n">
        <v>0.6</v>
      </c>
      <c r="K14" s="724" t="inlineStr">
        <is>
          <t xml:space="preserve">RAT &gt; SP </t>
        </is>
      </c>
    </row>
    <row r="15" ht="21" customHeight="1">
      <c r="A15" s="800" t="n"/>
      <c r="B15" s="800" t="n"/>
      <c r="C15" s="724" t="inlineStr">
        <is>
          <t>Rainy</t>
        </is>
      </c>
      <c r="D15" s="724" t="inlineStr">
        <is>
          <t>Morning</t>
        </is>
      </c>
      <c r="E15" s="724" t="n">
        <v>25</v>
      </c>
      <c r="F15" s="724" t="n">
        <v>30</v>
      </c>
      <c r="G15" s="724" t="n">
        <v>18</v>
      </c>
      <c r="H15" s="724" t="n">
        <v>34</v>
      </c>
      <c r="I15" s="268" t="n">
        <v>0.5</v>
      </c>
      <c r="J15" s="268" t="n">
        <v>0.75</v>
      </c>
      <c r="K15" s="724" t="inlineStr">
        <is>
          <t xml:space="preserve">RAT &gt; SP </t>
        </is>
      </c>
    </row>
    <row r="16" ht="24" customHeight="1">
      <c r="A16" s="800" t="n"/>
      <c r="B16" s="800" t="n"/>
      <c r="C16" s="800" t="n"/>
      <c r="D16" s="724" t="inlineStr">
        <is>
          <t>Afternoon</t>
        </is>
      </c>
      <c r="E16" s="724" t="n">
        <v>30</v>
      </c>
      <c r="F16" s="724" t="n">
        <v>33</v>
      </c>
      <c r="G16" s="724" t="n">
        <v>18</v>
      </c>
      <c r="H16" s="724" t="n">
        <v>34</v>
      </c>
      <c r="I16" s="268" t="n">
        <v>0.5</v>
      </c>
      <c r="J16" s="268" t="n">
        <v>0.75</v>
      </c>
      <c r="K16" s="724" t="inlineStr">
        <is>
          <t xml:space="preserve">RAT &gt; SP </t>
        </is>
      </c>
    </row>
    <row r="17" ht="24.75" customHeight="1">
      <c r="A17" s="800" t="n"/>
      <c r="B17" s="800" t="n"/>
      <c r="C17" s="168" t="n"/>
      <c r="D17" s="724" t="inlineStr">
        <is>
          <t>Night</t>
        </is>
      </c>
      <c r="E17" s="724" t="n">
        <v>25</v>
      </c>
      <c r="F17" s="724" t="n">
        <v>28</v>
      </c>
      <c r="G17" s="724" t="n">
        <v>18</v>
      </c>
      <c r="H17" s="724" t="n">
        <v>34</v>
      </c>
      <c r="I17" s="268" t="n">
        <v>0.5</v>
      </c>
      <c r="J17" s="268" t="n">
        <v>0.75</v>
      </c>
      <c r="K17" s="724" t="inlineStr">
        <is>
          <t xml:space="preserve">RAT &gt; SP </t>
        </is>
      </c>
    </row>
    <row r="18" ht="24" customHeight="1">
      <c r="A18" s="800" t="n"/>
      <c r="B18" s="800" t="n"/>
      <c r="C18" s="724" t="inlineStr">
        <is>
          <t>Winter</t>
        </is>
      </c>
      <c r="D18" s="724" t="inlineStr">
        <is>
          <t>Morning</t>
        </is>
      </c>
      <c r="E18" s="724" t="n">
        <v>4</v>
      </c>
      <c r="F18" s="724" t="n">
        <v>18</v>
      </c>
      <c r="G18" s="724" t="n">
        <v>18</v>
      </c>
      <c r="H18" s="724" t="n">
        <v>34</v>
      </c>
      <c r="I18" s="268" t="n">
        <v>0.3</v>
      </c>
      <c r="J18" s="268" t="n">
        <v>0.6</v>
      </c>
      <c r="K18" s="724" t="inlineStr">
        <is>
          <t xml:space="preserve">RAT &gt; SP </t>
        </is>
      </c>
    </row>
    <row r="19" ht="25.5" customHeight="1">
      <c r="A19" s="800" t="n"/>
      <c r="B19" s="800" t="n"/>
      <c r="C19" s="800" t="n"/>
      <c r="D19" s="724" t="inlineStr">
        <is>
          <t>Afternoon</t>
        </is>
      </c>
      <c r="E19" s="724" t="n">
        <v>18</v>
      </c>
      <c r="F19" s="724" t="n">
        <v>28</v>
      </c>
      <c r="G19" s="724" t="n">
        <v>18</v>
      </c>
      <c r="H19" s="724" t="n">
        <v>34</v>
      </c>
      <c r="I19" s="268" t="n">
        <v>0.3</v>
      </c>
      <c r="J19" s="268" t="n">
        <v>0.6</v>
      </c>
      <c r="K19" s="724" t="inlineStr">
        <is>
          <t xml:space="preserve">RAT &gt; SP </t>
        </is>
      </c>
    </row>
    <row r="20">
      <c r="A20" s="168" t="n"/>
      <c r="B20" s="168" t="n"/>
      <c r="C20" s="168" t="n"/>
      <c r="D20" s="724" t="inlineStr">
        <is>
          <t>Night</t>
        </is>
      </c>
      <c r="E20" s="724" t="n">
        <v>4</v>
      </c>
      <c r="F20" s="724" t="n">
        <v>15</v>
      </c>
      <c r="G20" s="724" t="n">
        <v>18</v>
      </c>
      <c r="H20" s="724" t="n">
        <v>34</v>
      </c>
      <c r="I20" s="268" t="n">
        <v>0.3</v>
      </c>
      <c r="J20" s="268" t="n">
        <v>0.6</v>
      </c>
      <c r="K20" s="724" t="inlineStr">
        <is>
          <t xml:space="preserve">RAT &gt; SP </t>
        </is>
      </c>
    </row>
    <row r="21" ht="63" customHeight="1">
      <c r="A21" s="724" t="inlineStr">
        <is>
          <t>Dehumidification</t>
        </is>
      </c>
      <c r="B21" s="724" t="inlineStr">
        <is>
          <t>AW0 Laod 0, AW1 Load 50 ,AW2 Load 300, AW3 Load 380</t>
        </is>
      </c>
      <c r="C21" s="724" t="inlineStr">
        <is>
          <t>Summer, Rainy</t>
        </is>
      </c>
      <c r="D21" s="724" t="inlineStr">
        <is>
          <t>Morning, Afternoon, Night</t>
        </is>
      </c>
      <c r="E21" s="724" t="n">
        <v>25</v>
      </c>
      <c r="F21" s="724" t="n">
        <v>33</v>
      </c>
      <c r="G21" s="724" t="n">
        <v>18</v>
      </c>
      <c r="H21" s="724" t="n">
        <v>34</v>
      </c>
      <c r="I21" s="268" t="n">
        <v>0.6</v>
      </c>
      <c r="J21" s="268" t="n">
        <v>0.85</v>
      </c>
      <c r="K21" s="724" t="inlineStr">
        <is>
          <t>RAT ≈ SP</t>
        </is>
      </c>
    </row>
    <row r="22" ht="31.5" customHeight="1">
      <c r="A22" s="724" t="inlineStr">
        <is>
          <t>Pre-Cooling</t>
        </is>
      </c>
      <c r="B22" s="724" t="inlineStr">
        <is>
          <t>AW0 Laod 0, AW1 Load 50 ,AW2 Load 300, AW3 Load 380</t>
        </is>
      </c>
      <c r="C22" s="724" t="inlineStr">
        <is>
          <t>Summer</t>
        </is>
      </c>
      <c r="D22" s="724" t="inlineStr">
        <is>
          <t>Morning</t>
        </is>
      </c>
      <c r="E22" s="724" t="n">
        <v>30</v>
      </c>
      <c r="F22" s="724" t="n">
        <v>42.5</v>
      </c>
      <c r="G22" s="724" t="n">
        <v>18</v>
      </c>
      <c r="H22" s="724" t="n">
        <v>34</v>
      </c>
      <c r="I22" s="268" t="n">
        <v>0.4</v>
      </c>
      <c r="J22" s="268" t="n">
        <v>0.6</v>
      </c>
      <c r="K22" s="724" t="inlineStr">
        <is>
          <t>Initial = Ambient, Final = Set Point</t>
        </is>
      </c>
    </row>
    <row r="23" ht="31.5" customHeight="1">
      <c r="A23" s="800" t="n"/>
      <c r="B23" s="800" t="n"/>
      <c r="C23" s="800" t="n"/>
      <c r="D23" s="724" t="inlineStr">
        <is>
          <t>Afternoon</t>
        </is>
      </c>
      <c r="E23" s="724" t="n">
        <v>36</v>
      </c>
      <c r="F23" s="724" t="n">
        <v>50</v>
      </c>
      <c r="G23" s="724" t="n">
        <v>18</v>
      </c>
      <c r="H23" s="724" t="n">
        <v>34</v>
      </c>
      <c r="I23" s="268" t="n">
        <v>0.4</v>
      </c>
      <c r="J23" s="268" t="n">
        <v>0.6</v>
      </c>
      <c r="K23" s="724" t="inlineStr">
        <is>
          <t>Initial = Ambient, Final = Set Point</t>
        </is>
      </c>
    </row>
    <row r="24" ht="31.5" customHeight="1">
      <c r="A24" s="168" t="n"/>
      <c r="B24" s="168" t="n"/>
      <c r="C24" s="168" t="n"/>
      <c r="D24" s="724" t="inlineStr">
        <is>
          <t>Night</t>
        </is>
      </c>
      <c r="E24" s="724" t="n">
        <v>30</v>
      </c>
      <c r="F24" s="724" t="n">
        <v>36</v>
      </c>
      <c r="G24" s="724" t="n">
        <v>18</v>
      </c>
      <c r="H24" s="724" t="n">
        <v>34</v>
      </c>
      <c r="I24" s="268" t="n">
        <v>0.4</v>
      </c>
      <c r="J24" s="268" t="n">
        <v>0.6</v>
      </c>
      <c r="K24" s="724" t="inlineStr">
        <is>
          <t>Initial = Ambient, Final = Set Point</t>
        </is>
      </c>
    </row>
    <row r="25" ht="54.75" customHeight="1">
      <c r="A25" s="724" t="inlineStr">
        <is>
          <t>Pre-Heating</t>
        </is>
      </c>
      <c r="B25" s="724" t="inlineStr">
        <is>
          <t>AW0 Laod 0, AW1 Load 50 ,AW2 Load 300, AW3 Load 380</t>
        </is>
      </c>
      <c r="C25" s="724" t="inlineStr">
        <is>
          <t>Winter</t>
        </is>
      </c>
      <c r="D25" s="724" t="inlineStr">
        <is>
          <t>Morning</t>
        </is>
      </c>
      <c r="E25" s="724" t="n">
        <v>4</v>
      </c>
      <c r="F25" s="724" t="n">
        <v>15</v>
      </c>
      <c r="G25" s="724" t="n">
        <v>18</v>
      </c>
      <c r="H25" s="724" t="n">
        <v>34</v>
      </c>
      <c r="I25" s="268" t="n">
        <v>0.3</v>
      </c>
      <c r="J25" s="268" t="n">
        <v>0.6</v>
      </c>
      <c r="K25" s="724" t="inlineStr">
        <is>
          <t>Initial = Ambient Temp, Final = Set Point</t>
        </is>
      </c>
    </row>
    <row r="26" ht="65.25" customHeight="1">
      <c r="A26" s="800" t="n"/>
      <c r="B26" s="800" t="n"/>
      <c r="C26" s="800" t="n"/>
      <c r="D26" s="724" t="inlineStr">
        <is>
          <t>Afternoon</t>
        </is>
      </c>
      <c r="E26" s="724" t="n">
        <v>15</v>
      </c>
      <c r="F26" s="724" t="n">
        <v>20</v>
      </c>
      <c r="G26" s="724" t="n">
        <v>18</v>
      </c>
      <c r="H26" s="724" t="n">
        <v>34</v>
      </c>
      <c r="I26" s="268" t="n">
        <v>0.3</v>
      </c>
      <c r="J26" s="268" t="n">
        <v>0.6</v>
      </c>
      <c r="K26" s="724" t="inlineStr">
        <is>
          <t>Initial = Ambient Temp, Final = Set Point</t>
        </is>
      </c>
    </row>
    <row r="27" ht="57.75" customHeight="1">
      <c r="A27" s="168" t="n"/>
      <c r="B27" s="168" t="n"/>
      <c r="C27" s="168" t="n"/>
      <c r="D27" s="724" t="inlineStr">
        <is>
          <t>Night</t>
        </is>
      </c>
      <c r="E27" s="724" t="n">
        <v>4</v>
      </c>
      <c r="F27" s="724" t="n">
        <v>15</v>
      </c>
      <c r="G27" s="724" t="n">
        <v>18</v>
      </c>
      <c r="H27" s="724" t="n">
        <v>34</v>
      </c>
      <c r="I27" s="268" t="n">
        <v>0.3</v>
      </c>
      <c r="J27" s="268" t="n">
        <v>0.6</v>
      </c>
      <c r="K27" s="724" t="inlineStr">
        <is>
          <t>Initial = Ambient Temp, Final = Set Point</t>
        </is>
      </c>
    </row>
    <row r="28">
      <c r="A28" s="724" t="inlineStr">
        <is>
          <t>Emergency Ventilation</t>
        </is>
      </c>
      <c r="B28" s="724" t="inlineStr">
        <is>
          <t>AW0 Laod 0, AW1 Load 50 ,AW2 Load 300, AW3 Load 380</t>
        </is>
      </c>
      <c r="C28" s="724" t="inlineStr">
        <is>
          <t>Summer, Rainy, Winter</t>
        </is>
      </c>
      <c r="D28" s="724" t="inlineStr">
        <is>
          <t>Any</t>
        </is>
      </c>
      <c r="E28" s="724" t="inlineStr">
        <is>
          <t>Any</t>
        </is>
      </c>
      <c r="F28" s="724" t="inlineStr">
        <is>
          <t>Any</t>
        </is>
      </c>
      <c r="G28" s="724" t="inlineStr">
        <is>
          <t>—</t>
        </is>
      </c>
      <c r="H28" s="724" t="inlineStr">
        <is>
          <t>—</t>
        </is>
      </c>
      <c r="I28" s="724" t="inlineStr">
        <is>
          <t>—</t>
        </is>
      </c>
      <c r="J28" s="724" t="inlineStr">
        <is>
          <t>—</t>
        </is>
      </c>
      <c r="K28" s="724" t="inlineStr">
        <is>
          <t>Temperature independent</t>
        </is>
      </c>
    </row>
    <row r="29">
      <c r="A29" s="724" t="inlineStr">
        <is>
          <t>Ambient Smoke Mode</t>
        </is>
      </c>
      <c r="B29" s="724" t="inlineStr">
        <is>
          <t>AW0 Laod 0, AW1 Load 50 ,AW2 Load 300, AW3 Load 380</t>
        </is>
      </c>
      <c r="C29" s="724" t="inlineStr">
        <is>
          <t>Any</t>
        </is>
      </c>
      <c r="D29" s="724" t="inlineStr">
        <is>
          <t>Any</t>
        </is>
      </c>
      <c r="E29" s="724" t="inlineStr">
        <is>
          <t>Any</t>
        </is>
      </c>
      <c r="F29" s="724" t="inlineStr">
        <is>
          <t>Any</t>
        </is>
      </c>
      <c r="G29" s="724" t="inlineStr">
        <is>
          <t>—</t>
        </is>
      </c>
      <c r="H29" s="724" t="inlineStr">
        <is>
          <t>—</t>
        </is>
      </c>
      <c r="I29" s="724" t="inlineStr">
        <is>
          <t>—</t>
        </is>
      </c>
      <c r="J29" s="724" t="inlineStr">
        <is>
          <t>—</t>
        </is>
      </c>
      <c r="K29" s="724" t="inlineStr">
        <is>
          <t>Temperature independent</t>
        </is>
      </c>
    </row>
    <row r="30">
      <c r="A30" s="724" t="inlineStr">
        <is>
          <t>Internal Smoke Mode</t>
        </is>
      </c>
      <c r="B30" s="724" t="inlineStr">
        <is>
          <t>AW0 Laod 0, AW1 Load 50 ,AW2 Load 300, AW3 Load 380</t>
        </is>
      </c>
      <c r="C30" s="724" t="inlineStr">
        <is>
          <t>Any</t>
        </is>
      </c>
      <c r="D30" s="724" t="inlineStr">
        <is>
          <t>Any</t>
        </is>
      </c>
      <c r="E30" s="724" t="inlineStr">
        <is>
          <t>Any</t>
        </is>
      </c>
      <c r="F30" s="724" t="inlineStr">
        <is>
          <t>Any</t>
        </is>
      </c>
      <c r="G30" s="724" t="inlineStr">
        <is>
          <t>—</t>
        </is>
      </c>
      <c r="H30" s="724" t="inlineStr">
        <is>
          <t>—</t>
        </is>
      </c>
      <c r="I30" s="724" t="inlineStr">
        <is>
          <t>—</t>
        </is>
      </c>
      <c r="J30" s="724" t="inlineStr">
        <is>
          <t>—</t>
        </is>
      </c>
      <c r="K30" s="724" t="inlineStr">
        <is>
          <t>Temperature independent</t>
        </is>
      </c>
    </row>
    <row r="35">
      <c r="A35" s="269" t="n"/>
      <c r="B35" s="269" t="n"/>
      <c r="C35" s="269" t="n"/>
      <c r="D35" s="269" t="n"/>
      <c r="E35" s="269" t="n"/>
      <c r="F35" s="269" t="n"/>
      <c r="G35" s="269" t="n"/>
      <c r="H35" s="269" t="n"/>
      <c r="I35" s="269" t="n"/>
      <c r="J35" s="269" t="n"/>
      <c r="K35" s="269" t="n"/>
    </row>
  </sheetData>
  <mergeCells count="16">
    <mergeCell ref="C15:C17"/>
    <mergeCell ref="C12:C14"/>
    <mergeCell ref="C25:C27"/>
    <mergeCell ref="A25:A27"/>
    <mergeCell ref="B12:B20"/>
    <mergeCell ref="A12:A20"/>
    <mergeCell ref="A3:A11"/>
    <mergeCell ref="B3:B11"/>
    <mergeCell ref="C3:C5"/>
    <mergeCell ref="B25:B27"/>
    <mergeCell ref="C6:C8"/>
    <mergeCell ref="C22:C24"/>
    <mergeCell ref="A22:A24"/>
    <mergeCell ref="C9:C11"/>
    <mergeCell ref="B22:B24"/>
    <mergeCell ref="C18:C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678"/>
  <sheetViews>
    <sheetView topLeftCell="A265" zoomScale="85" zoomScaleNormal="85" workbookViewId="0">
      <selection activeCell="R186" sqref="R186"/>
    </sheetView>
  </sheetViews>
  <sheetFormatPr baseColWidth="8" defaultColWidth="9" defaultRowHeight="16.5"/>
  <cols>
    <col width="9" customWidth="1" style="337" min="1" max="1"/>
    <col width="45.28515625" customWidth="1" style="8" min="2" max="2"/>
    <col width="14.85546875" customWidth="1" style="8" min="3" max="3"/>
    <col width="27.42578125" customWidth="1" style="8" min="4" max="4"/>
    <col width="15.42578125" customWidth="1" style="8" min="5" max="5"/>
    <col width="15.28515625" customWidth="1" style="337" min="6" max="6"/>
    <col width="17.140625" customWidth="1" style="337" min="7" max="7"/>
    <col width="12.42578125" customWidth="1" style="337" min="8" max="8"/>
    <col width="12.85546875" customWidth="1" style="337" min="9" max="9"/>
    <col width="13.7109375" customWidth="1" style="337" min="10" max="10"/>
    <col width="11.85546875" customWidth="1" style="337" min="11" max="11"/>
    <col width="13" customWidth="1" style="337" min="12" max="12"/>
    <col width="11.85546875" customWidth="1" style="337" min="13" max="13"/>
    <col width="12.85546875" customWidth="1" style="337" min="14" max="14"/>
    <col width="12" customWidth="1" style="337" min="15" max="15"/>
    <col width="12.28515625" customWidth="1" style="337" min="16" max="16"/>
    <col width="12.7109375" customWidth="1" style="337" min="17" max="17"/>
    <col width="9" customWidth="1" style="337" min="18" max="18"/>
    <col width="9" customWidth="1" style="8" min="19" max="19"/>
    <col width="14.42578125" customWidth="1" style="8" min="20" max="20"/>
    <col width="16.85546875" customWidth="1" style="8" min="21" max="21"/>
    <col width="16.42578125" customWidth="1" style="8" min="22" max="22"/>
    <col width="9" customWidth="1" style="8" min="23" max="30"/>
    <col width="9.140625" customWidth="1" style="8" min="31" max="31"/>
    <col width="32.28515625" customWidth="1" style="8" min="32" max="32"/>
    <col width="9" customWidth="1" style="8" min="33" max="37"/>
    <col width="9.85546875" customWidth="1" style="8" min="38" max="38"/>
    <col width="9" customWidth="1" style="8" min="39" max="39"/>
    <col width="13.28515625" customWidth="1" style="8" min="40" max="40"/>
    <col width="9" customWidth="1" style="8" min="41" max="47"/>
    <col width="16.42578125" customWidth="1" style="8" min="48" max="48"/>
    <col width="12.42578125" customWidth="1" style="8" min="49" max="49"/>
    <col width="16.7109375" customWidth="1" style="8" min="50" max="50"/>
    <col width="29.85546875" customWidth="1" style="8" min="51" max="51"/>
    <col width="13.85546875" customWidth="1" style="8" min="52" max="52"/>
    <col width="9" customWidth="1" style="8" min="53" max="55"/>
    <col width="16.7109375" customWidth="1" style="8" min="56" max="56"/>
    <col width="13.85546875" customWidth="1" style="8" min="57" max="57"/>
    <col width="12.7109375" customWidth="1" style="8" min="58" max="58"/>
    <col width="9" customWidth="1" style="8" min="59" max="63"/>
    <col width="20.7109375" customWidth="1" style="8" min="64" max="74"/>
    <col width="9" customWidth="1" style="8" min="75" max="16384"/>
  </cols>
  <sheetData>
    <row r="1" ht="30.75" customHeight="1" thickBot="1">
      <c r="A1" s="73" t="inlineStr">
        <is>
          <t>Sr. No</t>
        </is>
      </c>
      <c r="B1" s="74" t="inlineStr">
        <is>
          <t>Component ID</t>
        </is>
      </c>
      <c r="C1" s="74" t="inlineStr">
        <is>
          <t>Component Name</t>
        </is>
      </c>
      <c r="D1" s="74" t="inlineStr">
        <is>
          <t>Description</t>
        </is>
      </c>
      <c r="E1" s="74" t="inlineStr">
        <is>
          <t>Comment</t>
        </is>
      </c>
      <c r="F1" s="87" t="inlineStr">
        <is>
          <t>Labview input</t>
        </is>
      </c>
      <c r="G1" s="727" t="inlineStr">
        <is>
          <t>Logical Condition</t>
        </is>
      </c>
      <c r="H1" s="811" t="n"/>
      <c r="I1" s="811" t="n"/>
      <c r="J1" s="811" t="n"/>
      <c r="K1" s="811" t="n"/>
      <c r="L1" s="811" t="n"/>
      <c r="M1" s="811" t="n"/>
      <c r="N1" s="811" t="n"/>
      <c r="O1" s="811" t="n"/>
      <c r="P1" s="811" t="n"/>
      <c r="Q1" s="812" t="n"/>
      <c r="R1" s="728" t="inlineStr">
        <is>
          <t>Status</t>
        </is>
      </c>
      <c r="AE1" s="708" t="inlineStr">
        <is>
          <t>COOLING STATUS ATTRIBUTES SUMMARY</t>
        </is>
      </c>
      <c r="AF1" s="820" t="n"/>
      <c r="AG1" s="820" t="n"/>
      <c r="AH1" s="820" t="n"/>
      <c r="AI1" s="820" t="n"/>
      <c r="AJ1" s="820" t="n"/>
      <c r="AK1" s="820" t="n"/>
      <c r="AL1" s="820" t="n"/>
      <c r="AM1" s="820" t="n"/>
      <c r="AN1" s="820" t="n"/>
      <c r="AO1" s="820" t="n"/>
      <c r="AP1" s="820" t="n"/>
      <c r="AQ1" s="820" t="n"/>
      <c r="AR1" s="820" t="n"/>
      <c r="AS1" s="820" t="n"/>
      <c r="AT1" s="820" t="n"/>
      <c r="AU1" s="820" t="n"/>
      <c r="AV1" s="820" t="n"/>
      <c r="AW1" s="820" t="n"/>
      <c r="AX1" s="821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L1" s="8" t="inlineStr">
        <is>
          <t>LFD INPUTS TO EXCEL</t>
        </is>
      </c>
    </row>
    <row r="2" ht="30.75" customHeight="1" thickBot="1">
      <c r="A2" s="75" t="n"/>
      <c r="B2" s="76" t="n"/>
      <c r="C2" s="76" t="n"/>
      <c r="D2" s="76" t="n"/>
      <c r="E2" s="76" t="n"/>
      <c r="F2" s="88" t="n"/>
      <c r="G2" s="77" t="inlineStr">
        <is>
          <t>Dependency 1  LabView Input</t>
        </is>
      </c>
      <c r="H2" s="77" t="inlineStr">
        <is>
          <t xml:space="preserve">Dependency 2  </t>
        </is>
      </c>
      <c r="I2" s="77" t="inlineStr">
        <is>
          <t>Dependency 3</t>
        </is>
      </c>
      <c r="J2" s="77" t="inlineStr">
        <is>
          <t>Dependency 4</t>
        </is>
      </c>
      <c r="K2" s="77" t="inlineStr">
        <is>
          <t>Dependency 5</t>
        </is>
      </c>
      <c r="L2" s="77" t="inlineStr">
        <is>
          <t>Dependency 6</t>
        </is>
      </c>
      <c r="M2" s="77" t="inlineStr">
        <is>
          <t>Dependency 7</t>
        </is>
      </c>
      <c r="N2" s="77" t="inlineStr">
        <is>
          <t>Dependency 8</t>
        </is>
      </c>
      <c r="O2" s="77" t="inlineStr">
        <is>
          <t>Dependency 9</t>
        </is>
      </c>
      <c r="P2" s="77" t="inlineStr">
        <is>
          <t>Dependency 10</t>
        </is>
      </c>
      <c r="Q2" s="77" t="inlineStr">
        <is>
          <t>Dependency 11</t>
        </is>
      </c>
      <c r="R2" s="822" t="n"/>
      <c r="AE2" s="823" t="n"/>
      <c r="AF2" s="824" t="n"/>
      <c r="AG2" s="824" t="n"/>
      <c r="AH2" s="824" t="n"/>
      <c r="AI2" s="824" t="n"/>
      <c r="AJ2" s="824" t="n"/>
      <c r="AK2" s="824" t="n"/>
      <c r="AL2" s="824" t="n"/>
      <c r="AM2" s="824" t="n"/>
      <c r="AN2" s="824" t="n"/>
      <c r="AO2" s="824" t="n"/>
      <c r="AP2" s="824" t="n"/>
      <c r="AQ2" s="824" t="n"/>
      <c r="AR2" s="824" t="n"/>
      <c r="AS2" s="824" t="n"/>
      <c r="AT2" s="824" t="n"/>
      <c r="AU2" s="824" t="n"/>
      <c r="AV2" s="824" t="n"/>
      <c r="AW2" s="824" t="n"/>
      <c r="AX2" s="822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</row>
    <row r="3" ht="17.25" customHeight="1" thickBot="1">
      <c r="A3" s="715" t="n"/>
      <c r="B3" s="715" t="n"/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5" t="n"/>
      <c r="O3" s="715" t="n"/>
      <c r="P3" s="715" t="n"/>
      <c r="Q3" s="715" t="n"/>
      <c r="R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</row>
    <row r="4" ht="17.25" customHeight="1" thickBot="1">
      <c r="A4" s="708" t="inlineStr">
        <is>
          <t>Additional Inputs</t>
        </is>
      </c>
      <c r="B4" s="811" t="n"/>
      <c r="C4" s="811" t="n"/>
      <c r="D4" s="811" t="n"/>
      <c r="E4" s="811" t="n"/>
      <c r="F4" s="811" t="n"/>
      <c r="G4" s="811" t="n"/>
      <c r="H4" s="811" t="n"/>
      <c r="I4" s="811" t="n"/>
      <c r="J4" s="811" t="n"/>
      <c r="K4" s="811" t="n"/>
      <c r="L4" s="811" t="n"/>
      <c r="M4" s="811" t="n"/>
      <c r="N4" s="811" t="n"/>
      <c r="O4" s="811" t="n"/>
      <c r="P4" s="811" t="n"/>
      <c r="Q4" s="811" t="n"/>
      <c r="R4" s="812" t="n"/>
      <c r="AE4" s="715" t="n"/>
      <c r="AF4" s="708" t="inlineStr">
        <is>
          <t>Mode</t>
        </is>
      </c>
      <c r="AG4" s="123" t="inlineStr">
        <is>
          <t>Cool 2</t>
        </is>
      </c>
      <c r="AH4" s="123" t="inlineStr">
        <is>
          <t>Cool 1</t>
        </is>
      </c>
      <c r="AI4" s="123" t="inlineStr">
        <is>
          <t>Preheat</t>
        </is>
      </c>
      <c r="AJ4" s="123" t="inlineStr">
        <is>
          <t>PreCool</t>
        </is>
      </c>
      <c r="AK4" s="123" t="inlineStr">
        <is>
          <t>Vent</t>
        </is>
      </c>
      <c r="AL4" s="123" t="inlineStr">
        <is>
          <t>Heat</t>
        </is>
      </c>
      <c r="AM4" s="123" t="inlineStr">
        <is>
          <t xml:space="preserve">Humidity </t>
        </is>
      </c>
      <c r="AN4" s="113" t="inlineStr">
        <is>
          <t>Emergency</t>
        </is>
      </c>
      <c r="AO4" s="715" t="n"/>
      <c r="AP4" s="708" t="inlineStr">
        <is>
          <t>Priority</t>
        </is>
      </c>
      <c r="AQ4" s="122" t="inlineStr">
        <is>
          <t>Preheat</t>
        </is>
      </c>
      <c r="AR4" s="122" t="inlineStr">
        <is>
          <t>PreCool</t>
        </is>
      </c>
      <c r="AS4" s="123" t="inlineStr">
        <is>
          <t>Cool2</t>
        </is>
      </c>
      <c r="AT4" s="123" t="inlineStr">
        <is>
          <t>Cool1</t>
        </is>
      </c>
      <c r="AU4" s="123" t="inlineStr">
        <is>
          <t>Vent</t>
        </is>
      </c>
      <c r="AV4" s="123" t="inlineStr">
        <is>
          <t>Humidity</t>
        </is>
      </c>
      <c r="AW4" s="123" t="inlineStr">
        <is>
          <t xml:space="preserve">Heat </t>
        </is>
      </c>
      <c r="AX4" s="113" t="inlineStr">
        <is>
          <t>Emergency</t>
        </is>
      </c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</row>
    <row r="5" ht="45" customHeight="1">
      <c r="A5" s="78" t="n">
        <v>1</v>
      </c>
      <c r="B5" s="79" t="inlineStr">
        <is>
          <t>Set Point</t>
        </is>
      </c>
      <c r="C5" s="79" t="n"/>
      <c r="D5" s="79" t="n"/>
      <c r="E5" s="79" t="inlineStr">
        <is>
          <t>TCMS</t>
        </is>
      </c>
      <c r="F5" s="79">
        <f>Calculation!B33</f>
        <v/>
      </c>
      <c r="G5" s="225" t="inlineStr">
        <is>
          <t>Cool 2</t>
        </is>
      </c>
      <c r="H5" s="225" t="inlineStr">
        <is>
          <t>Cool 1</t>
        </is>
      </c>
      <c r="I5" s="79" t="inlineStr">
        <is>
          <t>Vent</t>
        </is>
      </c>
      <c r="J5" s="79" t="inlineStr">
        <is>
          <t xml:space="preserve">Heat </t>
        </is>
      </c>
      <c r="K5" s="79" t="inlineStr">
        <is>
          <t>Humidity</t>
        </is>
      </c>
      <c r="L5" s="80" t="inlineStr">
        <is>
          <t>Emergency Vent Mode</t>
        </is>
      </c>
      <c r="M5" s="80" t="inlineStr">
        <is>
          <t>External Smoke mode</t>
        </is>
      </c>
      <c r="N5" s="80" t="inlineStr">
        <is>
          <t>Internal smoke mode</t>
        </is>
      </c>
      <c r="O5" s="79" t="n"/>
      <c r="P5" s="79" t="n"/>
      <c r="Q5" s="79" t="n"/>
      <c r="R5" s="81" t="n"/>
      <c r="W5" s="8">
        <f>'DATA TRANSFER'!F43</f>
        <v/>
      </c>
      <c r="AE5" s="715" t="n"/>
      <c r="AF5" s="166" t="inlineStr">
        <is>
          <t xml:space="preserve">Status </t>
        </is>
      </c>
      <c r="AG5" s="715">
        <f>R103</f>
        <v/>
      </c>
      <c r="AH5" s="715">
        <f>R103</f>
        <v/>
      </c>
      <c r="AI5" s="715">
        <f>R273</f>
        <v/>
      </c>
      <c r="AJ5" s="715">
        <f>R292</f>
        <v/>
      </c>
      <c r="AK5" s="715">
        <f>R42</f>
        <v/>
      </c>
      <c r="AL5" s="715">
        <f>R150</f>
        <v/>
      </c>
      <c r="AM5" s="715" t="n"/>
      <c r="AN5" s="83" t="n"/>
      <c r="AO5" s="715" t="n"/>
      <c r="AP5" s="715" t="n"/>
      <c r="AQ5" s="715" t="n"/>
      <c r="AR5" s="715" t="n"/>
      <c r="AS5" s="715" t="n"/>
      <c r="AT5" s="715" t="n"/>
      <c r="AU5" s="715" t="n"/>
      <c r="AV5" s="715" t="n"/>
      <c r="AW5" s="715" t="n"/>
      <c r="AX5" s="715" t="n"/>
      <c r="AY5" s="715" t="n"/>
      <c r="AZ5" s="715" t="n"/>
      <c r="BA5" s="715" t="n"/>
      <c r="BB5" s="715" t="n"/>
      <c r="BC5" s="715" t="n"/>
      <c r="BD5" s="715" t="n"/>
      <c r="BE5" s="715" t="n"/>
      <c r="BF5" s="715" t="n"/>
      <c r="BG5" s="715" t="n"/>
      <c r="BH5" s="715" t="n"/>
      <c r="BI5" s="715" t="n"/>
    </row>
    <row r="6" ht="17.25" customHeight="1" thickBot="1">
      <c r="A6" s="82" t="n">
        <v>2</v>
      </c>
      <c r="B6" s="715" t="inlineStr">
        <is>
          <t>HAVC1_RATSI_1</t>
        </is>
      </c>
      <c r="C6" s="715" t="n"/>
      <c r="D6" s="715" t="inlineStr">
        <is>
          <t>Return Air Temp</t>
        </is>
      </c>
      <c r="E6" s="715" t="inlineStr">
        <is>
          <t>I/O</t>
        </is>
      </c>
      <c r="F6" s="715">
        <f>Calculation!B35</f>
        <v/>
      </c>
      <c r="G6" s="226">
        <f>IF(OR(V9=1,M6=0,V16=1,Calculation!D107=0,Calculation!D104=0,Calculation!D107=0),1,0)</f>
        <v/>
      </c>
      <c r="H6" s="226">
        <f>IF(AND(Calculation!B67=1,'LFD OLD'!G11=0,'LFD OLD'!H11=0,'LFD OLD'!K6=0,'LFD OLD'!V17=1,'LFD OLD'!V9=1,Calculation!D107=0,Calculation!D104=0),1,0)</f>
        <v/>
      </c>
      <c r="I6" s="715" t="n"/>
      <c r="J6" s="715">
        <f>IF(F6 &lt; (F5 - 0.5), 1, 0)</f>
        <v/>
      </c>
      <c r="K6" s="715">
        <f>IF(F9&gt;60,1,0)</f>
        <v/>
      </c>
      <c r="L6" s="715">
        <f>'DATA TRANSFER'!CP36</f>
        <v/>
      </c>
      <c r="M6" s="715">
        <f>'DATA TRANSFER'!AE22</f>
        <v/>
      </c>
      <c r="N6" s="715">
        <f>'DATA TRANSFER'!AE21</f>
        <v/>
      </c>
      <c r="O6" s="715" t="n"/>
      <c r="P6" s="715" t="n"/>
      <c r="Q6" s="715" t="n"/>
      <c r="R6" s="83" t="n"/>
      <c r="U6" s="8" t="inlineStr">
        <is>
          <t xml:space="preserve">passenger load </t>
        </is>
      </c>
      <c r="V6" s="8">
        <f>'DATA TRANSFER'!F40</f>
        <v/>
      </c>
      <c r="AE6" s="715" t="n"/>
      <c r="AF6" s="167" t="inlineStr">
        <is>
          <t>Fault</t>
        </is>
      </c>
      <c r="AG6" s="85" t="n"/>
      <c r="AH6" s="85">
        <f>IF(AND(R106:R109),1,0)</f>
        <v/>
      </c>
      <c r="AI6" s="85">
        <f>IF(AND(R276:R279,R281),1,0)</f>
        <v/>
      </c>
      <c r="AJ6" s="85">
        <f>IF(AND(R294:R298,R299),1,0)</f>
        <v/>
      </c>
      <c r="AK6" s="85" t="n"/>
      <c r="AL6" s="85" t="n"/>
      <c r="AM6" s="85" t="n"/>
      <c r="AN6" s="86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</row>
    <row r="7" ht="15.75" customHeight="1" thickBot="1">
      <c r="A7" s="82" t="n">
        <v>3</v>
      </c>
      <c r="B7" s="715" t="inlineStr">
        <is>
          <t>HVAC1_FATSI_1</t>
        </is>
      </c>
      <c r="C7" s="715" t="n"/>
      <c r="D7" s="715" t="inlineStr">
        <is>
          <t>Ambient Temp</t>
        </is>
      </c>
      <c r="E7" s="715" t="inlineStr">
        <is>
          <t>I/O</t>
        </is>
      </c>
      <c r="F7" s="715">
        <f>Calculation!B34</f>
        <v/>
      </c>
      <c r="G7" s="227" t="inlineStr">
        <is>
          <t>cooling level 1 to 8</t>
        </is>
      </c>
      <c r="H7" s="228" t="inlineStr">
        <is>
          <t>level 1</t>
        </is>
      </c>
      <c r="I7" s="228" t="inlineStr">
        <is>
          <t>level 2</t>
        </is>
      </c>
      <c r="J7" s="228" t="inlineStr">
        <is>
          <t>level 3</t>
        </is>
      </c>
      <c r="K7" s="228" t="inlineStr">
        <is>
          <t>level 4</t>
        </is>
      </c>
      <c r="L7" s="228" t="inlineStr">
        <is>
          <t>level 5</t>
        </is>
      </c>
      <c r="M7" s="228" t="inlineStr">
        <is>
          <t>level 6</t>
        </is>
      </c>
      <c r="N7" s="228" t="inlineStr">
        <is>
          <t>level 7</t>
        </is>
      </c>
      <c r="O7" s="229" t="inlineStr">
        <is>
          <t>level 8</t>
        </is>
      </c>
      <c r="P7" s="715" t="n"/>
      <c r="Q7" s="715" t="n"/>
      <c r="R7" s="83" t="n"/>
      <c r="U7" s="779" t="inlineStr">
        <is>
          <t xml:space="preserve">Pre-cool </t>
        </is>
      </c>
      <c r="V7" s="153">
        <f>IF(($W$5&gt;=40)*($W$5&lt;=60),1,0)</f>
        <v/>
      </c>
      <c r="AE7" s="715" t="n"/>
      <c r="AF7" s="715" t="n"/>
      <c r="AG7" s="715" t="n"/>
      <c r="AH7" s="715" t="n"/>
      <c r="AI7" s="715" t="n"/>
      <c r="AJ7" s="715" t="n"/>
      <c r="AK7" s="715" t="n"/>
      <c r="AL7" s="715" t="n"/>
      <c r="AM7" s="715" t="n"/>
      <c r="AN7" s="715" t="n"/>
      <c r="AO7" s="715" t="n"/>
      <c r="AP7" s="715" t="n"/>
      <c r="AQ7" s="715" t="n"/>
      <c r="AR7" s="715" t="n"/>
      <c r="AS7" s="715" t="n"/>
      <c r="AT7" s="715" t="n"/>
      <c r="AU7" s="715" t="n"/>
      <c r="AV7" s="715" t="n"/>
      <c r="AW7" s="715" t="n"/>
      <c r="AX7" s="715" t="n"/>
      <c r="AY7" s="715" t="n"/>
      <c r="AZ7" s="715" t="n"/>
      <c r="BA7" s="715" t="n"/>
      <c r="BB7" s="715" t="n"/>
      <c r="BC7" s="715" t="n"/>
      <c r="BD7" s="715" t="n"/>
      <c r="BE7" s="715" t="n"/>
      <c r="BF7" s="715" t="n"/>
      <c r="BG7" s="715" t="n"/>
      <c r="BH7" s="715" t="n"/>
      <c r="BI7" s="715" t="n"/>
    </row>
    <row r="8" ht="17.25" customHeight="1" thickBot="1">
      <c r="A8" s="82" t="n">
        <v>4</v>
      </c>
      <c r="B8" s="715" t="inlineStr">
        <is>
          <t>HVAC1_SATSI_1</t>
        </is>
      </c>
      <c r="C8" s="715" t="n"/>
      <c r="D8" s="715" t="inlineStr">
        <is>
          <t xml:space="preserve">Supply Air Temp </t>
        </is>
      </c>
      <c r="E8" s="715" t="inlineStr">
        <is>
          <t>I/O</t>
        </is>
      </c>
      <c r="F8" s="715">
        <f>'Mode Logic'!C18</f>
        <v/>
      </c>
      <c r="G8" s="340" t="n"/>
      <c r="H8" s="341">
        <f>IF(OR(Calculation!B67=1,V9=1,M6=0,V16=1),1,0)</f>
        <v/>
      </c>
      <c r="I8" s="341">
        <f>IF(OR(Calculation!B67=1,V9=1,M6=0,V17=1,G11=0,H11=0,K6=0,Calculation!D107=0,Calculation!D104=0,Calculation!D107=0),1,0)</f>
        <v/>
      </c>
      <c r="J8" s="341">
        <f>IF(OR(Calculation!B67=1,V9=1,M6=0,V18=1,G11=0,H11=0,K6=0,Calculation!D107=0,Calculation!D104=0,Calculation!D107=0),1,0)</f>
        <v/>
      </c>
      <c r="K8" s="341">
        <f>IF(OR(Calculation!B67=1,V9=1,M6=0,V19=1,G11=0,H11=0,K6=0,Calculation!D107=0,Calculation!D104=0,Calculation!D107=0),1,0)</f>
        <v/>
      </c>
      <c r="L8" s="341">
        <f>IF(OR(Calculation!B67=1,V9=1,M6=0,V20=1,G11=0,H11=0,K6=0,Calculation!D107=0,Calculation!D104=0,Calculation!D107=0),1,0)</f>
        <v/>
      </c>
      <c r="M8" s="341">
        <f>IF(OR(Calculation!B67=1,V9=1,M6=0,V21=1,G11=0,H11=0,K6=0,Calculation!D107=0,Calculation!D104=0,Calculation!D107=0),1,0)</f>
        <v/>
      </c>
      <c r="N8" s="341">
        <f>IF(OR(Calculation!B67=1,V9=1,M6=0,V22=1,G11=0,H11=0,K6=0,Calculation!D107=0,Calculation!D104=0,Calculation!D107=0),1,0)</f>
        <v/>
      </c>
      <c r="O8" s="341">
        <f>IF(OR(Calculation!B67=1,V9=1,M6=0,V23=1,G11=0,H11=0,K6=0,Calculation!D107=0,Calculation!D104=0,Calculation!D107=0),1,0)</f>
        <v/>
      </c>
      <c r="P8" s="715" t="n"/>
      <c r="Q8" s="715" t="n"/>
      <c r="R8" s="83" t="n"/>
      <c r="U8" s="780" t="inlineStr">
        <is>
          <t>Pre-heat</t>
        </is>
      </c>
      <c r="V8" s="217">
        <f>IF(($W$5&gt;=4)*($W$5&lt;=18), 1, 0)</f>
        <v/>
      </c>
      <c r="AE8" s="708" t="inlineStr">
        <is>
          <t>Commands from Cooling Status Attributes</t>
        </is>
      </c>
      <c r="AF8" s="811" t="n"/>
      <c r="AG8" s="811" t="n"/>
      <c r="AH8" s="811" t="n"/>
      <c r="AI8" s="811" t="n"/>
      <c r="AJ8" s="811" t="n"/>
      <c r="AK8" s="811" t="n"/>
      <c r="AL8" s="811" t="n"/>
      <c r="AM8" s="811" t="n"/>
      <c r="AN8" s="811" t="n"/>
      <c r="AO8" s="811" t="n"/>
      <c r="AP8" s="811" t="n"/>
      <c r="AQ8" s="811" t="n"/>
      <c r="AR8" s="811" t="n"/>
      <c r="AS8" s="811" t="n"/>
      <c r="AT8" s="811" t="n"/>
      <c r="AU8" s="811" t="n"/>
      <c r="AV8" s="811" t="n"/>
      <c r="AW8" s="811" t="n"/>
      <c r="AX8" s="812" t="n"/>
      <c r="AY8" s="715" t="n"/>
      <c r="AZ8" s="715" t="n"/>
      <c r="BA8" s="715" t="n"/>
      <c r="BB8" s="715" t="n"/>
      <c r="BC8" s="715" t="n"/>
      <c r="BD8" s="715" t="n"/>
      <c r="BE8" s="715" t="n"/>
      <c r="BF8" s="715" t="n"/>
      <c r="BG8" s="715" t="n"/>
      <c r="BH8" s="715" t="n"/>
      <c r="BI8" s="715" t="n"/>
    </row>
    <row r="9" ht="45.75" customHeight="1" thickBot="1">
      <c r="A9" s="82" t="n">
        <v>5</v>
      </c>
      <c r="B9" s="715" t="inlineStr">
        <is>
          <t>HVAC1_RHTSI_1</t>
        </is>
      </c>
      <c r="C9" s="715" t="n"/>
      <c r="D9" s="715" t="inlineStr">
        <is>
          <t>Relative Humidity</t>
        </is>
      </c>
      <c r="E9" s="715" t="inlineStr">
        <is>
          <t>I/O</t>
        </is>
      </c>
      <c r="F9" s="715">
        <f>'Mode Logic'!C21</f>
        <v/>
      </c>
      <c r="G9" s="715" t="n"/>
      <c r="H9" s="715" t="n"/>
      <c r="I9" s="715" t="n"/>
      <c r="J9" s="715" t="n"/>
      <c r="K9" s="715" t="n"/>
      <c r="L9" s="715" t="n"/>
      <c r="M9" s="715" t="n"/>
      <c r="N9" s="715" t="n"/>
      <c r="O9" s="715" t="n"/>
      <c r="P9" s="715" t="n"/>
      <c r="Q9" s="715" t="n"/>
      <c r="R9" s="83" t="n"/>
      <c r="U9" s="230" t="inlineStr">
        <is>
          <t>Cooling level 1 to  8, vent</t>
        </is>
      </c>
      <c r="V9" s="217">
        <f>IF(($W$5&gt;=50)*AND($W$5&lt;=60),1,0)</f>
        <v/>
      </c>
      <c r="AE9" s="78" t="n"/>
      <c r="AF9" s="79" t="n"/>
      <c r="AG9" s="78" t="inlineStr">
        <is>
          <t>PreCool</t>
        </is>
      </c>
      <c r="AH9" s="79" t="inlineStr">
        <is>
          <t>Preheat</t>
        </is>
      </c>
      <c r="AI9" s="79" t="inlineStr">
        <is>
          <t>Cool2</t>
        </is>
      </c>
      <c r="AJ9" s="79" t="inlineStr">
        <is>
          <t>Cool1</t>
        </is>
      </c>
      <c r="AK9" s="79" t="inlineStr">
        <is>
          <t>Vent</t>
        </is>
      </c>
      <c r="AL9" s="79" t="inlineStr">
        <is>
          <t>Humidity</t>
        </is>
      </c>
      <c r="AM9" s="79" t="inlineStr">
        <is>
          <t>Heat</t>
        </is>
      </c>
      <c r="AN9" s="81" t="inlineStr">
        <is>
          <t>Emergency</t>
        </is>
      </c>
      <c r="AO9" s="78" t="inlineStr">
        <is>
          <t>PreCool</t>
        </is>
      </c>
      <c r="AP9" s="78" t="inlineStr">
        <is>
          <t>Preheat</t>
        </is>
      </c>
      <c r="AQ9" s="79" t="inlineStr">
        <is>
          <t>Cool2</t>
        </is>
      </c>
      <c r="AR9" s="79" t="inlineStr">
        <is>
          <t>Cool1</t>
        </is>
      </c>
      <c r="AS9" s="79" t="inlineStr">
        <is>
          <t>Vent</t>
        </is>
      </c>
      <c r="AT9" s="79" t="inlineStr">
        <is>
          <t>Humidity</t>
        </is>
      </c>
      <c r="AU9" s="79" t="inlineStr">
        <is>
          <t>Heat</t>
        </is>
      </c>
      <c r="AV9" s="81" t="inlineStr">
        <is>
          <t>Emergency</t>
        </is>
      </c>
      <c r="AW9" s="173" t="inlineStr">
        <is>
          <t>Command</t>
        </is>
      </c>
      <c r="AX9" s="81" t="n"/>
      <c r="AY9" s="715" t="n"/>
      <c r="AZ9" s="188" t="inlineStr">
        <is>
          <t>Emergency Vent Mode</t>
        </is>
      </c>
      <c r="BA9" s="189" t="inlineStr">
        <is>
          <t>Internal Smoke mode</t>
        </is>
      </c>
      <c r="BB9" s="190" t="inlineStr">
        <is>
          <t>External smoke mode</t>
        </is>
      </c>
      <c r="BC9" s="715" t="n"/>
      <c r="BD9" s="188" t="inlineStr">
        <is>
          <t>Emergency Vent Mode</t>
        </is>
      </c>
      <c r="BE9" s="189" t="inlineStr">
        <is>
          <t>Internal Smoke mode</t>
        </is>
      </c>
      <c r="BF9" s="190" t="inlineStr">
        <is>
          <t>External smoke mode</t>
        </is>
      </c>
      <c r="BG9" s="715" t="n"/>
      <c r="BH9" s="715" t="n"/>
      <c r="BI9" s="715" t="n"/>
    </row>
    <row r="10" ht="17.25" customHeight="1" thickBot="1">
      <c r="A10" s="82" t="n">
        <v>6</v>
      </c>
      <c r="B10" s="715" t="n"/>
      <c r="C10" s="715" t="n"/>
      <c r="D10" s="715" t="inlineStr">
        <is>
          <t xml:space="preserve">Passenger Loading </t>
        </is>
      </c>
      <c r="E10" s="715" t="inlineStr">
        <is>
          <t>I/O</t>
        </is>
      </c>
      <c r="F10" s="715">
        <f>'DATA TRANSFER'!F40</f>
        <v/>
      </c>
      <c r="G10" s="715" t="inlineStr">
        <is>
          <t>PCOOL</t>
        </is>
      </c>
      <c r="H10" s="715" t="inlineStr">
        <is>
          <t>PHEAT</t>
        </is>
      </c>
      <c r="I10" s="715" t="n"/>
      <c r="J10" s="715" t="n"/>
      <c r="K10" s="715" t="n"/>
      <c r="L10" s="715" t="n"/>
      <c r="M10" s="715" t="n"/>
      <c r="N10" s="715" t="n"/>
      <c r="O10" s="715" t="n"/>
      <c r="P10" s="715" t="n"/>
      <c r="Q10" s="715" t="n"/>
      <c r="R10" s="83" t="n"/>
      <c r="U10" s="780" t="inlineStr">
        <is>
          <t>Dehumidification</t>
        </is>
      </c>
      <c r="V10" s="217">
        <f>IF(W5&gt;60,1,0)</f>
        <v/>
      </c>
      <c r="AE10" s="174" t="n">
        <v>1</v>
      </c>
      <c r="AF10" s="342" t="inlineStr">
        <is>
          <t>HAVC1_COMP_1</t>
        </is>
      </c>
      <c r="AG10" s="716">
        <f>R303</f>
        <v/>
      </c>
      <c r="AH10" s="716">
        <f>R284</f>
        <v/>
      </c>
      <c r="AI10" s="716">
        <f>Q112</f>
        <v/>
      </c>
      <c r="AJ10" s="716">
        <f>R112</f>
        <v/>
      </c>
      <c r="AK10" s="716" t="n"/>
      <c r="AL10" s="716" t="n"/>
      <c r="AM10" s="716" t="n"/>
      <c r="AN10" s="177" t="n"/>
      <c r="AO10" s="175">
        <f>AG10</f>
        <v/>
      </c>
      <c r="AP10" s="716">
        <f>AH10</f>
        <v/>
      </c>
      <c r="AQ10" s="716">
        <f>IF(AG10=1,1,AI10)</f>
        <v/>
      </c>
      <c r="AR10" s="716">
        <f>IF(OR(AG10,AI10),1,AJ10)</f>
        <v/>
      </c>
      <c r="AS10" s="716">
        <f>IF(OR(AG10:AJ10),1,AK10)</f>
        <v/>
      </c>
      <c r="AT10" s="716">
        <f>IF(OR(AG10:AK10),1,AL10)</f>
        <v/>
      </c>
      <c r="AU10" s="716">
        <f>IF(OR(AG10:AL10),1,AM10)</f>
        <v/>
      </c>
      <c r="AV10" s="177">
        <f>IF(OR(AG10:AM10),1,AN10)</f>
        <v/>
      </c>
      <c r="AW10" s="178">
        <f>AV10</f>
        <v/>
      </c>
      <c r="AX10" s="179" t="n"/>
      <c r="AY10" s="342" t="inlineStr">
        <is>
          <t>HAVC1_COMP_1</t>
        </is>
      </c>
      <c r="AZ10" s="184">
        <f>'CIRCUIT SIM'!L696</f>
        <v/>
      </c>
      <c r="BA10" s="716">
        <f>'CIRCUIT SIM'!Q696</f>
        <v/>
      </c>
      <c r="BB10" s="179">
        <f>'CIRCUIT SIM'!S696</f>
        <v/>
      </c>
      <c r="BC10" s="715" t="n"/>
      <c r="BD10" s="184">
        <f>IF(OR(AG10:AN10,BA10,BB10),1,AZ10)</f>
        <v/>
      </c>
      <c r="BE10" s="716">
        <f>IF(OR(AG10:AN10,AZ10,BB10),1,BA10)</f>
        <v/>
      </c>
      <c r="BF10" s="179">
        <f>IF(OR(AG10:AN10,AZ10:BA10),1,BB10)</f>
        <v/>
      </c>
      <c r="BG10" s="715" t="n"/>
      <c r="BH10" s="715" t="n"/>
      <c r="BI10" s="715" t="n"/>
    </row>
    <row r="11" ht="17.25" customHeight="1" thickBot="1">
      <c r="A11" s="82" t="n">
        <v>7</v>
      </c>
      <c r="B11" s="84" t="inlineStr">
        <is>
          <t>Chk_TDR Precool</t>
        </is>
      </c>
      <c r="C11" s="715" t="n"/>
      <c r="D11" s="715" t="inlineStr">
        <is>
          <t>HVAC1_START Time</t>
        </is>
      </c>
      <c r="E11" s="715" t="inlineStr">
        <is>
          <t>I/O</t>
        </is>
      </c>
      <c r="F11" s="715">
        <f>HVAC_IOs!D51-HVAC_IOs!D50</f>
        <v/>
      </c>
      <c r="G11" s="715">
        <f>Calculation!B40</f>
        <v/>
      </c>
      <c r="H11" s="715">
        <f>Calculation!B39</f>
        <v/>
      </c>
      <c r="I11" s="715" t="n"/>
      <c r="J11" s="715" t="n"/>
      <c r="K11" s="715" t="n"/>
      <c r="L11" s="715" t="n"/>
      <c r="M11" s="715" t="n"/>
      <c r="N11" s="715" t="n"/>
      <c r="O11" s="715" t="n"/>
      <c r="P11" s="715" t="n"/>
      <c r="Q11" s="715" t="n"/>
      <c r="R11" s="83" t="n"/>
      <c r="U11" s="780" t="n"/>
      <c r="V11" s="217" t="n"/>
      <c r="AE11" s="180" t="n">
        <v>2</v>
      </c>
      <c r="AF11" s="185" t="inlineStr">
        <is>
          <t>HAVC1_COMP_2</t>
        </is>
      </c>
      <c r="AG11" s="715">
        <f>R304</f>
        <v/>
      </c>
      <c r="AH11" s="715">
        <f>R285</f>
        <v/>
      </c>
      <c r="AI11" s="715">
        <f>Q113</f>
        <v/>
      </c>
      <c r="AJ11" s="715">
        <f>R113</f>
        <v/>
      </c>
      <c r="AK11" s="715" t="n"/>
      <c r="AL11" s="715" t="n"/>
      <c r="AM11" s="715" t="n"/>
      <c r="AN11" s="715" t="n"/>
      <c r="AO11" s="82">
        <f>AG11</f>
        <v/>
      </c>
      <c r="AP11" s="715">
        <f>IF(AG11,1,AH11)</f>
        <v/>
      </c>
      <c r="AQ11" s="715">
        <f>IF(OR(AG11:AH11),1,AI11)</f>
        <v/>
      </c>
      <c r="AR11" s="715">
        <f>IF(OR(AG11:AI11),1,AJ11)</f>
        <v/>
      </c>
      <c r="AS11" s="715">
        <f>IF(OR(AG11:AJ11),1,AK11)</f>
        <v/>
      </c>
      <c r="AT11" s="715">
        <f>IF(OR(AG11:AK11),1,AL11)</f>
        <v/>
      </c>
      <c r="AU11" s="715">
        <f>IF(OR(AG11:AL11),1,AM11)</f>
        <v/>
      </c>
      <c r="AV11" s="715">
        <f>IF(OR(AG11:AM11),1,AN11)</f>
        <v/>
      </c>
      <c r="AW11" s="170">
        <f>AV11</f>
        <v/>
      </c>
      <c r="AX11" s="169" t="n"/>
      <c r="AY11" s="185" t="inlineStr">
        <is>
          <t>HAVC1_COMP_2</t>
        </is>
      </c>
      <c r="AZ11" s="184">
        <f>'CIRCUIT SIM'!L697</f>
        <v/>
      </c>
      <c r="BA11" s="716">
        <f>'CIRCUIT SIM'!Q697</f>
        <v/>
      </c>
      <c r="BB11" s="179">
        <f>'CIRCUIT SIM'!S697</f>
        <v/>
      </c>
      <c r="BC11" s="715" t="n"/>
      <c r="BD11" s="191">
        <f>IF(OR(AG11:AN11,BA11,BB11),1,AZ11)</f>
        <v/>
      </c>
      <c r="BE11" s="79">
        <f>IF(OR(AG11:AN11,AZ11,BB11),1,BA11)</f>
        <v/>
      </c>
      <c r="BF11" s="192">
        <f>IF(OR(AG11:AN11,AZ11:BA11),1,BB11)</f>
        <v/>
      </c>
      <c r="BG11" s="715" t="n"/>
      <c r="BH11" s="715" t="n"/>
      <c r="BI11" s="715" t="n"/>
    </row>
    <row r="12" ht="30.75" customHeight="1" thickBot="1">
      <c r="A12" s="82" t="n">
        <v>8</v>
      </c>
      <c r="B12" s="84" t="inlineStr">
        <is>
          <t>Pumpdown_CHk</t>
        </is>
      </c>
      <c r="C12" s="715" t="n"/>
      <c r="D12" s="13" t="inlineStr">
        <is>
          <t>Pumodown (Managed Shutdown) Check</t>
        </is>
      </c>
      <c r="E12" s="715" t="n"/>
      <c r="F12" s="715">
        <f>HVAC_IOs!D52</f>
        <v/>
      </c>
      <c r="G12" s="715" t="n"/>
      <c r="H12" s="715" t="n"/>
      <c r="I12" s="715" t="n"/>
      <c r="J12" s="715" t="n"/>
      <c r="K12" s="715" t="n"/>
      <c r="L12" s="715" t="n"/>
      <c r="M12" s="715" t="n"/>
      <c r="N12" s="715" t="n"/>
      <c r="O12" s="715" t="n"/>
      <c r="P12" s="715" t="n"/>
      <c r="Q12" s="715" t="n"/>
      <c r="R12" s="83" t="n"/>
      <c r="U12" s="781" t="inlineStr">
        <is>
          <t>Vent temperature</t>
        </is>
      </c>
      <c r="V12" s="155">
        <f>IF(F6&lt;=F5-0.5,1,0)</f>
        <v/>
      </c>
      <c r="AE12" s="180" t="n">
        <v>3</v>
      </c>
      <c r="AF12" s="185" t="inlineStr">
        <is>
          <t>HAVC1_COMP_3</t>
        </is>
      </c>
      <c r="AG12" s="715">
        <f>R305</f>
        <v/>
      </c>
      <c r="AH12" s="715">
        <f>R286</f>
        <v/>
      </c>
      <c r="AI12" s="715">
        <f>Q114</f>
        <v/>
      </c>
      <c r="AJ12" s="715">
        <f>R114</f>
        <v/>
      </c>
      <c r="AK12" s="715" t="n"/>
      <c r="AL12" s="715" t="n"/>
      <c r="AM12" s="715" t="n"/>
      <c r="AN12" s="715" t="n"/>
      <c r="AO12" s="82">
        <f>AG12</f>
        <v/>
      </c>
      <c r="AP12" s="715">
        <f>IF(AG12,1,AH12)</f>
        <v/>
      </c>
      <c r="AQ12" s="715">
        <f>IF(OR(AG12:AH12),1,AI12)</f>
        <v/>
      </c>
      <c r="AR12" s="715">
        <f>IF(OR(AG12:AI12),1,AJ12)</f>
        <v/>
      </c>
      <c r="AS12" s="715">
        <f>IF(OR(AG12:AJ12),1,AK12)</f>
        <v/>
      </c>
      <c r="AT12" s="715">
        <f>IF(OR(AG12:AK12),1,AL12)</f>
        <v/>
      </c>
      <c r="AU12" s="715">
        <f>IF(OR(AG12:AL12),1,AM12)</f>
        <v/>
      </c>
      <c r="AV12" s="715">
        <f>IF(OR(AG12:AM12),1,AN12)</f>
        <v/>
      </c>
      <c r="AW12" s="178" t="n"/>
      <c r="AX12" s="179" t="n"/>
      <c r="AY12" s="185" t="inlineStr">
        <is>
          <t>HAVC1_COMP_3</t>
        </is>
      </c>
      <c r="AZ12" s="184">
        <f>'CIRCUIT SIM'!L698</f>
        <v/>
      </c>
      <c r="BA12" s="716">
        <f>'CIRCUIT SIM'!Q698</f>
        <v/>
      </c>
      <c r="BB12" s="179">
        <f>'CIRCUIT SIM'!S698</f>
        <v/>
      </c>
      <c r="BC12" s="715" t="n"/>
      <c r="BD12" s="191">
        <f>IF(OR(AG12:AN12,BA12,BB12),1,AZ12)</f>
        <v/>
      </c>
      <c r="BE12" s="79">
        <f>IF(OR(AG12:AN12,AZ12,BB12),1,BA12)</f>
        <v/>
      </c>
      <c r="BF12" s="192">
        <f>IF(OR(AG12:AN12,AZ12:BA12),1,BB12)</f>
        <v/>
      </c>
      <c r="BG12" s="715" t="n"/>
      <c r="BH12" s="715" t="n"/>
      <c r="BI12" s="715" t="n"/>
    </row>
    <row r="13" ht="17.25" customHeight="1" thickBot="1">
      <c r="A13" s="82" t="n">
        <v>9</v>
      </c>
      <c r="B13" s="84" t="inlineStr">
        <is>
          <t>Equilization_Chk</t>
        </is>
      </c>
      <c r="C13" s="715" t="n"/>
      <c r="D13" s="715" t="inlineStr">
        <is>
          <t>Equilization Runtime check</t>
        </is>
      </c>
      <c r="E13" s="715" t="n"/>
      <c r="F13" s="715">
        <f>HVAC_IOs!D53</f>
        <v/>
      </c>
      <c r="G13" s="715" t="n"/>
      <c r="H13" s="715" t="n"/>
      <c r="I13" s="715" t="n"/>
      <c r="J13" s="715" t="inlineStr">
        <is>
          <t xml:space="preserve">Aux Supply </t>
        </is>
      </c>
      <c r="K13" s="715" t="n"/>
      <c r="L13" s="715" t="inlineStr">
        <is>
          <t>isolate</t>
        </is>
      </c>
      <c r="M13" s="715">
        <f>TCMS!C105</f>
        <v/>
      </c>
      <c r="N13" s="715" t="n"/>
      <c r="O13" s="715" t="n"/>
      <c r="P13" s="715" t="n"/>
      <c r="Q13" s="715" t="n"/>
      <c r="R13" s="83" t="n"/>
      <c r="U13" s="715" t="n"/>
      <c r="V13" s="715" t="n"/>
      <c r="AE13" s="180" t="n">
        <v>4</v>
      </c>
      <c r="AF13" s="185" t="inlineStr">
        <is>
          <t>HAVC1_COMP_4</t>
        </is>
      </c>
      <c r="AG13" s="715">
        <f>R306</f>
        <v/>
      </c>
      <c r="AH13" s="715">
        <f>R287</f>
        <v/>
      </c>
      <c r="AI13" s="715">
        <f>Q115</f>
        <v/>
      </c>
      <c r="AJ13" s="715">
        <f>R115</f>
        <v/>
      </c>
      <c r="AK13" s="715" t="n"/>
      <c r="AL13" s="715" t="n"/>
      <c r="AM13" s="715" t="n"/>
      <c r="AN13" s="715" t="n"/>
      <c r="AO13" s="82">
        <f>AG13</f>
        <v/>
      </c>
      <c r="AP13" s="715">
        <f>IF(AG13,1,AH13)</f>
        <v/>
      </c>
      <c r="AQ13" s="715">
        <f>IF(OR(AG13:AH13),1,AI13)</f>
        <v/>
      </c>
      <c r="AR13" s="715">
        <f>IF(OR(AG13:AI13),1,AJ13)</f>
        <v/>
      </c>
      <c r="AS13" s="715">
        <f>IF(OR(AG13:AJ13),1,AK13)</f>
        <v/>
      </c>
      <c r="AT13" s="715">
        <f>IF(OR(AG13:AK13),1,AL13)</f>
        <v/>
      </c>
      <c r="AU13" s="715">
        <f>IF(OR(AG13:AL13),1,AM13)</f>
        <v/>
      </c>
      <c r="AV13" s="715">
        <f>IF(OR(AG13:AM13),1,AN13)</f>
        <v/>
      </c>
      <c r="AW13" s="170" t="n"/>
      <c r="AX13" s="169" t="n"/>
      <c r="AY13" s="185" t="inlineStr">
        <is>
          <t>HAVC1_COMP_4</t>
        </is>
      </c>
      <c r="AZ13" s="184">
        <f>'CIRCUIT SIM'!L699</f>
        <v/>
      </c>
      <c r="BA13" s="716">
        <f>'CIRCUIT SIM'!Q699</f>
        <v/>
      </c>
      <c r="BB13" s="179">
        <f>'CIRCUIT SIM'!S699</f>
        <v/>
      </c>
      <c r="BC13" s="715" t="n"/>
      <c r="BD13" s="191">
        <f>IF(OR(AG13:AN13,BA13,BB13),1,AZ13)</f>
        <v/>
      </c>
      <c r="BE13" s="79">
        <f>IF(OR(AG13:AN13,AZ13,BB13),1,BA13)</f>
        <v/>
      </c>
      <c r="BF13" s="192">
        <f>IF(OR(AG13:AN13,AZ13:BA13),1,BB13)</f>
        <v/>
      </c>
      <c r="BG13" s="715" t="n"/>
      <c r="BH13" s="715" t="n"/>
      <c r="BI13" s="715" t="n"/>
    </row>
    <row r="14" ht="17.25" customHeight="1" thickBot="1">
      <c r="A14" s="82" t="n">
        <v>10</v>
      </c>
      <c r="B14" s="84" t="inlineStr">
        <is>
          <t>Chk_TDR LP</t>
        </is>
      </c>
      <c r="C14" s="715" t="n"/>
      <c r="D14" s="715" t="inlineStr">
        <is>
          <t>LP Cutout</t>
        </is>
      </c>
      <c r="E14" s="715" t="n"/>
      <c r="F14" s="715" t="n">
        <v>1</v>
      </c>
      <c r="G14" s="715" t="n"/>
      <c r="H14" s="715" t="n"/>
      <c r="I14" s="715" t="n"/>
      <c r="J14" s="715" t="n"/>
      <c r="K14" s="715" t="n"/>
      <c r="L14" s="715" t="n"/>
      <c r="M14" s="715" t="n"/>
      <c r="N14" s="715" t="n"/>
      <c r="O14" s="715" t="n"/>
      <c r="P14" s="715" t="n"/>
      <c r="Q14" s="715" t="n"/>
      <c r="R14" s="83" t="n"/>
      <c r="U14" s="715" t="inlineStr">
        <is>
          <t xml:space="preserve">set point </t>
        </is>
      </c>
      <c r="V14" s="715">
        <f>'DATA TRANSFER'!F37</f>
        <v/>
      </c>
      <c r="AE14" s="180" t="n">
        <v>5</v>
      </c>
      <c r="AF14" s="185" t="inlineStr">
        <is>
          <t>HVAC1_CF_1</t>
        </is>
      </c>
      <c r="AG14" s="715">
        <f>R307</f>
        <v/>
      </c>
      <c r="AH14" s="715">
        <f>R288</f>
        <v/>
      </c>
      <c r="AI14" s="715">
        <f>P114</f>
        <v/>
      </c>
      <c r="AJ14" s="715">
        <f>Q114</f>
        <v/>
      </c>
      <c r="AK14" s="715" t="n"/>
      <c r="AL14" s="715" t="n"/>
      <c r="AM14" s="715" t="n"/>
      <c r="AN14" s="83" t="n"/>
      <c r="AO14" s="82">
        <f>AG14</f>
        <v/>
      </c>
      <c r="AP14" s="715">
        <f>IF(AG14,1,AH14)</f>
        <v/>
      </c>
      <c r="AQ14" s="715">
        <f>IF(OR(AG14:AH14),1,AI14)</f>
        <v/>
      </c>
      <c r="AR14" s="715">
        <f>IF(OR(AG14:AI14),1,AJ14)</f>
        <v/>
      </c>
      <c r="AS14" s="715">
        <f>IF(OR(AG14:AJ14),1,AK14)</f>
        <v/>
      </c>
      <c r="AT14" s="715">
        <f>IF(OR(AG14:AK14),1,AL14)</f>
        <v/>
      </c>
      <c r="AU14" s="715">
        <f>IF(OR(AG14:AL14),1,AM14)</f>
        <v/>
      </c>
      <c r="AV14" s="715">
        <f>IF(OR(AG14:AM14),1,AN14)</f>
        <v/>
      </c>
      <c r="AW14" s="170" t="n"/>
      <c r="AX14" s="169" t="n"/>
      <c r="AY14" s="185" t="inlineStr">
        <is>
          <t>HVAC1_CF_1</t>
        </is>
      </c>
      <c r="AZ14" s="184">
        <f>'CIRCUIT SIM'!L700</f>
        <v/>
      </c>
      <c r="BA14" s="716">
        <f>'CIRCUIT SIM'!Q700</f>
        <v/>
      </c>
      <c r="BB14" s="179">
        <f>'CIRCUIT SIM'!S700</f>
        <v/>
      </c>
      <c r="BC14" s="715" t="n"/>
      <c r="BD14" s="191">
        <f>IF(OR(AG14:AN14,BA14,BB14),1,AZ14)</f>
        <v/>
      </c>
      <c r="BE14" s="79">
        <f>IF(OR(AG14:AN14,AZ14,BB14),1,BA14)</f>
        <v/>
      </c>
      <c r="BF14" s="192">
        <f>IF(OR(AG14:AN14,AZ14:BA14),1,BB14)</f>
        <v/>
      </c>
      <c r="BG14" s="715" t="n"/>
      <c r="BH14" s="715" t="n"/>
      <c r="BI14" s="715" t="n"/>
    </row>
    <row r="15" ht="17.25" customHeight="1" thickBot="1">
      <c r="A15" s="82" t="n">
        <v>11</v>
      </c>
      <c r="B15" s="84" t="inlineStr">
        <is>
          <t>Chk_TDR Comp1</t>
        </is>
      </c>
      <c r="C15" s="715" t="n"/>
      <c r="D15" s="263" t="inlineStr">
        <is>
          <t xml:space="preserve">TDR Comp1 </t>
        </is>
      </c>
      <c r="E15" s="715" t="n"/>
      <c r="F15" s="715">
        <f>HVAC_IOs!D47</f>
        <v/>
      </c>
      <c r="G15" s="715" t="n"/>
      <c r="H15" s="715" t="n"/>
      <c r="I15" s="715" t="n"/>
      <c r="J15" s="715" t="n"/>
      <c r="K15" s="715" t="n"/>
      <c r="L15" s="715" t="n"/>
      <c r="M15" s="715" t="n"/>
      <c r="N15" s="715" t="n"/>
      <c r="O15" s="715" t="n"/>
      <c r="P15" s="715" t="n"/>
      <c r="Q15" s="715" t="n"/>
      <c r="R15" s="83" t="n"/>
      <c r="U15" s="209" t="inlineStr">
        <is>
          <t xml:space="preserve">cooling  level </t>
        </is>
      </c>
      <c r="V15" s="211">
        <f>'DATA TRANSFER'!F38</f>
        <v/>
      </c>
      <c r="AE15" s="180" t="n">
        <v>6</v>
      </c>
      <c r="AF15" s="185" t="inlineStr">
        <is>
          <t>HVAC1_CF_2</t>
        </is>
      </c>
      <c r="AG15" s="715">
        <f>R308</f>
        <v/>
      </c>
      <c r="AH15" s="715">
        <f>R289</f>
        <v/>
      </c>
      <c r="AI15" s="715">
        <f>P115</f>
        <v/>
      </c>
      <c r="AJ15" s="715">
        <f>Q115</f>
        <v/>
      </c>
      <c r="AK15" s="715" t="n"/>
      <c r="AL15" s="715" t="n"/>
      <c r="AM15" s="715" t="n"/>
      <c r="AN15" s="83" t="n"/>
      <c r="AO15" s="82">
        <f>AG15</f>
        <v/>
      </c>
      <c r="AP15" s="715">
        <f>IF(AG15,1,AH15)</f>
        <v/>
      </c>
      <c r="AQ15" s="715">
        <f>IF(OR(AG15:AH15),1,AI15)</f>
        <v/>
      </c>
      <c r="AR15" s="715">
        <f>IF(OR(AG15:AI15),1,AJ15)</f>
        <v/>
      </c>
      <c r="AS15" s="715">
        <f>IF(OR(AG15:AJ15),1,AK15)</f>
        <v/>
      </c>
      <c r="AT15" s="715">
        <f>IF(OR(AG15:AK15),1,AL15)</f>
        <v/>
      </c>
      <c r="AU15" s="715">
        <f>IF(OR(AG15:AL15),1,AM15)</f>
        <v/>
      </c>
      <c r="AV15" s="715">
        <f>IF(OR(AG15:AM15),1,AN15)</f>
        <v/>
      </c>
      <c r="AW15" s="170" t="n"/>
      <c r="AX15" s="169" t="n"/>
      <c r="AY15" s="185" t="inlineStr">
        <is>
          <t>HVAC1_CF_2</t>
        </is>
      </c>
      <c r="AZ15" s="184">
        <f>'CIRCUIT SIM'!L701</f>
        <v/>
      </c>
      <c r="BA15" s="716">
        <f>'CIRCUIT SIM'!Q701</f>
        <v/>
      </c>
      <c r="BB15" s="179">
        <f>'CIRCUIT SIM'!S701</f>
        <v/>
      </c>
      <c r="BC15" s="715" t="n"/>
      <c r="BD15" s="191">
        <f>IF(OR(AG15:AN15,BA15,BB15),1,AZ15)</f>
        <v/>
      </c>
      <c r="BE15" s="79">
        <f>IF(OR(AG15:AN15,AZ15,BB15),1,BA15)</f>
        <v/>
      </c>
      <c r="BF15" s="192">
        <f>IF(OR(AG15:AN15,AZ15:BA15),1,BB15)</f>
        <v/>
      </c>
      <c r="BG15" s="715" t="n"/>
      <c r="BH15" s="715" t="n"/>
      <c r="BI15" s="715" t="n"/>
    </row>
    <row r="16" ht="17.25" customHeight="1" thickBot="1">
      <c r="A16" s="82" t="n">
        <v>12</v>
      </c>
      <c r="B16" s="84" t="inlineStr">
        <is>
          <t>CHk_TDR Comp2</t>
        </is>
      </c>
      <c r="C16" s="715" t="inlineStr">
        <is>
          <t>E1</t>
        </is>
      </c>
      <c r="D16" s="263" t="inlineStr">
        <is>
          <t>TDR Comp 2</t>
        </is>
      </c>
      <c r="E16" s="715" t="n"/>
      <c r="F16" s="715">
        <f>HVAC_IOs!D54</f>
        <v/>
      </c>
      <c r="G16" s="715" t="n"/>
      <c r="H16" s="715" t="n"/>
      <c r="I16" s="715" t="n"/>
      <c r="J16" s="715" t="n"/>
      <c r="K16" s="715" t="n"/>
      <c r="L16" s="715" t="n"/>
      <c r="M16" s="715" t="n"/>
      <c r="N16" s="715" t="n"/>
      <c r="O16" s="715" t="n"/>
      <c r="P16" s="715" t="n"/>
      <c r="Q16" s="715" t="n"/>
      <c r="R16" s="83" t="n"/>
      <c r="U16" s="208" t="inlineStr">
        <is>
          <t>level 1</t>
        </is>
      </c>
      <c r="V16" s="169">
        <f>IF(AND(V15&gt;=V14+0.5,V15&lt;V14+1.5),1,0)</f>
        <v/>
      </c>
      <c r="AE16" s="180" t="n">
        <v>7</v>
      </c>
      <c r="AF16" s="185" t="inlineStr">
        <is>
          <t>Command_RAD</t>
        </is>
      </c>
      <c r="AG16" s="715">
        <f>R309</f>
        <v/>
      </c>
      <c r="AH16" s="715">
        <f>R290</f>
        <v/>
      </c>
      <c r="AI16" s="715">
        <f>P111</f>
        <v/>
      </c>
      <c r="AJ16" s="715">
        <f>Q111</f>
        <v/>
      </c>
      <c r="AK16" s="715" t="n"/>
      <c r="AL16" s="715" t="n"/>
      <c r="AM16" s="715">
        <f>R156</f>
        <v/>
      </c>
      <c r="AN16" s="83" t="n"/>
      <c r="AO16" s="82">
        <f>AG16</f>
        <v/>
      </c>
      <c r="AP16" s="715">
        <f>IF(AG16,1,AH16)</f>
        <v/>
      </c>
      <c r="AQ16" s="715">
        <f>IF(OR(AG16:AH16),1,AI16)</f>
        <v/>
      </c>
      <c r="AR16" s="715">
        <f>IF(OR(AG16:AI16),1,AJ16)</f>
        <v/>
      </c>
      <c r="AS16" s="715">
        <f>IF(OR(AG16:AJ16),1,AK16)</f>
        <v/>
      </c>
      <c r="AT16" s="715">
        <f>IF(OR(AG16:AK16),1,AL16)</f>
        <v/>
      </c>
      <c r="AU16" s="715">
        <f>IF(OR(AG16:AL16),1,AM16)</f>
        <v/>
      </c>
      <c r="AV16" s="715">
        <f>IF(OR(AG16:AM16),1,AN16)</f>
        <v/>
      </c>
      <c r="AW16" s="170" t="n"/>
      <c r="AX16" s="169" t="n"/>
      <c r="AY16" s="185" t="inlineStr">
        <is>
          <t>Command_RAD</t>
        </is>
      </c>
      <c r="AZ16" s="184">
        <f>'CIRCUIT SIM'!L702</f>
        <v/>
      </c>
      <c r="BA16" s="716">
        <f>'CIRCUIT SIM'!Q702</f>
        <v/>
      </c>
      <c r="BB16" s="179">
        <f>'CIRCUIT SIM'!S702</f>
        <v/>
      </c>
      <c r="BC16" s="715" t="n"/>
      <c r="BD16" s="191">
        <f>IF(OR(AG16:AN16,BA16,BB16),1,AZ16)</f>
        <v/>
      </c>
      <c r="BE16" s="79">
        <f>IF(OR(AG16:AN16,AZ16,BB16),1,BA16)</f>
        <v/>
      </c>
      <c r="BF16" s="192">
        <f>IF(OR(AG16:AN16,AZ16:BA16),1,BB16)</f>
        <v/>
      </c>
      <c r="BG16" s="715" t="n"/>
      <c r="BH16" s="715" t="n"/>
      <c r="BI16" s="715" t="n"/>
    </row>
    <row r="17" ht="17.25" customHeight="1" thickBot="1">
      <c r="A17" s="82" t="n">
        <v>13</v>
      </c>
      <c r="B17" s="85" t="n"/>
      <c r="C17" s="85" t="n"/>
      <c r="D17" s="85" t="inlineStr">
        <is>
          <t>Internal Smoke (NOT)</t>
        </is>
      </c>
      <c r="E17" s="85" t="n"/>
      <c r="F17" s="152" t="n"/>
      <c r="G17" s="85" t="n"/>
      <c r="H17" s="85" t="n"/>
      <c r="I17" s="85" t="n"/>
      <c r="J17" s="85" t="n"/>
      <c r="K17" s="85" t="n"/>
      <c r="L17" s="85" t="n"/>
      <c r="M17" s="85" t="n"/>
      <c r="N17" s="85" t="n"/>
      <c r="O17" s="85" t="n"/>
      <c r="P17" s="85" t="n"/>
      <c r="Q17" s="85" t="n"/>
      <c r="R17" s="86" t="n"/>
      <c r="U17" s="208" t="inlineStr">
        <is>
          <t>level 2</t>
        </is>
      </c>
      <c r="V17" s="169">
        <f>IF(AND(V15&gt;=V14+1.5,V15&lt;V14+2.5),1,0)</f>
        <v/>
      </c>
      <c r="AE17" s="180" t="n">
        <v>8</v>
      </c>
      <c r="AF17" s="185" t="inlineStr">
        <is>
          <t>Command_FAD_1</t>
        </is>
      </c>
      <c r="AG17" s="715">
        <f>R310</f>
        <v/>
      </c>
      <c r="AH17" s="715">
        <f>R291</f>
        <v/>
      </c>
      <c r="AI17" s="715">
        <f>R113</f>
        <v/>
      </c>
      <c r="AJ17" s="715">
        <f>S113</f>
        <v/>
      </c>
      <c r="AK17" s="715" t="n"/>
      <c r="AL17" s="715" t="n"/>
      <c r="AM17" s="715">
        <f>R156</f>
        <v/>
      </c>
      <c r="AN17" s="83" t="n"/>
      <c r="AO17" s="82">
        <f>AG17</f>
        <v/>
      </c>
      <c r="AP17" s="715">
        <f>IF(AG17,1,AH17)</f>
        <v/>
      </c>
      <c r="AQ17" s="715">
        <f>IF(OR(AG17:AH17),1,AI17)</f>
        <v/>
      </c>
      <c r="AR17" s="715">
        <f>IF(OR(AG17:AI17),1,AJ17)</f>
        <v/>
      </c>
      <c r="AS17" s="715">
        <f>IF(OR(AG17:AJ17),1,AK17)</f>
        <v/>
      </c>
      <c r="AT17" s="715">
        <f>IF(OR(AG17:AK17),1,AL17)</f>
        <v/>
      </c>
      <c r="AU17" s="715">
        <f>IF(OR(AG17:AL17),1,AM17)</f>
        <v/>
      </c>
      <c r="AV17" s="715">
        <f>IF(OR(AG17:AM17),1,AN17)</f>
        <v/>
      </c>
      <c r="AW17" s="170" t="n"/>
      <c r="AX17" s="169" t="n"/>
      <c r="AY17" s="185" t="inlineStr">
        <is>
          <t>Command_FAD_1</t>
        </is>
      </c>
      <c r="AZ17" s="184">
        <f>'CIRCUIT SIM'!L703</f>
        <v/>
      </c>
      <c r="BA17" s="716">
        <f>'CIRCUIT SIM'!Q703</f>
        <v/>
      </c>
      <c r="BB17" s="179">
        <f>'CIRCUIT SIM'!S703</f>
        <v/>
      </c>
      <c r="BC17" s="715" t="n"/>
      <c r="BD17" s="191">
        <f>IF(OR(AG17:AN17,BA17,BB17),1,AZ17)</f>
        <v/>
      </c>
      <c r="BE17" s="79">
        <f>IF(OR(AG17:AN17,AZ17,BB17),1,BA17)</f>
        <v/>
      </c>
      <c r="BF17" s="192">
        <f>IF(OR(AG17:AN17,AZ17:BA17),1,BB17)</f>
        <v/>
      </c>
      <c r="BG17" s="715" t="n"/>
      <c r="BH17" s="715" t="n"/>
      <c r="BI17" s="715" t="n"/>
    </row>
    <row r="18" ht="17.25" customHeight="1" thickBot="1">
      <c r="U18" s="208" t="inlineStr">
        <is>
          <t>level 3</t>
        </is>
      </c>
      <c r="V18" s="169">
        <f>IF(AND(V15&gt;=V14+2.5,V15&lt;V14+3.5),1,0)</f>
        <v/>
      </c>
      <c r="AE18" s="180" t="n">
        <v>9</v>
      </c>
      <c r="AF18" s="185" t="inlineStr">
        <is>
          <t>Command_FAD_2</t>
        </is>
      </c>
      <c r="AG18" s="715">
        <f>R311</f>
        <v/>
      </c>
      <c r="AH18" s="715">
        <f>R292</f>
        <v/>
      </c>
      <c r="AI18" s="715">
        <f>R114</f>
        <v/>
      </c>
      <c r="AJ18" s="715">
        <f>S114</f>
        <v/>
      </c>
      <c r="AK18" s="715" t="n"/>
      <c r="AL18" s="715" t="n"/>
      <c r="AM18" s="715">
        <f>R156</f>
        <v/>
      </c>
      <c r="AN18" s="83" t="n"/>
      <c r="AO18" s="82">
        <f>AG18</f>
        <v/>
      </c>
      <c r="AP18" s="715">
        <f>IF(AG18,1,AH18)</f>
        <v/>
      </c>
      <c r="AQ18" s="715">
        <f>IF(OR(AG18:AH18),1,AI18)</f>
        <v/>
      </c>
      <c r="AR18" s="715">
        <f>IF(OR(AG18:AI18),1,AJ18)</f>
        <v/>
      </c>
      <c r="AS18" s="715">
        <f>IF(OR(AG18:AJ18),1,AK18)</f>
        <v/>
      </c>
      <c r="AT18" s="715">
        <f>IF(OR(AG18:AK18),1,AL18)</f>
        <v/>
      </c>
      <c r="AU18" s="715">
        <f>IF(OR(AG18:AL18),1,AM18)</f>
        <v/>
      </c>
      <c r="AV18" s="715">
        <f>IF(OR(AG18:AM18),1,AN18)</f>
        <v/>
      </c>
      <c r="AW18" s="170" t="n"/>
      <c r="AX18" s="169" t="n"/>
      <c r="AY18" s="185" t="inlineStr">
        <is>
          <t>Command_FAD_2</t>
        </is>
      </c>
      <c r="AZ18" s="184">
        <f>'CIRCUIT SIM'!L704</f>
        <v/>
      </c>
      <c r="BA18" s="716">
        <f>'CIRCUIT SIM'!Q704</f>
        <v/>
      </c>
      <c r="BB18" s="179">
        <f>'CIRCUIT SIM'!S704</f>
        <v/>
      </c>
      <c r="BC18" s="715" t="n"/>
      <c r="BD18" s="191">
        <f>IF(OR(AG18:AN18,BA18,BB18),1,AZ18)</f>
        <v/>
      </c>
      <c r="BE18" s="79">
        <f>IF(OR(AG18:AN18,AZ18,BB18),1,BA18)</f>
        <v/>
      </c>
      <c r="BF18" s="192">
        <f>IF(OR(AG18:AN18,AZ18:BA18),1,BB18)</f>
        <v/>
      </c>
      <c r="BG18" s="715" t="n"/>
      <c r="BH18" s="715" t="n"/>
      <c r="BI18" s="715" t="n"/>
    </row>
    <row r="19" ht="17.25" customHeight="1" thickBot="1">
      <c r="U19" s="208" t="inlineStr">
        <is>
          <t>level 4</t>
        </is>
      </c>
      <c r="V19" s="169">
        <f>IF(AND(V15&gt;=V14+3.5,V15&lt;V14+4.5),1,0)</f>
        <v/>
      </c>
      <c r="AE19" s="180" t="n">
        <v>10</v>
      </c>
      <c r="AF19" s="185" t="inlineStr">
        <is>
          <t>HVAC1_SAF1</t>
        </is>
      </c>
      <c r="AG19" s="715">
        <f>R312</f>
        <v/>
      </c>
      <c r="AH19" s="715">
        <f>R293</f>
        <v/>
      </c>
      <c r="AI19" s="715">
        <f>P110</f>
        <v/>
      </c>
      <c r="AJ19" s="715">
        <f>Q110</f>
        <v/>
      </c>
      <c r="AK19" s="715" t="n"/>
      <c r="AL19" s="715" t="n"/>
      <c r="AM19" s="715">
        <f>R156</f>
        <v/>
      </c>
      <c r="AN19" s="83" t="n"/>
      <c r="AO19" s="82">
        <f>AG19</f>
        <v/>
      </c>
      <c r="AP19" s="715">
        <f>IF(AG19,1,AH19)</f>
        <v/>
      </c>
      <c r="AQ19" s="715">
        <f>IF(OR(AG19:AH19),1,AI19)</f>
        <v/>
      </c>
      <c r="AR19" s="715">
        <f>IF(OR(AG19:AI19),1,AJ19)</f>
        <v/>
      </c>
      <c r="AS19" s="715">
        <f>IF(OR(AG19:AJ19),1,AK19)</f>
        <v/>
      </c>
      <c r="AT19" s="715">
        <f>IF(OR(AG19:AK19),1,AL19)</f>
        <v/>
      </c>
      <c r="AU19" s="715">
        <f>IF(OR(AG19:AL19),1,AM19)</f>
        <v/>
      </c>
      <c r="AV19" s="715">
        <f>IF(OR(AG19:AM19),1,AN19)</f>
        <v/>
      </c>
      <c r="AW19" s="170" t="n"/>
      <c r="AX19" s="169" t="n"/>
      <c r="AY19" s="185" t="inlineStr">
        <is>
          <t>HVAC1_SAF1</t>
        </is>
      </c>
      <c r="AZ19" s="184">
        <f>'CIRCUIT SIM'!L705</f>
        <v/>
      </c>
      <c r="BA19" s="716">
        <f>'CIRCUIT SIM'!Q705</f>
        <v/>
      </c>
      <c r="BB19" s="179">
        <f>'CIRCUIT SIM'!S705</f>
        <v/>
      </c>
      <c r="BC19" s="715" t="n"/>
      <c r="BD19" s="191">
        <f>IF(OR(AG19:AN19,BA19,BB19),1,AZ19)</f>
        <v/>
      </c>
      <c r="BE19" s="79">
        <f>IF(OR(AG19:AN19,AZ19,BB19),1,BA19)</f>
        <v/>
      </c>
      <c r="BF19" s="192">
        <f>IF(OR(AG19:AN19,AZ19:BA19),1,BB19)</f>
        <v/>
      </c>
      <c r="BG19" s="715" t="n"/>
      <c r="BH19" s="715" t="n"/>
      <c r="BI19" s="715" t="n"/>
    </row>
    <row r="20" ht="17.25" customHeight="1" thickBot="1">
      <c r="U20" s="208" t="inlineStr">
        <is>
          <t>level 5</t>
        </is>
      </c>
      <c r="V20" s="169">
        <f>IF(AND(V15&gt;=V14+4.5,V15&lt;V14+5.5),1,0)</f>
        <v/>
      </c>
      <c r="AE20" s="180" t="n">
        <v>11</v>
      </c>
      <c r="AF20" s="185" t="inlineStr">
        <is>
          <t>HVAC1_SAF2</t>
        </is>
      </c>
      <c r="AG20" s="715">
        <f>R313</f>
        <v/>
      </c>
      <c r="AH20" s="715">
        <f>R294</f>
        <v/>
      </c>
      <c r="AI20" s="715">
        <f>P111</f>
        <v/>
      </c>
      <c r="AJ20" s="715">
        <f>Q111</f>
        <v/>
      </c>
      <c r="AK20" s="715" t="n"/>
      <c r="AL20" s="715" t="n"/>
      <c r="AM20" s="715">
        <f>R156</f>
        <v/>
      </c>
      <c r="AN20" s="715" t="n"/>
      <c r="AO20" s="82">
        <f>AG20</f>
        <v/>
      </c>
      <c r="AP20" s="715">
        <f>IF(AG20,1,AH20)</f>
        <v/>
      </c>
      <c r="AQ20" s="715">
        <f>IF(OR(AG20:AH20),1,AI20)</f>
        <v/>
      </c>
      <c r="AR20" s="715">
        <f>IF(OR(AG20:AI20),1,AJ20)</f>
        <v/>
      </c>
      <c r="AS20" s="715">
        <f>IF(OR(AG20:AJ20),1,AK20)</f>
        <v/>
      </c>
      <c r="AT20" s="715">
        <f>IF(OR(AG20:AK20),1,AL20)</f>
        <v/>
      </c>
      <c r="AU20" s="715">
        <f>IF(OR(AG20:AL20),1,AM20)</f>
        <v/>
      </c>
      <c r="AV20" s="715">
        <f>IF(OR(AG20:AM20),1,AN20)</f>
        <v/>
      </c>
      <c r="AW20" s="170" t="n"/>
      <c r="AX20" s="169" t="n"/>
      <c r="AY20" s="185" t="inlineStr">
        <is>
          <t>HVAC1_SAF2</t>
        </is>
      </c>
      <c r="AZ20" s="184">
        <f>'CIRCUIT SIM'!L706</f>
        <v/>
      </c>
      <c r="BA20" s="716">
        <f>'CIRCUIT SIM'!Q706</f>
        <v/>
      </c>
      <c r="BB20" s="179">
        <f>'CIRCUIT SIM'!S706</f>
        <v/>
      </c>
      <c r="BC20" s="715" t="n"/>
      <c r="BD20" s="193">
        <f>IF(OR(AG20:AN20,BA20,BB20),1,AZ20)</f>
        <v/>
      </c>
      <c r="BE20" s="194">
        <f>IF(OR(AG20:AN20,AZ20,BB20),1,BA20)</f>
        <v/>
      </c>
      <c r="BF20" s="195">
        <f>IF(OR(AG20:AN20,AZ20:BA20),1,BB20)</f>
        <v/>
      </c>
      <c r="BG20" s="715" t="n"/>
      <c r="BH20" s="715" t="n"/>
      <c r="BI20" s="715" t="n"/>
    </row>
    <row r="21" ht="20.1" customHeight="1">
      <c r="A21" s="825" t="inlineStr">
        <is>
          <t>HVAC LFD's</t>
        </is>
      </c>
      <c r="B21" s="798" t="n"/>
      <c r="C21" s="798" t="n"/>
      <c r="D21" s="798" t="n"/>
      <c r="E21" s="798" t="n"/>
      <c r="F21" s="798" t="n"/>
      <c r="G21" s="798" t="n"/>
      <c r="H21" s="798" t="n"/>
      <c r="I21" s="798" t="n"/>
      <c r="J21" s="798" t="n"/>
      <c r="K21" s="798" t="n"/>
      <c r="L21" s="798" t="n"/>
      <c r="M21" s="798" t="n"/>
      <c r="N21" s="798" t="n"/>
      <c r="O21" s="798" t="n"/>
      <c r="P21" s="798" t="n"/>
      <c r="Q21" s="798" t="n"/>
      <c r="R21" s="309" t="n"/>
      <c r="U21" s="208" t="inlineStr">
        <is>
          <t>level 6</t>
        </is>
      </c>
      <c r="V21" s="169">
        <f>IF(AND(V15&gt;=V14+5.5,V15&lt;V14+6.5),1,0)</f>
        <v/>
      </c>
      <c r="AE21" s="180" t="n">
        <v>12</v>
      </c>
      <c r="AF21" s="185" t="inlineStr">
        <is>
          <t xml:space="preserve">Command_Heater </t>
        </is>
      </c>
      <c r="AG21" s="715" t="n"/>
      <c r="AH21" s="715" t="n"/>
      <c r="AJ21" s="715" t="n"/>
      <c r="AK21" s="715" t="n"/>
      <c r="AL21" s="715" t="n"/>
      <c r="AM21" s="715" t="n"/>
      <c r="AN21" s="715" t="n"/>
      <c r="AO21" s="82" t="n"/>
      <c r="AP21" s="715" t="n"/>
      <c r="AQ21" s="715" t="n"/>
      <c r="AR21" s="715" t="n"/>
      <c r="AS21" s="715" t="n"/>
      <c r="AT21" s="715" t="n"/>
      <c r="AU21" s="715" t="n"/>
      <c r="AV21" s="715" t="n"/>
      <c r="AW21" s="170" t="n"/>
      <c r="AX21" s="169" t="n"/>
      <c r="AY21" s="185" t="inlineStr">
        <is>
          <t xml:space="preserve">Command_Heater </t>
        </is>
      </c>
      <c r="AZ21" s="196" t="n"/>
      <c r="BA21" s="197" t="n"/>
      <c r="BB21" s="343" t="n"/>
    </row>
    <row r="22" ht="30" customHeight="1">
      <c r="U22" s="208" t="inlineStr">
        <is>
          <t>level 7</t>
        </is>
      </c>
      <c r="V22" s="169">
        <f>IF(AND(V15&gt;=V14+6.5,V15&lt;V14+7.5),1,0)</f>
        <v/>
      </c>
      <c r="AE22" s="180" t="n">
        <v>13</v>
      </c>
      <c r="AF22" s="186" t="inlineStr">
        <is>
          <t>Command_Liquidline Solenoid 1</t>
        </is>
      </c>
      <c r="AG22" s="715" t="n"/>
      <c r="AH22" s="715" t="n"/>
      <c r="AI22" s="715" t="n"/>
      <c r="AJ22" s="715" t="n"/>
      <c r="AK22" s="715" t="n"/>
      <c r="AL22" s="715" t="n"/>
      <c r="AM22" s="715" t="n"/>
      <c r="AN22" s="715" t="n"/>
      <c r="AO22" s="82" t="n"/>
      <c r="AP22" s="715" t="n"/>
      <c r="AQ22" s="715" t="n"/>
      <c r="AR22" s="715" t="n"/>
      <c r="AS22" s="715" t="n"/>
      <c r="AT22" s="715" t="n"/>
      <c r="AU22" s="715" t="n"/>
      <c r="AV22" s="715" t="n"/>
      <c r="AW22" s="170" t="n"/>
      <c r="AX22" s="169" t="n"/>
      <c r="AY22" s="186" t="inlineStr">
        <is>
          <t>Command_Liquidline Solenoid 1</t>
        </is>
      </c>
      <c r="AZ22" s="196" t="n"/>
      <c r="BA22" s="197" t="n"/>
      <c r="BB22" s="343" t="n"/>
    </row>
    <row r="23" ht="20.1" customHeight="1" thickBot="1">
      <c r="A23" s="725" t="inlineStr">
        <is>
          <t>1. HVAC fresh air damper</t>
        </is>
      </c>
      <c r="B23" s="798" t="n"/>
      <c r="C23" s="798" t="n"/>
      <c r="D23" s="798" t="n"/>
      <c r="E23" s="798" t="n"/>
      <c r="F23" s="798" t="n"/>
      <c r="G23" s="798" t="n"/>
      <c r="H23" s="798" t="n"/>
      <c r="I23" s="798" t="n"/>
      <c r="J23" s="798" t="n"/>
      <c r="K23" s="798" t="n"/>
      <c r="L23" s="798" t="n"/>
      <c r="M23" s="798" t="n"/>
      <c r="N23" s="798" t="n"/>
      <c r="O23" s="798" t="n"/>
      <c r="P23" s="798" t="n"/>
      <c r="Q23" s="798" t="n"/>
      <c r="R23" s="309" t="n"/>
      <c r="U23" s="204" t="inlineStr">
        <is>
          <t>level 8</t>
        </is>
      </c>
      <c r="V23" s="169">
        <f>IF(V15&gt;=V14+7.5,1,0)</f>
        <v/>
      </c>
      <c r="AE23" s="180" t="n">
        <v>14</v>
      </c>
      <c r="AF23" s="186" t="inlineStr">
        <is>
          <t>Command_Liquidline Solenoid 2</t>
        </is>
      </c>
      <c r="AG23" s="715" t="n"/>
      <c r="AH23" s="715" t="n"/>
      <c r="AI23" s="715" t="n"/>
      <c r="AJ23" s="715" t="n"/>
      <c r="AK23" s="715" t="n"/>
      <c r="AL23" s="715" t="n"/>
      <c r="AM23" s="715" t="n"/>
      <c r="AN23" s="715" t="n"/>
      <c r="AO23" s="82" t="n"/>
      <c r="AP23" s="715" t="n"/>
      <c r="AQ23" s="715" t="n"/>
      <c r="AR23" s="715" t="n"/>
      <c r="AS23" s="715" t="n"/>
      <c r="AT23" s="715" t="n"/>
      <c r="AU23" s="715" t="n"/>
      <c r="AV23" s="715" t="n"/>
      <c r="AW23" s="170" t="n"/>
      <c r="AX23" s="169" t="n"/>
      <c r="AY23" s="186" t="inlineStr">
        <is>
          <t>Command_Liquidline Solenoid 2</t>
        </is>
      </c>
      <c r="AZ23" s="196" t="n"/>
      <c r="BA23" s="197" t="n"/>
      <c r="BB23" s="343" t="n"/>
    </row>
    <row r="24" ht="20.1" customHeight="1">
      <c r="A24" s="344" t="n">
        <v>1</v>
      </c>
      <c r="B24" s="72" t="inlineStr">
        <is>
          <t>External_smoke_detected</t>
        </is>
      </c>
      <c r="C24" s="72" t="n"/>
      <c r="D24" s="72" t="n"/>
      <c r="E24" s="72" t="n"/>
      <c r="F24" s="344">
        <f>'DATA TRANSFER'!F29</f>
        <v/>
      </c>
      <c r="G24" s="344" t="n"/>
      <c r="H24" s="344" t="n"/>
      <c r="I24" s="344" t="n"/>
      <c r="J24" s="344" t="n"/>
      <c r="K24" s="344" t="n"/>
      <c r="L24" s="344" t="n"/>
      <c r="M24" s="344" t="n"/>
      <c r="N24" s="344" t="n"/>
      <c r="O24" s="344" t="n"/>
      <c r="P24" s="344" t="n"/>
      <c r="Q24" s="344" t="n"/>
      <c r="R24" s="344">
        <f>IF(AND(D24:Q24),1,0)</f>
        <v/>
      </c>
      <c r="AE24" s="180" t="n">
        <v>15</v>
      </c>
      <c r="AF24" s="186" t="inlineStr">
        <is>
          <t xml:space="preserve">Emergency Inverter </t>
        </is>
      </c>
      <c r="AG24" s="715" t="n"/>
      <c r="AH24" s="715" t="n"/>
      <c r="AI24" s="715" t="n"/>
      <c r="AJ24" s="715" t="n"/>
      <c r="AK24" s="715" t="n"/>
      <c r="AL24" s="715" t="n"/>
      <c r="AM24" s="715" t="n"/>
      <c r="AN24" s="715" t="n"/>
      <c r="AO24" s="82" t="n"/>
      <c r="AP24" s="715" t="n"/>
      <c r="AQ24" s="715" t="n"/>
      <c r="AR24" s="715" t="n"/>
      <c r="AS24" s="715" t="n"/>
      <c r="AT24" s="715" t="n"/>
      <c r="AU24" s="715" t="n"/>
      <c r="AV24" s="715" t="n"/>
      <c r="AW24" s="170" t="n"/>
      <c r="AX24" s="169" t="n"/>
      <c r="AY24" s="186" t="inlineStr">
        <is>
          <t xml:space="preserve">Emergency Inverter </t>
        </is>
      </c>
      <c r="AZ24" s="345" t="n"/>
      <c r="BA24" s="346" t="n"/>
      <c r="BB24" s="343" t="n"/>
    </row>
    <row r="25" ht="20.1" customHeight="1" thickBot="1">
      <c r="A25" s="344" t="n">
        <v>2</v>
      </c>
      <c r="B25" s="72" t="inlineStr">
        <is>
          <t>Driver_Close_command</t>
        </is>
      </c>
      <c r="C25" s="72" t="n"/>
      <c r="D25" s="72" t="n"/>
      <c r="E25" s="72" t="n"/>
      <c r="F25" s="344">
        <f>HVAC_IOs!D23</f>
        <v/>
      </c>
      <c r="G25" s="344" t="n"/>
      <c r="H25" s="344" t="n"/>
      <c r="I25" s="344" t="n"/>
      <c r="J25" s="344" t="n"/>
      <c r="K25" s="344" t="n"/>
      <c r="L25" s="344" t="n"/>
      <c r="M25" s="344" t="n"/>
      <c r="N25" s="344" t="n"/>
      <c r="O25" s="344" t="n"/>
      <c r="P25" s="344" t="n"/>
      <c r="Q25" s="344" t="n"/>
      <c r="R25" s="344">
        <f>IF(AND(F25:Q25),1,0)</f>
        <v/>
      </c>
      <c r="AE25" s="181" t="n">
        <v>16</v>
      </c>
      <c r="AF25" s="187" t="n"/>
      <c r="AG25" s="171" t="n"/>
      <c r="AH25" s="171" t="n"/>
      <c r="AI25" s="171" t="n"/>
      <c r="AJ25" s="171" t="n"/>
      <c r="AK25" s="171" t="n"/>
      <c r="AL25" s="171" t="n"/>
      <c r="AM25" s="171" t="n"/>
      <c r="AN25" s="182" t="n"/>
      <c r="AO25" s="171" t="n"/>
      <c r="AP25" s="171" t="n"/>
      <c r="AQ25" s="171" t="n"/>
      <c r="AR25" s="171" t="n"/>
      <c r="AS25" s="171" t="n"/>
      <c r="AT25" s="171" t="n"/>
      <c r="AU25" s="171" t="n"/>
      <c r="AV25" s="171" t="n"/>
      <c r="AW25" s="183" t="n"/>
      <c r="AX25" s="172" t="n"/>
      <c r="AY25" s="187" t="n"/>
      <c r="AZ25" s="347" t="n"/>
      <c r="BA25" s="348" t="n"/>
      <c r="BB25" s="349" t="n"/>
    </row>
    <row r="26" ht="20.1" customHeight="1">
      <c r="A26" s="344" t="n">
        <v>3</v>
      </c>
      <c r="B26" s="72" t="inlineStr">
        <is>
          <t>Internal_Smoke_Detected</t>
        </is>
      </c>
      <c r="C26" s="72" t="n"/>
      <c r="D26" s="72" t="n"/>
      <c r="E26" s="72" t="n"/>
      <c r="F26" s="344">
        <f>'DATA TRANSFER'!F28</f>
        <v/>
      </c>
      <c r="G26" s="344" t="n"/>
      <c r="H26" s="344" t="n"/>
      <c r="I26" s="344" t="n"/>
      <c r="J26" s="344" t="n"/>
      <c r="K26" s="344" t="n"/>
      <c r="L26" s="344" t="n"/>
      <c r="M26" s="344" t="n"/>
      <c r="N26" s="344" t="n"/>
      <c r="O26" s="344" t="n"/>
      <c r="P26" s="344" t="n"/>
      <c r="Q26" s="344" t="n"/>
      <c r="R26" s="344">
        <f>IF(AND(D26:Q26),1,0)</f>
        <v/>
      </c>
    </row>
    <row r="27" ht="20.1" customHeight="1">
      <c r="A27" s="344" t="n"/>
      <c r="B27" s="72" t="n"/>
      <c r="C27" s="72" t="n"/>
      <c r="D27" s="72" t="n"/>
      <c r="E27" s="72" t="n"/>
      <c r="F27" s="344" t="n"/>
      <c r="G27" s="344" t="n"/>
      <c r="H27" s="344">
        <f>IF(OR(F24:F26),1,0)</f>
        <v/>
      </c>
      <c r="I27" s="344" t="n"/>
      <c r="J27" s="344" t="n"/>
      <c r="K27" s="344" t="n"/>
      <c r="L27" s="344" t="n"/>
      <c r="M27" s="344" t="n"/>
      <c r="N27" s="344" t="n"/>
      <c r="O27" s="344" t="n"/>
      <c r="P27" s="344" t="n"/>
      <c r="Q27" s="344" t="n"/>
      <c r="R27" s="344">
        <f>IF(AND(F27:Q27),1,0)</f>
        <v/>
      </c>
    </row>
    <row r="28" ht="20.1" customHeight="1">
      <c r="A28" s="344" t="n">
        <v>4</v>
      </c>
      <c r="B28" s="72" t="inlineStr">
        <is>
          <t>Driver_by_pass_command</t>
        </is>
      </c>
      <c r="C28" s="72" t="n"/>
      <c r="D28" s="72" t="n"/>
      <c r="E28" s="72" t="n"/>
      <c r="F28" s="344" t="n">
        <v>0</v>
      </c>
      <c r="G28" s="344">
        <f>IF(NOT(F28),1,0)</f>
        <v/>
      </c>
      <c r="H28" s="344" t="n"/>
      <c r="I28" s="344" t="n"/>
      <c r="J28" s="344" t="n"/>
      <c r="K28" s="344" t="n"/>
      <c r="L28" s="344" t="n"/>
      <c r="M28" s="344" t="n"/>
      <c r="N28" s="344" t="n"/>
      <c r="O28" s="344" t="n"/>
      <c r="P28" s="344" t="n"/>
      <c r="Q28" s="344" t="n"/>
      <c r="R28" s="344">
        <f>IF(AND(D28:Q28),1,0)</f>
        <v/>
      </c>
    </row>
    <row r="29" ht="20.1" customHeight="1">
      <c r="A29" s="344" t="n">
        <v>5</v>
      </c>
      <c r="B29" s="72" t="inlineStr">
        <is>
          <t>FADR_closed</t>
        </is>
      </c>
      <c r="C29" s="72" t="n"/>
      <c r="D29" s="72" t="n"/>
      <c r="E29" s="72" t="n"/>
      <c r="F29" s="344">
        <f>Calculation!B28</f>
        <v/>
      </c>
      <c r="G29" s="344" t="n"/>
      <c r="H29" s="344" t="n"/>
      <c r="I29" s="344" t="n"/>
      <c r="J29" s="344" t="n"/>
      <c r="K29" s="344" t="n"/>
      <c r="L29" s="344" t="n"/>
      <c r="M29" s="344" t="n"/>
      <c r="N29" s="344" t="n"/>
      <c r="O29" s="344" t="n"/>
      <c r="P29" s="344" t="n"/>
      <c r="Q29" s="344" t="n"/>
      <c r="R29" s="344">
        <f>IF(AND(F29:Q29),1,0)</f>
        <v/>
      </c>
    </row>
    <row r="30" ht="20.1" customHeight="1">
      <c r="A30" s="148" t="n">
        <v>6</v>
      </c>
      <c r="B30" s="149" t="inlineStr">
        <is>
          <t>Fresh_air_Damper_Close(FAD)</t>
        </is>
      </c>
      <c r="C30" s="149" t="n"/>
      <c r="D30" s="149" t="n"/>
      <c r="E30" s="149" t="n"/>
      <c r="F30" s="148" t="n"/>
      <c r="G30" s="148" t="n"/>
      <c r="H30" s="148">
        <f>IF(AND(H27,G28,F29),1,0)</f>
        <v/>
      </c>
      <c r="I30" s="148" t="n"/>
      <c r="J30" s="148" t="n"/>
      <c r="K30" s="148" t="n"/>
      <c r="L30" s="148" t="n"/>
      <c r="M30" s="148" t="n"/>
      <c r="N30" s="148" t="n"/>
      <c r="O30" s="148" t="n"/>
      <c r="P30" s="148" t="n"/>
      <c r="Q30" s="148" t="n"/>
      <c r="R30" s="148">
        <f>IF(AND(D30:Q30),1,0)</f>
        <v/>
      </c>
    </row>
    <row r="34" ht="20.1" customHeight="1">
      <c r="A34" s="725" t="inlineStr">
        <is>
          <t>2. HVAC emergency ventilation Control</t>
        </is>
      </c>
      <c r="B34" s="798" t="n"/>
      <c r="C34" s="798" t="n"/>
      <c r="D34" s="798" t="n"/>
      <c r="E34" s="798" t="n"/>
      <c r="F34" s="798" t="n"/>
      <c r="G34" s="798" t="n"/>
      <c r="H34" s="798" t="n"/>
      <c r="I34" s="798" t="n"/>
      <c r="J34" s="798" t="n"/>
      <c r="K34" s="798" t="n"/>
      <c r="L34" s="798" t="n"/>
      <c r="M34" s="798" t="n"/>
      <c r="N34" s="798" t="n"/>
      <c r="O34" s="798" t="n"/>
      <c r="P34" s="798" t="n"/>
      <c r="Q34" s="798" t="n"/>
      <c r="R34" s="309" t="n"/>
    </row>
    <row r="35" ht="20.1" customHeight="1">
      <c r="A35" s="344" t="n">
        <v>1</v>
      </c>
      <c r="B35" s="72" t="inlineStr">
        <is>
          <t>APS1_healthy</t>
        </is>
      </c>
      <c r="C35" s="72" t="n"/>
      <c r="D35" s="72" t="n"/>
      <c r="E35" s="72" t="n"/>
      <c r="F35" s="344">
        <f>HVAC_IOs!D15</f>
        <v/>
      </c>
      <c r="G35" s="344">
        <f>IF(NOT(F35),1,0)</f>
        <v/>
      </c>
      <c r="H35" s="344" t="n"/>
      <c r="I35" s="344" t="n"/>
      <c r="J35" s="344" t="n"/>
      <c r="K35" s="344" t="n"/>
      <c r="L35" s="344" t="n"/>
      <c r="M35" s="344" t="n"/>
      <c r="N35" s="344" t="n"/>
      <c r="O35" s="344" t="n"/>
      <c r="P35" s="344" t="n"/>
      <c r="Q35" s="344" t="n"/>
      <c r="R35" s="344">
        <f>IF(AND(F35:Q35),1,0)</f>
        <v/>
      </c>
    </row>
    <row r="36" ht="20.1" customHeight="1">
      <c r="A36" s="344" t="n">
        <v>2</v>
      </c>
      <c r="B36" s="72" t="inlineStr">
        <is>
          <t>APS2_Healthy</t>
        </is>
      </c>
      <c r="C36" s="72" t="n"/>
      <c r="D36" s="72" t="n"/>
      <c r="E36" s="72" t="n"/>
      <c r="F36" s="344">
        <f>HVAC_IOs!D26</f>
        <v/>
      </c>
      <c r="G36" s="344">
        <f>IF(NOT(F36),1,0)</f>
        <v/>
      </c>
      <c r="H36" s="344" t="n"/>
      <c r="I36" s="344" t="n"/>
      <c r="J36" s="344" t="n"/>
      <c r="K36" s="344" t="n"/>
      <c r="L36" s="344" t="n"/>
      <c r="M36" s="344" t="n"/>
      <c r="N36" s="344" t="n"/>
      <c r="O36" s="344" t="n"/>
      <c r="P36" s="344" t="n"/>
      <c r="Q36" s="344" t="n"/>
      <c r="R36" s="344">
        <f>IF(AND(F36:Q36),1,0)</f>
        <v/>
      </c>
    </row>
    <row r="37" ht="20.1" customHeight="1">
      <c r="A37" s="344" t="n"/>
      <c r="B37" s="72" t="inlineStr">
        <is>
          <t>LFC05</t>
        </is>
      </c>
      <c r="C37" s="72" t="n"/>
      <c r="D37" s="72" t="n"/>
      <c r="E37" s="72" t="n"/>
      <c r="F37" s="344" t="n"/>
      <c r="G37" s="344" t="n"/>
      <c r="H37" s="344">
        <f>IF(OR(G35:G36),1,0)</f>
        <v/>
      </c>
      <c r="I37" s="344" t="n"/>
      <c r="J37" s="344" t="n"/>
      <c r="K37" s="344" t="n"/>
      <c r="L37" s="344" t="n"/>
      <c r="M37" s="344" t="n"/>
      <c r="N37" s="344" t="n"/>
      <c r="O37" s="344" t="n"/>
      <c r="P37" s="344" t="n"/>
      <c r="Q37" s="344" t="n"/>
      <c r="R37" s="344" t="n"/>
    </row>
    <row r="38" ht="20.1" customHeight="1">
      <c r="A38" s="344" t="n">
        <v>3</v>
      </c>
      <c r="B38" s="72" t="inlineStr">
        <is>
          <t>110V_Battery_supply</t>
        </is>
      </c>
      <c r="C38" s="72" t="n"/>
      <c r="D38" s="72" t="n"/>
      <c r="E38" s="72" t="n"/>
      <c r="F38" s="344">
        <f>HVAC_IOs!D25</f>
        <v/>
      </c>
      <c r="G38" s="344" t="n"/>
      <c r="H38" s="344" t="n"/>
      <c r="I38" s="344" t="n"/>
      <c r="J38" s="344" t="n"/>
      <c r="K38" s="344" t="n"/>
      <c r="L38" s="344" t="n"/>
      <c r="M38" s="344" t="n"/>
      <c r="N38" s="344" t="n"/>
      <c r="O38" s="344" t="n"/>
      <c r="P38" s="344" t="n"/>
      <c r="Q38" s="344" t="n"/>
      <c r="R38" s="344">
        <f>IF(AND(F38:Q38),1,0)</f>
        <v/>
      </c>
    </row>
    <row r="39" ht="20.1" customHeight="1">
      <c r="A39" s="344" t="n">
        <v>4</v>
      </c>
      <c r="B39" s="72" t="inlineStr">
        <is>
          <t>APS1_healthy</t>
        </is>
      </c>
      <c r="C39" s="72" t="n"/>
      <c r="D39" s="72" t="n"/>
      <c r="E39" s="72" t="n"/>
      <c r="F39" s="344">
        <f>F35</f>
        <v/>
      </c>
      <c r="G39" s="344">
        <f>IF(NOT(F39),1,0)</f>
        <v/>
      </c>
      <c r="H39" s="344" t="n"/>
      <c r="I39" s="344" t="n"/>
      <c r="J39" s="344" t="n"/>
      <c r="K39" s="344" t="n"/>
      <c r="L39" s="344" t="n"/>
      <c r="M39" s="344" t="n"/>
      <c r="N39" s="344" t="n"/>
      <c r="O39" s="344" t="n"/>
      <c r="P39" s="344" t="n"/>
      <c r="Q39" s="344" t="n"/>
      <c r="R39" s="344">
        <f>IF(AND(F39:Q39),1,0)</f>
        <v/>
      </c>
    </row>
    <row r="40" ht="20.1" customHeight="1">
      <c r="A40" s="344" t="n">
        <v>5</v>
      </c>
      <c r="B40" s="72" t="inlineStr">
        <is>
          <t>APS2_healthy</t>
        </is>
      </c>
      <c r="C40" s="72" t="n"/>
      <c r="D40" s="72" t="n"/>
      <c r="E40" s="72" t="n"/>
      <c r="F40" s="344">
        <f>F36</f>
        <v/>
      </c>
      <c r="G40" s="344">
        <f>IF(NOT(F40),1,0)</f>
        <v/>
      </c>
      <c r="H40" s="344" t="n"/>
      <c r="I40" s="344" t="n"/>
      <c r="J40" s="344" t="n"/>
      <c r="K40" s="344" t="n"/>
      <c r="L40" s="344" t="n"/>
      <c r="M40" s="344" t="n"/>
      <c r="N40" s="344" t="n"/>
      <c r="O40" s="344" t="n"/>
      <c r="P40" s="344" t="n"/>
      <c r="Q40" s="344" t="n"/>
      <c r="R40" s="344">
        <f>IF(AND(F40:Q40),1,0)</f>
        <v/>
      </c>
    </row>
    <row r="41" ht="20.1" customHeight="1">
      <c r="A41" s="344" t="n"/>
      <c r="B41" s="72" t="inlineStr">
        <is>
          <t>LFC11</t>
        </is>
      </c>
      <c r="C41" s="72" t="n"/>
      <c r="D41" s="72" t="n"/>
      <c r="E41" s="72" t="n"/>
      <c r="F41" s="344" t="n"/>
      <c r="G41" s="344" t="n"/>
      <c r="H41" s="344">
        <f>IF(AND(F38,G39:G40),1,0)</f>
        <v/>
      </c>
      <c r="I41" s="344" t="n"/>
      <c r="J41" s="344" t="n"/>
      <c r="K41" s="344" t="n"/>
      <c r="L41" s="344" t="n"/>
      <c r="M41" s="344" t="n"/>
      <c r="N41" s="344" t="n"/>
      <c r="O41" s="344" t="n"/>
      <c r="P41" s="344" t="n"/>
      <c r="Q41" s="344" t="n"/>
      <c r="R41" s="344" t="n"/>
    </row>
    <row r="42" ht="20.1" customHeight="1">
      <c r="A42" s="344" t="n">
        <v>6</v>
      </c>
      <c r="B42" s="72" t="inlineStr">
        <is>
          <t>VDU command</t>
        </is>
      </c>
      <c r="C42" s="72" t="n"/>
      <c r="D42" s="72" t="n"/>
      <c r="E42" s="72" t="n"/>
      <c r="F42" s="344">
        <f>HVAC_IOs!D27</f>
        <v/>
      </c>
      <c r="G42" s="344" t="n"/>
      <c r="H42" s="344" t="n"/>
      <c r="I42" s="344" t="n"/>
      <c r="J42" s="344" t="n"/>
      <c r="K42" s="344" t="n"/>
      <c r="L42" s="344" t="n"/>
      <c r="M42" s="344" t="n"/>
      <c r="N42" s="344" t="n"/>
      <c r="O42" s="344" t="n"/>
      <c r="P42" s="344" t="n"/>
      <c r="Q42" s="344" t="n"/>
      <c r="R42" s="344">
        <f>IF(AND(F42:Q42),1,0)</f>
        <v/>
      </c>
    </row>
    <row r="43" ht="20.1" customHeight="1">
      <c r="A43" s="344" t="n">
        <v>7</v>
      </c>
      <c r="B43" s="72" t="inlineStr">
        <is>
          <t>HVAC system status</t>
        </is>
      </c>
      <c r="C43" s="72" t="n"/>
      <c r="D43" s="72" t="n"/>
      <c r="E43" s="72" t="n"/>
      <c r="F43" s="344">
        <f>IF(Calculation!B56=1,0,1)</f>
        <v/>
      </c>
      <c r="G43" s="344" t="n"/>
      <c r="H43" s="344" t="n"/>
      <c r="I43" s="344" t="n"/>
      <c r="J43" s="344" t="n"/>
      <c r="K43" s="344" t="n"/>
      <c r="L43" s="344" t="n"/>
      <c r="M43" s="344" t="n"/>
      <c r="N43" s="344" t="n"/>
      <c r="O43" s="344" t="n"/>
      <c r="P43" s="344" t="n"/>
      <c r="Q43" s="344" t="n"/>
      <c r="R43" s="344">
        <f>IF(AND(F43:Q43),1,0)</f>
        <v/>
      </c>
    </row>
    <row r="44" ht="20.1" customHeight="1">
      <c r="A44" s="148" t="n">
        <v>8</v>
      </c>
      <c r="B44" s="149" t="inlineStr">
        <is>
          <t>Emergency ventilation</t>
        </is>
      </c>
      <c r="C44" s="149" t="n"/>
      <c r="D44" s="149" t="n"/>
      <c r="E44" s="149" t="n"/>
      <c r="F44" s="148" t="n"/>
      <c r="G44" s="148" t="n"/>
      <c r="H44" s="148" t="n"/>
      <c r="I44" s="148">
        <f>IF(OR(H37,H41,F42),1,0)</f>
        <v/>
      </c>
      <c r="J44" s="148" t="n"/>
      <c r="K44" s="148" t="n"/>
      <c r="L44" s="148" t="n"/>
      <c r="M44" s="148" t="n"/>
      <c r="N44" s="148" t="n"/>
      <c r="O44" s="148" t="n"/>
      <c r="P44" s="148" t="n"/>
      <c r="Q44" s="148" t="n"/>
      <c r="R44" s="148">
        <f>IF(AND(F44:Q44),1,0)</f>
        <v/>
      </c>
    </row>
    <row r="45" ht="24.95" customHeight="1">
      <c r="A45" s="148" t="n">
        <v>9</v>
      </c>
      <c r="B45" s="149" t="inlineStr">
        <is>
          <t>Feedback_indication</t>
        </is>
      </c>
      <c r="C45" s="149" t="n"/>
      <c r="D45" s="149" t="n"/>
      <c r="E45" s="149" t="n"/>
      <c r="F45" s="148" t="n"/>
      <c r="G45" s="148" t="n"/>
      <c r="H45" s="148" t="n"/>
      <c r="I45" s="148">
        <f>F43</f>
        <v/>
      </c>
      <c r="J45" s="148" t="n"/>
      <c r="K45" s="148" t="n"/>
      <c r="L45" s="148" t="n"/>
      <c r="M45" s="148" t="n"/>
      <c r="N45" s="148" t="n"/>
      <c r="O45" s="148" t="n"/>
      <c r="P45" s="148" t="n"/>
      <c r="Q45" s="148" t="n"/>
      <c r="R45" s="148">
        <f>IF(AND(F45:Q45),1,0)</f>
        <v/>
      </c>
    </row>
    <row r="48" ht="20.1" customHeight="1">
      <c r="A48" s="725" t="inlineStr">
        <is>
          <t>3. HVAC Staggered Starting</t>
        </is>
      </c>
      <c r="B48" s="798" t="n"/>
      <c r="C48" s="798" t="n"/>
      <c r="D48" s="798" t="n"/>
      <c r="E48" s="798" t="n"/>
      <c r="F48" s="798" t="n"/>
      <c r="G48" s="798" t="n"/>
      <c r="H48" s="798" t="n"/>
      <c r="I48" s="798" t="n"/>
      <c r="J48" s="798" t="n"/>
      <c r="K48" s="798" t="n"/>
      <c r="L48" s="798" t="n"/>
      <c r="M48" s="798" t="n"/>
      <c r="N48" s="798" t="n"/>
      <c r="O48" s="798" t="n"/>
      <c r="P48" s="798" t="n"/>
      <c r="Q48" s="798" t="n"/>
      <c r="R48" s="309" t="n"/>
    </row>
    <row r="49" ht="20.1" customHeight="1">
      <c r="A49" s="344" t="n">
        <v>1</v>
      </c>
      <c r="B49" s="376" t="inlineStr">
        <is>
          <t>APS_1_ok</t>
        </is>
      </c>
      <c r="C49" s="72" t="n"/>
      <c r="D49" s="72" t="n"/>
      <c r="E49" s="72" t="n"/>
      <c r="F49" s="344">
        <f>HVAC_IOs!D15</f>
        <v/>
      </c>
      <c r="G49" s="344" t="n"/>
      <c r="H49" s="344" t="n"/>
      <c r="I49" s="344" t="n"/>
      <c r="J49" s="344" t="n"/>
      <c r="K49" s="344" t="n"/>
      <c r="L49" s="344" t="n"/>
      <c r="M49" s="344" t="n"/>
      <c r="N49" s="344" t="n"/>
      <c r="O49" s="344" t="n"/>
      <c r="P49" s="344" t="n"/>
      <c r="Q49" s="344" t="n"/>
      <c r="R49" s="344">
        <f>IF(AND(F49:Q49),1,0)</f>
        <v/>
      </c>
    </row>
    <row r="50" ht="20.1" customHeight="1">
      <c r="A50" s="344" t="n">
        <v>2</v>
      </c>
      <c r="B50" s="376" t="inlineStr">
        <is>
          <t>APS_2_ok</t>
        </is>
      </c>
      <c r="C50" s="72" t="n"/>
      <c r="D50" s="72" t="n"/>
      <c r="E50" s="72" t="n"/>
      <c r="F50" s="344">
        <f>HVAC_IOs!D26</f>
        <v/>
      </c>
      <c r="G50" s="344" t="n"/>
      <c r="H50" s="344" t="n"/>
      <c r="I50" s="344" t="n"/>
      <c r="J50" s="344" t="n"/>
      <c r="K50" s="344" t="n"/>
      <c r="L50" s="344" t="n"/>
      <c r="M50" s="344" t="n"/>
      <c r="N50" s="344" t="n"/>
      <c r="O50" s="344" t="n"/>
      <c r="P50" s="344" t="n"/>
      <c r="Q50" s="344" t="n"/>
      <c r="R50" s="344">
        <f>IF(AND(F50:Q50),1,0)</f>
        <v/>
      </c>
    </row>
    <row r="51" ht="20.1" customHeight="1">
      <c r="A51" s="344" t="n"/>
      <c r="B51" s="376" t="inlineStr">
        <is>
          <t>LFC 03</t>
        </is>
      </c>
      <c r="C51" s="72" t="n"/>
      <c r="D51" s="72" t="n"/>
      <c r="E51" s="72" t="n"/>
      <c r="F51" s="344" t="n"/>
      <c r="G51" s="344">
        <f>IF(AND(F49:F50),1,0)</f>
        <v/>
      </c>
      <c r="H51" s="344" t="n"/>
      <c r="I51" s="344" t="n"/>
      <c r="J51" s="344" t="n"/>
      <c r="K51" s="344" t="n"/>
      <c r="L51" s="344" t="n"/>
      <c r="M51" s="344" t="n"/>
      <c r="N51" s="344" t="n"/>
      <c r="O51" s="344" t="n"/>
      <c r="P51" s="344" t="n"/>
      <c r="Q51" s="344" t="n"/>
      <c r="R51" s="344" t="n"/>
    </row>
    <row r="52" ht="20.1" customHeight="1">
      <c r="A52" s="344" t="n">
        <v>3</v>
      </c>
      <c r="B52" s="376" t="inlineStr">
        <is>
          <t>START_Command_TCMS</t>
        </is>
      </c>
      <c r="C52" s="72" t="n"/>
      <c r="D52" s="72" t="n"/>
      <c r="E52" s="72" t="n"/>
      <c r="F52" s="344">
        <f>HVAC_IOs!D18</f>
        <v/>
      </c>
      <c r="G52" s="344" t="n"/>
      <c r="H52" s="344" t="n"/>
      <c r="I52" s="344" t="n"/>
      <c r="J52" s="344" t="n"/>
      <c r="K52" s="344" t="n"/>
      <c r="L52" s="344" t="n"/>
      <c r="M52" s="344" t="n"/>
      <c r="N52" s="344" t="n"/>
      <c r="O52" s="344" t="n"/>
      <c r="P52" s="344" t="n"/>
      <c r="Q52" s="344" t="n"/>
      <c r="R52" s="344">
        <f>IF(AND(F52:Q52),1,0)</f>
        <v/>
      </c>
    </row>
    <row r="53" ht="20.1" customHeight="1">
      <c r="A53" s="344" t="n">
        <v>4</v>
      </c>
      <c r="B53" s="376" t="inlineStr">
        <is>
          <t>START_allow</t>
        </is>
      </c>
      <c r="C53" s="72" t="n"/>
      <c r="D53" s="72" t="n"/>
      <c r="E53" s="72" t="n"/>
      <c r="F53" s="344">
        <f>G58</f>
        <v/>
      </c>
      <c r="G53" s="344" t="n"/>
      <c r="H53" s="344" t="n"/>
      <c r="I53" s="344" t="n"/>
      <c r="J53" s="344" t="n"/>
      <c r="K53" s="344" t="n"/>
      <c r="L53" s="344" t="n"/>
      <c r="M53" s="344" t="n"/>
      <c r="N53" s="344" t="n"/>
      <c r="O53" s="344" t="n"/>
      <c r="P53" s="344" t="n"/>
      <c r="Q53" s="344" t="n"/>
      <c r="R53" s="344">
        <f>IF(AND(F53:Q53),1,10)</f>
        <v/>
      </c>
    </row>
    <row r="54" ht="20.1" customHeight="1">
      <c r="A54" s="344" t="n">
        <v>5</v>
      </c>
      <c r="B54" s="376" t="inlineStr">
        <is>
          <t>Comp_2_Start</t>
        </is>
      </c>
      <c r="C54" s="72" t="n"/>
      <c r="D54" s="72" t="n"/>
      <c r="E54" s="72" t="n"/>
      <c r="F54" s="344">
        <f>G61</f>
        <v/>
      </c>
      <c r="G54" s="344" t="n"/>
      <c r="H54" s="344" t="n"/>
      <c r="I54" s="344" t="n"/>
      <c r="J54" s="344" t="n"/>
      <c r="K54" s="344" t="n"/>
      <c r="L54" s="344" t="n"/>
      <c r="M54" s="344" t="n"/>
      <c r="N54" s="344" t="n"/>
      <c r="O54" s="344" t="n"/>
      <c r="P54" s="344" t="n"/>
      <c r="Q54" s="344" t="n"/>
      <c r="R54" s="344">
        <f>IF(AND(F54:Q54),1,0)</f>
        <v/>
      </c>
    </row>
    <row r="55" ht="20.1" customHeight="1">
      <c r="A55" s="344" t="n">
        <v>6</v>
      </c>
      <c r="B55" s="376" t="inlineStr">
        <is>
          <t>Load_Cooling_Level_5</t>
        </is>
      </c>
      <c r="C55" s="72" t="n"/>
      <c r="D55" s="72" t="n"/>
      <c r="E55" s="72" t="n"/>
      <c r="F55" s="350" t="n">
        <v>1</v>
      </c>
      <c r="G55" s="344" t="n"/>
      <c r="H55" s="344" t="n"/>
      <c r="I55" s="344" t="n"/>
      <c r="J55" s="344" t="n"/>
      <c r="K55" s="344" t="n"/>
      <c r="L55" s="344" t="n"/>
      <c r="M55" s="344" t="n"/>
      <c r="N55" s="344" t="n"/>
      <c r="O55" s="344" t="n"/>
      <c r="P55" s="344" t="n"/>
      <c r="Q55" s="344" t="n"/>
      <c r="R55" s="344">
        <f>IF(AND(F55:Q55),1,0)</f>
        <v/>
      </c>
    </row>
    <row r="56" ht="20.1" customHeight="1">
      <c r="A56" s="344" t="n">
        <v>7</v>
      </c>
      <c r="B56" s="376" t="inlineStr">
        <is>
          <t>Comp_3_Start</t>
        </is>
      </c>
      <c r="C56" s="72" t="n"/>
      <c r="D56" s="72" t="n"/>
      <c r="E56" s="72" t="n"/>
      <c r="F56" s="344">
        <f>G63</f>
        <v/>
      </c>
      <c r="G56" s="344" t="n"/>
      <c r="H56" s="344" t="n"/>
      <c r="I56" s="344" t="n"/>
      <c r="J56" s="344" t="n"/>
      <c r="K56" s="344" t="n"/>
      <c r="L56" s="344" t="n"/>
      <c r="M56" s="344" t="n"/>
      <c r="N56" s="344" t="n"/>
      <c r="O56" s="344" t="n"/>
      <c r="P56" s="344" t="n"/>
      <c r="Q56" s="344" t="n"/>
      <c r="R56" s="344">
        <f>IF(AND(F56:Q56),1,0)</f>
        <v/>
      </c>
    </row>
    <row r="57" ht="20.1" customHeight="1">
      <c r="A57" s="344" t="n">
        <v>8</v>
      </c>
      <c r="B57" s="376" t="inlineStr">
        <is>
          <t>Load_Cooling_level_7</t>
        </is>
      </c>
      <c r="C57" s="72" t="n"/>
      <c r="D57" s="72" t="n"/>
      <c r="E57" s="72" t="n"/>
      <c r="F57" s="350" t="n">
        <v>1</v>
      </c>
      <c r="G57" s="344" t="n"/>
      <c r="H57" s="344" t="n"/>
      <c r="I57" s="344" t="n"/>
      <c r="J57" s="344" t="n"/>
      <c r="K57" s="344" t="n"/>
      <c r="L57" s="344" t="n"/>
      <c r="M57" s="344" t="n"/>
      <c r="N57" s="344" t="n"/>
      <c r="O57" s="344" t="n"/>
      <c r="P57" s="344" t="n"/>
      <c r="Q57" s="344" t="n"/>
      <c r="R57" s="344">
        <f>IF(AND(F57:Q57),1,0)</f>
        <v/>
      </c>
    </row>
    <row r="58" ht="20.1" customHeight="1">
      <c r="A58" s="148" t="n">
        <v>9</v>
      </c>
      <c r="B58" s="377" t="inlineStr">
        <is>
          <t>START_allow</t>
        </is>
      </c>
      <c r="C58" s="149" t="n"/>
      <c r="D58" s="149" t="n"/>
      <c r="E58" s="149" t="n"/>
      <c r="F58" s="148" t="n"/>
      <c r="G58" s="148">
        <f>IF(AND(G51,B52),1,0)</f>
        <v/>
      </c>
      <c r="H58" s="148" t="n"/>
      <c r="I58" s="148" t="n"/>
      <c r="J58" s="148" t="n"/>
      <c r="K58" s="148" t="n"/>
      <c r="L58" s="148" t="n"/>
      <c r="M58" s="148" t="n"/>
      <c r="N58" s="148" t="n"/>
      <c r="O58" s="148" t="n"/>
      <c r="P58" s="148" t="n"/>
      <c r="Q58" s="148" t="n"/>
      <c r="R58" s="148">
        <f>IF(AND(F58:Q58),1,0)</f>
        <v/>
      </c>
    </row>
    <row r="59" ht="20.1" customHeight="1">
      <c r="A59" s="148" t="n">
        <v>10</v>
      </c>
      <c r="B59" s="377" t="inlineStr">
        <is>
          <t>Comp_1_Start</t>
        </is>
      </c>
      <c r="C59" s="149" t="n"/>
      <c r="D59" s="149" t="n"/>
      <c r="E59" s="149" t="n"/>
      <c r="F59" s="148" t="n"/>
      <c r="G59" s="148">
        <f>F53</f>
        <v/>
      </c>
      <c r="H59" s="148" t="n"/>
      <c r="I59" s="148" t="n"/>
      <c r="J59" s="148" t="n"/>
      <c r="K59" s="148" t="n"/>
      <c r="L59" s="148" t="n"/>
      <c r="M59" s="148" t="n"/>
      <c r="N59" s="148" t="n"/>
      <c r="O59" s="148" t="n"/>
      <c r="P59" s="148" t="n"/>
      <c r="Q59" s="148" t="n"/>
      <c r="R59" s="148">
        <f>IF(AND(G59:Q59),1,0)</f>
        <v/>
      </c>
    </row>
    <row r="60" ht="20.1" customFormat="1" customHeight="1" s="72">
      <c r="A60" s="344" t="n">
        <v>11</v>
      </c>
      <c r="B60" s="376" t="inlineStr">
        <is>
          <t>1_sec_delay</t>
        </is>
      </c>
      <c r="G60" s="344">
        <f>F53</f>
        <v/>
      </c>
      <c r="R60" s="72">
        <f>IF(AND(G60:Q60),1,0)</f>
        <v/>
      </c>
    </row>
    <row r="61" ht="20.1" customHeight="1">
      <c r="A61" s="148" t="n">
        <v>12</v>
      </c>
      <c r="B61" s="377" t="inlineStr">
        <is>
          <t>Comp_2_Start</t>
        </is>
      </c>
      <c r="C61" s="149" t="n"/>
      <c r="D61" s="149" t="n"/>
      <c r="E61" s="149" t="n"/>
      <c r="F61" s="148" t="n"/>
      <c r="G61" s="148">
        <f>G60</f>
        <v/>
      </c>
      <c r="H61" s="148" t="n"/>
      <c r="I61" s="148" t="n"/>
      <c r="J61" s="148" t="n"/>
      <c r="K61" s="148" t="n"/>
      <c r="L61" s="148" t="n"/>
      <c r="M61" s="148" t="n"/>
      <c r="N61" s="148" t="n"/>
      <c r="O61" s="148" t="n"/>
      <c r="P61" s="148" t="n"/>
      <c r="Q61" s="148" t="n"/>
      <c r="R61" s="148">
        <f>IF(AND(G61:Q61),1,0)</f>
        <v/>
      </c>
    </row>
    <row r="62" ht="20.1" customHeight="1">
      <c r="A62" s="148" t="n">
        <v>13</v>
      </c>
      <c r="B62" s="377" t="inlineStr">
        <is>
          <t>1_sec_delay</t>
        </is>
      </c>
      <c r="C62" s="149" t="n"/>
      <c r="D62" s="149" t="n"/>
      <c r="E62" s="149" t="n"/>
      <c r="F62" s="148" t="n"/>
      <c r="G62" s="148">
        <f>IF(AND(F54:F55),1,0)</f>
        <v/>
      </c>
      <c r="H62" s="148" t="n"/>
      <c r="I62" s="148" t="n"/>
      <c r="J62" s="148" t="n"/>
      <c r="K62" s="148" t="n"/>
      <c r="L62" s="148" t="n"/>
      <c r="M62" s="148" t="n"/>
      <c r="N62" s="148" t="n"/>
      <c r="O62" s="148" t="n"/>
      <c r="P62" s="148" t="n"/>
      <c r="Q62" s="148" t="n"/>
      <c r="R62" s="148">
        <f>IF(AND(G62:Q62),1,0)</f>
        <v/>
      </c>
    </row>
    <row r="63" ht="20.1" customHeight="1">
      <c r="A63" s="148" t="n">
        <v>14</v>
      </c>
      <c r="B63" s="377" t="inlineStr">
        <is>
          <t>Com_3_start</t>
        </is>
      </c>
      <c r="C63" s="149" t="n"/>
      <c r="D63" s="149" t="n"/>
      <c r="E63" s="149" t="n"/>
      <c r="F63" s="148" t="n"/>
      <c r="G63" s="148">
        <f>G62</f>
        <v/>
      </c>
      <c r="H63" s="148" t="n"/>
      <c r="I63" s="148" t="n"/>
      <c r="J63" s="148" t="n"/>
      <c r="K63" s="148" t="n"/>
      <c r="L63" s="148" t="n"/>
      <c r="M63" s="148" t="n"/>
      <c r="N63" s="148" t="n"/>
      <c r="O63" s="148" t="n"/>
      <c r="P63" s="148" t="n"/>
      <c r="Q63" s="148" t="n"/>
      <c r="R63" s="148">
        <f>IF(AND(G63:Q63),1,0)</f>
        <v/>
      </c>
    </row>
    <row r="64" ht="20.1" customHeight="1">
      <c r="A64" s="148" t="n">
        <v>15</v>
      </c>
      <c r="B64" s="377" t="inlineStr">
        <is>
          <t>1_sec_delay</t>
        </is>
      </c>
      <c r="C64" s="149" t="n"/>
      <c r="D64" s="149" t="n"/>
      <c r="E64" s="149" t="n"/>
      <c r="F64" s="148" t="n"/>
      <c r="G64" s="148">
        <f>IF(AND(F56:F57),1,0)</f>
        <v/>
      </c>
      <c r="H64" s="148" t="n"/>
      <c r="I64" s="148" t="n"/>
      <c r="J64" s="148" t="n"/>
      <c r="K64" s="148" t="n"/>
      <c r="L64" s="148" t="n"/>
      <c r="M64" s="148" t="n"/>
      <c r="N64" s="148" t="n"/>
      <c r="O64" s="148" t="n"/>
      <c r="P64" s="148" t="n"/>
      <c r="Q64" s="148" t="n"/>
      <c r="R64" s="148">
        <f>IF(AND(G64:Q64),1,0)</f>
        <v/>
      </c>
    </row>
    <row r="65" ht="20.1" customHeight="1">
      <c r="A65" s="148" t="n">
        <v>16</v>
      </c>
      <c r="B65" s="377" t="inlineStr">
        <is>
          <t>comp_4_start</t>
        </is>
      </c>
      <c r="C65" s="149" t="n"/>
      <c r="D65" s="149" t="n"/>
      <c r="E65" s="149" t="n"/>
      <c r="F65" s="148" t="n"/>
      <c r="G65" s="148">
        <f>G64</f>
        <v/>
      </c>
      <c r="H65" s="148" t="n"/>
      <c r="I65" s="148" t="n"/>
      <c r="J65" s="148" t="n"/>
      <c r="K65" s="148" t="n"/>
      <c r="L65" s="148" t="n"/>
      <c r="M65" s="148" t="n"/>
      <c r="N65" s="148" t="n"/>
      <c r="O65" s="148" t="n"/>
      <c r="P65" s="148" t="n"/>
      <c r="Q65" s="148" t="n"/>
      <c r="R65" s="148">
        <f>IF(AND(G65:Q65),1,0)</f>
        <v/>
      </c>
    </row>
    <row r="70" ht="20.1" customHeight="1">
      <c r="A70" s="726" t="inlineStr">
        <is>
          <t>4. Out side Smoke</t>
        </is>
      </c>
      <c r="B70" s="798" t="n"/>
      <c r="C70" s="798" t="n"/>
      <c r="D70" s="798" t="n"/>
      <c r="E70" s="798" t="n"/>
      <c r="F70" s="798" t="n"/>
      <c r="G70" s="798" t="n"/>
      <c r="H70" s="798" t="n"/>
      <c r="I70" s="798" t="n"/>
      <c r="J70" s="798" t="n"/>
      <c r="K70" s="798" t="n"/>
      <c r="L70" s="798" t="n"/>
      <c r="M70" s="798" t="n"/>
      <c r="N70" s="798" t="n"/>
      <c r="O70" s="798" t="n"/>
      <c r="P70" s="798" t="n"/>
      <c r="Q70" s="798" t="n"/>
      <c r="R70" s="309" t="n"/>
    </row>
    <row r="71" ht="20.1" customHeight="1">
      <c r="A71" s="65" t="n">
        <v>1</v>
      </c>
      <c r="B71" s="66" t="inlineStr">
        <is>
          <t>HVAC1_SMDR_de-energized</t>
        </is>
      </c>
      <c r="C71" s="66" t="n"/>
      <c r="D71" s="66" t="n"/>
      <c r="E71" s="66" t="n"/>
      <c r="F71" s="65">
        <f>HVAC_IOs!D5</f>
        <v/>
      </c>
      <c r="G71" s="65" t="n"/>
      <c r="H71" s="65" t="n"/>
      <c r="I71" s="65" t="n"/>
      <c r="J71" s="65" t="n"/>
      <c r="K71" s="65" t="n"/>
      <c r="L71" s="65" t="n"/>
      <c r="M71" s="65" t="n"/>
      <c r="N71" s="65" t="n"/>
      <c r="O71" s="65" t="n"/>
      <c r="P71" s="65" t="n"/>
      <c r="Q71" s="65" t="n"/>
      <c r="R71" s="65">
        <f>IF(AND(F71:Q71),1,0)</f>
        <v/>
      </c>
    </row>
    <row r="72" ht="20.1" customHeight="1">
      <c r="A72" s="65" t="n">
        <v>2</v>
      </c>
      <c r="B72" s="66" t="inlineStr">
        <is>
          <t>HVAC2_SMDR_de-energized</t>
        </is>
      </c>
      <c r="C72" s="66" t="n"/>
      <c r="D72" s="66" t="n"/>
      <c r="E72" s="66" t="n"/>
      <c r="F72" s="65">
        <f>HVAC_IOs!D5</f>
        <v/>
      </c>
      <c r="G72" s="65" t="n"/>
      <c r="H72" s="65" t="n"/>
      <c r="I72" s="65" t="n"/>
      <c r="J72" s="65" t="n"/>
      <c r="K72" s="65" t="n"/>
      <c r="L72" s="65" t="n"/>
      <c r="M72" s="65" t="n"/>
      <c r="N72" s="65" t="n"/>
      <c r="O72" s="65" t="n"/>
      <c r="P72" s="65" t="n"/>
      <c r="Q72" s="65" t="n"/>
      <c r="R72" s="65">
        <f>IF(AND(F72:Q72),1,0)</f>
        <v/>
      </c>
    </row>
    <row r="73" ht="20.1" customHeight="1">
      <c r="A73" s="65" t="n">
        <v>3</v>
      </c>
      <c r="B73" s="66" t="inlineStr">
        <is>
          <t>SMRR_relay_reset</t>
        </is>
      </c>
      <c r="C73" s="66" t="n"/>
      <c r="D73" s="66" t="n"/>
      <c r="E73" s="66" t="n"/>
      <c r="F73" s="65">
        <f>HVAC_IOs!K27</f>
        <v/>
      </c>
      <c r="G73" s="65">
        <f>IF(NOT(F73),1,0)</f>
        <v/>
      </c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>
        <f>IF(AND(F73:Q73),1,0)</f>
        <v/>
      </c>
    </row>
    <row r="74" ht="20.1" customHeight="1">
      <c r="A74" s="148" t="n">
        <v>4</v>
      </c>
      <c r="B74" s="149" t="inlineStr">
        <is>
          <t>Command_compressor_1_OFF</t>
        </is>
      </c>
      <c r="C74" s="149" t="n"/>
      <c r="D74" s="149" t="n"/>
      <c r="E74" s="149" t="n"/>
      <c r="F74" s="148" t="n"/>
      <c r="G74" s="148" t="n"/>
      <c r="H74" s="148">
        <f>IF(AND(F71:F72,G73),1,0)</f>
        <v/>
      </c>
      <c r="I74" s="148" t="n"/>
      <c r="J74" s="148" t="n"/>
      <c r="K74" s="148" t="n"/>
      <c r="L74" s="148" t="n"/>
      <c r="M74" s="148" t="n"/>
      <c r="N74" s="148" t="n"/>
      <c r="O74" s="148" t="n"/>
      <c r="P74" s="148" t="n"/>
      <c r="Q74" s="148" t="n"/>
      <c r="R74" s="148">
        <f>IF(AND(F74:Q74),1,0)</f>
        <v/>
      </c>
    </row>
    <row r="75" ht="20.1" customHeight="1">
      <c r="A75" s="148" t="n">
        <v>5</v>
      </c>
      <c r="B75" s="149" t="inlineStr">
        <is>
          <t>Command_compressor_2_OFF</t>
        </is>
      </c>
      <c r="C75" s="149" t="n"/>
      <c r="D75" s="149" t="n"/>
      <c r="E75" s="149" t="n"/>
      <c r="F75" s="148" t="n"/>
      <c r="G75" s="148" t="n"/>
      <c r="H75" s="148">
        <f>IF(AND(F71,F72,G73),1,0)</f>
        <v/>
      </c>
      <c r="I75" s="148" t="n"/>
      <c r="J75" s="148" t="n"/>
      <c r="K75" s="148" t="n"/>
      <c r="L75" s="148" t="n"/>
      <c r="M75" s="148" t="n"/>
      <c r="N75" s="148" t="n"/>
      <c r="O75" s="148" t="n"/>
      <c r="P75" s="148" t="n"/>
      <c r="Q75" s="148" t="n"/>
      <c r="R75" s="148">
        <f>IF(AND(H75:Q75),1,0)</f>
        <v/>
      </c>
    </row>
    <row r="76" ht="20.1" customHeight="1">
      <c r="A76" s="148" t="n">
        <v>6</v>
      </c>
      <c r="B76" s="149" t="inlineStr">
        <is>
          <t>Command_compressor_1_OFF</t>
        </is>
      </c>
      <c r="C76" s="149" t="n"/>
      <c r="D76" s="149" t="n"/>
      <c r="E76" s="149" t="n"/>
      <c r="F76" s="148" t="n"/>
      <c r="G76" s="148" t="n"/>
      <c r="H76" s="148">
        <f>IF(AND(F71:F72,G73),1,0)</f>
        <v/>
      </c>
      <c r="I76" s="148" t="n"/>
      <c r="J76" s="148" t="n"/>
      <c r="K76" s="148" t="n"/>
      <c r="L76" s="148" t="n"/>
      <c r="M76" s="148" t="n"/>
      <c r="N76" s="148" t="n"/>
      <c r="O76" s="148" t="n"/>
      <c r="P76" s="148" t="n"/>
      <c r="Q76" s="148" t="n"/>
      <c r="R76" s="148">
        <f>IF(AND(H76:Q76),1,0)</f>
        <v/>
      </c>
    </row>
    <row r="77" ht="20.1" customHeight="1">
      <c r="A77" s="148" t="n">
        <v>7</v>
      </c>
      <c r="B77" s="149" t="inlineStr">
        <is>
          <t>Command_compressor_2_OFF</t>
        </is>
      </c>
      <c r="C77" s="149" t="n"/>
      <c r="D77" s="149" t="n"/>
      <c r="E77" s="149" t="n"/>
      <c r="F77" s="148" t="n"/>
      <c r="G77" s="148" t="n"/>
      <c r="H77" s="148">
        <f>IF(AND(F71:F72,G73),1,0)</f>
        <v/>
      </c>
      <c r="I77" s="148" t="n"/>
      <c r="J77" s="148" t="n"/>
      <c r="K77" s="148" t="n"/>
      <c r="L77" s="148" t="n"/>
      <c r="M77" s="148" t="n"/>
      <c r="N77" s="148" t="n"/>
      <c r="O77" s="148" t="n"/>
      <c r="P77" s="148" t="n"/>
      <c r="Q77" s="148" t="n"/>
      <c r="R77" s="148">
        <f>IF(AND(H77:Q77),1,0)</f>
        <v/>
      </c>
    </row>
    <row r="78" ht="20.1" customHeight="1">
      <c r="A78" s="148" t="n">
        <v>8</v>
      </c>
      <c r="B78" s="149" t="inlineStr">
        <is>
          <t>Command_return_air_damper_Close</t>
        </is>
      </c>
      <c r="C78" s="149" t="n"/>
      <c r="D78" s="149" t="n"/>
      <c r="E78" s="149" t="n"/>
      <c r="F78" s="148" t="n"/>
      <c r="G78" s="148" t="n"/>
      <c r="H78" s="148">
        <f>IF(AND(F71:F72,G73),1,0)</f>
        <v/>
      </c>
      <c r="I78" s="148" t="n"/>
      <c r="J78" s="148" t="n"/>
      <c r="K78" s="148" t="n"/>
      <c r="L78" s="148" t="n"/>
      <c r="M78" s="148" t="n"/>
      <c r="N78" s="148" t="n"/>
      <c r="O78" s="148" t="n"/>
      <c r="P78" s="148" t="n"/>
      <c r="Q78" s="148" t="n"/>
      <c r="R78" s="148">
        <f>IF(AND(H78:Q78),1,0)</f>
        <v/>
      </c>
    </row>
    <row r="79" ht="20.1" customHeight="1">
      <c r="A79" s="148" t="n">
        <v>9</v>
      </c>
      <c r="B79" s="149" t="inlineStr">
        <is>
          <t>Command_supply_air_fan_OFF</t>
        </is>
      </c>
      <c r="C79" s="149" t="n"/>
      <c r="D79" s="149" t="n"/>
      <c r="E79" s="149" t="n"/>
      <c r="F79" s="148" t="n"/>
      <c r="G79" s="148" t="n"/>
      <c r="H79" s="148">
        <f>IF(AND(F71:F72,G73),1,0)</f>
        <v/>
      </c>
      <c r="I79" s="148" t="n"/>
      <c r="J79" s="148" t="n"/>
      <c r="K79" s="148" t="n"/>
      <c r="L79" s="148" t="n"/>
      <c r="M79" s="148" t="n"/>
      <c r="N79" s="148" t="n"/>
      <c r="O79" s="148" t="n"/>
      <c r="P79" s="148" t="n"/>
      <c r="Q79" s="148" t="n"/>
      <c r="R79" s="148">
        <f>IF(AND(H79:Q79),1,0)</f>
        <v/>
      </c>
    </row>
    <row r="80" ht="20.1" customHeight="1">
      <c r="A80" s="148" t="n">
        <v>10</v>
      </c>
      <c r="B80" s="149" t="inlineStr">
        <is>
          <t>Command_fresh_air_damper_Close</t>
        </is>
      </c>
      <c r="C80" s="149" t="n"/>
      <c r="D80" s="149" t="n"/>
      <c r="E80" s="149" t="n"/>
      <c r="F80" s="148" t="n"/>
      <c r="G80" s="148" t="n"/>
      <c r="H80" s="148">
        <f>IF(AND(F71:F72,G73),1,0)</f>
        <v/>
      </c>
      <c r="I80" s="148" t="n"/>
      <c r="J80" s="148" t="n"/>
      <c r="K80" s="148" t="n"/>
      <c r="L80" s="148" t="n"/>
      <c r="M80" s="148" t="n"/>
      <c r="N80" s="148" t="n"/>
      <c r="O80" s="148" t="n"/>
      <c r="P80" s="148" t="n"/>
      <c r="Q80" s="148" t="n"/>
      <c r="R80" s="148">
        <f>IF(AND(H80:Q80),1,0)</f>
        <v/>
      </c>
    </row>
    <row r="81" ht="20.1" customHeight="1">
      <c r="A81" s="148" t="n">
        <v>11</v>
      </c>
      <c r="B81" s="149" t="inlineStr">
        <is>
          <t>FADR_close_full_train</t>
        </is>
      </c>
      <c r="C81" s="149" t="n"/>
      <c r="D81" s="149" t="n"/>
      <c r="E81" s="149" t="n"/>
      <c r="F81" s="148" t="n"/>
      <c r="G81" s="148" t="n"/>
      <c r="H81" s="148">
        <f>IF(AND(F71:F72,G73),1,0)</f>
        <v/>
      </c>
      <c r="I81" s="148" t="n"/>
      <c r="J81" s="148" t="n"/>
      <c r="K81" s="148" t="n"/>
      <c r="L81" s="148" t="n"/>
      <c r="M81" s="148" t="n"/>
      <c r="N81" s="148" t="n"/>
      <c r="O81" s="148" t="n"/>
      <c r="P81" s="148" t="n"/>
      <c r="Q81" s="148" t="n"/>
      <c r="R81" s="148">
        <f>IF(AND(H81:Q81),1,0)</f>
        <v/>
      </c>
    </row>
    <row r="86" ht="20.1" customHeight="1">
      <c r="A86" s="726" t="inlineStr">
        <is>
          <t>5. Inside Smoke</t>
        </is>
      </c>
      <c r="B86" s="798" t="n"/>
      <c r="C86" s="798" t="n"/>
      <c r="D86" s="798" t="n"/>
      <c r="E86" s="798" t="n"/>
      <c r="F86" s="798" t="n"/>
      <c r="G86" s="798" t="n"/>
      <c r="H86" s="798" t="n"/>
      <c r="I86" s="798" t="n"/>
      <c r="J86" s="798" t="n"/>
      <c r="K86" s="798" t="n"/>
      <c r="L86" s="798" t="n"/>
      <c r="M86" s="798" t="n"/>
      <c r="N86" s="798" t="n"/>
      <c r="O86" s="798" t="n"/>
      <c r="P86" s="798" t="n"/>
      <c r="Q86" s="798" t="n"/>
      <c r="R86" s="309" t="n"/>
    </row>
    <row r="88" ht="20.1" customHeight="1">
      <c r="A88" s="65" t="n">
        <v>1</v>
      </c>
      <c r="B88" s="66" t="inlineStr">
        <is>
          <t>Inside_smoke_active(FDU_low)</t>
        </is>
      </c>
      <c r="C88" s="66" t="n"/>
      <c r="D88" s="66" t="n"/>
      <c r="E88" s="66" t="n"/>
      <c r="F88" s="65">
        <f>HVAC_IOs!D4</f>
        <v/>
      </c>
      <c r="G88" s="65" t="n"/>
      <c r="H88" s="65" t="n"/>
      <c r="I88" s="65" t="n"/>
      <c r="J88" s="65" t="n"/>
      <c r="K88" s="65" t="n"/>
      <c r="L88" s="65" t="n"/>
      <c r="M88" s="65" t="n"/>
      <c r="N88" s="65" t="n"/>
      <c r="O88" s="65" t="n"/>
      <c r="P88" s="65" t="n"/>
      <c r="Q88" s="65" t="n"/>
      <c r="R88" s="65">
        <f>IF(AND(F88:Q88),1,0)</f>
        <v/>
      </c>
    </row>
    <row r="89" ht="20.1" customHeight="1">
      <c r="A89" s="65" t="n">
        <v>2</v>
      </c>
      <c r="B89" s="66" t="inlineStr">
        <is>
          <t>HVAC_in_ON_condition</t>
        </is>
      </c>
      <c r="C89" s="66" t="n"/>
      <c r="D89" s="66" t="n"/>
      <c r="E89" s="66" t="n"/>
      <c r="F89" s="65" t="n">
        <v>1</v>
      </c>
      <c r="G89" s="65" t="n"/>
      <c r="H89" s="65" t="n"/>
      <c r="I89" s="65" t="n"/>
      <c r="J89" s="65" t="n"/>
      <c r="K89" s="65" t="n"/>
      <c r="L89" s="65" t="n"/>
      <c r="M89" s="65" t="n"/>
      <c r="N89" s="65" t="n"/>
      <c r="O89" s="65" t="n"/>
      <c r="P89" s="65" t="n"/>
      <c r="Q89" s="65" t="n"/>
      <c r="R89" s="65">
        <f>IF(AND(F89:Q89),1,0)</f>
        <v/>
      </c>
    </row>
    <row r="90" ht="20.1" customHeight="1">
      <c r="A90" s="351" t="n">
        <v>3</v>
      </c>
      <c r="B90" s="352" t="inlineStr">
        <is>
          <t>Command_compressor_1_OFF</t>
        </is>
      </c>
      <c r="C90" s="352" t="n"/>
      <c r="D90" s="352" t="n"/>
      <c r="E90" s="352" t="n"/>
      <c r="F90" s="351" t="n"/>
      <c r="G90" s="351">
        <f>IF(AND(F88:F89),1,0)</f>
        <v/>
      </c>
      <c r="H90" s="351" t="n"/>
      <c r="I90" s="351" t="n"/>
      <c r="J90" s="351" t="n"/>
      <c r="K90" s="351" t="n"/>
      <c r="L90" s="351" t="n"/>
      <c r="M90" s="351" t="n"/>
      <c r="N90" s="351" t="n"/>
      <c r="O90" s="351" t="n"/>
      <c r="P90" s="351" t="n"/>
      <c r="Q90" s="351" t="n"/>
      <c r="R90" s="351">
        <f>IF(AND(G90:Q90),1,0)</f>
        <v/>
      </c>
    </row>
    <row r="91" ht="20.1" customHeight="1">
      <c r="A91" s="351" t="n">
        <v>4</v>
      </c>
      <c r="B91" s="352" t="inlineStr">
        <is>
          <t>Command_compressor_2_OFF</t>
        </is>
      </c>
      <c r="C91" s="352" t="n"/>
      <c r="D91" s="352" t="n"/>
      <c r="E91" s="352" t="n"/>
      <c r="F91" s="351" t="n"/>
      <c r="G91" s="351">
        <f>IF(AND(F88:F89),1,0)</f>
        <v/>
      </c>
      <c r="H91" s="351" t="n"/>
      <c r="I91" s="351" t="n"/>
      <c r="J91" s="351" t="n"/>
      <c r="K91" s="351" t="n"/>
      <c r="L91" s="351" t="n"/>
      <c r="M91" s="351" t="n"/>
      <c r="N91" s="351" t="n"/>
      <c r="O91" s="351" t="n"/>
      <c r="P91" s="351" t="n"/>
      <c r="Q91" s="351" t="n"/>
      <c r="R91" s="351">
        <f>IF(AND(G91:Q91),1,0)</f>
        <v/>
      </c>
    </row>
    <row r="92" ht="20.1" customHeight="1">
      <c r="A92" s="351" t="n">
        <v>5</v>
      </c>
      <c r="B92" s="352" t="inlineStr">
        <is>
          <t>Command_compressor_3_OFF</t>
        </is>
      </c>
      <c r="C92" s="352" t="n"/>
      <c r="D92" s="352" t="n"/>
      <c r="E92" s="352" t="n"/>
      <c r="F92" s="351" t="n"/>
      <c r="G92" s="351">
        <f>IF(AND(F88:F89),1,0)</f>
        <v/>
      </c>
      <c r="H92" s="351" t="n"/>
      <c r="I92" s="351" t="n"/>
      <c r="J92" s="351" t="n"/>
      <c r="K92" s="351" t="n"/>
      <c r="L92" s="351" t="n"/>
      <c r="M92" s="351" t="n"/>
      <c r="N92" s="351" t="n"/>
      <c r="O92" s="351" t="n"/>
      <c r="P92" s="351" t="n"/>
      <c r="Q92" s="351" t="n"/>
      <c r="R92" s="351">
        <f>IF(AND(G92:Q92),1,0)</f>
        <v/>
      </c>
    </row>
    <row r="93" ht="20.1" customHeight="1">
      <c r="A93" s="351" t="n">
        <v>6</v>
      </c>
      <c r="B93" s="352" t="inlineStr">
        <is>
          <t>Command_compressor_4_OFF</t>
        </is>
      </c>
      <c r="C93" s="352" t="n"/>
      <c r="D93" s="352" t="n"/>
      <c r="E93" s="352" t="n"/>
      <c r="F93" s="351" t="n"/>
      <c r="G93" s="351">
        <f>IF(AND(F88:F89),1,0)</f>
        <v/>
      </c>
      <c r="H93" s="351" t="n"/>
      <c r="I93" s="351" t="n"/>
      <c r="J93" s="351" t="n"/>
      <c r="K93" s="351" t="n"/>
      <c r="L93" s="351" t="n"/>
      <c r="M93" s="351" t="n"/>
      <c r="N93" s="351" t="n"/>
      <c r="O93" s="351" t="n"/>
      <c r="P93" s="351" t="n"/>
      <c r="Q93" s="351" t="n"/>
      <c r="R93" s="351">
        <f>IF(AND(G93:Q93),1,0)</f>
        <v/>
      </c>
    </row>
    <row r="94" ht="20.1" customHeight="1">
      <c r="A94" s="351" t="n">
        <v>7</v>
      </c>
      <c r="B94" s="352" t="inlineStr">
        <is>
          <t>Command_return_Air_damper_close</t>
        </is>
      </c>
      <c r="C94" s="352" t="n"/>
      <c r="D94" s="352" t="n"/>
      <c r="E94" s="352" t="n"/>
      <c r="F94" s="351" t="n"/>
      <c r="G94" s="351">
        <f>IF(AND(F88:F89),1,0)</f>
        <v/>
      </c>
      <c r="H94" s="351" t="n"/>
      <c r="I94" s="351" t="n"/>
      <c r="J94" s="351" t="n"/>
      <c r="K94" s="351" t="n"/>
      <c r="L94" s="351" t="n"/>
      <c r="M94" s="351" t="n"/>
      <c r="N94" s="351" t="n"/>
      <c r="O94" s="351" t="n"/>
      <c r="P94" s="351" t="n"/>
      <c r="Q94" s="351" t="n"/>
      <c r="R94" s="351">
        <f>IF(AND(G94:Q94),1,0)</f>
        <v/>
      </c>
    </row>
    <row r="95" ht="20.1" customHeight="1">
      <c r="A95" s="351" t="n">
        <v>8</v>
      </c>
      <c r="B95" s="352" t="inlineStr">
        <is>
          <t>command_supply_air_fan_OFF</t>
        </is>
      </c>
      <c r="C95" s="352" t="n"/>
      <c r="D95" s="352" t="n"/>
      <c r="E95" s="352" t="n"/>
      <c r="F95" s="351" t="n"/>
      <c r="G95" s="351">
        <f>IF(AND(F88:F89),1,0)</f>
        <v/>
      </c>
      <c r="H95" s="351" t="n"/>
      <c r="I95" s="351" t="n"/>
      <c r="J95" s="351" t="n"/>
      <c r="K95" s="351" t="n"/>
      <c r="L95" s="351" t="n"/>
      <c r="M95" s="351" t="n"/>
      <c r="N95" s="351" t="n"/>
      <c r="O95" s="351" t="n"/>
      <c r="P95" s="351" t="n"/>
      <c r="Q95" s="351" t="n"/>
      <c r="R95" s="351">
        <f>IF(AND(G95:Q95),1,0)</f>
        <v/>
      </c>
    </row>
    <row r="96" ht="20.1" customHeight="1">
      <c r="A96" s="351" t="n">
        <v>9</v>
      </c>
      <c r="B96" s="352" t="inlineStr">
        <is>
          <t>command_fresh_air_damper_close</t>
        </is>
      </c>
      <c r="C96" s="352" t="n"/>
      <c r="D96" s="352" t="n"/>
      <c r="E96" s="352" t="n"/>
      <c r="F96" s="351" t="n"/>
      <c r="G96" s="351">
        <f>IF(AND(F88:F89),1,)</f>
        <v/>
      </c>
      <c r="H96" s="351" t="n"/>
      <c r="I96" s="351" t="n"/>
      <c r="J96" s="351" t="n"/>
      <c r="K96" s="351" t="n"/>
      <c r="L96" s="351" t="n"/>
      <c r="M96" s="351" t="n"/>
      <c r="N96" s="351" t="n"/>
      <c r="O96" s="351" t="n"/>
      <c r="P96" s="351" t="n"/>
      <c r="Q96" s="351" t="n"/>
      <c r="R96" s="351">
        <f>IF(AND(G96:Q96),1,0)</f>
        <v/>
      </c>
    </row>
    <row r="101" ht="20.1" customHeight="1">
      <c r="A101" s="725" t="inlineStr">
        <is>
          <t>6. Cooling Multiple Stages</t>
        </is>
      </c>
      <c r="B101" s="798" t="n"/>
      <c r="C101" s="798" t="n"/>
      <c r="D101" s="798" t="n"/>
      <c r="E101" s="798" t="n"/>
      <c r="F101" s="798" t="n"/>
      <c r="G101" s="798" t="n"/>
      <c r="H101" s="798" t="n"/>
      <c r="I101" s="798" t="n"/>
      <c r="J101" s="798" t="n"/>
      <c r="K101" s="798" t="n"/>
      <c r="L101" s="798" t="n"/>
      <c r="M101" s="798" t="n"/>
      <c r="N101" s="798" t="n"/>
      <c r="O101" s="798" t="n"/>
      <c r="P101" s="798" t="n"/>
      <c r="Q101" s="798" t="n"/>
      <c r="R101" s="309" t="n"/>
    </row>
    <row r="103" ht="20.1" customHeight="1">
      <c r="A103" s="344" t="n">
        <v>1</v>
      </c>
      <c r="B103" s="72" t="inlineStr">
        <is>
          <t>HVAC_ON</t>
        </is>
      </c>
      <c r="C103" s="72" t="n"/>
      <c r="D103" s="72" t="n"/>
      <c r="E103" s="72" t="n"/>
      <c r="F103" s="350" t="n">
        <v>1</v>
      </c>
      <c r="G103" s="344" t="n"/>
      <c r="H103" s="344" t="n"/>
      <c r="I103" s="344" t="n"/>
      <c r="J103" s="344" t="n"/>
      <c r="K103" s="344" t="n"/>
      <c r="L103" s="344" t="n"/>
      <c r="M103" s="344" t="n"/>
      <c r="N103" s="344" t="n"/>
      <c r="O103" s="344" t="n"/>
      <c r="P103" s="344" t="n"/>
      <c r="Q103" s="344" t="n"/>
      <c r="R103" s="344">
        <f>IF(AND(F103:Q103),1,0)</f>
        <v/>
      </c>
    </row>
    <row r="104" ht="20.1" customHeight="1">
      <c r="A104" s="344" t="n">
        <v>2</v>
      </c>
      <c r="B104" s="72" t="inlineStr">
        <is>
          <t>Cooling_mode selected</t>
        </is>
      </c>
      <c r="C104" s="72" t="n"/>
      <c r="D104" s="72" t="n"/>
      <c r="E104" s="72" t="n"/>
      <c r="F104" s="350">
        <f>HVAC_IOs!D20</f>
        <v/>
      </c>
      <c r="G104" s="344" t="n"/>
      <c r="H104" s="344" t="n"/>
      <c r="I104" s="344" t="n"/>
      <c r="J104" s="344" t="n"/>
      <c r="K104" s="344" t="n"/>
      <c r="L104" s="344" t="n"/>
      <c r="M104" s="344" t="n"/>
      <c r="N104" s="344" t="n"/>
      <c r="O104" s="344" t="n"/>
      <c r="P104" s="344" t="n"/>
      <c r="Q104" s="344" t="n"/>
      <c r="R104" s="344">
        <f>IF(AND(F104:Q104),1,0)</f>
        <v/>
      </c>
    </row>
    <row r="105" ht="20.1" customHeight="1">
      <c r="A105" s="344" t="n">
        <v>3</v>
      </c>
      <c r="B105" s="72" t="inlineStr">
        <is>
          <t>RAT&gt;Cooling_set_point</t>
        </is>
      </c>
      <c r="C105" s="72" t="n"/>
      <c r="D105" s="72" t="n"/>
      <c r="E105" s="72" t="n"/>
      <c r="F105" s="350">
        <f>IF(Calculation!B35&gt;Calculation!B33,1,0)</f>
        <v/>
      </c>
      <c r="G105" s="344" t="n"/>
      <c r="H105" s="344" t="n"/>
      <c r="I105" s="344" t="n"/>
      <c r="J105" s="344" t="n"/>
      <c r="K105" s="344" t="n"/>
      <c r="L105" s="344" t="n"/>
      <c r="M105" s="344" t="n"/>
      <c r="N105" s="344" t="n"/>
      <c r="O105" s="344" t="n"/>
      <c r="P105" s="344" t="n"/>
      <c r="Q105" s="344" t="n"/>
      <c r="R105" s="344">
        <f>IF(AND(F105:Q105),1,0)</f>
        <v/>
      </c>
    </row>
    <row r="106" ht="20.1" customHeight="1">
      <c r="A106" s="344" t="n">
        <v>4</v>
      </c>
      <c r="B106" s="72" t="inlineStr">
        <is>
          <t>HP_fault</t>
        </is>
      </c>
      <c r="C106" s="72" t="n"/>
      <c r="D106" s="72" t="n"/>
      <c r="E106" s="72" t="n"/>
      <c r="F106" s="350">
        <f>IF(AND(HVAC_IOs!R6=1,HVAC_IOs!R8=1),1,0)</f>
        <v/>
      </c>
      <c r="G106" s="344">
        <f>IF(NOT(F106),1,0)</f>
        <v/>
      </c>
      <c r="H106" s="344" t="n"/>
      <c r="I106" s="344" t="n"/>
      <c r="J106" s="344" t="n"/>
      <c r="K106" s="344" t="n"/>
      <c r="L106" s="344" t="n"/>
      <c r="M106" s="344" t="n"/>
      <c r="N106" s="344" t="n"/>
      <c r="O106" s="344" t="n"/>
      <c r="P106" s="344" t="n"/>
      <c r="Q106" s="344" t="n"/>
      <c r="R106" s="344">
        <f>IF(AND(G106:Q106),1,0)</f>
        <v/>
      </c>
    </row>
    <row r="107" ht="20.1" customHeight="1">
      <c r="A107" s="344" t="n">
        <v>5</v>
      </c>
      <c r="B107" s="72" t="inlineStr">
        <is>
          <t>LP_fault</t>
        </is>
      </c>
      <c r="C107" s="72" t="n"/>
      <c r="D107" s="72" t="n"/>
      <c r="E107" s="72" t="n"/>
      <c r="F107" s="350">
        <f>IF(AND(HVAC_IOs!R7=1,HVAC_IOs!R9=1),1,0)</f>
        <v/>
      </c>
      <c r="G107" s="344">
        <f>IF(NOT(F107),1,0)</f>
        <v/>
      </c>
      <c r="H107" s="344" t="n"/>
      <c r="I107" s="344" t="n"/>
      <c r="J107" s="344" t="n"/>
      <c r="K107" s="344" t="n"/>
      <c r="L107" s="344" t="n"/>
      <c r="M107" s="344" t="n"/>
      <c r="N107" s="344" t="n"/>
      <c r="O107" s="344" t="n"/>
      <c r="P107" s="344" t="n"/>
      <c r="Q107" s="344" t="n"/>
      <c r="R107" s="344">
        <f>IF(AND(G107:Q107),1,0)</f>
        <v/>
      </c>
    </row>
    <row r="108" ht="20.1" customHeight="1">
      <c r="A108" s="344" t="n">
        <v>6</v>
      </c>
      <c r="B108" s="72" t="inlineStr">
        <is>
          <t>CB_fault</t>
        </is>
      </c>
      <c r="C108" s="72" t="n"/>
      <c r="D108" s="72" t="n"/>
      <c r="E108" s="72" t="n"/>
      <c r="F108" s="350" t="n">
        <v>0</v>
      </c>
      <c r="G108" s="344">
        <f>IF(NOT(F108),1,0)</f>
        <v/>
      </c>
      <c r="H108" s="344" t="n"/>
      <c r="I108" s="344" t="n"/>
      <c r="J108" s="344" t="n"/>
      <c r="K108" s="344" t="n"/>
      <c r="L108" s="344" t="n"/>
      <c r="M108" s="344" t="n"/>
      <c r="N108" s="344" t="n"/>
      <c r="O108" s="344" t="n"/>
      <c r="P108" s="344" t="n"/>
      <c r="Q108" s="344" t="n"/>
      <c r="R108" s="344">
        <f>IF(AND(G108:Q108),1,0)</f>
        <v/>
      </c>
    </row>
    <row r="109" ht="20.1" customHeight="1">
      <c r="A109" s="344" t="n">
        <v>7</v>
      </c>
      <c r="B109" s="72" t="inlineStr">
        <is>
          <t>SAFAN_fault</t>
        </is>
      </c>
      <c r="C109" s="72" t="n"/>
      <c r="D109" s="72" t="n"/>
      <c r="E109" s="72" t="n"/>
      <c r="F109" s="350">
        <f>IF(AND(HVAC_IOs!D45=1,HVAC_IOs!D46=1),0,1)</f>
        <v/>
      </c>
      <c r="G109" s="344">
        <f>IF(NOT(F109),1,0)</f>
        <v/>
      </c>
      <c r="H109" s="344" t="n"/>
      <c r="I109" s="344" t="n"/>
      <c r="J109" s="344" t="n"/>
      <c r="K109" s="344" t="n"/>
      <c r="L109" s="344" t="n"/>
      <c r="M109" s="344" t="n"/>
      <c r="N109" s="344" t="n"/>
      <c r="O109" s="344" t="n"/>
      <c r="P109" s="344" t="n"/>
      <c r="Q109" s="344" t="n"/>
      <c r="R109" s="344">
        <f>IF(AND(G109:Q109),1,0)</f>
        <v/>
      </c>
    </row>
    <row r="110" ht="20.1" customHeight="1">
      <c r="A110" s="148" t="n">
        <v>8</v>
      </c>
      <c r="B110" s="149" t="inlineStr">
        <is>
          <t>SAF_ON</t>
        </is>
      </c>
      <c r="C110" s="149" t="n"/>
      <c r="D110" s="149" t="n"/>
      <c r="E110" s="149" t="n"/>
      <c r="F110" s="148" t="n"/>
      <c r="G110" s="148" t="n"/>
      <c r="H110" s="148">
        <f>IF(AND(R103:R105,R106:R109),1,0)</f>
        <v/>
      </c>
      <c r="I110" s="148" t="n"/>
      <c r="J110" s="148" t="n"/>
      <c r="K110" s="148" t="n"/>
      <c r="L110" s="148" t="n"/>
      <c r="M110" s="148" t="n"/>
      <c r="N110" s="148" t="n"/>
      <c r="O110" s="148" t="n"/>
      <c r="P110" s="148" t="n"/>
      <c r="Q110" s="148" t="n"/>
      <c r="R110" s="148">
        <f>IF(AND(F110:Q110),1,0)</f>
        <v/>
      </c>
    </row>
    <row r="111" ht="20.1" customHeight="1">
      <c r="A111" s="148" t="n">
        <v>9</v>
      </c>
      <c r="B111" s="149" t="inlineStr">
        <is>
          <t>RAD_open</t>
        </is>
      </c>
      <c r="C111" s="149" t="n"/>
      <c r="D111" s="149" t="n"/>
      <c r="E111" s="149" t="n"/>
      <c r="F111" s="148" t="n"/>
      <c r="G111" s="148" t="n"/>
      <c r="H111" s="148">
        <f>IF(AND(R103:R105,R106:R109),1,0)</f>
        <v/>
      </c>
      <c r="I111" s="148" t="n"/>
      <c r="J111" s="148" t="n"/>
      <c r="K111" s="148" t="n"/>
      <c r="L111" s="148" t="n"/>
      <c r="M111" s="148" t="n"/>
      <c r="N111" s="148" t="n"/>
      <c r="O111" s="148" t="n"/>
      <c r="P111" s="148" t="n"/>
      <c r="Q111" s="148" t="n"/>
      <c r="R111" s="148">
        <f>IF(AND(H111:Q111),1,0)</f>
        <v/>
      </c>
    </row>
    <row r="112" ht="20.1" customHeight="1">
      <c r="A112" s="148" t="n">
        <v>10</v>
      </c>
      <c r="B112" s="149" t="inlineStr">
        <is>
          <t>Cooling_enable</t>
        </is>
      </c>
      <c r="C112" s="149" t="n"/>
      <c r="D112" s="149" t="n"/>
      <c r="E112" s="149" t="n"/>
      <c r="F112" s="148" t="n"/>
      <c r="G112" s="148" t="n"/>
      <c r="H112" s="148">
        <f>IF(AND(R103:R105,R106:R109),1,0)</f>
        <v/>
      </c>
      <c r="I112" s="148" t="n"/>
      <c r="J112" s="148" t="n"/>
      <c r="K112" s="148" t="n"/>
      <c r="L112" s="148" t="n"/>
      <c r="M112" s="148" t="n"/>
      <c r="N112" s="148" t="n"/>
      <c r="O112" s="148" t="n"/>
      <c r="P112" s="148" t="n"/>
      <c r="Q112" s="148" t="n"/>
      <c r="R112" s="148">
        <f>IF(AND(H112:Q112),1,0)</f>
        <v/>
      </c>
    </row>
    <row r="113" ht="20.1" customHeight="1">
      <c r="A113" s="148" t="n">
        <v>11</v>
      </c>
      <c r="B113" s="149" t="inlineStr">
        <is>
          <t>FAD_Open</t>
        </is>
      </c>
      <c r="C113" s="149" t="n"/>
      <c r="D113" s="149" t="n"/>
      <c r="E113" s="149" t="n"/>
      <c r="F113" s="148" t="n"/>
      <c r="G113" s="148" t="n"/>
      <c r="H113" s="148">
        <f>IF(AND(R103:R105,R106:R109),1,0)</f>
        <v/>
      </c>
      <c r="I113" s="148" t="n"/>
      <c r="J113" s="148" t="n"/>
      <c r="K113" s="148" t="n"/>
      <c r="L113" s="148" t="n"/>
      <c r="M113" s="148" t="n"/>
      <c r="N113" s="148" t="n"/>
      <c r="O113" s="148" t="n"/>
      <c r="P113" s="148" t="n"/>
      <c r="Q113" s="148" t="n"/>
      <c r="R113" s="148">
        <f>IF(AND(H113:Q113),1,0)</f>
        <v/>
      </c>
    </row>
    <row r="114" ht="20.1" customHeight="1">
      <c r="A114" s="148" t="n">
        <v>12</v>
      </c>
      <c r="B114" s="149" t="inlineStr">
        <is>
          <t>Condensor_fan_open</t>
        </is>
      </c>
      <c r="C114" s="149" t="n"/>
      <c r="D114" s="149" t="n"/>
      <c r="E114" s="149" t="n"/>
      <c r="F114" s="148" t="n"/>
      <c r="G114" s="148" t="n"/>
      <c r="H114" s="148">
        <f>IF(AND(R103:R105,R106:R109),1,0)</f>
        <v/>
      </c>
      <c r="I114" s="148" t="n"/>
      <c r="J114" s="148" t="n"/>
      <c r="K114" s="148" t="n"/>
      <c r="L114" s="148" t="n"/>
      <c r="M114" s="148" t="n"/>
      <c r="N114" s="148" t="n"/>
      <c r="O114" s="148" t="n"/>
      <c r="P114" s="148" t="n"/>
      <c r="Q114" s="148" t="n"/>
      <c r="R114" s="148">
        <f>IF(AND(H114:Q114),1,0)</f>
        <v/>
      </c>
    </row>
    <row r="119" ht="20.1" customHeight="1">
      <c r="A119" s="725" t="inlineStr">
        <is>
          <t>7. Fixed Speed Compressor</t>
        </is>
      </c>
      <c r="B119" s="798" t="n"/>
      <c r="C119" s="798" t="n"/>
      <c r="D119" s="798" t="n"/>
      <c r="E119" s="798" t="n"/>
      <c r="F119" s="798" t="n"/>
      <c r="G119" s="798" t="n"/>
      <c r="H119" s="798" t="n"/>
      <c r="I119" s="798" t="n"/>
      <c r="J119" s="798" t="n"/>
      <c r="K119" s="798" t="n"/>
      <c r="L119" s="798" t="n"/>
      <c r="M119" s="798" t="n"/>
      <c r="N119" s="798" t="n"/>
      <c r="O119" s="798" t="n"/>
      <c r="P119" s="798" t="n"/>
      <c r="Q119" s="798" t="n"/>
      <c r="R119" s="309" t="n"/>
    </row>
    <row r="121" ht="20.1" customHeight="1">
      <c r="A121" s="344" t="n">
        <v>1</v>
      </c>
      <c r="B121" s="72" t="inlineStr">
        <is>
          <t>Cooling_level_3</t>
        </is>
      </c>
      <c r="C121" s="72" t="n"/>
      <c r="D121" s="72" t="n"/>
      <c r="E121" s="72" t="n"/>
      <c r="F121" s="344">
        <f>IF(OR(Calculation!$B$59:$B$61),1,0)</f>
        <v/>
      </c>
      <c r="G121" s="344" t="n"/>
      <c r="H121" s="344" t="n"/>
      <c r="I121" s="344" t="n"/>
      <c r="J121" s="344" t="n"/>
      <c r="K121" s="344" t="n"/>
      <c r="L121" s="344" t="n"/>
      <c r="M121" s="344" t="n"/>
      <c r="N121" s="344" t="n"/>
      <c r="O121" s="344" t="n"/>
      <c r="P121" s="344" t="n"/>
      <c r="Q121" s="344" t="n"/>
      <c r="R121" s="344">
        <f>IF(AND(F121:Q121),1,0)</f>
        <v/>
      </c>
    </row>
    <row r="122" ht="20.1" customHeight="1">
      <c r="A122" s="344" t="n">
        <v>2</v>
      </c>
      <c r="B122" s="72" t="inlineStr">
        <is>
          <t>Cooling_level_4</t>
        </is>
      </c>
      <c r="C122" s="72" t="n"/>
      <c r="D122" s="72" t="n"/>
      <c r="E122" s="72" t="n"/>
      <c r="F122" s="344">
        <f>IF(OR(Calculation!$B$59:$B$61),1,0)</f>
        <v/>
      </c>
      <c r="G122" s="344" t="n"/>
      <c r="H122" s="344" t="n"/>
      <c r="I122" s="344" t="n"/>
      <c r="J122" s="344" t="n"/>
      <c r="K122" s="344" t="n"/>
      <c r="L122" s="344" t="n"/>
      <c r="M122" s="344" t="n"/>
      <c r="N122" s="344" t="n"/>
      <c r="O122" s="344" t="n"/>
      <c r="P122" s="344" t="n"/>
      <c r="Q122" s="344" t="n"/>
      <c r="R122" s="344">
        <f>IF(AND(F122:Q122),1,0)</f>
        <v/>
      </c>
    </row>
    <row r="123" ht="20.1" customHeight="1">
      <c r="A123" s="344" t="n">
        <v>3</v>
      </c>
      <c r="B123" s="72" t="inlineStr">
        <is>
          <t>Cooling_level_5</t>
        </is>
      </c>
      <c r="C123" s="72" t="n"/>
      <c r="D123" s="72" t="n"/>
      <c r="E123" s="72" t="n"/>
      <c r="F123" s="344">
        <f>IF(OR(Calculation!$B$59:$B$61),1,0)</f>
        <v/>
      </c>
      <c r="G123" s="344" t="n"/>
      <c r="H123" s="344" t="n"/>
      <c r="I123" s="344" t="n"/>
      <c r="J123" s="344" t="n"/>
      <c r="K123" s="344" t="n"/>
      <c r="L123" s="344" t="n"/>
      <c r="M123" s="344" t="n"/>
      <c r="N123" s="344" t="n"/>
      <c r="O123" s="344" t="n"/>
      <c r="P123" s="344" t="n"/>
      <c r="Q123" s="344" t="n"/>
      <c r="R123" s="344">
        <f>IF(AND(F123:Q123),1,0)</f>
        <v/>
      </c>
    </row>
    <row r="124" ht="20.1" customHeight="1">
      <c r="A124" s="344" t="n"/>
      <c r="B124" s="72" t="inlineStr">
        <is>
          <t>LFC04</t>
        </is>
      </c>
      <c r="C124" s="72" t="n"/>
      <c r="D124" s="72" t="n"/>
      <c r="E124" s="72" t="n"/>
      <c r="F124" s="344" t="n"/>
      <c r="G124" s="344">
        <f>IF(OR(F121:F123),1,0)</f>
        <v/>
      </c>
      <c r="H124" s="344" t="n"/>
      <c r="I124" s="344" t="n"/>
      <c r="J124" s="344" t="n"/>
      <c r="K124" s="344" t="n"/>
      <c r="L124" s="344" t="n"/>
      <c r="M124" s="344" t="n"/>
      <c r="N124" s="344" t="n"/>
      <c r="O124" s="344" t="n"/>
      <c r="P124" s="344" t="n"/>
      <c r="Q124" s="344" t="n"/>
      <c r="R124" s="344" t="n"/>
    </row>
    <row r="125" ht="20.1" customHeight="1">
      <c r="A125" s="344" t="n">
        <v>4</v>
      </c>
      <c r="B125" s="72" t="inlineStr">
        <is>
          <t>Cooling_level_6</t>
        </is>
      </c>
      <c r="C125" s="72" t="n"/>
      <c r="D125" s="72" t="n"/>
      <c r="E125" s="72" t="n"/>
      <c r="F125" s="344">
        <f>IF(OR(Calculation!$B$59:$B$61),1,0)</f>
        <v/>
      </c>
      <c r="G125" s="344" t="n"/>
      <c r="H125" s="344" t="n"/>
      <c r="I125" s="344" t="n"/>
      <c r="J125" s="344" t="n"/>
      <c r="K125" s="344" t="n"/>
      <c r="L125" s="344" t="n"/>
      <c r="M125" s="344" t="n"/>
      <c r="N125" s="344" t="n"/>
      <c r="O125" s="344" t="n"/>
      <c r="P125" s="344" t="n"/>
      <c r="Q125" s="344" t="n"/>
      <c r="R125" s="344">
        <f>IF(AND(F125:Q125),1,0)</f>
        <v/>
      </c>
    </row>
    <row r="126" ht="20.1" customHeight="1">
      <c r="A126" s="344" t="n">
        <v>5</v>
      </c>
      <c r="B126" s="72" t="inlineStr">
        <is>
          <t>Cooling_level_7</t>
        </is>
      </c>
      <c r="C126" s="72" t="n"/>
      <c r="D126" s="72" t="n"/>
      <c r="E126" s="72" t="n"/>
      <c r="F126" s="344">
        <f>IF(OR(Calculation!$B$59:$B$61),1,0)</f>
        <v/>
      </c>
      <c r="G126" s="344" t="n"/>
      <c r="H126" s="344" t="n"/>
      <c r="I126" s="344" t="n"/>
      <c r="J126" s="344" t="n"/>
      <c r="K126" s="344" t="n"/>
      <c r="L126" s="344" t="n"/>
      <c r="M126" s="344" t="n"/>
      <c r="N126" s="344" t="n"/>
      <c r="O126" s="344" t="n"/>
      <c r="P126" s="344" t="n"/>
      <c r="Q126" s="344" t="n"/>
      <c r="R126" s="344">
        <f>IF(AND(F126:Q126),1,0)</f>
        <v/>
      </c>
    </row>
    <row r="127" ht="20.1" customHeight="1">
      <c r="A127" s="344" t="n"/>
      <c r="B127" s="72" t="inlineStr">
        <is>
          <t>LFC07</t>
        </is>
      </c>
      <c r="C127" s="72" t="n"/>
      <c r="D127" s="72" t="n"/>
      <c r="E127" s="72" t="n"/>
      <c r="F127" s="344" t="n"/>
      <c r="G127" s="344">
        <f>IF(AND(F125:F126),1,0)</f>
        <v/>
      </c>
      <c r="H127" s="344" t="n"/>
      <c r="I127" s="344" t="n"/>
      <c r="J127" s="344" t="n"/>
      <c r="K127" s="344" t="n"/>
      <c r="L127" s="344" t="n"/>
      <c r="M127" s="344" t="n"/>
      <c r="N127" s="344" t="n"/>
      <c r="O127" s="344" t="n"/>
      <c r="P127" s="344" t="n"/>
      <c r="Q127" s="344" t="n"/>
      <c r="R127" s="344" t="n"/>
    </row>
    <row r="128" ht="20.1" customHeight="1">
      <c r="A128" s="344" t="n">
        <v>6</v>
      </c>
      <c r="B128" s="72" t="inlineStr">
        <is>
          <t>Cooling_level_8</t>
        </is>
      </c>
      <c r="C128" s="72" t="n"/>
      <c r="D128" s="72" t="n"/>
      <c r="E128" s="72" t="n"/>
      <c r="F128" s="344">
        <f>IF(OR(Calculation!$B$59:$B$61),1,0)</f>
        <v/>
      </c>
      <c r="G128" s="344" t="n"/>
      <c r="H128" s="344" t="n"/>
      <c r="I128" s="344" t="n"/>
      <c r="J128" s="344" t="n"/>
      <c r="K128" s="344" t="n"/>
      <c r="L128" s="344" t="n"/>
      <c r="M128" s="344" t="n"/>
      <c r="N128" s="344" t="n"/>
      <c r="O128" s="344" t="n"/>
      <c r="P128" s="344" t="n"/>
      <c r="Q128" s="344" t="n"/>
      <c r="R128" s="344">
        <f>IF(AND(F128:Q128),1,0)</f>
        <v/>
      </c>
    </row>
    <row r="129" ht="20.1" customHeight="1">
      <c r="A129" s="351" t="n">
        <v>7</v>
      </c>
      <c r="B129" s="352" t="inlineStr">
        <is>
          <t>Comp_QTY_1_nos</t>
        </is>
      </c>
      <c r="C129" s="352" t="n"/>
      <c r="D129" s="352" t="n"/>
      <c r="E129" s="352" t="n"/>
      <c r="F129" s="351" t="n"/>
      <c r="G129" s="351">
        <f>IF(OR(F121:F123),1,0)</f>
        <v/>
      </c>
      <c r="H129" s="351" t="n"/>
      <c r="I129" s="351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1">
        <f>IF(AND(F129:Q129),1,0)</f>
        <v/>
      </c>
    </row>
    <row r="130" ht="20.1" customHeight="1">
      <c r="A130" s="351" t="n">
        <v>8</v>
      </c>
      <c r="B130" s="352" t="inlineStr">
        <is>
          <t>Comp_QTY_2_nos</t>
        </is>
      </c>
      <c r="C130" s="352" t="n"/>
      <c r="D130" s="352" t="n"/>
      <c r="E130" s="352" t="n"/>
      <c r="F130" s="351" t="n"/>
      <c r="G130" s="351">
        <f>IF(OR(G127),1,0)</f>
        <v/>
      </c>
      <c r="H130" s="351" t="n"/>
      <c r="I130" s="351" t="n"/>
      <c r="J130" s="351" t="n"/>
      <c r="K130" s="351" t="n"/>
      <c r="L130" s="351" t="n"/>
      <c r="M130" s="351" t="n"/>
      <c r="N130" s="351" t="n"/>
      <c r="O130" s="351" t="n"/>
      <c r="P130" s="351" t="n"/>
      <c r="Q130" s="351" t="n"/>
      <c r="R130" s="351">
        <f>IF(AND(G130:Q130),1,0)</f>
        <v/>
      </c>
    </row>
    <row r="131" ht="20.1" customHeight="1">
      <c r="A131" s="351" t="n">
        <v>9</v>
      </c>
      <c r="B131" s="352" t="inlineStr">
        <is>
          <t>Comp_QTY_3_nos</t>
        </is>
      </c>
      <c r="C131" s="352" t="n"/>
      <c r="D131" s="352" t="n"/>
      <c r="E131" s="352" t="n"/>
      <c r="F131" s="351" t="n"/>
      <c r="G131" s="351" t="n"/>
      <c r="H131" s="351" t="n"/>
      <c r="I131" s="351" t="n"/>
      <c r="J131" s="351" t="n"/>
      <c r="K131" s="351" t="n"/>
      <c r="L131" s="351" t="n"/>
      <c r="M131" s="351" t="n"/>
      <c r="N131" s="351" t="n"/>
      <c r="O131" s="351" t="n"/>
      <c r="P131" s="351" t="n"/>
      <c r="Q131" s="351" t="n"/>
      <c r="R131" s="351" t="n"/>
    </row>
    <row r="136" ht="20.1" customHeight="1">
      <c r="A136" s="725" t="inlineStr">
        <is>
          <t>8. Variable Compressor</t>
        </is>
      </c>
      <c r="B136" s="798" t="n"/>
      <c r="C136" s="798" t="n"/>
      <c r="D136" s="798" t="n"/>
      <c r="E136" s="798" t="n"/>
      <c r="F136" s="798" t="n"/>
      <c r="G136" s="798" t="n"/>
      <c r="H136" s="798" t="n"/>
      <c r="I136" s="798" t="n"/>
      <c r="J136" s="798" t="n"/>
      <c r="K136" s="798" t="n"/>
      <c r="L136" s="798" t="n"/>
      <c r="M136" s="798" t="n"/>
      <c r="N136" s="798" t="n"/>
      <c r="O136" s="798" t="n"/>
      <c r="P136" s="798" t="n"/>
      <c r="Q136" s="798" t="n"/>
      <c r="R136" s="309" t="n"/>
    </row>
    <row r="138" ht="20.1" customHeight="1">
      <c r="A138" s="344" t="n">
        <v>1</v>
      </c>
      <c r="B138" s="72" t="inlineStr">
        <is>
          <t>Cooling_level_1</t>
        </is>
      </c>
      <c r="C138" s="72" t="n"/>
      <c r="D138" s="72" t="n"/>
      <c r="E138" s="72" t="n"/>
      <c r="F138" s="344">
        <f>Calculation!$B$76</f>
        <v/>
      </c>
      <c r="G138" s="344" t="n"/>
      <c r="H138" s="344" t="n"/>
      <c r="I138" s="344" t="n"/>
      <c r="J138" s="344" t="n"/>
      <c r="K138" s="344" t="n"/>
      <c r="L138" s="344" t="n"/>
      <c r="M138" s="344" t="n"/>
      <c r="N138" s="344" t="n"/>
      <c r="O138" s="344" t="n"/>
      <c r="P138" s="344" t="n"/>
      <c r="Q138" s="344" t="n"/>
      <c r="R138" s="344">
        <f>IF(AND(F138:Q138),1,0)</f>
        <v/>
      </c>
    </row>
    <row r="139" ht="20.1" customHeight="1">
      <c r="A139" s="344" t="n">
        <v>2</v>
      </c>
      <c r="B139" s="72" t="inlineStr">
        <is>
          <t>Cooling_level_2</t>
        </is>
      </c>
      <c r="C139" s="72" t="n"/>
      <c r="D139" s="72" t="n"/>
      <c r="E139" s="72" t="n"/>
      <c r="F139" s="344">
        <f>Calculation!$B$76</f>
        <v/>
      </c>
      <c r="G139" s="344" t="n"/>
      <c r="H139" s="344" t="n"/>
      <c r="I139" s="344" t="n"/>
      <c r="J139" s="344" t="n"/>
      <c r="K139" s="344" t="n"/>
      <c r="L139" s="344" t="n"/>
      <c r="M139" s="344" t="n"/>
      <c r="N139" s="344" t="n"/>
      <c r="O139" s="344" t="n"/>
      <c r="P139" s="344" t="n"/>
      <c r="Q139" s="344" t="n"/>
      <c r="R139" s="344">
        <f>IF(AND(F139:Q139),1,0)</f>
        <v/>
      </c>
    </row>
    <row r="140" ht="20.1" customHeight="1">
      <c r="A140" s="344" t="n">
        <v>3</v>
      </c>
      <c r="B140" s="72" t="inlineStr">
        <is>
          <t>Cooling_level_4</t>
        </is>
      </c>
      <c r="C140" s="72" t="n"/>
      <c r="D140" s="72" t="n"/>
      <c r="E140" s="72" t="n"/>
      <c r="F140" s="344">
        <f>Calculation!$B$76</f>
        <v/>
      </c>
      <c r="G140" s="344" t="n"/>
      <c r="H140" s="344" t="n"/>
      <c r="I140" s="344" t="n"/>
      <c r="J140" s="344" t="n"/>
      <c r="K140" s="344" t="n"/>
      <c r="L140" s="344" t="n"/>
      <c r="M140" s="344" t="n"/>
      <c r="N140" s="344" t="n"/>
      <c r="O140" s="344" t="n"/>
      <c r="P140" s="344" t="n"/>
      <c r="Q140" s="344" t="n"/>
      <c r="R140" s="344">
        <f>IF(AND(F140:Q140),1,0)</f>
        <v/>
      </c>
    </row>
    <row r="141" ht="20.1" customHeight="1">
      <c r="A141" s="344" t="n">
        <v>4</v>
      </c>
      <c r="B141" s="72" t="inlineStr">
        <is>
          <t>Cooling_level_5</t>
        </is>
      </c>
      <c r="C141" s="72" t="n"/>
      <c r="D141" s="72" t="n"/>
      <c r="E141" s="72" t="n"/>
      <c r="F141" s="344">
        <f>Calculation!$B$76</f>
        <v/>
      </c>
      <c r="G141" s="344" t="n"/>
      <c r="H141" s="344" t="n"/>
      <c r="I141" s="344" t="n"/>
      <c r="J141" s="344" t="n"/>
      <c r="K141" s="344" t="n"/>
      <c r="L141" s="344" t="n"/>
      <c r="M141" s="344" t="n"/>
      <c r="N141" s="344" t="n"/>
      <c r="O141" s="344" t="n"/>
      <c r="P141" s="344" t="n"/>
      <c r="Q141" s="344" t="n"/>
      <c r="R141" s="344">
        <f>IF(AND(F141:Q141),1,0)</f>
        <v/>
      </c>
    </row>
    <row r="142" ht="20.1" customHeight="1">
      <c r="A142" s="344" t="n">
        <v>5</v>
      </c>
      <c r="B142" s="72" t="inlineStr">
        <is>
          <t>Cooling_level_7</t>
        </is>
      </c>
      <c r="C142" s="72" t="n"/>
      <c r="D142" s="72" t="n"/>
      <c r="E142" s="72" t="n"/>
      <c r="F142" s="344">
        <f>Calculation!$B$76</f>
        <v/>
      </c>
      <c r="G142" s="344" t="n"/>
      <c r="H142" s="344" t="n"/>
      <c r="I142" s="344" t="n"/>
      <c r="J142" s="344" t="n"/>
      <c r="K142" s="344" t="n"/>
      <c r="L142" s="344" t="n"/>
      <c r="M142" s="344" t="n"/>
      <c r="N142" s="344" t="n"/>
      <c r="O142" s="344" t="n"/>
      <c r="P142" s="344" t="n"/>
      <c r="Q142" s="344" t="n"/>
      <c r="R142" s="344">
        <f>IF(AND(F142:Q142),1,0)</f>
        <v/>
      </c>
    </row>
    <row r="143" ht="20.1" customHeight="1">
      <c r="A143" s="351" t="n">
        <v>6</v>
      </c>
      <c r="B143" s="352" t="inlineStr">
        <is>
          <t>Comp_ON</t>
        </is>
      </c>
      <c r="C143" s="352" t="n"/>
      <c r="D143" s="352" t="n"/>
      <c r="E143" s="352" t="n"/>
      <c r="F143" s="351" t="n"/>
      <c r="G143" s="351">
        <f>IF(OR(R138:R142),1,0)</f>
        <v/>
      </c>
      <c r="H143" s="351" t="n"/>
      <c r="I143" s="351" t="n"/>
      <c r="J143" s="351" t="n"/>
      <c r="K143" s="351" t="n"/>
      <c r="L143" s="351" t="n"/>
      <c r="M143" s="351" t="n"/>
      <c r="N143" s="351" t="n"/>
      <c r="O143" s="351" t="n"/>
      <c r="P143" s="351" t="n"/>
      <c r="Q143" s="351" t="n"/>
      <c r="R143" s="351">
        <f>IF(AND(F143:Q143),1,0)</f>
        <v/>
      </c>
    </row>
    <row r="148" ht="20.1" customHeight="1">
      <c r="A148" s="725" t="inlineStr">
        <is>
          <t>9. Heating Mode</t>
        </is>
      </c>
      <c r="B148" s="798" t="n"/>
      <c r="C148" s="798" t="n"/>
      <c r="D148" s="798" t="n"/>
      <c r="E148" s="798" t="n"/>
      <c r="F148" s="798" t="n"/>
      <c r="G148" s="798" t="n"/>
      <c r="H148" s="798" t="n"/>
      <c r="I148" s="798" t="n"/>
      <c r="J148" s="798" t="n"/>
      <c r="K148" s="798" t="n"/>
      <c r="L148" s="798" t="n"/>
      <c r="M148" s="798" t="n"/>
      <c r="N148" s="798" t="n"/>
      <c r="O148" s="798" t="n"/>
      <c r="P148" s="798" t="n"/>
      <c r="Q148" s="798" t="n"/>
      <c r="R148" s="309" t="n"/>
    </row>
    <row r="150" ht="20.1" customHeight="1">
      <c r="A150" s="344" t="n">
        <v>1</v>
      </c>
      <c r="B150" s="72" t="inlineStr">
        <is>
          <t>Auto_mode_selected</t>
        </is>
      </c>
      <c r="C150" s="72" t="n"/>
      <c r="D150" s="72" t="n"/>
      <c r="E150" s="72" t="n"/>
      <c r="F150" s="344">
        <f>HVAC_IOs!D18</f>
        <v/>
      </c>
      <c r="G150" s="344" t="n"/>
      <c r="H150" s="344" t="n"/>
      <c r="I150" s="344" t="n"/>
      <c r="J150" s="344" t="n"/>
      <c r="K150" s="344" t="n"/>
      <c r="L150" s="344" t="n"/>
      <c r="M150" s="344" t="n"/>
      <c r="N150" s="344" t="n"/>
      <c r="O150" s="344" t="n"/>
      <c r="P150" s="344" t="n"/>
      <c r="Q150" s="344" t="n"/>
      <c r="R150" s="344">
        <f>IF(AND(F150:Q150),1,0)</f>
        <v/>
      </c>
    </row>
    <row r="151" ht="20.1" customHeight="1">
      <c r="A151" s="344" t="n">
        <v>2</v>
      </c>
      <c r="B151" s="72" t="inlineStr">
        <is>
          <t>No_standby_mode</t>
        </is>
      </c>
      <c r="C151" s="72" t="n"/>
      <c r="D151" s="72" t="n"/>
      <c r="E151" s="72" t="n"/>
      <c r="F151" s="344">
        <f>HVAC_IOs!D20</f>
        <v/>
      </c>
      <c r="G151" s="344" t="n"/>
      <c r="H151" s="344" t="n"/>
      <c r="I151" s="344" t="n"/>
      <c r="J151" s="344" t="n"/>
      <c r="K151" s="344" t="n"/>
      <c r="L151" s="344" t="n"/>
      <c r="M151" s="344" t="n"/>
      <c r="N151" s="344" t="n"/>
      <c r="O151" s="344" t="n"/>
      <c r="P151" s="344" t="n"/>
      <c r="Q151" s="344" t="n"/>
      <c r="R151" s="344">
        <f>IF(AND(F151:Q151),1,0)</f>
        <v/>
      </c>
    </row>
    <row r="152" ht="20.1" customHeight="1">
      <c r="A152" s="344" t="n">
        <v>3</v>
      </c>
      <c r="B152" s="72" t="inlineStr">
        <is>
          <t>No_APS_Load_reduction</t>
        </is>
      </c>
      <c r="C152" s="72" t="n"/>
      <c r="D152" s="72" t="n"/>
      <c r="E152" s="72" t="n"/>
      <c r="F152" s="344">
        <f>IF(AND(HVAC_IOs!D8=1,HVAC_IOs!D9=1),1,0)</f>
        <v/>
      </c>
      <c r="G152" s="344" t="n"/>
      <c r="H152" s="344" t="n"/>
      <c r="I152" s="344" t="n"/>
      <c r="J152" s="344" t="n"/>
      <c r="K152" s="344" t="n"/>
      <c r="L152" s="344" t="n"/>
      <c r="M152" s="344" t="n"/>
      <c r="N152" s="344" t="n"/>
      <c r="O152" s="344" t="n"/>
      <c r="P152" s="344" t="n"/>
      <c r="Q152" s="344" t="n"/>
      <c r="R152" s="344">
        <f>IF(AND(F152:Q152),1,0)</f>
        <v/>
      </c>
    </row>
    <row r="153" ht="20.1" customHeight="1">
      <c r="A153" s="344" t="n">
        <v>4</v>
      </c>
      <c r="B153" s="72" t="inlineStr">
        <is>
          <t>No_LVPS_Load_shed</t>
        </is>
      </c>
      <c r="C153" s="72" t="n"/>
      <c r="D153" s="72" t="n"/>
      <c r="E153" s="72" t="n"/>
      <c r="F153" s="350" t="n">
        <v>1</v>
      </c>
      <c r="G153" s="344" t="n"/>
      <c r="H153" s="344" t="n"/>
      <c r="I153" s="344" t="n"/>
      <c r="J153" s="344" t="n"/>
      <c r="K153" s="344" t="n"/>
      <c r="L153" s="344" t="n"/>
      <c r="M153" s="344" t="n"/>
      <c r="N153" s="344" t="n"/>
      <c r="O153" s="344" t="n"/>
      <c r="P153" s="344" t="n"/>
      <c r="Q153" s="344" t="n"/>
      <c r="R153" s="344">
        <f>IF(AND(F153:Q153),1,0)</f>
        <v/>
      </c>
    </row>
    <row r="154" ht="20.1" customHeight="1">
      <c r="A154" s="344" t="n">
        <v>5</v>
      </c>
      <c r="B154" s="72" t="inlineStr">
        <is>
          <t>No_fire_detected</t>
        </is>
      </c>
      <c r="C154" s="72" t="n"/>
      <c r="D154" s="72" t="n"/>
      <c r="E154" s="72" t="n"/>
      <c r="F154" s="344">
        <f>HVAC_IOs!D7</f>
        <v/>
      </c>
      <c r="G154" s="344" t="n"/>
      <c r="H154" s="344" t="n"/>
      <c r="I154" s="344" t="n"/>
      <c r="J154" s="344" t="n"/>
      <c r="K154" s="344" t="n"/>
      <c r="L154" s="344" t="n"/>
      <c r="M154" s="344" t="n"/>
      <c r="N154" s="344" t="n"/>
      <c r="O154" s="344" t="n"/>
      <c r="P154" s="344" t="n"/>
      <c r="Q154" s="344" t="n"/>
      <c r="R154" s="344">
        <f>IF(AND(F154:Q154),1,0)</f>
        <v/>
      </c>
    </row>
    <row r="155" ht="20.1" customHeight="1">
      <c r="A155" s="344" t="n">
        <v>6</v>
      </c>
      <c r="B155" s="72" t="inlineStr">
        <is>
          <t>Interior_temp_&lt;_set_Point</t>
        </is>
      </c>
      <c r="C155" s="72" t="n"/>
      <c r="D155" s="72" t="n"/>
      <c r="E155" s="72" t="n"/>
      <c r="F155" s="344">
        <f>IF(Calculation!B35&gt;Calculation!B33,1,0)</f>
        <v/>
      </c>
      <c r="G155" s="344" t="n"/>
      <c r="H155" s="344" t="n"/>
      <c r="I155" s="344" t="n"/>
      <c r="J155" s="344" t="n"/>
      <c r="K155" s="344" t="n"/>
      <c r="L155" s="344" t="n"/>
      <c r="M155" s="344" t="n"/>
      <c r="N155" s="344" t="n"/>
      <c r="O155" s="344" t="n"/>
      <c r="P155" s="344" t="n"/>
      <c r="Q155" s="344" t="n"/>
      <c r="R155" s="344">
        <f>IF(AND(F155:Q155),1,0)</f>
        <v/>
      </c>
    </row>
    <row r="156" ht="20.1" customHeight="1">
      <c r="A156" s="148" t="n">
        <v>7</v>
      </c>
      <c r="B156" s="149" t="inlineStr">
        <is>
          <t>Heating_Mode_enable</t>
        </is>
      </c>
      <c r="C156" s="149" t="n"/>
      <c r="D156" s="149" t="n"/>
      <c r="E156" s="149" t="n"/>
      <c r="F156" s="148" t="n"/>
      <c r="G156" s="148">
        <f>IF(AND(R150:R154),1,0)</f>
        <v/>
      </c>
      <c r="H156" s="148" t="n"/>
      <c r="I156" s="148" t="n"/>
      <c r="J156" s="148" t="n"/>
      <c r="K156" s="148" t="n"/>
      <c r="L156" s="148" t="n"/>
      <c r="M156" s="148" t="n"/>
      <c r="N156" s="148" t="n"/>
      <c r="O156" s="148" t="n"/>
      <c r="P156" s="148" t="n"/>
      <c r="Q156" s="148" t="n"/>
      <c r="R156" s="148">
        <f>IF(AND(F156:Q156),1,0)</f>
        <v/>
      </c>
    </row>
    <row r="157" ht="20.1" customHeight="1">
      <c r="A157" s="148" t="n">
        <v>8</v>
      </c>
      <c r="B157" s="149" t="inlineStr">
        <is>
          <t>Heater_ON(9kw)</t>
        </is>
      </c>
      <c r="C157" s="149" t="n"/>
      <c r="D157" s="149" t="n"/>
      <c r="E157" s="149" t="n"/>
      <c r="F157" s="148" t="n"/>
      <c r="G157" s="148" t="n"/>
      <c r="H157" s="148">
        <f>IF(AND(R156,R155),1,0)</f>
        <v/>
      </c>
      <c r="I157" s="148" t="n"/>
      <c r="J157" s="148" t="n"/>
      <c r="K157" s="148" t="n"/>
      <c r="L157" s="148" t="n"/>
      <c r="M157" s="148" t="n"/>
      <c r="N157" s="148" t="n"/>
      <c r="O157" s="148" t="n"/>
      <c r="P157" s="148" t="n"/>
      <c r="Q157" s="148" t="n"/>
      <c r="R157" s="148">
        <f>IF(AND(G157:Q157),1,0)</f>
        <v/>
      </c>
    </row>
    <row r="162" ht="20.1" customHeight="1">
      <c r="A162" s="725" t="inlineStr">
        <is>
          <t>10. Emergency Ventilation</t>
        </is>
      </c>
      <c r="B162" s="798" t="n"/>
      <c r="C162" s="798" t="n"/>
      <c r="D162" s="798" t="n"/>
      <c r="E162" s="798" t="n"/>
      <c r="F162" s="798" t="n"/>
      <c r="G162" s="798" t="n"/>
      <c r="H162" s="798" t="n"/>
      <c r="I162" s="798" t="n"/>
      <c r="J162" s="798" t="n"/>
      <c r="K162" s="798" t="n"/>
      <c r="L162" s="798" t="n"/>
      <c r="M162" s="798" t="n"/>
      <c r="N162" s="798" t="n"/>
      <c r="O162" s="798" t="n"/>
      <c r="P162" s="798" t="n"/>
      <c r="Q162" s="798" t="n"/>
      <c r="R162" s="309" t="n"/>
    </row>
    <row r="164" ht="20.1" customHeight="1">
      <c r="A164" s="344" t="n">
        <v>1</v>
      </c>
      <c r="B164" s="376" t="inlineStr">
        <is>
          <t>Command_emergency_mode</t>
        </is>
      </c>
      <c r="C164" s="72" t="n"/>
      <c r="D164" s="72" t="n"/>
      <c r="E164" s="72" t="n"/>
      <c r="F164" s="344">
        <f>HVAC_IOs!D20</f>
        <v/>
      </c>
      <c r="G164" s="344" t="n"/>
      <c r="H164" s="344" t="n"/>
      <c r="I164" s="344" t="n"/>
      <c r="J164" s="344" t="n"/>
      <c r="K164" s="344" t="n"/>
      <c r="L164" s="344" t="n"/>
      <c r="M164" s="344" t="n"/>
      <c r="N164" s="344" t="n"/>
      <c r="O164" s="344" t="n"/>
      <c r="P164" s="344" t="n"/>
      <c r="Q164" s="344" t="n"/>
      <c r="R164" s="344">
        <f>IF(AND(F164:Q164),1,0)</f>
        <v/>
      </c>
    </row>
    <row r="165" ht="20.1" customHeight="1">
      <c r="A165" s="344" t="n">
        <v>2</v>
      </c>
      <c r="B165" s="376" t="inlineStr">
        <is>
          <t>APS1_file</t>
        </is>
      </c>
      <c r="C165" s="72" t="n"/>
      <c r="D165" s="72" t="n"/>
      <c r="E165" s="72" t="n"/>
      <c r="F165" s="344">
        <f>HVAC_IOs!D15</f>
        <v/>
      </c>
      <c r="G165" s="344" t="n"/>
      <c r="H165" s="344" t="n"/>
      <c r="I165" s="344" t="n"/>
      <c r="J165" s="344" t="n"/>
      <c r="K165" s="344" t="n"/>
      <c r="L165" s="344" t="n"/>
      <c r="M165" s="344" t="n"/>
      <c r="N165" s="344" t="n"/>
      <c r="O165" s="344" t="n"/>
      <c r="P165" s="344" t="n"/>
      <c r="Q165" s="344" t="n"/>
      <c r="R165" s="344">
        <f>IF(AND(F165:Q165),1,0)</f>
        <v/>
      </c>
    </row>
    <row r="166" ht="20.1" customHeight="1">
      <c r="A166" s="344" t="n">
        <v>3</v>
      </c>
      <c r="B166" s="376" t="inlineStr">
        <is>
          <t>APS2_file</t>
        </is>
      </c>
      <c r="C166" s="72" t="n"/>
      <c r="D166" s="72" t="n"/>
      <c r="E166" s="72" t="n"/>
      <c r="F166" s="344">
        <f>HVAC_IOs!D26</f>
        <v/>
      </c>
      <c r="G166" s="344" t="n"/>
      <c r="H166" s="344" t="n"/>
      <c r="I166" s="344" t="n"/>
      <c r="J166" s="344" t="n"/>
      <c r="K166" s="344" t="n"/>
      <c r="L166" s="344" t="n"/>
      <c r="M166" s="344" t="n"/>
      <c r="N166" s="344" t="n"/>
      <c r="O166" s="344" t="n"/>
      <c r="P166" s="344" t="n"/>
      <c r="Q166" s="344" t="n"/>
      <c r="R166" s="344">
        <f>IF(AND(F166:Q166),1,0)</f>
        <v/>
      </c>
    </row>
    <row r="167" ht="20.1" customHeight="1">
      <c r="A167" s="344" t="n">
        <v>4</v>
      </c>
      <c r="B167" s="376" t="inlineStr">
        <is>
          <t>PPR1_trip</t>
        </is>
      </c>
      <c r="C167" s="72" t="n"/>
      <c r="D167" s="72" t="n"/>
      <c r="E167" s="72" t="n"/>
      <c r="F167" s="344">
        <f>HVAC_IOs!D8</f>
        <v/>
      </c>
      <c r="G167" s="344" t="n"/>
      <c r="H167" s="344" t="n"/>
      <c r="I167" s="344" t="n"/>
      <c r="J167" s="344" t="n"/>
      <c r="K167" s="344" t="n"/>
      <c r="L167" s="344" t="n"/>
      <c r="M167" s="344" t="n"/>
      <c r="N167" s="344" t="n"/>
      <c r="O167" s="344" t="n"/>
      <c r="P167" s="344" t="n"/>
      <c r="Q167" s="344" t="n"/>
      <c r="R167" s="344">
        <f>IF(AND(F167:Q167),1,0)</f>
        <v/>
      </c>
    </row>
    <row r="168" ht="20.1" customHeight="1">
      <c r="A168" s="344" t="n">
        <v>5</v>
      </c>
      <c r="B168" s="376" t="inlineStr">
        <is>
          <t>PPR2_trip</t>
        </is>
      </c>
      <c r="C168" s="72" t="n"/>
      <c r="D168" s="72" t="n"/>
      <c r="E168" s="72" t="n"/>
      <c r="F168" s="344">
        <f>HVAC_IOs!D9</f>
        <v/>
      </c>
      <c r="G168" s="344" t="n"/>
      <c r="H168" s="344" t="n"/>
      <c r="I168" s="344" t="n"/>
      <c r="J168" s="344" t="n"/>
      <c r="K168" s="344" t="n"/>
      <c r="L168" s="344" t="n"/>
      <c r="M168" s="344" t="n"/>
      <c r="N168" s="344" t="n"/>
      <c r="O168" s="344" t="n"/>
      <c r="P168" s="344" t="n"/>
      <c r="Q168" s="344" t="n"/>
      <c r="R168" s="344">
        <f>IF(AND(F168:Q168),1,0)</f>
        <v/>
      </c>
    </row>
    <row r="169" ht="20.1" customHeight="1">
      <c r="A169" s="344" t="n">
        <v>6</v>
      </c>
      <c r="B169" s="376" t="inlineStr">
        <is>
          <t>External_smoke</t>
        </is>
      </c>
      <c r="C169" s="72" t="n"/>
      <c r="D169" s="72" t="n"/>
      <c r="E169" s="72" t="n"/>
      <c r="F169" s="344">
        <f>HVAC_IOs!D3</f>
        <v/>
      </c>
      <c r="G169" s="344" t="n"/>
      <c r="H169" s="344" t="n"/>
      <c r="I169" s="344" t="n"/>
      <c r="J169" s="344" t="n"/>
      <c r="K169" s="344" t="n"/>
      <c r="L169" s="344" t="n"/>
      <c r="M169" s="344" t="n"/>
      <c r="N169" s="344" t="n"/>
      <c r="O169" s="344" t="n"/>
      <c r="P169" s="344" t="n"/>
      <c r="Q169" s="344" t="n"/>
      <c r="R169" s="344">
        <f>IF(AND(F169:Q169),1,0)</f>
        <v/>
      </c>
    </row>
    <row r="170" ht="20.1" customHeight="1">
      <c r="A170" s="344" t="n">
        <v>7</v>
      </c>
      <c r="B170" s="376" t="inlineStr">
        <is>
          <t>Internal_smoke</t>
        </is>
      </c>
      <c r="C170" s="72" t="n"/>
      <c r="D170" s="72" t="n"/>
      <c r="E170" s="72" t="n"/>
      <c r="F170" s="344">
        <f>HVAC_IOs!D4</f>
        <v/>
      </c>
      <c r="G170" s="344" t="n"/>
      <c r="H170" s="344" t="n"/>
      <c r="I170" s="344" t="n"/>
      <c r="J170" s="344" t="n"/>
      <c r="K170" s="344" t="n"/>
      <c r="L170" s="344" t="n"/>
      <c r="M170" s="344" t="n"/>
      <c r="N170" s="344" t="n"/>
      <c r="O170" s="344" t="n"/>
      <c r="P170" s="344" t="n"/>
      <c r="Q170" s="344" t="n"/>
      <c r="R170" s="344">
        <f>IF(AND(F170:Q170),1,0)</f>
        <v/>
      </c>
    </row>
    <row r="171" ht="20.1" customHeight="1">
      <c r="A171" s="344" t="n">
        <v>8</v>
      </c>
      <c r="B171" s="376" t="inlineStr">
        <is>
          <t>SAFC1_closed</t>
        </is>
      </c>
      <c r="C171" s="72" t="n"/>
      <c r="D171" s="72" t="n"/>
      <c r="E171" s="72" t="n"/>
      <c r="F171" s="344">
        <f>HVAC_IOs!D45</f>
        <v/>
      </c>
      <c r="G171" s="344" t="n"/>
      <c r="H171" s="344" t="n"/>
      <c r="I171" s="344" t="n"/>
      <c r="J171" s="344" t="n"/>
      <c r="K171" s="344" t="n"/>
      <c r="L171" s="344" t="n"/>
      <c r="M171" s="344" t="n"/>
      <c r="N171" s="344" t="n"/>
      <c r="O171" s="344" t="n"/>
      <c r="P171" s="344" t="n"/>
      <c r="Q171" s="344" t="n"/>
      <c r="R171" s="344">
        <f>IF(AND(F171:Q171),1,0)</f>
        <v/>
      </c>
    </row>
    <row r="172" ht="20.1" customHeight="1">
      <c r="A172" s="344" t="n">
        <v>9</v>
      </c>
      <c r="B172" s="376" t="inlineStr">
        <is>
          <t>SAFC2_closed</t>
        </is>
      </c>
      <c r="C172" s="72" t="n"/>
      <c r="D172" s="72" t="n"/>
      <c r="E172" s="72" t="n"/>
      <c r="F172" s="344">
        <f>HVAC_IOs!D46</f>
        <v/>
      </c>
      <c r="G172" s="344" t="n"/>
      <c r="H172" s="344" t="n"/>
      <c r="I172" s="344" t="n"/>
      <c r="J172" s="344" t="n"/>
      <c r="K172" s="344" t="n"/>
      <c r="L172" s="344" t="n"/>
      <c r="M172" s="344" t="n"/>
      <c r="N172" s="344" t="n"/>
      <c r="O172" s="344" t="n"/>
      <c r="P172" s="344" t="n"/>
      <c r="Q172" s="344" t="n"/>
      <c r="R172" s="344">
        <f>IF(AND(F172:Q172),1,0)</f>
        <v/>
      </c>
    </row>
    <row r="173" ht="20.1" customHeight="1">
      <c r="A173" s="344" t="n">
        <v>10</v>
      </c>
      <c r="B173" s="376" t="inlineStr">
        <is>
          <t>EMR</t>
        </is>
      </c>
      <c r="C173" s="72" t="n"/>
      <c r="D173" s="72" t="n"/>
      <c r="E173" s="72" t="n"/>
      <c r="F173" s="344">
        <f>HVAC_IOs!D48</f>
        <v/>
      </c>
      <c r="G173" s="344" t="n"/>
      <c r="H173" s="344" t="n"/>
      <c r="I173" s="344" t="n"/>
      <c r="J173" s="344" t="n"/>
      <c r="K173" s="344" t="n"/>
      <c r="L173" s="344" t="n"/>
      <c r="M173" s="344" t="n"/>
      <c r="N173" s="344" t="n"/>
      <c r="O173" s="344" t="n"/>
      <c r="P173" s="344" t="n"/>
      <c r="Q173" s="344" t="n"/>
      <c r="R173" s="344">
        <f>IF(AND(F173:Q173),1,0)</f>
        <v/>
      </c>
    </row>
    <row r="174" ht="20.1" customHeight="1">
      <c r="A174" s="344" t="n">
        <v>11</v>
      </c>
      <c r="B174" s="376" t="inlineStr">
        <is>
          <t>TMR1</t>
        </is>
      </c>
      <c r="C174" s="72" t="n"/>
      <c r="D174" s="72" t="n"/>
      <c r="E174" s="72" t="n"/>
      <c r="F174" s="344">
        <f>HVAC_IOs!D47</f>
        <v/>
      </c>
      <c r="G174" s="344" t="n"/>
      <c r="H174" s="344" t="n"/>
      <c r="I174" s="344" t="n"/>
      <c r="J174" s="344" t="n"/>
      <c r="K174" s="344" t="n"/>
      <c r="L174" s="344" t="n"/>
      <c r="M174" s="344" t="n"/>
      <c r="N174" s="344" t="n"/>
      <c r="O174" s="344" t="n"/>
      <c r="P174" s="344" t="n"/>
      <c r="Q174" s="344" t="n"/>
      <c r="R174" s="344">
        <f>IF(AND(F174:Q174),1,0)</f>
        <v/>
      </c>
    </row>
    <row r="175" ht="20.1" customHeight="1">
      <c r="A175" s="148" t="n">
        <v>12</v>
      </c>
      <c r="B175" s="149" t="inlineStr">
        <is>
          <t>command_mode_active</t>
        </is>
      </c>
      <c r="C175" s="149" t="n"/>
      <c r="D175" s="149" t="n"/>
      <c r="E175" s="149" t="n"/>
      <c r="F175" s="148" t="n"/>
      <c r="G175" s="148">
        <f>IF(OR(R164:R174),1,0)</f>
        <v/>
      </c>
      <c r="H175" s="148" t="n"/>
      <c r="I175" s="148" t="n"/>
      <c r="J175" s="148" t="n"/>
      <c r="K175" s="148" t="n"/>
      <c r="L175" s="148" t="n"/>
      <c r="M175" s="148" t="n"/>
      <c r="N175" s="148" t="n"/>
      <c r="O175" s="148" t="n"/>
      <c r="P175" s="148" t="n"/>
      <c r="Q175" s="148" t="n"/>
      <c r="R175" s="148">
        <f>IF(AND(F175:Q175),1,0)</f>
        <v/>
      </c>
    </row>
    <row r="180" ht="20.1" customHeight="1">
      <c r="A180" s="725" t="inlineStr">
        <is>
          <t>11. Fresh Air Control(Damper_full_close)</t>
        </is>
      </c>
      <c r="B180" s="798" t="n"/>
      <c r="C180" s="798" t="n"/>
      <c r="D180" s="798" t="n"/>
      <c r="E180" s="798" t="n"/>
      <c r="F180" s="798" t="n"/>
      <c r="G180" s="798" t="n"/>
      <c r="H180" s="798" t="n"/>
      <c r="I180" s="798" t="n"/>
      <c r="J180" s="798" t="n"/>
      <c r="K180" s="798" t="n"/>
      <c r="L180" s="798" t="n"/>
      <c r="M180" s="798" t="n"/>
      <c r="N180" s="798" t="n"/>
      <c r="O180" s="798" t="n"/>
      <c r="P180" s="798" t="n"/>
      <c r="Q180" s="798" t="n"/>
      <c r="R180" s="309" t="n"/>
    </row>
    <row r="182" ht="20.1" customHeight="1">
      <c r="A182" s="344" t="n">
        <v>1</v>
      </c>
      <c r="B182" s="72" t="inlineStr">
        <is>
          <t>HVAC_ON</t>
        </is>
      </c>
      <c r="C182" s="72" t="n"/>
      <c r="D182" s="72" t="n"/>
      <c r="E182" s="72" t="n"/>
      <c r="F182" s="344">
        <f>HVAC_IOs!D18</f>
        <v/>
      </c>
      <c r="G182" s="344" t="n"/>
      <c r="H182" s="344" t="n"/>
      <c r="I182" s="344" t="n"/>
      <c r="J182" s="344" t="n"/>
      <c r="K182" s="344" t="n"/>
      <c r="L182" s="344" t="n"/>
      <c r="M182" s="344" t="n"/>
      <c r="N182" s="344" t="n"/>
      <c r="O182" s="344" t="n"/>
      <c r="P182" s="344" t="n"/>
      <c r="Q182" s="344" t="n"/>
      <c r="R182" s="344">
        <f>IF(AND(F182:Q182),1,0)</f>
        <v/>
      </c>
    </row>
    <row r="183" ht="20.1" customHeight="1">
      <c r="A183" s="344" t="n">
        <v>2</v>
      </c>
      <c r="B183" s="72" t="inlineStr">
        <is>
          <t>APS_ON</t>
        </is>
      </c>
      <c r="C183" s="72" t="n"/>
      <c r="D183" s="72" t="n"/>
      <c r="E183" s="72" t="n"/>
      <c r="F183" s="344">
        <f>IF(AND(HVAC_IOs!D8=1,HVAC_IOs!D9=1),1,0)</f>
        <v/>
      </c>
      <c r="G183" s="344" t="n"/>
      <c r="H183" s="344" t="n"/>
      <c r="I183" s="344" t="n"/>
      <c r="J183" s="344" t="n"/>
      <c r="K183" s="344" t="n"/>
      <c r="L183" s="344" t="n"/>
      <c r="M183" s="344" t="n"/>
      <c r="N183" s="344" t="n"/>
      <c r="O183" s="344" t="n"/>
      <c r="P183" s="344" t="n"/>
      <c r="Q183" s="344" t="n"/>
      <c r="R183" s="344">
        <f>IF(AND(F183:Q183),1,0)</f>
        <v/>
      </c>
    </row>
    <row r="184" ht="20.1" customHeight="1">
      <c r="A184" s="344" t="n"/>
      <c r="B184" s="72" t="inlineStr">
        <is>
          <t>LFC03</t>
        </is>
      </c>
      <c r="C184" s="72" t="n"/>
      <c r="D184" s="72" t="n"/>
      <c r="E184" s="72" t="n"/>
      <c r="F184" s="344" t="n"/>
      <c r="G184" s="344">
        <f>IF(AND(F182:F183),1,0)</f>
        <v/>
      </c>
      <c r="H184" s="344" t="n"/>
      <c r="I184" s="344" t="n"/>
      <c r="J184" s="344" t="n"/>
      <c r="K184" s="344" t="n"/>
      <c r="L184" s="344" t="n"/>
      <c r="M184" s="344" t="n"/>
      <c r="N184" s="344" t="n"/>
      <c r="O184" s="344" t="n"/>
      <c r="P184" s="344" t="n"/>
      <c r="Q184" s="344" t="n"/>
      <c r="R184" s="344">
        <f>IF(AND(F184:Q184),1,0)</f>
        <v/>
      </c>
    </row>
    <row r="185" ht="20.1" customHeight="1">
      <c r="A185" s="344" t="n">
        <v>3</v>
      </c>
      <c r="B185" s="72" t="inlineStr">
        <is>
          <t>Smoke_fire_outside_vehicle</t>
        </is>
      </c>
      <c r="C185" s="72" t="n"/>
      <c r="D185" s="72" t="n"/>
      <c r="E185" s="72" t="n"/>
      <c r="F185" s="344">
        <f>HVAC_IOs!D5</f>
        <v/>
      </c>
      <c r="G185" s="344" t="n"/>
      <c r="H185" s="344" t="n"/>
      <c r="I185" s="344" t="n"/>
      <c r="J185" s="344" t="n"/>
      <c r="K185" s="344" t="n"/>
      <c r="L185" s="344" t="n"/>
      <c r="M185" s="344" t="n"/>
      <c r="N185" s="344" t="n"/>
      <c r="O185" s="344" t="n"/>
      <c r="P185" s="344" t="n"/>
      <c r="Q185" s="344" t="n"/>
      <c r="R185" s="344">
        <f>IF(AND(F185:Q185),1,0)</f>
        <v/>
      </c>
    </row>
    <row r="186" ht="20.1" customHeight="1">
      <c r="A186" s="344" t="n">
        <v>4</v>
      </c>
      <c r="B186" s="72" t="inlineStr">
        <is>
          <t>Pre-cooling</t>
        </is>
      </c>
      <c r="C186" s="72" t="n"/>
      <c r="D186" s="72" t="n"/>
      <c r="E186" s="72" t="n"/>
      <c r="F186" s="344">
        <f>Calculation!B57</f>
        <v/>
      </c>
      <c r="G186" s="344" t="n"/>
      <c r="H186" s="344" t="n"/>
      <c r="I186" s="344" t="n"/>
      <c r="J186" s="344" t="n"/>
      <c r="K186" s="344" t="n"/>
      <c r="L186" s="344" t="n"/>
      <c r="M186" s="344" t="n"/>
      <c r="N186" s="344" t="n"/>
      <c r="O186" s="344" t="n"/>
      <c r="P186" s="344" t="n"/>
      <c r="Q186" s="344" t="n"/>
      <c r="R186" s="344">
        <f>IF(AND(F186:Q186),1)</f>
        <v/>
      </c>
    </row>
    <row r="187" ht="20.1" customHeight="1">
      <c r="A187" s="344" t="n">
        <v>5</v>
      </c>
      <c r="B187" s="72" t="inlineStr">
        <is>
          <t>Pre-heating</t>
        </is>
      </c>
      <c r="C187" s="72" t="n"/>
      <c r="D187" s="72" t="n"/>
      <c r="E187" s="72" t="n"/>
      <c r="F187" s="344">
        <f>Calculation!B58</f>
        <v/>
      </c>
      <c r="G187" s="344" t="n"/>
      <c r="H187" s="344" t="n"/>
      <c r="I187" s="344" t="n"/>
      <c r="J187" s="344" t="n"/>
      <c r="K187" s="344" t="n"/>
      <c r="L187" s="344" t="n"/>
      <c r="M187" s="344" t="n"/>
      <c r="N187" s="344" t="n"/>
      <c r="O187" s="344" t="n"/>
      <c r="P187" s="344" t="n"/>
      <c r="Q187" s="344" t="n"/>
      <c r="R187" s="344">
        <f>IF(AND(F187:Q187),1,0)</f>
        <v/>
      </c>
    </row>
    <row r="188" ht="20.1" customHeight="1">
      <c r="A188" s="344" t="n"/>
      <c r="B188" s="72" t="inlineStr">
        <is>
          <t>LFC07</t>
        </is>
      </c>
      <c r="C188" s="72" t="n"/>
      <c r="D188" s="72" t="n"/>
      <c r="E188" s="72" t="n"/>
      <c r="F188" s="344" t="n"/>
      <c r="G188" s="344">
        <f>IF(OR(F186:F187),1,0)</f>
        <v/>
      </c>
      <c r="H188" s="344" t="n"/>
      <c r="I188" s="344" t="n"/>
      <c r="J188" s="344" t="n"/>
      <c r="K188" s="344" t="n"/>
      <c r="L188" s="344" t="n"/>
      <c r="M188" s="344" t="n"/>
      <c r="N188" s="344" t="n"/>
      <c r="O188" s="344" t="n"/>
      <c r="P188" s="344" t="n"/>
      <c r="Q188" s="344" t="n"/>
      <c r="R188" s="344">
        <f>IF(AND(F188:Q188),1,0)</f>
        <v/>
      </c>
    </row>
    <row r="189" ht="20.1" customHeight="1">
      <c r="A189" s="148" t="n">
        <v>6</v>
      </c>
      <c r="B189" s="149" t="inlineStr">
        <is>
          <t>Damper_full_close</t>
        </is>
      </c>
      <c r="C189" s="149" t="n"/>
      <c r="D189" s="149" t="n"/>
      <c r="E189" s="149" t="n"/>
      <c r="F189" s="148" t="n"/>
      <c r="G189" s="148" t="n"/>
      <c r="H189" s="148">
        <f>IF(OR(R184,R188,R185),1,0)</f>
        <v/>
      </c>
      <c r="I189" s="148" t="n"/>
      <c r="J189" s="148" t="n"/>
      <c r="K189" s="148" t="n"/>
      <c r="L189" s="148" t="n"/>
      <c r="M189" s="148" t="n"/>
      <c r="N189" s="148" t="n"/>
      <c r="O189" s="148" t="n"/>
      <c r="P189" s="148" t="n"/>
      <c r="Q189" s="148" t="n"/>
      <c r="R189" s="148">
        <f>IF(AND(F189:Q189),1,0)</f>
        <v/>
      </c>
    </row>
    <row r="194" ht="20.1" customHeight="1">
      <c r="A194" s="725" t="inlineStr">
        <is>
          <t>12. Fresh Air Control (Damper_full_open)</t>
        </is>
      </c>
      <c r="B194" s="798" t="n"/>
      <c r="C194" s="798" t="n"/>
      <c r="D194" s="798" t="n"/>
      <c r="E194" s="798" t="n"/>
      <c r="F194" s="798" t="n"/>
      <c r="G194" s="798" t="n"/>
      <c r="H194" s="798" t="n"/>
      <c r="I194" s="798" t="n"/>
      <c r="J194" s="798" t="n"/>
      <c r="K194" s="798" t="n"/>
      <c r="L194" s="798" t="n"/>
      <c r="M194" s="798" t="n"/>
      <c r="N194" s="798" t="n"/>
      <c r="O194" s="798" t="n"/>
      <c r="P194" s="798" t="n"/>
      <c r="Q194" s="798" t="n"/>
      <c r="R194" s="309" t="n"/>
    </row>
    <row r="196" ht="20.1" customHeight="1">
      <c r="A196" s="344" t="n">
        <v>1</v>
      </c>
      <c r="B196" s="72" t="inlineStr">
        <is>
          <t>HVAC_ON</t>
        </is>
      </c>
      <c r="C196" s="72" t="n"/>
      <c r="D196" s="72" t="n"/>
      <c r="E196" s="72" t="n"/>
      <c r="F196" s="344">
        <f>F182</f>
        <v/>
      </c>
      <c r="G196" s="344" t="n"/>
      <c r="H196" s="344" t="n"/>
      <c r="I196" s="344" t="n"/>
      <c r="J196" s="344" t="n"/>
      <c r="K196" s="344" t="n"/>
      <c r="L196" s="344" t="n"/>
      <c r="M196" s="344" t="n"/>
      <c r="N196" s="344" t="n"/>
      <c r="O196" s="344" t="n"/>
      <c r="P196" s="344" t="n"/>
      <c r="Q196" s="344" t="n"/>
      <c r="R196" s="344">
        <f>IF(AND(F196:Q196),1,0)</f>
        <v/>
      </c>
    </row>
    <row r="197" ht="20.1" customHeight="1">
      <c r="A197" s="344" t="n">
        <v>2</v>
      </c>
      <c r="B197" s="72" t="inlineStr">
        <is>
          <t>APS_ON</t>
        </is>
      </c>
      <c r="C197" s="72" t="n"/>
      <c r="D197" s="72" t="n"/>
      <c r="E197" s="72" t="n"/>
      <c r="F197" s="344">
        <f>IF(AND(HVAC_IOs!D8=1,HVAC_IOs!D9=1),1,0)</f>
        <v/>
      </c>
      <c r="G197" s="344" t="n"/>
      <c r="H197" s="344" t="n"/>
      <c r="I197" s="344" t="n"/>
      <c r="J197" s="344" t="n"/>
      <c r="K197" s="344" t="n"/>
      <c r="L197" s="344" t="n"/>
      <c r="M197" s="344" t="n"/>
      <c r="N197" s="344" t="n"/>
      <c r="O197" s="344" t="n"/>
      <c r="P197" s="344" t="n"/>
      <c r="Q197" s="344" t="n"/>
      <c r="R197" s="344">
        <f>IF(AND(F197:Q197),1,0)</f>
        <v/>
      </c>
    </row>
    <row r="198" ht="20.1" customHeight="1">
      <c r="A198" s="344" t="n"/>
      <c r="B198" s="72" t="inlineStr">
        <is>
          <t>LFC03</t>
        </is>
      </c>
      <c r="C198" s="72" t="n"/>
      <c r="D198" s="72" t="n"/>
      <c r="E198" s="72" t="n"/>
      <c r="F198" s="344" t="n"/>
      <c r="G198" s="344">
        <f>IF(AND(F196:F197),1,0)</f>
        <v/>
      </c>
      <c r="H198" s="344" t="n"/>
      <c r="I198" s="344" t="n"/>
      <c r="J198" s="344" t="n"/>
      <c r="K198" s="344" t="n"/>
      <c r="L198" s="344" t="n"/>
      <c r="M198" s="344" t="n"/>
      <c r="N198" s="344" t="n"/>
      <c r="O198" s="344" t="n"/>
      <c r="P198" s="344" t="n"/>
      <c r="Q198" s="344" t="n"/>
      <c r="R198" s="344" t="n"/>
    </row>
    <row r="199" ht="20.1" customHeight="1">
      <c r="A199" s="344" t="n">
        <v>3</v>
      </c>
      <c r="B199" s="72" t="inlineStr">
        <is>
          <t>Smoke_fire_outside_vehicle</t>
        </is>
      </c>
      <c r="C199" s="72" t="n"/>
      <c r="D199" s="72" t="n"/>
      <c r="E199" s="72" t="n"/>
      <c r="F199" s="344">
        <f>HVAC_IOs!D5</f>
        <v/>
      </c>
      <c r="G199" s="344">
        <f>IF(NOT(F199),1,0)</f>
        <v/>
      </c>
      <c r="H199" s="344" t="n"/>
      <c r="I199" s="344" t="n"/>
      <c r="J199" s="344" t="n"/>
      <c r="K199" s="344" t="n"/>
      <c r="L199" s="344" t="n"/>
      <c r="M199" s="344" t="n"/>
      <c r="N199" s="344" t="n"/>
      <c r="O199" s="344" t="n"/>
      <c r="P199" s="344" t="n"/>
      <c r="Q199" s="344" t="n"/>
      <c r="R199" s="344">
        <f>IF(AND(F199:Q199),1,0)</f>
        <v/>
      </c>
    </row>
    <row r="200" ht="20.1" customHeight="1">
      <c r="A200" s="344" t="n">
        <v>4</v>
      </c>
      <c r="B200" s="72" t="inlineStr">
        <is>
          <t>Emergency_ventilation_mode</t>
        </is>
      </c>
      <c r="C200" s="72" t="n"/>
      <c r="D200" s="72" t="n"/>
      <c r="E200" s="72" t="n"/>
      <c r="F200" s="344">
        <f>R44</f>
        <v/>
      </c>
      <c r="G200" s="344" t="n"/>
      <c r="H200" s="344" t="n"/>
      <c r="I200" s="344" t="n"/>
      <c r="J200" s="344" t="n"/>
      <c r="K200" s="344" t="n"/>
      <c r="L200" s="344" t="n"/>
      <c r="M200" s="344" t="n"/>
      <c r="N200" s="344" t="n"/>
      <c r="O200" s="344" t="n"/>
      <c r="P200" s="344" t="n"/>
      <c r="Q200" s="344" t="n"/>
      <c r="R200" s="344">
        <f>IF(AND(F200:Q200)*1,0)</f>
        <v/>
      </c>
    </row>
    <row r="201" ht="20.1" customHeight="1">
      <c r="A201" s="148" t="n">
        <v>5</v>
      </c>
      <c r="B201" s="149" t="inlineStr">
        <is>
          <t>Damper_full_open</t>
        </is>
      </c>
      <c r="C201" s="149" t="n"/>
      <c r="D201" s="149" t="n"/>
      <c r="E201" s="149" t="n"/>
      <c r="F201" s="148" t="n"/>
      <c r="G201" s="148" t="n"/>
      <c r="H201" s="148">
        <f>IF(AND(R198,R199,R200),1,0)</f>
        <v/>
      </c>
      <c r="I201" s="148" t="n"/>
      <c r="J201" s="148" t="n"/>
      <c r="K201" s="148" t="n"/>
      <c r="L201" s="148" t="n"/>
      <c r="M201" s="148" t="n"/>
      <c r="N201" s="148" t="n"/>
      <c r="O201" s="148" t="n"/>
      <c r="P201" s="148" t="n"/>
      <c r="Q201" s="148" t="n"/>
      <c r="R201" s="148">
        <f>IF(AND(F201:Q201),1,0)</f>
        <v/>
      </c>
    </row>
    <row r="206" ht="20.1" customHeight="1">
      <c r="A206" s="725" t="inlineStr">
        <is>
          <t>13.Fresh Air Control (Damper Modulate)</t>
        </is>
      </c>
      <c r="B206" s="798" t="n"/>
      <c r="C206" s="798" t="n"/>
      <c r="D206" s="798" t="n"/>
      <c r="E206" s="798" t="n"/>
      <c r="F206" s="798" t="n"/>
      <c r="G206" s="798" t="n"/>
      <c r="H206" s="798" t="n"/>
      <c r="I206" s="798" t="n"/>
      <c r="J206" s="798" t="n"/>
      <c r="K206" s="798" t="n"/>
      <c r="L206" s="798" t="n"/>
      <c r="M206" s="798" t="n"/>
      <c r="N206" s="798" t="n"/>
      <c r="O206" s="798" t="n"/>
      <c r="P206" s="798" t="n"/>
      <c r="Q206" s="798" t="n"/>
      <c r="R206" s="309" t="n"/>
    </row>
    <row r="208" ht="20.1" customHeight="1">
      <c r="A208" s="344" t="n">
        <v>1</v>
      </c>
      <c r="B208" s="72" t="inlineStr">
        <is>
          <t>HVAC_ON</t>
        </is>
      </c>
      <c r="C208" s="72" t="n"/>
      <c r="D208" s="72" t="n"/>
      <c r="E208" s="72" t="n"/>
      <c r="F208" s="344">
        <f>F196</f>
        <v/>
      </c>
      <c r="G208" s="344" t="n"/>
      <c r="H208" s="344" t="n"/>
      <c r="I208" s="344" t="n"/>
      <c r="J208" s="344" t="n"/>
      <c r="K208" s="344" t="n"/>
      <c r="L208" s="344" t="n"/>
      <c r="M208" s="344" t="n"/>
      <c r="N208" s="344" t="n"/>
      <c r="O208" s="344" t="n"/>
      <c r="P208" s="344" t="n"/>
      <c r="Q208" s="344" t="n"/>
      <c r="R208" s="344">
        <f>IF(AND(F208:Q208),1,0)</f>
        <v/>
      </c>
    </row>
    <row r="209" ht="20.1" customHeight="1">
      <c r="A209" s="344" t="n">
        <v>2</v>
      </c>
      <c r="B209" s="72" t="inlineStr">
        <is>
          <t>APS_ON</t>
        </is>
      </c>
      <c r="C209" s="72" t="n"/>
      <c r="D209" s="72" t="n"/>
      <c r="E209" s="72" t="n"/>
      <c r="F209" s="344">
        <f>IF(AND(HVAC_IOs!D8=1,HVAC_IOs!D9=1),1,0)</f>
        <v/>
      </c>
      <c r="G209" s="344" t="n"/>
      <c r="H209" s="344" t="n"/>
      <c r="I209" s="344" t="n"/>
      <c r="J209" s="344" t="n"/>
      <c r="K209" s="344" t="n"/>
      <c r="L209" s="344" t="n"/>
      <c r="M209" s="344" t="n"/>
      <c r="N209" s="344" t="n"/>
      <c r="O209" s="344" t="n"/>
      <c r="P209" s="344" t="n"/>
      <c r="Q209" s="344" t="n"/>
      <c r="R209" s="344">
        <f>IF(AND(F209:Q209),1,0)</f>
        <v/>
      </c>
    </row>
    <row r="210" ht="20.1" customHeight="1">
      <c r="A210" s="344" t="n"/>
      <c r="B210" s="72" t="inlineStr">
        <is>
          <t>LFC03</t>
        </is>
      </c>
      <c r="C210" s="72" t="n"/>
      <c r="D210" s="72" t="n"/>
      <c r="E210" s="72" t="n"/>
      <c r="F210" s="344" t="n"/>
      <c r="G210" s="344">
        <f>IF(AND(F208:F209),1,0)</f>
        <v/>
      </c>
      <c r="H210" s="344" t="n"/>
      <c r="I210" s="344" t="n"/>
      <c r="J210" s="344" t="n"/>
      <c r="K210" s="344" t="n"/>
      <c r="L210" s="344" t="n"/>
      <c r="M210" s="344" t="n"/>
      <c r="N210" s="344" t="n"/>
      <c r="O210" s="344" t="n"/>
      <c r="P210" s="344" t="n"/>
      <c r="Q210" s="344" t="n"/>
      <c r="R210" s="344" t="n"/>
    </row>
    <row r="211" ht="20.1" customHeight="1">
      <c r="A211" s="344" t="n">
        <v>3</v>
      </c>
      <c r="B211" s="72" t="inlineStr">
        <is>
          <t>Pre-cooling</t>
        </is>
      </c>
      <c r="C211" s="72" t="n"/>
      <c r="D211" s="72" t="n"/>
      <c r="E211" s="72" t="n"/>
      <c r="F211" s="344">
        <f>F186</f>
        <v/>
      </c>
      <c r="G211" s="344" t="n"/>
      <c r="H211" s="344" t="n"/>
      <c r="I211" s="344" t="n"/>
      <c r="J211" s="344" t="n"/>
      <c r="K211" s="344" t="n"/>
      <c r="L211" s="344" t="n"/>
      <c r="M211" s="344" t="n"/>
      <c r="N211" s="344" t="n"/>
      <c r="O211" s="344" t="n"/>
      <c r="P211" s="344" t="n"/>
      <c r="Q211" s="344" t="n"/>
      <c r="R211" s="344">
        <f>IF(AND(F211:Q211),1,0)</f>
        <v/>
      </c>
    </row>
    <row r="212" ht="20.1" customHeight="1">
      <c r="A212" s="344" t="n">
        <v>4</v>
      </c>
      <c r="B212" s="72" t="inlineStr">
        <is>
          <t>Pre-heating</t>
        </is>
      </c>
      <c r="C212" s="72" t="n"/>
      <c r="D212" s="72" t="n"/>
      <c r="E212" s="72" t="n"/>
      <c r="F212" s="344">
        <f>F187</f>
        <v/>
      </c>
      <c r="G212" s="344" t="n"/>
      <c r="H212" s="344" t="n"/>
      <c r="I212" s="344" t="n"/>
      <c r="J212" s="344" t="n"/>
      <c r="K212" s="344" t="n"/>
      <c r="L212" s="344" t="n"/>
      <c r="M212" s="344" t="n"/>
      <c r="N212" s="344" t="n"/>
      <c r="O212" s="344" t="n"/>
      <c r="P212" s="344" t="n"/>
      <c r="Q212" s="344" t="n"/>
      <c r="R212" s="344">
        <f>IF(AND(F212:Q212),1,0)</f>
        <v/>
      </c>
    </row>
    <row r="213" ht="20.1" customHeight="1">
      <c r="A213" s="344" t="n"/>
      <c r="B213" s="72" t="inlineStr">
        <is>
          <t>LFc06/07</t>
        </is>
      </c>
      <c r="C213" s="72" t="n"/>
      <c r="D213" s="72" t="n"/>
      <c r="E213" s="72" t="n"/>
      <c r="F213" s="344" t="n"/>
      <c r="G213" s="344">
        <f>IF(OR(F211:F212),1,0)</f>
        <v/>
      </c>
      <c r="H213" s="344">
        <f>IF(NOT(G213),1,0)</f>
        <v/>
      </c>
      <c r="I213" s="344" t="n"/>
      <c r="J213" s="344" t="n"/>
      <c r="K213" s="344" t="n"/>
      <c r="L213" s="344" t="n"/>
      <c r="M213" s="344" t="n"/>
      <c r="N213" s="344" t="n"/>
      <c r="O213" s="344" t="n"/>
      <c r="P213" s="344" t="n"/>
      <c r="Q213" s="344" t="n"/>
      <c r="R213" s="344" t="n"/>
    </row>
    <row r="214" ht="20.1" customHeight="1">
      <c r="A214" s="344" t="n">
        <v>5</v>
      </c>
      <c r="B214" s="72" t="inlineStr">
        <is>
          <t>Normal_operation_mode</t>
        </is>
      </c>
      <c r="C214" s="72" t="n"/>
      <c r="D214" s="72" t="n"/>
      <c r="E214" s="72" t="n"/>
      <c r="F214" s="344" t="n">
        <v>1</v>
      </c>
      <c r="G214" s="344" t="n"/>
      <c r="H214" s="344" t="n"/>
      <c r="I214" s="344" t="n"/>
      <c r="J214" s="344" t="n"/>
      <c r="K214" s="344" t="n"/>
      <c r="L214" s="344" t="n"/>
      <c r="M214" s="344" t="n"/>
      <c r="N214" s="344" t="n"/>
      <c r="O214" s="344" t="n"/>
      <c r="P214" s="344" t="n"/>
      <c r="Q214" s="344" t="n"/>
      <c r="R214" s="344">
        <f>IF(AND(F214:Q214),1,0)</f>
        <v/>
      </c>
    </row>
    <row r="215" ht="20.1" customHeight="1">
      <c r="A215" s="344" t="n"/>
      <c r="B215" s="72" t="inlineStr">
        <is>
          <t>Emergency_ventilation_mode</t>
        </is>
      </c>
      <c r="C215" s="72" t="n"/>
      <c r="D215" s="72" t="n"/>
      <c r="E215" s="72" t="n"/>
      <c r="F215" s="344">
        <f>F200</f>
        <v/>
      </c>
      <c r="G215" s="344" t="n"/>
      <c r="H215" s="344">
        <f>IF(NOT(F215),1,0)</f>
        <v/>
      </c>
      <c r="I215" s="344" t="n"/>
      <c r="J215" s="344" t="n"/>
      <c r="K215" s="344" t="n"/>
      <c r="L215" s="344" t="n"/>
      <c r="M215" s="344" t="n"/>
      <c r="N215" s="344" t="n"/>
      <c r="O215" s="344" t="n"/>
      <c r="P215" s="344" t="n"/>
      <c r="Q215" s="344" t="n"/>
      <c r="R215" s="344">
        <f>IF(AND(F215:Q215),1,0)</f>
        <v/>
      </c>
    </row>
    <row r="216" ht="20.1" customHeight="1">
      <c r="A216" s="344" t="n">
        <v>6</v>
      </c>
      <c r="B216" s="72" t="inlineStr">
        <is>
          <t>Smoke/fire_outside_ehicle</t>
        </is>
      </c>
      <c r="C216" s="72" t="n"/>
      <c r="D216" s="72" t="n"/>
      <c r="E216" s="72" t="n"/>
      <c r="F216" s="344">
        <f>HVAC_IOs!D5</f>
        <v/>
      </c>
      <c r="G216" s="344" t="n"/>
      <c r="H216" s="344">
        <f>IF(NOT(F216),1,0)</f>
        <v/>
      </c>
      <c r="I216" s="344" t="n"/>
      <c r="J216" s="344" t="n"/>
      <c r="K216" s="344" t="n"/>
      <c r="L216" s="344" t="n"/>
      <c r="M216" s="344" t="n"/>
      <c r="N216" s="344" t="n"/>
      <c r="O216" s="344" t="n"/>
      <c r="P216" s="344" t="n"/>
      <c r="Q216" s="344" t="n"/>
      <c r="R216" s="344">
        <f>IF(AND(F216:Q216),1,0)</f>
        <v/>
      </c>
    </row>
    <row r="217" ht="20.1" customHeight="1">
      <c r="A217" s="344" t="n">
        <v>7</v>
      </c>
      <c r="B217" s="72" t="inlineStr">
        <is>
          <t>Passenger_load_modulation_available</t>
        </is>
      </c>
      <c r="C217" s="72" t="n"/>
      <c r="D217" s="72" t="n"/>
      <c r="E217" s="72" t="n"/>
      <c r="F217" s="344" t="n">
        <v>1</v>
      </c>
      <c r="G217" s="344" t="n"/>
      <c r="H217" s="344" t="n"/>
      <c r="I217" s="344" t="n"/>
      <c r="J217" s="344" t="n"/>
      <c r="K217" s="344" t="n"/>
      <c r="L217" s="344" t="n"/>
      <c r="M217" s="344" t="n"/>
      <c r="N217" s="344" t="n"/>
      <c r="O217" s="344" t="n"/>
      <c r="P217" s="344" t="n"/>
      <c r="Q217" s="344" t="n"/>
      <c r="R217" s="344">
        <f>IF(AND(F217:Q217),1,0)</f>
        <v/>
      </c>
    </row>
    <row r="218" ht="20.1" customHeight="1">
      <c r="A218" s="148" t="n">
        <v>8</v>
      </c>
      <c r="B218" s="149" t="inlineStr">
        <is>
          <t>Damper_modulated</t>
        </is>
      </c>
      <c r="C218" s="149" t="n"/>
      <c r="D218" s="149" t="n"/>
      <c r="E218" s="149" t="n"/>
      <c r="F218" s="148" t="n"/>
      <c r="G218" s="148" t="n"/>
      <c r="H218" s="148" t="n"/>
      <c r="I218" s="148">
        <f>IF(AND(R210,R213,R215:R216),1,0)</f>
        <v/>
      </c>
      <c r="J218" s="148" t="n"/>
      <c r="K218" s="148" t="n"/>
      <c r="L218" s="148" t="n"/>
      <c r="M218" s="148" t="n"/>
      <c r="N218" s="148" t="n"/>
      <c r="O218" s="148" t="n"/>
      <c r="P218" s="148" t="n"/>
      <c r="Q218" s="148" t="n"/>
      <c r="R218" s="148">
        <f>IF(AND(F218:Q218),1,0)</f>
        <v/>
      </c>
    </row>
    <row r="223" ht="20.1" customHeight="1">
      <c r="A223" s="725" t="inlineStr">
        <is>
          <t>14.Status Data Adaption by TCMS</t>
        </is>
      </c>
      <c r="B223" s="798" t="n"/>
      <c r="C223" s="798" t="n"/>
      <c r="D223" s="798" t="n"/>
      <c r="E223" s="798" t="n"/>
      <c r="F223" s="798" t="n"/>
      <c r="G223" s="798" t="n"/>
      <c r="H223" s="798" t="n"/>
      <c r="I223" s="798" t="n"/>
      <c r="J223" s="798" t="n"/>
      <c r="K223" s="798" t="n"/>
      <c r="L223" s="798" t="n"/>
      <c r="M223" s="798" t="n"/>
      <c r="N223" s="798" t="n"/>
      <c r="O223" s="798" t="n"/>
      <c r="P223" s="798" t="n"/>
      <c r="Q223" s="798" t="n"/>
      <c r="R223" s="309" t="n"/>
    </row>
    <row r="225" ht="20.1" customHeight="1">
      <c r="A225" s="344" t="n">
        <v>1</v>
      </c>
      <c r="B225" s="72" t="inlineStr">
        <is>
          <t>N1_ON_HVAC_online_network_1</t>
        </is>
      </c>
      <c r="C225" s="72" t="n"/>
      <c r="D225" s="72" t="n"/>
      <c r="E225" s="72" t="n"/>
      <c r="F225" s="344" t="n">
        <v>1</v>
      </c>
      <c r="G225" s="344" t="n"/>
      <c r="H225" s="344" t="n"/>
      <c r="I225" s="344" t="n"/>
      <c r="J225" s="344" t="n"/>
      <c r="K225" s="344" t="n"/>
      <c r="L225" s="344" t="n"/>
      <c r="M225" s="344" t="n"/>
      <c r="N225" s="344" t="n"/>
      <c r="O225" s="344" t="n"/>
      <c r="P225" s="344" t="n"/>
      <c r="Q225" s="344" t="n"/>
      <c r="R225" s="344">
        <f>IF(AND(F225:Q225),1,0)</f>
        <v/>
      </c>
    </row>
    <row r="226" ht="20.1" customHeight="1">
      <c r="A226" s="344" t="n">
        <v>2</v>
      </c>
      <c r="B226" s="72" t="inlineStr">
        <is>
          <t>N1_V1_HVAC1_Data_Valid</t>
        </is>
      </c>
      <c r="C226" s="72" t="n"/>
      <c r="D226" s="72" t="n"/>
      <c r="E226" s="72" t="n"/>
      <c r="F226" s="344" t="n">
        <v>1</v>
      </c>
      <c r="G226" s="344" t="n"/>
      <c r="H226" s="344" t="n"/>
      <c r="I226" s="344" t="n"/>
      <c r="J226" s="344" t="n"/>
      <c r="K226" s="344" t="n"/>
      <c r="L226" s="344" t="n"/>
      <c r="M226" s="344" t="n"/>
      <c r="N226" s="344" t="n"/>
      <c r="O226" s="344" t="n"/>
      <c r="P226" s="344" t="n"/>
      <c r="Q226" s="344" t="n"/>
      <c r="R226" s="344">
        <f>IF(AND(F226:Q226),1,0)</f>
        <v/>
      </c>
    </row>
    <row r="227" ht="20.1" customHeight="1">
      <c r="A227" s="344" t="n">
        <v>3</v>
      </c>
      <c r="B227" s="72" t="inlineStr">
        <is>
          <t>N1_V2_HVAC2_data_valid</t>
        </is>
      </c>
      <c r="C227" s="72" t="n"/>
      <c r="D227" s="72" t="n"/>
      <c r="E227" s="72" t="n"/>
      <c r="F227" s="344" t="n">
        <v>1</v>
      </c>
      <c r="G227" s="344" t="n"/>
      <c r="H227" s="344" t="n"/>
      <c r="I227" s="344" t="n"/>
      <c r="J227" s="344" t="n"/>
      <c r="K227" s="344" t="n"/>
      <c r="L227" s="344" t="n"/>
      <c r="M227" s="344" t="n"/>
      <c r="N227" s="344" t="n"/>
      <c r="O227" s="344" t="n"/>
      <c r="P227" s="344" t="n"/>
      <c r="Q227" s="344" t="n"/>
      <c r="R227" s="344">
        <f>IF(AND(F227:Q227),1,0)</f>
        <v/>
      </c>
    </row>
    <row r="228" ht="20.1" customHeight="1">
      <c r="A228" s="344" t="n"/>
      <c r="B228" s="72" t="inlineStr">
        <is>
          <t>LFC04</t>
        </is>
      </c>
      <c r="C228" s="72" t="n"/>
      <c r="D228" s="72" t="n"/>
      <c r="E228" s="72" t="n"/>
      <c r="F228" s="344" t="n"/>
      <c r="G228" s="344">
        <f>IF(AND(F225:F227),1,0)</f>
        <v/>
      </c>
      <c r="H228" s="344" t="n"/>
      <c r="I228" s="344" t="n"/>
      <c r="J228" s="344" t="n"/>
      <c r="K228" s="344" t="n"/>
      <c r="L228" s="344" t="n"/>
      <c r="M228" s="344" t="n"/>
      <c r="N228" s="344" t="n"/>
      <c r="O228" s="344" t="n"/>
      <c r="P228" s="344" t="n"/>
      <c r="Q228" s="344" t="n"/>
      <c r="R228" s="344" t="n"/>
    </row>
    <row r="229" ht="20.1" customHeight="1">
      <c r="A229" s="344" t="n">
        <v>4</v>
      </c>
      <c r="B229" s="72" t="inlineStr">
        <is>
          <t>N2_ON_HVAC_online_network_2</t>
        </is>
      </c>
      <c r="C229" s="72" t="n"/>
      <c r="D229" s="72" t="n"/>
      <c r="E229" s="72" t="n"/>
      <c r="F229" s="344" t="n">
        <v>1</v>
      </c>
      <c r="G229" s="344" t="n"/>
      <c r="H229" s="344" t="n"/>
      <c r="I229" s="344" t="n"/>
      <c r="J229" s="344" t="n"/>
      <c r="K229" s="344" t="n"/>
      <c r="L229" s="344" t="n"/>
      <c r="M229" s="344" t="n"/>
      <c r="N229" s="344" t="n"/>
      <c r="O229" s="344" t="n"/>
      <c r="P229" s="344" t="n"/>
      <c r="Q229" s="344" t="n"/>
      <c r="R229" s="344">
        <f>IF(AND(F229:Q229),1,0)</f>
        <v/>
      </c>
    </row>
    <row r="230" ht="20.1" customHeight="1">
      <c r="A230" s="344" t="n">
        <v>5</v>
      </c>
      <c r="B230" s="72" t="inlineStr">
        <is>
          <t>N1_ON_HVAC_SD_online_network</t>
        </is>
      </c>
      <c r="C230" s="72" t="n"/>
      <c r="D230" s="72" t="n"/>
      <c r="E230" s="72" t="n"/>
      <c r="F230" s="344" t="n">
        <v>1</v>
      </c>
      <c r="G230" s="344">
        <f>IF(NOT(F230),1,0)</f>
        <v/>
      </c>
      <c r="H230" s="344" t="n"/>
      <c r="I230" s="344" t="n"/>
      <c r="J230" s="344" t="n"/>
      <c r="K230" s="344" t="n"/>
      <c r="L230" s="344" t="n"/>
      <c r="M230" s="344" t="n"/>
      <c r="N230" s="344" t="n"/>
      <c r="O230" s="344" t="n"/>
      <c r="P230" s="344" t="n"/>
      <c r="Q230" s="344" t="n"/>
      <c r="R230" s="344">
        <f>IF(AND(F230:Q230),1,0)</f>
        <v/>
      </c>
    </row>
    <row r="231" ht="20.1" customHeight="1">
      <c r="A231" s="344" t="n">
        <v>6</v>
      </c>
      <c r="B231" s="72" t="inlineStr">
        <is>
          <t>N2_V1_HVAC1_data_valid</t>
        </is>
      </c>
      <c r="C231" s="72" t="n"/>
      <c r="D231" s="72" t="n"/>
      <c r="E231" s="72" t="n"/>
      <c r="F231" s="344" t="n">
        <v>1</v>
      </c>
      <c r="G231" s="344" t="n"/>
      <c r="H231" s="344" t="n"/>
      <c r="I231" s="344" t="n"/>
      <c r="J231" s="344" t="n"/>
      <c r="K231" s="344" t="n"/>
      <c r="L231" s="344" t="n"/>
      <c r="M231" s="344" t="n"/>
      <c r="N231" s="344" t="n"/>
      <c r="O231" s="344" t="n"/>
      <c r="P231" s="344" t="n"/>
      <c r="Q231" s="344" t="n"/>
      <c r="R231" s="344">
        <f>IF(AND(F231:Q231),1,0)</f>
        <v/>
      </c>
    </row>
    <row r="232" ht="20.1" customHeight="1">
      <c r="A232" s="344" t="n">
        <v>7</v>
      </c>
      <c r="B232" s="72" t="inlineStr">
        <is>
          <t>N2_V2_HVAC2_data_valid</t>
        </is>
      </c>
      <c r="C232" s="72" t="n"/>
      <c r="D232" s="72" t="n"/>
      <c r="E232" s="72" t="n"/>
      <c r="F232" s="344" t="n">
        <v>1</v>
      </c>
      <c r="G232" s="344" t="n"/>
      <c r="H232" s="344" t="n"/>
      <c r="I232" s="344" t="n"/>
      <c r="J232" s="344" t="n"/>
      <c r="K232" s="344" t="n"/>
      <c r="L232" s="344" t="n"/>
      <c r="M232" s="344" t="n"/>
      <c r="N232" s="344" t="n"/>
      <c r="O232" s="344" t="n"/>
      <c r="P232" s="344" t="n"/>
      <c r="Q232" s="344" t="n"/>
      <c r="R232" s="344">
        <f>IF(AND(F232:Q232),1,0)</f>
        <v/>
      </c>
    </row>
    <row r="233" ht="20.1" customHeight="1">
      <c r="A233" s="344" t="n"/>
      <c r="B233" s="72" t="inlineStr">
        <is>
          <t>LFC10</t>
        </is>
      </c>
      <c r="C233" s="72" t="n"/>
      <c r="D233" s="72" t="n"/>
      <c r="E233" s="72" t="n"/>
      <c r="F233" s="344" t="n"/>
      <c r="G233" s="344">
        <f>IF(AND(F229,G230,F231:F232),1,0)</f>
        <v/>
      </c>
      <c r="H233" s="344" t="n"/>
      <c r="I233" s="344" t="n"/>
      <c r="J233" s="344" t="n"/>
      <c r="K233" s="344" t="n"/>
      <c r="L233" s="344" t="n"/>
      <c r="M233" s="344" t="n"/>
      <c r="N233" s="344" t="n"/>
      <c r="O233" s="344" t="n"/>
      <c r="P233" s="344" t="n"/>
      <c r="Q233" s="344" t="n"/>
      <c r="R233" s="344">
        <f>IF(AND(F233:Q233),1,0)</f>
        <v/>
      </c>
    </row>
    <row r="234" ht="20.1" customHeight="1">
      <c r="A234" s="351" t="n">
        <v>8</v>
      </c>
      <c r="B234" s="352" t="inlineStr">
        <is>
          <t>Network_1_HVAC_status_data</t>
        </is>
      </c>
      <c r="C234" s="352" t="n"/>
      <c r="D234" s="352" t="n"/>
      <c r="E234" s="352" t="n"/>
      <c r="F234" s="351" t="n"/>
      <c r="G234" s="351" t="n"/>
      <c r="H234" s="351">
        <f>IF(AND(G228),1,0)</f>
        <v/>
      </c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1">
        <f>IF(AND(G234:Q234),1,0)</f>
        <v/>
      </c>
    </row>
    <row r="235" ht="20.1" customHeight="1">
      <c r="A235" s="351" t="n">
        <v>9</v>
      </c>
      <c r="B235" s="352" t="inlineStr">
        <is>
          <t>Network_2_HVAC_Status_data</t>
        </is>
      </c>
      <c r="C235" s="352" t="n"/>
      <c r="D235" s="352" t="n"/>
      <c r="E235" s="352" t="n"/>
      <c r="F235" s="351" t="n"/>
      <c r="G235" s="351" t="n"/>
      <c r="H235" s="351">
        <f>IF(AND(G233),1,0)</f>
        <v/>
      </c>
      <c r="I235" s="351" t="n"/>
      <c r="J235" s="351" t="n"/>
      <c r="K235" s="351" t="n"/>
      <c r="L235" s="351" t="n"/>
      <c r="M235" s="351" t="n"/>
      <c r="N235" s="351" t="n"/>
      <c r="O235" s="351" t="n"/>
      <c r="P235" s="351" t="n"/>
      <c r="Q235" s="351" t="n"/>
      <c r="R235" s="351">
        <f>IF(AND(G235:Q235),1,0)</f>
        <v/>
      </c>
    </row>
    <row r="240" ht="20.1" customHeight="1">
      <c r="A240" s="725" t="inlineStr">
        <is>
          <t>15.Status Data Adaption by TCMS</t>
        </is>
      </c>
      <c r="B240" s="798" t="n"/>
      <c r="C240" s="798" t="n"/>
      <c r="D240" s="798" t="n"/>
      <c r="E240" s="798" t="n"/>
      <c r="F240" s="798" t="n"/>
      <c r="G240" s="798" t="n"/>
      <c r="H240" s="798" t="n"/>
      <c r="I240" s="798" t="n"/>
      <c r="J240" s="798" t="n"/>
      <c r="K240" s="798" t="n"/>
      <c r="L240" s="798" t="n"/>
      <c r="M240" s="798" t="n"/>
      <c r="N240" s="798" t="n"/>
      <c r="O240" s="798" t="n"/>
      <c r="P240" s="798" t="n"/>
      <c r="Q240" s="798" t="n"/>
      <c r="R240" s="309" t="n"/>
    </row>
    <row r="242" ht="20.1" customHeight="1">
      <c r="A242" s="344" t="n">
        <v>1</v>
      </c>
      <c r="B242" s="72" t="inlineStr">
        <is>
          <t>N1_ON_HVAC_online_network_1</t>
        </is>
      </c>
      <c r="C242" s="72" t="n"/>
      <c r="D242" s="72" t="n"/>
      <c r="E242" s="72" t="n"/>
      <c r="F242" s="344" t="n">
        <v>1</v>
      </c>
      <c r="G242" s="344" t="n"/>
      <c r="H242" s="344" t="n"/>
      <c r="I242" s="344" t="n"/>
      <c r="J242" s="344" t="n"/>
      <c r="K242" s="344" t="n"/>
      <c r="L242" s="344" t="n"/>
      <c r="M242" s="344" t="n"/>
      <c r="N242" s="344" t="n"/>
      <c r="O242" s="344" t="n"/>
      <c r="P242" s="344" t="n"/>
      <c r="Q242" s="344" t="n"/>
      <c r="R242" s="344">
        <f>IF(AND(F242:Q242),1,0)</f>
        <v/>
      </c>
    </row>
    <row r="243" ht="20.1" customHeight="1">
      <c r="A243" s="344" t="n">
        <v>2</v>
      </c>
      <c r="B243" s="72" t="inlineStr">
        <is>
          <t>N1_V1_HVAC1_Data_Valid</t>
        </is>
      </c>
      <c r="C243" s="72" t="n"/>
      <c r="D243" s="72" t="n"/>
      <c r="E243" s="72" t="n"/>
      <c r="F243" s="344" t="n">
        <v>1</v>
      </c>
      <c r="G243" s="344" t="n"/>
      <c r="H243" s="344" t="n"/>
      <c r="I243" s="344" t="n"/>
      <c r="J243" s="344" t="n"/>
      <c r="K243" s="344" t="n"/>
      <c r="L243" s="344" t="n"/>
      <c r="M243" s="344" t="n"/>
      <c r="N243" s="344" t="n"/>
      <c r="O243" s="344" t="n"/>
      <c r="P243" s="344" t="n"/>
      <c r="Q243" s="344" t="n"/>
      <c r="R243" s="344">
        <f>IF(AND(F243:Q243),1,0)</f>
        <v/>
      </c>
    </row>
    <row r="244" ht="20.1" customHeight="1">
      <c r="A244" s="344" t="n">
        <v>3</v>
      </c>
      <c r="B244" s="72" t="inlineStr">
        <is>
          <t>N1_V2_HVAC2_data_valid</t>
        </is>
      </c>
      <c r="C244" s="72" t="n"/>
      <c r="D244" s="72" t="n"/>
      <c r="E244" s="72" t="n"/>
      <c r="F244" s="344" t="n">
        <v>1</v>
      </c>
      <c r="G244" s="344">
        <f>IF(NOT(F244),1,0)</f>
        <v/>
      </c>
      <c r="H244" s="344" t="n"/>
      <c r="I244" s="344" t="n"/>
      <c r="J244" s="344" t="n"/>
      <c r="K244" s="344" t="n"/>
      <c r="L244" s="344" t="n"/>
      <c r="M244" s="344" t="n"/>
      <c r="N244" s="344" t="n"/>
      <c r="O244" s="344" t="n"/>
      <c r="P244" s="344" t="n"/>
      <c r="Q244" s="344" t="n"/>
      <c r="R244" s="344">
        <f>IF(AND(F244:Q244),1,0)</f>
        <v/>
      </c>
    </row>
    <row r="245" ht="20.1" customHeight="1">
      <c r="A245" s="344" t="n"/>
      <c r="B245" s="72" t="inlineStr">
        <is>
          <t>LFC05</t>
        </is>
      </c>
      <c r="C245" s="72" t="n"/>
      <c r="D245" s="72" t="n"/>
      <c r="E245" s="72" t="n"/>
      <c r="F245" s="344" t="n"/>
      <c r="G245" s="344" t="n"/>
      <c r="H245" s="344">
        <f>IF(AND(F242:F243,G244),1,0)</f>
        <v/>
      </c>
      <c r="I245" s="344" t="n"/>
      <c r="J245" s="344" t="n"/>
      <c r="K245" s="344" t="n"/>
      <c r="L245" s="344" t="n"/>
      <c r="M245" s="344" t="n"/>
      <c r="N245" s="344" t="n"/>
      <c r="O245" s="344" t="n"/>
      <c r="P245" s="344" t="n"/>
      <c r="Q245" s="344" t="n"/>
      <c r="R245" s="344" t="n"/>
    </row>
    <row r="246" ht="20.1" customHeight="1">
      <c r="A246" s="344" t="n">
        <v>5</v>
      </c>
      <c r="B246" s="72" t="inlineStr">
        <is>
          <t>N1_ON_HVAC_SD_online_network_2</t>
        </is>
      </c>
      <c r="C246" s="72" t="n"/>
      <c r="D246" s="72" t="n"/>
      <c r="E246" s="72" t="n"/>
      <c r="F246" s="344" t="n">
        <v>1</v>
      </c>
      <c r="G246" s="344" t="n"/>
      <c r="H246" s="344" t="n"/>
      <c r="I246" s="344" t="n"/>
      <c r="J246" s="344" t="n"/>
      <c r="K246" s="344" t="n"/>
      <c r="L246" s="344" t="n"/>
      <c r="M246" s="344" t="n"/>
      <c r="N246" s="344" t="n"/>
      <c r="O246" s="344" t="n"/>
      <c r="P246" s="344" t="n"/>
      <c r="Q246" s="344" t="n"/>
      <c r="R246" s="344">
        <f>IF(AND(F246:Q246),1,0)</f>
        <v/>
      </c>
    </row>
    <row r="247" ht="20.1" customHeight="1">
      <c r="A247" s="344" t="n">
        <v>6</v>
      </c>
      <c r="B247" s="72" t="inlineStr">
        <is>
          <t>N2_V2_No_HVAC2_data_valid</t>
        </is>
      </c>
      <c r="C247" s="72" t="n"/>
      <c r="D247" s="72" t="n"/>
      <c r="E247" s="72" t="n"/>
      <c r="F247" s="344" t="n">
        <v>1</v>
      </c>
      <c r="G247" s="344">
        <f>IF(NOT(F247),1,0)</f>
        <v/>
      </c>
      <c r="H247" s="344" t="n"/>
      <c r="I247" s="344" t="n"/>
      <c r="J247" s="344" t="n"/>
      <c r="K247" s="344" t="n"/>
      <c r="L247" s="344" t="n"/>
      <c r="M247" s="344" t="n"/>
      <c r="N247" s="344" t="n"/>
      <c r="O247" s="344" t="n"/>
      <c r="P247" s="344" t="n"/>
      <c r="Q247" s="344" t="n"/>
      <c r="R247" s="344">
        <f>IF(AND(F247:Q247),1,0)</f>
        <v/>
      </c>
    </row>
    <row r="248" ht="20.1" customHeight="1">
      <c r="A248" s="344" t="n">
        <v>7</v>
      </c>
      <c r="B248" s="72" t="inlineStr">
        <is>
          <t>N2_V2_HVAC2_data_valid</t>
        </is>
      </c>
      <c r="C248" s="72" t="n"/>
      <c r="D248" s="72" t="n"/>
      <c r="E248" s="72" t="n"/>
      <c r="F248" s="344" t="n">
        <v>1</v>
      </c>
      <c r="G248" s="344" t="n"/>
      <c r="H248" s="344" t="n"/>
      <c r="I248" s="344" t="n"/>
      <c r="J248" s="344" t="n"/>
      <c r="K248" s="344" t="n"/>
      <c r="L248" s="344" t="n"/>
      <c r="M248" s="344" t="n"/>
      <c r="N248" s="344" t="n"/>
      <c r="O248" s="344" t="n"/>
      <c r="P248" s="344" t="n"/>
      <c r="Q248" s="344" t="n"/>
      <c r="R248" s="344">
        <f>IF(AND(F248:Q248),1,0)</f>
        <v/>
      </c>
    </row>
    <row r="249" ht="20.1" customHeight="1">
      <c r="A249" s="344" t="n"/>
      <c r="B249" s="72" t="inlineStr">
        <is>
          <t>LFC10</t>
        </is>
      </c>
      <c r="C249" s="72" t="n"/>
      <c r="D249" s="72" t="n"/>
      <c r="E249" s="72" t="n"/>
      <c r="F249" s="344" t="n"/>
      <c r="G249" s="344" t="n"/>
      <c r="H249" s="344">
        <f>IF(AND(F246,G247,F248),1,0)</f>
        <v/>
      </c>
      <c r="I249" s="344" t="n"/>
      <c r="J249" s="344" t="n"/>
      <c r="K249" s="344" t="n"/>
      <c r="L249" s="344" t="n"/>
      <c r="M249" s="344" t="n"/>
      <c r="N249" s="344" t="n"/>
      <c r="O249" s="344" t="n"/>
      <c r="P249" s="344" t="n"/>
      <c r="Q249" s="344" t="n"/>
      <c r="R249" s="344">
        <f>IF(AND(F249:Q249),1,0)</f>
        <v/>
      </c>
    </row>
    <row r="250" ht="20.1" customHeight="1">
      <c r="A250" s="351" t="n">
        <v>8</v>
      </c>
      <c r="B250" s="352" t="inlineStr">
        <is>
          <t>HVAC1_status_data</t>
        </is>
      </c>
      <c r="C250" s="352" t="n"/>
      <c r="D250" s="352" t="n"/>
      <c r="E250" s="352" t="n"/>
      <c r="F250" s="351" t="n"/>
      <c r="G250" s="351" t="n"/>
      <c r="H250" s="351">
        <f>IF(AND(H245),1,0)</f>
        <v/>
      </c>
      <c r="I250" s="351" t="n"/>
      <c r="J250" s="351" t="n"/>
      <c r="K250" s="351" t="n"/>
      <c r="L250" s="351" t="n"/>
      <c r="M250" s="351" t="n"/>
      <c r="N250" s="351" t="n"/>
      <c r="O250" s="351" t="n"/>
      <c r="P250" s="351" t="n"/>
      <c r="Q250" s="351" t="n"/>
      <c r="R250" s="351">
        <f>IF(AND(H250:Q250),1,0)</f>
        <v/>
      </c>
    </row>
    <row r="251" ht="20.1" customHeight="1">
      <c r="A251" s="351" t="n">
        <v>9</v>
      </c>
      <c r="B251" s="352" t="inlineStr">
        <is>
          <t>HVAC2_Status_data</t>
        </is>
      </c>
      <c r="C251" s="352" t="n"/>
      <c r="D251" s="352" t="n"/>
      <c r="E251" s="352" t="n"/>
      <c r="F251" s="351" t="n"/>
      <c r="G251" s="351" t="n"/>
      <c r="H251" s="351">
        <f>IF(AND(H249),1,0)</f>
        <v/>
      </c>
      <c r="I251" s="351" t="n"/>
      <c r="J251" s="351" t="n"/>
      <c r="K251" s="351" t="n"/>
      <c r="L251" s="351" t="n"/>
      <c r="M251" s="351" t="n"/>
      <c r="N251" s="351" t="n"/>
      <c r="O251" s="351" t="n"/>
      <c r="P251" s="351" t="n"/>
      <c r="Q251" s="351" t="n"/>
      <c r="R251" s="351">
        <f>IF(AND(H251:Q251),1,0)</f>
        <v/>
      </c>
    </row>
    <row r="256" ht="20.1" customHeight="1">
      <c r="A256" s="725" t="inlineStr">
        <is>
          <t>16.Pre-conditioning</t>
        </is>
      </c>
      <c r="B256" s="798" t="n"/>
      <c r="C256" s="798" t="n"/>
      <c r="D256" s="798" t="n"/>
      <c r="E256" s="798" t="n"/>
      <c r="F256" s="798" t="n"/>
      <c r="G256" s="798" t="n"/>
      <c r="H256" s="798" t="n"/>
      <c r="I256" s="798" t="n"/>
      <c r="J256" s="798" t="n"/>
      <c r="K256" s="798" t="n"/>
      <c r="L256" s="798" t="n"/>
      <c r="M256" s="798" t="n"/>
      <c r="N256" s="798" t="n"/>
      <c r="O256" s="798" t="n"/>
      <c r="P256" s="798" t="n"/>
      <c r="Q256" s="798" t="n"/>
      <c r="R256" s="309" t="n"/>
    </row>
    <row r="258" ht="20.1" customHeight="1">
      <c r="A258" s="65" t="n">
        <v>1</v>
      </c>
      <c r="B258" s="66" t="inlineStr">
        <is>
          <t>HVAC_ON</t>
        </is>
      </c>
      <c r="C258" s="65" t="n"/>
      <c r="D258" s="65" t="n"/>
      <c r="E258" s="65" t="n"/>
      <c r="F258" s="65">
        <f>F208</f>
        <v/>
      </c>
      <c r="G258" s="65" t="n"/>
      <c r="H258" s="65" t="n"/>
      <c r="I258" s="65" t="n"/>
      <c r="J258" s="65" t="n"/>
      <c r="K258" s="65" t="n"/>
      <c r="L258" s="65" t="n"/>
      <c r="M258" s="65" t="n"/>
      <c r="N258" s="65" t="n"/>
      <c r="O258" s="65" t="n"/>
      <c r="P258" s="65" t="n"/>
      <c r="Q258" s="65" t="n"/>
      <c r="R258" s="65">
        <f>IF(AND(F258:Q258),1,0)</f>
        <v/>
      </c>
    </row>
    <row r="259" ht="20.1" customHeight="1">
      <c r="A259" s="65" t="n">
        <v>2</v>
      </c>
      <c r="B259" s="66" t="inlineStr">
        <is>
          <t>precondition command</t>
        </is>
      </c>
      <c r="C259" s="65" t="n"/>
      <c r="D259" s="65" t="n"/>
      <c r="E259" s="65" t="n"/>
      <c r="F259" s="65">
        <f>IF(OR(Calculation!B57:B58),1,0)</f>
        <v/>
      </c>
      <c r="G259" s="65" t="n"/>
      <c r="H259" s="65" t="n"/>
      <c r="I259" s="65" t="n"/>
      <c r="J259" s="65" t="n"/>
      <c r="K259" s="65" t="n"/>
      <c r="L259" s="65" t="n"/>
      <c r="M259" s="65" t="n"/>
      <c r="N259" s="65" t="n"/>
      <c r="O259" s="65" t="n"/>
      <c r="P259" s="65" t="n"/>
      <c r="Q259" s="65" t="n"/>
      <c r="R259" s="65">
        <f>IF(AND(F259:Q259),1,0)</f>
        <v/>
      </c>
    </row>
    <row r="260" ht="20.1" customHeight="1">
      <c r="A260" s="65" t="n">
        <v>3</v>
      </c>
      <c r="B260" s="66" t="inlineStr">
        <is>
          <t>passerger&lt;=10%</t>
        </is>
      </c>
      <c r="C260" s="65" t="n"/>
      <c r="D260" s="65" t="n"/>
      <c r="E260" s="65" t="n"/>
      <c r="F260" s="65">
        <f>IF('Mode Logic'!C7&lt;10%,1,0)</f>
        <v/>
      </c>
      <c r="G260" s="65" t="n"/>
      <c r="H260" s="65" t="n"/>
      <c r="I260" s="65" t="n"/>
      <c r="J260" s="65" t="n"/>
      <c r="K260" s="65" t="n"/>
      <c r="L260" s="65" t="n"/>
      <c r="M260" s="65" t="n"/>
      <c r="N260" s="65" t="n"/>
      <c r="O260" s="65" t="n"/>
      <c r="P260" s="65" t="n"/>
      <c r="Q260" s="65" t="n"/>
      <c r="R260" s="65">
        <f>IF(AND(F260:Q260),1,0)</f>
        <v/>
      </c>
    </row>
    <row r="261" ht="20.1" customHeight="1">
      <c r="A261" s="65" t="n">
        <v>4</v>
      </c>
      <c r="B261" s="66" t="inlineStr">
        <is>
          <t>HP_OK</t>
        </is>
      </c>
      <c r="C261" s="65" t="n"/>
      <c r="D261" s="65" t="n"/>
      <c r="E261" s="65" t="n"/>
      <c r="F261" s="65">
        <f>IF(AND(HVAC_IOs!D10=1,HVAC_IOs!D12=1),1,0)</f>
        <v/>
      </c>
      <c r="G261" s="65" t="n"/>
      <c r="H261" s="65" t="n"/>
      <c r="I261" s="65" t="n"/>
      <c r="J261" s="65" t="n"/>
      <c r="K261" s="65" t="n"/>
      <c r="L261" s="65" t="n"/>
      <c r="M261" s="65" t="n"/>
      <c r="N261" s="65" t="n"/>
      <c r="O261" s="65" t="n"/>
      <c r="P261" s="65" t="n"/>
      <c r="Q261" s="65" t="n"/>
      <c r="R261" s="65">
        <f>IF(AND(F261:Q261),1,0)</f>
        <v/>
      </c>
    </row>
    <row r="262" ht="20.1" customHeight="1">
      <c r="A262" s="65" t="n">
        <v>5</v>
      </c>
      <c r="B262" s="66" t="inlineStr">
        <is>
          <t>LP_OK</t>
        </is>
      </c>
      <c r="C262" s="65" t="n"/>
      <c r="D262" s="65" t="n"/>
      <c r="E262" s="65" t="n"/>
      <c r="F262" s="65">
        <f>IF(AND(HVAC_IOs!D11=1,HVAC_IOs!D13=1),1,0)</f>
        <v/>
      </c>
      <c r="G262" s="65" t="n"/>
      <c r="H262" s="65" t="n"/>
      <c r="I262" s="65" t="n"/>
      <c r="J262" s="65" t="n"/>
      <c r="K262" s="65" t="n"/>
      <c r="L262" s="65" t="n"/>
      <c r="M262" s="65" t="n"/>
      <c r="N262" s="65" t="n"/>
      <c r="O262" s="65" t="n"/>
      <c r="P262" s="65" t="n"/>
      <c r="Q262" s="65" t="n"/>
      <c r="R262" s="65">
        <f>IF(AND(F262:Q262),1,0)</f>
        <v/>
      </c>
    </row>
    <row r="263" ht="20.1" customHeight="1">
      <c r="A263" s="65" t="n">
        <v>6</v>
      </c>
      <c r="B263" s="66" t="inlineStr">
        <is>
          <t>Breaker_ok</t>
        </is>
      </c>
      <c r="C263" s="65" t="n"/>
      <c r="D263" s="65" t="n"/>
      <c r="E263" s="65" t="n"/>
      <c r="F263" s="65">
        <f>IF(AND(HVAC_IOs!D30=1,HVAC_IOs!D31=1,HVAC_IOs!D32=1,HVAC_IOs!D33=1,HVAC_IOs!D34=1,HVAC_IOs!D35=1,HVAC_IOs!D36=1,HVAC_IOs!D37=1,HVAC_IOs!D38=1,HVAC_IOs!D39=1,HVAC_IOs!D40=1,HVAC_IOs!D41=1,HVAC_IOs!D42=1,HVAC_IOs!D43=1,HVAC_IOs!D44=1,HVAC_IOs!D45=1,HVAC_IOs!D46=1),1,0)</f>
        <v/>
      </c>
      <c r="G263" s="65" t="n"/>
      <c r="H263" s="65" t="n"/>
      <c r="I263" s="65" t="n"/>
      <c r="J263" s="65" t="n"/>
      <c r="K263" s="65" t="n"/>
      <c r="L263" s="65" t="n"/>
      <c r="M263" s="65" t="n"/>
      <c r="N263" s="65" t="n"/>
      <c r="O263" s="65" t="n"/>
      <c r="P263" s="65" t="n"/>
      <c r="Q263" s="65" t="n"/>
      <c r="R263" s="65">
        <f>IF(AND(F263:Q263),1,0)</f>
        <v/>
      </c>
    </row>
    <row r="264" ht="20.1" customHeight="1">
      <c r="A264" s="65" t="n">
        <v>7</v>
      </c>
      <c r="B264" s="66" t="inlineStr">
        <is>
          <t>Fan_ok</t>
        </is>
      </c>
      <c r="C264" s="65" t="n"/>
      <c r="D264" s="65" t="n"/>
      <c r="E264" s="65" t="n"/>
      <c r="F264" s="65" t="n">
        <v>1</v>
      </c>
      <c r="G264" s="65" t="n"/>
      <c r="H264" s="65" t="n"/>
      <c r="I264" s="65" t="n"/>
      <c r="J264" s="65" t="n"/>
      <c r="K264" s="65" t="n"/>
      <c r="L264" s="65" t="n"/>
      <c r="M264" s="65" t="n"/>
      <c r="N264" s="65" t="n"/>
      <c r="O264" s="65" t="n"/>
      <c r="P264" s="65" t="n"/>
      <c r="Q264" s="65" t="n"/>
      <c r="R264" s="65">
        <f>IF(AND(F264:Q264),1,0)</f>
        <v/>
      </c>
    </row>
    <row r="265" ht="20.1" customHeight="1">
      <c r="A265" s="65" t="n">
        <v>8</v>
      </c>
      <c r="B265" s="66" t="inlineStr">
        <is>
          <t>RAT_&gt;SP+3</t>
        </is>
      </c>
      <c r="C265" s="65" t="n"/>
      <c r="D265" s="65" t="n"/>
      <c r="E265" s="65" t="n"/>
      <c r="F265" s="65">
        <f>F259</f>
        <v/>
      </c>
      <c r="G265" s="65">
        <f>IF(AND(F258:F265),1,0)</f>
        <v/>
      </c>
      <c r="H265" s="65" t="n"/>
      <c r="I265" s="65" t="n"/>
      <c r="J265" s="65" t="n"/>
      <c r="K265" s="65" t="n"/>
      <c r="L265" s="65" t="n"/>
      <c r="M265" s="65" t="n"/>
      <c r="N265" s="65" t="n"/>
      <c r="O265" s="65" t="n"/>
      <c r="P265" s="65" t="n"/>
      <c r="Q265" s="65" t="n"/>
      <c r="R265" s="65">
        <f>IF(AND(F265:Q265),1,0)</f>
        <v/>
      </c>
    </row>
    <row r="266" ht="20.1" customHeight="1">
      <c r="A266" s="148" t="n">
        <v>9</v>
      </c>
      <c r="B266" s="149" t="inlineStr">
        <is>
          <t>Preconditioning enable</t>
        </is>
      </c>
      <c r="C266" s="148" t="n"/>
      <c r="D266" s="148" t="n"/>
      <c r="E266" s="148" t="n"/>
      <c r="F266" s="148" t="n"/>
      <c r="G266" s="148">
        <f>IF(AND(R265),1,0)</f>
        <v/>
      </c>
      <c r="H266" s="148" t="n"/>
      <c r="I266" s="148" t="n"/>
      <c r="J266" s="148" t="n"/>
      <c r="K266" s="148" t="n"/>
      <c r="L266" s="148" t="n"/>
      <c r="M266" s="148" t="n"/>
      <c r="N266" s="148" t="n"/>
      <c r="O266" s="148" t="n"/>
      <c r="P266" s="148" t="n"/>
      <c r="Q266" s="148" t="n"/>
      <c r="R266" s="148">
        <f>IF(AND(F266:Q266),1,0)</f>
        <v/>
      </c>
    </row>
    <row r="267" ht="20.1" customHeight="1">
      <c r="A267" s="148" t="n">
        <v>10</v>
      </c>
      <c r="B267" s="149" t="inlineStr">
        <is>
          <t>fresh air damper closed</t>
        </is>
      </c>
      <c r="C267" s="148" t="n"/>
      <c r="D267" s="148" t="n"/>
      <c r="E267" s="148" t="n"/>
      <c r="F267" s="148" t="n"/>
      <c r="G267" s="148">
        <f>IF(AND(R266),1,0)</f>
        <v/>
      </c>
      <c r="H267" s="148" t="n"/>
      <c r="I267" s="148" t="n"/>
      <c r="J267" s="148" t="n"/>
      <c r="K267" s="148" t="n"/>
      <c r="L267" s="148" t="n"/>
      <c r="M267" s="148" t="n"/>
      <c r="N267" s="148" t="n"/>
      <c r="O267" s="148" t="n"/>
      <c r="P267" s="148" t="n"/>
      <c r="Q267" s="148" t="n"/>
      <c r="R267" s="148">
        <f>IF(AND(F267:Q267),1,0)</f>
        <v/>
      </c>
    </row>
    <row r="271" ht="20.1" customHeight="1">
      <c r="A271" s="725" t="inlineStr">
        <is>
          <t>17.Pre-heating</t>
        </is>
      </c>
      <c r="B271" s="798" t="n"/>
      <c r="C271" s="798" t="n"/>
      <c r="D271" s="798" t="n"/>
      <c r="E271" s="798" t="n"/>
      <c r="F271" s="798" t="n"/>
      <c r="G271" s="798" t="n"/>
      <c r="H271" s="798" t="n"/>
      <c r="I271" s="798" t="n"/>
      <c r="J271" s="798" t="n"/>
      <c r="K271" s="798" t="n"/>
      <c r="L271" s="798" t="n"/>
      <c r="M271" s="798" t="n"/>
      <c r="N271" s="798" t="n"/>
      <c r="O271" s="798" t="n"/>
      <c r="P271" s="798" t="n"/>
      <c r="Q271" s="798" t="n"/>
      <c r="R271" s="309" t="n"/>
    </row>
    <row r="273" ht="20.1" customHeight="1">
      <c r="A273" s="65" t="n">
        <v>1</v>
      </c>
      <c r="B273" s="67" t="inlineStr">
        <is>
          <t>HVAC_on</t>
        </is>
      </c>
      <c r="C273" s="65" t="n"/>
      <c r="D273" s="65" t="n"/>
      <c r="E273" s="65" t="n"/>
      <c r="F273" s="65">
        <f>F258</f>
        <v/>
      </c>
      <c r="G273" s="65" t="n"/>
      <c r="H273" s="65" t="n"/>
      <c r="I273" s="65" t="n"/>
      <c r="J273" s="65" t="n"/>
      <c r="K273" s="65" t="n"/>
      <c r="L273" s="65" t="n"/>
      <c r="M273" s="65" t="n"/>
      <c r="N273" s="65" t="n"/>
      <c r="O273" s="65" t="n"/>
      <c r="P273" s="65" t="n"/>
      <c r="Q273" s="65" t="n"/>
      <c r="R273" s="65">
        <f>IF(AND(F273:Q273),1,0)</f>
        <v/>
      </c>
    </row>
    <row r="274" ht="20.1" customHeight="1">
      <c r="A274" s="65" t="n">
        <v>2</v>
      </c>
      <c r="B274" s="68" t="inlineStr">
        <is>
          <t>Precondition_command</t>
        </is>
      </c>
      <c r="C274" s="65" t="n"/>
      <c r="D274" s="65" t="n"/>
      <c r="E274" s="65" t="n"/>
      <c r="F274" s="65">
        <f>F259</f>
        <v/>
      </c>
      <c r="G274" s="65" t="n"/>
      <c r="H274" s="65" t="n"/>
      <c r="I274" s="65" t="n"/>
      <c r="J274" s="65" t="n"/>
      <c r="K274" s="65" t="n"/>
      <c r="L274" s="65" t="n"/>
      <c r="M274" s="65" t="n"/>
      <c r="N274" s="65" t="n"/>
      <c r="O274" s="65" t="n"/>
      <c r="P274" s="65" t="n"/>
      <c r="Q274" s="65" t="n"/>
      <c r="R274" s="65">
        <f>IF(AND(F274:Q274),1,0)</f>
        <v/>
      </c>
    </row>
    <row r="275" ht="20.1" customHeight="1">
      <c r="A275" s="65" t="n">
        <v>3</v>
      </c>
      <c r="B275" s="69" t="inlineStr">
        <is>
          <t>passanger_&lt;=_10%</t>
        </is>
      </c>
      <c r="C275" s="65" t="n"/>
      <c r="D275" s="65" t="n"/>
      <c r="E275" s="65" t="n"/>
      <c r="F275" s="65">
        <f>F260</f>
        <v/>
      </c>
      <c r="G275" s="65" t="n"/>
      <c r="H275" s="65" t="n"/>
      <c r="I275" s="65" t="n"/>
      <c r="J275" s="65" t="n"/>
      <c r="K275" s="65" t="n"/>
      <c r="L275" s="65" t="n"/>
      <c r="M275" s="65" t="n"/>
      <c r="N275" s="65" t="n"/>
      <c r="O275" s="65" t="n"/>
      <c r="P275" s="65" t="n"/>
      <c r="Q275" s="65" t="n"/>
      <c r="R275" s="65">
        <f>IF(AND(F275:Q275),1,0)</f>
        <v/>
      </c>
    </row>
    <row r="276" ht="20.1" customHeight="1">
      <c r="A276" s="65" t="n">
        <v>4</v>
      </c>
      <c r="B276" s="68" t="inlineStr">
        <is>
          <t>HP_OK</t>
        </is>
      </c>
      <c r="C276" s="65" t="n"/>
      <c r="D276" s="65" t="n"/>
      <c r="E276" s="65" t="n"/>
      <c r="F276" s="65">
        <f>IF(AND(HVAC_IOs!D10=1,HVAC_IOs!D12=1),1,0)</f>
        <v/>
      </c>
      <c r="G276" s="65" t="n"/>
      <c r="H276" s="65" t="n"/>
      <c r="I276" s="65" t="n"/>
      <c r="J276" s="65" t="n"/>
      <c r="K276" s="65" t="n"/>
      <c r="L276" s="65" t="n"/>
      <c r="M276" s="65" t="n"/>
      <c r="N276" s="65" t="n"/>
      <c r="O276" s="65" t="n"/>
      <c r="P276" s="65" t="n"/>
      <c r="Q276" s="65" t="n"/>
      <c r="R276" s="65">
        <f>IF(AND(F276:Q276),1,0)</f>
        <v/>
      </c>
    </row>
    <row r="277" ht="20.1" customHeight="1">
      <c r="A277" s="65" t="n">
        <v>5</v>
      </c>
      <c r="B277" s="68" t="inlineStr">
        <is>
          <t>LP_ok</t>
        </is>
      </c>
      <c r="C277" s="65" t="n"/>
      <c r="D277" s="65" t="n"/>
      <c r="E277" s="65" t="n"/>
      <c r="F277" s="65">
        <f>IF(AND(HVAC_IOs!D11=1,HVAC_IOs!D13=1),1,0)</f>
        <v/>
      </c>
      <c r="G277" s="65" t="n"/>
      <c r="H277" s="65" t="n"/>
      <c r="I277" s="65" t="n"/>
      <c r="J277" s="65" t="n"/>
      <c r="K277" s="65" t="n"/>
      <c r="L277" s="65" t="n"/>
      <c r="M277" s="65" t="n"/>
      <c r="N277" s="65" t="n"/>
      <c r="O277" s="65" t="n"/>
      <c r="P277" s="65" t="n"/>
      <c r="Q277" s="65" t="n"/>
      <c r="R277" s="65">
        <f>IF(AND(F277:Q277),1,0)</f>
        <v/>
      </c>
    </row>
    <row r="278" ht="20.1" customHeight="1">
      <c r="A278" s="65" t="n">
        <v>6</v>
      </c>
      <c r="B278" s="68" t="inlineStr">
        <is>
          <t>Breaker_ok</t>
        </is>
      </c>
      <c r="C278" s="65" t="n"/>
      <c r="D278" s="65" t="n"/>
      <c r="E278" s="65" t="n"/>
      <c r="F278" s="65">
        <f>IF(AND(HVAC_IOs!D30=1,HVAC_IOs!D31=1,HVAC_IOs!D32=1,HVAC_IOs!D33=1,HVAC_IOs!D34=1,HVAC_IOs!D35=1,HVAC_IOs!D36=1,HVAC_IOs!D37=1,HVAC_IOs!D38=1,HVAC_IOs!D39=1,HVAC_IOs!D40=1,HVAC_IOs!D41=1,HVAC_IOs!D42=1,HVAC_IOs!D43=1,HVAC_IOs!D44=1,HVAC_IOs!D45=1,HVAC_IOs!D46=1),1,0)</f>
        <v/>
      </c>
      <c r="G278" s="65" t="n"/>
      <c r="H278" s="65" t="n"/>
      <c r="I278" s="65" t="n"/>
      <c r="J278" s="65" t="n"/>
      <c r="K278" s="65" t="n"/>
      <c r="L278" s="65" t="n"/>
      <c r="M278" s="65" t="n"/>
      <c r="N278" s="65" t="n"/>
      <c r="O278" s="65" t="n"/>
      <c r="P278" s="65" t="n"/>
      <c r="Q278" s="65" t="n"/>
      <c r="R278" s="65">
        <f>IF(AND(F278:Q278),1,0)</f>
        <v/>
      </c>
    </row>
    <row r="279" ht="20.1" customHeight="1">
      <c r="A279" s="65" t="n">
        <v>7</v>
      </c>
      <c r="B279" s="68" t="inlineStr">
        <is>
          <t>Fan_OK</t>
        </is>
      </c>
      <c r="C279" s="65" t="n"/>
      <c r="D279" s="65" t="n"/>
      <c r="E279" s="65" t="n"/>
      <c r="F279" s="65">
        <f>F264</f>
        <v/>
      </c>
      <c r="G279" s="65" t="n"/>
      <c r="H279" s="65" t="n"/>
      <c r="I279" s="65" t="n"/>
      <c r="J279" s="65" t="n"/>
      <c r="K279" s="65" t="n"/>
      <c r="L279" s="65" t="n"/>
      <c r="M279" s="65" t="n"/>
      <c r="N279" s="65" t="n"/>
      <c r="O279" s="65" t="n"/>
      <c r="P279" s="65" t="n"/>
      <c r="Q279" s="65" t="n"/>
      <c r="R279" s="65">
        <f>IF(AND(F279:Q279),1,0)</f>
        <v/>
      </c>
    </row>
    <row r="280" ht="20.1" customHeight="1">
      <c r="A280" s="65" t="n">
        <v>8</v>
      </c>
      <c r="B280" s="68" t="inlineStr">
        <is>
          <t>RAT_&lt;=_SP+3K</t>
        </is>
      </c>
      <c r="C280" s="65" t="n"/>
      <c r="D280" s="65" t="n"/>
      <c r="E280" s="65" t="n"/>
      <c r="F280" s="65">
        <f>Calculation!B58</f>
        <v/>
      </c>
      <c r="G280" s="65" t="n"/>
      <c r="H280" s="65" t="n"/>
      <c r="I280" s="65" t="n"/>
      <c r="J280" s="65" t="n"/>
      <c r="K280" s="65" t="n"/>
      <c r="L280" s="65" t="n"/>
      <c r="M280" s="65" t="n"/>
      <c r="N280" s="65" t="n"/>
      <c r="O280" s="65" t="n"/>
      <c r="P280" s="65" t="n"/>
      <c r="Q280" s="65" t="n"/>
      <c r="R280" s="65">
        <f>IF(AND(F280:Q280),1,0)</f>
        <v/>
      </c>
    </row>
    <row r="281" ht="20.1" customHeight="1">
      <c r="A281" s="65" t="n">
        <v>9</v>
      </c>
      <c r="B281" s="68" t="inlineStr">
        <is>
          <t>Fan_FB_OK</t>
        </is>
      </c>
      <c r="C281" s="65" t="n"/>
      <c r="D281" s="65" t="n"/>
      <c r="E281" s="65" t="n"/>
      <c r="F281" s="65">
        <f>IF(AND(HVAC_IOs!D45=1,HVAC_IOs!D46=1),1,0)</f>
        <v/>
      </c>
      <c r="G281" s="65" t="n"/>
      <c r="H281" s="65" t="n"/>
      <c r="I281" s="65" t="n"/>
      <c r="J281" s="65" t="n"/>
      <c r="K281" s="65" t="n"/>
      <c r="L281" s="65" t="n"/>
      <c r="M281" s="65" t="n"/>
      <c r="N281" s="65" t="n"/>
      <c r="O281" s="65" t="n"/>
      <c r="P281" s="65" t="n"/>
      <c r="Q281" s="65" t="n"/>
      <c r="R281" s="65">
        <f>IF(AND(F281:Q281),1,0)</f>
        <v/>
      </c>
    </row>
    <row r="282" ht="20.1" customHeight="1">
      <c r="A282" s="65" t="n">
        <v>10</v>
      </c>
      <c r="B282" s="68" t="inlineStr">
        <is>
          <t>pre-conditioning_enable</t>
        </is>
      </c>
      <c r="C282" s="65" t="n"/>
      <c r="D282" s="65" t="n"/>
      <c r="E282" s="65" t="n"/>
      <c r="F282" s="65">
        <f>R266</f>
        <v/>
      </c>
      <c r="G282" s="65">
        <f>IF(AND(F273:F281),1,0)</f>
        <v/>
      </c>
      <c r="H282" s="65" t="n"/>
      <c r="I282" s="65" t="n"/>
      <c r="J282" s="65" t="n"/>
      <c r="K282" s="65" t="n"/>
      <c r="L282" s="65" t="n"/>
      <c r="M282" s="65" t="n"/>
      <c r="N282" s="65" t="n"/>
      <c r="O282" s="65" t="n"/>
      <c r="P282" s="65" t="n"/>
      <c r="Q282" s="65" t="n"/>
      <c r="R282" s="65">
        <f>IF(AND(F282:Q282),1,0)</f>
        <v/>
      </c>
    </row>
    <row r="283" ht="20.1" customHeight="1">
      <c r="A283" s="65" t="n">
        <v>11</v>
      </c>
      <c r="B283" s="68" t="inlineStr">
        <is>
          <t>LFC 11</t>
        </is>
      </c>
      <c r="C283" s="65" t="n"/>
      <c r="D283" s="65" t="n"/>
      <c r="E283" s="65" t="n"/>
      <c r="F283" s="65" t="n"/>
      <c r="G283" s="65">
        <f>IF(AND(F280:F281),1,0)</f>
        <v/>
      </c>
      <c r="H283" s="65" t="n"/>
      <c r="I283" s="65" t="n"/>
      <c r="J283" s="65" t="n"/>
      <c r="K283" s="65" t="n"/>
      <c r="L283" s="65" t="n"/>
      <c r="M283" s="65" t="n"/>
      <c r="N283" s="65" t="n"/>
      <c r="O283" s="65" t="n"/>
      <c r="P283" s="65" t="n"/>
      <c r="Q283" s="65" t="n"/>
      <c r="R283" s="65">
        <f>IF(AND(F283:Q283),1,0)</f>
        <v/>
      </c>
    </row>
    <row r="284" ht="20.1" customHeight="1">
      <c r="A284" s="148" t="n">
        <v>12</v>
      </c>
      <c r="B284" s="150" t="inlineStr">
        <is>
          <t>pre-heating_ON 100%</t>
        </is>
      </c>
      <c r="C284" s="148" t="n"/>
      <c r="D284" s="148" t="n"/>
      <c r="E284" s="148" t="n"/>
      <c r="F284" s="148" t="n"/>
      <c r="G284" s="148">
        <f>IF(AND(R282:R283),1,0)</f>
        <v/>
      </c>
      <c r="H284" s="148" t="n"/>
      <c r="I284" s="148" t="n"/>
      <c r="J284" s="148" t="n"/>
      <c r="K284" s="148" t="n"/>
      <c r="L284" s="148" t="n"/>
      <c r="M284" s="148" t="n"/>
      <c r="N284" s="148" t="n"/>
      <c r="O284" s="148" t="n"/>
      <c r="P284" s="148" t="n"/>
      <c r="Q284" s="148" t="n"/>
      <c r="R284" s="148">
        <f>IF(AND(F284:Q284),1,0)</f>
        <v/>
      </c>
    </row>
    <row r="290" ht="20.1" customHeight="1">
      <c r="A290" s="725" t="inlineStr">
        <is>
          <t>18.Pre-Cooling</t>
        </is>
      </c>
      <c r="B290" s="798" t="n"/>
      <c r="C290" s="798" t="n"/>
      <c r="D290" s="798" t="n"/>
      <c r="E290" s="798" t="n"/>
      <c r="F290" s="798" t="n"/>
      <c r="G290" s="798" t="n"/>
      <c r="H290" s="798" t="n"/>
      <c r="I290" s="798" t="n"/>
      <c r="J290" s="798" t="n"/>
      <c r="K290" s="798" t="n"/>
      <c r="L290" s="798" t="n"/>
      <c r="M290" s="798" t="n"/>
      <c r="N290" s="798" t="n"/>
      <c r="O290" s="798" t="n"/>
      <c r="P290" s="798" t="n"/>
      <c r="Q290" s="798" t="n"/>
      <c r="R290" s="309" t="n"/>
    </row>
    <row r="292" ht="20.1" customHeight="1">
      <c r="A292" s="65" t="n">
        <v>1</v>
      </c>
      <c r="B292" s="67" t="inlineStr">
        <is>
          <t>HVAC_on</t>
        </is>
      </c>
      <c r="C292" s="65" t="n"/>
      <c r="D292" s="65" t="n"/>
      <c r="E292" s="65" t="n"/>
      <c r="F292" s="65">
        <f>F273</f>
        <v/>
      </c>
      <c r="G292" s="65" t="n"/>
      <c r="H292" s="65" t="n"/>
      <c r="I292" s="65" t="n"/>
      <c r="J292" s="65" t="n"/>
      <c r="K292" s="65" t="n"/>
      <c r="L292" s="65" t="n"/>
      <c r="M292" s="65" t="n"/>
      <c r="N292" s="65" t="n"/>
      <c r="O292" s="65" t="n"/>
      <c r="P292" s="65" t="n"/>
      <c r="Q292" s="65" t="n"/>
      <c r="R292" s="65">
        <f>IF(AND(F292:Q292),1,0)</f>
        <v/>
      </c>
    </row>
    <row r="293" ht="20.1" customHeight="1">
      <c r="A293" s="65" t="n">
        <v>2</v>
      </c>
      <c r="B293" s="68" t="inlineStr">
        <is>
          <t>Precondition_command</t>
        </is>
      </c>
      <c r="C293" s="65" t="n"/>
      <c r="D293" s="65" t="n"/>
      <c r="E293" s="65" t="n"/>
      <c r="F293" s="65">
        <f>F274</f>
        <v/>
      </c>
      <c r="G293" s="65" t="n"/>
      <c r="H293" s="65" t="n"/>
      <c r="I293" s="65" t="n"/>
      <c r="J293" s="65" t="n"/>
      <c r="K293" s="65" t="n"/>
      <c r="L293" s="65" t="n"/>
      <c r="M293" s="65" t="n"/>
      <c r="N293" s="65" t="n"/>
      <c r="O293" s="65" t="n"/>
      <c r="P293" s="65" t="n"/>
      <c r="Q293" s="65" t="n"/>
      <c r="R293" s="65">
        <f>IF(AND(F293:Q293),1,0)</f>
        <v/>
      </c>
    </row>
    <row r="294" ht="20.1" customHeight="1">
      <c r="A294" s="65" t="n">
        <v>3</v>
      </c>
      <c r="B294" s="69" t="inlineStr">
        <is>
          <t>passanger_&lt;=_10%</t>
        </is>
      </c>
      <c r="C294" s="65" t="n"/>
      <c r="D294" s="65" t="n"/>
      <c r="E294" s="65" t="n"/>
      <c r="F294" s="65">
        <f>F275</f>
        <v/>
      </c>
      <c r="G294" s="65" t="n"/>
      <c r="H294" s="65" t="n"/>
      <c r="I294" s="65" t="n"/>
      <c r="J294" s="65" t="n"/>
      <c r="K294" s="65" t="n"/>
      <c r="L294" s="65" t="n"/>
      <c r="M294" s="65" t="n"/>
      <c r="N294" s="65" t="n"/>
      <c r="O294" s="65" t="n"/>
      <c r="P294" s="65" t="n"/>
      <c r="Q294" s="65" t="n"/>
      <c r="R294" s="65">
        <f>IF(AND(F294:Q294),1,0)</f>
        <v/>
      </c>
    </row>
    <row r="295" ht="20.1" customHeight="1">
      <c r="A295" s="65" t="n">
        <v>4</v>
      </c>
      <c r="B295" s="68" t="inlineStr">
        <is>
          <t>HP_OK</t>
        </is>
      </c>
      <c r="C295" s="65" t="n"/>
      <c r="D295" s="65" t="n"/>
      <c r="E295" s="65" t="n"/>
      <c r="F295" s="65">
        <f>F276</f>
        <v/>
      </c>
      <c r="G295" s="65" t="n"/>
      <c r="H295" s="65" t="n"/>
      <c r="I295" s="65" t="n"/>
      <c r="J295" s="65" t="n"/>
      <c r="K295" s="65" t="n"/>
      <c r="L295" s="65" t="n"/>
      <c r="M295" s="65" t="n"/>
      <c r="N295" s="65" t="n"/>
      <c r="O295" s="65" t="n"/>
      <c r="P295" s="65" t="n"/>
      <c r="Q295" s="65" t="n"/>
      <c r="R295" s="65">
        <f>IF(AND(F295:Q295),1,0)</f>
        <v/>
      </c>
    </row>
    <row r="296" ht="20.1" customHeight="1">
      <c r="A296" s="65" t="n">
        <v>5</v>
      </c>
      <c r="B296" s="68" t="inlineStr">
        <is>
          <t>LP_ok</t>
        </is>
      </c>
      <c r="C296" s="65" t="n"/>
      <c r="D296" s="65" t="n"/>
      <c r="E296" s="65" t="n"/>
      <c r="F296" s="65">
        <f>F277</f>
        <v/>
      </c>
      <c r="G296" s="65" t="n"/>
      <c r="H296" s="65" t="n"/>
      <c r="I296" s="65" t="n"/>
      <c r="J296" s="65" t="n"/>
      <c r="K296" s="65" t="n"/>
      <c r="L296" s="65" t="n"/>
      <c r="M296" s="65" t="n"/>
      <c r="N296" s="65" t="n"/>
      <c r="O296" s="65" t="n"/>
      <c r="P296" s="65" t="n"/>
      <c r="Q296" s="65" t="n"/>
      <c r="R296" s="65">
        <f>IF(AND(F296:Q296),1,0)</f>
        <v/>
      </c>
    </row>
    <row r="297" ht="20.1" customHeight="1">
      <c r="A297" s="65" t="n">
        <v>6</v>
      </c>
      <c r="B297" s="68" t="inlineStr">
        <is>
          <t>Breaker_ok</t>
        </is>
      </c>
      <c r="C297" s="65" t="n"/>
      <c r="D297" s="65" t="n"/>
      <c r="E297" s="65" t="n"/>
      <c r="F297" s="65">
        <f>F278</f>
        <v/>
      </c>
      <c r="G297" s="65" t="n"/>
      <c r="H297" s="65" t="n"/>
      <c r="I297" s="65" t="n"/>
      <c r="J297" s="65" t="n"/>
      <c r="K297" s="65" t="n"/>
      <c r="L297" s="65" t="n"/>
      <c r="M297" s="65" t="n"/>
      <c r="N297" s="65" t="n"/>
      <c r="O297" s="65" t="n"/>
      <c r="P297" s="65" t="n"/>
      <c r="Q297" s="65" t="n"/>
      <c r="R297" s="65">
        <f>IF(AND(F297:Q297),1,0)</f>
        <v/>
      </c>
    </row>
    <row r="298" ht="20.1" customHeight="1">
      <c r="A298" s="65" t="n">
        <v>7</v>
      </c>
      <c r="B298" s="68" t="inlineStr">
        <is>
          <t>Fan_OK</t>
        </is>
      </c>
      <c r="C298" s="65" t="n"/>
      <c r="D298" s="65" t="n"/>
      <c r="E298" s="65" t="n"/>
      <c r="F298" s="65">
        <f>F279</f>
        <v/>
      </c>
      <c r="G298" s="65" t="n"/>
      <c r="H298" s="65" t="n"/>
      <c r="I298" s="65" t="n"/>
      <c r="J298" s="65" t="n"/>
      <c r="K298" s="65" t="n"/>
      <c r="L298" s="65" t="n"/>
      <c r="M298" s="65" t="n"/>
      <c r="N298" s="65" t="n"/>
      <c r="O298" s="65" t="n"/>
      <c r="P298" s="65" t="n"/>
      <c r="Q298" s="65" t="n"/>
      <c r="R298" s="65">
        <f>IF(AND(F298:Q298),1,0)</f>
        <v/>
      </c>
    </row>
    <row r="299" ht="20.1" customHeight="1">
      <c r="A299" s="65" t="n">
        <v>8</v>
      </c>
      <c r="B299" s="68" t="inlineStr">
        <is>
          <t>RAT_SP&lt;=3K</t>
        </is>
      </c>
      <c r="C299" s="65" t="n"/>
      <c r="D299" s="65" t="n"/>
      <c r="E299" s="65" t="n"/>
      <c r="F299" s="65">
        <f>Calculation!B57</f>
        <v/>
      </c>
      <c r="G299" s="65" t="n"/>
      <c r="H299" s="65" t="n"/>
      <c r="I299" s="65" t="n"/>
      <c r="J299" s="65" t="n"/>
      <c r="K299" s="65" t="n"/>
      <c r="L299" s="65" t="n"/>
      <c r="M299" s="65" t="n"/>
      <c r="N299" s="65" t="n"/>
      <c r="O299" s="65" t="n"/>
      <c r="P299" s="65" t="n"/>
      <c r="Q299" s="65" t="n"/>
      <c r="R299" s="65">
        <f>IF(AND(F299:Q299),1,0)</f>
        <v/>
      </c>
    </row>
    <row r="300" ht="20.1" customHeight="1">
      <c r="A300" s="65" t="n">
        <v>9</v>
      </c>
      <c r="B300" s="68" t="inlineStr">
        <is>
          <t>Fan_FB_OK</t>
        </is>
      </c>
      <c r="C300" s="65" t="n"/>
      <c r="D300" s="65" t="n"/>
      <c r="E300" s="65" t="n"/>
      <c r="F300" s="65">
        <f>F281</f>
        <v/>
      </c>
      <c r="G300" s="65" t="n"/>
      <c r="H300" s="65" t="n"/>
      <c r="I300" s="65" t="n"/>
      <c r="J300" s="65" t="n"/>
      <c r="K300" s="65" t="n"/>
      <c r="L300" s="65" t="n"/>
      <c r="M300" s="65" t="n"/>
      <c r="N300" s="65" t="n"/>
      <c r="O300" s="65" t="n"/>
      <c r="P300" s="65" t="n"/>
      <c r="Q300" s="65" t="n"/>
      <c r="R300" s="65">
        <f>IF(AND(F300:Q300),1,0)</f>
        <v/>
      </c>
    </row>
    <row r="301" ht="20.1" customHeight="1">
      <c r="A301" s="65" t="n">
        <v>10</v>
      </c>
      <c r="B301" s="68" t="inlineStr">
        <is>
          <t>pre-condtion_enable</t>
        </is>
      </c>
      <c r="C301" s="65" t="n"/>
      <c r="D301" s="65" t="n"/>
      <c r="E301" s="65" t="n"/>
      <c r="F301" s="65">
        <f>F282</f>
        <v/>
      </c>
      <c r="G301" s="65">
        <f>IF(AND(F292:F298),1,0)</f>
        <v/>
      </c>
      <c r="H301" s="65" t="n"/>
      <c r="I301" s="65" t="n"/>
      <c r="J301" s="65" t="n"/>
      <c r="K301" s="65" t="n"/>
      <c r="L301" s="65" t="n"/>
      <c r="M301" s="65" t="n"/>
      <c r="N301" s="65" t="n"/>
      <c r="O301" s="65" t="n"/>
      <c r="P301" s="65" t="n"/>
      <c r="Q301" s="65" t="n"/>
      <c r="R301" s="65">
        <f>IF(AND(F301:Q301),1,0)</f>
        <v/>
      </c>
    </row>
    <row r="302" ht="20.1" customHeight="1">
      <c r="A302" s="65" t="n">
        <v>11</v>
      </c>
      <c r="B302" s="68" t="inlineStr">
        <is>
          <t>LFC 11</t>
        </is>
      </c>
      <c r="C302" s="65" t="n"/>
      <c r="D302" s="65" t="n"/>
      <c r="E302" s="65" t="n"/>
      <c r="F302" s="65" t="n"/>
      <c r="G302" s="65">
        <f>IF(AND(F299:F300),1,0)</f>
        <v/>
      </c>
      <c r="H302" s="65" t="n"/>
      <c r="I302" s="65" t="n"/>
      <c r="J302" s="65" t="n"/>
      <c r="K302" s="65" t="n"/>
      <c r="L302" s="65" t="n"/>
      <c r="M302" s="65" t="n"/>
      <c r="N302" s="65" t="n"/>
      <c r="O302" s="65" t="n"/>
      <c r="P302" s="65" t="n"/>
      <c r="Q302" s="65" t="n"/>
      <c r="R302" s="65">
        <f>IF(AND(F302:Q302),1,0)</f>
        <v/>
      </c>
    </row>
    <row r="303" ht="20.1" customHeight="1">
      <c r="A303" s="148" t="n">
        <v>12</v>
      </c>
      <c r="B303" s="150" t="inlineStr">
        <is>
          <t>Pre-cooling ON 100%</t>
        </is>
      </c>
      <c r="C303" s="148" t="n"/>
      <c r="D303" s="148" t="n"/>
      <c r="E303" s="148" t="n"/>
      <c r="F303" s="148" t="n"/>
      <c r="G303" s="148" t="n"/>
      <c r="H303" s="148">
        <f>IF(AND(R301:R302),1,0)</f>
        <v/>
      </c>
      <c r="I303" s="148" t="n"/>
      <c r="J303" s="148" t="n"/>
      <c r="K303" s="148" t="n"/>
      <c r="L303" s="148" t="n"/>
      <c r="M303" s="148" t="n"/>
      <c r="N303" s="148" t="n"/>
      <c r="O303" s="148" t="n"/>
      <c r="P303" s="148" t="n"/>
      <c r="Q303" s="148" t="n"/>
      <c r="R303" s="148">
        <f>IF(AND(F303:Q303),1,0)</f>
        <v/>
      </c>
    </row>
    <row r="309" ht="20.1" customHeight="1">
      <c r="A309" s="725" t="inlineStr">
        <is>
          <t>17.Pre-condition END</t>
        </is>
      </c>
      <c r="B309" s="798" t="n"/>
      <c r="C309" s="798" t="n"/>
      <c r="D309" s="798" t="n"/>
      <c r="E309" s="798" t="n"/>
      <c r="F309" s="798" t="n"/>
      <c r="G309" s="798" t="n"/>
      <c r="H309" s="798" t="n"/>
      <c r="I309" s="798" t="n"/>
      <c r="J309" s="798" t="n"/>
      <c r="K309" s="798" t="n"/>
      <c r="L309" s="798" t="n"/>
      <c r="M309" s="798" t="n"/>
      <c r="N309" s="798" t="n"/>
      <c r="O309" s="798" t="n"/>
      <c r="P309" s="798" t="n"/>
      <c r="Q309" s="798" t="n"/>
      <c r="R309" s="309" t="n"/>
    </row>
    <row r="311" ht="20.1" customHeight="1">
      <c r="A311" s="65" t="n">
        <v>1</v>
      </c>
      <c r="B311" s="70" t="inlineStr">
        <is>
          <t>HVAC_on</t>
        </is>
      </c>
      <c r="C311" s="65" t="inlineStr">
        <is>
          <t>LFC01</t>
        </is>
      </c>
      <c r="D311" s="65" t="n"/>
      <c r="E311" s="65" t="n"/>
      <c r="F311" s="65">
        <f>F292</f>
        <v/>
      </c>
      <c r="G311" s="65" t="n"/>
      <c r="H311" s="65" t="n"/>
      <c r="I311" s="65" t="n"/>
      <c r="J311" s="65" t="n"/>
      <c r="K311" s="65" t="n"/>
      <c r="L311" s="65" t="n"/>
      <c r="M311" s="65" t="n"/>
      <c r="N311" s="65" t="n"/>
      <c r="O311" s="65" t="n"/>
      <c r="P311" s="65" t="n"/>
      <c r="Q311" s="65" t="n"/>
      <c r="R311" s="65">
        <f>IF(AND(F311:Q311),1,0)</f>
        <v/>
      </c>
    </row>
    <row r="312" ht="20.1" customHeight="1">
      <c r="A312" s="65" t="n">
        <v>2</v>
      </c>
      <c r="B312" s="66" t="inlineStr">
        <is>
          <t>Precondition_command</t>
        </is>
      </c>
      <c r="C312" s="65" t="inlineStr">
        <is>
          <t>LFC02</t>
        </is>
      </c>
      <c r="D312" s="65" t="n"/>
      <c r="E312" s="65" t="n"/>
      <c r="F312" s="65">
        <f>F293</f>
        <v/>
      </c>
      <c r="G312" s="65" t="n"/>
      <c r="H312" s="65" t="n"/>
      <c r="I312" s="65" t="n"/>
      <c r="J312" s="65" t="n"/>
      <c r="K312" s="65" t="n"/>
      <c r="L312" s="65" t="n"/>
      <c r="M312" s="65" t="n"/>
      <c r="N312" s="65" t="n"/>
      <c r="O312" s="65" t="n"/>
      <c r="P312" s="65" t="n"/>
      <c r="Q312" s="65" t="n"/>
      <c r="R312" s="65">
        <f>IF(AND(F312:Q312),1,0)</f>
        <v/>
      </c>
    </row>
    <row r="313" ht="20.1" customHeight="1">
      <c r="A313" s="65" t="n">
        <v>3</v>
      </c>
      <c r="B313" s="69" t="inlineStr">
        <is>
          <t>passanger_&lt;=_10%</t>
        </is>
      </c>
      <c r="C313" s="65" t="inlineStr">
        <is>
          <t>LFC03</t>
        </is>
      </c>
      <c r="D313" s="65" t="n"/>
      <c r="E313" s="65" t="n"/>
      <c r="F313" s="65">
        <f>F294</f>
        <v/>
      </c>
      <c r="G313" s="65" t="n"/>
      <c r="H313" s="65" t="n"/>
      <c r="I313" s="65" t="n"/>
      <c r="J313" s="65" t="n"/>
      <c r="K313" s="65" t="n"/>
      <c r="L313" s="65" t="n"/>
      <c r="M313" s="65" t="n"/>
      <c r="N313" s="65" t="n"/>
      <c r="O313" s="65" t="n"/>
      <c r="P313" s="65" t="n"/>
      <c r="Q313" s="65" t="n"/>
      <c r="R313" s="65">
        <f>IF(AND(F313:Q313),1,0)</f>
        <v/>
      </c>
    </row>
    <row r="314" ht="20.1" customHeight="1">
      <c r="A314" s="65" t="n">
        <v>4</v>
      </c>
      <c r="B314" s="66" t="inlineStr">
        <is>
          <t>HP_OK</t>
        </is>
      </c>
      <c r="C314" s="65" t="inlineStr">
        <is>
          <t>LFC04</t>
        </is>
      </c>
      <c r="D314" s="65" t="n"/>
      <c r="E314" s="65" t="n"/>
      <c r="F314" s="65">
        <f>F295</f>
        <v/>
      </c>
      <c r="G314" s="65" t="n"/>
      <c r="H314" s="65" t="n"/>
      <c r="I314" s="65" t="n"/>
      <c r="J314" s="65" t="n"/>
      <c r="K314" s="65" t="n"/>
      <c r="L314" s="65" t="n"/>
      <c r="M314" s="65" t="n"/>
      <c r="N314" s="65" t="n"/>
      <c r="O314" s="65" t="n"/>
      <c r="P314" s="65" t="n"/>
      <c r="Q314" s="65" t="n"/>
      <c r="R314" s="65">
        <f>IF(AND(F314:Q314),1,0)</f>
        <v/>
      </c>
    </row>
    <row r="315" ht="20.1" customHeight="1">
      <c r="A315" s="65" t="n">
        <v>5</v>
      </c>
      <c r="B315" s="66" t="inlineStr">
        <is>
          <t>LP_ok</t>
        </is>
      </c>
      <c r="C315" s="65" t="inlineStr">
        <is>
          <t>LFC05</t>
        </is>
      </c>
      <c r="D315" s="65" t="n"/>
      <c r="E315" s="65" t="n"/>
      <c r="F315" s="65">
        <f>F296</f>
        <v/>
      </c>
      <c r="G315" s="65" t="n"/>
      <c r="H315" s="65" t="n"/>
      <c r="I315" s="65" t="n"/>
      <c r="J315" s="65" t="n"/>
      <c r="K315" s="65" t="n"/>
      <c r="L315" s="65" t="n"/>
      <c r="M315" s="65" t="n"/>
      <c r="N315" s="65" t="n"/>
      <c r="O315" s="65" t="n"/>
      <c r="P315" s="65" t="n"/>
      <c r="Q315" s="65" t="n"/>
      <c r="R315" s="65">
        <f>IF(AND(F315:Q315),1,0)</f>
        <v/>
      </c>
    </row>
    <row r="316" ht="20.1" customHeight="1">
      <c r="A316" s="65" t="n">
        <v>6</v>
      </c>
      <c r="B316" s="66" t="inlineStr">
        <is>
          <t>Breaker_ok</t>
        </is>
      </c>
      <c r="C316" s="65" t="inlineStr">
        <is>
          <t>LFC06</t>
        </is>
      </c>
      <c r="D316" s="65" t="n"/>
      <c r="E316" s="65" t="n"/>
      <c r="F316" s="65">
        <f>F297</f>
        <v/>
      </c>
      <c r="G316" s="65" t="n"/>
      <c r="H316" s="65" t="n"/>
      <c r="I316" s="65" t="n"/>
      <c r="J316" s="65" t="n"/>
      <c r="K316" s="65" t="n"/>
      <c r="L316" s="65" t="n"/>
      <c r="M316" s="65" t="n"/>
      <c r="N316" s="65" t="n"/>
      <c r="O316" s="65" t="n"/>
      <c r="P316" s="65" t="n"/>
      <c r="Q316" s="65" t="n"/>
      <c r="R316" s="65">
        <f>IF(AND(F316:Q316),1,0)</f>
        <v/>
      </c>
    </row>
    <row r="317" ht="20.1" customHeight="1">
      <c r="A317" s="65" t="n">
        <v>7</v>
      </c>
      <c r="B317" s="66" t="inlineStr">
        <is>
          <t>Fan_OK</t>
        </is>
      </c>
      <c r="C317" s="65" t="inlineStr">
        <is>
          <t>LFC07</t>
        </is>
      </c>
      <c r="D317" s="65" t="n"/>
      <c r="E317" s="65" t="n"/>
      <c r="F317" s="65">
        <f>F298</f>
        <v/>
      </c>
      <c r="G317" s="65" t="n"/>
      <c r="H317" s="65" t="n"/>
      <c r="I317" s="65" t="n"/>
      <c r="J317" s="65" t="n"/>
      <c r="K317" s="65" t="n"/>
      <c r="L317" s="65" t="n"/>
      <c r="M317" s="65" t="n"/>
      <c r="N317" s="65" t="n"/>
      <c r="O317" s="65" t="n"/>
      <c r="P317" s="65" t="n"/>
      <c r="Q317" s="65" t="n"/>
      <c r="R317" s="65">
        <f>IF(AND(F317:Q317),1,0)</f>
        <v/>
      </c>
    </row>
    <row r="318" ht="20.1" customHeight="1">
      <c r="A318" s="65" t="n">
        <v>8</v>
      </c>
      <c r="B318" s="66" t="inlineStr">
        <is>
          <t>RAT_SP&lt;=3K</t>
        </is>
      </c>
      <c r="C318" s="65" t="inlineStr">
        <is>
          <t>LFC09</t>
        </is>
      </c>
      <c r="D318" s="65" t="n"/>
      <c r="E318" s="65" t="n"/>
      <c r="F318" s="65">
        <f>F265</f>
        <v/>
      </c>
      <c r="G318" s="65" t="n"/>
      <c r="H318" s="65" t="n"/>
      <c r="I318" s="65" t="n"/>
      <c r="J318" s="65" t="n"/>
      <c r="K318" s="65" t="n"/>
      <c r="L318" s="65" t="n"/>
      <c r="M318" s="65" t="n"/>
      <c r="N318" s="65" t="n"/>
      <c r="O318" s="65" t="n"/>
      <c r="P318" s="65" t="n"/>
      <c r="Q318" s="65" t="n"/>
      <c r="R318" s="65">
        <f>IF(AND(F318:Q318),1,0)</f>
        <v/>
      </c>
    </row>
    <row r="319" ht="20.1" customHeight="1">
      <c r="A319" s="65" t="n">
        <v>9</v>
      </c>
      <c r="B319" s="66" t="inlineStr">
        <is>
          <t>60 min timer Expire</t>
        </is>
      </c>
      <c r="C319" s="65" t="inlineStr">
        <is>
          <t>LFC10</t>
        </is>
      </c>
      <c r="D319" s="65" t="n"/>
      <c r="E319" s="65" t="n"/>
      <c r="F319" s="350">
        <f>IF(Calculation!B19&gt;60,1,0)</f>
        <v/>
      </c>
      <c r="G319" s="65" t="n"/>
      <c r="H319" s="65" t="n"/>
      <c r="I319" s="65" t="n"/>
      <c r="J319" s="65" t="n"/>
      <c r="K319" s="65" t="n"/>
      <c r="L319" s="65" t="n"/>
      <c r="M319" s="65" t="n"/>
      <c r="N319" s="65" t="n"/>
      <c r="O319" s="65" t="n"/>
      <c r="P319" s="65" t="n"/>
      <c r="Q319" s="65" t="n"/>
      <c r="R319" s="65">
        <f>IF(AND(F319:Q319),1,0)</f>
        <v/>
      </c>
    </row>
    <row r="320" ht="20.1" customHeight="1">
      <c r="A320" s="65" t="n">
        <v>10</v>
      </c>
      <c r="B320" s="66" t="inlineStr">
        <is>
          <t>pre_conditioning_enable</t>
        </is>
      </c>
      <c r="C320" s="65" t="inlineStr">
        <is>
          <t>LFC08</t>
        </is>
      </c>
      <c r="D320" s="65" t="n"/>
      <c r="E320" s="65" t="n"/>
      <c r="F320" s="65">
        <f>F301</f>
        <v/>
      </c>
      <c r="G320" s="65">
        <f>IF(AND(F311:F319),1,0)</f>
        <v/>
      </c>
      <c r="H320" s="65" t="n"/>
      <c r="I320" s="65" t="n"/>
      <c r="J320" s="65" t="n"/>
      <c r="K320" s="65" t="n"/>
      <c r="L320" s="65" t="n"/>
      <c r="M320" s="65" t="n"/>
      <c r="N320" s="65" t="n"/>
      <c r="O320" s="65" t="n"/>
      <c r="P320" s="65" t="n"/>
      <c r="Q320" s="65" t="n"/>
      <c r="R320" s="65">
        <f>IF(AND(F320:Q320),1,0)</f>
        <v/>
      </c>
    </row>
    <row r="321" ht="20.1" customHeight="1">
      <c r="A321" s="65" t="n">
        <v>11</v>
      </c>
      <c r="B321" s="71" t="inlineStr">
        <is>
          <t>LFC11</t>
        </is>
      </c>
      <c r="C321" s="69" t="n"/>
      <c r="D321" s="65" t="n"/>
      <c r="E321" s="65" t="n"/>
      <c r="F321" s="65" t="n"/>
      <c r="G321" s="65">
        <f>IF(OR(F318,F319),1,0)</f>
        <v/>
      </c>
      <c r="H321" s="65" t="n"/>
      <c r="I321" s="65" t="n"/>
      <c r="J321" s="65" t="n"/>
      <c r="K321" s="65" t="n"/>
      <c r="L321" s="65" t="n"/>
      <c r="M321" s="65" t="n"/>
      <c r="N321" s="65" t="n"/>
      <c r="O321" s="65" t="n"/>
      <c r="P321" s="65" t="n"/>
      <c r="Q321" s="65" t="n"/>
      <c r="R321" s="65">
        <f>IF(AND(G321:Q321),1,0)</f>
        <v/>
      </c>
    </row>
    <row r="322" ht="20.1" customHeight="1">
      <c r="A322" s="148" t="n">
        <v>12</v>
      </c>
      <c r="B322" s="149" t="inlineStr">
        <is>
          <t>preconditioning END</t>
        </is>
      </c>
      <c r="C322" s="148" t="inlineStr">
        <is>
          <t>LFC12</t>
        </is>
      </c>
      <c r="D322" s="148" t="n"/>
      <c r="E322" s="148" t="n"/>
      <c r="F322" s="148" t="n"/>
      <c r="G322" s="148" t="n"/>
      <c r="H322" s="148">
        <f>IF(AND(R320,R321),1,0)</f>
        <v/>
      </c>
      <c r="I322" s="148" t="n"/>
      <c r="J322" s="148" t="n"/>
      <c r="K322" s="148" t="n"/>
      <c r="L322" s="148" t="n"/>
      <c r="M322" s="148" t="n"/>
      <c r="N322" s="148" t="n"/>
      <c r="O322" s="148" t="n"/>
      <c r="P322" s="148" t="n"/>
      <c r="Q322" s="148" t="n"/>
      <c r="R322" s="148">
        <f>IF(AND(F322:Q322),1,0)</f>
        <v/>
      </c>
    </row>
    <row r="327" ht="20.1" customHeight="1">
      <c r="A327" s="725" t="inlineStr">
        <is>
          <t>18.Pre-conditioning Heating Mode- FAT&gt;=T7</t>
        </is>
      </c>
      <c r="B327" s="798" t="n"/>
      <c r="C327" s="798" t="n"/>
      <c r="D327" s="798" t="n"/>
      <c r="E327" s="798" t="n"/>
      <c r="F327" s="798" t="n"/>
      <c r="G327" s="798" t="n"/>
      <c r="H327" s="798" t="n"/>
      <c r="I327" s="798" t="n"/>
      <c r="J327" s="798" t="n"/>
      <c r="K327" s="798" t="n"/>
      <c r="L327" s="798" t="n"/>
      <c r="M327" s="798" t="n"/>
      <c r="N327" s="798" t="n"/>
      <c r="O327" s="798" t="n"/>
      <c r="P327" s="798" t="n"/>
      <c r="Q327" s="798" t="n"/>
      <c r="R327" s="309" t="n"/>
    </row>
    <row r="329" ht="20.1" customHeight="1">
      <c r="A329" s="378" t="n">
        <v>1</v>
      </c>
      <c r="B329" s="376" t="inlineStr">
        <is>
          <t>HVAC_ON</t>
        </is>
      </c>
      <c r="C329" s="376" t="n"/>
      <c r="D329" s="376" t="n"/>
      <c r="E329" s="376" t="n"/>
      <c r="F329" s="378">
        <f>F273</f>
        <v/>
      </c>
      <c r="G329" s="378" t="n"/>
      <c r="H329" s="378" t="n"/>
      <c r="I329" s="378" t="n"/>
      <c r="J329" s="378" t="n"/>
      <c r="K329" s="378" t="n"/>
      <c r="L329" s="378" t="n"/>
      <c r="M329" s="378" t="n"/>
      <c r="N329" s="378" t="n"/>
      <c r="O329" s="378" t="n"/>
      <c r="P329" s="378" t="n"/>
      <c r="Q329" s="378" t="n"/>
      <c r="R329" s="378">
        <f>IF(AND(F329:Q329),1,0)</f>
        <v/>
      </c>
    </row>
    <row r="330" ht="20.1" customHeight="1">
      <c r="A330" s="378" t="n">
        <v>2</v>
      </c>
      <c r="B330" s="376" t="inlineStr">
        <is>
          <t>Heating Mode</t>
        </is>
      </c>
      <c r="C330" s="376" t="n"/>
      <c r="D330" s="376" t="n"/>
      <c r="E330" s="376" t="n"/>
      <c r="F330" s="378">
        <f>Calculation!B39</f>
        <v/>
      </c>
      <c r="G330" s="378" t="n"/>
      <c r="H330" s="378" t="n"/>
      <c r="I330" s="378" t="n"/>
      <c r="J330" s="378" t="n"/>
      <c r="K330" s="378" t="n"/>
      <c r="L330" s="378" t="n"/>
      <c r="M330" s="378" t="n"/>
      <c r="N330" s="378" t="n"/>
      <c r="O330" s="378" t="n"/>
      <c r="P330" s="378" t="n"/>
      <c r="Q330" s="378" t="n"/>
      <c r="R330" s="378">
        <f>IF(AND(F330:Q330),1,0)</f>
        <v/>
      </c>
    </row>
    <row r="331" ht="20.1" customHeight="1">
      <c r="A331" s="378" t="n">
        <v>3</v>
      </c>
      <c r="B331" s="376" t="inlineStr">
        <is>
          <t>RAT&lt;SET point</t>
        </is>
      </c>
      <c r="C331" s="376" t="n"/>
      <c r="D331" s="376" t="n"/>
      <c r="E331" s="376" t="n"/>
      <c r="F331" s="378">
        <f>F330</f>
        <v/>
      </c>
      <c r="G331" s="378" t="n"/>
      <c r="H331" s="378" t="n"/>
      <c r="I331" s="378" t="n"/>
      <c r="J331" s="378" t="n"/>
      <c r="K331" s="378" t="n"/>
      <c r="L331" s="378" t="n"/>
      <c r="M331" s="378" t="n"/>
      <c r="N331" s="378" t="n"/>
      <c r="O331" s="378" t="n"/>
      <c r="P331" s="378" t="n"/>
      <c r="Q331" s="378" t="n"/>
      <c r="R331" s="378">
        <f>IF(AND(F331:Q331),1,0)</f>
        <v/>
      </c>
    </row>
    <row r="332" ht="20.1" customHeight="1">
      <c r="A332" s="378" t="n">
        <v>4</v>
      </c>
      <c r="B332" s="376" t="inlineStr">
        <is>
          <t>Heater_ok</t>
        </is>
      </c>
      <c r="C332" s="376" t="n"/>
      <c r="D332" s="376" t="n"/>
      <c r="E332" s="376" t="n"/>
      <c r="F332" s="378">
        <f>IF(AND(HVAC_IOs!D38=1,HVAC_IOs!D39=1,HVAC_IOs!D40=1),1,0)</f>
        <v/>
      </c>
      <c r="G332" s="378" t="n"/>
      <c r="H332" s="378" t="n"/>
      <c r="I332" s="378" t="n"/>
      <c r="J332" s="378" t="n"/>
      <c r="K332" s="378" t="n"/>
      <c r="L332" s="378" t="n"/>
      <c r="M332" s="378" t="n"/>
      <c r="N332" s="378" t="n"/>
      <c r="O332" s="378" t="n"/>
      <c r="P332" s="378" t="n"/>
      <c r="Q332" s="378" t="n"/>
      <c r="R332" s="378">
        <f>IF(AND(F332:Q332),1,0)</f>
        <v/>
      </c>
    </row>
    <row r="333" ht="20.1" customHeight="1">
      <c r="A333" s="378" t="n">
        <v>5</v>
      </c>
      <c r="B333" s="376" t="inlineStr">
        <is>
          <t>Fan_ok</t>
        </is>
      </c>
      <c r="C333" s="376" t="n"/>
      <c r="D333" s="376" t="n"/>
      <c r="E333" s="376" t="n"/>
      <c r="F333" s="378">
        <f>IF(AND(HVAC_IOs!D45=1,HVAC_IOs!D46=1),1,0)</f>
        <v/>
      </c>
      <c r="G333" s="378" t="n"/>
      <c r="H333" s="378" t="n"/>
      <c r="I333" s="378" t="n"/>
      <c r="J333" s="378" t="n"/>
      <c r="K333" s="378" t="n"/>
      <c r="L333" s="378" t="n"/>
      <c r="M333" s="378" t="n"/>
      <c r="N333" s="378" t="n"/>
      <c r="O333" s="378" t="n"/>
      <c r="P333" s="378" t="n"/>
      <c r="Q333" s="378" t="n"/>
      <c r="R333" s="378">
        <f>IF(AND(F333:Q333),1,0)</f>
        <v/>
      </c>
    </row>
    <row r="334" ht="20.1" customHeight="1">
      <c r="A334" s="378" t="n">
        <v>6</v>
      </c>
      <c r="B334" s="376" t="inlineStr">
        <is>
          <t>Breaker_ok</t>
        </is>
      </c>
      <c r="C334" s="376" t="n"/>
      <c r="D334" s="376" t="n"/>
      <c r="E334" s="376" t="n"/>
      <c r="F334" s="378" t="n">
        <v>1</v>
      </c>
      <c r="G334" s="378" t="n"/>
      <c r="H334" s="378" t="n"/>
      <c r="I334" s="378" t="n"/>
      <c r="J334" s="378" t="n"/>
      <c r="K334" s="378" t="n"/>
      <c r="L334" s="378" t="n"/>
      <c r="M334" s="378" t="n"/>
      <c r="N334" s="378" t="n"/>
      <c r="O334" s="378" t="n"/>
      <c r="P334" s="378" t="n"/>
      <c r="Q334" s="378" t="n"/>
      <c r="R334" s="378">
        <f>IF(AND(F334:Q334),1,0)</f>
        <v/>
      </c>
    </row>
    <row r="335" ht="20.1" customHeight="1">
      <c r="A335" s="378" t="n">
        <v>7</v>
      </c>
      <c r="B335" s="376" t="inlineStr">
        <is>
          <t>No_Fire</t>
        </is>
      </c>
      <c r="C335" s="376" t="n"/>
      <c r="D335" s="376" t="n"/>
      <c r="E335" s="376" t="n"/>
      <c r="F335" s="378" t="n">
        <v>1</v>
      </c>
      <c r="G335" s="378" t="n"/>
      <c r="H335" s="378" t="n"/>
      <c r="I335" s="378" t="n"/>
      <c r="J335" s="378" t="n"/>
      <c r="K335" s="378" t="n"/>
      <c r="L335" s="378" t="n"/>
      <c r="M335" s="378" t="n"/>
      <c r="N335" s="378" t="n"/>
      <c r="O335" s="378" t="n"/>
      <c r="P335" s="378" t="n"/>
      <c r="Q335" s="378" t="n"/>
      <c r="R335" s="378">
        <f>IF(AND(F335:Q335),1,0)</f>
        <v/>
      </c>
    </row>
    <row r="336" ht="20.1" customHeight="1">
      <c r="A336" s="378" t="n">
        <v>8</v>
      </c>
      <c r="B336" s="376" t="inlineStr">
        <is>
          <t>FAT_&gt;=_T7</t>
        </is>
      </c>
      <c r="C336" s="376" t="n"/>
      <c r="D336" s="376" t="n"/>
      <c r="E336" s="376" t="n"/>
      <c r="F336" s="378">
        <f>F331</f>
        <v/>
      </c>
      <c r="G336" s="378" t="n"/>
      <c r="H336" s="378" t="n"/>
      <c r="I336" s="378" t="n"/>
      <c r="J336" s="378" t="n"/>
      <c r="K336" s="378" t="n"/>
      <c r="L336" s="378" t="n"/>
      <c r="M336" s="378" t="n"/>
      <c r="N336" s="378" t="n"/>
      <c r="O336" s="378" t="n"/>
      <c r="P336" s="378" t="n"/>
      <c r="Q336" s="378" t="n"/>
      <c r="R336" s="378">
        <f>IF(AND(F336:Q336),1,0)</f>
        <v/>
      </c>
    </row>
    <row r="337" ht="20.1" customHeight="1">
      <c r="A337" s="378" t="n">
        <v>9</v>
      </c>
      <c r="B337" s="376" t="inlineStr">
        <is>
          <t>Fan_FB_ok</t>
        </is>
      </c>
      <c r="C337" s="376" t="n"/>
      <c r="D337" s="376" t="n"/>
      <c r="E337" s="376" t="n"/>
      <c r="F337" s="378">
        <f>F317</f>
        <v/>
      </c>
      <c r="G337" s="378" t="n"/>
      <c r="H337" s="378" t="n"/>
      <c r="I337" s="378" t="n"/>
      <c r="J337" s="378" t="n"/>
      <c r="K337" s="378" t="n"/>
      <c r="L337" s="378" t="n"/>
      <c r="M337" s="378" t="n"/>
      <c r="N337" s="378" t="n"/>
      <c r="O337" s="378" t="n"/>
      <c r="P337" s="378" t="n"/>
      <c r="Q337" s="378" t="n"/>
      <c r="R337" s="378">
        <f>IF(AND(F337:Q337),1,0)</f>
        <v/>
      </c>
    </row>
    <row r="338" ht="20.1" customHeight="1">
      <c r="A338" s="378" t="n"/>
      <c r="B338" s="376" t="inlineStr">
        <is>
          <t>LFC11</t>
        </is>
      </c>
      <c r="C338" s="376" t="n"/>
      <c r="D338" s="376" t="n"/>
      <c r="E338" s="376" t="n"/>
      <c r="F338" s="378" t="n"/>
      <c r="G338" s="378">
        <f>IF(AND(F336:F337),1,0)</f>
        <v/>
      </c>
      <c r="H338" s="378" t="n"/>
      <c r="I338" s="378" t="n"/>
      <c r="J338" s="378" t="n"/>
      <c r="K338" s="378" t="n"/>
      <c r="L338" s="378" t="n"/>
      <c r="M338" s="378" t="n"/>
      <c r="N338" s="378" t="n"/>
      <c r="O338" s="378" t="n"/>
      <c r="P338" s="378" t="n"/>
      <c r="Q338" s="378" t="n"/>
      <c r="R338" s="378">
        <f>IF(AND(G338:Q338),1,0)</f>
        <v/>
      </c>
    </row>
    <row r="339" ht="20.1" customHeight="1">
      <c r="A339" s="378" t="n">
        <v>10</v>
      </c>
      <c r="B339" s="376" t="inlineStr">
        <is>
          <t>Heating_enable</t>
        </is>
      </c>
      <c r="C339" s="376" t="inlineStr">
        <is>
          <t>LFC08</t>
        </is>
      </c>
      <c r="D339" s="376" t="n"/>
      <c r="E339" s="376" t="n"/>
      <c r="F339" s="378">
        <f>HVAC_IOs!K10</f>
        <v/>
      </c>
      <c r="G339" s="378">
        <f>IF(AND(F329:F335),1,0)</f>
        <v/>
      </c>
      <c r="H339" s="378" t="n"/>
      <c r="I339" s="378" t="n"/>
      <c r="J339" s="378" t="n"/>
      <c r="K339" s="378" t="n"/>
      <c r="L339" s="378" t="n"/>
      <c r="M339" s="378" t="n"/>
      <c r="N339" s="378" t="n"/>
      <c r="O339" s="378" t="n"/>
      <c r="P339" s="378" t="n"/>
      <c r="Q339" s="378" t="n"/>
      <c r="R339" s="378">
        <f>IF(AND(G339:Q339),1,0)</f>
        <v/>
      </c>
    </row>
    <row r="340" ht="20.1" customHeight="1">
      <c r="A340" s="353" t="n">
        <v>11</v>
      </c>
      <c r="B340" s="377" t="inlineStr">
        <is>
          <t>Heater_off</t>
        </is>
      </c>
      <c r="C340" s="377" t="n"/>
      <c r="D340" s="377" t="n"/>
      <c r="E340" s="377" t="n"/>
      <c r="F340" s="353" t="n"/>
      <c r="G340" s="353" t="n"/>
      <c r="H340" s="353">
        <f>IF(AND(R338:R339),1,0)</f>
        <v/>
      </c>
      <c r="I340" s="353" t="n"/>
      <c r="J340" s="353" t="n"/>
      <c r="K340" s="353" t="n"/>
      <c r="L340" s="353" t="n"/>
      <c r="M340" s="353" t="n"/>
      <c r="N340" s="353" t="n"/>
      <c r="O340" s="353" t="n"/>
      <c r="P340" s="353" t="n"/>
      <c r="Q340" s="353" t="n"/>
      <c r="R340" s="353">
        <f>IF(AND(G340:Q340),1,0)</f>
        <v/>
      </c>
    </row>
    <row r="341">
      <c r="A341" s="379" t="n"/>
      <c r="B341" s="380" t="n"/>
      <c r="C341" s="380" t="n"/>
      <c r="D341" s="380" t="n"/>
      <c r="E341" s="380" t="n"/>
      <c r="F341" s="379" t="n"/>
      <c r="G341" s="379" t="n"/>
      <c r="H341" s="379" t="n"/>
      <c r="I341" s="379" t="n"/>
      <c r="J341" s="379" t="n"/>
      <c r="K341" s="379" t="n"/>
      <c r="L341" s="379" t="n"/>
      <c r="M341" s="379" t="n"/>
      <c r="N341" s="379" t="n"/>
      <c r="O341" s="379" t="n"/>
      <c r="P341" s="379" t="n"/>
      <c r="Q341" s="379" t="n"/>
      <c r="R341" s="379" t="n"/>
    </row>
    <row r="342">
      <c r="A342" s="379" t="n"/>
      <c r="B342" s="380" t="n"/>
      <c r="C342" s="380" t="n"/>
      <c r="D342" s="380" t="n"/>
      <c r="E342" s="380" t="n"/>
      <c r="F342" s="379" t="n"/>
      <c r="G342" s="379" t="n"/>
      <c r="H342" s="379" t="n"/>
      <c r="I342" s="379" t="n"/>
      <c r="J342" s="379" t="n"/>
      <c r="K342" s="379" t="n"/>
      <c r="L342" s="379" t="n"/>
      <c r="M342" s="379" t="n"/>
      <c r="N342" s="379" t="n"/>
      <c r="O342" s="379" t="n"/>
      <c r="P342" s="379" t="n"/>
      <c r="Q342" s="379" t="n"/>
      <c r="R342" s="379" t="n"/>
    </row>
    <row r="343">
      <c r="A343" s="379" t="n"/>
      <c r="B343" s="380" t="n"/>
      <c r="C343" s="380" t="n"/>
      <c r="D343" s="380" t="n"/>
      <c r="E343" s="380" t="n"/>
      <c r="F343" s="379" t="n"/>
      <c r="G343" s="379" t="n"/>
      <c r="H343" s="379" t="n"/>
      <c r="I343" s="379" t="n"/>
      <c r="J343" s="379" t="n"/>
      <c r="K343" s="379" t="n"/>
      <c r="L343" s="379" t="n"/>
      <c r="M343" s="379" t="n"/>
      <c r="N343" s="379" t="n"/>
      <c r="O343" s="379" t="n"/>
      <c r="P343" s="379" t="n"/>
      <c r="Q343" s="379" t="n"/>
      <c r="R343" s="379" t="n"/>
    </row>
    <row r="344">
      <c r="A344" s="379" t="n"/>
      <c r="B344" s="380" t="n"/>
      <c r="C344" s="380" t="n"/>
      <c r="D344" s="380" t="n"/>
      <c r="E344" s="380" t="n"/>
      <c r="F344" s="379" t="n"/>
      <c r="G344" s="379" t="n"/>
      <c r="H344" s="379" t="n"/>
      <c r="I344" s="379" t="n"/>
      <c r="J344" s="379" t="n"/>
      <c r="K344" s="379" t="n"/>
      <c r="L344" s="379" t="n"/>
      <c r="M344" s="379" t="n"/>
      <c r="N344" s="379" t="n"/>
      <c r="O344" s="379" t="n"/>
      <c r="P344" s="379" t="n"/>
      <c r="Q344" s="379" t="n"/>
      <c r="R344" s="379" t="n"/>
    </row>
    <row r="345" ht="20.1" customHeight="1">
      <c r="A345" s="726" t="inlineStr">
        <is>
          <t>19.Pre-conditioning heating Mode- FAT&lt;T5</t>
        </is>
      </c>
      <c r="B345" s="798" t="n"/>
      <c r="C345" s="798" t="n"/>
      <c r="D345" s="798" t="n"/>
      <c r="E345" s="798" t="n"/>
      <c r="F345" s="798" t="n"/>
      <c r="G345" s="798" t="n"/>
      <c r="H345" s="798" t="n"/>
      <c r="I345" s="798" t="n"/>
      <c r="J345" s="798" t="n"/>
      <c r="K345" s="798" t="n"/>
      <c r="L345" s="798" t="n"/>
      <c r="M345" s="798" t="n"/>
      <c r="N345" s="798" t="n"/>
      <c r="O345" s="798" t="n"/>
      <c r="P345" s="798" t="n"/>
      <c r="Q345" s="798" t="n"/>
      <c r="R345" s="309" t="n"/>
    </row>
    <row r="346">
      <c r="A346" s="379" t="n"/>
      <c r="B346" s="380" t="n"/>
      <c r="C346" s="380" t="n"/>
      <c r="D346" s="380" t="n"/>
      <c r="E346" s="380" t="n"/>
      <c r="F346" s="379" t="n"/>
      <c r="G346" s="379" t="n"/>
      <c r="H346" s="379" t="n"/>
      <c r="I346" s="379" t="n"/>
      <c r="J346" s="379" t="n"/>
      <c r="K346" s="379" t="n"/>
      <c r="L346" s="379" t="n"/>
      <c r="M346" s="379" t="n"/>
      <c r="N346" s="379" t="n"/>
      <c r="O346" s="379" t="n"/>
      <c r="P346" s="379" t="n"/>
      <c r="Q346" s="379" t="n"/>
      <c r="R346" s="379" t="n"/>
    </row>
    <row r="347" ht="20.1" customHeight="1">
      <c r="A347" s="381" t="n">
        <v>1</v>
      </c>
      <c r="B347" s="382" t="inlineStr">
        <is>
          <t>HVAC_ON</t>
        </is>
      </c>
      <c r="C347" s="381" t="n"/>
      <c r="D347" s="381" t="n"/>
      <c r="E347" s="381" t="n"/>
      <c r="F347" s="381">
        <f>HVAC_IOs!K31</f>
        <v/>
      </c>
      <c r="G347" s="381" t="n"/>
      <c r="H347" s="381" t="n"/>
      <c r="I347" s="381" t="n"/>
      <c r="J347" s="381" t="n"/>
      <c r="K347" s="381" t="n"/>
      <c r="L347" s="381" t="n"/>
      <c r="M347" s="381" t="n"/>
      <c r="N347" s="381" t="n"/>
      <c r="O347" s="381" t="n"/>
      <c r="P347" s="381" t="n"/>
      <c r="Q347" s="381" t="n"/>
      <c r="R347" s="381">
        <f>IF(AND(F347:Q347),1,0)</f>
        <v/>
      </c>
    </row>
    <row r="348" ht="20.1" customHeight="1">
      <c r="A348" s="381" t="n">
        <v>2</v>
      </c>
      <c r="B348" s="382" t="inlineStr">
        <is>
          <t>Heating Mode</t>
        </is>
      </c>
      <c r="C348" s="381" t="n"/>
      <c r="D348" s="381" t="n"/>
      <c r="E348" s="381" t="n"/>
      <c r="F348" s="381">
        <f>HVAC_IOs!D38</f>
        <v/>
      </c>
      <c r="G348" s="381" t="n"/>
      <c r="H348" s="381" t="n"/>
      <c r="I348" s="381" t="n"/>
      <c r="J348" s="381" t="n"/>
      <c r="K348" s="381" t="n"/>
      <c r="L348" s="381" t="n"/>
      <c r="M348" s="381" t="n"/>
      <c r="N348" s="381" t="n"/>
      <c r="O348" s="381" t="n"/>
      <c r="P348" s="381" t="n"/>
      <c r="Q348" s="381" t="n"/>
      <c r="R348" s="381">
        <f>IF(AND(F348:Q348),1,0)</f>
        <v/>
      </c>
    </row>
    <row r="349" ht="20.1" customHeight="1">
      <c r="A349" s="381" t="n">
        <v>3</v>
      </c>
      <c r="B349" s="382" t="inlineStr">
        <is>
          <t>RAT&lt;SET point</t>
        </is>
      </c>
      <c r="C349" s="381" t="n"/>
      <c r="D349" s="381" t="n"/>
      <c r="E349" s="381" t="n"/>
      <c r="F349" s="381">
        <f>IF(AND(D38=1,R20&lt; R28), 1, 0)</f>
        <v/>
      </c>
      <c r="G349" s="381" t="n"/>
      <c r="H349" s="381" t="n"/>
      <c r="I349" s="381" t="n"/>
      <c r="J349" s="381" t="n"/>
      <c r="K349" s="381" t="n"/>
      <c r="L349" s="381" t="n"/>
      <c r="M349" s="381" t="n"/>
      <c r="N349" s="381" t="n"/>
      <c r="O349" s="381" t="n"/>
      <c r="P349" s="381" t="n"/>
      <c r="Q349" s="381" t="n"/>
      <c r="R349" s="381">
        <f>IF(AND(F349:Q349),1,0)</f>
        <v/>
      </c>
    </row>
    <row r="350" ht="20.1" customHeight="1">
      <c r="A350" s="381" t="n">
        <v>4</v>
      </c>
      <c r="B350" s="382" t="inlineStr">
        <is>
          <t>Heater_ok</t>
        </is>
      </c>
      <c r="C350" s="381" t="n"/>
      <c r="D350" s="381" t="n"/>
      <c r="E350" s="381" t="n"/>
      <c r="F350" s="381">
        <f>IF(AND(HVAC_IOs!D56=1,HVAC_IOs!D57=1,HVAC_IOs!D58=1),1,0)</f>
        <v/>
      </c>
      <c r="G350" s="381" t="n"/>
      <c r="H350" s="381" t="n"/>
      <c r="I350" s="381" t="n"/>
      <c r="J350" s="381" t="n"/>
      <c r="K350" s="381" t="n"/>
      <c r="L350" s="381" t="n"/>
      <c r="M350" s="381" t="n"/>
      <c r="N350" s="381" t="n"/>
      <c r="O350" s="381" t="n"/>
      <c r="P350" s="381" t="n"/>
      <c r="Q350" s="381" t="n"/>
      <c r="R350" s="381">
        <f>IF(AND(F350:Q350),1,0)</f>
        <v/>
      </c>
    </row>
    <row r="351" ht="20.1" customHeight="1">
      <c r="A351" s="381" t="n">
        <v>5</v>
      </c>
      <c r="B351" s="382" t="inlineStr">
        <is>
          <t>Fan_ok</t>
        </is>
      </c>
      <c r="C351" s="381" t="n"/>
      <c r="D351" s="381" t="n"/>
      <c r="E351" s="381" t="n"/>
      <c r="F351" s="381">
        <f>IF(AND(HVAC_IOs!D63=1,HVAC_IOs!D64=1),1,0)</f>
        <v/>
      </c>
      <c r="G351" s="381" t="n"/>
      <c r="H351" s="381" t="n"/>
      <c r="I351" s="381" t="n"/>
      <c r="J351" s="381" t="n"/>
      <c r="K351" s="381" t="n"/>
      <c r="L351" s="381" t="n"/>
      <c r="M351" s="381" t="n"/>
      <c r="N351" s="381" t="n"/>
      <c r="O351" s="381" t="n"/>
      <c r="P351" s="381" t="n"/>
      <c r="Q351" s="381" t="n"/>
      <c r="R351" s="381">
        <f>IF(AND(F351:Q351),1,0)</f>
        <v/>
      </c>
    </row>
    <row r="352" ht="20.1" customHeight="1">
      <c r="A352" s="381" t="n">
        <v>6</v>
      </c>
      <c r="B352" s="382" t="inlineStr">
        <is>
          <t>Breaker_ok</t>
        </is>
      </c>
      <c r="C352" s="381" t="n"/>
      <c r="D352" s="381" t="n"/>
      <c r="E352" s="381" t="n"/>
      <c r="F352" s="381">
        <f>IF(AND(HVAC_IOs!D86=1,HVAC_IOs!D87=1,HVAC_IOs!D88=1,HVAC_IOs!D89=1,HVAC_IOs!D90=1,HVAC_IOs!D91=1,HVAC_IOs!D92=1,HVAC_IOs!D93=1,HVAC_IOs!D94=1,HVAC_IOs!D95=1,HVAC_IOs!D96=1,HVAC_IOs!D97=1,HVAC_IOs!D98=1,HVAC_IOs!D99=1,HVAC_IOs!D100=1,HVAC_IOs!D101=1,HVAC_IOs!D102=1),1,0)</f>
        <v/>
      </c>
      <c r="G352" s="381" t="n"/>
      <c r="H352" s="381" t="n"/>
      <c r="I352" s="381" t="n"/>
      <c r="J352" s="381" t="n"/>
      <c r="K352" s="381" t="n"/>
      <c r="L352" s="381" t="n"/>
      <c r="M352" s="381" t="n"/>
      <c r="N352" s="381" t="n"/>
      <c r="O352" s="381" t="n"/>
      <c r="P352" s="381" t="n"/>
      <c r="Q352" s="381" t="n"/>
      <c r="R352" s="381">
        <f>IF(AND(F352:Q352),1,0)</f>
        <v/>
      </c>
    </row>
    <row r="353" ht="20.1" customHeight="1">
      <c r="A353" s="381" t="n">
        <v>7</v>
      </c>
      <c r="B353" s="382" t="inlineStr">
        <is>
          <t>No_Fire</t>
        </is>
      </c>
      <c r="C353" s="381" t="n"/>
      <c r="D353" s="381" t="n"/>
      <c r="E353" s="381" t="n"/>
      <c r="F353" s="381">
        <f>HVAC_IOs!D23</f>
        <v/>
      </c>
      <c r="G353" s="381" t="n"/>
      <c r="H353" s="381" t="n"/>
      <c r="I353" s="381" t="n"/>
      <c r="J353" s="381" t="n"/>
      <c r="K353" s="381" t="n"/>
      <c r="L353" s="381" t="n"/>
      <c r="M353" s="381" t="n"/>
      <c r="N353" s="381" t="n"/>
      <c r="O353" s="381" t="n"/>
      <c r="P353" s="381" t="n"/>
      <c r="Q353" s="381" t="n"/>
      <c r="R353" s="381">
        <f>IF(AND(F353:Q353),1,0)</f>
        <v/>
      </c>
    </row>
    <row r="354" ht="20.1" customHeight="1">
      <c r="A354" s="381" t="n">
        <v>8</v>
      </c>
      <c r="B354" s="382" t="inlineStr">
        <is>
          <t>FAT_&lt;_T5</t>
        </is>
      </c>
      <c r="C354" s="381" t="n"/>
      <c r="D354" s="381" t="n"/>
      <c r="E354" s="381" t="n"/>
      <c r="F354" s="381">
        <f>IF(AND(K31=1, R20 &lt; R28, R20 &lt; T5, D47=1), 1, 0)</f>
        <v/>
      </c>
      <c r="G354" s="381" t="n"/>
      <c r="H354" s="381" t="n"/>
      <c r="I354" s="381" t="n"/>
      <c r="J354" s="381" t="n"/>
      <c r="K354" s="381" t="n"/>
      <c r="L354" s="381" t="n"/>
      <c r="M354" s="381" t="n"/>
      <c r="N354" s="381" t="n"/>
      <c r="O354" s="381" t="n"/>
      <c r="P354" s="381" t="n"/>
      <c r="Q354" s="381" t="n"/>
      <c r="R354" s="381">
        <f>IF(AND(F354:Q354),1,0)</f>
        <v/>
      </c>
    </row>
    <row r="355" ht="20.1" customHeight="1">
      <c r="A355" s="381" t="n">
        <v>9</v>
      </c>
      <c r="B355" s="382" t="inlineStr">
        <is>
          <t>Fan_FB_OK</t>
        </is>
      </c>
      <c r="C355" s="381" t="n"/>
      <c r="D355" s="381" t="n"/>
      <c r="E355" s="381" t="n"/>
      <c r="F355" s="381">
        <f>IF(AND(HVAC_IOs!D82=1,HVAC_IOs!D83=1),1,0)</f>
        <v/>
      </c>
      <c r="G355" s="381" t="n"/>
      <c r="H355" s="381" t="n"/>
      <c r="I355" s="381" t="n"/>
      <c r="J355" s="381" t="n"/>
      <c r="K355" s="381" t="n"/>
      <c r="L355" s="381" t="n"/>
      <c r="M355" s="381" t="n"/>
      <c r="N355" s="381" t="n"/>
      <c r="O355" s="381" t="n"/>
      <c r="P355" s="381" t="n"/>
      <c r="Q355" s="381" t="n"/>
      <c r="R355" s="381">
        <f>IF(AND(F355:Q355),1,0)</f>
        <v/>
      </c>
    </row>
    <row r="356" ht="20.1" customHeight="1">
      <c r="A356" s="381" t="n">
        <v>10</v>
      </c>
      <c r="B356" s="382" t="inlineStr">
        <is>
          <t>heating_enable</t>
        </is>
      </c>
      <c r="C356" s="381" t="n"/>
      <c r="D356" s="381" t="n"/>
      <c r="E356" s="381" t="n"/>
      <c r="F356" s="381" t="n"/>
      <c r="G356" s="381">
        <f>IF(AND(F347:F353),1,0)</f>
        <v/>
      </c>
      <c r="H356" s="381" t="n"/>
      <c r="I356" s="381" t="n"/>
      <c r="J356" s="381" t="n"/>
      <c r="K356" s="381" t="n"/>
      <c r="L356" s="381" t="n"/>
      <c r="M356" s="381" t="n"/>
      <c r="N356" s="381" t="n"/>
      <c r="O356" s="381" t="n"/>
      <c r="P356" s="381" t="n"/>
      <c r="Q356" s="381" t="n"/>
      <c r="R356" s="381">
        <f>IF(AND(F356:Q356),1,0)</f>
        <v/>
      </c>
    </row>
    <row r="357" ht="20.1" customHeight="1">
      <c r="A357" s="381" t="n">
        <v>11</v>
      </c>
      <c r="B357" s="382" t="inlineStr">
        <is>
          <t>LFC 11</t>
        </is>
      </c>
      <c r="C357" s="381" t="n"/>
      <c r="D357" s="381" t="n"/>
      <c r="E357" s="381" t="n"/>
      <c r="F357" s="381">
        <f>HVAC_IOs!K29</f>
        <v/>
      </c>
      <c r="G357" s="381">
        <f>IF(AND(F354:F355),1,0)</f>
        <v/>
      </c>
      <c r="H357" s="381" t="n"/>
      <c r="I357" s="381" t="n"/>
      <c r="J357" s="381" t="n"/>
      <c r="K357" s="381" t="n"/>
      <c r="L357" s="381" t="n"/>
      <c r="M357" s="381" t="n"/>
      <c r="N357" s="381" t="n"/>
      <c r="O357" s="381" t="n"/>
      <c r="P357" s="381" t="n"/>
      <c r="Q357" s="381" t="n"/>
      <c r="R357" s="381">
        <f>IF(AND(F357:Q357),1,0)</f>
        <v/>
      </c>
    </row>
    <row r="358" ht="20.1" customHeight="1">
      <c r="A358" s="353" t="n">
        <v>12</v>
      </c>
      <c r="B358" s="377" t="inlineStr">
        <is>
          <t>OH_Stage_01</t>
        </is>
      </c>
      <c r="C358" s="353" t="n"/>
      <c r="D358" s="353" t="n"/>
      <c r="E358" s="353" t="n"/>
      <c r="F358" s="353" t="n"/>
      <c r="G358" s="353" t="n"/>
      <c r="H358" s="353">
        <f>IF(AND(R356:R357),1,0)</f>
        <v/>
      </c>
      <c r="I358" s="353" t="n"/>
      <c r="J358" s="353" t="n"/>
      <c r="K358" s="353" t="n"/>
      <c r="L358" s="353" t="n"/>
      <c r="M358" s="353" t="n"/>
      <c r="N358" s="353" t="n"/>
      <c r="O358" s="353" t="n"/>
      <c r="P358" s="353" t="n"/>
      <c r="Q358" s="353" t="n"/>
      <c r="R358" s="353">
        <f>IF(AND(F358:Q358),1,0)</f>
        <v/>
      </c>
    </row>
    <row r="359" ht="20.1" customHeight="1">
      <c r="A359" s="353" t="n">
        <v>13</v>
      </c>
      <c r="B359" s="377" t="inlineStr">
        <is>
          <t>OH_Stage_02</t>
        </is>
      </c>
      <c r="C359" s="353" t="n"/>
      <c r="D359" s="353" t="n"/>
      <c r="E359" s="353" t="n"/>
      <c r="F359" s="353" t="n"/>
      <c r="G359" s="353" t="n"/>
      <c r="H359" s="353">
        <f>IF(AND(R356:R357),1,)</f>
        <v/>
      </c>
      <c r="I359" s="353" t="n"/>
      <c r="J359" s="353" t="n"/>
      <c r="K359" s="353" t="n"/>
      <c r="L359" s="353" t="n"/>
      <c r="M359" s="353" t="n"/>
      <c r="N359" s="353" t="n"/>
      <c r="O359" s="353" t="n"/>
      <c r="P359" s="353" t="n"/>
      <c r="Q359" s="353" t="n"/>
      <c r="R359" s="353">
        <f>IF(AND(F359:Q359),1,0)</f>
        <v/>
      </c>
    </row>
    <row r="360">
      <c r="A360" s="379" t="n"/>
      <c r="B360" s="380" t="n"/>
      <c r="C360" s="380" t="n"/>
      <c r="D360" s="380" t="n"/>
      <c r="E360" s="380" t="n"/>
      <c r="F360" s="379" t="n"/>
      <c r="G360" s="379" t="n"/>
      <c r="H360" s="379" t="n"/>
      <c r="I360" s="379" t="n"/>
      <c r="J360" s="379" t="n"/>
      <c r="K360" s="379" t="n"/>
      <c r="L360" s="379" t="n"/>
      <c r="M360" s="379" t="n"/>
      <c r="N360" s="379" t="n"/>
      <c r="O360" s="379" t="n"/>
      <c r="P360" s="379" t="n"/>
      <c r="Q360" s="379" t="n"/>
      <c r="R360" s="379" t="n"/>
    </row>
    <row r="364" ht="20.1" customHeight="1">
      <c r="A364" s="725" t="inlineStr">
        <is>
          <t>20.Cooling Mode-Pre-conditioning(Cooling_50%)</t>
        </is>
      </c>
      <c r="B364" s="798" t="n"/>
      <c r="C364" s="798" t="n"/>
      <c r="D364" s="798" t="n"/>
      <c r="E364" s="798" t="n"/>
      <c r="F364" s="798" t="n"/>
      <c r="G364" s="798" t="n"/>
      <c r="H364" s="798" t="n"/>
      <c r="I364" s="798" t="n"/>
      <c r="J364" s="798" t="n"/>
      <c r="K364" s="798" t="n"/>
      <c r="L364" s="798" t="n"/>
      <c r="M364" s="798" t="n"/>
      <c r="N364" s="798" t="n"/>
      <c r="O364" s="798" t="n"/>
      <c r="P364" s="798" t="n"/>
      <c r="Q364" s="798" t="n"/>
      <c r="R364" s="309" t="n"/>
    </row>
    <row r="366" ht="20.1" customHeight="1">
      <c r="A366" s="344" t="n">
        <v>1</v>
      </c>
      <c r="B366" s="72" t="inlineStr">
        <is>
          <t>Auto_mode_from_TCMS</t>
        </is>
      </c>
      <c r="C366" s="72" t="n"/>
      <c r="D366" s="72" t="n"/>
      <c r="E366" s="72" t="n"/>
      <c r="F366" s="344" t="n">
        <v>1</v>
      </c>
      <c r="G366" s="344" t="n"/>
      <c r="H366" s="344" t="n"/>
      <c r="I366" s="344" t="n"/>
      <c r="J366" s="344" t="n"/>
      <c r="K366" s="344" t="n"/>
      <c r="L366" s="344" t="n"/>
      <c r="M366" s="344" t="n"/>
      <c r="N366" s="344" t="n"/>
      <c r="O366" s="344" t="n"/>
      <c r="P366" s="344" t="n"/>
      <c r="Q366" s="344" t="n"/>
      <c r="R366" s="344">
        <f>IF(AND(F366:Q366),1,0)</f>
        <v/>
      </c>
    </row>
    <row r="367" ht="20.1" customHeight="1">
      <c r="A367" s="344" t="n">
        <v>2</v>
      </c>
      <c r="B367" s="72" t="inlineStr">
        <is>
          <t>Stand_by_mode_ON</t>
        </is>
      </c>
      <c r="C367" s="72" t="n"/>
      <c r="D367" s="72" t="n"/>
      <c r="E367" s="72" t="n"/>
      <c r="F367" s="344">
        <f>HVAC_IOs!D20</f>
        <v/>
      </c>
      <c r="G367" s="344" t="n"/>
      <c r="H367" s="344" t="n"/>
      <c r="I367" s="344" t="n"/>
      <c r="J367" s="344" t="n"/>
      <c r="K367" s="344" t="n"/>
      <c r="L367" s="344" t="n"/>
      <c r="M367" s="344" t="n"/>
      <c r="N367" s="344" t="n"/>
      <c r="O367" s="344" t="n"/>
      <c r="P367" s="344" t="n"/>
      <c r="Q367" s="344" t="n"/>
      <c r="R367" s="344">
        <f>IF(AND(F367:Q367),1,0)</f>
        <v/>
      </c>
    </row>
    <row r="368" ht="20.1" customHeight="1">
      <c r="A368" s="344" t="n">
        <v>3</v>
      </c>
      <c r="B368" s="72" t="inlineStr">
        <is>
          <t>Aps_load_reduction_ON</t>
        </is>
      </c>
      <c r="C368" s="72" t="n"/>
      <c r="D368" s="72" t="n"/>
      <c r="E368" s="72" t="n"/>
      <c r="F368" s="344">
        <f>IF(AND(HVAC_IOs!D8=1,HVAC_IOs!D9=1),1,0)</f>
        <v/>
      </c>
      <c r="G368" s="344" t="n"/>
      <c r="H368" s="344" t="n"/>
      <c r="I368" s="344" t="n"/>
      <c r="J368" s="344" t="n"/>
      <c r="K368" s="344" t="n"/>
      <c r="L368" s="344" t="n"/>
      <c r="M368" s="344" t="n"/>
      <c r="N368" s="344" t="n"/>
      <c r="O368" s="344" t="n"/>
      <c r="P368" s="344" t="n"/>
      <c r="Q368" s="344" t="n"/>
      <c r="R368" s="344">
        <f>IF(AND(F368:Q368),1,0)</f>
        <v/>
      </c>
    </row>
    <row r="369" ht="20.1" customHeight="1">
      <c r="A369" s="344" t="n">
        <v>4</v>
      </c>
      <c r="B369" s="72" t="inlineStr">
        <is>
          <t>LVPS_load_shed_ON</t>
        </is>
      </c>
      <c r="C369" s="72" t="n"/>
      <c r="D369" s="72" t="n"/>
      <c r="E369" s="72" t="n"/>
      <c r="F369" s="350" t="n">
        <v>1</v>
      </c>
      <c r="G369" s="344" t="n"/>
      <c r="H369" s="344" t="n"/>
      <c r="I369" s="344" t="n"/>
      <c r="J369" s="344" t="n"/>
      <c r="K369" s="344" t="n"/>
      <c r="L369" s="344" t="n"/>
      <c r="M369" s="344" t="n"/>
      <c r="N369" s="344" t="n"/>
      <c r="O369" s="344" t="n"/>
      <c r="P369" s="344" t="n"/>
      <c r="Q369" s="344" t="n"/>
      <c r="R369" s="344">
        <f>IF(AND(F369:Q369),1,0)</f>
        <v/>
      </c>
    </row>
    <row r="370" ht="20.1" customHeight="1">
      <c r="A370" s="344" t="n">
        <v>5</v>
      </c>
      <c r="B370" s="72" t="inlineStr">
        <is>
          <t>No_fire_detected'</t>
        </is>
      </c>
      <c r="C370" s="72" t="n"/>
      <c r="D370" s="72" t="n"/>
      <c r="E370" s="72" t="n"/>
      <c r="F370" s="344" t="n">
        <v>1</v>
      </c>
      <c r="G370" s="344" t="n"/>
      <c r="H370" s="344" t="n"/>
      <c r="I370" s="344" t="n"/>
      <c r="J370" s="344" t="n"/>
      <c r="K370" s="344" t="n"/>
      <c r="L370" s="344" t="n"/>
      <c r="M370" s="344" t="n"/>
      <c r="N370" s="344" t="n"/>
      <c r="O370" s="344" t="n"/>
      <c r="P370" s="344" t="n"/>
      <c r="Q370" s="344" t="n"/>
      <c r="R370" s="344">
        <f>IF(AND(F370:Q370),1,0)</f>
        <v/>
      </c>
    </row>
    <row r="371" ht="20.1" customHeight="1">
      <c r="A371" s="344" t="n">
        <v>6</v>
      </c>
      <c r="B371" s="72" t="inlineStr">
        <is>
          <t>HP_OK</t>
        </is>
      </c>
      <c r="C371" s="72" t="n"/>
      <c r="D371" s="72" t="n"/>
      <c r="E371" s="72" t="n"/>
      <c r="F371" s="344">
        <f>IF(AND(HVAC_IOs!D10=1,HVAC_IOs!D12=1),1,0)</f>
        <v/>
      </c>
      <c r="G371" s="344" t="n"/>
      <c r="H371" s="344" t="n"/>
      <c r="I371" s="344" t="n"/>
      <c r="J371" s="344" t="n"/>
      <c r="K371" s="344" t="n"/>
      <c r="L371" s="344" t="n"/>
      <c r="M371" s="344" t="n"/>
      <c r="N371" s="344" t="n"/>
      <c r="O371" s="344" t="n"/>
      <c r="P371" s="344" t="n"/>
      <c r="Q371" s="344" t="n"/>
      <c r="R371" s="344">
        <f>IF(AND(F371:Q371),1,0)</f>
        <v/>
      </c>
    </row>
    <row r="372" ht="20.1" customHeight="1">
      <c r="A372" s="344" t="n">
        <v>7</v>
      </c>
      <c r="B372" s="72" t="inlineStr">
        <is>
          <t>LP_OK</t>
        </is>
      </c>
      <c r="C372" s="72" t="n"/>
      <c r="D372" s="72" t="n"/>
      <c r="E372" s="72" t="n"/>
      <c r="F372" s="344">
        <f>IF(AND(HVAC_IOs!D11=1,HVAC_IOs!D13=1),1,0)</f>
        <v/>
      </c>
      <c r="G372" s="344" t="n"/>
      <c r="H372" s="344" t="n"/>
      <c r="I372" s="344" t="n"/>
      <c r="J372" s="344" t="n"/>
      <c r="K372" s="344" t="n"/>
      <c r="L372" s="344" t="n"/>
      <c r="M372" s="344" t="n"/>
      <c r="N372" s="344" t="n"/>
      <c r="O372" s="344" t="n"/>
      <c r="P372" s="344" t="n"/>
      <c r="Q372" s="344" t="n"/>
      <c r="R372" s="344">
        <f>IF(AND(F372:Q372),1,0)</f>
        <v/>
      </c>
    </row>
    <row r="373" ht="20.1" customHeight="1">
      <c r="A373" s="344" t="n">
        <v>8</v>
      </c>
      <c r="B373" s="72" t="inlineStr">
        <is>
          <t>Breaker_ok</t>
        </is>
      </c>
      <c r="C373" s="72" t="n"/>
      <c r="D373" s="72" t="n"/>
      <c r="E373" s="72" t="n"/>
      <c r="F373" s="344">
        <f>IF(AND(HVAC_IOs!D6=1,HVAC_IOs!D7=1),1,0)</f>
        <v/>
      </c>
      <c r="G373" s="344" t="n"/>
      <c r="H373" s="344" t="n"/>
      <c r="I373" s="344" t="n"/>
      <c r="J373" s="344" t="n"/>
      <c r="K373" s="344" t="n"/>
      <c r="L373" s="344" t="n"/>
      <c r="M373" s="344" t="n"/>
      <c r="N373" s="344" t="n"/>
      <c r="O373" s="344" t="n"/>
      <c r="P373" s="344" t="n"/>
      <c r="Q373" s="344" t="n"/>
      <c r="R373" s="344">
        <f>IF(AND(F373:Q373),1,0)</f>
        <v/>
      </c>
    </row>
    <row r="374" ht="20.1" customHeight="1">
      <c r="A374" s="344" t="n">
        <v>9</v>
      </c>
      <c r="B374" s="72" t="inlineStr">
        <is>
          <t>Supply_fan_feedback_OK</t>
        </is>
      </c>
      <c r="C374" s="72" t="n"/>
      <c r="D374" s="72" t="n"/>
      <c r="E374" s="72" t="n"/>
      <c r="F374" s="344">
        <f>IF(AND(HVAC_IOs!D45=1,HVAC_IOs!D46=1),1,0)</f>
        <v/>
      </c>
      <c r="G374" s="344" t="n"/>
      <c r="H374" s="344" t="n"/>
      <c r="I374" s="344" t="n"/>
      <c r="J374" s="344" t="n"/>
      <c r="K374" s="344" t="n"/>
      <c r="L374" s="344" t="n"/>
      <c r="M374" s="344" t="n"/>
      <c r="N374" s="344" t="n"/>
      <c r="O374" s="344" t="n"/>
      <c r="P374" s="344" t="n"/>
      <c r="Q374" s="344" t="n"/>
      <c r="R374" s="344">
        <f>IF(AND(F374:Q374),1,0)</f>
        <v/>
      </c>
    </row>
    <row r="375" ht="20.1" customHeight="1">
      <c r="A375" s="344" t="n">
        <v>10</v>
      </c>
      <c r="B375" s="72" t="inlineStr">
        <is>
          <t>fAT_&gt;=_T4</t>
        </is>
      </c>
      <c r="C375" s="72" t="n"/>
      <c r="D375" s="72" t="n"/>
      <c r="E375" s="72" t="n"/>
      <c r="F375" s="72">
        <f>Calculation!B41</f>
        <v/>
      </c>
      <c r="G375" s="72" t="n"/>
      <c r="H375" s="72" t="n"/>
      <c r="I375" s="72" t="n"/>
      <c r="J375" s="72" t="n"/>
      <c r="K375" s="72" t="n"/>
      <c r="L375" s="72" t="n"/>
      <c r="M375" s="72" t="n"/>
      <c r="N375" s="72" t="n"/>
      <c r="O375" s="72" t="n"/>
      <c r="P375" s="72" t="n"/>
      <c r="Q375" s="72" t="n"/>
      <c r="R375" s="72">
        <f>IF(AND(F375:Q375),1,0)</f>
        <v/>
      </c>
    </row>
    <row r="376" ht="20.1" customHeight="1">
      <c r="A376" s="344" t="n">
        <v>11</v>
      </c>
      <c r="B376" s="72" t="inlineStr">
        <is>
          <t>fAT_&gt;=_T6</t>
        </is>
      </c>
      <c r="C376" s="72" t="n"/>
      <c r="D376" s="72" t="n"/>
      <c r="E376" s="72" t="n"/>
      <c r="F376" s="72">
        <f>F375</f>
        <v/>
      </c>
      <c r="G376" s="72">
        <f>IF(NOT(F376),1,0)</f>
        <v/>
      </c>
      <c r="H376" s="72" t="n"/>
      <c r="I376" s="72" t="n"/>
      <c r="J376" s="72" t="n"/>
      <c r="K376" s="72" t="n"/>
      <c r="L376" s="72" t="n"/>
      <c r="M376" s="72" t="n"/>
      <c r="N376" s="72" t="n"/>
      <c r="O376" s="72" t="n"/>
      <c r="P376" s="72" t="n"/>
      <c r="Q376" s="72" t="n"/>
      <c r="R376" s="72">
        <f>IF(AND(F376:Q376),1,0)</f>
        <v/>
      </c>
    </row>
    <row r="377" ht="20.1" customHeight="1">
      <c r="A377" s="148" t="n">
        <v>12</v>
      </c>
      <c r="B377" s="149" t="inlineStr">
        <is>
          <t>Cooling_mode_enable</t>
        </is>
      </c>
      <c r="C377" s="149" t="n"/>
      <c r="D377" s="149" t="n"/>
      <c r="E377" s="149" t="n"/>
      <c r="F377" s="148" t="n"/>
      <c r="G377" s="148">
        <f>IF(AND(R366:R374),1,0)</f>
        <v/>
      </c>
      <c r="H377" s="148" t="n"/>
      <c r="I377" s="148" t="n"/>
      <c r="J377" s="148" t="n"/>
      <c r="K377" s="148" t="n"/>
      <c r="L377" s="148" t="n"/>
      <c r="M377" s="148" t="n"/>
      <c r="N377" s="148" t="n"/>
      <c r="O377" s="148" t="n"/>
      <c r="P377" s="148" t="n"/>
      <c r="Q377" s="148" t="n"/>
      <c r="R377" s="148">
        <f>IF(AND(G377:Q377),1,0)</f>
        <v/>
      </c>
    </row>
    <row r="378" ht="20.1" customHeight="1">
      <c r="A378" s="148" t="n">
        <v>13</v>
      </c>
      <c r="B378" s="149" t="inlineStr">
        <is>
          <t>Cooling_50%</t>
        </is>
      </c>
      <c r="C378" s="149" t="n"/>
      <c r="D378" s="149" t="n"/>
      <c r="E378" s="149" t="n"/>
      <c r="F378" s="148" t="n"/>
      <c r="G378" s="148" t="n"/>
      <c r="H378" s="148">
        <f>IF(AND(R377,R375,R376),1,0)</f>
        <v/>
      </c>
      <c r="I378" s="148" t="n"/>
      <c r="J378" s="148" t="n"/>
      <c r="K378" s="148" t="n"/>
      <c r="L378" s="148" t="n"/>
      <c r="M378" s="148" t="n"/>
      <c r="N378" s="148" t="n"/>
      <c r="O378" s="148" t="n"/>
      <c r="P378" s="148" t="n"/>
      <c r="Q378" s="148" t="n"/>
      <c r="R378" s="148">
        <f>IF(AND(G378:Q378),1,0)</f>
        <v/>
      </c>
    </row>
    <row r="382" ht="20.1" customHeight="1">
      <c r="A382" s="725" t="inlineStr">
        <is>
          <t>21.Cooling Mode- Pre-conditioning(Cooling_100%)</t>
        </is>
      </c>
      <c r="B382" s="798" t="n"/>
      <c r="C382" s="798" t="n"/>
      <c r="D382" s="798" t="n"/>
      <c r="E382" s="798" t="n"/>
      <c r="F382" s="798" t="n"/>
      <c r="G382" s="798" t="n"/>
      <c r="H382" s="798" t="n"/>
      <c r="I382" s="798" t="n"/>
      <c r="J382" s="798" t="n"/>
      <c r="K382" s="798" t="n"/>
      <c r="L382" s="798" t="n"/>
      <c r="M382" s="798" t="n"/>
      <c r="N382" s="798" t="n"/>
      <c r="O382" s="798" t="n"/>
      <c r="P382" s="798" t="n"/>
      <c r="Q382" s="798" t="n"/>
      <c r="R382" s="309" t="n"/>
    </row>
    <row r="384" ht="20.1" customHeight="1">
      <c r="A384" s="344" t="n">
        <v>1</v>
      </c>
      <c r="B384" s="72" t="inlineStr">
        <is>
          <t>Auto_mode_from_TCMS</t>
        </is>
      </c>
      <c r="C384" s="72" t="n"/>
      <c r="D384" s="72" t="n"/>
      <c r="E384" s="72" t="n"/>
      <c r="F384" s="344">
        <f>F366</f>
        <v/>
      </c>
      <c r="G384" s="344" t="n"/>
      <c r="H384" s="344" t="n"/>
      <c r="I384" s="344" t="n"/>
      <c r="J384" s="344" t="n"/>
      <c r="K384" s="344" t="n"/>
      <c r="L384" s="344" t="n"/>
      <c r="M384" s="344" t="n"/>
      <c r="N384" s="344" t="n"/>
      <c r="O384" s="344" t="n"/>
      <c r="P384" s="344" t="n"/>
      <c r="Q384" s="344" t="n"/>
      <c r="R384" s="344">
        <f>IF(AND(F384:Q384),1,0)</f>
        <v/>
      </c>
    </row>
    <row r="385" ht="20.1" customHeight="1">
      <c r="A385" s="344" t="n">
        <v>2</v>
      </c>
      <c r="B385" s="72" t="inlineStr">
        <is>
          <t>Stand_by_mode_ON</t>
        </is>
      </c>
      <c r="C385" s="72" t="n"/>
      <c r="D385" s="72" t="n"/>
      <c r="E385" s="72" t="n"/>
      <c r="F385" s="344">
        <f>F367</f>
        <v/>
      </c>
      <c r="G385" s="344" t="n"/>
      <c r="H385" s="344" t="n"/>
      <c r="I385" s="344" t="n"/>
      <c r="J385" s="344" t="n"/>
      <c r="K385" s="344" t="n"/>
      <c r="L385" s="344" t="n"/>
      <c r="M385" s="344" t="n"/>
      <c r="N385" s="344" t="n"/>
      <c r="O385" s="344" t="n"/>
      <c r="P385" s="344" t="n"/>
      <c r="Q385" s="344" t="n"/>
      <c r="R385" s="344">
        <f>IF(AND(F385:Q385),1,0)</f>
        <v/>
      </c>
    </row>
    <row r="386" ht="20.1" customHeight="1">
      <c r="A386" s="344" t="n">
        <v>3</v>
      </c>
      <c r="B386" s="72" t="inlineStr">
        <is>
          <t>Aps_load_reduction_ON</t>
        </is>
      </c>
      <c r="C386" s="72" t="n"/>
      <c r="D386" s="72" t="n"/>
      <c r="E386" s="72" t="n"/>
      <c r="F386" s="344">
        <f>F368</f>
        <v/>
      </c>
      <c r="G386" s="344" t="n"/>
      <c r="H386" s="344" t="n"/>
      <c r="I386" s="344" t="n"/>
      <c r="J386" s="344" t="n"/>
      <c r="K386" s="344" t="n"/>
      <c r="L386" s="344" t="n"/>
      <c r="M386" s="344" t="n"/>
      <c r="N386" s="344" t="n"/>
      <c r="O386" s="344" t="n"/>
      <c r="P386" s="344" t="n"/>
      <c r="Q386" s="344" t="n"/>
      <c r="R386" s="344">
        <f>IF(AND(F386:Q386),1,0)</f>
        <v/>
      </c>
    </row>
    <row r="387" ht="20.1" customHeight="1">
      <c r="A387" s="344" t="n">
        <v>4</v>
      </c>
      <c r="B387" s="72" t="inlineStr">
        <is>
          <t>LVPS_load_shed_ON</t>
        </is>
      </c>
      <c r="C387" s="72" t="n"/>
      <c r="D387" s="72" t="n"/>
      <c r="E387" s="72" t="n"/>
      <c r="F387" s="350" t="n">
        <v>1</v>
      </c>
      <c r="G387" s="344" t="n"/>
      <c r="H387" s="344" t="n"/>
      <c r="I387" s="344" t="n"/>
      <c r="J387" s="344" t="n"/>
      <c r="K387" s="344" t="n"/>
      <c r="L387" s="344" t="n"/>
      <c r="M387" s="344" t="n"/>
      <c r="N387" s="344" t="n"/>
      <c r="O387" s="344" t="n"/>
      <c r="P387" s="344" t="n"/>
      <c r="Q387" s="344" t="n"/>
      <c r="R387" s="344">
        <f>IF(AND(F387:Q387),1,0)</f>
        <v/>
      </c>
    </row>
    <row r="388" ht="20.1" customHeight="1">
      <c r="A388" s="344" t="n">
        <v>5</v>
      </c>
      <c r="B388" s="72" t="inlineStr">
        <is>
          <t>No_fire_detected'</t>
        </is>
      </c>
      <c r="C388" s="72" t="n"/>
      <c r="D388" s="72" t="n"/>
      <c r="E388" s="72" t="n"/>
      <c r="F388" s="344">
        <f>HVAC_IOs!D23</f>
        <v/>
      </c>
      <c r="G388" s="344" t="n"/>
      <c r="H388" s="344" t="n"/>
      <c r="I388" s="344" t="n"/>
      <c r="J388" s="344" t="n"/>
      <c r="K388" s="344" t="n"/>
      <c r="L388" s="344" t="n"/>
      <c r="M388" s="344" t="n"/>
      <c r="N388" s="344" t="n"/>
      <c r="O388" s="344" t="n"/>
      <c r="P388" s="344" t="n"/>
      <c r="Q388" s="344" t="n"/>
      <c r="R388" s="344">
        <f>IF(AND(F388:Q388),1,0)</f>
        <v/>
      </c>
    </row>
    <row r="389" ht="20.1" customHeight="1">
      <c r="A389" s="344" t="n">
        <v>6</v>
      </c>
      <c r="B389" s="72" t="inlineStr">
        <is>
          <t>HP_OK</t>
        </is>
      </c>
      <c r="C389" s="72" t="n"/>
      <c r="D389" s="72" t="n"/>
      <c r="E389" s="72" t="n"/>
      <c r="F389" s="344">
        <f>IF(AND(HVAC_IOs!D28=1,HVAC_IOs!D30=1),1,0)</f>
        <v/>
      </c>
      <c r="G389" s="344" t="n"/>
      <c r="H389" s="344" t="n"/>
      <c r="I389" s="344" t="n"/>
      <c r="J389" s="344" t="n"/>
      <c r="K389" s="344" t="n"/>
      <c r="L389" s="344" t="n"/>
      <c r="M389" s="344" t="n"/>
      <c r="N389" s="344" t="n"/>
      <c r="O389" s="344" t="n"/>
      <c r="P389" s="344" t="n"/>
      <c r="Q389" s="344" t="n"/>
      <c r="R389" s="344">
        <f>IF(AND(F389:Q389),1,0)</f>
        <v/>
      </c>
    </row>
    <row r="390" ht="20.1" customHeight="1">
      <c r="A390" s="344" t="n">
        <v>7</v>
      </c>
      <c r="B390" s="72" t="inlineStr">
        <is>
          <t>LP_OK</t>
        </is>
      </c>
      <c r="C390" s="72" t="n"/>
      <c r="D390" s="72" t="n"/>
      <c r="E390" s="72" t="n"/>
      <c r="F390" s="344">
        <f>IF(AND(HVAC_IOs!D29=1,HVAC_IOs!D31=1),1,0)</f>
        <v/>
      </c>
      <c r="G390" s="344" t="n"/>
      <c r="H390" s="344" t="n"/>
      <c r="I390" s="344" t="n"/>
      <c r="J390" s="344" t="n"/>
      <c r="K390" s="344" t="n"/>
      <c r="L390" s="344" t="n"/>
      <c r="M390" s="344" t="n"/>
      <c r="N390" s="344" t="n"/>
      <c r="O390" s="344" t="n"/>
      <c r="P390" s="344" t="n"/>
      <c r="Q390" s="344" t="n"/>
      <c r="R390" s="344">
        <f>IF(AND(F390:Q390),1,0)</f>
        <v/>
      </c>
    </row>
    <row r="391" ht="20.1" customHeight="1">
      <c r="A391" s="344" t="n">
        <v>8</v>
      </c>
      <c r="B391" s="72" t="inlineStr">
        <is>
          <t>Breaker_ok</t>
        </is>
      </c>
      <c r="C391" s="72" t="n"/>
      <c r="D391" s="72" t="n"/>
      <c r="E391" s="72" t="n"/>
      <c r="F391" s="344">
        <f>IF(AND(HVAC_IOs!D24=1,HVAC_IOs!D25=1),1,0)</f>
        <v/>
      </c>
      <c r="G391" s="344" t="n"/>
      <c r="H391" s="344" t="n"/>
      <c r="I391" s="344" t="n"/>
      <c r="J391" s="344" t="n"/>
      <c r="K391" s="344" t="n"/>
      <c r="L391" s="344" t="n"/>
      <c r="M391" s="344" t="n"/>
      <c r="N391" s="344" t="n"/>
      <c r="O391" s="344" t="n"/>
      <c r="P391" s="344" t="n"/>
      <c r="Q391" s="344" t="n"/>
      <c r="R391" s="344">
        <f>IF(AND(F391:Q391),1,0)</f>
        <v/>
      </c>
    </row>
    <row r="392" ht="20.1" customHeight="1">
      <c r="A392" s="344" t="n">
        <v>9</v>
      </c>
      <c r="B392" s="72" t="inlineStr">
        <is>
          <t>Supply_fan_feedback_OK</t>
        </is>
      </c>
      <c r="C392" s="72" t="n"/>
      <c r="D392" s="72" t="n"/>
      <c r="E392" s="72" t="n"/>
      <c r="F392" s="344">
        <f>IF(AND(HVAC_IOs!D63=1,HVAC_IOs!D64=1),1,0)</f>
        <v/>
      </c>
      <c r="G392" s="344" t="n"/>
      <c r="H392" s="344" t="n"/>
      <c r="I392" s="344" t="n"/>
      <c r="J392" s="344" t="n"/>
      <c r="K392" s="344" t="n"/>
      <c r="L392" s="344" t="n"/>
      <c r="M392" s="344" t="n"/>
      <c r="N392" s="344" t="n"/>
      <c r="O392" s="344" t="n"/>
      <c r="P392" s="344" t="n"/>
      <c r="Q392" s="344" t="n"/>
      <c r="R392" s="344">
        <f>IF(AND(F392:Q392),1,0)</f>
        <v/>
      </c>
    </row>
    <row r="393" ht="20.1" customHeight="1">
      <c r="A393" s="344" t="n">
        <v>10</v>
      </c>
      <c r="B393" s="72" t="inlineStr">
        <is>
          <t>FAT_&gt;=_T6</t>
        </is>
      </c>
      <c r="C393" s="72" t="n"/>
      <c r="D393" s="72" t="n"/>
      <c r="E393" s="72" t="n"/>
      <c r="F393" s="344">
        <f>IF(AND(K31=1, R20 &lt; R28, R20 &gt; T6, D47=1), 1, 0)</f>
        <v/>
      </c>
      <c r="G393" s="344" t="n"/>
      <c r="H393" s="344" t="n"/>
      <c r="I393" s="344" t="n"/>
      <c r="J393" s="344" t="n"/>
      <c r="K393" s="344" t="n"/>
      <c r="L393" s="344" t="n"/>
      <c r="M393" s="344" t="n"/>
      <c r="N393" s="344" t="n"/>
      <c r="O393" s="344" t="n"/>
      <c r="P393" s="344" t="n"/>
      <c r="Q393" s="344" t="n"/>
      <c r="R393" s="344">
        <f>IF(AND(F393:Q393),1,0)</f>
        <v/>
      </c>
    </row>
    <row r="394" ht="20.1" customHeight="1">
      <c r="A394" s="148" t="n">
        <v>11</v>
      </c>
      <c r="B394" s="149" t="inlineStr">
        <is>
          <t>Cooling_mode_enable</t>
        </is>
      </c>
      <c r="C394" s="149" t="inlineStr">
        <is>
          <t>LFC10</t>
        </is>
      </c>
      <c r="D394" s="149" t="n"/>
      <c r="E394" s="149" t="n"/>
      <c r="F394" s="148" t="n"/>
      <c r="G394" s="148">
        <f>IF(AND(R384:R392),1,0)</f>
        <v/>
      </c>
      <c r="H394" s="148" t="n"/>
      <c r="I394" s="148" t="n"/>
      <c r="J394" s="148" t="n"/>
      <c r="K394" s="148" t="n"/>
      <c r="L394" s="148" t="n"/>
      <c r="M394" s="148" t="n"/>
      <c r="N394" s="148" t="n"/>
      <c r="O394" s="148" t="n"/>
      <c r="P394" s="148" t="n"/>
      <c r="Q394" s="148" t="n"/>
      <c r="R394" s="148">
        <f>IF(AND(F394:Q394),1,0)</f>
        <v/>
      </c>
    </row>
    <row r="395" ht="20.1" customHeight="1">
      <c r="A395" s="148" t="n">
        <v>12</v>
      </c>
      <c r="B395" s="149" t="inlineStr">
        <is>
          <t>Cooling_50%</t>
        </is>
      </c>
      <c r="C395" s="149" t="n"/>
      <c r="D395" s="149" t="n"/>
      <c r="E395" s="149" t="n"/>
      <c r="F395" s="148" t="n"/>
      <c r="G395" s="148" t="n"/>
      <c r="H395" s="148">
        <f>IF(AND(R394,R393),1,0)</f>
        <v/>
      </c>
      <c r="I395" s="148" t="n"/>
      <c r="J395" s="148" t="n"/>
      <c r="K395" s="148" t="n"/>
      <c r="L395" s="148" t="n"/>
      <c r="M395" s="148" t="n"/>
      <c r="N395" s="148" t="n"/>
      <c r="O395" s="148" t="n"/>
      <c r="P395" s="148" t="n"/>
      <c r="Q395" s="148" t="n"/>
      <c r="R395" s="353">
        <f>IF(AND(F395:Q395),1,0)</f>
        <v/>
      </c>
    </row>
    <row r="400" ht="20.1" customHeight="1">
      <c r="A400" s="725" t="inlineStr">
        <is>
          <t>22.Cooling Mode- Pre-conditioning(Cooling_OFF)</t>
        </is>
      </c>
      <c r="B400" s="798" t="n"/>
      <c r="C400" s="798" t="n"/>
      <c r="D400" s="798" t="n"/>
      <c r="E400" s="798" t="n"/>
      <c r="F400" s="798" t="n"/>
      <c r="G400" s="798" t="n"/>
      <c r="H400" s="798" t="n"/>
      <c r="I400" s="798" t="n"/>
      <c r="J400" s="798" t="n"/>
      <c r="K400" s="798" t="n"/>
      <c r="L400" s="798" t="n"/>
      <c r="M400" s="798" t="n"/>
      <c r="N400" s="798" t="n"/>
      <c r="O400" s="798" t="n"/>
      <c r="P400" s="798" t="n"/>
      <c r="Q400" s="798" t="n"/>
      <c r="R400" s="309" t="n"/>
    </row>
    <row r="402" ht="20.1" customHeight="1">
      <c r="A402" s="344" t="n">
        <v>1</v>
      </c>
      <c r="B402" s="72" t="inlineStr">
        <is>
          <t>Auto_mode_from_TCMS</t>
        </is>
      </c>
      <c r="C402" s="72" t="n"/>
      <c r="D402" s="72" t="n"/>
      <c r="E402" s="72" t="n"/>
      <c r="F402" s="344">
        <f>HVAC_IOs!D56</f>
        <v/>
      </c>
      <c r="G402" s="344" t="n"/>
      <c r="H402" s="344" t="n"/>
      <c r="I402" s="344" t="n"/>
      <c r="J402" s="344" t="n"/>
      <c r="K402" s="344" t="n"/>
      <c r="L402" s="344" t="n"/>
      <c r="M402" s="344" t="n"/>
      <c r="N402" s="344" t="n"/>
      <c r="O402" s="344" t="n"/>
      <c r="P402" s="344" t="n"/>
      <c r="Q402" s="344" t="n"/>
      <c r="R402" s="344">
        <f>IF(AND(F402:Q402),1,0)</f>
        <v/>
      </c>
    </row>
    <row r="403" ht="20.1" customHeight="1">
      <c r="A403" s="344" t="n">
        <v>2</v>
      </c>
      <c r="B403" s="72" t="inlineStr">
        <is>
          <t>Stand_by_mode_ON</t>
        </is>
      </c>
      <c r="C403" s="72" t="n"/>
      <c r="D403" s="72" t="n"/>
      <c r="E403" s="72" t="n"/>
      <c r="F403" s="344">
        <f>HVAC_IOs!D56</f>
        <v/>
      </c>
      <c r="G403" s="344" t="n"/>
      <c r="H403" s="344" t="n"/>
      <c r="I403" s="344" t="n"/>
      <c r="J403" s="344" t="n"/>
      <c r="K403" s="344" t="n"/>
      <c r="L403" s="344" t="n"/>
      <c r="M403" s="344" t="n"/>
      <c r="N403" s="344" t="n"/>
      <c r="O403" s="344" t="n"/>
      <c r="P403" s="344" t="n"/>
      <c r="Q403" s="344" t="n"/>
      <c r="R403" s="344">
        <f>IF(AND(F403:Q403),1,0)</f>
        <v/>
      </c>
    </row>
    <row r="404" ht="20.1" customHeight="1">
      <c r="A404" s="344" t="n">
        <v>3</v>
      </c>
      <c r="B404" s="72" t="inlineStr">
        <is>
          <t>APS_load_reduction_ON</t>
        </is>
      </c>
      <c r="C404" s="72" t="n"/>
      <c r="D404" s="72" t="n"/>
      <c r="E404" s="72" t="n"/>
      <c r="F404" s="344">
        <f>IF(AND(HVAC_IOs!D44=1,HVAC_IOs!D45=1),1,0)</f>
        <v/>
      </c>
      <c r="G404" s="344" t="n"/>
      <c r="H404" s="344" t="n"/>
      <c r="I404" s="344" t="n"/>
      <c r="J404" s="344" t="n"/>
      <c r="K404" s="344" t="n"/>
      <c r="L404" s="344" t="n"/>
      <c r="M404" s="344" t="n"/>
      <c r="N404" s="344" t="n"/>
      <c r="O404" s="344" t="n"/>
      <c r="P404" s="344" t="n"/>
      <c r="Q404" s="344" t="n"/>
      <c r="R404" s="344">
        <f>IF(AND(F404:Q404),1,0)</f>
        <v/>
      </c>
    </row>
    <row r="405" ht="20.1" customHeight="1">
      <c r="A405" s="344" t="n">
        <v>4</v>
      </c>
      <c r="B405" s="72" t="inlineStr">
        <is>
          <t>LVPS_load_shed_ON</t>
        </is>
      </c>
      <c r="C405" s="72" t="n"/>
      <c r="D405" s="72" t="n"/>
      <c r="E405" s="72" t="n"/>
      <c r="F405" s="350" t="n">
        <v>1</v>
      </c>
      <c r="G405" s="344" t="n"/>
      <c r="H405" s="344" t="n"/>
      <c r="I405" s="344" t="n"/>
      <c r="J405" s="344" t="n"/>
      <c r="K405" s="344" t="n"/>
      <c r="L405" s="344" t="n"/>
      <c r="M405" s="344" t="n"/>
      <c r="N405" s="344" t="n"/>
      <c r="O405" s="344" t="n"/>
      <c r="P405" s="344" t="n"/>
      <c r="Q405" s="344" t="n"/>
      <c r="R405" s="344">
        <f>IF(AND(F405:Q405),1,0)</f>
        <v/>
      </c>
    </row>
    <row r="406" ht="20.1" customHeight="1">
      <c r="A406" s="344" t="n">
        <v>5</v>
      </c>
      <c r="B406" s="72" t="inlineStr">
        <is>
          <t>No_fire_detected'</t>
        </is>
      </c>
      <c r="C406" s="72" t="n"/>
      <c r="D406" s="72" t="n"/>
      <c r="E406" s="72" t="n"/>
      <c r="F406" s="344">
        <f>HVAC_IOs!D41</f>
        <v/>
      </c>
      <c r="G406" s="344" t="n"/>
      <c r="H406" s="344" t="n"/>
      <c r="I406" s="344" t="n"/>
      <c r="J406" s="344" t="n"/>
      <c r="K406" s="344" t="n"/>
      <c r="L406" s="344" t="n"/>
      <c r="M406" s="344" t="n"/>
      <c r="N406" s="344" t="n"/>
      <c r="O406" s="344" t="n"/>
      <c r="P406" s="344" t="n"/>
      <c r="Q406" s="344" t="n"/>
      <c r="R406" s="344">
        <f>IF(AND(F406:Q406),1,0)</f>
        <v/>
      </c>
    </row>
    <row r="407" ht="20.1" customHeight="1">
      <c r="A407" s="344" t="n">
        <v>6</v>
      </c>
      <c r="B407" s="72" t="inlineStr">
        <is>
          <t>HP_OK</t>
        </is>
      </c>
      <c r="C407" s="72" t="n"/>
      <c r="D407" s="72" t="n"/>
      <c r="E407" s="72" t="n"/>
      <c r="F407" s="344">
        <f>IF(AND(HVAC_IOs!D46=1,HVAC_IOs!D48=1),1,0)</f>
        <v/>
      </c>
      <c r="G407" s="344" t="n"/>
      <c r="H407" s="344" t="n"/>
      <c r="I407" s="344" t="n"/>
      <c r="J407" s="344" t="n"/>
      <c r="K407" s="344" t="n"/>
      <c r="L407" s="344" t="n"/>
      <c r="M407" s="344" t="n"/>
      <c r="N407" s="344" t="n"/>
      <c r="O407" s="344" t="n"/>
      <c r="P407" s="344" t="n"/>
      <c r="Q407" s="344" t="n"/>
      <c r="R407" s="344">
        <f>IF(AND(F407:Q407),1,0)</f>
        <v/>
      </c>
    </row>
    <row r="408" ht="20.1" customHeight="1">
      <c r="A408" s="344" t="n">
        <v>7</v>
      </c>
      <c r="B408" s="72" t="inlineStr">
        <is>
          <t>LP_OK</t>
        </is>
      </c>
      <c r="C408" s="72" t="n"/>
      <c r="D408" s="72" t="n"/>
      <c r="E408" s="72" t="n"/>
      <c r="F408" s="344">
        <f>IF(AND(HVAC_IOs!D47=1,HVAC_IOs!D49=1),1,0)</f>
        <v/>
      </c>
      <c r="G408" s="344" t="n"/>
      <c r="H408" s="344" t="n"/>
      <c r="I408" s="344" t="n"/>
      <c r="J408" s="344" t="n"/>
      <c r="K408" s="344" t="n"/>
      <c r="L408" s="344" t="n"/>
      <c r="M408" s="344" t="n"/>
      <c r="N408" s="344" t="n"/>
      <c r="O408" s="344" t="n"/>
      <c r="P408" s="344" t="n"/>
      <c r="Q408" s="344" t="n"/>
      <c r="R408" s="344">
        <f>IF(AND(F408:Q408),1,0)</f>
        <v/>
      </c>
    </row>
    <row r="409" ht="20.1" customHeight="1">
      <c r="A409" s="344" t="n">
        <v>8</v>
      </c>
      <c r="B409" s="72" t="inlineStr">
        <is>
          <t>Breaker_ok</t>
        </is>
      </c>
      <c r="C409" s="72" t="n"/>
      <c r="D409" s="72" t="n"/>
      <c r="E409" s="72" t="n"/>
      <c r="F409" s="344">
        <f>IF(AND(HVAC_IOs!D42=1,HVAC_IOs!D43=1),1,0)</f>
        <v/>
      </c>
      <c r="G409" s="344" t="n"/>
      <c r="H409" s="344" t="n"/>
      <c r="I409" s="344" t="n"/>
      <c r="J409" s="344" t="n"/>
      <c r="K409" s="344" t="n"/>
      <c r="L409" s="344" t="n"/>
      <c r="M409" s="344" t="n"/>
      <c r="N409" s="344" t="n"/>
      <c r="O409" s="344" t="n"/>
      <c r="P409" s="344" t="n"/>
      <c r="Q409" s="344" t="n"/>
      <c r="R409" s="344">
        <f>IF(AND(F409:Q409),1,0)</f>
        <v/>
      </c>
    </row>
    <row r="410" ht="20.1" customHeight="1">
      <c r="A410" s="344" t="n">
        <v>9</v>
      </c>
      <c r="B410" s="72" t="inlineStr">
        <is>
          <t>Supply_fan_feedback_OK</t>
        </is>
      </c>
      <c r="C410" s="72" t="n"/>
      <c r="D410" s="72" t="n"/>
      <c r="E410" s="72" t="n"/>
      <c r="F410" s="344">
        <f>IF(AND(HVAC_IOs!D81=1,HVAC_IOs!D82=1),1,0)</f>
        <v/>
      </c>
      <c r="G410" s="344" t="n"/>
      <c r="H410" s="344" t="n"/>
      <c r="I410" s="344" t="n"/>
      <c r="J410" s="344" t="n"/>
      <c r="K410" s="344" t="n"/>
      <c r="L410" s="344" t="n"/>
      <c r="M410" s="344" t="n"/>
      <c r="N410" s="344" t="n"/>
      <c r="O410" s="344" t="n"/>
      <c r="P410" s="344" t="n"/>
      <c r="Q410" s="344" t="n"/>
      <c r="R410" s="344">
        <f>IF(AND(F410:Q410),1,0)</f>
        <v/>
      </c>
    </row>
    <row r="411" ht="20.1" customHeight="1">
      <c r="A411" s="344" t="n">
        <v>10</v>
      </c>
      <c r="B411" s="72" t="inlineStr">
        <is>
          <t>fAT_&gt;=_T4</t>
        </is>
      </c>
      <c r="C411" s="72" t="n"/>
      <c r="D411" s="72" t="n"/>
      <c r="E411" s="72" t="n"/>
      <c r="F411" s="72">
        <f>IF(AND(K67=1, R56 &lt; R64, R56 &gt; T40, D83=1), 1, 0)</f>
        <v/>
      </c>
      <c r="G411" s="344">
        <f>IF(NOT(F411),1,0)</f>
        <v/>
      </c>
      <c r="H411" s="344" t="n"/>
      <c r="I411" s="344" t="n"/>
      <c r="J411" s="344" t="n"/>
      <c r="K411" s="344" t="n"/>
      <c r="L411" s="344" t="n"/>
      <c r="M411" s="344" t="n"/>
      <c r="N411" s="344" t="n"/>
      <c r="O411" s="344" t="n"/>
      <c r="P411" s="344" t="n"/>
      <c r="Q411" s="344" t="n"/>
      <c r="R411" s="344">
        <f>IF(AND(F411:Q411),1,0)</f>
        <v/>
      </c>
    </row>
    <row r="412" ht="20.1" customHeight="1">
      <c r="A412" s="344" t="n">
        <v>11</v>
      </c>
      <c r="B412" s="72" t="inlineStr">
        <is>
          <t>fAT_&gt;=_T6</t>
        </is>
      </c>
      <c r="C412" s="72" t="n"/>
      <c r="D412" s="72" t="n"/>
      <c r="E412" s="72" t="n"/>
      <c r="F412" s="72">
        <f>IF(AND(K68=1, R57 &lt; R65, R57 &gt; T42, D84=1), 1, 0)</f>
        <v/>
      </c>
      <c r="G412" s="344">
        <f>IF(NOT(F412),1,0)</f>
        <v/>
      </c>
      <c r="H412" s="344" t="n"/>
      <c r="I412" s="344" t="n"/>
      <c r="J412" s="344" t="n"/>
      <c r="K412" s="344" t="n"/>
      <c r="L412" s="344" t="n"/>
      <c r="M412" s="344" t="n"/>
      <c r="N412" s="344" t="n"/>
      <c r="O412" s="344" t="n"/>
      <c r="P412" s="344" t="n"/>
      <c r="Q412" s="344" t="n"/>
      <c r="R412" s="344">
        <f>IF(AND(F412:Q412),1,0)</f>
        <v/>
      </c>
    </row>
    <row r="413" ht="20.1" customHeight="1">
      <c r="A413" s="148" t="n">
        <v>12</v>
      </c>
      <c r="B413" s="149" t="inlineStr">
        <is>
          <t>Cooling_mode_enable</t>
        </is>
      </c>
      <c r="C413" s="149" t="inlineStr">
        <is>
          <t>LFC10</t>
        </is>
      </c>
      <c r="D413" s="149" t="n"/>
      <c r="E413" s="149" t="n"/>
      <c r="F413" s="148" t="n"/>
      <c r="G413" s="148">
        <f>IF(AND(R402:R410),1,0)</f>
        <v/>
      </c>
      <c r="H413" s="148">
        <f>IF(NOT(G413),1,0)</f>
        <v/>
      </c>
      <c r="I413" s="148" t="n"/>
      <c r="J413" s="148" t="n"/>
      <c r="K413" s="148" t="n"/>
      <c r="L413" s="148" t="n"/>
      <c r="M413" s="148" t="n"/>
      <c r="N413" s="148" t="n"/>
      <c r="O413" s="148" t="n"/>
      <c r="P413" s="148" t="n"/>
      <c r="Q413" s="148" t="n"/>
      <c r="R413" s="148">
        <f>IF(AND(F413:Q413),1,0)</f>
        <v/>
      </c>
    </row>
    <row r="414" ht="20.1" customHeight="1">
      <c r="A414" s="148" t="n">
        <v>13</v>
      </c>
      <c r="B414" s="149" t="inlineStr">
        <is>
          <t>Cooling_50%</t>
        </is>
      </c>
      <c r="C414" s="149" t="n"/>
      <c r="D414" s="149" t="n"/>
      <c r="E414" s="149" t="n"/>
      <c r="F414" s="148" t="n"/>
      <c r="G414" s="148" t="n"/>
      <c r="H414" s="148" t="n"/>
      <c r="I414" s="148">
        <f>IF(AND(R411,R412,R413),1,0)</f>
        <v/>
      </c>
      <c r="J414" s="148" t="n"/>
      <c r="K414" s="148" t="n"/>
      <c r="L414" s="148" t="n"/>
      <c r="M414" s="148" t="n"/>
      <c r="N414" s="148" t="n"/>
      <c r="O414" s="148" t="n"/>
      <c r="P414" s="148" t="n"/>
      <c r="Q414" s="148" t="n"/>
      <c r="R414" s="148">
        <f>IF(AND(F414:Q414),1,0)</f>
        <v/>
      </c>
    </row>
    <row r="419" ht="20.1" customHeight="1">
      <c r="A419" s="725" t="inlineStr">
        <is>
          <t>23.Re-heat Mode Preconditioning</t>
        </is>
      </c>
      <c r="B419" s="798" t="n"/>
      <c r="C419" s="798" t="n"/>
      <c r="D419" s="798" t="n"/>
      <c r="E419" s="798" t="n"/>
      <c r="F419" s="798" t="n"/>
      <c r="G419" s="798" t="n"/>
      <c r="H419" s="798" t="n"/>
      <c r="I419" s="798" t="n"/>
      <c r="J419" s="798" t="n"/>
      <c r="K419" s="798" t="n"/>
      <c r="L419" s="798" t="n"/>
      <c r="M419" s="798" t="n"/>
      <c r="N419" s="798" t="n"/>
      <c r="O419" s="798" t="n"/>
      <c r="P419" s="798" t="n"/>
      <c r="Q419" s="798" t="n"/>
      <c r="R419" s="309" t="n"/>
    </row>
    <row r="421" ht="20.1" customHeight="1">
      <c r="A421" s="65" t="n">
        <v>1</v>
      </c>
      <c r="B421" s="66" t="inlineStr">
        <is>
          <t>HVAC_ON</t>
        </is>
      </c>
      <c r="C421" s="65" t="n"/>
      <c r="D421" s="65" t="n"/>
      <c r="E421" s="65" t="n"/>
      <c r="F421" s="65">
        <f>HVAC_IOs!K15</f>
        <v/>
      </c>
      <c r="G421" s="65" t="n"/>
      <c r="H421" s="65" t="n"/>
      <c r="I421" s="65" t="n"/>
      <c r="J421" s="65" t="n"/>
      <c r="K421" s="65" t="n"/>
      <c r="L421" s="65" t="n"/>
      <c r="M421" s="65" t="n"/>
      <c r="N421" s="65" t="n"/>
      <c r="O421" s="65" t="n"/>
      <c r="P421" s="65" t="n"/>
      <c r="Q421" s="65" t="n"/>
      <c r="R421" s="65">
        <f>IF(AND(F421:Q421),1,0)</f>
        <v/>
      </c>
    </row>
    <row r="422" ht="20.1" customHeight="1">
      <c r="A422" s="65" t="n">
        <v>2</v>
      </c>
      <c r="B422" s="66" t="inlineStr">
        <is>
          <t>Cooling_Mode 2_Select</t>
        </is>
      </c>
      <c r="C422" s="65" t="n"/>
      <c r="D422" s="65" t="n"/>
      <c r="E422" s="65" t="n"/>
      <c r="F422" s="350" t="n">
        <v>1</v>
      </c>
      <c r="G422" s="65" t="n"/>
      <c r="H422" s="65" t="n"/>
      <c r="I422" s="65" t="n"/>
      <c r="J422" s="65" t="n"/>
      <c r="K422" s="65" t="n"/>
      <c r="L422" s="65" t="n"/>
      <c r="M422" s="65" t="n"/>
      <c r="N422" s="65" t="n"/>
      <c r="O422" s="65" t="n"/>
      <c r="P422" s="65" t="n"/>
      <c r="Q422" s="65" t="n"/>
      <c r="R422" s="65">
        <f>IF(AND(F422:Q422),1,0)</f>
        <v/>
      </c>
    </row>
    <row r="423" ht="20.1" customHeight="1">
      <c r="A423" s="65" t="n">
        <v>3</v>
      </c>
      <c r="B423" s="66" t="inlineStr">
        <is>
          <t>heating active</t>
        </is>
      </c>
      <c r="C423" s="65" t="n"/>
      <c r="D423" s="65" t="n"/>
      <c r="E423" s="65" t="n"/>
      <c r="F423" s="65">
        <f>HVAC_IOs!K10</f>
        <v/>
      </c>
      <c r="G423" s="65" t="n"/>
      <c r="H423" s="65" t="n"/>
      <c r="I423" s="65" t="n"/>
      <c r="J423" s="65" t="n"/>
      <c r="K423" s="65" t="n"/>
      <c r="L423" s="65" t="n"/>
      <c r="M423" s="65" t="n"/>
      <c r="N423" s="65" t="n"/>
      <c r="O423" s="65" t="n"/>
      <c r="P423" s="65" t="n"/>
      <c r="Q423" s="65" t="n"/>
      <c r="R423" s="65">
        <f>IF(AND(F423:Q423),1,0)</f>
        <v/>
      </c>
    </row>
    <row r="424" ht="20.1" customHeight="1">
      <c r="A424" s="65" t="n">
        <v>4</v>
      </c>
      <c r="B424" s="66" t="inlineStr">
        <is>
          <t>Relative humidity&gt;RH_Set</t>
        </is>
      </c>
      <c r="C424" s="65" t="n"/>
      <c r="D424" s="65" t="n"/>
      <c r="E424" s="65" t="n"/>
      <c r="F424" s="65">
        <f>IF(R5 &gt; R10, 1, 0)</f>
        <v/>
      </c>
      <c r="G424" s="65" t="n"/>
      <c r="H424" s="65" t="n"/>
      <c r="I424" s="65" t="n"/>
      <c r="J424" s="65" t="n"/>
      <c r="K424" s="65" t="n"/>
      <c r="L424" s="65" t="n"/>
      <c r="M424" s="65" t="n"/>
      <c r="N424" s="65" t="n"/>
      <c r="O424" s="65" t="n"/>
      <c r="P424" s="65" t="n"/>
      <c r="Q424" s="65" t="n"/>
      <c r="R424" s="65">
        <f>IF(AND(F424:Q424),1,0)</f>
        <v/>
      </c>
    </row>
    <row r="425" ht="20.1" customHeight="1">
      <c r="A425" s="65" t="n">
        <v>5</v>
      </c>
      <c r="B425" s="66" t="inlineStr">
        <is>
          <t>FAT&gt;=T4</t>
        </is>
      </c>
      <c r="C425" s="65" t="n"/>
      <c r="D425" s="65" t="n"/>
      <c r="E425" s="65" t="n"/>
      <c r="F425" s="65">
        <f>IF(AND(K81=1, R70 &lt; R78, R70 &gt; T4, D97=1), 1, 0)</f>
        <v/>
      </c>
      <c r="G425" s="65" t="n"/>
      <c r="H425" s="65" t="n"/>
      <c r="I425" s="65" t="n"/>
      <c r="J425" s="65" t="n"/>
      <c r="K425" s="65" t="n"/>
      <c r="L425" s="65" t="n"/>
      <c r="M425" s="65" t="n"/>
      <c r="N425" s="65" t="n"/>
      <c r="O425" s="65" t="n"/>
      <c r="P425" s="65" t="n"/>
      <c r="Q425" s="65" t="n"/>
      <c r="R425" s="65">
        <f>IF(AND(F425:Q425),1,0)</f>
        <v/>
      </c>
    </row>
    <row r="426" ht="20.1" customHeight="1">
      <c r="A426" s="65" t="n">
        <v>6</v>
      </c>
      <c r="B426" s="66" t="inlineStr">
        <is>
          <t>FAT&lt;=T7</t>
        </is>
      </c>
      <c r="C426" s="65" t="n"/>
      <c r="D426" s="65" t="n"/>
      <c r="E426" s="65" t="n"/>
      <c r="F426" s="65">
        <f>IF(AND(K82=1, R71 &lt; R79, R71 &gt; T7, D98=1), 1, 0)</f>
        <v/>
      </c>
      <c r="G426" s="65" t="n"/>
      <c r="H426" s="65" t="n"/>
      <c r="I426" s="65" t="n"/>
      <c r="J426" s="65" t="n"/>
      <c r="K426" s="65" t="n"/>
      <c r="L426" s="65" t="n"/>
      <c r="M426" s="65" t="n"/>
      <c r="N426" s="65" t="n"/>
      <c r="O426" s="65" t="n"/>
      <c r="P426" s="65" t="n"/>
      <c r="Q426" s="65" t="n"/>
      <c r="R426" s="65">
        <f>IF(AND(F426:Q426),1,0)</f>
        <v/>
      </c>
    </row>
    <row r="427" ht="20.1" customHeight="1">
      <c r="A427" s="65" t="n">
        <v>7</v>
      </c>
      <c r="B427" s="66" t="inlineStr">
        <is>
          <t>LFC 04</t>
        </is>
      </c>
      <c r="C427" s="65" t="n"/>
      <c r="D427" s="65" t="n"/>
      <c r="E427" s="65" t="n"/>
      <c r="F427" s="65" t="n">
        <v>1</v>
      </c>
      <c r="G427" s="65">
        <f>IF(AND(F421:F423),1,0)</f>
        <v/>
      </c>
      <c r="H427" s="65" t="n"/>
      <c r="I427" s="65" t="n"/>
      <c r="J427" s="65" t="n"/>
      <c r="K427" s="65" t="n"/>
      <c r="L427" s="65" t="n"/>
      <c r="M427" s="65" t="n"/>
      <c r="N427" s="65" t="n"/>
      <c r="O427" s="65" t="n"/>
      <c r="P427" s="65" t="n"/>
      <c r="Q427" s="65" t="n"/>
      <c r="R427" s="65">
        <f>IF(AND(F427:Q427),1,0)</f>
        <v/>
      </c>
    </row>
    <row r="428" ht="20.1" customHeight="1">
      <c r="A428" s="65" t="n">
        <v>8</v>
      </c>
      <c r="B428" s="66" t="inlineStr">
        <is>
          <t>LFC 05</t>
        </is>
      </c>
      <c r="C428" s="65" t="n"/>
      <c r="D428" s="65" t="n"/>
      <c r="E428" s="65" t="n"/>
      <c r="F428" s="65" t="n">
        <v>1</v>
      </c>
      <c r="G428" s="65">
        <f>IF(AND(F428),1,0)</f>
        <v/>
      </c>
      <c r="H428" s="65" t="n"/>
      <c r="I428" s="65" t="n"/>
      <c r="J428" s="65" t="n"/>
      <c r="K428" s="65" t="n"/>
      <c r="L428" s="65" t="n"/>
      <c r="M428" s="65" t="n"/>
      <c r="N428" s="65" t="n"/>
      <c r="O428" s="65" t="n"/>
      <c r="P428" s="65" t="n"/>
      <c r="Q428" s="65" t="n"/>
      <c r="R428" s="65">
        <f>IF(AND(F428:Q428),1,0)</f>
        <v/>
      </c>
    </row>
    <row r="429" ht="20.1" customHeight="1">
      <c r="A429" s="65" t="n">
        <v>9</v>
      </c>
      <c r="B429" s="66" t="inlineStr">
        <is>
          <t>LFC 08</t>
        </is>
      </c>
      <c r="C429" s="65" t="n"/>
      <c r="D429" s="65" t="n"/>
      <c r="E429" s="65" t="n"/>
      <c r="F429" s="65" t="n">
        <v>1</v>
      </c>
      <c r="G429" s="65">
        <f>IF(AND(F425:F426),1,0)</f>
        <v/>
      </c>
      <c r="H429" s="65" t="n"/>
      <c r="I429" s="65" t="n"/>
      <c r="J429" s="65" t="n"/>
      <c r="K429" s="65" t="n"/>
      <c r="L429" s="65" t="n"/>
      <c r="M429" s="65" t="n"/>
      <c r="N429" s="65" t="n"/>
      <c r="O429" s="65" t="n"/>
      <c r="P429" s="65" t="n"/>
      <c r="Q429" s="65" t="n"/>
      <c r="R429" s="65">
        <f>IF(AND(F429:Q429),1,0)</f>
        <v/>
      </c>
    </row>
    <row r="430" ht="20.1" customHeight="1">
      <c r="A430" s="148" t="n">
        <v>10</v>
      </c>
      <c r="B430" s="149" t="inlineStr">
        <is>
          <t>Re_Heat enable</t>
        </is>
      </c>
      <c r="C430" s="148" t="n"/>
      <c r="D430" s="148" t="n"/>
      <c r="E430" s="148" t="n"/>
      <c r="F430" s="148" t="n"/>
      <c r="G430" s="148">
        <f>IF(AND(R427,R428,R429),1,0)</f>
        <v/>
      </c>
      <c r="H430" s="148" t="n"/>
      <c r="I430" s="148" t="n"/>
      <c r="J430" s="148" t="n"/>
      <c r="K430" s="148" t="n"/>
      <c r="L430" s="148" t="n"/>
      <c r="M430" s="148" t="n"/>
      <c r="N430" s="148" t="n"/>
      <c r="O430" s="148" t="n"/>
      <c r="P430" s="148" t="n"/>
      <c r="Q430" s="148" t="n"/>
      <c r="R430" s="148">
        <f>IF(AND(F430:Q430),1,0)</f>
        <v/>
      </c>
    </row>
    <row r="434" ht="20.1" customHeight="1">
      <c r="A434" s="725" t="inlineStr">
        <is>
          <t>24.Ventilation Pre Conditioning</t>
        </is>
      </c>
      <c r="B434" s="798" t="n"/>
      <c r="C434" s="798" t="n"/>
      <c r="D434" s="798" t="n"/>
      <c r="E434" s="798" t="n"/>
      <c r="F434" s="798" t="n"/>
      <c r="G434" s="798" t="n"/>
      <c r="H434" s="798" t="n"/>
      <c r="I434" s="798" t="n"/>
      <c r="J434" s="798" t="n"/>
      <c r="K434" s="798" t="n"/>
      <c r="L434" s="798" t="n"/>
      <c r="M434" s="798" t="n"/>
      <c r="N434" s="798" t="n"/>
      <c r="O434" s="798" t="n"/>
      <c r="P434" s="798" t="n"/>
      <c r="Q434" s="798" t="n"/>
      <c r="R434" s="309" t="n"/>
    </row>
    <row r="436" ht="20.1" customHeight="1">
      <c r="A436" s="344" t="n">
        <v>1</v>
      </c>
      <c r="B436" s="72" t="inlineStr">
        <is>
          <t>HVAC_ON</t>
        </is>
      </c>
      <c r="C436" s="72" t="n"/>
      <c r="D436" s="72" t="n"/>
      <c r="E436" s="72" t="n"/>
      <c r="F436" s="344">
        <f>HVAC_IOs!K15</f>
        <v/>
      </c>
      <c r="G436" s="344" t="n"/>
      <c r="H436" s="344" t="n"/>
      <c r="I436" s="344" t="n"/>
      <c r="J436" s="344" t="n"/>
      <c r="K436" s="344" t="n"/>
      <c r="L436" s="344" t="n"/>
      <c r="M436" s="344" t="n"/>
      <c r="N436" s="344" t="n"/>
      <c r="O436" s="344" t="n"/>
      <c r="P436" s="344" t="n"/>
      <c r="Q436" s="344" t="n"/>
      <c r="R436" s="344">
        <f>IF(AND(F436:Q436),1,0)</f>
        <v/>
      </c>
    </row>
    <row r="437" ht="20.1" customHeight="1">
      <c r="A437" s="344" t="n">
        <v>2</v>
      </c>
      <c r="B437" s="72" t="inlineStr">
        <is>
          <t>HP_OK</t>
        </is>
      </c>
      <c r="C437" s="72" t="n"/>
      <c r="D437" s="72" t="n"/>
      <c r="E437" s="72" t="n"/>
      <c r="F437" s="344">
        <f>IF(AND(HVAC_IOs!D10=1,HVAC_IOs!D12=1),1,0)</f>
        <v/>
      </c>
      <c r="G437" s="344" t="n"/>
      <c r="H437" s="344" t="n"/>
      <c r="I437" s="344" t="n"/>
      <c r="J437" s="344" t="n"/>
      <c r="K437" s="344" t="n"/>
      <c r="L437" s="344" t="n"/>
      <c r="M437" s="344" t="n"/>
      <c r="N437" s="344" t="n"/>
      <c r="O437" s="344" t="n"/>
      <c r="P437" s="344" t="n"/>
      <c r="Q437" s="344" t="n"/>
      <c r="R437" s="344">
        <f>IF(AND(F437:Q437),1,0)</f>
        <v/>
      </c>
    </row>
    <row r="438" ht="20.1" customHeight="1">
      <c r="A438" s="344" t="n">
        <v>3</v>
      </c>
      <c r="B438" s="72" t="inlineStr">
        <is>
          <t>LP_OK</t>
        </is>
      </c>
      <c r="C438" s="72" t="n"/>
      <c r="D438" s="72" t="n"/>
      <c r="E438" s="72" t="n"/>
      <c r="F438" s="344">
        <f>IF(AND(HVAC_IOs!D11=1,HVAC_IOs!D13=1),1,0)</f>
        <v/>
      </c>
      <c r="G438" s="344" t="n"/>
      <c r="H438" s="344" t="n"/>
      <c r="I438" s="344" t="n"/>
      <c r="J438" s="344" t="n"/>
      <c r="K438" s="344" t="n"/>
      <c r="L438" s="344" t="n"/>
      <c r="M438" s="344" t="n"/>
      <c r="N438" s="344" t="n"/>
      <c r="O438" s="344" t="n"/>
      <c r="P438" s="344" t="n"/>
      <c r="Q438" s="344" t="n"/>
      <c r="R438" s="344">
        <f>IF(AND(F438:Q438),1,0)</f>
        <v/>
      </c>
    </row>
    <row r="439" ht="20.1" customHeight="1">
      <c r="A439" s="344" t="n">
        <v>4</v>
      </c>
      <c r="B439" s="72" t="inlineStr">
        <is>
          <t>APS_1Breaker_OK</t>
        </is>
      </c>
      <c r="C439" s="72" t="n"/>
      <c r="D439" s="72" t="n"/>
      <c r="E439" s="72" t="n"/>
      <c r="F439" s="344">
        <f>IF(AND(HVAC_IOs!D42=1,HVAC_IOs!D43=1),1,0)</f>
        <v/>
      </c>
      <c r="G439" s="344" t="n"/>
      <c r="H439" s="344" t="n"/>
      <c r="I439" s="344" t="n"/>
      <c r="J439" s="344" t="n"/>
      <c r="K439" s="344" t="n"/>
      <c r="L439" s="344" t="n"/>
      <c r="M439" s="344" t="n"/>
      <c r="N439" s="344" t="n"/>
      <c r="O439" s="344" t="n"/>
      <c r="P439" s="344" t="n"/>
      <c r="Q439" s="344" t="n"/>
      <c r="R439" s="344">
        <f>IF(AND(F439:Q439),1,0)</f>
        <v/>
      </c>
    </row>
    <row r="440" ht="20.1" customHeight="1">
      <c r="A440" s="344" t="n">
        <v>5</v>
      </c>
      <c r="B440" s="72" t="inlineStr">
        <is>
          <t>Emergency_OK</t>
        </is>
      </c>
      <c r="C440" s="72" t="n"/>
      <c r="D440" s="72" t="n"/>
      <c r="E440" s="72" t="n"/>
      <c r="F440" s="350" t="n">
        <v>1</v>
      </c>
      <c r="G440" s="344" t="n"/>
      <c r="H440" s="344" t="n"/>
      <c r="I440" s="344" t="n"/>
      <c r="J440" s="344" t="n"/>
      <c r="K440" s="344" t="n"/>
      <c r="L440" s="344" t="n"/>
      <c r="M440" s="344" t="n"/>
      <c r="N440" s="344" t="n"/>
      <c r="O440" s="344" t="n"/>
      <c r="P440" s="344" t="n"/>
      <c r="Q440" s="344" t="n"/>
      <c r="R440" s="344">
        <f>IF(AND(F440:Q440),1,0)</f>
        <v/>
      </c>
    </row>
    <row r="441" ht="20.1" customHeight="1">
      <c r="A441" s="344" t="n">
        <v>6</v>
      </c>
      <c r="B441" s="72" t="inlineStr">
        <is>
          <t>Cooling Satisfied</t>
        </is>
      </c>
      <c r="C441" s="72" t="n"/>
      <c r="D441" s="72" t="n"/>
      <c r="E441" s="72" t="n"/>
      <c r="F441" s="344">
        <f>HVAC_IOs!K10</f>
        <v/>
      </c>
      <c r="G441" s="344" t="n"/>
      <c r="H441" s="344" t="n"/>
      <c r="I441" s="344" t="n"/>
      <c r="J441" s="344" t="n"/>
      <c r="K441" s="344" t="n"/>
      <c r="L441" s="344" t="n"/>
      <c r="M441" s="344" t="n"/>
      <c r="N441" s="344" t="n"/>
      <c r="O441" s="344" t="n"/>
      <c r="P441" s="344" t="n"/>
      <c r="Q441" s="344" t="n"/>
      <c r="R441" s="344">
        <f>IF(AND(F441:Q441),1,0)</f>
        <v/>
      </c>
    </row>
    <row r="442" ht="20.1" customHeight="1">
      <c r="A442" s="344" t="n">
        <v>7</v>
      </c>
      <c r="B442" s="72" t="inlineStr">
        <is>
          <t>Heating Satisfied</t>
        </is>
      </c>
      <c r="C442" s="72" t="n"/>
      <c r="D442" s="72" t="n"/>
      <c r="E442" s="72" t="n"/>
      <c r="F442" s="344">
        <f>HVAC_IOs!K10</f>
        <v/>
      </c>
      <c r="G442" s="344" t="n"/>
      <c r="H442" s="344" t="n"/>
      <c r="I442" s="344" t="n"/>
      <c r="J442" s="344" t="n"/>
      <c r="K442" s="344" t="n"/>
      <c r="L442" s="344" t="n"/>
      <c r="M442" s="344" t="n"/>
      <c r="N442" s="344" t="n"/>
      <c r="O442" s="344" t="n"/>
      <c r="P442" s="344" t="n"/>
      <c r="Q442" s="344" t="n"/>
      <c r="R442" s="344">
        <f>IF(AND(F442:Q442),1,0)</f>
        <v/>
      </c>
    </row>
    <row r="443" ht="20.1" customHeight="1">
      <c r="A443" s="344" t="n">
        <v>8</v>
      </c>
      <c r="B443" s="72" t="inlineStr">
        <is>
          <t>Cooling/heating inhabited due to falut</t>
        </is>
      </c>
      <c r="C443" s="72" t="n"/>
      <c r="D443" s="72" t="n"/>
      <c r="E443" s="72" t="n"/>
      <c r="F443" s="350" t="n">
        <v>1</v>
      </c>
      <c r="G443" s="344" t="n"/>
      <c r="H443" s="344" t="n"/>
      <c r="I443" s="344" t="n"/>
      <c r="J443" s="344" t="n"/>
      <c r="K443" s="344" t="n"/>
      <c r="L443" s="344" t="n"/>
      <c r="M443" s="344" t="n"/>
      <c r="N443" s="344" t="n"/>
      <c r="O443" s="344" t="n"/>
      <c r="P443" s="344" t="n"/>
      <c r="Q443" s="344" t="n"/>
      <c r="R443" s="344">
        <f>IF(AND(F443:Q443),1,0)</f>
        <v/>
      </c>
    </row>
    <row r="444" ht="20.1" customHeight="1">
      <c r="A444" s="344" t="n">
        <v>9</v>
      </c>
      <c r="B444" s="72" t="inlineStr">
        <is>
          <t>driver selects ventilation mode from VDU</t>
        </is>
      </c>
      <c r="C444" s="72" t="n"/>
      <c r="D444" s="72" t="n"/>
      <c r="E444" s="72" t="n"/>
      <c r="F444" s="344">
        <f>HVAC_IOs!D20</f>
        <v/>
      </c>
      <c r="G444" s="344" t="n"/>
      <c r="H444" s="344" t="n"/>
      <c r="I444" s="344" t="n"/>
      <c r="J444" s="344" t="n"/>
      <c r="K444" s="344" t="n"/>
      <c r="L444" s="344" t="n"/>
      <c r="M444" s="344" t="n"/>
      <c r="N444" s="344" t="n"/>
      <c r="O444" s="344" t="n"/>
      <c r="P444" s="344" t="n"/>
      <c r="Q444" s="344" t="n"/>
      <c r="R444" s="344">
        <f>IF(AND(F444:Q444),1,0)</f>
        <v/>
      </c>
    </row>
    <row r="445" ht="20.1" customHeight="1">
      <c r="A445" s="344" t="n">
        <v>10</v>
      </c>
      <c r="B445" s="72" t="inlineStr">
        <is>
          <t>LFC06</t>
        </is>
      </c>
      <c r="C445" s="72" t="n"/>
      <c r="D445" s="72" t="n"/>
      <c r="E445" s="72" t="n"/>
      <c r="F445" s="344" t="n"/>
      <c r="G445" s="344">
        <f>IF(AND(F436:F440),1,0)</f>
        <v/>
      </c>
      <c r="H445" s="344" t="n"/>
      <c r="I445" s="344" t="n"/>
      <c r="J445" s="344" t="n"/>
      <c r="K445" s="344" t="n"/>
      <c r="L445" s="344" t="n"/>
      <c r="M445" s="344" t="n"/>
      <c r="N445" s="344" t="n"/>
      <c r="O445" s="344" t="n"/>
      <c r="P445" s="344" t="n"/>
      <c r="Q445" s="344" t="n"/>
      <c r="R445" s="344">
        <f>IF(AND(F445:Q445),1,0)</f>
        <v/>
      </c>
    </row>
    <row r="446" ht="20.1" customHeight="1">
      <c r="A446" s="344" t="n"/>
      <c r="B446" s="72" t="inlineStr">
        <is>
          <t>LFC09</t>
        </is>
      </c>
      <c r="C446" s="72" t="n"/>
      <c r="D446" s="72" t="n"/>
      <c r="E446" s="72" t="n"/>
      <c r="F446" s="344" t="n"/>
      <c r="G446" s="344">
        <f>IF(AND(F441:F442),1,0)</f>
        <v/>
      </c>
      <c r="H446" s="344" t="n"/>
      <c r="I446" s="344" t="n"/>
      <c r="J446" s="344" t="n"/>
      <c r="K446" s="344" t="n"/>
      <c r="L446" s="344" t="n"/>
      <c r="M446" s="344" t="n"/>
      <c r="N446" s="344" t="n"/>
      <c r="O446" s="344" t="n"/>
      <c r="P446" s="344" t="n"/>
      <c r="Q446" s="344" t="n"/>
      <c r="R446" s="344">
        <f>IF(AND(F446:Q446),1,0)</f>
        <v/>
      </c>
    </row>
    <row r="447" ht="20.1" customHeight="1">
      <c r="A447" s="344" t="n">
        <v>11</v>
      </c>
      <c r="B447" s="72" t="inlineStr">
        <is>
          <t>LFC12</t>
        </is>
      </c>
      <c r="C447" s="72" t="n"/>
      <c r="D447" s="72" t="n"/>
      <c r="E447" s="72" t="n"/>
      <c r="F447" s="344" t="n"/>
      <c r="G447" s="344" t="n"/>
      <c r="H447" s="344">
        <f>IF(OR(G446,F443:F444),1,0)</f>
        <v/>
      </c>
      <c r="I447" s="344" t="n"/>
      <c r="J447" s="344" t="n"/>
      <c r="K447" s="344" t="n"/>
      <c r="L447" s="344" t="n"/>
      <c r="M447" s="344" t="n"/>
      <c r="N447" s="344" t="n"/>
      <c r="O447" s="344" t="n"/>
      <c r="P447" s="344" t="n"/>
      <c r="Q447" s="344" t="n"/>
      <c r="R447" s="344">
        <f>IF(AND(F447:Q447),1,0)</f>
        <v/>
      </c>
    </row>
    <row r="448" ht="20.1" customHeight="1">
      <c r="A448" s="148" t="n">
        <v>12</v>
      </c>
      <c r="B448" s="149" t="inlineStr">
        <is>
          <t>Pre-conditioning venntilation enable</t>
        </is>
      </c>
      <c r="C448" s="149" t="n"/>
      <c r="D448" s="149" t="n"/>
      <c r="E448" s="149" t="n"/>
      <c r="F448" s="148" t="n"/>
      <c r="G448" s="148" t="n"/>
      <c r="H448" s="148" t="n"/>
      <c r="I448" s="148">
        <f>IF(AND(R445,R447),1,0)</f>
        <v/>
      </c>
      <c r="J448" s="148" t="n"/>
      <c r="K448" s="148" t="n"/>
      <c r="L448" s="148" t="n"/>
      <c r="M448" s="148" t="n"/>
      <c r="N448" s="148" t="n"/>
      <c r="O448" s="148" t="n"/>
      <c r="P448" s="148" t="n"/>
      <c r="Q448" s="148" t="n"/>
      <c r="R448" s="148">
        <f>IF(AND(F448:Q448),1,0)</f>
        <v/>
      </c>
    </row>
    <row r="452" ht="20.1" customHeight="1">
      <c r="A452" s="725" t="inlineStr">
        <is>
          <t>25.Heating/Cooling</t>
        </is>
      </c>
      <c r="B452" s="798" t="n"/>
      <c r="C452" s="798" t="n"/>
      <c r="D452" s="798" t="n"/>
      <c r="E452" s="798" t="n"/>
      <c r="F452" s="798" t="n"/>
      <c r="G452" s="798" t="n"/>
      <c r="H452" s="798" t="n"/>
      <c r="I452" s="798" t="n"/>
      <c r="J452" s="798" t="n"/>
      <c r="K452" s="798" t="n"/>
      <c r="L452" s="798" t="n"/>
      <c r="M452" s="798" t="n"/>
      <c r="N452" s="798" t="n"/>
      <c r="O452" s="798" t="n"/>
      <c r="P452" s="798" t="n"/>
      <c r="Q452" s="798" t="n"/>
      <c r="R452" s="309" t="n"/>
    </row>
    <row r="454" ht="20.1" customHeight="1">
      <c r="A454" s="344" t="n">
        <v>1</v>
      </c>
      <c r="B454" s="72" t="inlineStr">
        <is>
          <t>APS_OK</t>
        </is>
      </c>
      <c r="C454" s="72" t="n"/>
      <c r="D454" s="72" t="n"/>
      <c r="E454" s="72" t="n"/>
      <c r="F454" s="344">
        <f>IF(AND(HVAC_IOs!D8=1,HVAC_IOs!D9=1),1,0)</f>
        <v/>
      </c>
      <c r="G454" s="344" t="n"/>
      <c r="H454" s="344" t="n"/>
      <c r="I454" s="344" t="n"/>
      <c r="J454" s="344" t="n"/>
      <c r="K454" s="344" t="n"/>
      <c r="L454" s="344" t="n"/>
      <c r="M454" s="344" t="n"/>
      <c r="N454" s="344" t="n"/>
      <c r="O454" s="344" t="n"/>
      <c r="P454" s="344" t="n"/>
      <c r="Q454" s="344" t="n"/>
      <c r="R454" s="344">
        <f>IF(AND(F454:Q454),1,0)</f>
        <v/>
      </c>
    </row>
    <row r="455" ht="20.1" customHeight="1">
      <c r="A455" s="344" t="n">
        <v>2</v>
      </c>
      <c r="B455" s="72" t="inlineStr">
        <is>
          <t>HVAC_enable</t>
        </is>
      </c>
      <c r="C455" s="72" t="n"/>
      <c r="D455" s="72" t="n"/>
      <c r="E455" s="72" t="n"/>
      <c r="F455" s="344">
        <f>HVAC_IOs!D18</f>
        <v/>
      </c>
      <c r="G455" s="344" t="n"/>
      <c r="H455" s="344" t="n"/>
      <c r="I455" s="344" t="n"/>
      <c r="J455" s="344" t="n"/>
      <c r="K455" s="344" t="n"/>
      <c r="L455" s="344" t="n"/>
      <c r="M455" s="344" t="n"/>
      <c r="N455" s="344" t="n"/>
      <c r="O455" s="344" t="n"/>
      <c r="P455" s="344" t="n"/>
      <c r="Q455" s="344" t="n"/>
      <c r="R455" s="344">
        <f>IF(AND(F455:Q455),1,0)</f>
        <v/>
      </c>
    </row>
    <row r="456" ht="20.1" customHeight="1">
      <c r="A456" s="344" t="n"/>
      <c r="B456" s="72" t="inlineStr">
        <is>
          <t>LFC 03</t>
        </is>
      </c>
      <c r="C456" s="72" t="n"/>
      <c r="D456" s="72" t="n"/>
      <c r="E456" s="72" t="n"/>
      <c r="F456" s="344" t="n"/>
      <c r="G456" s="344">
        <f>IF(AND(F454:F455),1,0)</f>
        <v/>
      </c>
      <c r="H456" s="344" t="n"/>
      <c r="I456" s="344" t="n"/>
      <c r="J456" s="344" t="n"/>
      <c r="K456" s="344" t="n"/>
      <c r="L456" s="344" t="n"/>
      <c r="M456" s="344" t="n"/>
      <c r="N456" s="344" t="n"/>
      <c r="O456" s="344" t="n"/>
      <c r="P456" s="344" t="n"/>
      <c r="Q456" s="344" t="n"/>
      <c r="R456" s="344">
        <f>IF(AND(F456:Q456),1,0)</f>
        <v/>
      </c>
    </row>
    <row r="457" ht="20.1" customHeight="1">
      <c r="A457" s="148" t="n">
        <v>3</v>
      </c>
      <c r="B457" s="149" t="inlineStr">
        <is>
          <t>Heat-REQ</t>
        </is>
      </c>
      <c r="C457" s="149" t="n"/>
      <c r="D457" s="149" t="n"/>
      <c r="E457" s="149" t="n"/>
      <c r="F457" s="148" t="n"/>
      <c r="G457" s="148">
        <f>R456</f>
        <v/>
      </c>
      <c r="H457" s="148" t="n"/>
      <c r="I457" s="148" t="n"/>
      <c r="J457" s="148" t="n"/>
      <c r="K457" s="148" t="n"/>
      <c r="L457" s="148" t="n"/>
      <c r="M457" s="148" t="n"/>
      <c r="N457" s="148" t="n"/>
      <c r="O457" s="148" t="n"/>
      <c r="P457" s="148" t="n"/>
      <c r="Q457" s="148" t="n"/>
      <c r="R457" s="148">
        <f>IF(AND(F457:Q457),1,0)</f>
        <v/>
      </c>
    </row>
    <row r="458" ht="20.1" customHeight="1">
      <c r="A458" s="148" t="n">
        <v>4</v>
      </c>
      <c r="B458" s="149" t="inlineStr">
        <is>
          <t>Cool-REQ</t>
        </is>
      </c>
      <c r="C458" s="149" t="n"/>
      <c r="D458" s="149" t="n"/>
      <c r="E458" s="149" t="n"/>
      <c r="F458" s="148" t="n"/>
      <c r="G458" s="148">
        <f>R456</f>
        <v/>
      </c>
      <c r="H458" s="148" t="n"/>
      <c r="I458" s="148" t="n"/>
      <c r="J458" s="148" t="n"/>
      <c r="K458" s="148" t="n"/>
      <c r="L458" s="148" t="n"/>
      <c r="M458" s="148" t="n"/>
      <c r="N458" s="148" t="n"/>
      <c r="O458" s="148" t="n"/>
      <c r="P458" s="148" t="n"/>
      <c r="Q458" s="148" t="n"/>
      <c r="R458" s="148">
        <f>IF(AND(F458:Q458),1,0)</f>
        <v/>
      </c>
    </row>
    <row r="459" ht="20.1" customHeight="1">
      <c r="A459" s="148" t="n">
        <v>5</v>
      </c>
      <c r="B459" s="149" t="inlineStr">
        <is>
          <t>Heating-active</t>
        </is>
      </c>
      <c r="C459" s="149" t="n"/>
      <c r="D459" s="149" t="n"/>
      <c r="E459" s="149" t="n"/>
      <c r="F459" s="148" t="n"/>
      <c r="G459" s="148">
        <f>R457</f>
        <v/>
      </c>
      <c r="H459" s="148" t="n"/>
      <c r="I459" s="148" t="n"/>
      <c r="J459" s="148" t="n"/>
      <c r="K459" s="148" t="n"/>
      <c r="L459" s="148" t="n"/>
      <c r="M459" s="148" t="n"/>
      <c r="N459" s="148" t="n"/>
      <c r="O459" s="148" t="n"/>
      <c r="P459" s="148" t="n"/>
      <c r="Q459" s="148" t="n"/>
      <c r="R459" s="148">
        <f>IF(AND(F459:Q459),1,0)</f>
        <v/>
      </c>
    </row>
    <row r="460" ht="20.1" customHeight="1">
      <c r="A460" s="148" t="n">
        <v>6</v>
      </c>
      <c r="B460" s="149" t="inlineStr">
        <is>
          <t>Cooling-active</t>
        </is>
      </c>
      <c r="C460" s="149" t="n"/>
      <c r="D460" s="149" t="n"/>
      <c r="E460" s="149" t="n"/>
      <c r="F460" s="148" t="n"/>
      <c r="G460" s="148">
        <f>R458</f>
        <v/>
      </c>
      <c r="H460" s="148" t="n"/>
      <c r="I460" s="148" t="n"/>
      <c r="J460" s="148" t="n"/>
      <c r="K460" s="148" t="n"/>
      <c r="L460" s="148" t="n"/>
      <c r="M460" s="148" t="n"/>
      <c r="N460" s="148" t="n"/>
      <c r="O460" s="148" t="n"/>
      <c r="P460" s="148" t="n"/>
      <c r="Q460" s="148" t="n"/>
      <c r="R460" s="148">
        <f>IF(AND(F460:Q460),1,0)</f>
        <v/>
      </c>
    </row>
    <row r="461" ht="20.1" customHeight="1">
      <c r="A461" s="148" t="n">
        <v>7</v>
      </c>
      <c r="B461" s="149" t="inlineStr">
        <is>
          <t>Compressor/Heater-control</t>
        </is>
      </c>
      <c r="C461" s="149" t="n"/>
      <c r="D461" s="149" t="n"/>
      <c r="E461" s="149" t="n"/>
      <c r="F461" s="148" t="n"/>
      <c r="G461" s="148">
        <f>IF(OR(R459:R460),1,0)</f>
        <v/>
      </c>
      <c r="H461" s="148" t="n"/>
      <c r="I461" s="148" t="n"/>
      <c r="J461" s="148" t="n"/>
      <c r="K461" s="148" t="n"/>
      <c r="L461" s="148" t="n"/>
      <c r="M461" s="148" t="n"/>
      <c r="N461" s="148" t="n"/>
      <c r="O461" s="148" t="n"/>
      <c r="P461" s="148" t="n"/>
      <c r="Q461" s="148" t="n"/>
      <c r="R461" s="148">
        <f>IF(AND(F461:Q461),1,0)</f>
        <v/>
      </c>
    </row>
    <row r="462" ht="20.1" customHeight="1">
      <c r="A462" s="148" t="n">
        <v>8</v>
      </c>
      <c r="B462" s="149" t="inlineStr">
        <is>
          <t>Passenger Load_(PL)</t>
        </is>
      </c>
      <c r="C462" s="149" t="n"/>
      <c r="D462" s="149" t="n"/>
      <c r="E462" s="149" t="n"/>
      <c r="F462" s="148" t="n"/>
      <c r="G462" s="148">
        <f>R461</f>
        <v/>
      </c>
      <c r="H462" s="148" t="n"/>
      <c r="I462" s="148" t="n"/>
      <c r="J462" s="148" t="n"/>
      <c r="K462" s="148" t="n"/>
      <c r="L462" s="148" t="n"/>
      <c r="M462" s="148" t="n"/>
      <c r="N462" s="148" t="n"/>
      <c r="O462" s="148" t="n"/>
      <c r="P462" s="148" t="n"/>
      <c r="Q462" s="148" t="n"/>
      <c r="R462" s="148">
        <f>IF(AND(F462:Q462),1,0)</f>
        <v/>
      </c>
    </row>
    <row r="463" ht="20.1" customHeight="1">
      <c r="A463" s="148" t="n">
        <v>9</v>
      </c>
      <c r="B463" s="149" t="inlineStr">
        <is>
          <t>PL_&lt;=_25</t>
        </is>
      </c>
      <c r="C463" s="149" t="n"/>
      <c r="D463" s="149" t="n"/>
      <c r="E463" s="149" t="n"/>
      <c r="F463" s="148" t="n"/>
      <c r="G463" s="148">
        <f>R462</f>
        <v/>
      </c>
      <c r="H463" s="148" t="n"/>
      <c r="I463" s="148" t="n"/>
      <c r="J463" s="148" t="n"/>
      <c r="K463" s="148" t="n"/>
      <c r="L463" s="148" t="n"/>
      <c r="M463" s="148" t="n"/>
      <c r="N463" s="148" t="n"/>
      <c r="O463" s="148" t="n"/>
      <c r="P463" s="148" t="n"/>
      <c r="Q463" s="148" t="n"/>
      <c r="R463" s="148">
        <f>IF(AND(F463:Q463),1,0)</f>
        <v/>
      </c>
    </row>
    <row r="464" ht="20.1" customHeight="1">
      <c r="A464" s="148" t="n">
        <v>10</v>
      </c>
      <c r="B464" s="149" t="inlineStr">
        <is>
          <t>FAD_=_25%</t>
        </is>
      </c>
      <c r="C464" s="149" t="n"/>
      <c r="D464" s="149" t="n"/>
      <c r="E464" s="149" t="n"/>
      <c r="F464" s="148" t="n"/>
      <c r="G464" s="148">
        <f>R463</f>
        <v/>
      </c>
      <c r="H464" s="148" t="n"/>
      <c r="I464" s="148" t="n"/>
      <c r="J464" s="148" t="n"/>
      <c r="K464" s="148" t="n"/>
      <c r="L464" s="148" t="n"/>
      <c r="M464" s="148" t="n"/>
      <c r="N464" s="148" t="n"/>
      <c r="O464" s="148" t="n"/>
      <c r="P464" s="148" t="n"/>
      <c r="Q464" s="148" t="n"/>
      <c r="R464" s="148">
        <f>IF(AND(F464:Q464),1,0)</f>
        <v/>
      </c>
    </row>
    <row r="465" ht="20.1" customHeight="1">
      <c r="A465" s="148" t="n">
        <v>11</v>
      </c>
      <c r="B465" s="149" t="inlineStr">
        <is>
          <t>26_&lt;=_PL_&lt;=_50</t>
        </is>
      </c>
      <c r="C465" s="149" t="n"/>
      <c r="D465" s="149" t="n"/>
      <c r="E465" s="149" t="n"/>
      <c r="F465" s="148" t="n"/>
      <c r="G465" s="148">
        <f>R462</f>
        <v/>
      </c>
      <c r="H465" s="148" t="n"/>
      <c r="I465" s="148" t="n"/>
      <c r="J465" s="148" t="n"/>
      <c r="K465" s="148" t="n"/>
      <c r="L465" s="148" t="n"/>
      <c r="M465" s="148" t="n"/>
      <c r="N465" s="148" t="n"/>
      <c r="O465" s="148" t="n"/>
      <c r="P465" s="148" t="n"/>
      <c r="Q465" s="148" t="n"/>
      <c r="R465" s="148">
        <f>IF(AND(F465:Q465),1,0)</f>
        <v/>
      </c>
    </row>
    <row r="466" ht="20.1" customHeight="1">
      <c r="A466" s="148" t="n">
        <v>12</v>
      </c>
      <c r="B466" s="149" t="inlineStr">
        <is>
          <t>FAD=50%</t>
        </is>
      </c>
      <c r="C466" s="149" t="n"/>
      <c r="D466" s="149" t="n"/>
      <c r="E466" s="149" t="n"/>
      <c r="F466" s="148" t="n"/>
      <c r="G466" s="148">
        <f>R465</f>
        <v/>
      </c>
      <c r="H466" s="148" t="n"/>
      <c r="I466" s="148" t="n"/>
      <c r="J466" s="148" t="n"/>
      <c r="K466" s="148" t="n"/>
      <c r="L466" s="148" t="n"/>
      <c r="M466" s="148" t="n"/>
      <c r="N466" s="148" t="n"/>
      <c r="O466" s="148" t="n"/>
      <c r="P466" s="148" t="n"/>
      <c r="Q466" s="148" t="n"/>
      <c r="R466" s="148">
        <f>IF(AND(F466:Q466),1,0)</f>
        <v/>
      </c>
    </row>
    <row r="467" ht="20.1" customHeight="1">
      <c r="A467" s="148" t="n">
        <v>13</v>
      </c>
      <c r="B467" s="149" t="inlineStr">
        <is>
          <t>51_&lt;=PL_75</t>
        </is>
      </c>
      <c r="C467" s="149" t="n"/>
      <c r="D467" s="149" t="n"/>
      <c r="E467" s="149" t="n"/>
      <c r="F467" s="148" t="n"/>
      <c r="G467" s="148">
        <f>R462</f>
        <v/>
      </c>
      <c r="H467" s="148" t="n"/>
      <c r="I467" s="148" t="n"/>
      <c r="J467" s="148" t="n"/>
      <c r="K467" s="148" t="n"/>
      <c r="L467" s="148" t="n"/>
      <c r="M467" s="148" t="n"/>
      <c r="N467" s="148" t="n"/>
      <c r="O467" s="148" t="n"/>
      <c r="P467" s="148" t="n"/>
      <c r="Q467" s="148" t="n"/>
      <c r="R467" s="148">
        <f>IF(AND(F467:Q467),1,0)</f>
        <v/>
      </c>
    </row>
    <row r="468" ht="20.1" customHeight="1">
      <c r="A468" s="148" t="n">
        <v>14</v>
      </c>
      <c r="B468" s="149" t="inlineStr">
        <is>
          <t>FAD_=_75%</t>
        </is>
      </c>
      <c r="C468" s="149" t="n"/>
      <c r="D468" s="149" t="n"/>
      <c r="E468" s="149" t="n"/>
      <c r="F468" s="148" t="n"/>
      <c r="G468" s="148">
        <f>R467</f>
        <v/>
      </c>
      <c r="H468" s="148" t="n"/>
      <c r="I468" s="148" t="n"/>
      <c r="J468" s="148" t="n"/>
      <c r="K468" s="148" t="n"/>
      <c r="L468" s="148" t="n"/>
      <c r="M468" s="148" t="n"/>
      <c r="N468" s="148" t="n"/>
      <c r="O468" s="148" t="n"/>
      <c r="P468" s="148" t="n"/>
      <c r="Q468" s="148" t="n"/>
      <c r="R468" s="148">
        <f>IF(AND(F468:Q468),1,0)</f>
        <v/>
      </c>
    </row>
    <row r="469" ht="20.1" customHeight="1">
      <c r="A469" s="148" t="n">
        <v>15</v>
      </c>
      <c r="B469" s="149" t="inlineStr">
        <is>
          <t>PL_&gt;=_76</t>
        </is>
      </c>
      <c r="C469" s="149" t="n"/>
      <c r="D469" s="149" t="n"/>
      <c r="E469" s="149" t="n"/>
      <c r="F469" s="148" t="n"/>
      <c r="G469" s="148">
        <f>R462</f>
        <v/>
      </c>
      <c r="H469" s="148" t="n"/>
      <c r="I469" s="148" t="n"/>
      <c r="J469" s="148" t="n"/>
      <c r="K469" s="148" t="n"/>
      <c r="L469" s="148" t="n"/>
      <c r="M469" s="148" t="n"/>
      <c r="N469" s="148" t="n"/>
      <c r="O469" s="148" t="n"/>
      <c r="P469" s="148" t="n"/>
      <c r="Q469" s="148" t="n"/>
      <c r="R469" s="148">
        <f>IF(AND(F469:Q469),1,0)</f>
        <v/>
      </c>
    </row>
    <row r="470" ht="20.1" customHeight="1">
      <c r="A470" s="148" t="n">
        <v>16</v>
      </c>
      <c r="B470" s="149" t="inlineStr">
        <is>
          <t>FAD_=_100%</t>
        </is>
      </c>
      <c r="C470" s="149" t="n"/>
      <c r="D470" s="149" t="n"/>
      <c r="E470" s="149" t="n"/>
      <c r="F470" s="148" t="n"/>
      <c r="G470" s="148">
        <f>R469</f>
        <v/>
      </c>
      <c r="H470" s="148" t="n"/>
      <c r="I470" s="148" t="n"/>
      <c r="J470" s="148" t="n"/>
      <c r="K470" s="148" t="n"/>
      <c r="L470" s="148" t="n"/>
      <c r="M470" s="148" t="n"/>
      <c r="N470" s="148" t="n"/>
      <c r="O470" s="148" t="n"/>
      <c r="P470" s="148" t="n"/>
      <c r="Q470" s="148" t="n"/>
      <c r="R470" s="148">
        <f>IF(AND(F470:Q470),1,0)</f>
        <v/>
      </c>
    </row>
    <row r="475" ht="20.1" customHeight="1">
      <c r="A475" s="725" t="inlineStr">
        <is>
          <t>26.HVAC sytem Safety</t>
        </is>
      </c>
      <c r="B475" s="798" t="n"/>
      <c r="C475" s="798" t="n"/>
      <c r="D475" s="798" t="n"/>
      <c r="E475" s="798" t="n"/>
      <c r="F475" s="798" t="n"/>
      <c r="G475" s="798" t="n"/>
      <c r="H475" s="798" t="n"/>
      <c r="I475" s="798" t="n"/>
      <c r="J475" s="798" t="n"/>
      <c r="K475" s="798" t="n"/>
      <c r="L475" s="798" t="n"/>
      <c r="M475" s="798" t="n"/>
      <c r="N475" s="798" t="n"/>
      <c r="O475" s="798" t="n"/>
      <c r="P475" s="798" t="n"/>
      <c r="Q475" s="798" t="n"/>
      <c r="R475" s="309" t="n"/>
    </row>
    <row r="477" ht="20.1" customHeight="1">
      <c r="A477" s="344" t="n">
        <v>1</v>
      </c>
      <c r="B477" s="72" t="inlineStr">
        <is>
          <t>Fire_detected_on_board</t>
        </is>
      </c>
      <c r="C477" s="72" t="n"/>
      <c r="D477" s="72" t="n"/>
      <c r="E477" s="72" t="n"/>
      <c r="F477" s="344">
        <f>HVAC_IOs!D5</f>
        <v/>
      </c>
      <c r="G477" s="344" t="n"/>
      <c r="H477" s="344" t="n"/>
      <c r="I477" s="344" t="n"/>
      <c r="J477" s="344" t="n"/>
      <c r="K477" s="344" t="n"/>
      <c r="L477" s="344" t="n"/>
      <c r="M477" s="344" t="n"/>
      <c r="N477" s="344" t="n"/>
      <c r="O477" s="344" t="n"/>
      <c r="P477" s="344" t="n"/>
      <c r="Q477" s="344" t="n"/>
      <c r="R477" s="344">
        <f>IF(AND(F477:Q477),1,0)</f>
        <v/>
      </c>
    </row>
    <row r="478" ht="20.1" customHeight="1">
      <c r="A478" s="344" t="n">
        <v>2</v>
      </c>
      <c r="B478" s="72" t="inlineStr">
        <is>
          <t>Driver_by_passs_fire_ventilation_OFF</t>
        </is>
      </c>
      <c r="C478" s="72" t="n"/>
      <c r="D478" s="72" t="n"/>
      <c r="E478" s="72" t="n"/>
      <c r="F478" s="344">
        <f>HVAC_IOs!D24</f>
        <v/>
      </c>
      <c r="G478" s="344">
        <f>IF(NOT(F478),1,0)</f>
        <v/>
      </c>
      <c r="H478" s="344" t="n"/>
      <c r="I478" s="344" t="n"/>
      <c r="J478" s="344" t="n"/>
      <c r="K478" s="344" t="n"/>
      <c r="L478" s="344" t="n"/>
      <c r="M478" s="344" t="n"/>
      <c r="N478" s="344" t="n"/>
      <c r="O478" s="344" t="n"/>
      <c r="P478" s="344" t="n"/>
      <c r="Q478" s="344" t="n"/>
      <c r="R478" s="344">
        <f>IF(AND(F478:Q478),1,0)</f>
        <v/>
      </c>
    </row>
    <row r="479" ht="20.1" customHeight="1">
      <c r="A479" s="344" t="n">
        <v>3</v>
      </c>
      <c r="B479" s="72" t="inlineStr">
        <is>
          <t>External_detected_on_board</t>
        </is>
      </c>
      <c r="C479" s="72" t="n"/>
      <c r="D479" s="72" t="n"/>
      <c r="E479" s="72" t="n"/>
      <c r="F479" s="344">
        <f>HVAC_IOs!D3</f>
        <v/>
      </c>
      <c r="G479" s="344" t="n"/>
      <c r="H479" s="344" t="n"/>
      <c r="I479" s="344" t="n"/>
      <c r="J479" s="344" t="n"/>
      <c r="K479" s="344" t="n"/>
      <c r="L479" s="344" t="n"/>
      <c r="M479" s="344" t="n"/>
      <c r="N479" s="344" t="n"/>
      <c r="O479" s="344" t="n"/>
      <c r="P479" s="344" t="n"/>
      <c r="Q479" s="344" t="n"/>
      <c r="R479" s="344">
        <f>IF(AND(F479:Q479),1,0)</f>
        <v/>
      </c>
    </row>
    <row r="480" ht="20.1" customHeight="1">
      <c r="A480" s="344" t="n">
        <v>4</v>
      </c>
      <c r="B480" s="72" t="inlineStr">
        <is>
          <t>Driver_by_pass-smoke_damper_close</t>
        </is>
      </c>
      <c r="C480" s="72" t="n"/>
      <c r="D480" s="72" t="n"/>
      <c r="E480" s="72" t="n"/>
      <c r="F480" s="344">
        <f>HVAC_IOs!D23</f>
        <v/>
      </c>
      <c r="G480" s="344">
        <f>IF(NOT(F480),1,0)</f>
        <v/>
      </c>
      <c r="H480" s="344" t="n"/>
      <c r="I480" s="344" t="n"/>
      <c r="J480" s="344" t="n"/>
      <c r="K480" s="344" t="n"/>
      <c r="L480" s="344" t="n"/>
      <c r="M480" s="344" t="n"/>
      <c r="N480" s="344" t="n"/>
      <c r="O480" s="344" t="n"/>
      <c r="P480" s="344" t="n"/>
      <c r="Q480" s="344" t="n"/>
      <c r="R480" s="344">
        <f>IF(AND(F480:Q480),1,0)</f>
        <v/>
      </c>
    </row>
    <row r="481" ht="20.1" customHeight="1">
      <c r="A481" s="148" t="n">
        <v>5</v>
      </c>
      <c r="B481" s="149" t="inlineStr">
        <is>
          <t>ventilation fans_OFF</t>
        </is>
      </c>
      <c r="C481" s="149" t="inlineStr">
        <is>
          <t>LFC04</t>
        </is>
      </c>
      <c r="D481" s="149" t="n"/>
      <c r="E481" s="149" t="n"/>
      <c r="F481" s="148" t="n"/>
      <c r="G481" s="148" t="n"/>
      <c r="H481" s="148">
        <f>IF(AND(R477,R478),1,0)</f>
        <v/>
      </c>
      <c r="I481" s="148" t="n"/>
      <c r="J481" s="148" t="n"/>
      <c r="K481" s="148" t="n"/>
      <c r="L481" s="148" t="n"/>
      <c r="M481" s="148" t="n"/>
      <c r="N481" s="148" t="n"/>
      <c r="O481" s="148" t="n"/>
      <c r="P481" s="148" t="n"/>
      <c r="Q481" s="148" t="n"/>
      <c r="R481" s="148">
        <f>IF(AND(F481:Q481),1,0)</f>
        <v/>
      </c>
    </row>
    <row r="482" ht="20.1" customHeight="1">
      <c r="A482" s="148" t="n">
        <v>6</v>
      </c>
      <c r="B482" s="149" t="inlineStr">
        <is>
          <t>Fresh_air_damper_close</t>
        </is>
      </c>
      <c r="C482" s="149" t="inlineStr">
        <is>
          <t>LFC08</t>
        </is>
      </c>
      <c r="D482" s="149" t="n"/>
      <c r="E482" s="149" t="n"/>
      <c r="F482" s="148" t="n"/>
      <c r="G482" s="148" t="n"/>
      <c r="H482" s="148">
        <f>IF(AND(R479,R480),1,0)</f>
        <v/>
      </c>
      <c r="I482" s="148" t="n"/>
      <c r="J482" s="148" t="n"/>
      <c r="K482" s="148" t="n"/>
      <c r="L482" s="148" t="n"/>
      <c r="M482" s="148" t="n"/>
      <c r="N482" s="148" t="n"/>
      <c r="O482" s="148" t="n"/>
      <c r="P482" s="148" t="n"/>
      <c r="Q482" s="148" t="n"/>
      <c r="R482" s="148">
        <f>IF(AND(F482:Q482),1,0)</f>
        <v/>
      </c>
    </row>
    <row r="483" ht="20.1" customHeight="1">
      <c r="A483" s="148" t="n">
        <v>7</v>
      </c>
      <c r="B483" s="149" t="inlineStr">
        <is>
          <t>HVAC_System_safety</t>
        </is>
      </c>
      <c r="C483" s="149" t="n"/>
      <c r="D483" s="149" t="n"/>
      <c r="E483" s="149" t="n"/>
      <c r="F483" s="148" t="n"/>
      <c r="G483" s="148" t="n"/>
      <c r="H483" s="148" t="n"/>
      <c r="I483" s="148">
        <f>IF(OR(R481,R482),1,0)</f>
        <v/>
      </c>
      <c r="J483" s="148" t="n"/>
      <c r="K483" s="148" t="n"/>
      <c r="L483" s="148" t="n"/>
      <c r="M483" s="148" t="n"/>
      <c r="N483" s="148" t="n"/>
      <c r="O483" s="148" t="n"/>
      <c r="P483" s="148" t="n"/>
      <c r="Q483" s="148" t="n"/>
      <c r="R483" s="148">
        <f>IF(AND(F483:Q483),1,0)</f>
        <v/>
      </c>
    </row>
    <row r="487" ht="20.1" customHeight="1">
      <c r="A487" s="725" t="inlineStr">
        <is>
          <t>27.APS Load Reduction Control</t>
        </is>
      </c>
      <c r="B487" s="798" t="n"/>
      <c r="C487" s="798" t="n"/>
      <c r="D487" s="798" t="n"/>
      <c r="E487" s="798" t="n"/>
      <c r="F487" s="798" t="n"/>
      <c r="G487" s="798" t="n"/>
      <c r="H487" s="798" t="n"/>
      <c r="I487" s="798" t="n"/>
      <c r="J487" s="798" t="n"/>
      <c r="K487" s="798" t="n"/>
      <c r="L487" s="798" t="n"/>
      <c r="M487" s="798" t="n"/>
      <c r="N487" s="798" t="n"/>
      <c r="O487" s="798" t="n"/>
      <c r="P487" s="798" t="n"/>
      <c r="Q487" s="798" t="n"/>
      <c r="R487" s="309" t="n"/>
    </row>
    <row r="489" ht="20.1" customHeight="1">
      <c r="A489" s="344" t="n">
        <v>1</v>
      </c>
      <c r="B489" s="72" t="inlineStr">
        <is>
          <t>HVAC_ON</t>
        </is>
      </c>
      <c r="C489" s="72" t="n"/>
      <c r="D489" s="72" t="n"/>
      <c r="E489" s="72" t="n"/>
      <c r="F489" s="344">
        <f>HVAC_IOs!K15</f>
        <v/>
      </c>
      <c r="G489" s="344" t="n"/>
      <c r="H489" s="344" t="n"/>
      <c r="I489" s="344" t="n"/>
      <c r="J489" s="344" t="n"/>
      <c r="K489" s="344" t="n"/>
      <c r="L489" s="344" t="n"/>
      <c r="M489" s="344" t="n"/>
      <c r="N489" s="344" t="n"/>
      <c r="O489" s="344" t="n"/>
      <c r="P489" s="344" t="n"/>
      <c r="Q489" s="344" t="n"/>
      <c r="R489" s="344">
        <f>IF(AND(F489:Q489),1,0)</f>
        <v/>
      </c>
    </row>
    <row r="490" ht="20.1" customHeight="1">
      <c r="A490" s="344" t="n">
        <v>2</v>
      </c>
      <c r="B490" s="72" t="inlineStr">
        <is>
          <t>TCMS Start allow</t>
        </is>
      </c>
      <c r="C490" s="72" t="n"/>
      <c r="D490" s="72" t="n"/>
      <c r="E490" s="72" t="n"/>
      <c r="F490" s="344">
        <f>HVAC_IOs!D18</f>
        <v/>
      </c>
      <c r="G490" s="344">
        <f>IF(NOT(F490),1,0)</f>
        <v/>
      </c>
      <c r="H490" s="344" t="n"/>
      <c r="I490" s="344" t="n"/>
      <c r="J490" s="344" t="n"/>
      <c r="K490" s="344" t="n"/>
      <c r="L490" s="344" t="n"/>
      <c r="M490" s="344" t="n"/>
      <c r="N490" s="344" t="n"/>
      <c r="O490" s="344" t="n"/>
      <c r="P490" s="344" t="n"/>
      <c r="Q490" s="344" t="n"/>
      <c r="R490" s="344">
        <f>IF(AND(F490:Q490),1,0)</f>
        <v/>
      </c>
    </row>
    <row r="491" ht="20.1" customHeight="1">
      <c r="A491" s="344" t="n">
        <v>3</v>
      </c>
      <c r="B491" s="72" t="inlineStr">
        <is>
          <t>APS_1 failure</t>
        </is>
      </c>
      <c r="C491" s="72" t="n"/>
      <c r="D491" s="72" t="n"/>
      <c r="E491" s="72" t="n"/>
      <c r="F491" s="344">
        <f>HVAC_IOs!D15</f>
        <v/>
      </c>
      <c r="G491" s="344">
        <f>IF(NOT(F491),1,0)</f>
        <v/>
      </c>
      <c r="H491" s="344" t="n"/>
      <c r="I491" s="344" t="n"/>
      <c r="J491" s="344" t="n"/>
      <c r="K491" s="344" t="n"/>
      <c r="L491" s="344" t="n"/>
      <c r="M491" s="344" t="n"/>
      <c r="N491" s="344" t="n"/>
      <c r="O491" s="344" t="n"/>
      <c r="P491" s="344" t="n"/>
      <c r="Q491" s="344" t="n"/>
      <c r="R491" s="344">
        <f>IF(AND(F491:Q491),1,0)</f>
        <v/>
      </c>
    </row>
    <row r="492" ht="20.1" customHeight="1">
      <c r="A492" s="344" t="n">
        <v>4</v>
      </c>
      <c r="B492" s="72" t="inlineStr">
        <is>
          <t>APS_2 failure</t>
        </is>
      </c>
      <c r="C492" s="72" t="n"/>
      <c r="D492" s="72" t="n"/>
      <c r="E492" s="72" t="n"/>
      <c r="F492" s="344">
        <f>HVAC_IOs!D26</f>
        <v/>
      </c>
      <c r="G492" s="344">
        <f>IF(NOT(F492),1,0)</f>
        <v/>
      </c>
      <c r="H492" s="344" t="n"/>
      <c r="I492" s="344" t="n"/>
      <c r="J492" s="344" t="n"/>
      <c r="K492" s="344" t="n"/>
      <c r="L492" s="344" t="n"/>
      <c r="M492" s="344" t="n"/>
      <c r="N492" s="344" t="n"/>
      <c r="O492" s="344" t="n"/>
      <c r="P492" s="344" t="n"/>
      <c r="Q492" s="344" t="n"/>
      <c r="R492" s="344">
        <f>IF(AND(F492:Q492),1,0)</f>
        <v/>
      </c>
    </row>
    <row r="493" ht="20.1" customHeight="1">
      <c r="A493" s="344" t="n">
        <v>5</v>
      </c>
      <c r="B493" s="72" t="inlineStr">
        <is>
          <t>Hvac priority select</t>
        </is>
      </c>
      <c r="C493" s="72" t="n"/>
      <c r="D493" s="72" t="n"/>
      <c r="E493" s="72" t="n"/>
      <c r="F493" s="344">
        <f>HVAC_IOs!D20</f>
        <v/>
      </c>
      <c r="G493" s="344">
        <f>IF(NOT(F493),1,0)</f>
        <v/>
      </c>
      <c r="H493" s="344" t="n"/>
      <c r="I493" s="344" t="n"/>
      <c r="J493" s="344" t="n"/>
      <c r="K493" s="344" t="n"/>
      <c r="L493" s="344" t="n"/>
      <c r="M493" s="344" t="n"/>
      <c r="N493" s="344" t="n"/>
      <c r="O493" s="344" t="n"/>
      <c r="P493" s="344" t="n"/>
      <c r="Q493" s="344" t="n"/>
      <c r="R493" s="344">
        <f>IF(AND(F493:Q493),1,0)</f>
        <v/>
      </c>
    </row>
    <row r="494" ht="20.1" customHeight="1">
      <c r="A494" s="354" t="n">
        <v>6</v>
      </c>
      <c r="B494" s="355" t="inlineStr">
        <is>
          <t>LFC 04</t>
        </is>
      </c>
      <c r="C494" s="355" t="n"/>
      <c r="D494" s="355" t="n"/>
      <c r="E494" s="355" t="n"/>
      <c r="F494" s="354" t="n"/>
      <c r="G494" s="354" t="n"/>
      <c r="H494" s="354">
        <f>IF(AND(R489,R490),1,0)</f>
        <v/>
      </c>
      <c r="I494" s="354" t="n"/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>
        <f>IF(AND(F494:Q494),1,0)</f>
        <v/>
      </c>
    </row>
    <row r="495" ht="20.1" customHeight="1">
      <c r="A495" s="354" t="n">
        <v>7</v>
      </c>
      <c r="B495" s="355" t="inlineStr">
        <is>
          <t>LFC 09</t>
        </is>
      </c>
      <c r="C495" s="355" t="n"/>
      <c r="D495" s="355" t="n"/>
      <c r="E495" s="355" t="n"/>
      <c r="F495" s="354" t="n"/>
      <c r="G495" s="354" t="n"/>
      <c r="H495" s="354">
        <f>IF(OR(R491:R492),1,0)</f>
        <v/>
      </c>
      <c r="I495" s="354" t="n"/>
      <c r="J495" s="354" t="n"/>
      <c r="K495" s="354" t="n"/>
      <c r="L495" s="354" t="n"/>
      <c r="M495" s="354" t="n"/>
      <c r="N495" s="354" t="n"/>
      <c r="O495" s="354" t="n"/>
      <c r="P495" s="354" t="n"/>
      <c r="Q495" s="354" t="n"/>
      <c r="R495" s="354">
        <f>IF(AND(F495:Q495),1,0)</f>
        <v/>
      </c>
    </row>
    <row r="496" ht="20.1" customHeight="1">
      <c r="A496" s="148" t="n">
        <v>8</v>
      </c>
      <c r="B496" s="149" t="inlineStr">
        <is>
          <t>HVAC_1 cooling</t>
        </is>
      </c>
      <c r="C496" s="149" t="n"/>
      <c r="D496" s="149" t="n"/>
      <c r="E496" s="149" t="n"/>
      <c r="F496" s="148" t="n"/>
      <c r="G496" s="148" t="n"/>
      <c r="H496" s="148" t="n"/>
      <c r="I496" s="148">
        <f>IF(AND(R494,R495,R493),1,0)</f>
        <v/>
      </c>
      <c r="J496" s="148" t="n"/>
      <c r="K496" s="148" t="n"/>
      <c r="L496" s="148" t="n"/>
      <c r="M496" s="148" t="n"/>
      <c r="N496" s="148" t="n"/>
      <c r="O496" s="148" t="n"/>
      <c r="P496" s="148" t="n"/>
      <c r="Q496" s="148" t="n"/>
      <c r="R496" s="148">
        <f>IF(AND(F496:Q496),1,0)</f>
        <v/>
      </c>
    </row>
    <row r="497" ht="20.1" customHeight="1">
      <c r="A497" s="148" t="n">
        <v>9</v>
      </c>
      <c r="B497" s="149" t="inlineStr">
        <is>
          <t>HVAC_2 ventilation</t>
        </is>
      </c>
      <c r="C497" s="149" t="n"/>
      <c r="D497" s="149" t="n"/>
      <c r="E497" s="149" t="n"/>
      <c r="F497" s="148" t="n"/>
      <c r="G497" s="148" t="n"/>
      <c r="H497" s="148" t="n"/>
      <c r="I497" s="148">
        <f>IF(AND(R494,R495,R493),1,0)</f>
        <v/>
      </c>
      <c r="J497" s="148" t="n"/>
      <c r="K497" s="148" t="n"/>
      <c r="L497" s="148" t="n"/>
      <c r="M497" s="148" t="n"/>
      <c r="N497" s="148" t="n"/>
      <c r="O497" s="148" t="n"/>
      <c r="P497" s="148" t="n"/>
      <c r="Q497" s="148" t="n"/>
      <c r="R497" s="148">
        <f>IF(AND(F497:Q497),1,0)</f>
        <v/>
      </c>
    </row>
    <row r="498" ht="20.1" customHeight="1">
      <c r="A498" s="148" t="n">
        <v>10</v>
      </c>
      <c r="B498" s="149" t="inlineStr">
        <is>
          <t>fresh ir damper closed</t>
        </is>
      </c>
      <c r="C498" s="149" t="n"/>
      <c r="D498" s="149" t="n"/>
      <c r="E498" s="149" t="n"/>
      <c r="F498" s="148" t="n"/>
      <c r="G498" s="148" t="n"/>
      <c r="H498" s="148" t="n"/>
      <c r="I498" s="148">
        <f>IF(AND(R494,R495,R493),1,0)</f>
        <v/>
      </c>
      <c r="J498" s="148" t="n"/>
      <c r="K498" s="148" t="n"/>
      <c r="L498" s="148" t="n"/>
      <c r="M498" s="148" t="n"/>
      <c r="N498" s="148" t="n"/>
      <c r="O498" s="148" t="n"/>
      <c r="P498" s="148" t="n"/>
      <c r="Q498" s="148" t="n"/>
      <c r="R498" s="148">
        <f>IF(AND(F498:Q498),1,0)</f>
        <v/>
      </c>
    </row>
    <row r="503" ht="20.1" customHeight="1">
      <c r="A503" s="725" t="inlineStr">
        <is>
          <t>28.Exchange of operating Mode in Formation</t>
        </is>
      </c>
      <c r="B503" s="798" t="n"/>
      <c r="C503" s="798" t="n"/>
      <c r="D503" s="798" t="n"/>
      <c r="E503" s="798" t="n"/>
      <c r="F503" s="798" t="n"/>
      <c r="G503" s="798" t="n"/>
      <c r="H503" s="798" t="n"/>
      <c r="I503" s="798" t="n"/>
      <c r="J503" s="798" t="n"/>
      <c r="K503" s="798" t="n"/>
      <c r="L503" s="798" t="n"/>
      <c r="M503" s="798" t="n"/>
      <c r="N503" s="798" t="n"/>
      <c r="O503" s="798" t="n"/>
      <c r="P503" s="798" t="n"/>
      <c r="Q503" s="798" t="n"/>
      <c r="R503" s="309" t="n"/>
    </row>
    <row r="505" ht="20.1" customHeight="1">
      <c r="A505" s="344" t="n">
        <v>1</v>
      </c>
      <c r="B505" s="72" t="inlineStr">
        <is>
          <t>HEC_HEC communication status</t>
        </is>
      </c>
      <c r="C505" s="72" t="n"/>
      <c r="D505" s="72" t="n"/>
      <c r="E505" s="72" t="n"/>
      <c r="F505" s="350" t="n">
        <v>1</v>
      </c>
      <c r="G505" s="344" t="n"/>
      <c r="H505" s="344" t="n"/>
      <c r="I505" s="344" t="n"/>
      <c r="J505" s="344" t="n"/>
      <c r="K505" s="344" t="n"/>
      <c r="L505" s="344" t="n"/>
      <c r="M505" s="344" t="n"/>
      <c r="N505" s="344" t="n"/>
      <c r="O505" s="344" t="n"/>
      <c r="P505" s="344" t="n"/>
      <c r="Q505" s="344" t="n"/>
      <c r="R505" s="344">
        <f>IF(AND(F505:Q505),1,0)</f>
        <v/>
      </c>
    </row>
    <row r="506" ht="20.1" customHeight="1">
      <c r="A506" s="344" t="n">
        <v>2</v>
      </c>
      <c r="B506" s="72" t="inlineStr">
        <is>
          <t>HVAC_ON</t>
        </is>
      </c>
      <c r="C506" s="72" t="n"/>
      <c r="D506" s="72" t="n"/>
      <c r="E506" s="72" t="n"/>
      <c r="F506" s="344">
        <f>HVAC_IOs!K15</f>
        <v/>
      </c>
      <c r="G506" s="344" t="n"/>
      <c r="H506" s="344" t="n"/>
      <c r="I506" s="344" t="n"/>
      <c r="J506" s="344" t="n"/>
      <c r="K506" s="344" t="n"/>
      <c r="L506" s="344" t="n"/>
      <c r="M506" s="344" t="n"/>
      <c r="N506" s="344" t="n"/>
      <c r="O506" s="344" t="n"/>
      <c r="P506" s="344" t="n"/>
      <c r="Q506" s="344" t="n"/>
      <c r="R506" s="344">
        <f>IF(AND(F506:Q506),1,0)</f>
        <v/>
      </c>
    </row>
    <row r="507" ht="20.1" customHeight="1">
      <c r="A507" s="344" t="n">
        <v>3</v>
      </c>
      <c r="B507" s="72" t="inlineStr">
        <is>
          <t>Cooling enble</t>
        </is>
      </c>
      <c r="C507" s="72" t="n"/>
      <c r="D507" s="72" t="n"/>
      <c r="E507" s="72" t="n"/>
      <c r="F507" s="344">
        <f>HVAC_IOs!K9</f>
        <v/>
      </c>
      <c r="G507" s="344" t="n"/>
      <c r="H507" s="344" t="n"/>
      <c r="I507" s="344" t="n"/>
      <c r="J507" s="344" t="n"/>
      <c r="K507" s="344" t="n"/>
      <c r="L507" s="344" t="n"/>
      <c r="M507" s="344" t="n"/>
      <c r="N507" s="344" t="n"/>
      <c r="O507" s="344" t="n"/>
      <c r="P507" s="344" t="n"/>
      <c r="Q507" s="344" t="n"/>
      <c r="R507" s="344">
        <f>IF(AND(F507:Q507),1,0)</f>
        <v/>
      </c>
    </row>
    <row r="508" ht="20.1" customHeight="1">
      <c r="A508" s="344" t="n">
        <v>4</v>
      </c>
      <c r="B508" s="72" t="inlineStr">
        <is>
          <t>Cooling enable</t>
        </is>
      </c>
      <c r="C508" s="72" t="n"/>
      <c r="D508" s="72" t="n"/>
      <c r="E508" s="72" t="n"/>
      <c r="F508" s="344">
        <f>HVAC_IOs!K9</f>
        <v/>
      </c>
      <c r="G508" s="344">
        <f>IF(NOT(F508),1,0)</f>
        <v/>
      </c>
      <c r="H508" s="344" t="n"/>
      <c r="I508" s="344" t="n"/>
      <c r="J508" s="344" t="n"/>
      <c r="K508" s="344" t="n"/>
      <c r="L508" s="344" t="n"/>
      <c r="M508" s="344" t="n"/>
      <c r="N508" s="344" t="n"/>
      <c r="O508" s="344" t="n"/>
      <c r="P508" s="344" t="n"/>
      <c r="Q508" s="344" t="n"/>
      <c r="R508" s="344">
        <f>IF(AND(F508:Q508),1,0)</f>
        <v/>
      </c>
    </row>
    <row r="509" ht="20.1" customHeight="1">
      <c r="A509" s="344" t="n">
        <v>5</v>
      </c>
      <c r="B509" s="72" t="inlineStr">
        <is>
          <t>Heating enable</t>
        </is>
      </c>
      <c r="C509" s="72" t="n"/>
      <c r="D509" s="72" t="n"/>
      <c r="E509" s="72" t="n"/>
      <c r="F509" s="344">
        <f>HVAC_IOs!K10</f>
        <v/>
      </c>
      <c r="G509" s="344" t="n"/>
      <c r="H509" s="344" t="n"/>
      <c r="I509" s="344" t="n"/>
      <c r="J509" s="344" t="n"/>
      <c r="K509" s="344" t="n"/>
      <c r="L509" s="344" t="n"/>
      <c r="M509" s="344" t="n"/>
      <c r="N509" s="344" t="n"/>
      <c r="O509" s="344" t="n"/>
      <c r="P509" s="344" t="n"/>
      <c r="Q509" s="344" t="n"/>
      <c r="R509" s="344">
        <f>IF(AND(F509:Q509),1,0)</f>
        <v/>
      </c>
    </row>
    <row r="510" ht="20.1" customHeight="1">
      <c r="A510" s="344" t="n">
        <v>6</v>
      </c>
      <c r="B510" s="72" t="inlineStr">
        <is>
          <t>Reheat enable</t>
        </is>
      </c>
      <c r="C510" s="72" t="n"/>
      <c r="D510" s="72" t="n"/>
      <c r="E510" s="72" t="n"/>
      <c r="F510" s="344">
        <f>HVAC_IOs!K28</f>
        <v/>
      </c>
      <c r="G510" s="344" t="n"/>
      <c r="H510" s="344" t="n"/>
      <c r="I510" s="344" t="n"/>
      <c r="J510" s="344" t="n"/>
      <c r="K510" s="344" t="n"/>
      <c r="L510" s="344" t="n"/>
      <c r="M510" s="344" t="n"/>
      <c r="N510" s="344" t="n"/>
      <c r="O510" s="344" t="n"/>
      <c r="P510" s="344" t="n"/>
      <c r="Q510" s="344" t="n"/>
      <c r="R510" s="344">
        <f>IF(AND(F510:Q510),1,0)</f>
        <v/>
      </c>
    </row>
    <row r="511" ht="20.1" customHeight="1">
      <c r="A511" s="344" t="n">
        <v>7</v>
      </c>
      <c r="B511" s="72" t="inlineStr">
        <is>
          <t>ventilation enable</t>
        </is>
      </c>
      <c r="C511" s="72" t="n"/>
      <c r="D511" s="72" t="n"/>
      <c r="E511" s="72" t="n"/>
      <c r="F511" s="344">
        <f>HVAC_IOs!K11</f>
        <v/>
      </c>
      <c r="G511" s="344" t="n"/>
      <c r="H511" s="344" t="n"/>
      <c r="I511" s="344" t="n"/>
      <c r="J511" s="344" t="n"/>
      <c r="K511" s="344" t="n"/>
      <c r="L511" s="344" t="n"/>
      <c r="M511" s="344" t="n"/>
      <c r="N511" s="344" t="n"/>
      <c r="O511" s="344" t="n"/>
      <c r="P511" s="344" t="n"/>
      <c r="Q511" s="344" t="n"/>
      <c r="R511" s="344">
        <f>IF(AND(F511:Q511),1,0)</f>
        <v/>
      </c>
    </row>
    <row r="512" ht="20.1" customHeight="1">
      <c r="A512" s="354" t="n">
        <v>8</v>
      </c>
      <c r="B512" s="355" t="inlineStr">
        <is>
          <t>LFC 03</t>
        </is>
      </c>
      <c r="C512" s="355" t="n"/>
      <c r="D512" s="355" t="n"/>
      <c r="E512" s="355" t="n"/>
      <c r="F512" s="354" t="n"/>
      <c r="G512" s="354" t="n"/>
      <c r="H512" s="354">
        <f>IF(AND(R505:R506),1,0)</f>
        <v/>
      </c>
      <c r="I512" s="354" t="n"/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>
        <f>IF(AND(F512:Q512),1,0)</f>
        <v/>
      </c>
    </row>
    <row r="513" ht="20.1" customHeight="1">
      <c r="A513" s="354" t="n"/>
      <c r="B513" s="355" t="inlineStr">
        <is>
          <t>LFC08</t>
        </is>
      </c>
      <c r="C513" s="355" t="n"/>
      <c r="D513" s="355" t="n"/>
      <c r="E513" s="355" t="n"/>
      <c r="F513" s="354" t="n"/>
      <c r="G513" s="354" t="n"/>
      <c r="H513" s="354">
        <f>IF(AND(R508,R509),1,0)</f>
        <v/>
      </c>
      <c r="I513" s="354" t="n"/>
      <c r="J513" s="354" t="n"/>
      <c r="K513" s="354" t="n"/>
      <c r="L513" s="354" t="n"/>
      <c r="M513" s="354" t="n"/>
      <c r="N513" s="354" t="n"/>
      <c r="O513" s="354" t="n"/>
      <c r="P513" s="354" t="n"/>
      <c r="Q513" s="354" t="n"/>
      <c r="R513" s="354">
        <f>IF(AND(F513:Q513),1,0)</f>
        <v/>
      </c>
    </row>
    <row r="514" ht="20.1" customHeight="1">
      <c r="A514" s="354" t="n">
        <v>9</v>
      </c>
      <c r="B514" s="355" t="inlineStr">
        <is>
          <t>LFC 11</t>
        </is>
      </c>
      <c r="C514" s="355" t="n"/>
      <c r="D514" s="355" t="n"/>
      <c r="E514" s="355" t="n"/>
      <c r="F514" s="354" t="n"/>
      <c r="G514" s="354" t="n"/>
      <c r="H514" s="354">
        <f>IF(OR(R512,R507,R513,R510,R511),1,0)</f>
        <v/>
      </c>
      <c r="I514" s="354" t="n"/>
      <c r="J514" s="354" t="n"/>
      <c r="K514" s="354" t="n"/>
      <c r="L514" s="354" t="n"/>
      <c r="M514" s="354" t="n"/>
      <c r="N514" s="354" t="n"/>
      <c r="O514" s="354" t="n"/>
      <c r="P514" s="354" t="n"/>
      <c r="Q514" s="354" t="n"/>
      <c r="R514" s="354">
        <f>IF(AND(F514:Q514),1,0)</f>
        <v/>
      </c>
    </row>
    <row r="515" ht="20.1" customHeight="1">
      <c r="A515" s="148" t="n">
        <v>10</v>
      </c>
      <c r="B515" s="149" t="inlineStr">
        <is>
          <t>Allowed HVAC modes</t>
        </is>
      </c>
      <c r="C515" s="149" t="n"/>
      <c r="D515" s="149" t="n"/>
      <c r="E515" s="149" t="n"/>
      <c r="F515" s="148" t="n"/>
      <c r="G515" s="148" t="n"/>
      <c r="H515" s="148" t="n"/>
      <c r="I515" s="148">
        <f>IF(AND(R512,R514),1,0)</f>
        <v/>
      </c>
      <c r="J515" s="148" t="n"/>
      <c r="K515" s="148" t="n"/>
      <c r="L515" s="148" t="n"/>
      <c r="M515" s="148" t="n"/>
      <c r="N515" s="148" t="n"/>
      <c r="O515" s="148" t="n"/>
      <c r="P515" s="148" t="n"/>
      <c r="Q515" s="148" t="n"/>
      <c r="R515" s="148">
        <f>IF(AND(F515:Q515),1,0)</f>
        <v/>
      </c>
    </row>
    <row r="520" ht="20.1" customHeight="1">
      <c r="A520" s="725" t="inlineStr">
        <is>
          <t xml:space="preserve">29.HVAC Startup </t>
        </is>
      </c>
      <c r="B520" s="798" t="n"/>
      <c r="C520" s="798" t="n"/>
      <c r="D520" s="798" t="n"/>
      <c r="E520" s="798" t="n"/>
      <c r="F520" s="798" t="n"/>
      <c r="G520" s="798" t="n"/>
      <c r="H520" s="798" t="n"/>
      <c r="I520" s="798" t="n"/>
      <c r="J520" s="798" t="n"/>
      <c r="K520" s="798" t="n"/>
      <c r="L520" s="798" t="n"/>
      <c r="M520" s="798" t="n"/>
      <c r="N520" s="798" t="n"/>
      <c r="O520" s="798" t="n"/>
      <c r="P520" s="798" t="n"/>
      <c r="Q520" s="798" t="n"/>
      <c r="R520" s="309" t="n"/>
    </row>
    <row r="522" ht="20.1" customHeight="1">
      <c r="A522" s="344" t="n">
        <v>1</v>
      </c>
      <c r="B522" s="72" t="inlineStr">
        <is>
          <t>APS_415_VAC_available</t>
        </is>
      </c>
      <c r="C522" s="72" t="n"/>
      <c r="D522" s="72" t="n"/>
      <c r="E522" s="72" t="n"/>
      <c r="F522" s="344">
        <f>HVAC_IOs!D14</f>
        <v/>
      </c>
      <c r="G522" s="344" t="n"/>
      <c r="H522" s="344" t="n"/>
      <c r="I522" s="344" t="n"/>
      <c r="J522" s="344" t="n"/>
      <c r="K522" s="344" t="n"/>
      <c r="L522" s="344" t="n"/>
      <c r="M522" s="344" t="n"/>
      <c r="N522" s="344" t="n"/>
      <c r="O522" s="344" t="n"/>
      <c r="P522" s="344" t="n"/>
      <c r="Q522" s="344" t="n"/>
      <c r="R522" s="344">
        <f>IF(AND(F522:Q522),1,0)</f>
        <v/>
      </c>
    </row>
    <row r="523" ht="20.1" customHeight="1">
      <c r="A523" s="344" t="n">
        <v>2</v>
      </c>
      <c r="B523" s="72" t="inlineStr">
        <is>
          <t>110_VDC_control available</t>
        </is>
      </c>
      <c r="C523" s="72" t="n"/>
      <c r="D523" s="72" t="n"/>
      <c r="E523" s="72" t="n"/>
      <c r="F523" s="344">
        <f>HVAC_IOs!D25</f>
        <v/>
      </c>
      <c r="G523" s="344" t="n"/>
      <c r="H523" s="344" t="n"/>
      <c r="I523" s="344" t="n"/>
      <c r="J523" s="344" t="n"/>
      <c r="K523" s="344" t="n"/>
      <c r="L523" s="344" t="n"/>
      <c r="M523" s="344" t="n"/>
      <c r="N523" s="344" t="n"/>
      <c r="O523" s="344" t="n"/>
      <c r="P523" s="344" t="n"/>
      <c r="Q523" s="344" t="n"/>
      <c r="R523" s="344">
        <f>IF(AND(F523:Q523),1,0)</f>
        <v/>
      </c>
    </row>
    <row r="524" ht="20.1" customHeight="1">
      <c r="A524" s="344" t="n">
        <v>3</v>
      </c>
      <c r="B524" s="72" t="inlineStr">
        <is>
          <t>110_VDC_FADR_available</t>
        </is>
      </c>
      <c r="C524" s="72" t="n"/>
      <c r="D524" s="72" t="n"/>
      <c r="E524" s="72" t="n"/>
      <c r="F524" s="344">
        <f>HVAC_IOs!D6</f>
        <v/>
      </c>
      <c r="G524" s="344" t="n"/>
      <c r="H524" s="344" t="n"/>
      <c r="I524" s="344" t="n"/>
      <c r="J524" s="344" t="n"/>
      <c r="K524" s="344" t="n"/>
      <c r="L524" s="344" t="n"/>
      <c r="M524" s="344" t="n"/>
      <c r="N524" s="344" t="n"/>
      <c r="O524" s="344" t="n"/>
      <c r="P524" s="344" t="n"/>
      <c r="Q524" s="344" t="n"/>
      <c r="R524" s="344">
        <f>IF(AND(F524:Q524),1,0)</f>
        <v/>
      </c>
    </row>
    <row r="525" ht="20.1" customHeight="1">
      <c r="A525" s="344" t="n">
        <v>4</v>
      </c>
      <c r="B525" s="72" t="inlineStr">
        <is>
          <t>110_VDC_SFC_OFF_relay_available</t>
        </is>
      </c>
      <c r="C525" s="72" t="n"/>
      <c r="D525" s="72" t="n"/>
      <c r="E525" s="72" t="n"/>
      <c r="F525" s="344">
        <f>HVAC_IOs!D7</f>
        <v/>
      </c>
      <c r="G525" s="344" t="n"/>
      <c r="H525" s="344" t="n"/>
      <c r="I525" s="344" t="n"/>
      <c r="J525" s="344" t="n"/>
      <c r="K525" s="344" t="n"/>
      <c r="L525" s="344" t="n"/>
      <c r="M525" s="344" t="n"/>
      <c r="N525" s="344" t="n"/>
      <c r="O525" s="344" t="n"/>
      <c r="P525" s="344" t="n"/>
      <c r="Q525" s="344" t="n"/>
      <c r="R525" s="344">
        <f>IF(AND(F525:Q525),1,0)</f>
        <v/>
      </c>
    </row>
    <row r="526" ht="20.1" customHeight="1">
      <c r="A526" s="344" t="n">
        <v>5</v>
      </c>
      <c r="B526" s="72" t="inlineStr">
        <is>
          <t>HVAC_unit_all_circuit_breaker_ON</t>
        </is>
      </c>
      <c r="C526" s="72" t="n"/>
      <c r="D526" s="72" t="n"/>
      <c r="E526" s="72" t="n"/>
      <c r="F526" s="344">
        <f>IF(AND(HVAC_IOs!D30=1,HVAC_IOs!D31=1,HVAC_IOs!D32=1,HVAC_IOs!D33=1,HVAC_IOs!D34=1,HVAC_IOs!D35=1,HVAC_IOs!D36=1,HVAC_IOs!D37=1,),1,0)</f>
        <v/>
      </c>
      <c r="G526" s="344" t="n"/>
      <c r="H526" s="344" t="n"/>
      <c r="I526" s="344" t="n"/>
      <c r="J526" s="344" t="n"/>
      <c r="K526" s="344" t="n"/>
      <c r="L526" s="344" t="n"/>
      <c r="M526" s="344" t="n"/>
      <c r="N526" s="344" t="n"/>
      <c r="O526" s="344" t="n"/>
      <c r="P526" s="344" t="n"/>
      <c r="Q526" s="344" t="n"/>
      <c r="R526" s="344">
        <f>IF(AND(F526:Q526),1,0)</f>
        <v/>
      </c>
    </row>
    <row r="527" ht="20.1" customHeight="1">
      <c r="A527" s="344" t="n">
        <v>6</v>
      </c>
      <c r="B527" s="72" t="inlineStr">
        <is>
          <t>Car_HVAC_circuit_breaker_ON</t>
        </is>
      </c>
      <c r="C527" s="72" t="n"/>
      <c r="D527" s="72" t="n"/>
      <c r="E527" s="72" t="n"/>
      <c r="F527" s="344">
        <f>IF(AND(HVAC_IOs!D39=1,HVAC_IOs!D40=1,HVAC_IOs!D41=1,HVAC_IOs!D42=1,HVAC_IOs!D43=1,HVAC_IOs!D44=1,HVAC_IOs!D45=1),1,0)</f>
        <v/>
      </c>
      <c r="G527" s="344" t="n"/>
      <c r="H527" s="344" t="n"/>
      <c r="I527" s="344" t="n"/>
      <c r="J527" s="344" t="n"/>
      <c r="K527" s="344" t="n"/>
      <c r="L527" s="344" t="n"/>
      <c r="M527" s="344" t="n"/>
      <c r="N527" s="344" t="n"/>
      <c r="O527" s="344" t="n"/>
      <c r="P527" s="344" t="n"/>
      <c r="Q527" s="344" t="n"/>
      <c r="R527" s="344">
        <f>IF(AND(F527:Q527),1,0)</f>
        <v/>
      </c>
    </row>
    <row r="528" ht="20.1" customHeight="1">
      <c r="A528" s="344" t="n">
        <v>7</v>
      </c>
      <c r="B528" s="72" t="inlineStr">
        <is>
          <t>Emergency_ventilation_mode</t>
        </is>
      </c>
      <c r="C528" s="72" t="n"/>
      <c r="D528" s="72" t="n"/>
      <c r="E528" s="72" t="n"/>
      <c r="F528" s="344">
        <f>IF(AND(D8=1, D9=1, R538&gt;=60, D20=1),1,0)</f>
        <v/>
      </c>
      <c r="G528" s="344" t="n"/>
      <c r="H528" s="344" t="n"/>
      <c r="I528" s="344" t="n"/>
      <c r="J528" s="344" t="n"/>
      <c r="K528" s="344" t="n"/>
      <c r="L528" s="344" t="n"/>
      <c r="M528" s="344" t="n"/>
      <c r="N528" s="344" t="n"/>
      <c r="O528" s="344" t="n"/>
      <c r="P528" s="344" t="n"/>
      <c r="Q528" s="344" t="n"/>
      <c r="R528" s="344">
        <f>IF(AND(F528:Q528),1,0)</f>
        <v/>
      </c>
    </row>
    <row r="529" ht="20.1" customHeight="1">
      <c r="A529" s="344" t="n">
        <v>8</v>
      </c>
      <c r="B529" s="72" t="inlineStr">
        <is>
          <t>TCMS_auto_mode</t>
        </is>
      </c>
      <c r="C529" s="72" t="n"/>
      <c r="D529" s="72" t="n"/>
      <c r="E529" s="72" t="n"/>
      <c r="F529" s="344">
        <f>HVAC_IOs!D20</f>
        <v/>
      </c>
      <c r="G529" s="344" t="n"/>
      <c r="H529" s="344" t="n"/>
      <c r="I529" s="344" t="n"/>
      <c r="J529" s="344" t="n"/>
      <c r="K529" s="344" t="n"/>
      <c r="L529" s="344" t="n"/>
      <c r="M529" s="344" t="n"/>
      <c r="N529" s="344" t="n"/>
      <c r="O529" s="344" t="n"/>
      <c r="P529" s="344" t="n"/>
      <c r="Q529" s="344" t="n"/>
      <c r="R529" s="344">
        <f>IF(AND(F529:Q529),1,0)</f>
        <v/>
      </c>
    </row>
    <row r="530" ht="20.1" customHeight="1">
      <c r="A530" s="344" t="n">
        <v>9</v>
      </c>
      <c r="B530" s="72" t="inlineStr">
        <is>
          <t>APS degraded</t>
        </is>
      </c>
      <c r="C530" s="72" t="n"/>
      <c r="D530" s="72" t="n"/>
      <c r="E530" s="72" t="n"/>
      <c r="F530" s="344">
        <f>IF(AND(HVAC_IOs!D15=1,HVAC_IOs!D26=1),1,0)</f>
        <v/>
      </c>
      <c r="G530" s="344">
        <f>IF(NOT(F530),1,0)</f>
        <v/>
      </c>
      <c r="H530" s="344" t="n"/>
      <c r="I530" s="344" t="n"/>
      <c r="J530" s="344" t="n"/>
      <c r="K530" s="344" t="n"/>
      <c r="L530" s="344" t="n"/>
      <c r="M530" s="344" t="n"/>
      <c r="N530" s="344" t="n"/>
      <c r="O530" s="344" t="n"/>
      <c r="P530" s="344" t="n"/>
      <c r="Q530" s="344" t="n"/>
      <c r="R530" s="344">
        <f>IF(AND(F530:Q530),1,0)</f>
        <v/>
      </c>
    </row>
    <row r="531" ht="20.1" customHeight="1">
      <c r="A531" s="354" t="n">
        <v>10</v>
      </c>
      <c r="B531" s="355" t="inlineStr">
        <is>
          <t>HVAC enable</t>
        </is>
      </c>
      <c r="C531" s="355" t="n"/>
      <c r="D531" s="355" t="n"/>
      <c r="E531" s="355" t="n"/>
      <c r="F531" s="354" t="n"/>
      <c r="G531" s="354">
        <f>IF(AND(R522:R529,R530),1,0)</f>
        <v/>
      </c>
      <c r="H531" s="354" t="n"/>
      <c r="I531" s="354" t="n"/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>
        <f>IF(AND(F531:Q531),1,0)</f>
        <v/>
      </c>
    </row>
    <row r="532" ht="20.1" customHeight="1">
      <c r="A532" s="354" t="n">
        <v>11</v>
      </c>
      <c r="B532" s="355" t="inlineStr">
        <is>
          <t>Supply_ air fan</t>
        </is>
      </c>
      <c r="C532" s="355" t="n"/>
      <c r="D532" s="355" t="n"/>
      <c r="E532" s="355" t="n"/>
      <c r="F532" s="354" t="n"/>
      <c r="G532" s="354">
        <f>R531</f>
        <v/>
      </c>
      <c r="H532" s="354" t="n"/>
      <c r="I532" s="354" t="n"/>
      <c r="J532" s="354" t="n"/>
      <c r="K532" s="354" t="n"/>
      <c r="L532" s="354" t="n"/>
      <c r="M532" s="354" t="n"/>
      <c r="N532" s="354" t="n"/>
      <c r="O532" s="354" t="n"/>
      <c r="P532" s="354" t="n"/>
      <c r="Q532" s="354" t="n"/>
      <c r="R532" s="354">
        <f>IF(AND(F532:Q532),1,0)</f>
        <v/>
      </c>
    </row>
    <row r="533" ht="20.1" customHeight="1">
      <c r="A533" s="354" t="n">
        <v>12</v>
      </c>
      <c r="B533" s="355" t="inlineStr">
        <is>
          <t>SAF feedback</t>
        </is>
      </c>
      <c r="C533" s="355" t="n"/>
      <c r="D533" s="355" t="n"/>
      <c r="E533" s="355" t="n"/>
      <c r="F533" s="354" t="n"/>
      <c r="G533" s="354">
        <f>R532</f>
        <v/>
      </c>
      <c r="H533" s="354" t="n"/>
      <c r="I533" s="354" t="n"/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>
        <f>IF(AND(F533:Q533),1,0)</f>
        <v/>
      </c>
    </row>
    <row r="534" ht="20.1" customHeight="1">
      <c r="A534" s="148" t="n">
        <v>13</v>
      </c>
      <c r="B534" s="149" t="inlineStr">
        <is>
          <t>Cooling_enable</t>
        </is>
      </c>
      <c r="C534" s="149" t="n"/>
      <c r="D534" s="149" t="n"/>
      <c r="E534" s="149" t="n"/>
      <c r="F534" s="148" t="n"/>
      <c r="G534" s="148">
        <f>R533</f>
        <v/>
      </c>
      <c r="H534" s="148" t="n"/>
      <c r="I534" s="148" t="n"/>
      <c r="J534" s="148" t="n"/>
      <c r="K534" s="148" t="n"/>
      <c r="L534" s="148" t="n"/>
      <c r="M534" s="148" t="n"/>
      <c r="N534" s="148" t="n"/>
      <c r="O534" s="148" t="n"/>
      <c r="P534" s="148" t="n"/>
      <c r="Q534" s="148" t="n"/>
      <c r="R534" s="148">
        <f>IF(AND(F534:Q534),1,0)</f>
        <v/>
      </c>
    </row>
    <row r="535" ht="20.1" customHeight="1">
      <c r="A535" s="148" t="n">
        <v>14</v>
      </c>
      <c r="B535" s="149" t="inlineStr">
        <is>
          <t>Heating_Enable</t>
        </is>
      </c>
      <c r="C535" s="149" t="n"/>
      <c r="D535" s="149" t="n"/>
      <c r="E535" s="149" t="n"/>
      <c r="F535" s="148" t="n"/>
      <c r="G535" s="148">
        <f>R534</f>
        <v/>
      </c>
      <c r="H535" s="148" t="n"/>
      <c r="I535" s="148" t="n"/>
      <c r="J535" s="148" t="n"/>
      <c r="K535" s="148" t="n"/>
      <c r="L535" s="148" t="n"/>
      <c r="M535" s="148" t="n"/>
      <c r="N535" s="148" t="n"/>
      <c r="O535" s="148" t="n"/>
      <c r="P535" s="148" t="n"/>
      <c r="Q535" s="148" t="n"/>
      <c r="R535" s="148">
        <f>IF(AND(F535:Q535),1,0)</f>
        <v/>
      </c>
    </row>
    <row r="536" ht="20.1" customHeight="1">
      <c r="A536" s="148" t="n">
        <v>15</v>
      </c>
      <c r="B536" s="149" t="inlineStr">
        <is>
          <t>Ventilation_enable</t>
        </is>
      </c>
      <c r="C536" s="149" t="n"/>
      <c r="D536" s="149" t="n"/>
      <c r="E536" s="149" t="n"/>
      <c r="F536" s="148" t="n"/>
      <c r="G536" s="148">
        <f>R535</f>
        <v/>
      </c>
      <c r="H536" s="148" t="n"/>
      <c r="I536" s="148" t="n"/>
      <c r="J536" s="148" t="n"/>
      <c r="K536" s="148" t="n"/>
      <c r="L536" s="148" t="n"/>
      <c r="M536" s="148" t="n"/>
      <c r="N536" s="148" t="n"/>
      <c r="O536" s="148" t="n"/>
      <c r="P536" s="148" t="n"/>
      <c r="Q536" s="148" t="n"/>
      <c r="R536" s="148">
        <f>IF(AND(F536:Q536),1,0)</f>
        <v/>
      </c>
    </row>
    <row r="538">
      <c r="A538" s="72" t="n"/>
      <c r="B538" s="72" t="inlineStr">
        <is>
          <t>(MV_Loss_Timer)</t>
        </is>
      </c>
      <c r="C538" s="72" t="n"/>
      <c r="D538" s="72" t="n"/>
      <c r="E538" s="72" t="n"/>
      <c r="F538" s="72" t="n"/>
      <c r="G538" s="72" t="n"/>
      <c r="H538" s="72" t="n"/>
      <c r="I538" s="72" t="n"/>
      <c r="J538" s="72" t="n"/>
      <c r="K538" s="72" t="n"/>
      <c r="L538" s="72" t="n"/>
      <c r="M538" s="72" t="n"/>
      <c r="N538" s="72" t="n"/>
      <c r="O538" s="72" t="n"/>
      <c r="P538" s="72" t="n"/>
      <c r="Q538" s="72" t="n"/>
      <c r="R538" s="72" t="n">
        <v>30</v>
      </c>
    </row>
    <row r="540" ht="20.1" customHeight="1">
      <c r="A540" s="725" t="inlineStr">
        <is>
          <t>30.Compressor Mnagement Conditions to start compressor</t>
        </is>
      </c>
      <c r="B540" s="798" t="n"/>
      <c r="C540" s="798" t="n"/>
      <c r="D540" s="798" t="n"/>
      <c r="E540" s="798" t="n"/>
      <c r="F540" s="798" t="n"/>
      <c r="G540" s="798" t="n"/>
      <c r="H540" s="798" t="n"/>
      <c r="I540" s="798" t="n"/>
      <c r="J540" s="798" t="n"/>
      <c r="K540" s="798" t="n"/>
      <c r="L540" s="798" t="n"/>
      <c r="M540" s="798" t="n"/>
      <c r="N540" s="798" t="n"/>
      <c r="O540" s="798" t="n"/>
      <c r="P540" s="798" t="n"/>
      <c r="Q540" s="798" t="n"/>
      <c r="R540" s="309" t="n"/>
    </row>
    <row r="542" ht="20.1" customHeight="1">
      <c r="A542" s="344" t="n">
        <v>1</v>
      </c>
      <c r="B542" s="72" t="inlineStr">
        <is>
          <t>HVAC_AUTO_mode_TCMS</t>
        </is>
      </c>
      <c r="C542" s="72" t="n"/>
      <c r="D542" s="72" t="n"/>
      <c r="E542" s="72" t="n"/>
      <c r="F542" s="344">
        <f>HVAC_IOs!D20</f>
        <v/>
      </c>
      <c r="G542" s="344" t="n"/>
      <c r="H542" s="344" t="n"/>
      <c r="I542" s="344" t="n"/>
      <c r="J542" s="344" t="n"/>
      <c r="K542" s="344" t="n"/>
      <c r="L542" s="344" t="n"/>
      <c r="M542" s="344" t="n"/>
      <c r="N542" s="344" t="n"/>
      <c r="O542" s="344" t="n"/>
      <c r="P542" s="344" t="n"/>
      <c r="Q542" s="344" t="n"/>
      <c r="R542" s="344">
        <f>IF(AND(F542:Q542),1,0)</f>
        <v/>
      </c>
    </row>
    <row r="543" ht="20.1" customHeight="1">
      <c r="A543" s="344" t="n">
        <v>2</v>
      </c>
      <c r="B543" s="72" t="inlineStr">
        <is>
          <t>PPR_high</t>
        </is>
      </c>
      <c r="C543" s="72" t="n"/>
      <c r="D543" s="72" t="n"/>
      <c r="E543" s="72" t="n"/>
      <c r="F543" s="344">
        <f>IF(AND(HVAC_IOs!D8=1,HVAC_IOs!D9=1),1,0)</f>
        <v/>
      </c>
      <c r="G543" s="344" t="n"/>
      <c r="H543" s="344" t="n"/>
      <c r="I543" s="344" t="n"/>
      <c r="J543" s="344" t="n"/>
      <c r="K543" s="344" t="n"/>
      <c r="L543" s="344" t="n"/>
      <c r="M543" s="344" t="n"/>
      <c r="N543" s="344" t="n"/>
      <c r="O543" s="344" t="n"/>
      <c r="P543" s="344" t="n"/>
      <c r="Q543" s="344" t="n"/>
      <c r="R543" s="344">
        <f>IF(AND(F543:Q543),1,0)</f>
        <v/>
      </c>
    </row>
    <row r="544" ht="20.1" customHeight="1">
      <c r="A544" s="344" t="n">
        <v>3</v>
      </c>
      <c r="B544" s="72" t="inlineStr">
        <is>
          <t>Fresh_air_temp_&gt;T4</t>
        </is>
      </c>
      <c r="C544" s="72" t="n"/>
      <c r="D544" s="72" t="n"/>
      <c r="E544" s="72" t="n"/>
      <c r="F544" s="344">
        <f>HVAC_IOs!R4</f>
        <v/>
      </c>
      <c r="G544" s="344" t="n"/>
      <c r="H544" s="344" t="n"/>
      <c r="I544" s="344" t="n"/>
      <c r="J544" s="344" t="n"/>
      <c r="K544" s="344" t="n"/>
      <c r="L544" s="344" t="n"/>
      <c r="M544" s="344" t="n"/>
      <c r="N544" s="344" t="n"/>
      <c r="O544" s="344" t="n"/>
      <c r="P544" s="344" t="n"/>
      <c r="Q544" s="344" t="n"/>
      <c r="R544" s="344">
        <f>IF(AND(F544:Q544),1,0)</f>
        <v/>
      </c>
    </row>
    <row r="545" ht="20.1" customHeight="1">
      <c r="A545" s="344" t="n">
        <v>4</v>
      </c>
      <c r="B545" s="72" t="inlineStr">
        <is>
          <t>Cooling domand_&gt;25%</t>
        </is>
      </c>
      <c r="C545" s="72" t="n"/>
      <c r="D545" s="72" t="n"/>
      <c r="E545" s="72" t="n"/>
      <c r="F545" s="350" t="n">
        <v>1</v>
      </c>
      <c r="G545" s="344" t="n"/>
      <c r="H545" s="344" t="n"/>
      <c r="I545" s="344" t="n"/>
      <c r="J545" s="344" t="n"/>
      <c r="K545" s="344" t="n"/>
      <c r="L545" s="344" t="n"/>
      <c r="M545" s="344" t="n"/>
      <c r="N545" s="344" t="n"/>
      <c r="O545" s="344" t="n"/>
      <c r="P545" s="344" t="n"/>
      <c r="Q545" s="344" t="n"/>
      <c r="R545" s="344">
        <f>IF(AND(F545:Q545),1,0)</f>
        <v/>
      </c>
    </row>
    <row r="546" ht="20.1" customHeight="1">
      <c r="A546" s="344" t="n">
        <v>5</v>
      </c>
      <c r="B546" s="72" t="inlineStr">
        <is>
          <t>Comp_min._OFF_timer_expired</t>
        </is>
      </c>
      <c r="C546" s="72" t="n"/>
      <c r="D546" s="72" t="n"/>
      <c r="E546" s="72" t="n"/>
      <c r="F546" s="350" t="n">
        <v>1</v>
      </c>
      <c r="G546" s="344" t="n"/>
      <c r="H546" s="344" t="n"/>
      <c r="I546" s="344" t="n"/>
      <c r="J546" s="344" t="n"/>
      <c r="K546" s="344" t="n"/>
      <c r="L546" s="344" t="n"/>
      <c r="M546" s="344" t="n"/>
      <c r="N546" s="344" t="n"/>
      <c r="O546" s="344" t="n"/>
      <c r="P546" s="344" t="n"/>
      <c r="Q546" s="344" t="n"/>
      <c r="R546" s="344">
        <f>IF(AND(F546:Q546),1,0)</f>
        <v/>
      </c>
    </row>
    <row r="547" ht="20.1" customHeight="1">
      <c r="A547" s="344" t="n">
        <v>6</v>
      </c>
      <c r="B547" s="72" t="inlineStr">
        <is>
          <t>No_condenser_fan_failure</t>
        </is>
      </c>
      <c r="C547" s="72" t="n"/>
      <c r="D547" s="72" t="n"/>
      <c r="E547" s="72" t="n"/>
      <c r="F547" s="344">
        <f>HVAC_IOs!D28</f>
        <v/>
      </c>
      <c r="G547" s="344" t="n"/>
      <c r="H547" s="344" t="n"/>
      <c r="I547" s="344" t="n"/>
      <c r="J547" s="344" t="n"/>
      <c r="K547" s="344" t="n"/>
      <c r="L547" s="344" t="n"/>
      <c r="M547" s="344" t="n"/>
      <c r="N547" s="344" t="n"/>
      <c r="O547" s="344" t="n"/>
      <c r="P547" s="344" t="n"/>
      <c r="Q547" s="344" t="n"/>
      <c r="R547" s="344">
        <f>IF(AND(F547:Q547),1,0)</f>
        <v/>
      </c>
    </row>
    <row r="548" ht="20.1" customHeight="1">
      <c r="A548" s="344" t="n">
        <v>7</v>
      </c>
      <c r="B548" s="356" t="inlineStr">
        <is>
          <t>No_condenser_fan_failure</t>
        </is>
      </c>
      <c r="C548" s="72" t="n"/>
      <c r="D548" s="72" t="n"/>
      <c r="E548" s="72" t="n"/>
      <c r="F548" s="344">
        <f>HVAC_IOs!D28</f>
        <v/>
      </c>
      <c r="G548" s="344" t="n"/>
      <c r="H548" s="344" t="n"/>
      <c r="I548" s="344" t="n"/>
      <c r="J548" s="344" t="n"/>
      <c r="K548" s="344" t="n"/>
      <c r="L548" s="344" t="n"/>
      <c r="M548" s="344" t="n"/>
      <c r="N548" s="344" t="n"/>
      <c r="O548" s="344" t="n"/>
      <c r="P548" s="344" t="n"/>
      <c r="Q548" s="344" t="n"/>
      <c r="R548" s="344">
        <f>IF(AND(F548:Q548),1,0)</f>
        <v/>
      </c>
    </row>
    <row r="549" ht="20.1" customHeight="1">
      <c r="A549" s="344" t="n">
        <v>8</v>
      </c>
      <c r="B549" s="72" t="inlineStr">
        <is>
          <t>Comp. set._enabled</t>
        </is>
      </c>
      <c r="C549" s="72" t="n"/>
      <c r="D549" s="72" t="n"/>
      <c r="E549" s="72" t="n"/>
      <c r="F549" s="350" t="n">
        <v>1</v>
      </c>
      <c r="G549" s="344" t="n"/>
      <c r="H549" s="344" t="n"/>
      <c r="I549" s="344" t="n"/>
      <c r="J549" s="344" t="n"/>
      <c r="K549" s="344" t="n"/>
      <c r="L549" s="344" t="n"/>
      <c r="M549" s="344" t="n"/>
      <c r="N549" s="344" t="n"/>
      <c r="O549" s="344" t="n"/>
      <c r="P549" s="344" t="n"/>
      <c r="Q549" s="344" t="n"/>
      <c r="R549" s="344">
        <f>IF(AND(F549:Q549),1,0)</f>
        <v/>
      </c>
    </row>
    <row r="550" ht="32.25" customHeight="1">
      <c r="A550" s="344" t="n">
        <v>9</v>
      </c>
      <c r="B550" s="356" t="inlineStr">
        <is>
          <t>Comp_start_not_inhibited-by_start_permission</t>
        </is>
      </c>
      <c r="C550" s="72" t="n"/>
      <c r="D550" s="72" t="n"/>
      <c r="E550" s="72" t="n"/>
      <c r="F550" s="344">
        <f>HVAC_IOs!D18</f>
        <v/>
      </c>
      <c r="G550" s="344" t="n"/>
      <c r="H550" s="344" t="n"/>
      <c r="I550" s="344" t="n"/>
      <c r="J550" s="344" t="n"/>
      <c r="K550" s="344" t="n"/>
      <c r="L550" s="344" t="n"/>
      <c r="M550" s="344" t="n"/>
      <c r="N550" s="344" t="n"/>
      <c r="O550" s="344" t="n"/>
      <c r="P550" s="344" t="n"/>
      <c r="Q550" s="344" t="n"/>
      <c r="R550" s="344">
        <f>IF(AND(F550:Q550),1,0)</f>
        <v/>
      </c>
    </row>
    <row r="551" ht="20.1" customHeight="1">
      <c r="A551" s="148" t="n">
        <v>10</v>
      </c>
      <c r="B551" s="149" t="inlineStr">
        <is>
          <t>Comp._START_allow_Sequence</t>
        </is>
      </c>
      <c r="C551" s="149" t="n"/>
      <c r="D551" s="149" t="n"/>
      <c r="E551" s="149" t="n"/>
      <c r="F551" s="148" t="n"/>
      <c r="G551" s="148">
        <f>IF(AND(R542:R550),1,0)</f>
        <v/>
      </c>
      <c r="H551" s="148" t="n"/>
      <c r="I551" s="148" t="n"/>
      <c r="J551" s="148" t="n"/>
      <c r="K551" s="148" t="n"/>
      <c r="L551" s="148" t="n"/>
      <c r="M551" s="148" t="n"/>
      <c r="N551" s="148" t="n"/>
      <c r="O551" s="148" t="n"/>
      <c r="P551" s="148" t="n"/>
      <c r="Q551" s="148" t="n"/>
      <c r="R551" s="148">
        <f>IF(AND(F551:Q551),1,0)</f>
        <v/>
      </c>
    </row>
    <row r="555" ht="20.1" customHeight="1">
      <c r="A555" s="725" t="inlineStr">
        <is>
          <t>31.Compressor Startup Sequence</t>
        </is>
      </c>
      <c r="B555" s="798" t="n"/>
      <c r="C555" s="798" t="n"/>
      <c r="D555" s="798" t="n"/>
      <c r="E555" s="798" t="n"/>
      <c r="F555" s="798" t="n"/>
      <c r="G555" s="798" t="n"/>
      <c r="H555" s="798" t="n"/>
      <c r="I555" s="798" t="n"/>
      <c r="J555" s="798" t="n"/>
      <c r="K555" s="798" t="n"/>
      <c r="L555" s="798" t="n"/>
      <c r="M555" s="798" t="n"/>
      <c r="N555" s="798" t="n"/>
      <c r="O555" s="798" t="n"/>
      <c r="P555" s="798" t="n"/>
      <c r="Q555" s="798" t="n"/>
      <c r="R555" s="309" t="n"/>
    </row>
    <row r="557" ht="20.1" customHeight="1">
      <c r="A557" s="357" t="n">
        <v>1</v>
      </c>
      <c r="B557" s="358" t="inlineStr">
        <is>
          <t xml:space="preserve">Comp_start_condition </t>
        </is>
      </c>
      <c r="C557" s="358" t="n"/>
      <c r="D557" s="358" t="n"/>
      <c r="E557" s="358" t="n"/>
      <c r="F557" s="357">
        <f>HVAC_IOs!D18</f>
        <v/>
      </c>
      <c r="G557" s="357" t="n"/>
      <c r="H557" s="357" t="n"/>
      <c r="I557" s="357" t="n"/>
      <c r="J557" s="357" t="n"/>
      <c r="K557" s="357" t="n"/>
      <c r="L557" s="357" t="n"/>
      <c r="M557" s="357" t="n"/>
      <c r="N557" s="357" t="n"/>
      <c r="O557" s="357" t="n"/>
      <c r="P557" s="357" t="n"/>
      <c r="Q557" s="357" t="n"/>
      <c r="R557" s="357">
        <f>IF(AND(F557:Q557),1,0)</f>
        <v/>
      </c>
    </row>
    <row r="558" ht="21" customHeight="1">
      <c r="A558" s="357" t="n">
        <v>2</v>
      </c>
      <c r="B558" s="359" t="inlineStr">
        <is>
          <t>CTMC_energized_condenser_fan_START</t>
        </is>
      </c>
      <c r="C558" s="358" t="n"/>
      <c r="D558" s="358" t="n"/>
      <c r="E558" s="358" t="n"/>
      <c r="F558" s="357">
        <f>HVAC_IOs!D28</f>
        <v/>
      </c>
      <c r="G558" s="357" t="n"/>
      <c r="H558" s="357" t="n"/>
      <c r="I558" s="357" t="n"/>
      <c r="J558" s="357" t="n"/>
      <c r="K558" s="357" t="n"/>
      <c r="L558" s="357" t="n"/>
      <c r="M558" s="357" t="n"/>
      <c r="N558" s="357" t="n"/>
      <c r="O558" s="357" t="n"/>
      <c r="P558" s="357" t="n"/>
      <c r="Q558" s="357" t="n"/>
      <c r="R558" s="357">
        <f>IF(AND(F558:Q558),1,0)</f>
        <v/>
      </c>
    </row>
    <row r="559" ht="20.1" customHeight="1">
      <c r="A559" s="357" t="n">
        <v>3</v>
      </c>
      <c r="B559" s="358" t="inlineStr">
        <is>
          <t>Liquid_line_solenoid_valve_open</t>
        </is>
      </c>
      <c r="C559" s="358" t="n"/>
      <c r="D559" s="358" t="n"/>
      <c r="E559" s="358" t="n"/>
      <c r="F559" s="357">
        <f>HVAC_IOs!K25</f>
        <v/>
      </c>
      <c r="G559" s="357" t="n"/>
      <c r="H559" s="357" t="n"/>
      <c r="I559" s="357" t="n"/>
      <c r="J559" s="357" t="n"/>
      <c r="K559" s="357" t="n"/>
      <c r="L559" s="357" t="n"/>
      <c r="M559" s="357" t="n"/>
      <c r="N559" s="357" t="n"/>
      <c r="O559" s="357" t="n"/>
      <c r="P559" s="357" t="n"/>
      <c r="Q559" s="357" t="n"/>
      <c r="R559" s="357">
        <f>IF(AND(F559:Q559),1,0)</f>
        <v/>
      </c>
    </row>
    <row r="560" ht="20.1" customHeight="1">
      <c r="A560" s="357" t="n">
        <v>4</v>
      </c>
      <c r="B560" s="358" t="inlineStr">
        <is>
          <t>CFMC_feedback_OK</t>
        </is>
      </c>
      <c r="C560" s="358" t="n"/>
      <c r="D560" s="358" t="n"/>
      <c r="E560" s="358" t="n"/>
      <c r="F560" s="350" t="n">
        <v>1</v>
      </c>
      <c r="G560" s="357" t="n"/>
      <c r="H560" s="357" t="n"/>
      <c r="I560" s="357" t="n"/>
      <c r="J560" s="357" t="n"/>
      <c r="K560" s="357" t="n"/>
      <c r="L560" s="357" t="n"/>
      <c r="M560" s="357" t="n"/>
      <c r="N560" s="357" t="n"/>
      <c r="O560" s="357" t="n"/>
      <c r="P560" s="357" t="n"/>
      <c r="Q560" s="357" t="n"/>
      <c r="R560" s="357">
        <f>IF(AND(F560:Q560),1,0)</f>
        <v/>
      </c>
    </row>
    <row r="561" ht="20.1" customHeight="1">
      <c r="A561" s="357" t="n">
        <v>5</v>
      </c>
      <c r="B561" s="358" t="inlineStr">
        <is>
          <t>CMC_energized</t>
        </is>
      </c>
      <c r="C561" s="358" t="n"/>
      <c r="D561" s="358" t="n"/>
      <c r="E561" s="358" t="n"/>
      <c r="F561" s="357">
        <f>HVAC_IOs!D49</f>
        <v/>
      </c>
      <c r="G561" s="357" t="n"/>
      <c r="H561" s="357" t="n"/>
      <c r="I561" s="357" t="n"/>
      <c r="J561" s="357" t="n"/>
      <c r="K561" s="357" t="n"/>
      <c r="L561" s="357" t="n"/>
      <c r="M561" s="357" t="n"/>
      <c r="N561" s="357" t="n"/>
      <c r="O561" s="357" t="n"/>
      <c r="P561" s="357" t="n"/>
      <c r="Q561" s="357" t="n"/>
      <c r="R561" s="357">
        <f>IF(AND(F561:Q561),1,0)</f>
        <v/>
      </c>
    </row>
    <row r="562" ht="20.1" customHeight="1">
      <c r="A562" s="357" t="n">
        <v>6</v>
      </c>
      <c r="B562" s="358" t="inlineStr">
        <is>
          <t>Cooling_demand_&gt;_2nd_comp._threshold</t>
        </is>
      </c>
      <c r="C562" s="358" t="n"/>
      <c r="D562" s="358" t="n"/>
      <c r="E562" s="358" t="n"/>
      <c r="F562" s="350" t="n">
        <v>1</v>
      </c>
      <c r="G562" s="357" t="n"/>
      <c r="H562" s="357" t="n"/>
      <c r="I562" s="357" t="n"/>
      <c r="J562" s="357" t="n"/>
      <c r="K562" s="357" t="n"/>
      <c r="L562" s="357" t="n"/>
      <c r="M562" s="357" t="n"/>
      <c r="N562" s="357" t="n"/>
      <c r="O562" s="357" t="n"/>
      <c r="P562" s="357" t="n"/>
      <c r="Q562" s="357" t="n"/>
      <c r="R562" s="357">
        <f>IF(AND(F562:Q562),1,0)</f>
        <v/>
      </c>
    </row>
    <row r="563" ht="20.1" customHeight="1">
      <c r="A563" s="357" t="n">
        <v>7</v>
      </c>
      <c r="B563" s="358" t="inlineStr">
        <is>
          <t xml:space="preserve">2nd_comp._required
</t>
        </is>
      </c>
      <c r="C563" s="358" t="n"/>
      <c r="D563" s="358" t="n"/>
      <c r="E563" s="358" t="n"/>
      <c r="F563" s="357">
        <f>F562</f>
        <v/>
      </c>
      <c r="G563" s="357" t="n"/>
      <c r="H563" s="357" t="n"/>
      <c r="I563" s="357" t="n"/>
      <c r="J563" s="357" t="n"/>
      <c r="K563" s="357" t="n"/>
      <c r="L563" s="357" t="n"/>
      <c r="M563" s="357" t="n"/>
      <c r="N563" s="357" t="n"/>
      <c r="O563" s="357" t="n"/>
      <c r="P563" s="357" t="n"/>
      <c r="Q563" s="357" t="n"/>
      <c r="R563" s="357">
        <f>IF(AND(F563:Q563),1,0)</f>
        <v/>
      </c>
    </row>
    <row r="564" ht="20.1" customHeight="1">
      <c r="A564" s="357" t="n">
        <v>8</v>
      </c>
      <c r="B564" s="358" t="inlineStr">
        <is>
          <t>Comp.start-_allowed</t>
        </is>
      </c>
      <c r="C564" s="358" t="n"/>
      <c r="D564" s="358" t="n"/>
      <c r="E564" s="358" t="n"/>
      <c r="F564" s="357" t="n">
        <v>1</v>
      </c>
      <c r="G564" s="357" t="n"/>
      <c r="H564" s="357" t="n"/>
      <c r="I564" s="357" t="n"/>
      <c r="J564" s="357" t="n"/>
      <c r="K564" s="357" t="n"/>
      <c r="L564" s="357" t="n"/>
      <c r="M564" s="357" t="n"/>
      <c r="N564" s="357" t="n"/>
      <c r="O564" s="357" t="n"/>
      <c r="P564" s="357" t="n"/>
      <c r="Q564" s="357" t="n"/>
      <c r="R564" s="357">
        <f>IF(AND(F564:Q564),1,0)</f>
        <v/>
      </c>
    </row>
    <row r="565" ht="20.1" customHeight="1">
      <c r="A565" s="357" t="n">
        <v>9</v>
      </c>
      <c r="B565" s="358" t="inlineStr">
        <is>
          <t>CFM fan OK</t>
        </is>
      </c>
      <c r="C565" s="358" t="n"/>
      <c r="D565" s="358" t="n"/>
      <c r="E565" s="358" t="n"/>
      <c r="F565" s="357">
        <f>HVAC_IOs!D28</f>
        <v/>
      </c>
      <c r="G565" s="357" t="n"/>
      <c r="H565" s="357" t="n"/>
      <c r="I565" s="357" t="n"/>
      <c r="J565" s="357" t="n"/>
      <c r="K565" s="357" t="n"/>
      <c r="L565" s="357" t="n"/>
      <c r="M565" s="357" t="n"/>
      <c r="N565" s="357" t="n"/>
      <c r="O565" s="357" t="n"/>
      <c r="P565" s="357" t="n"/>
      <c r="Q565" s="357" t="n"/>
      <c r="R565" s="357">
        <f>IF(AND(F565:Q565),1,0)</f>
        <v/>
      </c>
    </row>
    <row r="566" ht="20.1" customHeight="1">
      <c r="A566" s="148" t="n">
        <v>10</v>
      </c>
      <c r="B566" s="149" t="inlineStr">
        <is>
          <t>Comp_START_UP</t>
        </is>
      </c>
      <c r="C566" s="149" t="n"/>
      <c r="D566" s="149" t="n"/>
      <c r="E566" s="149" t="n"/>
      <c r="F566" s="148" t="n"/>
      <c r="G566" s="148">
        <f>IF(AND(R557:R565),1,0)</f>
        <v/>
      </c>
      <c r="H566" s="148" t="n"/>
      <c r="I566" s="148" t="n"/>
      <c r="J566" s="148" t="n"/>
      <c r="K566" s="148" t="n"/>
      <c r="L566" s="148" t="n"/>
      <c r="M566" s="148" t="n"/>
      <c r="N566" s="148" t="n"/>
      <c r="O566" s="148" t="n"/>
      <c r="P566" s="148" t="n"/>
      <c r="Q566" s="148" t="n"/>
      <c r="R566" s="148">
        <f>IF(AND(F566:Q566),1,0)</f>
        <v/>
      </c>
    </row>
    <row r="570" ht="20.1" customHeight="1">
      <c r="A570" s="725" t="inlineStr">
        <is>
          <t>32. Compressor Cooling Power Modulation</t>
        </is>
      </c>
      <c r="B570" s="798" t="n"/>
      <c r="C570" s="798" t="n"/>
      <c r="D570" s="798" t="n"/>
      <c r="E570" s="798" t="n"/>
      <c r="F570" s="798" t="n"/>
      <c r="G570" s="798" t="n"/>
      <c r="H570" s="798" t="n"/>
      <c r="I570" s="798" t="n"/>
      <c r="J570" s="798" t="n"/>
      <c r="K570" s="798" t="n"/>
      <c r="L570" s="798" t="n"/>
      <c r="M570" s="798" t="n"/>
      <c r="N570" s="798" t="n"/>
      <c r="O570" s="798" t="n"/>
      <c r="P570" s="798" t="n"/>
      <c r="Q570" s="798" t="n"/>
      <c r="R570" s="309" t="n"/>
    </row>
    <row r="572" ht="20.1" customHeight="1">
      <c r="A572" s="344" t="n">
        <v>1</v>
      </c>
      <c r="B572" s="72" t="inlineStr">
        <is>
          <t>Cooling demand</t>
        </is>
      </c>
      <c r="C572" s="72" t="n"/>
      <c r="D572" s="72" t="n"/>
      <c r="E572" s="72" t="n"/>
      <c r="F572" s="350" t="n">
        <v>1</v>
      </c>
      <c r="G572" s="344" t="n"/>
      <c r="H572" s="344" t="n"/>
      <c r="I572" s="344" t="n"/>
      <c r="J572" s="344" t="n"/>
      <c r="K572" s="344" t="n"/>
      <c r="L572" s="344" t="n"/>
      <c r="M572" s="344" t="n"/>
      <c r="N572" s="344" t="n"/>
      <c r="O572" s="344" t="n"/>
      <c r="P572" s="344" t="n"/>
      <c r="Q572" s="344" t="n"/>
      <c r="R572" s="344">
        <f>IF(AND(F572:Q572),1,0)</f>
        <v/>
      </c>
    </row>
    <row r="573" ht="20.1" customHeight="1">
      <c r="A573" s="344" t="n">
        <v>2</v>
      </c>
      <c r="B573" s="72" t="inlineStr">
        <is>
          <t>CD_&lt;_30%</t>
        </is>
      </c>
      <c r="C573" s="72" t="n"/>
      <c r="D573" s="72" t="n"/>
      <c r="E573" s="72" t="n"/>
      <c r="F573" s="344" t="n"/>
      <c r="G573" s="344">
        <f>F572</f>
        <v/>
      </c>
      <c r="H573" s="344" t="n"/>
      <c r="I573" s="344" t="n"/>
      <c r="J573" s="344" t="n"/>
      <c r="K573" s="344" t="n"/>
      <c r="L573" s="344" t="n"/>
      <c r="M573" s="344" t="n"/>
      <c r="N573" s="344" t="n"/>
      <c r="O573" s="344" t="n"/>
      <c r="P573" s="344" t="n"/>
      <c r="Q573" s="344" t="n"/>
      <c r="R573" s="344">
        <f>IF(AND(F573:Q573),1,0)</f>
        <v/>
      </c>
    </row>
    <row r="574" ht="20.1" customHeight="1">
      <c r="A574" s="344" t="n">
        <v>3</v>
      </c>
      <c r="B574" s="72" t="inlineStr">
        <is>
          <t>CD_&gt;_30%</t>
        </is>
      </c>
      <c r="C574" s="72" t="n"/>
      <c r="D574" s="72" t="n"/>
      <c r="E574" s="72" t="n"/>
      <c r="F574" s="344" t="n"/>
      <c r="G574" s="344">
        <f>F572</f>
        <v/>
      </c>
      <c r="H574" s="344" t="n"/>
      <c r="I574" s="344" t="n"/>
      <c r="J574" s="344" t="n"/>
      <c r="K574" s="344" t="n"/>
      <c r="L574" s="344" t="n"/>
      <c r="M574" s="344" t="n"/>
      <c r="N574" s="344" t="n"/>
      <c r="O574" s="344" t="n"/>
      <c r="P574" s="344" t="n"/>
      <c r="Q574" s="344" t="n"/>
      <c r="R574" s="344">
        <f>IF(AND(F574:Q574),1,0)</f>
        <v/>
      </c>
    </row>
    <row r="575" ht="20.1" customHeight="1">
      <c r="A575" s="344" t="n">
        <v>4</v>
      </c>
      <c r="B575" s="72" t="inlineStr">
        <is>
          <t>CM4_ON (VFD mode) 45_65_Hz Modulation</t>
        </is>
      </c>
      <c r="C575" s="72" t="n"/>
      <c r="D575" s="72" t="n"/>
      <c r="E575" s="72" t="n"/>
      <c r="F575" s="344" t="n"/>
      <c r="G575" s="344">
        <f>G573</f>
        <v/>
      </c>
      <c r="H575" s="344" t="n"/>
      <c r="I575" s="344" t="n"/>
      <c r="J575" s="344" t="n"/>
      <c r="K575" s="344" t="n"/>
      <c r="L575" s="344" t="n"/>
      <c r="M575" s="344" t="n"/>
      <c r="N575" s="344" t="n"/>
      <c r="O575" s="344" t="n"/>
      <c r="P575" s="344" t="n"/>
      <c r="Q575" s="344" t="n"/>
      <c r="R575" s="344">
        <f>IF(AND(F575:Q575),1,0)</f>
        <v/>
      </c>
    </row>
    <row r="576" ht="20.1" customHeight="1">
      <c r="A576" s="344" t="n">
        <v>5</v>
      </c>
      <c r="B576" s="72" t="inlineStr">
        <is>
          <t>CM4 (50Hz)</t>
        </is>
      </c>
      <c r="C576" s="72" t="n"/>
      <c r="D576" s="72" t="n"/>
      <c r="E576" s="72" t="n"/>
      <c r="F576" s="344" t="n"/>
      <c r="G576" s="344">
        <f>G575</f>
        <v/>
      </c>
      <c r="H576" s="344" t="n"/>
      <c r="I576" s="344" t="n"/>
      <c r="J576" s="344" t="n"/>
      <c r="K576" s="344" t="n"/>
      <c r="L576" s="344" t="n"/>
      <c r="M576" s="344" t="n"/>
      <c r="N576" s="344" t="n"/>
      <c r="O576" s="344" t="n"/>
      <c r="P576" s="344" t="n"/>
      <c r="Q576" s="344" t="n"/>
      <c r="R576" s="344">
        <f>IF(AND(F576:Q576),1,0)</f>
        <v/>
      </c>
    </row>
    <row r="577" ht="20.1" customHeight="1">
      <c r="A577" s="351" t="n">
        <v>6</v>
      </c>
      <c r="B577" s="352" t="inlineStr">
        <is>
          <t>CD_2_25%_CM1_ON</t>
        </is>
      </c>
      <c r="C577" s="352" t="n"/>
      <c r="D577" s="352" t="n"/>
      <c r="E577" s="352" t="n"/>
      <c r="F577" s="351" t="n"/>
      <c r="G577" s="351">
        <f>IF(OR(R575:R576),1,0)</f>
        <v/>
      </c>
      <c r="H577" s="351" t="n"/>
      <c r="I577" s="351" t="n"/>
      <c r="J577" s="351" t="n"/>
      <c r="K577" s="351" t="n"/>
      <c r="L577" s="351" t="n"/>
      <c r="M577" s="351" t="n"/>
      <c r="N577" s="351" t="n"/>
      <c r="O577" s="351" t="n"/>
      <c r="P577" s="351" t="n"/>
      <c r="Q577" s="351" t="n"/>
      <c r="R577" s="351">
        <f>IF(AND(F577:Q577),1,0)</f>
        <v/>
      </c>
    </row>
    <row r="578" ht="20.1" customHeight="1">
      <c r="A578" s="351" t="n">
        <v>7</v>
      </c>
      <c r="B578" s="352" t="inlineStr">
        <is>
          <t>CD_2_30%_CM2_ON</t>
        </is>
      </c>
      <c r="C578" s="352" t="n"/>
      <c r="D578" s="352" t="n"/>
      <c r="E578" s="352" t="n"/>
      <c r="F578" s="351" t="n"/>
      <c r="G578" s="351">
        <f>G577</f>
        <v/>
      </c>
      <c r="H578" s="351" t="n"/>
      <c r="I578" s="351" t="n"/>
      <c r="J578" s="351" t="n"/>
      <c r="K578" s="351" t="n"/>
      <c r="L578" s="351" t="n"/>
      <c r="M578" s="351" t="n"/>
      <c r="N578" s="351" t="n"/>
      <c r="O578" s="351" t="n"/>
      <c r="P578" s="351" t="n"/>
      <c r="Q578" s="351" t="n"/>
      <c r="R578" s="351">
        <f>IF(AND(F578:Q578),1,0)</f>
        <v/>
      </c>
    </row>
    <row r="579" ht="20.1" customHeight="1">
      <c r="A579" s="351" t="n">
        <v>8</v>
      </c>
      <c r="B579" s="352" t="inlineStr">
        <is>
          <t>CD_2_75%_CM3_ON</t>
        </is>
      </c>
      <c r="C579" s="352" t="n"/>
      <c r="D579" s="352" t="n"/>
      <c r="E579" s="352" t="n"/>
      <c r="F579" s="351" t="n"/>
      <c r="G579" s="351">
        <f>G578</f>
        <v/>
      </c>
      <c r="H579" s="351" t="n"/>
      <c r="I579" s="351" t="n"/>
      <c r="J579" s="351" t="n"/>
      <c r="K579" s="351" t="n"/>
      <c r="L579" s="351" t="n"/>
      <c r="M579" s="351" t="n"/>
      <c r="N579" s="351" t="n"/>
      <c r="O579" s="351" t="n"/>
      <c r="P579" s="351" t="n"/>
      <c r="Q579" s="351" t="n"/>
      <c r="R579" s="351">
        <f>IF(AND(F579:Q579),1,0)</f>
        <v/>
      </c>
    </row>
    <row r="580" ht="20.1" customHeight="1">
      <c r="A580" s="351" t="n">
        <v>9</v>
      </c>
      <c r="B580" s="352" t="inlineStr">
        <is>
          <t>CD_2_100%_CM_ON</t>
        </is>
      </c>
      <c r="C580" s="352" t="n"/>
      <c r="D580" s="352" t="n"/>
      <c r="E580" s="352" t="n"/>
      <c r="F580" s="351" t="n"/>
      <c r="G580" s="351">
        <f>G579</f>
        <v/>
      </c>
      <c r="H580" s="351" t="n"/>
      <c r="I580" s="351" t="n"/>
      <c r="J580" s="351" t="n"/>
      <c r="K580" s="351" t="n"/>
      <c r="L580" s="351" t="n"/>
      <c r="M580" s="351" t="n"/>
      <c r="N580" s="351" t="n"/>
      <c r="O580" s="351" t="n"/>
      <c r="P580" s="351" t="n"/>
      <c r="Q580" s="351" t="n"/>
      <c r="R580" s="351">
        <f>IF(AND(F580:Q580),1,0)</f>
        <v/>
      </c>
    </row>
    <row r="584" ht="20.1" customHeight="1">
      <c r="A584" s="725" t="inlineStr">
        <is>
          <t>33. Compressor start in case of shut down without pump Down(Bump- Start)</t>
        </is>
      </c>
      <c r="B584" s="798" t="n"/>
      <c r="C584" s="798" t="n"/>
      <c r="D584" s="798" t="n"/>
      <c r="E584" s="798" t="n"/>
      <c r="F584" s="798" t="n"/>
      <c r="G584" s="798" t="n"/>
      <c r="H584" s="798" t="n"/>
      <c r="I584" s="798" t="n"/>
      <c r="J584" s="798" t="n"/>
      <c r="K584" s="798" t="n"/>
      <c r="L584" s="798" t="n"/>
      <c r="M584" s="798" t="n"/>
      <c r="N584" s="798" t="n"/>
      <c r="O584" s="798" t="n"/>
      <c r="P584" s="798" t="n"/>
      <c r="Q584" s="798" t="n"/>
      <c r="R584" s="309" t="n"/>
    </row>
    <row r="586" ht="20.1" customHeight="1">
      <c r="A586" s="344" t="n">
        <v>1</v>
      </c>
      <c r="B586" s="72" t="inlineStr">
        <is>
          <t>Pump down shutdown</t>
        </is>
      </c>
      <c r="C586" s="72" t="n"/>
      <c r="D586" s="72" t="n"/>
      <c r="E586" s="72" t="n"/>
      <c r="F586" s="344">
        <f>HVAC_IOs!D20</f>
        <v/>
      </c>
      <c r="G586" s="344">
        <f>IF(NOT(F586),1,0)</f>
        <v/>
      </c>
      <c r="H586" s="344" t="n"/>
      <c r="I586" s="344" t="n"/>
      <c r="J586" s="344" t="n"/>
      <c r="K586" s="344" t="n"/>
      <c r="L586" s="344" t="n"/>
      <c r="M586" s="344" t="n"/>
      <c r="N586" s="344" t="n"/>
      <c r="O586" s="344" t="n"/>
      <c r="P586" s="344" t="n"/>
      <c r="Q586" s="344" t="n"/>
      <c r="R586" s="344">
        <f>IF(AND(F586:Q586),1,0)</f>
        <v/>
      </c>
    </row>
    <row r="587" ht="20.1" customHeight="1">
      <c r="A587" s="344" t="n">
        <v>2</v>
      </c>
      <c r="B587" s="72" t="inlineStr">
        <is>
          <t>Comp_Start_Allow</t>
        </is>
      </c>
      <c r="C587" s="72" t="n"/>
      <c r="D587" s="72" t="n"/>
      <c r="E587" s="72" t="n"/>
      <c r="F587" s="344">
        <f>HVAC_IOs!D18</f>
        <v/>
      </c>
      <c r="G587" s="344" t="n"/>
      <c r="H587" s="344" t="n"/>
      <c r="I587" s="344" t="n"/>
      <c r="J587" s="344" t="n"/>
      <c r="K587" s="344" t="n"/>
      <c r="L587" s="344" t="n"/>
      <c r="M587" s="344" t="n"/>
      <c r="N587" s="344" t="n"/>
      <c r="O587" s="344" t="n"/>
      <c r="P587" s="344" t="n"/>
      <c r="Q587" s="344" t="n"/>
      <c r="R587" s="344">
        <f>IF(AND(F587:Q587),1,0)</f>
        <v/>
      </c>
    </row>
    <row r="588" ht="20.1" customHeight="1">
      <c r="A588" s="148" t="n">
        <v>4</v>
      </c>
      <c r="B588" s="149" t="inlineStr">
        <is>
          <t>Bump START required</t>
        </is>
      </c>
      <c r="C588" s="149" t="n"/>
      <c r="D588" s="149" t="n"/>
      <c r="E588" s="149" t="n"/>
      <c r="F588" s="148" t="n"/>
      <c r="G588" s="148">
        <f>IF(AND(R586,R587),1,0)</f>
        <v/>
      </c>
      <c r="H588" s="148" t="n"/>
      <c r="I588" s="148" t="n"/>
      <c r="J588" s="148" t="n"/>
      <c r="K588" s="148" t="n"/>
      <c r="L588" s="148" t="n"/>
      <c r="M588" s="148" t="n"/>
      <c r="N588" s="148" t="n"/>
      <c r="O588" s="148" t="n"/>
      <c r="P588" s="148" t="n"/>
      <c r="Q588" s="148" t="n"/>
      <c r="R588" s="148">
        <f>IF(AND(G588:Q588),1,0)</f>
        <v/>
      </c>
    </row>
    <row r="589" ht="20.1" customHeight="1">
      <c r="A589" s="148" t="n">
        <v>5</v>
      </c>
      <c r="B589" s="149" t="inlineStr">
        <is>
          <t>1 sec._ON</t>
        </is>
      </c>
      <c r="C589" s="149" t="n"/>
      <c r="D589" s="149" t="n"/>
      <c r="E589" s="149" t="n"/>
      <c r="F589" s="148" t="n"/>
      <c r="G589" s="148">
        <f>G588</f>
        <v/>
      </c>
      <c r="H589" s="148" t="n"/>
      <c r="I589" s="148" t="n"/>
      <c r="J589" s="148" t="n"/>
      <c r="K589" s="148" t="n"/>
      <c r="L589" s="148" t="n"/>
      <c r="M589" s="148" t="n"/>
      <c r="N589" s="148" t="n"/>
      <c r="O589" s="148" t="n"/>
      <c r="P589" s="148" t="n"/>
      <c r="Q589" s="148" t="n"/>
      <c r="R589" s="148">
        <f>IF(AND(F589:Q589),1,0)</f>
        <v/>
      </c>
    </row>
    <row r="590" ht="20.1" customHeight="1">
      <c r="A590" s="148" t="n">
        <v>6</v>
      </c>
      <c r="B590" s="149" t="inlineStr">
        <is>
          <t>2 sec._OFF</t>
        </is>
      </c>
      <c r="C590" s="149" t="n"/>
      <c r="D590" s="149" t="n"/>
      <c r="E590" s="149" t="n"/>
      <c r="F590" s="148" t="n"/>
      <c r="G590" s="148">
        <f>F586</f>
        <v/>
      </c>
      <c r="H590" s="148" t="n"/>
      <c r="I590" s="148" t="n"/>
      <c r="J590" s="148" t="n"/>
      <c r="K590" s="148" t="n"/>
      <c r="L590" s="148" t="n"/>
      <c r="M590" s="148" t="n"/>
      <c r="N590" s="148" t="n"/>
      <c r="O590" s="148" t="n"/>
      <c r="P590" s="148" t="n"/>
      <c r="Q590" s="148" t="n"/>
      <c r="R590" s="148">
        <f>IF(AND(G590:Q590),1,0)</f>
        <v/>
      </c>
    </row>
    <row r="591" ht="20.1" customHeight="1">
      <c r="A591" s="148" t="n">
        <v>7</v>
      </c>
      <c r="B591" s="149" t="inlineStr">
        <is>
          <t>1 sec._ON</t>
        </is>
      </c>
      <c r="C591" s="149" t="n"/>
      <c r="D591" s="149" t="n"/>
      <c r="E591" s="149" t="n"/>
      <c r="F591" s="148" t="n"/>
      <c r="G591" s="148">
        <f>G589</f>
        <v/>
      </c>
      <c r="H591" s="148" t="n"/>
      <c r="I591" s="148" t="n"/>
      <c r="J591" s="148" t="n"/>
      <c r="K591" s="148" t="n"/>
      <c r="L591" s="148" t="n"/>
      <c r="M591" s="148" t="n"/>
      <c r="N591" s="148" t="n"/>
      <c r="O591" s="148" t="n"/>
      <c r="P591" s="148" t="n"/>
      <c r="Q591" s="148" t="n"/>
      <c r="R591" s="148">
        <f>IF(AND(F591:Q591),1,0)</f>
        <v/>
      </c>
    </row>
    <row r="592" ht="20.1" customHeight="1">
      <c r="A592" s="148" t="n">
        <v>8</v>
      </c>
      <c r="B592" s="149" t="inlineStr">
        <is>
          <t>2 sec._OFF</t>
        </is>
      </c>
      <c r="C592" s="149" t="n"/>
      <c r="D592" s="149" t="n"/>
      <c r="E592" s="149" t="n"/>
      <c r="F592" s="148" t="n"/>
      <c r="G592" s="148">
        <f>F586</f>
        <v/>
      </c>
      <c r="H592" s="148" t="n"/>
      <c r="I592" s="148" t="n"/>
      <c r="J592" s="148" t="n"/>
      <c r="K592" s="148" t="n"/>
      <c r="L592" s="148" t="n"/>
      <c r="M592" s="148" t="n"/>
      <c r="N592" s="148" t="n"/>
      <c r="O592" s="148" t="n"/>
      <c r="P592" s="148" t="n"/>
      <c r="Q592" s="148" t="n"/>
      <c r="R592" s="148">
        <f>IF(AND(G592:Q592),1,0)</f>
        <v/>
      </c>
    </row>
    <row r="593" ht="20.1" customHeight="1">
      <c r="A593" s="148" t="n">
        <v>9</v>
      </c>
      <c r="B593" s="149" t="inlineStr">
        <is>
          <t>1 sec._ON</t>
        </is>
      </c>
      <c r="C593" s="149" t="n"/>
      <c r="D593" s="149" t="n"/>
      <c r="E593" s="149" t="n"/>
      <c r="F593" s="148" t="n"/>
      <c r="G593" s="148">
        <f>G591</f>
        <v/>
      </c>
      <c r="H593" s="148" t="n"/>
      <c r="I593" s="148" t="n"/>
      <c r="J593" s="148" t="n"/>
      <c r="K593" s="148" t="n"/>
      <c r="L593" s="148" t="n"/>
      <c r="M593" s="148" t="n"/>
      <c r="N593" s="148" t="n"/>
      <c r="O593" s="148" t="n"/>
      <c r="P593" s="148" t="n"/>
      <c r="Q593" s="148" t="n"/>
      <c r="R593" s="148">
        <f>IF(AND(F593:Q593),1,0)</f>
        <v/>
      </c>
    </row>
    <row r="594" ht="20.1" customHeight="1">
      <c r="A594" s="148" t="n">
        <v>10</v>
      </c>
      <c r="B594" s="149" t="inlineStr">
        <is>
          <t>2 sec._OFF</t>
        </is>
      </c>
      <c r="C594" s="149" t="n"/>
      <c r="D594" s="149" t="n"/>
      <c r="E594" s="149" t="n"/>
      <c r="F594" s="148" t="n"/>
      <c r="G594" s="148">
        <f>F586</f>
        <v/>
      </c>
      <c r="H594" s="148" t="n"/>
      <c r="I594" s="148" t="n"/>
      <c r="J594" s="148" t="n"/>
      <c r="K594" s="148" t="n"/>
      <c r="L594" s="148" t="n"/>
      <c r="M594" s="148" t="n"/>
      <c r="N594" s="148" t="n"/>
      <c r="O594" s="148" t="n"/>
      <c r="P594" s="148" t="n"/>
      <c r="Q594" s="148" t="n"/>
      <c r="R594" s="148">
        <f>IF(AND(G594:Q594),1,0)</f>
        <v/>
      </c>
    </row>
    <row r="595" ht="20.1" customHeight="1">
      <c r="A595" s="148" t="n">
        <v>11</v>
      </c>
      <c r="B595" s="149" t="inlineStr">
        <is>
          <t>Comp_continuous_ON</t>
        </is>
      </c>
      <c r="C595" s="149" t="n"/>
      <c r="D595" s="149" t="n"/>
      <c r="E595" s="149" t="n"/>
      <c r="F595" s="148" t="n"/>
      <c r="G595" s="148">
        <f>G593</f>
        <v/>
      </c>
      <c r="H595" s="148" t="n"/>
      <c r="I595" s="148" t="n"/>
      <c r="J595" s="148" t="n"/>
      <c r="K595" s="148" t="n"/>
      <c r="L595" s="148" t="n"/>
      <c r="M595" s="148" t="n"/>
      <c r="N595" s="148" t="n"/>
      <c r="O595" s="148" t="n"/>
      <c r="P595" s="148" t="n"/>
      <c r="Q595" s="148" t="n"/>
      <c r="R595" s="148">
        <f>IF(AND(F595:Q595),1,0)</f>
        <v/>
      </c>
    </row>
    <row r="600" ht="20.1" customHeight="1">
      <c r="A600" s="725" t="inlineStr">
        <is>
          <t>34. Condenser fan Management</t>
        </is>
      </c>
      <c r="B600" s="798" t="n"/>
      <c r="C600" s="798" t="n"/>
      <c r="D600" s="798" t="n"/>
      <c r="E600" s="798" t="n"/>
      <c r="F600" s="798" t="n"/>
      <c r="G600" s="798" t="n"/>
      <c r="H600" s="798" t="n"/>
      <c r="I600" s="798" t="n"/>
      <c r="J600" s="798" t="n"/>
      <c r="K600" s="798" t="n"/>
      <c r="L600" s="798" t="n"/>
      <c r="M600" s="798" t="n"/>
      <c r="N600" s="798" t="n"/>
      <c r="O600" s="798" t="n"/>
      <c r="P600" s="798" t="n"/>
      <c r="Q600" s="798" t="n"/>
      <c r="R600" s="309" t="n"/>
    </row>
    <row r="602" ht="20.1" customHeight="1">
      <c r="A602" s="344" t="n">
        <v>1</v>
      </c>
      <c r="B602" s="72" t="inlineStr">
        <is>
          <t>Cooling_demand</t>
        </is>
      </c>
      <c r="C602" s="72" t="n"/>
      <c r="D602" s="72" t="n"/>
      <c r="E602" s="72" t="n"/>
      <c r="F602" s="350" t="n">
        <v>1</v>
      </c>
      <c r="G602" s="344" t="n"/>
      <c r="H602" s="344" t="n"/>
      <c r="I602" s="344" t="n"/>
      <c r="J602" s="344" t="n"/>
      <c r="K602" s="344" t="n"/>
      <c r="L602" s="344" t="n"/>
      <c r="M602" s="344" t="n"/>
      <c r="N602" s="344" t="n"/>
      <c r="O602" s="344" t="n"/>
      <c r="P602" s="344" t="n"/>
      <c r="Q602" s="344" t="n"/>
      <c r="R602" s="344">
        <f>IF(AND(F602:Q602),1,0)</f>
        <v/>
      </c>
    </row>
    <row r="603" ht="20.1" customHeight="1">
      <c r="A603" s="344" t="n">
        <v>2</v>
      </c>
      <c r="B603" s="72" t="inlineStr">
        <is>
          <t>HVAC_enable</t>
        </is>
      </c>
      <c r="C603" s="72" t="n"/>
      <c r="D603" s="72" t="n"/>
      <c r="E603" s="72" t="n"/>
      <c r="F603" s="344">
        <f>HVAC_IOs!D18</f>
        <v/>
      </c>
      <c r="G603" s="344" t="n"/>
      <c r="H603" s="344" t="n"/>
      <c r="I603" s="344" t="n"/>
      <c r="J603" s="344" t="n"/>
      <c r="K603" s="344" t="n"/>
      <c r="L603" s="344" t="n"/>
      <c r="M603" s="344" t="n"/>
      <c r="N603" s="344" t="n"/>
      <c r="O603" s="344" t="n"/>
      <c r="P603" s="344" t="n"/>
      <c r="Q603" s="344" t="n"/>
      <c r="R603" s="344">
        <f>IF(AND(F603:Q603),1,0)</f>
        <v/>
      </c>
    </row>
    <row r="604" ht="20.1" customHeight="1">
      <c r="A604" s="344" t="n">
        <v>3</v>
      </c>
      <c r="B604" s="72" t="inlineStr">
        <is>
          <t>Motor_01_OK</t>
        </is>
      </c>
      <c r="C604" s="72" t="n"/>
      <c r="D604" s="72" t="n"/>
      <c r="E604" s="72" t="n"/>
      <c r="F604" s="344">
        <f>IF(OR(HVAC_IOs!D16=1,HVAC_IOs!D17=1),1,0)</f>
        <v/>
      </c>
      <c r="G604" s="344" t="n"/>
      <c r="H604" s="344" t="n"/>
      <c r="I604" s="344" t="n"/>
      <c r="J604" s="344" t="n"/>
      <c r="K604" s="344" t="n"/>
      <c r="L604" s="344" t="n"/>
      <c r="M604" s="344" t="n"/>
      <c r="N604" s="344" t="n"/>
      <c r="O604" s="344" t="n"/>
      <c r="P604" s="344" t="n"/>
      <c r="Q604" s="344" t="n"/>
      <c r="R604" s="344">
        <f>IF(AND(F604:Q604),1,0)</f>
        <v/>
      </c>
    </row>
    <row r="605" ht="20.1" customHeight="1">
      <c r="A605" s="344" t="n">
        <v>4</v>
      </c>
      <c r="B605" s="72" t="inlineStr">
        <is>
          <t>CB_healthy</t>
        </is>
      </c>
      <c r="C605" s="72" t="n"/>
      <c r="D605" s="72" t="n"/>
      <c r="E605" s="72" t="n"/>
      <c r="F605" s="344">
        <f>HVAC_IOs!D14</f>
        <v/>
      </c>
      <c r="G605" s="344" t="n"/>
      <c r="H605" s="344" t="n"/>
      <c r="I605" s="344" t="n"/>
      <c r="J605" s="344" t="n"/>
      <c r="K605" s="344" t="n"/>
      <c r="L605" s="344" t="n"/>
      <c r="M605" s="344" t="n"/>
      <c r="N605" s="344" t="n"/>
      <c r="O605" s="344" t="n"/>
      <c r="P605" s="344" t="n"/>
      <c r="Q605" s="344" t="n"/>
      <c r="R605" s="344">
        <f>IF(AND(F605:Q605),1,0)</f>
        <v/>
      </c>
    </row>
    <row r="606" ht="20.1" customHeight="1">
      <c r="A606" s="344" t="n">
        <v>5</v>
      </c>
      <c r="B606" s="72" t="inlineStr">
        <is>
          <t>NOT_shut_down</t>
        </is>
      </c>
      <c r="C606" s="72" t="n"/>
      <c r="D606" s="72" t="n"/>
      <c r="E606" s="72" t="n"/>
      <c r="F606" s="344">
        <f>HVAC_IOs!K15</f>
        <v/>
      </c>
      <c r="G606" s="344" t="n"/>
      <c r="H606" s="344" t="n"/>
      <c r="I606" s="344" t="n"/>
      <c r="J606" s="344" t="n"/>
      <c r="K606" s="344" t="n"/>
      <c r="L606" s="344" t="n"/>
      <c r="M606" s="344" t="n"/>
      <c r="N606" s="344" t="n"/>
      <c r="O606" s="344" t="n"/>
      <c r="P606" s="344" t="n"/>
      <c r="Q606" s="344" t="n"/>
      <c r="R606" s="344">
        <f>IF(AND(F606:Q606),1,0)</f>
        <v/>
      </c>
    </row>
    <row r="607" ht="20.1" customHeight="1">
      <c r="A607" s="344" t="n">
        <v>6</v>
      </c>
      <c r="B607" s="72" t="inlineStr">
        <is>
          <t>Minimum_ON_timer_(60 sec)</t>
        </is>
      </c>
      <c r="C607" s="72" t="n"/>
      <c r="D607" s="72" t="n"/>
      <c r="E607" s="72" t="n"/>
      <c r="F607" s="344">
        <f>IF(AND(R608=1,R609&gt;=60),1,0)</f>
        <v/>
      </c>
      <c r="G607" s="344" t="n"/>
      <c r="H607" s="344" t="n"/>
      <c r="I607" s="344" t="n"/>
      <c r="J607" s="344" t="n"/>
      <c r="K607" s="344" t="n"/>
      <c r="L607" s="344" t="n"/>
      <c r="M607" s="344" t="n"/>
      <c r="N607" s="344" t="n"/>
      <c r="O607" s="344" t="n"/>
      <c r="P607" s="344" t="n"/>
      <c r="Q607" s="344" t="n"/>
      <c r="R607" s="344">
        <f>IF(AND(F607:Q607),1,0)</f>
        <v/>
      </c>
    </row>
    <row r="608" ht="20.1" customHeight="1">
      <c r="A608" s="148" t="n">
        <v>7</v>
      </c>
      <c r="B608" s="149" t="inlineStr">
        <is>
          <t>Fan_Start_Request</t>
        </is>
      </c>
      <c r="C608" s="149" t="inlineStr">
        <is>
          <t>LFC06</t>
        </is>
      </c>
      <c r="D608" s="149" t="n"/>
      <c r="E608" s="149" t="n"/>
      <c r="F608" s="148" t="n"/>
      <c r="G608" s="148">
        <f>IF(AND(R602:R606),1,0)</f>
        <v/>
      </c>
      <c r="H608" s="148" t="n"/>
      <c r="I608" s="148" t="n"/>
      <c r="J608" s="148" t="n"/>
      <c r="K608" s="148" t="n"/>
      <c r="L608" s="148" t="n"/>
      <c r="M608" s="148" t="n"/>
      <c r="N608" s="148" t="n"/>
      <c r="O608" s="148" t="n"/>
      <c r="P608" s="148" t="n"/>
      <c r="Q608" s="148" t="n"/>
      <c r="R608" s="148">
        <f>IF(AND(G608:Q608),1,0)</f>
        <v/>
      </c>
    </row>
    <row r="609" ht="20.1" customHeight="1">
      <c r="A609" s="344" t="n">
        <v>8</v>
      </c>
      <c r="B609" s="72" t="n"/>
      <c r="C609" s="72" t="n"/>
      <c r="D609" s="72" t="n"/>
      <c r="E609" s="72" t="n"/>
      <c r="F609" s="72" t="n"/>
      <c r="G609" s="72" t="n"/>
      <c r="H609" s="72" t="n"/>
      <c r="I609" s="72" t="n"/>
      <c r="J609" s="72" t="n"/>
      <c r="K609" s="72" t="n"/>
      <c r="L609" s="72" t="n"/>
      <c r="M609" s="72" t="n"/>
      <c r="N609" s="72" t="n"/>
      <c r="O609" s="72" t="n"/>
      <c r="P609" s="72" t="n"/>
      <c r="Q609" s="72" t="n"/>
      <c r="R609" s="344" t="n">
        <v>0</v>
      </c>
    </row>
    <row r="610">
      <c r="A610" s="148" t="n">
        <v>9</v>
      </c>
      <c r="B610" s="149" t="inlineStr">
        <is>
          <t>Fan_ON</t>
        </is>
      </c>
      <c r="C610" s="149" t="n"/>
      <c r="D610" s="149" t="n"/>
      <c r="E610" s="149" t="n"/>
      <c r="F610" s="148" t="n"/>
      <c r="G610" s="148" t="n"/>
      <c r="H610" s="148">
        <f>IF(OR(R608,R607),1,0)</f>
        <v/>
      </c>
      <c r="I610" s="148" t="n"/>
      <c r="J610" s="148" t="n"/>
      <c r="K610" s="148" t="n"/>
      <c r="L610" s="148" t="n"/>
      <c r="M610" s="148" t="n"/>
      <c r="N610" s="148" t="n"/>
      <c r="O610" s="148" t="n"/>
      <c r="P610" s="148" t="n"/>
      <c r="Q610" s="148" t="n"/>
      <c r="R610" s="148">
        <f>IF(AND(G610:Q610),1,0)</f>
        <v/>
      </c>
    </row>
    <row r="613" ht="20.1" customHeight="1"/>
    <row r="614" ht="20.25" customHeight="1">
      <c r="A614" s="725" t="inlineStr">
        <is>
          <t>35. System Pressure Management-Refrigerent Pressure Management-High Pressure</t>
        </is>
      </c>
      <c r="B614" s="798" t="n"/>
      <c r="C614" s="798" t="n"/>
      <c r="D614" s="798" t="n"/>
      <c r="E614" s="798" t="n"/>
      <c r="F614" s="798" t="n"/>
      <c r="G614" s="798" t="n"/>
      <c r="H614" s="798" t="n"/>
      <c r="I614" s="798" t="n"/>
      <c r="J614" s="798" t="n"/>
      <c r="K614" s="798" t="n"/>
      <c r="L614" s="798" t="n"/>
      <c r="M614" s="798" t="n"/>
      <c r="N614" s="798" t="n"/>
      <c r="O614" s="798" t="n"/>
      <c r="P614" s="798" t="n"/>
      <c r="Q614" s="798" t="n"/>
      <c r="R614" s="309" t="n"/>
    </row>
    <row r="615" ht="20.1" customHeight="1"/>
    <row r="616" ht="20.1" customHeight="1">
      <c r="A616" s="65" t="n">
        <v>1</v>
      </c>
      <c r="B616" s="66" t="inlineStr">
        <is>
          <t>Pressure_&gt;_Q(pressure_switch_trip)\</t>
        </is>
      </c>
      <c r="C616" s="66" t="n"/>
      <c r="D616" s="66" t="n"/>
      <c r="E616" s="66" t="n"/>
      <c r="F616" s="65">
        <f>IF(AND(HVAC_IOs!D10=1,HVAC_IOs!D12=1),1,0)</f>
        <v/>
      </c>
      <c r="G616" s="65" t="n"/>
      <c r="H616" s="65" t="n"/>
      <c r="I616" s="65" t="n"/>
      <c r="J616" s="65" t="n"/>
      <c r="K616" s="65" t="n"/>
      <c r="L616" s="65" t="n"/>
      <c r="M616" s="65" t="n"/>
      <c r="N616" s="65" t="n"/>
      <c r="O616" s="65" t="n"/>
      <c r="P616" s="65" t="n"/>
      <c r="Q616" s="65" t="n"/>
      <c r="R616" s="65">
        <f>IF(AND(F616:Q616),1,0)</f>
        <v/>
      </c>
    </row>
    <row r="617" ht="20.1" customHeight="1">
      <c r="A617" s="65" t="n">
        <v>2</v>
      </c>
      <c r="B617" s="66" t="inlineStr">
        <is>
          <t>Pressure_&gt;_P(pleasure_transducer_trip)</t>
        </is>
      </c>
      <c r="C617" s="66" t="n"/>
      <c r="D617" s="66" t="n"/>
      <c r="E617" s="66" t="n"/>
      <c r="F617" s="65">
        <f>IF(AND(HVAC_IOs!R6=1,HVAC_IOs!R9=1),1,0)</f>
        <v/>
      </c>
      <c r="G617" s="65" t="n"/>
      <c r="H617" s="65" t="n"/>
      <c r="I617" s="65" t="n"/>
      <c r="J617" s="65" t="n"/>
      <c r="K617" s="65" t="n"/>
      <c r="L617" s="65" t="n"/>
      <c r="M617" s="65" t="n"/>
      <c r="N617" s="65" t="n"/>
      <c r="O617" s="65" t="n"/>
      <c r="P617" s="65" t="n"/>
      <c r="Q617" s="65" t="n"/>
      <c r="R617" s="65">
        <f>IF(AND(F617:Q617),1,0)</f>
        <v/>
      </c>
    </row>
    <row r="618" ht="20.1" customHeight="1">
      <c r="A618" s="65" t="n"/>
      <c r="B618" s="66" t="inlineStr">
        <is>
          <t>LFC03</t>
        </is>
      </c>
      <c r="C618" s="66" t="n"/>
      <c r="D618" s="66" t="n"/>
      <c r="E618" s="66" t="n"/>
      <c r="F618" s="65" t="n"/>
      <c r="G618" s="65">
        <f>IF(OR(F616:F617),1,0)</f>
        <v/>
      </c>
      <c r="H618" s="65" t="n"/>
      <c r="I618" s="65" t="n"/>
      <c r="J618" s="65" t="n"/>
      <c r="K618" s="65" t="n"/>
      <c r="L618" s="65" t="n"/>
      <c r="M618" s="65" t="n"/>
      <c r="N618" s="65" t="n"/>
      <c r="O618" s="65" t="n"/>
      <c r="P618" s="65" t="n"/>
      <c r="Q618" s="65" t="n"/>
      <c r="R618" s="65">
        <f>IF(AND(F618:Q618),1,0)</f>
        <v/>
      </c>
    </row>
    <row r="619" ht="20.1" customHeight="1">
      <c r="A619" s="65" t="n">
        <v>3</v>
      </c>
      <c r="B619" s="66" t="inlineStr">
        <is>
          <t>Cooling_mode_ON</t>
        </is>
      </c>
      <c r="C619" s="66" t="n"/>
      <c r="D619" s="66" t="n"/>
      <c r="E619" s="66" t="n"/>
      <c r="F619" s="65">
        <f>HVAC_IOs!D20</f>
        <v/>
      </c>
      <c r="G619" s="65" t="n"/>
      <c r="H619" s="65" t="n"/>
      <c r="I619" s="65" t="n"/>
      <c r="J619" s="65" t="n"/>
      <c r="K619" s="65" t="n"/>
      <c r="L619" s="65" t="n"/>
      <c r="M619" s="65" t="n"/>
      <c r="N619" s="65" t="n"/>
      <c r="O619" s="65" t="n"/>
      <c r="P619" s="65" t="n"/>
      <c r="Q619" s="65" t="n"/>
      <c r="R619" s="65">
        <f>IF(AND(F619:Q619),1,0)</f>
        <v/>
      </c>
    </row>
    <row r="620" ht="20.1" customHeight="1">
      <c r="A620" s="65" t="n"/>
      <c r="B620" s="66" t="inlineStr">
        <is>
          <t>LFC05</t>
        </is>
      </c>
      <c r="C620" s="66" t="n"/>
      <c r="D620" s="66" t="n"/>
      <c r="E620" s="66" t="n"/>
      <c r="F620" s="65" t="n"/>
      <c r="G620" s="65">
        <f>IF(AND(G618,F619),1,0)</f>
        <v/>
      </c>
      <c r="H620" s="65" t="n"/>
      <c r="I620" s="65" t="n"/>
      <c r="J620" s="65" t="n"/>
      <c r="K620" s="65" t="n"/>
      <c r="L620" s="65" t="n"/>
      <c r="M620" s="65" t="n"/>
      <c r="N620" s="65" t="n"/>
      <c r="O620" s="65" t="n"/>
      <c r="P620" s="65" t="n"/>
      <c r="Q620" s="65" t="n"/>
      <c r="R620" s="65">
        <f>IF(AND(F620:Q620),1,0)</f>
        <v/>
      </c>
    </row>
    <row r="621" ht="20.1" customHeight="1">
      <c r="A621" s="65" t="n">
        <v>4</v>
      </c>
      <c r="B621" s="66" t="inlineStr">
        <is>
          <t>Pressure_&lt;_L</t>
        </is>
      </c>
      <c r="C621" s="66" t="n"/>
      <c r="D621" s="66" t="n"/>
      <c r="E621" s="66" t="n"/>
      <c r="F621" s="350">
        <f>IF(AND(R5&lt;15,R8&lt;15),1,0)</f>
        <v/>
      </c>
      <c r="G621" s="65" t="n"/>
      <c r="H621" s="65" t="n"/>
      <c r="I621" s="65" t="n"/>
      <c r="J621" s="65" t="n"/>
      <c r="K621" s="65" t="n"/>
      <c r="L621" s="65" t="n"/>
      <c r="M621" s="65" t="n"/>
      <c r="N621" s="65" t="n"/>
      <c r="O621" s="65" t="n"/>
      <c r="P621" s="65" t="n"/>
      <c r="Q621" s="65" t="n"/>
      <c r="R621" s="65">
        <f>IF(AND(F621:Q621),1,0)</f>
        <v/>
      </c>
    </row>
    <row r="622" ht="20.1" customHeight="1">
      <c r="A622" s="65" t="n"/>
      <c r="B622" s="66" t="inlineStr">
        <is>
          <t>LFC07</t>
        </is>
      </c>
      <c r="C622" s="66" t="n"/>
      <c r="D622" s="66" t="n"/>
      <c r="E622" s="66" t="n"/>
      <c r="F622" s="65" t="n"/>
      <c r="G622" s="65">
        <f>IF(AND(G620,F621),1,0)</f>
        <v/>
      </c>
      <c r="H622" s="65" t="n"/>
      <c r="I622" s="65" t="n"/>
      <c r="J622" s="65" t="n"/>
      <c r="K622" s="65" t="n"/>
      <c r="L622" s="65" t="n"/>
      <c r="M622" s="65" t="n"/>
      <c r="N622" s="65" t="n"/>
      <c r="O622" s="65" t="n"/>
      <c r="P622" s="65" t="n"/>
      <c r="Q622" s="65" t="n"/>
      <c r="R622" s="65">
        <f>IF(AND(F622:Q622),1,0)</f>
        <v/>
      </c>
    </row>
    <row r="623" ht="20.1" customHeight="1">
      <c r="A623" s="65" t="n">
        <v>5</v>
      </c>
      <c r="B623" s="66" t="inlineStr">
        <is>
          <t>Pressure_&lt;_M</t>
        </is>
      </c>
      <c r="C623" s="66" t="n"/>
      <c r="D623" s="66" t="n"/>
      <c r="E623" s="66" t="n"/>
      <c r="F623" s="350">
        <f>IF(AND(R5&lt;18,R8&lt;18),1,0)</f>
        <v/>
      </c>
      <c r="G623" s="65">
        <f>IF(NOT(F623),1,0)</f>
        <v/>
      </c>
      <c r="H623" s="65" t="n"/>
      <c r="I623" s="65" t="n"/>
      <c r="J623" s="65" t="n"/>
      <c r="K623" s="65" t="n"/>
      <c r="L623" s="65" t="n"/>
      <c r="M623" s="65" t="n"/>
      <c r="N623" s="65" t="n"/>
      <c r="O623" s="65" t="n"/>
      <c r="P623" s="65" t="n"/>
      <c r="Q623" s="65" t="n"/>
      <c r="R623" s="65">
        <f>IF(AND(F623:Q623),1,0)</f>
        <v/>
      </c>
    </row>
    <row r="624">
      <c r="A624" s="148" t="n">
        <v>9</v>
      </c>
      <c r="B624" s="149" t="inlineStr">
        <is>
          <t>Compressor_02</t>
        </is>
      </c>
      <c r="C624" s="149" t="n"/>
      <c r="D624" s="149" t="n"/>
      <c r="E624" s="149" t="n"/>
      <c r="F624" s="148" t="n"/>
      <c r="G624" s="148" t="n"/>
      <c r="H624" s="148">
        <f>IF(AND(R622,R623),1,0)</f>
        <v/>
      </c>
      <c r="I624" s="148" t="n"/>
      <c r="J624" s="148" t="n"/>
      <c r="K624" s="148" t="n"/>
      <c r="L624" s="148" t="n"/>
      <c r="M624" s="148" t="n"/>
      <c r="N624" s="148" t="n"/>
      <c r="O624" s="148" t="n"/>
      <c r="P624" s="148" t="n"/>
      <c r="Q624" s="148" t="n"/>
      <c r="R624" s="148">
        <f>IF(AND(F624:Q624),1,0)</f>
        <v/>
      </c>
    </row>
    <row r="627" ht="20.1" customHeight="1">
      <c r="A627" s="725" t="inlineStr">
        <is>
          <t>36. Heater Management</t>
        </is>
      </c>
      <c r="B627" s="798" t="n"/>
      <c r="C627" s="798" t="n"/>
      <c r="D627" s="798" t="n"/>
      <c r="E627" s="798" t="n"/>
      <c r="F627" s="798" t="n"/>
      <c r="G627" s="798" t="n"/>
      <c r="H627" s="798" t="n"/>
      <c r="I627" s="798" t="n"/>
      <c r="J627" s="798" t="n"/>
      <c r="K627" s="798" t="n"/>
      <c r="L627" s="798" t="n"/>
      <c r="M627" s="798" t="n"/>
      <c r="N627" s="798" t="n"/>
      <c r="O627" s="798" t="n"/>
      <c r="P627" s="798" t="n"/>
      <c r="Q627" s="798" t="n"/>
      <c r="R627" s="309" t="n"/>
    </row>
    <row r="629" ht="20.1" customHeight="1">
      <c r="A629" s="344" t="n">
        <v>1</v>
      </c>
      <c r="B629" s="72" t="inlineStr">
        <is>
          <t>HVAC_mode_auto</t>
        </is>
      </c>
      <c r="C629" s="72" t="n"/>
      <c r="D629" s="72" t="n"/>
      <c r="E629" s="72" t="n"/>
      <c r="F629" s="344">
        <f>HVAC_IOs!K22</f>
        <v/>
      </c>
      <c r="G629" s="344" t="n"/>
      <c r="H629" s="344" t="n"/>
      <c r="I629" s="344" t="n"/>
      <c r="J629" s="344" t="n"/>
      <c r="K629" s="344" t="n"/>
      <c r="L629" s="344" t="n"/>
      <c r="M629" s="344" t="n"/>
      <c r="N629" s="344" t="n"/>
      <c r="O629" s="344" t="n"/>
      <c r="P629" s="344" t="n"/>
      <c r="Q629" s="344" t="n"/>
      <c r="R629" s="344">
        <f>IF(AND(F629:Q629),1,0)</f>
        <v/>
      </c>
    </row>
    <row r="630" ht="20.1" customHeight="1">
      <c r="A630" s="344" t="n">
        <v>2</v>
      </c>
      <c r="B630" s="72" t="inlineStr">
        <is>
          <t>PPR1_hight</t>
        </is>
      </c>
      <c r="C630" s="72" t="n"/>
      <c r="D630" s="72" t="n"/>
      <c r="E630" s="72" t="n"/>
      <c r="F630" s="344">
        <f>HVAC_IOs!D8</f>
        <v/>
      </c>
      <c r="G630" s="344" t="n"/>
      <c r="H630" s="344" t="n"/>
      <c r="I630" s="344" t="n"/>
      <c r="J630" s="344" t="n"/>
      <c r="K630" s="344" t="n"/>
      <c r="L630" s="344" t="n"/>
      <c r="M630" s="344" t="n"/>
      <c r="N630" s="344" t="n"/>
      <c r="O630" s="344" t="n"/>
      <c r="P630" s="344" t="n"/>
      <c r="Q630" s="344" t="n"/>
      <c r="R630" s="344">
        <f>IF(AND(F630:Q630),1,0)</f>
        <v/>
      </c>
    </row>
    <row r="631" ht="20.1" customHeight="1">
      <c r="A631" s="344" t="n">
        <v>3</v>
      </c>
      <c r="B631" s="72" t="inlineStr">
        <is>
          <t>Heating_demand_&gt;_0</t>
        </is>
      </c>
      <c r="C631" s="72" t="n"/>
      <c r="D631" s="72" t="n"/>
      <c r="E631" s="72" t="n"/>
      <c r="F631" s="344">
        <f>HVAC_IOs!K10</f>
        <v/>
      </c>
      <c r="G631" s="344" t="n"/>
      <c r="H631" s="344" t="n"/>
      <c r="I631" s="344" t="n"/>
      <c r="J631" s="344" t="n"/>
      <c r="K631" s="344" t="n"/>
      <c r="L631" s="344" t="n"/>
      <c r="M631" s="344" t="n"/>
      <c r="N631" s="344" t="n"/>
      <c r="O631" s="344" t="n"/>
      <c r="P631" s="344" t="n"/>
      <c r="Q631" s="344" t="n"/>
      <c r="R631" s="344">
        <f>IF(AND(F631:Q631),1,0)</f>
        <v/>
      </c>
    </row>
    <row r="632" ht="20.1" customHeight="1">
      <c r="A632" s="344" t="n">
        <v>4</v>
      </c>
      <c r="B632" s="72" t="inlineStr">
        <is>
          <t>Overhead_heater_thermostate_trip</t>
        </is>
      </c>
      <c r="C632" s="72" t="n"/>
      <c r="D632" s="72" t="n"/>
      <c r="E632" s="72" t="n"/>
      <c r="F632" s="344">
        <f>HVAC_IOs!K16</f>
        <v/>
      </c>
      <c r="G632" s="344">
        <f>IF(NOT(F632),1,0)</f>
        <v/>
      </c>
      <c r="H632" s="344" t="n"/>
      <c r="I632" s="344" t="n"/>
      <c r="J632" s="344" t="n"/>
      <c r="K632" s="344" t="n"/>
      <c r="L632" s="344" t="n"/>
      <c r="M632" s="344" t="n"/>
      <c r="N632" s="344" t="n"/>
      <c r="O632" s="344" t="n"/>
      <c r="P632" s="344" t="n"/>
      <c r="Q632" s="344" t="n"/>
      <c r="R632" s="344">
        <f>IF(AND(F632:Q632),1,0)</f>
        <v/>
      </c>
    </row>
    <row r="633" ht="20.1" customHeight="1">
      <c r="A633" s="344" t="n">
        <v>5</v>
      </c>
      <c r="B633" s="72" t="inlineStr">
        <is>
          <t>Ambient_temp_Limit_ok</t>
        </is>
      </c>
      <c r="C633" s="72" t="n"/>
      <c r="D633" s="72" t="n"/>
      <c r="E633" s="72" t="n"/>
      <c r="F633" s="344">
        <f>IF(AND(HVAC_IOs!R2=1,HVAC_IOs!R4=1,HVAC_IOs!Q10=1),1,0)</f>
        <v/>
      </c>
      <c r="G633" s="344" t="n"/>
      <c r="H633" s="344" t="n"/>
      <c r="I633" s="344" t="n"/>
      <c r="J633" s="344" t="n"/>
      <c r="K633" s="344" t="n"/>
      <c r="L633" s="344" t="n"/>
      <c r="M633" s="344" t="n"/>
      <c r="N633" s="344" t="n"/>
      <c r="O633" s="344" t="n"/>
      <c r="P633" s="344" t="n"/>
      <c r="Q633" s="344" t="n"/>
      <c r="R633" s="344">
        <f>IF(AND(F633:Q633),1,0)</f>
        <v/>
      </c>
    </row>
    <row r="634" ht="20.1" customHeight="1">
      <c r="A634" s="148" t="n">
        <v>6</v>
      </c>
      <c r="B634" s="149" t="inlineStr">
        <is>
          <t>HVAC_enable</t>
        </is>
      </c>
      <c r="C634" s="149" t="n"/>
      <c r="D634" s="149" t="n"/>
      <c r="E634" s="149" t="n"/>
      <c r="F634" s="148" t="n"/>
      <c r="G634" s="148" t="n"/>
      <c r="H634" s="148">
        <f>IF(AND(R629:R631,R632,R633),1,0)</f>
        <v/>
      </c>
      <c r="I634" s="148" t="n"/>
      <c r="J634" s="148" t="n"/>
      <c r="K634" s="148" t="n"/>
      <c r="L634" s="148" t="n"/>
      <c r="M634" s="148" t="n"/>
      <c r="N634" s="148" t="n"/>
      <c r="O634" s="148" t="n"/>
      <c r="P634" s="148" t="n"/>
      <c r="Q634" s="148" t="n"/>
      <c r="R634" s="148">
        <f>IF(AND(F634:Q634),1,0)</f>
        <v/>
      </c>
    </row>
    <row r="636" ht="20.1" customHeight="1">
      <c r="A636" s="344" t="n">
        <v>1</v>
      </c>
      <c r="B636" s="72" t="inlineStr">
        <is>
          <t>PWM_output_active_for_0-50%</t>
        </is>
      </c>
      <c r="C636" s="72" t="n"/>
      <c r="D636" s="72" t="n"/>
      <c r="E636" s="72" t="n"/>
      <c r="F636" s="344">
        <f>IF(AND((R10-R2)&gt;0,(R10-R2)&lt;=2),1,0)</f>
        <v/>
      </c>
      <c r="G636" s="344" t="n"/>
      <c r="H636" s="344" t="n"/>
      <c r="I636" s="344" t="n"/>
      <c r="J636" s="344" t="n"/>
      <c r="K636" s="344" t="n"/>
      <c r="L636" s="344" t="n"/>
      <c r="M636" s="344" t="n"/>
      <c r="N636" s="344" t="n"/>
      <c r="O636" s="344" t="n"/>
      <c r="P636" s="344" t="n"/>
      <c r="Q636" s="344" t="n"/>
      <c r="R636" s="344">
        <f>IF(AND(F636:Q636),1,0)</f>
        <v/>
      </c>
    </row>
    <row r="637" ht="20.1" customHeight="1">
      <c r="A637" s="344" t="n">
        <v>2</v>
      </c>
      <c r="B637" s="72" t="inlineStr">
        <is>
          <t>Continuous_ON(50-100%)</t>
        </is>
      </c>
      <c r="C637" s="72" t="n"/>
      <c r="D637" s="72" t="n"/>
      <c r="E637" s="72" t="n"/>
      <c r="F637" s="344">
        <f>IF(AND((R10-R2)&gt;2,(R10-R2)&lt;=5),1,0)</f>
        <v/>
      </c>
      <c r="G637" s="344" t="n"/>
      <c r="H637" s="344" t="n"/>
      <c r="I637" s="344" t="n"/>
      <c r="J637" s="344" t="n"/>
      <c r="K637" s="344" t="n"/>
      <c r="L637" s="344" t="n"/>
      <c r="M637" s="344" t="n"/>
      <c r="N637" s="344" t="n"/>
      <c r="O637" s="344" t="n"/>
      <c r="P637" s="344" t="n"/>
      <c r="Q637" s="344" t="n"/>
      <c r="R637" s="344">
        <f>IF(AND(F637:Q637),1,0)</f>
        <v/>
      </c>
    </row>
    <row r="638" ht="20.1" customHeight="1">
      <c r="A638" s="344" t="n">
        <v>3</v>
      </c>
      <c r="B638" s="72" t="inlineStr">
        <is>
          <t>Continuous_ON(100%)</t>
        </is>
      </c>
      <c r="C638" s="72" t="n"/>
      <c r="D638" s="72" t="n"/>
      <c r="E638" s="72" t="n"/>
      <c r="F638" s="344">
        <f>IF((R10-R2)&gt;5,1,0)</f>
        <v/>
      </c>
      <c r="G638" s="344" t="n"/>
      <c r="H638" s="344" t="n"/>
      <c r="I638" s="344" t="n"/>
      <c r="J638" s="344" t="n"/>
      <c r="K638" s="344" t="n"/>
      <c r="L638" s="344" t="n"/>
      <c r="M638" s="344" t="n"/>
      <c r="N638" s="344" t="n"/>
      <c r="O638" s="344" t="n"/>
      <c r="P638" s="344" t="n"/>
      <c r="Q638" s="344" t="n"/>
      <c r="R638" s="344">
        <f>IF(AND(F638:Q638),1,0)</f>
        <v/>
      </c>
    </row>
    <row r="639" ht="20.1" customHeight="1">
      <c r="A639" s="344" t="n">
        <v>4</v>
      </c>
      <c r="B639" s="72" t="inlineStr">
        <is>
          <t>Heater_enable</t>
        </is>
      </c>
      <c r="C639" s="72" t="n"/>
      <c r="D639" s="72" t="n"/>
      <c r="E639" s="72" t="n"/>
      <c r="F639" s="344">
        <f>HVAC_IOs!K10</f>
        <v/>
      </c>
      <c r="G639" s="344" t="n"/>
      <c r="H639" s="344" t="n"/>
      <c r="I639" s="344" t="n"/>
      <c r="J639" s="344" t="n"/>
      <c r="K639" s="344" t="n"/>
      <c r="L639" s="344" t="n"/>
      <c r="M639" s="344" t="n"/>
      <c r="N639" s="344" t="n"/>
      <c r="O639" s="344" t="n"/>
      <c r="P639" s="344" t="n"/>
      <c r="Q639" s="344" t="n"/>
      <c r="R639" s="344">
        <f>IF(AND(F639:Q639),1,0)</f>
        <v/>
      </c>
    </row>
    <row r="640" ht="20.1" customHeight="1">
      <c r="A640" s="344" t="n">
        <v>5</v>
      </c>
      <c r="B640" s="72" t="inlineStr">
        <is>
          <t>LFC11</t>
        </is>
      </c>
      <c r="C640" s="72" t="n"/>
      <c r="D640" s="72" t="n"/>
      <c r="E640" s="72" t="n"/>
      <c r="F640" s="344" t="n"/>
      <c r="G640" s="344">
        <f>IF(OR(F636:F638),1,0)</f>
        <v/>
      </c>
      <c r="H640" s="344" t="n"/>
      <c r="I640" s="344" t="n"/>
      <c r="J640" s="344" t="n"/>
      <c r="K640" s="344" t="n"/>
      <c r="L640" s="344" t="n"/>
      <c r="M640" s="344" t="n"/>
      <c r="N640" s="344" t="n"/>
      <c r="O640" s="344" t="n"/>
      <c r="P640" s="344" t="n"/>
      <c r="Q640" s="344" t="n"/>
      <c r="R640" s="344">
        <f>IF(AND(F640:Q640),1,0)</f>
        <v/>
      </c>
    </row>
    <row r="641" ht="20.1" customHeight="1">
      <c r="A641" s="148" t="n">
        <v>6</v>
      </c>
      <c r="B641" s="149" t="inlineStr">
        <is>
          <t>OH1_CMD</t>
        </is>
      </c>
      <c r="C641" s="149" t="n"/>
      <c r="D641" s="149" t="n"/>
      <c r="E641" s="149" t="n"/>
      <c r="F641" s="148" t="n"/>
      <c r="G641" s="148" t="n"/>
      <c r="H641" s="148">
        <f>IF(AND(R640,R639),1,0)</f>
        <v/>
      </c>
      <c r="I641" s="148" t="n"/>
      <c r="J641" s="148" t="n"/>
      <c r="K641" s="148" t="n"/>
      <c r="L641" s="148" t="n"/>
      <c r="M641" s="148" t="n"/>
      <c r="N641" s="148" t="n"/>
      <c r="O641" s="148" t="n"/>
      <c r="P641" s="148" t="n"/>
      <c r="Q641" s="148" t="n"/>
      <c r="R641" s="148">
        <f>IF(AND(G641:Q641),1,0)</f>
        <v/>
      </c>
    </row>
    <row r="644" ht="20.1" customHeight="1">
      <c r="A644" s="344" t="n">
        <v>1</v>
      </c>
      <c r="B644" s="72" t="inlineStr">
        <is>
          <t>PWM_active_for_50-100%</t>
        </is>
      </c>
      <c r="C644" s="72" t="n"/>
      <c r="D644" s="72" t="n"/>
      <c r="E644" s="72" t="n"/>
      <c r="F644" s="344">
        <f>IF(AND((R10-R2)&gt;2,(R10-R2)&lt;=5),1,0)</f>
        <v/>
      </c>
      <c r="G644" s="344" t="n"/>
      <c r="H644" s="344" t="n"/>
      <c r="I644" s="344" t="n"/>
      <c r="J644" s="344" t="n"/>
      <c r="K644" s="344" t="n"/>
      <c r="L644" s="344" t="n"/>
      <c r="M644" s="344" t="n"/>
      <c r="N644" s="344" t="n"/>
      <c r="O644" s="344" t="n"/>
      <c r="P644" s="344" t="n"/>
      <c r="Q644" s="344" t="n"/>
      <c r="R644" s="344">
        <f>IF(AND(F644:Q644),1,0)</f>
        <v/>
      </c>
    </row>
    <row r="645" ht="20.1" customHeight="1">
      <c r="A645" s="344" t="n">
        <v>2</v>
      </c>
      <c r="B645" s="72" t="inlineStr">
        <is>
          <t>continuous_ON_at(100%)</t>
        </is>
      </c>
      <c r="C645" s="72" t="n"/>
      <c r="D645" s="72" t="n"/>
      <c r="E645" s="72" t="n"/>
      <c r="F645" s="344">
        <f>IF((R10-R2)&gt;5,1,0)</f>
        <v/>
      </c>
      <c r="G645" s="344" t="n"/>
      <c r="H645" s="344" t="n"/>
      <c r="I645" s="344" t="n"/>
      <c r="J645" s="344" t="n"/>
      <c r="K645" s="344" t="n"/>
      <c r="L645" s="344" t="n"/>
      <c r="M645" s="344" t="n"/>
      <c r="N645" s="344" t="n"/>
      <c r="O645" s="344" t="n"/>
      <c r="P645" s="344" t="n"/>
      <c r="Q645" s="344" t="n"/>
      <c r="R645" s="344">
        <f>IF(AND(F645:Q645),1,0)</f>
        <v/>
      </c>
    </row>
    <row r="646" ht="20.1" customHeight="1">
      <c r="A646" s="344" t="n"/>
      <c r="B646" s="72" t="inlineStr">
        <is>
          <t>LFC16</t>
        </is>
      </c>
      <c r="C646" s="72" t="n"/>
      <c r="D646" s="72" t="n"/>
      <c r="E646" s="72" t="n"/>
      <c r="F646" s="344" t="n"/>
      <c r="G646" s="344">
        <f>IF(OR(F644:F645),1,0)</f>
        <v/>
      </c>
      <c r="H646" s="344" t="n"/>
      <c r="I646" s="344" t="n"/>
      <c r="J646" s="344" t="n"/>
      <c r="K646" s="344" t="n"/>
      <c r="L646" s="344" t="n"/>
      <c r="M646" s="344" t="n"/>
      <c r="N646" s="344" t="n"/>
      <c r="O646" s="344" t="n"/>
      <c r="P646" s="344" t="n"/>
      <c r="Q646" s="344" t="n"/>
      <c r="R646" s="344">
        <f>IF(AND(F646:Q646),1,0)</f>
        <v/>
      </c>
    </row>
    <row r="647" ht="20.1" customHeight="1">
      <c r="A647" s="344" t="n">
        <v>3</v>
      </c>
      <c r="B647" s="72" t="inlineStr">
        <is>
          <t>Heater_enable</t>
        </is>
      </c>
      <c r="C647" s="72" t="n"/>
      <c r="D647" s="72" t="n"/>
      <c r="E647" s="72" t="n"/>
      <c r="F647" s="344">
        <f>HVAC_IOs!K10</f>
        <v/>
      </c>
      <c r="G647" s="344" t="n"/>
      <c r="H647" s="344" t="n"/>
      <c r="I647" s="344" t="n"/>
      <c r="J647" s="344" t="n"/>
      <c r="K647" s="344" t="n"/>
      <c r="L647" s="344" t="n"/>
      <c r="M647" s="344" t="n"/>
      <c r="N647" s="344" t="n"/>
      <c r="O647" s="344" t="n"/>
      <c r="P647" s="344" t="n"/>
      <c r="Q647" s="344" t="n"/>
      <c r="R647" s="344">
        <f>IF(AND(F647:Q647),1,0)</f>
        <v/>
      </c>
    </row>
    <row r="648" ht="20.1" customHeight="1">
      <c r="A648" s="148" t="n">
        <v>4</v>
      </c>
      <c r="B648" s="149" t="inlineStr">
        <is>
          <t>OH2_CMD</t>
        </is>
      </c>
      <c r="C648" s="149" t="n"/>
      <c r="D648" s="149" t="n"/>
      <c r="E648" s="149" t="n"/>
      <c r="F648" s="148" t="n"/>
      <c r="G648" s="148">
        <f>IF(AND(R646,R647),1,0)</f>
        <v/>
      </c>
      <c r="H648" s="148" t="n"/>
      <c r="I648" s="148" t="n"/>
      <c r="J648" s="148" t="n"/>
      <c r="K648" s="148" t="n"/>
      <c r="L648" s="148" t="n"/>
      <c r="M648" s="148" t="n"/>
      <c r="N648" s="148" t="n"/>
      <c r="O648" s="148" t="n"/>
      <c r="P648" s="148" t="n"/>
      <c r="Q648" s="148" t="n"/>
      <c r="R648" s="148">
        <f>IF(AND(F648:Q648),1,0)</f>
        <v/>
      </c>
    </row>
    <row r="652" ht="20.1" customHeight="1">
      <c r="A652" s="725" t="inlineStr">
        <is>
          <t>37. FAD Management</t>
        </is>
      </c>
      <c r="B652" s="798" t="n"/>
      <c r="C652" s="798" t="n"/>
      <c r="D652" s="798" t="n"/>
      <c r="E652" s="798" t="n"/>
      <c r="F652" s="798" t="n"/>
      <c r="G652" s="798" t="n"/>
      <c r="H652" s="798" t="n"/>
      <c r="I652" s="798" t="n"/>
      <c r="J652" s="798" t="n"/>
      <c r="K652" s="798" t="n"/>
      <c r="L652" s="798" t="n"/>
      <c r="M652" s="798" t="n"/>
      <c r="N652" s="798" t="n"/>
      <c r="O652" s="798" t="n"/>
      <c r="P652" s="798" t="n"/>
      <c r="Q652" s="798" t="n"/>
      <c r="R652" s="309" t="n"/>
    </row>
    <row r="654" ht="20.1" customHeight="1">
      <c r="A654" s="344" t="n">
        <v>1</v>
      </c>
      <c r="B654" s="72" t="inlineStr">
        <is>
          <t>110V_DC_Trainline</t>
        </is>
      </c>
      <c r="C654" s="72" t="n"/>
      <c r="D654" s="72" t="n"/>
      <c r="E654" s="72" t="n"/>
      <c r="F654" s="350" t="n">
        <v>1</v>
      </c>
      <c r="G654" s="344" t="n"/>
      <c r="H654" s="344" t="n"/>
      <c r="I654" s="344" t="n"/>
      <c r="J654" s="344" t="n"/>
      <c r="K654" s="344" t="n"/>
      <c r="L654" s="344" t="n"/>
      <c r="M654" s="344" t="n"/>
      <c r="N654" s="344" t="n"/>
      <c r="O654" s="344" t="n"/>
      <c r="P654" s="344" t="n"/>
      <c r="Q654" s="344" t="n"/>
      <c r="R654" s="344">
        <f>IF(AND(F654:Q654),1,0)</f>
        <v/>
      </c>
    </row>
    <row r="655" ht="20.1" customHeight="1">
      <c r="A655" s="344" t="n">
        <v>2</v>
      </c>
      <c r="B655" s="72" t="inlineStr">
        <is>
          <t>FADR_energized</t>
        </is>
      </c>
      <c r="C655" s="72" t="n"/>
      <c r="D655" s="72" t="n"/>
      <c r="E655" s="72" t="n"/>
      <c r="F655" s="344">
        <f>HVAC_IOs!D6</f>
        <v/>
      </c>
      <c r="G655" s="344" t="n"/>
      <c r="H655" s="344" t="n"/>
      <c r="I655" s="344" t="n"/>
      <c r="J655" s="344" t="n"/>
      <c r="K655" s="344" t="n"/>
      <c r="L655" s="344" t="n"/>
      <c r="M655" s="344" t="n"/>
      <c r="N655" s="344" t="n"/>
      <c r="O655" s="344" t="n"/>
      <c r="P655" s="344" t="n"/>
      <c r="Q655" s="344" t="n"/>
      <c r="R655" s="344">
        <f>IF(AND(F655:Q655),1,0)</f>
        <v/>
      </c>
    </row>
    <row r="656" ht="20.1" customHeight="1">
      <c r="A656" s="344" t="n">
        <v>3</v>
      </c>
      <c r="B656" s="72" t="inlineStr">
        <is>
          <t>TCMS_close_Command</t>
        </is>
      </c>
      <c r="C656" s="72" t="n"/>
      <c r="D656" s="72" t="n"/>
      <c r="E656" s="72" t="n"/>
      <c r="F656" s="344">
        <f>HVAC_IOs!D23</f>
        <v/>
      </c>
      <c r="G656" s="344" t="n"/>
      <c r="H656" s="344" t="n"/>
      <c r="I656" s="344" t="n"/>
      <c r="J656" s="344" t="n"/>
      <c r="K656" s="344" t="n"/>
      <c r="L656" s="344" t="n"/>
      <c r="M656" s="344" t="n"/>
      <c r="N656" s="344" t="n"/>
      <c r="O656" s="344" t="n"/>
      <c r="P656" s="344" t="n"/>
      <c r="Q656" s="344" t="n"/>
      <c r="R656" s="344">
        <f>IF(AND(F656:Q656),1,0)</f>
        <v/>
      </c>
    </row>
    <row r="657" ht="20.1" customHeight="1">
      <c r="A657" s="354" t="n">
        <v>4</v>
      </c>
      <c r="B657" s="355" t="inlineStr">
        <is>
          <t>Damper_open_enabled</t>
        </is>
      </c>
      <c r="C657" s="355" t="n"/>
      <c r="D657" s="355" t="n"/>
      <c r="E657" s="355" t="n"/>
      <c r="F657" s="354" t="n"/>
      <c r="G657" s="354">
        <f>IF(AND(F654:F656),1,0)</f>
        <v/>
      </c>
      <c r="H657" s="354" t="n"/>
      <c r="I657" s="354" t="n"/>
      <c r="J657" s="354" t="n"/>
      <c r="K657" s="354" t="n"/>
      <c r="L657" s="354" t="n"/>
      <c r="M657" s="354" t="n"/>
      <c r="N657" s="354" t="n"/>
      <c r="O657" s="354" t="n"/>
      <c r="P657" s="354" t="n"/>
      <c r="Q657" s="354" t="n"/>
      <c r="R657" s="354">
        <f>IF(AND(F657:Q657),1,0)</f>
        <v/>
      </c>
    </row>
    <row r="658" ht="20.1" customHeight="1">
      <c r="A658" s="148" t="n">
        <v>5</v>
      </c>
      <c r="B658" s="149" t="inlineStr">
        <is>
          <t>(passenger load)0.25%---(Damper Position)25</t>
        </is>
      </c>
      <c r="C658" s="149" t="n"/>
      <c r="D658" s="149" t="n"/>
      <c r="E658" s="149" t="n"/>
      <c r="F658" s="148" t="n"/>
      <c r="G658" s="148">
        <f>G657</f>
        <v/>
      </c>
      <c r="H658" s="148" t="n"/>
      <c r="I658" s="148" t="n"/>
      <c r="J658" s="148" t="n"/>
      <c r="K658" s="148" t="n"/>
      <c r="L658" s="148" t="n"/>
      <c r="M658" s="148" t="n"/>
      <c r="N658" s="148" t="n"/>
      <c r="O658" s="148" t="n"/>
      <c r="P658" s="148" t="n"/>
      <c r="Q658" s="148" t="n"/>
      <c r="R658" s="148">
        <f>IF(AND(F658:Q658),1,0)</f>
        <v/>
      </c>
    </row>
    <row r="659" ht="20.1" customHeight="1">
      <c r="A659" s="148" t="n">
        <v>6</v>
      </c>
      <c r="B659" s="149" t="inlineStr">
        <is>
          <t>(passenger load)25-50%---(Damper Position)50</t>
        </is>
      </c>
      <c r="C659" s="149" t="n"/>
      <c r="D659" s="149" t="n"/>
      <c r="E659" s="149" t="n"/>
      <c r="F659" s="148" t="n"/>
      <c r="G659" s="148">
        <f>G657</f>
        <v/>
      </c>
      <c r="H659" s="148" t="n"/>
      <c r="I659" s="148" t="n"/>
      <c r="J659" s="148" t="n"/>
      <c r="K659" s="148" t="n"/>
      <c r="L659" s="148" t="n"/>
      <c r="M659" s="148" t="n"/>
      <c r="N659" s="148" t="n"/>
      <c r="O659" s="148" t="n"/>
      <c r="P659" s="148" t="n"/>
      <c r="Q659" s="148" t="n"/>
      <c r="R659" s="148">
        <f>IF(AND(F659:Q659),1,0)</f>
        <v/>
      </c>
    </row>
    <row r="660" ht="20.1" customHeight="1">
      <c r="A660" s="148" t="n">
        <v>7</v>
      </c>
      <c r="B660" s="149" t="inlineStr">
        <is>
          <t>(passenger load)51-75%---(Damper Position)75</t>
        </is>
      </c>
      <c r="C660" s="149" t="n"/>
      <c r="D660" s="149" t="n"/>
      <c r="E660" s="149" t="n"/>
      <c r="F660" s="148" t="n"/>
      <c r="G660" s="148">
        <f>G657</f>
        <v/>
      </c>
      <c r="H660" s="148" t="n"/>
      <c r="I660" s="148" t="n"/>
      <c r="J660" s="148" t="n"/>
      <c r="K660" s="148" t="n"/>
      <c r="L660" s="148" t="n"/>
      <c r="M660" s="148" t="n"/>
      <c r="N660" s="148" t="n"/>
      <c r="O660" s="148" t="n"/>
      <c r="P660" s="148" t="n"/>
      <c r="Q660" s="148" t="n"/>
      <c r="R660" s="148">
        <f>IF(AND(F660:Q660),1,0)</f>
        <v/>
      </c>
    </row>
    <row r="661" ht="20.1" customHeight="1">
      <c r="A661" s="148" t="n">
        <v>8</v>
      </c>
      <c r="B661" s="149" t="inlineStr">
        <is>
          <t>(passenger load)75-100%---(Damper Position)100</t>
        </is>
      </c>
      <c r="C661" s="149" t="n"/>
      <c r="D661" s="149" t="n"/>
      <c r="E661" s="149" t="n"/>
      <c r="F661" s="148" t="n"/>
      <c r="G661" s="148">
        <f>G657</f>
        <v/>
      </c>
      <c r="H661" s="148" t="n"/>
      <c r="I661" s="148" t="n"/>
      <c r="J661" s="148" t="n"/>
      <c r="K661" s="148" t="n"/>
      <c r="L661" s="148" t="n"/>
      <c r="M661" s="148" t="n"/>
      <c r="N661" s="148" t="n"/>
      <c r="O661" s="148" t="n"/>
      <c r="P661" s="148" t="n"/>
      <c r="Q661" s="148" t="n"/>
      <c r="R661" s="148">
        <f>IF(AND(F661:Q661),1,0)</f>
        <v/>
      </c>
    </row>
    <row r="665" ht="20.1" customHeight="1">
      <c r="A665" s="725" t="inlineStr">
        <is>
          <t>38. System Shutdown</t>
        </is>
      </c>
      <c r="B665" s="798" t="n"/>
      <c r="C665" s="798" t="n"/>
      <c r="D665" s="798" t="n"/>
      <c r="E665" s="798" t="n"/>
      <c r="F665" s="798" t="n"/>
      <c r="G665" s="798" t="n"/>
      <c r="H665" s="798" t="n"/>
      <c r="I665" s="798" t="n"/>
      <c r="J665" s="798" t="n"/>
      <c r="K665" s="798" t="n"/>
      <c r="L665" s="798" t="n"/>
      <c r="M665" s="798" t="n"/>
      <c r="N665" s="798" t="n"/>
      <c r="O665" s="798" t="n"/>
      <c r="P665" s="798" t="n"/>
      <c r="Q665" s="798" t="n"/>
      <c r="R665" s="309" t="n"/>
    </row>
    <row r="667" ht="20.1" customHeight="1">
      <c r="A667" s="344" t="n">
        <v>1</v>
      </c>
      <c r="B667" s="72" t="inlineStr">
        <is>
          <t>TCMS_HVAC_mode_OFF</t>
        </is>
      </c>
      <c r="C667" s="72" t="n"/>
      <c r="D667" s="72" t="n"/>
      <c r="E667" s="72" t="n"/>
      <c r="F667" s="344">
        <f>HVAC_IOs!K22</f>
        <v/>
      </c>
      <c r="G667" s="344" t="n"/>
      <c r="H667" s="344" t="n"/>
      <c r="I667" s="344" t="n"/>
      <c r="J667" s="344" t="n"/>
      <c r="K667" s="344" t="n"/>
      <c r="L667" s="344" t="n"/>
      <c r="M667" s="344" t="n"/>
      <c r="N667" s="344" t="n"/>
      <c r="O667" s="344" t="n"/>
      <c r="P667" s="344" t="n"/>
      <c r="Q667" s="344" t="n"/>
      <c r="R667" s="344">
        <f>IF(AND(F667:Q667),1,0)</f>
        <v/>
      </c>
    </row>
    <row r="668" ht="20.1" customHeight="1">
      <c r="A668" s="344" t="n">
        <v>2</v>
      </c>
      <c r="B668" s="72" t="inlineStr">
        <is>
          <t>HVAC_Controller_power_healthy</t>
        </is>
      </c>
      <c r="C668" s="72" t="n"/>
      <c r="D668" s="72" t="n"/>
      <c r="E668" s="72" t="n"/>
      <c r="F668" s="344">
        <f>HVAC_IOs!D25</f>
        <v/>
      </c>
      <c r="G668" s="344" t="n"/>
      <c r="H668" s="344" t="n"/>
      <c r="I668" s="344" t="n"/>
      <c r="J668" s="344" t="n"/>
      <c r="K668" s="344" t="n"/>
      <c r="L668" s="344" t="n"/>
      <c r="M668" s="344" t="n"/>
      <c r="N668" s="344" t="n"/>
      <c r="O668" s="344" t="n"/>
      <c r="P668" s="344" t="n"/>
      <c r="Q668" s="344" t="n"/>
      <c r="R668" s="344">
        <f>IF(AND(F668:Q668),1,0)</f>
        <v/>
      </c>
    </row>
    <row r="669" ht="20.1" customHeight="1">
      <c r="A669" s="344" t="n">
        <v>3</v>
      </c>
      <c r="B669" s="72" t="inlineStr">
        <is>
          <t>VCB_open</t>
        </is>
      </c>
      <c r="C669" s="72" t="n"/>
      <c r="D669" s="72" t="n"/>
      <c r="E669" s="72" t="n"/>
      <c r="F669" s="344">
        <f>HVAC_IOs!D14</f>
        <v/>
      </c>
      <c r="G669" s="344">
        <f>IF(NOT(F669),1,0)</f>
        <v/>
      </c>
      <c r="H669" s="344" t="n"/>
      <c r="I669" s="344" t="n"/>
      <c r="J669" s="344" t="n"/>
      <c r="K669" s="344" t="n"/>
      <c r="L669" s="344" t="n"/>
      <c r="M669" s="344" t="n"/>
      <c r="N669" s="344" t="n"/>
      <c r="O669" s="344" t="n"/>
      <c r="P669" s="344" t="n"/>
      <c r="Q669" s="344" t="n"/>
      <c r="R669" s="344">
        <f>IF(AND(F669:Q669),1,0)</f>
        <v/>
      </c>
    </row>
    <row r="670" ht="20.1" customHeight="1">
      <c r="A670" s="344" t="n">
        <v>4</v>
      </c>
      <c r="B670" s="72" t="inlineStr">
        <is>
          <t>415_VAC_available</t>
        </is>
      </c>
      <c r="C670" s="72" t="n"/>
      <c r="D670" s="72" t="n"/>
      <c r="E670" s="72" t="n"/>
      <c r="F670" s="344">
        <f>IF(AND(HVAC_IOs!D8=1,HVAC_IOs!D9=1),1,0)</f>
        <v/>
      </c>
      <c r="G670" s="344">
        <f>IF(NOT(F670),1,0)</f>
        <v/>
      </c>
      <c r="H670" s="344" t="n"/>
      <c r="I670" s="344" t="n"/>
      <c r="J670" s="344" t="n"/>
      <c r="K670" s="344" t="n"/>
      <c r="L670" s="344" t="n"/>
      <c r="M670" s="344" t="n"/>
      <c r="N670" s="344" t="n"/>
      <c r="O670" s="344" t="n"/>
      <c r="P670" s="344" t="n"/>
      <c r="Q670" s="344" t="n"/>
      <c r="R670" s="344">
        <f>IF(AND(F670:Q670),1,0)</f>
        <v/>
      </c>
    </row>
    <row r="671" ht="20.1" customHeight="1">
      <c r="A671" s="344" t="n">
        <v>5</v>
      </c>
      <c r="B671" s="72" t="inlineStr">
        <is>
          <t>LVPS_load_shed(110 VDC)</t>
        </is>
      </c>
      <c r="C671" s="72" t="n"/>
      <c r="D671" s="72" t="n"/>
      <c r="E671" s="72" t="n"/>
      <c r="F671" s="350" t="n">
        <v>1</v>
      </c>
      <c r="G671" s="344" t="n"/>
      <c r="H671" s="344" t="n"/>
      <c r="I671" s="344" t="n"/>
      <c r="J671" s="344" t="n"/>
      <c r="K671" s="344" t="n"/>
      <c r="L671" s="344" t="n"/>
      <c r="M671" s="344" t="n"/>
      <c r="N671" s="344" t="n"/>
      <c r="O671" s="344" t="n"/>
      <c r="P671" s="344" t="n"/>
      <c r="Q671" s="344" t="n"/>
      <c r="R671" s="344">
        <f>IF(AND(F671:Q671),1,0)</f>
        <v/>
      </c>
    </row>
    <row r="672" ht="20.1" customHeight="1">
      <c r="A672" s="344" t="n">
        <v>6</v>
      </c>
      <c r="B672" s="72" t="inlineStr">
        <is>
          <t>HVAC_Controller_power_healthy</t>
        </is>
      </c>
      <c r="C672" s="72" t="n"/>
      <c r="D672" s="72" t="n"/>
      <c r="E672" s="72" t="n"/>
      <c r="F672" s="344">
        <f>HVAC_IOs!D25</f>
        <v/>
      </c>
      <c r="G672" s="344" t="n"/>
      <c r="H672" s="344" t="n"/>
      <c r="I672" s="344" t="n"/>
      <c r="J672" s="344" t="n"/>
      <c r="K672" s="344" t="n"/>
      <c r="L672" s="344" t="n"/>
      <c r="M672" s="344" t="n"/>
      <c r="N672" s="344" t="n"/>
      <c r="O672" s="344" t="n"/>
      <c r="P672" s="344" t="n"/>
      <c r="Q672" s="344" t="n"/>
      <c r="R672" s="344">
        <f>IF(AND(F672:Q672),1,0)</f>
        <v/>
      </c>
    </row>
    <row r="673" ht="20.1" customHeight="1">
      <c r="A673" s="344" t="n">
        <v>7</v>
      </c>
      <c r="B673" s="72" t="inlineStr">
        <is>
          <t>VCB_open</t>
        </is>
      </c>
      <c r="C673" s="72" t="n"/>
      <c r="D673" s="72" t="n"/>
      <c r="E673" s="72" t="n"/>
      <c r="F673" s="344">
        <f>HVAC_IOs!D14</f>
        <v/>
      </c>
      <c r="G673" s="344" t="n"/>
      <c r="H673" s="344" t="n"/>
      <c r="I673" s="344" t="n"/>
      <c r="J673" s="344" t="n"/>
      <c r="K673" s="344" t="n"/>
      <c r="L673" s="344" t="n"/>
      <c r="M673" s="344" t="n"/>
      <c r="N673" s="344" t="n"/>
      <c r="O673" s="344" t="n"/>
      <c r="P673" s="344" t="n"/>
      <c r="Q673" s="344" t="n"/>
      <c r="R673" s="344">
        <f>IF(AND(F673:Q673),1,0)</f>
        <v/>
      </c>
    </row>
    <row r="674" ht="20.1" customHeight="1">
      <c r="A674" s="344" t="n">
        <v>8</v>
      </c>
      <c r="B674" s="72" t="inlineStr">
        <is>
          <t>415_VAC_available</t>
        </is>
      </c>
      <c r="C674" s="72" t="n"/>
      <c r="D674" s="72" t="n"/>
      <c r="E674" s="72" t="n"/>
      <c r="F674" s="344">
        <f>IF(AND(HVAC_IOs!D8=1,HVAC_IOs!D9=1),1,0)</f>
        <v/>
      </c>
      <c r="G674" s="344">
        <f>IF(NOT(F674),1,0)</f>
        <v/>
      </c>
      <c r="H674" s="344" t="n"/>
      <c r="I674" s="344" t="n"/>
      <c r="J674" s="344" t="n"/>
      <c r="K674" s="344" t="n"/>
      <c r="L674" s="344" t="n"/>
      <c r="M674" s="344" t="n"/>
      <c r="N674" s="344" t="n"/>
      <c r="O674" s="344" t="n"/>
      <c r="P674" s="344" t="n"/>
      <c r="Q674" s="344" t="n"/>
      <c r="R674" s="344">
        <f>IF(AND(F674:Q674),1,0)</f>
        <v/>
      </c>
    </row>
    <row r="675" ht="20.1" customHeight="1">
      <c r="A675" s="354" t="n">
        <v>9</v>
      </c>
      <c r="B675" s="355" t="inlineStr">
        <is>
          <t>Managed-shutdown</t>
        </is>
      </c>
      <c r="C675" s="355" t="inlineStr">
        <is>
          <t>LFC 07</t>
        </is>
      </c>
      <c r="D675" s="355" t="n"/>
      <c r="E675" s="355" t="n"/>
      <c r="F675" s="354" t="n"/>
      <c r="G675" s="354">
        <f>IF(AND(R667:R668,R669:R670),1,0)</f>
        <v/>
      </c>
      <c r="H675" s="354" t="n"/>
      <c r="I675" s="354" t="n"/>
      <c r="J675" s="354" t="n"/>
      <c r="K675" s="354" t="n"/>
      <c r="L675" s="354" t="n"/>
      <c r="M675" s="354" t="n"/>
      <c r="N675" s="354" t="n"/>
      <c r="O675" s="354" t="n"/>
      <c r="P675" s="354" t="n"/>
      <c r="Q675" s="354" t="n"/>
      <c r="R675" s="354">
        <f>IF(AND(F675:Q675),1,0)</f>
        <v/>
      </c>
    </row>
    <row r="676" ht="20.1" customHeight="1">
      <c r="A676" s="354" t="n">
        <v>10</v>
      </c>
      <c r="B676" s="355" t="inlineStr">
        <is>
          <t>LVPS_shutdown</t>
        </is>
      </c>
      <c r="C676" s="355" t="inlineStr">
        <is>
          <t>LFC 10</t>
        </is>
      </c>
      <c r="D676" s="355" t="n"/>
      <c r="E676" s="355" t="n"/>
      <c r="F676" s="354" t="n"/>
      <c r="G676" s="354">
        <f>IF(AND(F671:F672),1,0)</f>
        <v/>
      </c>
      <c r="H676" s="354" t="n"/>
      <c r="I676" s="354" t="n"/>
      <c r="J676" s="354" t="n"/>
      <c r="K676" s="354" t="n"/>
      <c r="L676" s="354" t="n"/>
      <c r="M676" s="354" t="n"/>
      <c r="N676" s="354" t="n"/>
      <c r="O676" s="354" t="n"/>
      <c r="P676" s="354" t="n"/>
      <c r="Q676" s="354" t="n"/>
      <c r="R676" s="354">
        <f>IF(AND(F676:Q676),1,0)</f>
        <v/>
      </c>
    </row>
    <row r="677" ht="20.1" customHeight="1">
      <c r="A677" s="354" t="n">
        <v>11</v>
      </c>
      <c r="B677" s="355" t="inlineStr">
        <is>
          <t>Abrupt_shutdown</t>
        </is>
      </c>
      <c r="C677" s="355" t="inlineStr">
        <is>
          <t>LFC 14</t>
        </is>
      </c>
      <c r="D677" s="355" t="n"/>
      <c r="E677" s="355" t="n"/>
      <c r="F677" s="354" t="n"/>
      <c r="G677" s="354">
        <f>IF(OR(R673,R674),1,0)</f>
        <v/>
      </c>
      <c r="H677" s="354" t="n"/>
      <c r="I677" s="354" t="n"/>
      <c r="J677" s="354" t="n"/>
      <c r="K677" s="354" t="n"/>
      <c r="L677" s="354" t="n"/>
      <c r="M677" s="354" t="n"/>
      <c r="N677" s="354" t="n"/>
      <c r="O677" s="354" t="n"/>
      <c r="P677" s="354" t="n"/>
      <c r="Q677" s="354" t="n"/>
      <c r="R677" s="354">
        <f>IF(AND(F677:Q677),1,0)</f>
        <v/>
      </c>
    </row>
    <row r="678" ht="20.1" customHeight="1">
      <c r="A678" s="148" t="n">
        <v>12</v>
      </c>
      <c r="B678" s="149" t="inlineStr">
        <is>
          <t>System_Shoutdown</t>
        </is>
      </c>
      <c r="C678" s="149" t="n"/>
      <c r="D678" s="149" t="n"/>
      <c r="E678" s="149" t="n"/>
      <c r="F678" s="148" t="n"/>
      <c r="G678" s="148" t="n"/>
      <c r="H678" s="148">
        <f>IF(OR(G675:H677),1,0)</f>
        <v/>
      </c>
      <c r="I678" s="148" t="n"/>
      <c r="J678" s="148" t="n"/>
      <c r="K678" s="148" t="n"/>
      <c r="L678" s="148" t="n"/>
      <c r="M678" s="148" t="n"/>
      <c r="N678" s="148" t="n"/>
      <c r="O678" s="148" t="n"/>
      <c r="P678" s="148" t="n"/>
      <c r="Q678" s="148" t="n"/>
      <c r="R678" s="148">
        <f>IF(AND(F678:Q678),1,0)</f>
        <v/>
      </c>
    </row>
  </sheetData>
  <mergeCells count="46">
    <mergeCell ref="A162:R162"/>
    <mergeCell ref="A256:R256"/>
    <mergeCell ref="A271:R271"/>
    <mergeCell ref="A652:R652"/>
    <mergeCell ref="A345:R345"/>
    <mergeCell ref="A419:R419"/>
    <mergeCell ref="A364:R364"/>
    <mergeCell ref="A136:R136"/>
    <mergeCell ref="A487:R487"/>
    <mergeCell ref="A503:R503"/>
    <mergeCell ref="A434:R434"/>
    <mergeCell ref="AE1:AX2"/>
    <mergeCell ref="A101:R101"/>
    <mergeCell ref="A21:R21"/>
    <mergeCell ref="A223:R223"/>
    <mergeCell ref="A86:R86"/>
    <mergeCell ref="A194:R194"/>
    <mergeCell ref="A23:R23"/>
    <mergeCell ref="A290:R290"/>
    <mergeCell ref="A309:R309"/>
    <mergeCell ref="A206:R206"/>
    <mergeCell ref="A4:R4"/>
    <mergeCell ref="A240:R240"/>
    <mergeCell ref="A327:R327"/>
    <mergeCell ref="A180:R180"/>
    <mergeCell ref="A665:R665"/>
    <mergeCell ref="A600:R600"/>
    <mergeCell ref="AE8:AX8"/>
    <mergeCell ref="A382:R382"/>
    <mergeCell ref="A400:R400"/>
    <mergeCell ref="A475:R475"/>
    <mergeCell ref="A584:R584"/>
    <mergeCell ref="A34:R34"/>
    <mergeCell ref="A627:R627"/>
    <mergeCell ref="A48:R48"/>
    <mergeCell ref="A148:R148"/>
    <mergeCell ref="A555:R555"/>
    <mergeCell ref="A540:R540"/>
    <mergeCell ref="A520:R520"/>
    <mergeCell ref="G1:Q1"/>
    <mergeCell ref="A452:R452"/>
    <mergeCell ref="A614:R614"/>
    <mergeCell ref="A70:R70"/>
    <mergeCell ref="A570:R570"/>
    <mergeCell ref="A119:R119"/>
    <mergeCell ref="R1:R2"/>
  </mergeCell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59"/>
  <sheetViews>
    <sheetView workbookViewId="0">
      <selection activeCell="I25" sqref="I25"/>
    </sheetView>
  </sheetViews>
  <sheetFormatPr baseColWidth="8" defaultColWidth="8.7109375" defaultRowHeight="15"/>
  <cols>
    <col width="8.7109375" customWidth="1" style="335" min="1" max="1"/>
    <col width="45.42578125" customWidth="1" style="335" min="2" max="2"/>
    <col width="14.28515625" customWidth="1" style="335" min="3" max="3"/>
    <col width="8.7109375" customWidth="1" style="265" min="4" max="4"/>
    <col width="8.7109375" customWidth="1" style="335" min="5" max="16384"/>
  </cols>
  <sheetData>
    <row r="1" customFormat="1" s="265">
      <c r="A1" s="720" t="inlineStr">
        <is>
          <t>SR No.</t>
        </is>
      </c>
      <c r="B1" s="720" t="inlineStr">
        <is>
          <t>INPUTS TO LFD</t>
        </is>
      </c>
      <c r="C1" s="720" t="inlineStr">
        <is>
          <t>SOURCE</t>
        </is>
      </c>
      <c r="D1" s="720" t="inlineStr">
        <is>
          <t>STATUS</t>
        </is>
      </c>
    </row>
    <row r="2">
      <c r="A2" s="265" t="n">
        <v>1</v>
      </c>
      <c r="B2" s="335" t="inlineStr">
        <is>
          <t>HVAC 1 ON</t>
        </is>
      </c>
      <c r="D2" s="265" t="n">
        <v>1</v>
      </c>
    </row>
    <row r="3">
      <c r="A3" s="265" t="n"/>
      <c r="B3" s="335" t="inlineStr">
        <is>
          <t>HVAC 2 ON</t>
        </is>
      </c>
      <c r="D3" s="265" t="n">
        <v>1</v>
      </c>
    </row>
    <row r="4">
      <c r="A4" s="265" t="n"/>
      <c r="J4" s="335">
        <f t="array" ref="J4">IF(OR('Mode Logic'!J6:J10=1),1,0)</f>
        <v/>
      </c>
    </row>
    <row r="5">
      <c r="A5" s="265" t="n"/>
    </row>
    <row r="6">
      <c r="A6" s="265" t="n">
        <v>2</v>
      </c>
      <c r="B6" s="335" t="inlineStr">
        <is>
          <t>APS1_healthy</t>
        </is>
      </c>
      <c r="D6" s="265" t="n">
        <v>0</v>
      </c>
    </row>
    <row r="7">
      <c r="A7" s="265" t="n">
        <v>3</v>
      </c>
      <c r="B7" s="335" t="inlineStr">
        <is>
          <t>APS2_Healthy</t>
        </is>
      </c>
      <c r="D7" s="265" t="n">
        <v>0</v>
      </c>
    </row>
    <row r="8">
      <c r="A8" s="265" t="n">
        <v>4</v>
      </c>
      <c r="B8" s="392" t="inlineStr">
        <is>
          <t>110V_Battery_supply</t>
        </is>
      </c>
      <c r="D8" s="265" t="n">
        <v>1</v>
      </c>
    </row>
    <row r="9">
      <c r="A9" s="265" t="n">
        <v>5</v>
      </c>
      <c r="B9" s="392" t="inlineStr">
        <is>
          <t>VDU command</t>
        </is>
      </c>
    </row>
    <row r="10">
      <c r="A10" s="265" t="n">
        <v>6</v>
      </c>
      <c r="B10" s="392" t="inlineStr">
        <is>
          <t>HVAC system status</t>
        </is>
      </c>
    </row>
    <row r="11">
      <c r="A11" s="265" t="n">
        <v>7</v>
      </c>
      <c r="B11" s="393" t="inlineStr">
        <is>
          <t>HVAC1_SMDR_de-energized</t>
        </is>
      </c>
    </row>
    <row r="12">
      <c r="A12" s="265" t="n">
        <v>8</v>
      </c>
      <c r="B12" s="393" t="inlineStr">
        <is>
          <t>HVAC2_SMDR_de-energized</t>
        </is>
      </c>
    </row>
    <row r="13">
      <c r="A13" s="265" t="n">
        <v>9</v>
      </c>
      <c r="B13" s="393" t="inlineStr">
        <is>
          <t>SMRR_relay_reset</t>
        </is>
      </c>
    </row>
    <row r="14">
      <c r="A14" s="265" t="n">
        <v>10</v>
      </c>
      <c r="B14" s="392" t="inlineStr">
        <is>
          <t>TCMS Start allow</t>
        </is>
      </c>
    </row>
    <row r="15">
      <c r="A15" s="265" t="n">
        <v>11</v>
      </c>
      <c r="B15" s="392" t="inlineStr">
        <is>
          <t>APS_1 failure</t>
        </is>
      </c>
      <c r="D15" s="265">
        <f>IF(NOT(D6),1,0)</f>
        <v/>
      </c>
    </row>
    <row r="16">
      <c r="A16" s="265" t="n">
        <v>12</v>
      </c>
      <c r="B16" s="392">
        <f>IF(Calculation!B35&gt;Calculation!B33,1,0)</f>
        <v/>
      </c>
      <c r="D16" s="265">
        <f>IF(NOT(D7),1,0)</f>
        <v/>
      </c>
    </row>
    <row r="17">
      <c r="A17" s="265" t="n">
        <v>13</v>
      </c>
      <c r="B17" s="335" t="inlineStr">
        <is>
          <t>HVAC_priority_Select</t>
        </is>
      </c>
    </row>
    <row r="18">
      <c r="B18" s="335" t="inlineStr">
        <is>
          <t>HVAC_AUTO_Mode_TCMS</t>
        </is>
      </c>
      <c r="D18" s="265" t="n">
        <v>1</v>
      </c>
    </row>
    <row r="19">
      <c r="B19" s="335" t="inlineStr">
        <is>
          <t>PPR_High</t>
        </is>
      </c>
      <c r="D19" s="265" t="n">
        <v>1</v>
      </c>
      <c r="O19" s="335">
        <f>IF(OR('Mode Logic'!J3:J4),1,0)</f>
        <v/>
      </c>
    </row>
    <row r="20">
      <c r="B20" s="335" t="inlineStr">
        <is>
          <t>Comp_min._OFF_timer_expired</t>
        </is>
      </c>
      <c r="D20" s="265" t="n">
        <v>1</v>
      </c>
    </row>
    <row r="21">
      <c r="B21" s="335" t="inlineStr">
        <is>
          <t>No_condenser_fan1_failure</t>
        </is>
      </c>
      <c r="C21" s="335">
        <f>IF(OR('Mode Logic'!J3,'Mode Logic'!J12),1,0)</f>
        <v/>
      </c>
      <c r="D21" s="265" t="n">
        <v>1</v>
      </c>
    </row>
    <row r="22">
      <c r="B22" s="335" t="inlineStr">
        <is>
          <t>No_condenser_fan2_failure</t>
        </is>
      </c>
      <c r="D22" s="265" t="n">
        <v>1</v>
      </c>
    </row>
    <row r="23">
      <c r="B23" s="335" t="inlineStr">
        <is>
          <t>Compressor Set Enabled</t>
        </is>
      </c>
      <c r="D23" s="265" t="n">
        <v>1</v>
      </c>
    </row>
    <row r="24">
      <c r="B24" s="335" t="inlineStr">
        <is>
          <t>Comp start not inhibited by start perm</t>
        </is>
      </c>
      <c r="D24" s="265" t="n">
        <v>1</v>
      </c>
    </row>
    <row r="25">
      <c r="B25" s="394" t="inlineStr">
        <is>
          <t>CTMC_energized_condenser_fan_START</t>
        </is>
      </c>
      <c r="D25" s="265" t="n">
        <v>1</v>
      </c>
    </row>
    <row r="26">
      <c r="B26" s="394" t="inlineStr">
        <is>
          <t>Liquid_line_solenoid_valve_open</t>
        </is>
      </c>
      <c r="D26" s="265" t="n">
        <v>1</v>
      </c>
    </row>
    <row r="27">
      <c r="B27" s="394" t="inlineStr">
        <is>
          <t>CFMC_feedback_OK</t>
        </is>
      </c>
      <c r="D27" s="265" t="n">
        <v>1</v>
      </c>
    </row>
    <row r="28">
      <c r="B28" s="394" t="inlineStr">
        <is>
          <t>CMC_energized</t>
        </is>
      </c>
      <c r="D28" s="265" t="n">
        <v>1</v>
      </c>
    </row>
    <row r="29">
      <c r="B29" s="394" t="inlineStr">
        <is>
          <t>Cooling_demand_&gt;_2nd_comp._threshold</t>
        </is>
      </c>
      <c r="D29" s="265">
        <f>IF(OR('Mode Logic'!J7:J10),1,0)</f>
        <v/>
      </c>
    </row>
    <row r="30">
      <c r="B30" s="394" t="inlineStr">
        <is>
          <t>2nd_comp._required</t>
        </is>
      </c>
      <c r="D30" s="265">
        <f>D29</f>
        <v/>
      </c>
    </row>
    <row r="31">
      <c r="B31" s="394" t="inlineStr">
        <is>
          <t>Comp.start-_allowed</t>
        </is>
      </c>
      <c r="D31" s="265" t="n">
        <v>1</v>
      </c>
    </row>
    <row r="32">
      <c r="B32" s="395" t="inlineStr">
        <is>
          <t>CFM fan OK</t>
        </is>
      </c>
      <c r="D32" s="265" t="n">
        <v>1</v>
      </c>
    </row>
    <row r="33">
      <c r="B33" s="394" t="inlineStr">
        <is>
          <t>HVAC_enable</t>
        </is>
      </c>
      <c r="D33" s="265" t="n">
        <v>1</v>
      </c>
    </row>
    <row r="34">
      <c r="B34" s="394" t="inlineStr">
        <is>
          <t>Motor_01_OK</t>
        </is>
      </c>
      <c r="D34" s="265" t="n">
        <v>1</v>
      </c>
    </row>
    <row r="35">
      <c r="B35" s="394" t="inlineStr">
        <is>
          <t>CB_healthy</t>
        </is>
      </c>
      <c r="D35" s="265" t="n">
        <v>1</v>
      </c>
    </row>
    <row r="36">
      <c r="B36" s="394" t="inlineStr">
        <is>
          <t>NOT_shut_down</t>
        </is>
      </c>
      <c r="D36" s="265" t="n">
        <v>1</v>
      </c>
    </row>
    <row r="37" ht="15.75" customHeight="1" thickBot="1">
      <c r="B37" s="395" t="inlineStr">
        <is>
          <t>Minimum_ON_timer_(60 sec)</t>
        </is>
      </c>
      <c r="D37" s="265" t="n">
        <v>0</v>
      </c>
    </row>
    <row r="38">
      <c r="A38" s="396" t="n"/>
      <c r="B38" s="403" t="inlineStr">
        <is>
          <t>Auto_mode_from_TCMS</t>
        </is>
      </c>
      <c r="C38" s="397" t="n"/>
      <c r="D38" s="398">
        <f t="array" ref="D38">IF(OR('Mode Logic'!J6:J10=1),1,0)</f>
        <v/>
      </c>
    </row>
    <row r="39">
      <c r="A39" s="399" t="n"/>
      <c r="B39" s="402" t="inlineStr">
        <is>
          <t>Stand_by_mode_ON</t>
        </is>
      </c>
      <c r="D39" s="325" t="n">
        <v>1</v>
      </c>
    </row>
    <row r="40">
      <c r="A40" s="399" t="n"/>
      <c r="B40" s="402" t="inlineStr">
        <is>
          <t>APS_load_reduction_ON</t>
        </is>
      </c>
      <c r="D40" s="325" t="n">
        <v>1</v>
      </c>
    </row>
    <row r="41">
      <c r="A41" s="399" t="n"/>
      <c r="B41" s="402" t="inlineStr">
        <is>
          <t>LVPS_load_shed_ON</t>
        </is>
      </c>
      <c r="D41" s="325" t="n">
        <v>1</v>
      </c>
    </row>
    <row r="42">
      <c r="A42" s="399" t="n"/>
      <c r="B42" s="402" t="inlineStr">
        <is>
          <t>No_fire_detected'</t>
        </is>
      </c>
      <c r="D42" s="325" t="n">
        <v>1</v>
      </c>
    </row>
    <row r="43">
      <c r="A43" s="399" t="n"/>
      <c r="B43" s="402" t="inlineStr">
        <is>
          <t>HP_OK</t>
        </is>
      </c>
      <c r="D43" s="325" t="n">
        <v>1</v>
      </c>
    </row>
    <row r="44">
      <c r="A44" s="399" t="n"/>
      <c r="B44" s="402" t="inlineStr">
        <is>
          <t>LP_OK</t>
        </is>
      </c>
      <c r="D44" s="325" t="n">
        <v>1</v>
      </c>
    </row>
    <row r="45">
      <c r="A45" s="399" t="n"/>
      <c r="B45" s="402" t="inlineStr">
        <is>
          <t>Breaker_ok</t>
        </is>
      </c>
      <c r="D45" s="325" t="n">
        <v>1</v>
      </c>
    </row>
    <row r="46" ht="15.75" customHeight="1" thickBot="1">
      <c r="A46" s="399" t="n"/>
      <c r="B46" s="395" t="inlineStr">
        <is>
          <t>Supply_fan_feedback_OK</t>
        </is>
      </c>
      <c r="D46" s="325" t="n">
        <v>1</v>
      </c>
    </row>
    <row r="47">
      <c r="A47" s="396" t="n"/>
      <c r="B47" s="406" t="inlineStr">
        <is>
          <t>Cooling_mode selected</t>
        </is>
      </c>
      <c r="C47" s="397" t="n"/>
      <c r="D47" s="398" t="n">
        <v>1</v>
      </c>
    </row>
    <row r="48">
      <c r="A48" s="399" t="n"/>
      <c r="B48" s="407" t="inlineStr">
        <is>
          <t>RAT&gt;Cooling_set_point</t>
        </is>
      </c>
      <c r="D48" s="325">
        <f>IF(Calculation!B35&gt;Calculation!B33,1,0)</f>
        <v/>
      </c>
    </row>
    <row r="49">
      <c r="A49" s="399" t="n"/>
      <c r="B49" s="407" t="inlineStr">
        <is>
          <t>HP_fault</t>
        </is>
      </c>
      <c r="D49" s="325" t="n">
        <v>0</v>
      </c>
    </row>
    <row r="50">
      <c r="A50" s="399" t="n"/>
      <c r="B50" s="407" t="inlineStr">
        <is>
          <t>LP_fault</t>
        </is>
      </c>
      <c r="D50" s="325" t="n">
        <v>0</v>
      </c>
    </row>
    <row r="51">
      <c r="A51" s="399" t="n"/>
      <c r="B51" s="407" t="inlineStr">
        <is>
          <t>CB_fault</t>
        </is>
      </c>
      <c r="D51" s="325" t="n">
        <v>0</v>
      </c>
    </row>
    <row r="52" ht="15.75" customHeight="1" thickBot="1">
      <c r="A52" s="400" t="n"/>
      <c r="B52" s="408" t="inlineStr">
        <is>
          <t>SAFAN_fault</t>
        </is>
      </c>
      <c r="C52" s="401" t="n"/>
      <c r="D52" s="328" t="n">
        <v>0</v>
      </c>
    </row>
    <row r="53">
      <c r="A53" s="396" t="n"/>
      <c r="B53" s="409" t="inlineStr">
        <is>
          <t>Command_emergency_mode</t>
        </is>
      </c>
      <c r="C53" s="397" t="n"/>
      <c r="D53" s="398" t="n">
        <v>0</v>
      </c>
    </row>
    <row r="54">
      <c r="A54" s="399" t="n"/>
      <c r="B54" s="394" t="inlineStr">
        <is>
          <t>APS1_file</t>
        </is>
      </c>
      <c r="D54" s="325" t="n">
        <v>0</v>
      </c>
    </row>
    <row r="55">
      <c r="A55" s="399" t="n"/>
      <c r="B55" s="394" t="inlineStr">
        <is>
          <t>APS2_file</t>
        </is>
      </c>
      <c r="D55" s="325" t="n">
        <v>0</v>
      </c>
    </row>
    <row r="56">
      <c r="A56" s="399" t="n"/>
      <c r="B56" s="394" t="inlineStr">
        <is>
          <t>PPR1_trip</t>
        </is>
      </c>
      <c r="D56" s="325" t="n">
        <v>0</v>
      </c>
    </row>
    <row r="57">
      <c r="A57" s="399" t="n"/>
      <c r="B57" s="394" t="inlineStr">
        <is>
          <t>PPR2_trip</t>
        </is>
      </c>
      <c r="D57" s="325" t="n">
        <v>0</v>
      </c>
    </row>
    <row r="58">
      <c r="A58" s="399" t="n"/>
      <c r="B58" s="394" t="inlineStr">
        <is>
          <t>SAFC1_closed</t>
        </is>
      </c>
      <c r="D58" s="325" t="n">
        <v>0</v>
      </c>
    </row>
    <row r="59">
      <c r="A59" s="399" t="n"/>
      <c r="B59" s="394" t="inlineStr">
        <is>
          <t>SAFC2_closed</t>
        </is>
      </c>
      <c r="D59" s="325" t="n">
        <v>0</v>
      </c>
    </row>
    <row r="60">
      <c r="A60" s="399" t="n"/>
      <c r="B60" s="394" t="inlineStr">
        <is>
          <t>EMR</t>
        </is>
      </c>
      <c r="D60" s="325" t="n">
        <v>1</v>
      </c>
    </row>
    <row r="61" ht="15.75" customHeight="1" thickBot="1">
      <c r="A61" s="400" t="n"/>
      <c r="B61" s="410" t="inlineStr">
        <is>
          <t>TMR1</t>
        </is>
      </c>
      <c r="C61" s="401" t="n"/>
      <c r="D61" s="328" t="n">
        <v>0</v>
      </c>
    </row>
    <row r="62">
      <c r="A62" s="396" t="n"/>
      <c r="B62" s="409" t="inlineStr">
        <is>
          <t>HEC_HEC communication status</t>
        </is>
      </c>
      <c r="C62" s="397" t="n"/>
      <c r="D62" s="398" t="n">
        <v>1</v>
      </c>
    </row>
    <row r="63">
      <c r="A63" s="399" t="n"/>
      <c r="B63" s="394" t="inlineStr">
        <is>
          <t>HVAC_ON</t>
        </is>
      </c>
      <c r="D63" s="325">
        <f>D2</f>
        <v/>
      </c>
    </row>
    <row r="64">
      <c r="A64" s="399" t="n"/>
      <c r="B64" s="394" t="inlineStr">
        <is>
          <t>Cooling enble</t>
        </is>
      </c>
      <c r="D64" s="325">
        <f>IF(OR('Mode Logic'!J4:J10),1,0)</f>
        <v/>
      </c>
    </row>
    <row r="65">
      <c r="A65" s="399" t="n"/>
      <c r="B65" s="394" t="inlineStr">
        <is>
          <t>Cooling enable</t>
        </is>
      </c>
      <c r="D65" s="325">
        <f>D64</f>
        <v/>
      </c>
    </row>
    <row r="66">
      <c r="A66" s="399" t="n"/>
      <c r="B66" s="394" t="inlineStr">
        <is>
          <t>Heating enable</t>
        </is>
      </c>
      <c r="D66" s="325">
        <f>IF(OR('Mode Logic'!J3:J4),1,0)</f>
        <v/>
      </c>
    </row>
    <row r="67">
      <c r="A67" s="399" t="n"/>
      <c r="B67" s="394" t="inlineStr">
        <is>
          <t>Reheat enable</t>
        </is>
      </c>
      <c r="D67" s="325">
        <f>D66</f>
        <v/>
      </c>
    </row>
    <row r="68" ht="15.75" customHeight="1" thickBot="1">
      <c r="A68" s="400" t="n"/>
      <c r="B68" s="410" t="inlineStr">
        <is>
          <t>ventilation enable</t>
        </is>
      </c>
      <c r="C68" s="401" t="n"/>
      <c r="D68" s="328">
        <f>'Mode Logic'!J11</f>
        <v/>
      </c>
    </row>
    <row r="69">
      <c r="A69" s="396" t="n"/>
      <c r="B69" s="409" t="inlineStr">
        <is>
          <t>110V_DC_Trainline</t>
        </is>
      </c>
      <c r="C69" s="397" t="n"/>
      <c r="D69" s="398" t="n">
        <v>1</v>
      </c>
    </row>
    <row r="70">
      <c r="A70" s="399" t="n"/>
      <c r="B70" s="394" t="inlineStr">
        <is>
          <t>FADR_energized</t>
        </is>
      </c>
      <c r="D70" s="325">
        <f>'Mode Logic'!P18</f>
        <v/>
      </c>
    </row>
    <row r="71" ht="15.75" customHeight="1" thickBot="1">
      <c r="A71" s="400" t="n"/>
      <c r="B71" s="410" t="inlineStr">
        <is>
          <t>TCMS_close_Command</t>
        </is>
      </c>
      <c r="C71" s="401" t="n"/>
      <c r="D71" s="328" t="n">
        <v>1</v>
      </c>
    </row>
    <row r="72">
      <c r="B72" s="394" t="inlineStr">
        <is>
          <t>Normal_operation_mode</t>
        </is>
      </c>
      <c r="D72" s="265">
        <f>IF(OR('Mode Logic'!J5:J12),1,0)</f>
        <v/>
      </c>
    </row>
    <row r="73" ht="15.75" customHeight="1" thickBot="1">
      <c r="B73" s="335" t="inlineStr">
        <is>
          <t>Passenger Load Modulation Available</t>
        </is>
      </c>
      <c r="D73" s="265" t="n">
        <v>1</v>
      </c>
    </row>
    <row r="74">
      <c r="A74" s="396" t="n"/>
      <c r="B74" s="409" t="inlineStr">
        <is>
          <t>PPR1_high</t>
        </is>
      </c>
      <c r="C74" s="397" t="n"/>
      <c r="D74" s="398" t="n">
        <v>1</v>
      </c>
    </row>
    <row r="75">
      <c r="A75" s="399" t="n"/>
      <c r="B75" s="394" t="inlineStr">
        <is>
          <t>Heating_demand_&gt;_0</t>
        </is>
      </c>
      <c r="D75" s="325">
        <f>D66</f>
        <v/>
      </c>
    </row>
    <row r="76">
      <c r="A76" s="399" t="n"/>
      <c r="B76" s="394" t="inlineStr">
        <is>
          <t>Overhead_heater_thermostate_trip</t>
        </is>
      </c>
      <c r="D76" s="325" t="n">
        <v>0</v>
      </c>
    </row>
    <row r="77">
      <c r="A77" s="399" t="n"/>
      <c r="B77" s="394" t="inlineStr">
        <is>
          <t>Ambient_temp_Limit_ok</t>
        </is>
      </c>
      <c r="D77" s="325" t="n">
        <v>1</v>
      </c>
    </row>
    <row r="78">
      <c r="A78" s="399" t="n"/>
      <c r="B78" s="394" t="inlineStr">
        <is>
          <t>PWM_output_active_for_0-50%</t>
        </is>
      </c>
      <c r="C78" s="265" t="n"/>
      <c r="D78" s="325" t="n">
        <v>0</v>
      </c>
    </row>
    <row r="79">
      <c r="A79" s="399" t="n"/>
      <c r="B79" s="394" t="inlineStr">
        <is>
          <t>Continuous_ON(50-100%)</t>
        </is>
      </c>
      <c r="D79" s="325" t="n">
        <v>0</v>
      </c>
    </row>
    <row r="80">
      <c r="A80" s="399" t="n"/>
      <c r="B80" s="394" t="inlineStr">
        <is>
          <t>Continuous_ON(100%)</t>
        </is>
      </c>
      <c r="D80" s="325" t="n">
        <v>1</v>
      </c>
    </row>
    <row r="81">
      <c r="A81" s="399" t="n"/>
      <c r="B81" s="394" t="inlineStr">
        <is>
          <t>Heater_enable</t>
        </is>
      </c>
      <c r="D81" s="325">
        <f>D75</f>
        <v/>
      </c>
    </row>
    <row r="82">
      <c r="A82" s="399" t="n"/>
      <c r="B82" s="394" t="inlineStr">
        <is>
          <t>PWM_active_for_50-100%</t>
        </is>
      </c>
      <c r="D82" s="325">
        <f>D78</f>
        <v/>
      </c>
    </row>
    <row r="83">
      <c r="A83" s="399" t="n"/>
      <c r="B83" s="394" t="inlineStr">
        <is>
          <t>continuous_ON_at(100%)</t>
        </is>
      </c>
      <c r="D83" s="325">
        <f>D80</f>
        <v/>
      </c>
    </row>
    <row r="84" ht="15.75" customHeight="1" thickBot="1">
      <c r="A84" s="400" t="n"/>
      <c r="B84" s="410" t="inlineStr">
        <is>
          <t>Heater_enable</t>
        </is>
      </c>
      <c r="C84" s="401" t="n"/>
      <c r="D84" s="328">
        <f>D81</f>
        <v/>
      </c>
    </row>
    <row r="85">
      <c r="A85" s="396" t="n"/>
      <c r="B85" s="409" t="inlineStr">
        <is>
          <t>No_standby_mode</t>
        </is>
      </c>
      <c r="C85" s="397" t="n"/>
      <c r="D85" s="398" t="n">
        <v>1</v>
      </c>
    </row>
    <row r="86">
      <c r="A86" s="399" t="n"/>
      <c r="B86" s="394" t="inlineStr">
        <is>
          <t>No_APS_Load_reduction</t>
        </is>
      </c>
      <c r="D86" s="325" t="n">
        <v>1</v>
      </c>
    </row>
    <row r="87">
      <c r="A87" s="399" t="n"/>
      <c r="B87" s="394" t="inlineStr">
        <is>
          <t>No_LVPS_Load_shed</t>
        </is>
      </c>
      <c r="D87" s="325" t="n">
        <v>1</v>
      </c>
    </row>
    <row r="88">
      <c r="A88" s="399" t="n"/>
      <c r="B88" s="394" t="inlineStr">
        <is>
          <t>No_fire_detected</t>
        </is>
      </c>
      <c r="D88" s="325" t="n">
        <v>1</v>
      </c>
    </row>
    <row r="89" ht="15.75" customHeight="1" thickBot="1">
      <c r="A89" s="400" t="n"/>
      <c r="B89" s="410" t="inlineStr">
        <is>
          <t>Interior_temp_&lt;_set_Point</t>
        </is>
      </c>
      <c r="C89" s="401" t="n"/>
      <c r="D89" s="328">
        <f>IF(OR('Mode Logic'!J3,'Mode Logic'!J12),1,0)</f>
        <v/>
      </c>
    </row>
    <row r="90">
      <c r="A90" s="396" t="n"/>
      <c r="B90" s="409" t="inlineStr">
        <is>
          <t>Fire_detected_on_board</t>
        </is>
      </c>
      <c r="C90" s="397" t="n"/>
      <c r="D90" s="398" t="n">
        <v>0</v>
      </c>
    </row>
    <row r="91">
      <c r="A91" s="399" t="n"/>
      <c r="B91" s="394" t="inlineStr">
        <is>
          <t>Driver_by_passs_fire_ventilation_OFF</t>
        </is>
      </c>
      <c r="D91" s="325" t="n">
        <v>1</v>
      </c>
    </row>
    <row r="92">
      <c r="A92" s="399" t="n"/>
      <c r="B92" s="394" t="inlineStr">
        <is>
          <t>External_detected_on_board</t>
        </is>
      </c>
      <c r="D92" s="325" t="n">
        <v>0</v>
      </c>
    </row>
    <row r="93" ht="15.75" customHeight="1" thickBot="1">
      <c r="A93" s="400" t="n"/>
      <c r="B93" s="410" t="inlineStr">
        <is>
          <t>Driver_by_pass-smoke_damper_close</t>
        </is>
      </c>
      <c r="C93" s="401" t="n"/>
      <c r="D93" s="328" t="n">
        <v>0</v>
      </c>
    </row>
    <row r="94">
      <c r="A94" s="396" t="n"/>
      <c r="B94" s="409" t="inlineStr">
        <is>
          <t>APS_415_VAC_available</t>
        </is>
      </c>
      <c r="C94" s="397" t="n"/>
      <c r="D94" s="398" t="n">
        <v>1</v>
      </c>
    </row>
    <row r="95">
      <c r="A95" s="399" t="n"/>
      <c r="B95" s="394" t="inlineStr">
        <is>
          <t>110_VDC_control available</t>
        </is>
      </c>
      <c r="D95" s="325" t="n">
        <v>1</v>
      </c>
    </row>
    <row r="96">
      <c r="A96" s="399" t="n"/>
      <c r="B96" s="394" t="inlineStr">
        <is>
          <t>110_VDC_FADR_available</t>
        </is>
      </c>
      <c r="D96" s="325" t="n">
        <v>1</v>
      </c>
    </row>
    <row r="97">
      <c r="A97" s="399" t="n"/>
      <c r="B97" s="394" t="inlineStr">
        <is>
          <t>110_VDC_SFC_OFF_relay_available</t>
        </is>
      </c>
      <c r="D97" s="325" t="n">
        <v>1</v>
      </c>
    </row>
    <row r="98">
      <c r="A98" s="399" t="n"/>
      <c r="B98" s="394" t="inlineStr">
        <is>
          <t>HVAC_unit_all_circuit_breaker_ON</t>
        </is>
      </c>
      <c r="D98" s="325" t="n">
        <v>1</v>
      </c>
    </row>
    <row r="99">
      <c r="A99" s="399" t="n"/>
      <c r="B99" s="394" t="inlineStr">
        <is>
          <t>Car_HVAC_circuit_breaker_ON</t>
        </is>
      </c>
      <c r="D99" s="325" t="n">
        <v>1</v>
      </c>
    </row>
    <row r="100">
      <c r="A100" s="399" t="n"/>
      <c r="B100" s="394" t="inlineStr">
        <is>
          <t>Emergency_ventilation_mode</t>
        </is>
      </c>
      <c r="D100" s="325" t="n">
        <v>0</v>
      </c>
    </row>
    <row r="101">
      <c r="A101" s="399" t="n"/>
      <c r="B101" s="394" t="inlineStr">
        <is>
          <t>TCMS_auto_mode</t>
        </is>
      </c>
      <c r="D101" s="325">
        <f>D38</f>
        <v/>
      </c>
    </row>
    <row r="102" ht="15.75" customHeight="1" thickBot="1">
      <c r="A102" s="400" t="n"/>
      <c r="B102" s="410" t="inlineStr">
        <is>
          <t>APS degraded</t>
        </is>
      </c>
      <c r="C102" s="401" t="n"/>
      <c r="D102" s="328" t="n">
        <v>0</v>
      </c>
    </row>
    <row r="103">
      <c r="A103" s="396" t="n"/>
      <c r="B103" s="409" t="inlineStr">
        <is>
          <t>HVAC_Controller_power_healthy</t>
        </is>
      </c>
      <c r="C103" s="397" t="n"/>
      <c r="D103" s="398" t="n">
        <v>1</v>
      </c>
    </row>
    <row r="104">
      <c r="A104" s="399" t="n"/>
      <c r="B104" s="394" t="inlineStr">
        <is>
          <t>VCB_open</t>
        </is>
      </c>
      <c r="D104" s="325" t="n">
        <v>0</v>
      </c>
    </row>
    <row r="105">
      <c r="A105" s="399" t="n"/>
      <c r="B105" s="394" t="inlineStr">
        <is>
          <t>415_VAC_available</t>
        </is>
      </c>
      <c r="D105" s="325">
        <f>D94</f>
        <v/>
      </c>
    </row>
    <row r="106">
      <c r="A106" s="399" t="n"/>
      <c r="B106" s="394" t="inlineStr">
        <is>
          <t>LVPS_load_shed(110 VDC)</t>
        </is>
      </c>
      <c r="D106" s="325" t="n">
        <v>0</v>
      </c>
    </row>
    <row r="107">
      <c r="A107" s="399" t="n"/>
      <c r="B107" s="394" t="inlineStr">
        <is>
          <t>HVAC_Controller_power_healthy</t>
        </is>
      </c>
      <c r="D107" s="325" t="n">
        <v>1</v>
      </c>
    </row>
    <row r="108">
      <c r="A108" s="399" t="n"/>
      <c r="B108" s="394" t="inlineStr">
        <is>
          <t>VCB_open</t>
        </is>
      </c>
      <c r="D108" s="325">
        <f>D104</f>
        <v/>
      </c>
    </row>
    <row r="109" ht="15.75" customHeight="1" thickBot="1">
      <c r="A109" s="400" t="n"/>
      <c r="B109" s="410" t="inlineStr">
        <is>
          <t>415_VAC_available</t>
        </is>
      </c>
      <c r="C109" s="401" t="n"/>
      <c r="D109" s="328">
        <f>D105</f>
        <v/>
      </c>
    </row>
    <row r="110">
      <c r="A110" s="396" t="n"/>
      <c r="B110" s="409" t="inlineStr">
        <is>
          <t>Pressure_&gt;_Q(pressure_switch_trip)\</t>
        </is>
      </c>
      <c r="C110" s="397" t="n"/>
      <c r="D110" s="398" t="n">
        <v>0</v>
      </c>
    </row>
    <row r="111">
      <c r="A111" s="399" t="n"/>
      <c r="B111" s="394" t="inlineStr">
        <is>
          <t>Pressure_&gt;_P(pleasure_transducer_trip)</t>
        </is>
      </c>
      <c r="D111" s="325" t="n">
        <v>0</v>
      </c>
    </row>
    <row r="112">
      <c r="A112" s="399" t="n"/>
      <c r="B112" s="394" t="inlineStr">
        <is>
          <t>Cooling_mode_ON</t>
        </is>
      </c>
      <c r="D112" s="325">
        <f>D65</f>
        <v/>
      </c>
    </row>
    <row r="113">
      <c r="A113" s="399" t="n"/>
      <c r="B113" s="394" t="inlineStr">
        <is>
          <t>Pressure_&lt;_L</t>
        </is>
      </c>
      <c r="D113" s="325" t="n">
        <v>0</v>
      </c>
    </row>
    <row r="114" ht="15.75" customHeight="1" thickBot="1">
      <c r="A114" s="400" t="n"/>
      <c r="B114" s="410" t="inlineStr">
        <is>
          <t>Pressure_&lt;_M</t>
        </is>
      </c>
      <c r="C114" s="401" t="n"/>
      <c r="D114" s="328" t="n">
        <v>0</v>
      </c>
    </row>
    <row r="115">
      <c r="A115" s="396" t="n"/>
      <c r="B115" s="409" t="inlineStr">
        <is>
          <t>APS_1Breaker_OK</t>
        </is>
      </c>
      <c r="C115" s="397" t="n"/>
      <c r="D115" s="398" t="n">
        <v>1</v>
      </c>
    </row>
    <row r="116">
      <c r="A116" s="399" t="n"/>
      <c r="B116" s="394" t="inlineStr">
        <is>
          <t>Emergency_OK</t>
        </is>
      </c>
      <c r="D116" s="325" t="n">
        <v>1</v>
      </c>
    </row>
    <row r="117">
      <c r="A117" s="399" t="n"/>
      <c r="B117" s="394" t="inlineStr">
        <is>
          <t>Cooling Satisfied</t>
        </is>
      </c>
      <c r="D117" s="325" t="n">
        <v>1</v>
      </c>
    </row>
    <row r="118">
      <c r="A118" s="399" t="n"/>
      <c r="B118" s="394" t="inlineStr">
        <is>
          <t>Heating Satisfied</t>
        </is>
      </c>
      <c r="D118" s="325" t="n">
        <v>1</v>
      </c>
    </row>
    <row r="119">
      <c r="A119" s="399" t="n"/>
      <c r="B119" s="394" t="inlineStr">
        <is>
          <t>Cooling/heating inhabited due to falut</t>
        </is>
      </c>
      <c r="D119" s="325" t="n">
        <v>0</v>
      </c>
    </row>
    <row r="120" ht="15.75" customHeight="1" thickBot="1">
      <c r="A120" s="400" t="n"/>
      <c r="B120" s="410" t="inlineStr">
        <is>
          <t>driver selects ventilation mode from VDU</t>
        </is>
      </c>
      <c r="C120" s="401" t="n"/>
      <c r="D120" s="328" t="n">
        <v>0</v>
      </c>
    </row>
    <row r="121">
      <c r="A121" s="396" t="n"/>
      <c r="B121" s="409" t="inlineStr">
        <is>
          <t>heating active</t>
        </is>
      </c>
      <c r="C121" s="397" t="n"/>
      <c r="D121" s="398">
        <f>D84</f>
        <v/>
      </c>
    </row>
    <row r="122">
      <c r="A122" s="399" t="n"/>
      <c r="B122" s="394" t="inlineStr">
        <is>
          <t>Relative humidity&gt;RH_Set</t>
        </is>
      </c>
      <c r="D122" s="325" t="n">
        <v>1</v>
      </c>
    </row>
    <row r="123">
      <c r="A123" s="399" t="n"/>
      <c r="B123" s="394" t="inlineStr">
        <is>
          <t>FAT&gt;=T4</t>
        </is>
      </c>
      <c r="D123" s="325">
        <f>IF('Mode Logic'!C18&gt;='Mode Logic'!G5,1,0)</f>
        <v/>
      </c>
    </row>
    <row r="124" ht="15.75" customHeight="1" thickBot="1">
      <c r="A124" s="400" t="n"/>
      <c r="B124" s="410" t="inlineStr">
        <is>
          <t>FAT&lt;=T7</t>
        </is>
      </c>
      <c r="C124" s="401" t="n"/>
      <c r="D124" s="328">
        <f>IF('Mode Logic'!C18&lt;='Mode Logic'!G8,1,0)</f>
        <v/>
      </c>
    </row>
    <row r="125">
      <c r="A125" s="396" t="n"/>
      <c r="B125" s="409" t="inlineStr">
        <is>
          <t>Heater_ok</t>
        </is>
      </c>
      <c r="C125" s="397" t="n"/>
      <c r="D125" s="398" t="n">
        <v>1</v>
      </c>
    </row>
    <row r="126">
      <c r="A126" s="399" t="n"/>
      <c r="B126" s="394" t="inlineStr">
        <is>
          <t>Fan_ok</t>
        </is>
      </c>
      <c r="D126" s="325" t="n">
        <v>1</v>
      </c>
    </row>
    <row r="127">
      <c r="A127" s="399" t="n"/>
      <c r="B127" s="394" t="inlineStr">
        <is>
          <t>Breaker_ok</t>
        </is>
      </c>
      <c r="D127" s="325" t="n">
        <v>1</v>
      </c>
    </row>
    <row r="128">
      <c r="A128" s="399" t="n"/>
      <c r="B128" s="394" t="inlineStr">
        <is>
          <t>No_Fire</t>
        </is>
      </c>
      <c r="D128" s="325" t="n">
        <v>1</v>
      </c>
    </row>
    <row r="129">
      <c r="A129" s="399" t="n"/>
      <c r="B129" s="394" t="inlineStr">
        <is>
          <t>FAT_&lt;_T5</t>
        </is>
      </c>
      <c r="D129" s="325">
        <f>IF('Mode Logic'!C18&lt;='Mode Logic'!G6,1,0)</f>
        <v/>
      </c>
    </row>
    <row r="130" ht="15.75" customHeight="1" thickBot="1">
      <c r="A130" s="400" t="n"/>
      <c r="B130" s="410" t="inlineStr">
        <is>
          <t>Fan_FB_OK</t>
        </is>
      </c>
      <c r="C130" s="401" t="n"/>
      <c r="D130" s="328" t="n">
        <v>1</v>
      </c>
    </row>
    <row r="131">
      <c r="A131" s="396" t="n"/>
      <c r="B131" s="409" t="inlineStr">
        <is>
          <t>FAT_&gt;=_T7</t>
        </is>
      </c>
      <c r="C131" s="397" t="n"/>
      <c r="D131" s="398">
        <f>IF('Mode Logic'!C18&gt;='Mode Logic'!G8,1,0)</f>
        <v/>
      </c>
    </row>
    <row r="132" ht="16.5" customHeight="1">
      <c r="A132" s="399" t="n"/>
      <c r="B132" s="17" t="inlineStr">
        <is>
          <t>Preconditioning Enable</t>
        </is>
      </c>
      <c r="D132" s="325">
        <f>IF(OR('Mode Logic'!J3:J4),1,0)</f>
        <v/>
      </c>
    </row>
    <row r="133" ht="17.25" customHeight="1" thickBot="1">
      <c r="A133" s="400" t="n"/>
      <c r="B133" s="389" t="inlineStr">
        <is>
          <t>RAT_SP&lt;=3K</t>
        </is>
      </c>
      <c r="C133" s="401" t="n"/>
      <c r="D133" s="328">
        <f>IF(Calculation!B35-Calculation!B33&gt;=3,1,0)</f>
        <v/>
      </c>
    </row>
    <row r="134" ht="16.5" customHeight="1">
      <c r="A134" s="396" t="n"/>
      <c r="B134" s="390" t="inlineStr">
        <is>
          <t>60 min timer Expire</t>
        </is>
      </c>
      <c r="C134" s="397" t="n"/>
      <c r="D134" s="398">
        <f>IF('Mode Logic'!C20&gt;60,1,0)</f>
        <v/>
      </c>
    </row>
    <row r="135" ht="16.5" customHeight="1">
      <c r="A135" s="399" t="n"/>
      <c r="B135" s="17" t="inlineStr">
        <is>
          <t>Precondition_command</t>
        </is>
      </c>
      <c r="D135" s="325">
        <f>IF(OR('Mode Logic'!J3:J4),1,0)</f>
        <v/>
      </c>
    </row>
    <row r="136" ht="17.25" customHeight="1" thickBot="1">
      <c r="A136" s="400" t="n"/>
      <c r="B136" s="389" t="inlineStr">
        <is>
          <t>passanger_&lt;=_10%</t>
        </is>
      </c>
      <c r="C136" s="401" t="n"/>
      <c r="D136" s="328">
        <f>IF(Calculation!B7&lt;10,1,0)</f>
        <v/>
      </c>
    </row>
    <row r="137" ht="16.5" customHeight="1">
      <c r="B137" s="17" t="inlineStr">
        <is>
          <t>RAT_&lt;=_SP+3K</t>
        </is>
      </c>
      <c r="D137" s="265">
        <f>IF(Calculation!B33-Calculation!B35&gt;=3,1,0)</f>
        <v/>
      </c>
    </row>
    <row r="138" ht="17.25" customHeight="1" thickBot="1">
      <c r="B138" s="388" t="inlineStr">
        <is>
          <t>RAT_&gt;SP+3</t>
        </is>
      </c>
      <c r="D138" s="265">
        <f>IF(Calculation!B35-Calculation!B33&gt;3,1,0)</f>
        <v/>
      </c>
    </row>
    <row r="139" ht="16.5" customHeight="1">
      <c r="A139" s="396" t="n"/>
      <c r="B139" s="390" t="inlineStr">
        <is>
          <t>N1_ON_HVAC_online_network_1</t>
        </is>
      </c>
      <c r="C139" s="397" t="n"/>
      <c r="D139" s="398" t="n">
        <v>1</v>
      </c>
    </row>
    <row r="140" ht="16.5" customHeight="1">
      <c r="A140" s="399" t="n"/>
      <c r="B140" s="17" t="inlineStr">
        <is>
          <t>N1_V1_HVAC1_Data_Valid</t>
        </is>
      </c>
      <c r="D140" s="325" t="n">
        <v>1</v>
      </c>
    </row>
    <row r="141" ht="16.5" customHeight="1">
      <c r="A141" s="399" t="n"/>
      <c r="B141" s="17" t="inlineStr">
        <is>
          <t>N1_V2_HVAC2_data_valid</t>
        </is>
      </c>
      <c r="D141" s="325" t="n">
        <v>1</v>
      </c>
    </row>
    <row r="142" ht="16.5" customHeight="1">
      <c r="A142" s="399" t="n"/>
      <c r="B142" s="17" t="inlineStr">
        <is>
          <t>N1_ON_HVAC_SD_online_network_2</t>
        </is>
      </c>
      <c r="D142" s="325" t="n">
        <v>1</v>
      </c>
    </row>
    <row r="143" ht="16.5" customHeight="1">
      <c r="A143" s="399" t="n"/>
      <c r="B143" s="17" t="inlineStr">
        <is>
          <t>N2_V2_No_HVAC2_data_valid</t>
        </is>
      </c>
      <c r="D143" s="325" t="n">
        <v>1</v>
      </c>
    </row>
    <row r="144" ht="17.25" customHeight="1" thickBot="1">
      <c r="A144" s="400" t="n"/>
      <c r="B144" s="389" t="inlineStr">
        <is>
          <t>N2_V2_HVAC2_data_valid</t>
        </is>
      </c>
      <c r="C144" s="401" t="n"/>
      <c r="D144" s="328" t="n">
        <v>1</v>
      </c>
    </row>
    <row r="145" ht="16.5" customHeight="1">
      <c r="B145" s="17" t="inlineStr">
        <is>
          <t>N1_ON_HVAC_SD_online_network</t>
        </is>
      </c>
      <c r="D145" s="265" t="n">
        <v>1</v>
      </c>
    </row>
    <row r="146" ht="16.5" customHeight="1">
      <c r="B146" s="17" t="inlineStr">
        <is>
          <t>N2_V1_HVAC1_data_valid</t>
        </is>
      </c>
      <c r="D146" s="265" t="n">
        <v>1</v>
      </c>
    </row>
    <row r="147" ht="17.25" customHeight="1" thickBot="1">
      <c r="B147" s="388" t="inlineStr">
        <is>
          <t>N2_V2_HVAC2_data_valid</t>
        </is>
      </c>
      <c r="D147" s="265" t="n">
        <v>1</v>
      </c>
    </row>
    <row r="148" ht="16.5" customHeight="1">
      <c r="A148" s="396" t="n"/>
      <c r="B148" s="405" t="inlineStr">
        <is>
          <t>HVAC1_SMDR_de-energized</t>
        </is>
      </c>
      <c r="C148" s="397" t="n"/>
      <c r="D148" s="398" t="n">
        <v>0</v>
      </c>
    </row>
    <row r="149" ht="16.5" customHeight="1">
      <c r="A149" s="399" t="n"/>
      <c r="B149" s="7" t="inlineStr">
        <is>
          <t>HVAC2_SMDR_de-energized</t>
        </is>
      </c>
      <c r="D149" s="325" t="n">
        <v>0</v>
      </c>
    </row>
    <row r="150" ht="17.25" customHeight="1" thickBot="1">
      <c r="A150" s="400" t="n"/>
      <c r="B150" s="391" t="inlineStr">
        <is>
          <t>SMRR_relay_reset</t>
        </is>
      </c>
      <c r="C150" s="401" t="n"/>
      <c r="D150" s="328" t="n">
        <v>0</v>
      </c>
    </row>
    <row r="151" ht="17.25" customHeight="1" thickBot="1">
      <c r="B151" s="404" t="inlineStr">
        <is>
          <t>VDP command</t>
        </is>
      </c>
      <c r="D151" s="265" t="n">
        <v>1</v>
      </c>
    </row>
    <row r="152" ht="16.5" customHeight="1">
      <c r="A152" s="396" t="n"/>
      <c r="B152" s="405" t="inlineStr">
        <is>
          <t>START_Command_TCMS</t>
        </is>
      </c>
      <c r="C152" s="397" t="n"/>
      <c r="D152" s="398" t="n">
        <v>1</v>
      </c>
    </row>
    <row r="153" ht="16.5" customHeight="1">
      <c r="A153" s="399" t="n"/>
      <c r="B153" s="7" t="inlineStr">
        <is>
          <t>START_allow</t>
        </is>
      </c>
      <c r="D153" s="325" t="n">
        <v>1</v>
      </c>
    </row>
    <row r="154" ht="16.5" customHeight="1">
      <c r="A154" s="399" t="n"/>
      <c r="B154" s="7" t="inlineStr">
        <is>
          <t>Comp_2_Start</t>
        </is>
      </c>
      <c r="D154" s="325">
        <f>'Mode Logic'!M18</f>
        <v/>
      </c>
    </row>
    <row r="155" ht="16.5" customHeight="1">
      <c r="A155" s="399" t="n"/>
      <c r="B155" s="7" t="inlineStr">
        <is>
          <t>Load_Cooling_Level_5</t>
        </is>
      </c>
      <c r="D155" s="325">
        <f>'Mode Logic'!L9</f>
        <v/>
      </c>
    </row>
    <row r="156" ht="16.5" customHeight="1">
      <c r="A156" s="399" t="n"/>
      <c r="B156" s="7" t="inlineStr">
        <is>
          <t>Comp_3_Start</t>
        </is>
      </c>
      <c r="D156" s="325">
        <f>'Mode Logic'!N18</f>
        <v/>
      </c>
    </row>
    <row r="157" ht="17.25" customHeight="1" thickBot="1">
      <c r="A157" s="400" t="n"/>
      <c r="B157" s="391" t="inlineStr">
        <is>
          <t>Load_Cooling_level_7</t>
        </is>
      </c>
      <c r="C157" s="401" t="n"/>
      <c r="D157" s="328">
        <f>'Mode Logic'!J10</f>
        <v/>
      </c>
    </row>
    <row r="158" ht="16.5" customHeight="1">
      <c r="A158" s="396" t="n"/>
      <c r="B158" s="405" t="inlineStr">
        <is>
          <t>Driver_Close_command</t>
        </is>
      </c>
      <c r="C158" s="397" t="n"/>
      <c r="D158" s="398" t="n">
        <v>0</v>
      </c>
    </row>
    <row r="159" ht="16.5" customHeight="1">
      <c r="A159" s="399" t="n"/>
      <c r="B159" s="7" t="inlineStr">
        <is>
          <t>Driver_by_pass_command</t>
        </is>
      </c>
      <c r="D159" s="325" t="n">
        <v>0</v>
      </c>
    </row>
    <row r="160" ht="17.25" customHeight="1" thickBot="1">
      <c r="A160" s="400" t="n"/>
      <c r="B160" s="391" t="inlineStr">
        <is>
          <t>FADR_closed</t>
        </is>
      </c>
      <c r="C160" s="401" t="n"/>
      <c r="D160" s="328">
        <f>'Mode Logic'!P18</f>
        <v/>
      </c>
    </row>
    <row r="284">
      <c r="F284" s="335">
        <f>IF('DATA TRANSFER'!AE18=1,1,0)</f>
        <v/>
      </c>
    </row>
    <row r="359">
      <c r="F359" s="335">
        <f>'DATA TRANSFER'!M285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Q914"/>
  <sheetViews>
    <sheetView topLeftCell="CK1" zoomScale="120" zoomScaleNormal="120" workbookViewId="0">
      <pane ySplit="1" topLeftCell="A2" activePane="bottomLeft" state="frozen"/>
      <selection pane="bottomLeft" activeCell="CK4" sqref="CK4"/>
    </sheetView>
  </sheetViews>
  <sheetFormatPr baseColWidth="8" defaultColWidth="9.140625" defaultRowHeight="15.75"/>
  <cols>
    <col width="9.140625" customWidth="1" style="742" min="1" max="1"/>
    <col width="16.28515625" customWidth="1" style="742" min="2" max="2"/>
    <col width="16" customWidth="1" style="742" min="3" max="3"/>
    <col width="17.7109375" customWidth="1" style="742" min="4" max="4"/>
    <col width="17.140625" customWidth="1" style="742" min="5" max="5"/>
    <col width="15.42578125" customWidth="1" style="275" min="6" max="6"/>
    <col width="14.7109375" customWidth="1" style="267" min="7" max="7"/>
    <col width="14.140625" customWidth="1" style="742" min="8" max="8"/>
    <col width="23" customWidth="1" style="742" min="9" max="9"/>
    <col width="21.140625" customWidth="1" style="742" min="10" max="10"/>
    <col width="18.42578125" customWidth="1" style="742" min="11" max="11"/>
    <col width="18.85546875" customWidth="1" style="742" min="12" max="12"/>
    <col width="15.85546875" customWidth="1" style="742" min="13" max="13"/>
    <col width="13.28515625" customWidth="1" style="742" min="14" max="14"/>
    <col width="12.7109375" customWidth="1" style="742" min="15" max="15"/>
    <col width="14.28515625" customWidth="1" style="267" min="16" max="16"/>
    <col width="21.140625" customWidth="1" style="267" min="17" max="17"/>
    <col width="21.28515625" customWidth="1" style="267" min="18" max="18"/>
    <col width="18.42578125" customWidth="1" style="742" min="19" max="19"/>
    <col width="16.7109375" customWidth="1" style="742" min="20" max="20"/>
    <col width="18.28515625" customWidth="1" style="275" min="21" max="21"/>
    <col width="17.7109375" customWidth="1" style="742" min="22" max="22"/>
    <col width="14.85546875" customWidth="1" style="742" min="23" max="23"/>
    <col width="14.42578125" customWidth="1" style="742" min="24" max="24"/>
    <col width="16.28515625" customWidth="1" style="742" min="25" max="25"/>
    <col width="15" customWidth="1" style="742" min="26" max="26"/>
    <col width="43.140625" customWidth="1" style="267" min="27" max="27"/>
    <col width="15" customWidth="1" style="742" min="28" max="30"/>
    <col width="9.140625" customWidth="1" style="742" min="31" max="31"/>
    <col width="20.42578125" customWidth="1" style="267" min="32" max="32"/>
    <col width="16.42578125" customWidth="1" style="742" min="33" max="33"/>
    <col width="27.7109375" customWidth="1" style="742" min="34" max="34"/>
    <col width="19" customWidth="1" style="742" min="35" max="35"/>
    <col width="24.42578125" customWidth="1" style="742" min="36" max="36"/>
    <col width="21.7109375" customWidth="1" style="742" min="37" max="37"/>
    <col width="18.28515625" customWidth="1" style="742" min="38" max="38"/>
    <col width="15.7109375" customWidth="1" style="742" min="39" max="39"/>
    <col width="16.140625" customWidth="1" style="742" min="40" max="40"/>
    <col width="17.140625" customWidth="1" style="742" min="41" max="41"/>
    <col width="9.140625" customWidth="1" style="742" min="42" max="42"/>
    <col width="17" customWidth="1" style="742" min="43" max="43"/>
    <col width="9.140625" customWidth="1" style="742" min="44" max="44"/>
    <col width="14.28515625" customWidth="1" style="267" min="45" max="45"/>
    <col width="21.28515625" customWidth="1" style="742" min="46" max="46"/>
    <col width="18.85546875" customWidth="1" style="742" min="47" max="47"/>
    <col width="16.42578125" customWidth="1" style="742" min="48" max="48"/>
    <col width="15.85546875" customWidth="1" style="742" min="49" max="49"/>
    <col width="19.7109375" customWidth="1" style="742" min="50" max="50"/>
    <col width="15.7109375" customWidth="1" style="742" min="51" max="51"/>
    <col width="16.140625" customWidth="1" style="742" min="52" max="52"/>
    <col width="15" customWidth="1" style="742" min="53" max="53"/>
    <col width="15.140625" customWidth="1" style="742" min="54" max="54"/>
    <col width="23.140625" customWidth="1" style="742" min="55" max="55"/>
    <col width="21.7109375" customWidth="1" style="742" min="56" max="58"/>
    <col width="21.28515625" customWidth="1" style="742" min="59" max="59"/>
    <col width="28.140625" customWidth="1" style="742" min="60" max="60"/>
    <col width="9.140625" customWidth="1" style="742" min="61" max="61"/>
    <col width="21.42578125" customWidth="1" style="742" min="62" max="62"/>
    <col width="16" customWidth="1" style="742" min="63" max="63"/>
    <col width="13.85546875" customWidth="1" style="742" min="64" max="64"/>
    <col width="18.85546875" customWidth="1" style="742" min="65" max="65"/>
    <col width="19.28515625" customWidth="1" style="267" min="66" max="66"/>
    <col width="14" customWidth="1" style="742" min="67" max="67"/>
    <col width="14.42578125" customWidth="1" style="742" min="68" max="69"/>
    <col width="16.140625" customWidth="1" style="742" min="70" max="70"/>
    <col width="16" customWidth="1" style="742" min="71" max="71"/>
    <col width="24.140625" customWidth="1" style="742" min="72" max="72"/>
    <col width="32.140625" customWidth="1" style="742" min="73" max="73"/>
    <col width="25.140625" customWidth="1" style="742" min="74" max="74"/>
    <col width="24.42578125" customWidth="1" style="742" min="75" max="75"/>
    <col width="11.42578125" customWidth="1" style="742" min="76" max="76"/>
    <col width="17.7109375" customWidth="1" style="742" min="77" max="77"/>
    <col width="13.42578125" customWidth="1" style="742" min="78" max="79"/>
    <col width="16.7109375" customWidth="1" style="742" min="80" max="80"/>
    <col width="20.140625" customWidth="1" style="742" min="81" max="81"/>
    <col width="15.7109375" customWidth="1" style="742" min="82" max="82"/>
    <col width="14.7109375" customWidth="1" style="742" min="83" max="83"/>
    <col width="15.85546875" customWidth="1" style="742" min="84" max="84"/>
    <col width="15.7109375" customWidth="1" style="742" min="85" max="85"/>
    <col width="23.28515625" customWidth="1" style="742" min="86" max="88"/>
    <col width="15.42578125" customWidth="1" style="742" min="89" max="89"/>
    <col width="14.42578125" customWidth="1" style="742" min="90" max="90"/>
    <col width="16.42578125" customWidth="1" style="742" min="91" max="91"/>
    <col width="17" customWidth="1" style="742" min="92" max="92"/>
    <col width="15.42578125" customWidth="1" style="742" min="93" max="93"/>
    <col width="16.28515625" customWidth="1" style="742" min="94" max="94"/>
    <col width="15" customWidth="1" style="742" min="95" max="95"/>
    <col width="17.42578125" customWidth="1" style="742" min="96" max="96"/>
    <col width="9.140625" customWidth="1" style="742" min="97" max="97"/>
    <col width="30.140625" customWidth="1" style="742" min="98" max="98"/>
    <col width="22" customWidth="1" style="742" min="99" max="99"/>
    <col width="30.5703125" customWidth="1" style="742" min="100" max="100"/>
    <col width="25.85546875" customWidth="1" style="742" min="101" max="101"/>
    <col width="9.140625" customWidth="1" style="742" min="102" max="102"/>
    <col width="16.85546875" customWidth="1" style="742" min="103" max="103"/>
    <col width="21.42578125" customWidth="1" style="742" min="104" max="104"/>
    <col width="25.85546875" customWidth="1" style="742" min="105" max="105"/>
    <col width="18.42578125" customWidth="1" style="742" min="106" max="106"/>
    <col width="21" customWidth="1" style="742" min="107" max="107"/>
    <col width="21.42578125" customWidth="1" style="742" min="108" max="108"/>
    <col width="16.140625" customWidth="1" style="742" min="109" max="109"/>
    <col width="17.7109375" customWidth="1" style="742" min="110" max="110"/>
    <col width="25" customWidth="1" style="742" min="111" max="111"/>
    <col width="26.85546875" customWidth="1" style="742" min="112" max="112"/>
    <col width="9.140625" customWidth="1" style="742" min="113" max="115"/>
    <col width="19" customWidth="1" style="742" min="116" max="116"/>
    <col width="28.140625" customWidth="1" style="742" min="117" max="117"/>
    <col width="16.85546875" customWidth="1" style="742" min="118" max="118"/>
    <col width="18" customWidth="1" style="742" min="119" max="119"/>
    <col width="18.42578125" customWidth="1" style="275" min="120" max="120"/>
    <col width="20" customWidth="1" style="742" min="121" max="121"/>
    <col width="20.5703125" customWidth="1" style="742" min="122" max="122"/>
    <col width="20.42578125" customWidth="1" style="742" min="123" max="123"/>
    <col width="27.28515625" customWidth="1" style="742" min="124" max="124"/>
    <col width="9.140625" customWidth="1" style="742" min="125" max="125"/>
    <col width="24.5703125" customWidth="1" style="742" min="126" max="129"/>
    <col width="12" customWidth="1" style="742" min="130" max="130"/>
    <col width="22.7109375" customWidth="1" style="742" min="131" max="131"/>
    <col width="39" customWidth="1" style="742" min="132" max="132"/>
    <col width="13.42578125" customWidth="1" style="742" min="133" max="133"/>
    <col width="20.5703125" customWidth="1" style="742" min="134" max="135"/>
    <col width="17.7109375" customWidth="1" style="742" min="136" max="136"/>
    <col width="16.85546875" customWidth="1" style="742" min="137" max="137"/>
    <col width="21.85546875" customWidth="1" style="742" min="138" max="138"/>
    <col width="21.42578125" customWidth="1" style="267" min="139" max="139"/>
    <col width="9.140625" customWidth="1" style="742" min="140" max="140"/>
    <col width="27.5703125" customWidth="1" style="742" min="141" max="141"/>
    <col width="19.5703125" customWidth="1" style="742" min="142" max="143"/>
    <col width="9.140625" customWidth="1" style="742" min="144" max="145"/>
    <col width="17.140625" customWidth="1" style="742" min="146" max="146"/>
    <col width="22.28515625" customWidth="1" style="742" min="147" max="147"/>
    <col width="9.140625" customWidth="1" style="742" min="148" max="148"/>
    <col width="19.85546875" customWidth="1" style="742" min="149" max="149"/>
    <col width="18.85546875" customWidth="1" style="742" min="150" max="150"/>
    <col width="20" customWidth="1" style="742" min="151" max="151"/>
    <col width="16.7109375" customWidth="1" style="742" min="152" max="152"/>
    <col width="17.42578125" customWidth="1" style="742" min="153" max="153"/>
    <col width="18.42578125" customWidth="1" style="742" min="154" max="154"/>
    <col width="9.140625" customWidth="1" style="742" min="155" max="155"/>
    <col width="23.7109375" customWidth="1" style="742" min="156" max="156"/>
    <col width="18.42578125" customWidth="1" style="742" min="157" max="159"/>
    <col width="9.140625" customWidth="1" style="742" min="160" max="161"/>
    <col width="23.85546875" customWidth="1" style="742" min="162" max="162"/>
    <col width="19.140625" customWidth="1" style="742" min="163" max="163"/>
    <col width="22.42578125" customWidth="1" style="742" min="164" max="164"/>
    <col width="25.28515625" customWidth="1" style="742" min="165" max="165"/>
    <col width="18.5703125" customWidth="1" style="742" min="166" max="166"/>
    <col width="21.5703125" customWidth="1" style="742" min="167" max="167"/>
    <col width="23.28515625" customWidth="1" style="742" min="168" max="168"/>
    <col width="21.140625" customWidth="1" style="742" min="169" max="169"/>
    <col width="20.140625" customWidth="1" style="742" min="170" max="170"/>
    <col width="9.140625" customWidth="1" style="742" min="171" max="171"/>
    <col width="21.7109375" customWidth="1" style="742" min="172" max="172"/>
    <col width="16.42578125" customWidth="1" style="742" min="173" max="174"/>
    <col width="9.140625" customWidth="1" style="742" min="175" max="175"/>
    <col width="10.7109375" customWidth="1" style="742" min="176" max="176"/>
    <col width="21.85546875" customWidth="1" style="742" min="177" max="177"/>
    <col width="26" customWidth="1" style="742" min="178" max="178"/>
    <col width="20.5703125" customWidth="1" style="742" min="179" max="179"/>
    <col width="21.5703125" customWidth="1" style="742" min="180" max="180"/>
    <col width="22" customWidth="1" style="742" min="181" max="181"/>
    <col width="19.140625" customWidth="1" style="742" min="182" max="182"/>
    <col width="22.5703125" customWidth="1" style="742" min="183" max="183"/>
    <col width="20.140625" customWidth="1" style="742" min="184" max="184"/>
    <col width="17.28515625" customWidth="1" style="742" min="185" max="185"/>
    <col width="9.140625" customWidth="1" style="742" min="186" max="187"/>
    <col width="11" customWidth="1" style="742" min="188" max="188"/>
    <col width="20.42578125" customWidth="1" style="742" min="189" max="189"/>
    <col width="20" customWidth="1" style="742" min="190" max="190"/>
    <col width="17.85546875" customWidth="1" style="742" min="191" max="191"/>
    <col width="23.5703125" customWidth="1" style="742" min="192" max="192"/>
    <col width="18.28515625" customWidth="1" style="267" min="193" max="193"/>
    <col width="20.42578125" customWidth="1" style="742" min="194" max="194"/>
    <col width="21.7109375" customWidth="1" style="742" min="195" max="195"/>
    <col width="20.42578125" customWidth="1" style="742" min="196" max="196"/>
    <col width="20.140625" customWidth="1" style="742" min="197" max="197"/>
    <col width="9.140625" customWidth="1" style="742" min="198" max="198"/>
    <col width="19.7109375" customWidth="1" style="742" min="199" max="201"/>
    <col width="9.140625" customWidth="1" style="742" min="202" max="203"/>
    <col width="19.42578125" customWidth="1" style="742" min="204" max="204"/>
    <col width="23" customWidth="1" style="742" min="205" max="205"/>
    <col width="19.7109375" customWidth="1" style="742" min="206" max="206"/>
    <col width="17.5703125" customWidth="1" style="742" min="207" max="207"/>
    <col width="18.42578125" customWidth="1" style="275" min="208" max="208"/>
    <col width="18.28515625" customWidth="1" style="742" min="209" max="209"/>
    <col width="19.140625" customWidth="1" style="742" min="210" max="210"/>
    <col width="20" customWidth="1" style="742" min="211" max="211"/>
    <col width="20.5703125" customWidth="1" style="267" min="212" max="212"/>
    <col width="9.140625" customWidth="1" style="742" min="213" max="213"/>
    <col width="17.5703125" customWidth="1" style="742" min="214" max="214"/>
    <col width="15.28515625" customWidth="1" style="742" min="215" max="217"/>
    <col width="9.140625" customWidth="1" style="742" min="218" max="219"/>
    <col width="19.140625" customWidth="1" style="742" min="220" max="220"/>
    <col width="22.7109375" customWidth="1" style="742" min="221" max="221"/>
    <col width="21.5703125" customWidth="1" style="742" min="222" max="222"/>
    <col width="25.140625" customWidth="1" style="742" min="223" max="223"/>
    <col width="22.5703125" customWidth="1" style="742" min="224" max="224"/>
    <col width="26.28515625" customWidth="1" style="742" min="225" max="225"/>
    <col width="23.7109375" customWidth="1" style="742" min="226" max="226"/>
    <col width="26" customWidth="1" style="742" min="227" max="227"/>
    <col width="25.5703125" customWidth="1" style="742" min="228" max="228"/>
    <col width="9.140625" customWidth="1" style="742" min="229" max="229"/>
    <col width="15.7109375" customWidth="1" style="742" min="230" max="232"/>
    <col width="9.140625" customWidth="1" style="742" min="233" max="234"/>
    <col width="19.5703125" customWidth="1" style="742" min="235" max="235"/>
    <col width="19.85546875" customWidth="1" style="742" min="236" max="236"/>
    <col width="22" customWidth="1" style="742" min="237" max="237"/>
    <col width="24.5703125" customWidth="1" style="742" min="238" max="238"/>
    <col width="25.85546875" customWidth="1" style="742" min="239" max="239"/>
    <col width="29.42578125" customWidth="1" style="742" min="240" max="240"/>
    <col width="33.42578125" customWidth="1" style="742" min="241" max="241"/>
    <col width="26.7109375" customWidth="1" style="742" min="242" max="242"/>
    <col width="27.42578125" customWidth="1" style="742" min="243" max="243"/>
    <col width="9.140625" customWidth="1" style="742" min="244" max="245"/>
    <col width="13.85546875" customWidth="1" style="742" min="246" max="246"/>
    <col width="19.140625" customWidth="1" style="742" min="247" max="247"/>
    <col width="30.7109375" customWidth="1" style="742" min="248" max="248"/>
    <col width="18.7109375" customWidth="1" style="742" min="249" max="249"/>
    <col width="31.7109375" customWidth="1" style="742" min="250" max="250"/>
    <col width="21" customWidth="1" style="742" min="251" max="251"/>
    <col width="22" customWidth="1" style="742" min="252" max="252"/>
    <col width="21.5703125" customWidth="1" style="742" min="253" max="253"/>
    <col width="23.7109375" customWidth="1" style="742" min="254" max="254"/>
    <col width="19.42578125" customWidth="1" style="742" min="255" max="255"/>
    <col width="9.140625" customWidth="1" style="742" min="256" max="257"/>
    <col width="15.28515625" customWidth="1" style="742" min="258" max="258"/>
    <col width="16.5703125" customWidth="1" style="742" min="259" max="259"/>
    <col width="61.42578125" customWidth="1" style="267" min="260" max="260"/>
    <col width="21.140625" customWidth="1" style="742" min="261" max="261"/>
    <col width="26.7109375" customWidth="1" style="742" min="262" max="262"/>
    <col width="22.42578125" customWidth="1" style="742" min="263" max="263"/>
    <col width="19.5703125" customWidth="1" style="742" min="264" max="264"/>
    <col width="18.140625" customWidth="1" style="742" min="265" max="265"/>
    <col width="19" customWidth="1" style="742" min="266" max="266"/>
    <col width="19.28515625" customWidth="1" style="267" min="267" max="267"/>
    <col width="9.140625" customWidth="1" style="742" min="268" max="268"/>
    <col width="23.28515625" customWidth="1" style="742" min="269" max="270"/>
    <col width="19.42578125" customWidth="1" style="742" min="271" max="271"/>
    <col width="23.28515625" customWidth="1" style="742" min="272" max="272"/>
    <col width="9.140625" customWidth="1" style="742" min="273" max="274"/>
    <col width="21.5703125" customWidth="1" style="742" min="275" max="275"/>
    <col width="24.140625" customWidth="1" style="742" min="276" max="276"/>
    <col width="26.28515625" customWidth="1" style="742" min="277" max="277"/>
    <col width="28.85546875" customWidth="1" style="742" min="278" max="278"/>
    <col width="25.5703125" customWidth="1" style="742" min="279" max="279"/>
    <col width="23.85546875" customWidth="1" style="742" min="280" max="280"/>
    <col width="28.85546875" customWidth="1" style="742" min="281" max="281"/>
    <col width="22.7109375" customWidth="1" style="742" min="282" max="282"/>
    <col width="25.5703125" customWidth="1" style="742" min="283" max="283"/>
    <col width="9.140625" customWidth="1" style="742" min="284" max="286"/>
    <col width="17" customWidth="1" style="742" min="287" max="287"/>
    <col width="29.42578125" customWidth="1" style="742" min="288" max="288"/>
    <col width="19.140625" customWidth="1" style="742" min="289" max="289"/>
    <col width="24.140625" customWidth="1" style="742" min="290" max="290"/>
    <col width="23.28515625" customWidth="1" style="742" min="291" max="291"/>
    <col width="18.42578125" customWidth="1" style="742" min="292" max="292"/>
    <col width="19.5703125" customWidth="1" style="742" min="293" max="293"/>
    <col width="18.7109375" customWidth="1" style="742" min="294" max="294"/>
    <col width="18.85546875" customWidth="1" style="742" min="295" max="295"/>
    <col width="9.140625" customWidth="1" style="742" min="296" max="296"/>
    <col width="16.28515625" customWidth="1" style="742" min="297" max="300"/>
    <col width="9.140625" customWidth="1" style="742" min="301" max="302"/>
    <col width="32.28515625" customWidth="1" style="742" min="303" max="303"/>
    <col width="26.28515625" customWidth="1" style="742" min="304" max="304"/>
    <col width="18.7109375" customWidth="1" style="742" min="305" max="305"/>
    <col width="18.5703125" customWidth="1" style="742" min="306" max="307"/>
    <col width="17.85546875" customWidth="1" style="742" min="308" max="308"/>
    <col width="18.5703125" customWidth="1" style="742" min="309" max="309"/>
    <col width="18.7109375" customWidth="1" style="742" min="310" max="310"/>
    <col width="20.140625" customWidth="1" style="742" min="311" max="311"/>
    <col width="9.140625" customWidth="1" style="742" min="312" max="314"/>
    <col width="21" customWidth="1" style="742" min="315" max="315"/>
    <col width="20.42578125" customWidth="1" style="742" min="316" max="316"/>
    <col width="22.140625" customWidth="1" style="742" min="317" max="317"/>
    <col width="23.42578125" customWidth="1" style="742" min="318" max="318"/>
    <col width="18.28515625" customWidth="1" style="742" min="319" max="319"/>
    <col width="17.28515625" customWidth="1" style="742" min="320" max="320"/>
    <col width="21" customWidth="1" style="742" min="321" max="321"/>
    <col width="22.28515625" customWidth="1" style="742" min="322" max="322"/>
    <col width="18.28515625" customWidth="1" style="742" min="323" max="323"/>
    <col width="9.140625" customWidth="1" style="742" min="324" max="324"/>
    <col width="29.5703125" customWidth="1" style="742" min="325" max="325"/>
    <col width="20.5703125" customWidth="1" style="742" min="326" max="328"/>
    <col width="9.140625" customWidth="1" style="742" min="329" max="330"/>
    <col width="15.28515625" customWidth="1" style="742" min="331" max="331"/>
    <col width="17.85546875" customWidth="1" style="742" min="332" max="333"/>
    <col width="16.7109375" customWidth="1" style="742" min="334" max="334"/>
    <col width="19.5703125" customWidth="1" style="742" min="335" max="335"/>
    <col width="21.7109375" customWidth="1" style="742" min="336" max="336"/>
    <col width="15.85546875" customWidth="1" style="742" min="337" max="337"/>
    <col width="15.28515625" customWidth="1" style="742" min="338" max="338"/>
    <col width="20.5703125" customWidth="1" style="742" min="339" max="339"/>
    <col width="9.140625" customWidth="1" style="742" min="340" max="340"/>
    <col width="25" customWidth="1" style="742" min="341" max="341"/>
    <col width="14.85546875" customWidth="1" style="742" min="342" max="344"/>
    <col width="9.140625" customWidth="1" style="742" min="345" max="346"/>
    <col width="16.28515625" customWidth="1" style="742" min="347" max="347"/>
    <col width="43.28515625" customWidth="1" style="742" min="348" max="348"/>
    <col width="20.42578125" customWidth="1" style="742" min="349" max="349"/>
    <col width="16.85546875" customWidth="1" style="742" min="350" max="351"/>
    <col width="17.140625" customWidth="1" style="742" min="352" max="352"/>
    <col width="16.42578125" customWidth="1" style="742" min="353" max="353"/>
    <col width="19.5703125" customWidth="1" style="742" min="354" max="354"/>
    <col width="17.5703125" customWidth="1" style="742" min="355" max="355"/>
    <col width="9.140625" customWidth="1" style="742" min="356" max="356"/>
    <col width="42" customWidth="1" style="742" min="357" max="357"/>
    <col width="15.7109375" customWidth="1" style="742" min="358" max="359"/>
    <col width="9.140625" customWidth="1" style="742" min="360" max="16384"/>
  </cols>
  <sheetData>
    <row r="1" ht="33" customFormat="1" customHeight="1" s="275">
      <c r="A1" s="573" t="inlineStr">
        <is>
          <t>Sr. No.</t>
        </is>
      </c>
      <c r="B1" s="574" t="inlineStr">
        <is>
          <t>Physical location</t>
        </is>
      </c>
      <c r="C1" s="574" t="inlineStr">
        <is>
          <t>Component Name</t>
        </is>
      </c>
      <c r="D1" s="826" t="inlineStr">
        <is>
          <t>Logical Condition</t>
        </is>
      </c>
      <c r="E1" s="827" t="n"/>
      <c r="F1" s="827" t="n"/>
      <c r="G1" s="827" t="n"/>
      <c r="H1" s="827" t="n"/>
      <c r="I1" s="828" t="n"/>
      <c r="J1" s="575" t="inlineStr">
        <is>
          <t>Condition 1</t>
        </is>
      </c>
      <c r="P1" s="573" t="inlineStr">
        <is>
          <t>Sr. No.</t>
        </is>
      </c>
      <c r="Q1" s="574" t="inlineStr">
        <is>
          <t>Physical location</t>
        </is>
      </c>
      <c r="R1" s="574" t="inlineStr">
        <is>
          <t>Component Name</t>
        </is>
      </c>
      <c r="S1" s="826" t="inlineStr">
        <is>
          <t>Logical Condition</t>
        </is>
      </c>
      <c r="T1" s="827" t="n"/>
      <c r="U1" s="827" t="n"/>
      <c r="V1" s="827" t="n"/>
      <c r="W1" s="827" t="n"/>
      <c r="X1" s="828" t="n"/>
      <c r="Y1" s="575" t="inlineStr">
        <is>
          <t>Condition 1</t>
        </is>
      </c>
      <c r="AF1" s="573" t="inlineStr">
        <is>
          <t>Sr. No.</t>
        </is>
      </c>
      <c r="AG1" s="574" t="inlineStr">
        <is>
          <t>Physical location</t>
        </is>
      </c>
      <c r="AH1" s="574" t="inlineStr">
        <is>
          <t>Component Name</t>
        </is>
      </c>
      <c r="AI1" s="826" t="inlineStr">
        <is>
          <t>Logical Condition</t>
        </is>
      </c>
      <c r="AJ1" s="827" t="n"/>
      <c r="AK1" s="827" t="n"/>
      <c r="AL1" s="827" t="n"/>
      <c r="AM1" s="827" t="n"/>
      <c r="AN1" s="828" t="n"/>
      <c r="AO1" s="575" t="inlineStr">
        <is>
          <t>Condition 1</t>
        </is>
      </c>
      <c r="AS1" s="573" t="inlineStr">
        <is>
          <t>Sr. No.</t>
        </is>
      </c>
      <c r="AT1" s="574" t="inlineStr">
        <is>
          <t>Physical location</t>
        </is>
      </c>
      <c r="AU1" s="574" t="inlineStr">
        <is>
          <t>Component Name</t>
        </is>
      </c>
      <c r="AV1" s="826" t="inlineStr">
        <is>
          <t>Logical Condition</t>
        </is>
      </c>
      <c r="AW1" s="827" t="n"/>
      <c r="AX1" s="827" t="n"/>
      <c r="AY1" s="827" t="n"/>
      <c r="AZ1" s="827" t="n"/>
      <c r="BA1" s="828" t="n"/>
      <c r="BB1" s="575" t="inlineStr">
        <is>
          <t>Condition 1</t>
        </is>
      </c>
      <c r="BI1" s="573" t="inlineStr">
        <is>
          <t>Sr. No.</t>
        </is>
      </c>
      <c r="BJ1" s="574" t="inlineStr">
        <is>
          <t>Physical location</t>
        </is>
      </c>
      <c r="BK1" s="574" t="inlineStr">
        <is>
          <t>Component Name</t>
        </is>
      </c>
      <c r="BL1" s="826" t="inlineStr">
        <is>
          <t>Logical Condition</t>
        </is>
      </c>
      <c r="BM1" s="827" t="n"/>
      <c r="BN1" s="827" t="n"/>
      <c r="BO1" s="827" t="n"/>
      <c r="BP1" s="827" t="n"/>
      <c r="BQ1" s="828" t="n"/>
      <c r="BR1" s="575" t="inlineStr">
        <is>
          <t>Condition 1</t>
        </is>
      </c>
      <c r="BX1" s="573" t="inlineStr">
        <is>
          <t>Sr. No.</t>
        </is>
      </c>
      <c r="BY1" s="574" t="inlineStr">
        <is>
          <t>Physical location</t>
        </is>
      </c>
      <c r="BZ1" s="574" t="inlineStr">
        <is>
          <t>Component Name</t>
        </is>
      </c>
      <c r="CA1" s="826" t="inlineStr">
        <is>
          <t>Logical Condition</t>
        </is>
      </c>
      <c r="CB1" s="827" t="n"/>
      <c r="CC1" s="827" t="n"/>
      <c r="CD1" s="827" t="n"/>
      <c r="CE1" s="827" t="n"/>
      <c r="CF1" s="828" t="n"/>
      <c r="CG1" s="575" t="inlineStr">
        <is>
          <t>Condition 1</t>
        </is>
      </c>
      <c r="CI1" s="573" t="inlineStr">
        <is>
          <t>Sr. No.</t>
        </is>
      </c>
      <c r="CJ1" s="574" t="inlineStr">
        <is>
          <t>Physical location</t>
        </is>
      </c>
      <c r="CK1" s="574" t="inlineStr">
        <is>
          <t>Component Name</t>
        </is>
      </c>
      <c r="CL1" s="826" t="inlineStr">
        <is>
          <t>Logical Condition</t>
        </is>
      </c>
      <c r="CM1" s="827" t="n"/>
      <c r="CN1" s="827" t="n"/>
      <c r="CO1" s="827" t="n"/>
      <c r="CP1" s="827" t="n"/>
      <c r="CQ1" s="828" t="n"/>
      <c r="CR1" s="575" t="inlineStr">
        <is>
          <t>Condition 1</t>
        </is>
      </c>
      <c r="CY1" s="573" t="inlineStr">
        <is>
          <t>Sr. No.</t>
        </is>
      </c>
      <c r="CZ1" s="574" t="inlineStr">
        <is>
          <t>Physical location</t>
        </is>
      </c>
      <c r="DA1" s="574" t="inlineStr">
        <is>
          <t>Component Name</t>
        </is>
      </c>
      <c r="DB1" s="826" t="inlineStr">
        <is>
          <t>Logical Condition - External circuit</t>
        </is>
      </c>
      <c r="DC1" s="827" t="n"/>
      <c r="DD1" s="827" t="n"/>
      <c r="DE1" s="827" t="n"/>
      <c r="DF1" s="827" t="n"/>
      <c r="DG1" s="828" t="n"/>
      <c r="DH1" s="575" t="inlineStr">
        <is>
          <t>Condition 1</t>
        </is>
      </c>
      <c r="DK1" s="573" t="inlineStr">
        <is>
          <t>Sr. No.</t>
        </is>
      </c>
      <c r="DL1" s="574" t="inlineStr">
        <is>
          <t>Physical location</t>
        </is>
      </c>
      <c r="DM1" s="574" t="inlineStr">
        <is>
          <t>Component Name</t>
        </is>
      </c>
      <c r="DN1" s="826" t="inlineStr">
        <is>
          <t>Logical Condition - Internal circuit</t>
        </is>
      </c>
      <c r="DO1" s="827" t="n"/>
      <c r="DP1" s="827" t="n"/>
      <c r="DQ1" s="827" t="n"/>
      <c r="DR1" s="827" t="n"/>
      <c r="DS1" s="828" t="n"/>
      <c r="DT1" s="575" t="inlineStr">
        <is>
          <t>Condition 1</t>
        </is>
      </c>
      <c r="DZ1" s="573" t="inlineStr">
        <is>
          <t>Sr. No.</t>
        </is>
      </c>
      <c r="EA1" s="574" t="inlineStr">
        <is>
          <t>Physical location</t>
        </is>
      </c>
      <c r="EB1" s="574" t="inlineStr">
        <is>
          <t>Component Name</t>
        </is>
      </c>
      <c r="EC1" s="826" t="inlineStr">
        <is>
          <t>Logical Condition - internal Circuit</t>
        </is>
      </c>
      <c r="ED1" s="827" t="n"/>
      <c r="EE1" s="827" t="n"/>
      <c r="EF1" s="827" t="n"/>
      <c r="EG1" s="827" t="n"/>
      <c r="EH1" s="828" t="n"/>
      <c r="EI1" s="575" t="inlineStr">
        <is>
          <t>Condition 1</t>
        </is>
      </c>
      <c r="EO1" s="573" t="inlineStr">
        <is>
          <t>Sr. No.</t>
        </is>
      </c>
      <c r="EP1" s="574" t="inlineStr">
        <is>
          <t>Physical location</t>
        </is>
      </c>
      <c r="EQ1" s="574" t="inlineStr">
        <is>
          <t>Component Name</t>
        </is>
      </c>
      <c r="ER1" s="826" t="inlineStr">
        <is>
          <t>Logical Condition - 14</t>
        </is>
      </c>
      <c r="ES1" s="827" t="n"/>
      <c r="ET1" s="827" t="n"/>
      <c r="EU1" s="827" t="n"/>
      <c r="EV1" s="827" t="n"/>
      <c r="EW1" s="828" t="n"/>
      <c r="EX1" s="575" t="inlineStr">
        <is>
          <t>Condition 1</t>
        </is>
      </c>
      <c r="FE1" s="573" t="inlineStr">
        <is>
          <t>Sr. No.</t>
        </is>
      </c>
      <c r="FF1" s="574" t="inlineStr">
        <is>
          <t>Physical location</t>
        </is>
      </c>
      <c r="FG1" s="574" t="inlineStr">
        <is>
          <t>Component Name</t>
        </is>
      </c>
      <c r="FH1" s="826" t="inlineStr">
        <is>
          <t>Logical Condition - External circuit</t>
        </is>
      </c>
      <c r="FI1" s="827" t="n"/>
      <c r="FJ1" s="827" t="n"/>
      <c r="FK1" s="827" t="n"/>
      <c r="FL1" s="827" t="n"/>
      <c r="FM1" s="828" t="n"/>
      <c r="FN1" s="575" t="inlineStr">
        <is>
          <t>Condition 1</t>
        </is>
      </c>
      <c r="FT1" s="573" t="inlineStr">
        <is>
          <t>Sr. No.</t>
        </is>
      </c>
      <c r="FU1" s="574" t="inlineStr">
        <is>
          <t>Physical location</t>
        </is>
      </c>
      <c r="FV1" s="574" t="inlineStr">
        <is>
          <t>Component Name</t>
        </is>
      </c>
      <c r="FW1" s="826" t="inlineStr">
        <is>
          <t xml:space="preserve">Logical Condition - NO </t>
        </is>
      </c>
      <c r="FX1" s="827" t="n"/>
      <c r="FY1" s="827" t="n"/>
      <c r="FZ1" s="827" t="n"/>
      <c r="GA1" s="827" t="n"/>
      <c r="GB1" s="828" t="n"/>
      <c r="GC1" s="575" t="inlineStr">
        <is>
          <t>Condition 1</t>
        </is>
      </c>
      <c r="GF1" s="573" t="inlineStr">
        <is>
          <t>Sr. No.</t>
        </is>
      </c>
      <c r="GG1" s="574" t="inlineStr">
        <is>
          <t>Physical location</t>
        </is>
      </c>
      <c r="GH1" s="574" t="inlineStr">
        <is>
          <t>Component Name</t>
        </is>
      </c>
      <c r="GI1" s="826" t="inlineStr">
        <is>
          <t>Logical Condition - External circuit</t>
        </is>
      </c>
      <c r="GJ1" s="827" t="n"/>
      <c r="GK1" s="827" t="n"/>
      <c r="GL1" s="827" t="n"/>
      <c r="GM1" s="827" t="n"/>
      <c r="GN1" s="828" t="n"/>
      <c r="GO1" s="575" t="inlineStr">
        <is>
          <t>Condition 1</t>
        </is>
      </c>
      <c r="GU1" s="573" t="inlineStr">
        <is>
          <t>Sr. No.</t>
        </is>
      </c>
      <c r="GV1" s="574" t="inlineStr">
        <is>
          <t>Physical location</t>
        </is>
      </c>
      <c r="GW1" s="574" t="inlineStr">
        <is>
          <t>Component Name</t>
        </is>
      </c>
      <c r="GX1" s="826" t="inlineStr">
        <is>
          <t>Logical Condition - External circuit</t>
        </is>
      </c>
      <c r="GY1" s="827" t="n"/>
      <c r="GZ1" s="827" t="n"/>
      <c r="HA1" s="827" t="n"/>
      <c r="HB1" s="827" t="n"/>
      <c r="HC1" s="828" t="n"/>
      <c r="HD1" s="575" t="inlineStr">
        <is>
          <t>Condition 1</t>
        </is>
      </c>
      <c r="HK1" s="573" t="inlineStr">
        <is>
          <t>Sr. No.</t>
        </is>
      </c>
      <c r="HL1" s="574" t="inlineStr">
        <is>
          <t>Physical location</t>
        </is>
      </c>
      <c r="HM1" s="574" t="inlineStr">
        <is>
          <t>Component Name</t>
        </is>
      </c>
      <c r="HN1" s="826" t="inlineStr">
        <is>
          <t>Logical Condition - External circuit</t>
        </is>
      </c>
      <c r="HO1" s="827" t="n"/>
      <c r="HP1" s="827" t="n"/>
      <c r="HQ1" s="827" t="n"/>
      <c r="HR1" s="827" t="n"/>
      <c r="HS1" s="828" t="n"/>
      <c r="HT1" s="575" t="n"/>
      <c r="HZ1" s="573" t="inlineStr">
        <is>
          <t>Sr. No.</t>
        </is>
      </c>
      <c r="IA1" s="574" t="inlineStr">
        <is>
          <t>Physical location</t>
        </is>
      </c>
      <c r="IB1" s="574" t="inlineStr">
        <is>
          <t>Component Name</t>
        </is>
      </c>
      <c r="IC1" s="826" t="inlineStr">
        <is>
          <t>Logical Condition - NO  13</t>
        </is>
      </c>
      <c r="ID1" s="827" t="n"/>
      <c r="IE1" s="827" t="n"/>
      <c r="IF1" s="827" t="n"/>
      <c r="IG1" s="827" t="n"/>
      <c r="IH1" s="828" t="n"/>
      <c r="II1" s="575" t="inlineStr">
        <is>
          <t>Condition 1</t>
        </is>
      </c>
      <c r="IL1" s="573" t="inlineStr">
        <is>
          <t>Sr. No.</t>
        </is>
      </c>
      <c r="IM1" s="574" t="inlineStr">
        <is>
          <t>Physical location</t>
        </is>
      </c>
      <c r="IN1" s="574" t="inlineStr">
        <is>
          <t>Component Name</t>
        </is>
      </c>
      <c r="IO1" s="826" t="inlineStr">
        <is>
          <t>Logical Condition - External circuit</t>
        </is>
      </c>
      <c r="IP1" s="827" t="n"/>
      <c r="IQ1" s="827" t="n"/>
      <c r="IR1" s="827" t="n"/>
      <c r="IS1" s="827" t="n"/>
      <c r="IT1" s="828" t="n"/>
      <c r="IU1" s="575" t="inlineStr">
        <is>
          <t>Condition 1</t>
        </is>
      </c>
      <c r="IX1" s="573" t="inlineStr">
        <is>
          <t>Sr. No.</t>
        </is>
      </c>
      <c r="IY1" s="574" t="inlineStr">
        <is>
          <t>Physical location</t>
        </is>
      </c>
      <c r="IZ1" s="574" t="inlineStr">
        <is>
          <t>Component Name</t>
        </is>
      </c>
      <c r="JA1" s="826" t="inlineStr">
        <is>
          <t>Logical Condition - External circuit</t>
        </is>
      </c>
      <c r="JB1" s="827" t="n"/>
      <c r="JC1" s="827" t="n"/>
      <c r="JD1" s="827" t="n"/>
      <c r="JE1" s="827" t="n"/>
      <c r="JF1" s="828" t="n"/>
      <c r="JG1" s="575" t="n"/>
      <c r="JN1" s="573" t="inlineStr">
        <is>
          <t>Sr. No.</t>
        </is>
      </c>
      <c r="JO1" s="574" t="inlineStr">
        <is>
          <t>Physical location</t>
        </is>
      </c>
      <c r="JP1" s="574" t="inlineStr">
        <is>
          <t>Component Name</t>
        </is>
      </c>
      <c r="JQ1" s="826" t="inlineStr">
        <is>
          <t>Logical Condition - External circuit</t>
        </is>
      </c>
      <c r="JR1" s="827" t="n"/>
      <c r="JS1" s="827" t="n"/>
      <c r="JT1" s="827" t="n"/>
      <c r="JU1" s="827" t="n"/>
      <c r="JV1" s="828" t="n"/>
      <c r="JW1" s="575" t="inlineStr">
        <is>
          <t>Condition 1</t>
        </is>
      </c>
      <c r="JZ1" s="573" t="inlineStr">
        <is>
          <t>Sr. No.</t>
        </is>
      </c>
      <c r="KA1" s="574" t="inlineStr">
        <is>
          <t>Physical location</t>
        </is>
      </c>
      <c r="KB1" s="574" t="inlineStr">
        <is>
          <t>Component Name</t>
        </is>
      </c>
      <c r="KC1" s="826" t="n"/>
      <c r="KD1" s="827" t="n"/>
      <c r="KE1" s="827" t="n"/>
      <c r="KF1" s="827" t="n"/>
      <c r="KG1" s="827" t="n"/>
      <c r="KH1" s="828" t="n"/>
      <c r="KI1" s="575" t="inlineStr">
        <is>
          <t>Condition 1</t>
        </is>
      </c>
      <c r="KP1" s="573" t="inlineStr">
        <is>
          <t>Sr. No.</t>
        </is>
      </c>
      <c r="KQ1" s="574" t="inlineStr">
        <is>
          <t>Physical location</t>
        </is>
      </c>
      <c r="KR1" s="574" t="inlineStr">
        <is>
          <t>Component Name</t>
        </is>
      </c>
      <c r="KS1" s="826" t="inlineStr">
        <is>
          <t>Logical Condition - External circuit</t>
        </is>
      </c>
      <c r="KT1" s="827" t="n"/>
      <c r="KU1" s="827" t="n"/>
      <c r="KV1" s="827" t="n"/>
      <c r="KW1" s="827" t="n"/>
      <c r="KX1" s="828" t="n"/>
      <c r="KY1" s="575" t="inlineStr">
        <is>
          <t>Condition 1</t>
        </is>
      </c>
      <c r="LB1" s="573" t="inlineStr">
        <is>
          <t>Sr. No.</t>
        </is>
      </c>
      <c r="LC1" s="574" t="inlineStr">
        <is>
          <t>Physical location</t>
        </is>
      </c>
      <c r="LD1" s="574" t="inlineStr">
        <is>
          <t>Component Name</t>
        </is>
      </c>
      <c r="LE1" s="826" t="inlineStr">
        <is>
          <t>Logical Condition - AS PER INTERNAL CKT NO 11</t>
        </is>
      </c>
      <c r="LF1" s="827" t="n"/>
      <c r="LG1" s="827" t="n"/>
      <c r="LH1" s="827" t="n"/>
      <c r="LI1" s="827" t="n"/>
      <c r="LJ1" s="828" t="n"/>
      <c r="LK1" s="575" t="inlineStr">
        <is>
          <t>Condition 1</t>
        </is>
      </c>
      <c r="LR1" s="573" t="inlineStr">
        <is>
          <t>Sr. No.</t>
        </is>
      </c>
      <c r="LS1" s="574" t="inlineStr">
        <is>
          <t>Physical location</t>
        </is>
      </c>
      <c r="LT1" s="574" t="inlineStr">
        <is>
          <t>Component Name</t>
        </is>
      </c>
      <c r="LU1" s="826" t="inlineStr">
        <is>
          <t>Logical Condition - NO 12</t>
        </is>
      </c>
      <c r="LV1" s="827" t="n"/>
      <c r="LW1" s="827" t="n"/>
      <c r="LX1" s="827" t="n"/>
      <c r="LY1" s="827" t="n"/>
      <c r="LZ1" s="828" t="n"/>
      <c r="MA1" s="575" t="inlineStr">
        <is>
          <t>Condition 1</t>
        </is>
      </c>
      <c r="MH1" s="573" t="inlineStr">
        <is>
          <t>Sr. No.</t>
        </is>
      </c>
      <c r="MI1" s="574" t="inlineStr">
        <is>
          <t>Physical location</t>
        </is>
      </c>
      <c r="MJ1" s="574" t="inlineStr">
        <is>
          <t>Component Name</t>
        </is>
      </c>
      <c r="MK1" s="826" t="n"/>
      <c r="ML1" s="827" t="n"/>
      <c r="MM1" s="827" t="n"/>
      <c r="MN1" s="827" t="n"/>
      <c r="MO1" s="827" t="n"/>
      <c r="MP1" s="828" t="n"/>
      <c r="MQ1" s="575" t="inlineStr">
        <is>
          <t>Condition 1</t>
        </is>
      </c>
    </row>
    <row r="2" ht="30.75" customHeight="1">
      <c r="A2" s="576" t="n"/>
      <c r="B2" s="577" t="n"/>
      <c r="C2" s="577" t="n"/>
      <c r="D2" s="578" t="inlineStr">
        <is>
          <t>lab view input</t>
        </is>
      </c>
      <c r="E2" s="579" t="inlineStr">
        <is>
          <t>Dependency on LABVIEW INPUT</t>
        </is>
      </c>
      <c r="F2" s="580" t="inlineStr">
        <is>
          <t>Dependency 1 previous wire</t>
        </is>
      </c>
      <c r="G2" s="579" t="inlineStr">
        <is>
          <t>Dependency 3</t>
        </is>
      </c>
      <c r="H2" s="580" t="inlineStr">
        <is>
          <t>Dependency 4</t>
        </is>
      </c>
      <c r="I2" s="580" t="inlineStr">
        <is>
          <t>Dependency 5</t>
        </is>
      </c>
      <c r="J2" s="581" t="n"/>
      <c r="P2" s="582" t="n"/>
      <c r="Q2" s="583" t="n"/>
      <c r="R2" s="583" t="n"/>
      <c r="S2" s="584" t="inlineStr">
        <is>
          <t>lab view input</t>
        </is>
      </c>
      <c r="T2" s="585" t="inlineStr">
        <is>
          <t>Dependency on LABVIEW INPUT</t>
        </is>
      </c>
      <c r="U2" s="586" t="inlineStr">
        <is>
          <t>Dependency 1 previous wire</t>
        </is>
      </c>
      <c r="V2" s="586" t="inlineStr">
        <is>
          <t>Dependency 3</t>
        </is>
      </c>
      <c r="W2" s="586" t="inlineStr">
        <is>
          <t>Dependency 4</t>
        </is>
      </c>
      <c r="X2" s="586" t="inlineStr">
        <is>
          <t>Dependency 5</t>
        </is>
      </c>
      <c r="Y2" s="587" t="n"/>
      <c r="AF2" s="582" t="n"/>
      <c r="AG2" s="583" t="n"/>
      <c r="AH2" s="583" t="n"/>
      <c r="AI2" s="584" t="inlineStr">
        <is>
          <t>lab view input</t>
        </is>
      </c>
      <c r="AJ2" s="585" t="inlineStr">
        <is>
          <t>Dependency on LABVIEW INPUT</t>
        </is>
      </c>
      <c r="AK2" s="585" t="inlineStr">
        <is>
          <t>Dependency 1 previous wire</t>
        </is>
      </c>
      <c r="AL2" s="586" t="inlineStr">
        <is>
          <t>Dependency 3</t>
        </is>
      </c>
      <c r="AM2" s="586" t="inlineStr">
        <is>
          <t>Dependency 4</t>
        </is>
      </c>
      <c r="AN2" s="586" t="inlineStr">
        <is>
          <t>Dependency 5</t>
        </is>
      </c>
      <c r="AO2" s="587" t="n"/>
      <c r="AS2" s="588" t="n"/>
      <c r="AT2" s="577" t="n"/>
      <c r="AU2" s="577" t="n"/>
      <c r="AV2" s="578" t="inlineStr">
        <is>
          <t>lab view input</t>
        </is>
      </c>
      <c r="AW2" s="579" t="inlineStr">
        <is>
          <t>Dependency on LABVIEW INPUT</t>
        </is>
      </c>
      <c r="AX2" s="579" t="inlineStr">
        <is>
          <t>Dependency 1 previous wire</t>
        </is>
      </c>
      <c r="AY2" s="580" t="inlineStr">
        <is>
          <t>Dependency 3</t>
        </is>
      </c>
      <c r="AZ2" s="580" t="inlineStr">
        <is>
          <t>Dependency 4</t>
        </is>
      </c>
      <c r="BA2" s="580" t="inlineStr">
        <is>
          <t>Dependency 5</t>
        </is>
      </c>
      <c r="BB2" s="581" t="n"/>
      <c r="BI2" s="588" t="n"/>
      <c r="BJ2" s="577" t="n"/>
      <c r="BK2" s="577" t="n"/>
      <c r="BL2" s="578" t="inlineStr">
        <is>
          <t>lab view input</t>
        </is>
      </c>
      <c r="BM2" s="579" t="inlineStr">
        <is>
          <t>Dependency on LABVIEW INPUT</t>
        </is>
      </c>
      <c r="BN2" s="579" t="inlineStr">
        <is>
          <t>Dependency 1 previous wire</t>
        </is>
      </c>
      <c r="BO2" s="580" t="inlineStr">
        <is>
          <t>Dependency 3</t>
        </is>
      </c>
      <c r="BP2" s="580" t="inlineStr">
        <is>
          <t>Dependency 4</t>
        </is>
      </c>
      <c r="BQ2" s="580" t="inlineStr">
        <is>
          <t>Dependency 5</t>
        </is>
      </c>
      <c r="BR2" s="581" t="n"/>
      <c r="BX2" s="588" t="n"/>
      <c r="BY2" s="577" t="n"/>
      <c r="BZ2" s="577" t="n"/>
      <c r="CA2" s="578" t="inlineStr">
        <is>
          <t>lab view input</t>
        </is>
      </c>
      <c r="CB2" s="579" t="inlineStr">
        <is>
          <t>Dependency on LABVIEW INPUT</t>
        </is>
      </c>
      <c r="CC2" s="579" t="inlineStr">
        <is>
          <t>Dependency 1 previous wire</t>
        </is>
      </c>
      <c r="CD2" s="580" t="inlineStr">
        <is>
          <t>Dependency 3</t>
        </is>
      </c>
      <c r="CE2" s="580" t="inlineStr">
        <is>
          <t>Dependency 4</t>
        </is>
      </c>
      <c r="CF2" s="580" t="inlineStr">
        <is>
          <t>Dependency 5</t>
        </is>
      </c>
      <c r="CG2" s="581" t="n"/>
      <c r="CI2" s="588" t="n"/>
      <c r="CJ2" s="577" t="n"/>
      <c r="CK2" s="577" t="n"/>
      <c r="CL2" s="578" t="inlineStr">
        <is>
          <t>lab view input</t>
        </is>
      </c>
      <c r="CM2" s="579" t="inlineStr">
        <is>
          <t>Dependency on LABVIEW INPUT</t>
        </is>
      </c>
      <c r="CN2" s="579" t="inlineStr">
        <is>
          <t>Dependency 1 previous wire</t>
        </is>
      </c>
      <c r="CO2" s="580" t="inlineStr">
        <is>
          <t>Dependency 3</t>
        </is>
      </c>
      <c r="CP2" s="580" t="inlineStr">
        <is>
          <t>Dependency 4</t>
        </is>
      </c>
      <c r="CQ2" s="580" t="inlineStr">
        <is>
          <t>Dependency 5</t>
        </is>
      </c>
      <c r="CR2" s="581" t="n"/>
      <c r="CY2" s="588" t="n"/>
      <c r="CZ2" s="577" t="n"/>
      <c r="DA2" s="577" t="n"/>
      <c r="DB2" s="578" t="inlineStr">
        <is>
          <t>lab view input</t>
        </is>
      </c>
      <c r="DC2" s="579" t="inlineStr">
        <is>
          <t>Dependency on LABVIEW INPUT</t>
        </is>
      </c>
      <c r="DD2" s="579" t="inlineStr">
        <is>
          <t>Dependency 1 previous wire</t>
        </is>
      </c>
      <c r="DE2" s="580" t="inlineStr">
        <is>
          <t>Dependency 3</t>
        </is>
      </c>
      <c r="DF2" s="580" t="inlineStr">
        <is>
          <t>Dependency 4</t>
        </is>
      </c>
      <c r="DG2" s="580" t="inlineStr">
        <is>
          <t>Dependency 5</t>
        </is>
      </c>
      <c r="DH2" s="581" t="n"/>
      <c r="DK2" s="588" t="n"/>
      <c r="DL2" s="577" t="n"/>
      <c r="DM2" s="577" t="n"/>
      <c r="DN2" s="578" t="inlineStr">
        <is>
          <t>lab view input</t>
        </is>
      </c>
      <c r="DO2" s="579" t="inlineStr">
        <is>
          <t>Dependency on LABVIEW INPUT</t>
        </is>
      </c>
      <c r="DP2" s="580" t="inlineStr">
        <is>
          <t>Dependency 1 previous wire</t>
        </is>
      </c>
      <c r="DQ2" s="580" t="inlineStr">
        <is>
          <t>Dependency 3</t>
        </is>
      </c>
      <c r="DR2" s="580" t="inlineStr">
        <is>
          <t>Dependency 4</t>
        </is>
      </c>
      <c r="DS2" s="580" t="inlineStr">
        <is>
          <t>Dependency 5</t>
        </is>
      </c>
      <c r="DT2" s="581" t="n"/>
      <c r="DZ2" s="588" t="n"/>
      <c r="EA2" s="577" t="n"/>
      <c r="EB2" s="577" t="n"/>
      <c r="EC2" s="578" t="inlineStr">
        <is>
          <t>lab view input</t>
        </is>
      </c>
      <c r="ED2" s="579" t="inlineStr">
        <is>
          <t>Dependency on LABVIEW INPUT</t>
        </is>
      </c>
      <c r="EE2" s="579" t="inlineStr">
        <is>
          <t>Dependency 1 previous wire</t>
        </is>
      </c>
      <c r="EF2" s="580" t="inlineStr">
        <is>
          <t>Dependency 3</t>
        </is>
      </c>
      <c r="EG2" s="580" t="inlineStr">
        <is>
          <t>Dependency 4</t>
        </is>
      </c>
      <c r="EH2" s="580" t="inlineStr">
        <is>
          <t>Dependency 5</t>
        </is>
      </c>
      <c r="EI2" s="589" t="n"/>
      <c r="EO2" s="582" t="n"/>
      <c r="EP2" s="583" t="n"/>
      <c r="EQ2" s="583" t="n"/>
      <c r="ER2" s="584" t="inlineStr">
        <is>
          <t>lab view input</t>
        </is>
      </c>
      <c r="ES2" s="585" t="inlineStr">
        <is>
          <t>Dependency on LABVIEW INPUT</t>
        </is>
      </c>
      <c r="ET2" s="585" t="inlineStr">
        <is>
          <t>Dependency 1 previous wire</t>
        </is>
      </c>
      <c r="EU2" s="586" t="inlineStr">
        <is>
          <t>Dependency 3</t>
        </is>
      </c>
      <c r="EV2" s="586" t="inlineStr">
        <is>
          <t>Dependency 4</t>
        </is>
      </c>
      <c r="EW2" s="586" t="inlineStr">
        <is>
          <t>Dependency 5</t>
        </is>
      </c>
      <c r="EX2" s="587" t="n"/>
      <c r="FE2" s="588" t="n"/>
      <c r="FF2" s="577" t="n"/>
      <c r="FG2" s="577" t="n"/>
      <c r="FH2" s="578" t="inlineStr">
        <is>
          <t>lab view input</t>
        </is>
      </c>
      <c r="FI2" s="579" t="inlineStr">
        <is>
          <t>Dependency on LABVIEW INPUT</t>
        </is>
      </c>
      <c r="FJ2" s="579" t="inlineStr">
        <is>
          <t>Dependency 1 previous wire</t>
        </is>
      </c>
      <c r="FK2" s="580" t="inlineStr">
        <is>
          <t>Dependency 3</t>
        </is>
      </c>
      <c r="FL2" s="580" t="inlineStr">
        <is>
          <t>Dependency 4</t>
        </is>
      </c>
      <c r="FM2" s="580" t="inlineStr">
        <is>
          <t>Dependency 5</t>
        </is>
      </c>
      <c r="FN2" s="581" t="n"/>
      <c r="FT2" s="588" t="n"/>
      <c r="FU2" s="577" t="n"/>
      <c r="FV2" s="577" t="n"/>
      <c r="FW2" s="578" t="inlineStr">
        <is>
          <t>lab view input</t>
        </is>
      </c>
      <c r="FX2" s="579" t="inlineStr">
        <is>
          <t>Dependency on LABVIEW INPUT</t>
        </is>
      </c>
      <c r="FY2" s="579" t="inlineStr">
        <is>
          <t>Dependency 1 previous wire</t>
        </is>
      </c>
      <c r="FZ2" s="580" t="inlineStr">
        <is>
          <t>Dependency 3</t>
        </is>
      </c>
      <c r="GA2" s="580" t="inlineStr">
        <is>
          <t>Dependency 4</t>
        </is>
      </c>
      <c r="GB2" s="580" t="inlineStr">
        <is>
          <t>Dependency 5</t>
        </is>
      </c>
      <c r="GC2" s="581" t="n"/>
      <c r="GF2" s="588" t="n"/>
      <c r="GG2" s="577" t="n"/>
      <c r="GH2" s="577" t="n"/>
      <c r="GI2" s="578" t="inlineStr">
        <is>
          <t>lab view input</t>
        </is>
      </c>
      <c r="GJ2" s="579" t="inlineStr">
        <is>
          <t>Dependency on LABVIEW INPUT</t>
        </is>
      </c>
      <c r="GK2" s="579" t="inlineStr">
        <is>
          <t>Dependency 1 previous wire</t>
        </is>
      </c>
      <c r="GL2" s="580" t="inlineStr">
        <is>
          <t>Dependency 3</t>
        </is>
      </c>
      <c r="GM2" s="580" t="n"/>
      <c r="GN2" s="580" t="inlineStr">
        <is>
          <t>Dependency 5</t>
        </is>
      </c>
      <c r="GO2" s="581" t="n"/>
      <c r="GU2" s="588" t="n"/>
      <c r="GV2" s="577" t="n"/>
      <c r="GW2" s="577" t="n"/>
      <c r="GX2" s="578" t="inlineStr">
        <is>
          <t>lab view input</t>
        </is>
      </c>
      <c r="GY2" s="579" t="inlineStr">
        <is>
          <t>Dependency on LABVIEW INPUT</t>
        </is>
      </c>
      <c r="GZ2" s="580" t="inlineStr">
        <is>
          <t>Dependency 1 previous wire</t>
        </is>
      </c>
      <c r="HA2" s="580" t="inlineStr">
        <is>
          <t>Dependency 3</t>
        </is>
      </c>
      <c r="HB2" s="580" t="inlineStr">
        <is>
          <t>Dependency 4</t>
        </is>
      </c>
      <c r="HC2" s="580" t="inlineStr">
        <is>
          <t>Dependency 5</t>
        </is>
      </c>
      <c r="HD2" s="589" t="n"/>
      <c r="HK2" s="588" t="n"/>
      <c r="HL2" s="577" t="n"/>
      <c r="HM2" s="577" t="n"/>
      <c r="HN2" s="578" t="inlineStr">
        <is>
          <t>lab view input</t>
        </is>
      </c>
      <c r="HO2" s="579" t="inlineStr">
        <is>
          <t>Dependency on LABVIEW INPUT</t>
        </is>
      </c>
      <c r="HP2" s="580" t="inlineStr">
        <is>
          <t>Dependency 1 previous wire</t>
        </is>
      </c>
      <c r="HQ2" s="580" t="inlineStr">
        <is>
          <t>Dependency 3</t>
        </is>
      </c>
      <c r="HR2" s="580" t="inlineStr">
        <is>
          <t>Dependency 4</t>
        </is>
      </c>
      <c r="HS2" s="580" t="inlineStr">
        <is>
          <t>Dependency 5</t>
        </is>
      </c>
      <c r="HT2" s="581" t="n"/>
      <c r="HZ2" s="588" t="n"/>
      <c r="IA2" s="577" t="n"/>
      <c r="IB2" s="577" t="n"/>
      <c r="IC2" s="578" t="inlineStr">
        <is>
          <t>lab view input</t>
        </is>
      </c>
      <c r="ID2" s="579" t="inlineStr">
        <is>
          <t>Dependency on LABVIEW INPUT</t>
        </is>
      </c>
      <c r="IE2" s="580" t="inlineStr">
        <is>
          <t>Dependency 1 previous wire</t>
        </is>
      </c>
      <c r="IF2" s="580" t="inlineStr">
        <is>
          <t>Dependency 3</t>
        </is>
      </c>
      <c r="IG2" s="580" t="inlineStr">
        <is>
          <t>Dependency 4</t>
        </is>
      </c>
      <c r="IH2" s="580" t="inlineStr">
        <is>
          <t>Dependency 5</t>
        </is>
      </c>
      <c r="II2" s="581" t="n"/>
      <c r="IL2" s="588" t="n"/>
      <c r="IM2" s="577" t="n"/>
      <c r="IN2" s="577" t="n"/>
      <c r="IO2" s="578" t="inlineStr">
        <is>
          <t>lab view input</t>
        </is>
      </c>
      <c r="IP2" s="579" t="inlineStr">
        <is>
          <t>Dependency on LABVIEW INPUT</t>
        </is>
      </c>
      <c r="IQ2" s="580" t="inlineStr">
        <is>
          <t>Dependency 1 previous wire</t>
        </is>
      </c>
      <c r="IR2" s="580" t="inlineStr">
        <is>
          <t>Dependency 3</t>
        </is>
      </c>
      <c r="IS2" s="580" t="inlineStr">
        <is>
          <t>Dependency 4</t>
        </is>
      </c>
      <c r="IT2" s="580" t="inlineStr">
        <is>
          <t>Dependency 5</t>
        </is>
      </c>
      <c r="IU2" s="581" t="n"/>
      <c r="IX2" s="588" t="n"/>
      <c r="IY2" s="577" t="n"/>
      <c r="IZ2" s="577" t="n"/>
      <c r="JA2" s="578" t="inlineStr">
        <is>
          <t>lab view input</t>
        </is>
      </c>
      <c r="JB2" s="579" t="inlineStr">
        <is>
          <t>Dependency on LABVIEW INPUT</t>
        </is>
      </c>
      <c r="JC2" s="580" t="inlineStr">
        <is>
          <t>Dependency 1 previous wire</t>
        </is>
      </c>
      <c r="JD2" s="580" t="inlineStr">
        <is>
          <t>Dependency 3</t>
        </is>
      </c>
      <c r="JE2" s="580" t="inlineStr">
        <is>
          <t>Dependency 4</t>
        </is>
      </c>
      <c r="JF2" s="580" t="inlineStr">
        <is>
          <t>Dependency 5</t>
        </is>
      </c>
      <c r="JG2" s="589" t="n"/>
      <c r="JN2" s="588" t="n"/>
      <c r="JO2" s="577" t="n"/>
      <c r="JP2" s="577" t="n"/>
      <c r="JQ2" s="578" t="inlineStr">
        <is>
          <t>lab view input</t>
        </is>
      </c>
      <c r="JR2" s="579" t="inlineStr">
        <is>
          <t>Dependency on LABVIEW INPUT</t>
        </is>
      </c>
      <c r="JS2" s="580" t="inlineStr">
        <is>
          <t>Dependency 1 previous wire</t>
        </is>
      </c>
      <c r="JT2" s="580" t="inlineStr">
        <is>
          <t>Dependency 3</t>
        </is>
      </c>
      <c r="JU2" s="580" t="inlineStr">
        <is>
          <t>Dependency 4</t>
        </is>
      </c>
      <c r="JV2" s="580" t="inlineStr">
        <is>
          <t>Dependency 5</t>
        </is>
      </c>
      <c r="JW2" s="581" t="n"/>
      <c r="JZ2" s="588" t="n"/>
      <c r="KA2" s="577" t="n"/>
      <c r="KB2" s="577" t="n"/>
      <c r="KC2" s="578" t="inlineStr">
        <is>
          <t>lab view input</t>
        </is>
      </c>
      <c r="KD2" s="579" t="inlineStr">
        <is>
          <t>Dependency on LABVIEW INPUT</t>
        </is>
      </c>
      <c r="KE2" s="580" t="inlineStr">
        <is>
          <t>Dependency 1 previous wire</t>
        </is>
      </c>
      <c r="KF2" s="580" t="inlineStr">
        <is>
          <t>Dependency 3</t>
        </is>
      </c>
      <c r="KG2" s="580" t="inlineStr">
        <is>
          <t>Dependency 4</t>
        </is>
      </c>
      <c r="KH2" s="580" t="inlineStr">
        <is>
          <t>Dependency 5</t>
        </is>
      </c>
      <c r="KI2" s="581" t="n"/>
      <c r="KP2" s="588" t="n"/>
      <c r="KQ2" s="577" t="n"/>
      <c r="KR2" s="577" t="n"/>
      <c r="KS2" s="578" t="inlineStr">
        <is>
          <t>lab view input</t>
        </is>
      </c>
      <c r="KT2" s="579" t="inlineStr">
        <is>
          <t>Dependency on LABVIEW INPUT</t>
        </is>
      </c>
      <c r="KU2" s="580" t="inlineStr">
        <is>
          <t>Dependency 1 previous wire</t>
        </is>
      </c>
      <c r="KV2" s="580" t="inlineStr">
        <is>
          <t>Dependency 3</t>
        </is>
      </c>
      <c r="KW2" s="580" t="inlineStr">
        <is>
          <t>Dependency 4</t>
        </is>
      </c>
      <c r="KX2" s="580" t="inlineStr">
        <is>
          <t>Dependency 5</t>
        </is>
      </c>
      <c r="KY2" s="581" t="n"/>
      <c r="LB2" s="588" t="n"/>
      <c r="LC2" s="577" t="n"/>
      <c r="LD2" s="577" t="n"/>
      <c r="LE2" s="578" t="inlineStr">
        <is>
          <t>lab view input</t>
        </is>
      </c>
      <c r="LF2" s="579" t="inlineStr">
        <is>
          <t>Dependency on LABVIEW INPUT</t>
        </is>
      </c>
      <c r="LG2" s="580" t="inlineStr">
        <is>
          <t>Dependency 1 previous wire</t>
        </is>
      </c>
      <c r="LH2" s="580" t="inlineStr">
        <is>
          <t>Dependency 3</t>
        </is>
      </c>
      <c r="LI2" s="580" t="inlineStr">
        <is>
          <t>Dependency 4</t>
        </is>
      </c>
      <c r="LJ2" s="580" t="inlineStr">
        <is>
          <t>Dependency 5</t>
        </is>
      </c>
      <c r="LK2" s="581" t="n"/>
      <c r="LR2" s="588" t="n"/>
      <c r="LS2" s="577" t="n"/>
      <c r="LT2" s="577" t="n"/>
      <c r="LU2" s="578" t="inlineStr">
        <is>
          <t>lab view input</t>
        </is>
      </c>
      <c r="LV2" s="579" t="inlineStr">
        <is>
          <t>Dependency on LABVIEW INPUT</t>
        </is>
      </c>
      <c r="LW2" s="580" t="inlineStr">
        <is>
          <t>Dependency 1 previous wire</t>
        </is>
      </c>
      <c r="LX2" s="580" t="inlineStr">
        <is>
          <t>Dependency 3</t>
        </is>
      </c>
      <c r="LY2" s="580" t="inlineStr">
        <is>
          <t>Dependency 4</t>
        </is>
      </c>
      <c r="LZ2" s="580" t="inlineStr">
        <is>
          <t>Dependency 5</t>
        </is>
      </c>
      <c r="MA2" s="581" t="n"/>
      <c r="MH2" s="588" t="n"/>
      <c r="MI2" s="577" t="n"/>
      <c r="MJ2" s="577" t="n"/>
      <c r="MK2" s="578" t="inlineStr">
        <is>
          <t>lab view input</t>
        </is>
      </c>
      <c r="ML2" s="579" t="inlineStr">
        <is>
          <t>Dependency on LABVIEW INPUT</t>
        </is>
      </c>
      <c r="MM2" s="580" t="inlineStr">
        <is>
          <t>Dependency 1 previous wire</t>
        </is>
      </c>
      <c r="MN2" s="580" t="inlineStr">
        <is>
          <t>Dependency 3</t>
        </is>
      </c>
      <c r="MO2" s="580" t="inlineStr">
        <is>
          <t>Dependency 4</t>
        </is>
      </c>
      <c r="MP2" s="580" t="inlineStr">
        <is>
          <t>Dependency 5</t>
        </is>
      </c>
      <c r="MQ2" s="581" t="n"/>
    </row>
    <row r="3" ht="29.25" customHeight="1">
      <c r="A3" s="752" t="inlineStr">
        <is>
          <t>1. Air conditioning VENTILATION CABIN</t>
        </is>
      </c>
      <c r="L3" s="742" t="inlineStr">
        <is>
          <t>CKT 1</t>
        </is>
      </c>
      <c r="P3" s="753" t="inlineStr">
        <is>
          <t>2. Air conditioning Power Supply  HVAC 1</t>
        </is>
      </c>
      <c r="Q3" s="798" t="n"/>
      <c r="R3" s="798" t="n"/>
      <c r="S3" s="798" t="n"/>
      <c r="T3" s="798" t="n"/>
      <c r="U3" s="798" t="n"/>
      <c r="V3" s="798" t="n"/>
      <c r="W3" s="798" t="n"/>
      <c r="X3" s="798" t="n"/>
      <c r="Y3" s="309" t="n"/>
      <c r="AA3" s="267" t="inlineStr">
        <is>
          <t>CKT 2,3</t>
        </is>
      </c>
      <c r="AF3" s="753" t="inlineStr">
        <is>
          <t>3. Air conditioning Power Supply  HVAC 1</t>
        </is>
      </c>
      <c r="AG3" s="798" t="n"/>
      <c r="AH3" s="798" t="n"/>
      <c r="AI3" s="798" t="n"/>
      <c r="AJ3" s="798" t="n"/>
      <c r="AK3" s="798" t="n"/>
      <c r="AL3" s="798" t="n"/>
      <c r="AM3" s="798" t="n"/>
      <c r="AN3" s="798" t="n"/>
      <c r="AO3" s="309" t="n"/>
      <c r="AS3" s="741" t="inlineStr">
        <is>
          <t>4. Air conditioning HVAC1/2 CONTROL</t>
        </is>
      </c>
      <c r="BI3" s="741" t="inlineStr">
        <is>
          <t>5. Air conditioning
HVAC 2 CONTROL panel</t>
        </is>
      </c>
      <c r="BX3" s="741" t="inlineStr">
        <is>
          <t>6. Air conditioning
HVAC 2 CONTROL panel</t>
        </is>
      </c>
      <c r="CI3" s="743" t="inlineStr">
        <is>
          <t>7. Air conditioning HVAC1/2 CONTROL</t>
        </is>
      </c>
      <c r="CT3" s="742" t="inlineStr">
        <is>
          <t>CKT  7</t>
        </is>
      </c>
      <c r="CY3" s="743" t="inlineStr">
        <is>
          <t xml:space="preserve"> 8. Air conditioning HVAC 1/2 Diagnostic</t>
        </is>
      </c>
      <c r="DK3" s="743" t="inlineStr">
        <is>
          <t xml:space="preserve"> 9. Air conditioning HVAC 1/2 Diagnostic</t>
        </is>
      </c>
      <c r="DZ3" s="743" t="inlineStr">
        <is>
          <t xml:space="preserve"> 10. MP0010409MW01_05_PUNE_HVAC  SYSTEM_25.VSDX ( HVAC 1-2 CONTROL PANEL )</t>
        </is>
      </c>
      <c r="EO3" s="753" t="inlineStr">
        <is>
          <t xml:space="preserve"> 11. De-Energized Condition</t>
        </is>
      </c>
      <c r="EP3" s="798" t="n"/>
      <c r="EQ3" s="798" t="n"/>
      <c r="ER3" s="798" t="n"/>
      <c r="ES3" s="798" t="n"/>
      <c r="ET3" s="798" t="n"/>
      <c r="EU3" s="798" t="n"/>
      <c r="EV3" s="798" t="n"/>
      <c r="EW3" s="798" t="n"/>
      <c r="EX3" s="309" t="n"/>
      <c r="EZ3" s="742" t="inlineStr">
        <is>
          <t>CKT 11</t>
        </is>
      </c>
      <c r="FE3" s="743" t="inlineStr">
        <is>
          <t>12. Normal Operating Condition</t>
        </is>
      </c>
      <c r="FP3" s="742" t="inlineStr">
        <is>
          <t>CKT 12, 13</t>
        </is>
      </c>
      <c r="FT3" s="743" t="inlineStr">
        <is>
          <t>13. When Smoke Is Detected</t>
        </is>
      </c>
      <c r="GF3" s="743" t="inlineStr">
        <is>
          <t>14. Car Side Scope Of Work</t>
        </is>
      </c>
      <c r="GU3" s="743" t="inlineStr">
        <is>
          <t xml:space="preserve"> 15. Meter Cable Length For Rad Will Be Provide With
Unit</t>
        </is>
      </c>
      <c r="HK3" s="743" t="inlineStr">
        <is>
          <t xml:space="preserve"> 16. SAF Power &amp; Control Circuit
Unit</t>
        </is>
      </c>
      <c r="HZ3" s="743" t="inlineStr">
        <is>
          <t xml:space="preserve"> 17. Phase Protection Relay (PPR) Monitoring Circuit
Unit</t>
        </is>
      </c>
      <c r="IL3" s="743" t="inlineStr">
        <is>
          <t>18. Emergency SAF &amp; Return Air Damper Circuit
Unit</t>
        </is>
      </c>
      <c r="IX3" s="743" t="inlineStr">
        <is>
          <t xml:space="preserve"> 19. FROM CAR SIDE 110V DC WILL BE DISCONNECTED WHEN EXT OR INT SMOKE DETECTED Unit</t>
        </is>
      </c>
      <c r="JI3" s="742" t="inlineStr">
        <is>
          <t>CKT 19</t>
        </is>
      </c>
      <c r="JN3" s="743" t="inlineStr">
        <is>
          <t>20.  CAR SIDE SCOPE OF WORK (WHEN SMOKE DETECTED IN BOTH CAR )</t>
        </is>
      </c>
      <c r="JZ3" s="743" t="inlineStr">
        <is>
          <t>21.  FROM CAR SIDE 110 V DC WILL BE DISCONNECTED TO SWITCH OFF THE SAFC IN CASE OF INTERNAL SMOKE DETECTION/ IN CASE OF F/B FROM SAFC PLC WILL SIWTCH OFF LOADS OF HVAC</t>
        </is>
      </c>
      <c r="KP3" s="743" t="inlineStr">
        <is>
          <t>22. HVAC CONTROL PANEL</t>
        </is>
      </c>
      <c r="LB3" s="743" t="inlineStr">
        <is>
          <t xml:space="preserve">23.  MP0010409MW01_05_PUNE_HVAC SYSTEM_25.VSDX </t>
        </is>
      </c>
      <c r="LM3" s="742" t="inlineStr">
        <is>
          <t>CKT 23</t>
        </is>
      </c>
      <c r="LR3" s="743" t="inlineStr">
        <is>
          <t>24. P0010409MW01_05_PUNE_HVAC SYSTEM_25.VSDX (HVAC 1-2) DMA/TA/DMB</t>
        </is>
      </c>
      <c r="MC3" s="742" t="inlineStr">
        <is>
          <t>CKT 24</t>
        </is>
      </c>
      <c r="MH3" s="743" t="inlineStr">
        <is>
          <t>25. MP0010409MW01_05_PUNE_HVAC SYSTEM_25.VSDX</t>
        </is>
      </c>
    </row>
    <row r="4" ht="37.5" customHeight="1">
      <c r="A4" s="590" t="n">
        <v>1</v>
      </c>
      <c r="B4" s="429" t="inlineStr">
        <is>
          <t>-HA/08.D6</t>
        </is>
      </c>
      <c r="C4" s="429" t="inlineStr">
        <is>
          <t>24HTC</t>
        </is>
      </c>
      <c r="D4" s="757" t="inlineStr">
        <is>
          <t>strating point</t>
        </is>
      </c>
      <c r="E4" s="497" t="n"/>
      <c r="F4" s="591" t="n">
        <v>1</v>
      </c>
      <c r="G4" s="592" t="n"/>
      <c r="H4" s="497" t="n"/>
      <c r="I4" s="497" t="n"/>
      <c r="J4" s="593">
        <f>IF(AND(E4:I4),1,0)</f>
        <v/>
      </c>
      <c r="L4" s="594" t="inlineStr">
        <is>
          <t>COMPONENT</t>
        </is>
      </c>
      <c r="M4" s="594" t="n"/>
      <c r="N4" s="594" t="inlineStr">
        <is>
          <t>REMARK</t>
        </is>
      </c>
      <c r="P4" s="592" t="n">
        <v>1</v>
      </c>
      <c r="Q4" s="321" t="inlineStr">
        <is>
          <t>HA/24.E6</t>
        </is>
      </c>
      <c r="R4" s="592" t="n"/>
      <c r="S4" s="497" t="n"/>
      <c r="T4" s="497" t="n"/>
      <c r="U4" s="591">
        <f>AB37</f>
        <v/>
      </c>
      <c r="V4" s="497" t="n"/>
      <c r="W4" s="497" t="n"/>
      <c r="X4" s="497" t="n"/>
      <c r="Y4" s="593">
        <f>IF(OR(T4:X4),1,0)</f>
        <v/>
      </c>
      <c r="AA4" s="594" t="inlineStr">
        <is>
          <t>COMPONENT</t>
        </is>
      </c>
      <c r="AB4" s="594" t="n"/>
      <c r="AC4" s="594" t="inlineStr">
        <is>
          <t>REMARK</t>
        </is>
      </c>
      <c r="AF4" s="592" t="n">
        <v>1</v>
      </c>
      <c r="AG4" s="265" t="inlineStr">
        <is>
          <t>HA/24.E6</t>
        </is>
      </c>
      <c r="AH4" s="497" t="n"/>
      <c r="AI4" s="497" t="n"/>
      <c r="AJ4" s="497" t="n"/>
      <c r="AK4" s="591" t="n">
        <v>1</v>
      </c>
      <c r="AL4" s="497" t="n"/>
      <c r="AM4" s="497" t="n"/>
      <c r="AN4" s="497" t="n"/>
      <c r="AO4" s="593">
        <f>IF(OR(AJ4:AN4),1,0)</f>
        <v/>
      </c>
      <c r="AS4" s="592" t="n">
        <v>1</v>
      </c>
      <c r="AT4" s="595" t="inlineStr">
        <is>
          <t>-HA/10.D4</t>
        </is>
      </c>
      <c r="AU4" s="497" t="n"/>
      <c r="AV4" s="497" t="n"/>
      <c r="AW4" s="596" t="n">
        <v>1</v>
      </c>
      <c r="AX4" s="497" t="n"/>
      <c r="AY4" s="497" t="n"/>
      <c r="AZ4" s="497" t="n"/>
      <c r="BA4" s="497" t="n"/>
      <c r="BB4" s="593">
        <f>IF(AND(AW4:BA4),1,0)</f>
        <v/>
      </c>
      <c r="BD4" s="742" t="inlineStr">
        <is>
          <t>CKT 4</t>
        </is>
      </c>
      <c r="BI4" s="592" t="n">
        <v>1</v>
      </c>
      <c r="BJ4" s="275" t="inlineStr">
        <is>
          <t>HA/16.D7</t>
        </is>
      </c>
      <c r="BK4" s="597" t="n"/>
      <c r="BL4" s="497" t="n"/>
      <c r="BM4" s="497" t="n"/>
      <c r="BN4" s="598" t="n">
        <v>1</v>
      </c>
      <c r="BO4" s="497" t="n"/>
      <c r="BP4" s="497" t="n"/>
      <c r="BQ4" s="497" t="n"/>
      <c r="BR4" s="593">
        <f>IF(AND(BM4:BQ4),1,0)</f>
        <v/>
      </c>
      <c r="BT4" s="742" t="inlineStr">
        <is>
          <t>CKT 5</t>
        </is>
      </c>
      <c r="BX4" s="592" t="n">
        <v>1</v>
      </c>
      <c r="BY4" s="275" t="inlineStr">
        <is>
          <t>HA/16.D7</t>
        </is>
      </c>
      <c r="BZ4" s="597" t="n"/>
      <c r="CA4" s="497" t="n"/>
      <c r="CB4" s="497" t="n"/>
      <c r="CC4" s="598" t="n">
        <v>1</v>
      </c>
      <c r="CD4" s="497" t="n"/>
      <c r="CE4" s="497" t="n"/>
      <c r="CF4" s="497" t="n"/>
      <c r="CG4" s="593">
        <f>IF(AND(CB4:CF4),1,0)</f>
        <v/>
      </c>
      <c r="CI4" s="592" t="n">
        <v>1</v>
      </c>
      <c r="CJ4" s="599" t="n"/>
      <c r="CK4" s="597" t="n"/>
      <c r="CL4" s="497" t="n"/>
      <c r="CM4" s="497" t="n"/>
      <c r="CN4" s="596" t="n">
        <v>1</v>
      </c>
      <c r="CO4" s="497" t="n"/>
      <c r="CP4" s="497" t="n"/>
      <c r="CQ4" s="497" t="n"/>
      <c r="CR4" s="593">
        <f>IF(AND(CM4:CQ4),1,0)</f>
        <v/>
      </c>
      <c r="CT4" s="594" t="inlineStr">
        <is>
          <t>COMPONENT</t>
        </is>
      </c>
      <c r="CU4" s="594" t="n"/>
      <c r="CV4" s="594" t="inlineStr">
        <is>
          <t>REMARK</t>
        </is>
      </c>
      <c r="CY4" s="592" t="n">
        <v>1</v>
      </c>
      <c r="CZ4" s="599" t="n"/>
      <c r="DA4" s="597" t="n"/>
      <c r="DB4" s="497" t="n"/>
      <c r="DC4" s="497" t="n"/>
      <c r="DD4" s="596">
        <f>CU9</f>
        <v/>
      </c>
      <c r="DE4" s="497" t="n"/>
      <c r="DF4" s="497" t="n"/>
      <c r="DG4" s="497" t="n"/>
      <c r="DH4" s="593">
        <f>IF(AND(DC4:DG4),1,0)</f>
        <v/>
      </c>
      <c r="DK4" s="592" t="n">
        <v>1</v>
      </c>
      <c r="DL4" s="599" t="n"/>
      <c r="DM4" s="597" t="inlineStr">
        <is>
          <t>Batt 110 Vdc</t>
        </is>
      </c>
      <c r="DN4" s="497" t="n"/>
      <c r="DO4" s="497" t="n"/>
      <c r="DP4" s="600">
        <f>DW7</f>
        <v/>
      </c>
      <c r="DQ4" s="497" t="n"/>
      <c r="DR4" s="497" t="n"/>
      <c r="DS4" s="497" t="n"/>
      <c r="DT4" s="593">
        <f>IF(AND(DO4:DS4),1,0)</f>
        <v/>
      </c>
      <c r="DZ4" s="592" t="n">
        <v>1</v>
      </c>
      <c r="EA4" s="599" t="n"/>
      <c r="EB4" s="724" t="inlineStr">
        <is>
          <t>FROM APS 415 VAC</t>
        </is>
      </c>
      <c r="EC4" s="497" t="n"/>
      <c r="ED4" s="497" t="n"/>
      <c r="EE4" s="601">
        <f>EL6</f>
        <v/>
      </c>
      <c r="EF4" s="497" t="n"/>
      <c r="EG4" s="497" t="n"/>
      <c r="EH4" s="497" t="n"/>
      <c r="EI4" s="602">
        <f>IF(AND(ED4:EH4),1,0)</f>
        <v/>
      </c>
      <c r="EK4" s="742" t="inlineStr">
        <is>
          <t>CKT 10</t>
        </is>
      </c>
      <c r="EO4" s="592" t="n">
        <v>1</v>
      </c>
      <c r="EP4" s="599" t="n"/>
      <c r="EQ4" s="724" t="inlineStr">
        <is>
          <t>SMRR-110VDC</t>
        </is>
      </c>
      <c r="ER4" s="497" t="n"/>
      <c r="ES4" s="497" t="n"/>
      <c r="ET4" s="601">
        <f>FA5</f>
        <v/>
      </c>
      <c r="EU4" s="497" t="n"/>
      <c r="EV4" s="497" t="n"/>
      <c r="EW4" s="497" t="n"/>
      <c r="EX4" s="593">
        <f>IF(AND(ES4:EW4),1,0)</f>
        <v/>
      </c>
      <c r="EZ4" s="594" t="inlineStr">
        <is>
          <t>COMPONENT</t>
        </is>
      </c>
      <c r="FA4" s="594" t="n"/>
      <c r="FB4" s="594" t="inlineStr">
        <is>
          <t>REMARK</t>
        </is>
      </c>
      <c r="FE4" s="592" t="n">
        <v>1</v>
      </c>
      <c r="FF4" s="603" t="inlineStr">
        <is>
          <t>P</t>
        </is>
      </c>
      <c r="FG4" s="724" t="inlineStr">
        <is>
          <t>SMRR-110VDC</t>
        </is>
      </c>
      <c r="FH4" s="497" t="n"/>
      <c r="FI4" s="497" t="n"/>
      <c r="FJ4" s="601">
        <f>FA5</f>
        <v/>
      </c>
      <c r="FK4" s="497" t="n"/>
      <c r="FL4" s="497" t="n"/>
      <c r="FM4" s="497" t="n"/>
      <c r="FN4" s="593">
        <f>IF(AND(FI4:FM4),1,0)</f>
        <v/>
      </c>
      <c r="FP4" s="594" t="inlineStr">
        <is>
          <t>COMPONENT</t>
        </is>
      </c>
      <c r="FQ4" s="594" t="n"/>
      <c r="FR4" s="594" t="inlineStr">
        <is>
          <t>REMARK</t>
        </is>
      </c>
      <c r="FT4" s="592" t="n">
        <v>1</v>
      </c>
      <c r="FU4" s="599" t="n"/>
      <c r="FV4" s="724" t="inlineStr">
        <is>
          <t>SMRR-110VDC</t>
        </is>
      </c>
      <c r="FW4" s="497" t="n"/>
      <c r="FX4" s="497" t="n"/>
      <c r="FY4" s="600">
        <f>FQ7</f>
        <v/>
      </c>
      <c r="FZ4" s="497" t="n"/>
      <c r="GA4" s="497" t="n"/>
      <c r="GB4" s="497" t="n"/>
      <c r="GC4" s="593">
        <f>IF(AND(FX4:GB4),1,0)</f>
        <v/>
      </c>
      <c r="GF4" s="592" t="n">
        <v>1</v>
      </c>
      <c r="GG4" s="599" t="n"/>
      <c r="GH4" s="724" t="inlineStr">
        <is>
          <t>110VDC</t>
        </is>
      </c>
      <c r="GI4" s="497" t="n"/>
      <c r="GJ4" s="497" t="n"/>
      <c r="GK4" s="604">
        <f>GR7</f>
        <v/>
      </c>
      <c r="GL4" s="497" t="n"/>
      <c r="GM4" s="497" t="n"/>
      <c r="GN4" s="497" t="n"/>
      <c r="GO4" s="593">
        <f>IF(AND(GJ4:GN4),1,0)</f>
        <v/>
      </c>
      <c r="GU4" s="592" t="n">
        <v>1</v>
      </c>
      <c r="GV4" s="599" t="n"/>
      <c r="GW4" s="592" t="inlineStr">
        <is>
          <t>24 V DC /DC</t>
        </is>
      </c>
      <c r="GX4" s="497" t="n"/>
      <c r="GY4" s="497" t="n"/>
      <c r="GZ4" s="600">
        <f>HG8</f>
        <v/>
      </c>
      <c r="HA4" s="497" t="n"/>
      <c r="HB4" s="497" t="n"/>
      <c r="HC4" s="497" t="n"/>
      <c r="HD4" s="602">
        <f>IF(AND(GY4:HC4),1,0)</f>
        <v/>
      </c>
      <c r="HF4" s="742" t="inlineStr">
        <is>
          <t>CKT 15</t>
        </is>
      </c>
      <c r="HK4" s="592" t="n">
        <v>1</v>
      </c>
      <c r="HL4" s="599" t="n"/>
      <c r="HM4" s="597" t="inlineStr">
        <is>
          <t>APS 2</t>
        </is>
      </c>
      <c r="HN4" s="597" t="n"/>
      <c r="HO4" s="597" t="n"/>
      <c r="HP4" s="605">
        <f>HW7</f>
        <v/>
      </c>
      <c r="HQ4" s="597" t="n"/>
      <c r="HR4" s="497" t="n"/>
      <c r="HS4" s="497" t="n"/>
      <c r="HT4" s="593">
        <f>IF(AND(HO4:HS4),1,0)</f>
        <v/>
      </c>
      <c r="HV4" s="742" t="inlineStr">
        <is>
          <t>CKT 16,17 ,18</t>
        </is>
      </c>
      <c r="HZ4" s="592" t="n">
        <v>1</v>
      </c>
      <c r="IA4" s="599" t="n"/>
      <c r="IB4" s="724" t="inlineStr">
        <is>
          <t>APS 1 _R</t>
        </is>
      </c>
      <c r="IC4" s="597" t="n"/>
      <c r="ID4" s="597" t="n"/>
      <c r="IE4" s="606">
        <f>HW6</f>
        <v/>
      </c>
      <c r="IF4" s="597" t="n"/>
      <c r="IG4" s="497" t="n"/>
      <c r="IH4" s="497" t="n"/>
      <c r="II4" s="593">
        <f>IF(AND(ID4:IH4),1,0)</f>
        <v/>
      </c>
      <c r="IL4" s="592" t="n">
        <v>1</v>
      </c>
      <c r="IM4" s="599" t="n"/>
      <c r="IN4" s="724" t="inlineStr">
        <is>
          <t xml:space="preserve">From 110/24 vdc converter emergency saf 1 &amp; 2 </t>
        </is>
      </c>
      <c r="IO4" s="597" t="n"/>
      <c r="IP4" s="597" t="n"/>
      <c r="IQ4" s="605">
        <f>HW18</f>
        <v/>
      </c>
      <c r="IR4" s="597" t="n"/>
      <c r="IS4" s="497" t="n"/>
      <c r="IT4" s="497" t="n"/>
      <c r="IU4" s="593">
        <f>IF(AND(IP4:IT4),1,0)</f>
        <v/>
      </c>
      <c r="IX4" s="592" t="n">
        <v>1</v>
      </c>
      <c r="IY4" s="599" t="n"/>
      <c r="IZ4" s="724" t="n"/>
      <c r="JA4" s="597" t="n"/>
      <c r="JB4" s="597" t="n"/>
      <c r="JC4" s="605">
        <f>JJ5</f>
        <v/>
      </c>
      <c r="JD4" s="597" t="n"/>
      <c r="JE4" s="497" t="n"/>
      <c r="JF4" s="497" t="n"/>
      <c r="JG4" s="602">
        <f>IF(AND(JB4:JF4),1,0)</f>
        <v/>
      </c>
      <c r="JI4" s="594" t="inlineStr">
        <is>
          <t>COMPONENT</t>
        </is>
      </c>
      <c r="JJ4" s="594" t="n"/>
      <c r="JK4" s="594" t="inlineStr">
        <is>
          <t>REMARK</t>
        </is>
      </c>
      <c r="JN4" s="592" t="n">
        <v>1</v>
      </c>
      <c r="JO4" s="599" t="n"/>
      <c r="JP4" s="724" t="inlineStr">
        <is>
          <t xml:space="preserve">110 V DC </t>
        </is>
      </c>
      <c r="JQ4" s="597" t="n"/>
      <c r="JR4" s="597" t="n"/>
      <c r="JS4" s="605">
        <f>JJ18</f>
        <v/>
      </c>
      <c r="JT4" s="597" t="n"/>
      <c r="JU4" s="497" t="n"/>
      <c r="JV4" s="497" t="n"/>
      <c r="JW4" s="593">
        <f>IF(AND(JR4:JV4),1,0)</f>
        <v/>
      </c>
      <c r="JZ4" s="592" t="n">
        <v>1</v>
      </c>
      <c r="KA4" s="599" t="n"/>
      <c r="KB4" s="724" t="n"/>
      <c r="KC4" s="597" t="n"/>
      <c r="KD4" s="724" t="n"/>
      <c r="KE4" s="605">
        <f>KL10</f>
        <v/>
      </c>
      <c r="KF4" s="597">
        <f>KI5</f>
        <v/>
      </c>
      <c r="KG4" s="497" t="n"/>
      <c r="KH4" s="497" t="n"/>
      <c r="KI4" s="593">
        <f>IF(AND(KD4:KH4),1,0)</f>
        <v/>
      </c>
      <c r="KK4" s="742" t="inlineStr">
        <is>
          <t>CKT 21</t>
        </is>
      </c>
      <c r="KP4" s="592" t="n">
        <v>1</v>
      </c>
      <c r="KQ4" s="599" t="inlineStr">
        <is>
          <t xml:space="preserve">X1_ 4 PIN POWER CONNECTOR </t>
        </is>
      </c>
      <c r="KR4" s="724" t="inlineStr">
        <is>
          <t>APS 1 415 V AC R</t>
        </is>
      </c>
      <c r="KS4" s="597" t="n"/>
      <c r="KT4" s="724" t="n"/>
      <c r="KU4" s="605">
        <f>KL17</f>
        <v/>
      </c>
      <c r="KV4" s="597" t="n"/>
      <c r="KW4" s="497" t="n"/>
      <c r="KX4" s="497" t="n"/>
      <c r="KY4" s="593">
        <f>IF(AND(KT4:KX4),1,0)</f>
        <v/>
      </c>
      <c r="LB4" s="592" t="n">
        <v>1</v>
      </c>
      <c r="LC4" s="599" t="inlineStr">
        <is>
          <t>X2</t>
        </is>
      </c>
      <c r="LD4" s="724" t="inlineStr">
        <is>
          <t>415 VAC _U2</t>
        </is>
      </c>
      <c r="LE4" s="597" t="n"/>
      <c r="LF4" s="597" t="n"/>
      <c r="LG4" s="603">
        <f>LN37</f>
        <v/>
      </c>
      <c r="LH4" s="597" t="n"/>
      <c r="LI4" s="497" t="n"/>
      <c r="LJ4" s="497" t="n"/>
      <c r="LK4" s="593">
        <f>IF(AND(LF4:LJ4),1,0)</f>
        <v/>
      </c>
      <c r="LM4" s="594" t="inlineStr">
        <is>
          <t>COMPONENT</t>
        </is>
      </c>
      <c r="LN4" s="594" t="n"/>
      <c r="LO4" s="594" t="inlineStr">
        <is>
          <t>REMARK</t>
        </is>
      </c>
      <c r="LR4" s="592" t="n">
        <v>1</v>
      </c>
      <c r="LS4" s="599" t="n"/>
      <c r="LT4" s="724" t="n"/>
      <c r="LU4" s="597" t="n"/>
      <c r="LV4" s="724" t="n"/>
      <c r="LW4" s="724" t="n">
        <v>1</v>
      </c>
      <c r="LX4" s="597" t="n"/>
      <c r="LY4" s="497" t="n"/>
      <c r="LZ4" s="497" t="n"/>
      <c r="MA4" s="593">
        <f>IF(AND(LV4:LZ4),1,0)</f>
        <v/>
      </c>
      <c r="MC4" s="594" t="inlineStr">
        <is>
          <t>COMPONENT</t>
        </is>
      </c>
      <c r="MD4" s="594" t="n"/>
      <c r="ME4" s="594" t="inlineStr">
        <is>
          <t>REMARK</t>
        </is>
      </c>
      <c r="MH4" s="592" t="n">
        <v>1</v>
      </c>
      <c r="MI4" s="599" t="n"/>
      <c r="MJ4" s="724" t="inlineStr">
        <is>
          <t xml:space="preserve">110 V DC </t>
        </is>
      </c>
      <c r="MK4" s="597" t="n"/>
      <c r="ML4" s="724" t="n"/>
      <c r="MM4" s="605">
        <f>MT6</f>
        <v/>
      </c>
      <c r="MN4" s="597" t="n"/>
      <c r="MO4" s="497" t="n"/>
      <c r="MP4" s="497" t="n"/>
      <c r="MQ4" s="593">
        <f>IF(AND(ML4:MP4),1,0)</f>
        <v/>
      </c>
      <c r="MS4" s="742" t="inlineStr">
        <is>
          <t>CKT 25</t>
        </is>
      </c>
    </row>
    <row r="5" ht="30.75" customHeight="1">
      <c r="A5" s="590" t="n">
        <v>2</v>
      </c>
      <c r="B5" s="497" t="n"/>
      <c r="C5" s="497" t="n"/>
      <c r="D5" s="265" t="inlineStr">
        <is>
          <t>110V</t>
        </is>
      </c>
      <c r="E5" s="497" t="n"/>
      <c r="F5" s="757">
        <f>J4</f>
        <v/>
      </c>
      <c r="G5" s="592" t="n"/>
      <c r="H5" s="497" t="n"/>
      <c r="I5" s="497" t="n"/>
      <c r="J5" s="593">
        <f>IF(AND(E5:I5),1,0)</f>
        <v/>
      </c>
      <c r="L5" s="597" t="inlineStr">
        <is>
          <t xml:space="preserve"> 24 HTC wire </t>
        </is>
      </c>
      <c r="M5" s="757" t="n">
        <v>1</v>
      </c>
      <c r="N5" s="497" t="n"/>
      <c r="P5" s="592" t="n">
        <v>2</v>
      </c>
      <c r="Q5" s="607" t="n"/>
      <c r="R5" s="592" t="n"/>
      <c r="S5" s="497" t="n"/>
      <c r="T5" s="497" t="n"/>
      <c r="U5" s="757">
        <f>Y4</f>
        <v/>
      </c>
      <c r="V5" s="497" t="n"/>
      <c r="W5" s="497" t="n"/>
      <c r="X5" s="497" t="n"/>
      <c r="Y5" s="593">
        <f>IF(AND(T5:X5),1,0)</f>
        <v/>
      </c>
      <c r="AA5" s="724" t="inlineStr">
        <is>
          <t>SAFB1 _9.5A</t>
        </is>
      </c>
      <c r="AB5" s="757" t="n"/>
      <c r="AC5" s="497" t="n"/>
      <c r="AF5" s="592" t="n">
        <v>2</v>
      </c>
      <c r="AG5" s="497" t="n"/>
      <c r="AH5" s="497" t="n"/>
      <c r="AI5" s="497" t="n"/>
      <c r="AJ5" s="497" t="n"/>
      <c r="AK5" s="757">
        <f>AO4</f>
        <v/>
      </c>
      <c r="AL5" s="497" t="n"/>
      <c r="AM5" s="497" t="n"/>
      <c r="AN5" s="497" t="n"/>
      <c r="AO5" s="593">
        <f>IF(AND(AJ5:AN5),1,0)</f>
        <v/>
      </c>
      <c r="AS5" s="592" t="n">
        <v>2</v>
      </c>
      <c r="AT5" s="497" t="n"/>
      <c r="AU5" s="724" t="inlineStr">
        <is>
          <t>HRC9-O</t>
        </is>
      </c>
      <c r="AV5" s="497" t="n"/>
      <c r="AW5" s="601">
        <f>BE7</f>
        <v/>
      </c>
      <c r="AX5" s="497">
        <f>BB4</f>
        <v/>
      </c>
      <c r="AY5" s="497" t="n"/>
      <c r="AZ5" s="497" t="n"/>
      <c r="BA5" s="497" t="n"/>
      <c r="BB5" s="593">
        <f>IF(AND(AW5:BA5),1,0)</f>
        <v/>
      </c>
      <c r="BD5" s="594" t="inlineStr">
        <is>
          <t>COMPONENT</t>
        </is>
      </c>
      <c r="BE5" s="594" t="n"/>
      <c r="BF5" s="594" t="inlineStr">
        <is>
          <t>REMARK</t>
        </is>
      </c>
      <c r="BI5" s="592" t="n">
        <v>2</v>
      </c>
      <c r="BJ5" s="608" t="n"/>
      <c r="BK5" s="597" t="n"/>
      <c r="BL5" s="497" t="n"/>
      <c r="BM5" s="497" t="n"/>
      <c r="BN5" s="592">
        <f>BR4</f>
        <v/>
      </c>
      <c r="BO5" s="497" t="n"/>
      <c r="BP5" s="497" t="n"/>
      <c r="BQ5" s="497" t="n"/>
      <c r="BR5" s="593">
        <f>IF(AND(BM5:BQ5),1,0)</f>
        <v/>
      </c>
      <c r="BT5" s="594" t="inlineStr">
        <is>
          <t>COMPONENT</t>
        </is>
      </c>
      <c r="BU5" s="594" t="n"/>
      <c r="BV5" s="594" t="inlineStr">
        <is>
          <t>REMARK</t>
        </is>
      </c>
      <c r="BX5" s="592" t="n">
        <v>2</v>
      </c>
      <c r="BY5" s="608" t="n"/>
      <c r="BZ5" s="597" t="n"/>
      <c r="CA5" s="497" t="n"/>
      <c r="CB5" s="497" t="n"/>
      <c r="CC5" s="592">
        <f>CG4</f>
        <v/>
      </c>
      <c r="CD5" s="497" t="n"/>
      <c r="CE5" s="497" t="n"/>
      <c r="CF5" s="497" t="n"/>
      <c r="CG5" s="593">
        <f>IF(AND(CB5:CF5),1,0)</f>
        <v/>
      </c>
      <c r="CI5" s="592" t="n">
        <v>2</v>
      </c>
      <c r="CJ5" s="724" t="inlineStr">
        <is>
          <t>UD .X14.05-F-A 8 +14.10</t>
        </is>
      </c>
      <c r="CK5" s="597" t="n"/>
      <c r="CL5" s="497" t="n"/>
      <c r="CM5" s="497" t="n"/>
      <c r="CN5" s="497">
        <f>CR4</f>
        <v/>
      </c>
      <c r="CO5" s="497" t="n"/>
      <c r="CP5" s="497" t="n"/>
      <c r="CQ5" s="497" t="n"/>
      <c r="CR5" s="593">
        <f>IF(AND(CM5:CQ5),1,0)</f>
        <v/>
      </c>
      <c r="CT5" s="724" t="inlineStr">
        <is>
          <t>TCR6 -E</t>
        </is>
      </c>
      <c r="CU5" s="757" t="n">
        <v>1</v>
      </c>
      <c r="CV5" s="497" t="n"/>
      <c r="CY5" s="592" t="n">
        <v>2</v>
      </c>
      <c r="CZ5" s="267" t="inlineStr">
        <is>
          <t>UD .X14.03-F</t>
        </is>
      </c>
      <c r="DA5" s="597" t="n"/>
      <c r="DB5" s="497" t="n"/>
      <c r="DC5" s="497" t="n"/>
      <c r="DD5" s="497">
        <f>DH4</f>
        <v/>
      </c>
      <c r="DE5" s="497" t="n"/>
      <c r="DF5" s="497" t="n"/>
      <c r="DG5" s="497" t="n"/>
      <c r="DH5" s="593">
        <f>IF(AND(DC5:DG5),1,0)</f>
        <v/>
      </c>
      <c r="DK5" s="592" t="n">
        <v>2</v>
      </c>
      <c r="DL5" s="267" t="n"/>
      <c r="DM5" s="597" t="n"/>
      <c r="DN5" s="497" t="n"/>
      <c r="DO5" s="497" t="n"/>
      <c r="DP5" s="757">
        <f>DT4</f>
        <v/>
      </c>
      <c r="DQ5" s="497" t="n"/>
      <c r="DR5" s="497" t="n"/>
      <c r="DS5" s="497" t="n"/>
      <c r="DT5" s="593">
        <f>IF(AND(DO5:DS5),1,0)</f>
        <v/>
      </c>
      <c r="DV5" s="742" t="inlineStr">
        <is>
          <t>CKT 9</t>
        </is>
      </c>
      <c r="DZ5" s="592" t="n">
        <v>2</v>
      </c>
      <c r="EA5" s="267" t="n"/>
      <c r="EB5" s="597" t="n"/>
      <c r="EC5" s="497" t="n"/>
      <c r="ED5" s="497" t="n"/>
      <c r="EE5" s="497">
        <f>EI4</f>
        <v/>
      </c>
      <c r="EF5" s="497" t="n"/>
      <c r="EG5" s="497" t="n"/>
      <c r="EH5" s="497" t="n"/>
      <c r="EI5" s="602">
        <f>IF(AND(ED5:EH5),1,0)</f>
        <v/>
      </c>
      <c r="EK5" s="594" t="inlineStr">
        <is>
          <t>COMPONENT</t>
        </is>
      </c>
      <c r="EL5" s="594" t="n"/>
      <c r="EM5" s="594" t="inlineStr">
        <is>
          <t>REMARK</t>
        </is>
      </c>
      <c r="EO5" s="592" t="n">
        <v>2</v>
      </c>
      <c r="EP5" s="267" t="n"/>
      <c r="EQ5" s="597" t="n"/>
      <c r="ER5" s="497" t="n"/>
      <c r="ES5" s="497" t="n"/>
      <c r="ET5" s="497">
        <f>EX4</f>
        <v/>
      </c>
      <c r="EU5" s="497" t="n"/>
      <c r="EV5" s="497" t="n"/>
      <c r="EW5" s="497" t="n"/>
      <c r="EX5" s="593">
        <f>IF(AND(ES5:EW5),1,0)</f>
        <v/>
      </c>
      <c r="EZ5" s="724" t="inlineStr">
        <is>
          <t>SMRR-110VDC</t>
        </is>
      </c>
      <c r="FA5" s="757">
        <f>IF(OR(FA6=1,FA7=1),0,1)</f>
        <v/>
      </c>
      <c r="FB5" s="497" t="n"/>
      <c r="FE5" s="592" t="n">
        <v>2</v>
      </c>
      <c r="FF5" s="267" t="n"/>
      <c r="FG5" s="597" t="n"/>
      <c r="FH5" s="497" t="n"/>
      <c r="FI5" s="497" t="n"/>
      <c r="FJ5" s="497">
        <f>FN4</f>
        <v/>
      </c>
      <c r="FK5" s="497" t="n"/>
      <c r="FL5" s="497" t="n"/>
      <c r="FM5" s="497" t="n"/>
      <c r="FN5" s="593">
        <f>IF(AND(FI5:FM5),1,0)</f>
        <v/>
      </c>
      <c r="FP5" s="724" t="inlineStr">
        <is>
          <t>SMRR-110VDC</t>
        </is>
      </c>
      <c r="FQ5" s="742">
        <f>IF(OR(FQ6=1,FQ7=1),0,1)</f>
        <v/>
      </c>
      <c r="FR5" s="497" t="n"/>
      <c r="FT5" s="592" t="n">
        <v>2</v>
      </c>
      <c r="FU5" s="267" t="n"/>
      <c r="FV5" s="597" t="n"/>
      <c r="FW5" s="497" t="n"/>
      <c r="FX5" s="497" t="n"/>
      <c r="FY5" s="592">
        <f>GC4</f>
        <v/>
      </c>
      <c r="FZ5" s="497" t="n"/>
      <c r="GA5" s="497" t="n"/>
      <c r="GB5" s="497" t="n"/>
      <c r="GC5" s="593">
        <f>IF(AND(FX5:GB5),1,0)</f>
        <v/>
      </c>
      <c r="GF5" s="592" t="n">
        <v>2</v>
      </c>
      <c r="GG5" s="267" t="n"/>
      <c r="GH5" s="597" t="n"/>
      <c r="GI5" s="497" t="n"/>
      <c r="GJ5" s="497" t="n"/>
      <c r="GK5" s="592">
        <f>GO4</f>
        <v/>
      </c>
      <c r="GL5" s="497" t="n"/>
      <c r="GM5" s="497" t="n"/>
      <c r="GN5" s="497" t="n"/>
      <c r="GO5" s="593">
        <f>IF(AND(GJ5:GN5),1,0)</f>
        <v/>
      </c>
      <c r="GQ5" s="742" t="inlineStr">
        <is>
          <t>CKT 14</t>
        </is>
      </c>
      <c r="GU5" s="592" t="n">
        <v>2</v>
      </c>
      <c r="GV5" s="267" t="n"/>
      <c r="GW5" s="597" t="inlineStr">
        <is>
          <t>SAFC2</t>
        </is>
      </c>
      <c r="GX5" s="497" t="n"/>
      <c r="GY5" s="497" t="n"/>
      <c r="GZ5" s="600">
        <f>GR15</f>
        <v/>
      </c>
      <c r="HA5" s="497">
        <f>HD4</f>
        <v/>
      </c>
      <c r="HB5" s="497" t="n"/>
      <c r="HC5" s="497" t="n"/>
      <c r="HD5" s="602">
        <f>IF(AND(GY5:HC5),1,0)</f>
        <v/>
      </c>
      <c r="HF5" s="594" t="inlineStr">
        <is>
          <t>COMPONENT</t>
        </is>
      </c>
      <c r="HG5" s="594" t="n"/>
      <c r="HH5" s="594" t="inlineStr">
        <is>
          <t>REMARK</t>
        </is>
      </c>
      <c r="HK5" s="592" t="n">
        <v>2</v>
      </c>
      <c r="HL5" s="267" t="n"/>
      <c r="HM5" s="597" t="n"/>
      <c r="HN5" s="597" t="n"/>
      <c r="HO5" s="597" t="n"/>
      <c r="HP5" s="597">
        <f>HT4</f>
        <v/>
      </c>
      <c r="HQ5" s="597" t="n"/>
      <c r="HR5" s="497" t="n"/>
      <c r="HS5" s="497" t="n"/>
      <c r="HT5" s="593">
        <f>IF(AND(HO5:HS5),1,0)</f>
        <v/>
      </c>
      <c r="HV5" s="594" t="inlineStr">
        <is>
          <t>COMPONENT</t>
        </is>
      </c>
      <c r="HW5" s="594" t="n"/>
      <c r="HX5" s="594" t="inlineStr">
        <is>
          <t>REMARK</t>
        </is>
      </c>
      <c r="HZ5" s="592" t="n">
        <v>2</v>
      </c>
      <c r="IA5" s="267" t="n"/>
      <c r="IB5" s="597" t="n"/>
      <c r="IC5" s="597" t="n"/>
      <c r="ID5" s="597" t="n"/>
      <c r="IE5" s="597">
        <f>II4</f>
        <v/>
      </c>
      <c r="IF5" s="597" t="n"/>
      <c r="IG5" s="497" t="n"/>
      <c r="IH5" s="497" t="n"/>
      <c r="II5" s="593">
        <f>IF(AND(ID5:IH5),1,0)</f>
        <v/>
      </c>
      <c r="IL5" s="592" t="n">
        <v>2</v>
      </c>
      <c r="IM5" s="267" t="n"/>
      <c r="IN5" s="724" t="inlineStr">
        <is>
          <t>TMR2_60 SEC</t>
        </is>
      </c>
      <c r="IO5" s="597" t="n"/>
      <c r="IP5" s="597" t="n"/>
      <c r="IQ5" s="605">
        <f>HW20</f>
        <v/>
      </c>
      <c r="IR5" s="597">
        <f>IU4</f>
        <v/>
      </c>
      <c r="IS5" s="497" t="n"/>
      <c r="IT5" s="497" t="n"/>
      <c r="IU5" s="593">
        <f>IF(AND(IP5:IT5),1,0)</f>
        <v/>
      </c>
      <c r="IX5" s="592" t="n">
        <v>2</v>
      </c>
      <c r="IY5" s="267" t="n"/>
      <c r="IZ5" s="724" t="inlineStr">
        <is>
          <t>SMDR</t>
        </is>
      </c>
      <c r="JA5" s="597" t="n"/>
      <c r="JB5" s="597" t="n"/>
      <c r="JC5" s="605">
        <f>JJ6</f>
        <v/>
      </c>
      <c r="JD5" s="597">
        <f>JG4</f>
        <v/>
      </c>
      <c r="JE5" s="497" t="n"/>
      <c r="JF5" s="497" t="n"/>
      <c r="JG5" s="602">
        <f>IF(AND(JB5:JF5),1,0)</f>
        <v/>
      </c>
      <c r="JI5" s="592" t="inlineStr">
        <is>
          <t xml:space="preserve">24 VDC </t>
        </is>
      </c>
      <c r="JJ5" s="757" t="n">
        <v>1</v>
      </c>
      <c r="JK5" s="497" t="n"/>
      <c r="JN5" s="592" t="n">
        <v>2</v>
      </c>
      <c r="JO5" s="267" t="n"/>
      <c r="JP5" s="724" t="inlineStr">
        <is>
          <t xml:space="preserve">2 WAY SWITCH </t>
        </is>
      </c>
      <c r="JQ5" s="597" t="n"/>
      <c r="JR5" s="597" t="n"/>
      <c r="JS5" s="724">
        <f>JW4</f>
        <v/>
      </c>
      <c r="JT5" s="597" t="n"/>
      <c r="JU5" s="497" t="n"/>
      <c r="JV5" s="497" t="n"/>
      <c r="JW5" s="593">
        <f>IF(AND(JR5:JV5),1,0)</f>
        <v/>
      </c>
      <c r="JZ5" s="592" t="n">
        <v>2</v>
      </c>
      <c r="KA5" s="267" t="n"/>
      <c r="KB5" s="724" t="n"/>
      <c r="KC5" s="597" t="n"/>
      <c r="KD5" s="724" t="n"/>
      <c r="KE5" s="724">
        <f>KI6</f>
        <v/>
      </c>
      <c r="KF5" s="597" t="n"/>
      <c r="KG5" s="497" t="n"/>
      <c r="KH5" s="497" t="n"/>
      <c r="KI5" s="593">
        <f>IF(AND(KD5:KH5),1,0)</f>
        <v/>
      </c>
      <c r="KK5" s="594" t="inlineStr">
        <is>
          <t>COMPONENT</t>
        </is>
      </c>
      <c r="KL5" s="594" t="n"/>
      <c r="KM5" s="594" t="inlineStr">
        <is>
          <t>REMARK</t>
        </is>
      </c>
      <c r="KP5" s="592" t="n">
        <v>2</v>
      </c>
      <c r="KQ5" s="267" t="n"/>
      <c r="KR5" s="724" t="n"/>
      <c r="KS5" s="597" t="n"/>
      <c r="KT5" s="724" t="n"/>
      <c r="KU5" s="724">
        <f>KY4</f>
        <v/>
      </c>
      <c r="KV5" s="724" t="n"/>
      <c r="KW5" s="497" t="n"/>
      <c r="KX5" s="497" t="n"/>
      <c r="KY5" s="593">
        <f>IF(AND(KT5:KX5),1,0)</f>
        <v/>
      </c>
      <c r="LB5" s="592" t="n">
        <v>2</v>
      </c>
      <c r="LC5" s="267" t="n"/>
      <c r="LD5" s="724" t="n"/>
      <c r="LE5" s="597" t="n"/>
      <c r="LF5" s="597" t="n"/>
      <c r="LG5" s="597">
        <f>LK4</f>
        <v/>
      </c>
      <c r="LH5" s="724" t="n"/>
      <c r="LI5" s="497" t="n"/>
      <c r="LJ5" s="497" t="n"/>
      <c r="LK5" s="593">
        <f>IF(AND(LF5:LJ5),1,0)</f>
        <v/>
      </c>
      <c r="LM5" s="724" t="inlineStr">
        <is>
          <t>SAFB1 _9.5A</t>
        </is>
      </c>
      <c r="LN5" s="757" t="n">
        <v>1</v>
      </c>
      <c r="LO5" s="497" t="n"/>
      <c r="LR5" s="592" t="n">
        <v>2</v>
      </c>
      <c r="LS5" s="267" t="n"/>
      <c r="LT5" s="724" t="n"/>
      <c r="LU5" s="597" t="n"/>
      <c r="LV5" s="724" t="n"/>
      <c r="LW5" s="724">
        <f>MA4</f>
        <v/>
      </c>
      <c r="LX5" s="724" t="n"/>
      <c r="LY5" s="497" t="n"/>
      <c r="LZ5" s="497" t="n"/>
      <c r="MA5" s="593">
        <f>IF(AND(LV5:LZ5),1,0)</f>
        <v/>
      </c>
      <c r="MC5" s="724" t="inlineStr">
        <is>
          <t>LUB</t>
        </is>
      </c>
      <c r="MD5" s="757" t="n">
        <v>1</v>
      </c>
      <c r="ME5" s="497" t="n"/>
      <c r="MH5" s="592" t="n">
        <v>2</v>
      </c>
      <c r="MI5" s="267" t="n"/>
      <c r="MJ5" s="724" t="n"/>
      <c r="MK5" s="597" t="n"/>
      <c r="ML5" s="724" t="n"/>
      <c r="MM5" s="724">
        <f>MQ4</f>
        <v/>
      </c>
      <c r="MN5" s="724" t="n"/>
      <c r="MO5" s="497" t="n"/>
      <c r="MP5" s="497" t="n"/>
      <c r="MQ5" s="593">
        <f>IF(AND(ML5:MP5),1,0)</f>
        <v/>
      </c>
      <c r="MS5" s="594" t="inlineStr">
        <is>
          <t>COMPONENT</t>
        </is>
      </c>
      <c r="MT5" s="594" t="n"/>
      <c r="MU5" s="594" t="inlineStr">
        <is>
          <t>REMARK</t>
        </is>
      </c>
    </row>
    <row r="6" ht="44.25" customHeight="1">
      <c r="A6" s="590" t="n">
        <v>3</v>
      </c>
      <c r="B6" s="497" t="n"/>
      <c r="C6" s="497" t="n"/>
      <c r="D6" s="497" t="n"/>
      <c r="E6" s="497" t="n"/>
      <c r="F6" s="757">
        <f>J5</f>
        <v/>
      </c>
      <c r="G6" s="592" t="n"/>
      <c r="H6" s="497" t="n"/>
      <c r="I6" s="497" t="n"/>
      <c r="J6" s="593">
        <f>IF(AND(E6:I6),1,0)</f>
        <v/>
      </c>
      <c r="L6" s="757" t="inlineStr">
        <is>
          <t>CACS</t>
        </is>
      </c>
      <c r="M6" s="757" t="n">
        <v>1</v>
      </c>
      <c r="N6" s="497" t="n"/>
      <c r="P6" s="592" t="n">
        <v>3</v>
      </c>
      <c r="Q6" s="607" t="n"/>
      <c r="R6" s="592" t="n"/>
      <c r="S6" s="497" t="n"/>
      <c r="T6" s="497" t="n"/>
      <c r="U6" s="757">
        <f>Y5</f>
        <v/>
      </c>
      <c r="V6" s="497" t="n"/>
      <c r="W6" s="497" t="n"/>
      <c r="X6" s="497" t="n"/>
      <c r="Y6" s="593">
        <f>IF(AND(T6:X6),1,0)</f>
        <v/>
      </c>
      <c r="AA6" s="724" t="inlineStr">
        <is>
          <t>SAFC1_12A</t>
        </is>
      </c>
      <c r="AB6" s="757" t="n"/>
      <c r="AC6" s="497" t="n"/>
      <c r="AF6" s="592" t="n">
        <v>3</v>
      </c>
      <c r="AG6" s="497" t="n"/>
      <c r="AH6" s="497" t="n"/>
      <c r="AI6" s="497" t="n"/>
      <c r="AJ6" s="497" t="n"/>
      <c r="AK6" s="757">
        <f>AO5</f>
        <v/>
      </c>
      <c r="AL6" s="497" t="n"/>
      <c r="AM6" s="497" t="n"/>
      <c r="AN6" s="497" t="n"/>
      <c r="AO6" s="593">
        <f>IF(AND(AJ6:AN6),1,0)</f>
        <v/>
      </c>
      <c r="AS6" s="592" t="n">
        <v>3</v>
      </c>
      <c r="AT6" s="497" t="n"/>
      <c r="AU6" s="497" t="n"/>
      <c r="AV6" s="497" t="n"/>
      <c r="AW6" s="497">
        <f>BB5</f>
        <v/>
      </c>
      <c r="AX6" s="497" t="n"/>
      <c r="AY6" s="497" t="n"/>
      <c r="AZ6" s="497" t="n"/>
      <c r="BA6" s="497" t="n"/>
      <c r="BB6" s="593">
        <f>IF(AND(AW6:BA6),1,0)</f>
        <v/>
      </c>
      <c r="BD6" s="724" t="inlineStr">
        <is>
          <t>SRRB</t>
        </is>
      </c>
      <c r="BE6" s="757" t="n">
        <v>1</v>
      </c>
      <c r="BF6" s="497" t="n"/>
      <c r="BI6" s="592" t="n">
        <v>3</v>
      </c>
      <c r="BJ6" s="597" t="n"/>
      <c r="BK6" s="597" t="n"/>
      <c r="BL6" s="497" t="n"/>
      <c r="BM6" s="497" t="n"/>
      <c r="BN6" s="609">
        <f>BR5</f>
        <v/>
      </c>
      <c r="BO6" s="497" t="n"/>
      <c r="BP6" s="497" t="n"/>
      <c r="BQ6" s="497" t="n"/>
      <c r="BR6" s="593">
        <f>IF(AND(BM6:BQ6),1,0)</f>
        <v/>
      </c>
      <c r="BT6" s="724" t="inlineStr">
        <is>
          <t>LUB</t>
        </is>
      </c>
      <c r="BU6" s="757" t="n">
        <v>1</v>
      </c>
      <c r="BV6" s="497" t="n"/>
      <c r="BX6" s="592" t="n">
        <v>3</v>
      </c>
      <c r="BY6" s="597" t="n"/>
      <c r="BZ6" s="597" t="n"/>
      <c r="CA6" s="497" t="n"/>
      <c r="CB6" s="497" t="n"/>
      <c r="CC6" s="609">
        <f>CG5</f>
        <v/>
      </c>
      <c r="CD6" s="497" t="n"/>
      <c r="CE6" s="497" t="n"/>
      <c r="CF6" s="497" t="n"/>
      <c r="CG6" s="593">
        <f>IF(AND(CB6:CF6),1,0)</f>
        <v/>
      </c>
      <c r="CI6" s="592" t="n">
        <v>3</v>
      </c>
      <c r="CJ6" s="597" t="n"/>
      <c r="CK6" s="597" t="n"/>
      <c r="CL6" s="497" t="n"/>
      <c r="CM6" s="497" t="n"/>
      <c r="CN6" s="497">
        <f>CR4</f>
        <v/>
      </c>
      <c r="CO6" s="497" t="n"/>
      <c r="CP6" s="497" t="n"/>
      <c r="CQ6" s="497" t="n"/>
      <c r="CR6" s="593">
        <f>IF(AND(CM6:CQ6),1,0)</f>
        <v/>
      </c>
      <c r="CY6" s="592" t="n">
        <v>3</v>
      </c>
      <c r="CZ6" s="597" t="n"/>
      <c r="DA6" s="597" t="n"/>
      <c r="DB6" s="497" t="n"/>
      <c r="DC6" s="497" t="n"/>
      <c r="DD6" s="497">
        <f>DH4</f>
        <v/>
      </c>
      <c r="DE6" s="497" t="n"/>
      <c r="DF6" s="497" t="n"/>
      <c r="DG6" s="497" t="n"/>
      <c r="DH6" s="593">
        <f>IF(AND(DC6:DG6),1,0)</f>
        <v/>
      </c>
      <c r="DK6" s="592" t="n">
        <v>3</v>
      </c>
      <c r="DL6" s="597" t="inlineStr">
        <is>
          <t>14.20 LA.F09</t>
        </is>
      </c>
      <c r="DM6" s="597" t="inlineStr">
        <is>
          <t>HTCN</t>
        </is>
      </c>
      <c r="DN6" s="497" t="n"/>
      <c r="DO6" s="497" t="n"/>
      <c r="DP6" s="600">
        <f>DW17</f>
        <v/>
      </c>
      <c r="DQ6" s="497">
        <f>DT5</f>
        <v/>
      </c>
      <c r="DR6" s="497" t="n"/>
      <c r="DS6" s="497" t="n"/>
      <c r="DT6" s="593">
        <f>IF(AND(DO6:DS6),1,0)</f>
        <v/>
      </c>
      <c r="DV6" s="594" t="inlineStr">
        <is>
          <t>COMPONENT</t>
        </is>
      </c>
      <c r="DW6" s="594" t="n"/>
      <c r="DX6" s="594" t="inlineStr">
        <is>
          <t>REMARK</t>
        </is>
      </c>
      <c r="DZ6" s="592" t="n">
        <v>3</v>
      </c>
      <c r="EA6" s="597" t="n"/>
      <c r="EB6" s="724" t="inlineStr">
        <is>
          <t>FROM APS 415 VAC</t>
        </is>
      </c>
      <c r="EC6" s="497" t="n"/>
      <c r="ED6" s="497" t="n"/>
      <c r="EE6" s="601">
        <f>EL6</f>
        <v/>
      </c>
      <c r="EF6" s="497" t="n"/>
      <c r="EG6" s="497" t="n"/>
      <c r="EH6" s="497" t="n"/>
      <c r="EI6" s="602">
        <f>IF(AND(ED6:EH6),1,0)</f>
        <v/>
      </c>
      <c r="EK6" s="497" t="inlineStr">
        <is>
          <t>From APS 415 Vac_1</t>
        </is>
      </c>
      <c r="EL6" s="757" t="n">
        <v>1</v>
      </c>
      <c r="EM6" s="497" t="n"/>
      <c r="EO6" s="592" t="n">
        <v>3</v>
      </c>
      <c r="EP6" s="597" t="n"/>
      <c r="EQ6" s="597" t="n"/>
      <c r="ER6" s="497" t="n"/>
      <c r="ES6" s="497" t="n"/>
      <c r="ET6" s="497">
        <f>EX5</f>
        <v/>
      </c>
      <c r="EU6" s="497" t="n"/>
      <c r="EV6" s="497" t="n"/>
      <c r="EW6" s="497" t="n"/>
      <c r="EX6" s="593">
        <f>IF(AND(ES6:EW6),1,0)</f>
        <v/>
      </c>
      <c r="EZ6" s="757" t="inlineStr">
        <is>
          <t>SMDR1-110VDC</t>
        </is>
      </c>
      <c r="FA6" s="757">
        <f>'DATA TRANSFER'!M12</f>
        <v/>
      </c>
      <c r="FB6" s="497" t="n"/>
      <c r="FE6" s="592" t="n">
        <v>3</v>
      </c>
      <c r="FF6" s="597" t="n"/>
      <c r="FG6" s="597" t="n"/>
      <c r="FH6" s="497" t="n"/>
      <c r="FI6" s="497" t="n"/>
      <c r="FJ6" s="497">
        <f>FN5</f>
        <v/>
      </c>
      <c r="FK6" s="497" t="n"/>
      <c r="FL6" s="497" t="n"/>
      <c r="FM6" s="497" t="n"/>
      <c r="FN6" s="593">
        <f>IF(AND(FI6:FM6),1,0)</f>
        <v/>
      </c>
      <c r="FP6" s="757" t="inlineStr">
        <is>
          <t>SMDR1-110VDC</t>
        </is>
      </c>
      <c r="FQ6" s="757">
        <f>'DATA TRANSFER'!M12</f>
        <v/>
      </c>
      <c r="FR6" s="497" t="n"/>
      <c r="FT6" s="592" t="n">
        <v>3</v>
      </c>
      <c r="FU6" s="597" t="n"/>
      <c r="FV6" s="597" t="n"/>
      <c r="FW6" s="497" t="n"/>
      <c r="FX6" s="497" t="n"/>
      <c r="FY6" s="757">
        <f>GC5</f>
        <v/>
      </c>
      <c r="FZ6" s="497" t="n"/>
      <c r="GA6" s="497" t="n"/>
      <c r="GB6" s="497" t="n"/>
      <c r="GC6" s="593">
        <f>IF(AND(FX6:GB6),1,0)</f>
        <v/>
      </c>
      <c r="GF6" s="592" t="n">
        <v>3</v>
      </c>
      <c r="GG6" s="597" t="n"/>
      <c r="GH6" s="597" t="n"/>
      <c r="GI6" s="497" t="n"/>
      <c r="GJ6" s="497" t="n"/>
      <c r="GK6" s="592">
        <f>GO5</f>
        <v/>
      </c>
      <c r="GL6" s="497" t="n"/>
      <c r="GM6" s="497" t="n"/>
      <c r="GN6" s="497" t="n"/>
      <c r="GO6" s="593">
        <f>IF(AND(GJ6:GN6),1,0)</f>
        <v/>
      </c>
      <c r="GQ6" s="594" t="inlineStr">
        <is>
          <t>COMPONENT</t>
        </is>
      </c>
      <c r="GR6" s="594" t="n"/>
      <c r="GS6" s="594" t="inlineStr">
        <is>
          <t>REMARK</t>
        </is>
      </c>
      <c r="GU6" s="592" t="n">
        <v>3</v>
      </c>
      <c r="GV6" s="597" t="n"/>
      <c r="GW6" s="597" t="n"/>
      <c r="GX6" s="497" t="n"/>
      <c r="GY6" s="497" t="n"/>
      <c r="GZ6" s="757">
        <f>HD5</f>
        <v/>
      </c>
      <c r="HA6" s="497" t="n"/>
      <c r="HB6" s="497" t="n"/>
      <c r="HC6" s="497" t="n"/>
      <c r="HD6" s="602">
        <f>IF(AND(GY6:HC6),1,0)</f>
        <v/>
      </c>
      <c r="HF6" s="724" t="inlineStr">
        <is>
          <t>110VDC</t>
        </is>
      </c>
      <c r="HG6" s="757" t="n">
        <v>1</v>
      </c>
      <c r="HH6" s="497" t="n"/>
      <c r="HK6" s="592" t="n">
        <v>3</v>
      </c>
      <c r="HL6" s="597" t="n"/>
      <c r="HM6" s="597" t="n"/>
      <c r="HN6" s="597" t="n"/>
      <c r="HO6" s="597" t="n"/>
      <c r="HP6" s="597">
        <f>HT5</f>
        <v/>
      </c>
      <c r="HQ6" s="597" t="n"/>
      <c r="HR6" s="497" t="n"/>
      <c r="HS6" s="497" t="n"/>
      <c r="HT6" s="593">
        <f>IF(AND(HO6:HS6),1,0)</f>
        <v/>
      </c>
      <c r="HV6" s="724" t="inlineStr">
        <is>
          <t>APS 1</t>
        </is>
      </c>
      <c r="HW6" s="757" t="n">
        <v>1</v>
      </c>
      <c r="HX6" s="497" t="n"/>
      <c r="HZ6" s="592" t="n">
        <v>3</v>
      </c>
      <c r="IA6" s="597" t="n"/>
      <c r="IB6" s="724" t="inlineStr">
        <is>
          <t>APS 1 _Y</t>
        </is>
      </c>
      <c r="IC6" s="597" t="n"/>
      <c r="ID6" s="597" t="n"/>
      <c r="IE6" s="606">
        <f>HW6</f>
        <v/>
      </c>
      <c r="IF6" s="597" t="n"/>
      <c r="IG6" s="497" t="n"/>
      <c r="IH6" s="497" t="n"/>
      <c r="II6" s="593">
        <f>IF(AND(ID6:IH6),1,0)</f>
        <v/>
      </c>
      <c r="IL6" s="592" t="n">
        <v>3</v>
      </c>
      <c r="IM6" s="597" t="n"/>
      <c r="IN6" s="724" t="n"/>
      <c r="IO6" s="597" t="n"/>
      <c r="IP6" s="597" t="n"/>
      <c r="IQ6" s="724">
        <f>IU5</f>
        <v/>
      </c>
      <c r="IR6" s="597" t="n"/>
      <c r="IS6" s="497" t="n"/>
      <c r="IT6" s="497" t="n"/>
      <c r="IU6" s="593">
        <f>IF(AND(IP6:IT6),1,0)</f>
        <v/>
      </c>
      <c r="IX6" s="592" t="n">
        <v>3</v>
      </c>
      <c r="IY6" s="597" t="n"/>
      <c r="IZ6" s="724" t="n"/>
      <c r="JA6" s="597" t="n"/>
      <c r="JB6" s="597" t="n"/>
      <c r="JC6" s="724">
        <f>JG5</f>
        <v/>
      </c>
      <c r="JD6" s="597" t="n"/>
      <c r="JE6" s="497" t="n"/>
      <c r="JF6" s="497" t="n"/>
      <c r="JG6" s="602">
        <f>IF(AND(JB6:JF6),1,0)</f>
        <v/>
      </c>
      <c r="JI6" s="724" t="inlineStr">
        <is>
          <t>SMDR</t>
        </is>
      </c>
      <c r="JJ6" s="757">
        <f>IF(OR('DATA TRANSFER'!M12),1,0)</f>
        <v/>
      </c>
      <c r="JK6" s="497" t="n"/>
      <c r="JN6" s="592" t="n">
        <v>3</v>
      </c>
      <c r="JO6" s="597" t="n"/>
      <c r="JP6" s="724" t="inlineStr">
        <is>
          <t>HVAC1  SMDR 1</t>
        </is>
      </c>
      <c r="JQ6" s="597" t="n"/>
      <c r="JR6" s="597" t="n"/>
      <c r="JS6" s="606">
        <f>JJ19</f>
        <v/>
      </c>
      <c r="JT6" s="597">
        <f>JW5</f>
        <v/>
      </c>
      <c r="JU6" s="497" t="n"/>
      <c r="JV6" s="497" t="n"/>
      <c r="JW6" s="593">
        <f>IF(AND(JR6:JV6),1,0)</f>
        <v/>
      </c>
      <c r="JZ6" s="592" t="n">
        <v>3</v>
      </c>
      <c r="KA6" s="597" t="n"/>
      <c r="KB6" s="724" t="inlineStr">
        <is>
          <t>AUX MPCB</t>
        </is>
      </c>
      <c r="KC6" s="597" t="n"/>
      <c r="KD6" s="724" t="n"/>
      <c r="KE6" s="605">
        <f>KL9</f>
        <v/>
      </c>
      <c r="KF6" s="724">
        <f>KI7</f>
        <v/>
      </c>
      <c r="KG6" s="497" t="n"/>
      <c r="KH6" s="497" t="n"/>
      <c r="KI6" s="593">
        <f>IF(AND(KD6:KH6),1,0)</f>
        <v/>
      </c>
      <c r="KK6" s="592" t="inlineStr">
        <is>
          <t xml:space="preserve">24 VDC </t>
        </is>
      </c>
      <c r="KL6" s="757" t="n">
        <v>1</v>
      </c>
      <c r="KM6" s="497" t="n"/>
      <c r="KP6" s="592" t="n">
        <v>3</v>
      </c>
      <c r="KQ6" s="599" t="inlineStr">
        <is>
          <t xml:space="preserve">X1_ 4 PIN POWER CONNECTOR </t>
        </is>
      </c>
      <c r="KR6" s="724" t="inlineStr">
        <is>
          <t>APS 1 415 V AC Y</t>
        </is>
      </c>
      <c r="KS6" s="597" t="n"/>
      <c r="KT6" s="724" t="n"/>
      <c r="KU6" s="605">
        <f>KL17</f>
        <v/>
      </c>
      <c r="KV6" s="724" t="n"/>
      <c r="KW6" s="497" t="n"/>
      <c r="KX6" s="497" t="n"/>
      <c r="KY6" s="593">
        <f>IF(AND(KT6:KX6),1,0)</f>
        <v/>
      </c>
      <c r="LB6" s="592" t="n">
        <v>3</v>
      </c>
      <c r="LC6" s="599" t="n"/>
      <c r="LD6" s="724" t="n"/>
      <c r="LE6" s="597" t="n"/>
      <c r="LF6" s="597" t="n"/>
      <c r="LG6" s="597">
        <f>LK5</f>
        <v/>
      </c>
      <c r="LH6" s="724" t="n"/>
      <c r="LI6" s="497" t="n"/>
      <c r="LJ6" s="497" t="n"/>
      <c r="LK6" s="593">
        <f>IF(AND(LF6:LJ6),1,0)</f>
        <v/>
      </c>
      <c r="LM6" s="724" t="inlineStr">
        <is>
          <t>SAFC1_12A</t>
        </is>
      </c>
      <c r="LN6" s="757" t="n">
        <v>1</v>
      </c>
      <c r="LO6" s="497" t="n"/>
      <c r="LR6" s="592" t="n">
        <v>3</v>
      </c>
      <c r="LS6" s="599" t="n"/>
      <c r="LT6" s="724" t="n"/>
      <c r="LU6" s="597" t="n"/>
      <c r="LV6" s="724" t="n"/>
      <c r="LW6" s="724">
        <f>MA5</f>
        <v/>
      </c>
      <c r="LX6" s="724" t="n"/>
      <c r="LY6" s="497" t="n"/>
      <c r="LZ6" s="497" t="n"/>
      <c r="MA6" s="593">
        <f>IF(AND(LV6:LZ6),1,0)</f>
        <v/>
      </c>
      <c r="MC6" s="498" t="inlineStr">
        <is>
          <t>DC/DC CONVERTER 1</t>
        </is>
      </c>
      <c r="MD6" s="757" t="n">
        <v>1</v>
      </c>
      <c r="ME6" s="497" t="n"/>
      <c r="MH6" s="592" t="n">
        <v>3</v>
      </c>
      <c r="MI6" s="610" t="inlineStr">
        <is>
          <t>LA.FO1</t>
        </is>
      </c>
      <c r="MJ6" s="724" t="inlineStr">
        <is>
          <t>ACCP1N_6A</t>
        </is>
      </c>
      <c r="MK6" s="597" t="n"/>
      <c r="ML6" s="724" t="n"/>
      <c r="MM6" s="605">
        <f>MT7</f>
        <v/>
      </c>
      <c r="MN6" s="724">
        <f>MQ5</f>
        <v/>
      </c>
      <c r="MO6" s="497" t="n"/>
      <c r="MP6" s="497" t="n"/>
      <c r="MQ6" s="593">
        <f>IF(AND(ML6:MP6),1,0)</f>
        <v/>
      </c>
      <c r="MS6" s="724" t="inlineStr">
        <is>
          <t xml:space="preserve">110 V DC </t>
        </is>
      </c>
      <c r="MT6" s="757" t="n">
        <v>1</v>
      </c>
      <c r="MU6" s="497" t="n"/>
    </row>
    <row r="7">
      <c r="A7" s="590" t="n">
        <v>4</v>
      </c>
      <c r="B7" s="497" t="n"/>
      <c r="C7" s="497" t="n"/>
      <c r="D7" s="497" t="n"/>
      <c r="E7" s="497" t="n"/>
      <c r="F7" s="757">
        <f>J6</f>
        <v/>
      </c>
      <c r="H7" s="497" t="n"/>
      <c r="I7" s="497" t="n"/>
      <c r="J7" s="593">
        <f>IF(AND(E7:I7),1,0)</f>
        <v/>
      </c>
      <c r="L7" s="757" t="inlineStr">
        <is>
          <t>HFAN2 3A</t>
        </is>
      </c>
      <c r="M7" s="757" t="n">
        <v>1</v>
      </c>
      <c r="N7" s="497" t="n"/>
      <c r="P7" s="592" t="n">
        <v>4</v>
      </c>
      <c r="Q7" s="611" t="inlineStr">
        <is>
          <t>HA/24.E6</t>
        </is>
      </c>
      <c r="R7" s="592" t="n"/>
      <c r="S7" s="497" t="n"/>
      <c r="T7" s="497" t="n"/>
      <c r="U7" s="591">
        <f>AB37</f>
        <v/>
      </c>
      <c r="V7" s="497" t="n"/>
      <c r="W7" s="497" t="n"/>
      <c r="X7" s="497" t="n"/>
      <c r="Y7" s="593">
        <f>IF(AND(T7:X7),1,0)</f>
        <v/>
      </c>
      <c r="AA7" s="757" t="inlineStr">
        <is>
          <t>CMPB1 _13A</t>
        </is>
      </c>
      <c r="AB7" s="757" t="n"/>
      <c r="AC7" s="497" t="n"/>
      <c r="AF7" s="592" t="n">
        <v>4</v>
      </c>
      <c r="AG7" s="595" t="inlineStr">
        <is>
          <t>HA/24.E6</t>
        </is>
      </c>
      <c r="AH7" s="497" t="n"/>
      <c r="AI7" s="497" t="n"/>
      <c r="AJ7" s="497" t="n"/>
      <c r="AK7" s="591" t="n">
        <v>1</v>
      </c>
      <c r="AL7" s="497" t="n"/>
      <c r="AM7" s="497" t="n"/>
      <c r="AN7" s="497" t="n"/>
      <c r="AO7" s="593">
        <f>IF(AND(AJ7:AN7),1,0)</f>
        <v/>
      </c>
      <c r="AS7" s="592" t="n">
        <v>4</v>
      </c>
      <c r="AT7" s="497" t="n"/>
      <c r="AU7" s="724" t="inlineStr">
        <is>
          <t>SRRB</t>
        </is>
      </c>
      <c r="AV7" s="497" t="n"/>
      <c r="AW7" s="601">
        <f>IF(NOT(BE8),1,0)</f>
        <v/>
      </c>
      <c r="AX7" s="497">
        <f>BB6</f>
        <v/>
      </c>
      <c r="AY7" s="497" t="n"/>
      <c r="AZ7" s="497" t="n"/>
      <c r="BA7" s="497" t="n"/>
      <c r="BB7" s="593">
        <f>IF(AND(AW7:BA7),1,0)</f>
        <v/>
      </c>
      <c r="BD7" s="724" t="inlineStr">
        <is>
          <t>HRC9-O</t>
        </is>
      </c>
      <c r="BE7" s="757" t="n">
        <v>1</v>
      </c>
      <c r="BF7" s="497" t="n"/>
      <c r="BI7" s="592" t="n">
        <v>4</v>
      </c>
      <c r="BJ7" s="608" t="n"/>
      <c r="BK7" s="597" t="n"/>
      <c r="BL7" s="497" t="n"/>
      <c r="BM7" s="497" t="n"/>
      <c r="BN7" s="592">
        <f>BR6</f>
        <v/>
      </c>
      <c r="BO7" s="497" t="n"/>
      <c r="BP7" s="497" t="n"/>
      <c r="BQ7" s="497" t="n"/>
      <c r="BR7" s="593">
        <f>IF(AND(BM7:BQ7),1,0)</f>
        <v/>
      </c>
      <c r="BT7" s="498" t="inlineStr">
        <is>
          <t>DC/DC CONVERTER 1</t>
        </is>
      </c>
      <c r="BU7" s="757" t="n">
        <v>1</v>
      </c>
      <c r="BV7" s="497" t="n"/>
      <c r="BX7" s="592" t="n">
        <v>4</v>
      </c>
      <c r="BY7" s="608" t="n"/>
      <c r="BZ7" s="597" t="n"/>
      <c r="CA7" s="497" t="n"/>
      <c r="CB7" s="497" t="n"/>
      <c r="CC7" s="592">
        <f>CG6</f>
        <v/>
      </c>
      <c r="CD7" s="497" t="n"/>
      <c r="CE7" s="497" t="n"/>
      <c r="CF7" s="497" t="n"/>
      <c r="CG7" s="593">
        <f>IF(AND(CB7:CF7),1,0)</f>
        <v/>
      </c>
      <c r="CI7" s="592" t="n">
        <v>4</v>
      </c>
      <c r="CJ7" s="724" t="inlineStr">
        <is>
          <t>UD .X63.21-F 8 +63.20</t>
        </is>
      </c>
      <c r="CK7" s="597" t="n"/>
      <c r="CL7" s="497" t="n"/>
      <c r="CM7" s="497" t="n"/>
      <c r="CN7" s="497">
        <f>CR6</f>
        <v/>
      </c>
      <c r="CO7" s="497" t="n"/>
      <c r="CP7" s="497" t="n"/>
      <c r="CQ7" s="497" t="n"/>
      <c r="CR7" s="593">
        <f>IF(AND(CM7:CQ7),1,0)</f>
        <v/>
      </c>
      <c r="CT7" s="742" t="inlineStr">
        <is>
          <t>CKT 8</t>
        </is>
      </c>
      <c r="CY7" s="592" t="n">
        <v>4</v>
      </c>
      <c r="CZ7" s="597" t="n"/>
      <c r="DA7" s="597" t="n"/>
      <c r="DB7" s="497" t="n"/>
      <c r="DC7" s="497" t="n"/>
      <c r="DD7" s="497">
        <f>DH6</f>
        <v/>
      </c>
      <c r="DE7" s="497" t="n"/>
      <c r="DF7" s="497" t="n"/>
      <c r="DG7" s="497" t="n"/>
      <c r="DH7" s="593">
        <f>IF(AND(DC7:DG7),1,0)</f>
        <v/>
      </c>
      <c r="DK7" s="592" t="n">
        <v>4</v>
      </c>
      <c r="DL7" s="597" t="n"/>
      <c r="DM7" s="597" t="n"/>
      <c r="DN7" s="497" t="n"/>
      <c r="DO7" s="497" t="n"/>
      <c r="DP7" s="757">
        <f>DT6</f>
        <v/>
      </c>
      <c r="DQ7" s="497" t="n"/>
      <c r="DR7" s="497" t="n"/>
      <c r="DS7" s="497" t="n"/>
      <c r="DT7" s="593">
        <f>IF(AND(DO7:DS7),1,0)</f>
        <v/>
      </c>
      <c r="DV7" s="757" t="inlineStr">
        <is>
          <t>Batt 110Vdc</t>
        </is>
      </c>
      <c r="DW7" s="757" t="n">
        <v>1</v>
      </c>
      <c r="DX7" s="497" t="n"/>
      <c r="DZ7" s="592" t="n">
        <v>4</v>
      </c>
      <c r="EA7" s="597" t="n"/>
      <c r="EB7" s="597" t="n"/>
      <c r="EC7" s="497" t="n"/>
      <c r="ED7" s="497" t="n"/>
      <c r="EE7" s="497">
        <f>EI6</f>
        <v/>
      </c>
      <c r="EF7" s="497" t="n"/>
      <c r="EG7" s="497" t="n"/>
      <c r="EH7" s="497" t="n"/>
      <c r="EI7" s="602">
        <f>IF(AND(ED7:EH7),1,0)</f>
        <v/>
      </c>
      <c r="EK7" s="497" t="inlineStr">
        <is>
          <t>From APS 415 Vac_2</t>
        </is>
      </c>
      <c r="EL7" s="757" t="n">
        <v>1</v>
      </c>
      <c r="EM7" s="497" t="n"/>
      <c r="EO7" s="592" t="n">
        <v>4</v>
      </c>
      <c r="EP7" s="597" t="n"/>
      <c r="EQ7" s="597" t="inlineStr">
        <is>
          <t>SMRR</t>
        </is>
      </c>
      <c r="ER7" s="497" t="n"/>
      <c r="ES7" s="497" t="n"/>
      <c r="ET7" s="601">
        <f>FA15</f>
        <v/>
      </c>
      <c r="EU7" s="497">
        <f>EX6</f>
        <v/>
      </c>
      <c r="EV7" s="497" t="n"/>
      <c r="EW7" s="497" t="n"/>
      <c r="EX7" s="593">
        <f>IF(AND(ES7:EW7),1,0)</f>
        <v/>
      </c>
      <c r="EZ7" s="757" t="inlineStr">
        <is>
          <t>SMDR2-110VDC</t>
        </is>
      </c>
      <c r="FA7" s="757">
        <f>'DATA TRANSFER'!M10</f>
        <v/>
      </c>
      <c r="FB7" s="497" t="n"/>
      <c r="FE7" s="592" t="n">
        <v>4</v>
      </c>
      <c r="FF7" s="597" t="n"/>
      <c r="FG7" s="597" t="inlineStr">
        <is>
          <t>SMRR</t>
        </is>
      </c>
      <c r="FH7" s="497" t="n"/>
      <c r="FI7" s="497" t="n"/>
      <c r="FJ7" s="601">
        <f>FA15</f>
        <v/>
      </c>
      <c r="FK7" s="497">
        <f>FN6</f>
        <v/>
      </c>
      <c r="FL7" s="497" t="n"/>
      <c r="FM7" s="497" t="n"/>
      <c r="FN7" s="593">
        <f>IF(AND(FI7:FM7),1,0)</f>
        <v/>
      </c>
      <c r="FP7" s="592" t="inlineStr">
        <is>
          <t>SMDR2-110VDC</t>
        </is>
      </c>
      <c r="FQ7" s="757">
        <f>'Mode Logic'!P18</f>
        <v/>
      </c>
      <c r="FR7" s="497" t="n"/>
      <c r="FT7" s="592" t="n">
        <v>4</v>
      </c>
      <c r="FU7" s="597" t="n"/>
      <c r="FV7" s="724" t="inlineStr">
        <is>
          <t>SMRR</t>
        </is>
      </c>
      <c r="FW7" s="497" t="n"/>
      <c r="FX7" s="497" t="n"/>
      <c r="FY7" s="600">
        <f>FQ15</f>
        <v/>
      </c>
      <c r="FZ7" s="497">
        <f>GC6</f>
        <v/>
      </c>
      <c r="GA7" s="497" t="n"/>
      <c r="GB7" s="497" t="n"/>
      <c r="GC7" s="593">
        <f>IF(AND(FX7:GB7),1,0)</f>
        <v/>
      </c>
      <c r="GF7" s="592" t="n">
        <v>4</v>
      </c>
      <c r="GG7" s="597" t="n"/>
      <c r="GH7" s="597" t="inlineStr">
        <is>
          <t xml:space="preserve">HVAC1  SMDR </t>
        </is>
      </c>
      <c r="GI7" s="497" t="n"/>
      <c r="GJ7" s="497" t="n"/>
      <c r="GK7" s="604">
        <f>GR8</f>
        <v/>
      </c>
      <c r="GL7" s="497">
        <f>GO6</f>
        <v/>
      </c>
      <c r="GM7" s="497" t="n"/>
      <c r="GN7" s="497" t="n"/>
      <c r="GO7" s="593">
        <f>IF(AND(GJ7:GN7),1,0)</f>
        <v/>
      </c>
      <c r="GQ7" s="724" t="inlineStr">
        <is>
          <t>110VDC</t>
        </is>
      </c>
      <c r="GR7" s="757" t="n">
        <v>1</v>
      </c>
      <c r="GS7" s="497" t="n"/>
      <c r="GU7" s="592" t="n">
        <v>4</v>
      </c>
      <c r="GV7" s="597" t="n"/>
      <c r="GW7" s="597" t="inlineStr">
        <is>
          <t>FADR</t>
        </is>
      </c>
      <c r="GX7" s="497" t="n"/>
      <c r="GY7" s="497" t="n"/>
      <c r="GZ7" s="600">
        <f>GR9</f>
        <v/>
      </c>
      <c r="HA7" s="497">
        <f>HD6</f>
        <v/>
      </c>
      <c r="HB7" s="497" t="n"/>
      <c r="HC7" s="497" t="n"/>
      <c r="HD7" s="602">
        <f>IF(AND(GY7:HC7),1,0)</f>
        <v/>
      </c>
      <c r="HF7" s="592" t="inlineStr">
        <is>
          <t>SMDR</t>
        </is>
      </c>
      <c r="HG7" s="757" t="n">
        <v>1</v>
      </c>
      <c r="HH7" s="497" t="n"/>
      <c r="HK7" s="592" t="n">
        <v>4</v>
      </c>
      <c r="HL7" s="597" t="n"/>
      <c r="HM7" s="597" t="inlineStr">
        <is>
          <t>MPCB</t>
        </is>
      </c>
      <c r="HN7" s="597" t="n"/>
      <c r="HO7" s="597" t="n"/>
      <c r="HP7" s="606">
        <f>HW8</f>
        <v/>
      </c>
      <c r="HQ7" s="597">
        <f>HT6</f>
        <v/>
      </c>
      <c r="HR7" s="497" t="n"/>
      <c r="HS7" s="497" t="n"/>
      <c r="HT7" s="593">
        <f>IF(AND(HO7:HS7),1,0)</f>
        <v/>
      </c>
      <c r="HV7" s="592" t="inlineStr">
        <is>
          <t>APS2</t>
        </is>
      </c>
      <c r="HW7" s="757" t="n">
        <v>1</v>
      </c>
      <c r="HX7" s="497" t="n"/>
      <c r="HZ7" s="592" t="n">
        <v>4</v>
      </c>
      <c r="IA7" s="597" t="n"/>
      <c r="IB7" s="597" t="n"/>
      <c r="IC7" s="597" t="n"/>
      <c r="ID7" s="597" t="n"/>
      <c r="IE7" s="597">
        <f>II6</f>
        <v/>
      </c>
      <c r="IF7" s="597" t="n"/>
      <c r="IG7" s="497" t="n"/>
      <c r="IH7" s="497" t="n"/>
      <c r="II7" s="593">
        <f>IF(AND(ID7:IH7),1,0)</f>
        <v/>
      </c>
      <c r="IL7" s="592" t="n">
        <v>4</v>
      </c>
      <c r="IM7" s="597" t="n"/>
      <c r="IN7" s="724" t="inlineStr">
        <is>
          <t>ESAFC</t>
        </is>
      </c>
      <c r="IO7" s="597" t="n"/>
      <c r="IP7" s="597" t="n"/>
      <c r="IQ7" s="605">
        <f>IF(OR('Mode Logic'!U18:V18),1,0)</f>
        <v/>
      </c>
      <c r="IR7" s="597">
        <f>IU6</f>
        <v/>
      </c>
      <c r="IS7" s="497" t="n"/>
      <c r="IT7" s="497" t="n"/>
      <c r="IU7" s="593">
        <f>IF(AND(IP7:IT7),1,0)</f>
        <v/>
      </c>
      <c r="IX7" s="592" t="n">
        <v>4</v>
      </c>
      <c r="IY7" s="597" t="n"/>
      <c r="IZ7" s="724" t="inlineStr">
        <is>
          <t>SMOKE DETECTPR OK</t>
        </is>
      </c>
      <c r="JA7" s="597" t="n"/>
      <c r="JB7" s="597" t="n"/>
      <c r="JC7" s="597">
        <f>JG6</f>
        <v/>
      </c>
      <c r="JD7" s="597" t="n"/>
      <c r="JE7" s="497" t="n"/>
      <c r="JF7" s="497" t="n"/>
      <c r="JG7" s="602">
        <f>IF(AND(JB7:JF7),1,0)</f>
        <v/>
      </c>
      <c r="JI7" s="724" t="inlineStr">
        <is>
          <t>SMOKE DETECTPR OK</t>
        </is>
      </c>
      <c r="JJ7" s="757" t="n">
        <v>1</v>
      </c>
      <c r="JK7" s="497" t="n"/>
      <c r="JN7" s="592" t="n">
        <v>4</v>
      </c>
      <c r="JO7" s="597" t="n"/>
      <c r="JP7" s="724" t="n"/>
      <c r="JQ7" s="597" t="n"/>
      <c r="JR7" s="597" t="n"/>
      <c r="JS7" s="597">
        <f>IF(OR(JW13,JW6),1,0)</f>
        <v/>
      </c>
      <c r="JT7" s="597" t="n"/>
      <c r="JU7" s="497" t="n"/>
      <c r="JV7" s="497" t="n"/>
      <c r="JW7" s="593">
        <f>IF(AND(JR7:JV7),1,0)</f>
        <v/>
      </c>
      <c r="JZ7" s="592" t="n">
        <v>4</v>
      </c>
      <c r="KA7" s="597" t="n"/>
      <c r="KB7" s="724" t="n"/>
      <c r="KC7" s="597" t="n"/>
      <c r="KD7" s="724" t="n"/>
      <c r="KE7" s="724">
        <f>KI8</f>
        <v/>
      </c>
      <c r="KF7" s="597" t="n"/>
      <c r="KG7" s="497" t="n"/>
      <c r="KH7" s="497" t="n"/>
      <c r="KI7" s="593">
        <f>IF(AND(KD7:KH7),1,0)</f>
        <v/>
      </c>
      <c r="KK7" s="592" t="inlineStr">
        <is>
          <t>110 V DC</t>
        </is>
      </c>
      <c r="KL7" s="757" t="n">
        <v>1</v>
      </c>
      <c r="KM7" s="497" t="n"/>
      <c r="KP7" s="592" t="n">
        <v>4</v>
      </c>
      <c r="KQ7" s="597" t="n"/>
      <c r="KR7" s="724" t="n"/>
      <c r="KS7" s="597" t="n"/>
      <c r="KT7" s="724" t="n"/>
      <c r="KU7" s="724">
        <f>KY6</f>
        <v/>
      </c>
      <c r="KV7" s="724" t="n"/>
      <c r="KW7" s="497" t="n"/>
      <c r="KX7" s="497" t="n"/>
      <c r="KY7" s="593">
        <f>IF(AND(KT7:KX7),1,0)</f>
        <v/>
      </c>
      <c r="LB7" s="592" t="n">
        <v>4</v>
      </c>
      <c r="LC7" s="599" t="inlineStr">
        <is>
          <t>X2</t>
        </is>
      </c>
      <c r="LD7" s="724" t="inlineStr">
        <is>
          <t>415 VAC _V2</t>
        </is>
      </c>
      <c r="LE7" s="597" t="n"/>
      <c r="LF7" s="597" t="n"/>
      <c r="LG7" s="612">
        <f>LN37</f>
        <v/>
      </c>
      <c r="LH7" s="724" t="n"/>
      <c r="LI7" s="497" t="n"/>
      <c r="LJ7" s="497" t="n"/>
      <c r="LK7" s="593">
        <f>IF(AND(LF7:LJ7),1,0)</f>
        <v/>
      </c>
      <c r="LM7" s="757" t="inlineStr">
        <is>
          <t>CMPB1 _13A</t>
        </is>
      </c>
      <c r="LN7" s="757">
        <f>'DATA TRANSFER'!MF15</f>
        <v/>
      </c>
      <c r="LO7" s="497" t="n"/>
      <c r="LR7" s="592" t="n">
        <v>4</v>
      </c>
      <c r="LS7" s="599" t="n"/>
      <c r="LT7" s="724" t="inlineStr">
        <is>
          <t>LUB</t>
        </is>
      </c>
      <c r="LU7" s="597" t="n"/>
      <c r="LV7" s="724" t="n"/>
      <c r="LW7" s="605">
        <f>MD5</f>
        <v/>
      </c>
      <c r="LX7" s="724">
        <f>MA6</f>
        <v/>
      </c>
      <c r="LY7" s="497">
        <f>MA43</f>
        <v/>
      </c>
      <c r="LZ7" s="497" t="n"/>
      <c r="MA7" s="593">
        <f>IF(AND(LV7:LZ7),1,0)</f>
        <v/>
      </c>
      <c r="MC7" s="724" t="inlineStr">
        <is>
          <t>EMR</t>
        </is>
      </c>
      <c r="MD7" s="757" t="n">
        <v>1</v>
      </c>
      <c r="ME7" s="497" t="n"/>
      <c r="MH7" s="592" t="n">
        <v>4</v>
      </c>
      <c r="MI7" s="599" t="n"/>
      <c r="MJ7" s="724" t="n"/>
      <c r="MK7" s="597" t="n"/>
      <c r="ML7" s="724" t="n"/>
      <c r="MM7" s="724">
        <f>MQ6</f>
        <v/>
      </c>
      <c r="MN7" s="724" t="n"/>
      <c r="MO7" s="497" t="n"/>
      <c r="MP7" s="497" t="n"/>
      <c r="MQ7" s="593">
        <f>IF(AND(ML7:MP7),1,0)</f>
        <v/>
      </c>
      <c r="MS7" s="724" t="inlineStr">
        <is>
          <t>ACCP1N_6A</t>
        </is>
      </c>
      <c r="MT7" s="757" t="n">
        <v>1</v>
      </c>
      <c r="MU7" s="497" t="n"/>
    </row>
    <row r="8" ht="63" customHeight="1">
      <c r="A8" s="590" t="n">
        <v>5</v>
      </c>
      <c r="B8" s="497" t="n"/>
      <c r="C8" s="497" t="n"/>
      <c r="D8" s="497" t="n"/>
      <c r="E8" s="497" t="n"/>
      <c r="F8" s="757">
        <f>J7</f>
        <v/>
      </c>
      <c r="G8" s="497" t="n"/>
      <c r="H8" s="497" t="n"/>
      <c r="I8" s="497" t="n"/>
      <c r="J8" s="593">
        <f>IF(AND(E8:I8),1,0)</f>
        <v/>
      </c>
      <c r="L8" s="757" t="inlineStr">
        <is>
          <t>HFAN1 3A</t>
        </is>
      </c>
      <c r="M8" s="757" t="n">
        <v>1</v>
      </c>
      <c r="N8" s="497" t="n"/>
      <c r="P8" s="592" t="n">
        <v>5</v>
      </c>
      <c r="Q8" s="607" t="n"/>
      <c r="R8" s="592" t="n"/>
      <c r="S8" s="497" t="n"/>
      <c r="T8" s="497" t="n"/>
      <c r="U8" s="757">
        <f>Y7</f>
        <v/>
      </c>
      <c r="V8" s="497" t="n"/>
      <c r="W8" s="497" t="n"/>
      <c r="X8" s="497" t="n"/>
      <c r="Y8" s="593">
        <f>IF(AND(T8:X8),1,0)</f>
        <v/>
      </c>
      <c r="AA8" s="757" t="inlineStr">
        <is>
          <t>CMPB2 _13A</t>
        </is>
      </c>
      <c r="AB8" s="757" t="n"/>
      <c r="AC8" s="497" t="n"/>
      <c r="AF8" s="592" t="n">
        <v>5</v>
      </c>
      <c r="AG8" s="497" t="n"/>
      <c r="AH8" s="497" t="n"/>
      <c r="AI8" s="497" t="n"/>
      <c r="AJ8" s="497" t="n"/>
      <c r="AK8" s="757">
        <f>AO7</f>
        <v/>
      </c>
      <c r="AL8" s="497" t="n"/>
      <c r="AM8" s="497" t="n"/>
      <c r="AN8" s="497" t="n"/>
      <c r="AO8" s="593">
        <f>IF(AND(AJ8:AN8),1,0)</f>
        <v/>
      </c>
      <c r="AS8" s="592" t="n">
        <v>5</v>
      </c>
      <c r="AT8" s="497" t="n"/>
      <c r="AU8" s="497" t="n"/>
      <c r="AV8" s="497" t="n"/>
      <c r="AW8" s="497">
        <f>BB7</f>
        <v/>
      </c>
      <c r="AX8" s="497" t="n"/>
      <c r="AY8" s="497" t="n"/>
      <c r="AZ8" s="497" t="n"/>
      <c r="BA8" s="497" t="n"/>
      <c r="BB8" s="593">
        <f>IF(AND(AW8:BA8),1,0)</f>
        <v/>
      </c>
      <c r="BD8" s="724" t="inlineStr">
        <is>
          <t>SMDRB</t>
        </is>
      </c>
      <c r="BE8" s="757">
        <f>IF(OR('DATA TRANSFER'!M12),1,0)</f>
        <v/>
      </c>
      <c r="BF8" s="497" t="n"/>
      <c r="BI8" s="592" t="n">
        <v>5</v>
      </c>
      <c r="BJ8" s="497" t="n"/>
      <c r="BK8" s="497" t="n"/>
      <c r="BL8" s="497" t="n"/>
      <c r="BM8" s="497" t="n"/>
      <c r="BN8" s="609">
        <f>BR7</f>
        <v/>
      </c>
      <c r="BO8" s="497" t="n"/>
      <c r="BP8" s="497" t="n"/>
      <c r="BQ8" s="497" t="n"/>
      <c r="BR8" s="593">
        <f>IF(AND(BM8:BQ8),1,0)</f>
        <v/>
      </c>
      <c r="BT8" s="724" t="inlineStr">
        <is>
          <t>EMR</t>
        </is>
      </c>
      <c r="BU8" s="757" t="n">
        <v>1</v>
      </c>
      <c r="BV8" s="497" t="n"/>
      <c r="BX8" s="592" t="n">
        <v>5</v>
      </c>
      <c r="BY8" s="497" t="n"/>
      <c r="BZ8" s="497" t="n"/>
      <c r="CA8" s="497" t="n"/>
      <c r="CB8" s="497" t="n"/>
      <c r="CC8" s="609">
        <f>CG7</f>
        <v/>
      </c>
      <c r="CD8" s="497" t="n"/>
      <c r="CE8" s="497" t="n"/>
      <c r="CF8" s="497" t="n"/>
      <c r="CG8" s="593">
        <f>IF(AND(CB8:CF8),1,0)</f>
        <v/>
      </c>
      <c r="CI8" s="592" t="n">
        <v>5</v>
      </c>
      <c r="CJ8" s="497" t="n"/>
      <c r="CK8" s="497" t="n"/>
      <c r="CL8" s="497" t="n"/>
      <c r="CM8" s="497" t="n"/>
      <c r="CN8" s="497">
        <f>CR6</f>
        <v/>
      </c>
      <c r="CO8" s="497" t="n"/>
      <c r="CP8" s="497" t="n"/>
      <c r="CQ8" s="497" t="n"/>
      <c r="CR8" s="593">
        <f>IF(AND(CM8:CQ8),1,0)</f>
        <v/>
      </c>
      <c r="CT8" s="594" t="inlineStr">
        <is>
          <t>COMPONENT</t>
        </is>
      </c>
      <c r="CU8" s="594" t="n"/>
      <c r="CV8" s="594" t="inlineStr">
        <is>
          <t>REMARK</t>
        </is>
      </c>
      <c r="CY8" s="592" t="n">
        <v>5</v>
      </c>
      <c r="CZ8" s="724" t="inlineStr">
        <is>
          <t>JE .A01-X9 (15)
JE .A01 (+14.25)</t>
        </is>
      </c>
      <c r="DA8" s="724" t="inlineStr">
        <is>
          <t>RIO1
I_FADForcedCls</t>
        </is>
      </c>
      <c r="DB8" s="497" t="n"/>
      <c r="DC8" s="497" t="n"/>
      <c r="DD8" s="601">
        <f>CU9</f>
        <v/>
      </c>
      <c r="DE8" s="497">
        <f>DH7</f>
        <v/>
      </c>
      <c r="DF8" s="497" t="n"/>
      <c r="DG8" s="497" t="n"/>
      <c r="DH8" s="593">
        <f>IF(AND(DC8:DG8),1,0)</f>
        <v/>
      </c>
      <c r="DK8" s="592" t="n">
        <v>5</v>
      </c>
      <c r="DL8" s="724" t="inlineStr">
        <is>
          <t>LA.T01</t>
        </is>
      </c>
      <c r="DM8" s="724" t="inlineStr">
        <is>
          <t>24 HTC(200W)</t>
        </is>
      </c>
      <c r="DN8" s="497" t="n"/>
      <c r="DO8" s="497" t="n"/>
      <c r="DP8" s="600">
        <f>DW18</f>
        <v/>
      </c>
      <c r="DQ8" s="497">
        <f>DT7</f>
        <v/>
      </c>
      <c r="DR8" s="497" t="n"/>
      <c r="DS8" s="497" t="n"/>
      <c r="DT8" s="593">
        <f>IF(AND(DO8:DS8),1,0)</f>
        <v/>
      </c>
      <c r="DV8" s="757" t="inlineStr">
        <is>
          <t>CACS</t>
        </is>
      </c>
      <c r="DW8" s="757" t="n">
        <v>1</v>
      </c>
      <c r="DX8" s="497" t="n"/>
      <c r="DZ8" s="592" t="n">
        <v>5</v>
      </c>
      <c r="EA8" s="724" t="n"/>
      <c r="EB8" s="724" t="inlineStr">
        <is>
          <t>FROM APS 415 VAC</t>
        </is>
      </c>
      <c r="EC8" s="497" t="n"/>
      <c r="ED8" s="497" t="n"/>
      <c r="EE8" s="601">
        <f>EL6</f>
        <v/>
      </c>
      <c r="EF8" s="497" t="n"/>
      <c r="EG8" s="497" t="n"/>
      <c r="EH8" s="497" t="n"/>
      <c r="EI8" s="602">
        <f>IF(AND(ED8:EH8),1,0)</f>
        <v/>
      </c>
      <c r="EK8" s="497" t="inlineStr">
        <is>
          <t>110 Vdc</t>
        </is>
      </c>
      <c r="EL8" s="757" t="n">
        <v>1</v>
      </c>
      <c r="EM8" s="497" t="n"/>
      <c r="EO8" s="592" t="n">
        <v>5</v>
      </c>
      <c r="EP8" s="724" t="n"/>
      <c r="EQ8" s="724" t="n"/>
      <c r="ER8" s="497" t="n"/>
      <c r="ES8" s="497" t="n"/>
      <c r="ET8" s="497">
        <f>EX7</f>
        <v/>
      </c>
      <c r="EU8" s="497" t="n"/>
      <c r="EV8" s="497" t="n"/>
      <c r="EW8" s="497" t="n"/>
      <c r="EX8" s="593">
        <f>IF(AND(ES8:EW8),1,0)</f>
        <v/>
      </c>
      <c r="EZ8" s="757" t="inlineStr">
        <is>
          <t>FADR-110VDC</t>
        </is>
      </c>
      <c r="FA8" s="757">
        <f>'Mode Logic'!P18</f>
        <v/>
      </c>
      <c r="FB8" s="497" t="n"/>
      <c r="FE8" s="592" t="n">
        <v>5</v>
      </c>
      <c r="FF8" s="724" t="n"/>
      <c r="FG8" s="724" t="n"/>
      <c r="FH8" s="497" t="n"/>
      <c r="FI8" s="497" t="n"/>
      <c r="FJ8" s="497">
        <f>FN7</f>
        <v/>
      </c>
      <c r="FK8" s="497" t="n"/>
      <c r="FL8" s="497" t="n"/>
      <c r="FM8" s="497" t="n"/>
      <c r="FN8" s="593">
        <f>IF(AND(FI8:FM8),1,0)</f>
        <v/>
      </c>
      <c r="FP8" s="757" t="inlineStr">
        <is>
          <t>FADR-110VDC</t>
        </is>
      </c>
      <c r="FQ8" s="757">
        <f>'Mode Logic'!P18</f>
        <v/>
      </c>
      <c r="FR8" s="497" t="n"/>
      <c r="FT8" s="592" t="n">
        <v>5</v>
      </c>
      <c r="FU8" s="724" t="n"/>
      <c r="FV8" s="724" t="n"/>
      <c r="FW8" s="497" t="n"/>
      <c r="FX8" s="497" t="n"/>
      <c r="FY8" s="757">
        <f>GC7</f>
        <v/>
      </c>
      <c r="FZ8" s="497" t="n"/>
      <c r="GA8" s="497" t="n"/>
      <c r="GB8" s="497" t="n"/>
      <c r="GC8" s="593">
        <f>IF(AND(FX8:GB8),1,0)</f>
        <v/>
      </c>
      <c r="GF8" s="592" t="n">
        <v>5</v>
      </c>
      <c r="GG8" s="724" t="n"/>
      <c r="GH8" s="724" t="n"/>
      <c r="GI8" s="497" t="n"/>
      <c r="GJ8" s="497" t="n"/>
      <c r="GK8" s="592">
        <f>GO7</f>
        <v/>
      </c>
      <c r="GL8" s="497" t="n"/>
      <c r="GM8" s="497" t="n"/>
      <c r="GN8" s="497" t="n"/>
      <c r="GO8" s="593">
        <f>IF(AND(GJ8:GN8),1,0)</f>
        <v/>
      </c>
      <c r="GQ8" s="757" t="inlineStr">
        <is>
          <t>SMDR</t>
        </is>
      </c>
      <c r="GR8" s="757">
        <f>IF(OR('DATA TRANSFER'!M12),1,0)</f>
        <v/>
      </c>
      <c r="GS8" s="497" t="n"/>
      <c r="GU8" s="592" t="n">
        <v>5</v>
      </c>
      <c r="GV8" s="724" t="n"/>
      <c r="GW8" s="724" t="n"/>
      <c r="GX8" s="497" t="n"/>
      <c r="GY8" s="497" t="n"/>
      <c r="GZ8" s="757">
        <f>HD7</f>
        <v/>
      </c>
      <c r="HA8" s="497" t="n"/>
      <c r="HB8" s="497" t="n"/>
      <c r="HC8" s="497" t="n"/>
      <c r="HD8" s="602">
        <f>IF(AND(GY8:HC8),1,0)</f>
        <v/>
      </c>
      <c r="HF8" s="592" t="inlineStr">
        <is>
          <t>24 V DC /DC</t>
        </is>
      </c>
      <c r="HG8" s="757" t="n">
        <v>1</v>
      </c>
      <c r="HH8" s="497" t="n"/>
      <c r="HK8" s="592" t="n">
        <v>5</v>
      </c>
      <c r="HL8" s="724" t="n"/>
      <c r="HM8" s="597" t="n"/>
      <c r="HN8" s="597" t="n"/>
      <c r="HO8" s="597" t="n"/>
      <c r="HP8" s="597">
        <f>HT7</f>
        <v/>
      </c>
      <c r="HQ8" s="597" t="n"/>
      <c r="HR8" s="497" t="n"/>
      <c r="HS8" s="497" t="n"/>
      <c r="HT8" s="593">
        <f>IF(AND(HO8:HS8),1,0)</f>
        <v/>
      </c>
      <c r="HV8" s="592" t="inlineStr">
        <is>
          <t>MPCB  1</t>
        </is>
      </c>
      <c r="HW8" s="757" t="n">
        <v>1</v>
      </c>
      <c r="HX8" s="497" t="n"/>
      <c r="HZ8" s="592" t="n">
        <v>5</v>
      </c>
      <c r="IA8" s="724" t="n"/>
      <c r="IB8" s="724" t="inlineStr">
        <is>
          <t>APS 1 _B</t>
        </is>
      </c>
      <c r="IC8" s="597" t="n"/>
      <c r="ID8" s="597" t="n"/>
      <c r="IE8" s="606">
        <f>HW6</f>
        <v/>
      </c>
      <c r="IF8" s="597" t="n"/>
      <c r="IG8" s="497" t="n"/>
      <c r="IH8" s="497" t="n"/>
      <c r="II8" s="593">
        <f>IF(AND(ID8:IH8),1,0)</f>
        <v/>
      </c>
      <c r="IL8" s="592" t="n">
        <v>5</v>
      </c>
      <c r="IM8" s="724" t="n"/>
      <c r="IN8" s="724" t="n"/>
      <c r="IO8" s="597" t="n"/>
      <c r="IP8" s="597" t="n"/>
      <c r="IQ8" s="724">
        <f>IU7</f>
        <v/>
      </c>
      <c r="IR8" s="597" t="n"/>
      <c r="IS8" s="497" t="n"/>
      <c r="IT8" s="497" t="n"/>
      <c r="IU8" s="593">
        <f>IF(AND(IP8:IT8),1,0)</f>
        <v/>
      </c>
      <c r="IX8" s="592" t="n">
        <v>5</v>
      </c>
      <c r="IY8" s="724" t="n"/>
      <c r="IZ8" s="724" t="inlineStr">
        <is>
          <t xml:space="preserve">FROM CAR SIDE 110 VDC </t>
        </is>
      </c>
      <c r="JA8" s="597" t="n"/>
      <c r="JB8" s="597" t="n"/>
      <c r="JC8" s="605">
        <f>JJ8</f>
        <v/>
      </c>
      <c r="JD8" s="597" t="n"/>
      <c r="JE8" s="497" t="n"/>
      <c r="JF8" s="497" t="n"/>
      <c r="JG8" s="602">
        <f>IF(AND(JB8:JF8),1,0)</f>
        <v/>
      </c>
      <c r="JI8" s="592" t="inlineStr">
        <is>
          <t>110 V DC</t>
        </is>
      </c>
      <c r="JJ8" s="757" t="n">
        <v>1</v>
      </c>
      <c r="JK8" s="497" t="n"/>
      <c r="JN8" s="592" t="n">
        <v>5</v>
      </c>
      <c r="JO8" s="724" t="n"/>
      <c r="JP8" s="724" t="inlineStr">
        <is>
          <t>HVAC1  SMDR 2</t>
        </is>
      </c>
      <c r="JQ8" s="597" t="n"/>
      <c r="JR8" s="597" t="n"/>
      <c r="JS8" s="606">
        <f>JJ19</f>
        <v/>
      </c>
      <c r="JT8" s="597">
        <f>JW7</f>
        <v/>
      </c>
      <c r="JU8" s="497" t="n"/>
      <c r="JV8" s="497" t="n"/>
      <c r="JW8" s="593">
        <f>IF(AND(JR8:JV8),1,0)</f>
        <v/>
      </c>
      <c r="JZ8" s="592" t="n">
        <v>5</v>
      </c>
      <c r="KA8" s="724" t="n"/>
      <c r="KB8" s="724" t="n"/>
      <c r="KC8" s="597" t="n"/>
      <c r="KD8" s="724" t="n"/>
      <c r="KE8" s="724">
        <f>HVAC_IOs!D7</f>
        <v/>
      </c>
      <c r="KF8" s="597" t="n"/>
      <c r="KG8" s="497" t="n"/>
      <c r="KH8" s="497" t="n"/>
      <c r="KI8" s="593">
        <f>IF(AND(KD8:KH8),1,0)</f>
        <v/>
      </c>
      <c r="KK8" s="724" t="inlineStr">
        <is>
          <t>SFC OFF</t>
        </is>
      </c>
      <c r="KL8" s="757">
        <f>IF(OR('Mode Logic'!U18:V18),1,0)</f>
        <v/>
      </c>
      <c r="KM8" s="497" t="n"/>
      <c r="KP8" s="592" t="n">
        <v>5</v>
      </c>
      <c r="KQ8" s="599" t="inlineStr">
        <is>
          <t xml:space="preserve">X1_ 4 PIN POWER CONNECTOR </t>
        </is>
      </c>
      <c r="KR8" s="724" t="inlineStr">
        <is>
          <t>APS 1 415 V AC B</t>
        </is>
      </c>
      <c r="KS8" s="597" t="n"/>
      <c r="KT8" s="724" t="n"/>
      <c r="KU8" s="605">
        <f>KL17</f>
        <v/>
      </c>
      <c r="KV8" s="724" t="n"/>
      <c r="KW8" s="497" t="n"/>
      <c r="KX8" s="497" t="n"/>
      <c r="KY8" s="593">
        <f>IF(AND(KT8:KX8),1,0)</f>
        <v/>
      </c>
      <c r="LB8" s="592" t="n">
        <v>5</v>
      </c>
      <c r="LC8" s="599" t="n"/>
      <c r="LD8" s="724" t="n"/>
      <c r="LE8" s="597" t="n"/>
      <c r="LF8" s="597" t="n"/>
      <c r="LG8" s="597">
        <f>LK7</f>
        <v/>
      </c>
      <c r="LH8" s="724" t="n"/>
      <c r="LI8" s="497" t="n"/>
      <c r="LJ8" s="497" t="n"/>
      <c r="LK8" s="593">
        <f>IF(AND(LF8:LJ8),1,0)</f>
        <v/>
      </c>
      <c r="LM8" s="757" t="inlineStr">
        <is>
          <t>CMPB2 _13A</t>
        </is>
      </c>
      <c r="LN8" s="757" t="n">
        <v>1</v>
      </c>
      <c r="LO8" s="497" t="n"/>
      <c r="LR8" s="592" t="n">
        <v>5</v>
      </c>
      <c r="LS8" s="599" t="n"/>
      <c r="LT8" s="724" t="n"/>
      <c r="LU8" s="597" t="n"/>
      <c r="LV8" s="724" t="n"/>
      <c r="LW8" s="724">
        <f>MA7</f>
        <v/>
      </c>
      <c r="LX8" s="724" t="n"/>
      <c r="LY8" s="497" t="n"/>
      <c r="LZ8" s="497" t="n"/>
      <c r="MA8" s="593">
        <f>IF(AND(LV8:LZ8),1,0)</f>
        <v/>
      </c>
      <c r="MC8" s="498" t="inlineStr">
        <is>
          <t>DC/DC CONVERTER 2</t>
        </is>
      </c>
      <c r="MD8" s="757" t="n">
        <v>1</v>
      </c>
      <c r="ME8" s="497" t="n"/>
      <c r="MH8" s="592" t="n">
        <v>5</v>
      </c>
      <c r="MI8" s="599" t="n"/>
      <c r="MJ8" s="724" t="n"/>
      <c r="MK8" s="597" t="n"/>
      <c r="ML8" s="724" t="n"/>
      <c r="MM8" s="724">
        <f>MQ7</f>
        <v/>
      </c>
      <c r="MN8" s="724" t="n"/>
      <c r="MO8" s="497" t="n"/>
      <c r="MP8" s="497" t="n"/>
      <c r="MQ8" s="593">
        <f>IF(AND(ML8:MP8),1,0)</f>
        <v/>
      </c>
      <c r="MS8" s="724" t="inlineStr">
        <is>
          <t>MCBTL</t>
        </is>
      </c>
      <c r="MT8" s="757" t="n">
        <v>1</v>
      </c>
      <c r="MU8" s="497" t="n"/>
    </row>
    <row r="9" ht="31.5" customHeight="1">
      <c r="A9" s="590" t="n">
        <v>6</v>
      </c>
      <c r="B9" s="497" t="n"/>
      <c r="C9" s="757" t="inlineStr">
        <is>
          <t>CACS</t>
        </is>
      </c>
      <c r="D9" s="497" t="n"/>
      <c r="E9" s="497" t="n"/>
      <c r="F9" s="613">
        <f>M6</f>
        <v/>
      </c>
      <c r="G9" s="592">
        <f>J8</f>
        <v/>
      </c>
      <c r="H9" s="497" t="n"/>
      <c r="I9" s="497" t="n"/>
      <c r="J9" s="593">
        <f>IF(AND(G9:I9),1,0)</f>
        <v/>
      </c>
      <c r="L9" s="757" t="inlineStr">
        <is>
          <t>FAN1 P=60W</t>
        </is>
      </c>
      <c r="M9" s="757">
        <f>'DATA TRANSFER'!AT26</f>
        <v/>
      </c>
      <c r="N9" s="497" t="n"/>
      <c r="P9" s="592" t="n">
        <v>6</v>
      </c>
      <c r="Q9" s="607" t="n"/>
      <c r="R9" s="592" t="n"/>
      <c r="S9" s="497" t="n"/>
      <c r="T9" s="497" t="n"/>
      <c r="U9" s="757">
        <f>Y8</f>
        <v/>
      </c>
      <c r="V9" s="497" t="n"/>
      <c r="W9" s="497" t="n"/>
      <c r="X9" s="497" t="n"/>
      <c r="Y9" s="593">
        <f>IF(AND(T9:X9),1,0)</f>
        <v/>
      </c>
      <c r="AA9" s="757" t="inlineStr">
        <is>
          <t>CMPB3 _13A</t>
        </is>
      </c>
      <c r="AB9" s="757" t="n"/>
      <c r="AC9" s="497" t="n"/>
      <c r="AF9" s="592" t="n">
        <v>6</v>
      </c>
      <c r="AG9" s="497" t="n"/>
      <c r="AH9" s="497" t="n"/>
      <c r="AI9" s="497" t="n"/>
      <c r="AJ9" s="497" t="n"/>
      <c r="AK9" s="757">
        <f>AO8</f>
        <v/>
      </c>
      <c r="AL9" s="497" t="n"/>
      <c r="AM9" s="497" t="n"/>
      <c r="AN9" s="497" t="n"/>
      <c r="AO9" s="593">
        <f>IF(AND(AJ9:AN9),1,0)</f>
        <v/>
      </c>
      <c r="AS9" s="592" t="n">
        <v>6</v>
      </c>
      <c r="AT9" s="497" t="n"/>
      <c r="AU9" s="497" t="n"/>
      <c r="AV9" s="497" t="n"/>
      <c r="AW9" s="497">
        <f>BB5</f>
        <v/>
      </c>
      <c r="AX9" s="497" t="n"/>
      <c r="AY9" s="497" t="n"/>
      <c r="AZ9" s="497" t="n"/>
      <c r="BA9" s="497" t="n"/>
      <c r="BB9" s="593">
        <f>IF(AND(AW9:BA9),1,0)</f>
        <v/>
      </c>
      <c r="BI9" s="592" t="n">
        <v>6</v>
      </c>
      <c r="BJ9" s="608" t="n"/>
      <c r="BK9" s="497" t="n"/>
      <c r="BL9" s="497" t="n"/>
      <c r="BM9" s="497" t="n"/>
      <c r="BN9" s="592">
        <f>BR8</f>
        <v/>
      </c>
      <c r="BO9" s="497" t="n"/>
      <c r="BP9" s="497" t="n"/>
      <c r="BQ9" s="497" t="n"/>
      <c r="BR9" s="593">
        <f>IF(AND(BM9:BQ9),1,0)</f>
        <v/>
      </c>
      <c r="BT9" s="498" t="inlineStr">
        <is>
          <t>DC/DC CONVERTER 2</t>
        </is>
      </c>
      <c r="BU9" s="757" t="n">
        <v>1</v>
      </c>
      <c r="BV9" s="497" t="n"/>
      <c r="BX9" s="592" t="n">
        <v>6</v>
      </c>
      <c r="BY9" s="608" t="n"/>
      <c r="BZ9" s="497" t="n"/>
      <c r="CA9" s="497" t="n"/>
      <c r="CB9" s="497" t="n"/>
      <c r="CC9" s="592">
        <f>CG8</f>
        <v/>
      </c>
      <c r="CD9" s="497" t="n"/>
      <c r="CE9" s="497" t="n"/>
      <c r="CF9" s="497" t="n"/>
      <c r="CG9" s="593">
        <f>IF(AND(CB9:CF9),1,0)</f>
        <v/>
      </c>
      <c r="CI9" s="592" t="n">
        <v>6</v>
      </c>
      <c r="CJ9" s="592" t="n"/>
      <c r="CK9" s="497" t="n"/>
      <c r="CL9" s="497" t="n"/>
      <c r="CM9" s="497" t="n"/>
      <c r="CN9" s="497">
        <f>CR8</f>
        <v/>
      </c>
      <c r="CO9" s="497" t="n"/>
      <c r="CP9" s="497" t="n"/>
      <c r="CQ9" s="497" t="n"/>
      <c r="CR9" s="593">
        <f>IF(AND(CM9:CQ9),1,0)</f>
        <v/>
      </c>
      <c r="CT9" s="498" t="inlineStr">
        <is>
          <t>I_FADForcedCls</t>
        </is>
      </c>
      <c r="CU9" s="757">
        <f>'DATA TRANSFER'!M16</f>
        <v/>
      </c>
      <c r="CV9" s="497" t="n"/>
      <c r="CY9" s="592" t="n">
        <v>6</v>
      </c>
      <c r="CZ9" s="592" t="n"/>
      <c r="DA9" s="497" t="n"/>
      <c r="DB9" s="497" t="n"/>
      <c r="DC9" s="497" t="n"/>
      <c r="DD9" s="497">
        <f>DH6</f>
        <v/>
      </c>
      <c r="DE9" s="497" t="n"/>
      <c r="DF9" s="497" t="n"/>
      <c r="DG9" s="497" t="n"/>
      <c r="DH9" s="593">
        <f>IF(AND(DC9:DG9),1,0)</f>
        <v/>
      </c>
      <c r="DK9" s="592" t="n">
        <v>6</v>
      </c>
      <c r="DL9" s="592" t="n"/>
      <c r="DM9" s="497" t="inlineStr">
        <is>
          <t xml:space="preserve">110V </t>
        </is>
      </c>
      <c r="DN9" s="497" t="n"/>
      <c r="DO9" s="497" t="n"/>
      <c r="DP9" s="757">
        <f>DT8</f>
        <v/>
      </c>
      <c r="DQ9" s="497" t="n"/>
      <c r="DR9" s="497" t="n"/>
      <c r="DS9" s="497" t="n"/>
      <c r="DT9" s="593">
        <f>IF(AND(DO9:DS9),1,0)</f>
        <v/>
      </c>
      <c r="DV9" s="757" t="inlineStr">
        <is>
          <t>HFAN2 3A</t>
        </is>
      </c>
      <c r="DW9" s="757">
        <f>'DATA TRANSFER'!AT26</f>
        <v/>
      </c>
      <c r="DX9" s="497" t="n"/>
      <c r="DZ9" s="592" t="n">
        <v>6</v>
      </c>
      <c r="EA9" s="592" t="n"/>
      <c r="EB9" s="497" t="n"/>
      <c r="EC9" s="497" t="n"/>
      <c r="ED9" s="497" t="n"/>
      <c r="EE9" s="497">
        <f>EI8</f>
        <v/>
      </c>
      <c r="EF9" s="497" t="n"/>
      <c r="EG9" s="497" t="n"/>
      <c r="EH9" s="497" t="n"/>
      <c r="EI9" s="602">
        <f>IF(AND(ED9:EH9),1,0)</f>
        <v/>
      </c>
      <c r="EK9" s="497" t="inlineStr">
        <is>
          <t>SMRR</t>
        </is>
      </c>
      <c r="EL9" s="757" t="n">
        <v>1</v>
      </c>
      <c r="EM9" s="497" t="n"/>
      <c r="EO9" s="592" t="n">
        <v>6</v>
      </c>
      <c r="EP9" s="592" t="n"/>
      <c r="EQ9" s="757" t="inlineStr">
        <is>
          <t>SMDR1-110VDC</t>
        </is>
      </c>
      <c r="ER9" s="497" t="n"/>
      <c r="ES9" s="497" t="n"/>
      <c r="ET9" s="601" t="n">
        <v>1</v>
      </c>
      <c r="EU9" s="497" t="n"/>
      <c r="EV9" s="497" t="n"/>
      <c r="EW9" s="497" t="n"/>
      <c r="EX9" s="593">
        <f>IF(AND(ES9:EW9),1,0)</f>
        <v/>
      </c>
      <c r="EZ9" s="592" t="inlineStr">
        <is>
          <t>SFC OFF -110VDC</t>
        </is>
      </c>
      <c r="FA9" s="757" t="n">
        <v>1</v>
      </c>
      <c r="FB9" s="497" t="n"/>
      <c r="FE9" s="592" t="n">
        <v>6</v>
      </c>
      <c r="FF9" s="592" t="n"/>
      <c r="FG9" s="757" t="inlineStr">
        <is>
          <t>SMDR1-110VDC</t>
        </is>
      </c>
      <c r="FH9" s="497" t="n"/>
      <c r="FI9" s="497" t="n"/>
      <c r="FJ9" s="601" t="n">
        <v>1</v>
      </c>
      <c r="FK9" s="497" t="n"/>
      <c r="FL9" s="497" t="n"/>
      <c r="FM9" s="497" t="n"/>
      <c r="FN9" s="593">
        <f>IF(AND(FI9:FM9),1,0)</f>
        <v/>
      </c>
      <c r="FP9" s="592" t="inlineStr">
        <is>
          <t>SFC OFF -110VDC</t>
        </is>
      </c>
      <c r="FQ9" s="757" t="n">
        <v>1</v>
      </c>
      <c r="FR9" s="497" t="n"/>
      <c r="FT9" s="592" t="n">
        <v>6</v>
      </c>
      <c r="FU9" s="592" t="n"/>
      <c r="FV9" s="757" t="inlineStr">
        <is>
          <t>SMDR1-110VDC</t>
        </is>
      </c>
      <c r="FW9" s="497" t="n"/>
      <c r="FX9" s="497" t="n"/>
      <c r="FY9" s="600">
        <f>FQ6</f>
        <v/>
      </c>
      <c r="FZ9" s="497" t="n"/>
      <c r="GA9" s="497" t="n"/>
      <c r="GB9" s="497" t="n"/>
      <c r="GC9" s="593">
        <f>IF(AND(FX9:GB9),1,0)</f>
        <v/>
      </c>
      <c r="GF9" s="592" t="n">
        <v>6</v>
      </c>
      <c r="GG9" s="592" t="n"/>
      <c r="GH9" s="597" t="inlineStr">
        <is>
          <t xml:space="preserve">HVAC2  SMDR </t>
        </is>
      </c>
      <c r="GI9" s="497" t="n"/>
      <c r="GJ9" s="497" t="n"/>
      <c r="GK9" s="604">
        <f>GR8</f>
        <v/>
      </c>
      <c r="GL9" s="497">
        <f>GO6</f>
        <v/>
      </c>
      <c r="GM9" s="497" t="n"/>
      <c r="GN9" s="497" t="n"/>
      <c r="GO9" s="593">
        <f>IF(AND(GJ9:GN9),1,0)</f>
        <v/>
      </c>
      <c r="GQ9" s="592" t="inlineStr">
        <is>
          <t>FADR_1</t>
        </is>
      </c>
      <c r="GR9" s="757">
        <f>'Mode Logic'!P18</f>
        <v/>
      </c>
      <c r="GS9" s="497" t="n"/>
      <c r="GU9" s="592" t="n">
        <v>6</v>
      </c>
      <c r="GV9" s="592" t="n"/>
      <c r="GW9" s="497" t="n"/>
      <c r="GX9" s="497" t="n"/>
      <c r="GY9" s="497" t="n"/>
      <c r="GZ9" s="757">
        <f>HD8</f>
        <v/>
      </c>
      <c r="HA9" s="497" t="n"/>
      <c r="HB9" s="497" t="n"/>
      <c r="HC9" s="497" t="n"/>
      <c r="HD9" s="602">
        <f>IF(AND(GY9:HC9),1,0)</f>
        <v/>
      </c>
      <c r="HF9" s="592" t="inlineStr">
        <is>
          <t>SFAFC2</t>
        </is>
      </c>
      <c r="HG9" s="757" t="n">
        <v>1</v>
      </c>
      <c r="HH9" s="497" t="n"/>
      <c r="HK9" s="592" t="n">
        <v>6</v>
      </c>
      <c r="HL9" s="592" t="n"/>
      <c r="HM9" s="497" t="n"/>
      <c r="HN9" s="497" t="n"/>
      <c r="HO9" s="497" t="n"/>
      <c r="HP9" s="597">
        <f>HT8</f>
        <v/>
      </c>
      <c r="HQ9" s="497" t="n"/>
      <c r="HR9" s="497" t="n"/>
      <c r="HS9" s="497" t="n"/>
      <c r="HT9" s="593">
        <f>IF(AND(HO9:HS9),1,0)</f>
        <v/>
      </c>
      <c r="HV9" s="592" t="inlineStr">
        <is>
          <t>MPCB  2</t>
        </is>
      </c>
      <c r="HW9" s="757" t="n">
        <v>1</v>
      </c>
      <c r="HX9" s="497" t="n"/>
      <c r="HZ9" s="592" t="n">
        <v>6</v>
      </c>
      <c r="IA9" s="592" t="n"/>
      <c r="IB9" s="497" t="n"/>
      <c r="IC9" s="497" t="n"/>
      <c r="ID9" s="597" t="n"/>
      <c r="IE9" s="597">
        <f>II8</f>
        <v/>
      </c>
      <c r="IF9" s="497" t="n"/>
      <c r="IG9" s="497" t="n"/>
      <c r="IH9" s="497" t="n"/>
      <c r="II9" s="593">
        <f>IF(AND(ID9:IH9),1,0)</f>
        <v/>
      </c>
      <c r="IL9" s="592" t="n">
        <v>6</v>
      </c>
      <c r="IM9" s="592" t="n"/>
      <c r="IN9" s="497" t="n"/>
      <c r="IO9" s="497" t="n"/>
      <c r="IP9" s="597" t="n"/>
      <c r="IQ9" s="597">
        <f>IU7</f>
        <v/>
      </c>
      <c r="IR9" s="497" t="n"/>
      <c r="IS9" s="497" t="n"/>
      <c r="IT9" s="497" t="n"/>
      <c r="IU9" s="593">
        <f>IF(AND(IP9:IT9),1,0)</f>
        <v/>
      </c>
      <c r="IX9" s="592" t="n">
        <v>6</v>
      </c>
      <c r="IY9" s="592" t="n"/>
      <c r="IZ9" s="757" t="inlineStr">
        <is>
          <t>SMDR</t>
        </is>
      </c>
      <c r="JA9" s="497" t="n"/>
      <c r="JB9" s="597" t="n"/>
      <c r="JC9" s="606">
        <f>JJ6</f>
        <v/>
      </c>
      <c r="JD9" s="597">
        <f>JG8</f>
        <v/>
      </c>
      <c r="JE9" s="497" t="n"/>
      <c r="JF9" s="497" t="n"/>
      <c r="JG9" s="602">
        <f>IF(AND(JB9:JF9),1,0)</f>
        <v/>
      </c>
      <c r="JI9" s="724" t="inlineStr">
        <is>
          <t>SFC OFF</t>
        </is>
      </c>
      <c r="JJ9" s="757">
        <f>IF(OR('Mode Logic'!U18:V18),1,0)</f>
        <v/>
      </c>
      <c r="JK9" s="497" t="n"/>
      <c r="JN9" s="592" t="n">
        <v>6</v>
      </c>
      <c r="JO9" s="592" t="n"/>
      <c r="JP9" s="757" t="n"/>
      <c r="JQ9" s="497" t="n"/>
      <c r="JR9" s="597" t="n"/>
      <c r="JS9" s="597">
        <f>IF(OR(JW8,JW16),1,0)</f>
        <v/>
      </c>
      <c r="JT9" s="597" t="n"/>
      <c r="JU9" s="497" t="n"/>
      <c r="JV9" s="497" t="n"/>
      <c r="JW9" s="593">
        <f>IF(AND(JR9:JV9),1,0)</f>
        <v/>
      </c>
      <c r="JZ9" s="592" t="n">
        <v>6</v>
      </c>
      <c r="KA9" s="592" t="n"/>
      <c r="KB9" s="757" t="n"/>
      <c r="KC9" s="497" t="n"/>
      <c r="KD9" s="724" t="n"/>
      <c r="KE9" s="724">
        <f>KI10</f>
        <v/>
      </c>
      <c r="KF9" s="597">
        <f>KI12</f>
        <v/>
      </c>
      <c r="KG9" s="497" t="n"/>
      <c r="KH9" s="497" t="n"/>
      <c r="KI9" s="593">
        <f>IF(AND(KD9:KH9),1,0)</f>
        <v/>
      </c>
      <c r="KK9" s="592" t="inlineStr">
        <is>
          <t>AUX MPCB</t>
        </is>
      </c>
      <c r="KL9" s="757" t="n">
        <v>1</v>
      </c>
      <c r="KM9" s="497" t="n"/>
      <c r="KP9" s="592" t="n">
        <v>6</v>
      </c>
      <c r="KQ9" s="592" t="n"/>
      <c r="KR9" s="757" t="n"/>
      <c r="KS9" s="497" t="n"/>
      <c r="KT9" s="724" t="n"/>
      <c r="KU9" s="724">
        <f>KY8</f>
        <v/>
      </c>
      <c r="KV9" s="724" t="n"/>
      <c r="KW9" s="497" t="n"/>
      <c r="KX9" s="497" t="n"/>
      <c r="KY9" s="593">
        <f>IF(AND(KT9:KX9),1,0)</f>
        <v/>
      </c>
      <c r="LB9" s="592" t="n">
        <v>6</v>
      </c>
      <c r="LC9" s="599" t="inlineStr">
        <is>
          <t>X2</t>
        </is>
      </c>
      <c r="LD9" s="724" t="inlineStr">
        <is>
          <t>415 VAC _W2</t>
        </is>
      </c>
      <c r="LE9" s="497" t="n"/>
      <c r="LF9" s="597" t="n"/>
      <c r="LG9" s="614">
        <f>LN37</f>
        <v/>
      </c>
      <c r="LH9" s="724" t="n"/>
      <c r="LI9" s="497" t="n"/>
      <c r="LJ9" s="497" t="n"/>
      <c r="LK9" s="593">
        <f>IF(AND(LF9:LJ9),1,0)</f>
        <v/>
      </c>
      <c r="LM9" s="757" t="inlineStr">
        <is>
          <t>CMPB3 _13A</t>
        </is>
      </c>
      <c r="LN9" s="757" t="n">
        <v>1</v>
      </c>
      <c r="LO9" s="497" t="n"/>
      <c r="LR9" s="592" t="n">
        <v>6</v>
      </c>
      <c r="LS9" s="599" t="n"/>
      <c r="LT9" s="724" t="inlineStr">
        <is>
          <t>DC/DC CONVERTER 1</t>
        </is>
      </c>
      <c r="LU9" s="497" t="n"/>
      <c r="LV9" s="724" t="n"/>
      <c r="LW9" s="605">
        <f>MD6</f>
        <v/>
      </c>
      <c r="LX9" s="724">
        <f>MA8</f>
        <v/>
      </c>
      <c r="LY9" s="497">
        <f>MA44</f>
        <v/>
      </c>
      <c r="LZ9" s="497" t="n"/>
      <c r="MA9" s="593">
        <f>IF(AND(LV9:LZ9),1,0)</f>
        <v/>
      </c>
      <c r="MC9" s="498" t="inlineStr">
        <is>
          <t>ESAFC</t>
        </is>
      </c>
      <c r="MD9" s="757">
        <f>IF(OR('Mode Logic'!V18),1,0)</f>
        <v/>
      </c>
      <c r="ME9" s="497" t="n"/>
      <c r="MH9" s="592" t="n">
        <v>6</v>
      </c>
      <c r="MI9" s="599" t="n"/>
      <c r="MJ9" s="724" t="n"/>
      <c r="MK9" s="497" t="n"/>
      <c r="ML9" s="724" t="n"/>
      <c r="MM9" s="612" t="n">
        <v>1</v>
      </c>
      <c r="MN9" s="724" t="n"/>
      <c r="MO9" s="497" t="n"/>
      <c r="MP9" s="497" t="n"/>
      <c r="MQ9" s="593">
        <f>IF(AND(ML9:MP9),1,0)</f>
        <v/>
      </c>
      <c r="MS9" s="724" t="inlineStr">
        <is>
          <t>SRRB</t>
        </is>
      </c>
      <c r="MT9" s="757" t="n">
        <v>1</v>
      </c>
      <c r="MU9" s="497" t="n"/>
    </row>
    <row r="10" ht="48" customHeight="1">
      <c r="A10" s="590" t="n">
        <v>7</v>
      </c>
      <c r="B10" s="497" t="n"/>
      <c r="C10" s="497" t="n"/>
      <c r="D10" s="497" t="n"/>
      <c r="E10" s="497" t="n"/>
      <c r="F10" s="757">
        <f>J9</f>
        <v/>
      </c>
      <c r="G10" s="592" t="n"/>
      <c r="H10" s="497" t="n"/>
      <c r="I10" s="497" t="n"/>
      <c r="J10" s="593">
        <f>IF(AND(E10:I10),1,0)</f>
        <v/>
      </c>
      <c r="L10" s="757" t="inlineStr">
        <is>
          <t>FAN2 P=60W</t>
        </is>
      </c>
      <c r="M10" s="757">
        <f>'DATA TRANSFER'!AT26</f>
        <v/>
      </c>
      <c r="N10" s="497" t="n"/>
      <c r="P10" s="592" t="n">
        <v>7</v>
      </c>
      <c r="Q10" s="611" t="inlineStr">
        <is>
          <t>HA/24.E6</t>
        </is>
      </c>
      <c r="R10" s="592" t="n"/>
      <c r="S10" s="497" t="n"/>
      <c r="T10" s="497" t="n"/>
      <c r="U10" s="591">
        <f>AB37</f>
        <v/>
      </c>
      <c r="V10" s="497" t="n"/>
      <c r="W10" s="497" t="n"/>
      <c r="X10" s="497" t="n"/>
      <c r="Y10" s="593">
        <f>IF(AND(T10:X10),1,0)</f>
        <v/>
      </c>
      <c r="AA10" s="757" t="inlineStr">
        <is>
          <t>CMPB4 _13A</t>
        </is>
      </c>
      <c r="AB10" s="757" t="n"/>
      <c r="AC10" s="497" t="n"/>
      <c r="AF10" s="592" t="n">
        <v>7</v>
      </c>
      <c r="AG10" s="595" t="inlineStr">
        <is>
          <t>HA/24.E6</t>
        </is>
      </c>
      <c r="AH10" s="497" t="n"/>
      <c r="AI10" s="497" t="n"/>
      <c r="AJ10" s="497" t="n"/>
      <c r="AK10" s="591" t="n">
        <v>1</v>
      </c>
      <c r="AL10" s="497" t="n"/>
      <c r="AM10" s="497" t="n"/>
      <c r="AN10" s="497" t="n"/>
      <c r="AO10" s="593">
        <f>IF(AND(AJ10:AN10),1,0)</f>
        <v/>
      </c>
      <c r="AS10" s="592" t="n">
        <v>7</v>
      </c>
      <c r="AT10" s="497" t="n"/>
      <c r="AU10" s="497" t="n"/>
      <c r="AV10" s="497" t="n"/>
      <c r="AW10" s="497">
        <f>BB9</f>
        <v/>
      </c>
      <c r="AX10" s="497" t="n"/>
      <c r="AY10" s="497" t="n"/>
      <c r="AZ10" s="497" t="n"/>
      <c r="BA10" s="497" t="n"/>
      <c r="BB10" s="593">
        <f>IF(AND(AW10:BA10),1,0)</f>
        <v/>
      </c>
      <c r="BI10" s="592" t="n">
        <v>7</v>
      </c>
      <c r="BJ10" s="597" t="n"/>
      <c r="BK10" s="497" t="n"/>
      <c r="BL10" s="497" t="n"/>
      <c r="BM10" s="497" t="n"/>
      <c r="BN10" s="609">
        <f>BR9</f>
        <v/>
      </c>
      <c r="BO10" s="497" t="n"/>
      <c r="BP10" s="497" t="n"/>
      <c r="BQ10" s="497" t="n"/>
      <c r="BR10" s="593">
        <f>IF(AND(BM10:BQ10),1,0)</f>
        <v/>
      </c>
      <c r="BT10" s="498" t="inlineStr">
        <is>
          <t>ESAFC</t>
        </is>
      </c>
      <c r="BU10" s="757">
        <f>'DATA TRANSFER'!AT19</f>
        <v/>
      </c>
      <c r="BV10" s="497" t="n"/>
      <c r="BX10" s="592" t="n">
        <v>7</v>
      </c>
      <c r="BY10" s="597" t="n"/>
      <c r="BZ10" s="497" t="n"/>
      <c r="CA10" s="497" t="n"/>
      <c r="CB10" s="497" t="n"/>
      <c r="CC10" s="609">
        <f>CG9</f>
        <v/>
      </c>
      <c r="CD10" s="497" t="n"/>
      <c r="CE10" s="497" t="n"/>
      <c r="CF10" s="497" t="n"/>
      <c r="CG10" s="593">
        <f>IF(AND(CB10:CF10),1,0)</f>
        <v/>
      </c>
      <c r="CI10" s="592" t="n">
        <v>7</v>
      </c>
      <c r="CJ10" s="724" t="inlineStr">
        <is>
          <t>UD .X63.22-F 1 +63.20</t>
        </is>
      </c>
      <c r="CK10" s="497" t="n"/>
      <c r="CL10" s="497" t="n"/>
      <c r="CM10" s="497" t="n"/>
      <c r="CN10" s="497">
        <f>CR9</f>
        <v/>
      </c>
      <c r="CO10" s="497" t="n"/>
      <c r="CP10" s="497" t="n"/>
      <c r="CQ10" s="497" t="n"/>
      <c r="CR10" s="593">
        <f>IF(AND(CM10:CQ10),1,0)</f>
        <v/>
      </c>
      <c r="CT10" s="498" t="inlineStr">
        <is>
          <t>I_FADForcedOpn</t>
        </is>
      </c>
      <c r="CU10" s="757">
        <f>IF(NOT(CU9),1,0)</f>
        <v/>
      </c>
      <c r="CV10" s="497" t="n"/>
      <c r="CY10" s="592" t="n">
        <v>7</v>
      </c>
      <c r="CZ10" s="597" t="inlineStr">
        <is>
          <t>JE .A01-X9 (15)
JE .A01 (+14.25)</t>
        </is>
      </c>
      <c r="DA10" s="724" t="inlineStr">
        <is>
          <t>RIO2
I_FADForcedCls</t>
        </is>
      </c>
      <c r="DB10" s="497" t="n"/>
      <c r="DC10" s="497" t="n"/>
      <c r="DD10" s="601">
        <f>CU9</f>
        <v/>
      </c>
      <c r="DE10" s="497">
        <f>DH9</f>
        <v/>
      </c>
      <c r="DF10" s="497" t="n"/>
      <c r="DG10" s="497" t="n"/>
      <c r="DH10" s="593">
        <f>IF(AND(DC10:DG10),1,0)</f>
        <v/>
      </c>
      <c r="DK10" s="592" t="n">
        <v>7</v>
      </c>
      <c r="DL10" s="724" t="inlineStr">
        <is>
          <t>LA.F09</t>
        </is>
      </c>
      <c r="DM10" s="724" t="inlineStr">
        <is>
          <t>HTCN</t>
        </is>
      </c>
      <c r="DN10" s="497" t="n"/>
      <c r="DO10" s="497" t="n"/>
      <c r="DP10" s="600">
        <f>DW17</f>
        <v/>
      </c>
      <c r="DQ10" s="497">
        <f>DT9</f>
        <v/>
      </c>
      <c r="DR10" s="497" t="n"/>
      <c r="DS10" s="497" t="n"/>
      <c r="DT10" s="593">
        <f>IF(AND(DO10:DS10),1,0)</f>
        <v/>
      </c>
      <c r="DV10" s="757" t="inlineStr">
        <is>
          <t>HFAN1 3A</t>
        </is>
      </c>
      <c r="DW10" s="757">
        <f>'DATA TRANSFER'!AT19</f>
        <v/>
      </c>
      <c r="DX10" s="497" t="n"/>
      <c r="DZ10" s="592" t="n">
        <v>7</v>
      </c>
      <c r="EA10" s="597" t="n"/>
      <c r="EB10" s="724" t="inlineStr">
        <is>
          <t>FROM APS 415 VAC</t>
        </is>
      </c>
      <c r="EC10" s="497" t="n"/>
      <c r="ED10" s="497" t="n"/>
      <c r="EE10" s="601">
        <f>EL6</f>
        <v/>
      </c>
      <c r="EF10" s="497" t="n"/>
      <c r="EG10" s="497" t="n"/>
      <c r="EH10" s="497" t="n"/>
      <c r="EI10" s="602">
        <f>IF(AND(ED10:EH10),1,0)</f>
        <v/>
      </c>
      <c r="EK10" s="497" t="inlineStr">
        <is>
          <t>SMDR1</t>
        </is>
      </c>
      <c r="EL10" s="757">
        <f>IF(OR('DATA TRANSFER'!M12),1,0)</f>
        <v/>
      </c>
      <c r="EM10" s="497" t="n"/>
      <c r="EO10" s="592" t="n">
        <v>7</v>
      </c>
      <c r="EP10" s="597" t="n"/>
      <c r="EQ10" s="724" t="n"/>
      <c r="ER10" s="497" t="n"/>
      <c r="ES10" s="497" t="n"/>
      <c r="ET10" s="497">
        <f>EX9</f>
        <v/>
      </c>
      <c r="EU10" s="497" t="n"/>
      <c r="EV10" s="497" t="n"/>
      <c r="EW10" s="497" t="n"/>
      <c r="EX10" s="593">
        <f>IF(AND(ES10:EW10),1,0)</f>
        <v/>
      </c>
      <c r="EZ10" s="592" t="inlineStr">
        <is>
          <t>PPR1</t>
        </is>
      </c>
      <c r="FA10" s="757" t="n">
        <v>1</v>
      </c>
      <c r="FB10" s="497" t="n"/>
      <c r="FE10" s="592" t="n">
        <v>7</v>
      </c>
      <c r="FF10" s="597" t="n"/>
      <c r="FG10" s="724" t="n"/>
      <c r="FH10" s="497" t="n"/>
      <c r="FI10" s="497" t="n"/>
      <c r="FJ10" s="497">
        <f>FN9</f>
        <v/>
      </c>
      <c r="FK10" s="497" t="n"/>
      <c r="FL10" s="497" t="n"/>
      <c r="FM10" s="497" t="n"/>
      <c r="FN10" s="593">
        <f>IF(AND(FI10:FM10),1,0)</f>
        <v/>
      </c>
      <c r="FP10" s="592" t="inlineStr">
        <is>
          <t>PPR1</t>
        </is>
      </c>
      <c r="FQ10" s="757" t="n">
        <v>1</v>
      </c>
      <c r="FR10" s="497" t="n"/>
      <c r="FT10" s="592" t="n">
        <v>7</v>
      </c>
      <c r="FU10" s="597" t="n"/>
      <c r="FV10" s="724" t="n"/>
      <c r="FW10" s="497" t="n"/>
      <c r="FX10" s="497" t="n"/>
      <c r="FY10" s="757">
        <f>GC9</f>
        <v/>
      </c>
      <c r="FZ10" s="497" t="n"/>
      <c r="GA10" s="497" t="n"/>
      <c r="GB10" s="497" t="n"/>
      <c r="GC10" s="593">
        <f>IF(AND(FX10:GB10),1,0)</f>
        <v/>
      </c>
      <c r="GF10" s="592" t="n">
        <v>7</v>
      </c>
      <c r="GG10" s="597" t="n"/>
      <c r="GH10" s="724" t="n"/>
      <c r="GI10" s="497" t="n"/>
      <c r="GJ10" s="497" t="n"/>
      <c r="GK10" s="592">
        <f>GO9</f>
        <v/>
      </c>
      <c r="GL10" s="497" t="n"/>
      <c r="GM10" s="497" t="n"/>
      <c r="GN10" s="497" t="n"/>
      <c r="GO10" s="593">
        <f>IF(AND(GJ10:GN10),1,0)</f>
        <v/>
      </c>
      <c r="GQ10" s="592" t="inlineStr">
        <is>
          <t>FADR_2</t>
        </is>
      </c>
      <c r="GR10" s="757">
        <f>'Mode Logic'!P18</f>
        <v/>
      </c>
      <c r="GS10" s="497" t="n"/>
      <c r="GU10" s="592" t="n">
        <v>7</v>
      </c>
      <c r="GV10" s="597" t="n"/>
      <c r="GW10" s="724" t="n"/>
      <c r="GX10" s="497" t="n"/>
      <c r="GY10" s="497" t="n"/>
      <c r="GZ10" s="757">
        <f>HD9</f>
        <v/>
      </c>
      <c r="HA10" s="497" t="n"/>
      <c r="HB10" s="497" t="n"/>
      <c r="HC10" s="497" t="n"/>
      <c r="HD10" s="602">
        <f>IF(AND(GY10:HC10),1,0)</f>
        <v/>
      </c>
      <c r="HF10" s="592" t="inlineStr">
        <is>
          <t>EMR</t>
        </is>
      </c>
      <c r="HG10" s="757" t="n">
        <v>1</v>
      </c>
      <c r="HH10" s="497" t="n"/>
      <c r="HK10" s="592" t="n">
        <v>7</v>
      </c>
      <c r="HL10" s="597" t="n"/>
      <c r="HM10" s="724" t="n"/>
      <c r="HN10" s="497" t="n"/>
      <c r="HO10" s="497" t="n"/>
      <c r="HP10" s="597">
        <f>HT9</f>
        <v/>
      </c>
      <c r="HQ10" s="497" t="n"/>
      <c r="HR10" s="497" t="n"/>
      <c r="HS10" s="497" t="n"/>
      <c r="HT10" s="593">
        <f>IF(AND(HO10:HS10),1,0)</f>
        <v/>
      </c>
      <c r="HV10" s="592" t="inlineStr">
        <is>
          <t>SAFC2</t>
        </is>
      </c>
      <c r="HW10" s="757">
        <f>'Mode Logic'!U18</f>
        <v/>
      </c>
      <c r="HX10" s="497" t="n"/>
      <c r="HZ10" s="592" t="n">
        <v>7</v>
      </c>
      <c r="IA10" s="597" t="n"/>
      <c r="IB10" s="724" t="inlineStr">
        <is>
          <t>PPR1</t>
        </is>
      </c>
      <c r="IC10" s="497" t="n"/>
      <c r="ID10" s="597" t="n"/>
      <c r="IE10" s="606">
        <f>HW14</f>
        <v/>
      </c>
      <c r="IF10" s="497" t="n"/>
      <c r="IG10" s="497" t="n"/>
      <c r="IH10" s="497" t="n"/>
      <c r="II10" s="593">
        <f>IF(AND(ID10:IH10),1,0)</f>
        <v/>
      </c>
      <c r="IL10" s="592" t="n">
        <v>7</v>
      </c>
      <c r="IM10" s="597" t="n"/>
      <c r="IN10" s="724" t="n"/>
      <c r="IO10" s="497" t="n"/>
      <c r="IP10" s="597" t="n"/>
      <c r="IQ10" s="597">
        <f>IU6</f>
        <v/>
      </c>
      <c r="IR10" s="497" t="n"/>
      <c r="IS10" s="497" t="n"/>
      <c r="IT10" s="497" t="n"/>
      <c r="IU10" s="593">
        <f>IF(AND(IP10:IT10),1,0)</f>
        <v/>
      </c>
      <c r="IX10" s="592" t="n">
        <v>7</v>
      </c>
      <c r="IY10" s="597" t="n"/>
      <c r="IZ10" s="724" t="inlineStr">
        <is>
          <t>TO CAR SIDE FOR SMOKE DETECTE F/B NO SIGNAL RECEIVED WHEN SMOKE DETECTED</t>
        </is>
      </c>
      <c r="JA10" s="497" t="n"/>
      <c r="JB10" s="597" t="n"/>
      <c r="JC10" s="605">
        <f>JJ7</f>
        <v/>
      </c>
      <c r="JD10" s="597">
        <f>JG9</f>
        <v/>
      </c>
      <c r="JE10" s="497" t="n"/>
      <c r="JF10" s="497" t="n"/>
      <c r="JG10" s="602">
        <f>IF(AND(JB10:JF10),1,0)</f>
        <v/>
      </c>
      <c r="JI10" s="592" t="inlineStr">
        <is>
          <t>SAFC2</t>
        </is>
      </c>
      <c r="JJ10" s="757">
        <f>'Mode Logic'!V18</f>
        <v/>
      </c>
      <c r="JK10" s="497" t="n"/>
      <c r="JN10" s="592" t="n">
        <v>7</v>
      </c>
      <c r="JO10" s="597" t="n"/>
      <c r="JP10" s="724" t="inlineStr">
        <is>
          <t>HVAC1  SMDR 3</t>
        </is>
      </c>
      <c r="JQ10" s="497" t="n"/>
      <c r="JR10" s="597" t="n"/>
      <c r="JS10" s="606">
        <f>JJ19</f>
        <v/>
      </c>
      <c r="JT10" s="597">
        <f>JW9</f>
        <v/>
      </c>
      <c r="JU10" s="497" t="n"/>
      <c r="JV10" s="497" t="n"/>
      <c r="JW10" s="593">
        <f>IF(AND(JR10:JV10),1,0)</f>
        <v/>
      </c>
      <c r="JZ10" s="592" t="n">
        <v>7</v>
      </c>
      <c r="KA10" s="597" t="n"/>
      <c r="KB10" s="724" t="inlineStr">
        <is>
          <t>SAFC</t>
        </is>
      </c>
      <c r="KC10" s="497" t="n"/>
      <c r="KD10" s="724" t="n"/>
      <c r="KE10" s="605">
        <f>KL10</f>
        <v/>
      </c>
      <c r="KF10" s="597">
        <f>KI11</f>
        <v/>
      </c>
      <c r="KG10" s="497" t="n"/>
      <c r="KH10" s="497" t="n"/>
      <c r="KI10" s="593">
        <f>IF(AND(KD10:KH10),1,0)</f>
        <v/>
      </c>
      <c r="KK10" s="592" t="inlineStr">
        <is>
          <t>SAFC</t>
        </is>
      </c>
      <c r="KL10" s="757">
        <f>IF(OR('Mode Logic'!U18:V18),1,0)</f>
        <v/>
      </c>
      <c r="KM10" s="497" t="n"/>
      <c r="KP10" s="592" t="n">
        <v>7</v>
      </c>
      <c r="KQ10" s="599" t="inlineStr">
        <is>
          <t xml:space="preserve">X1_ 4 PIN POWER CONNECTOR </t>
        </is>
      </c>
      <c r="KR10" s="724" t="inlineStr">
        <is>
          <t>APS 1 415 V AC PE</t>
        </is>
      </c>
      <c r="KS10" s="497" t="n"/>
      <c r="KT10" s="724" t="n"/>
      <c r="KU10" s="605">
        <f>KL17</f>
        <v/>
      </c>
      <c r="KV10" s="724" t="n"/>
      <c r="KW10" s="497" t="n"/>
      <c r="KX10" s="497" t="n"/>
      <c r="KY10" s="593">
        <f>IF(AND(KT10:KX10),1,0)</f>
        <v/>
      </c>
      <c r="LB10" s="592" t="n">
        <v>7</v>
      </c>
      <c r="LC10" s="599" t="n"/>
      <c r="LD10" s="724" t="n"/>
      <c r="LE10" s="497" t="n"/>
      <c r="LF10" s="597" t="n"/>
      <c r="LG10" s="597">
        <f>LK9</f>
        <v/>
      </c>
      <c r="LH10" s="724" t="n"/>
      <c r="LI10" s="497" t="n"/>
      <c r="LJ10" s="497" t="n"/>
      <c r="LK10" s="593">
        <f>IF(AND(LF10:LJ10),1,0)</f>
        <v/>
      </c>
      <c r="LM10" s="757" t="inlineStr">
        <is>
          <t>CMPB4 _13A</t>
        </is>
      </c>
      <c r="LN10" s="757" t="n">
        <v>1</v>
      </c>
      <c r="LO10" s="497" t="n"/>
      <c r="LR10" s="592" t="n">
        <v>7</v>
      </c>
      <c r="LS10" s="599" t="n"/>
      <c r="LT10" s="724" t="n"/>
      <c r="LU10" s="497" t="n"/>
      <c r="LV10" s="724" t="n"/>
      <c r="LW10" s="724">
        <f>MA9</f>
        <v/>
      </c>
      <c r="LX10" s="724" t="n"/>
      <c r="LY10" s="497" t="n"/>
      <c r="LZ10" s="497" t="n"/>
      <c r="MA10" s="593">
        <f>IF(AND(LV10:LZ10),1,0)</f>
        <v/>
      </c>
      <c r="MC10" s="498" t="inlineStr">
        <is>
          <t>RETURN AIR DAMPER</t>
        </is>
      </c>
      <c r="MD10" s="757">
        <f>'Mode Logic'!Q18</f>
        <v/>
      </c>
      <c r="ME10" s="497" t="n"/>
      <c r="MH10" s="592" t="n">
        <v>7</v>
      </c>
      <c r="MI10" s="599" t="n"/>
      <c r="MJ10" s="724" t="inlineStr">
        <is>
          <t>ACCP1N_6A</t>
        </is>
      </c>
      <c r="MK10" s="497" t="n"/>
      <c r="ML10" s="724" t="n"/>
      <c r="MM10" s="605">
        <f>MT7</f>
        <v/>
      </c>
      <c r="MN10" s="724">
        <f>MQ9</f>
        <v/>
      </c>
      <c r="MO10" s="497" t="n"/>
      <c r="MP10" s="497" t="n"/>
      <c r="MQ10" s="593">
        <f>IF(AND(ML10:MP10),1,0)</f>
        <v/>
      </c>
      <c r="MS10" s="724" t="inlineStr">
        <is>
          <t>HCR9</t>
        </is>
      </c>
      <c r="MT10" s="757" t="n">
        <v>1</v>
      </c>
      <c r="MU10" s="497" t="n"/>
    </row>
    <row r="11" ht="23.25" customHeight="1">
      <c r="A11" s="590" t="n">
        <v>8</v>
      </c>
      <c r="B11" s="497" t="n"/>
      <c r="C11" s="497" t="n"/>
      <c r="D11" s="497" t="n"/>
      <c r="E11" s="497" t="n"/>
      <c r="F11" s="757">
        <f>J10</f>
        <v/>
      </c>
      <c r="G11" s="592" t="n"/>
      <c r="H11" s="497" t="n"/>
      <c r="I11" s="497" t="n"/>
      <c r="J11" s="593">
        <f>IF(AND(E11:I11),1,0)</f>
        <v/>
      </c>
      <c r="L11" s="757" t="inlineStr">
        <is>
          <t>TERMOSTAT 1</t>
        </is>
      </c>
      <c r="M11" s="757" t="n">
        <v>1</v>
      </c>
      <c r="N11" s="497" t="n"/>
      <c r="P11" s="592" t="n">
        <v>8</v>
      </c>
      <c r="Q11" s="607" t="n"/>
      <c r="R11" s="592" t="n"/>
      <c r="S11" s="497" t="n"/>
      <c r="T11" s="497" t="n"/>
      <c r="U11" s="757">
        <f>Y10</f>
        <v/>
      </c>
      <c r="V11" s="497" t="n"/>
      <c r="W11" s="497" t="n"/>
      <c r="X11" s="497" t="n"/>
      <c r="Y11" s="593">
        <f>IF(AND(T11:X11),1,0)</f>
        <v/>
      </c>
      <c r="AA11" s="757" t="inlineStr">
        <is>
          <t>CMPC1 16A</t>
        </is>
      </c>
      <c r="AB11" s="757" t="n"/>
      <c r="AC11" s="497" t="n"/>
      <c r="AF11" s="592" t="n">
        <v>8</v>
      </c>
      <c r="AG11" s="497" t="n"/>
      <c r="AH11" s="497" t="n"/>
      <c r="AI11" s="497" t="n"/>
      <c r="AJ11" s="497" t="n"/>
      <c r="AK11" s="757">
        <f>AO10</f>
        <v/>
      </c>
      <c r="AL11" s="497" t="n"/>
      <c r="AM11" s="497" t="n"/>
      <c r="AN11" s="497" t="n"/>
      <c r="AO11" s="593">
        <f>IF(AND(AJ11:AN11),1,0)</f>
        <v/>
      </c>
      <c r="AS11" s="592" t="n">
        <v>8</v>
      </c>
      <c r="AT11" s="497" t="n"/>
      <c r="AU11" s="497" t="n"/>
      <c r="AV11" s="497" t="n"/>
      <c r="AW11" s="497">
        <f>BB10</f>
        <v/>
      </c>
      <c r="AX11" s="497" t="n"/>
      <c r="AY11" s="497" t="n"/>
      <c r="AZ11" s="497" t="n"/>
      <c r="BA11" s="497" t="n"/>
      <c r="BB11" s="593">
        <f>IF(AND(AW11:BA11),1,0)</f>
        <v/>
      </c>
      <c r="BI11" s="592" t="n">
        <v>8</v>
      </c>
      <c r="BJ11" s="497" t="n"/>
      <c r="BK11" s="497" t="n"/>
      <c r="BL11" s="497" t="n"/>
      <c r="BM11" s="497" t="n"/>
      <c r="BN11" s="592">
        <f>BR10</f>
        <v/>
      </c>
      <c r="BO11" s="497" t="n"/>
      <c r="BP11" s="497" t="n"/>
      <c r="BQ11" s="497" t="n"/>
      <c r="BR11" s="593">
        <f>IF(AND(BM11:BQ11),1,0)</f>
        <v/>
      </c>
      <c r="BT11" s="498" t="inlineStr">
        <is>
          <t>RETURN AIR DAMPER</t>
        </is>
      </c>
      <c r="BU11" s="757">
        <f>'Mode Logic'!Q18</f>
        <v/>
      </c>
      <c r="BV11" s="497" t="n"/>
      <c r="BX11" s="592" t="n">
        <v>8</v>
      </c>
      <c r="BY11" s="497" t="n"/>
      <c r="BZ11" s="497" t="n"/>
      <c r="CA11" s="497" t="n"/>
      <c r="CB11" s="497" t="n"/>
      <c r="CC11" s="592">
        <f>CG10</f>
        <v/>
      </c>
      <c r="CD11" s="497" t="n"/>
      <c r="CE11" s="497" t="n"/>
      <c r="CF11" s="497" t="n"/>
      <c r="CG11" s="593">
        <f>IF(AND(CB11:CF11),1,0)</f>
        <v/>
      </c>
      <c r="CI11" s="592" t="n">
        <v>8</v>
      </c>
      <c r="CJ11" s="497" t="n"/>
      <c r="CK11" s="497" t="n"/>
      <c r="CL11" s="497" t="n"/>
      <c r="CM11" s="497" t="n"/>
      <c r="CN11" s="497">
        <f>CR9</f>
        <v/>
      </c>
      <c r="CO11" s="497" t="n"/>
      <c r="CP11" s="497" t="n"/>
      <c r="CQ11" s="497" t="n"/>
      <c r="CR11" s="593">
        <f>IF(AND(CM11:CQ11),1,0)</f>
        <v/>
      </c>
      <c r="CY11" s="592" t="n">
        <v>8</v>
      </c>
      <c r="CZ11" s="497" t="n"/>
      <c r="DA11" s="497" t="n"/>
      <c r="DB11" s="497" t="n"/>
      <c r="DC11" s="497" t="n"/>
      <c r="DD11" s="596">
        <f>CU10</f>
        <v/>
      </c>
      <c r="DE11" s="497" t="n"/>
      <c r="DF11" s="497" t="n"/>
      <c r="DG11" s="497" t="n"/>
      <c r="DH11" s="593">
        <f>IF(AND(DC11:DG11),1,0)</f>
        <v/>
      </c>
      <c r="DK11" s="592" t="n">
        <v>8</v>
      </c>
      <c r="DL11" s="497" t="n"/>
      <c r="DM11" s="497" t="inlineStr">
        <is>
          <t>24 VDC</t>
        </is>
      </c>
      <c r="DN11" s="497" t="n"/>
      <c r="DO11" s="497" t="n"/>
      <c r="DP11" s="757">
        <f>DT8</f>
        <v/>
      </c>
      <c r="DQ11" s="497" t="n"/>
      <c r="DR11" s="497" t="n"/>
      <c r="DS11" s="497" t="n"/>
      <c r="DT11" s="593">
        <f>IF(AND(DO11:DS11),1,0)</f>
        <v/>
      </c>
      <c r="DV11" s="757" t="inlineStr">
        <is>
          <t>FAN1 P=60W</t>
        </is>
      </c>
      <c r="DW11" s="757">
        <f>'DATA TRANSFER'!AT19</f>
        <v/>
      </c>
      <c r="DX11" s="497" t="n"/>
      <c r="DZ11" s="592" t="n">
        <v>8</v>
      </c>
      <c r="EA11" s="497" t="n"/>
      <c r="EB11" s="497" t="n"/>
      <c r="EC11" s="497" t="n"/>
      <c r="ED11" s="497" t="n"/>
      <c r="EE11" s="497">
        <f>EI10</f>
        <v/>
      </c>
      <c r="EF11" s="497" t="n"/>
      <c r="EG11" s="497" t="n"/>
      <c r="EH11" s="497" t="n"/>
      <c r="EI11" s="602">
        <f>IF(AND(ED11:EH11),1,0)</f>
        <v/>
      </c>
      <c r="EK11" s="497" t="inlineStr">
        <is>
          <t>SMDR2</t>
        </is>
      </c>
      <c r="EL11" s="757">
        <f>IF(OR('DATA TRANSFER'!M12),1,0)</f>
        <v/>
      </c>
      <c r="EM11" s="497" t="n"/>
      <c r="EO11" s="592" t="n">
        <v>8</v>
      </c>
      <c r="EP11" s="497" t="n"/>
      <c r="EQ11" s="497" t="n"/>
      <c r="ER11" s="497" t="n"/>
      <c r="ES11" s="497" t="n"/>
      <c r="ET11" s="497">
        <f>EX10</f>
        <v/>
      </c>
      <c r="EU11" s="497" t="n"/>
      <c r="EV11" s="497" t="n"/>
      <c r="EW11" s="497" t="n"/>
      <c r="EX11" s="593">
        <f>IF(AND(ES11:EW11),1,0)</f>
        <v/>
      </c>
      <c r="EZ11" s="592" t="inlineStr">
        <is>
          <t>PPR2</t>
        </is>
      </c>
      <c r="FA11" s="757" t="n">
        <v>1</v>
      </c>
      <c r="FB11" s="497" t="n"/>
      <c r="FE11" s="592" t="n">
        <v>8</v>
      </c>
      <c r="FF11" s="497" t="n"/>
      <c r="FG11" s="497" t="n"/>
      <c r="FH11" s="497" t="n"/>
      <c r="FI11" s="497" t="n"/>
      <c r="FJ11" s="497">
        <f>FN10</f>
        <v/>
      </c>
      <c r="FK11" s="497" t="n"/>
      <c r="FL11" s="497" t="n"/>
      <c r="FM11" s="497" t="n"/>
      <c r="FN11" s="593">
        <f>IF(AND(FI11:FM11),1,0)</f>
        <v/>
      </c>
      <c r="FP11" s="592" t="inlineStr">
        <is>
          <t>PPR2</t>
        </is>
      </c>
      <c r="FQ11" s="757" t="n">
        <v>1</v>
      </c>
      <c r="FR11" s="497" t="n"/>
      <c r="FT11" s="592" t="n">
        <v>8</v>
      </c>
      <c r="FU11" s="497" t="n"/>
      <c r="FV11" s="497" t="n"/>
      <c r="FW11" s="497" t="n"/>
      <c r="FX11" s="497" t="n"/>
      <c r="FY11" s="592">
        <f>GC10</f>
        <v/>
      </c>
      <c r="FZ11" s="497" t="n"/>
      <c r="GA11" s="497" t="n"/>
      <c r="GB11" s="497" t="n"/>
      <c r="GC11" s="593">
        <f>IF(AND(FX11:GB11),1,0)</f>
        <v/>
      </c>
      <c r="GF11" s="592" t="n">
        <v>8</v>
      </c>
      <c r="GG11" s="497" t="n"/>
      <c r="GH11" s="597" t="inlineStr">
        <is>
          <t xml:space="preserve">HVAC1  SMDR </t>
        </is>
      </c>
      <c r="GI11" s="497" t="n"/>
      <c r="GJ11" s="497" t="n"/>
      <c r="GK11" s="604">
        <f>GR8</f>
        <v/>
      </c>
      <c r="GL11" s="497">
        <f>GO10</f>
        <v/>
      </c>
      <c r="GM11" s="497" t="n"/>
      <c r="GN11" s="497" t="n"/>
      <c r="GO11" s="593">
        <f>IF(AND(GJ11:GN11),1,0)</f>
        <v/>
      </c>
      <c r="GQ11" s="592" t="inlineStr">
        <is>
          <t>FADR_3</t>
        </is>
      </c>
      <c r="GR11" s="757">
        <f>'Mode Logic'!P18</f>
        <v/>
      </c>
      <c r="GS11" s="497" t="n"/>
      <c r="GU11" s="592" t="n">
        <v>8</v>
      </c>
      <c r="GV11" s="497" t="n"/>
      <c r="GW11" s="497" t="n"/>
      <c r="GX11" s="497" t="n"/>
      <c r="GY11" s="497" t="n"/>
      <c r="GZ11" s="757">
        <f>HD10</f>
        <v/>
      </c>
      <c r="HA11" s="497" t="n"/>
      <c r="HB11" s="497" t="n"/>
      <c r="HC11" s="497" t="n"/>
      <c r="HD11" s="602">
        <f>IF(AND(GY11:HC11),1,0)</f>
        <v/>
      </c>
      <c r="HF11" s="592" t="inlineStr">
        <is>
          <t>FADR</t>
        </is>
      </c>
      <c r="HG11" s="757" t="n">
        <v>1</v>
      </c>
      <c r="HH11" s="497" t="n"/>
      <c r="HK11" s="592" t="n">
        <v>8</v>
      </c>
      <c r="HL11" s="497" t="n"/>
      <c r="HM11" s="497" t="n"/>
      <c r="HN11" s="497" t="n"/>
      <c r="HO11" s="497" t="n"/>
      <c r="HP11" s="757">
        <f>HT10</f>
        <v/>
      </c>
      <c r="HQ11" s="497" t="n"/>
      <c r="HR11" s="497" t="n"/>
      <c r="HS11" s="497" t="n"/>
      <c r="HT11" s="593">
        <f>IF(AND(HO11:HS11),1,0)</f>
        <v/>
      </c>
      <c r="HV11" s="592" t="inlineStr">
        <is>
          <t>SAFC1</t>
        </is>
      </c>
      <c r="HW11" s="757">
        <f>'Mode Logic'!U18</f>
        <v/>
      </c>
      <c r="HX11" s="497" t="n"/>
      <c r="HZ11" s="592" t="n">
        <v>8</v>
      </c>
      <c r="IA11" s="497" t="n"/>
      <c r="IB11" s="724" t="inlineStr">
        <is>
          <t>APS 2 _R</t>
        </is>
      </c>
      <c r="IC11" s="497" t="n"/>
      <c r="ID11" s="597" t="n"/>
      <c r="IE11" s="606">
        <f>HW7</f>
        <v/>
      </c>
      <c r="IF11" s="497" t="n"/>
      <c r="IG11" s="497" t="n"/>
      <c r="IH11" s="497" t="n"/>
      <c r="II11" s="593">
        <f>IF(AND(ID11:IH11),1,0)</f>
        <v/>
      </c>
      <c r="IL11" s="592" t="n">
        <v>8</v>
      </c>
      <c r="IM11" s="497" t="n"/>
      <c r="IN11" s="724" t="inlineStr">
        <is>
          <t>EMR</t>
        </is>
      </c>
      <c r="IO11" s="497" t="n"/>
      <c r="IP11" s="597" t="n"/>
      <c r="IQ11" s="606">
        <f>HW13</f>
        <v/>
      </c>
      <c r="IR11" s="497">
        <f>IU10</f>
        <v/>
      </c>
      <c r="IS11" s="497" t="n"/>
      <c r="IT11" s="497" t="n"/>
      <c r="IU11" s="593">
        <f>IF(AND(IP11:IT11),1,0)</f>
        <v/>
      </c>
      <c r="IX11" s="592" t="n">
        <v>8</v>
      </c>
      <c r="IY11" s="497" t="n"/>
      <c r="IZ11" s="724" t="inlineStr">
        <is>
          <t>110 VDC ALWAYS ON</t>
        </is>
      </c>
      <c r="JA11" s="497" t="n"/>
      <c r="JB11" s="597" t="n"/>
      <c r="JC11" s="606">
        <f>JJ8</f>
        <v/>
      </c>
      <c r="JD11" s="597" t="n"/>
      <c r="JE11" s="497" t="n"/>
      <c r="JF11" s="497" t="n"/>
      <c r="JG11" s="602">
        <f>IF(AND(JB11:JF11),1,0)</f>
        <v/>
      </c>
      <c r="JI11" s="592" t="inlineStr">
        <is>
          <t>ESAFC</t>
        </is>
      </c>
      <c r="JJ11" s="757" t="n">
        <v>1</v>
      </c>
      <c r="JK11" s="497" t="n"/>
      <c r="JN11" s="592" t="n">
        <v>8</v>
      </c>
      <c r="JO11" s="497" t="n"/>
      <c r="JP11" s="724" t="n"/>
      <c r="JQ11" s="497" t="n"/>
      <c r="JR11" s="597" t="n"/>
      <c r="JS11" s="597">
        <f>JW5</f>
        <v/>
      </c>
      <c r="JT11" s="597" t="n"/>
      <c r="JU11" s="497" t="n"/>
      <c r="JV11" s="497" t="n"/>
      <c r="JW11" s="593">
        <f>IF(AND(JR11:JV11),1,0)</f>
        <v/>
      </c>
      <c r="JZ11" s="592" t="n">
        <v>8</v>
      </c>
      <c r="KA11" s="497" t="n"/>
      <c r="KB11" s="724" t="n"/>
      <c r="KC11" s="497" t="n"/>
      <c r="KD11" s="724" t="n"/>
      <c r="KE11" s="612" t="n">
        <v>1</v>
      </c>
      <c r="KF11" s="597" t="n"/>
      <c r="KG11" s="497" t="n"/>
      <c r="KH11" s="497" t="n"/>
      <c r="KI11" s="593">
        <f>IF(AND(KD11:KH11),1,0)</f>
        <v/>
      </c>
      <c r="KP11" s="592" t="n">
        <v>8</v>
      </c>
      <c r="KQ11" s="497" t="n"/>
      <c r="KR11" s="724" t="n"/>
      <c r="KS11" s="497" t="n"/>
      <c r="KT11" s="724" t="n"/>
      <c r="KU11" s="724">
        <f>KY10</f>
        <v/>
      </c>
      <c r="KV11" s="724" t="n"/>
      <c r="KW11" s="497" t="n"/>
      <c r="KX11" s="497" t="n"/>
      <c r="KY11" s="593">
        <f>IF(AND(KT11:KX11),1,0)</f>
        <v/>
      </c>
      <c r="LB11" s="592" t="n">
        <v>8</v>
      </c>
      <c r="LC11" s="599" t="inlineStr">
        <is>
          <t>X2</t>
        </is>
      </c>
      <c r="LD11" s="724" t="inlineStr">
        <is>
          <t>415 VAC _PE</t>
        </is>
      </c>
      <c r="LE11" s="497" t="n"/>
      <c r="LF11" s="597" t="n"/>
      <c r="LG11" s="615">
        <f>LN37</f>
        <v/>
      </c>
      <c r="LH11" s="724" t="n"/>
      <c r="LI11" s="497" t="n"/>
      <c r="LJ11" s="497" t="n"/>
      <c r="LK11" s="593">
        <f>IF(AND(LF11:LJ11),1,0)</f>
        <v/>
      </c>
      <c r="LM11" s="757" t="inlineStr">
        <is>
          <t>CMPC1 16A</t>
        </is>
      </c>
      <c r="LN11" s="757">
        <f>'DATA TRANSFER'!MF15</f>
        <v/>
      </c>
      <c r="LO11" s="497" t="n"/>
      <c r="LR11" s="592" t="n">
        <v>8</v>
      </c>
      <c r="LS11" s="599" t="n"/>
      <c r="LT11" s="724" t="n"/>
      <c r="LU11" s="497" t="n"/>
      <c r="LV11" s="724" t="n"/>
      <c r="LW11" s="724">
        <f>MA10</f>
        <v/>
      </c>
      <c r="LX11" s="724" t="n"/>
      <c r="LY11" s="497" t="n"/>
      <c r="LZ11" s="497" t="n"/>
      <c r="MA11" s="593">
        <f>IF(AND(LV11:LZ11),1,0)</f>
        <v/>
      </c>
      <c r="MC11" s="497" t="inlineStr">
        <is>
          <t>SMRR</t>
        </is>
      </c>
      <c r="MD11" s="757" t="n">
        <v>1</v>
      </c>
      <c r="ME11" s="497" t="n"/>
      <c r="MH11" s="592" t="n">
        <v>8</v>
      </c>
      <c r="MI11" s="599" t="n"/>
      <c r="MJ11" s="724" t="n"/>
      <c r="MK11" s="497" t="n"/>
      <c r="ML11" s="724" t="n"/>
      <c r="MM11" s="724">
        <f>MQ4</f>
        <v/>
      </c>
      <c r="MN11" s="724" t="n"/>
      <c r="MO11" s="497" t="n"/>
      <c r="MP11" s="497" t="n"/>
      <c r="MQ11" s="593">
        <f>IF(AND(ML11:MP11),1,0)</f>
        <v/>
      </c>
      <c r="MS11" s="724" t="inlineStr">
        <is>
          <t>SMDRB</t>
        </is>
      </c>
      <c r="MT11" s="757">
        <f>'DATA TRANSFER'!M12</f>
        <v/>
      </c>
      <c r="MU11" s="497" t="n"/>
    </row>
    <row r="12" ht="42.75" customHeight="1">
      <c r="A12" s="590" t="n">
        <v>9</v>
      </c>
      <c r="B12" s="497" t="n"/>
      <c r="C12" s="757" t="inlineStr">
        <is>
          <t>HFAN2 3A</t>
        </is>
      </c>
      <c r="D12" s="497" t="n"/>
      <c r="E12" s="497" t="n"/>
      <c r="F12" s="613">
        <f>M10</f>
        <v/>
      </c>
      <c r="G12" s="592">
        <f>J11</f>
        <v/>
      </c>
      <c r="H12" s="497" t="n"/>
      <c r="I12" s="497" t="n"/>
      <c r="J12" s="593">
        <f>IF(AND(E12:I12),1,0)</f>
        <v/>
      </c>
      <c r="L12" s="757" t="inlineStr">
        <is>
          <t>TERMOSTAT 2</t>
        </is>
      </c>
      <c r="M12" s="757" t="n">
        <v>1</v>
      </c>
      <c r="N12" s="497" t="n"/>
      <c r="P12" s="592" t="n">
        <v>9</v>
      </c>
      <c r="Q12" s="607" t="n"/>
      <c r="R12" s="592" t="n"/>
      <c r="S12" s="497" t="n"/>
      <c r="T12" s="497" t="n"/>
      <c r="U12" s="757">
        <f>Y11</f>
        <v/>
      </c>
      <c r="V12" s="497" t="n"/>
      <c r="W12" s="497" t="n"/>
      <c r="X12" s="497" t="n"/>
      <c r="Y12" s="593">
        <f>IF(AND(T12:X12),1,0)</f>
        <v/>
      </c>
      <c r="AA12" s="757" t="inlineStr">
        <is>
          <t>CMPC2 16A</t>
        </is>
      </c>
      <c r="AB12" s="757" t="n"/>
      <c r="AC12" s="497" t="n"/>
      <c r="AF12" s="592" t="n">
        <v>9</v>
      </c>
      <c r="AG12" s="497" t="n"/>
      <c r="AH12" s="497" t="n"/>
      <c r="AI12" s="497" t="n"/>
      <c r="AJ12" s="497" t="n"/>
      <c r="AK12" s="757">
        <f>AO11</f>
        <v/>
      </c>
      <c r="AL12" s="497" t="n"/>
      <c r="AM12" s="497" t="n"/>
      <c r="AN12" s="497" t="n"/>
      <c r="AO12" s="593">
        <f>IF(AND(AJ12:AN12),1,0)</f>
        <v/>
      </c>
      <c r="AS12" s="592" t="n">
        <v>9</v>
      </c>
      <c r="AT12" s="497" t="n"/>
      <c r="AU12" s="497" t="n"/>
      <c r="AV12" s="497" t="n"/>
      <c r="AW12" s="497">
        <f>BB11</f>
        <v/>
      </c>
      <c r="AX12" s="497" t="n"/>
      <c r="AY12" s="497" t="n"/>
      <c r="AZ12" s="497" t="n"/>
      <c r="BA12" s="497" t="n"/>
      <c r="BB12" s="593">
        <f>IF(AND(AW12:BA12),1,0)</f>
        <v/>
      </c>
      <c r="BI12" s="592" t="n">
        <v>9</v>
      </c>
      <c r="BJ12" s="597" t="n"/>
      <c r="BK12" s="497" t="n"/>
      <c r="BL12" s="497" t="n"/>
      <c r="BM12" s="497" t="n"/>
      <c r="BN12" s="609">
        <f>BR11</f>
        <v/>
      </c>
      <c r="BO12" s="497" t="n"/>
      <c r="BP12" s="497" t="n"/>
      <c r="BQ12" s="497" t="n"/>
      <c r="BR12" s="593">
        <f>IF(AND(BM12:BQ12),1,0)</f>
        <v/>
      </c>
      <c r="BX12" s="592" t="n">
        <v>9</v>
      </c>
      <c r="BY12" s="597" t="n"/>
      <c r="BZ12" s="497" t="n"/>
      <c r="CA12" s="497" t="n"/>
      <c r="CB12" s="497" t="n"/>
      <c r="CC12" s="609">
        <f>CG11</f>
        <v/>
      </c>
      <c r="CD12" s="497" t="n"/>
      <c r="CE12" s="497" t="n"/>
      <c r="CF12" s="497" t="n"/>
      <c r="CG12" s="593">
        <f>IF(AND(CB12:CF12),1,0)</f>
        <v/>
      </c>
      <c r="CI12" s="592" t="n">
        <v>9</v>
      </c>
      <c r="CJ12" s="597" t="n"/>
      <c r="CK12" s="497" t="n"/>
      <c r="CL12" s="497" t="n"/>
      <c r="CM12" s="497" t="n"/>
      <c r="CN12" s="497">
        <f>CR8</f>
        <v/>
      </c>
      <c r="CO12" s="497" t="n"/>
      <c r="CP12" s="497" t="n"/>
      <c r="CQ12" s="497" t="n"/>
      <c r="CR12" s="593">
        <f>IF(AND(CM12:CQ12),1,0)</f>
        <v/>
      </c>
      <c r="CY12" s="592" t="n">
        <v>9</v>
      </c>
      <c r="CZ12" s="267" t="inlineStr">
        <is>
          <t>-UD .X14.03-F</t>
        </is>
      </c>
      <c r="DA12" s="497" t="n"/>
      <c r="DB12" s="497" t="n"/>
      <c r="DC12" s="497" t="n"/>
      <c r="DD12" s="497">
        <f>DH11</f>
        <v/>
      </c>
      <c r="DE12" s="497" t="n"/>
      <c r="DF12" s="497" t="n"/>
      <c r="DG12" s="497" t="n"/>
      <c r="DH12" s="593">
        <f>IF(AND(DC12:DG12),1,0)</f>
        <v/>
      </c>
      <c r="DK12" s="592" t="n">
        <v>9</v>
      </c>
      <c r="DL12" s="267" t="n"/>
      <c r="DM12" s="497" t="n"/>
      <c r="DN12" s="497" t="n"/>
      <c r="DO12" s="497" t="n"/>
      <c r="DP12" s="757">
        <f>DT11</f>
        <v/>
      </c>
      <c r="DQ12" s="497" t="n"/>
      <c r="DR12" s="497" t="n"/>
      <c r="DS12" s="497" t="n"/>
      <c r="DT12" s="593">
        <f>IF(AND(DO12:DS12),1,0)</f>
        <v/>
      </c>
      <c r="DV12" s="757" t="inlineStr">
        <is>
          <t>FAN2 P=60W</t>
        </is>
      </c>
      <c r="DW12" s="757">
        <f>'DATA TRANSFER'!AT26</f>
        <v/>
      </c>
      <c r="DX12" s="497" t="n"/>
      <c r="DZ12" s="592" t="n">
        <v>9</v>
      </c>
      <c r="EA12" s="267" t="n"/>
      <c r="EB12" s="592" t="inlineStr">
        <is>
          <t>FROM APS 415 VAC</t>
        </is>
      </c>
      <c r="EC12" s="497" t="n"/>
      <c r="ED12" s="497" t="n"/>
      <c r="EE12" s="601">
        <f>EL7</f>
        <v/>
      </c>
      <c r="EF12" s="497" t="n"/>
      <c r="EG12" s="497" t="n"/>
      <c r="EH12" s="497" t="n"/>
      <c r="EI12" s="602">
        <f>IF(AND(ED12:EH12),1,0)</f>
        <v/>
      </c>
      <c r="EK12" s="497" t="inlineStr">
        <is>
          <t>FADR</t>
        </is>
      </c>
      <c r="EL12" s="757">
        <f>'Mode Logic'!P18</f>
        <v/>
      </c>
      <c r="EM12" s="497" t="n"/>
      <c r="EO12" s="592" t="n">
        <v>9</v>
      </c>
      <c r="EP12" s="267" t="n"/>
      <c r="EQ12" s="497" t="n"/>
      <c r="ER12" s="497" t="n"/>
      <c r="ES12" s="497" t="n"/>
      <c r="ET12" s="601">
        <f>IF(OR(FA6,FA7),1,0)</f>
        <v/>
      </c>
      <c r="EU12" s="497" t="n"/>
      <c r="EV12" s="497" t="n"/>
      <c r="EW12" s="497" t="n"/>
      <c r="EX12" s="593">
        <f>IF(AND(ES12:EW12),1,0)</f>
        <v/>
      </c>
      <c r="EZ12" s="592" t="inlineStr">
        <is>
          <t>TMR2</t>
        </is>
      </c>
      <c r="FA12" s="757" t="n">
        <v>1</v>
      </c>
      <c r="FB12" s="497" t="n"/>
      <c r="FE12" s="592" t="n">
        <v>9</v>
      </c>
      <c r="FF12" s="267" t="n"/>
      <c r="FG12" s="497" t="inlineStr">
        <is>
          <t>SMDR2-110VDC</t>
        </is>
      </c>
      <c r="FH12" s="497" t="n"/>
      <c r="FI12" s="497" t="n"/>
      <c r="FJ12" s="601" t="n">
        <v>1</v>
      </c>
      <c r="FK12" s="497" t="n"/>
      <c r="FL12" s="497" t="n"/>
      <c r="FM12" s="497" t="n"/>
      <c r="FN12" s="593">
        <f>IF(AND(FI12:FM12),1,0)</f>
        <v/>
      </c>
      <c r="FP12" s="592" t="inlineStr">
        <is>
          <t>TMR2</t>
        </is>
      </c>
      <c r="FQ12" s="757" t="n">
        <v>1</v>
      </c>
      <c r="FR12" s="497" t="n"/>
      <c r="FT12" s="592" t="n">
        <v>9</v>
      </c>
      <c r="FU12" s="267" t="n"/>
      <c r="FV12" s="757" t="inlineStr">
        <is>
          <t>SMDR</t>
        </is>
      </c>
      <c r="FW12" s="497" t="n"/>
      <c r="FX12" s="497" t="n"/>
      <c r="FY12" s="600">
        <f>FQ20</f>
        <v/>
      </c>
      <c r="FZ12" s="497">
        <f>GC11</f>
        <v/>
      </c>
      <c r="GA12" s="497" t="n"/>
      <c r="GB12" s="497" t="n"/>
      <c r="GC12" s="593">
        <f>IF(AND(FX12:GB12),1,0)</f>
        <v/>
      </c>
      <c r="GF12" s="592" t="n">
        <v>9</v>
      </c>
      <c r="GG12" s="267" t="n"/>
      <c r="GH12" s="497" t="n"/>
      <c r="GI12" s="497" t="n"/>
      <c r="GJ12" s="497" t="n"/>
      <c r="GK12" s="592">
        <f>GO11</f>
        <v/>
      </c>
      <c r="GL12" s="497" t="n"/>
      <c r="GM12" s="497" t="n"/>
      <c r="GN12" s="497" t="n"/>
      <c r="GO12" s="593">
        <f>IF(AND(GJ12:GN12),1,0)</f>
        <v/>
      </c>
      <c r="GQ12" s="592" t="inlineStr">
        <is>
          <t>FADR_4</t>
        </is>
      </c>
      <c r="GR12" s="757">
        <f>'Mode Logic'!P18</f>
        <v/>
      </c>
      <c r="GS12" s="497" t="n"/>
      <c r="GU12" s="592" t="n">
        <v>9</v>
      </c>
      <c r="GV12" s="267" t="n"/>
      <c r="GW12" s="497" t="n"/>
      <c r="GX12" s="497" t="n"/>
      <c r="GY12" s="497" t="n"/>
      <c r="GZ12" s="757">
        <f>HD32</f>
        <v/>
      </c>
      <c r="HA12" s="497" t="n"/>
      <c r="HB12" s="497" t="n"/>
      <c r="HC12" s="497" t="n"/>
      <c r="HD12" s="602">
        <f>IF(AND(GY12:HC12),1,0)</f>
        <v/>
      </c>
      <c r="HF12" s="592" t="inlineStr">
        <is>
          <t>SFC OFF</t>
        </is>
      </c>
      <c r="HG12" s="757" t="n">
        <v>1</v>
      </c>
      <c r="HH12" s="497" t="n"/>
      <c r="HK12" s="592" t="n">
        <v>9</v>
      </c>
      <c r="HL12" s="267" t="n"/>
      <c r="HM12" s="757" t="inlineStr">
        <is>
          <t>SAFC2</t>
        </is>
      </c>
      <c r="HN12" s="497" t="n"/>
      <c r="HO12" s="497" t="n"/>
      <c r="HP12" s="600">
        <f>HW10</f>
        <v/>
      </c>
      <c r="HQ12" s="497">
        <f>HT11</f>
        <v/>
      </c>
      <c r="HR12" s="497">
        <f>HT16</f>
        <v/>
      </c>
      <c r="HS12" s="497">
        <f>HT21</f>
        <v/>
      </c>
      <c r="HT12" s="593">
        <f>IF(AND(HO12:HS12),1,0)</f>
        <v/>
      </c>
      <c r="HV12" s="592" t="inlineStr">
        <is>
          <t>ESAFC</t>
        </is>
      </c>
      <c r="HW12" s="757" t="n">
        <v>1</v>
      </c>
      <c r="HX12" s="497" t="n"/>
      <c r="HZ12" s="592" t="n">
        <v>9</v>
      </c>
      <c r="IA12" s="267" t="n"/>
      <c r="IB12" s="597" t="n"/>
      <c r="IC12" s="497" t="n"/>
      <c r="ID12" s="597" t="n"/>
      <c r="IE12" s="597">
        <f>II11</f>
        <v/>
      </c>
      <c r="IF12" s="497" t="n"/>
      <c r="IG12" s="497" t="n"/>
      <c r="IH12" s="497" t="n"/>
      <c r="II12" s="593">
        <f>IF(AND(ID12:IH12),1,0)</f>
        <v/>
      </c>
      <c r="IL12" s="592" t="n">
        <v>9</v>
      </c>
      <c r="IM12" s="267" t="n"/>
      <c r="IN12" s="597" t="n"/>
      <c r="IO12" s="497" t="n"/>
      <c r="IP12" s="597" t="n"/>
      <c r="IQ12" s="597">
        <f>IU11</f>
        <v/>
      </c>
      <c r="IR12" s="497" t="n"/>
      <c r="IS12" s="497" t="n"/>
      <c r="IT12" s="497" t="n"/>
      <c r="IU12" s="593">
        <f>IF(AND(IP12:IT12),1,0)</f>
        <v/>
      </c>
      <c r="IX12" s="592" t="n">
        <v>9</v>
      </c>
      <c r="IY12" s="267" t="n"/>
      <c r="IZ12" s="724" t="inlineStr">
        <is>
          <t>SFC OFF</t>
        </is>
      </c>
      <c r="JA12" s="497" t="n"/>
      <c r="JB12" s="597" t="n"/>
      <c r="JC12" s="606">
        <f>JJ9</f>
        <v/>
      </c>
      <c r="JD12" s="597">
        <f>JG11</f>
        <v/>
      </c>
      <c r="JE12" s="497" t="n"/>
      <c r="JF12" s="497" t="n"/>
      <c r="JG12" s="602">
        <f>IF(AND(JB12:JF12),1,0)</f>
        <v/>
      </c>
      <c r="JI12" s="724" t="inlineStr">
        <is>
          <t>FADR</t>
        </is>
      </c>
      <c r="JJ12" s="757">
        <f>'Mode Logic'!P18</f>
        <v/>
      </c>
      <c r="JK12" s="497" t="n"/>
      <c r="JN12" s="592" t="n">
        <v>9</v>
      </c>
      <c r="JO12" s="267" t="n"/>
      <c r="JP12" s="724" t="inlineStr">
        <is>
          <t>HVAC2  SMDR 1</t>
        </is>
      </c>
      <c r="JQ12" s="497" t="n"/>
      <c r="JR12" s="597" t="n"/>
      <c r="JS12" s="606">
        <f>JJ19</f>
        <v/>
      </c>
      <c r="JT12" s="597">
        <f>JW11</f>
        <v/>
      </c>
      <c r="JU12" s="497" t="n"/>
      <c r="JV12" s="497" t="n"/>
      <c r="JW12" s="593">
        <f>IF(AND(JR12:JV12),1,0)</f>
        <v/>
      </c>
      <c r="JZ12" s="592" t="n">
        <v>9</v>
      </c>
      <c r="KA12" s="267" t="n"/>
      <c r="KB12" s="724" t="n"/>
      <c r="KC12" s="497" t="n"/>
      <c r="KD12" s="724" t="n"/>
      <c r="KE12" s="724">
        <f>KI10</f>
        <v/>
      </c>
      <c r="KF12" s="597" t="n"/>
      <c r="KG12" s="497" t="n"/>
      <c r="KH12" s="497" t="n"/>
      <c r="KI12" s="593">
        <f>IF(AND(KD12:KH12),1,0)</f>
        <v/>
      </c>
      <c r="KP12" s="592" t="n">
        <v>9</v>
      </c>
      <c r="KQ12" s="267" t="inlineStr">
        <is>
          <t>X2</t>
        </is>
      </c>
      <c r="KR12" s="724" t="inlineStr">
        <is>
          <t>APS 2 415 V AC R</t>
        </is>
      </c>
      <c r="KS12" s="497" t="n"/>
      <c r="KT12" s="724" t="n"/>
      <c r="KU12" s="605">
        <f>KL18</f>
        <v/>
      </c>
      <c r="KV12" s="724" t="n"/>
      <c r="KW12" s="497" t="n"/>
      <c r="KX12" s="497" t="n"/>
      <c r="KY12" s="593">
        <f>IF(AND(KT12:KX12),1,0)</f>
        <v/>
      </c>
      <c r="LB12" s="592" t="n">
        <v>9</v>
      </c>
      <c r="LC12" s="267" t="n"/>
      <c r="LD12" s="724" t="n"/>
      <c r="LE12" s="497" t="n"/>
      <c r="LF12" s="597" t="n"/>
      <c r="LG12" s="597">
        <f>LK11</f>
        <v/>
      </c>
      <c r="LH12" s="724" t="n"/>
      <c r="LI12" s="497" t="n"/>
      <c r="LJ12" s="497" t="n"/>
      <c r="LK12" s="593">
        <f>IF(AND(LF12:LJ12),1,0)</f>
        <v/>
      </c>
      <c r="LM12" s="757" t="inlineStr">
        <is>
          <t>CMPC2 16A</t>
        </is>
      </c>
      <c r="LN12" s="757" t="n">
        <v>1</v>
      </c>
      <c r="LO12" s="497" t="n"/>
      <c r="LR12" s="592" t="n">
        <v>9</v>
      </c>
      <c r="LS12" s="267" t="n"/>
      <c r="LT12" s="724" t="n"/>
      <c r="LU12" s="497" t="n"/>
      <c r="LV12" s="724" t="n"/>
      <c r="LW12" s="724">
        <f>MA11</f>
        <v/>
      </c>
      <c r="LX12" s="724" t="n"/>
      <c r="LY12" s="497" t="n"/>
      <c r="LZ12" s="497" t="n"/>
      <c r="MA12" s="593">
        <f>IF(AND(LV12:LZ12),1,0)</f>
        <v/>
      </c>
      <c r="MC12" s="497" t="inlineStr">
        <is>
          <t>SMDR1</t>
        </is>
      </c>
      <c r="MD12" s="757">
        <f>'DATA TRANSFER'!AT15</f>
        <v/>
      </c>
      <c r="ME12" s="497" t="n"/>
      <c r="MH12" s="592" t="n">
        <v>9</v>
      </c>
      <c r="MI12" s="267" t="n"/>
      <c r="MJ12" s="724" t="inlineStr">
        <is>
          <t>MCBTL</t>
        </is>
      </c>
      <c r="MK12" s="497" t="n"/>
      <c r="ML12" s="724" t="n"/>
      <c r="MM12" s="605">
        <f>MT8</f>
        <v/>
      </c>
      <c r="MN12" s="724">
        <f>MQ11</f>
        <v/>
      </c>
      <c r="MO12" s="497" t="n"/>
      <c r="MP12" s="497" t="n"/>
      <c r="MQ12" s="593">
        <f>IF(AND(ML12:MP12),1,0)</f>
        <v/>
      </c>
      <c r="MS12" s="724" t="inlineStr">
        <is>
          <t>SMDRB</t>
        </is>
      </c>
      <c r="MT12" s="757">
        <f>'DATA TRANSFER'!M10</f>
        <v/>
      </c>
      <c r="MU12" s="497" t="n"/>
    </row>
    <row r="13" ht="48" customHeight="1">
      <c r="A13" s="590" t="n">
        <v>10</v>
      </c>
      <c r="B13" s="497" t="n"/>
      <c r="C13" s="497" t="n"/>
      <c r="D13" s="497" t="n"/>
      <c r="E13" s="497" t="n"/>
      <c r="F13" s="757">
        <f>J12</f>
        <v/>
      </c>
      <c r="G13" s="592" t="n"/>
      <c r="H13" s="497" t="n"/>
      <c r="I13" s="497" t="n"/>
      <c r="J13" s="593">
        <f>IF(AND(E13:I13),1,0)</f>
        <v/>
      </c>
      <c r="L13" s="757" t="inlineStr">
        <is>
          <t>HTC</t>
        </is>
      </c>
      <c r="M13" s="757">
        <f>'DATA TRANSFER'!AT18</f>
        <v/>
      </c>
      <c r="N13" s="497" t="n"/>
      <c r="P13" s="592" t="n">
        <v>10</v>
      </c>
      <c r="Q13" s="611" t="inlineStr">
        <is>
          <t>HA/24.E6</t>
        </is>
      </c>
      <c r="R13" s="592" t="n"/>
      <c r="S13" s="497" t="n"/>
      <c r="T13" s="497" t="n"/>
      <c r="U13" s="591">
        <f>AB37</f>
        <v/>
      </c>
      <c r="V13" s="497" t="n"/>
      <c r="W13" s="497" t="n"/>
      <c r="X13" s="497" t="n"/>
      <c r="Y13" s="593">
        <f>IF(AND(T13:X13),1,0)</f>
        <v/>
      </c>
      <c r="AA13" s="757" t="inlineStr">
        <is>
          <t>CMPC3 16A</t>
        </is>
      </c>
      <c r="AB13" s="757" t="n"/>
      <c r="AC13" s="497" t="n"/>
      <c r="AF13" s="592" t="n">
        <v>10</v>
      </c>
      <c r="AG13" s="595" t="inlineStr">
        <is>
          <t>HA/24.E6</t>
        </is>
      </c>
      <c r="AH13" s="497" t="n"/>
      <c r="AI13" s="497" t="n"/>
      <c r="AJ13" s="497" t="n"/>
      <c r="AK13" s="591" t="n">
        <v>1</v>
      </c>
      <c r="AL13" s="497" t="n"/>
      <c r="AM13" s="497" t="n"/>
      <c r="AN13" s="497" t="n"/>
      <c r="AO13" s="593">
        <f>IF(AND(AJ13:AN13),1,0)</f>
        <v/>
      </c>
      <c r="AS13" s="592" t="n">
        <v>10</v>
      </c>
      <c r="AT13" s="497" t="n"/>
      <c r="AU13" s="497" t="n"/>
      <c r="AV13" s="497" t="n"/>
      <c r="AW13" s="497">
        <f>BB12</f>
        <v/>
      </c>
      <c r="AX13" s="497" t="n"/>
      <c r="AY13" s="497" t="n"/>
      <c r="AZ13" s="497" t="n"/>
      <c r="BA13" s="497" t="n"/>
      <c r="BB13" s="593">
        <f>IF(AND(AW13:BA13),1,0)</f>
        <v/>
      </c>
      <c r="BI13" s="592" t="n">
        <v>10</v>
      </c>
      <c r="BJ13" s="497" t="n"/>
      <c r="BK13" s="757" t="inlineStr">
        <is>
          <t>LUB</t>
        </is>
      </c>
      <c r="BL13" s="497" t="n"/>
      <c r="BM13" s="497" t="n"/>
      <c r="BN13" s="604">
        <f>BU6</f>
        <v/>
      </c>
      <c r="BO13" s="497">
        <f>BR12</f>
        <v/>
      </c>
      <c r="BP13" s="497" t="n"/>
      <c r="BQ13" s="497" t="n"/>
      <c r="BR13" s="593">
        <f>IF(AND(BM13:BQ13),1,0)</f>
        <v/>
      </c>
      <c r="BX13" s="592" t="n">
        <v>10</v>
      </c>
      <c r="BY13" s="497" t="n"/>
      <c r="BZ13" s="757" t="inlineStr">
        <is>
          <t>LUB</t>
        </is>
      </c>
      <c r="CA13" s="497" t="n"/>
      <c r="CB13" s="497" t="n"/>
      <c r="CC13" s="604">
        <f>BU6</f>
        <v/>
      </c>
      <c r="CD13" s="497">
        <f>CG12</f>
        <v/>
      </c>
      <c r="CE13" s="497" t="n"/>
      <c r="CF13" s="497" t="n"/>
      <c r="CG13" s="593">
        <f>IF(AND(CB13:CF13),1,0)</f>
        <v/>
      </c>
      <c r="CI13" s="592" t="n">
        <v>10</v>
      </c>
      <c r="CJ13" s="724" t="inlineStr">
        <is>
          <t>UD .X63.22-F 1 +63.20</t>
        </is>
      </c>
      <c r="CK13" s="497" t="n"/>
      <c r="CL13" s="497" t="n"/>
      <c r="CM13" s="497" t="n"/>
      <c r="CN13" s="497">
        <f>CR12</f>
        <v/>
      </c>
      <c r="CO13" s="497" t="n"/>
      <c r="CP13" s="497" t="n"/>
      <c r="CQ13" s="497" t="n"/>
      <c r="CR13" s="593">
        <f>IF(AND(CM13:CQ13),1,0)</f>
        <v/>
      </c>
      <c r="CY13" s="592" t="n">
        <v>10</v>
      </c>
      <c r="CZ13" s="497" t="n"/>
      <c r="DA13" s="497" t="n"/>
      <c r="DB13" s="497" t="n"/>
      <c r="DC13" s="497" t="n"/>
      <c r="DD13" s="497">
        <f>DH12</f>
        <v/>
      </c>
      <c r="DE13" s="497" t="n"/>
      <c r="DF13" s="497" t="n"/>
      <c r="DG13" s="497" t="n"/>
      <c r="DH13" s="593">
        <f>IF(AND(DC13:DG13),1,0)</f>
        <v/>
      </c>
      <c r="DK13" s="592" t="n">
        <v>10</v>
      </c>
      <c r="DL13" s="497" t="n"/>
      <c r="DM13" s="497" t="n"/>
      <c r="DN13" s="497" t="n"/>
      <c r="DO13" s="497" t="n"/>
      <c r="DP13" s="757">
        <f>DT12</f>
        <v/>
      </c>
      <c r="DQ13" s="497" t="n"/>
      <c r="DR13" s="497" t="n"/>
      <c r="DS13" s="497" t="n"/>
      <c r="DT13" s="593">
        <f>IF(AND(DO13:DS13),1,0)</f>
        <v/>
      </c>
      <c r="DV13" s="757" t="inlineStr">
        <is>
          <t>TERMOSTAT 1</t>
        </is>
      </c>
      <c r="DW13" s="757" t="n">
        <v>1</v>
      </c>
      <c r="DX13" s="497" t="n"/>
      <c r="DZ13" s="592" t="n">
        <v>10</v>
      </c>
      <c r="EA13" s="497" t="n"/>
      <c r="EB13" s="592" t="n"/>
      <c r="EC13" s="497" t="n"/>
      <c r="ED13" s="497" t="n"/>
      <c r="EE13" s="497">
        <f>EI12</f>
        <v/>
      </c>
      <c r="EF13" s="497" t="n"/>
      <c r="EG13" s="497" t="n"/>
      <c r="EH13" s="497" t="n"/>
      <c r="EI13" s="602">
        <f>IF(AND(ED13:EH13),1,0)</f>
        <v/>
      </c>
      <c r="EK13" s="497" t="inlineStr">
        <is>
          <t>SFC OFF</t>
        </is>
      </c>
      <c r="EL13" s="757" t="n">
        <v>1</v>
      </c>
      <c r="EM13" s="497" t="n"/>
      <c r="EO13" s="592" t="n">
        <v>10</v>
      </c>
      <c r="EP13" s="497" t="n"/>
      <c r="EQ13" s="497" t="n"/>
      <c r="ER13" s="497" t="n"/>
      <c r="ES13" s="497" t="n"/>
      <c r="ET13" s="497">
        <f>EX12</f>
        <v/>
      </c>
      <c r="EU13" s="497" t="n"/>
      <c r="EV13" s="497" t="n"/>
      <c r="EW13" s="497" t="n"/>
      <c r="EX13" s="593">
        <f>IF(AND(ES13:EW13),1,0)</f>
        <v/>
      </c>
      <c r="EZ13" s="592" t="inlineStr">
        <is>
          <t>TMR1</t>
        </is>
      </c>
      <c r="FA13" s="757" t="n">
        <v>1</v>
      </c>
      <c r="FB13" s="497" t="n"/>
      <c r="FE13" s="592" t="n">
        <v>10</v>
      </c>
      <c r="FF13" s="497" t="n"/>
      <c r="FG13" s="497" t="n"/>
      <c r="FH13" s="497" t="n"/>
      <c r="FI13" s="497" t="n"/>
      <c r="FJ13" s="497">
        <f>FN12</f>
        <v/>
      </c>
      <c r="FK13" s="497" t="n"/>
      <c r="FL13" s="497" t="n"/>
      <c r="FM13" s="497" t="n"/>
      <c r="FN13" s="593">
        <f>IF(AND(FI13:FM13),1,0)</f>
        <v/>
      </c>
      <c r="FP13" s="592" t="inlineStr">
        <is>
          <t>TMR1</t>
        </is>
      </c>
      <c r="FQ13" s="757" t="n">
        <v>1</v>
      </c>
      <c r="FR13" s="497" t="n"/>
      <c r="FT13" s="592" t="n">
        <v>10</v>
      </c>
      <c r="FU13" s="497" t="n"/>
      <c r="FV13" s="497" t="n"/>
      <c r="FW13" s="497" t="n"/>
      <c r="FX13" s="497" t="n"/>
      <c r="FY13" s="757">
        <f>GC12</f>
        <v/>
      </c>
      <c r="FZ13" s="497" t="n"/>
      <c r="GA13" s="497" t="n"/>
      <c r="GB13" s="497" t="n"/>
      <c r="GC13" s="593">
        <f>IF(AND(FX13:GB13),1,0)</f>
        <v/>
      </c>
      <c r="GF13" s="592" t="n">
        <v>10</v>
      </c>
      <c r="GG13" s="497" t="n"/>
      <c r="GH13" s="597" t="inlineStr">
        <is>
          <t xml:space="preserve">HVAC2  SMDR </t>
        </is>
      </c>
      <c r="GI13" s="497" t="n"/>
      <c r="GJ13" s="497" t="n"/>
      <c r="GK13" s="604">
        <f>GR8</f>
        <v/>
      </c>
      <c r="GL13" s="497">
        <f>GO10</f>
        <v/>
      </c>
      <c r="GM13" s="497" t="n"/>
      <c r="GN13" s="497" t="n"/>
      <c r="GO13" s="593">
        <f>IF(AND(GJ13:GN13),1,0)</f>
        <v/>
      </c>
      <c r="GQ13" s="592" t="inlineStr">
        <is>
          <t>FADR_5</t>
        </is>
      </c>
      <c r="GR13" s="757">
        <f>'Mode Logic'!P18</f>
        <v/>
      </c>
      <c r="GS13" s="497" t="n"/>
      <c r="GU13" s="592" t="n">
        <v>10</v>
      </c>
      <c r="GV13" s="497" t="n"/>
      <c r="GW13" s="497" t="n"/>
      <c r="GX13" s="497" t="n"/>
      <c r="GY13" s="497" t="n"/>
      <c r="GZ13" s="757">
        <f>HD12</f>
        <v/>
      </c>
      <c r="HA13" s="497" t="n"/>
      <c r="HB13" s="497" t="n"/>
      <c r="HC13" s="497" t="n"/>
      <c r="HD13" s="602">
        <f>IF(AND(GY13:HC13),1,0)</f>
        <v/>
      </c>
      <c r="HF13" s="724" t="inlineStr">
        <is>
          <t>M DAMPER (FRESH AIR DAMPER 1 RAD 1)</t>
        </is>
      </c>
      <c r="HG13" s="757" t="n">
        <v>1</v>
      </c>
      <c r="HH13" s="497" t="n"/>
      <c r="HK13" s="592" t="n">
        <v>10</v>
      </c>
      <c r="HL13" s="497" t="n"/>
      <c r="HM13" s="497" t="n"/>
      <c r="HN13" s="497" t="n"/>
      <c r="HO13" s="497" t="n"/>
      <c r="HP13" s="757">
        <f>HT12</f>
        <v/>
      </c>
      <c r="HQ13" s="497" t="n"/>
      <c r="HR13" s="497" t="n"/>
      <c r="HS13" s="497" t="n"/>
      <c r="HT13" s="593">
        <f>IF(AND(HO13:HS13),1,0)</f>
        <v/>
      </c>
      <c r="HV13" s="592" t="inlineStr">
        <is>
          <t>EMR</t>
        </is>
      </c>
      <c r="HW13" s="757" t="n">
        <v>1</v>
      </c>
      <c r="HX13" s="497" t="n"/>
      <c r="HZ13" s="592" t="n">
        <v>10</v>
      </c>
      <c r="IA13" s="497" t="n"/>
      <c r="IB13" s="724" t="inlineStr">
        <is>
          <t>APS 2 _Y</t>
        </is>
      </c>
      <c r="IC13" s="497" t="n"/>
      <c r="ID13" s="497" t="n"/>
      <c r="IE13" s="600">
        <f>HW7</f>
        <v/>
      </c>
      <c r="IF13" s="497" t="n"/>
      <c r="IG13" s="497" t="n"/>
      <c r="IH13" s="497" t="n"/>
      <c r="II13" s="593">
        <f>IF(AND(ID13:IH13),1,0)</f>
        <v/>
      </c>
      <c r="IL13" s="592" t="n">
        <v>10</v>
      </c>
      <c r="IM13" s="497" t="n"/>
      <c r="IN13" s="724" t="n"/>
      <c r="IO13" s="497" t="n"/>
      <c r="IP13" s="597" t="n"/>
      <c r="IQ13" s="597">
        <f>IU11</f>
        <v/>
      </c>
      <c r="IR13" s="497" t="n"/>
      <c r="IS13" s="497" t="n"/>
      <c r="IT13" s="497" t="n"/>
      <c r="IU13" s="593">
        <f>IF(AND(IP13:IT13),1,0)</f>
        <v/>
      </c>
      <c r="IX13" s="592" t="n">
        <v>10</v>
      </c>
      <c r="IY13" s="497" t="n"/>
      <c r="IZ13" s="724" t="n"/>
      <c r="JA13" s="497" t="n"/>
      <c r="JB13" s="597" t="n"/>
      <c r="JC13" s="597">
        <f>JG12</f>
        <v/>
      </c>
      <c r="JD13" s="497" t="n"/>
      <c r="JE13" s="497" t="n"/>
      <c r="JF13" s="497" t="n"/>
      <c r="JG13" s="602">
        <f>IF(AND(JB13:JF13),1,0)</f>
        <v/>
      </c>
      <c r="JI13" s="592" t="inlineStr">
        <is>
          <t>EMR</t>
        </is>
      </c>
      <c r="JJ13" s="757" t="n">
        <v>1</v>
      </c>
      <c r="JK13" s="497" t="n"/>
      <c r="JN13" s="592" t="n">
        <v>10</v>
      </c>
      <c r="JO13" s="497" t="n"/>
      <c r="JP13" s="724" t="n"/>
      <c r="JQ13" s="497" t="n"/>
      <c r="JR13" s="597" t="n"/>
      <c r="JS13" s="597">
        <f>JW12</f>
        <v/>
      </c>
      <c r="JT13" s="597" t="n"/>
      <c r="JU13" s="497" t="n"/>
      <c r="JV13" s="497" t="n"/>
      <c r="JW13" s="593">
        <f>IF(AND(JR13:JV13),1,0)</f>
        <v/>
      </c>
      <c r="JZ13" s="592" t="n">
        <v>10</v>
      </c>
      <c r="KA13" s="497" t="n"/>
      <c r="KB13" s="724" t="inlineStr">
        <is>
          <t xml:space="preserve">110 V DC ALWAYS ON </t>
        </is>
      </c>
      <c r="KC13" s="497" t="n"/>
      <c r="KD13" s="724" t="n"/>
      <c r="KE13" s="605">
        <f>KL7</f>
        <v/>
      </c>
      <c r="KF13" s="597" t="n"/>
      <c r="KG13" s="497" t="n"/>
      <c r="KH13" s="497" t="n"/>
      <c r="KI13" s="593">
        <f>IF(AND(KD13:KH13),1,0)</f>
        <v/>
      </c>
      <c r="KK13" s="742" t="inlineStr">
        <is>
          <t>CKT 22</t>
        </is>
      </c>
      <c r="KP13" s="592" t="n">
        <v>10</v>
      </c>
      <c r="KQ13" s="497" t="n"/>
      <c r="KR13" s="724" t="n"/>
      <c r="KS13" s="497" t="n"/>
      <c r="KT13" s="724" t="n"/>
      <c r="KU13" s="724">
        <f>KY12</f>
        <v/>
      </c>
      <c r="KV13" s="724" t="n"/>
      <c r="KW13" s="497" t="n"/>
      <c r="KX13" s="497" t="n"/>
      <c r="KY13" s="593">
        <f>IF(AND(KT13:KX13),1,0)</f>
        <v/>
      </c>
      <c r="LB13" s="592" t="n">
        <v>10</v>
      </c>
      <c r="LC13" s="497" t="n"/>
      <c r="LD13" s="724" t="n"/>
      <c r="LE13" s="497" t="n"/>
      <c r="LF13" s="724" t="n"/>
      <c r="LG13" s="724">
        <f>LK12</f>
        <v/>
      </c>
      <c r="LH13" s="724" t="n"/>
      <c r="LI13" s="497" t="n"/>
      <c r="LJ13" s="497" t="n"/>
      <c r="LK13" s="593">
        <f>IF(AND(LF13:LJ13),1,0)</f>
        <v/>
      </c>
      <c r="LM13" s="757" t="inlineStr">
        <is>
          <t>CMPC3 16A</t>
        </is>
      </c>
      <c r="LN13" s="757" t="n">
        <v>1</v>
      </c>
      <c r="LO13" s="497" t="n"/>
      <c r="LR13" s="592" t="n">
        <v>10</v>
      </c>
      <c r="LS13" s="497" t="n"/>
      <c r="LT13" s="724" t="n"/>
      <c r="LU13" s="497" t="n"/>
      <c r="LV13" s="724" t="n"/>
      <c r="LW13" s="724">
        <f>MA12</f>
        <v/>
      </c>
      <c r="LX13" s="724" t="n"/>
      <c r="LY13" s="497" t="n"/>
      <c r="LZ13" s="497" t="n"/>
      <c r="MA13" s="593">
        <f>IF(AND(LV13:LZ13),1,0)</f>
        <v/>
      </c>
      <c r="MC13" s="497" t="inlineStr">
        <is>
          <t>SMDR2</t>
        </is>
      </c>
      <c r="MD13" s="757" t="n">
        <v>1</v>
      </c>
      <c r="ME13" s="497" t="n"/>
      <c r="MH13" s="592" t="n">
        <v>10</v>
      </c>
      <c r="MI13" s="497" t="n"/>
      <c r="MJ13" s="724" t="n"/>
      <c r="MK13" s="497" t="n"/>
      <c r="ML13" s="724" t="n"/>
      <c r="MM13" s="724">
        <f>MQ12</f>
        <v/>
      </c>
      <c r="MN13" s="724" t="n"/>
      <c r="MO13" s="497" t="n"/>
      <c r="MP13" s="497" t="n"/>
      <c r="MQ13" s="593">
        <f>IF(AND(ML13:MP13),1,0)</f>
        <v/>
      </c>
      <c r="MS13" s="724" t="inlineStr">
        <is>
          <t>FADR</t>
        </is>
      </c>
      <c r="MT13" s="757">
        <f>'Mode Logic'!P18</f>
        <v/>
      </c>
      <c r="MU13" s="497" t="n"/>
    </row>
    <row r="14" ht="63" customHeight="1">
      <c r="A14" s="590" t="n">
        <v>11</v>
      </c>
      <c r="B14" s="497" t="n"/>
      <c r="C14" s="497" t="n"/>
      <c r="D14" s="497" t="n"/>
      <c r="E14" s="497" t="n"/>
      <c r="F14" s="757">
        <f>J13</f>
        <v/>
      </c>
      <c r="G14" s="592" t="n"/>
      <c r="H14" s="497" t="n"/>
      <c r="I14" s="497" t="n"/>
      <c r="J14" s="593">
        <f>IF(AND(E14:I14),1,0)</f>
        <v/>
      </c>
      <c r="L14" s="597" t="inlineStr">
        <is>
          <t>ELECTRICAL HEATING P=1.5 KW</t>
        </is>
      </c>
      <c r="M14" s="757">
        <f>'DATA TRANSFER'!AT18</f>
        <v/>
      </c>
      <c r="N14" s="497" t="n"/>
      <c r="P14" s="592" t="n">
        <v>11</v>
      </c>
      <c r="Q14" s="497" t="n"/>
      <c r="R14" s="592" t="n"/>
      <c r="S14" s="497" t="n"/>
      <c r="T14" s="497" t="n"/>
      <c r="U14" s="757">
        <f>Y13</f>
        <v/>
      </c>
      <c r="V14" s="497" t="n"/>
      <c r="W14" s="497" t="n"/>
      <c r="X14" s="497" t="n"/>
      <c r="Y14" s="593">
        <f>IF(AND(T14:X14),1,0)</f>
        <v/>
      </c>
      <c r="AA14" s="757" t="inlineStr">
        <is>
          <t>CMPC4 16A</t>
        </is>
      </c>
      <c r="AB14" s="757" t="n"/>
      <c r="AC14" s="497" t="n"/>
      <c r="AF14" s="592" t="n">
        <v>11</v>
      </c>
      <c r="AG14" s="497" t="n"/>
      <c r="AH14" s="497" t="n"/>
      <c r="AI14" s="497" t="n"/>
      <c r="AJ14" s="497" t="n"/>
      <c r="AK14" s="757">
        <f>AO13</f>
        <v/>
      </c>
      <c r="AL14" s="497" t="n"/>
      <c r="AM14" s="497" t="n"/>
      <c r="AN14" s="497" t="n"/>
      <c r="AO14" s="593">
        <f>IF(AND(AJ14:AN14),1,0)</f>
        <v/>
      </c>
      <c r="AS14" s="592" t="n">
        <v>11</v>
      </c>
      <c r="AT14" s="497" t="n"/>
      <c r="AU14" s="497" t="n"/>
      <c r="AV14" s="497" t="n"/>
      <c r="AW14" s="497">
        <f>BB13</f>
        <v/>
      </c>
      <c r="AX14" s="497" t="n"/>
      <c r="AY14" s="497" t="n"/>
      <c r="AZ14" s="497" t="n"/>
      <c r="BA14" s="497" t="n"/>
      <c r="BB14" s="593">
        <f>IF(AND(AW14:BA14),1,0)</f>
        <v/>
      </c>
      <c r="BI14" s="592" t="n">
        <v>11</v>
      </c>
      <c r="BJ14" s="497" t="n"/>
      <c r="BK14" s="757" t="n"/>
      <c r="BL14" s="497" t="n"/>
      <c r="BM14" s="497" t="n"/>
      <c r="BN14" s="609">
        <f>BR13</f>
        <v/>
      </c>
      <c r="BO14" s="497" t="n"/>
      <c r="BP14" s="497" t="n"/>
      <c r="BQ14" s="497" t="n"/>
      <c r="BR14" s="593">
        <f>IF(AND(BM14:BQ14),1,0)</f>
        <v/>
      </c>
      <c r="BX14" s="592" t="n">
        <v>11</v>
      </c>
      <c r="BY14" s="497" t="n"/>
      <c r="BZ14" s="757" t="n"/>
      <c r="CA14" s="497" t="n"/>
      <c r="CB14" s="497" t="n"/>
      <c r="CC14" s="609">
        <f>CG13</f>
        <v/>
      </c>
      <c r="CD14" s="497" t="n"/>
      <c r="CE14" s="497" t="n"/>
      <c r="CF14" s="497" t="n"/>
      <c r="CG14" s="593">
        <f>IF(AND(CB14:CF14),1,0)</f>
        <v/>
      </c>
      <c r="CI14" s="592" t="n">
        <v>11</v>
      </c>
      <c r="CJ14" s="497" t="n"/>
      <c r="CK14" s="497" t="n"/>
      <c r="CL14" s="497" t="n"/>
      <c r="CM14" s="497" t="n"/>
      <c r="CN14" s="497">
        <f>CR12</f>
        <v/>
      </c>
      <c r="CO14" s="497" t="n"/>
      <c r="CP14" s="497" t="n"/>
      <c r="CQ14" s="497" t="n"/>
      <c r="CR14" s="593">
        <f>IF(AND(CM14:CQ14),1,0)</f>
        <v/>
      </c>
      <c r="CY14" s="592" t="n">
        <v>11</v>
      </c>
      <c r="CZ14" s="497" t="n"/>
      <c r="DA14" s="497" t="n"/>
      <c r="DB14" s="497" t="n"/>
      <c r="DC14" s="497" t="n"/>
      <c r="DD14" s="497">
        <f>DH13</f>
        <v/>
      </c>
      <c r="DE14" s="497" t="n"/>
      <c r="DF14" s="497" t="n"/>
      <c r="DG14" s="497" t="n"/>
      <c r="DH14" s="593">
        <f>IF(AND(DC14:DG14),1,0)</f>
        <v/>
      </c>
      <c r="DK14" s="592" t="n">
        <v>11</v>
      </c>
      <c r="DL14" s="497" t="n"/>
      <c r="DM14" s="497" t="inlineStr">
        <is>
          <t>24 VDC</t>
        </is>
      </c>
      <c r="DN14" s="497" t="n"/>
      <c r="DO14" s="497" t="n"/>
      <c r="DP14" s="757">
        <f>DT8</f>
        <v/>
      </c>
      <c r="DQ14" s="497" t="n"/>
      <c r="DR14" s="497" t="n"/>
      <c r="DS14" s="497" t="n"/>
      <c r="DT14" s="593">
        <f>IF(AND(DO14:DS14),1,0)</f>
        <v/>
      </c>
      <c r="DV14" s="757" t="inlineStr">
        <is>
          <t>TERMOSTAT 2</t>
        </is>
      </c>
      <c r="DW14" s="757" t="n">
        <v>1</v>
      </c>
      <c r="DX14" s="497" t="n"/>
      <c r="DZ14" s="592" t="n">
        <v>11</v>
      </c>
      <c r="EA14" s="497" t="n"/>
      <c r="EB14" s="592" t="inlineStr">
        <is>
          <t>FROM APS 415 VAC</t>
        </is>
      </c>
      <c r="EC14" s="497" t="n"/>
      <c r="ED14" s="497" t="n"/>
      <c r="EE14" s="601">
        <f>EL7</f>
        <v/>
      </c>
      <c r="EF14" s="497" t="n"/>
      <c r="EG14" s="497" t="n"/>
      <c r="EH14" s="497" t="n"/>
      <c r="EI14" s="602">
        <f>IF(AND(ED14:EH14),1,0)</f>
        <v/>
      </c>
      <c r="EO14" s="592" t="n">
        <v>11</v>
      </c>
      <c r="EP14" s="497" t="n"/>
      <c r="EQ14" s="497" t="inlineStr">
        <is>
          <t>SMDR2-110VDC</t>
        </is>
      </c>
      <c r="ER14" s="497" t="n"/>
      <c r="ES14" s="497" t="n"/>
      <c r="ET14" s="601" t="n">
        <v>1</v>
      </c>
      <c r="EU14" s="497" t="n"/>
      <c r="EV14" s="497" t="n"/>
      <c r="EW14" s="497" t="n"/>
      <c r="EX14" s="593">
        <f>IF(AND(ES14:EW14),1,0)</f>
        <v/>
      </c>
      <c r="EZ14" s="592" t="inlineStr">
        <is>
          <t>SMTR</t>
        </is>
      </c>
      <c r="FA14" s="757" t="n">
        <v>1</v>
      </c>
      <c r="FB14" s="497" t="n"/>
      <c r="FE14" s="592" t="n">
        <v>11</v>
      </c>
      <c r="FF14" s="497" t="n"/>
      <c r="FH14" s="497" t="n"/>
      <c r="FI14" s="497" t="n"/>
      <c r="FJ14" s="497">
        <f>FN13</f>
        <v/>
      </c>
      <c r="FK14" s="497" t="n"/>
      <c r="FL14" s="497" t="n"/>
      <c r="FM14" s="497" t="n"/>
      <c r="FN14" s="593">
        <f>IF(AND(FI14:FM14),1,0)</f>
        <v/>
      </c>
      <c r="FP14" s="592" t="inlineStr">
        <is>
          <t>SMTR</t>
        </is>
      </c>
      <c r="FQ14" s="757" t="n">
        <v>1</v>
      </c>
      <c r="FR14" s="497" t="n"/>
      <c r="FT14" s="592" t="n">
        <v>11</v>
      </c>
      <c r="FU14" s="497" t="n"/>
      <c r="FV14" s="592" t="inlineStr">
        <is>
          <t>SMDR2 -110VDC</t>
        </is>
      </c>
      <c r="FW14" s="497" t="n"/>
      <c r="FX14" s="497" t="n"/>
      <c r="FY14" s="604">
        <f>FQ7</f>
        <v/>
      </c>
      <c r="FZ14" s="497" t="n"/>
      <c r="GA14" s="497" t="n"/>
      <c r="GB14" s="497" t="n"/>
      <c r="GC14" s="593">
        <f>IF(AND(FX14:GB14),1,0)</f>
        <v/>
      </c>
      <c r="GF14" s="592" t="n">
        <v>11</v>
      </c>
      <c r="GG14" s="497" t="n"/>
      <c r="GH14" s="497" t="n"/>
      <c r="GI14" s="497" t="n"/>
      <c r="GJ14" s="497" t="n"/>
      <c r="GK14" s="592">
        <f>GO13</f>
        <v/>
      </c>
      <c r="GL14" s="497" t="n"/>
      <c r="GM14" s="497" t="n"/>
      <c r="GN14" s="497" t="n"/>
      <c r="GO14" s="593">
        <f>IF(AND(GJ14:GN14),1,0)</f>
        <v/>
      </c>
      <c r="GQ14" s="592" t="inlineStr">
        <is>
          <t>FADR_6</t>
        </is>
      </c>
      <c r="GR14" s="757">
        <f>'Mode Logic'!P18</f>
        <v/>
      </c>
      <c r="GS14" s="497" t="n"/>
      <c r="GU14" s="592" t="n">
        <v>11</v>
      </c>
      <c r="GV14" s="497" t="n"/>
      <c r="GW14" s="497" t="n"/>
      <c r="GX14" s="497" t="n"/>
      <c r="GY14" s="497" t="n"/>
      <c r="GZ14" s="757">
        <f>HD15</f>
        <v/>
      </c>
      <c r="HA14" s="497" t="n"/>
      <c r="HB14" s="497" t="n"/>
      <c r="HC14" s="497" t="n"/>
      <c r="HD14" s="602">
        <f>IF(AND(GY14:HC14),1,0)</f>
        <v/>
      </c>
      <c r="HF14" s="724" t="inlineStr">
        <is>
          <t>M DAMPER (FRESH AIR DAMPER 2 RAD 2)</t>
        </is>
      </c>
      <c r="HG14" s="757" t="n">
        <v>1</v>
      </c>
      <c r="HH14" s="497" t="n"/>
      <c r="HK14" s="592" t="n">
        <v>11</v>
      </c>
      <c r="HL14" s="497" t="n"/>
      <c r="HM14" s="592" t="inlineStr">
        <is>
          <t>APS 2</t>
        </is>
      </c>
      <c r="HN14" s="497" t="n"/>
      <c r="HO14" s="497" t="n"/>
      <c r="HP14" s="600">
        <f>HW8</f>
        <v/>
      </c>
      <c r="HQ14" s="497" t="n"/>
      <c r="HR14" s="497" t="n"/>
      <c r="HS14" s="497" t="n"/>
      <c r="HT14" s="593">
        <f>IF(AND(HO14:HS14),1,0)</f>
        <v/>
      </c>
      <c r="HV14" s="592" t="inlineStr">
        <is>
          <t>PPR1</t>
        </is>
      </c>
      <c r="HW14" s="757" t="n">
        <v>1</v>
      </c>
      <c r="HX14" s="497" t="n"/>
      <c r="HZ14" s="592" t="n">
        <v>11</v>
      </c>
      <c r="IA14" s="497" t="n"/>
      <c r="IB14" s="597" t="n"/>
      <c r="IC14" s="497" t="n"/>
      <c r="ID14" s="497" t="n"/>
      <c r="IE14" s="757">
        <f>II13</f>
        <v/>
      </c>
      <c r="IF14" s="497" t="n"/>
      <c r="IG14" s="497" t="n"/>
      <c r="IH14" s="497" t="n"/>
      <c r="II14" s="593">
        <f>IF(AND(ID14:IH14),1,0)</f>
        <v/>
      </c>
      <c r="IL14" s="592" t="n">
        <v>11</v>
      </c>
      <c r="IM14" s="497" t="n"/>
      <c r="IN14" s="597" t="n"/>
      <c r="IO14" s="497" t="n"/>
      <c r="IP14" s="597" t="n"/>
      <c r="IQ14" s="597">
        <f>IF(OR(IU8,IU12),1,0)</f>
        <v/>
      </c>
      <c r="IR14" s="497" t="n"/>
      <c r="IS14" s="497" t="n"/>
      <c r="IT14" s="497" t="n"/>
      <c r="IU14" s="593">
        <f>IF(AND(IP14:IT14),1,0)</f>
        <v/>
      </c>
      <c r="IX14" s="592" t="n">
        <v>11</v>
      </c>
      <c r="IY14" s="497" t="n"/>
      <c r="IZ14" s="724" t="inlineStr">
        <is>
          <t>FADR</t>
        </is>
      </c>
      <c r="JA14" s="497" t="n"/>
      <c r="JB14" s="597" t="n"/>
      <c r="JC14" s="606">
        <f>JJ12</f>
        <v/>
      </c>
      <c r="JD14" s="497">
        <f>JG13</f>
        <v/>
      </c>
      <c r="JE14" s="497" t="n"/>
      <c r="JF14" s="497" t="n"/>
      <c r="JG14" s="602">
        <f>IF(AND(JB14:JF14),1,0)</f>
        <v/>
      </c>
      <c r="JN14" s="592" t="n">
        <v>11</v>
      </c>
      <c r="JO14" s="497" t="n"/>
      <c r="JQ14" s="497" t="n"/>
      <c r="JR14" s="597" t="n"/>
      <c r="JS14" s="597">
        <f>JW7</f>
        <v/>
      </c>
      <c r="JT14" s="597" t="n"/>
      <c r="JU14" s="497" t="n"/>
      <c r="JV14" s="497" t="n"/>
      <c r="JW14" s="593">
        <f>IF(AND(JR14:JV14),1,0)</f>
        <v/>
      </c>
      <c r="JZ14" s="592" t="n">
        <v>11</v>
      </c>
      <c r="KA14" s="497" t="n"/>
      <c r="KB14" s="724" t="n"/>
      <c r="KC14" s="497" t="n"/>
      <c r="KD14" s="724" t="n"/>
      <c r="KE14" s="724">
        <f>KI13</f>
        <v/>
      </c>
      <c r="KF14" s="597" t="n"/>
      <c r="KG14" s="497" t="n"/>
      <c r="KH14" s="497" t="n"/>
      <c r="KI14" s="593">
        <f>IF(AND(KD14:KH14),1,0)</f>
        <v/>
      </c>
      <c r="KK14" s="594" t="inlineStr">
        <is>
          <t>COMPONENT</t>
        </is>
      </c>
      <c r="KL14" s="594" t="n"/>
      <c r="KM14" s="594" t="inlineStr">
        <is>
          <t>REMARK</t>
        </is>
      </c>
      <c r="KP14" s="592" t="n">
        <v>11</v>
      </c>
      <c r="KQ14" s="267" t="inlineStr">
        <is>
          <t>X2</t>
        </is>
      </c>
      <c r="KR14" s="724" t="inlineStr">
        <is>
          <t>APS 2  415 V AC Y</t>
        </is>
      </c>
      <c r="KS14" s="497" t="n"/>
      <c r="KT14" s="724" t="n"/>
      <c r="KU14" s="605">
        <f>KL18</f>
        <v/>
      </c>
      <c r="KV14" s="724" t="n"/>
      <c r="KW14" s="497" t="n"/>
      <c r="KX14" s="497" t="n"/>
      <c r="KY14" s="593">
        <f>IF(AND(KT14:KX14),1,0)</f>
        <v/>
      </c>
      <c r="LB14" s="592" t="n">
        <v>11</v>
      </c>
      <c r="LC14" s="497" t="n"/>
      <c r="LD14" s="724" t="inlineStr">
        <is>
          <t xml:space="preserve">PHASE  PROTECTION RELAY 2 PPR2 </t>
        </is>
      </c>
      <c r="LE14" s="497" t="n"/>
      <c r="LF14" s="724" t="n"/>
      <c r="LG14" s="605">
        <f>LN34</f>
        <v/>
      </c>
      <c r="LH14" s="724">
        <f>LK10</f>
        <v/>
      </c>
      <c r="LI14" s="497">
        <f>LK8</f>
        <v/>
      </c>
      <c r="LJ14" s="497">
        <f>LK6</f>
        <v/>
      </c>
      <c r="LK14" s="593">
        <f>IF(AND(LF14:LJ14),1,0)</f>
        <v/>
      </c>
      <c r="LM14" s="757" t="inlineStr">
        <is>
          <t>CMPC4 16A</t>
        </is>
      </c>
      <c r="LN14" s="757" t="n">
        <v>1</v>
      </c>
      <c r="LO14" s="497" t="n"/>
      <c r="LR14" s="592" t="n">
        <v>11</v>
      </c>
      <c r="LS14" s="497" t="n"/>
      <c r="LT14" s="724" t="n"/>
      <c r="LU14" s="497" t="n"/>
      <c r="LV14" s="724" t="n"/>
      <c r="LW14" s="724">
        <f>MA13</f>
        <v/>
      </c>
      <c r="LX14" s="724" t="n"/>
      <c r="LY14" s="497" t="n"/>
      <c r="LZ14" s="497" t="n"/>
      <c r="MA14" s="593">
        <f>IF(AND(LV14:LZ14),1,0)</f>
        <v/>
      </c>
      <c r="MC14" s="497" t="inlineStr">
        <is>
          <t>FADR</t>
        </is>
      </c>
      <c r="MD14" s="757">
        <f>'Mode Logic'!P18</f>
        <v/>
      </c>
      <c r="ME14" s="497" t="n"/>
      <c r="MH14" s="592" t="n">
        <v>11</v>
      </c>
      <c r="MI14" s="497" t="n"/>
      <c r="MJ14" s="724" t="inlineStr">
        <is>
          <t>SRRB</t>
        </is>
      </c>
      <c r="MK14" s="497" t="n"/>
      <c r="ML14" s="724" t="n"/>
      <c r="MM14" s="605">
        <f>IF(OR(MT11=1,MT12=1),0,1)</f>
        <v/>
      </c>
      <c r="MN14" s="724">
        <f>MQ13</f>
        <v/>
      </c>
      <c r="MO14" s="497" t="n"/>
      <c r="MP14" s="497" t="n"/>
      <c r="MQ14" s="593">
        <f>IF(AND(ML14:MP14),1,0)</f>
        <v/>
      </c>
      <c r="MS14" s="724" t="inlineStr">
        <is>
          <t>SMDR</t>
        </is>
      </c>
      <c r="MT14" s="757" t="n">
        <v>1</v>
      </c>
      <c r="MU14" s="497" t="n"/>
    </row>
    <row r="15" ht="58.5" customHeight="1">
      <c r="A15" s="590" t="n">
        <v>12</v>
      </c>
      <c r="B15" s="497" t="n"/>
      <c r="C15" s="497" t="n"/>
      <c r="D15" s="497" t="n"/>
      <c r="E15" s="497" t="n"/>
      <c r="F15" s="757">
        <f>J14</f>
        <v/>
      </c>
      <c r="G15" s="592" t="n"/>
      <c r="H15" s="497" t="n"/>
      <c r="I15" s="497" t="n"/>
      <c r="J15" s="593">
        <f>IF(AND(E15:I15),1,0)</f>
        <v/>
      </c>
      <c r="P15" s="592" t="n">
        <v>12</v>
      </c>
      <c r="Q15" s="497" t="n"/>
      <c r="R15" s="592" t="n"/>
      <c r="S15" s="497" t="n"/>
      <c r="T15" s="497" t="n"/>
      <c r="U15" s="757">
        <f>Y14</f>
        <v/>
      </c>
      <c r="V15" s="497" t="n"/>
      <c r="W15" s="497" t="n"/>
      <c r="X15" s="497" t="n"/>
      <c r="Y15" s="593">
        <f>IF(AND(T15:X15),1,0)</f>
        <v/>
      </c>
      <c r="AA15" s="724" t="inlineStr">
        <is>
          <t>SUPPLY AIR FAN 1 Pa=1.25kW P.f=0.75</t>
        </is>
      </c>
      <c r="AB15" s="757">
        <f>'DATA TRANSFER'!AT19</f>
        <v/>
      </c>
      <c r="AC15" s="497" t="n"/>
      <c r="AF15" s="592" t="n">
        <v>12</v>
      </c>
      <c r="AG15" s="497" t="n"/>
      <c r="AH15" s="497" t="n"/>
      <c r="AI15" s="497" t="n"/>
      <c r="AJ15" s="497" t="n"/>
      <c r="AK15" s="757">
        <f>AO14</f>
        <v/>
      </c>
      <c r="AL15" s="497" t="n"/>
      <c r="AM15" s="497" t="n"/>
      <c r="AN15" s="497" t="n"/>
      <c r="AO15" s="593">
        <f>IF(AND(AJ15:AN15),1,0)</f>
        <v/>
      </c>
      <c r="AS15" s="592" t="n">
        <v>12</v>
      </c>
      <c r="AT15" s="497" t="n"/>
      <c r="AU15" s="724" t="inlineStr">
        <is>
          <t>SMDRB</t>
        </is>
      </c>
      <c r="AV15" s="497" t="n"/>
      <c r="AW15" s="601" t="n">
        <v>1</v>
      </c>
      <c r="AX15" s="497">
        <f>BB14</f>
        <v/>
      </c>
      <c r="AY15" s="497" t="n"/>
      <c r="AZ15" s="497" t="n"/>
      <c r="BA15" s="497" t="n"/>
      <c r="BB15" s="593">
        <f>IF(AND(AW15:BA15),1,0)</f>
        <v/>
      </c>
      <c r="BI15" s="592" t="n">
        <v>12</v>
      </c>
      <c r="BJ15" s="597" t="n"/>
      <c r="BK15" s="431" t="inlineStr">
        <is>
          <t>DC/DC CONVERTER 1</t>
        </is>
      </c>
      <c r="BL15" s="497" t="n"/>
      <c r="BM15" s="497" t="n"/>
      <c r="BN15" s="604">
        <f>BU7</f>
        <v/>
      </c>
      <c r="BO15" s="497">
        <f>BR14</f>
        <v/>
      </c>
      <c r="BP15" s="497" t="n"/>
      <c r="BQ15" s="497" t="n"/>
      <c r="BR15" s="593">
        <f>IF(AND(BM15:BQ15),1,0)</f>
        <v/>
      </c>
      <c r="BX15" s="592" t="n">
        <v>12</v>
      </c>
      <c r="BY15" s="597" t="n"/>
      <c r="BZ15" s="431" t="inlineStr">
        <is>
          <t>DC/DC CONVERTER 1</t>
        </is>
      </c>
      <c r="CA15" s="497" t="n"/>
      <c r="CB15" s="497" t="n"/>
      <c r="CC15" s="604">
        <f>BU7</f>
        <v/>
      </c>
      <c r="CD15" s="497">
        <f>CG14</f>
        <v/>
      </c>
      <c r="CE15" s="497" t="n"/>
      <c r="CF15" s="497" t="n"/>
      <c r="CG15" s="593">
        <f>IF(AND(CB15:CF15),1,0)</f>
        <v/>
      </c>
      <c r="CI15" s="592" t="n">
        <v>12</v>
      </c>
      <c r="CJ15" s="597" t="n"/>
      <c r="CK15" s="592" t="n"/>
      <c r="CL15" s="497" t="n"/>
      <c r="CM15" s="497" t="n"/>
      <c r="CN15" s="497">
        <f>CR8</f>
        <v/>
      </c>
      <c r="CO15" s="497" t="n"/>
      <c r="CP15" s="497" t="n"/>
      <c r="CQ15" s="497" t="n"/>
      <c r="CR15" s="593">
        <f>IF(AND(CM15:CQ15),1,0)</f>
        <v/>
      </c>
      <c r="CY15" s="592" t="n">
        <v>12</v>
      </c>
      <c r="CZ15" s="597" t="inlineStr">
        <is>
          <t>JE .A01-X9 (15)
JE .A01 (+14.25)</t>
        </is>
      </c>
      <c r="DA15" s="724" t="inlineStr">
        <is>
          <t>RIO1
I_FADForcedOpn</t>
        </is>
      </c>
      <c r="DB15" s="497" t="n"/>
      <c r="DC15" s="497" t="n"/>
      <c r="DD15" s="601">
        <f>CU10</f>
        <v/>
      </c>
      <c r="DE15" s="497">
        <f>DH14</f>
        <v/>
      </c>
      <c r="DF15" s="497" t="n"/>
      <c r="DG15" s="497" t="n"/>
      <c r="DH15" s="593">
        <f>IF(AND(DC15:DG15),1,0)</f>
        <v/>
      </c>
      <c r="DK15" s="592" t="n">
        <v>12</v>
      </c>
      <c r="DL15" s="597" t="n"/>
      <c r="DM15" s="724" t="n"/>
      <c r="DN15" s="497" t="n"/>
      <c r="DO15" s="497" t="n"/>
      <c r="DP15" s="757">
        <f>DT14</f>
        <v/>
      </c>
      <c r="DQ15" s="497" t="n"/>
      <c r="DR15" s="497" t="n"/>
      <c r="DS15" s="497" t="n"/>
      <c r="DT15" s="593">
        <f>IF(AND(DO15:DS15),1,0)</f>
        <v/>
      </c>
      <c r="DV15" s="757" t="inlineStr">
        <is>
          <t>HTC</t>
        </is>
      </c>
      <c r="DW15" s="757">
        <f>'DATA TRANSFER'!AT18</f>
        <v/>
      </c>
      <c r="DX15" s="497" t="n"/>
      <c r="DZ15" s="592" t="n">
        <v>12</v>
      </c>
      <c r="EA15" s="597" t="n"/>
      <c r="EB15" s="724" t="n"/>
      <c r="EC15" s="497" t="n"/>
      <c r="ED15" s="497" t="n"/>
      <c r="EE15" s="497">
        <f>EI14</f>
        <v/>
      </c>
      <c r="EF15" s="497" t="n"/>
      <c r="EG15" s="497" t="n"/>
      <c r="EH15" s="497" t="n"/>
      <c r="EI15" s="602">
        <f>IF(AND(ED15:EH15),1,0)</f>
        <v/>
      </c>
      <c r="EO15" s="592" t="n">
        <v>12</v>
      </c>
      <c r="EP15" s="597" t="n"/>
      <c r="EQ15" s="724" t="n"/>
      <c r="ER15" s="497" t="n"/>
      <c r="ES15" s="497" t="n"/>
      <c r="ET15" s="497">
        <f>EX14</f>
        <v/>
      </c>
      <c r="EU15" s="497" t="n"/>
      <c r="EV15" s="497" t="n"/>
      <c r="EW15" s="497" t="n"/>
      <c r="EX15" s="593">
        <f>IF(AND(ES15:EW15),1,0)</f>
        <v/>
      </c>
      <c r="EZ15" s="757" t="inlineStr">
        <is>
          <t>SMRR</t>
        </is>
      </c>
      <c r="FA15" s="757">
        <f>IF(OR(FQ6=1,FQ7=1),0,1)</f>
        <v/>
      </c>
      <c r="FB15" s="497" t="n"/>
      <c r="FE15" s="592" t="n">
        <v>12</v>
      </c>
      <c r="FF15" s="597" t="n"/>
      <c r="FG15" s="724" t="n"/>
      <c r="FH15" s="497" t="n"/>
      <c r="FI15" s="497" t="n"/>
      <c r="FJ15" s="497">
        <f>FN14</f>
        <v/>
      </c>
      <c r="FK15" s="497" t="n"/>
      <c r="FL15" s="497" t="n"/>
      <c r="FM15" s="497" t="n"/>
      <c r="FN15" s="593">
        <f>IF(AND(FI15:FM15),1,0)</f>
        <v/>
      </c>
      <c r="FP15" s="757" t="inlineStr">
        <is>
          <t>SMRR</t>
        </is>
      </c>
      <c r="FQ15" s="757" t="n">
        <v>1</v>
      </c>
      <c r="FR15" s="497" t="n"/>
      <c r="FT15" s="592" t="n">
        <v>12</v>
      </c>
      <c r="FU15" s="597" t="n"/>
      <c r="FV15" s="724" t="n"/>
      <c r="FW15" s="497" t="n"/>
      <c r="FX15" s="497" t="n"/>
      <c r="FY15" s="757">
        <f>GC14</f>
        <v/>
      </c>
      <c r="FZ15" s="497" t="n"/>
      <c r="GA15" s="497" t="n"/>
      <c r="GB15" s="497" t="n"/>
      <c r="GC15" s="593">
        <f>IF(AND(FX15:GB15),1,0)</f>
        <v/>
      </c>
      <c r="GF15" s="592" t="n">
        <v>12</v>
      </c>
      <c r="GG15" s="597" t="n"/>
      <c r="GH15" s="597" t="inlineStr">
        <is>
          <t xml:space="preserve">HVAC1  SMDR </t>
        </is>
      </c>
      <c r="GI15" s="497" t="n"/>
      <c r="GJ15" s="497" t="n"/>
      <c r="GK15" s="604">
        <f>GR8</f>
        <v/>
      </c>
      <c r="GL15" s="497">
        <f>GO14</f>
        <v/>
      </c>
      <c r="GM15" s="497" t="n"/>
      <c r="GN15" s="497" t="n"/>
      <c r="GO15" s="593">
        <f>IF(AND(GJ15:GN15),1,0)</f>
        <v/>
      </c>
      <c r="GQ15" s="592" t="inlineStr">
        <is>
          <t>SFC OFF</t>
        </is>
      </c>
      <c r="GR15" s="757">
        <f>IF(OR('Mode Logic'!V18),1,0)</f>
        <v/>
      </c>
      <c r="GS15" s="497" t="n"/>
      <c r="GU15" s="592" t="n">
        <v>12</v>
      </c>
      <c r="GV15" s="597" t="n"/>
      <c r="GW15" s="724" t="n"/>
      <c r="GX15" s="497" t="n"/>
      <c r="GY15" s="497" t="n"/>
      <c r="GZ15" s="591" t="n">
        <v>1</v>
      </c>
      <c r="HA15" s="497" t="n"/>
      <c r="HB15" s="497" t="n"/>
      <c r="HC15" s="497" t="n"/>
      <c r="HD15" s="602">
        <f>IF(AND(GY15:HC15),1,0)</f>
        <v/>
      </c>
      <c r="HF15" s="724" t="inlineStr">
        <is>
          <t>TMR2</t>
        </is>
      </c>
      <c r="HG15" s="757" t="n">
        <v>1</v>
      </c>
      <c r="HH15" s="497" t="n"/>
      <c r="HK15" s="592" t="n">
        <v>12</v>
      </c>
      <c r="HL15" s="497" t="n"/>
      <c r="HM15" s="497" t="n"/>
      <c r="HN15" s="497" t="n"/>
      <c r="HO15" s="497" t="n"/>
      <c r="HP15" s="757">
        <f>HT14</f>
        <v/>
      </c>
      <c r="HQ15" s="497" t="n"/>
      <c r="HR15" s="497" t="n"/>
      <c r="HS15" s="497" t="n"/>
      <c r="HT15" s="593">
        <f>IF(AND(HO15:HS15),1,0)</f>
        <v/>
      </c>
      <c r="HV15" s="592" t="inlineStr">
        <is>
          <t>PPR2</t>
        </is>
      </c>
      <c r="HW15" s="757" t="n">
        <v>1</v>
      </c>
      <c r="HX15" s="497" t="n"/>
      <c r="HZ15" s="592" t="n">
        <v>12</v>
      </c>
      <c r="IA15" s="497" t="n"/>
      <c r="IB15" s="724" t="inlineStr">
        <is>
          <t>APS2 _B</t>
        </is>
      </c>
      <c r="IC15" s="497" t="n"/>
      <c r="ID15" s="497" t="n"/>
      <c r="IE15" s="600">
        <f>HW7</f>
        <v/>
      </c>
      <c r="IF15" s="497" t="n"/>
      <c r="IG15" s="497" t="n"/>
      <c r="IH15" s="497" t="n"/>
      <c r="II15" s="593">
        <f>IF(AND(ID15:IH15),1,0)</f>
        <v/>
      </c>
      <c r="IL15" s="592" t="n">
        <v>12</v>
      </c>
      <c r="IM15" s="497" t="n"/>
      <c r="IN15" s="724" t="inlineStr">
        <is>
          <t>24 V DC</t>
        </is>
      </c>
      <c r="IO15" s="497" t="n"/>
      <c r="IP15" s="597" t="n"/>
      <c r="IQ15" s="605">
        <f>HW17</f>
        <v/>
      </c>
      <c r="IR15" s="497" t="n"/>
      <c r="IS15" s="497" t="n"/>
      <c r="IT15" s="497" t="n"/>
      <c r="IU15" s="593">
        <f>IF(AND(IP15:IT15),1,0)</f>
        <v/>
      </c>
      <c r="IX15" s="592" t="n">
        <v>12</v>
      </c>
      <c r="IY15" s="497" t="n"/>
      <c r="IZ15" s="724" t="n"/>
      <c r="JA15" s="497" t="n"/>
      <c r="JB15" s="597" t="n"/>
      <c r="JC15" s="597">
        <f>JG14</f>
        <v/>
      </c>
      <c r="JD15" s="497" t="n"/>
      <c r="JE15" s="497" t="n"/>
      <c r="JF15" s="497" t="n"/>
      <c r="JG15" s="602">
        <f>IF(AND(JB15:JF15),1,0)</f>
        <v/>
      </c>
      <c r="JI15" s="742" t="inlineStr">
        <is>
          <t>CKT 20</t>
        </is>
      </c>
      <c r="JN15" s="592" t="n">
        <v>12</v>
      </c>
      <c r="JO15" s="497" t="n"/>
      <c r="JP15" s="724" t="inlineStr">
        <is>
          <t>HVAC2  SMDR 2</t>
        </is>
      </c>
      <c r="JQ15" s="497" t="n"/>
      <c r="JR15" s="597" t="n"/>
      <c r="JS15" s="606">
        <f>JJ19</f>
        <v/>
      </c>
      <c r="JT15" s="597">
        <f>JW14</f>
        <v/>
      </c>
      <c r="JU15" s="497" t="n"/>
      <c r="JV15" s="497" t="n"/>
      <c r="JW15" s="593">
        <f>IF(AND(JR15:JV15),1,0)</f>
        <v/>
      </c>
      <c r="JZ15" s="592" t="n">
        <v>12</v>
      </c>
      <c r="KA15" s="497" t="n"/>
      <c r="KB15" s="724" t="inlineStr">
        <is>
          <t>SFC OFF</t>
        </is>
      </c>
      <c r="KC15" s="497" t="n"/>
      <c r="KD15" s="724" t="n"/>
      <c r="KE15" s="605">
        <f>KL8</f>
        <v/>
      </c>
      <c r="KF15" s="597">
        <f>KI14</f>
        <v/>
      </c>
      <c r="KG15" s="497" t="n"/>
      <c r="KH15" s="497" t="n"/>
      <c r="KI15" s="593">
        <f>IF(AND(KD15:KH15),1,0)</f>
        <v/>
      </c>
      <c r="KK15" s="592" t="inlineStr">
        <is>
          <t xml:space="preserve">24 VDC </t>
        </is>
      </c>
      <c r="KL15" s="757" t="n">
        <v>1</v>
      </c>
      <c r="KM15" s="497" t="n"/>
      <c r="KP15" s="592" t="n">
        <v>12</v>
      </c>
      <c r="KQ15" s="497" t="n"/>
      <c r="KR15" s="724" t="n"/>
      <c r="KS15" s="497" t="n"/>
      <c r="KT15" s="724" t="n"/>
      <c r="KU15" s="724">
        <f>KY14</f>
        <v/>
      </c>
      <c r="KV15" s="724" t="n"/>
      <c r="KW15" s="497" t="n"/>
      <c r="KX15" s="497" t="n"/>
      <c r="KY15" s="593">
        <f>IF(AND(KT15:KX15),1,0)</f>
        <v/>
      </c>
      <c r="LB15" s="592" t="n">
        <v>12</v>
      </c>
      <c r="LC15" s="497" t="n"/>
      <c r="LD15" s="724" t="n"/>
      <c r="LE15" s="497" t="n"/>
      <c r="LF15" s="724" t="n"/>
      <c r="LG15" s="724">
        <f>LK5</f>
        <v/>
      </c>
      <c r="LH15" s="724" t="n"/>
      <c r="LI15" s="497" t="n"/>
      <c r="LJ15" s="497" t="n"/>
      <c r="LK15" s="593">
        <f>IF(AND(LF15:LJ15),1,0)</f>
        <v/>
      </c>
      <c r="LM15" s="724" t="inlineStr">
        <is>
          <t>SUPPLY AIR FAN 1 Pa=1.25kW P.f=0.75</t>
        </is>
      </c>
      <c r="LN15" s="757">
        <f>'DATA TRANSFER'!AT19</f>
        <v/>
      </c>
      <c r="LO15" s="497" t="n"/>
      <c r="LR15" s="592" t="n">
        <v>12</v>
      </c>
      <c r="LS15" s="497" t="n"/>
      <c r="LT15" s="724" t="n"/>
      <c r="LU15" s="497" t="n"/>
      <c r="LV15" s="724" t="n"/>
      <c r="LW15" s="724">
        <f>MA14</f>
        <v/>
      </c>
      <c r="LX15" s="724" t="n"/>
      <c r="LY15" s="497" t="n"/>
      <c r="LZ15" s="497" t="n"/>
      <c r="MA15" s="593">
        <f>IF(AND(LV15:LZ15),1,0)</f>
        <v/>
      </c>
      <c r="MC15" s="497" t="inlineStr">
        <is>
          <t xml:space="preserve">SFC OFF </t>
        </is>
      </c>
      <c r="MD15" s="757" t="n">
        <v>1</v>
      </c>
      <c r="ME15" s="497" t="n"/>
      <c r="MH15" s="592" t="n">
        <v>12</v>
      </c>
      <c r="MI15" s="497" t="n"/>
      <c r="MJ15" s="724" t="inlineStr">
        <is>
          <t>SMRR</t>
        </is>
      </c>
      <c r="MK15" s="497" t="n"/>
      <c r="ML15" s="724" t="n"/>
      <c r="MM15" s="605" t="n">
        <v>1</v>
      </c>
      <c r="MN15" s="724" t="n"/>
      <c r="MO15" s="497" t="n"/>
      <c r="MP15" s="497" t="n"/>
      <c r="MQ15" s="593">
        <f>IF(AND(ML15:MP15),1,0)</f>
        <v/>
      </c>
      <c r="MS15" s="724" t="inlineStr">
        <is>
          <t>SFC OFF</t>
        </is>
      </c>
      <c r="MT15" s="757">
        <f>IF(OR('Mode Logic'!V18),1,0)</f>
        <v/>
      </c>
      <c r="MU15" s="497" t="n"/>
    </row>
    <row r="16" ht="31.5" customHeight="1">
      <c r="A16" s="590" t="n">
        <v>13</v>
      </c>
      <c r="B16" s="497" t="n"/>
      <c r="C16" s="497" t="n"/>
      <c r="D16" s="497" t="n"/>
      <c r="E16" s="497" t="n"/>
      <c r="F16" s="757">
        <f>J15</f>
        <v/>
      </c>
      <c r="G16" s="592" t="n"/>
      <c r="H16" s="497" t="n"/>
      <c r="I16" s="497" t="n"/>
      <c r="J16" s="593">
        <f>IF(AND(E16:I16),1,0)</f>
        <v/>
      </c>
      <c r="P16" s="592" t="n">
        <v>13</v>
      </c>
      <c r="Q16" s="497" t="n"/>
      <c r="R16" s="592" t="inlineStr">
        <is>
          <t>PPR1</t>
        </is>
      </c>
      <c r="S16" s="497" t="n"/>
      <c r="T16" s="497" t="n"/>
      <c r="U16" s="600">
        <f>AB34</f>
        <v/>
      </c>
      <c r="V16" s="757">
        <f>Y12</f>
        <v/>
      </c>
      <c r="W16" s="757">
        <f>Y9</f>
        <v/>
      </c>
      <c r="X16" s="757">
        <f>Y6</f>
        <v/>
      </c>
      <c r="Y16" s="593">
        <f>IF(AND(T16:X16),1,0)</f>
        <v/>
      </c>
      <c r="AA16" s="724" t="inlineStr">
        <is>
          <t>SUPPLY AIR FAN 1 Pa=1.25kW P.f=0.76</t>
        </is>
      </c>
      <c r="AB16" s="757">
        <f>'DATA TRANSFER'!AT19</f>
        <v/>
      </c>
      <c r="AC16" s="497" t="n"/>
      <c r="AF16" s="592" t="n">
        <v>13</v>
      </c>
      <c r="AG16" s="497" t="n"/>
      <c r="AH16" s="497" t="inlineStr">
        <is>
          <t>PPR1</t>
        </is>
      </c>
      <c r="AI16" s="497" t="n"/>
      <c r="AJ16" s="497" t="n"/>
      <c r="AK16" s="600">
        <f>AB33</f>
        <v/>
      </c>
      <c r="AL16" s="757">
        <f>AO12</f>
        <v/>
      </c>
      <c r="AM16" s="757">
        <f>AO9</f>
        <v/>
      </c>
      <c r="AN16" s="757">
        <f>AO6</f>
        <v/>
      </c>
      <c r="AO16" s="593">
        <f>IF(AND(AJ16:AN16),1,0)</f>
        <v/>
      </c>
      <c r="AS16" s="592" t="n">
        <v>13</v>
      </c>
      <c r="AT16" s="497" t="n"/>
      <c r="AU16" s="497" t="n"/>
      <c r="AV16" s="497" t="n"/>
      <c r="AW16" s="497">
        <f>BB15</f>
        <v/>
      </c>
      <c r="AX16" s="497" t="n"/>
      <c r="AY16" s="497" t="n"/>
      <c r="AZ16" s="497" t="n"/>
      <c r="BA16" s="497" t="n"/>
      <c r="BB16" s="593">
        <f>IF(AND(AW16:BA16),1,0)</f>
        <v/>
      </c>
      <c r="BI16" s="592" t="n">
        <v>13</v>
      </c>
      <c r="BJ16" s="497" t="n"/>
      <c r="BK16" s="497" t="n"/>
      <c r="BL16" s="497" t="n"/>
      <c r="BM16" s="497" t="n"/>
      <c r="BN16" s="609">
        <f>BR15</f>
        <v/>
      </c>
      <c r="BO16" s="497" t="n"/>
      <c r="BP16" s="497" t="n"/>
      <c r="BQ16" s="497" t="n"/>
      <c r="BR16" s="593">
        <f>IF(AND(BM16:BQ16),1,0)</f>
        <v/>
      </c>
      <c r="BX16" s="592" t="n">
        <v>13</v>
      </c>
      <c r="BY16" s="497" t="n"/>
      <c r="BZ16" s="497" t="n"/>
      <c r="CA16" s="497" t="n"/>
      <c r="CB16" s="497" t="n"/>
      <c r="CC16" s="609">
        <f>CG15</f>
        <v/>
      </c>
      <c r="CD16" s="497" t="n"/>
      <c r="CE16" s="497" t="n"/>
      <c r="CF16" s="497" t="n"/>
      <c r="CG16" s="593">
        <f>IF(AND(CB16:CF16),1,0)</f>
        <v/>
      </c>
      <c r="CI16" s="592" t="n">
        <v>13</v>
      </c>
      <c r="CJ16" s="724" t="inlineStr">
        <is>
          <t>UD .X63.22-F 1 +63.20</t>
        </is>
      </c>
      <c r="CK16" s="592" t="n"/>
      <c r="CL16" s="497" t="n"/>
      <c r="CM16" s="497" t="n"/>
      <c r="CN16" s="497">
        <f>CR15</f>
        <v/>
      </c>
      <c r="CO16" s="497" t="n"/>
      <c r="CP16" s="497" t="n"/>
      <c r="CQ16" s="497" t="n"/>
      <c r="CR16" s="593">
        <f>IF(AND(CM16:CQ16),1,0)</f>
        <v/>
      </c>
      <c r="CY16" s="592" t="n">
        <v>13</v>
      </c>
      <c r="CZ16" s="592" t="n"/>
      <c r="DA16" s="497" t="n"/>
      <c r="DB16" s="497" t="n"/>
      <c r="DC16" s="497" t="n"/>
      <c r="DD16" s="497">
        <f>DH13</f>
        <v/>
      </c>
      <c r="DE16" s="497" t="n"/>
      <c r="DF16" s="497" t="n"/>
      <c r="DG16" s="497" t="n"/>
      <c r="DH16" s="593">
        <f>IF(AND(DC16:DG16),1,0)</f>
        <v/>
      </c>
      <c r="DK16" s="592" t="n">
        <v>13</v>
      </c>
      <c r="DL16" s="757" t="inlineStr">
        <is>
          <t>LAS03(14.30)</t>
        </is>
      </c>
      <c r="DM16" s="757" t="inlineStr">
        <is>
          <t>CACS</t>
        </is>
      </c>
      <c r="DN16" s="497" t="n"/>
      <c r="DO16" s="497" t="n"/>
      <c r="DP16" s="600">
        <f>DW8</f>
        <v/>
      </c>
      <c r="DQ16" s="497">
        <f>DT15</f>
        <v/>
      </c>
      <c r="DR16" s="497" t="n"/>
      <c r="DS16" s="497" t="n"/>
      <c r="DT16" s="593">
        <f>IF(AND(DO16:DS16),1,0)</f>
        <v/>
      </c>
      <c r="DV16" s="597" t="inlineStr">
        <is>
          <t>ELECTRICAL HEATING P=1.5 KW</t>
        </is>
      </c>
      <c r="DW16" s="757">
        <f>'DATA TRANSFER'!AT18</f>
        <v/>
      </c>
      <c r="DX16" s="497" t="n"/>
      <c r="DZ16" s="592" t="n">
        <v>13</v>
      </c>
      <c r="EA16" s="592" t="n"/>
      <c r="EB16" s="592" t="inlineStr">
        <is>
          <t>FROM APS 415 VAC</t>
        </is>
      </c>
      <c r="EC16" s="497" t="n"/>
      <c r="ED16" s="497" t="n"/>
      <c r="EE16" s="601">
        <f>EL7</f>
        <v/>
      </c>
      <c r="EF16" s="497" t="n"/>
      <c r="EG16" s="497" t="n"/>
      <c r="EH16" s="497" t="n"/>
      <c r="EI16" s="602">
        <f>IF(AND(ED16:EH16),1,0)</f>
        <v/>
      </c>
      <c r="EO16" s="592" t="n">
        <v>13</v>
      </c>
      <c r="EP16" s="592" t="n"/>
      <c r="EQ16" s="757" t="inlineStr">
        <is>
          <t>FADR-110VDC</t>
        </is>
      </c>
      <c r="ER16" s="497" t="n"/>
      <c r="ES16" s="497" t="n"/>
      <c r="ET16" s="596" t="n">
        <v>1</v>
      </c>
      <c r="EU16" s="497" t="n"/>
      <c r="EV16" s="497" t="n"/>
      <c r="EW16" s="497" t="n"/>
      <c r="EX16" s="593">
        <f>IF(AND(ES16:EW16),1,0)</f>
        <v/>
      </c>
      <c r="EZ16" s="592" t="inlineStr">
        <is>
          <t>SFC OFF</t>
        </is>
      </c>
      <c r="FA16" s="757">
        <f>IF(OR('Mode Logic'!V18),1,0)</f>
        <v/>
      </c>
      <c r="FB16" s="497" t="n"/>
      <c r="FE16" s="592" t="n">
        <v>13</v>
      </c>
      <c r="FF16" s="592" t="n"/>
      <c r="FG16" s="757" t="inlineStr">
        <is>
          <t>FADR-110VDC</t>
        </is>
      </c>
      <c r="FH16" s="497" t="n"/>
      <c r="FI16" s="497" t="n"/>
      <c r="FJ16" s="601" t="n">
        <v>1</v>
      </c>
      <c r="FK16" s="497" t="n"/>
      <c r="FL16" s="497" t="n"/>
      <c r="FM16" s="497" t="n"/>
      <c r="FN16" s="593">
        <f>IF(AND(FI16:FM16),1,0)</f>
        <v/>
      </c>
      <c r="FP16" s="592" t="inlineStr">
        <is>
          <t>SFC OFF</t>
        </is>
      </c>
      <c r="FQ16" s="757" t="n">
        <v>1</v>
      </c>
      <c r="FR16" s="497" t="n"/>
      <c r="FT16" s="592" t="n">
        <v>13</v>
      </c>
      <c r="FU16" s="592" t="n"/>
      <c r="FV16" s="757" t="inlineStr">
        <is>
          <t xml:space="preserve">FADR -110VDC </t>
        </is>
      </c>
      <c r="FW16" s="497" t="n"/>
      <c r="FX16" s="497" t="n"/>
      <c r="FY16" s="600">
        <f>FQ8</f>
        <v/>
      </c>
      <c r="FZ16" s="497" t="n"/>
      <c r="GA16" s="497" t="n"/>
      <c r="GB16" s="497" t="n"/>
      <c r="GC16" s="593">
        <f>IF(AND(FX16:GB16),1,0)</f>
        <v/>
      </c>
      <c r="GF16" s="592" t="n">
        <v>13</v>
      </c>
      <c r="GG16" s="592" t="n"/>
      <c r="GH16" s="497" t="n"/>
      <c r="GI16" s="497" t="n"/>
      <c r="GJ16" s="497" t="n"/>
      <c r="GK16" s="592">
        <f>GO15</f>
        <v/>
      </c>
      <c r="GL16" s="497" t="n"/>
      <c r="GM16" s="497" t="n"/>
      <c r="GN16" s="497" t="n"/>
      <c r="GO16" s="593">
        <f>IF(AND(GJ16:GN16),1,0)</f>
        <v/>
      </c>
      <c r="GU16" s="592" t="n">
        <v>13</v>
      </c>
      <c r="GV16" s="592" t="n"/>
      <c r="GW16" s="497" t="n"/>
      <c r="GX16" s="497" t="n"/>
      <c r="GY16" s="497" t="n"/>
      <c r="GZ16" s="757">
        <f>HD50</f>
        <v/>
      </c>
      <c r="HA16" s="497" t="n"/>
      <c r="HB16" s="497" t="n"/>
      <c r="HC16" s="497" t="n"/>
      <c r="HD16" s="602">
        <f>IF(AND(GY16:HC16),1,0)</f>
        <v/>
      </c>
      <c r="HF16" s="592" t="inlineStr">
        <is>
          <t>24 V HEC</t>
        </is>
      </c>
      <c r="HG16" s="757" t="n">
        <v>1</v>
      </c>
      <c r="HH16" s="497" t="n"/>
      <c r="HK16" s="592" t="n">
        <v>13</v>
      </c>
      <c r="HL16" s="497" t="n"/>
      <c r="HM16" s="497" t="n"/>
      <c r="HN16" s="497" t="n"/>
      <c r="HO16" s="497" t="n"/>
      <c r="HP16" s="757">
        <f>HT7</f>
        <v/>
      </c>
      <c r="HQ16" s="497" t="n"/>
      <c r="HR16" s="497" t="n"/>
      <c r="HS16" s="497" t="n"/>
      <c r="HT16" s="593">
        <f>IF(AND(HO16:HS16),1,0)</f>
        <v/>
      </c>
      <c r="HV16" s="592" t="inlineStr">
        <is>
          <t>TMR1</t>
        </is>
      </c>
      <c r="HW16" s="757" t="n">
        <v>1</v>
      </c>
      <c r="HX16" s="497" t="n"/>
      <c r="HZ16" s="592" t="n">
        <v>13</v>
      </c>
      <c r="IA16" s="497" t="n"/>
      <c r="IB16" s="497" t="n"/>
      <c r="IC16" s="497" t="n"/>
      <c r="ID16" s="497" t="n"/>
      <c r="IE16" s="757">
        <f>II15</f>
        <v/>
      </c>
      <c r="IF16" s="497" t="n"/>
      <c r="IG16" s="497" t="n"/>
      <c r="IH16" s="497" t="n"/>
      <c r="II16" s="593">
        <f>IF(AND(ID16:IH16),1,0)</f>
        <v/>
      </c>
      <c r="IL16" s="592" t="n">
        <v>13</v>
      </c>
      <c r="IM16" s="497" t="n"/>
      <c r="IN16" s="724" t="inlineStr">
        <is>
          <t>ESAFC</t>
        </is>
      </c>
      <c r="IO16" s="497" t="n"/>
      <c r="IP16" s="597" t="n"/>
      <c r="IQ16" s="605">
        <f>IF(OR('Mode Logic'!U18:V18),1,0)</f>
        <v/>
      </c>
      <c r="IR16" s="497">
        <f>IU15</f>
        <v/>
      </c>
      <c r="IS16" s="497" t="n"/>
      <c r="IT16" s="497" t="n"/>
      <c r="IU16" s="593">
        <f>IF(AND(IP16:IT16),1,0)</f>
        <v/>
      </c>
      <c r="IX16" s="592" t="n">
        <v>13</v>
      </c>
      <c r="IY16" s="497" t="n"/>
      <c r="IZ16" s="724" t="n"/>
      <c r="JA16" s="497" t="n"/>
      <c r="JB16" s="597" t="n"/>
      <c r="JC16" s="597">
        <f>JG14</f>
        <v/>
      </c>
      <c r="JD16" s="497" t="n"/>
      <c r="JE16" s="497" t="n"/>
      <c r="JF16" s="497" t="n"/>
      <c r="JG16" s="602">
        <f>IF(AND(JB16:JF16),1,0)</f>
        <v/>
      </c>
      <c r="JI16" s="594" t="inlineStr">
        <is>
          <t>COMPONENT</t>
        </is>
      </c>
      <c r="JJ16" s="594" t="n"/>
      <c r="JK16" s="594" t="inlineStr">
        <is>
          <t>REMARK</t>
        </is>
      </c>
      <c r="JN16" s="592" t="n">
        <v>13</v>
      </c>
      <c r="JO16" s="497" t="n"/>
      <c r="JP16" s="757" t="n"/>
      <c r="JQ16" s="497" t="n"/>
      <c r="JR16" s="597" t="n"/>
      <c r="JS16" s="597">
        <f>JW15</f>
        <v/>
      </c>
      <c r="JT16" s="597" t="n"/>
      <c r="JU16" s="497" t="n"/>
      <c r="JV16" s="497" t="n"/>
      <c r="JW16" s="593">
        <f>IF(AND(JR16:JV16),1,0)</f>
        <v/>
      </c>
      <c r="JZ16" s="592" t="n">
        <v>13</v>
      </c>
      <c r="KA16" s="497" t="n"/>
      <c r="KB16" s="724" t="n"/>
      <c r="KC16" s="497" t="n"/>
      <c r="KD16" s="724" t="n"/>
      <c r="KE16" s="724">
        <f>KI15</f>
        <v/>
      </c>
      <c r="KF16" s="597" t="n"/>
      <c r="KG16" s="497" t="n"/>
      <c r="KH16" s="497" t="n"/>
      <c r="KI16" s="593">
        <f>IF(AND(KD16:KH16),1,0)</f>
        <v/>
      </c>
      <c r="KK16" s="592" t="inlineStr">
        <is>
          <t>110 V DC</t>
        </is>
      </c>
      <c r="KL16" s="757" t="n">
        <v>1</v>
      </c>
      <c r="KM16" s="497" t="n"/>
      <c r="KP16" s="592" t="n">
        <v>13</v>
      </c>
      <c r="KQ16" s="267" t="inlineStr">
        <is>
          <t>X2</t>
        </is>
      </c>
      <c r="KR16" s="724" t="inlineStr">
        <is>
          <t>APS 2 415 V AC B</t>
        </is>
      </c>
      <c r="KS16" s="497" t="n"/>
      <c r="KT16" s="724" t="n"/>
      <c r="KU16" s="605">
        <f>KL18</f>
        <v/>
      </c>
      <c r="KV16" s="724" t="n"/>
      <c r="KW16" s="497" t="n"/>
      <c r="KX16" s="497" t="n"/>
      <c r="KY16" s="593">
        <f>IF(AND(KT16:KX16),1,0)</f>
        <v/>
      </c>
      <c r="LB16" s="592" t="n">
        <v>13</v>
      </c>
      <c r="LC16" s="497" t="n"/>
      <c r="LD16" s="724" t="n"/>
      <c r="LE16" s="497" t="n"/>
      <c r="LF16" s="724" t="n"/>
      <c r="LG16" s="724">
        <f>LK24</f>
        <v/>
      </c>
      <c r="LH16" s="724">
        <f>LK15</f>
        <v/>
      </c>
      <c r="LI16" s="497" t="n"/>
      <c r="LJ16" s="497" t="n"/>
      <c r="LK16" s="593">
        <f>IF(AND(LF16:LJ16),1,0)</f>
        <v/>
      </c>
      <c r="LM16" s="724" t="inlineStr">
        <is>
          <t>SUPPLY AIR FAN 1 Pa=1.25kW P.f=0.76</t>
        </is>
      </c>
      <c r="LN16" s="757">
        <f>'DATA TRANSFER'!AT19</f>
        <v/>
      </c>
      <c r="LO16" s="497" t="n"/>
      <c r="LR16" s="592" t="n">
        <v>13</v>
      </c>
      <c r="LS16" s="497" t="n"/>
      <c r="LT16" s="724" t="n"/>
      <c r="LU16" s="497" t="n"/>
      <c r="LV16" s="724" t="n"/>
      <c r="LW16" s="724">
        <f>MA15</f>
        <v/>
      </c>
      <c r="LX16" s="724" t="n"/>
      <c r="LY16" s="497" t="n"/>
      <c r="LZ16" s="497" t="n"/>
      <c r="MA16" s="593">
        <f>IF(AND(LV16:LZ16),1,0)</f>
        <v/>
      </c>
      <c r="MC16" s="497" t="inlineStr">
        <is>
          <t>24 V DC</t>
        </is>
      </c>
      <c r="MD16" s="757" t="n">
        <v>1</v>
      </c>
      <c r="ME16" s="497" t="n"/>
      <c r="MH16" s="592" t="n">
        <v>13</v>
      </c>
      <c r="MI16" s="497" t="n"/>
      <c r="MJ16" s="497" t="n"/>
      <c r="MK16" s="497" t="n"/>
      <c r="ML16" s="497" t="n"/>
      <c r="MM16" s="598" t="n">
        <v>1</v>
      </c>
      <c r="MN16" s="497" t="n"/>
      <c r="MO16" s="497" t="n"/>
      <c r="MP16" s="497" t="n"/>
      <c r="MQ16" s="593">
        <f>IF(AND(ML16:MP16),1,0)</f>
        <v/>
      </c>
      <c r="MS16" s="724" t="inlineStr">
        <is>
          <t>SMRR</t>
        </is>
      </c>
      <c r="MT16" s="757" t="n">
        <v>1</v>
      </c>
      <c r="MU16" s="497" t="n"/>
    </row>
    <row r="17" ht="42.75" customHeight="1">
      <c r="A17" s="590" t="n">
        <v>14</v>
      </c>
      <c r="B17" s="497" t="n"/>
      <c r="C17" s="497" t="n"/>
      <c r="D17" s="497" t="n"/>
      <c r="E17" s="497" t="n"/>
      <c r="F17" s="757">
        <f>J16</f>
        <v/>
      </c>
      <c r="G17" s="592" t="n"/>
      <c r="H17" s="497" t="n"/>
      <c r="I17" s="497" t="n"/>
      <c r="J17" s="593">
        <f>IF(AND(E17:I17),1,0)</f>
        <v/>
      </c>
      <c r="P17" s="592" t="n">
        <v>14</v>
      </c>
      <c r="Q17" s="497" t="n"/>
      <c r="R17" s="592" t="n"/>
      <c r="S17" s="497" t="n"/>
      <c r="T17" s="497" t="n"/>
      <c r="U17" s="757">
        <f>Y6</f>
        <v/>
      </c>
      <c r="V17" s="497" t="n"/>
      <c r="W17" s="497" t="n"/>
      <c r="X17" s="497" t="n"/>
      <c r="Y17" s="593">
        <f>IF(AND(T17:X17),1,0)</f>
        <v/>
      </c>
      <c r="AA17" s="597" t="inlineStr">
        <is>
          <t>COMPRESSOR 1 (3A) Pa=7.5kW P.f=0.75</t>
        </is>
      </c>
      <c r="AB17" s="757">
        <f>'Mode Logic'!L18</f>
        <v/>
      </c>
      <c r="AC17" s="497" t="n"/>
      <c r="AF17" s="592" t="n">
        <v>14</v>
      </c>
      <c r="AG17" s="497" t="n"/>
      <c r="AH17" s="497" t="n"/>
      <c r="AI17" s="497" t="n"/>
      <c r="AJ17" s="497" t="n"/>
      <c r="AK17" s="757">
        <f>AO6</f>
        <v/>
      </c>
      <c r="AL17" s="497" t="n"/>
      <c r="AM17" s="497" t="n"/>
      <c r="AN17" s="497" t="n"/>
      <c r="AO17" s="593">
        <f>IF(AND(AJ17:AN17),1,0)</f>
        <v/>
      </c>
      <c r="AS17" s="592" t="n">
        <v>14</v>
      </c>
      <c r="AT17" s="497" t="n"/>
      <c r="AU17" s="497" t="n"/>
      <c r="AV17" s="497" t="n"/>
      <c r="AW17" s="497">
        <f>BB16</f>
        <v/>
      </c>
      <c r="AX17" s="497" t="n"/>
      <c r="AY17" s="497" t="n"/>
      <c r="AZ17" s="497" t="n"/>
      <c r="BA17" s="497" t="n"/>
      <c r="BB17" s="593">
        <f>IF(AND(AW17:BA17),1,0)</f>
        <v/>
      </c>
      <c r="BI17" s="592" t="n">
        <v>14</v>
      </c>
      <c r="BJ17" s="497" t="n"/>
      <c r="BK17" s="497" t="n"/>
      <c r="BL17" s="497" t="n"/>
      <c r="BM17" s="497" t="n"/>
      <c r="BN17" s="592">
        <f>BR16</f>
        <v/>
      </c>
      <c r="BO17" s="497" t="n"/>
      <c r="BP17" s="497" t="n"/>
      <c r="BQ17" s="497" t="n"/>
      <c r="BR17" s="593">
        <f>IF(AND(BM17:BQ17),1,0)</f>
        <v/>
      </c>
      <c r="BX17" s="592" t="n">
        <v>14</v>
      </c>
      <c r="BY17" s="497" t="n"/>
      <c r="BZ17" s="497" t="n"/>
      <c r="CA17" s="497" t="n"/>
      <c r="CB17" s="497" t="n"/>
      <c r="CC17" s="592">
        <f>CG16</f>
        <v/>
      </c>
      <c r="CD17" s="497" t="n"/>
      <c r="CE17" s="497" t="n"/>
      <c r="CF17" s="497" t="n"/>
      <c r="CG17" s="593">
        <f>IF(AND(CB17:CF17),1,0)</f>
        <v/>
      </c>
      <c r="CI17" s="592" t="n">
        <v>14</v>
      </c>
      <c r="CJ17" s="497" t="n"/>
      <c r="CK17" s="497" t="n"/>
      <c r="CL17" s="497" t="n"/>
      <c r="CM17" s="497" t="n"/>
      <c r="CN17" s="497">
        <f>CR15</f>
        <v/>
      </c>
      <c r="CO17" s="497" t="n"/>
      <c r="CP17" s="497" t="n"/>
      <c r="CQ17" s="497" t="n"/>
      <c r="CR17" s="593">
        <f>IF(AND(CM17:CQ17),1,0)</f>
        <v/>
      </c>
      <c r="CY17" s="592" t="n">
        <v>14</v>
      </c>
      <c r="CZ17" s="597" t="inlineStr">
        <is>
          <t>JE .A01-X9 (15)
JE .A01 (+14.25)</t>
        </is>
      </c>
      <c r="DA17" s="724" t="inlineStr">
        <is>
          <t>RIO2
I_FADForcedOpn</t>
        </is>
      </c>
      <c r="DB17" s="497" t="n"/>
      <c r="DC17" s="497" t="n"/>
      <c r="DD17" s="601">
        <f>CU10</f>
        <v/>
      </c>
      <c r="DE17" s="497">
        <f>DH16</f>
        <v/>
      </c>
      <c r="DF17" s="497" t="n"/>
      <c r="DG17" s="497" t="n"/>
      <c r="DH17" s="593">
        <f>IF(AND(DC17:DG17),1,0)</f>
        <v/>
      </c>
      <c r="DK17" s="592" t="n">
        <v>14</v>
      </c>
      <c r="DL17" s="597" t="n"/>
      <c r="DM17" s="724" t="n"/>
      <c r="DN17" s="497" t="n"/>
      <c r="DO17" s="497" t="n"/>
      <c r="DP17" s="757">
        <f>DT16</f>
        <v/>
      </c>
      <c r="DQ17" s="497" t="n"/>
      <c r="DR17" s="497" t="n"/>
      <c r="DS17" s="497" t="n"/>
      <c r="DT17" s="593">
        <f>IF(AND(DO17:DS17),1,0)</f>
        <v/>
      </c>
      <c r="DV17" s="497" t="inlineStr">
        <is>
          <t>HTCN</t>
        </is>
      </c>
      <c r="DW17" s="757" t="n">
        <v>1</v>
      </c>
      <c r="DX17" s="497" t="n"/>
      <c r="DZ17" s="592" t="n">
        <v>14</v>
      </c>
      <c r="EA17" s="597" t="n"/>
      <c r="EB17" s="724" t="n"/>
      <c r="EC17" s="497" t="n"/>
      <c r="ED17" s="497" t="n"/>
      <c r="EE17" s="497">
        <f>EI16</f>
        <v/>
      </c>
      <c r="EF17" s="497" t="n"/>
      <c r="EG17" s="497" t="n"/>
      <c r="EH17" s="497" t="n"/>
      <c r="EI17" s="602">
        <f>IF(AND(ED17:EH17),1,0)</f>
        <v/>
      </c>
      <c r="EO17" s="592" t="n">
        <v>14</v>
      </c>
      <c r="EP17" s="597" t="n"/>
      <c r="EQ17" s="724" t="n"/>
      <c r="ER17" s="497" t="n"/>
      <c r="ES17" s="497" t="n"/>
      <c r="ET17" s="497">
        <f>EX16</f>
        <v/>
      </c>
      <c r="EU17" s="497" t="n"/>
      <c r="EV17" s="497" t="n"/>
      <c r="EW17" s="497" t="n"/>
      <c r="EX17" s="593">
        <f>IF(AND(ES17:EW17),1,0)</f>
        <v/>
      </c>
      <c r="EZ17" s="592" t="inlineStr">
        <is>
          <t>FADR</t>
        </is>
      </c>
      <c r="FA17" s="757" t="n">
        <v>1</v>
      </c>
      <c r="FB17" s="497" t="n"/>
      <c r="FE17" s="592" t="n">
        <v>14</v>
      </c>
      <c r="FF17" s="597" t="n"/>
      <c r="FG17" s="724" t="n"/>
      <c r="FH17" s="497" t="n"/>
      <c r="FI17" s="497" t="n"/>
      <c r="FJ17" s="497">
        <f>FN16</f>
        <v/>
      </c>
      <c r="FK17" s="497" t="n"/>
      <c r="FL17" s="497" t="n"/>
      <c r="FM17" s="497" t="n"/>
      <c r="FN17" s="593">
        <f>IF(AND(FI17:FM17),1,0)</f>
        <v/>
      </c>
      <c r="FP17" s="592" t="inlineStr">
        <is>
          <t>FADR</t>
        </is>
      </c>
      <c r="FQ17" s="757" t="n">
        <v>1</v>
      </c>
      <c r="FR17" s="497" t="n"/>
      <c r="FT17" s="592" t="n">
        <v>14</v>
      </c>
      <c r="FU17" s="597" t="n"/>
      <c r="FV17" s="724" t="n"/>
      <c r="FW17" s="497" t="n"/>
      <c r="FX17" s="497" t="n"/>
      <c r="FY17" s="757">
        <f>GC16</f>
        <v/>
      </c>
      <c r="FZ17" s="497" t="n"/>
      <c r="GA17" s="497" t="n"/>
      <c r="GB17" s="497" t="n"/>
      <c r="GC17" s="593">
        <f>IF(AND(FX17:GB17),1,0)</f>
        <v/>
      </c>
      <c r="GF17" s="592" t="n">
        <v>14</v>
      </c>
      <c r="GG17" s="597" t="n"/>
      <c r="GH17" s="597" t="inlineStr">
        <is>
          <t xml:space="preserve">HVAC2  SMDR </t>
        </is>
      </c>
      <c r="GI17" s="497" t="n"/>
      <c r="GJ17" s="497" t="n"/>
      <c r="GK17" s="604">
        <f>GR8</f>
        <v/>
      </c>
      <c r="GL17" s="497">
        <f>GO14</f>
        <v/>
      </c>
      <c r="GM17" s="497" t="n"/>
      <c r="GN17" s="497" t="n"/>
      <c r="GO17" s="593">
        <f>IF(AND(GJ17:GN17),1,0)</f>
        <v/>
      </c>
      <c r="GU17" s="592" t="n">
        <v>14</v>
      </c>
      <c r="GV17" s="597" t="n"/>
      <c r="GW17" s="724" t="n"/>
      <c r="GX17" s="497" t="n"/>
      <c r="GY17" s="497" t="n"/>
      <c r="GZ17" s="757">
        <f>HD16</f>
        <v/>
      </c>
      <c r="HA17" s="497" t="n"/>
      <c r="HB17" s="497" t="n"/>
      <c r="HC17" s="497" t="n"/>
      <c r="HD17" s="602">
        <f>IF(AND(GY17:HC17),1,0)</f>
        <v/>
      </c>
      <c r="HF17" s="497" t="inlineStr">
        <is>
          <t xml:space="preserve">RAD OPEN </t>
        </is>
      </c>
      <c r="HG17" s="757" t="n">
        <v>1</v>
      </c>
      <c r="HH17" s="497" t="n"/>
      <c r="HK17" s="592" t="n">
        <v>14</v>
      </c>
      <c r="HL17" s="497" t="n"/>
      <c r="HM17" s="497" t="n"/>
      <c r="HN17" s="497" t="n"/>
      <c r="HO17" s="497" t="n"/>
      <c r="HP17" s="757">
        <f>HT12</f>
        <v/>
      </c>
      <c r="HQ17" s="497" t="n"/>
      <c r="HR17" s="497" t="n"/>
      <c r="HS17" s="497" t="n"/>
      <c r="HT17" s="593">
        <f>IF(AND(HO17:HS17),1,0)</f>
        <v/>
      </c>
      <c r="HV17" s="592" t="inlineStr">
        <is>
          <t xml:space="preserve">24 VDC </t>
        </is>
      </c>
      <c r="HW17" s="757" t="n">
        <v>1</v>
      </c>
      <c r="HX17" s="497" t="n"/>
      <c r="HZ17" s="592" t="n">
        <v>14</v>
      </c>
      <c r="IA17" s="497" t="n"/>
      <c r="IB17" s="724" t="inlineStr">
        <is>
          <t>PPR2</t>
        </is>
      </c>
      <c r="IC17" s="497" t="n"/>
      <c r="ID17" s="497" t="n"/>
      <c r="IE17" s="757">
        <f>HW15</f>
        <v/>
      </c>
      <c r="IF17" s="497" t="n"/>
      <c r="IG17" s="497" t="n"/>
      <c r="IH17" s="497" t="n"/>
      <c r="II17" s="593">
        <f>IF(AND(ID17:IH17),1,0)</f>
        <v/>
      </c>
      <c r="IL17" s="592" t="n">
        <v>14</v>
      </c>
      <c r="IM17" s="497" t="n"/>
      <c r="IN17" s="724" t="n"/>
      <c r="IO17" s="497" t="n"/>
      <c r="IP17" s="597" t="n"/>
      <c r="IQ17" s="597">
        <f>IU16</f>
        <v/>
      </c>
      <c r="IR17" s="497" t="n"/>
      <c r="IS17" s="497" t="n"/>
      <c r="IT17" s="497" t="n"/>
      <c r="IU17" s="593">
        <f>IF(AND(IP17:IT17),1,0)</f>
        <v/>
      </c>
      <c r="IX17" s="592" t="n">
        <v>14</v>
      </c>
      <c r="IY17" s="497" t="n"/>
      <c r="IZ17" s="724" t="inlineStr">
        <is>
          <t xml:space="preserve">24 VDC </t>
        </is>
      </c>
      <c r="JA17" s="497" t="n"/>
      <c r="JB17" s="597" t="n"/>
      <c r="JC17" s="606">
        <f>JJ5</f>
        <v/>
      </c>
      <c r="JD17" s="497" t="n"/>
      <c r="JE17" s="497" t="n"/>
      <c r="JF17" s="497" t="n"/>
      <c r="JG17" s="602">
        <f>IF(AND(JB17:JF17),1,0)</f>
        <v/>
      </c>
      <c r="JI17" s="592" t="inlineStr">
        <is>
          <t xml:space="preserve">24 VDC </t>
        </is>
      </c>
      <c r="JJ17" s="757" t="n">
        <v>1</v>
      </c>
      <c r="JK17" s="497" t="n"/>
      <c r="JN17" s="592" t="n">
        <v>14</v>
      </c>
      <c r="JO17" s="497" t="n"/>
      <c r="JQ17" s="497" t="n"/>
      <c r="JR17" s="597" t="n"/>
      <c r="JS17" s="597">
        <f>JW9</f>
        <v/>
      </c>
      <c r="JT17" s="597" t="n"/>
      <c r="JU17" s="497" t="n"/>
      <c r="JV17" s="497" t="n"/>
      <c r="JW17" s="593">
        <f>IF(AND(JR17:JV17),1,0)</f>
        <v/>
      </c>
      <c r="JZ17" s="592" t="n">
        <v>14</v>
      </c>
      <c r="KA17" s="497" t="n"/>
      <c r="KB17" s="724" t="n"/>
      <c r="KC17" s="497" t="n"/>
      <c r="KD17" s="724" t="n"/>
      <c r="KE17" s="724">
        <f>KI16</f>
        <v/>
      </c>
      <c r="KF17" s="597" t="n"/>
      <c r="KG17" s="497" t="n"/>
      <c r="KH17" s="497" t="n"/>
      <c r="KI17" s="593">
        <f>IF(AND(KD17:KH17),1,0)</f>
        <v/>
      </c>
      <c r="KK17" s="724" t="inlineStr">
        <is>
          <t>APS 1</t>
        </is>
      </c>
      <c r="KL17" s="757" t="n">
        <v>1</v>
      </c>
      <c r="KM17" s="497" t="n"/>
      <c r="KP17" s="592" t="n">
        <v>14</v>
      </c>
      <c r="KQ17" s="497" t="n"/>
      <c r="KR17" s="757" t="n"/>
      <c r="KS17" s="497" t="n"/>
      <c r="KT17" s="724" t="n"/>
      <c r="KU17" s="724">
        <f>KY16</f>
        <v/>
      </c>
      <c r="KV17" s="724" t="n"/>
      <c r="KW17" s="497" t="n"/>
      <c r="KX17" s="497" t="n"/>
      <c r="KY17" s="593">
        <f>IF(AND(KT17:KX17),1,0)</f>
        <v/>
      </c>
      <c r="LB17" s="592" t="n">
        <v>14</v>
      </c>
      <c r="LC17" s="497" t="n"/>
      <c r="LD17" s="724" t="n"/>
      <c r="LE17" s="497" t="n"/>
      <c r="LF17" s="724" t="n"/>
      <c r="LG17" s="724">
        <f>LK26</f>
        <v/>
      </c>
      <c r="LH17" s="724">
        <f>LK16</f>
        <v/>
      </c>
      <c r="LI17" s="497" t="n"/>
      <c r="LJ17" s="497" t="n"/>
      <c r="LK17" s="593">
        <f>IF(AND(LF17:LJ17),1,0)</f>
        <v/>
      </c>
      <c r="LM17" s="597" t="inlineStr">
        <is>
          <t>COMPRESSOR 1 (3A) Pa=7.5kW P.f=0.75</t>
        </is>
      </c>
      <c r="LN17" s="757">
        <f>'DATA TRANSFER'!AT15</f>
        <v/>
      </c>
      <c r="LO17" s="497" t="n"/>
      <c r="LR17" s="592" t="n">
        <v>14</v>
      </c>
      <c r="LS17" s="497" t="n"/>
      <c r="LT17" s="724" t="n"/>
      <c r="LU17" s="497" t="n"/>
      <c r="LV17" s="724" t="n"/>
      <c r="LW17" s="724">
        <f>MA16</f>
        <v/>
      </c>
      <c r="LX17" s="724" t="n"/>
      <c r="LY17" s="497" t="n"/>
      <c r="LZ17" s="497" t="n"/>
      <c r="MA17" s="593">
        <f>IF(AND(LV17:LZ17),1,0)</f>
        <v/>
      </c>
      <c r="MH17" s="592" t="n">
        <v>14</v>
      </c>
      <c r="MI17" s="497" t="n"/>
      <c r="MJ17" s="724" t="inlineStr">
        <is>
          <t>HCR</t>
        </is>
      </c>
      <c r="MK17" s="497" t="n"/>
      <c r="ML17" s="724" t="n"/>
      <c r="MM17" s="605">
        <f>MT10</f>
        <v/>
      </c>
      <c r="MN17" s="724">
        <f>MQ12</f>
        <v/>
      </c>
      <c r="MO17" s="497" t="n"/>
      <c r="MP17" s="497" t="n"/>
      <c r="MQ17" s="593">
        <f>IF(AND(ML17:MP17),1,0)</f>
        <v/>
      </c>
      <c r="MS17" s="724" t="inlineStr">
        <is>
          <t>TCR 6</t>
        </is>
      </c>
      <c r="MT17" s="757" t="n">
        <v>1</v>
      </c>
      <c r="MU17" s="497" t="n"/>
    </row>
    <row r="18" ht="57" customHeight="1">
      <c r="A18" s="590" t="n">
        <v>15</v>
      </c>
      <c r="B18" s="497" t="n"/>
      <c r="C18" s="757" t="inlineStr">
        <is>
          <t>FAN2 P=60W</t>
        </is>
      </c>
      <c r="D18" s="497" t="n"/>
      <c r="E18" s="497" t="n"/>
      <c r="F18" s="613">
        <f>M10</f>
        <v/>
      </c>
      <c r="G18" s="592">
        <f>J17</f>
        <v/>
      </c>
      <c r="H18" s="497" t="n"/>
      <c r="I18" s="497" t="n"/>
      <c r="J18" s="593">
        <f>IF(AND(E18:I18),1,0)</f>
        <v/>
      </c>
      <c r="P18" s="592" t="n">
        <v>15</v>
      </c>
      <c r="Q18" s="497" t="n"/>
      <c r="R18" s="724" t="inlineStr">
        <is>
          <t>SAFB1 _9.5A</t>
        </is>
      </c>
      <c r="S18" s="497" t="n"/>
      <c r="T18" s="497" t="n"/>
      <c r="U18" s="600">
        <f>AB15</f>
        <v/>
      </c>
      <c r="V18" s="757">
        <f>Y17</f>
        <v/>
      </c>
      <c r="W18" s="757">
        <f>Y22</f>
        <v/>
      </c>
      <c r="X18" s="757">
        <f>Y25</f>
        <v/>
      </c>
      <c r="Y18" s="593">
        <f>IF(AND(T18:X18),1,0)</f>
        <v/>
      </c>
      <c r="AA18" s="597" t="inlineStr">
        <is>
          <t>COMPRESSOR 2 (3A) Pa=7.5kW P.f=0.76</t>
        </is>
      </c>
      <c r="AB18" s="757">
        <f>'Mode Logic'!M18</f>
        <v/>
      </c>
      <c r="AC18" s="497" t="n"/>
      <c r="AF18" s="592" t="n">
        <v>15</v>
      </c>
      <c r="AG18" s="497" t="n"/>
      <c r="AH18" s="724" t="inlineStr">
        <is>
          <t>SAFB1 _9.5A</t>
        </is>
      </c>
      <c r="AI18" s="497" t="n"/>
      <c r="AJ18" s="497" t="n"/>
      <c r="AK18" s="600">
        <f>AB15</f>
        <v/>
      </c>
      <c r="AL18" s="757">
        <f>AO17</f>
        <v/>
      </c>
      <c r="AM18" s="497" t="n"/>
      <c r="AN18" s="497" t="n"/>
      <c r="AO18" s="593">
        <f>IF(AND(AJ18:AN18),1,0)</f>
        <v/>
      </c>
      <c r="AS18" s="592" t="n">
        <v>15</v>
      </c>
      <c r="AT18" s="497" t="n"/>
      <c r="AU18" s="497" t="n"/>
      <c r="AV18" s="497" t="n"/>
      <c r="AW18" s="497">
        <f>BB17</f>
        <v/>
      </c>
      <c r="AX18" s="497" t="n"/>
      <c r="AY18" s="497" t="n"/>
      <c r="AZ18" s="497" t="n"/>
      <c r="BA18" s="497" t="n"/>
      <c r="BB18" s="593">
        <f>IF(AND(AW18:BA18),1,0)</f>
        <v/>
      </c>
      <c r="BI18" s="592" t="n">
        <v>15</v>
      </c>
      <c r="BJ18" s="597" t="n"/>
      <c r="BK18" s="497" t="n"/>
      <c r="BL18" s="497" t="n"/>
      <c r="BM18" s="497" t="n"/>
      <c r="BN18" s="592">
        <f>BR17</f>
        <v/>
      </c>
      <c r="BO18" s="497" t="n"/>
      <c r="BP18" s="497" t="n"/>
      <c r="BQ18" s="497" t="n"/>
      <c r="BR18" s="593">
        <f>IF(AND(BM18:BQ18),1,0)</f>
        <v/>
      </c>
      <c r="BX18" s="592" t="n">
        <v>15</v>
      </c>
      <c r="BY18" s="597" t="n"/>
      <c r="BZ18" s="497" t="n"/>
      <c r="CA18" s="497" t="n"/>
      <c r="CB18" s="497" t="n"/>
      <c r="CC18" s="592">
        <f>CG17</f>
        <v/>
      </c>
      <c r="CD18" s="497" t="n"/>
      <c r="CE18" s="497" t="n"/>
      <c r="CF18" s="497" t="n"/>
      <c r="CG18" s="593">
        <f>IF(AND(CB18:CF18),1,0)</f>
        <v/>
      </c>
      <c r="CI18" s="592" t="n">
        <v>15</v>
      </c>
      <c r="CJ18" s="616" t="n">
        <v>5000000</v>
      </c>
      <c r="CK18" s="592" t="n"/>
      <c r="CL18" s="497" t="n"/>
      <c r="CM18" s="497" t="n"/>
      <c r="CN18" s="596" t="n">
        <v>1</v>
      </c>
      <c r="CO18" s="497" t="n"/>
      <c r="CP18" s="497" t="n"/>
      <c r="CQ18" s="497" t="n"/>
      <c r="CR18" s="593">
        <f>IF(AND(CM18:CQ18),1,0)</f>
        <v/>
      </c>
      <c r="DK18" s="592" t="n">
        <v>15</v>
      </c>
      <c r="DL18" s="597" t="inlineStr">
        <is>
          <t>LAF11(14.20)</t>
        </is>
      </c>
      <c r="DM18" s="592" t="inlineStr">
        <is>
          <t>HFAN1</t>
        </is>
      </c>
      <c r="DN18" s="497" t="n"/>
      <c r="DO18" s="497" t="n"/>
      <c r="DP18" s="600">
        <f>DW11</f>
        <v/>
      </c>
      <c r="DQ18" s="497">
        <f>DT17</f>
        <v/>
      </c>
      <c r="DR18" s="497" t="n"/>
      <c r="DS18" s="497" t="n"/>
      <c r="DT18" s="593">
        <f>IF(AND(DO18:DS18),1,0)</f>
        <v/>
      </c>
      <c r="DV18" s="724" t="inlineStr">
        <is>
          <t>24 HTC(200W)</t>
        </is>
      </c>
      <c r="DW18" s="757" t="n">
        <v>1</v>
      </c>
      <c r="DX18" s="497" t="n"/>
      <c r="DZ18" s="592" t="n">
        <v>15</v>
      </c>
      <c r="EA18" s="597" t="n"/>
      <c r="EB18" s="592" t="inlineStr">
        <is>
          <t>FROM APS 415 VAC</t>
        </is>
      </c>
      <c r="EC18" s="497" t="n"/>
      <c r="ED18" s="497" t="n"/>
      <c r="EE18" s="601">
        <f>EL7</f>
        <v/>
      </c>
      <c r="EF18" s="497" t="n"/>
      <c r="EG18" s="497" t="n"/>
      <c r="EH18" s="497" t="n"/>
      <c r="EI18" s="602">
        <f>IF(AND(ED18:EH18),1,0)</f>
        <v/>
      </c>
      <c r="EO18" s="592" t="n">
        <v>15</v>
      </c>
      <c r="EP18" s="597" t="n"/>
      <c r="EQ18" s="592" t="n"/>
      <c r="ER18" s="497" t="n"/>
      <c r="ES18" s="497" t="n"/>
      <c r="ET18" s="497">
        <f>EX17</f>
        <v/>
      </c>
      <c r="EU18" s="497" t="n"/>
      <c r="EV18" s="497" t="n"/>
      <c r="EW18" s="497" t="n"/>
      <c r="EX18" s="593">
        <f>IF(AND(ES18:EW18),1,0)</f>
        <v/>
      </c>
      <c r="EZ18" s="497" t="inlineStr">
        <is>
          <t>24VDC/DC</t>
        </is>
      </c>
      <c r="FA18" s="757" t="n">
        <v>1</v>
      </c>
      <c r="FB18" s="497" t="n"/>
      <c r="FE18" s="592" t="n">
        <v>15</v>
      </c>
      <c r="FF18" s="597" t="n"/>
      <c r="FG18" s="592" t="n"/>
      <c r="FH18" s="497" t="n"/>
      <c r="FI18" s="497" t="n"/>
      <c r="FJ18" s="497">
        <f>FN17</f>
        <v/>
      </c>
      <c r="FK18" s="497" t="n"/>
      <c r="FL18" s="497" t="n"/>
      <c r="FM18" s="497" t="n"/>
      <c r="FN18" s="593">
        <f>IF(AND(FI18:FM18),1,0)</f>
        <v/>
      </c>
      <c r="FP18" s="592" t="inlineStr">
        <is>
          <t>24VDC/DC</t>
        </is>
      </c>
      <c r="FQ18" s="757" t="n">
        <v>1</v>
      </c>
      <c r="FR18" s="497" t="n"/>
      <c r="FT18" s="592" t="n">
        <v>15</v>
      </c>
      <c r="FU18" s="597" t="n"/>
      <c r="FV18" s="724" t="n"/>
      <c r="FW18" s="497" t="n"/>
      <c r="FX18" s="497" t="n"/>
      <c r="FY18" s="757">
        <f>GC17</f>
        <v/>
      </c>
      <c r="FZ18" s="497" t="n"/>
      <c r="GA18" s="497" t="n"/>
      <c r="GB18" s="497" t="n"/>
      <c r="GC18" s="593">
        <f>IF(AND(FX18:GB18),1,0)</f>
        <v/>
      </c>
      <c r="GF18" s="592" t="n">
        <v>15</v>
      </c>
      <c r="GG18" s="597" t="n"/>
      <c r="GH18" s="724" t="n"/>
      <c r="GI18" s="497" t="n"/>
      <c r="GJ18" s="497" t="n"/>
      <c r="GK18" s="592">
        <f>GO17</f>
        <v/>
      </c>
      <c r="GL18" s="497" t="n"/>
      <c r="GM18" s="497" t="n"/>
      <c r="GN18" s="497" t="n"/>
      <c r="GO18" s="593">
        <f>IF(AND(GJ18:GN18),1,0)</f>
        <v/>
      </c>
      <c r="GU18" s="592" t="n">
        <v>15</v>
      </c>
      <c r="GV18" s="597" t="n"/>
      <c r="GW18" s="724" t="n"/>
      <c r="GX18" s="497" t="n"/>
      <c r="GY18" s="497" t="n"/>
      <c r="GZ18" s="757">
        <f>HD17</f>
        <v/>
      </c>
      <c r="HA18" s="497" t="n"/>
      <c r="HB18" s="497" t="n"/>
      <c r="HC18" s="497" t="n"/>
      <c r="HD18" s="602">
        <f>IF(AND(GY18:HC18),1,0)</f>
        <v/>
      </c>
      <c r="HF18" s="497" t="inlineStr">
        <is>
          <t>RAD CLOSE</t>
        </is>
      </c>
      <c r="HG18" s="757" t="n">
        <v>1</v>
      </c>
      <c r="HH18" s="497" t="n"/>
      <c r="HK18" s="592" t="n">
        <v>15</v>
      </c>
      <c r="HL18" s="497" t="n"/>
      <c r="HM18" s="592" t="inlineStr">
        <is>
          <t>APS2</t>
        </is>
      </c>
      <c r="HN18" s="497" t="n"/>
      <c r="HO18" s="497" t="n"/>
      <c r="HP18" s="600">
        <f>HW8</f>
        <v/>
      </c>
      <c r="HQ18" s="497" t="n"/>
      <c r="HR18" s="497" t="n"/>
      <c r="HS18" s="497" t="n"/>
      <c r="HT18" s="593">
        <f>IF(AND(HO18:HS18),1,0)</f>
        <v/>
      </c>
      <c r="HV18" s="592" t="inlineStr">
        <is>
          <t>110 V DC</t>
        </is>
      </c>
      <c r="HW18" s="757" t="n">
        <v>1</v>
      </c>
      <c r="HX18" s="497" t="n"/>
      <c r="HZ18" s="592" t="n">
        <v>15</v>
      </c>
      <c r="IA18" s="497" t="n"/>
      <c r="IB18" s="497" t="n"/>
      <c r="IC18" s="497" t="n"/>
      <c r="ID18" s="497" t="n"/>
      <c r="IE18" s="600">
        <f>HW17</f>
        <v/>
      </c>
      <c r="IF18" s="497" t="n"/>
      <c r="IG18" s="497" t="n"/>
      <c r="IH18" s="497" t="n"/>
      <c r="II18" s="593">
        <f>IF(AND(ID18:IH18),1,0)</f>
        <v/>
      </c>
      <c r="IL18" s="592" t="n">
        <v>15</v>
      </c>
      <c r="IM18" s="497" t="n"/>
      <c r="IN18" s="497" t="inlineStr">
        <is>
          <t>EMERGENCY SAF 1 &amp; 2</t>
        </is>
      </c>
      <c r="IO18" s="497" t="n"/>
      <c r="IP18" s="597" t="n"/>
      <c r="IQ18" s="597">
        <f>IU17</f>
        <v/>
      </c>
      <c r="IR18" s="497" t="n"/>
      <c r="IS18" s="497" t="n"/>
      <c r="IT18" s="497" t="n"/>
      <c r="IU18" s="593">
        <f>IF(AND(IP18:IT18),1,0)</f>
        <v/>
      </c>
      <c r="IX18" s="592" t="n">
        <v>15</v>
      </c>
      <c r="IY18" s="497" t="n"/>
      <c r="IZ18" s="724" t="inlineStr">
        <is>
          <t>SAFC2</t>
        </is>
      </c>
      <c r="JA18" s="497" t="n"/>
      <c r="JB18" s="597" t="n"/>
      <c r="JC18" s="606">
        <f>JJ10</f>
        <v/>
      </c>
      <c r="JD18" s="497">
        <f>JG17</f>
        <v/>
      </c>
      <c r="JE18" s="497" t="n"/>
      <c r="JF18" s="497" t="n"/>
      <c r="JG18" s="602">
        <f>IF(AND(JB18:JF18),1,0)</f>
        <v/>
      </c>
      <c r="JI18" s="592" t="inlineStr">
        <is>
          <t>110 V DC</t>
        </is>
      </c>
      <c r="JJ18" s="757" t="n">
        <v>1</v>
      </c>
      <c r="JK18" s="497" t="n"/>
      <c r="JN18" s="592" t="n">
        <v>15</v>
      </c>
      <c r="JO18" s="497" t="n"/>
      <c r="JP18" s="724" t="inlineStr">
        <is>
          <t>HVAC2  SMDR 3</t>
        </is>
      </c>
      <c r="JQ18" s="497" t="n"/>
      <c r="JR18" s="597" t="n"/>
      <c r="JS18" s="606">
        <f>JJ19</f>
        <v/>
      </c>
      <c r="JT18" s="597">
        <f>JW16</f>
        <v/>
      </c>
      <c r="JU18" s="497" t="n"/>
      <c r="JV18" s="497" t="n"/>
      <c r="JW18" s="593">
        <f>IF(AND(JR18:JV18),1,0)</f>
        <v/>
      </c>
      <c r="JZ18" s="592" t="n">
        <v>15</v>
      </c>
      <c r="KA18" s="497" t="n"/>
      <c r="KB18" s="724" t="inlineStr">
        <is>
          <t xml:space="preserve">24 V DC </t>
        </is>
      </c>
      <c r="KC18" s="497" t="n"/>
      <c r="KD18" s="724" t="n"/>
      <c r="KE18" s="605">
        <f>KL6</f>
        <v/>
      </c>
      <c r="KF18" s="597" t="n"/>
      <c r="KG18" s="497" t="n"/>
      <c r="KH18" s="497" t="n"/>
      <c r="KI18" s="593">
        <f>IF(AND(KD18:KH18),1,0)</f>
        <v/>
      </c>
      <c r="KK18" s="757" t="inlineStr">
        <is>
          <t>APS 2</t>
        </is>
      </c>
      <c r="KL18" s="757" t="n">
        <v>1</v>
      </c>
      <c r="KM18" s="497" t="n"/>
      <c r="KP18" s="592" t="n">
        <v>15</v>
      </c>
      <c r="KQ18" s="267" t="inlineStr">
        <is>
          <t>X2</t>
        </is>
      </c>
      <c r="KR18" s="724" t="inlineStr">
        <is>
          <t>APS 2 415 V AC PE</t>
        </is>
      </c>
      <c r="KS18" s="497" t="n"/>
      <c r="KT18" s="724" t="n"/>
      <c r="KU18" s="605">
        <f>KL18</f>
        <v/>
      </c>
      <c r="KV18" s="724" t="n"/>
      <c r="KW18" s="497" t="n"/>
      <c r="KX18" s="497" t="n"/>
      <c r="KY18" s="593">
        <f>IF(AND(KT18:KX18),1,0)</f>
        <v/>
      </c>
      <c r="LB18" s="592" t="n">
        <v>15</v>
      </c>
      <c r="LC18" s="497" t="n"/>
      <c r="LD18" s="724" t="n"/>
      <c r="LE18" s="497" t="n"/>
      <c r="LF18" s="724" t="n"/>
      <c r="LG18" s="724">
        <f>LK17</f>
        <v/>
      </c>
      <c r="LH18" s="724" t="n"/>
      <c r="LI18" s="497" t="n"/>
      <c r="LJ18" s="497" t="n"/>
      <c r="LK18" s="593">
        <f>IF(AND(LF18:LJ18),1,0)</f>
        <v/>
      </c>
      <c r="LM18" s="597" t="inlineStr">
        <is>
          <t>COMPRESSOR 2 (3A) Pa=7.5kW P.f=0.76</t>
        </is>
      </c>
      <c r="LN18" s="757">
        <f>'DATA TRANSFER'!AT15</f>
        <v/>
      </c>
      <c r="LO18" s="497" t="n"/>
      <c r="LR18" s="592" t="n">
        <v>15</v>
      </c>
      <c r="LS18" s="497" t="n"/>
      <c r="LT18" s="724" t="n"/>
      <c r="LU18" s="497" t="n"/>
      <c r="LV18" s="724" t="n"/>
      <c r="LW18" s="724">
        <f>MA17</f>
        <v/>
      </c>
      <c r="LX18" s="724" t="n"/>
      <c r="LY18" s="497" t="n"/>
      <c r="LZ18" s="497" t="n"/>
      <c r="MA18" s="593">
        <f>IF(AND(LV18:LZ18),1,0)</f>
        <v/>
      </c>
      <c r="MH18" s="592" t="n">
        <v>15</v>
      </c>
      <c r="MI18" s="497" t="n"/>
      <c r="MJ18" s="724" t="n"/>
      <c r="MK18" s="497" t="n"/>
      <c r="ML18" s="724" t="n"/>
      <c r="MM18" s="724">
        <f>MQ22</f>
        <v/>
      </c>
      <c r="MN18" s="724" t="n"/>
      <c r="MO18" s="497" t="n"/>
      <c r="MP18" s="497" t="n"/>
      <c r="MQ18" s="593">
        <f>IF(AND(ML18:MP18),1,0)</f>
        <v/>
      </c>
      <c r="MS18" s="724" t="inlineStr">
        <is>
          <t>DI RIO2 PCB 9(24))_I_FADFORCED OPN</t>
        </is>
      </c>
      <c r="MT18" s="757">
        <f>'Mode Logic'!P18</f>
        <v/>
      </c>
      <c r="MU18" s="497" t="n"/>
    </row>
    <row r="19" ht="31.5" customHeight="1">
      <c r="A19" s="590" t="n">
        <v>16</v>
      </c>
      <c r="B19" s="497" t="n"/>
      <c r="C19" s="497" t="n"/>
      <c r="D19" s="497" t="n"/>
      <c r="E19" s="497" t="n"/>
      <c r="F19" s="757">
        <f>J18</f>
        <v/>
      </c>
      <c r="G19" s="592" t="n"/>
      <c r="H19" s="497" t="n"/>
      <c r="I19" s="497" t="n"/>
      <c r="J19" s="593">
        <f>IF(AND(E19:I19),1,0)</f>
        <v/>
      </c>
      <c r="P19" s="592" t="n">
        <v>16</v>
      </c>
      <c r="Q19" s="497" t="n"/>
      <c r="R19" s="592" t="n"/>
      <c r="S19" s="497" t="n"/>
      <c r="T19" s="497" t="n"/>
      <c r="U19" s="757">
        <f>Y18</f>
        <v/>
      </c>
      <c r="V19" s="497" t="n"/>
      <c r="W19" s="497" t="n"/>
      <c r="X19" s="497" t="n"/>
      <c r="Y19" s="593">
        <f>IF(AND(T19:X19),1,0)</f>
        <v/>
      </c>
      <c r="AA19" s="597" t="inlineStr">
        <is>
          <t>COMPRESSOR 3 (3A) Pa=7.5kW P.f=0.77</t>
        </is>
      </c>
      <c r="AB19" s="757">
        <f>'Mode Logic'!N18</f>
        <v/>
      </c>
      <c r="AC19" s="497" t="n"/>
      <c r="AF19" s="592" t="n">
        <v>16</v>
      </c>
      <c r="AG19" s="497" t="n"/>
      <c r="AH19" s="497" t="n"/>
      <c r="AI19" s="497" t="n"/>
      <c r="AJ19" s="497" t="n"/>
      <c r="AK19" s="757">
        <f>AO18</f>
        <v/>
      </c>
      <c r="AL19" s="497" t="n"/>
      <c r="AM19" s="497" t="n"/>
      <c r="AN19" s="497" t="n"/>
      <c r="AO19" s="593">
        <f>IF(AND(AJ19:AN19),1,0)</f>
        <v/>
      </c>
      <c r="AS19" s="592" t="n">
        <v>16</v>
      </c>
      <c r="AT19" s="497" t="n"/>
      <c r="AU19" s="497" t="n"/>
      <c r="AV19" s="497" t="n"/>
      <c r="AW19" s="497">
        <f>BB18</f>
        <v/>
      </c>
      <c r="AX19" s="497" t="n"/>
      <c r="AY19" s="497" t="n"/>
      <c r="AZ19" s="497" t="n"/>
      <c r="BA19" s="497" t="n"/>
      <c r="BB19" s="593">
        <f>IF(AND(AW19:BA19),1,0)</f>
        <v/>
      </c>
      <c r="BI19" s="592" t="n">
        <v>16</v>
      </c>
      <c r="BJ19" s="497" t="n"/>
      <c r="BK19" s="497" t="n"/>
      <c r="BL19" s="497" t="n"/>
      <c r="BM19" s="497" t="n"/>
      <c r="BN19" s="592">
        <f>BR18</f>
        <v/>
      </c>
      <c r="BO19" s="497" t="n"/>
      <c r="BP19" s="497" t="n"/>
      <c r="BQ19" s="497" t="n"/>
      <c r="BR19" s="593">
        <f>IF(AND(BM19:BQ19),1,0)</f>
        <v/>
      </c>
      <c r="BX19" s="592" t="n">
        <v>16</v>
      </c>
      <c r="BY19" s="497" t="n"/>
      <c r="BZ19" s="497" t="n"/>
      <c r="CA19" s="497" t="n"/>
      <c r="CB19" s="497" t="n"/>
      <c r="CC19" s="592">
        <f>CG18</f>
        <v/>
      </c>
      <c r="CD19" s="497" t="n"/>
      <c r="CE19" s="497" t="n"/>
      <c r="CF19" s="497" t="n"/>
      <c r="CG19" s="593">
        <f>IF(AND(CB19:CF19),1,0)</f>
        <v/>
      </c>
      <c r="CI19" s="592" t="n">
        <v>16</v>
      </c>
      <c r="CJ19" s="497" t="n"/>
      <c r="CK19" s="497" t="n"/>
      <c r="CL19" s="497" t="n"/>
      <c r="CM19" s="497" t="n"/>
      <c r="CN19" s="497">
        <f>CR18</f>
        <v/>
      </c>
      <c r="CO19" s="497" t="n"/>
      <c r="CP19" s="497" t="n"/>
      <c r="CQ19" s="497" t="n"/>
      <c r="CR19" s="593">
        <f>IF(AND(CM19:CQ19),1,0)</f>
        <v/>
      </c>
      <c r="DK19" s="592" t="n">
        <v>16</v>
      </c>
      <c r="DL19" s="597" t="n"/>
      <c r="DM19" s="592" t="n"/>
      <c r="DN19" s="497" t="n"/>
      <c r="DO19" s="497" t="n"/>
      <c r="DP19" s="757">
        <f>DT18</f>
        <v/>
      </c>
      <c r="DQ19" s="497" t="n"/>
      <c r="DR19" s="497" t="n"/>
      <c r="DS19" s="497" t="n"/>
      <c r="DT19" s="593">
        <f>IF(AND(DO19:DS19),1,0)</f>
        <v/>
      </c>
      <c r="DV19" s="592" t="inlineStr">
        <is>
          <t>CACPN</t>
        </is>
      </c>
      <c r="DW19" s="757" t="n">
        <v>1</v>
      </c>
      <c r="DX19" s="497" t="n"/>
      <c r="DZ19" s="592" t="n">
        <v>16</v>
      </c>
      <c r="EA19" s="597" t="n"/>
      <c r="EB19" s="592" t="n"/>
      <c r="EC19" s="497" t="n"/>
      <c r="ED19" s="497" t="n"/>
      <c r="EE19" s="497">
        <f>EI18</f>
        <v/>
      </c>
      <c r="EF19" s="497" t="n"/>
      <c r="EG19" s="497" t="n"/>
      <c r="EH19" s="497" t="n"/>
      <c r="EI19" s="602">
        <f>IF(AND(ED19:EH19),1,0)</f>
        <v/>
      </c>
      <c r="EO19" s="592" t="n">
        <v>16</v>
      </c>
      <c r="EP19" s="597" t="n"/>
      <c r="EQ19" s="592" t="inlineStr">
        <is>
          <t>SFC OFF</t>
        </is>
      </c>
      <c r="ER19" s="497" t="n"/>
      <c r="ES19" s="497" t="n"/>
      <c r="ET19" s="601">
        <f>FA16</f>
        <v/>
      </c>
      <c r="EU19" s="497" t="n"/>
      <c r="EV19" s="497" t="n"/>
      <c r="EW19" s="497" t="n"/>
      <c r="EX19" s="593">
        <f>IF(AND(ES19:EW19),1,0)</f>
        <v/>
      </c>
      <c r="EZ19" s="497" t="inlineStr">
        <is>
          <t>24V HEC</t>
        </is>
      </c>
      <c r="FA19" s="757" t="n">
        <v>1</v>
      </c>
      <c r="FB19" s="497" t="n"/>
      <c r="FE19" s="592" t="n">
        <v>16</v>
      </c>
      <c r="FF19" s="597" t="n"/>
      <c r="FG19" s="592" t="inlineStr">
        <is>
          <t>SFC OFF</t>
        </is>
      </c>
      <c r="FH19" s="497" t="n"/>
      <c r="FI19" s="497" t="n"/>
      <c r="FJ19" s="601">
        <f>FA16</f>
        <v/>
      </c>
      <c r="FK19" s="497">
        <f>FN18</f>
        <v/>
      </c>
      <c r="FL19" s="497" t="n"/>
      <c r="FM19" s="497" t="n"/>
      <c r="FN19" s="593">
        <f>IF(AND(FI19:FM19),1,0)</f>
        <v/>
      </c>
      <c r="FP19" s="592" t="inlineStr">
        <is>
          <t>24V HEC</t>
        </is>
      </c>
      <c r="FQ19" s="757" t="n">
        <v>1</v>
      </c>
      <c r="FR19" s="497" t="n"/>
      <c r="FT19" s="592" t="n">
        <v>16</v>
      </c>
      <c r="FU19" s="597" t="n"/>
      <c r="FV19" s="724" t="inlineStr">
        <is>
          <t xml:space="preserve">SFC OFF </t>
        </is>
      </c>
      <c r="FW19" s="497" t="n"/>
      <c r="FX19" s="497" t="n"/>
      <c r="FY19" s="604">
        <f>FQ16</f>
        <v/>
      </c>
      <c r="FZ19" s="497">
        <f>GC18</f>
        <v/>
      </c>
      <c r="GA19" s="497" t="n"/>
      <c r="GB19" s="497" t="n"/>
      <c r="GC19" s="593">
        <f>IF(AND(FX19:GB19),1,0)</f>
        <v/>
      </c>
      <c r="GF19" s="592" t="n">
        <v>16</v>
      </c>
      <c r="GG19" s="597" t="n"/>
      <c r="GH19" s="724" t="n"/>
      <c r="GI19" s="497" t="n"/>
      <c r="GJ19" s="497" t="n"/>
      <c r="GK19" s="592">
        <f>GO5</f>
        <v/>
      </c>
      <c r="GL19" s="497" t="n"/>
      <c r="GM19" s="497" t="n"/>
      <c r="GN19" s="497" t="n"/>
      <c r="GO19" s="593">
        <f>IF(AND(GJ19:GN19),1,0)</f>
        <v/>
      </c>
      <c r="GU19" s="592" t="n">
        <v>16</v>
      </c>
      <c r="GV19" s="597" t="n"/>
      <c r="GW19" s="724" t="n"/>
      <c r="GX19" s="497" t="n"/>
      <c r="GY19" s="497" t="n"/>
      <c r="GZ19" s="757">
        <f>HD18</f>
        <v/>
      </c>
      <c r="HA19" s="497" t="n"/>
      <c r="HB19" s="497" t="n"/>
      <c r="HC19" s="497" t="n"/>
      <c r="HD19" s="602">
        <f>IF(AND(GY19:HC19),1,0)</f>
        <v/>
      </c>
      <c r="HK19" s="592" t="n">
        <v>16</v>
      </c>
      <c r="HL19" s="497" t="n"/>
      <c r="HM19" s="497" t="n"/>
      <c r="HN19" s="497" t="n"/>
      <c r="HO19" s="497" t="n"/>
      <c r="HP19" s="757">
        <f>HT18</f>
        <v/>
      </c>
      <c r="HQ19" s="497" t="n"/>
      <c r="HR19" s="497" t="n"/>
      <c r="HS19" s="497" t="n"/>
      <c r="HT19" s="593">
        <f>IF(AND(HO19:HS19),1,0)</f>
        <v/>
      </c>
      <c r="HV19" s="742" t="inlineStr">
        <is>
          <t>SFC</t>
        </is>
      </c>
      <c r="HW19" s="742" t="n">
        <v>1</v>
      </c>
      <c r="HZ19" s="592" t="n">
        <v>16</v>
      </c>
      <c r="IA19" s="497" t="n"/>
      <c r="IB19" s="497" t="inlineStr">
        <is>
          <t>PPR1</t>
        </is>
      </c>
      <c r="IC19" s="497" t="n"/>
      <c r="ID19" s="497" t="n"/>
      <c r="IE19" s="600">
        <f>HW14</f>
        <v/>
      </c>
      <c r="IF19" s="497">
        <f>II18</f>
        <v/>
      </c>
      <c r="IG19" s="497" t="n"/>
      <c r="IH19" s="497" t="n"/>
      <c r="II19" s="593">
        <f>IF(AND(ID19:IH19),1,0)</f>
        <v/>
      </c>
      <c r="IL19" s="592" t="n">
        <v>16</v>
      </c>
      <c r="IM19" s="497" t="n"/>
      <c r="IN19" s="592" t="inlineStr">
        <is>
          <t>24VDC</t>
        </is>
      </c>
      <c r="IO19" s="497" t="n"/>
      <c r="IP19" s="597" t="n"/>
      <c r="IQ19" s="606">
        <f>HW17</f>
        <v/>
      </c>
      <c r="IR19" s="497" t="n"/>
      <c r="IS19" s="497" t="n"/>
      <c r="IT19" s="497" t="n"/>
      <c r="IU19" s="593">
        <f>IF(AND(IP19:IT19),1,0)</f>
        <v/>
      </c>
      <c r="IX19" s="592" t="n">
        <v>16</v>
      </c>
      <c r="IY19" s="497" t="n"/>
      <c r="IZ19" s="724" t="n"/>
      <c r="JA19" s="497" t="n"/>
      <c r="JB19" s="597" t="n"/>
      <c r="JC19" s="597">
        <f>JG18</f>
        <v/>
      </c>
      <c r="JD19" s="497" t="n"/>
      <c r="JE19" s="497" t="n"/>
      <c r="JF19" s="497" t="n"/>
      <c r="JG19" s="602">
        <f>IF(AND(JB19:JF19),1,0)</f>
        <v/>
      </c>
      <c r="JI19" s="724" t="inlineStr">
        <is>
          <t xml:space="preserve">SMDR </t>
        </is>
      </c>
      <c r="JJ19" s="757">
        <f>IF(OR('DATA TRANSFER'!M12),1,0)</f>
        <v/>
      </c>
      <c r="JK19" s="497" t="n"/>
      <c r="JN19" s="592" t="n">
        <v>16</v>
      </c>
      <c r="JO19" s="497" t="n"/>
      <c r="JP19" s="724" t="n"/>
      <c r="JQ19" s="497" t="n"/>
      <c r="JR19" s="597" t="n"/>
      <c r="JS19" s="597">
        <f>JW18</f>
        <v/>
      </c>
      <c r="JT19" s="597" t="n"/>
      <c r="JU19" s="497" t="n"/>
      <c r="JV19" s="497" t="n"/>
      <c r="JW19" s="593">
        <f>IF(AND(JR19:JV19),1,0)</f>
        <v/>
      </c>
      <c r="JZ19" s="592" t="n">
        <v>16</v>
      </c>
      <c r="KA19" s="497" t="n"/>
      <c r="KB19" s="724" t="n"/>
      <c r="KC19" s="497" t="n"/>
      <c r="KD19" s="724" t="n"/>
      <c r="KE19" s="605">
        <f>KL8</f>
        <v/>
      </c>
      <c r="KF19" s="597">
        <f>KI18</f>
        <v/>
      </c>
      <c r="KG19" s="497" t="n"/>
      <c r="KH19" s="497" t="n"/>
      <c r="KI19" s="593">
        <f>IF(AND(KD19:KH19),1,0)</f>
        <v/>
      </c>
      <c r="KK19" s="592" t="inlineStr">
        <is>
          <t>SMRR</t>
        </is>
      </c>
      <c r="KL19" s="757">
        <f>IF(OR('DATA TRANSFER'!M12),1,0)</f>
        <v/>
      </c>
      <c r="KM19" s="497" t="n"/>
      <c r="KP19" s="592" t="n">
        <v>16</v>
      </c>
      <c r="KQ19" s="497" t="n"/>
      <c r="KR19" s="724" t="n"/>
      <c r="KS19" s="497" t="n"/>
      <c r="KT19" s="724" t="n"/>
      <c r="KU19" s="724">
        <f>KY18</f>
        <v/>
      </c>
      <c r="KV19" s="724" t="n"/>
      <c r="KW19" s="497" t="n"/>
      <c r="KX19" s="497" t="n"/>
      <c r="KY19" s="593">
        <f>IF(AND(KT19:KX19),1,0)</f>
        <v/>
      </c>
      <c r="LB19" s="592" t="n">
        <v>16</v>
      </c>
      <c r="LC19" s="497" t="n"/>
      <c r="LD19" s="724" t="n"/>
      <c r="LE19" s="497" t="n"/>
      <c r="LF19" s="724" t="n"/>
      <c r="LG19" s="724">
        <f>LK7</f>
        <v/>
      </c>
      <c r="LH19" s="724" t="n"/>
      <c r="LI19" s="497" t="n"/>
      <c r="LJ19" s="497" t="n"/>
      <c r="LK19" s="593">
        <f>IF(AND(LF19:LJ19),1,0)</f>
        <v/>
      </c>
      <c r="LM19" s="597" t="inlineStr">
        <is>
          <t>COMPRESSOR 3 (3A) Pa=7.5kW P.f=0.77</t>
        </is>
      </c>
      <c r="LN19" s="757">
        <f>'DATA TRANSFER'!AT24</f>
        <v/>
      </c>
      <c r="LO19" s="497" t="n"/>
      <c r="LR19" s="592" t="n">
        <v>16</v>
      </c>
      <c r="LS19" s="497" t="n"/>
      <c r="LT19" s="724" t="n"/>
      <c r="LU19" s="497" t="n"/>
      <c r="LV19" s="724" t="n"/>
      <c r="LW19" s="724">
        <f>MA18</f>
        <v/>
      </c>
      <c r="LX19" s="724" t="n"/>
      <c r="LY19" s="497" t="n"/>
      <c r="LZ19" s="497" t="n"/>
      <c r="MA19" s="593">
        <f>IF(AND(LV19:LZ19),1,0)</f>
        <v/>
      </c>
      <c r="MH19" s="592" t="n">
        <v>16</v>
      </c>
      <c r="MI19" s="497" t="n"/>
      <c r="MJ19" s="724" t="inlineStr">
        <is>
          <t>SMDR</t>
        </is>
      </c>
      <c r="MK19" s="497" t="n"/>
      <c r="ML19" s="724" t="n"/>
      <c r="MM19" s="605">
        <f>IF(OR('DATA TRANSFER'!M12),1,0)</f>
        <v/>
      </c>
      <c r="MN19" s="724" t="n"/>
      <c r="MO19" s="497" t="n"/>
      <c r="MP19" s="497" t="n"/>
      <c r="MQ19" s="593">
        <f>IF(AND(ML19:MP19),1,0)</f>
        <v/>
      </c>
      <c r="MS19" s="724" t="inlineStr">
        <is>
          <t>DI RIO1 PCB 9(24)_I_FADFORCED OPN</t>
        </is>
      </c>
      <c r="MT19" s="757">
        <f>'Mode Logic'!P18</f>
        <v/>
      </c>
      <c r="MU19" s="497" t="n"/>
    </row>
    <row r="20" ht="31.5" customHeight="1">
      <c r="A20" s="590" t="n">
        <v>17</v>
      </c>
      <c r="B20" s="497" t="n"/>
      <c r="C20" s="497" t="n"/>
      <c r="D20" s="497" t="n"/>
      <c r="E20" s="497" t="n"/>
      <c r="F20" s="757">
        <f>J6</f>
        <v/>
      </c>
      <c r="G20" s="592" t="n"/>
      <c r="H20" s="497" t="n"/>
      <c r="I20" s="497" t="n"/>
      <c r="J20" s="593">
        <f>IF(AND(E20:I20),1,0)</f>
        <v/>
      </c>
      <c r="P20" s="592" t="n">
        <v>17</v>
      </c>
      <c r="Q20" s="497" t="n"/>
      <c r="R20" s="724" t="inlineStr">
        <is>
          <t>SAFC1_12A</t>
        </is>
      </c>
      <c r="S20" s="497" t="n"/>
      <c r="T20" s="497" t="n"/>
      <c r="U20" s="600">
        <f>AB15</f>
        <v/>
      </c>
      <c r="V20" s="757">
        <f>Y19</f>
        <v/>
      </c>
      <c r="W20" s="497">
        <f>Y23</f>
        <v/>
      </c>
      <c r="X20" s="497">
        <f>Y26</f>
        <v/>
      </c>
      <c r="Y20" s="593">
        <f>IF(AND(T20:X20),1,0)</f>
        <v/>
      </c>
      <c r="AA20" s="597" t="inlineStr">
        <is>
          <t>COMPRESSOR 4 (3A) Pa=7.5kW P.f=0.78</t>
        </is>
      </c>
      <c r="AB20" s="757">
        <f>'Mode Logic'!O18</f>
        <v/>
      </c>
      <c r="AC20" s="497" t="n"/>
      <c r="AF20" s="592" t="n">
        <v>17</v>
      </c>
      <c r="AG20" s="497" t="n"/>
      <c r="AH20" s="724" t="inlineStr">
        <is>
          <t>SAFC1_12A</t>
        </is>
      </c>
      <c r="AI20" s="497" t="n"/>
      <c r="AJ20" s="497" t="n"/>
      <c r="AK20" s="600">
        <f>AB16</f>
        <v/>
      </c>
      <c r="AL20" s="757">
        <f>AO19</f>
        <v/>
      </c>
      <c r="AM20" s="497" t="n"/>
      <c r="AN20" s="497" t="n"/>
      <c r="AO20" s="593">
        <f>IF(AND(AJ20:AN20),1,0)</f>
        <v/>
      </c>
      <c r="AS20" s="592" t="n">
        <v>17</v>
      </c>
      <c r="AT20" s="497" t="n"/>
      <c r="AU20" s="497" t="n"/>
      <c r="AV20" s="497" t="n"/>
      <c r="AW20" s="497">
        <f>BB16</f>
        <v/>
      </c>
      <c r="AX20" s="497" t="n"/>
      <c r="AY20" s="497" t="n"/>
      <c r="AZ20" s="497" t="n"/>
      <c r="BA20" s="497" t="n"/>
      <c r="BB20" s="593">
        <f>IF(AND(AW20:BA20),1,0)</f>
        <v/>
      </c>
      <c r="BI20" s="592" t="n">
        <v>17</v>
      </c>
      <c r="BJ20" s="592" t="n"/>
      <c r="BK20" s="497" t="n"/>
      <c r="BL20" s="497" t="n"/>
      <c r="BM20" s="497" t="n"/>
      <c r="BN20" s="592">
        <f>BR19</f>
        <v/>
      </c>
      <c r="BO20" s="497" t="n"/>
      <c r="BP20" s="497" t="n"/>
      <c r="BQ20" s="497" t="n"/>
      <c r="BR20" s="593">
        <f>IF(AND(BM20:BQ20),1,0)</f>
        <v/>
      </c>
      <c r="BX20" s="592" t="n">
        <v>17</v>
      </c>
      <c r="BY20" s="592" t="n"/>
      <c r="BZ20" s="497" t="n"/>
      <c r="CA20" s="497" t="n"/>
      <c r="CB20" s="497" t="n"/>
      <c r="CC20" s="592">
        <f>CG19</f>
        <v/>
      </c>
      <c r="CD20" s="497" t="n"/>
      <c r="CE20" s="497" t="n"/>
      <c r="CF20" s="497" t="n"/>
      <c r="CG20" s="593">
        <f>IF(AND(CB20:CF20),1,0)</f>
        <v/>
      </c>
      <c r="CI20" s="592" t="n">
        <v>17</v>
      </c>
      <c r="CJ20" s="592" t="n"/>
      <c r="CK20" s="497" t="n"/>
      <c r="CL20" s="497" t="n"/>
      <c r="CM20" s="497" t="n"/>
      <c r="CN20" s="497">
        <f>CR18</f>
        <v/>
      </c>
      <c r="CO20" s="497" t="n"/>
      <c r="CP20" s="497" t="n"/>
      <c r="CQ20" s="497" t="n"/>
      <c r="CR20" s="593">
        <f>IF(AND(CM20:CQ20),1,0)</f>
        <v/>
      </c>
      <c r="DK20" s="592" t="n">
        <v>17</v>
      </c>
      <c r="DL20" s="597" t="n"/>
      <c r="DM20" s="592" t="n"/>
      <c r="DN20" s="497" t="n"/>
      <c r="DO20" s="497" t="n"/>
      <c r="DP20" s="757">
        <f>DT19</f>
        <v/>
      </c>
      <c r="DQ20" s="497" t="n"/>
      <c r="DR20" s="497" t="n"/>
      <c r="DS20" s="497" t="n"/>
      <c r="DT20" s="593">
        <f>IF(AND(DO20:DS20),1,0)</f>
        <v/>
      </c>
      <c r="DV20" s="497" t="inlineStr">
        <is>
          <t>APS</t>
        </is>
      </c>
      <c r="DW20" s="757" t="n">
        <v>1</v>
      </c>
      <c r="DX20" s="497" t="n"/>
      <c r="DZ20" s="592" t="n">
        <v>17</v>
      </c>
      <c r="EA20" s="597" t="n"/>
      <c r="EB20" s="592" t="inlineStr">
        <is>
          <t>110VDC</t>
        </is>
      </c>
      <c r="EC20" s="497" t="n"/>
      <c r="ED20" s="497" t="n"/>
      <c r="EE20" s="601">
        <f>EL8</f>
        <v/>
      </c>
      <c r="EF20" s="497" t="n"/>
      <c r="EG20" s="497" t="n"/>
      <c r="EH20" s="497" t="n"/>
      <c r="EI20" s="602">
        <f>IF(AND(ED20:EH20),1,0)</f>
        <v/>
      </c>
      <c r="EO20" s="592" t="n">
        <v>17</v>
      </c>
      <c r="EP20" s="597" t="n"/>
      <c r="EQ20" s="592" t="inlineStr">
        <is>
          <t>FADR</t>
        </is>
      </c>
      <c r="ER20" s="497" t="n"/>
      <c r="ES20" s="497" t="n"/>
      <c r="ET20" s="601">
        <f>EL12</f>
        <v/>
      </c>
      <c r="EU20" s="497">
        <f>EX19</f>
        <v/>
      </c>
      <c r="EV20" s="497" t="n"/>
      <c r="EW20" s="497" t="n"/>
      <c r="EX20" s="593">
        <f>IF(AND(ES20:EW20),1,0)</f>
        <v/>
      </c>
      <c r="EZ20" s="592" t="inlineStr">
        <is>
          <t>SMDR</t>
        </is>
      </c>
      <c r="FA20" s="592">
        <f>IF(OR(FA7,FA8),1,0)</f>
        <v/>
      </c>
      <c r="FB20" s="592" t="n"/>
      <c r="FE20" s="592" t="n">
        <v>17</v>
      </c>
      <c r="FF20" s="597" t="n"/>
      <c r="FG20" s="592" t="inlineStr">
        <is>
          <t>FADR</t>
        </is>
      </c>
      <c r="FH20" s="497" t="n"/>
      <c r="FI20" s="497" t="n"/>
      <c r="FJ20" s="601" t="n">
        <v>1</v>
      </c>
      <c r="FK20" s="497">
        <f>FN19</f>
        <v/>
      </c>
      <c r="FL20" s="497" t="n"/>
      <c r="FM20" s="497" t="n"/>
      <c r="FN20" s="593">
        <f>IF(AND(FI20:FM20),1,0)</f>
        <v/>
      </c>
      <c r="FP20" s="592" t="inlineStr">
        <is>
          <t>SMDR</t>
        </is>
      </c>
      <c r="FQ20" s="592" t="n">
        <v>1</v>
      </c>
      <c r="FR20" s="592" t="n"/>
      <c r="FT20" s="592" t="n">
        <v>17</v>
      </c>
      <c r="FU20" s="597" t="n"/>
      <c r="FV20" s="724" t="n"/>
      <c r="FW20" s="497" t="n"/>
      <c r="FX20" s="497" t="n"/>
      <c r="FY20" s="592">
        <f>GC19</f>
        <v/>
      </c>
      <c r="FZ20" s="497" t="n"/>
      <c r="GA20" s="497" t="n"/>
      <c r="GB20" s="497" t="n"/>
      <c r="GC20" s="593">
        <f>IF(AND(FX20:GB20),1,0)</f>
        <v/>
      </c>
      <c r="GF20" s="592" t="n">
        <v>17</v>
      </c>
      <c r="GG20" s="597" t="n"/>
      <c r="GH20" s="724" t="n"/>
      <c r="GI20" s="497" t="n"/>
      <c r="GJ20" s="497" t="n"/>
      <c r="GK20" s="592">
        <f>IF(OR(GO18:GO19),1,0)</f>
        <v/>
      </c>
      <c r="GL20" s="497" t="n"/>
      <c r="GM20" s="497" t="n"/>
      <c r="GN20" s="497" t="n"/>
      <c r="GO20" s="593">
        <f>IF(AND(GJ20:GN20),1,0)</f>
        <v/>
      </c>
      <c r="GU20" s="592" t="n">
        <v>17</v>
      </c>
      <c r="GV20" s="597" t="n"/>
      <c r="GW20" s="724" t="n"/>
      <c r="GX20" s="497" t="n"/>
      <c r="GY20" s="497" t="n"/>
      <c r="GZ20" s="757">
        <f>HD21</f>
        <v/>
      </c>
      <c r="HA20" s="497" t="n"/>
      <c r="HB20" s="497" t="n"/>
      <c r="HC20" s="497" t="n"/>
      <c r="HD20" s="602">
        <f>IF(AND(GY20:HC20),1,0)</f>
        <v/>
      </c>
      <c r="HK20" s="592" t="n">
        <v>17</v>
      </c>
      <c r="HL20" s="497" t="n"/>
      <c r="HM20" s="497" t="n"/>
      <c r="HN20" s="497" t="n"/>
      <c r="HO20" s="497" t="n"/>
      <c r="HP20" s="757">
        <f>HT7</f>
        <v/>
      </c>
      <c r="HQ20" s="497" t="n"/>
      <c r="HR20" s="497" t="n"/>
      <c r="HS20" s="497" t="n"/>
      <c r="HT20" s="593">
        <f>IF(AND(HO20:HS20),1,0)</f>
        <v/>
      </c>
      <c r="HV20" s="742" t="inlineStr">
        <is>
          <t>TMR2</t>
        </is>
      </c>
      <c r="HW20" s="742" t="n">
        <v>1</v>
      </c>
      <c r="HZ20" s="592" t="n">
        <v>17</v>
      </c>
      <c r="IA20" s="497" t="n"/>
      <c r="IB20" s="497" t="n"/>
      <c r="IC20" s="497" t="n"/>
      <c r="ID20" s="497" t="n"/>
      <c r="IE20" s="757">
        <f>II19</f>
        <v/>
      </c>
      <c r="IF20" s="497" t="n"/>
      <c r="IG20" s="497" t="n"/>
      <c r="IH20" s="497" t="n"/>
      <c r="II20" s="593">
        <f>IF(AND(ID20:IH20),1,0)</f>
        <v/>
      </c>
      <c r="IL20" s="592" t="n">
        <v>17</v>
      </c>
      <c r="IM20" s="497" t="n"/>
      <c r="IN20" s="592" t="inlineStr">
        <is>
          <t>TMR2</t>
        </is>
      </c>
      <c r="IO20" s="497" t="n"/>
      <c r="IP20" s="597" t="n"/>
      <c r="IQ20" s="606">
        <f>HW20</f>
        <v/>
      </c>
      <c r="IR20" s="497">
        <f>IU19</f>
        <v/>
      </c>
      <c r="IS20" s="497" t="n"/>
      <c r="IT20" s="497" t="n"/>
      <c r="IU20" s="593">
        <f>IF(AND(IP20:IT20),1,0)</f>
        <v/>
      </c>
      <c r="IX20" s="592" t="n">
        <v>17</v>
      </c>
      <c r="IY20" s="497" t="n"/>
      <c r="IZ20" s="724" t="inlineStr">
        <is>
          <t>FADR</t>
        </is>
      </c>
      <c r="JA20" s="497" t="n"/>
      <c r="JB20" s="597" t="n"/>
      <c r="JC20" s="606">
        <f>JJ12</f>
        <v/>
      </c>
      <c r="JD20" s="497">
        <f>JG19</f>
        <v/>
      </c>
      <c r="JE20" s="497" t="n"/>
      <c r="JF20" s="497" t="n"/>
      <c r="JG20" s="602">
        <f>IF(AND(JB20:JF20),1,0)</f>
        <v/>
      </c>
      <c r="JI20" s="724" t="inlineStr">
        <is>
          <t>SFC OFF</t>
        </is>
      </c>
      <c r="JJ20" s="757">
        <f>IF(OR('Mode Logic'!U18:V18),1,0)</f>
        <v/>
      </c>
      <c r="JK20" s="497" t="n"/>
      <c r="JN20" s="592" t="n">
        <v>17</v>
      </c>
      <c r="JO20" s="497" t="n"/>
      <c r="JP20" s="724" t="n"/>
      <c r="JQ20" s="497" t="n"/>
      <c r="JR20" s="597" t="n"/>
      <c r="JS20" s="597">
        <f>IF(OR(JW19,JW10,JW42),1,0)</f>
        <v/>
      </c>
      <c r="JT20" s="597" t="n"/>
      <c r="JU20" s="497" t="n"/>
      <c r="JV20" s="497" t="n"/>
      <c r="JW20" s="593">
        <f>IF(AND(JR20:JV20),1,0)</f>
        <v/>
      </c>
      <c r="JZ20" s="592" t="n">
        <v>17</v>
      </c>
      <c r="KA20" s="497" t="n"/>
      <c r="KB20" s="724" t="n"/>
      <c r="KC20" s="497" t="n"/>
      <c r="KD20" s="724" t="n"/>
      <c r="KE20" s="724">
        <f>KI19</f>
        <v/>
      </c>
      <c r="KF20" s="597" t="n"/>
      <c r="KG20" s="497" t="n"/>
      <c r="KH20" s="497" t="n"/>
      <c r="KI20" s="593">
        <f>IF(AND(KD20:KH20),1,0)</f>
        <v/>
      </c>
      <c r="KK20" s="497" t="inlineStr">
        <is>
          <t>SMDR 1</t>
        </is>
      </c>
      <c r="KL20" s="757">
        <f>IF(OR('DATA TRANSFER'!M12),1,0)</f>
        <v/>
      </c>
      <c r="KM20" s="497" t="n"/>
      <c r="KP20" s="592" t="n">
        <v>17</v>
      </c>
      <c r="KQ20" s="592" t="inlineStr">
        <is>
          <t>X1</t>
        </is>
      </c>
      <c r="KR20" s="724" t="n"/>
      <c r="KS20" s="497" t="n"/>
      <c r="KT20" s="724" t="n"/>
      <c r="KU20" s="724">
        <f>IF(AND(KY5,KY7,KY9,KY11),1,0)</f>
        <v/>
      </c>
      <c r="KV20" s="724" t="n"/>
      <c r="KW20" s="497" t="n"/>
      <c r="KX20" s="497" t="n"/>
      <c r="KY20" s="593">
        <f>IF(AND(KT20:KX20),1,0)</f>
        <v/>
      </c>
      <c r="LB20" s="592" t="n">
        <v>17</v>
      </c>
      <c r="LC20" s="497" t="n"/>
      <c r="LD20" s="724" t="n"/>
      <c r="LE20" s="497" t="n"/>
      <c r="LF20" s="724" t="n"/>
      <c r="LG20" s="724">
        <f>LK26</f>
        <v/>
      </c>
      <c r="LH20" s="724">
        <f>LK19</f>
        <v/>
      </c>
      <c r="LI20" s="497" t="n"/>
      <c r="LJ20" s="497" t="n"/>
      <c r="LK20" s="593">
        <f>IF(AND(LF20:LJ20),1,0)</f>
        <v/>
      </c>
      <c r="LM20" s="597" t="inlineStr">
        <is>
          <t>COMPRESSOR 4 (3A) Pa=7.5kW P.f=0.78</t>
        </is>
      </c>
      <c r="LN20" s="757">
        <f>'DATA TRANSFER'!AT25</f>
        <v/>
      </c>
      <c r="LO20" s="497" t="n"/>
      <c r="LR20" s="592" t="n">
        <v>17</v>
      </c>
      <c r="LS20" s="497" t="n"/>
      <c r="LT20" s="724" t="n"/>
      <c r="LU20" s="497" t="n"/>
      <c r="LV20" s="724" t="n"/>
      <c r="LW20" s="724">
        <f>MA19</f>
        <v/>
      </c>
      <c r="LX20" s="724" t="n"/>
      <c r="LY20" s="497" t="n"/>
      <c r="LZ20" s="497" t="n"/>
      <c r="MA20" s="593">
        <f>IF(AND(LV20:LZ20),1,0)</f>
        <v/>
      </c>
      <c r="MH20" s="592" t="n">
        <v>17</v>
      </c>
      <c r="MI20" s="497" t="n"/>
      <c r="MJ20" s="724" t="n"/>
      <c r="MK20" s="497" t="n"/>
      <c r="ML20" s="724" t="n"/>
      <c r="MM20" s="612" t="n">
        <v>1</v>
      </c>
      <c r="MN20" s="724" t="n"/>
      <c r="MO20" s="497" t="n"/>
      <c r="MP20" s="497" t="n"/>
      <c r="MQ20" s="593">
        <f>IF(AND(ML20:MP20),1,0)</f>
        <v/>
      </c>
      <c r="MS20" s="724" t="inlineStr">
        <is>
          <t>ACCP2N</t>
        </is>
      </c>
      <c r="MT20" s="757" t="n">
        <v>1</v>
      </c>
      <c r="MU20" s="497" t="n"/>
    </row>
    <row r="21">
      <c r="A21" s="590" t="n">
        <v>18</v>
      </c>
      <c r="B21" s="497" t="n"/>
      <c r="C21" s="497" t="n"/>
      <c r="D21" s="497" t="n"/>
      <c r="E21" s="497" t="n"/>
      <c r="F21" s="613">
        <f>M6</f>
        <v/>
      </c>
      <c r="G21" s="592">
        <f>J20</f>
        <v/>
      </c>
      <c r="H21" s="497" t="n"/>
      <c r="I21" s="497" t="n"/>
      <c r="J21" s="593">
        <f>IF(AND(E21:I21),1,0)</f>
        <v/>
      </c>
      <c r="P21" s="592" t="n">
        <v>18</v>
      </c>
      <c r="Q21" s="497" t="n"/>
      <c r="R21" s="592" t="n"/>
      <c r="S21" s="497" t="n"/>
      <c r="T21" s="497" t="n"/>
      <c r="U21" s="757">
        <f>Y20</f>
        <v/>
      </c>
      <c r="V21" s="497" t="n"/>
      <c r="W21" s="497" t="n"/>
      <c r="X21" s="497" t="n"/>
      <c r="Y21" s="593">
        <f>IF(AND(T21:X21),1,0)</f>
        <v/>
      </c>
      <c r="AA21" s="597" t="n"/>
      <c r="AB21" s="757" t="n">
        <v>1</v>
      </c>
      <c r="AC21" s="497" t="n"/>
      <c r="AF21" s="592" t="n">
        <v>18</v>
      </c>
      <c r="AG21" s="497" t="n"/>
      <c r="AH21" s="497" t="n"/>
      <c r="AI21" s="497" t="n"/>
      <c r="AJ21" s="497" t="n"/>
      <c r="AK21" s="757">
        <f>AO20</f>
        <v/>
      </c>
      <c r="AL21" s="497" t="n"/>
      <c r="AM21" s="497" t="n"/>
      <c r="AN21" s="497" t="n"/>
      <c r="AO21" s="593">
        <f>IF(AND(AJ21:AN21),1,0)</f>
        <v/>
      </c>
      <c r="AS21" s="592" t="n">
        <v>18</v>
      </c>
      <c r="AT21" s="497" t="n"/>
      <c r="AU21" s="497" t="n"/>
      <c r="AV21" s="497" t="n"/>
      <c r="AW21" s="497">
        <f>BB20</f>
        <v/>
      </c>
      <c r="AX21" s="497" t="n"/>
      <c r="AY21" s="497" t="n"/>
      <c r="AZ21" s="497" t="n"/>
      <c r="BA21" s="497" t="n"/>
      <c r="BB21" s="593">
        <f>IF(AND(AW21:BA21),1,0)</f>
        <v/>
      </c>
      <c r="BI21" s="592" t="n">
        <v>18</v>
      </c>
      <c r="BJ21" s="497" t="n"/>
      <c r="BK21" s="497" t="n"/>
      <c r="BL21" s="497" t="n"/>
      <c r="BM21" s="497" t="n"/>
      <c r="BN21" s="592">
        <f>BR20</f>
        <v/>
      </c>
      <c r="BO21" s="497" t="n"/>
      <c r="BP21" s="497" t="n"/>
      <c r="BQ21" s="497" t="n"/>
      <c r="BR21" s="593">
        <f>IF(AND(BM21:BQ21),1,0)</f>
        <v/>
      </c>
      <c r="BX21" s="592" t="n">
        <v>18</v>
      </c>
      <c r="BY21" s="497" t="n"/>
      <c r="BZ21" s="497" t="n"/>
      <c r="CA21" s="497" t="n"/>
      <c r="CB21" s="497" t="n"/>
      <c r="CC21" s="592">
        <f>CG20</f>
        <v/>
      </c>
      <c r="CD21" s="497" t="n"/>
      <c r="CE21" s="497" t="n"/>
      <c r="CF21" s="497" t="n"/>
      <c r="CG21" s="593">
        <f>IF(AND(CB21:CF21),1,0)</f>
        <v/>
      </c>
      <c r="CI21" s="592" t="n">
        <v>18</v>
      </c>
      <c r="CJ21" s="497" t="n"/>
      <c r="CK21" s="497" t="n"/>
      <c r="CL21" s="497" t="n"/>
      <c r="CM21" s="497" t="n"/>
      <c r="CN21" s="497">
        <f>IF(OR(CR20,CR37),1,0)</f>
        <v/>
      </c>
      <c r="CO21" s="497" t="n"/>
      <c r="CP21" s="497" t="n"/>
      <c r="CQ21" s="497" t="n"/>
      <c r="CR21" s="593">
        <f>IF(AND(CM21:CQ21),1,0)</f>
        <v/>
      </c>
      <c r="DK21" s="592" t="n">
        <v>18</v>
      </c>
      <c r="DL21" s="597" t="n"/>
      <c r="DM21" s="592" t="n"/>
      <c r="DN21" s="497" t="n"/>
      <c r="DO21" s="497" t="n"/>
      <c r="DP21" s="757">
        <f>DT20</f>
        <v/>
      </c>
      <c r="DQ21" s="497" t="n"/>
      <c r="DR21" s="497" t="n"/>
      <c r="DS21" s="497" t="n"/>
      <c r="DT21" s="593">
        <f>IF(AND(DO21:DS21),1,0)</f>
        <v/>
      </c>
      <c r="DZ21" s="592" t="n">
        <v>18</v>
      </c>
      <c r="EA21" s="597" t="n"/>
      <c r="EB21" s="592" t="n"/>
      <c r="EC21" s="497" t="n"/>
      <c r="ED21" s="497" t="n"/>
      <c r="EE21" s="497">
        <f>EI20</f>
        <v/>
      </c>
      <c r="EF21" s="497" t="n"/>
      <c r="EG21" s="497" t="n"/>
      <c r="EH21" s="497" t="n"/>
      <c r="EI21" s="602">
        <f>IF(AND(ED21:EH21),1,0)</f>
        <v/>
      </c>
      <c r="EO21" s="592" t="n">
        <v>18</v>
      </c>
      <c r="EP21" s="597" t="n"/>
      <c r="EQ21" s="592" t="n"/>
      <c r="ER21" s="497" t="n"/>
      <c r="ES21" s="497" t="n"/>
      <c r="ET21" s="497">
        <f>EX20</f>
        <v/>
      </c>
      <c r="EU21" s="497" t="n"/>
      <c r="EV21" s="497" t="n"/>
      <c r="EW21" s="497" t="n"/>
      <c r="EX21" s="593">
        <f>IF(AND(ES21:EW21),1,0)</f>
        <v/>
      </c>
      <c r="FE21" s="592" t="n">
        <v>18</v>
      </c>
      <c r="FF21" s="597" t="n"/>
      <c r="FG21" s="592" t="n"/>
      <c r="FH21" s="497" t="n"/>
      <c r="FI21" s="497" t="n"/>
      <c r="FJ21" s="497">
        <f>FN20</f>
        <v/>
      </c>
      <c r="FK21" s="497" t="n"/>
      <c r="FL21" s="497" t="n"/>
      <c r="FM21" s="497" t="n"/>
      <c r="FN21" s="593">
        <f>IF(AND(FI21:FM21),1,0)</f>
        <v/>
      </c>
      <c r="FT21" s="592" t="n">
        <v>18</v>
      </c>
      <c r="FU21" s="597" t="n"/>
      <c r="FV21" s="724" t="inlineStr">
        <is>
          <t>FADR</t>
        </is>
      </c>
      <c r="FW21" s="497" t="n"/>
      <c r="FX21" s="497" t="n"/>
      <c r="FY21" s="604">
        <f>FQ17</f>
        <v/>
      </c>
      <c r="FZ21" s="497">
        <f>GC20</f>
        <v/>
      </c>
      <c r="GA21" s="497" t="n"/>
      <c r="GB21" s="497" t="n"/>
      <c r="GC21" s="593">
        <f>IF(AND(FX21:GB21),1,0)</f>
        <v/>
      </c>
      <c r="GF21" s="592" t="n">
        <v>18</v>
      </c>
      <c r="GG21" s="597" t="n"/>
      <c r="GH21" s="724" t="n"/>
      <c r="GI21" s="497" t="n"/>
      <c r="GJ21" s="497" t="n"/>
      <c r="GK21" s="592">
        <f>GO20</f>
        <v/>
      </c>
      <c r="GL21" s="497" t="n"/>
      <c r="GM21" s="497" t="n"/>
      <c r="GN21" s="497" t="n"/>
      <c r="GO21" s="593">
        <f>IF(AND(GJ21:GN21),1,0)</f>
        <v/>
      </c>
      <c r="GU21" s="592" t="n">
        <v>18</v>
      </c>
      <c r="GV21" s="597" t="n"/>
      <c r="GW21" s="724" t="n"/>
      <c r="GX21" s="497" t="n"/>
      <c r="GY21" s="497" t="n"/>
      <c r="GZ21" s="757">
        <f>HD53</f>
        <v/>
      </c>
      <c r="HA21" s="497" t="n"/>
      <c r="HB21" s="497" t="n"/>
      <c r="HC21" s="497" t="n"/>
      <c r="HD21" s="602">
        <f>IF(AND(GY21:HC21),1,0)</f>
        <v/>
      </c>
      <c r="HK21" s="592" t="n">
        <v>18</v>
      </c>
      <c r="HL21" s="497" t="n"/>
      <c r="HM21" s="497" t="n"/>
      <c r="HN21" s="497" t="n"/>
      <c r="HO21" s="497" t="n"/>
      <c r="HP21" s="757">
        <f>HT20</f>
        <v/>
      </c>
      <c r="HQ21" s="497" t="n"/>
      <c r="HR21" s="497" t="n"/>
      <c r="HS21" s="497" t="n"/>
      <c r="HT21" s="593">
        <f>IF(AND(HO21:HS21),1,0)</f>
        <v/>
      </c>
      <c r="HV21" s="592" t="inlineStr">
        <is>
          <t xml:space="preserve">0 VDC </t>
        </is>
      </c>
      <c r="HW21" s="742" t="n">
        <v>1</v>
      </c>
      <c r="HZ21" s="592" t="n">
        <v>18</v>
      </c>
      <c r="IA21" s="497" t="n"/>
      <c r="IB21" s="497" t="n"/>
      <c r="IC21" s="497" t="n"/>
      <c r="ID21" s="497" t="n"/>
      <c r="IE21" s="757">
        <f>II20</f>
        <v/>
      </c>
      <c r="IF21" s="497" t="n"/>
      <c r="IG21" s="497" t="n"/>
      <c r="IH21" s="497" t="n"/>
      <c r="II21" s="593">
        <f>IF(AND(ID21:IH21),1,0)</f>
        <v/>
      </c>
      <c r="IL21" s="592" t="n">
        <v>18</v>
      </c>
      <c r="IM21" s="497" t="n"/>
      <c r="IN21" s="497" t="n"/>
      <c r="IO21" s="497" t="n"/>
      <c r="IP21" s="597" t="n"/>
      <c r="IQ21" s="597">
        <f>IU20</f>
        <v/>
      </c>
      <c r="IR21" s="497" t="n"/>
      <c r="IS21" s="497" t="n"/>
      <c r="IT21" s="497" t="n"/>
      <c r="IU21" s="593">
        <f>IF(AND(IP21:IT21),1,0)</f>
        <v/>
      </c>
      <c r="IX21" s="592" t="n">
        <v>18</v>
      </c>
      <c r="IY21" s="497" t="n"/>
      <c r="IZ21" s="724" t="n"/>
      <c r="JA21" s="497" t="n"/>
      <c r="JB21" s="597" t="n"/>
      <c r="JC21" s="597">
        <f>JG20</f>
        <v/>
      </c>
      <c r="JD21" s="497" t="n"/>
      <c r="JE21" s="497" t="n"/>
      <c r="JF21" s="497" t="n"/>
      <c r="JG21" s="602">
        <f>IF(AND(JB21:JF21),1,0)</f>
        <v/>
      </c>
      <c r="JI21" s="724" t="inlineStr">
        <is>
          <t>FADR1</t>
        </is>
      </c>
      <c r="JJ21" s="757">
        <f>'Mode Logic'!P18</f>
        <v/>
      </c>
      <c r="JK21" s="497" t="n"/>
      <c r="JN21" s="592" t="n">
        <v>18</v>
      </c>
      <c r="JO21" s="497" t="n"/>
      <c r="JP21" s="724" t="n"/>
      <c r="JQ21" s="497" t="n"/>
      <c r="JR21" s="597" t="n"/>
      <c r="JS21" s="597">
        <f>JW20</f>
        <v/>
      </c>
      <c r="JT21" s="597" t="n"/>
      <c r="JU21" s="497" t="n"/>
      <c r="JV21" s="497" t="n"/>
      <c r="JW21" s="593">
        <f>IF(AND(JR21:JV21),1,0)</f>
        <v/>
      </c>
      <c r="JZ21" s="592" t="n">
        <v>18</v>
      </c>
      <c r="KA21" s="497" t="n"/>
      <c r="KB21" s="724" t="inlineStr">
        <is>
          <t>DI SFC OFF</t>
        </is>
      </c>
      <c r="KC21" s="497" t="n"/>
      <c r="KD21" s="724" t="n"/>
      <c r="KE21" s="724">
        <f>KI20</f>
        <v/>
      </c>
      <c r="KF21" s="597">
        <f>KI19</f>
        <v/>
      </c>
      <c r="KG21" s="497" t="n"/>
      <c r="KH21" s="497" t="n"/>
      <c r="KI21" s="593">
        <f>IF(AND(KD21:KH21),1,0)</f>
        <v/>
      </c>
      <c r="KK21" s="497" t="inlineStr">
        <is>
          <t>SMDR 2</t>
        </is>
      </c>
      <c r="KL21" s="757">
        <f>IF(OR('DATA TRANSFER'!M12),1,0)</f>
        <v/>
      </c>
      <c r="KM21" s="497" t="n"/>
      <c r="KP21" s="592" t="n">
        <v>18</v>
      </c>
      <c r="KQ21" s="592" t="inlineStr">
        <is>
          <t>X2</t>
        </is>
      </c>
      <c r="KR21" s="724" t="n"/>
      <c r="KS21" s="497" t="n"/>
      <c r="KT21" s="724" t="n"/>
      <c r="KU21" s="724">
        <f>IF(OR(KY13,KY15,KY17,KY19),1,0)</f>
        <v/>
      </c>
      <c r="KV21" s="724" t="n"/>
      <c r="KW21" s="497" t="n"/>
      <c r="KX21" s="497" t="n"/>
      <c r="KY21" s="593">
        <f>IF(AND(KT21:KX21),1,0)</f>
        <v/>
      </c>
      <c r="LB21" s="592" t="n">
        <v>18</v>
      </c>
      <c r="LC21" s="497" t="n"/>
      <c r="LD21" s="724" t="n"/>
      <c r="LE21" s="497" t="n"/>
      <c r="LF21" s="724" t="n"/>
      <c r="LG21" s="724">
        <f>LK26</f>
        <v/>
      </c>
      <c r="LH21" s="724">
        <f>LK26</f>
        <v/>
      </c>
      <c r="LI21" s="497" t="n"/>
      <c r="LJ21" s="497" t="n"/>
      <c r="LK21" s="593">
        <f>IF(AND(LF21:LJ21),1,0)</f>
        <v/>
      </c>
      <c r="LM21" s="597" t="n"/>
      <c r="LN21" s="757" t="n">
        <v>1</v>
      </c>
      <c r="LO21" s="497" t="n"/>
      <c r="LR21" s="592" t="n">
        <v>18</v>
      </c>
      <c r="LS21" s="497" t="n"/>
      <c r="LT21" s="724" t="n"/>
      <c r="LU21" s="497" t="n"/>
      <c r="LV21" s="724" t="n"/>
      <c r="LW21" s="724">
        <f>MA20</f>
        <v/>
      </c>
      <c r="LX21" s="724" t="n"/>
      <c r="LY21" s="497" t="n"/>
      <c r="LZ21" s="497" t="n"/>
      <c r="MA21" s="593">
        <f>IF(AND(LV21:LZ21),1,0)</f>
        <v/>
      </c>
      <c r="MH21" s="592" t="n">
        <v>18</v>
      </c>
      <c r="MI21" s="497" t="n"/>
      <c r="MJ21" s="724" t="n"/>
      <c r="MK21" s="497" t="n"/>
      <c r="ML21" s="724" t="n"/>
      <c r="MM21" s="724">
        <f>MQ17</f>
        <v/>
      </c>
      <c r="MN21" s="724" t="n"/>
      <c r="MO21" s="497" t="n"/>
      <c r="MP21" s="497" t="n"/>
      <c r="MQ21" s="593">
        <f>IF(AND(ML21:MP21),1,0)</f>
        <v/>
      </c>
      <c r="MS21" s="724" t="inlineStr">
        <is>
          <t>DI RIO 2 PCB 9 (15)_I_FAD FORCED CLS</t>
        </is>
      </c>
      <c r="MT21" s="757">
        <f>IF(NOT('Mode Logic'!P18),1,0)</f>
        <v/>
      </c>
      <c r="MU21" s="497" t="n"/>
    </row>
    <row r="22" ht="31.5" customHeight="1">
      <c r="A22" s="590" t="n">
        <v>19</v>
      </c>
      <c r="B22" s="497" t="n"/>
      <c r="C22" s="497" t="n"/>
      <c r="D22" s="497" t="n"/>
      <c r="E22" s="497" t="n"/>
      <c r="F22" s="757">
        <f>J21</f>
        <v/>
      </c>
      <c r="G22" s="592" t="n"/>
      <c r="H22" s="497" t="n"/>
      <c r="I22" s="497" t="n"/>
      <c r="J22" s="593">
        <f>IF(AND(E22:I22),1,0)</f>
        <v/>
      </c>
      <c r="P22" s="592" t="n">
        <v>19</v>
      </c>
      <c r="Q22" s="497" t="n"/>
      <c r="R22" s="592" t="n"/>
      <c r="S22" s="497" t="n"/>
      <c r="T22" s="497" t="n"/>
      <c r="U22" s="757">
        <f>Y9</f>
        <v/>
      </c>
      <c r="V22" s="497" t="n"/>
      <c r="W22" s="497" t="n"/>
      <c r="X22" s="497" t="n"/>
      <c r="Y22" s="593">
        <f>IF(AND(T22:X22),1,0)</f>
        <v/>
      </c>
      <c r="AA22" s="724" t="inlineStr">
        <is>
          <t>CONDESER MOTOR 1 (3A) Pa=2.5kW P.f=0.74</t>
        </is>
      </c>
      <c r="AB22" s="757">
        <f>'DATA TRANSFER'!AT14</f>
        <v/>
      </c>
      <c r="AC22" s="497" t="n"/>
      <c r="AF22" s="592" t="n">
        <v>19</v>
      </c>
      <c r="AG22" s="497" t="n"/>
      <c r="AH22" s="497" t="n"/>
      <c r="AI22" s="497" t="n"/>
      <c r="AJ22" s="497" t="n"/>
      <c r="AK22" s="757">
        <f>AO9</f>
        <v/>
      </c>
      <c r="AL22" s="497" t="n"/>
      <c r="AM22" s="497" t="n"/>
      <c r="AN22" s="497" t="n"/>
      <c r="AO22" s="593">
        <f>IF(AND(AJ22:AN22),1,0)</f>
        <v/>
      </c>
      <c r="AS22" s="592" t="n">
        <v>19</v>
      </c>
      <c r="AT22" s="497" t="n"/>
      <c r="AU22" s="724" t="inlineStr">
        <is>
          <t>SMDRB</t>
        </is>
      </c>
      <c r="AV22" s="497" t="n"/>
      <c r="AW22" s="601">
        <f>BE8</f>
        <v/>
      </c>
      <c r="AX22" s="497">
        <f>BB21</f>
        <v/>
      </c>
      <c r="AY22" s="497" t="n"/>
      <c r="AZ22" s="497" t="n"/>
      <c r="BA22" s="497" t="n"/>
      <c r="BB22" s="593">
        <f>IF(AND(AW22:BA22),1,0)</f>
        <v/>
      </c>
      <c r="BI22" s="592" t="n">
        <v>19</v>
      </c>
      <c r="BJ22" s="597" t="n"/>
      <c r="BK22" s="497" t="n"/>
      <c r="BL22" s="497" t="n"/>
      <c r="BM22" s="497" t="n"/>
      <c r="BN22" s="592">
        <f>BR21</f>
        <v/>
      </c>
      <c r="BO22" s="497" t="n"/>
      <c r="BP22" s="497" t="n"/>
      <c r="BQ22" s="497" t="n"/>
      <c r="BR22" s="593">
        <f>IF(AND(BM22:BQ22),1,0)</f>
        <v/>
      </c>
      <c r="BX22" s="592" t="n">
        <v>19</v>
      </c>
      <c r="BY22" s="597" t="n"/>
      <c r="BZ22" s="497" t="n"/>
      <c r="CA22" s="497" t="n"/>
      <c r="CB22" s="497" t="n"/>
      <c r="CC22" s="592">
        <f>CG21</f>
        <v/>
      </c>
      <c r="CD22" s="497" t="n"/>
      <c r="CE22" s="497" t="n"/>
      <c r="CF22" s="497" t="n"/>
      <c r="CG22" s="593">
        <f>IF(AND(CB22:CF22),1,0)</f>
        <v/>
      </c>
      <c r="CI22" s="592" t="n">
        <v>19</v>
      </c>
      <c r="CJ22" s="597" t="n"/>
      <c r="CK22" s="592" t="n"/>
      <c r="CL22" s="497" t="n"/>
      <c r="CM22" s="497" t="n"/>
      <c r="CN22" s="497">
        <f>CR20</f>
        <v/>
      </c>
      <c r="CO22" s="497" t="n"/>
      <c r="CP22" s="497" t="n"/>
      <c r="CQ22" s="497" t="n"/>
      <c r="CR22" s="593">
        <f>IF(AND(CM22:CQ22),1,0)</f>
        <v/>
      </c>
      <c r="DK22" s="592" t="n">
        <v>19</v>
      </c>
      <c r="DL22" s="597" t="n"/>
      <c r="DM22" s="592" t="inlineStr">
        <is>
          <t>FAN1 P-60W</t>
        </is>
      </c>
      <c r="DN22" s="497" t="n"/>
      <c r="DO22" s="497" t="n"/>
      <c r="DP22" s="600">
        <f>DW11</f>
        <v/>
      </c>
      <c r="DQ22" s="497">
        <f>DT21</f>
        <v/>
      </c>
      <c r="DR22" s="497" t="n"/>
      <c r="DS22" s="497" t="n"/>
      <c r="DT22" s="593">
        <f>IF(AND(DO22:DS22),1,0)</f>
        <v/>
      </c>
      <c r="DZ22" s="592" t="n">
        <v>19</v>
      </c>
      <c r="EA22" s="597" t="n"/>
      <c r="EB22" s="592" t="inlineStr">
        <is>
          <t>0VDC</t>
        </is>
      </c>
      <c r="EC22" s="497" t="n"/>
      <c r="ED22" s="497" t="n"/>
      <c r="EE22" s="596" t="n">
        <v>1</v>
      </c>
      <c r="EF22" s="497" t="n"/>
      <c r="EG22" s="497" t="n"/>
      <c r="EH22" s="497" t="n"/>
      <c r="EI22" s="602">
        <f>IF(AND(ED22:EH22),1,0)</f>
        <v/>
      </c>
      <c r="EO22" s="592" t="n">
        <v>19</v>
      </c>
      <c r="EP22" s="597" t="n"/>
      <c r="EQ22" s="592" t="inlineStr">
        <is>
          <t>SFC OFF -110VDC</t>
        </is>
      </c>
      <c r="ER22" s="497" t="n"/>
      <c r="ES22" s="497" t="n"/>
      <c r="ET22" s="601">
        <f>FA9</f>
        <v/>
      </c>
      <c r="EU22" s="497" t="n"/>
      <c r="EV22" s="497" t="n"/>
      <c r="EW22" s="497" t="n"/>
      <c r="EX22" s="593">
        <f>IF(AND(ES22:EW22),1,0)</f>
        <v/>
      </c>
      <c r="FE22" s="592" t="n">
        <v>19</v>
      </c>
      <c r="FF22" s="597" t="n"/>
      <c r="FG22" s="592" t="inlineStr">
        <is>
          <t>SFC OFF -110VDC</t>
        </is>
      </c>
      <c r="FH22" s="497" t="n"/>
      <c r="FI22" s="497" t="n"/>
      <c r="FJ22" s="601">
        <f>FA9</f>
        <v/>
      </c>
      <c r="FK22" s="497" t="n"/>
      <c r="FL22" s="497" t="n"/>
      <c r="FM22" s="497" t="n"/>
      <c r="FN22" s="593">
        <f>IF(AND(FI22:FM22),1,0)</f>
        <v/>
      </c>
      <c r="FT22" s="592" t="n">
        <v>19</v>
      </c>
      <c r="FU22" s="597" t="n"/>
      <c r="FV22" s="724" t="n"/>
      <c r="FW22" s="497" t="n"/>
      <c r="FX22" s="497" t="n"/>
      <c r="FY22" s="592">
        <f>GC21</f>
        <v/>
      </c>
      <c r="FZ22" s="497" t="n"/>
      <c r="GA22" s="497" t="n"/>
      <c r="GB22" s="497" t="n"/>
      <c r="GC22" s="593">
        <f>IF(AND(FX22:GB22),1,0)</f>
        <v/>
      </c>
      <c r="GF22" s="592" t="n">
        <v>19</v>
      </c>
      <c r="GG22" s="597" t="n"/>
      <c r="GH22" s="724" t="n"/>
      <c r="GI22" s="497" t="n"/>
      <c r="GJ22" s="497" t="n"/>
      <c r="GK22" s="592">
        <f>GO21</f>
        <v/>
      </c>
      <c r="GL22" s="497" t="n"/>
      <c r="GM22" s="497" t="n"/>
      <c r="GN22" s="497" t="n"/>
      <c r="GO22" s="593">
        <f>IF(AND(GJ22:GN22),1,0)</f>
        <v/>
      </c>
      <c r="GU22" s="592" t="n">
        <v>19</v>
      </c>
      <c r="GV22" s="597" t="n"/>
      <c r="GW22" s="724" t="n"/>
      <c r="GX22" s="497" t="n"/>
      <c r="GY22" s="497" t="n"/>
      <c r="GZ22" s="591" t="n">
        <v>1</v>
      </c>
      <c r="HA22" s="497" t="n"/>
      <c r="HB22" s="497" t="n"/>
      <c r="HC22" s="497" t="n"/>
      <c r="HD22" s="602">
        <f>IF(AND(GY22:HC22),1,0)</f>
        <v/>
      </c>
      <c r="HK22" s="592" t="n">
        <v>19</v>
      </c>
      <c r="HL22" s="497" t="n"/>
      <c r="HM22" s="497" t="n"/>
      <c r="HN22" s="497" t="n"/>
      <c r="HO22" s="497" t="n"/>
      <c r="HP22" s="757">
        <f>HT12</f>
        <v/>
      </c>
      <c r="HQ22" s="497" t="n"/>
      <c r="HR22" s="497" t="n"/>
      <c r="HS22" s="497" t="n"/>
      <c r="HT22" s="593">
        <f>IF(AND(HO22:HS22),1,0)</f>
        <v/>
      </c>
      <c r="HV22" s="742" t="inlineStr">
        <is>
          <t xml:space="preserve">RAD OPEN </t>
        </is>
      </c>
      <c r="HW22" s="742" t="n">
        <v>1</v>
      </c>
      <c r="HZ22" s="592" t="n">
        <v>19</v>
      </c>
      <c r="IA22" s="497" t="n"/>
      <c r="IB22" s="497" t="n"/>
      <c r="IC22" s="497" t="n"/>
      <c r="ID22" s="497" t="n"/>
      <c r="IE22" s="600">
        <f>HW17</f>
        <v/>
      </c>
      <c r="IF22" s="497" t="n"/>
      <c r="IG22" s="497" t="n"/>
      <c r="IH22" s="497" t="n"/>
      <c r="II22" s="593">
        <f>IF(AND(ID22:IH22),1,0)</f>
        <v/>
      </c>
      <c r="IL22" s="592" t="n">
        <v>19</v>
      </c>
      <c r="IM22" s="497" t="n"/>
      <c r="IN22" s="497" t="n"/>
      <c r="IO22" s="497" t="n"/>
      <c r="IP22" s="597" t="n"/>
      <c r="IQ22" s="597">
        <f>IU21</f>
        <v/>
      </c>
      <c r="IR22" s="497" t="n"/>
      <c r="IS22" s="497" t="n"/>
      <c r="IT22" s="497" t="n"/>
      <c r="IU22" s="593">
        <f>IF(AND(IP22:IT22),1,0)</f>
        <v/>
      </c>
      <c r="IX22" s="592" t="n">
        <v>19</v>
      </c>
      <c r="IY22" s="497" t="n"/>
      <c r="IZ22" s="724" t="n"/>
      <c r="JA22" s="497" t="n"/>
      <c r="JB22" s="597" t="n"/>
      <c r="JC22" s="597">
        <f>JG21</f>
        <v/>
      </c>
      <c r="JD22" s="497" t="n"/>
      <c r="JE22" s="497" t="n"/>
      <c r="JF22" s="497" t="n"/>
      <c r="JG22" s="602">
        <f>IF(AND(JB22:JF22),1,0)</f>
        <v/>
      </c>
      <c r="JI22" s="724" t="inlineStr">
        <is>
          <t>FADR2</t>
        </is>
      </c>
      <c r="JJ22" s="757">
        <f>'Mode Logic'!P18</f>
        <v/>
      </c>
      <c r="JK22" s="497" t="n"/>
      <c r="JN22" s="592" t="n">
        <v>19</v>
      </c>
      <c r="JO22" s="497" t="n"/>
      <c r="JP22" s="724" t="inlineStr">
        <is>
          <t>SFC OFF</t>
        </is>
      </c>
      <c r="JQ22" s="497" t="n"/>
      <c r="JR22" s="597" t="n"/>
      <c r="JS22" s="606">
        <f>JJ20</f>
        <v/>
      </c>
      <c r="JT22" s="597">
        <f>JW21</f>
        <v/>
      </c>
      <c r="JU22" s="497" t="n"/>
      <c r="JV22" s="497" t="n"/>
      <c r="JW22" s="593">
        <f>IF(AND(JR22:JV22),1,0)</f>
        <v/>
      </c>
      <c r="JZ22" s="592" t="n">
        <v>19</v>
      </c>
      <c r="KA22" s="497" t="n"/>
      <c r="KB22" s="724" t="inlineStr">
        <is>
          <t xml:space="preserve">24 V DC </t>
        </is>
      </c>
      <c r="KC22" s="497" t="n"/>
      <c r="KD22" s="724" t="n"/>
      <c r="KE22" s="605">
        <f>KL6</f>
        <v/>
      </c>
      <c r="KF22" s="597" t="n"/>
      <c r="KG22" s="497" t="n"/>
      <c r="KH22" s="497" t="n"/>
      <c r="KI22" s="593">
        <f>IF(AND(KD22:KH22),1,0)</f>
        <v/>
      </c>
      <c r="KK22" s="497" t="inlineStr">
        <is>
          <t>FADR</t>
        </is>
      </c>
      <c r="KL22" s="757" t="n">
        <v>1</v>
      </c>
      <c r="KM22" s="497" t="n"/>
      <c r="KP22" s="592" t="n">
        <v>19</v>
      </c>
      <c r="KQ22" s="497" t="n"/>
      <c r="KR22" s="724" t="inlineStr">
        <is>
          <t>CONTROL PANEL</t>
        </is>
      </c>
      <c r="KS22" s="497" t="n"/>
      <c r="KT22" s="724" t="n"/>
      <c r="KU22" s="724">
        <f>KY20</f>
        <v/>
      </c>
      <c r="KV22" s="724">
        <f>KY21</f>
        <v/>
      </c>
      <c r="KW22" s="497" t="n"/>
      <c r="KX22" s="497" t="n"/>
      <c r="KY22" s="593">
        <f>IF(AND(KT22:KX22),1,0)</f>
        <v/>
      </c>
      <c r="LB22" s="592" t="n">
        <v>19</v>
      </c>
      <c r="LC22" s="497" t="n"/>
      <c r="LD22" s="724" t="n"/>
      <c r="LE22" s="497" t="n"/>
      <c r="LF22" s="724" t="n"/>
      <c r="LG22" s="724">
        <f>LK21</f>
        <v/>
      </c>
      <c r="LH22" s="724" t="n"/>
      <c r="LI22" s="497" t="n"/>
      <c r="LJ22" s="497" t="n"/>
      <c r="LK22" s="593">
        <f>IF(AND(LF22:LJ22),1,0)</f>
        <v/>
      </c>
      <c r="LM22" s="724" t="inlineStr">
        <is>
          <t>CONDESER MOTOR 1 (3A) Pa=2.5kW P.f=0.74</t>
        </is>
      </c>
      <c r="LN22" s="757">
        <f>'DATA TRANSFER'!AT14</f>
        <v/>
      </c>
      <c r="LO22" s="497" t="n"/>
      <c r="LR22" s="592" t="n">
        <v>19</v>
      </c>
      <c r="LS22" s="497" t="n"/>
      <c r="LT22" s="724" t="n"/>
      <c r="LU22" s="497" t="n"/>
      <c r="LV22" s="724" t="n"/>
      <c r="LW22" s="724">
        <f>MA21</f>
        <v/>
      </c>
      <c r="LX22" s="724" t="n"/>
      <c r="LY22" s="497" t="n"/>
      <c r="LZ22" s="497" t="n"/>
      <c r="MA22" s="593">
        <f>IF(AND(LV22:LZ22),1,0)</f>
        <v/>
      </c>
      <c r="MH22" s="592" t="n">
        <v>19</v>
      </c>
      <c r="MI22" s="497" t="n"/>
      <c r="MJ22" s="724" t="inlineStr">
        <is>
          <t>SMDRB</t>
        </is>
      </c>
      <c r="MK22" s="497" t="n"/>
      <c r="ML22" s="724" t="n"/>
      <c r="MM22" s="605">
        <f>MT11</f>
        <v/>
      </c>
      <c r="MN22" s="724">
        <f>MQ21</f>
        <v/>
      </c>
      <c r="MO22" s="497">
        <f>MQ17</f>
        <v/>
      </c>
      <c r="MP22" s="497" t="n"/>
      <c r="MQ22" s="593">
        <f>IF(AND(ML22:MP22),1,0)</f>
        <v/>
      </c>
      <c r="MS22" s="724" t="inlineStr">
        <is>
          <t>DI RIO 1 PCB 9 (15)_I_FAD FORCED CLS</t>
        </is>
      </c>
      <c r="MT22" s="757">
        <f>IF(NOT('Mode Logic'!P18),1,0)</f>
        <v/>
      </c>
      <c r="MU22" s="497" t="n"/>
    </row>
    <row r="23" ht="31.5" customHeight="1">
      <c r="A23" s="590" t="n">
        <v>20</v>
      </c>
      <c r="B23" s="497" t="n"/>
      <c r="C23" s="757" t="inlineStr">
        <is>
          <t>HFAN1 3A</t>
        </is>
      </c>
      <c r="D23" s="497" t="n"/>
      <c r="E23" s="497" t="n"/>
      <c r="F23" s="613">
        <f>M9</f>
        <v/>
      </c>
      <c r="G23" s="592">
        <f>J22</f>
        <v/>
      </c>
      <c r="H23" s="497" t="n"/>
      <c r="I23" s="497" t="n"/>
      <c r="J23" s="593">
        <f>IF(AND(E23:I23),1,0)</f>
        <v/>
      </c>
      <c r="P23" s="592" t="n">
        <v>20</v>
      </c>
      <c r="Q23" s="497" t="n"/>
      <c r="R23" s="592" t="n"/>
      <c r="S23" s="497" t="n"/>
      <c r="T23" s="497" t="n"/>
      <c r="U23" s="592">
        <f>Y18</f>
        <v/>
      </c>
      <c r="V23" s="497">
        <f>Y22</f>
        <v/>
      </c>
      <c r="W23" s="497" t="n"/>
      <c r="X23" s="497" t="n"/>
      <c r="Y23" s="593">
        <f>IF(AND(T23:X23),1,0)</f>
        <v/>
      </c>
      <c r="AA23" s="724" t="inlineStr">
        <is>
          <t>CONDESER MOTOR 2 (3A) Pa=2.5kW P.f=0.75</t>
        </is>
      </c>
      <c r="AB23" s="757">
        <f>'DATA TRANSFER'!AT22</f>
        <v/>
      </c>
      <c r="AC23" s="497" t="n"/>
      <c r="AF23" s="592" t="n">
        <v>20</v>
      </c>
      <c r="AG23" s="497" t="n"/>
      <c r="AH23" s="497" t="n"/>
      <c r="AI23" s="497" t="n"/>
      <c r="AJ23" s="497" t="n"/>
      <c r="AK23" s="600">
        <f>AO18</f>
        <v/>
      </c>
      <c r="AL23" s="497">
        <f>AO22</f>
        <v/>
      </c>
      <c r="AM23" s="497" t="n"/>
      <c r="AN23" s="497" t="n"/>
      <c r="AO23" s="593">
        <f>IF(AND(AJ23:AN23),1,0)</f>
        <v/>
      </c>
      <c r="AS23" s="592" t="n">
        <v>20</v>
      </c>
      <c r="AT23" s="497" t="n"/>
      <c r="AU23" s="497" t="n"/>
      <c r="AV23" s="497" t="n"/>
      <c r="AW23" s="497">
        <f>BB22</f>
        <v/>
      </c>
      <c r="AX23" s="497" t="n"/>
      <c r="AY23" s="497" t="n"/>
      <c r="AZ23" s="497" t="n"/>
      <c r="BA23" s="497" t="n"/>
      <c r="BB23" s="593">
        <f>IF(AND(AW23:BA23),1,0)</f>
        <v/>
      </c>
      <c r="BI23" s="592" t="n">
        <v>20</v>
      </c>
      <c r="BJ23" s="497" t="n"/>
      <c r="BK23" s="497" t="n"/>
      <c r="BL23" s="497" t="n"/>
      <c r="BM23" s="497" t="n"/>
      <c r="BN23" s="592">
        <f>BR22</f>
        <v/>
      </c>
      <c r="BO23" s="497" t="n"/>
      <c r="BP23" s="497" t="n"/>
      <c r="BQ23" s="497" t="n"/>
      <c r="BR23" s="593">
        <f>IF(AND(BM23:BQ23),1,0)</f>
        <v/>
      </c>
      <c r="BX23" s="592" t="n">
        <v>20</v>
      </c>
      <c r="BY23" s="497" t="n"/>
      <c r="BZ23" s="497" t="n"/>
      <c r="CA23" s="497" t="n"/>
      <c r="CB23" s="497" t="n"/>
      <c r="CC23" s="592">
        <f>CG22</f>
        <v/>
      </c>
      <c r="CD23" s="497" t="n"/>
      <c r="CE23" s="497" t="n"/>
      <c r="CF23" s="497" t="n"/>
      <c r="CG23" s="593">
        <f>IF(AND(CB23:CF23),1,0)</f>
        <v/>
      </c>
      <c r="CI23" s="592" t="n">
        <v>20</v>
      </c>
      <c r="CJ23" s="497" t="n"/>
      <c r="CK23" s="497" t="n"/>
      <c r="CL23" s="497" t="n"/>
      <c r="CM23" s="497" t="n"/>
      <c r="CN23" s="497">
        <f>CR22</f>
        <v/>
      </c>
      <c r="CO23" s="497" t="n"/>
      <c r="CP23" s="497" t="n"/>
      <c r="CQ23" s="497" t="n"/>
      <c r="CR23" s="593">
        <f>IF(AND(CM23:CQ23),1,0)</f>
        <v/>
      </c>
      <c r="DK23" s="592" t="n">
        <v>20</v>
      </c>
      <c r="DL23" s="597" t="n"/>
      <c r="DM23" s="592" t="n"/>
      <c r="DN23" s="497" t="n"/>
      <c r="DO23" s="497" t="n"/>
      <c r="DP23" s="757">
        <f>DT22</f>
        <v/>
      </c>
      <c r="DQ23" s="497" t="n"/>
      <c r="DR23" s="497" t="n"/>
      <c r="DS23" s="497" t="n"/>
      <c r="DT23" s="593">
        <f>IF(AND(DO23:DS23),1,0)</f>
        <v/>
      </c>
      <c r="DZ23" s="592" t="n">
        <v>20</v>
      </c>
      <c r="EA23" s="597" t="n"/>
      <c r="EB23" s="592" t="n"/>
      <c r="EC23" s="497" t="n"/>
      <c r="ED23" s="497" t="n"/>
      <c r="EE23" s="497">
        <f>EI22</f>
        <v/>
      </c>
      <c r="EF23" s="497" t="n"/>
      <c r="EG23" s="497" t="n"/>
      <c r="EH23" s="497" t="n"/>
      <c r="EI23" s="602">
        <f>IF(AND(ED23:EH23),1,0)</f>
        <v/>
      </c>
      <c r="EO23" s="592" t="n">
        <v>20</v>
      </c>
      <c r="EP23" s="597" t="n"/>
      <c r="EQ23" s="592" t="n"/>
      <c r="ER23" s="497" t="n"/>
      <c r="ES23" s="497" t="n"/>
      <c r="ET23" s="497">
        <f>EX22</f>
        <v/>
      </c>
      <c r="EU23" s="497" t="n"/>
      <c r="EV23" s="497" t="n"/>
      <c r="EW23" s="497" t="n"/>
      <c r="EX23" s="593">
        <f>IF(AND(ES23:EW23),1,0)</f>
        <v/>
      </c>
      <c r="FE23" s="592" t="n">
        <v>20</v>
      </c>
      <c r="FF23" s="597" t="n"/>
      <c r="FG23" s="592" t="n"/>
      <c r="FH23" s="497" t="n"/>
      <c r="FI23" s="497" t="n"/>
      <c r="FJ23" s="497">
        <f>FN22</f>
        <v/>
      </c>
      <c r="FK23" s="497" t="n"/>
      <c r="FL23" s="497" t="n"/>
      <c r="FM23" s="497" t="n"/>
      <c r="FN23" s="593">
        <f>IF(AND(FI23:FM23),1,0)</f>
        <v/>
      </c>
      <c r="FT23" s="592" t="n">
        <v>20</v>
      </c>
      <c r="FU23" s="597" t="n"/>
      <c r="FV23" s="724" t="inlineStr">
        <is>
          <t>SFC-OFF 110VDC</t>
        </is>
      </c>
      <c r="FW23" s="497" t="n"/>
      <c r="FX23" s="497" t="n"/>
      <c r="FY23" s="604">
        <f>FQ9</f>
        <v/>
      </c>
      <c r="FZ23" s="497" t="n"/>
      <c r="GA23" s="497" t="n"/>
      <c r="GB23" s="497" t="n"/>
      <c r="GC23" s="593">
        <f>IF(AND(FX23:GB23),1,0)</f>
        <v/>
      </c>
      <c r="GF23" s="592" t="n">
        <v>20</v>
      </c>
      <c r="GG23" s="597" t="n"/>
      <c r="GH23" s="724" t="inlineStr">
        <is>
          <t>SFC OFF</t>
        </is>
      </c>
      <c r="GI23" s="497" t="n"/>
      <c r="GJ23" s="497" t="n"/>
      <c r="GK23" s="604">
        <f>GR15</f>
        <v/>
      </c>
      <c r="GL23" s="497">
        <f>GO22</f>
        <v/>
      </c>
      <c r="GM23" s="497" t="n"/>
      <c r="GN23" s="497" t="n"/>
      <c r="GO23" s="593">
        <f>IF(AND(GJ23:GN23),1,0)</f>
        <v/>
      </c>
      <c r="GU23" s="592" t="n">
        <v>20</v>
      </c>
      <c r="GV23" s="597" t="n"/>
      <c r="GW23" s="724" t="n"/>
      <c r="GX23" s="497" t="n"/>
      <c r="GY23" s="497" t="n"/>
      <c r="GZ23" s="757">
        <f>HD22</f>
        <v/>
      </c>
      <c r="HA23" s="497" t="n"/>
      <c r="HB23" s="497" t="n"/>
      <c r="HC23" s="497" t="n"/>
      <c r="HD23" s="602">
        <f>IF(AND(GY23:HC23),1,0)</f>
        <v/>
      </c>
      <c r="HK23" s="592" t="n">
        <v>20</v>
      </c>
      <c r="HL23" s="497" t="n"/>
      <c r="HM23" s="497" t="n"/>
      <c r="HN23" s="497" t="n"/>
      <c r="HO23" s="497" t="n"/>
      <c r="HP23" s="757">
        <f>HT7</f>
        <v/>
      </c>
      <c r="HQ23" s="497" t="n"/>
      <c r="HR23" s="497" t="n"/>
      <c r="HS23" s="497" t="n"/>
      <c r="HT23" s="593">
        <f>IF(AND(HO23:HS23),1,0)</f>
        <v/>
      </c>
      <c r="HV23" s="742" t="inlineStr">
        <is>
          <t>RAD CLOSED</t>
        </is>
      </c>
      <c r="HW23" s="742" t="n">
        <v>1</v>
      </c>
      <c r="HZ23" s="592" t="n">
        <v>20</v>
      </c>
      <c r="IA23" s="497" t="n"/>
      <c r="IB23" s="497" t="inlineStr">
        <is>
          <t>PPR2</t>
        </is>
      </c>
      <c r="IC23" s="497" t="n"/>
      <c r="ID23" s="497" t="n"/>
      <c r="IE23" s="600">
        <f>HW15</f>
        <v/>
      </c>
      <c r="IF23" s="497">
        <f>II22</f>
        <v/>
      </c>
      <c r="IG23" s="497" t="n"/>
      <c r="IH23" s="497" t="n"/>
      <c r="II23" s="593">
        <f>IF(AND(ID23:IH23),1,0)</f>
        <v/>
      </c>
      <c r="IL23" s="592" t="n">
        <v>20</v>
      </c>
      <c r="IM23" s="497" t="n"/>
      <c r="IN23" s="497" t="n"/>
      <c r="IO23" s="497" t="n"/>
      <c r="IP23" s="597" t="n"/>
      <c r="IQ23" s="597">
        <f>IU22</f>
        <v/>
      </c>
      <c r="IR23" s="497" t="n"/>
      <c r="IS23" s="497" t="n"/>
      <c r="IT23" s="497" t="n"/>
      <c r="IU23" s="593">
        <f>IF(AND(IP23:IT23),1,0)</f>
        <v/>
      </c>
      <c r="IX23" s="592" t="n">
        <v>20</v>
      </c>
      <c r="IY23" s="497" t="n"/>
      <c r="IZ23" s="724" t="inlineStr">
        <is>
          <t xml:space="preserve">0 V DC </t>
        </is>
      </c>
      <c r="JA23" s="497" t="n"/>
      <c r="JB23" s="597" t="n"/>
      <c r="JC23" s="617" t="n">
        <v>1</v>
      </c>
      <c r="JD23" s="497" t="n"/>
      <c r="JE23" s="497" t="n"/>
      <c r="JF23" s="497" t="n"/>
      <c r="JG23" s="602">
        <f>IF(AND(JB23:JF23),1,0)</f>
        <v/>
      </c>
      <c r="JI23" s="724" t="inlineStr">
        <is>
          <t>FADR6</t>
        </is>
      </c>
      <c r="JJ23" s="757">
        <f>'Mode Logic'!P18</f>
        <v/>
      </c>
      <c r="JK23" s="497" t="n"/>
      <c r="JN23" s="592" t="n">
        <v>20</v>
      </c>
      <c r="JO23" s="497" t="n"/>
      <c r="JP23" s="724" t="n"/>
      <c r="JQ23" s="497" t="n"/>
      <c r="JR23" s="597" t="n"/>
      <c r="JS23" s="597">
        <f>JW22</f>
        <v/>
      </c>
      <c r="JT23" s="597" t="n"/>
      <c r="JU23" s="497" t="n"/>
      <c r="JV23" s="497" t="n"/>
      <c r="JW23" s="593">
        <f>IF(AND(JR23:JV23),1,0)</f>
        <v/>
      </c>
      <c r="JZ23" s="592" t="n">
        <v>20</v>
      </c>
      <c r="KA23" s="497" t="n"/>
      <c r="KB23" s="724" t="n"/>
      <c r="KC23" s="497" t="n"/>
      <c r="KD23" s="724" t="n"/>
      <c r="KE23" s="605">
        <f>KL10</f>
        <v/>
      </c>
      <c r="KF23" s="597">
        <f>KI22</f>
        <v/>
      </c>
      <c r="KG23" s="497" t="n"/>
      <c r="KH23" s="497" t="n"/>
      <c r="KI23" s="593">
        <f>IF(AND(KD23:KH23),1,0)</f>
        <v/>
      </c>
      <c r="KK23" s="497" t="inlineStr">
        <is>
          <t>SFC OFF</t>
        </is>
      </c>
      <c r="KL23" s="757">
        <f>IF(OR('Mode Logic'!U18:V18),1,0)</f>
        <v/>
      </c>
      <c r="KM23" s="497" t="n"/>
      <c r="KP23" s="592" t="n">
        <v>20</v>
      </c>
      <c r="KQ23" s="592" t="inlineStr">
        <is>
          <t>X5</t>
        </is>
      </c>
      <c r="KR23" s="724" t="n"/>
      <c r="KS23" s="497" t="n"/>
      <c r="KT23" s="724" t="n"/>
      <c r="KU23" s="724">
        <f>IF(AND(KY26,KY28,KY24),1,0)</f>
        <v/>
      </c>
      <c r="KV23" s="724" t="n"/>
      <c r="KW23" s="497" t="n"/>
      <c r="KX23" s="497" t="n"/>
      <c r="KY23" s="593">
        <f>IF(AND(KT23:KX23),1,0)</f>
        <v/>
      </c>
      <c r="LB23" s="592" t="n">
        <v>20</v>
      </c>
      <c r="LC23" s="497" t="n"/>
      <c r="LD23" s="724" t="n"/>
      <c r="LE23" s="497" t="n"/>
      <c r="LF23" s="724" t="n"/>
      <c r="LG23" s="724">
        <f>LK9</f>
        <v/>
      </c>
      <c r="LI23" s="497" t="n"/>
      <c r="LJ23" s="497" t="n"/>
      <c r="LK23" s="593">
        <f>IF(AND(LF23:LJ23),1,0)</f>
        <v/>
      </c>
      <c r="LM23" s="724" t="inlineStr">
        <is>
          <t>CONDESER MOTOR 2 (3A) Pa=2.5kW P.f=0.75</t>
        </is>
      </c>
      <c r="LN23" s="757">
        <f>'DATA TRANSFER'!AT22</f>
        <v/>
      </c>
      <c r="LO23" s="497" t="n"/>
      <c r="LR23" s="592" t="n">
        <v>20</v>
      </c>
      <c r="LS23" s="497" t="n"/>
      <c r="LT23" s="724" t="n"/>
      <c r="LU23" s="497" t="n"/>
      <c r="LV23" s="724" t="n"/>
      <c r="LW23" s="724">
        <f>MA22</f>
        <v/>
      </c>
      <c r="LX23" s="724" t="n"/>
      <c r="LY23" s="497" t="n"/>
      <c r="LZ23" s="497" t="n"/>
      <c r="MA23" s="593">
        <f>IF(AND(LV23:LZ23),1,0)</f>
        <v/>
      </c>
      <c r="MH23" s="592" t="n">
        <v>20</v>
      </c>
      <c r="MI23" s="497" t="n"/>
      <c r="MJ23" s="724" t="inlineStr">
        <is>
          <t>DI RIO 2 PCB 9(15)_I_FADFORCED CIS</t>
        </is>
      </c>
      <c r="MK23" s="497" t="n"/>
      <c r="ML23" s="724" t="n"/>
      <c r="MM23" s="605">
        <f>MQ22</f>
        <v/>
      </c>
      <c r="MN23" s="724">
        <f>MQ22</f>
        <v/>
      </c>
      <c r="MO23" s="497" t="n"/>
      <c r="MP23" s="497" t="n"/>
      <c r="MQ23" s="593">
        <f>IF(AND(ML23:MP23),1,0)</f>
        <v/>
      </c>
      <c r="MS23" s="724" t="inlineStr">
        <is>
          <t>SMDR</t>
        </is>
      </c>
      <c r="MT23" s="757" t="n">
        <v>1</v>
      </c>
    </row>
    <row r="24">
      <c r="A24" s="590" t="n">
        <v>21</v>
      </c>
      <c r="B24" s="497" t="n"/>
      <c r="C24" s="497" t="n"/>
      <c r="D24" s="497" t="n"/>
      <c r="E24" s="497" t="n"/>
      <c r="F24" s="757">
        <f>J23</f>
        <v/>
      </c>
      <c r="G24" s="592" t="n"/>
      <c r="H24" s="497" t="n"/>
      <c r="I24" s="497" t="n"/>
      <c r="J24" s="593">
        <f>IF(AND(E24:I24),1,0)</f>
        <v/>
      </c>
      <c r="P24" s="592" t="n">
        <v>21</v>
      </c>
      <c r="Q24" s="497" t="n"/>
      <c r="R24" s="592" t="n"/>
      <c r="S24" s="497" t="n"/>
      <c r="T24" s="497" t="n"/>
      <c r="U24" s="592">
        <f>Y20</f>
        <v/>
      </c>
      <c r="V24" s="497">
        <f>Y23</f>
        <v/>
      </c>
      <c r="W24" s="497" t="n"/>
      <c r="X24" s="497" t="n"/>
      <c r="Y24" s="593">
        <f>IF(AND(T24:X24),1,0)</f>
        <v/>
      </c>
      <c r="AA24" s="497" t="inlineStr">
        <is>
          <t>CDFB 4,63A</t>
        </is>
      </c>
      <c r="AB24" s="757" t="n"/>
      <c r="AC24" s="497" t="n"/>
      <c r="AF24" s="592" t="n">
        <v>21</v>
      </c>
      <c r="AG24" s="497" t="n"/>
      <c r="AH24" s="497" t="n"/>
      <c r="AI24" s="497" t="n"/>
      <c r="AJ24" s="497" t="n"/>
      <c r="AK24" s="600">
        <f>AO20</f>
        <v/>
      </c>
      <c r="AL24" s="497" t="n"/>
      <c r="AM24" s="497" t="n"/>
      <c r="AN24" s="497" t="n"/>
      <c r="AO24" s="593">
        <f>IF(AND(AJ24:AN24),1,0)</f>
        <v/>
      </c>
      <c r="AS24" s="592" t="n">
        <v>21</v>
      </c>
      <c r="AT24" s="497" t="n"/>
      <c r="AU24" s="497" t="n"/>
      <c r="AV24" s="497" t="n"/>
      <c r="AW24" s="497">
        <f>BB23</f>
        <v/>
      </c>
      <c r="AX24" s="497" t="n"/>
      <c r="AY24" s="497" t="n"/>
      <c r="AZ24" s="497" t="n"/>
      <c r="BA24" s="497" t="n"/>
      <c r="BB24" s="593">
        <f>IF(AND(AW24:BA24),1,0)</f>
        <v/>
      </c>
      <c r="BI24" s="592" t="n">
        <v>21</v>
      </c>
      <c r="BJ24" s="497" t="n"/>
      <c r="BK24" s="497" t="n"/>
      <c r="BL24" s="497" t="n"/>
      <c r="BM24" s="497" t="n"/>
      <c r="BN24" s="592">
        <f>BR23</f>
        <v/>
      </c>
      <c r="BO24" s="497" t="n"/>
      <c r="BP24" s="497" t="n"/>
      <c r="BQ24" s="497" t="n"/>
      <c r="BR24" s="593">
        <f>IF(AND(BM24:BQ24),1,0)</f>
        <v/>
      </c>
      <c r="BX24" s="592" t="n">
        <v>21</v>
      </c>
      <c r="BY24" s="497" t="n"/>
      <c r="BZ24" s="497" t="n"/>
      <c r="CA24" s="497" t="n"/>
      <c r="CB24" s="497" t="n"/>
      <c r="CC24" s="592">
        <f>CG23</f>
        <v/>
      </c>
      <c r="CD24" s="497" t="n"/>
      <c r="CE24" s="497" t="n"/>
      <c r="CF24" s="497" t="n"/>
      <c r="CG24" s="593">
        <f>IF(AND(CB24:CF24),1,0)</f>
        <v/>
      </c>
      <c r="CI24" s="592" t="n">
        <v>21</v>
      </c>
      <c r="CJ24" s="497" t="n"/>
      <c r="CK24" s="497" t="n"/>
      <c r="CL24" s="497" t="n"/>
      <c r="CM24" s="497" t="n"/>
      <c r="CN24" s="497">
        <f>CR22</f>
        <v/>
      </c>
      <c r="CO24" s="497" t="n"/>
      <c r="CP24" s="497" t="n"/>
      <c r="CQ24" s="497" t="n"/>
      <c r="CR24" s="593">
        <f>IF(AND(CM24:CQ24),1,0)</f>
        <v/>
      </c>
      <c r="DK24" s="592" t="n">
        <v>21</v>
      </c>
      <c r="DL24" s="597" t="n"/>
      <c r="DM24" s="592" t="n"/>
      <c r="DN24" s="497" t="n"/>
      <c r="DO24" s="497" t="n"/>
      <c r="DP24" s="757">
        <f>DT14</f>
        <v/>
      </c>
      <c r="DQ24" s="497" t="n"/>
      <c r="DR24" s="497" t="n"/>
      <c r="DS24" s="497" t="n"/>
      <c r="DT24" s="593">
        <f>IF(AND(DO24:DS24),1,0)</f>
        <v/>
      </c>
      <c r="DZ24" s="592" t="n">
        <v>21</v>
      </c>
      <c r="EA24" s="597" t="n"/>
      <c r="EB24" s="757" t="inlineStr">
        <is>
          <t>SMRR</t>
        </is>
      </c>
      <c r="EC24" s="497" t="n"/>
      <c r="ED24" s="497" t="n"/>
      <c r="EE24" s="601">
        <f>EL9</f>
        <v/>
      </c>
      <c r="EF24" s="497" t="n"/>
      <c r="EG24" s="497" t="n"/>
      <c r="EH24" s="497" t="n"/>
      <c r="EI24" s="602">
        <f>IF(AND(ED24:EH24),1,0)</f>
        <v/>
      </c>
      <c r="EO24" s="592" t="n">
        <v>21</v>
      </c>
      <c r="EP24" s="597" t="n"/>
      <c r="EQ24" s="592" t="n"/>
      <c r="ER24" s="497" t="n"/>
      <c r="ES24" s="497" t="n"/>
      <c r="ET24" s="497">
        <f>EX23</f>
        <v/>
      </c>
      <c r="EU24" s="497" t="n"/>
      <c r="EV24" s="497" t="n"/>
      <c r="EW24" s="497" t="n"/>
      <c r="EX24" s="593">
        <f>IF(AND(ES24:EW24),1,0)</f>
        <v/>
      </c>
      <c r="FE24" s="592" t="n">
        <v>21</v>
      </c>
      <c r="FF24" s="597" t="n"/>
      <c r="FG24" s="592" t="n"/>
      <c r="FH24" s="497" t="n"/>
      <c r="FI24" s="497" t="n"/>
      <c r="FJ24" s="497">
        <f>FN23</f>
        <v/>
      </c>
      <c r="FK24" s="497" t="n"/>
      <c r="FL24" s="497" t="n"/>
      <c r="FM24" s="497" t="n"/>
      <c r="FN24" s="593">
        <f>IF(AND(FI24:FM24),1,0)</f>
        <v/>
      </c>
      <c r="FT24" s="592" t="n">
        <v>21</v>
      </c>
      <c r="FU24" s="597" t="n"/>
      <c r="FV24" s="724" t="n"/>
      <c r="FW24" s="497" t="n"/>
      <c r="FX24" s="497" t="n"/>
      <c r="FY24" s="592">
        <f>GC23</f>
        <v/>
      </c>
      <c r="FZ24" s="497" t="n"/>
      <c r="GA24" s="497" t="n"/>
      <c r="GB24" s="497" t="n"/>
      <c r="GC24" s="593">
        <f>IF(AND(FX24:GB24),1,0)</f>
        <v/>
      </c>
      <c r="GF24" s="592" t="n">
        <v>21</v>
      </c>
      <c r="GG24" s="597" t="n"/>
      <c r="GH24" s="724" t="n"/>
      <c r="GI24" s="497" t="n"/>
      <c r="GJ24" s="497" t="n"/>
      <c r="GK24" s="592">
        <f>GO23</f>
        <v/>
      </c>
      <c r="GL24" s="497" t="n"/>
      <c r="GM24" s="497" t="n"/>
      <c r="GN24" s="497" t="n"/>
      <c r="GO24" s="593">
        <f>IF(AND(GJ24:GN24),1,0)</f>
        <v/>
      </c>
      <c r="GU24" s="592" t="n">
        <v>21</v>
      </c>
      <c r="GV24" s="597" t="n"/>
      <c r="GW24" s="724" t="n"/>
      <c r="GX24" s="497" t="n"/>
      <c r="GY24" s="497" t="n"/>
      <c r="GZ24" s="757">
        <f>HD23</f>
        <v/>
      </c>
      <c r="HA24" s="497" t="n"/>
      <c r="HB24" s="497" t="n"/>
      <c r="HC24" s="497" t="n"/>
      <c r="HD24" s="602">
        <f>IF(AND(GY24:HC24),1,0)</f>
        <v/>
      </c>
      <c r="HK24" s="592" t="n">
        <v>21</v>
      </c>
      <c r="HL24" s="497" t="n"/>
      <c r="HM24" s="592" t="inlineStr">
        <is>
          <t>APS1</t>
        </is>
      </c>
      <c r="HN24" s="497" t="n"/>
      <c r="HO24" s="497" t="n"/>
      <c r="HP24" s="600">
        <f>HW6</f>
        <v/>
      </c>
      <c r="HQ24" s="497" t="n"/>
      <c r="HR24" s="497" t="n"/>
      <c r="HS24" s="497" t="n"/>
      <c r="HT24" s="593">
        <f>IF(AND(HO24:HS24),1,0)</f>
        <v/>
      </c>
      <c r="HZ24" s="592" t="n">
        <v>21</v>
      </c>
      <c r="IA24" s="497" t="n"/>
      <c r="IB24" s="497" t="n"/>
      <c r="IC24" s="497" t="n"/>
      <c r="ID24" s="497" t="n"/>
      <c r="IE24" s="757">
        <f>II23</f>
        <v/>
      </c>
      <c r="IF24" s="497" t="n"/>
      <c r="IG24" s="497" t="n"/>
      <c r="IH24" s="497" t="n"/>
      <c r="II24" s="593">
        <f>IF(AND(ID24:IH24),1,0)</f>
        <v/>
      </c>
      <c r="IL24" s="592" t="n">
        <v>21</v>
      </c>
      <c r="IM24" s="497" t="n"/>
      <c r="IN24" s="757" t="inlineStr">
        <is>
          <t>0VDC</t>
        </is>
      </c>
      <c r="IO24" s="497" t="n"/>
      <c r="IP24" s="597" t="n"/>
      <c r="IQ24" s="605">
        <f>HW21</f>
        <v/>
      </c>
      <c r="IR24" s="497" t="n"/>
      <c r="IS24" s="497" t="n"/>
      <c r="IT24" s="497" t="n"/>
      <c r="IU24" s="593">
        <f>IF(AND(IP24:IT24),1,0)</f>
        <v/>
      </c>
      <c r="IX24" s="592" t="n">
        <v>21</v>
      </c>
      <c r="IY24" s="497" t="n"/>
      <c r="IZ24" s="724" t="n"/>
      <c r="JA24" s="497" t="n"/>
      <c r="JB24" s="597" t="n"/>
      <c r="JC24" s="597">
        <f>JG23</f>
        <v/>
      </c>
      <c r="JD24" s="497" t="n"/>
      <c r="JE24" s="497" t="n"/>
      <c r="JF24" s="497" t="n"/>
      <c r="JG24" s="602">
        <f>IF(AND(JB24:JF24),1,0)</f>
        <v/>
      </c>
      <c r="JN24" s="592" t="n">
        <v>21</v>
      </c>
      <c r="JO24" s="497" t="n"/>
      <c r="JP24" s="724" t="inlineStr">
        <is>
          <t>FADR1</t>
        </is>
      </c>
      <c r="JQ24" s="497" t="n"/>
      <c r="JR24" s="597" t="n"/>
      <c r="JS24" s="606">
        <f>JJ21</f>
        <v/>
      </c>
      <c r="JT24" s="597">
        <f>JW23</f>
        <v/>
      </c>
      <c r="JU24" s="497" t="n"/>
      <c r="JV24" s="497" t="n"/>
      <c r="JW24" s="593">
        <f>IF(AND(JR24:JV24),1,0)</f>
        <v/>
      </c>
      <c r="JZ24" s="592" t="n">
        <v>21</v>
      </c>
      <c r="KA24" s="497" t="n"/>
      <c r="KB24" s="724" t="n"/>
      <c r="KC24" s="497" t="n"/>
      <c r="KD24" s="724" t="n"/>
      <c r="KE24" s="724">
        <f>KI23</f>
        <v/>
      </c>
      <c r="KF24" s="597" t="n"/>
      <c r="KG24" s="497" t="n"/>
      <c r="KH24" s="497" t="n"/>
      <c r="KI24" s="593">
        <f>IF(AND(KD24:KH24),1,0)</f>
        <v/>
      </c>
      <c r="KK24" s="497" t="inlineStr">
        <is>
          <t>RS 485</t>
        </is>
      </c>
      <c r="KL24" s="497" t="n"/>
      <c r="KM24" s="497" t="n"/>
      <c r="KP24" s="592" t="n">
        <v>21</v>
      </c>
      <c r="KQ24" s="497" t="n"/>
      <c r="KR24" s="724" t="n"/>
      <c r="KS24" s="497" t="n"/>
      <c r="KT24" s="724" t="n"/>
      <c r="KU24" s="724">
        <f>KY25</f>
        <v/>
      </c>
      <c r="KV24" s="724" t="n"/>
      <c r="KW24" s="497" t="n"/>
      <c r="KX24" s="497" t="n"/>
      <c r="KY24" s="593">
        <f>IF(AND(KT24:KX24),1,0)</f>
        <v/>
      </c>
      <c r="LB24" s="592" t="n">
        <v>21</v>
      </c>
      <c r="LC24" s="497" t="n"/>
      <c r="LD24" s="724" t="inlineStr">
        <is>
          <t>SAFB2</t>
        </is>
      </c>
      <c r="LE24" s="497" t="n"/>
      <c r="LF24" s="724" t="n"/>
      <c r="LG24" s="605">
        <f>LN15</f>
        <v/>
      </c>
      <c r="LH24" s="724">
        <f>LK23</f>
        <v/>
      </c>
      <c r="LI24" s="497">
        <f>LK19</f>
        <v/>
      </c>
      <c r="LJ24" s="497">
        <f>LK15</f>
        <v/>
      </c>
      <c r="LK24" s="593">
        <f>IF(AND(LF24:LJ24),1,0)</f>
        <v/>
      </c>
      <c r="LM24" s="497" t="inlineStr">
        <is>
          <t>CDFB 4,63A</t>
        </is>
      </c>
      <c r="LN24" s="757" t="n">
        <v>1</v>
      </c>
      <c r="LO24" s="497" t="n"/>
      <c r="LR24" s="592" t="n">
        <v>21</v>
      </c>
      <c r="LS24" s="497" t="n"/>
      <c r="LT24" s="724" t="n"/>
      <c r="LU24" s="497" t="n"/>
      <c r="LV24" s="724" t="n"/>
      <c r="LW24" s="724">
        <f>MA23</f>
        <v/>
      </c>
      <c r="LX24" s="724" t="n"/>
      <c r="LY24" s="497" t="n"/>
      <c r="LZ24" s="497" t="n"/>
      <c r="MA24" s="593">
        <f>IF(AND(LV24:LZ24),1,0)</f>
        <v/>
      </c>
      <c r="MH24" s="592" t="n">
        <v>21</v>
      </c>
      <c r="MI24" s="497" t="n"/>
      <c r="MJ24" s="724" t="n"/>
      <c r="MK24" s="497" t="n"/>
      <c r="ML24" s="724" t="n"/>
      <c r="MM24" s="605">
        <f>MT22</f>
        <v/>
      </c>
      <c r="MN24" s="724">
        <f>MQ22</f>
        <v/>
      </c>
      <c r="MO24" s="497" t="n"/>
      <c r="MP24" s="497" t="n"/>
      <c r="MQ24" s="593">
        <f>IF(AND(ML24:MP24),1,0)</f>
        <v/>
      </c>
    </row>
    <row r="25" ht="28.5" customHeight="1">
      <c r="A25" s="590" t="n">
        <v>22</v>
      </c>
      <c r="B25" s="497" t="n"/>
      <c r="C25" s="497" t="n"/>
      <c r="D25" s="497" t="n"/>
      <c r="E25" s="497" t="n"/>
      <c r="F25" s="757">
        <f>J24</f>
        <v/>
      </c>
      <c r="G25" s="592" t="n"/>
      <c r="H25" s="497" t="n"/>
      <c r="I25" s="497" t="n"/>
      <c r="J25" s="593">
        <f>IF(AND(E25:I25),1,0)</f>
        <v/>
      </c>
      <c r="P25" s="592" t="n">
        <v>22</v>
      </c>
      <c r="Q25" s="497" t="n"/>
      <c r="R25" s="592" t="n"/>
      <c r="S25" s="497" t="n"/>
      <c r="T25" s="497" t="n"/>
      <c r="U25" s="592">
        <f>Y12</f>
        <v/>
      </c>
      <c r="V25" s="497" t="n"/>
      <c r="W25" s="497" t="n"/>
      <c r="X25" s="497" t="n"/>
      <c r="Y25" s="593">
        <f>IF(AND(T25:X25),1,0)</f>
        <v/>
      </c>
      <c r="AA25" s="497" t="inlineStr">
        <is>
          <t>CDFC 9A</t>
        </is>
      </c>
      <c r="AB25" s="757" t="n"/>
      <c r="AC25" s="497" t="n"/>
      <c r="AF25" s="592" t="n">
        <v>22</v>
      </c>
      <c r="AG25" s="497" t="n"/>
      <c r="AH25" s="497" t="n"/>
      <c r="AI25" s="497" t="n"/>
      <c r="AJ25" s="497" t="n"/>
      <c r="AK25" s="757">
        <f>AO12</f>
        <v/>
      </c>
      <c r="AL25" s="497" t="n"/>
      <c r="AM25" s="497" t="n"/>
      <c r="AN25" s="497" t="n"/>
      <c r="AO25" s="593">
        <f>IF(AND(AJ25:AN25),1,0)</f>
        <v/>
      </c>
      <c r="AS25" s="592" t="n">
        <v>22</v>
      </c>
      <c r="AT25" s="497" t="n"/>
      <c r="AU25" s="497" t="n"/>
      <c r="AV25" s="497" t="n"/>
      <c r="AW25" s="497">
        <f>BB13</f>
        <v/>
      </c>
      <c r="AX25" s="497" t="n"/>
      <c r="AY25" s="497" t="n"/>
      <c r="AZ25" s="497" t="n"/>
      <c r="BA25" s="497" t="n"/>
      <c r="BB25" s="593">
        <f>IF(AND(AW25:BA25),1,0)</f>
        <v/>
      </c>
      <c r="BI25" s="592" t="n">
        <v>22</v>
      </c>
      <c r="BJ25" s="497" t="n"/>
      <c r="BK25" s="497" t="n"/>
      <c r="BL25" s="497" t="n"/>
      <c r="BM25" s="497" t="n"/>
      <c r="BN25" s="598" t="n">
        <v>1</v>
      </c>
      <c r="BO25" s="497" t="n"/>
      <c r="BP25" s="497" t="n"/>
      <c r="BQ25" s="497" t="n"/>
      <c r="BR25" s="593">
        <f>IF(AND(BM25:BQ25),1,0)</f>
        <v/>
      </c>
      <c r="BX25" s="592" t="n">
        <v>22</v>
      </c>
      <c r="BY25" s="497" t="n"/>
      <c r="BZ25" s="497" t="n"/>
      <c r="CA25" s="497" t="n"/>
      <c r="CB25" s="497" t="n"/>
      <c r="CC25" s="598" t="n">
        <v>1</v>
      </c>
      <c r="CD25" s="497" t="n"/>
      <c r="CE25" s="497" t="n"/>
      <c r="CF25" s="497" t="n"/>
      <c r="CG25" s="593">
        <f>IF(AND(CB25:CF25),1,0)</f>
        <v/>
      </c>
      <c r="CI25" s="592" t="n">
        <v>22</v>
      </c>
      <c r="CJ25" s="497" t="n"/>
      <c r="CK25" s="497" t="n"/>
      <c r="CL25" s="497" t="n"/>
      <c r="CM25" s="497" t="n"/>
      <c r="CN25" s="497">
        <f>CR24</f>
        <v/>
      </c>
      <c r="CO25" s="497" t="n"/>
      <c r="CP25" s="497" t="n"/>
      <c r="CQ25" s="497" t="n"/>
      <c r="CR25" s="593">
        <f>IF(AND(CM25:CQ25),1,0)</f>
        <v/>
      </c>
      <c r="DK25" s="592" t="n">
        <v>22</v>
      </c>
      <c r="DL25" s="597" t="n"/>
      <c r="DM25" s="592" t="n"/>
      <c r="DN25" s="497" t="n"/>
      <c r="DO25" s="497" t="n"/>
      <c r="DP25" s="757">
        <f>DT24</f>
        <v/>
      </c>
      <c r="DQ25" s="497" t="n"/>
      <c r="DR25" s="497" t="n"/>
      <c r="DS25" s="497" t="n"/>
      <c r="DT25" s="593">
        <f>IF(AND(DO25:DS25),1,0)</f>
        <v/>
      </c>
      <c r="DZ25" s="592" t="n">
        <v>22</v>
      </c>
      <c r="EA25" s="597" t="n"/>
      <c r="EB25" s="592" t="n"/>
      <c r="EC25" s="497" t="n"/>
      <c r="ED25" s="497" t="n"/>
      <c r="EE25" s="497">
        <f>EI24</f>
        <v/>
      </c>
      <c r="EF25" s="497" t="n"/>
      <c r="EG25" s="497" t="n"/>
      <c r="EH25" s="497" t="n"/>
      <c r="EI25" s="602">
        <f>IF(AND(ED25:EH25),1,0)</f>
        <v/>
      </c>
      <c r="EO25" s="592" t="n">
        <v>22</v>
      </c>
      <c r="EP25" s="597" t="n"/>
      <c r="EQ25" s="592" t="inlineStr">
        <is>
          <t>SFC OFF</t>
        </is>
      </c>
      <c r="ER25" s="497" t="n"/>
      <c r="ES25" s="497" t="n"/>
      <c r="ET25" s="601">
        <f>FA16</f>
        <v/>
      </c>
      <c r="EU25" s="497">
        <f>EX24</f>
        <v/>
      </c>
      <c r="EV25" s="497" t="n"/>
      <c r="EW25" s="497" t="n"/>
      <c r="EX25" s="593">
        <f>IF(AND(ES25:EW25),1,0)</f>
        <v/>
      </c>
      <c r="FE25" s="592" t="n">
        <v>22</v>
      </c>
      <c r="FF25" s="597" t="n"/>
      <c r="FG25" s="592" t="inlineStr">
        <is>
          <t>SFC OFF</t>
        </is>
      </c>
      <c r="FH25" s="497" t="n"/>
      <c r="FI25" s="497" t="n"/>
      <c r="FJ25" s="601">
        <f>FA16</f>
        <v/>
      </c>
      <c r="FK25" s="497">
        <f>FN24</f>
        <v/>
      </c>
      <c r="FL25" s="497" t="n"/>
      <c r="FM25" s="497" t="n"/>
      <c r="FN25" s="593">
        <f>IF(AND(FI25:FM25),1,0)</f>
        <v/>
      </c>
      <c r="FT25" s="592" t="n">
        <v>22</v>
      </c>
      <c r="FU25" s="597" t="n"/>
      <c r="FV25" s="724" t="n"/>
      <c r="FW25" s="497" t="n"/>
      <c r="FX25" s="497" t="n"/>
      <c r="FY25" s="592">
        <f>GC24</f>
        <v/>
      </c>
      <c r="FZ25" s="497" t="n"/>
      <c r="GA25" s="497" t="n"/>
      <c r="GB25" s="497" t="n"/>
      <c r="GC25" s="593">
        <f>IF(AND(FX25:GB25),1,0)</f>
        <v/>
      </c>
      <c r="GF25" s="592" t="n">
        <v>22</v>
      </c>
      <c r="GG25" s="597" t="n"/>
      <c r="GH25" s="724" t="inlineStr">
        <is>
          <t>FADR1</t>
        </is>
      </c>
      <c r="GI25" s="497" t="n"/>
      <c r="GJ25" s="497" t="n"/>
      <c r="GK25" s="604">
        <f>GR9</f>
        <v/>
      </c>
      <c r="GL25" s="497">
        <f>GO24</f>
        <v/>
      </c>
      <c r="GM25" s="497" t="n"/>
      <c r="GN25" s="497" t="n"/>
      <c r="GO25" s="593">
        <f>IF(AND(GJ25:GN25),1,0)</f>
        <v/>
      </c>
      <c r="GU25" s="592" t="n">
        <v>22</v>
      </c>
      <c r="GV25" s="597" t="n"/>
      <c r="GW25" s="724" t="n"/>
      <c r="GX25" s="497" t="n"/>
      <c r="GY25" s="497" t="n"/>
      <c r="GZ25" s="757">
        <f>HD24</f>
        <v/>
      </c>
      <c r="HA25" s="497" t="n"/>
      <c r="HB25" s="497" t="n"/>
      <c r="HC25" s="497" t="n"/>
      <c r="HD25" s="602">
        <f>IF(AND(GY25:HC25),1,0)</f>
        <v/>
      </c>
      <c r="HK25" s="592" t="n">
        <v>22</v>
      </c>
      <c r="HL25" s="497" t="n"/>
      <c r="HM25" s="497" t="n"/>
      <c r="HN25" s="497" t="n"/>
      <c r="HO25" s="497" t="n"/>
      <c r="HP25" s="757">
        <f>HT24</f>
        <v/>
      </c>
      <c r="HQ25" s="497" t="n"/>
      <c r="HR25" s="497" t="n"/>
      <c r="HS25" s="497" t="n"/>
      <c r="HT25" s="593">
        <f>IF(AND(HO25:HS25),1,0)</f>
        <v/>
      </c>
      <c r="HZ25" s="592" t="n">
        <v>22</v>
      </c>
      <c r="IA25" s="497" t="n"/>
      <c r="IB25" s="497" t="n"/>
      <c r="IC25" s="497" t="n"/>
      <c r="ID25" s="497" t="n"/>
      <c r="IE25" s="757">
        <f>II24</f>
        <v/>
      </c>
      <c r="IF25" s="497" t="n"/>
      <c r="IG25" s="497" t="n"/>
      <c r="IH25" s="497" t="n"/>
      <c r="II25" s="593">
        <f>IF(AND(ID25:IH25),1,0)</f>
        <v/>
      </c>
      <c r="IL25" s="592" t="n">
        <v>22</v>
      </c>
      <c r="IM25" s="497" t="n"/>
      <c r="IN25" s="497" t="n"/>
      <c r="IO25" s="497" t="n"/>
      <c r="IP25" s="597" t="n"/>
      <c r="IQ25" s="597">
        <f>IU24</f>
        <v/>
      </c>
      <c r="IR25" s="497" t="n"/>
      <c r="IS25" s="497" t="n"/>
      <c r="IT25" s="497" t="n"/>
      <c r="IU25" s="593">
        <f>IF(AND(IP25:IT25),1,0)</f>
        <v/>
      </c>
      <c r="IX25" s="592" t="n">
        <v>22</v>
      </c>
      <c r="IY25" s="497" t="n"/>
      <c r="IZ25" s="724" t="inlineStr">
        <is>
          <t xml:space="preserve">24 V DC </t>
        </is>
      </c>
      <c r="JA25" s="497" t="n"/>
      <c r="JB25" s="597" t="n"/>
      <c r="JC25" s="606">
        <f>JJ5</f>
        <v/>
      </c>
      <c r="JD25" s="497" t="n"/>
      <c r="JE25" s="497" t="n"/>
      <c r="JF25" s="497" t="n"/>
      <c r="JG25" s="602">
        <f>IF(AND(JB25:JF25),1,0)</f>
        <v/>
      </c>
      <c r="JN25" s="592" t="n">
        <v>22</v>
      </c>
      <c r="JO25" s="497" t="n"/>
      <c r="JP25" s="724" t="n"/>
      <c r="JQ25" s="497" t="n"/>
      <c r="JR25" s="597" t="n"/>
      <c r="JS25" s="597">
        <f>JW24</f>
        <v/>
      </c>
      <c r="JT25" s="597" t="n"/>
      <c r="JU25" s="497" t="n"/>
      <c r="JV25" s="497" t="n"/>
      <c r="JW25" s="593">
        <f>IF(AND(JR25:JV25),1,0)</f>
        <v/>
      </c>
      <c r="JZ25" s="592" t="n">
        <v>22</v>
      </c>
      <c r="KA25" s="497" t="n"/>
      <c r="KB25" s="724" t="inlineStr">
        <is>
          <t>DI SAF 1 &amp; 2</t>
        </is>
      </c>
      <c r="KC25" s="497" t="n"/>
      <c r="KD25" s="724" t="n"/>
      <c r="KE25" s="724">
        <f>KI24</f>
        <v/>
      </c>
      <c r="KF25" s="597">
        <f>KI23</f>
        <v/>
      </c>
      <c r="KG25" s="497" t="n"/>
      <c r="KH25" s="497" t="n"/>
      <c r="KI25" s="593">
        <f>IF(AND(KD25:KH25),1,0)</f>
        <v/>
      </c>
      <c r="KP25" s="592" t="n">
        <v>22</v>
      </c>
      <c r="KQ25" s="592" t="inlineStr">
        <is>
          <t>X5</t>
        </is>
      </c>
      <c r="KR25" s="724" t="inlineStr">
        <is>
          <t>RS 485</t>
        </is>
      </c>
      <c r="KS25" s="497" t="n"/>
      <c r="KT25" s="724" t="n"/>
      <c r="KU25" s="605" t="n">
        <v>1</v>
      </c>
      <c r="KV25" s="724" t="n"/>
      <c r="KW25" s="497" t="n"/>
      <c r="KX25" s="497" t="n"/>
      <c r="KY25" s="593">
        <f>IF(AND(KT25:KX25),1,0)</f>
        <v/>
      </c>
      <c r="LB25" s="592" t="n">
        <v>22</v>
      </c>
      <c r="LC25" s="497" t="n"/>
      <c r="LD25" s="724" t="n"/>
      <c r="LE25" s="497" t="n"/>
      <c r="LF25" s="724" t="n"/>
      <c r="LG25" s="724">
        <f>LK24</f>
        <v/>
      </c>
      <c r="LH25" s="724" t="n"/>
      <c r="LI25" s="497" t="n"/>
      <c r="LJ25" s="497" t="n"/>
      <c r="LK25" s="593">
        <f>IF(AND(LF25:LJ25),1,0)</f>
        <v/>
      </c>
      <c r="LM25" s="497" t="inlineStr">
        <is>
          <t>CDFC 9A</t>
        </is>
      </c>
      <c r="LN25" s="757" t="n">
        <v>1</v>
      </c>
      <c r="LO25" s="497" t="n"/>
      <c r="LR25" s="592" t="n">
        <v>22</v>
      </c>
      <c r="LS25" s="497" t="n"/>
      <c r="LT25" s="724" t="n"/>
      <c r="LU25" s="497" t="n"/>
      <c r="LV25" s="724" t="n"/>
      <c r="LW25" s="724">
        <f>MA24</f>
        <v/>
      </c>
      <c r="LX25" s="724" t="n"/>
      <c r="LY25" s="497" t="n"/>
      <c r="LZ25" s="497" t="n"/>
      <c r="MA25" s="593">
        <f>IF(AND(LV25:LZ25),1,0)</f>
        <v/>
      </c>
      <c r="MH25" s="592" t="n">
        <v>22</v>
      </c>
      <c r="MI25" s="497" t="n"/>
      <c r="MJ25" s="724" t="n"/>
      <c r="MK25" s="497" t="n"/>
      <c r="ML25" s="724" t="n"/>
      <c r="MM25" s="724">
        <f>MQ18</f>
        <v/>
      </c>
      <c r="MN25" s="724" t="n"/>
      <c r="MO25" s="497" t="n"/>
      <c r="MP25" s="497" t="n"/>
      <c r="MQ25" s="593">
        <f>IF(AND(ML25:MP25),1,0)</f>
        <v/>
      </c>
    </row>
    <row r="26">
      <c r="A26" s="590" t="n">
        <v>23</v>
      </c>
      <c r="B26" s="497" t="n"/>
      <c r="C26" s="497" t="n"/>
      <c r="D26" s="497" t="n"/>
      <c r="E26" s="497" t="n"/>
      <c r="F26" s="757">
        <f>J25</f>
        <v/>
      </c>
      <c r="G26" s="592" t="n"/>
      <c r="H26" s="497" t="n"/>
      <c r="I26" s="497" t="n"/>
      <c r="J26" s="593">
        <f>IF(AND(E26:I26),1,0)</f>
        <v/>
      </c>
      <c r="P26" s="592" t="n">
        <v>23</v>
      </c>
      <c r="Q26" s="497" t="n"/>
      <c r="R26" s="592" t="n"/>
      <c r="S26" s="497" t="n"/>
      <c r="T26" s="497" t="n"/>
      <c r="U26" s="757">
        <f>Y18</f>
        <v/>
      </c>
      <c r="V26" s="497">
        <f>Y25</f>
        <v/>
      </c>
      <c r="W26" s="497" t="n"/>
      <c r="X26" s="497" t="n"/>
      <c r="Y26" s="593">
        <f>IF(AND(T26:X26),1,0)</f>
        <v/>
      </c>
      <c r="AA26" s="497" t="inlineStr">
        <is>
          <t>SAFB1 9.5A</t>
        </is>
      </c>
      <c r="AB26" s="757" t="n"/>
      <c r="AC26" s="497" t="n"/>
      <c r="AF26" s="592" t="n">
        <v>23</v>
      </c>
      <c r="AG26" s="497" t="n"/>
      <c r="AH26" s="497" t="n"/>
      <c r="AI26" s="497" t="n"/>
      <c r="AJ26" s="497" t="n"/>
      <c r="AK26" s="600">
        <f>AO18</f>
        <v/>
      </c>
      <c r="AL26" s="497" t="n"/>
      <c r="AM26" s="497" t="n"/>
      <c r="AN26" s="497" t="n"/>
      <c r="AO26" s="593">
        <f>IF(AND(AJ26:AN26),1,0)</f>
        <v/>
      </c>
      <c r="AS26" s="592" t="n">
        <v>23</v>
      </c>
      <c r="AT26" s="497" t="n"/>
      <c r="AU26" s="724" t="inlineStr">
        <is>
          <t>SMDRB</t>
        </is>
      </c>
      <c r="AV26" s="497" t="n"/>
      <c r="AW26" s="601" t="n">
        <v>1</v>
      </c>
      <c r="AX26" s="497">
        <f>BB25</f>
        <v/>
      </c>
      <c r="AY26" s="497" t="n"/>
      <c r="AZ26" s="497" t="n"/>
      <c r="BA26" s="497" t="n"/>
      <c r="BB26" s="593">
        <f>IF(AND(AW26:BA26),1,0)</f>
        <v/>
      </c>
      <c r="BI26" s="592" t="n">
        <v>23</v>
      </c>
      <c r="BJ26" s="597" t="n"/>
      <c r="BK26" s="592" t="n"/>
      <c r="BL26" s="497" t="n"/>
      <c r="BM26" s="497" t="n"/>
      <c r="BN26" s="609">
        <f>BR25</f>
        <v/>
      </c>
      <c r="BO26" s="497" t="n"/>
      <c r="BP26" s="497" t="n"/>
      <c r="BQ26" s="497" t="n"/>
      <c r="BR26" s="593">
        <f>IF(AND(BM26:BQ26),1,0)</f>
        <v/>
      </c>
      <c r="BX26" s="592" t="n">
        <v>23</v>
      </c>
      <c r="BY26" s="597" t="n"/>
      <c r="BZ26" s="592" t="n"/>
      <c r="CA26" s="497" t="n"/>
      <c r="CB26" s="497" t="n"/>
      <c r="CC26" s="609">
        <f>CG25</f>
        <v/>
      </c>
      <c r="CD26" s="497" t="n"/>
      <c r="CE26" s="497" t="n"/>
      <c r="CF26" s="497" t="n"/>
      <c r="CG26" s="593">
        <f>IF(AND(CB26:CF26),1,0)</f>
        <v/>
      </c>
      <c r="CI26" s="592" t="n">
        <v>23</v>
      </c>
      <c r="CJ26" s="724" t="inlineStr">
        <is>
          <t>UD .X63.22-F 1 +63.20</t>
        </is>
      </c>
      <c r="CK26" s="592" t="n"/>
      <c r="CL26" s="497" t="n"/>
      <c r="CM26" s="497" t="n"/>
      <c r="CN26" s="497">
        <f>CR25</f>
        <v/>
      </c>
      <c r="CO26" s="497" t="n"/>
      <c r="CP26" s="497" t="n"/>
      <c r="CQ26" s="497" t="n"/>
      <c r="CR26" s="593">
        <f>IF(AND(CM26:CQ26),1,0)</f>
        <v/>
      </c>
      <c r="DK26" s="592" t="n">
        <v>23</v>
      </c>
      <c r="DL26" s="597" t="n"/>
      <c r="DM26" s="592" t="n"/>
      <c r="DN26" s="497" t="n"/>
      <c r="DO26" s="497" t="n"/>
      <c r="DP26" s="757">
        <f>DT16</f>
        <v/>
      </c>
      <c r="DQ26" s="497">
        <f>DT25</f>
        <v/>
      </c>
      <c r="DR26" s="497" t="n"/>
      <c r="DS26" s="497" t="n"/>
      <c r="DT26" s="593">
        <f>IF(AND(DO26:DS26),1,0)</f>
        <v/>
      </c>
      <c r="DZ26" s="592" t="n">
        <v>23</v>
      </c>
      <c r="EA26" s="597" t="n"/>
      <c r="EB26" s="757" t="inlineStr">
        <is>
          <t>SMDR1</t>
        </is>
      </c>
      <c r="EC26" s="497" t="n"/>
      <c r="ED26" s="497" t="n"/>
      <c r="EE26" s="601">
        <f>EL10</f>
        <v/>
      </c>
      <c r="EF26" s="497" t="n"/>
      <c r="EG26" s="497" t="n"/>
      <c r="EH26" s="497" t="n"/>
      <c r="EI26" s="602">
        <f>IF(AND(ED26:EH26),1,0)</f>
        <v/>
      </c>
      <c r="EO26" s="592" t="n">
        <v>23</v>
      </c>
      <c r="EP26" s="597" t="n"/>
      <c r="EQ26" s="592" t="n"/>
      <c r="ER26" s="497" t="n"/>
      <c r="ES26" s="497" t="n"/>
      <c r="ET26" s="497">
        <f>EX25</f>
        <v/>
      </c>
      <c r="EU26" s="497" t="n"/>
      <c r="EV26" s="497" t="n"/>
      <c r="EW26" s="497" t="n"/>
      <c r="EX26" s="593">
        <f>IF(AND(ES26:EW26),1,0)</f>
        <v/>
      </c>
      <c r="FE26" s="592" t="n">
        <v>23</v>
      </c>
      <c r="FF26" s="597" t="n"/>
      <c r="FG26" s="592" t="n"/>
      <c r="FH26" s="497" t="n"/>
      <c r="FI26" s="497" t="n"/>
      <c r="FJ26" s="497">
        <f>FN25</f>
        <v/>
      </c>
      <c r="FK26" s="497" t="n"/>
      <c r="FL26" s="497" t="n"/>
      <c r="FM26" s="497" t="n"/>
      <c r="FN26" s="593">
        <f>IF(AND(FI26:FM26),1,0)</f>
        <v/>
      </c>
      <c r="FT26" s="592" t="n">
        <v>23</v>
      </c>
      <c r="FU26" s="597" t="n"/>
      <c r="FV26" s="724" t="inlineStr">
        <is>
          <t>SFC OFF</t>
        </is>
      </c>
      <c r="FW26" s="497" t="n"/>
      <c r="FX26" s="497" t="n"/>
      <c r="FY26" s="600">
        <f>FQ16</f>
        <v/>
      </c>
      <c r="FZ26" s="497" t="n"/>
      <c r="GA26" s="497" t="n"/>
      <c r="GB26" s="497" t="n"/>
      <c r="GC26" s="593">
        <f>IF(AND(FX26:GB26),1,0)</f>
        <v/>
      </c>
      <c r="GF26" s="592" t="n">
        <v>23</v>
      </c>
      <c r="GG26" s="597" t="n"/>
      <c r="GH26" s="724" t="n"/>
      <c r="GI26" s="497" t="n"/>
      <c r="GJ26" s="497" t="n"/>
      <c r="GK26" s="592">
        <f>GO64</f>
        <v/>
      </c>
      <c r="GL26" s="497" t="n"/>
      <c r="GM26" s="497" t="n"/>
      <c r="GN26" s="497" t="n"/>
      <c r="GO26" s="593">
        <f>IF(AND(GJ26:GN26),1,0)</f>
        <v/>
      </c>
      <c r="GU26" s="592" t="n">
        <v>23</v>
      </c>
      <c r="GV26" s="597" t="n"/>
      <c r="GW26" s="724" t="n"/>
      <c r="GX26" s="497" t="n"/>
      <c r="GY26" s="497" t="n"/>
      <c r="GZ26" s="757">
        <f>HD51</f>
        <v/>
      </c>
      <c r="HA26" s="497" t="n"/>
      <c r="HB26" s="497" t="n"/>
      <c r="HC26" s="497" t="n"/>
      <c r="HD26" s="602">
        <f>IF(AND(GY26:HC26),1,0)</f>
        <v/>
      </c>
      <c r="HK26" s="592" t="n">
        <v>23</v>
      </c>
      <c r="HL26" s="497" t="n"/>
      <c r="HM26" s="497" t="n"/>
      <c r="HN26" s="497" t="n"/>
      <c r="HO26" s="497" t="n"/>
      <c r="HP26" s="757">
        <f>HT25</f>
        <v/>
      </c>
      <c r="HQ26" s="497" t="n"/>
      <c r="HR26" s="497" t="n"/>
      <c r="HS26" s="497" t="n"/>
      <c r="HT26" s="593">
        <f>IF(AND(HO26:HS26),1,0)</f>
        <v/>
      </c>
      <c r="HZ26" s="592" t="n">
        <v>23</v>
      </c>
      <c r="IA26" s="497" t="n"/>
      <c r="IB26" s="497" t="n"/>
      <c r="IC26" s="497" t="n"/>
      <c r="ID26" s="497" t="n"/>
      <c r="IE26" s="600">
        <f>HW17</f>
        <v/>
      </c>
      <c r="IF26" s="497" t="n"/>
      <c r="IG26" s="497" t="n"/>
      <c r="IH26" s="497" t="n"/>
      <c r="II26" s="593">
        <f>IF(AND(ID26:IH26),1,0)</f>
        <v/>
      </c>
      <c r="IL26" s="592" t="n">
        <v>23</v>
      </c>
      <c r="IM26" s="497" t="n"/>
      <c r="IN26" s="497" t="n"/>
      <c r="IO26" s="497" t="n"/>
      <c r="IP26" s="597" t="n"/>
      <c r="IQ26" s="597">
        <f>IU25</f>
        <v/>
      </c>
      <c r="IR26" s="497" t="n"/>
      <c r="IS26" s="497" t="n"/>
      <c r="IT26" s="497" t="n"/>
      <c r="IU26" s="593">
        <f>IF(AND(IP26:IT26),1,0)</f>
        <v/>
      </c>
      <c r="IX26" s="592" t="n">
        <v>23</v>
      </c>
      <c r="IY26" s="497" t="n"/>
      <c r="IZ26" s="724" t="n">
        <v>1</v>
      </c>
      <c r="JA26" s="497" t="n"/>
      <c r="JB26" s="597" t="n"/>
      <c r="JC26" s="597">
        <f>JG25</f>
        <v/>
      </c>
      <c r="JD26" s="497" t="n"/>
      <c r="JE26" s="497" t="n"/>
      <c r="JF26" s="497" t="n"/>
      <c r="JG26" s="602">
        <f>IF(AND(JB26:JF26),1,0)</f>
        <v/>
      </c>
      <c r="JN26" s="592" t="n">
        <v>23</v>
      </c>
      <c r="JO26" s="497" t="n"/>
      <c r="JP26" s="724" t="n"/>
      <c r="JQ26" s="497" t="n"/>
      <c r="JR26" s="597" t="n"/>
      <c r="JS26" s="597">
        <f>JW24</f>
        <v/>
      </c>
      <c r="JT26" s="597" t="n"/>
      <c r="JU26" s="497" t="n"/>
      <c r="JV26" s="497" t="n"/>
      <c r="JW26" s="593">
        <f>IF(AND(JR26:JV26),1,0)</f>
        <v/>
      </c>
      <c r="KP26" s="592" t="n">
        <v>23</v>
      </c>
      <c r="KQ26" s="497" t="n"/>
      <c r="KR26" s="497" t="n"/>
      <c r="KS26" s="497" t="n"/>
      <c r="KT26" s="497" t="n"/>
      <c r="KU26" s="592">
        <f>KY27</f>
        <v/>
      </c>
      <c r="KV26" s="597" t="n"/>
      <c r="KW26" s="497" t="n"/>
      <c r="KX26" s="497" t="n"/>
      <c r="KY26" s="593">
        <f>IF(AND(KT26:KX26),1,0)</f>
        <v/>
      </c>
      <c r="LB26" s="592" t="n">
        <v>23</v>
      </c>
      <c r="LC26" s="497" t="n"/>
      <c r="LD26" s="724" t="inlineStr">
        <is>
          <t>SAFC2</t>
        </is>
      </c>
      <c r="LE26" s="497" t="n"/>
      <c r="LF26" s="724" t="n"/>
      <c r="LG26" s="605">
        <f>LN15</f>
        <v/>
      </c>
      <c r="LH26" s="724">
        <f>LK25</f>
        <v/>
      </c>
      <c r="LI26" s="497" t="n"/>
      <c r="LJ26" s="497">
        <f>LK16</f>
        <v/>
      </c>
      <c r="LK26" s="593">
        <f>IF(AND(LF26:LJ26),1,0)</f>
        <v/>
      </c>
      <c r="LM26" s="497" t="inlineStr">
        <is>
          <t>SAFB1 9.5A</t>
        </is>
      </c>
      <c r="LN26" s="757" t="n">
        <v>1</v>
      </c>
      <c r="LO26" s="497" t="n"/>
      <c r="LR26" s="592" t="n">
        <v>23</v>
      </c>
      <c r="LS26" s="497" t="n"/>
      <c r="LT26" s="724" t="n"/>
      <c r="LU26" s="497" t="n"/>
      <c r="LV26" s="724" t="n"/>
      <c r="LW26" s="724">
        <f>MA25</f>
        <v/>
      </c>
      <c r="LX26" s="724" t="n"/>
      <c r="LY26" s="497" t="n"/>
      <c r="LZ26" s="497" t="n"/>
      <c r="MA26" s="593">
        <f>IF(AND(LV26:LZ26),1,0)</f>
        <v/>
      </c>
      <c r="MH26" s="592" t="n">
        <v>23</v>
      </c>
      <c r="MI26" s="497" t="n"/>
      <c r="MJ26" s="724" t="inlineStr">
        <is>
          <t>SMDRB</t>
        </is>
      </c>
      <c r="MK26" s="497" t="n"/>
      <c r="ML26" s="724" t="n"/>
      <c r="MM26" s="605">
        <f>MT12</f>
        <v/>
      </c>
      <c r="MN26" s="724">
        <f>MT12</f>
        <v/>
      </c>
      <c r="MO26" s="497" t="n"/>
      <c r="MP26" s="497" t="n"/>
      <c r="MQ26" s="593">
        <f>IF(AND(ML26:MP26),1,0)</f>
        <v/>
      </c>
    </row>
    <row r="27">
      <c r="A27" s="590" t="n">
        <v>24</v>
      </c>
      <c r="B27" s="497">
        <f>IF(OR('Mode Logic'!U18:V18),1,0)</f>
        <v/>
      </c>
      <c r="C27" s="497" t="n"/>
      <c r="D27" s="497" t="n"/>
      <c r="E27" s="497" t="n"/>
      <c r="F27" s="757">
        <f>J26</f>
        <v/>
      </c>
      <c r="G27" s="592" t="n"/>
      <c r="H27" s="497" t="n"/>
      <c r="I27" s="497" t="n"/>
      <c r="J27" s="593">
        <f>IF(AND(E27:I27),1,0)</f>
        <v/>
      </c>
      <c r="P27" s="592" t="n">
        <v>24</v>
      </c>
      <c r="Q27" s="497" t="n"/>
      <c r="R27" s="592" t="n"/>
      <c r="S27" s="497" t="n"/>
      <c r="T27" s="497" t="n"/>
      <c r="U27" s="757">
        <f>Y20</f>
        <v/>
      </c>
      <c r="V27" s="497">
        <f>Y26</f>
        <v/>
      </c>
      <c r="W27" s="497" t="n"/>
      <c r="X27" s="497" t="n"/>
      <c r="Y27" s="593">
        <f>IF(AND(T27:X27),1,0)</f>
        <v/>
      </c>
      <c r="AA27" s="497" t="inlineStr">
        <is>
          <t>SAFC1 12A</t>
        </is>
      </c>
      <c r="AB27" s="757" t="n"/>
      <c r="AC27" s="497" t="n"/>
      <c r="AF27" s="592" t="n">
        <v>24</v>
      </c>
      <c r="AG27" s="497" t="n"/>
      <c r="AH27" s="497" t="n"/>
      <c r="AI27" s="497" t="n"/>
      <c r="AJ27" s="497" t="n"/>
      <c r="AK27" s="600">
        <f>AO20</f>
        <v/>
      </c>
      <c r="AL27" s="497" t="n"/>
      <c r="AM27" s="497" t="n"/>
      <c r="AN27" s="497" t="n"/>
      <c r="AO27" s="593">
        <f>IF(AND(AJ27:AN27),1,0)</f>
        <v/>
      </c>
      <c r="AS27" s="592" t="n">
        <v>24</v>
      </c>
      <c r="AT27" s="497" t="n"/>
      <c r="AU27" s="497" t="n"/>
      <c r="AV27" s="497" t="n"/>
      <c r="AW27" s="497">
        <f>BB26</f>
        <v/>
      </c>
      <c r="AX27" s="497" t="n"/>
      <c r="AY27" s="497" t="n"/>
      <c r="AZ27" s="497" t="n"/>
      <c r="BA27" s="497" t="n"/>
      <c r="BB27" s="593">
        <f>IF(AND(AW27:BA27),1,0)</f>
        <v/>
      </c>
      <c r="BI27" s="592" t="n">
        <v>24</v>
      </c>
      <c r="BJ27" s="497" t="n"/>
      <c r="BK27" s="497" t="n"/>
      <c r="BL27" s="497" t="n"/>
      <c r="BM27" s="497" t="n"/>
      <c r="BN27" s="592">
        <f>BR26</f>
        <v/>
      </c>
      <c r="BO27" s="497" t="n"/>
      <c r="BP27" s="497" t="n"/>
      <c r="BQ27" s="497" t="n"/>
      <c r="BR27" s="593">
        <f>IF(AND(BM27:BQ27),1,0)</f>
        <v/>
      </c>
      <c r="BX27" s="592" t="n">
        <v>24</v>
      </c>
      <c r="BY27" s="497" t="n"/>
      <c r="BZ27" s="497" t="n"/>
      <c r="CA27" s="497" t="n"/>
      <c r="CB27" s="497" t="n"/>
      <c r="CC27" s="592">
        <f>CG26</f>
        <v/>
      </c>
      <c r="CD27" s="497" t="n"/>
      <c r="CE27" s="497" t="n"/>
      <c r="CF27" s="497" t="n"/>
      <c r="CG27" s="593">
        <f>IF(AND(CB27:CF27),1,0)</f>
        <v/>
      </c>
      <c r="CI27" s="592" t="n">
        <v>24</v>
      </c>
      <c r="CJ27" s="497" t="n"/>
      <c r="CK27" s="497" t="n"/>
      <c r="CL27" s="497" t="n"/>
      <c r="CM27" s="497" t="n"/>
      <c r="CN27" s="497">
        <f>CR26</f>
        <v/>
      </c>
      <c r="CO27" s="497" t="n"/>
      <c r="CP27" s="497" t="n"/>
      <c r="CQ27" s="497" t="n"/>
      <c r="CR27" s="593">
        <f>IF(AND(CM27:CQ27),1,0)</f>
        <v/>
      </c>
      <c r="DK27" s="592" t="n">
        <v>24</v>
      </c>
      <c r="DL27" s="597" t="inlineStr">
        <is>
          <t>LAF12(14.20)</t>
        </is>
      </c>
      <c r="DM27" s="592" t="inlineStr">
        <is>
          <t>HFAN2</t>
        </is>
      </c>
      <c r="DN27" s="497" t="n"/>
      <c r="DO27" s="497" t="n"/>
      <c r="DP27" s="600">
        <f>DW12</f>
        <v/>
      </c>
      <c r="DQ27" s="497" t="n"/>
      <c r="DR27" s="497" t="n"/>
      <c r="DS27" s="497" t="n"/>
      <c r="DT27" s="593">
        <f>IF(AND(DO27:DS27),1,0)</f>
        <v/>
      </c>
      <c r="DZ27" s="592" t="n">
        <v>24</v>
      </c>
      <c r="EA27" s="597" t="n"/>
      <c r="EB27" s="592" t="n"/>
      <c r="EC27" s="497" t="n"/>
      <c r="ED27" s="497" t="n"/>
      <c r="EE27" s="497">
        <f>EI26</f>
        <v/>
      </c>
      <c r="EF27" s="497" t="n"/>
      <c r="EG27" s="497" t="n"/>
      <c r="EH27" s="497" t="n"/>
      <c r="EI27" s="602">
        <f>IF(AND(ED27:EH27),1,0)</f>
        <v/>
      </c>
      <c r="EO27" s="592" t="n">
        <v>24</v>
      </c>
      <c r="EP27" s="597" t="n"/>
      <c r="EQ27" s="592" t="n"/>
      <c r="ER27" s="497" t="n"/>
      <c r="ES27" s="497" t="n"/>
      <c r="ET27" s="596" t="n">
        <v>1</v>
      </c>
      <c r="EU27" s="497" t="n"/>
      <c r="EV27" s="497" t="n"/>
      <c r="EW27" s="497" t="n"/>
      <c r="EX27" s="593">
        <f>IF(AND(ES27:EW27),1,0)</f>
        <v/>
      </c>
      <c r="FE27" s="592" t="n">
        <v>24</v>
      </c>
      <c r="FF27" s="597" t="n"/>
      <c r="FG27" s="592" t="n"/>
      <c r="FH27" s="497" t="n"/>
      <c r="FI27" s="497" t="n"/>
      <c r="FJ27" s="596" t="n">
        <v>1</v>
      </c>
      <c r="FK27" s="497" t="n"/>
      <c r="FL27" s="497" t="n"/>
      <c r="FM27" s="497" t="n"/>
      <c r="FN27" s="593">
        <f>IF(AND(FI27:FM27),1,0)</f>
        <v/>
      </c>
      <c r="FT27" s="592" t="n">
        <v>24</v>
      </c>
      <c r="FU27" s="597" t="n"/>
      <c r="FV27" s="724" t="n"/>
      <c r="FW27" s="497" t="n"/>
      <c r="FX27" s="497" t="n"/>
      <c r="FY27" s="592">
        <f>GC26</f>
        <v/>
      </c>
      <c r="FZ27" s="497" t="n"/>
      <c r="GA27" s="497" t="n"/>
      <c r="GB27" s="497" t="n"/>
      <c r="GC27" s="593">
        <f>IF(AND(FX27:GB27),1,0)</f>
        <v/>
      </c>
      <c r="GF27" s="592" t="n">
        <v>24</v>
      </c>
      <c r="GG27" s="597" t="n"/>
      <c r="GH27" s="724" t="n"/>
      <c r="GI27" s="497" t="n"/>
      <c r="GJ27" s="497" t="n"/>
      <c r="GK27" s="592">
        <f>GO25</f>
        <v/>
      </c>
      <c r="GL27" s="497" t="n"/>
      <c r="GM27" s="497" t="n"/>
      <c r="GN27" s="497" t="n"/>
      <c r="GO27" s="593">
        <f>IF(AND(GJ27:GN27),1,0)</f>
        <v/>
      </c>
      <c r="GU27" s="592" t="n">
        <v>24</v>
      </c>
      <c r="GV27" s="597" t="n"/>
      <c r="GW27" s="724" t="n"/>
      <c r="GX27" s="497" t="n"/>
      <c r="GY27" s="497" t="n"/>
      <c r="GZ27" s="757">
        <f>HD26</f>
        <v/>
      </c>
      <c r="HA27" s="497" t="n"/>
      <c r="HB27" s="497" t="n"/>
      <c r="HC27" s="497" t="n"/>
      <c r="HD27" s="602">
        <f>IF(AND(GY27:HC27),1,0)</f>
        <v/>
      </c>
      <c r="HK27" s="592" t="n">
        <v>24</v>
      </c>
      <c r="HL27" s="497" t="n"/>
      <c r="HM27" s="592" t="inlineStr">
        <is>
          <t>MPCB 2</t>
        </is>
      </c>
      <c r="HN27" s="497" t="n"/>
      <c r="HO27" s="497" t="n"/>
      <c r="HP27" s="600">
        <f>HW9</f>
        <v/>
      </c>
      <c r="HQ27" s="497" t="n"/>
      <c r="HR27" s="497" t="n"/>
      <c r="HS27" s="497" t="n"/>
      <c r="HT27" s="593">
        <f>IF(AND(HO27:HS27),1,0)</f>
        <v/>
      </c>
      <c r="HZ27" s="592" t="n">
        <v>24</v>
      </c>
      <c r="IA27" s="497" t="n"/>
      <c r="IB27" s="497" t="inlineStr">
        <is>
          <t>PPR1</t>
        </is>
      </c>
      <c r="IC27" s="497" t="n"/>
      <c r="ID27" s="497" t="n"/>
      <c r="IE27" s="600">
        <f>HW14</f>
        <v/>
      </c>
      <c r="IF27" s="497">
        <f>II26</f>
        <v/>
      </c>
      <c r="IG27" s="497" t="n"/>
      <c r="IH27" s="497" t="n"/>
      <c r="II27" s="593">
        <f>IF(AND(ID27:IH27),1,0)</f>
        <v/>
      </c>
      <c r="IL27" s="592" t="n">
        <v>24</v>
      </c>
      <c r="IM27" s="497" t="n"/>
      <c r="IN27" s="497" t="n"/>
      <c r="IO27" s="497" t="n"/>
      <c r="IP27" s="597" t="n"/>
      <c r="IQ27" s="597">
        <f>IU26</f>
        <v/>
      </c>
      <c r="IR27" s="497" t="n"/>
      <c r="IS27" s="497" t="n"/>
      <c r="IT27" s="497" t="n"/>
      <c r="IU27" s="593">
        <f>IF(AND(IP27:IT27),1,0)</f>
        <v/>
      </c>
      <c r="IX27" s="592" t="n">
        <v>24</v>
      </c>
      <c r="IY27" s="497" t="n"/>
      <c r="IZ27" s="724" t="inlineStr">
        <is>
          <t>OPENING OF FAD AS PER AW LEVEL (A0)</t>
        </is>
      </c>
      <c r="JA27" s="497" t="n"/>
      <c r="JB27" s="597" t="n"/>
      <c r="JC27" s="597">
        <f>JG26</f>
        <v/>
      </c>
      <c r="JD27" s="497" t="n"/>
      <c r="JE27" s="497" t="n"/>
      <c r="JF27" s="497" t="n"/>
      <c r="JG27" s="602">
        <f>IF(AND(JB27:JF27),1,0)</f>
        <v/>
      </c>
      <c r="JN27" s="592" t="n">
        <v>24</v>
      </c>
      <c r="JO27" s="497" t="n"/>
      <c r="JP27" s="724" t="n"/>
      <c r="JQ27" s="497" t="n"/>
      <c r="JR27" s="597" t="n"/>
      <c r="JS27" s="597">
        <f>JW20</f>
        <v/>
      </c>
      <c r="JT27" s="597" t="n"/>
      <c r="JU27" s="497" t="n"/>
      <c r="JV27" s="497" t="n"/>
      <c r="JW27" s="593">
        <f>IF(AND(JR27:JV27),1,0)</f>
        <v/>
      </c>
      <c r="KP27" s="592" t="n">
        <v>24</v>
      </c>
      <c r="KQ27" s="592" t="inlineStr">
        <is>
          <t>X5</t>
        </is>
      </c>
      <c r="KR27" s="724" t="inlineStr">
        <is>
          <t>RS 485</t>
        </is>
      </c>
      <c r="KS27" s="497" t="n"/>
      <c r="KT27" s="724" t="n"/>
      <c r="KU27" s="605" t="n">
        <v>1</v>
      </c>
      <c r="KV27" s="597" t="n"/>
      <c r="KW27" s="497" t="n"/>
      <c r="KX27" s="497" t="n"/>
      <c r="KY27" s="593">
        <f>IF(AND(KT27:KX27),1,0)</f>
        <v/>
      </c>
      <c r="LB27" s="592" t="n">
        <v>24</v>
      </c>
      <c r="LC27" s="497" t="n"/>
      <c r="LD27" s="724" t="n"/>
      <c r="LE27" s="497" t="n"/>
      <c r="LF27" s="724" t="n"/>
      <c r="LG27" s="724">
        <f>LK26</f>
        <v/>
      </c>
      <c r="LH27" s="724" t="n"/>
      <c r="LI27" s="497" t="n"/>
      <c r="LJ27" s="497" t="n"/>
      <c r="LK27" s="593">
        <f>IF(AND(LF27:LJ27),1,0)</f>
        <v/>
      </c>
      <c r="LM27" s="497" t="inlineStr">
        <is>
          <t>SAFC1 12A</t>
        </is>
      </c>
      <c r="LN27" s="757" t="n">
        <v>1</v>
      </c>
      <c r="LO27" s="497" t="n"/>
      <c r="LR27" s="592" t="n">
        <v>24</v>
      </c>
      <c r="LS27" s="497" t="n"/>
      <c r="LT27" s="724" t="n"/>
      <c r="LU27" s="497" t="n"/>
      <c r="LV27" s="724" t="n"/>
      <c r="LW27" s="724">
        <f>MA26</f>
        <v/>
      </c>
      <c r="LX27" s="724" t="n"/>
      <c r="LY27" s="497" t="n"/>
      <c r="LZ27" s="497" t="n"/>
      <c r="MA27" s="593">
        <f>IF(AND(LV27:LZ27),1,0)</f>
        <v/>
      </c>
      <c r="MH27" s="592" t="n">
        <v>24</v>
      </c>
      <c r="MI27" s="497" t="n"/>
      <c r="MJ27" s="724" t="n"/>
      <c r="MK27" s="497" t="n"/>
      <c r="ML27" s="724" t="n"/>
      <c r="MM27" s="724">
        <f>MQ26</f>
        <v/>
      </c>
      <c r="MN27" s="724" t="n"/>
      <c r="MO27" s="497" t="n"/>
      <c r="MP27" s="497" t="n"/>
      <c r="MQ27" s="593">
        <f>IF(AND(ML27:MP27),1,0)</f>
        <v/>
      </c>
    </row>
    <row r="28" ht="45.75" customHeight="1">
      <c r="A28" s="590" t="n">
        <v>25</v>
      </c>
      <c r="B28" s="497" t="n"/>
      <c r="C28" s="497" t="n"/>
      <c r="D28" s="497" t="n"/>
      <c r="E28" s="497" t="n"/>
      <c r="F28" s="757">
        <f>J27</f>
        <v/>
      </c>
      <c r="G28" s="592" t="n"/>
      <c r="H28" s="497" t="n"/>
      <c r="I28" s="497" t="n"/>
      <c r="J28" s="593">
        <f>IF(AND(E28:I28),1,0)</f>
        <v/>
      </c>
      <c r="P28" s="592" t="n">
        <v>25</v>
      </c>
      <c r="Q28" s="497" t="n"/>
      <c r="R28" s="724" t="inlineStr">
        <is>
          <t>SUPPLY AIR FAN 1 Pa=1.25kW P.f=0.75</t>
        </is>
      </c>
      <c r="S28" s="497" t="n"/>
      <c r="T28" s="497" t="n"/>
      <c r="U28" s="600">
        <f>AB15</f>
        <v/>
      </c>
      <c r="V28" s="497">
        <f>Y21</f>
        <v/>
      </c>
      <c r="W28" s="497">
        <f>Y24</f>
        <v/>
      </c>
      <c r="X28" s="497">
        <f>Y27</f>
        <v/>
      </c>
      <c r="Y28" s="593">
        <f>IF(AND(T28:X28),1,0)</f>
        <v/>
      </c>
      <c r="AA28" s="497" t="inlineStr">
        <is>
          <t>EMR DRIVE</t>
        </is>
      </c>
      <c r="AB28" s="757" t="n">
        <v>1</v>
      </c>
      <c r="AC28" s="497" t="n"/>
      <c r="AF28" s="592" t="n">
        <v>25</v>
      </c>
      <c r="AG28" s="497" t="n"/>
      <c r="AH28" s="724" t="inlineStr">
        <is>
          <t>SUPPLY AIR FAN 1 Pa=1.25kW P.f=0.75</t>
        </is>
      </c>
      <c r="AI28" s="497" t="n"/>
      <c r="AJ28" s="497" t="n"/>
      <c r="AK28" s="600">
        <f>AB15</f>
        <v/>
      </c>
      <c r="AL28" s="592">
        <f>AO21</f>
        <v/>
      </c>
      <c r="AM28" s="592">
        <f>AO24</f>
        <v/>
      </c>
      <c r="AN28" s="592">
        <f>AO27</f>
        <v/>
      </c>
      <c r="AO28" s="593">
        <f>IF(AND(AJ28:AN28),1,0)</f>
        <v/>
      </c>
      <c r="AS28" s="592" t="n">
        <v>25</v>
      </c>
      <c r="AT28" s="497" t="n"/>
      <c r="AU28" s="497" t="n"/>
      <c r="AV28" s="497" t="n"/>
      <c r="AW28" s="497">
        <f>BB27</f>
        <v/>
      </c>
      <c r="AX28" s="497" t="n"/>
      <c r="AY28" s="497" t="n"/>
      <c r="AZ28" s="497" t="n"/>
      <c r="BA28" s="497" t="n"/>
      <c r="BB28" s="593">
        <f>IF(AND(AW28:BA28),1,0)</f>
        <v/>
      </c>
      <c r="BI28" s="592" t="n">
        <v>25</v>
      </c>
      <c r="BJ28" s="592" t="n"/>
      <c r="BK28" s="497" t="n"/>
      <c r="BL28" s="497" t="n"/>
      <c r="BM28" s="497" t="n"/>
      <c r="BN28" s="609">
        <f>BR27</f>
        <v/>
      </c>
      <c r="BO28" s="497" t="n"/>
      <c r="BP28" s="497" t="n"/>
      <c r="BQ28" s="497" t="n"/>
      <c r="BR28" s="593">
        <f>IF(AND(BM28:BQ28),1,0)</f>
        <v/>
      </c>
      <c r="BX28" s="592" t="n">
        <v>25</v>
      </c>
      <c r="BY28" s="592" t="n"/>
      <c r="BZ28" s="497" t="n"/>
      <c r="CA28" s="497" t="n"/>
      <c r="CB28" s="497" t="n"/>
      <c r="CC28" s="609">
        <f>CG27</f>
        <v/>
      </c>
      <c r="CD28" s="497" t="n"/>
      <c r="CE28" s="497" t="n"/>
      <c r="CF28" s="497" t="n"/>
      <c r="CG28" s="593">
        <f>IF(AND(CB28:CF28),1,0)</f>
        <v/>
      </c>
      <c r="CI28" s="592" t="n">
        <v>25</v>
      </c>
      <c r="CJ28" s="592" t="n"/>
      <c r="CK28" s="497" t="n"/>
      <c r="CL28" s="497" t="n"/>
      <c r="CM28" s="497" t="n"/>
      <c r="CN28" s="497">
        <f>CR27</f>
        <v/>
      </c>
      <c r="CO28" s="497" t="n"/>
      <c r="CP28" s="497" t="n"/>
      <c r="CQ28" s="497" t="n"/>
      <c r="CR28" s="593">
        <f>IF(AND(CM28:CQ28),1,0)</f>
        <v/>
      </c>
      <c r="DK28" s="592" t="n">
        <v>25</v>
      </c>
      <c r="DL28" s="597" t="n"/>
      <c r="DM28" s="592" t="n"/>
      <c r="DN28" s="497" t="n"/>
      <c r="DO28" s="497" t="n"/>
      <c r="DP28" s="757">
        <f>DT27</f>
        <v/>
      </c>
      <c r="DQ28" s="497" t="n"/>
      <c r="DR28" s="497" t="n"/>
      <c r="DS28" s="497" t="n"/>
      <c r="DT28" s="593">
        <f>IF(AND(DO28:DS28),1,0)</f>
        <v/>
      </c>
      <c r="DZ28" s="592" t="n">
        <v>25</v>
      </c>
      <c r="EA28" s="597" t="n"/>
      <c r="EB28" s="757" t="inlineStr">
        <is>
          <t>SMDR2</t>
        </is>
      </c>
      <c r="EC28" s="497" t="n"/>
      <c r="ED28" s="497" t="n"/>
      <c r="EE28" s="601">
        <f>EL11</f>
        <v/>
      </c>
      <c r="EF28" s="497" t="n"/>
      <c r="EG28" s="497" t="n"/>
      <c r="EH28" s="497" t="n"/>
      <c r="EI28" s="602">
        <f>IF(AND(ED28:EH28),1,0)</f>
        <v/>
      </c>
      <c r="EO28" s="592" t="n">
        <v>25</v>
      </c>
      <c r="EP28" s="597" t="n"/>
      <c r="EQ28" s="592" t="n"/>
      <c r="ER28" s="497" t="n"/>
      <c r="ES28" s="497" t="n"/>
      <c r="ET28" s="497">
        <f>EX27</f>
        <v/>
      </c>
      <c r="EU28" s="497" t="n"/>
      <c r="EV28" s="497" t="n"/>
      <c r="EW28" s="497" t="n"/>
      <c r="EX28" s="593">
        <f>IF(AND(ES28:EW28),1,0)</f>
        <v/>
      </c>
      <c r="FE28" s="592" t="n">
        <v>25</v>
      </c>
      <c r="FF28" s="597" t="n"/>
      <c r="FG28" s="592" t="n"/>
      <c r="FH28" s="497" t="n"/>
      <c r="FI28" s="497" t="n"/>
      <c r="FJ28" s="497">
        <f>FN27</f>
        <v/>
      </c>
      <c r="FK28" s="497" t="n"/>
      <c r="FL28" s="497" t="n"/>
      <c r="FM28" s="497" t="n"/>
      <c r="FN28" s="593">
        <f>IF(AND(FI28:FM28),1,0)</f>
        <v/>
      </c>
      <c r="FT28" s="592" t="n">
        <v>25</v>
      </c>
      <c r="FU28" s="597" t="n"/>
      <c r="FV28" s="724" t="n"/>
      <c r="FW28" s="497" t="n"/>
      <c r="FX28" s="497" t="n"/>
      <c r="FY28" s="598" t="n">
        <v>1</v>
      </c>
      <c r="FZ28" s="497" t="n"/>
      <c r="GA28" s="497" t="n"/>
      <c r="GB28" s="497" t="n"/>
      <c r="GC28" s="593">
        <f>IF(AND(FX28:GB28),1,0)</f>
        <v/>
      </c>
      <c r="GF28" s="592" t="n">
        <v>25</v>
      </c>
      <c r="GG28" s="597" t="n"/>
      <c r="GH28" s="724" t="n"/>
      <c r="GI28" s="497" t="n"/>
      <c r="GJ28" s="497" t="n"/>
      <c r="GK28" s="592">
        <f>GO20</f>
        <v/>
      </c>
      <c r="GL28" s="497" t="n"/>
      <c r="GM28" s="497" t="n"/>
      <c r="GN28" s="497" t="n"/>
      <c r="GO28" s="593">
        <f>IF(AND(GJ28:GN28),1,0)</f>
        <v/>
      </c>
      <c r="GU28" s="592" t="n">
        <v>25</v>
      </c>
      <c r="GV28" s="597" t="n"/>
      <c r="GW28" s="724" t="n"/>
      <c r="GX28" s="497" t="n"/>
      <c r="GY28" s="497" t="n"/>
      <c r="GZ28" s="757">
        <f>HD27</f>
        <v/>
      </c>
      <c r="HA28" s="497" t="n"/>
      <c r="HB28" s="497" t="n"/>
      <c r="HC28" s="497" t="n"/>
      <c r="HD28" s="602">
        <f>IF(AND(GY28:HC28),1,0)</f>
        <v/>
      </c>
      <c r="HK28" s="592" t="n">
        <v>25</v>
      </c>
      <c r="HL28" s="497" t="n"/>
      <c r="HM28" s="497" t="n"/>
      <c r="HN28" s="497" t="n"/>
      <c r="HO28" s="497" t="n"/>
      <c r="HP28" s="757">
        <f>HT27</f>
        <v/>
      </c>
      <c r="HQ28" s="497" t="n"/>
      <c r="HR28" s="497" t="n"/>
      <c r="HS28" s="497" t="n"/>
      <c r="HT28" s="593">
        <f>IF(AND(HO28:HS28),1,0)</f>
        <v/>
      </c>
      <c r="HZ28" s="592" t="n">
        <v>25</v>
      </c>
      <c r="IA28" s="497" t="n"/>
      <c r="IB28" s="497" t="n"/>
      <c r="IC28" s="497" t="n"/>
      <c r="ID28" s="497" t="n"/>
      <c r="IE28" s="757">
        <f>II27</f>
        <v/>
      </c>
      <c r="IF28" s="497" t="n"/>
      <c r="IG28" s="497" t="n"/>
      <c r="IH28" s="497" t="n"/>
      <c r="II28" s="593">
        <f>IF(AND(ID28:IH28),1,0)</f>
        <v/>
      </c>
      <c r="IL28" s="592" t="n">
        <v>25</v>
      </c>
      <c r="IM28" s="497" t="n"/>
      <c r="IN28" s="497" t="n"/>
      <c r="IO28" s="497" t="n"/>
      <c r="IP28" s="597" t="n"/>
      <c r="IQ28" s="597">
        <f>IU27</f>
        <v/>
      </c>
      <c r="IR28" s="497" t="n"/>
      <c r="IS28" s="497" t="n"/>
      <c r="IT28" s="497" t="n"/>
      <c r="IU28" s="593">
        <f>IF(AND(IP28:IT28),1,0)</f>
        <v/>
      </c>
      <c r="IX28" s="592" t="n">
        <v>25</v>
      </c>
      <c r="IY28" s="497" t="n"/>
      <c r="IZ28" s="724" t="n"/>
      <c r="JA28" s="497" t="n"/>
      <c r="JB28" s="597" t="n"/>
      <c r="JC28" s="615">
        <f>'Mode Logic'!P18</f>
        <v/>
      </c>
      <c r="JD28" s="497" t="n"/>
      <c r="JE28" s="497" t="n"/>
      <c r="JF28" s="497" t="n"/>
      <c r="JG28" s="602">
        <f>IF(AND(JB28:JF28),1,0)</f>
        <v/>
      </c>
      <c r="JN28" s="592" t="n">
        <v>25</v>
      </c>
      <c r="JO28" s="497" t="n"/>
      <c r="JP28" s="724" t="inlineStr">
        <is>
          <t>SFC OFF</t>
        </is>
      </c>
      <c r="JQ28" s="497" t="n"/>
      <c r="JR28" s="597" t="n"/>
      <c r="JS28" s="606">
        <f>JJ20</f>
        <v/>
      </c>
      <c r="JT28" s="597">
        <f>JW27</f>
        <v/>
      </c>
      <c r="JU28" s="497" t="n"/>
      <c r="JV28" s="497" t="n"/>
      <c r="JW28" s="593">
        <f>IF(AND(JR28:JV28),1,0)</f>
        <v/>
      </c>
      <c r="KP28" s="592" t="n">
        <v>25</v>
      </c>
      <c r="KQ28" s="497" t="n"/>
      <c r="KR28" s="724" t="n"/>
      <c r="KS28" s="497" t="n"/>
      <c r="KT28" s="724" t="n"/>
      <c r="KU28" s="724">
        <f>KY29</f>
        <v/>
      </c>
      <c r="KV28" s="597" t="n"/>
      <c r="KW28" s="497" t="n"/>
      <c r="KX28" s="497" t="n"/>
      <c r="KY28" s="593">
        <f>IF(AND(KT28:KX28),1,0)</f>
        <v/>
      </c>
      <c r="LB28" s="592" t="n">
        <v>25</v>
      </c>
      <c r="LC28" s="497" t="n"/>
      <c r="LD28" s="724" t="n"/>
      <c r="LE28" s="497" t="n"/>
      <c r="LF28" s="724" t="n"/>
      <c r="LG28" s="724">
        <f>LK27</f>
        <v/>
      </c>
      <c r="LH28" s="724" t="n"/>
      <c r="LI28" s="497" t="n"/>
      <c r="LJ28" s="497" t="n"/>
      <c r="LK28" s="593">
        <f>IF(AND(LF28:LJ28),1,0)</f>
        <v/>
      </c>
      <c r="LM28" s="497" t="inlineStr">
        <is>
          <t>EMR DRIVE</t>
        </is>
      </c>
      <c r="LN28" s="757" t="n">
        <v>1</v>
      </c>
      <c r="LO28" s="497" t="n"/>
      <c r="LR28" s="592" t="n">
        <v>25</v>
      </c>
      <c r="LS28" s="497" t="n"/>
      <c r="LT28" s="724" t="n"/>
      <c r="LU28" s="497" t="n"/>
      <c r="LV28" s="724" t="n"/>
      <c r="LW28" s="724">
        <f>MA27</f>
        <v/>
      </c>
      <c r="LX28" s="724" t="n"/>
      <c r="LY28" s="497" t="n"/>
      <c r="LZ28" s="497" t="n"/>
      <c r="MA28" s="593">
        <f>IF(AND(LV28:LZ28),1,0)</f>
        <v/>
      </c>
      <c r="MH28" s="592" t="n">
        <v>25</v>
      </c>
      <c r="MI28" s="497" t="n"/>
      <c r="MJ28" s="724" t="inlineStr">
        <is>
          <t>FADR</t>
        </is>
      </c>
      <c r="MK28" s="497" t="n"/>
      <c r="ML28" s="724" t="n"/>
      <c r="MM28" s="605">
        <f>MT13</f>
        <v/>
      </c>
      <c r="MN28" s="724" t="n"/>
      <c r="MO28" s="497" t="n"/>
      <c r="MP28" s="497" t="n"/>
      <c r="MQ28" s="593">
        <f>IF(AND(ML28:MP28),1,0)</f>
        <v/>
      </c>
    </row>
    <row r="29" ht="47.25" customHeight="1">
      <c r="A29" s="590" t="n">
        <v>26</v>
      </c>
      <c r="B29" s="497" t="n"/>
      <c r="C29" s="497" t="n"/>
      <c r="D29" s="497" t="n"/>
      <c r="E29" s="497" t="n"/>
      <c r="F29" s="757">
        <f>J28</f>
        <v/>
      </c>
      <c r="G29" s="592" t="n"/>
      <c r="H29" s="497" t="n"/>
      <c r="I29" s="497" t="n"/>
      <c r="J29" s="593">
        <f>IF(AND(E29:I29),1,0)</f>
        <v/>
      </c>
      <c r="P29" s="592" t="n">
        <v>26</v>
      </c>
      <c r="Q29" s="497" t="n"/>
      <c r="R29" s="592" t="n"/>
      <c r="S29" s="497" t="n"/>
      <c r="T29" s="497" t="n"/>
      <c r="U29" s="757">
        <f>Y28</f>
        <v/>
      </c>
      <c r="V29" s="497" t="n"/>
      <c r="W29" s="497" t="n"/>
      <c r="X29" s="497" t="n"/>
      <c r="Y29" s="593">
        <f>IF(AND(T29:X29),1,0)</f>
        <v/>
      </c>
      <c r="AA29" s="497" t="inlineStr">
        <is>
          <t>HTRB 13.2A</t>
        </is>
      </c>
      <c r="AB29" s="757" t="n"/>
      <c r="AC29" s="497" t="n"/>
      <c r="AF29" s="592" t="n">
        <v>26</v>
      </c>
      <c r="AG29" s="599" t="n"/>
      <c r="AH29" s="597" t="n"/>
      <c r="AI29" s="497" t="n"/>
      <c r="AJ29" s="497" t="n"/>
      <c r="AK29" s="609">
        <f>AO28</f>
        <v/>
      </c>
      <c r="AL29" s="592">
        <f>AO30</f>
        <v/>
      </c>
      <c r="AM29" s="592">
        <f>AO31</f>
        <v/>
      </c>
      <c r="AN29" s="592" t="n"/>
      <c r="AO29" s="593">
        <f>IF(AND(AJ29:AN29),1,0)</f>
        <v/>
      </c>
      <c r="AS29" s="592" t="n">
        <v>26</v>
      </c>
      <c r="AT29" s="497" t="n"/>
      <c r="AU29" s="497" t="n"/>
      <c r="AV29" s="497" t="n"/>
      <c r="AW29" s="497">
        <f>BB28</f>
        <v/>
      </c>
      <c r="AX29" s="497" t="n"/>
      <c r="AY29" s="497" t="n"/>
      <c r="AZ29" s="497" t="n"/>
      <c r="BA29" s="497" t="n"/>
      <c r="BB29" s="593">
        <f>IF(AND(AW29:BA29),1,0)</f>
        <v/>
      </c>
      <c r="BI29" s="592" t="n">
        <v>26</v>
      </c>
      <c r="BJ29" s="497" t="n"/>
      <c r="BK29" s="497" t="n"/>
      <c r="BL29" s="497" t="n"/>
      <c r="BM29" s="497" t="n"/>
      <c r="BN29" s="592">
        <f>BR28</f>
        <v/>
      </c>
      <c r="BO29" s="497" t="n"/>
      <c r="BP29" s="497" t="n"/>
      <c r="BQ29" s="497" t="n"/>
      <c r="BR29" s="593">
        <f>IF(AND(BM29:BQ29),1,0)</f>
        <v/>
      </c>
      <c r="BX29" s="592" t="n">
        <v>26</v>
      </c>
      <c r="BY29" s="497" t="n"/>
      <c r="BZ29" s="497" t="n"/>
      <c r="CA29" s="497" t="n"/>
      <c r="CB29" s="497" t="n"/>
      <c r="CC29" s="592">
        <f>CG28</f>
        <v/>
      </c>
      <c r="CD29" s="497" t="n"/>
      <c r="CE29" s="497" t="n"/>
      <c r="CF29" s="497" t="n"/>
      <c r="CG29" s="593">
        <f>IF(AND(CB29:CF29),1,0)</f>
        <v/>
      </c>
      <c r="CI29" s="592" t="n">
        <v>26</v>
      </c>
      <c r="CJ29" s="724" t="inlineStr">
        <is>
          <t>UD .X63.22-F 1 +63.20</t>
        </is>
      </c>
      <c r="CK29" s="497" t="n"/>
      <c r="CL29" s="497" t="n"/>
      <c r="CM29" s="497" t="n"/>
      <c r="CN29" s="497">
        <f>CR28</f>
        <v/>
      </c>
      <c r="CO29" s="497" t="n"/>
      <c r="CP29" s="497" t="n"/>
      <c r="CQ29" s="497" t="n"/>
      <c r="CR29" s="593">
        <f>IF(AND(CM29:CQ29),1,0)</f>
        <v/>
      </c>
      <c r="DK29" s="592" t="n">
        <v>26</v>
      </c>
      <c r="DL29" s="597" t="n"/>
      <c r="DM29" s="592" t="n"/>
      <c r="DN29" s="497" t="n"/>
      <c r="DO29" s="497" t="n"/>
      <c r="DP29" s="757">
        <f>DT27</f>
        <v/>
      </c>
      <c r="DQ29" s="497">
        <f>DT28</f>
        <v/>
      </c>
      <c r="DR29" s="497" t="n"/>
      <c r="DS29" s="497" t="n"/>
      <c r="DT29" s="593">
        <f>IF(AND(DO29:DS29),1,0)</f>
        <v/>
      </c>
      <c r="DZ29" s="592" t="n">
        <v>26</v>
      </c>
      <c r="EA29" s="597" t="n"/>
      <c r="EB29" s="592" t="n"/>
      <c r="EC29" s="497" t="n"/>
      <c r="ED29" s="497" t="n"/>
      <c r="EE29" s="497">
        <f>EI28</f>
        <v/>
      </c>
      <c r="EF29" s="497" t="n"/>
      <c r="EG29" s="497" t="n"/>
      <c r="EH29" s="497" t="n"/>
      <c r="EI29" s="602">
        <f>IF(AND(ED29:EH29),1,0)</f>
        <v/>
      </c>
      <c r="EO29" s="592" t="n">
        <v>26</v>
      </c>
      <c r="EP29" s="597" t="n"/>
      <c r="EQ29" s="497" t="inlineStr">
        <is>
          <t>24V HEC</t>
        </is>
      </c>
      <c r="ER29" s="497" t="n"/>
      <c r="ES29" s="497" t="n"/>
      <c r="ET29" s="601">
        <f>FA19</f>
        <v/>
      </c>
      <c r="EU29" s="497" t="n"/>
      <c r="EV29" s="497" t="n"/>
      <c r="EW29" s="497" t="n"/>
      <c r="EX29" s="593">
        <f>IF(AND(ES29:EW29),1,0)</f>
        <v/>
      </c>
      <c r="FE29" s="592" t="n">
        <v>26</v>
      </c>
      <c r="FF29" s="597" t="n"/>
      <c r="FG29" s="592" t="n"/>
      <c r="FH29" s="497" t="n"/>
      <c r="FI29" s="497" t="n"/>
      <c r="FJ29" s="596" t="n">
        <v>1</v>
      </c>
      <c r="FK29" s="497" t="n"/>
      <c r="FL29" s="497" t="n"/>
      <c r="FM29" s="497" t="n"/>
      <c r="FN29" s="593">
        <f>IF(AND(FI29:FM29),1,0)</f>
        <v/>
      </c>
      <c r="FT29" s="592" t="n">
        <v>26</v>
      </c>
      <c r="FU29" s="597" t="n"/>
      <c r="FV29" s="724" t="n"/>
      <c r="FW29" s="497" t="n"/>
      <c r="FX29" s="497" t="n"/>
      <c r="FY29" s="757">
        <f>GC28</f>
        <v/>
      </c>
      <c r="FZ29" s="497" t="n"/>
      <c r="GA29" s="497" t="n"/>
      <c r="GB29" s="497" t="n"/>
      <c r="GC29" s="593">
        <f>IF(AND(FX29:GB29),1,0)</f>
        <v/>
      </c>
      <c r="GF29" s="592" t="n">
        <v>26</v>
      </c>
      <c r="GG29" s="597" t="n"/>
      <c r="GH29" s="724" t="n"/>
      <c r="GI29" s="497" t="n"/>
      <c r="GJ29" s="497" t="n"/>
      <c r="GK29" s="592">
        <f>GO28</f>
        <v/>
      </c>
      <c r="GL29" s="497" t="n"/>
      <c r="GM29" s="497" t="n"/>
      <c r="GN29" s="497" t="n"/>
      <c r="GO29" s="593">
        <f>IF(AND(GJ29:GN29),1,0)</f>
        <v/>
      </c>
      <c r="GU29" s="592" t="n">
        <v>26</v>
      </c>
      <c r="GV29" s="597" t="n"/>
      <c r="GW29" s="724" t="n"/>
      <c r="GX29" s="497" t="n"/>
      <c r="GY29" s="497" t="n"/>
      <c r="GZ29" s="757">
        <f>HD28</f>
        <v/>
      </c>
      <c r="HA29" s="497" t="n"/>
      <c r="HB29" s="497" t="n"/>
      <c r="HC29" s="497" t="n"/>
      <c r="HD29" s="602">
        <f>IF(AND(GY29:HC29),1,0)</f>
        <v/>
      </c>
      <c r="HK29" s="592" t="n">
        <v>26</v>
      </c>
      <c r="HL29" s="497" t="n"/>
      <c r="HM29" s="497" t="n"/>
      <c r="HN29" s="497" t="n"/>
      <c r="HO29" s="497" t="n"/>
      <c r="HP29" s="757">
        <f>HT28</f>
        <v/>
      </c>
      <c r="HQ29" s="497" t="n"/>
      <c r="HR29" s="497" t="n"/>
      <c r="HS29" s="497" t="n"/>
      <c r="HT29" s="593">
        <f>IF(AND(HO29:HS29),1,0)</f>
        <v/>
      </c>
      <c r="HZ29" s="592" t="n">
        <v>26</v>
      </c>
      <c r="IA29" s="497" t="n"/>
      <c r="IB29" s="497" t="inlineStr">
        <is>
          <t>PPR2</t>
        </is>
      </c>
      <c r="IC29" s="497" t="n"/>
      <c r="ID29" s="497" t="n"/>
      <c r="IE29" s="600">
        <f>HW15</f>
        <v/>
      </c>
      <c r="IF29" s="497">
        <f>II28</f>
        <v/>
      </c>
      <c r="IG29" s="497" t="n"/>
      <c r="IH29" s="497" t="n"/>
      <c r="II29" s="593">
        <f>IF(AND(ID29:IH29),1,0)</f>
        <v/>
      </c>
      <c r="IL29" s="592" t="n">
        <v>26</v>
      </c>
      <c r="IM29" s="497" t="n"/>
      <c r="IN29" s="497" t="n"/>
      <c r="IO29" s="497" t="n"/>
      <c r="IP29" s="597" t="n"/>
      <c r="IQ29" s="597">
        <f>IU28</f>
        <v/>
      </c>
      <c r="IR29" s="497" t="n"/>
      <c r="IS29" s="497" t="n"/>
      <c r="IT29" s="497" t="n"/>
      <c r="IU29" s="593">
        <f>IF(AND(IP29:IT29),1,0)</f>
        <v/>
      </c>
      <c r="IX29" s="592" t="n">
        <v>26</v>
      </c>
      <c r="IY29" s="497" t="n"/>
      <c r="IZ29" s="724" t="n"/>
      <c r="JA29" s="497" t="n"/>
      <c r="JB29" s="597" t="n"/>
      <c r="JC29" s="597">
        <f>JG28</f>
        <v/>
      </c>
      <c r="JD29" s="497" t="n"/>
      <c r="JE29" s="497" t="n"/>
      <c r="JF29" s="497" t="n"/>
      <c r="JG29" s="602">
        <f>IF(AND(JB29:JF29),1,0)</f>
        <v/>
      </c>
      <c r="JN29" s="592" t="n">
        <v>26</v>
      </c>
      <c r="JO29" s="497" t="n"/>
      <c r="JP29" s="724" t="n"/>
      <c r="JQ29" s="497" t="n"/>
      <c r="JR29" s="597" t="n"/>
      <c r="JS29" s="597">
        <f>JW28</f>
        <v/>
      </c>
      <c r="JT29" s="597" t="n"/>
      <c r="JU29" s="497" t="n"/>
      <c r="JV29" s="497" t="n"/>
      <c r="JW29" s="593">
        <f>IF(AND(JR29:JV29),1,0)</f>
        <v/>
      </c>
      <c r="KP29" s="592" t="n">
        <v>26</v>
      </c>
      <c r="KQ29" s="592" t="inlineStr">
        <is>
          <t>X5</t>
        </is>
      </c>
      <c r="KR29" s="724" t="inlineStr">
        <is>
          <t>GND</t>
        </is>
      </c>
      <c r="KS29" s="497" t="n"/>
      <c r="KT29" s="724" t="n"/>
      <c r="KU29" s="612" t="n">
        <v>1</v>
      </c>
      <c r="KV29" s="597" t="n"/>
      <c r="KW29" s="497" t="n"/>
      <c r="KX29" s="497" t="n"/>
      <c r="KY29" s="593">
        <f>IF(AND(KT29:KX29),1,0)</f>
        <v/>
      </c>
      <c r="LB29" s="592" t="n">
        <v>26</v>
      </c>
      <c r="LC29" s="497" t="n"/>
      <c r="LD29" s="724" t="inlineStr">
        <is>
          <t>SUPPLY  AIR FAN 1 PA = 1.25 KW ,P.F = 0.75</t>
        </is>
      </c>
      <c r="LE29" s="497" t="n"/>
      <c r="LF29" s="724" t="n"/>
      <c r="LG29" s="605">
        <f>LN15</f>
        <v/>
      </c>
      <c r="LH29" s="724">
        <f>LK18</f>
        <v/>
      </c>
      <c r="LI29" s="754">
        <f>LK23</f>
        <v/>
      </c>
      <c r="LJ29" s="754">
        <f>LK28</f>
        <v/>
      </c>
      <c r="LK29" s="593">
        <f>IF(AND(LF29:LJ29),1,0)</f>
        <v/>
      </c>
      <c r="LM29" s="497" t="inlineStr">
        <is>
          <t>HTRB 13.2A</t>
        </is>
      </c>
      <c r="LN29" s="757">
        <f>'DATA TRANSFER'!AT18</f>
        <v/>
      </c>
      <c r="LO29" s="497" t="n"/>
      <c r="LR29" s="592" t="n">
        <v>26</v>
      </c>
      <c r="LS29" s="497" t="n"/>
      <c r="LT29" s="724" t="n"/>
      <c r="LU29" s="497" t="n"/>
      <c r="LV29" s="724" t="n"/>
      <c r="LW29" s="724">
        <f>MA28</f>
        <v/>
      </c>
      <c r="LX29" s="724" t="n"/>
      <c r="LY29" s="497" t="n"/>
      <c r="LZ29" s="497" t="n"/>
      <c r="MA29" s="593">
        <f>IF(AND(LV29:LZ29),1,0)</f>
        <v/>
      </c>
      <c r="MH29" s="592" t="n">
        <v>26</v>
      </c>
      <c r="MI29" s="497" t="n"/>
      <c r="MJ29" s="724" t="inlineStr">
        <is>
          <t>SMDR</t>
        </is>
      </c>
      <c r="MK29" s="497" t="n"/>
      <c r="ML29" s="724" t="n"/>
      <c r="MM29" s="605">
        <f>IF(OR('DATA TRANSFER'!M12),1,0)</f>
        <v/>
      </c>
      <c r="MN29" s="724" t="n"/>
      <c r="MO29" s="497" t="n"/>
      <c r="MP29" s="497" t="n"/>
      <c r="MQ29" s="593">
        <f>IF(AND(ML29:MP29),1,0)</f>
        <v/>
      </c>
    </row>
    <row r="30" ht="21" customHeight="1">
      <c r="A30" s="590" t="n">
        <v>27</v>
      </c>
      <c r="B30" s="497" t="n"/>
      <c r="C30" s="757" t="inlineStr">
        <is>
          <t>FAN1 P=60W</t>
        </is>
      </c>
      <c r="D30" s="497" t="n"/>
      <c r="E30" s="497" t="n"/>
      <c r="F30" s="613">
        <f>M9</f>
        <v/>
      </c>
      <c r="G30" s="592">
        <f>J29</f>
        <v/>
      </c>
      <c r="H30" s="497" t="n"/>
      <c r="I30" s="497" t="n"/>
      <c r="J30" s="593">
        <f>IF(AND(E30:I30),1,0)</f>
        <v/>
      </c>
      <c r="P30" s="592" t="n">
        <v>27</v>
      </c>
      <c r="Q30" s="497" t="n"/>
      <c r="R30" s="592" t="n"/>
      <c r="S30" s="497" t="n"/>
      <c r="T30" s="497" t="n"/>
      <c r="U30" s="757">
        <f>Y28</f>
        <v/>
      </c>
      <c r="V30" s="497" t="n"/>
      <c r="W30" s="497" t="n"/>
      <c r="X30" s="497" t="n"/>
      <c r="Y30" s="593">
        <f>IF(AND(T30:X30),1,0)</f>
        <v/>
      </c>
      <c r="AA30" s="497" t="inlineStr">
        <is>
          <t>HTRC1 9A</t>
        </is>
      </c>
      <c r="AB30" s="757" t="n"/>
      <c r="AC30" s="497" t="n"/>
      <c r="AF30" s="592" t="n">
        <v>27</v>
      </c>
      <c r="AG30" s="599" t="n"/>
      <c r="AH30" s="597" t="n"/>
      <c r="AI30" s="497" t="n"/>
      <c r="AJ30" s="497" t="n"/>
      <c r="AK30" s="609">
        <f>AO28</f>
        <v/>
      </c>
      <c r="AL30" s="592" t="n"/>
      <c r="AM30" s="592" t="n"/>
      <c r="AN30" s="592" t="n"/>
      <c r="AO30" s="593">
        <f>IF(AND(AJ30:AN30),1,0)</f>
        <v/>
      </c>
      <c r="AS30" s="592" t="n">
        <v>27</v>
      </c>
      <c r="AT30" s="497" t="n"/>
      <c r="AU30" s="497" t="n"/>
      <c r="AV30" s="497" t="n"/>
      <c r="AW30" s="497">
        <f>BB13</f>
        <v/>
      </c>
      <c r="AX30" s="497" t="n"/>
      <c r="AY30" s="497" t="n"/>
      <c r="AZ30" s="497" t="n"/>
      <c r="BA30" s="497" t="n"/>
      <c r="BB30" s="593">
        <f>IF(AND(AW30:BA30),1,0)</f>
        <v/>
      </c>
      <c r="BI30" s="592" t="n">
        <v>27</v>
      </c>
      <c r="BJ30" s="497" t="n"/>
      <c r="BK30" s="497" t="n"/>
      <c r="BL30" s="497" t="n"/>
      <c r="BM30" s="497" t="n"/>
      <c r="BN30" s="609">
        <f>BR29</f>
        <v/>
      </c>
      <c r="BO30" s="497" t="n"/>
      <c r="BP30" s="497" t="n"/>
      <c r="BQ30" s="497" t="n"/>
      <c r="BR30" s="593">
        <f>IF(AND(BM30:BQ30),1,0)</f>
        <v/>
      </c>
      <c r="BX30" s="592" t="n">
        <v>27</v>
      </c>
      <c r="BY30" s="497" t="n"/>
      <c r="BZ30" s="497" t="n"/>
      <c r="CA30" s="497" t="n"/>
      <c r="CB30" s="497" t="n"/>
      <c r="CC30" s="609">
        <f>CG29</f>
        <v/>
      </c>
      <c r="CD30" s="497" t="n"/>
      <c r="CE30" s="497" t="n"/>
      <c r="CF30" s="497" t="n"/>
      <c r="CG30" s="593">
        <f>IF(AND(CB30:CF30),1,0)</f>
        <v/>
      </c>
      <c r="CI30" s="592" t="n">
        <v>27</v>
      </c>
      <c r="CJ30" s="497" t="n"/>
      <c r="CK30" s="497" t="n"/>
      <c r="CL30" s="497" t="n"/>
      <c r="CM30" s="497" t="n"/>
      <c r="CN30" s="497">
        <f>CR29</f>
        <v/>
      </c>
      <c r="CO30" s="497" t="n"/>
      <c r="CP30" s="497" t="n"/>
      <c r="CQ30" s="497" t="n"/>
      <c r="CR30" s="593">
        <f>IF(AND(CM30:CQ30),1,0)</f>
        <v/>
      </c>
      <c r="DK30" s="592" t="n">
        <v>27</v>
      </c>
      <c r="DL30" s="597" t="n"/>
      <c r="DM30" s="592" t="inlineStr">
        <is>
          <t>FAN1 P-60W</t>
        </is>
      </c>
      <c r="DN30" s="497" t="n"/>
      <c r="DO30" s="497" t="n"/>
      <c r="DP30" s="600">
        <f>DW11</f>
        <v/>
      </c>
      <c r="DQ30" s="497" t="n"/>
      <c r="DR30" s="497" t="n"/>
      <c r="DS30" s="497" t="n"/>
      <c r="DT30" s="593">
        <f>IF(AND(DO30:DS30),1,0)</f>
        <v/>
      </c>
      <c r="DZ30" s="592" t="n">
        <v>27</v>
      </c>
      <c r="EA30" s="597" t="n"/>
      <c r="EB30" s="592" t="inlineStr">
        <is>
          <t>FADR</t>
        </is>
      </c>
      <c r="EC30" s="497" t="n"/>
      <c r="ED30" s="497" t="n"/>
      <c r="EE30" s="601">
        <f>EL12</f>
        <v/>
      </c>
      <c r="EF30" s="497" t="n"/>
      <c r="EG30" s="497" t="n"/>
      <c r="EH30" s="497" t="n"/>
      <c r="EI30" s="602">
        <f>IF(AND(ED30:EH30),1,0)</f>
        <v/>
      </c>
      <c r="EO30" s="592" t="n">
        <v>27</v>
      </c>
      <c r="EP30" s="597" t="n"/>
      <c r="EQ30" s="592" t="n"/>
      <c r="ER30" s="497" t="n"/>
      <c r="ES30" s="497" t="n"/>
      <c r="ET30" s="497">
        <f>EX29</f>
        <v/>
      </c>
      <c r="EU30" s="497" t="n"/>
      <c r="EV30" s="497" t="n"/>
      <c r="EW30" s="497" t="n"/>
      <c r="EX30" s="593">
        <f>IF(AND(ES30:EW30),1,0)</f>
        <v/>
      </c>
      <c r="FE30" s="592" t="n">
        <v>27</v>
      </c>
      <c r="FF30" s="597" t="n"/>
      <c r="FG30" s="592" t="n"/>
      <c r="FH30" s="497" t="n"/>
      <c r="FI30" s="497" t="n"/>
      <c r="FJ30" s="497">
        <f>FN29</f>
        <v/>
      </c>
      <c r="FK30" s="497" t="n"/>
      <c r="FL30" s="497" t="n"/>
      <c r="FM30" s="497" t="n"/>
      <c r="FN30" s="593">
        <f>IF(AND(FI30:FM30),1,0)</f>
        <v/>
      </c>
      <c r="FT30" s="592" t="n">
        <v>27</v>
      </c>
      <c r="FU30" s="597" t="n"/>
      <c r="FV30" s="724" t="n"/>
      <c r="FW30" s="497" t="n"/>
      <c r="FX30" s="497" t="n"/>
      <c r="FY30" s="598" t="n">
        <v>1</v>
      </c>
      <c r="FZ30" s="497" t="n"/>
      <c r="GA30" s="497" t="n"/>
      <c r="GB30" s="497" t="n"/>
      <c r="GC30" s="593">
        <f>IF(AND(FX30:GB30),1,0)</f>
        <v/>
      </c>
      <c r="GF30" s="592" t="n">
        <v>27</v>
      </c>
      <c r="GG30" s="597" t="n"/>
      <c r="GK30" s="267">
        <f>GO29</f>
        <v/>
      </c>
      <c r="GL30" s="497" t="n"/>
      <c r="GM30" s="497" t="n"/>
      <c r="GN30" s="497" t="n"/>
      <c r="GO30" s="593">
        <f>IF(AND(GJ30:GN30),1,0)</f>
        <v/>
      </c>
      <c r="GU30" s="592" t="n">
        <v>27</v>
      </c>
      <c r="GV30" s="597" t="n"/>
      <c r="GW30" s="724" t="n"/>
      <c r="GX30" s="497" t="n"/>
      <c r="GY30" s="497" t="n"/>
      <c r="GZ30" s="757">
        <f>IF(OR(HD29,HD48),1,0)</f>
        <v/>
      </c>
      <c r="HA30" s="497" t="n"/>
      <c r="HB30" s="497" t="n"/>
      <c r="HC30" s="497" t="n"/>
      <c r="HD30" s="602">
        <f>IF(AND(GY30:HC30),1,0)</f>
        <v/>
      </c>
      <c r="HK30" s="592" t="n">
        <v>27</v>
      </c>
      <c r="HL30" s="497" t="n"/>
      <c r="HM30" s="497" t="n"/>
      <c r="HN30" s="497" t="n"/>
      <c r="HO30" s="497" t="n"/>
      <c r="HP30" s="757">
        <f>HT29</f>
        <v/>
      </c>
      <c r="HQ30" s="497" t="n"/>
      <c r="HR30" s="497" t="n"/>
      <c r="HS30" s="497" t="n"/>
      <c r="HT30" s="593">
        <f>IF(AND(HO30:HS30),1,0)</f>
        <v/>
      </c>
      <c r="HZ30" s="592" t="n">
        <v>27</v>
      </c>
      <c r="IA30" s="497" t="n"/>
      <c r="IB30" s="497" t="n"/>
      <c r="IC30" s="497" t="n"/>
      <c r="ID30" s="497" t="n"/>
      <c r="IE30" s="757">
        <f>II29</f>
        <v/>
      </c>
      <c r="IF30" s="497" t="n"/>
      <c r="IG30" s="497" t="n"/>
      <c r="IH30" s="497" t="n"/>
      <c r="II30" s="593">
        <f>IF(AND(ID30:IH30),1,0)</f>
        <v/>
      </c>
      <c r="IL30" s="592" t="n">
        <v>27</v>
      </c>
      <c r="IM30" s="497" t="n"/>
      <c r="IN30" s="497" t="n"/>
      <c r="IO30" s="497" t="n"/>
      <c r="IP30" s="597" t="n"/>
      <c r="IQ30" s="597">
        <f>IF(AND(IU29,IU23),1,0)</f>
        <v/>
      </c>
      <c r="IR30" s="497" t="n"/>
      <c r="IS30" s="497" t="n"/>
      <c r="IT30" s="497" t="n"/>
      <c r="IU30" s="593">
        <f>IF(AND(IP30:IT30),1,0)</f>
        <v/>
      </c>
      <c r="IX30" s="592" t="n">
        <v>27</v>
      </c>
      <c r="IY30" s="497" t="n"/>
      <c r="IZ30" s="724" t="inlineStr">
        <is>
          <t xml:space="preserve">EMR </t>
        </is>
      </c>
      <c r="JA30" s="497" t="n"/>
      <c r="JB30" s="597" t="n"/>
      <c r="JC30" s="606">
        <f>JJ13</f>
        <v/>
      </c>
      <c r="JD30" s="497">
        <f>JG29</f>
        <v/>
      </c>
      <c r="JE30" s="497">
        <f>JG27</f>
        <v/>
      </c>
      <c r="JF30" s="497" t="n"/>
      <c r="JG30" s="602">
        <f>IF(OR(JB30:JF30),1,0)</f>
        <v/>
      </c>
      <c r="JN30" s="592" t="n">
        <v>27</v>
      </c>
      <c r="JO30" s="497" t="n"/>
      <c r="JP30" s="724" t="inlineStr">
        <is>
          <t xml:space="preserve">FADR2 </t>
        </is>
      </c>
      <c r="JQ30" s="497" t="n"/>
      <c r="JR30" s="597" t="n"/>
      <c r="JS30" s="606">
        <f>JJ22</f>
        <v/>
      </c>
      <c r="JT30" s="597">
        <f>JW29</f>
        <v/>
      </c>
      <c r="JU30" s="497" t="n"/>
      <c r="JV30" s="497" t="n"/>
      <c r="JW30" s="593">
        <f>IF(AND(JR30:JV30),1,0)</f>
        <v/>
      </c>
      <c r="KP30" s="592" t="n">
        <v>27</v>
      </c>
      <c r="KQ30" s="497" t="inlineStr">
        <is>
          <t>X4</t>
        </is>
      </c>
      <c r="KR30" s="724" t="n"/>
      <c r="KS30" s="497" t="n"/>
      <c r="KT30" s="724" t="n"/>
      <c r="KU30" s="724">
        <f>IF(AND(KY31,KY33,KY35,KY37),1,0)</f>
        <v/>
      </c>
      <c r="KV30" s="597" t="n"/>
      <c r="KW30" s="497" t="n"/>
      <c r="KX30" s="497" t="n"/>
      <c r="KY30" s="593">
        <f>IF(AND(KT30:KX30),1,0)</f>
        <v/>
      </c>
      <c r="LB30" s="592" t="n">
        <v>27</v>
      </c>
      <c r="LC30" s="497" t="n"/>
      <c r="LD30" s="724" t="n"/>
      <c r="LE30" s="497" t="n"/>
      <c r="LF30" s="724" t="n"/>
      <c r="LG30" s="724">
        <f>LK29</f>
        <v/>
      </c>
      <c r="LH30" s="724" t="n"/>
      <c r="LI30" s="497" t="n"/>
      <c r="LJ30" s="497" t="n"/>
      <c r="LK30" s="593">
        <f>IF(AND(LF30:LJ30),1,0)</f>
        <v/>
      </c>
      <c r="LM30" s="497" t="inlineStr">
        <is>
          <t>HTRC1 9A</t>
        </is>
      </c>
      <c r="LN30" s="757">
        <f>'DATA TRANSFER'!AT18</f>
        <v/>
      </c>
      <c r="LO30" s="497" t="n"/>
      <c r="LR30" s="592" t="n">
        <v>27</v>
      </c>
      <c r="LS30" s="497" t="n"/>
      <c r="LT30" s="724" t="n"/>
      <c r="LU30" s="497" t="n"/>
      <c r="LV30" s="724" t="n"/>
      <c r="LW30" s="724">
        <f>MA29</f>
        <v/>
      </c>
      <c r="LX30" s="724" t="n"/>
      <c r="LY30" s="497" t="n"/>
      <c r="LZ30" s="497" t="n"/>
      <c r="MA30" s="593">
        <f>IF(AND(LV30:LZ30),1,0)</f>
        <v/>
      </c>
      <c r="MH30" s="592" t="n">
        <v>27</v>
      </c>
      <c r="MI30" s="497" t="n"/>
      <c r="MJ30" s="724" t="n"/>
      <c r="MK30" s="497" t="n"/>
      <c r="ML30" s="724" t="n"/>
      <c r="MM30" s="612" t="n">
        <v>1</v>
      </c>
      <c r="MN30" s="724" t="n"/>
      <c r="MO30" s="497" t="n"/>
      <c r="MP30" s="497" t="n"/>
      <c r="MQ30" s="593">
        <f>IF(AND(ML30:MP30),1,0)</f>
        <v/>
      </c>
    </row>
    <row r="31" ht="21" customHeight="1">
      <c r="A31" s="590" t="n">
        <v>28</v>
      </c>
      <c r="B31" s="497" t="n"/>
      <c r="C31" s="497" t="n"/>
      <c r="D31" s="497" t="n"/>
      <c r="E31" s="497" t="n"/>
      <c r="F31" s="757">
        <f>J30</f>
        <v/>
      </c>
      <c r="G31" s="592" t="n"/>
      <c r="H31" s="497" t="n"/>
      <c r="I31" s="497" t="n"/>
      <c r="J31" s="593">
        <f>IF(AND(E31:I31),1,0)</f>
        <v/>
      </c>
      <c r="P31" s="592" t="n">
        <v>28</v>
      </c>
      <c r="Q31" s="497" t="n"/>
      <c r="R31" s="592" t="inlineStr">
        <is>
          <t>GROUND</t>
        </is>
      </c>
      <c r="S31" s="497" t="n"/>
      <c r="T31" s="497" t="n"/>
      <c r="U31" s="600" t="n">
        <v>1</v>
      </c>
      <c r="V31" s="497" t="n"/>
      <c r="W31" s="497" t="n"/>
      <c r="X31" s="497" t="n"/>
      <c r="Y31" s="593">
        <f>IF(AND(T31:X31),1,0)</f>
        <v/>
      </c>
      <c r="AA31" s="497" t="inlineStr">
        <is>
          <t>HTRC2 9A</t>
        </is>
      </c>
      <c r="AB31" s="757" t="n"/>
      <c r="AC31" s="497" t="n"/>
      <c r="AF31" s="592" t="n">
        <v>28</v>
      </c>
      <c r="AG31" s="599" t="n"/>
      <c r="AH31" s="597" t="n"/>
      <c r="AI31" s="497" t="n"/>
      <c r="AJ31" s="497" t="n"/>
      <c r="AK31" s="609">
        <f>AO28</f>
        <v/>
      </c>
      <c r="AL31" s="592" t="n"/>
      <c r="AM31" s="592" t="n"/>
      <c r="AN31" s="592" t="n"/>
      <c r="AO31" s="593">
        <f>IF(AND(AJ31:AN31),1,0)</f>
        <v/>
      </c>
      <c r="AS31" s="592" t="n">
        <v>28</v>
      </c>
      <c r="AT31" s="497" t="n"/>
      <c r="AU31" s="724" t="inlineStr">
        <is>
          <t>SMDRB</t>
        </is>
      </c>
      <c r="AV31" s="497" t="n"/>
      <c r="AW31" s="601">
        <f>BE8</f>
        <v/>
      </c>
      <c r="AX31" s="497">
        <f>BB30</f>
        <v/>
      </c>
      <c r="AY31" s="497" t="n"/>
      <c r="AZ31" s="497" t="n"/>
      <c r="BA31" s="497" t="n"/>
      <c r="BB31" s="593">
        <f>IF(AND(AW31:BA31),1,0)</f>
        <v/>
      </c>
      <c r="BI31" s="592" t="n">
        <v>28</v>
      </c>
      <c r="BJ31" s="597" t="n"/>
      <c r="BK31" s="592" t="n"/>
      <c r="BL31" s="497" t="n"/>
      <c r="BM31" s="497" t="n"/>
      <c r="BN31" s="592">
        <f>BR30</f>
        <v/>
      </c>
      <c r="BO31" s="497" t="n"/>
      <c r="BP31" s="497" t="n"/>
      <c r="BQ31" s="497" t="n"/>
      <c r="BR31" s="593">
        <f>IF(AND(BM31:BQ31),1,0)</f>
        <v/>
      </c>
      <c r="BX31" s="592" t="n">
        <v>28</v>
      </c>
      <c r="BY31" s="597" t="n"/>
      <c r="BZ31" s="592" t="n"/>
      <c r="CA31" s="497" t="n"/>
      <c r="CB31" s="497" t="n"/>
      <c r="CC31" s="592">
        <f>CG30</f>
        <v/>
      </c>
      <c r="CD31" s="497" t="n"/>
      <c r="CE31" s="497" t="n"/>
      <c r="CF31" s="497" t="n"/>
      <c r="CG31" s="593">
        <f>IF(AND(CB31:CF31),1,0)</f>
        <v/>
      </c>
      <c r="CI31" s="592" t="n">
        <v>28</v>
      </c>
      <c r="CJ31" s="597" t="n"/>
      <c r="CK31" s="592" t="n"/>
      <c r="CL31" s="497" t="n"/>
      <c r="CM31" s="497" t="n"/>
      <c r="CN31" s="497">
        <f>CR30</f>
        <v/>
      </c>
      <c r="CO31" s="497" t="n"/>
      <c r="CP31" s="497" t="n"/>
      <c r="CQ31" s="497" t="n"/>
      <c r="CR31" s="593">
        <f>IF(AND(CM31:CQ31),1,0)</f>
        <v/>
      </c>
      <c r="DK31" s="592" t="n">
        <v>28</v>
      </c>
      <c r="DL31" s="597" t="n"/>
      <c r="DM31" s="592" t="n"/>
      <c r="DN31" s="497" t="n"/>
      <c r="DO31" s="497" t="n"/>
      <c r="DP31" s="757">
        <f>DT30</f>
        <v/>
      </c>
      <c r="DQ31" s="497" t="n"/>
      <c r="DR31" s="497" t="n"/>
      <c r="DS31" s="497" t="n"/>
      <c r="DT31" s="593">
        <f>IF(AND(DO31:DS31),1,0)</f>
        <v/>
      </c>
      <c r="DZ31" s="592" t="n">
        <v>28</v>
      </c>
      <c r="EA31" s="597" t="n"/>
      <c r="EB31" s="592" t="n"/>
      <c r="EC31" s="497" t="n"/>
      <c r="ED31" s="497" t="n"/>
      <c r="EE31" s="497">
        <f>EI30</f>
        <v/>
      </c>
      <c r="EF31" s="497" t="n"/>
      <c r="EG31" s="497" t="n"/>
      <c r="EH31" s="497" t="n"/>
      <c r="EI31" s="602">
        <f>IF(AND(ED31:EH31),1,0)</f>
        <v/>
      </c>
      <c r="EO31" s="592" t="n">
        <v>28</v>
      </c>
      <c r="EP31" s="597" t="n"/>
      <c r="EQ31" s="592" t="n"/>
      <c r="ER31" s="497" t="n"/>
      <c r="ES31" s="497" t="n"/>
      <c r="ET31" s="497">
        <f>EX30</f>
        <v/>
      </c>
      <c r="EU31" s="497" t="n"/>
      <c r="EV31" s="497" t="n"/>
      <c r="EW31" s="497" t="n"/>
      <c r="EX31" s="593">
        <f>IF(AND(ES31:EW31),1,0)</f>
        <v/>
      </c>
      <c r="FE31" s="592" t="n">
        <v>28</v>
      </c>
      <c r="FF31" s="597" t="n"/>
      <c r="FG31" s="592" t="n"/>
      <c r="FH31" s="497" t="n"/>
      <c r="FI31" s="497" t="n"/>
      <c r="FJ31" s="497">
        <f>FN30</f>
        <v/>
      </c>
      <c r="FK31" s="497" t="n"/>
      <c r="FL31" s="497" t="n"/>
      <c r="FM31" s="497" t="n"/>
      <c r="FN31" s="593">
        <f>IF(AND(FI31:FM31),1,0)</f>
        <v/>
      </c>
      <c r="FT31" s="592" t="n">
        <v>28</v>
      </c>
      <c r="FU31" s="597" t="n"/>
      <c r="FV31" s="724" t="n"/>
      <c r="FW31" s="497" t="n"/>
      <c r="FX31" s="497" t="n"/>
      <c r="FY31" s="592">
        <f>GC30</f>
        <v/>
      </c>
      <c r="FZ31" s="497" t="n"/>
      <c r="GA31" s="497" t="n"/>
      <c r="GB31" s="497" t="n"/>
      <c r="GC31" s="593">
        <f>IF(AND(FX31:GB31),1,0)</f>
        <v/>
      </c>
      <c r="GF31" s="592" t="n">
        <v>28</v>
      </c>
      <c r="GG31" s="597" t="n"/>
      <c r="GH31" s="724" t="inlineStr">
        <is>
          <t>SFC OFF</t>
        </is>
      </c>
      <c r="GI31" s="497" t="n"/>
      <c r="GJ31" s="497" t="n"/>
      <c r="GK31" s="604">
        <f>GR15</f>
        <v/>
      </c>
      <c r="GL31" s="497">
        <f>GO30</f>
        <v/>
      </c>
      <c r="GM31" s="497" t="n"/>
      <c r="GN31" s="497" t="n"/>
      <c r="GO31" s="593">
        <f>IF(AND(GJ31:GN31),1,0)</f>
        <v/>
      </c>
      <c r="GU31" s="592" t="n">
        <v>28</v>
      </c>
      <c r="GV31" s="597" t="n"/>
      <c r="GW31" s="724" t="n"/>
      <c r="GX31" s="497" t="n"/>
      <c r="GY31" s="497" t="n"/>
      <c r="GZ31" s="757">
        <f>HD30</f>
        <v/>
      </c>
      <c r="HA31" s="497" t="n"/>
      <c r="HB31" s="497" t="n"/>
      <c r="HC31" s="497" t="n"/>
      <c r="HD31" s="602">
        <f>IF(AND(GY31:HC31),1,0)</f>
        <v/>
      </c>
      <c r="HK31" s="592" t="n">
        <v>28</v>
      </c>
      <c r="HL31" s="497" t="n"/>
      <c r="HM31" s="497" t="n"/>
      <c r="HN31" s="497" t="n"/>
      <c r="HO31" s="497" t="n"/>
      <c r="HP31" s="757">
        <f>HT30</f>
        <v/>
      </c>
      <c r="HQ31" s="497" t="n"/>
      <c r="HR31" s="497" t="n"/>
      <c r="HS31" s="497" t="n"/>
      <c r="HT31" s="593">
        <f>IF(AND(HO31:HS31),1,0)</f>
        <v/>
      </c>
      <c r="HZ31" s="592" t="n">
        <v>28</v>
      </c>
      <c r="IA31" s="497" t="n"/>
      <c r="IB31" s="497" t="inlineStr">
        <is>
          <t>TMR1</t>
        </is>
      </c>
      <c r="IC31" s="497" t="n"/>
      <c r="ID31" s="497" t="n"/>
      <c r="IE31" s="600">
        <f>HW16</f>
        <v/>
      </c>
      <c r="IF31" s="497">
        <f>II30</f>
        <v/>
      </c>
      <c r="IG31" s="497" t="n"/>
      <c r="IH31" s="497" t="n"/>
      <c r="II31" s="593">
        <f>IF(AND(ID31:IH31),1,0)</f>
        <v/>
      </c>
      <c r="IL31" s="592" t="n">
        <v>28</v>
      </c>
      <c r="IM31" s="497" t="n"/>
      <c r="IN31" s="592" t="inlineStr">
        <is>
          <t>RAD/S3</t>
        </is>
      </c>
      <c r="IO31" s="497" t="n"/>
      <c r="IP31" s="597" t="n"/>
      <c r="IQ31" s="606">
        <f>'Mode Logic'!Q18</f>
        <v/>
      </c>
      <c r="IR31" s="497" t="n"/>
      <c r="IS31" s="497" t="n"/>
      <c r="IT31" s="497" t="n"/>
      <c r="IU31" s="593">
        <f>IF(AND(IP31:IT31),1,0)</f>
        <v/>
      </c>
      <c r="IX31" s="592" t="n">
        <v>28</v>
      </c>
      <c r="IY31" s="497" t="n"/>
      <c r="IZ31" s="724" t="n"/>
      <c r="JA31" s="497" t="n"/>
      <c r="JB31" s="597" t="n"/>
      <c r="JC31" s="597">
        <f>JG30</f>
        <v/>
      </c>
      <c r="JD31" s="497" t="n"/>
      <c r="JE31" s="497" t="n"/>
      <c r="JF31" s="497" t="n"/>
      <c r="JG31" s="602">
        <f>IF(AND(JB31:JF31),1,0)</f>
        <v/>
      </c>
      <c r="JN31" s="592" t="n">
        <v>28</v>
      </c>
      <c r="JO31" s="497" t="n"/>
      <c r="JP31" s="724" t="n"/>
      <c r="JQ31" s="497" t="n"/>
      <c r="JR31" s="597" t="n"/>
      <c r="JS31" s="597">
        <f>JW30</f>
        <v/>
      </c>
      <c r="JT31" s="597" t="n"/>
      <c r="JU31" s="497" t="n"/>
      <c r="JV31" s="497" t="n"/>
      <c r="JW31" s="593">
        <f>IF(AND(JR31:JV31),1,0)</f>
        <v/>
      </c>
      <c r="KP31" s="592" t="n">
        <v>28</v>
      </c>
      <c r="KQ31" s="497" t="n"/>
      <c r="KR31" s="724" t="n"/>
      <c r="KS31" s="497" t="n"/>
      <c r="KT31" s="724" t="n"/>
      <c r="KU31" s="724">
        <f>KY32</f>
        <v/>
      </c>
      <c r="KV31" s="597" t="n"/>
      <c r="KW31" s="497" t="n"/>
      <c r="KX31" s="497" t="n"/>
      <c r="KY31" s="593">
        <f>IF(AND(KT31:KX31),1,0)</f>
        <v/>
      </c>
      <c r="LB31" s="592" t="n">
        <v>28</v>
      </c>
      <c r="LC31" s="497" t="n"/>
      <c r="LD31" s="724" t="n"/>
      <c r="LE31" s="497" t="n"/>
      <c r="LF31" s="724" t="n"/>
      <c r="LG31" s="724">
        <f>LK30</f>
        <v/>
      </c>
      <c r="LH31" s="724" t="n"/>
      <c r="LI31" s="497" t="n"/>
      <c r="LJ31" s="497" t="n"/>
      <c r="LK31" s="593">
        <f>IF(AND(LF31:LJ31),1,0)</f>
        <v/>
      </c>
      <c r="LM31" s="497" t="inlineStr">
        <is>
          <t>HTRC2 9A</t>
        </is>
      </c>
      <c r="LN31" s="757">
        <f>'DATA TRANSFER'!AT18</f>
        <v/>
      </c>
      <c r="LO31" s="497" t="n"/>
      <c r="LR31" s="592" t="n">
        <v>28</v>
      </c>
      <c r="LS31" s="497" t="n"/>
      <c r="LT31" s="724" t="n"/>
      <c r="LU31" s="497" t="n"/>
      <c r="LV31" s="724" t="n"/>
      <c r="LW31" s="724">
        <f>MA30</f>
        <v/>
      </c>
      <c r="LX31" s="724" t="n"/>
      <c r="LY31" s="497" t="n"/>
      <c r="LZ31" s="497" t="n"/>
      <c r="MA31" s="593">
        <f>IF(AND(LV31:LZ31),1,0)</f>
        <v/>
      </c>
      <c r="MH31" s="592" t="n">
        <v>28</v>
      </c>
      <c r="MI31" s="497" t="n"/>
      <c r="MJ31" s="724" t="inlineStr">
        <is>
          <t>SFC OFF</t>
        </is>
      </c>
      <c r="MK31" s="497" t="n"/>
      <c r="ML31" s="724" t="n"/>
      <c r="MM31" s="605">
        <f>MT15</f>
        <v/>
      </c>
      <c r="MN31" s="724" t="n"/>
      <c r="MO31" s="497" t="n"/>
      <c r="MP31" s="497" t="n"/>
      <c r="MQ31" s="593">
        <f>IF(AND(ML31:MP31),1,0)</f>
        <v/>
      </c>
    </row>
    <row r="32" ht="21" customHeight="1">
      <c r="A32" s="590" t="n">
        <v>29</v>
      </c>
      <c r="B32" s="497" t="n"/>
      <c r="C32" s="497" t="n"/>
      <c r="D32" s="497" t="n"/>
      <c r="E32" s="497" t="n"/>
      <c r="F32" s="757">
        <f>J6</f>
        <v/>
      </c>
      <c r="G32" s="592" t="n"/>
      <c r="H32" s="497" t="n"/>
      <c r="I32" s="497" t="n"/>
      <c r="J32" s="593">
        <f>IF(AND(E32:I32),1,0)</f>
        <v/>
      </c>
      <c r="P32" s="592" t="n">
        <v>29</v>
      </c>
      <c r="Q32" s="265" t="inlineStr">
        <is>
          <t>HA/24.E4</t>
        </is>
      </c>
      <c r="R32" s="592" t="n"/>
      <c r="S32" s="497" t="n"/>
      <c r="T32" s="497" t="n"/>
      <c r="U32" s="591">
        <f>AB36</f>
        <v/>
      </c>
      <c r="V32" s="497" t="n"/>
      <c r="W32" s="497" t="n"/>
      <c r="X32" s="497" t="n"/>
      <c r="Y32" s="593">
        <f>IF(AND(T32:X32),1,0)</f>
        <v/>
      </c>
      <c r="AA32" s="618" t="inlineStr">
        <is>
          <t>HEATER 1 4.5kW</t>
        </is>
      </c>
      <c r="AB32" s="757">
        <f>'DATA TRANSFER'!AT18</f>
        <v/>
      </c>
      <c r="AC32" s="497" t="n"/>
      <c r="AF32" s="592" t="n">
        <v>29</v>
      </c>
      <c r="AG32" s="599" t="n"/>
      <c r="AH32" s="597" t="inlineStr">
        <is>
          <t>GROUND</t>
        </is>
      </c>
      <c r="AI32" s="497" t="n"/>
      <c r="AJ32" s="497" t="n"/>
      <c r="AK32" s="609" t="n">
        <v>1</v>
      </c>
      <c r="AL32" s="592" t="n"/>
      <c r="AM32" s="592" t="n"/>
      <c r="AN32" s="592" t="n"/>
      <c r="AO32" s="593">
        <f>IF(AND(AJ32:AN32),1,0)</f>
        <v/>
      </c>
      <c r="AS32" s="592" t="n">
        <v>29</v>
      </c>
      <c r="AT32" s="592" t="n"/>
      <c r="AU32" s="497" t="n"/>
      <c r="AV32" s="497" t="n"/>
      <c r="AW32" s="497">
        <f>BB31</f>
        <v/>
      </c>
      <c r="AX32" s="497" t="n"/>
      <c r="AY32" s="497" t="n"/>
      <c r="AZ32" s="497" t="n"/>
      <c r="BA32" s="497" t="n"/>
      <c r="BB32" s="593">
        <f>IF(AND(AW32:BA32),1,0)</f>
        <v/>
      </c>
      <c r="BI32" s="592" t="n">
        <v>29</v>
      </c>
      <c r="BJ32" s="592" t="n"/>
      <c r="BK32" s="497" t="n"/>
      <c r="BL32" s="497" t="n"/>
      <c r="BM32" s="497" t="n"/>
      <c r="BN32" s="609">
        <f>BR31</f>
        <v/>
      </c>
      <c r="BO32" s="497" t="n"/>
      <c r="BP32" s="497" t="n"/>
      <c r="BQ32" s="497" t="n"/>
      <c r="BR32" s="593">
        <f>IF(AND(BM32:BQ32),1,0)</f>
        <v/>
      </c>
      <c r="BX32" s="592" t="n">
        <v>29</v>
      </c>
      <c r="BY32" s="592" t="n"/>
      <c r="BZ32" s="497" t="n"/>
      <c r="CA32" s="497" t="n"/>
      <c r="CB32" s="497" t="n"/>
      <c r="CC32" s="609">
        <f>CG31</f>
        <v/>
      </c>
      <c r="CD32" s="497" t="n"/>
      <c r="CE32" s="497" t="n"/>
      <c r="CF32" s="497" t="n"/>
      <c r="CG32" s="593">
        <f>IF(AND(CB32:CF32),1,0)</f>
        <v/>
      </c>
      <c r="CI32" s="592" t="n">
        <v>29</v>
      </c>
      <c r="CJ32" s="724" t="inlineStr">
        <is>
          <t>UD .X63.22-F 1 +63.20</t>
        </is>
      </c>
      <c r="CK32" s="497" t="n"/>
      <c r="CL32" s="497" t="n"/>
      <c r="CM32" s="497" t="n"/>
      <c r="CN32" s="497">
        <f>CR31</f>
        <v/>
      </c>
      <c r="CO32" s="497" t="n"/>
      <c r="CP32" s="497" t="n"/>
      <c r="CQ32" s="497" t="n"/>
      <c r="CR32" s="593">
        <f>IF(AND(CM32:CQ32),1,0)</f>
        <v/>
      </c>
      <c r="DK32" s="592" t="n">
        <v>29</v>
      </c>
      <c r="DL32" s="597" t="n"/>
      <c r="DM32" s="592" t="n"/>
      <c r="DN32" s="497" t="n"/>
      <c r="DO32" s="497" t="n"/>
      <c r="DP32" s="757">
        <f>DT24</f>
        <v/>
      </c>
      <c r="DQ32" s="497" t="n"/>
      <c r="DR32" s="497" t="n"/>
      <c r="DS32" s="497" t="n"/>
      <c r="DT32" s="593">
        <f>IF(AND(DO32:DS32),1,0)</f>
        <v/>
      </c>
      <c r="DZ32" s="592" t="n">
        <v>29</v>
      </c>
      <c r="EA32" s="597" t="n"/>
      <c r="EB32" s="757" t="inlineStr">
        <is>
          <t>SFC OFF</t>
        </is>
      </c>
      <c r="EC32" s="497" t="n"/>
      <c r="ED32" s="497" t="n"/>
      <c r="EE32" s="601">
        <f>EL13</f>
        <v/>
      </c>
      <c r="EF32" s="497" t="n"/>
      <c r="EG32" s="497" t="n"/>
      <c r="EH32" s="497" t="n"/>
      <c r="EI32" s="602">
        <f>IF(AND(ED32:EH32),1,0)</f>
        <v/>
      </c>
      <c r="EO32" s="592" t="n">
        <v>29</v>
      </c>
      <c r="EP32" s="597" t="n"/>
      <c r="EQ32" s="592" t="n"/>
      <c r="ER32" s="497" t="n"/>
      <c r="ES32" s="497" t="n"/>
      <c r="ET32" s="497">
        <f>EX29</f>
        <v/>
      </c>
      <c r="EU32" s="497" t="n"/>
      <c r="EV32" s="497" t="n"/>
      <c r="EW32" s="497" t="n"/>
      <c r="EX32" s="593">
        <f>IF(AND(ES32:EW32),1,0)</f>
        <v/>
      </c>
      <c r="FE32" s="592" t="n">
        <v>29</v>
      </c>
      <c r="FF32" s="597" t="n"/>
      <c r="FG32" s="592" t="inlineStr">
        <is>
          <t>24V HEC</t>
        </is>
      </c>
      <c r="FH32" s="497" t="n"/>
      <c r="FI32" s="497" t="n"/>
      <c r="FJ32" s="601">
        <f>FN29</f>
        <v/>
      </c>
      <c r="FK32" s="497" t="n"/>
      <c r="FL32" s="497" t="n"/>
      <c r="FM32" s="497" t="n"/>
      <c r="FN32" s="593">
        <f>IF(AND(FI32:FM32),1,0)</f>
        <v/>
      </c>
      <c r="FT32" s="592" t="n">
        <v>29</v>
      </c>
      <c r="FU32" s="597" t="n"/>
      <c r="FV32" s="724" t="n"/>
      <c r="FW32" s="497" t="n"/>
      <c r="FX32" s="497" t="n"/>
      <c r="FY32" s="757">
        <f>GC31</f>
        <v/>
      </c>
      <c r="FZ32" s="497" t="n"/>
      <c r="GA32" s="497" t="n"/>
      <c r="GB32" s="497" t="n"/>
      <c r="GC32" s="593">
        <f>IF(AND(FX32:GB32),1,0)</f>
        <v/>
      </c>
      <c r="GF32" s="592" t="n">
        <v>29</v>
      </c>
      <c r="GG32" s="597" t="n"/>
      <c r="GH32" s="724" t="n"/>
      <c r="GI32" s="497" t="n"/>
      <c r="GJ32" s="497" t="n"/>
      <c r="GK32" s="592">
        <f>GO31</f>
        <v/>
      </c>
      <c r="GL32" s="497" t="n"/>
      <c r="GM32" s="497" t="n"/>
      <c r="GN32" s="497" t="n"/>
      <c r="GO32" s="593">
        <f>IF(AND(GJ32:GN32),1,0)</f>
        <v/>
      </c>
      <c r="GU32" s="592" t="n">
        <v>29</v>
      </c>
      <c r="GV32" s="597" t="n"/>
      <c r="GW32" s="724" t="inlineStr">
        <is>
          <t xml:space="preserve">0/24 v dc </t>
        </is>
      </c>
      <c r="GX32" s="497" t="n"/>
      <c r="GY32" s="497" t="n"/>
      <c r="GZ32" s="600">
        <f>HG8</f>
        <v/>
      </c>
      <c r="HA32" s="497" t="n"/>
      <c r="HB32" s="497" t="n"/>
      <c r="HC32" s="497" t="n"/>
      <c r="HD32" s="602">
        <f>IF(AND(GY32:HC32),1,0)</f>
        <v/>
      </c>
      <c r="HK32" s="592" t="n">
        <v>29</v>
      </c>
      <c r="HL32" s="497" t="n"/>
      <c r="HM32" s="592" t="inlineStr">
        <is>
          <t>SAFC1</t>
        </is>
      </c>
      <c r="HN32" s="497" t="n"/>
      <c r="HO32" s="497" t="n"/>
      <c r="HP32" s="600">
        <f>HW11</f>
        <v/>
      </c>
      <c r="HQ32" s="497">
        <f>HT31</f>
        <v/>
      </c>
      <c r="HR32" s="497">
        <f>HT42</f>
        <v/>
      </c>
      <c r="HS32" s="497" t="n"/>
      <c r="HT32" s="593">
        <f>IF(AND(HO32:HS32),1,0)</f>
        <v/>
      </c>
      <c r="HZ32" s="592" t="n">
        <v>29</v>
      </c>
      <c r="IA32" s="497" t="n"/>
      <c r="IB32" s="497" t="n"/>
      <c r="IC32" s="497" t="n"/>
      <c r="ID32" s="497" t="n"/>
      <c r="IE32" s="757">
        <f>II31</f>
        <v/>
      </c>
      <c r="IF32" s="497" t="n"/>
      <c r="IG32" s="497" t="n"/>
      <c r="IH32" s="497" t="n"/>
      <c r="II32" s="593">
        <f>IF(AND(ID32:IH32),1,0)</f>
        <v/>
      </c>
      <c r="IL32" s="592" t="n">
        <v>29</v>
      </c>
      <c r="IM32" s="497" t="n"/>
      <c r="IN32" s="497" t="n"/>
      <c r="IO32" s="497" t="n"/>
      <c r="IP32" s="597" t="n"/>
      <c r="IQ32" s="597">
        <f>IU31</f>
        <v/>
      </c>
      <c r="IR32" s="497" t="n"/>
      <c r="IS32" s="497" t="n"/>
      <c r="IT32" s="497" t="n"/>
      <c r="IU32" s="593">
        <f>IF(AND(IP32:IT32),1,0)</f>
        <v/>
      </c>
      <c r="IX32" s="592" t="n">
        <v>29</v>
      </c>
      <c r="IY32" s="497" t="n"/>
      <c r="IZ32" s="724" t="n"/>
      <c r="JA32" s="497" t="n"/>
      <c r="JB32" s="597" t="n"/>
      <c r="JC32" s="597">
        <f>JG31</f>
        <v/>
      </c>
      <c r="JD32" s="497" t="n"/>
      <c r="JE32" s="497" t="n"/>
      <c r="JF32" s="497" t="n"/>
      <c r="JG32" s="602">
        <f>IF(AND(JB32:JF32),1,0)</f>
        <v/>
      </c>
      <c r="JN32" s="592" t="n">
        <v>29</v>
      </c>
      <c r="JO32" s="497" t="n"/>
      <c r="JP32" s="724" t="n"/>
      <c r="JQ32" s="497" t="n"/>
      <c r="JR32" s="597" t="n"/>
      <c r="JS32" s="597">
        <f>JW30</f>
        <v/>
      </c>
      <c r="JT32" s="597" t="n"/>
      <c r="JU32" s="497" t="n"/>
      <c r="JV32" s="497" t="n"/>
      <c r="JW32" s="593">
        <f>IF(AND(JR32:JV32),1,0)</f>
        <v/>
      </c>
      <c r="KP32" s="592" t="n">
        <v>29</v>
      </c>
      <c r="KQ32" s="497" t="n"/>
      <c r="KR32" s="724" t="n"/>
      <c r="KS32" s="497" t="n"/>
      <c r="KT32" s="724" t="n"/>
      <c r="KU32" s="612" t="n">
        <v>1</v>
      </c>
      <c r="KV32" s="597" t="n"/>
      <c r="KW32" s="497" t="n"/>
      <c r="KX32" s="497" t="n"/>
      <c r="KY32" s="593">
        <f>IF(AND(KT32:KX32),1,0)</f>
        <v/>
      </c>
      <c r="LB32" s="592" t="n">
        <v>29</v>
      </c>
      <c r="LC32" s="497" t="n"/>
      <c r="LD32" s="497" t="n"/>
      <c r="LE32" s="497" t="n"/>
      <c r="LF32" s="497" t="n"/>
      <c r="LG32" s="592">
        <f>LK29</f>
        <v/>
      </c>
      <c r="LH32" s="497" t="n"/>
      <c r="LI32" s="497" t="n"/>
      <c r="LJ32" s="497" t="n"/>
      <c r="LK32" s="593">
        <f>IF(AND(LF32:LJ32),1,0)</f>
        <v/>
      </c>
      <c r="LM32" s="618" t="inlineStr">
        <is>
          <t>HEATER 1 4.5kW</t>
        </is>
      </c>
      <c r="LN32" s="757">
        <f>'DATA TRANSFER'!AT18</f>
        <v/>
      </c>
      <c r="LO32" s="497" t="n"/>
      <c r="LR32" s="592" t="n">
        <v>29</v>
      </c>
      <c r="LS32" s="497" t="n"/>
      <c r="LT32" s="724" t="n"/>
      <c r="LU32" s="497" t="n"/>
      <c r="LV32" s="724" t="n"/>
      <c r="LW32" s="724">
        <f>MA31</f>
        <v/>
      </c>
      <c r="LX32" s="724" t="n"/>
      <c r="LY32" s="497" t="n"/>
      <c r="LZ32" s="497" t="n"/>
      <c r="MA32" s="593">
        <f>IF(AND(LV32:LZ32),1,0)</f>
        <v/>
      </c>
      <c r="MH32" s="592" t="n">
        <v>29</v>
      </c>
      <c r="MI32" s="497" t="n"/>
      <c r="MJ32" s="724" t="n"/>
      <c r="MK32" s="497" t="n"/>
      <c r="ML32" s="724" t="n"/>
      <c r="MM32" s="612" t="n">
        <v>1</v>
      </c>
      <c r="MN32" s="724" t="n"/>
      <c r="MO32" s="497" t="n"/>
      <c r="MP32" s="497" t="n"/>
      <c r="MQ32" s="593">
        <f>IF(AND(ML32:MP32),1,0)</f>
        <v/>
      </c>
    </row>
    <row r="33" ht="21" customHeight="1">
      <c r="A33" s="590" t="n">
        <v>30</v>
      </c>
      <c r="B33" s="497" t="n"/>
      <c r="C33" s="497" t="n"/>
      <c r="D33" s="497" t="n"/>
      <c r="E33" s="497" t="n"/>
      <c r="F33" s="757">
        <f>J32</f>
        <v/>
      </c>
      <c r="G33" s="592" t="n"/>
      <c r="H33" s="497" t="n"/>
      <c r="I33" s="497" t="n"/>
      <c r="J33" s="593">
        <f>IF(AND(E33:I33),1,0)</f>
        <v/>
      </c>
      <c r="P33" s="592" t="n">
        <v>30</v>
      </c>
      <c r="Q33" s="497" t="n"/>
      <c r="R33" s="592" t="n"/>
      <c r="S33" s="497" t="n"/>
      <c r="T33" s="497" t="n"/>
      <c r="U33" s="757">
        <f>Y32</f>
        <v/>
      </c>
      <c r="V33" s="497" t="n"/>
      <c r="W33" s="497" t="n"/>
      <c r="X33" s="497" t="n"/>
      <c r="Y33" s="593">
        <f>IF(AND(T33:X33),1,0)</f>
        <v/>
      </c>
      <c r="AA33" s="497" t="inlineStr">
        <is>
          <t>PPR1</t>
        </is>
      </c>
      <c r="AB33" s="757" t="n">
        <v>1</v>
      </c>
      <c r="AC33" s="497" t="n"/>
      <c r="AF33" s="592" t="n">
        <v>30</v>
      </c>
      <c r="AG33" s="595" t="inlineStr">
        <is>
          <t>HA/24.E5</t>
        </is>
      </c>
      <c r="AH33" s="597" t="n"/>
      <c r="AI33" s="497" t="n"/>
      <c r="AJ33" s="497" t="n"/>
      <c r="AK33" s="598" t="n">
        <v>1</v>
      </c>
      <c r="AL33" s="592" t="n"/>
      <c r="AM33" s="592" t="n"/>
      <c r="AN33" s="592" t="n"/>
      <c r="AO33" s="593">
        <f>IF(AND(AJ33:AN33),1,0)</f>
        <v/>
      </c>
      <c r="AS33" s="592" t="n">
        <v>30</v>
      </c>
      <c r="AT33" s="497" t="n"/>
      <c r="AU33" s="592" t="n"/>
      <c r="AV33" s="497" t="n"/>
      <c r="AW33" s="497">
        <f>BB32</f>
        <v/>
      </c>
      <c r="AX33" s="497" t="n"/>
      <c r="AY33" s="497" t="n"/>
      <c r="AZ33" s="497" t="n"/>
      <c r="BA33" s="497" t="n"/>
      <c r="BB33" s="593">
        <f>IF(AND(AW33:BA33),1,0)</f>
        <v/>
      </c>
      <c r="BI33" s="592" t="n">
        <v>30</v>
      </c>
      <c r="BJ33" s="497" t="n"/>
      <c r="BK33" s="592" t="n"/>
      <c r="BL33" s="497" t="n"/>
      <c r="BM33" s="497" t="n"/>
      <c r="BN33" s="592">
        <f>BR32</f>
        <v/>
      </c>
      <c r="BO33" s="497" t="n"/>
      <c r="BP33" s="497" t="n"/>
      <c r="BQ33" s="497" t="n"/>
      <c r="BR33" s="593">
        <f>IF(AND(BM33:BQ33),1,0)</f>
        <v/>
      </c>
      <c r="BX33" s="592" t="n">
        <v>30</v>
      </c>
      <c r="BY33" s="497" t="n"/>
      <c r="BZ33" s="592" t="n"/>
      <c r="CA33" s="497" t="n"/>
      <c r="CB33" s="497" t="n"/>
      <c r="CC33" s="592">
        <f>CG32</f>
        <v/>
      </c>
      <c r="CD33" s="497" t="n"/>
      <c r="CE33" s="497" t="n"/>
      <c r="CF33" s="497" t="n"/>
      <c r="CG33" s="593">
        <f>IF(AND(CB33:CF33),1,0)</f>
        <v/>
      </c>
      <c r="CI33" s="592" t="n">
        <v>30</v>
      </c>
      <c r="CJ33" s="497" t="n"/>
      <c r="CK33" s="592" t="n"/>
      <c r="CL33" s="497" t="n"/>
      <c r="CM33" s="497" t="n"/>
      <c r="CN33" s="497">
        <f>CR32</f>
        <v/>
      </c>
      <c r="CO33" s="497" t="n"/>
      <c r="CP33" s="497" t="n"/>
      <c r="CQ33" s="497" t="n"/>
      <c r="CR33" s="593">
        <f>IF(AND(CM33:CQ33),1,0)</f>
        <v/>
      </c>
      <c r="DK33" s="592" t="n">
        <v>30</v>
      </c>
      <c r="DL33" s="597" t="n"/>
      <c r="DM33" s="592" t="n"/>
      <c r="DN33" s="497" t="n"/>
      <c r="DO33" s="497" t="n"/>
      <c r="DP33" s="757">
        <f>DT16</f>
        <v/>
      </c>
      <c r="DQ33" s="497">
        <f>DT32</f>
        <v/>
      </c>
      <c r="DR33" s="497" t="n"/>
      <c r="DS33" s="497" t="n"/>
      <c r="DT33" s="593">
        <f>IF(AND(DO33:DS33),1,0)</f>
        <v/>
      </c>
      <c r="DZ33" s="592" t="n">
        <v>30</v>
      </c>
      <c r="EA33" s="597" t="n"/>
      <c r="EB33" s="592" t="n"/>
      <c r="EC33" s="497" t="n"/>
      <c r="ED33" s="497" t="n"/>
      <c r="EE33" s="497">
        <f>EI32</f>
        <v/>
      </c>
      <c r="EF33" s="497" t="n"/>
      <c r="EG33" s="497" t="n"/>
      <c r="EH33" s="497" t="n"/>
      <c r="EI33" s="602">
        <f>IF(AND(ED33:EH33),1,0)</f>
        <v/>
      </c>
      <c r="EO33" s="592" t="n">
        <v>30</v>
      </c>
      <c r="EP33" s="597" t="n"/>
      <c r="EQ33" s="592" t="n"/>
      <c r="ER33" s="497" t="n"/>
      <c r="ES33" s="497" t="n"/>
      <c r="ET33" s="497">
        <f>EX31</f>
        <v/>
      </c>
      <c r="EU33" s="497" t="n"/>
      <c r="EV33" s="497" t="n"/>
      <c r="EW33" s="497" t="n"/>
      <c r="EX33" s="593">
        <f>IF(AND(ES33:EW33),1,0)</f>
        <v/>
      </c>
      <c r="FE33" s="592" t="n">
        <v>30</v>
      </c>
      <c r="FF33" s="597" t="n"/>
      <c r="FG33" s="592" t="n"/>
      <c r="FH33" s="497" t="n"/>
      <c r="FI33" s="497" t="n"/>
      <c r="FJ33" s="497">
        <f>FN31</f>
        <v/>
      </c>
      <c r="FK33" s="497" t="n"/>
      <c r="FL33" s="497" t="n"/>
      <c r="FM33" s="497" t="n"/>
      <c r="FN33" s="593">
        <f>IF(AND(FI33:FM33),1,0)</f>
        <v/>
      </c>
      <c r="FT33" s="592" t="n">
        <v>30</v>
      </c>
      <c r="FU33" s="597" t="n"/>
      <c r="FV33" s="724" t="n"/>
      <c r="FW33" s="497" t="n"/>
      <c r="FX33" s="497" t="n"/>
      <c r="FY33" s="757">
        <f>GC30</f>
        <v/>
      </c>
      <c r="FZ33" s="497" t="n"/>
      <c r="GA33" s="497" t="n"/>
      <c r="GB33" s="497" t="n"/>
      <c r="GC33" s="593">
        <f>IF(AND(FX33:GB33),1,0)</f>
        <v/>
      </c>
      <c r="GF33" s="592" t="n">
        <v>30</v>
      </c>
      <c r="GG33" s="597" t="n"/>
      <c r="GH33" s="724" t="inlineStr">
        <is>
          <t>FADR2</t>
        </is>
      </c>
      <c r="GI33" s="497" t="n"/>
      <c r="GJ33" s="497" t="n"/>
      <c r="GK33" s="604">
        <f>GR10</f>
        <v/>
      </c>
      <c r="GL33" s="497">
        <f>GO32</f>
        <v/>
      </c>
      <c r="GM33" s="497" t="n"/>
      <c r="GN33" s="497" t="n"/>
      <c r="GO33" s="593">
        <f>IF(AND(GJ33:GN33),1,0)</f>
        <v/>
      </c>
      <c r="GU33" s="592" t="n">
        <v>30</v>
      </c>
      <c r="GV33" s="597" t="n"/>
      <c r="GW33" s="724" t="n"/>
      <c r="GX33" s="497" t="n"/>
      <c r="GY33" s="497" t="n"/>
      <c r="GZ33" s="757">
        <f>HD34</f>
        <v/>
      </c>
      <c r="HA33" s="497" t="n"/>
      <c r="HB33" s="497" t="n"/>
      <c r="HC33" s="497" t="n"/>
      <c r="HD33" s="602">
        <f>IF(AND(GY33:HC33),1,0)</f>
        <v/>
      </c>
      <c r="HK33" s="592" t="n">
        <v>30</v>
      </c>
      <c r="HL33" s="497" t="n"/>
      <c r="HM33" s="497" t="n"/>
      <c r="HN33" s="497" t="n"/>
      <c r="HO33" s="497" t="n"/>
      <c r="HP33" s="757">
        <f>HT32</f>
        <v/>
      </c>
      <c r="HQ33" s="497" t="n"/>
      <c r="HR33" s="497" t="n"/>
      <c r="HS33" s="497" t="n"/>
      <c r="HT33" s="593">
        <f>IF(AND(HO33:HS33),1,0)</f>
        <v/>
      </c>
      <c r="HZ33" s="592" t="n">
        <v>30</v>
      </c>
      <c r="IA33" s="497" t="n"/>
      <c r="IB33" s="497" t="n"/>
      <c r="IC33" s="497" t="n"/>
      <c r="ID33" s="497" t="n"/>
      <c r="IE33" s="757">
        <f>II31</f>
        <v/>
      </c>
      <c r="IF33" s="497" t="n"/>
      <c r="IG33" s="497" t="n"/>
      <c r="IH33" s="497" t="n"/>
      <c r="II33" s="593">
        <f>IF(AND(ID33:IH33),1,0)</f>
        <v/>
      </c>
      <c r="IL33" s="592" t="n">
        <v>30</v>
      </c>
      <c r="IM33" s="497" t="n"/>
      <c r="IN33" s="497" t="n"/>
      <c r="IO33" s="497" t="n"/>
      <c r="IP33" s="597" t="n"/>
      <c r="IQ33" s="597">
        <f>IU32</f>
        <v/>
      </c>
      <c r="IR33" s="497" t="n"/>
      <c r="IS33" s="497" t="n"/>
      <c r="IT33" s="497" t="n"/>
      <c r="IU33" s="593">
        <f>IF(AND(IP33:IT33),1,0)</f>
        <v/>
      </c>
      <c r="IX33" s="592" t="n">
        <v>30</v>
      </c>
      <c r="IY33" s="497" t="n"/>
      <c r="IZ33" s="724" t="n"/>
      <c r="JA33" s="497" t="n"/>
      <c r="JB33" s="597" t="n"/>
      <c r="JC33" s="612">
        <f>JG36</f>
        <v/>
      </c>
      <c r="JD33" s="497" t="n"/>
      <c r="JE33" s="497" t="n"/>
      <c r="JF33" s="497" t="n"/>
      <c r="JG33" s="602">
        <f>IF(AND(JB33:JF33),1,0)</f>
        <v/>
      </c>
      <c r="JN33" s="592" t="n">
        <v>30</v>
      </c>
      <c r="JO33" s="497" t="n"/>
      <c r="JP33" s="724" t="n"/>
      <c r="JQ33" s="497" t="n"/>
      <c r="JR33" s="597" t="n"/>
      <c r="JS33" s="597">
        <f>JW20</f>
        <v/>
      </c>
      <c r="JT33" s="597" t="n"/>
      <c r="JU33" s="497" t="n"/>
      <c r="JV33" s="497" t="n"/>
      <c r="JW33" s="593">
        <f>IF(AND(JR33:JV33),1,0)</f>
        <v/>
      </c>
      <c r="KP33" s="592" t="n">
        <v>30</v>
      </c>
      <c r="KQ33" s="497" t="n"/>
      <c r="KR33" s="724" t="n"/>
      <c r="KS33" s="497" t="n"/>
      <c r="KT33" s="724" t="n"/>
      <c r="KU33" s="724">
        <f>KY34</f>
        <v/>
      </c>
      <c r="KV33" s="597" t="n"/>
      <c r="KW33" s="497" t="n"/>
      <c r="KX33" s="497" t="n"/>
      <c r="KY33" s="593">
        <f>IF(AND(KT33:KX33),1,0)</f>
        <v/>
      </c>
      <c r="LB33" s="592" t="n">
        <v>30</v>
      </c>
      <c r="LC33" s="497" t="n"/>
      <c r="LD33" s="724" t="n"/>
      <c r="LE33" s="497" t="n"/>
      <c r="LF33" s="724" t="n"/>
      <c r="LG33" s="724" t="n">
        <v>1</v>
      </c>
      <c r="LH33" s="724" t="n"/>
      <c r="LI33" s="497" t="n"/>
      <c r="LJ33" s="497" t="n"/>
      <c r="LK33" s="593">
        <f>IF(AND(LF33:LJ33),1,0)</f>
        <v/>
      </c>
      <c r="LM33" s="497" t="inlineStr">
        <is>
          <t>PPR1</t>
        </is>
      </c>
      <c r="LN33" s="757" t="n">
        <v>1</v>
      </c>
      <c r="LO33" s="497" t="n"/>
      <c r="LR33" s="592" t="n">
        <v>30</v>
      </c>
      <c r="LS33" s="497" t="n"/>
      <c r="LT33" s="724" t="n"/>
      <c r="LU33" s="497" t="n"/>
      <c r="LV33" s="724" t="n"/>
      <c r="LW33" s="724">
        <f>MA32</f>
        <v/>
      </c>
      <c r="LX33" s="724" t="n"/>
      <c r="LY33" s="497" t="n"/>
      <c r="LZ33" s="497" t="n"/>
      <c r="MA33" s="593">
        <f>IF(AND(LV33:LZ33),1,0)</f>
        <v/>
      </c>
      <c r="MH33" s="592" t="n">
        <v>30</v>
      </c>
      <c r="MI33" s="497" t="n"/>
      <c r="MJ33" s="724" t="n"/>
      <c r="MK33" s="497" t="n"/>
      <c r="ML33" s="724" t="n"/>
      <c r="MM33" s="724">
        <f>MQ4</f>
        <v/>
      </c>
      <c r="MN33" s="724" t="n"/>
      <c r="MO33" s="497" t="n"/>
      <c r="MP33" s="497" t="n"/>
      <c r="MQ33" s="593">
        <f>IF(AND(ML33:MP33),1,0)</f>
        <v/>
      </c>
    </row>
    <row r="34" ht="21" customHeight="1">
      <c r="A34" s="590" t="n">
        <v>31</v>
      </c>
      <c r="B34" s="497" t="n"/>
      <c r="C34" s="757" t="inlineStr">
        <is>
          <t>CACS</t>
        </is>
      </c>
      <c r="D34" s="497" t="n"/>
      <c r="E34" s="497" t="n"/>
      <c r="F34" s="613">
        <f>M6</f>
        <v/>
      </c>
      <c r="G34" s="592">
        <f>J33</f>
        <v/>
      </c>
      <c r="H34" s="497" t="n"/>
      <c r="I34" s="497" t="n"/>
      <c r="J34" s="593">
        <f>IF(AND(E34:I34),1,0)</f>
        <v/>
      </c>
      <c r="P34" s="592" t="n">
        <v>31</v>
      </c>
      <c r="Q34" s="497" t="n"/>
      <c r="R34" s="592" t="n"/>
      <c r="S34" s="497" t="n"/>
      <c r="T34" s="497" t="n"/>
      <c r="U34" s="757">
        <f>Y33</f>
        <v/>
      </c>
      <c r="V34" s="497" t="n"/>
      <c r="W34" s="497" t="n"/>
      <c r="X34" s="497" t="n"/>
      <c r="Y34" s="593">
        <f>IF(AND(T34:X34),1,0)</f>
        <v/>
      </c>
      <c r="AA34" s="497" t="inlineStr">
        <is>
          <t>PPR2</t>
        </is>
      </c>
      <c r="AB34" s="592" t="n">
        <v>1</v>
      </c>
      <c r="AC34" s="497" t="n"/>
      <c r="AF34" s="592" t="n">
        <v>31</v>
      </c>
      <c r="AG34" s="599" t="n"/>
      <c r="AH34" s="597" t="n"/>
      <c r="AI34" s="497" t="n"/>
      <c r="AJ34" s="497" t="n"/>
      <c r="AK34" s="609">
        <f>AO33</f>
        <v/>
      </c>
      <c r="AL34" s="497" t="n"/>
      <c r="AM34" s="497" t="n"/>
      <c r="AN34" s="497" t="n"/>
      <c r="AO34" s="593">
        <f>IF(AND(AJ34:AN34),1,0)</f>
        <v/>
      </c>
      <c r="AS34" s="592" t="n">
        <v>31</v>
      </c>
      <c r="AT34" s="497" t="n"/>
      <c r="AU34" s="497" t="n"/>
      <c r="AV34" s="497" t="n"/>
      <c r="AW34" s="497">
        <f>BB33</f>
        <v/>
      </c>
      <c r="AX34" s="497" t="n"/>
      <c r="AY34" s="497" t="n"/>
      <c r="AZ34" s="497" t="n"/>
      <c r="BA34" s="497" t="n"/>
      <c r="BB34" s="593">
        <f>IF(AND(AW34:BA34),1,0)</f>
        <v/>
      </c>
      <c r="BI34" s="592" t="n">
        <v>31</v>
      </c>
      <c r="BJ34" s="497" t="n"/>
      <c r="BK34" s="757" t="inlineStr">
        <is>
          <t>LUB</t>
        </is>
      </c>
      <c r="BL34" s="497" t="n"/>
      <c r="BM34" s="497" t="n"/>
      <c r="BN34" s="604">
        <f>BU6</f>
        <v/>
      </c>
      <c r="BO34" s="497">
        <f>BR33</f>
        <v/>
      </c>
      <c r="BP34" s="497" t="n"/>
      <c r="BQ34" s="497" t="n"/>
      <c r="BR34" s="593">
        <f>IF(AND(BM34:BQ34),1,0)</f>
        <v/>
      </c>
      <c r="BX34" s="592" t="n">
        <v>31</v>
      </c>
      <c r="BY34" s="497" t="n"/>
      <c r="BZ34" s="757" t="inlineStr">
        <is>
          <t>LUB</t>
        </is>
      </c>
      <c r="CA34" s="497" t="n"/>
      <c r="CB34" s="497" t="n"/>
      <c r="CC34" s="604">
        <f>BU6</f>
        <v/>
      </c>
      <c r="CD34" s="497">
        <f>CG33</f>
        <v/>
      </c>
      <c r="CE34" s="497" t="n"/>
      <c r="CF34" s="497" t="n"/>
      <c r="CG34" s="593">
        <f>IF(AND(CB34:CF34),1,0)</f>
        <v/>
      </c>
      <c r="CI34" s="592" t="n">
        <v>31</v>
      </c>
      <c r="CJ34" s="497" t="n"/>
      <c r="CK34" s="592" t="n"/>
      <c r="CL34" s="497" t="n"/>
      <c r="CM34" s="497" t="n"/>
      <c r="CN34" s="596" t="n">
        <v>1</v>
      </c>
      <c r="CO34" s="497" t="n"/>
      <c r="CP34" s="497" t="n"/>
      <c r="CQ34" s="497" t="n"/>
      <c r="CR34" s="593">
        <f>IF(AND(CM34:CQ34),1,0)</f>
        <v/>
      </c>
      <c r="DK34" s="592" t="n">
        <v>31</v>
      </c>
      <c r="DL34" s="597" t="n"/>
      <c r="DM34" s="592" t="n"/>
      <c r="DN34" s="497" t="n"/>
      <c r="DO34" s="497" t="n"/>
      <c r="DP34" s="757">
        <f>DT33</f>
        <v/>
      </c>
      <c r="DQ34" s="497" t="n"/>
      <c r="DR34" s="497" t="n"/>
      <c r="DS34" s="497" t="n"/>
      <c r="DT34" s="593">
        <f>IF(AND(DO34:DS34),1,0)</f>
        <v/>
      </c>
      <c r="DZ34" s="592" t="n">
        <v>31</v>
      </c>
      <c r="EA34" s="597" t="n"/>
      <c r="EB34" s="592" t="n"/>
      <c r="EC34" s="497" t="n"/>
      <c r="ED34" s="497" t="n"/>
      <c r="EE34" s="596" t="n">
        <v>1</v>
      </c>
      <c r="EF34" s="497" t="n"/>
      <c r="EG34" s="497" t="n"/>
      <c r="EH34" s="497" t="n"/>
      <c r="EI34" s="602">
        <f>IF(AND(ED34:EH34),1,0)</f>
        <v/>
      </c>
      <c r="EO34" s="592" t="n">
        <v>31</v>
      </c>
      <c r="EP34" s="597" t="n"/>
      <c r="EQ34" s="592" t="n"/>
      <c r="ER34" s="497" t="n"/>
      <c r="ES34" s="497" t="n"/>
      <c r="ET34" s="601">
        <f>FA18</f>
        <v/>
      </c>
      <c r="EU34" s="497" t="n"/>
      <c r="EV34" s="497" t="n"/>
      <c r="EW34" s="497" t="n"/>
      <c r="EX34" s="593">
        <f>IF(AND(ES34:EW34),1,0)</f>
        <v/>
      </c>
      <c r="FE34" s="592" t="n">
        <v>31</v>
      </c>
      <c r="FF34" s="597" t="n"/>
      <c r="FG34" s="592" t="inlineStr">
        <is>
          <t>24VDC/DC</t>
        </is>
      </c>
      <c r="FH34" s="497" t="n"/>
      <c r="FI34" s="497" t="n"/>
      <c r="FJ34" s="601" t="n">
        <v>1</v>
      </c>
      <c r="FK34" s="497" t="n"/>
      <c r="FL34" s="497" t="n"/>
      <c r="FM34" s="497" t="n"/>
      <c r="FN34" s="593">
        <f>IF(AND(FI34:FM34),1,0)</f>
        <v/>
      </c>
      <c r="FT34" s="592" t="n">
        <v>31</v>
      </c>
      <c r="FU34" s="597" t="n"/>
      <c r="FV34" s="724" t="n"/>
      <c r="FW34" s="497" t="n"/>
      <c r="FX34" s="497" t="n"/>
      <c r="FY34" s="757">
        <f>GC32</f>
        <v/>
      </c>
      <c r="FZ34" s="497" t="n"/>
      <c r="GA34" s="497" t="n"/>
      <c r="GB34" s="497" t="n"/>
      <c r="GC34" s="593">
        <f>IF(AND(FX34:GB34),1,0)</f>
        <v/>
      </c>
      <c r="GF34" s="592" t="n">
        <v>31</v>
      </c>
      <c r="GG34" s="597" t="n"/>
      <c r="GH34" s="724" t="n"/>
      <c r="GI34" s="497" t="n"/>
      <c r="GJ34" s="497" t="n"/>
      <c r="GK34" s="592">
        <f>GO64</f>
        <v/>
      </c>
      <c r="GL34" s="497" t="n"/>
      <c r="GM34" s="497" t="n"/>
      <c r="GN34" s="497" t="n"/>
      <c r="GO34" s="593">
        <f>IF(AND(GJ34:GN34),1,0)</f>
        <v/>
      </c>
      <c r="GU34" s="592" t="n">
        <v>31</v>
      </c>
      <c r="GV34" s="597" t="n"/>
      <c r="GW34" s="724" t="n"/>
      <c r="GX34" s="497" t="n"/>
      <c r="GY34" s="497" t="n"/>
      <c r="GZ34" s="591" t="n">
        <v>1</v>
      </c>
      <c r="HA34" s="497" t="n"/>
      <c r="HB34" s="497" t="n"/>
      <c r="HC34" s="497" t="n"/>
      <c r="HD34" s="602">
        <f>IF(AND(GY34:HC34),1,0)</f>
        <v/>
      </c>
      <c r="HK34" s="592" t="n">
        <v>31</v>
      </c>
      <c r="HL34" s="497" t="n"/>
      <c r="HM34" s="757" t="inlineStr">
        <is>
          <t>ESAFC</t>
        </is>
      </c>
      <c r="HN34" s="497" t="n"/>
      <c r="HO34" s="497" t="n"/>
      <c r="HP34" s="604">
        <f>IF(OR(HW10:HW11),1,0)</f>
        <v/>
      </c>
      <c r="HQ34" s="497">
        <f>HT35</f>
        <v/>
      </c>
      <c r="HR34" s="497" t="n"/>
      <c r="HS34" s="497" t="n"/>
      <c r="HT34" s="593">
        <f>IF(AND(HO34:HS34),1,0)</f>
        <v/>
      </c>
      <c r="IL34" s="592" t="n">
        <v>31</v>
      </c>
      <c r="IM34" s="497" t="n"/>
      <c r="IN34" s="497" t="n"/>
      <c r="IO34" s="497" t="n"/>
      <c r="IP34" s="597" t="n"/>
      <c r="IQ34" s="597">
        <f>IU33</f>
        <v/>
      </c>
      <c r="IR34" s="497" t="n"/>
      <c r="IS34" s="497" t="n"/>
      <c r="IT34" s="497" t="n"/>
      <c r="IU34" s="593">
        <f>IF(AND(IP34:IT34),1,0)</f>
        <v/>
      </c>
      <c r="IX34" s="592" t="n">
        <v>31</v>
      </c>
      <c r="IY34" s="497" t="n"/>
      <c r="IZ34" s="724" t="n"/>
      <c r="JA34" s="497" t="n"/>
      <c r="JB34" s="597" t="n"/>
      <c r="JC34" s="597">
        <f>JG33</f>
        <v/>
      </c>
      <c r="JD34" s="497" t="n"/>
      <c r="JE34" s="497" t="n"/>
      <c r="JF34" s="497" t="n"/>
      <c r="JG34" s="602">
        <f>IF(AND(JB34:JF34),1,0)</f>
        <v/>
      </c>
      <c r="JN34" s="592" t="n">
        <v>31</v>
      </c>
      <c r="JO34" s="497" t="n"/>
      <c r="JP34" s="724" t="inlineStr">
        <is>
          <t>SFC OFF</t>
        </is>
      </c>
      <c r="JQ34" s="497" t="n"/>
      <c r="JR34" s="597" t="n"/>
      <c r="JS34" s="606">
        <f>JJ20</f>
        <v/>
      </c>
      <c r="JT34" s="597">
        <f>JW33</f>
        <v/>
      </c>
      <c r="JU34" s="497" t="n"/>
      <c r="JV34" s="497" t="n"/>
      <c r="JW34" s="593">
        <f>IF(AND(JR34:JV34),1,0)</f>
        <v/>
      </c>
      <c r="KP34" s="592" t="n">
        <v>31</v>
      </c>
      <c r="KQ34" s="497" t="n"/>
      <c r="KR34" s="724" t="n"/>
      <c r="KS34" s="497" t="n"/>
      <c r="KT34" s="724" t="n"/>
      <c r="KU34" s="612" t="n">
        <v>1</v>
      </c>
      <c r="KV34" s="597" t="n"/>
      <c r="KW34" s="497" t="n"/>
      <c r="KX34" s="497" t="n"/>
      <c r="KY34" s="593">
        <f>IF(AND(KT34:KX34),1,0)</f>
        <v/>
      </c>
      <c r="LB34" s="592" t="n">
        <v>31</v>
      </c>
      <c r="LC34" s="497" t="n"/>
      <c r="LD34" s="724" t="n"/>
      <c r="LE34" s="497" t="n"/>
      <c r="LF34" s="724" t="n"/>
      <c r="LG34" s="603">
        <f>LN36</f>
        <v/>
      </c>
      <c r="LH34" s="724" t="n"/>
      <c r="LI34" s="497" t="n"/>
      <c r="LJ34" s="497" t="n"/>
      <c r="LK34" s="593">
        <f>IF(AND(LF34:LJ34),1,0)</f>
        <v/>
      </c>
      <c r="LM34" s="497" t="inlineStr">
        <is>
          <t>PPR2</t>
        </is>
      </c>
      <c r="LN34" s="592" t="n">
        <v>1</v>
      </c>
      <c r="LO34" s="497" t="n"/>
      <c r="LR34" s="592" t="n">
        <v>31</v>
      </c>
      <c r="LS34" s="497" t="n"/>
      <c r="LT34" s="724" t="n"/>
      <c r="LU34" s="497" t="n"/>
      <c r="LV34" s="724" t="n"/>
      <c r="LW34" s="724">
        <f>MA33</f>
        <v/>
      </c>
      <c r="LX34" s="724" t="n"/>
      <c r="LY34" s="497" t="n"/>
      <c r="LZ34" s="497" t="n"/>
      <c r="MA34" s="593">
        <f>IF(AND(LV34:LZ34),1,0)</f>
        <v/>
      </c>
      <c r="MH34" s="592" t="n">
        <v>31</v>
      </c>
      <c r="MI34" s="497" t="n"/>
      <c r="MJ34" s="724" t="inlineStr">
        <is>
          <t>ACCP1N_6A</t>
        </is>
      </c>
      <c r="MK34" s="497" t="n"/>
      <c r="ML34" s="724" t="n"/>
      <c r="MM34" s="605">
        <f>MT7</f>
        <v/>
      </c>
      <c r="MN34" s="724">
        <f>MQ33</f>
        <v/>
      </c>
      <c r="MO34" s="497" t="n"/>
      <c r="MP34" s="497" t="n"/>
      <c r="MQ34" s="593">
        <f>IF(AND(ML34:MP34),1,0)</f>
        <v/>
      </c>
    </row>
    <row r="35" ht="27.75" customHeight="1">
      <c r="A35" s="590" t="n">
        <v>32</v>
      </c>
      <c r="B35" s="497" t="n"/>
      <c r="C35" s="497" t="n"/>
      <c r="D35" s="497" t="n"/>
      <c r="E35" s="497" t="n"/>
      <c r="F35" s="757">
        <f>J34</f>
        <v/>
      </c>
      <c r="H35" s="497" t="n"/>
      <c r="I35" s="497" t="n"/>
      <c r="J35" s="593">
        <f>IF(AND(E35:I35),1,0)</f>
        <v/>
      </c>
      <c r="P35" s="592" t="n">
        <v>32</v>
      </c>
      <c r="Q35" s="265" t="inlineStr">
        <is>
          <t>HA/24.E4</t>
        </is>
      </c>
      <c r="R35" s="592" t="n"/>
      <c r="S35" s="497" t="n"/>
      <c r="T35" s="497" t="n"/>
      <c r="U35" s="591">
        <f>AB36</f>
        <v/>
      </c>
      <c r="V35" s="497" t="n"/>
      <c r="W35" s="497" t="n"/>
      <c r="X35" s="497" t="n"/>
      <c r="Y35" s="593">
        <f>IF(AND(T35:X35),1,0)</f>
        <v/>
      </c>
      <c r="AA35" s="618" t="inlineStr">
        <is>
          <t>HEATER 2 4.5kW</t>
        </is>
      </c>
      <c r="AB35" s="592">
        <f>'DATA TRANSFER'!AT18</f>
        <v/>
      </c>
      <c r="AC35" s="497" t="n"/>
      <c r="AF35" s="592" t="n">
        <v>32</v>
      </c>
      <c r="AG35" s="599" t="n"/>
      <c r="AH35" s="597" t="n"/>
      <c r="AI35" s="497" t="n"/>
      <c r="AJ35" s="497" t="n"/>
      <c r="AK35" s="619">
        <f>AO34</f>
        <v/>
      </c>
      <c r="AL35" s="497" t="n"/>
      <c r="AM35" s="497" t="n"/>
      <c r="AN35" s="497" t="n"/>
      <c r="AO35" s="593">
        <f>IF(AND(AJ35:AN35),1,0)</f>
        <v/>
      </c>
      <c r="AS35" s="742" t="n"/>
      <c r="BI35" s="592" t="n">
        <v>32</v>
      </c>
      <c r="BJ35" s="497" t="n"/>
      <c r="BK35" s="497" t="n"/>
      <c r="BL35" s="497" t="n"/>
      <c r="BM35" s="497" t="n"/>
      <c r="BN35" s="592">
        <f>BR34</f>
        <v/>
      </c>
      <c r="BO35" s="497" t="n"/>
      <c r="BP35" s="497" t="n"/>
      <c r="BQ35" s="497" t="n"/>
      <c r="BR35" s="593">
        <f>IF(AND(BM35:BQ35),1,0)</f>
        <v/>
      </c>
      <c r="BX35" s="592" t="n">
        <v>32</v>
      </c>
      <c r="BY35" s="497" t="n"/>
      <c r="BZ35" s="497" t="n"/>
      <c r="CA35" s="497" t="n"/>
      <c r="CB35" s="497" t="n"/>
      <c r="CC35" s="592">
        <f>CG34</f>
        <v/>
      </c>
      <c r="CD35" s="497" t="n"/>
      <c r="CE35" s="497" t="n"/>
      <c r="CF35" s="497" t="n"/>
      <c r="CG35" s="593">
        <f>IF(AND(CB35:CF35),1,0)</f>
        <v/>
      </c>
      <c r="CI35" s="592" t="n">
        <v>32</v>
      </c>
      <c r="CJ35" s="497" t="n"/>
      <c r="CK35" s="592" t="n"/>
      <c r="CL35" s="497" t="n"/>
      <c r="CM35" s="497" t="n"/>
      <c r="CN35" s="497">
        <f>CR34</f>
        <v/>
      </c>
      <c r="CO35" s="497" t="n"/>
      <c r="CP35" s="497" t="n"/>
      <c r="CQ35" s="497" t="n"/>
      <c r="CR35" s="593">
        <f>IF(AND(CM35:CQ35),1,0)</f>
        <v/>
      </c>
      <c r="DK35" s="592" t="n">
        <v>32</v>
      </c>
      <c r="DL35" s="597" t="n"/>
      <c r="DM35" s="592" t="n"/>
      <c r="DN35" s="497" t="n"/>
      <c r="DO35" s="497" t="n"/>
      <c r="DP35" s="757">
        <f>DT34</f>
        <v/>
      </c>
      <c r="DQ35" s="497" t="n"/>
      <c r="DR35" s="497" t="n"/>
      <c r="DS35" s="497" t="n"/>
      <c r="DT35" s="593">
        <f>IF(AND(DO35:DS35),1,0)</f>
        <v/>
      </c>
      <c r="DZ35" s="592" t="n">
        <v>32</v>
      </c>
      <c r="EA35" s="597" t="n"/>
      <c r="EB35" s="592" t="n"/>
      <c r="EC35" s="497" t="n"/>
      <c r="ED35" s="497" t="n"/>
      <c r="EE35" s="596" t="n">
        <v>1</v>
      </c>
      <c r="EF35" s="497" t="n"/>
      <c r="EG35" s="497" t="n"/>
      <c r="EH35" s="497" t="n"/>
      <c r="EI35" s="602">
        <f>IF(AND(ED35:EH35),1,0)</f>
        <v/>
      </c>
      <c r="EO35" s="592" t="n">
        <v>32</v>
      </c>
      <c r="EP35" s="597" t="n"/>
      <c r="EQ35" s="592" t="n"/>
      <c r="ER35" s="497" t="n"/>
      <c r="ES35" s="497" t="n"/>
      <c r="ET35" s="497">
        <f>EX34</f>
        <v/>
      </c>
      <c r="EU35" s="497" t="n"/>
      <c r="EV35" s="497" t="n"/>
      <c r="EW35" s="497" t="n"/>
      <c r="EX35" s="593">
        <f>IF(AND(ES35:EW35),1,0)</f>
        <v/>
      </c>
      <c r="FE35" s="592" t="n">
        <v>32</v>
      </c>
      <c r="FF35" s="597" t="n"/>
      <c r="FG35" s="592" t="n"/>
      <c r="FH35" s="497" t="n"/>
      <c r="FI35" s="497" t="n"/>
      <c r="FJ35" s="497">
        <f>FN34</f>
        <v/>
      </c>
      <c r="FK35" s="497" t="n"/>
      <c r="FL35" s="497" t="n"/>
      <c r="FM35" s="497" t="n"/>
      <c r="FN35" s="593">
        <f>IF(AND(FI35:FM35),1,0)</f>
        <v/>
      </c>
      <c r="FT35" s="592" t="n">
        <v>32</v>
      </c>
      <c r="FU35" s="597" t="n"/>
      <c r="FV35" s="724" t="inlineStr">
        <is>
          <t>24VDC(DC/DC)</t>
        </is>
      </c>
      <c r="FW35" s="497" t="n"/>
      <c r="FX35" s="497" t="n"/>
      <c r="FY35" s="604">
        <f>FQ18</f>
        <v/>
      </c>
      <c r="FZ35" s="497" t="n"/>
      <c r="GA35" s="497" t="n"/>
      <c r="GB35" s="497" t="n"/>
      <c r="GC35" s="593">
        <f>IF(AND(FX35:GB35),1,0)</f>
        <v/>
      </c>
      <c r="GF35" s="592" t="n">
        <v>32</v>
      </c>
      <c r="GG35" s="597" t="n"/>
      <c r="GH35" s="724" t="n"/>
      <c r="GI35" s="497" t="n"/>
      <c r="GJ35" s="497" t="n"/>
      <c r="GK35" s="592">
        <f>GO33</f>
        <v/>
      </c>
      <c r="GL35" s="497" t="n"/>
      <c r="GM35" s="497" t="n"/>
      <c r="GN35" s="497" t="n"/>
      <c r="GO35" s="593">
        <f>IF(AND(GJ35:GN35),1,0)</f>
        <v/>
      </c>
      <c r="GU35" s="592" t="n">
        <v>32</v>
      </c>
      <c r="GV35" s="597" t="n"/>
      <c r="GW35" s="724" t="n"/>
      <c r="GX35" s="497" t="n"/>
      <c r="GY35" s="497" t="n"/>
      <c r="GZ35" s="757">
        <f>HD32</f>
        <v/>
      </c>
      <c r="HA35" s="497" t="n"/>
      <c r="HB35" s="497" t="n"/>
      <c r="HC35" s="497" t="n"/>
      <c r="HD35" s="602">
        <f>IF(AND(GY35:HC35),1,0)</f>
        <v/>
      </c>
      <c r="HK35" s="592" t="n">
        <v>32</v>
      </c>
      <c r="HL35" s="497" t="n"/>
      <c r="HM35" s="497" t="n"/>
      <c r="HN35" s="497" t="n"/>
      <c r="HO35" s="497" t="n"/>
      <c r="HP35" s="592">
        <f>HT36</f>
        <v/>
      </c>
      <c r="HQ35" s="497" t="n"/>
      <c r="HR35" s="497" t="n"/>
      <c r="HS35" s="497" t="n"/>
      <c r="HT35" s="593">
        <f>IF(AND(HO35:HS35),1,0)</f>
        <v/>
      </c>
      <c r="IL35" s="592" t="n">
        <v>32</v>
      </c>
      <c r="IM35" s="497" t="n"/>
      <c r="IN35" s="592" t="inlineStr">
        <is>
          <t>S3</t>
        </is>
      </c>
      <c r="IO35" s="497" t="n"/>
      <c r="IP35" s="597" t="n"/>
      <c r="IQ35" s="597">
        <f>IU34</f>
        <v/>
      </c>
      <c r="IR35" s="497" t="n"/>
      <c r="IS35" s="497" t="n"/>
      <c r="IT35" s="497" t="n"/>
      <c r="IU35" s="593">
        <f>IF(AND(IP35:IT35),1,0)</f>
        <v/>
      </c>
      <c r="IX35" s="592" t="n">
        <v>32</v>
      </c>
      <c r="IY35" s="497" t="n"/>
      <c r="IZ35" s="724" t="n"/>
      <c r="JA35" s="497" t="n"/>
      <c r="JB35" s="597" t="n"/>
      <c r="JC35" s="597">
        <f>JJ12</f>
        <v/>
      </c>
      <c r="JD35" s="497" t="n"/>
      <c r="JE35" s="497" t="n"/>
      <c r="JF35" s="497" t="n"/>
      <c r="JG35" s="602">
        <f>IF(AND(JB35:JF35),1,0)</f>
        <v/>
      </c>
      <c r="JN35" s="592" t="n">
        <v>32</v>
      </c>
      <c r="JO35" s="497" t="n"/>
      <c r="JP35" s="724" t="n"/>
      <c r="JQ35" s="497" t="n"/>
      <c r="JR35" s="597" t="n"/>
      <c r="JS35" s="597">
        <f>JW34</f>
        <v/>
      </c>
      <c r="JT35" s="597" t="n"/>
      <c r="JU35" s="497" t="n"/>
      <c r="JV35" s="497" t="n"/>
      <c r="JW35" s="593">
        <f>IF(AND(JR35:JV35),1,0)</f>
        <v/>
      </c>
      <c r="KP35" s="592" t="n">
        <v>32</v>
      </c>
      <c r="KQ35" s="497" t="n"/>
      <c r="KR35" s="724" t="n"/>
      <c r="KS35" s="497" t="n"/>
      <c r="KT35" s="724" t="n"/>
      <c r="KU35" s="724">
        <f>KY36</f>
        <v/>
      </c>
      <c r="KV35" s="597" t="n"/>
      <c r="KW35" s="497" t="n"/>
      <c r="KX35" s="497" t="n"/>
      <c r="KY35" s="593">
        <f>IF(AND(KT35:KX35),1,0)</f>
        <v/>
      </c>
      <c r="LB35" s="592" t="n">
        <v>32</v>
      </c>
      <c r="LC35" s="497" t="n"/>
      <c r="LD35" s="724" t="n"/>
      <c r="LE35" s="497" t="n"/>
      <c r="LF35" s="724" t="n"/>
      <c r="LG35" s="724">
        <f>LK34</f>
        <v/>
      </c>
      <c r="LH35" s="724" t="n"/>
      <c r="LI35" s="497" t="n"/>
      <c r="LJ35" s="497" t="n"/>
      <c r="LK35" s="593">
        <f>IF(AND(LF35:LJ35),1,0)</f>
        <v/>
      </c>
      <c r="LM35" s="618" t="inlineStr">
        <is>
          <t>HEATER 2 4.5kW</t>
        </is>
      </c>
      <c r="LN35" s="592">
        <f>'DATA TRANSFER'!AT18</f>
        <v/>
      </c>
      <c r="LO35" s="497" t="n"/>
      <c r="LR35" s="592" t="n">
        <v>32</v>
      </c>
      <c r="LS35" s="497" t="n"/>
      <c r="LT35" s="724" t="n"/>
      <c r="LU35" s="497" t="n"/>
      <c r="LV35" s="724" t="n"/>
      <c r="LW35" s="724">
        <f>MA34</f>
        <v/>
      </c>
      <c r="LX35" s="724" t="n"/>
      <c r="LY35" s="497" t="n"/>
      <c r="LZ35" s="497" t="n"/>
      <c r="MA35" s="593">
        <f>IF(AND(LV35:LZ35),1,0)</f>
        <v/>
      </c>
      <c r="MH35" s="592" t="n">
        <v>32</v>
      </c>
      <c r="MI35" s="497" t="n"/>
      <c r="MJ35" s="724" t="n"/>
      <c r="MK35" s="497" t="n"/>
      <c r="ML35" s="724" t="n"/>
      <c r="MM35" s="724">
        <f>MQ34</f>
        <v/>
      </c>
      <c r="MN35" s="724" t="n"/>
      <c r="MO35" s="497" t="n"/>
      <c r="MP35" s="497" t="n"/>
      <c r="MQ35" s="593">
        <f>IF(AND(ML35:MP35),1,0)</f>
        <v/>
      </c>
    </row>
    <row r="36" ht="24" customHeight="1">
      <c r="A36" s="590" t="n">
        <v>33</v>
      </c>
      <c r="B36" s="497" t="n"/>
      <c r="C36" s="497" t="n"/>
      <c r="D36" s="497" t="n"/>
      <c r="E36" s="497" t="n"/>
      <c r="F36" s="757">
        <f>J35</f>
        <v/>
      </c>
      <c r="G36" s="592" t="n"/>
      <c r="H36" s="497" t="n"/>
      <c r="I36" s="497" t="n"/>
      <c r="J36" s="593">
        <f>IF(AND(E36:I36),1,0)</f>
        <v/>
      </c>
      <c r="P36" s="592" t="n">
        <v>33</v>
      </c>
      <c r="Q36" s="497" t="n"/>
      <c r="R36" s="592" t="n"/>
      <c r="S36" s="497" t="n"/>
      <c r="T36" s="497" t="n"/>
      <c r="U36" s="757">
        <f>Y35</f>
        <v/>
      </c>
      <c r="V36" s="497" t="n"/>
      <c r="W36" s="497" t="n"/>
      <c r="X36" s="497" t="n"/>
      <c r="Y36" s="593">
        <f>IF(AND(T36:X36),1,0)</f>
        <v/>
      </c>
      <c r="AA36" s="592" t="inlineStr">
        <is>
          <t>APS 1</t>
        </is>
      </c>
      <c r="AB36" s="592" t="n">
        <v>1</v>
      </c>
      <c r="AC36" s="497" t="n"/>
      <c r="AF36" s="592" t="n">
        <v>33</v>
      </c>
      <c r="AG36" s="595" t="inlineStr">
        <is>
          <t>HA/24.E5</t>
        </is>
      </c>
      <c r="AH36" s="597" t="n"/>
      <c r="AI36" s="497" t="n"/>
      <c r="AJ36" s="497" t="n"/>
      <c r="AK36" s="591" t="n">
        <v>1</v>
      </c>
      <c r="AL36" s="497" t="n"/>
      <c r="AM36" s="497" t="n"/>
      <c r="AN36" s="497" t="n"/>
      <c r="AO36" s="593">
        <f>IF(AND(AJ36:AN36),1,0)</f>
        <v/>
      </c>
      <c r="AS36" s="742" t="n"/>
      <c r="BI36" s="592" t="n">
        <v>33</v>
      </c>
      <c r="BJ36" s="497" t="n"/>
      <c r="BK36" s="497" t="n"/>
      <c r="BL36" s="497" t="n"/>
      <c r="BM36" s="497" t="n"/>
      <c r="BN36" s="609">
        <f>BR15</f>
        <v/>
      </c>
      <c r="BO36" s="497">
        <f>BR35</f>
        <v/>
      </c>
      <c r="BP36" s="497" t="n"/>
      <c r="BQ36" s="497" t="n"/>
      <c r="BR36" s="593">
        <f>IF(AND(BM36:BQ36),1,0)</f>
        <v/>
      </c>
      <c r="BX36" s="592" t="n">
        <v>33</v>
      </c>
      <c r="BY36" s="497" t="n"/>
      <c r="BZ36" s="497" t="n"/>
      <c r="CA36" s="497" t="n"/>
      <c r="CB36" s="497" t="n"/>
      <c r="CC36" s="609">
        <f>CG15</f>
        <v/>
      </c>
      <c r="CD36" s="497">
        <f>CG35</f>
        <v/>
      </c>
      <c r="CE36" s="497" t="n"/>
      <c r="CF36" s="497" t="n"/>
      <c r="CG36" s="593">
        <f>IF(AND(CB36:CF36),1,0)</f>
        <v/>
      </c>
      <c r="CI36" s="592" t="n">
        <v>33</v>
      </c>
      <c r="CJ36" s="497" t="n"/>
      <c r="CK36" s="592" t="n"/>
      <c r="CL36" s="497" t="n"/>
      <c r="CM36" s="497" t="n"/>
      <c r="CN36" s="497">
        <f>CR34</f>
        <v/>
      </c>
      <c r="CO36" s="497" t="n"/>
      <c r="CP36" s="497" t="n"/>
      <c r="CQ36" s="497" t="n"/>
      <c r="CR36" s="593">
        <f>IF(AND(CM36:CQ36),1,0)</f>
        <v/>
      </c>
      <c r="DK36" s="592" t="n">
        <v>33</v>
      </c>
      <c r="DL36" s="597" t="n"/>
      <c r="DM36" s="592" t="inlineStr">
        <is>
          <t>THR1</t>
        </is>
      </c>
      <c r="DN36" s="497" t="n"/>
      <c r="DO36" s="497" t="n"/>
      <c r="DP36" s="600">
        <f>'DATA TRANSFER'!AT18</f>
        <v/>
      </c>
      <c r="DQ36" s="497">
        <f>DT35</f>
        <v/>
      </c>
      <c r="DR36" s="497" t="n"/>
      <c r="DS36" s="497" t="n"/>
      <c r="DT36" s="593">
        <f>IF(AND(DO36:DS36),1,0)</f>
        <v/>
      </c>
      <c r="DZ36" s="592" t="n">
        <v>33</v>
      </c>
      <c r="EA36" s="597" t="n"/>
      <c r="EB36" s="592" t="inlineStr">
        <is>
          <t>ONLY FOR HVAC 2</t>
        </is>
      </c>
      <c r="EC36" s="497" t="n"/>
      <c r="ED36" s="497" t="n"/>
      <c r="EE36" s="497">
        <f>EI35</f>
        <v/>
      </c>
      <c r="EF36" s="497" t="n"/>
      <c r="EG36" s="497" t="n"/>
      <c r="EH36" s="497" t="n"/>
      <c r="EI36" s="602">
        <f>IF(AND(ED36:EH36),1,0)</f>
        <v/>
      </c>
      <c r="EO36" s="592" t="n">
        <v>33</v>
      </c>
      <c r="EP36" s="597" t="n"/>
      <c r="EQ36" s="592" t="inlineStr">
        <is>
          <t>PPR1</t>
        </is>
      </c>
      <c r="ER36" s="497" t="n"/>
      <c r="ES36" s="497" t="n"/>
      <c r="ET36" s="601">
        <f>FA10</f>
        <v/>
      </c>
      <c r="EU36" s="497">
        <f>EX35</f>
        <v/>
      </c>
      <c r="EV36" s="497" t="n"/>
      <c r="EW36" s="497" t="n"/>
      <c r="EX36" s="593">
        <f>IF(AND(ES36:EW36),1,0)</f>
        <v/>
      </c>
      <c r="FE36" s="592" t="n">
        <v>33</v>
      </c>
      <c r="FF36" s="597" t="n"/>
      <c r="FG36" s="592" t="inlineStr">
        <is>
          <t>PPR1</t>
        </is>
      </c>
      <c r="FH36" s="497" t="n"/>
      <c r="FI36" s="497" t="n"/>
      <c r="FJ36" s="601">
        <f>FA10</f>
        <v/>
      </c>
      <c r="FK36" s="497">
        <f>FN35</f>
        <v/>
      </c>
      <c r="FL36" s="497" t="n"/>
      <c r="FM36" s="497" t="n"/>
      <c r="FN36" s="593">
        <f>IF(AND(FI36:FM36),1,0)</f>
        <v/>
      </c>
      <c r="FT36" s="592" t="n">
        <v>33</v>
      </c>
      <c r="FU36" s="597" t="n"/>
      <c r="FV36" s="724" t="n"/>
      <c r="FW36" s="497" t="n"/>
      <c r="FX36" s="497" t="n"/>
      <c r="FY36" s="592">
        <f>GC35</f>
        <v/>
      </c>
      <c r="FZ36" s="497" t="n"/>
      <c r="GA36" s="497" t="n"/>
      <c r="GB36" s="497" t="n"/>
      <c r="GC36" s="593">
        <f>IF(AND(FX36:GB36),1,0)</f>
        <v/>
      </c>
      <c r="GF36" s="592" t="n">
        <v>33</v>
      </c>
      <c r="GG36" s="597" t="n"/>
      <c r="GH36" s="724" t="n"/>
      <c r="GI36" s="497" t="n"/>
      <c r="GJ36" s="497" t="n"/>
      <c r="GK36" s="592">
        <f>GO20</f>
        <v/>
      </c>
      <c r="GL36" s="497" t="n"/>
      <c r="GM36" s="497" t="n"/>
      <c r="GN36" s="497" t="n"/>
      <c r="GO36" s="593">
        <f>IF(AND(GJ36:GN36),1,0)</f>
        <v/>
      </c>
      <c r="GU36" s="592" t="n">
        <v>33</v>
      </c>
      <c r="GV36" s="597" t="n"/>
      <c r="GW36" s="724" t="n"/>
      <c r="GX36" s="497" t="n"/>
      <c r="GY36" s="497" t="n"/>
      <c r="GZ36" s="757">
        <f>HD35</f>
        <v/>
      </c>
      <c r="HA36" s="497" t="n"/>
      <c r="HB36" s="497" t="n"/>
      <c r="HC36" s="497" t="n"/>
      <c r="HD36" s="602">
        <f>IF(AND(GY36:HC36),1,0)</f>
        <v/>
      </c>
      <c r="HK36" s="592" t="n">
        <v>33</v>
      </c>
      <c r="HL36" s="497" t="n"/>
      <c r="HM36" s="497" t="n"/>
      <c r="HN36" s="497" t="n"/>
      <c r="HO36" s="497" t="n"/>
      <c r="HP36" s="592">
        <f>HT37</f>
        <v/>
      </c>
      <c r="HQ36" s="497" t="n"/>
      <c r="HR36" s="497" t="n"/>
      <c r="HS36" s="497" t="n"/>
      <c r="HT36" s="593">
        <f>IF(AND(HO36:HS36),1,0)</f>
        <v/>
      </c>
      <c r="IL36" s="592" t="n">
        <v>33</v>
      </c>
      <c r="IM36" s="497" t="n"/>
      <c r="IN36" s="592" t="inlineStr">
        <is>
          <t>RAD/ S2</t>
        </is>
      </c>
      <c r="IO36" s="497" t="n"/>
      <c r="IP36" s="597" t="n"/>
      <c r="IQ36" s="605">
        <f>'Mode Logic'!Q18</f>
        <v/>
      </c>
      <c r="IR36" s="497" t="n"/>
      <c r="IS36" s="497" t="n"/>
      <c r="IT36" s="497" t="n"/>
      <c r="IU36" s="593">
        <f>IF(AND(IP36:IT36),1,0)</f>
        <v/>
      </c>
      <c r="IX36" s="592" t="n">
        <v>33</v>
      </c>
      <c r="IY36" s="497" t="n"/>
      <c r="IZ36" s="592" t="inlineStr">
        <is>
          <t>FAD M</t>
        </is>
      </c>
      <c r="JA36" s="497" t="n"/>
      <c r="JB36" s="497" t="n"/>
      <c r="JC36" s="592">
        <f>JJ12</f>
        <v/>
      </c>
      <c r="JD36" s="497" t="n"/>
      <c r="JE36" s="497" t="n"/>
      <c r="JF36" s="497" t="n"/>
      <c r="JG36" s="602">
        <f>IF(AND(JB36:JF36),1,0)</f>
        <v/>
      </c>
      <c r="JN36" s="592" t="n">
        <v>33</v>
      </c>
      <c r="JO36" s="497" t="n"/>
      <c r="JP36" s="724" t="inlineStr">
        <is>
          <t>FADR6</t>
        </is>
      </c>
      <c r="JQ36" s="497" t="n"/>
      <c r="JR36" s="597" t="n"/>
      <c r="JS36" s="606">
        <f>JJ23</f>
        <v/>
      </c>
      <c r="JT36" s="597">
        <f>JW35</f>
        <v/>
      </c>
      <c r="JU36" s="497" t="n"/>
      <c r="JV36" s="497" t="n"/>
      <c r="JW36" s="593">
        <f>IF(AND(JR36:JV36),1,0)</f>
        <v/>
      </c>
      <c r="KP36" s="592" t="n">
        <v>33</v>
      </c>
      <c r="KQ36" s="497" t="n"/>
      <c r="KR36" s="724" t="n"/>
      <c r="KS36" s="497" t="n"/>
      <c r="KT36" s="724" t="n"/>
      <c r="KU36" s="612" t="n">
        <v>1</v>
      </c>
      <c r="KV36" s="597" t="n"/>
      <c r="KW36" s="497" t="n"/>
      <c r="KX36" s="497" t="n"/>
      <c r="KY36" s="593">
        <f>IF(AND(KT36:KX36),1,0)</f>
        <v/>
      </c>
      <c r="LB36" s="592" t="n">
        <v>33</v>
      </c>
      <c r="LC36" s="497" t="n"/>
      <c r="LD36" s="724" t="n"/>
      <c r="LE36" s="497" t="n"/>
      <c r="LF36" s="724" t="n"/>
      <c r="LG36" s="724">
        <f>LK35</f>
        <v/>
      </c>
      <c r="LH36" s="724" t="n"/>
      <c r="LI36" s="497" t="n"/>
      <c r="LJ36" s="497" t="n"/>
      <c r="LK36" s="593">
        <f>IF(AND(LF36:LJ36),1,0)</f>
        <v/>
      </c>
      <c r="LM36" s="592" t="inlineStr">
        <is>
          <t>APS 1</t>
        </is>
      </c>
      <c r="LN36" s="592" t="n">
        <v>1</v>
      </c>
      <c r="LO36" s="497" t="n"/>
      <c r="LR36" s="592" t="n">
        <v>33</v>
      </c>
      <c r="LS36" s="497" t="n"/>
      <c r="LT36" s="724" t="n"/>
      <c r="LU36" s="497" t="n"/>
      <c r="LV36" s="724" t="n"/>
      <c r="LW36" s="724">
        <f>MA35</f>
        <v/>
      </c>
      <c r="LX36" s="724" t="n"/>
      <c r="LY36" s="497" t="n"/>
      <c r="LZ36" s="497" t="n"/>
      <c r="MA36" s="593">
        <f>IF(AND(LV36:LZ36),1,0)</f>
        <v/>
      </c>
      <c r="MH36" s="592" t="n">
        <v>33</v>
      </c>
      <c r="MI36" s="497" t="n"/>
      <c r="MJ36" s="724" t="n"/>
      <c r="MK36" s="497" t="n"/>
      <c r="ML36" s="724" t="n"/>
      <c r="MM36" s="724">
        <f>MQ35</f>
        <v/>
      </c>
      <c r="MN36" s="724" t="n"/>
      <c r="MO36" s="497" t="n"/>
      <c r="MP36" s="497" t="n"/>
      <c r="MQ36" s="593">
        <f>IF(AND(ML36:MP36),1,0)</f>
        <v/>
      </c>
    </row>
    <row r="37" ht="63" customHeight="1">
      <c r="A37" s="590" t="n">
        <v>34</v>
      </c>
      <c r="B37" s="497" t="n"/>
      <c r="C37" s="497" t="n"/>
      <c r="D37" s="497" t="n"/>
      <c r="E37" s="497" t="n"/>
      <c r="F37" s="757">
        <f>J36</f>
        <v/>
      </c>
      <c r="G37" s="592" t="n"/>
      <c r="H37" s="497" t="n"/>
      <c r="I37" s="497" t="n"/>
      <c r="J37" s="593">
        <f>IF(AND(E37:I37),1,0)</f>
        <v/>
      </c>
      <c r="P37" s="592" t="n">
        <v>34</v>
      </c>
      <c r="Q37" s="497" t="n"/>
      <c r="R37" s="592" t="n"/>
      <c r="S37" s="497" t="n"/>
      <c r="T37" s="497" t="n"/>
      <c r="U37" s="757">
        <f>Y36</f>
        <v/>
      </c>
      <c r="V37" s="497" t="n"/>
      <c r="W37" s="497" t="n"/>
      <c r="X37" s="497" t="n"/>
      <c r="Y37" s="593">
        <f>IF(AND(T37:X37),1,0)</f>
        <v/>
      </c>
      <c r="AA37" s="592" t="inlineStr">
        <is>
          <t>APS 2</t>
        </is>
      </c>
      <c r="AB37" s="592" t="n">
        <v>1</v>
      </c>
      <c r="AC37" s="497" t="n"/>
      <c r="AF37" s="592" t="n">
        <v>34</v>
      </c>
      <c r="AG37" s="599" t="n"/>
      <c r="AH37" s="597" t="n"/>
      <c r="AI37" s="497" t="n"/>
      <c r="AJ37" s="497" t="n"/>
      <c r="AK37" s="619">
        <f>AO36</f>
        <v/>
      </c>
      <c r="AL37" s="497" t="n"/>
      <c r="AM37" s="497" t="n"/>
      <c r="AN37" s="497" t="n"/>
      <c r="AO37" s="593">
        <f>IF(AND(AJ37:AN37),1,0)</f>
        <v/>
      </c>
      <c r="AS37" s="742" t="n"/>
      <c r="AT37" s="599" t="n"/>
      <c r="AU37" s="597" t="n"/>
      <c r="BI37" s="592" t="n">
        <v>34</v>
      </c>
      <c r="BJ37" s="497" t="n"/>
      <c r="BK37" s="497" t="n"/>
      <c r="BL37" s="497" t="n"/>
      <c r="BM37" s="497" t="n"/>
      <c r="BN37" s="592">
        <f>BR36</f>
        <v/>
      </c>
      <c r="BO37" s="497" t="n"/>
      <c r="BP37" s="497" t="n"/>
      <c r="BQ37" s="497" t="n"/>
      <c r="BR37" s="593">
        <f>IF(AND(BM37:BQ37),1,0)</f>
        <v/>
      </c>
      <c r="BX37" s="592" t="n">
        <v>34</v>
      </c>
      <c r="BY37" s="497" t="n"/>
      <c r="BZ37" s="497" t="n"/>
      <c r="CA37" s="497" t="n"/>
      <c r="CB37" s="497" t="n"/>
      <c r="CC37" s="592">
        <f>CG36</f>
        <v/>
      </c>
      <c r="CD37" s="497" t="n"/>
      <c r="CE37" s="497" t="n"/>
      <c r="CF37" s="497" t="n"/>
      <c r="CG37" s="593">
        <f>IF(AND(CB37:CF37),1,0)</f>
        <v/>
      </c>
      <c r="CI37" s="592" t="n">
        <v>34</v>
      </c>
      <c r="CJ37" s="724" t="n"/>
      <c r="CK37" s="757" t="inlineStr">
        <is>
          <t>TCR6-E</t>
        </is>
      </c>
      <c r="CL37" s="497" t="n"/>
      <c r="CM37" s="497" t="n"/>
      <c r="CN37" s="620">
        <f>CU5</f>
        <v/>
      </c>
      <c r="CO37" s="497" t="n"/>
      <c r="CP37" s="497" t="n"/>
      <c r="CQ37" s="497" t="n"/>
      <c r="CR37" s="593">
        <f>IF(AND(CM37:CQ37),1,0)</f>
        <v/>
      </c>
      <c r="DK37" s="592" t="n">
        <v>34</v>
      </c>
      <c r="DL37" s="597" t="n"/>
      <c r="DM37" s="757" t="inlineStr">
        <is>
          <t>HTC</t>
        </is>
      </c>
      <c r="DN37" s="497" t="n"/>
      <c r="DO37" s="497" t="n"/>
      <c r="DP37" s="600">
        <f>DW15</f>
        <v/>
      </c>
      <c r="DQ37" s="497" t="n"/>
      <c r="DR37" s="497" t="n"/>
      <c r="DS37" s="497" t="n"/>
      <c r="DT37" s="593">
        <f>IF(AND(DO37:DS37),1,0)</f>
        <v/>
      </c>
      <c r="DZ37" s="592" t="n">
        <v>34</v>
      </c>
      <c r="EA37" s="597" t="n"/>
      <c r="EB37" s="592" t="n"/>
      <c r="EC37" s="497" t="n"/>
      <c r="ED37" s="497" t="n"/>
      <c r="EE37" s="497">
        <f>EI36</f>
        <v/>
      </c>
      <c r="EF37" s="497" t="n"/>
      <c r="EG37" s="497" t="n"/>
      <c r="EH37" s="497" t="n"/>
      <c r="EI37" s="602">
        <f>IF(AND(ED37:EH37),1,0)</f>
        <v/>
      </c>
      <c r="EO37" s="592" t="n">
        <v>34</v>
      </c>
      <c r="EP37" s="597" t="n"/>
      <c r="EQ37" s="592" t="n"/>
      <c r="ER37" s="497" t="n"/>
      <c r="ES37" s="497" t="n"/>
      <c r="ET37" s="497">
        <f>EX36</f>
        <v/>
      </c>
      <c r="EU37" s="497" t="n"/>
      <c r="EV37" s="497" t="n"/>
      <c r="EW37" s="497" t="n"/>
      <c r="EX37" s="593">
        <f>IF(AND(ES37:EW37),1,0)</f>
        <v/>
      </c>
      <c r="FE37" s="592" t="n">
        <v>34</v>
      </c>
      <c r="FF37" s="597" t="n"/>
      <c r="FG37" s="592" t="n"/>
      <c r="FH37" s="497" t="n"/>
      <c r="FI37" s="497" t="n"/>
      <c r="FJ37" s="497">
        <f>FN36</f>
        <v/>
      </c>
      <c r="FK37" s="497" t="n"/>
      <c r="FL37" s="497" t="n"/>
      <c r="FM37" s="497" t="n"/>
      <c r="FN37" s="593">
        <f>IF(AND(FI37:FM37),1,0)</f>
        <v/>
      </c>
      <c r="FT37" s="592" t="n">
        <v>34</v>
      </c>
      <c r="FU37" s="597" t="n"/>
      <c r="FV37" s="724" t="inlineStr">
        <is>
          <t>PPR1</t>
        </is>
      </c>
      <c r="FW37" s="497" t="n"/>
      <c r="FX37" s="497" t="n"/>
      <c r="FY37" s="600">
        <f>FQ10</f>
        <v/>
      </c>
      <c r="FZ37" s="757">
        <f>GC36</f>
        <v/>
      </c>
      <c r="GA37" s="497" t="n"/>
      <c r="GB37" s="497" t="n"/>
      <c r="GC37" s="593">
        <f>IF(AND(FX37:GB37),1,0)</f>
        <v/>
      </c>
      <c r="GF37" s="592" t="n">
        <v>34</v>
      </c>
      <c r="GG37" s="597" t="n"/>
      <c r="GH37" s="724" t="n"/>
      <c r="GI37" s="497" t="n"/>
      <c r="GJ37" s="497" t="n"/>
      <c r="GK37" s="592">
        <f>GO36</f>
        <v/>
      </c>
      <c r="GL37" s="497" t="n"/>
      <c r="GM37" s="497" t="n"/>
      <c r="GN37" s="497" t="n"/>
      <c r="GO37" s="593">
        <f>IF(AND(GJ37:GN37),1,0)</f>
        <v/>
      </c>
      <c r="GU37" s="592" t="n">
        <v>34</v>
      </c>
      <c r="GV37" s="597" t="n"/>
      <c r="GW37" s="724" t="n"/>
      <c r="GX37" s="497" t="n"/>
      <c r="GY37" s="497" t="n"/>
      <c r="GZ37" s="757">
        <f>HD8</f>
        <v/>
      </c>
      <c r="HA37" s="497" t="n"/>
      <c r="HB37" s="497" t="n"/>
      <c r="HC37" s="497" t="n"/>
      <c r="HD37" s="602">
        <f>IF(AND(GY37:HC37),1,0)</f>
        <v/>
      </c>
      <c r="HK37" s="592" t="n">
        <v>34</v>
      </c>
      <c r="HL37" s="497" t="n"/>
      <c r="HM37" s="497" t="n"/>
      <c r="HN37" s="497" t="n"/>
      <c r="HO37" s="497" t="n"/>
      <c r="HP37" s="592">
        <f>HT38</f>
        <v/>
      </c>
      <c r="HQ37" s="497" t="n"/>
      <c r="HR37" s="497" t="n"/>
      <c r="HS37" s="497" t="n"/>
      <c r="HT37" s="593">
        <f>IF(AND(HO37:HS37),1,0)</f>
        <v/>
      </c>
      <c r="IL37" s="592" t="n">
        <v>34</v>
      </c>
      <c r="IM37" s="497" t="n"/>
      <c r="IN37" s="497" t="n"/>
      <c r="IO37" s="497" t="n"/>
      <c r="IP37" s="597" t="n"/>
      <c r="IQ37" s="606">
        <f>HW17</f>
        <v/>
      </c>
      <c r="IR37" s="497" t="n"/>
      <c r="IS37" s="497" t="n"/>
      <c r="IT37" s="497" t="n"/>
      <c r="IU37" s="593">
        <f>IF(AND(IP37:IT37),1,0)</f>
        <v/>
      </c>
      <c r="IX37" s="592" t="n">
        <v>34</v>
      </c>
      <c r="IY37" s="497" t="n"/>
      <c r="IZ37" s="592" t="inlineStr">
        <is>
          <t xml:space="preserve">FRESH AIR DAMPER </t>
        </is>
      </c>
      <c r="JA37" s="497" t="n"/>
      <c r="JB37" s="497" t="n"/>
      <c r="JC37" s="592">
        <f>JJ12</f>
        <v/>
      </c>
      <c r="JD37" s="497" t="n"/>
      <c r="JE37" s="497" t="n"/>
      <c r="JF37" s="497" t="n"/>
      <c r="JG37" s="602">
        <f>IF(AND(JB37:JF37),1,0)</f>
        <v/>
      </c>
      <c r="JN37" s="592" t="n">
        <v>34</v>
      </c>
      <c r="JO37" s="497" t="n"/>
      <c r="JP37" s="724" t="n"/>
      <c r="JQ37" s="497" t="n"/>
      <c r="JR37" s="597" t="n"/>
      <c r="JS37" s="597">
        <f>JW36</f>
        <v/>
      </c>
      <c r="JT37" s="597" t="n"/>
      <c r="JU37" s="497" t="n"/>
      <c r="JV37" s="497" t="n"/>
      <c r="JW37" s="593">
        <f>IF(AND(JR37:JV37),1,0)</f>
        <v/>
      </c>
      <c r="KP37" s="592" t="n">
        <v>34</v>
      </c>
      <c r="KQ37" s="497" t="n"/>
      <c r="KR37" s="724" t="n"/>
      <c r="KS37" s="497" t="n"/>
      <c r="KT37" s="724" t="n"/>
      <c r="KU37" s="724">
        <f>KY38</f>
        <v/>
      </c>
      <c r="KV37" s="597" t="n"/>
      <c r="KW37" s="497" t="n"/>
      <c r="KX37" s="497" t="n"/>
      <c r="KY37" s="593">
        <f>IF(AND(KT37:KX37),1,0)</f>
        <v/>
      </c>
      <c r="LB37" s="592" t="n">
        <v>34</v>
      </c>
      <c r="LC37" s="497" t="n"/>
      <c r="LD37" s="497" t="n"/>
      <c r="LE37" s="497" t="n"/>
      <c r="LF37" s="497" t="n"/>
      <c r="LG37" s="592">
        <f>LK101</f>
        <v/>
      </c>
      <c r="LH37" s="497" t="n"/>
      <c r="LI37" s="497" t="n"/>
      <c r="LJ37" s="497" t="n"/>
      <c r="LK37" s="593">
        <f>IF(AND(LF37:LJ37),1,0)</f>
        <v/>
      </c>
      <c r="LM37" s="592" t="inlineStr">
        <is>
          <t>APS 2</t>
        </is>
      </c>
      <c r="LN37" s="592" t="n">
        <v>1</v>
      </c>
      <c r="LO37" s="497" t="n"/>
      <c r="LR37" s="592" t="n">
        <v>34</v>
      </c>
      <c r="LS37" s="497" t="n"/>
      <c r="LT37" s="724" t="n"/>
      <c r="LU37" s="497" t="n"/>
      <c r="LV37" s="724" t="n"/>
      <c r="LW37" s="724">
        <f>MA36</f>
        <v/>
      </c>
      <c r="LX37" s="724" t="n"/>
      <c r="LY37" s="497" t="n"/>
      <c r="LZ37" s="497" t="n"/>
      <c r="MA37" s="593">
        <f>IF(AND(LV37:LZ37),1,0)</f>
        <v/>
      </c>
      <c r="MH37" s="592" t="n">
        <v>34</v>
      </c>
      <c r="MI37" s="497" t="n"/>
      <c r="MJ37" s="724" t="n"/>
      <c r="MK37" s="497" t="n"/>
      <c r="ML37" s="724" t="n"/>
      <c r="MM37" s="612" t="n">
        <v>1</v>
      </c>
      <c r="MN37" s="724" t="n"/>
      <c r="MO37" s="497" t="n"/>
      <c r="MP37" s="497" t="n"/>
      <c r="MQ37" s="593">
        <f>IF(AND(ML37:MP37),1,0)</f>
        <v/>
      </c>
    </row>
    <row r="38" ht="29.25" customHeight="1">
      <c r="A38" s="590" t="n">
        <v>35</v>
      </c>
      <c r="B38" s="497" t="n"/>
      <c r="C38" s="497" t="n"/>
      <c r="D38" s="497" t="n"/>
      <c r="E38" s="497" t="n"/>
      <c r="F38" s="757">
        <f>J37</f>
        <v/>
      </c>
      <c r="G38" s="592" t="n"/>
      <c r="H38" s="497" t="n"/>
      <c r="I38" s="497" t="n"/>
      <c r="J38" s="593">
        <f>IF(AND(E38:I38),1,0)</f>
        <v/>
      </c>
      <c r="P38" s="592" t="n">
        <v>35</v>
      </c>
      <c r="Q38" s="265" t="inlineStr">
        <is>
          <t>HA/24.E5</t>
        </is>
      </c>
      <c r="R38" s="592" t="n"/>
      <c r="S38" s="497" t="n"/>
      <c r="T38" s="497" t="n"/>
      <c r="U38" s="591">
        <f>AB36</f>
        <v/>
      </c>
      <c r="V38" s="497" t="n"/>
      <c r="W38" s="497" t="n"/>
      <c r="X38" s="497" t="n"/>
      <c r="Y38" s="593">
        <f>IF(AND(T38:X38),1,0)</f>
        <v/>
      </c>
      <c r="AF38" s="592" t="n">
        <v>35</v>
      </c>
      <c r="AG38" s="599" t="n"/>
      <c r="AH38" s="597" t="n"/>
      <c r="AI38" s="497" t="n"/>
      <c r="AJ38" s="497" t="n"/>
      <c r="AK38" s="619">
        <f>AO37</f>
        <v/>
      </c>
      <c r="AL38" s="497" t="n"/>
      <c r="AM38" s="497" t="n"/>
      <c r="AN38" s="497" t="n"/>
      <c r="AO38" s="593">
        <f>IF(AND(AJ38:AN38),1,0)</f>
        <v/>
      </c>
      <c r="AS38" s="742" t="n"/>
      <c r="AT38" s="597" t="inlineStr">
        <is>
          <t>GC.K66_+14.35</t>
        </is>
      </c>
      <c r="AU38" s="597" t="inlineStr">
        <is>
          <t>HCR9-O</t>
        </is>
      </c>
      <c r="BI38" s="592" t="n">
        <v>35</v>
      </c>
      <c r="BJ38" s="497" t="n"/>
      <c r="BK38" s="497" t="n"/>
      <c r="BL38" s="497" t="n"/>
      <c r="BM38" s="497" t="n"/>
      <c r="BN38" s="609">
        <f>BR37</f>
        <v/>
      </c>
      <c r="BO38" s="497" t="n"/>
      <c r="BP38" s="497" t="n"/>
      <c r="BQ38" s="497" t="n"/>
      <c r="BR38" s="593">
        <f>IF(AND(BM38:BQ38),1,0)</f>
        <v/>
      </c>
      <c r="BX38" s="592" t="n">
        <v>35</v>
      </c>
      <c r="BY38" s="497" t="n"/>
      <c r="BZ38" s="497" t="n"/>
      <c r="CA38" s="497" t="n"/>
      <c r="CB38" s="497" t="n"/>
      <c r="CC38" s="609">
        <f>CG37</f>
        <v/>
      </c>
      <c r="CD38" s="497" t="n"/>
      <c r="CE38" s="497" t="n"/>
      <c r="CF38" s="497" t="n"/>
      <c r="CG38" s="593">
        <f>IF(AND(CB38:CF38),1,0)</f>
        <v/>
      </c>
      <c r="CI38" s="592" t="n">
        <v>35</v>
      </c>
      <c r="CJ38" s="724" t="n"/>
      <c r="CK38" s="592" t="n"/>
      <c r="CL38" s="497" t="n"/>
      <c r="CM38" s="497" t="n"/>
      <c r="CN38" s="497">
        <f>IF(OR(CR37,CR20),1,0)</f>
        <v/>
      </c>
      <c r="CO38" s="497" t="n"/>
      <c r="CP38" s="497" t="n"/>
      <c r="CQ38" s="497" t="n"/>
      <c r="CR38" s="593">
        <f>IF(AND(CM38:CQ38),1,0)</f>
        <v/>
      </c>
      <c r="DK38" s="592" t="n">
        <v>35</v>
      </c>
      <c r="DL38" s="597" t="n"/>
      <c r="DM38" s="592" t="n"/>
      <c r="DN38" s="497" t="n"/>
      <c r="DO38" s="497" t="n"/>
      <c r="DP38" s="757">
        <f>DT37</f>
        <v/>
      </c>
      <c r="DQ38" s="497" t="n"/>
      <c r="DR38" s="497" t="n"/>
      <c r="DS38" s="497" t="n"/>
      <c r="DT38" s="593">
        <f>IF(AND(DO38:DS38),1,0)</f>
        <v/>
      </c>
      <c r="DZ38" s="592" t="n">
        <v>35</v>
      </c>
      <c r="EA38" s="597" t="inlineStr">
        <is>
          <t>X4</t>
        </is>
      </c>
      <c r="EB38" s="592" t="inlineStr">
        <is>
          <t>TX+</t>
        </is>
      </c>
      <c r="EC38" s="497" t="n"/>
      <c r="ED38" s="497" t="n"/>
      <c r="EE38" s="596" t="n">
        <v>1</v>
      </c>
      <c r="EF38" s="497" t="n"/>
      <c r="EG38" s="497" t="n"/>
      <c r="EH38" s="497" t="n"/>
      <c r="EI38" s="602">
        <f>IF(AND(ED38:EH38),1,0)</f>
        <v/>
      </c>
      <c r="EO38" s="592" t="n">
        <v>35</v>
      </c>
      <c r="EP38" s="597" t="n"/>
      <c r="EQ38" s="592" t="inlineStr">
        <is>
          <t>PPR2</t>
        </is>
      </c>
      <c r="ER38" s="497" t="n"/>
      <c r="ES38" s="497" t="n"/>
      <c r="ET38" s="601">
        <f>FA11</f>
        <v/>
      </c>
      <c r="EU38" s="497">
        <f>EX37</f>
        <v/>
      </c>
      <c r="EV38" s="497" t="n"/>
      <c r="EW38" s="497" t="n"/>
      <c r="EX38" s="593">
        <f>IF(AND(ES38:EW38),1,0)</f>
        <v/>
      </c>
      <c r="FE38" s="592" t="n">
        <v>35</v>
      </c>
      <c r="FF38" s="597" t="n"/>
      <c r="FG38" s="592" t="inlineStr">
        <is>
          <t>PPR2</t>
        </is>
      </c>
      <c r="FH38" s="497" t="n"/>
      <c r="FI38" s="497" t="n"/>
      <c r="FJ38" s="601">
        <f>FA11</f>
        <v/>
      </c>
      <c r="FK38" s="497">
        <f>FN37</f>
        <v/>
      </c>
      <c r="FL38" s="497" t="n"/>
      <c r="FM38" s="497" t="n"/>
      <c r="FN38" s="593">
        <f>IF(AND(FI38:FM38),1,0)</f>
        <v/>
      </c>
      <c r="FT38" s="592" t="n">
        <v>35</v>
      </c>
      <c r="FU38" s="597" t="n"/>
      <c r="FV38" s="724" t="n"/>
      <c r="FW38" s="497" t="n"/>
      <c r="FX38" s="497" t="n"/>
      <c r="FY38" s="592">
        <f>GC37</f>
        <v/>
      </c>
      <c r="FZ38" s="757" t="n"/>
      <c r="GA38" s="497" t="n"/>
      <c r="GB38" s="497" t="n"/>
      <c r="GC38" s="593">
        <f>IF(AND(FX38:GB38),1,0)</f>
        <v/>
      </c>
      <c r="GF38" s="592" t="n">
        <v>35</v>
      </c>
      <c r="GG38" s="597" t="n"/>
      <c r="GH38" s="724" t="inlineStr">
        <is>
          <t>SFC OFF</t>
        </is>
      </c>
      <c r="GI38" s="497" t="n"/>
      <c r="GJ38" s="497" t="n"/>
      <c r="GK38" s="604">
        <f>GR15</f>
        <v/>
      </c>
      <c r="GL38" s="497">
        <f>GO37</f>
        <v/>
      </c>
      <c r="GM38" s="497" t="n"/>
      <c r="GN38" s="497" t="n"/>
      <c r="GO38" s="593">
        <f>IF(AND(GJ38:GN38),1,0)</f>
        <v/>
      </c>
      <c r="GU38" s="592" t="n">
        <v>35</v>
      </c>
      <c r="GV38" s="597" t="n"/>
      <c r="GW38" s="724" t="n"/>
      <c r="GX38" s="497" t="n"/>
      <c r="GY38" s="497" t="n"/>
      <c r="GZ38" s="757">
        <f>HD37</f>
        <v/>
      </c>
      <c r="HA38" s="497" t="n"/>
      <c r="HB38" s="497" t="n"/>
      <c r="HC38" s="497" t="n"/>
      <c r="HD38" s="602">
        <f>IF(AND(GY38:HC38),1,0)</f>
        <v/>
      </c>
      <c r="HK38" s="592" t="n">
        <v>35</v>
      </c>
      <c r="HL38" s="497" t="n"/>
      <c r="HM38" s="592" t="inlineStr">
        <is>
          <t>EMR</t>
        </is>
      </c>
      <c r="HN38" s="497" t="n"/>
      <c r="HO38" s="497" t="n"/>
      <c r="HP38" s="604">
        <f>HW13</f>
        <v/>
      </c>
      <c r="HQ38" s="497" t="n"/>
      <c r="HR38" s="497" t="n"/>
      <c r="HS38" s="497" t="n"/>
      <c r="HT38" s="593">
        <f>IF(AND(HO38:HS38),1,0)</f>
        <v/>
      </c>
      <c r="IL38" s="592" t="n">
        <v>35</v>
      </c>
      <c r="IM38" s="497" t="n"/>
      <c r="IN38" s="497" t="n"/>
      <c r="IO38" s="497" t="n"/>
      <c r="IP38" s="597" t="n"/>
      <c r="IQ38" s="597">
        <f>IU37</f>
        <v/>
      </c>
      <c r="IR38" s="497" t="n"/>
      <c r="IS38" s="497" t="n"/>
      <c r="IT38" s="497" t="n"/>
      <c r="IU38" s="593">
        <f>IF(AND(IP38:IT38),1,0)</f>
        <v/>
      </c>
      <c r="JN38" s="592" t="n">
        <v>35</v>
      </c>
      <c r="JO38" s="497" t="n"/>
      <c r="JP38" s="724" t="n"/>
      <c r="JQ38" s="497" t="n"/>
      <c r="JR38" s="597" t="n"/>
      <c r="JS38" s="597">
        <f>JW36</f>
        <v/>
      </c>
      <c r="JT38" s="597" t="n"/>
      <c r="JU38" s="497" t="n"/>
      <c r="JV38" s="497" t="n"/>
      <c r="JW38" s="593">
        <f>IF(AND(JR38:JV38),1,0)</f>
        <v/>
      </c>
      <c r="KP38" s="592" t="n">
        <v>35</v>
      </c>
      <c r="KQ38" s="497" t="n"/>
      <c r="KR38" s="724" t="n"/>
      <c r="KS38" s="497" t="n"/>
      <c r="KT38" s="724" t="n"/>
      <c r="KU38" s="612" t="n">
        <v>1</v>
      </c>
      <c r="KV38" s="597" t="n"/>
      <c r="KW38" s="497" t="n"/>
      <c r="KX38" s="497" t="n"/>
      <c r="KY38" s="593">
        <f>IF(AND(KT38:KX38),1,0)</f>
        <v/>
      </c>
      <c r="LB38" s="592" t="n">
        <v>35</v>
      </c>
      <c r="LC38" s="497" t="n"/>
      <c r="LD38" s="724" t="n"/>
      <c r="LE38" s="497" t="n"/>
      <c r="LF38" s="724" t="n"/>
      <c r="LG38" s="724">
        <f>LK103</f>
        <v/>
      </c>
      <c r="LH38" s="724" t="n"/>
      <c r="LI38" s="497" t="n"/>
      <c r="LJ38" s="497" t="n"/>
      <c r="LK38" s="593">
        <f>IF(AND(LF38:LJ38),1,0)</f>
        <v/>
      </c>
      <c r="LR38" s="592" t="n">
        <v>35</v>
      </c>
      <c r="LS38" s="497" t="n"/>
      <c r="LT38" s="724" t="n"/>
      <c r="LU38" s="497" t="n"/>
      <c r="LV38" s="724" t="n"/>
      <c r="LW38" s="724">
        <f>MA37</f>
        <v/>
      </c>
      <c r="LX38" s="724" t="n"/>
      <c r="LY38" s="497" t="n"/>
      <c r="LZ38" s="497" t="n"/>
      <c r="MA38" s="593">
        <f>IF(AND(LV38:LZ38),1,0)</f>
        <v/>
      </c>
      <c r="MH38" s="592" t="n">
        <v>35</v>
      </c>
      <c r="MI38" s="497" t="n"/>
      <c r="MJ38" s="724" t="n"/>
      <c r="MK38" s="497" t="n"/>
      <c r="ML38" s="724" t="n"/>
      <c r="MM38" s="724">
        <f>HVAC_IOs!D43</f>
        <v/>
      </c>
      <c r="MN38" s="724" t="n"/>
      <c r="MO38" s="497" t="n"/>
      <c r="MP38" s="497" t="n"/>
      <c r="MQ38" s="593">
        <f>IF(AND(ML38:MP38),1,0)</f>
        <v/>
      </c>
    </row>
    <row r="39" ht="31.5" customHeight="1">
      <c r="A39" s="590" t="n">
        <v>36</v>
      </c>
      <c r="B39" s="497" t="n"/>
      <c r="C39" s="497" t="n"/>
      <c r="D39" s="497" t="n"/>
      <c r="E39" s="497" t="n"/>
      <c r="F39" s="757">
        <f>J38</f>
        <v/>
      </c>
      <c r="G39" s="592" t="n"/>
      <c r="H39" s="497" t="n"/>
      <c r="I39" s="497" t="n"/>
      <c r="J39" s="593">
        <f>IF(AND(E39:I39),1,0)</f>
        <v/>
      </c>
      <c r="P39" s="592" t="n">
        <v>36</v>
      </c>
      <c r="Q39" s="497" t="n"/>
      <c r="R39" s="592" t="n"/>
      <c r="S39" s="497" t="n"/>
      <c r="T39" s="497" t="n"/>
      <c r="U39" s="757">
        <f>Y38</f>
        <v/>
      </c>
      <c r="V39" s="497" t="n"/>
      <c r="W39" s="497" t="n"/>
      <c r="X39" s="497" t="n"/>
      <c r="Y39" s="593">
        <f>IF(AND(T39:X39),1,0)</f>
        <v/>
      </c>
      <c r="AF39" s="592" t="n">
        <v>36</v>
      </c>
      <c r="AG39" s="595" t="inlineStr">
        <is>
          <t>-HA/24.E5</t>
        </is>
      </c>
      <c r="AH39" s="597" t="n"/>
      <c r="AI39" s="497" t="n"/>
      <c r="AJ39" s="497" t="n"/>
      <c r="AK39" s="591" t="n">
        <v>1</v>
      </c>
      <c r="AL39" s="497" t="n"/>
      <c r="AM39" s="497" t="n"/>
      <c r="AN39" s="497" t="n"/>
      <c r="AO39" s="593">
        <f>IF(AND(AJ39:AN39),1,0)</f>
        <v/>
      </c>
      <c r="AS39" s="742" t="n"/>
      <c r="AT39" s="597" t="n"/>
      <c r="AU39" s="597" t="n"/>
      <c r="BI39" s="592" t="n">
        <v>36</v>
      </c>
      <c r="BJ39" s="497" t="n"/>
      <c r="BK39" s="497" t="n"/>
      <c r="BL39" s="497" t="n"/>
      <c r="BM39" s="497" t="n"/>
      <c r="BN39" s="592">
        <f>BR35</f>
        <v/>
      </c>
      <c r="BO39" s="497" t="n"/>
      <c r="BP39" s="497" t="n"/>
      <c r="BQ39" s="497" t="n"/>
      <c r="BR39" s="593">
        <f>IF(AND(BM39:BQ39),1,0)</f>
        <v/>
      </c>
      <c r="BX39" s="592" t="n">
        <v>36</v>
      </c>
      <c r="BY39" s="497" t="n"/>
      <c r="BZ39" s="497" t="n"/>
      <c r="CA39" s="497" t="n"/>
      <c r="CB39" s="497" t="n"/>
      <c r="CC39" s="592">
        <f>CG35</f>
        <v/>
      </c>
      <c r="CD39" s="497" t="n"/>
      <c r="CE39" s="497" t="n"/>
      <c r="CF39" s="497" t="n"/>
      <c r="CG39" s="593">
        <f>IF(AND(CB39:CF39),1,0)</f>
        <v/>
      </c>
      <c r="CI39" s="592" t="n">
        <v>36</v>
      </c>
      <c r="CJ39" s="724" t="inlineStr">
        <is>
          <t>UD .X14.05-F-A 9 +14.10</t>
        </is>
      </c>
      <c r="CK39" s="592" t="n"/>
      <c r="CL39" s="497" t="n"/>
      <c r="CM39" s="497" t="n"/>
      <c r="CN39" s="497">
        <f>CR38</f>
        <v/>
      </c>
      <c r="CO39" s="497" t="n"/>
      <c r="CP39" s="497" t="n"/>
      <c r="CQ39" s="497" t="n"/>
      <c r="CR39" s="593">
        <f>IF(AND(CM39:CQ39),1,0)</f>
        <v/>
      </c>
      <c r="DK39" s="592" t="n">
        <v>36</v>
      </c>
      <c r="DL39" s="597" t="n"/>
      <c r="DM39" s="592" t="inlineStr">
        <is>
          <t xml:space="preserve"> FROM APS 415 VAC(PE)</t>
        </is>
      </c>
      <c r="DN39" s="497" t="n"/>
      <c r="DO39" s="497" t="n"/>
      <c r="DP39" s="591" t="n">
        <v>1</v>
      </c>
      <c r="DQ39" s="497" t="n"/>
      <c r="DR39" s="497" t="n"/>
      <c r="DS39" s="497" t="n"/>
      <c r="DT39" s="593">
        <f>IF(AND(DO39:DS39),1,0)</f>
        <v/>
      </c>
      <c r="DZ39" s="592" t="n">
        <v>36</v>
      </c>
      <c r="EA39" s="597" t="n"/>
      <c r="EB39" s="592" t="n"/>
      <c r="EC39" s="497" t="n"/>
      <c r="ED39" s="497" t="n"/>
      <c r="EE39" s="497">
        <f>EI38</f>
        <v/>
      </c>
      <c r="EF39" s="497" t="n"/>
      <c r="EG39" s="497" t="n"/>
      <c r="EH39" s="497" t="n"/>
      <c r="EI39" s="602">
        <f>IF(AND(ED39:EH39),1,0)</f>
        <v/>
      </c>
      <c r="EO39" s="592" t="n">
        <v>36</v>
      </c>
      <c r="EP39" s="597" t="n"/>
      <c r="EQ39" s="592" t="n"/>
      <c r="ER39" s="497" t="n"/>
      <c r="ES39" s="497" t="n"/>
      <c r="ET39" s="497">
        <f>EX38</f>
        <v/>
      </c>
      <c r="EU39" s="497" t="n"/>
      <c r="EV39" s="497" t="n"/>
      <c r="EW39" s="497" t="n"/>
      <c r="EX39" s="593">
        <f>IF(AND(ES39:EW39),1,0)</f>
        <v/>
      </c>
      <c r="FE39" s="592" t="n">
        <v>36</v>
      </c>
      <c r="FF39" s="597" t="n"/>
      <c r="FG39" s="592" t="n"/>
      <c r="FH39" s="497" t="n"/>
      <c r="FI39" s="497" t="n"/>
      <c r="FJ39" s="497">
        <f>FN38</f>
        <v/>
      </c>
      <c r="FK39" s="497" t="n"/>
      <c r="FL39" s="497" t="n"/>
      <c r="FM39" s="497" t="n"/>
      <c r="FN39" s="593">
        <f>IF(AND(FI39:FM39),1,0)</f>
        <v/>
      </c>
      <c r="FT39" s="592" t="n">
        <v>36</v>
      </c>
      <c r="FU39" s="597" t="n"/>
      <c r="FV39" s="724" t="inlineStr">
        <is>
          <t>PPR2</t>
        </is>
      </c>
      <c r="FW39" s="497" t="n"/>
      <c r="FX39" s="497" t="n"/>
      <c r="FY39" s="600">
        <f>FQ11</f>
        <v/>
      </c>
      <c r="FZ39" s="757">
        <f>GC38</f>
        <v/>
      </c>
      <c r="GA39" s="497" t="n"/>
      <c r="GB39" s="497" t="n"/>
      <c r="GC39" s="593">
        <f>IF(AND(FX39:GB39),1,0)</f>
        <v/>
      </c>
      <c r="GF39" s="592" t="n">
        <v>36</v>
      </c>
      <c r="GG39" s="597" t="n"/>
      <c r="GH39" s="724" t="n"/>
      <c r="GI39" s="497" t="n"/>
      <c r="GJ39" s="497" t="n"/>
      <c r="GK39" s="592">
        <f>GO38</f>
        <v/>
      </c>
      <c r="GL39" s="497" t="n"/>
      <c r="GM39" s="497" t="n"/>
      <c r="GN39" s="497" t="n"/>
      <c r="GO39" s="593">
        <f>IF(AND(GJ39:GN39),1,0)</f>
        <v/>
      </c>
      <c r="GU39" s="592" t="n">
        <v>36</v>
      </c>
      <c r="GV39" s="597" t="n"/>
      <c r="GW39" s="724" t="n"/>
      <c r="GX39" s="497" t="n"/>
      <c r="GY39" s="497" t="n"/>
      <c r="GZ39" s="757">
        <f>HD38</f>
        <v/>
      </c>
      <c r="HA39" s="497" t="n"/>
      <c r="HB39" s="497" t="n"/>
      <c r="HC39" s="497" t="n"/>
      <c r="HD39" s="602">
        <f>IF(AND(GY39:HC39),1,0)</f>
        <v/>
      </c>
      <c r="HK39" s="592" t="n">
        <v>36</v>
      </c>
      <c r="HL39" s="497" t="n"/>
      <c r="HM39" s="757" t="inlineStr">
        <is>
          <t>110V DC</t>
        </is>
      </c>
      <c r="HN39" s="497" t="n"/>
      <c r="HO39" s="497" t="n"/>
      <c r="HP39" s="600">
        <f>HW18</f>
        <v/>
      </c>
      <c r="HQ39" s="497" t="n"/>
      <c r="HR39" s="497" t="n"/>
      <c r="HS39" s="497" t="n"/>
      <c r="HT39" s="593">
        <f>IF(AND(HO39:HS39),1,0)</f>
        <v/>
      </c>
      <c r="IL39" s="592" t="n">
        <v>36</v>
      </c>
      <c r="IM39" s="497" t="n"/>
      <c r="IN39" s="497" t="n"/>
      <c r="IO39" s="497" t="n"/>
      <c r="IP39" s="597" t="n"/>
      <c r="IQ39" s="597">
        <f>IU38</f>
        <v/>
      </c>
      <c r="IR39" s="497" t="n"/>
      <c r="IS39" s="497" t="n"/>
      <c r="IT39" s="497" t="n"/>
      <c r="IU39" s="593">
        <f>IF(AND(IP39:IT39),1,0)</f>
        <v/>
      </c>
      <c r="JN39" s="592" t="n">
        <v>36</v>
      </c>
      <c r="JO39" s="497" t="n"/>
      <c r="JP39" s="724" t="inlineStr">
        <is>
          <t>HVAC CAR 1</t>
        </is>
      </c>
      <c r="JQ39" s="497" t="n"/>
      <c r="JR39" s="597" t="n"/>
      <c r="JS39" s="597">
        <f>JW12</f>
        <v/>
      </c>
      <c r="JT39" s="597" t="n"/>
      <c r="JU39" s="497" t="n"/>
      <c r="JV39" s="497" t="n"/>
      <c r="JW39" s="593">
        <f>IF(AND(JR39:JV39),1,0)</f>
        <v/>
      </c>
      <c r="KP39" s="592" t="n">
        <v>36</v>
      </c>
      <c r="KQ39" s="497" t="n"/>
      <c r="KR39" s="724" t="n"/>
      <c r="KS39" s="497" t="n"/>
      <c r="KT39" s="724" t="n"/>
      <c r="KU39" s="724">
        <f>IF(OR(KY40,KY42,KY44,KY46,KY48,KY50,KY52,KY54,KY56),1,0)</f>
        <v/>
      </c>
      <c r="KV39" s="597" t="n"/>
      <c r="KW39" s="497" t="n"/>
      <c r="KX39" s="497" t="n"/>
      <c r="KY39" s="593">
        <f>IF(AND(KT39:KX39),1,0)</f>
        <v/>
      </c>
      <c r="LB39" s="592" t="n">
        <v>36</v>
      </c>
      <c r="LC39" s="497" t="n"/>
      <c r="LD39" s="724" t="inlineStr">
        <is>
          <t>COMPRESSOR 1 Pa=7,5kW p.f.=0,75</t>
        </is>
      </c>
      <c r="LE39" s="497" t="n"/>
      <c r="LF39" s="724" t="n"/>
      <c r="LG39" s="605">
        <f>'DATA TRANSFER'!AT15</f>
        <v/>
      </c>
      <c r="LH39" s="724">
        <f>LK38</f>
        <v/>
      </c>
      <c r="LI39" s="757">
        <f>LK77</f>
        <v/>
      </c>
      <c r="LJ39" s="757">
        <f>LK104</f>
        <v/>
      </c>
      <c r="LK39" s="593">
        <f>IF(AND(LF39:LJ39),1,0)</f>
        <v/>
      </c>
      <c r="LR39" s="592" t="n">
        <v>36</v>
      </c>
      <c r="LS39" s="497" t="n"/>
      <c r="LT39" s="724" t="n"/>
      <c r="LU39" s="497" t="n"/>
      <c r="LV39" s="724" t="n"/>
      <c r="LW39" s="724">
        <f>MA38</f>
        <v/>
      </c>
      <c r="LX39" s="724" t="n"/>
      <c r="LY39" s="497" t="n"/>
      <c r="LZ39" s="497" t="n"/>
      <c r="MA39" s="593">
        <f>IF(AND(LV39:LZ39),1,0)</f>
        <v/>
      </c>
      <c r="MH39" s="592" t="n">
        <v>36</v>
      </c>
      <c r="MI39" s="497" t="n"/>
      <c r="MJ39" s="724" t="n"/>
      <c r="MK39" s="497" t="n"/>
      <c r="ML39" s="724" t="n"/>
      <c r="MM39" s="724">
        <f>MQ15</f>
        <v/>
      </c>
      <c r="MN39" s="724" t="n"/>
      <c r="MO39" s="497" t="n"/>
      <c r="MP39" s="497" t="n"/>
      <c r="MQ39" s="593">
        <f>IF(AND(ML39:MP39),1,0)</f>
        <v/>
      </c>
    </row>
    <row r="40" ht="28.5" customHeight="1">
      <c r="A40" s="590" t="n">
        <v>37</v>
      </c>
      <c r="B40" s="497" t="n"/>
      <c r="C40" s="757" t="inlineStr">
        <is>
          <t>TERMOSTAT 1</t>
        </is>
      </c>
      <c r="D40" s="497" t="n"/>
      <c r="E40" s="497" t="n"/>
      <c r="F40" s="613">
        <f>M14</f>
        <v/>
      </c>
      <c r="G40" s="757">
        <f>J39</f>
        <v/>
      </c>
      <c r="H40" s="497" t="n"/>
      <c r="I40" s="497" t="n"/>
      <c r="J40" s="593">
        <f>IF(AND(E40:I40),1,0)</f>
        <v/>
      </c>
      <c r="P40" s="592" t="n">
        <v>37</v>
      </c>
      <c r="Q40" s="497" t="n"/>
      <c r="R40" s="592" t="n"/>
      <c r="S40" s="497" t="n"/>
      <c r="T40" s="497" t="n"/>
      <c r="U40" s="757">
        <f>Y39</f>
        <v/>
      </c>
      <c r="V40" s="497" t="n"/>
      <c r="W40" s="497" t="n"/>
      <c r="X40" s="497" t="n"/>
      <c r="Y40" s="593">
        <f>IF(AND(T40:X40),1,0)</f>
        <v/>
      </c>
      <c r="AF40" s="592" t="n">
        <v>37</v>
      </c>
      <c r="AG40" s="599" t="n"/>
      <c r="AH40" s="597" t="n"/>
      <c r="AI40" s="497" t="n"/>
      <c r="AJ40" s="497" t="n"/>
      <c r="AK40" s="619">
        <f>AO39</f>
        <v/>
      </c>
      <c r="AL40" s="497" t="n"/>
      <c r="AM40" s="497" t="n"/>
      <c r="AN40" s="497" t="n"/>
      <c r="AO40" s="593">
        <f>IF(AND(AJ40:AN40),1,0)</f>
        <v/>
      </c>
      <c r="AS40" s="742" t="n"/>
      <c r="AT40" s="597" t="inlineStr">
        <is>
          <t>LA.S02 _+14.30</t>
        </is>
      </c>
      <c r="AU40" s="597" t="inlineStr">
        <is>
          <t>SRRB</t>
        </is>
      </c>
      <c r="BI40" s="592" t="n">
        <v>37</v>
      </c>
      <c r="BJ40" s="497" t="n"/>
      <c r="BK40" s="497" t="n"/>
      <c r="BL40" s="497" t="n"/>
      <c r="BM40" s="497" t="n"/>
      <c r="BN40" s="609">
        <f>BR39</f>
        <v/>
      </c>
      <c r="BO40" s="497" t="n"/>
      <c r="BP40" s="497" t="n"/>
      <c r="BQ40" s="497" t="n"/>
      <c r="BR40" s="593">
        <f>IF(AND(BM40:BQ40),1,0)</f>
        <v/>
      </c>
      <c r="BX40" s="592" t="n">
        <v>37</v>
      </c>
      <c r="BY40" s="497" t="n"/>
      <c r="BZ40" s="497" t="n"/>
      <c r="CA40" s="497" t="n"/>
      <c r="CB40" s="497" t="n"/>
      <c r="CC40" s="609">
        <f>CG39</f>
        <v/>
      </c>
      <c r="CD40" s="497" t="n"/>
      <c r="CE40" s="497" t="n"/>
      <c r="CF40" s="497" t="n"/>
      <c r="CG40" s="593">
        <f>IF(AND(CB40:CF40),1,0)</f>
        <v/>
      </c>
      <c r="CI40" s="592" t="n">
        <v>37</v>
      </c>
      <c r="CJ40" s="724" t="n"/>
      <c r="CK40" s="592" t="n"/>
      <c r="CL40" s="497" t="n"/>
      <c r="CM40" s="497" t="n"/>
      <c r="CN40" s="497">
        <f>CR38</f>
        <v/>
      </c>
      <c r="CO40" s="497" t="n"/>
      <c r="CP40" s="497" t="n"/>
      <c r="CQ40" s="497" t="n"/>
      <c r="CR40" s="593">
        <f>IF(AND(CM40:CQ40),1,0)</f>
        <v/>
      </c>
      <c r="DK40" s="592" t="n">
        <v>37</v>
      </c>
      <c r="DL40" s="597" t="n"/>
      <c r="DM40" s="592" t="n"/>
      <c r="DN40" s="497" t="n"/>
      <c r="DO40" s="497" t="n"/>
      <c r="DP40" s="757">
        <f>DT39</f>
        <v/>
      </c>
      <c r="DQ40" s="497" t="n"/>
      <c r="DR40" s="497" t="n"/>
      <c r="DS40" s="497" t="n"/>
      <c r="DT40" s="593">
        <f>IF(AND(DO40:DS40),1,0)</f>
        <v/>
      </c>
      <c r="DZ40" s="592" t="n">
        <v>37</v>
      </c>
      <c r="EA40" s="597" t="inlineStr">
        <is>
          <t>X4</t>
        </is>
      </c>
      <c r="EB40" s="592" t="inlineStr">
        <is>
          <t>RX+</t>
        </is>
      </c>
      <c r="EC40" s="497" t="n"/>
      <c r="ED40" s="497" t="n"/>
      <c r="EE40" s="596" t="n">
        <v>1</v>
      </c>
      <c r="EF40" s="497" t="n"/>
      <c r="EG40" s="497" t="n"/>
      <c r="EH40" s="497" t="n"/>
      <c r="EI40" s="602">
        <f>IF(AND(ED40:EH40),1,0)</f>
        <v/>
      </c>
      <c r="EO40" s="592" t="n">
        <v>37</v>
      </c>
      <c r="EP40" s="597" t="n"/>
      <c r="EQ40" s="592" t="inlineStr">
        <is>
          <t>TMR2</t>
        </is>
      </c>
      <c r="ER40" s="497" t="n"/>
      <c r="ES40" s="497" t="n"/>
      <c r="ET40" s="601">
        <f>FA12</f>
        <v/>
      </c>
      <c r="EU40" s="497">
        <f>EX39</f>
        <v/>
      </c>
      <c r="EV40" s="497" t="n"/>
      <c r="EW40" s="497" t="n"/>
      <c r="EX40" s="593">
        <f>IF(AND(ES40:EW40),1,0)</f>
        <v/>
      </c>
      <c r="FE40" s="592" t="n">
        <v>37</v>
      </c>
      <c r="FF40" s="597" t="n"/>
      <c r="FG40" s="592" t="inlineStr">
        <is>
          <t>TMR2</t>
        </is>
      </c>
      <c r="FH40" s="497" t="n"/>
      <c r="FI40" s="497" t="n"/>
      <c r="FJ40" s="601">
        <f>FA12</f>
        <v/>
      </c>
      <c r="FK40" s="497">
        <f>FN39</f>
        <v/>
      </c>
      <c r="FL40" s="497" t="n"/>
      <c r="FM40" s="497" t="n"/>
      <c r="FN40" s="593">
        <f>IF(AND(FI40:FM40),1,0)</f>
        <v/>
      </c>
      <c r="FT40" s="592" t="n">
        <v>37</v>
      </c>
      <c r="FU40" s="597" t="n"/>
      <c r="FV40" s="724" t="n"/>
      <c r="FW40" s="497" t="n"/>
      <c r="FX40" s="497" t="n"/>
      <c r="FY40" s="592">
        <f>GC39</f>
        <v/>
      </c>
      <c r="FZ40" s="497" t="n"/>
      <c r="GA40" s="497" t="n"/>
      <c r="GB40" s="497" t="n"/>
      <c r="GC40" s="593">
        <f>IF(AND(FX40:GB40),1,0)</f>
        <v/>
      </c>
      <c r="GF40" s="592" t="n">
        <v>37</v>
      </c>
      <c r="GG40" s="597" t="n"/>
      <c r="GH40" s="724" t="inlineStr">
        <is>
          <t>FADR3</t>
        </is>
      </c>
      <c r="GI40" s="497" t="n"/>
      <c r="GJ40" s="497" t="n"/>
      <c r="GK40" s="604">
        <f>GR11</f>
        <v/>
      </c>
      <c r="GL40" s="497">
        <f>GO39</f>
        <v/>
      </c>
      <c r="GM40" s="497" t="n"/>
      <c r="GN40" s="497" t="n"/>
      <c r="GO40" s="593">
        <f>IF(AND(GJ40:GN40),1,0)</f>
        <v/>
      </c>
      <c r="GU40" s="592" t="n">
        <v>37</v>
      </c>
      <c r="GV40" s="597" t="n"/>
      <c r="GW40" s="724" t="n"/>
      <c r="GX40" s="497" t="n"/>
      <c r="GY40" s="497" t="n"/>
      <c r="GZ40" s="591" t="n">
        <v>1</v>
      </c>
      <c r="HA40" s="497" t="n"/>
      <c r="HB40" s="497" t="n"/>
      <c r="HC40" s="497" t="n"/>
      <c r="HD40" s="602">
        <f>IF(AND(GY40:HC40),1,0)</f>
        <v/>
      </c>
      <c r="HK40" s="592" t="n">
        <v>37</v>
      </c>
      <c r="HL40" s="497" t="n"/>
      <c r="HM40" s="592" t="inlineStr">
        <is>
          <t>APS1</t>
        </is>
      </c>
      <c r="HN40" s="497" t="n"/>
      <c r="HO40" s="497" t="n"/>
      <c r="HP40" s="604">
        <f>HW6</f>
        <v/>
      </c>
      <c r="HQ40" s="497" t="n"/>
      <c r="HR40" s="497" t="n"/>
      <c r="HS40" s="497" t="n"/>
      <c r="HT40" s="593">
        <f>IF(AND(HO40:HS40),1,0)</f>
        <v/>
      </c>
      <c r="IL40" s="592" t="n">
        <v>37</v>
      </c>
      <c r="IM40" s="497" t="n"/>
      <c r="IN40" s="497" t="n"/>
      <c r="IO40" s="497" t="n"/>
      <c r="IP40" s="597" t="n"/>
      <c r="IQ40" s="597">
        <f>IU39</f>
        <v/>
      </c>
      <c r="IR40" s="497" t="n"/>
      <c r="IS40" s="497" t="n"/>
      <c r="IT40" s="497" t="n"/>
      <c r="IU40" s="593">
        <f>IF(AND(IP40:IT40),1,0)</f>
        <v/>
      </c>
      <c r="JN40" s="592" t="n">
        <v>37</v>
      </c>
      <c r="JO40" s="497" t="n"/>
      <c r="JP40" s="724" t="inlineStr">
        <is>
          <t>HVAC CAR 2</t>
        </is>
      </c>
      <c r="JQ40" s="497" t="n"/>
      <c r="JR40" s="597" t="n"/>
      <c r="JS40" s="597">
        <f>IF(OR(JW8,JW15),1,0)</f>
        <v/>
      </c>
      <c r="JT40" s="597" t="n"/>
      <c r="JU40" s="497" t="n"/>
      <c r="JV40" s="497" t="n"/>
      <c r="JW40" s="593">
        <f>IF(AND(JR40:JV40),1,0)</f>
        <v/>
      </c>
      <c r="KP40" s="592" t="n">
        <v>37</v>
      </c>
      <c r="KQ40" s="497" t="n"/>
      <c r="KR40" s="724" t="n"/>
      <c r="KS40" s="497" t="n"/>
      <c r="KT40" s="724" t="n"/>
      <c r="KU40" s="724">
        <f>KY42</f>
        <v/>
      </c>
      <c r="KV40" s="597" t="n"/>
      <c r="KW40" s="497" t="n"/>
      <c r="KX40" s="497" t="n"/>
      <c r="KY40" s="593">
        <f>IF(AND(KT40:KX40),1,0)</f>
        <v/>
      </c>
      <c r="LB40" s="592" t="n">
        <v>37</v>
      </c>
      <c r="LC40" s="497" t="n"/>
      <c r="LD40" s="724" t="n"/>
      <c r="LE40" s="497" t="n"/>
      <c r="LF40" s="724" t="n"/>
      <c r="LG40" s="724" t="n">
        <v>1</v>
      </c>
      <c r="LH40" s="724" t="n"/>
      <c r="LI40" s="497" t="n"/>
      <c r="LJ40" s="497" t="n"/>
      <c r="LK40" s="593">
        <f>IF(AND(LF40:LJ40),1,0)</f>
        <v/>
      </c>
      <c r="LR40" s="592" t="n">
        <v>37</v>
      </c>
      <c r="LS40" s="497" t="n"/>
      <c r="LT40" s="724" t="n"/>
      <c r="LU40" s="497" t="n"/>
      <c r="LV40" s="724" t="n"/>
      <c r="LW40" s="724">
        <f>MA39</f>
        <v/>
      </c>
      <c r="LX40" s="724" t="n"/>
      <c r="LY40" s="497" t="n"/>
      <c r="LZ40" s="497" t="n"/>
      <c r="MA40" s="593">
        <f>IF(AND(LV40:LZ40),1,0)</f>
        <v/>
      </c>
      <c r="MH40" s="592" t="n">
        <v>37</v>
      </c>
      <c r="MI40" s="497" t="n"/>
      <c r="MJ40" s="724" t="inlineStr">
        <is>
          <t>SMRR</t>
        </is>
      </c>
      <c r="MK40" s="497" t="n"/>
      <c r="ML40" s="724" t="n"/>
      <c r="MM40" s="605">
        <f>IF(OR(MT11=1,MT12=1),0,1)</f>
        <v/>
      </c>
      <c r="MN40" s="724" t="n"/>
      <c r="MO40" s="497" t="n"/>
      <c r="MP40" s="497" t="n"/>
      <c r="MQ40" s="593">
        <f>IF(AND(ML40:MP40),1,0)</f>
        <v/>
      </c>
    </row>
    <row r="41">
      <c r="A41" s="590" t="n">
        <v>38</v>
      </c>
      <c r="B41" s="497" t="n"/>
      <c r="C41" s="757" t="inlineStr">
        <is>
          <t>HTC</t>
        </is>
      </c>
      <c r="D41" s="497" t="n"/>
      <c r="E41" s="497" t="n"/>
      <c r="F41" s="613">
        <f>M14</f>
        <v/>
      </c>
      <c r="G41" s="592">
        <f>J40</f>
        <v/>
      </c>
      <c r="H41" s="497" t="n"/>
      <c r="I41" s="497" t="n"/>
      <c r="J41" s="593">
        <f>IF(AND(E41:I41),1,0)</f>
        <v/>
      </c>
      <c r="P41" s="592" t="n">
        <v>38</v>
      </c>
      <c r="Q41" s="265" t="inlineStr">
        <is>
          <t>-HA/24.E5</t>
        </is>
      </c>
      <c r="R41" s="592" t="n"/>
      <c r="S41" s="497" t="n"/>
      <c r="T41" s="497" t="n"/>
      <c r="U41" s="591">
        <f>AB36</f>
        <v/>
      </c>
      <c r="V41" s="497" t="n"/>
      <c r="W41" s="497" t="n"/>
      <c r="X41" s="497" t="n"/>
      <c r="Y41" s="593">
        <f>IF(AND(T41:X41),1,0)</f>
        <v/>
      </c>
      <c r="AF41" s="592" t="n">
        <v>38</v>
      </c>
      <c r="AG41" s="599" t="n"/>
      <c r="AH41" s="597" t="n"/>
      <c r="AI41" s="497" t="n"/>
      <c r="AJ41" s="497" t="n"/>
      <c r="AK41" s="619">
        <f>AO40</f>
        <v/>
      </c>
      <c r="AL41" s="497" t="n"/>
      <c r="AM41" s="497" t="n"/>
      <c r="AN41" s="497" t="n"/>
      <c r="AO41" s="593">
        <f>IF(AND(AJ41:AN41),1,0)</f>
        <v/>
      </c>
      <c r="AS41" s="742" t="n"/>
      <c r="AT41" s="497" t="n"/>
      <c r="AU41" s="497" t="n"/>
      <c r="BI41" s="592" t="n">
        <v>38</v>
      </c>
      <c r="BJ41" s="497" t="n"/>
      <c r="BK41" s="497" t="n"/>
      <c r="BL41" s="497" t="n"/>
      <c r="BM41" s="497" t="n"/>
      <c r="BN41" s="592">
        <f>BR40</f>
        <v/>
      </c>
      <c r="BO41" s="497" t="n"/>
      <c r="BP41" s="497" t="n"/>
      <c r="BQ41" s="497" t="n"/>
      <c r="BR41" s="593">
        <f>IF(AND(BM41:BQ41),1,0)</f>
        <v/>
      </c>
      <c r="BX41" s="592" t="n">
        <v>38</v>
      </c>
      <c r="BY41" s="497" t="n"/>
      <c r="BZ41" s="497" t="n"/>
      <c r="CA41" s="497" t="n"/>
      <c r="CB41" s="497" t="n"/>
      <c r="CC41" s="592">
        <f>CG40</f>
        <v/>
      </c>
      <c r="CD41" s="497" t="n"/>
      <c r="CE41" s="497" t="n"/>
      <c r="CF41" s="497" t="n"/>
      <c r="CG41" s="593">
        <f>IF(AND(CB41:CF41),1,0)</f>
        <v/>
      </c>
      <c r="CI41" s="592" t="n">
        <v>38</v>
      </c>
      <c r="CJ41" s="724" t="inlineStr">
        <is>
          <t>-UD .X63.21-F 9 +63.20</t>
        </is>
      </c>
      <c r="CK41" s="592" t="n"/>
      <c r="CL41" s="497" t="n"/>
      <c r="CM41" s="497" t="n"/>
      <c r="CN41" s="497">
        <f>CR40</f>
        <v/>
      </c>
      <c r="CO41" s="497" t="n"/>
      <c r="CP41" s="497" t="n"/>
      <c r="CQ41" s="497" t="n"/>
      <c r="CR41" s="593">
        <f>IF(AND(CM41:CQ41),1,0)</f>
        <v/>
      </c>
      <c r="DK41" s="592" t="n">
        <v>38</v>
      </c>
      <c r="DL41" s="597" t="n"/>
      <c r="DM41" s="592" t="n"/>
      <c r="DN41" s="497" t="n"/>
      <c r="DO41" s="497" t="n"/>
      <c r="DP41" s="757">
        <f>DT40</f>
        <v/>
      </c>
      <c r="DQ41" s="497" t="n"/>
      <c r="DR41" s="497" t="n"/>
      <c r="DS41" s="497" t="n"/>
      <c r="DT41" s="593">
        <f>IF(AND(DO41:DS41),1,0)</f>
        <v/>
      </c>
      <c r="DZ41" s="592" t="n">
        <v>38</v>
      </c>
      <c r="EA41" s="597" t="n"/>
      <c r="EB41" s="592" t="n"/>
      <c r="EC41" s="497" t="n"/>
      <c r="ED41" s="497" t="n"/>
      <c r="EE41" s="497">
        <f>EI40</f>
        <v/>
      </c>
      <c r="EF41" s="497" t="n"/>
      <c r="EG41" s="497" t="n"/>
      <c r="EH41" s="497" t="n"/>
      <c r="EI41" s="602">
        <f>IF(AND(ED41:EH41),1,0)</f>
        <v/>
      </c>
      <c r="EO41" s="592" t="n">
        <v>38</v>
      </c>
      <c r="EP41" s="597" t="n"/>
      <c r="EQ41" s="592" t="n"/>
      <c r="ER41" s="497" t="n"/>
      <c r="ES41" s="497" t="n"/>
      <c r="ET41" s="497">
        <f>EX40</f>
        <v/>
      </c>
      <c r="EU41" s="497" t="n"/>
      <c r="EV41" s="497" t="n"/>
      <c r="EW41" s="497" t="n"/>
      <c r="EX41" s="593">
        <f>IF(AND(ES41:EW41),1,0)</f>
        <v/>
      </c>
      <c r="FE41" s="592" t="n">
        <v>38</v>
      </c>
      <c r="FF41" s="597" t="n"/>
      <c r="FG41" s="592" t="n"/>
      <c r="FH41" s="497" t="n"/>
      <c r="FI41" s="497" t="n"/>
      <c r="FJ41" s="497">
        <f>FN40</f>
        <v/>
      </c>
      <c r="FK41" s="497" t="n"/>
      <c r="FL41" s="497" t="n"/>
      <c r="FM41" s="497" t="n"/>
      <c r="FN41" s="593">
        <f>IF(AND(FI41:FM41),1,0)</f>
        <v/>
      </c>
      <c r="FT41" s="592" t="n">
        <v>38</v>
      </c>
      <c r="FU41" s="597" t="n"/>
      <c r="FV41" s="724" t="inlineStr">
        <is>
          <t>TMR2</t>
        </is>
      </c>
      <c r="FW41" s="497" t="n"/>
      <c r="FX41" s="497" t="n"/>
      <c r="FY41" s="604">
        <f>FQ12</f>
        <v/>
      </c>
      <c r="FZ41" s="497">
        <f>GC40</f>
        <v/>
      </c>
      <c r="GA41" s="497" t="n"/>
      <c r="GB41" s="497" t="n"/>
      <c r="GC41" s="593">
        <f>IF(AND(FX41:GB41),1,0)</f>
        <v/>
      </c>
      <c r="GF41" s="592" t="n">
        <v>38</v>
      </c>
      <c r="GG41" s="597" t="n"/>
      <c r="GH41" s="724" t="n"/>
      <c r="GI41" s="497" t="n"/>
      <c r="GJ41" s="497" t="n"/>
      <c r="GK41" s="592">
        <f>GO64</f>
        <v/>
      </c>
      <c r="GL41" s="497" t="n"/>
      <c r="GM41" s="497" t="n"/>
      <c r="GN41" s="497" t="n"/>
      <c r="GO41" s="593">
        <f>IF(AND(GJ41:GN41),1,0)</f>
        <v/>
      </c>
      <c r="GU41" s="592" t="n">
        <v>38</v>
      </c>
      <c r="GV41" s="597" t="n"/>
      <c r="GW41" s="724" t="n"/>
      <c r="GX41" s="497" t="n"/>
      <c r="GY41" s="497" t="n"/>
      <c r="GZ41" s="757">
        <f>HD40</f>
        <v/>
      </c>
      <c r="HA41" s="497" t="n"/>
      <c r="HB41" s="497" t="n"/>
      <c r="HC41" s="497" t="n"/>
      <c r="HD41" s="602">
        <f>IF(AND(GY41:HC41),1,0)</f>
        <v/>
      </c>
      <c r="HK41" s="592" t="n">
        <v>38</v>
      </c>
      <c r="HL41" s="497" t="n"/>
      <c r="HM41" s="497" t="n"/>
      <c r="HN41" s="497" t="n"/>
      <c r="HO41" s="497" t="n"/>
      <c r="HP41" s="592">
        <f>HT40</f>
        <v/>
      </c>
      <c r="HQ41" s="497" t="n"/>
      <c r="HR41" s="497" t="n"/>
      <c r="HS41" s="497" t="n"/>
      <c r="HT41" s="593">
        <f>IF(AND(HO41:HS41),1,0)</f>
        <v/>
      </c>
      <c r="IL41" s="592" t="n">
        <v>38</v>
      </c>
      <c r="IM41" s="497" t="n"/>
      <c r="IN41" s="497" t="n"/>
      <c r="IO41" s="497" t="n"/>
      <c r="IP41" s="597" t="n"/>
      <c r="IQ41" s="597">
        <f>IU40</f>
        <v/>
      </c>
      <c r="IR41" s="497" t="n"/>
      <c r="IS41" s="497" t="n"/>
      <c r="IT41" s="497" t="n"/>
      <c r="IU41" s="593">
        <f>IF(AND(IP41:IT41),1,0)</f>
        <v/>
      </c>
      <c r="JN41" s="592" t="n">
        <v>38</v>
      </c>
      <c r="JO41" s="497" t="n"/>
      <c r="JP41" s="724" t="inlineStr">
        <is>
          <t>HVAC CAR 3</t>
        </is>
      </c>
      <c r="JQ41" s="497" t="n"/>
      <c r="JR41" s="597" t="n"/>
      <c r="JS41" s="597">
        <f>IF(OR(JW10,JW18),1,0)</f>
        <v/>
      </c>
      <c r="JT41" s="597" t="n"/>
      <c r="JU41" s="497" t="n"/>
      <c r="JV41" s="497" t="n"/>
      <c r="JW41" s="593">
        <f>IF(AND(JR41:JV41),1,0)</f>
        <v/>
      </c>
      <c r="KP41" s="592" t="n">
        <v>38</v>
      </c>
      <c r="KQ41" s="497" t="n"/>
      <c r="KR41" s="724" t="inlineStr">
        <is>
          <t xml:space="preserve">110 VDC </t>
        </is>
      </c>
      <c r="KS41" s="497" t="n"/>
      <c r="KT41" s="724" t="n"/>
      <c r="KU41" s="605">
        <f>KL16</f>
        <v/>
      </c>
      <c r="KV41" s="597" t="n"/>
      <c r="KW41" s="497" t="n"/>
      <c r="KX41" s="497" t="n"/>
      <c r="KY41" s="593">
        <f>IF(AND(KT41:KX41),1,0)</f>
        <v/>
      </c>
      <c r="LB41" s="592" t="n">
        <v>38</v>
      </c>
      <c r="LC41" s="497" t="n"/>
      <c r="LD41" s="724" t="n"/>
      <c r="LE41" s="497" t="n"/>
      <c r="LF41" s="724" t="n"/>
      <c r="LG41" s="724">
        <f>LK35</f>
        <v/>
      </c>
      <c r="LH41" s="724" t="n"/>
      <c r="LI41" s="497" t="n"/>
      <c r="LJ41" s="497" t="n"/>
      <c r="LK41" s="593">
        <f>IF(AND(LF41:LJ41),1,0)</f>
        <v/>
      </c>
      <c r="LR41" s="592" t="n">
        <v>38</v>
      </c>
      <c r="LS41" s="497" t="n"/>
      <c r="LT41" s="724" t="n"/>
      <c r="LU41" s="497" t="n"/>
      <c r="LV41" s="724" t="n"/>
      <c r="LW41" s="612" t="n">
        <v>1</v>
      </c>
      <c r="LX41" s="724" t="n"/>
      <c r="LY41" s="497" t="n"/>
      <c r="LZ41" s="497" t="n"/>
      <c r="MA41" s="593">
        <f>IF(AND(LV41:LZ41),1,0)</f>
        <v/>
      </c>
      <c r="MH41" s="592" t="n">
        <v>38</v>
      </c>
      <c r="MI41" s="497" t="n"/>
      <c r="MJ41" s="724" t="n"/>
      <c r="MK41" s="497" t="n"/>
      <c r="ML41" s="724" t="n"/>
      <c r="MM41" s="724">
        <f>MQ25</f>
        <v/>
      </c>
      <c r="MN41" s="724" t="n"/>
      <c r="MO41" s="497" t="n"/>
      <c r="MP41" s="497" t="n"/>
      <c r="MQ41" s="593">
        <f>IF(AND(ML41:MP41),1,0)</f>
        <v/>
      </c>
    </row>
    <row r="42" ht="24.75" customHeight="1">
      <c r="A42" s="590" t="n">
        <v>39</v>
      </c>
      <c r="B42" s="497" t="n"/>
      <c r="C42" s="497" t="n"/>
      <c r="D42" s="497" t="n"/>
      <c r="E42" s="497" t="n"/>
      <c r="F42" s="757">
        <f>J41</f>
        <v/>
      </c>
      <c r="G42" s="592" t="n"/>
      <c r="H42" s="497" t="n"/>
      <c r="I42" s="497" t="n"/>
      <c r="J42" s="593">
        <f>IF(AND(E42:I42),1,0)</f>
        <v/>
      </c>
      <c r="P42" s="592" t="n">
        <v>39</v>
      </c>
      <c r="Q42" s="497" t="n"/>
      <c r="R42" s="592" t="n"/>
      <c r="S42" s="497" t="n"/>
      <c r="T42" s="497" t="n"/>
      <c r="U42" s="757">
        <f>Y41</f>
        <v/>
      </c>
      <c r="V42" s="497" t="n"/>
      <c r="W42" s="497" t="n"/>
      <c r="X42" s="497" t="n"/>
      <c r="Y42" s="593">
        <f>IF(AND(T42:X42),1,0)</f>
        <v/>
      </c>
      <c r="AF42" s="592" t="n">
        <v>39</v>
      </c>
      <c r="AG42" s="595" t="inlineStr">
        <is>
          <t>HA/24.E5</t>
        </is>
      </c>
      <c r="AH42" s="597" t="n"/>
      <c r="AI42" s="497" t="n"/>
      <c r="AJ42" s="497" t="n"/>
      <c r="AK42" s="591" t="n">
        <v>1</v>
      </c>
      <c r="AL42" s="497" t="n"/>
      <c r="AM42" s="497" t="n"/>
      <c r="AN42" s="497" t="n"/>
      <c r="AO42" s="593">
        <f>IF(AND(AJ42:AN42),1,0)</f>
        <v/>
      </c>
      <c r="AS42" s="742" t="n"/>
      <c r="AT42" s="592" t="n"/>
      <c r="AU42" s="497" t="n"/>
      <c r="BI42" s="592" t="n">
        <v>39</v>
      </c>
      <c r="BJ42" s="497" t="n"/>
      <c r="BK42" s="497" t="n"/>
      <c r="BL42" s="497" t="n"/>
      <c r="BM42" s="497" t="n"/>
      <c r="BN42" s="609">
        <f>BR33</f>
        <v/>
      </c>
      <c r="BO42" s="497" t="n"/>
      <c r="BP42" s="497" t="n"/>
      <c r="BQ42" s="497" t="n"/>
      <c r="BR42" s="593">
        <f>IF(AND(BM42:BQ42),1,0)</f>
        <v/>
      </c>
      <c r="BX42" s="592" t="n">
        <v>39</v>
      </c>
      <c r="BY42" s="497" t="n"/>
      <c r="BZ42" s="497" t="n"/>
      <c r="CA42" s="497" t="n"/>
      <c r="CB42" s="497" t="n"/>
      <c r="CC42" s="609">
        <f>CG33</f>
        <v/>
      </c>
      <c r="CD42" s="497" t="n"/>
      <c r="CE42" s="497" t="n"/>
      <c r="CF42" s="497" t="n"/>
      <c r="CG42" s="593">
        <f>IF(AND(CB42:CF42),1,0)</f>
        <v/>
      </c>
      <c r="CI42" s="592" t="n">
        <v>39</v>
      </c>
      <c r="CJ42" s="497" t="n"/>
      <c r="CK42" s="592" t="n"/>
      <c r="CL42" s="497" t="n"/>
      <c r="CM42" s="497" t="n"/>
      <c r="CN42" s="497">
        <f>CR40</f>
        <v/>
      </c>
      <c r="CO42" s="497" t="n"/>
      <c r="CP42" s="497" t="n"/>
      <c r="CQ42" s="497" t="n"/>
      <c r="CR42" s="593">
        <f>IF(AND(CM42:CQ42),1,0)</f>
        <v/>
      </c>
      <c r="DK42" s="592" t="n">
        <v>39</v>
      </c>
      <c r="DL42" s="597" t="n"/>
      <c r="DM42" s="592" t="inlineStr">
        <is>
          <t>FROM APS 415 VAC(L1)</t>
        </is>
      </c>
      <c r="DN42" s="497" t="n"/>
      <c r="DO42" s="497" t="n"/>
      <c r="DP42" s="591" t="n">
        <v>1</v>
      </c>
      <c r="DQ42" s="497" t="n"/>
      <c r="DR42" s="497" t="n"/>
      <c r="DS42" s="497" t="n"/>
      <c r="DT42" s="593">
        <f>IF(AND(DO42:DS42),1,0)</f>
        <v/>
      </c>
      <c r="DZ42" s="592" t="n">
        <v>39</v>
      </c>
      <c r="EA42" s="597" t="inlineStr">
        <is>
          <t>X4</t>
        </is>
      </c>
      <c r="EB42" s="592" t="inlineStr">
        <is>
          <t>TX-</t>
        </is>
      </c>
      <c r="EC42" s="497" t="n"/>
      <c r="ED42" s="497" t="n"/>
      <c r="EE42" s="596" t="n">
        <v>1</v>
      </c>
      <c r="EF42" s="497" t="n"/>
      <c r="EG42" s="497" t="n"/>
      <c r="EH42" s="497" t="n"/>
      <c r="EI42" s="602">
        <f>IF(AND(ED42:EH42),1,0)</f>
        <v/>
      </c>
      <c r="EO42" s="592" t="n">
        <v>39</v>
      </c>
      <c r="EP42" s="597" t="n"/>
      <c r="EQ42" s="592" t="n"/>
      <c r="ER42" s="497" t="n"/>
      <c r="ES42" s="497" t="n"/>
      <c r="ET42" s="497">
        <f>EX41</f>
        <v/>
      </c>
      <c r="EU42" s="497" t="n"/>
      <c r="EV42" s="497" t="n"/>
      <c r="EW42" s="497" t="n"/>
      <c r="EX42" s="593">
        <f>IF(AND(ES42:EW42),1,0)</f>
        <v/>
      </c>
      <c r="FE42" s="592" t="n">
        <v>39</v>
      </c>
      <c r="FF42" s="597" t="n"/>
      <c r="FG42" s="592" t="n"/>
      <c r="FH42" s="497" t="n"/>
      <c r="FI42" s="497" t="n"/>
      <c r="FJ42" s="497">
        <f>FN38</f>
        <v/>
      </c>
      <c r="FK42" s="497" t="n"/>
      <c r="FL42" s="497" t="n"/>
      <c r="FM42" s="497" t="n"/>
      <c r="FN42" s="593">
        <f>IF(AND(FI42:FM42),1,0)</f>
        <v/>
      </c>
      <c r="FT42" s="592" t="n">
        <v>39</v>
      </c>
      <c r="FU42" s="597" t="n"/>
      <c r="FV42" s="724" t="n"/>
      <c r="FW42" s="497" t="n"/>
      <c r="FX42" s="497" t="n"/>
      <c r="FY42" s="592">
        <f>GC41</f>
        <v/>
      </c>
      <c r="FZ42" s="497" t="n"/>
      <c r="GA42" s="497" t="n"/>
      <c r="GB42" s="497" t="n"/>
      <c r="GC42" s="593">
        <f>IF(AND(FX42:GB42),1,0)</f>
        <v/>
      </c>
      <c r="GF42" s="592" t="n">
        <v>39</v>
      </c>
      <c r="GG42" s="597" t="n"/>
      <c r="GH42" s="724" t="n"/>
      <c r="GI42" s="497" t="n"/>
      <c r="GJ42" s="497" t="n"/>
      <c r="GK42" s="592">
        <f>GO40</f>
        <v/>
      </c>
      <c r="GL42" s="497" t="n"/>
      <c r="GM42" s="497" t="n"/>
      <c r="GN42" s="497" t="n"/>
      <c r="GO42" s="593">
        <f>IF(AND(GJ42:GN42),1,0)</f>
        <v/>
      </c>
      <c r="GU42" s="592" t="n">
        <v>39</v>
      </c>
      <c r="GV42" s="597" t="n"/>
      <c r="GW42" s="724" t="n"/>
      <c r="GX42" s="497" t="n"/>
      <c r="GY42" s="497" t="n"/>
      <c r="GZ42" s="757">
        <f>HD41</f>
        <v/>
      </c>
      <c r="HA42" s="497" t="n"/>
      <c r="HB42" s="497" t="n"/>
      <c r="HC42" s="497" t="n"/>
      <c r="HD42" s="602">
        <f>IF(AND(GY42:HC42),1,0)</f>
        <v/>
      </c>
      <c r="HK42" s="592" t="n">
        <v>39</v>
      </c>
      <c r="HL42" s="497" t="n"/>
      <c r="HM42" s="497" t="n"/>
      <c r="HN42" s="497" t="n"/>
      <c r="HO42" s="497" t="n"/>
      <c r="HP42" s="592">
        <f>HT27</f>
        <v/>
      </c>
      <c r="HQ42" s="497" t="n"/>
      <c r="HR42" s="497" t="n"/>
      <c r="HS42" s="497" t="n"/>
      <c r="HT42" s="593">
        <f>IF(AND(HO42:HS42),1,0)</f>
        <v/>
      </c>
      <c r="IL42" s="592" t="n">
        <v>39</v>
      </c>
      <c r="IM42" s="497" t="n"/>
      <c r="IN42" s="497" t="n"/>
      <c r="IO42" s="497" t="n"/>
      <c r="IP42" s="597" t="n"/>
      <c r="IQ42" s="597">
        <f>IF(OR(IU41,IU36),1,0)</f>
        <v/>
      </c>
      <c r="IR42" s="497" t="n"/>
      <c r="IS42" s="497" t="n"/>
      <c r="IT42" s="497" t="n"/>
      <c r="IU42" s="593">
        <f>IF(AND(IP42:IT42),1,0)</f>
        <v/>
      </c>
      <c r="JN42" s="592" t="n">
        <v>39</v>
      </c>
      <c r="JP42" s="724" t="n"/>
      <c r="JQ42" s="497" t="n"/>
      <c r="JR42" s="597" t="n"/>
      <c r="JS42" s="597">
        <f>JW5</f>
        <v/>
      </c>
      <c r="JT42" s="597" t="n"/>
      <c r="JU42" s="497" t="n"/>
      <c r="JV42" s="497" t="n"/>
      <c r="JW42" s="593">
        <f>IF(AND(JR42:JV42),1,0)</f>
        <v/>
      </c>
      <c r="KP42" s="592" t="n">
        <v>39</v>
      </c>
      <c r="KQ42" s="497" t="n"/>
      <c r="KR42" s="724" t="n"/>
      <c r="KS42" s="497" t="n"/>
      <c r="KT42" s="724" t="n"/>
      <c r="KU42" s="724">
        <f>KY43</f>
        <v/>
      </c>
      <c r="KV42" s="597" t="n"/>
      <c r="KW42" s="497" t="n"/>
      <c r="KX42" s="497" t="n"/>
      <c r="KY42" s="593">
        <f>IF(AND(KT42:KX42),1,0)</f>
        <v/>
      </c>
      <c r="LB42" s="592" t="n">
        <v>39</v>
      </c>
      <c r="LC42" s="497" t="n"/>
      <c r="LD42" s="724" t="n"/>
      <c r="LE42" s="497" t="n"/>
      <c r="LF42" s="724" t="n"/>
      <c r="LG42" s="724">
        <f>LK106</f>
        <v/>
      </c>
      <c r="LH42" s="724" t="n"/>
      <c r="LI42" s="497" t="n"/>
      <c r="LJ42" s="497" t="n"/>
      <c r="LK42" s="593">
        <f>IF(AND(LF42:LJ42),1,0)</f>
        <v/>
      </c>
      <c r="LR42" s="592" t="n">
        <v>39</v>
      </c>
      <c r="LS42" s="497" t="n"/>
      <c r="LT42" s="724" t="n"/>
      <c r="LU42" s="497" t="n"/>
      <c r="LV42" s="724" t="n"/>
      <c r="LW42" s="724">
        <f>MA41</f>
        <v/>
      </c>
      <c r="LX42" s="724" t="n"/>
      <c r="LY42" s="497" t="n"/>
      <c r="LZ42" s="497" t="n"/>
      <c r="MA42" s="593">
        <f>IF(AND(LV42:LZ42),1,0)</f>
        <v/>
      </c>
      <c r="MH42" s="592" t="n">
        <v>39</v>
      </c>
      <c r="MI42" s="497" t="n"/>
      <c r="MJ42" s="724" t="inlineStr">
        <is>
          <t>SMDR</t>
        </is>
      </c>
      <c r="MK42" s="497" t="n"/>
      <c r="ML42" s="724" t="n"/>
      <c r="MM42" s="605">
        <f>IF(OR('DATA TRANSFER'!M12),1,0)</f>
        <v/>
      </c>
      <c r="MN42" s="724" t="n"/>
      <c r="MO42" s="497" t="n"/>
      <c r="MP42" s="497" t="n"/>
      <c r="MQ42" s="593">
        <f>IF(AND(ML42:MP42),1,0)</f>
        <v/>
      </c>
    </row>
    <row r="43" ht="25.5" customHeight="1">
      <c r="A43" s="590" t="n">
        <v>40</v>
      </c>
      <c r="B43" s="275" t="inlineStr">
        <is>
          <t>HA/08.D6</t>
        </is>
      </c>
      <c r="C43" s="497" t="n"/>
      <c r="D43" s="497" t="n"/>
      <c r="E43" s="497" t="n"/>
      <c r="F43" s="591" t="n">
        <v>1</v>
      </c>
      <c r="G43" s="592" t="n"/>
      <c r="H43" s="497" t="n"/>
      <c r="I43" s="497" t="n"/>
      <c r="J43" s="593">
        <f>IF(AND(E43:I43),1,0)</f>
        <v/>
      </c>
      <c r="P43" s="592" t="n">
        <v>40</v>
      </c>
      <c r="Q43" s="497" t="n"/>
      <c r="R43" s="592" t="n"/>
      <c r="S43" s="497" t="n"/>
      <c r="T43" s="497" t="n"/>
      <c r="U43" s="757">
        <f>Y42</f>
        <v/>
      </c>
      <c r="V43" s="497" t="n"/>
      <c r="W43" s="497" t="n"/>
      <c r="X43" s="497" t="n"/>
      <c r="Y43" s="593">
        <f>IF(AND(T43:X43),1,0)</f>
        <v/>
      </c>
      <c r="AF43" s="592" t="n">
        <v>40</v>
      </c>
      <c r="AG43" s="599" t="n"/>
      <c r="AH43" s="597" t="n"/>
      <c r="AI43" s="497" t="n"/>
      <c r="AJ43" s="497" t="n"/>
      <c r="AK43" s="619">
        <f>AO42</f>
        <v/>
      </c>
      <c r="AL43" s="497" t="n"/>
      <c r="AM43" s="497" t="n"/>
      <c r="AN43" s="497" t="n"/>
      <c r="AO43" s="593">
        <f>IF(AND(AJ43:AN43),1,0)</f>
        <v/>
      </c>
      <c r="AS43" s="742" t="n"/>
      <c r="AT43" s="597" t="inlineStr">
        <is>
          <t>UD.X14.03-F _+14.10</t>
        </is>
      </c>
      <c r="AU43" s="497" t="n"/>
      <c r="BI43" s="592" t="n">
        <v>40</v>
      </c>
      <c r="BJ43" s="497" t="n"/>
      <c r="BK43" s="497" t="inlineStr">
        <is>
          <t>EMR</t>
        </is>
      </c>
      <c r="BL43" s="497" t="n"/>
      <c r="BM43" s="497" t="n"/>
      <c r="BN43" s="604">
        <f>BU8</f>
        <v/>
      </c>
      <c r="BO43" s="497">
        <f>BR42</f>
        <v/>
      </c>
      <c r="BP43" s="497" t="n"/>
      <c r="BQ43" s="497" t="n"/>
      <c r="BR43" s="593">
        <f>IF(AND(BM43:BQ43),1,0)</f>
        <v/>
      </c>
      <c r="BX43" s="592" t="n">
        <v>40</v>
      </c>
      <c r="BY43" s="497" t="n"/>
      <c r="BZ43" s="497" t="inlineStr">
        <is>
          <t>EMR</t>
        </is>
      </c>
      <c r="CA43" s="497" t="n"/>
      <c r="CB43" s="497" t="n"/>
      <c r="CC43" s="604">
        <f>BU8</f>
        <v/>
      </c>
      <c r="CD43" s="497">
        <f>CG42</f>
        <v/>
      </c>
      <c r="CE43" s="497" t="n"/>
      <c r="CF43" s="497" t="n"/>
      <c r="CG43" s="593">
        <f>IF(AND(CB43:CF43),1,0)</f>
        <v/>
      </c>
      <c r="CI43" s="592" t="n">
        <v>40</v>
      </c>
      <c r="CJ43" s="497" t="n"/>
      <c r="CK43" s="592" t="n"/>
      <c r="CL43" s="497" t="n"/>
      <c r="CM43" s="497" t="n"/>
      <c r="CN43" s="497">
        <f>CR42</f>
        <v/>
      </c>
      <c r="CO43" s="497" t="n"/>
      <c r="CP43" s="497" t="n"/>
      <c r="CQ43" s="497" t="n"/>
      <c r="CR43" s="593">
        <f>IF(AND(CM43:CQ43),1,0)</f>
        <v/>
      </c>
      <c r="DK43" s="592" t="n">
        <v>40</v>
      </c>
      <c r="DL43" s="597" t="n"/>
      <c r="DM43" s="592" t="n"/>
      <c r="DN43" s="497" t="n"/>
      <c r="DO43" s="497" t="n"/>
      <c r="DP43" s="757">
        <f>DT42</f>
        <v/>
      </c>
      <c r="DQ43" s="497" t="n"/>
      <c r="DR43" s="497" t="n"/>
      <c r="DS43" s="497" t="n"/>
      <c r="DT43" s="593">
        <f>IF(AND(DO43:DS43),1,0)</f>
        <v/>
      </c>
      <c r="DZ43" s="592" t="n">
        <v>40</v>
      </c>
      <c r="EA43" s="597" t="n"/>
      <c r="EB43" s="592" t="n"/>
      <c r="EC43" s="497" t="n"/>
      <c r="ED43" s="497" t="n"/>
      <c r="EE43" s="497">
        <f>EI42</f>
        <v/>
      </c>
      <c r="EF43" s="497" t="n"/>
      <c r="EG43" s="497" t="n"/>
      <c r="EH43" s="497" t="n"/>
      <c r="EI43" s="602">
        <f>IF(AND(ED43:EH43),1,0)</f>
        <v/>
      </c>
      <c r="EO43" s="592" t="n">
        <v>40</v>
      </c>
      <c r="EP43" s="597" t="n"/>
      <c r="EQ43" s="592" t="n"/>
      <c r="ER43" s="497" t="n"/>
      <c r="ES43" s="497" t="n"/>
      <c r="ET43" s="497">
        <f>EX42</f>
        <v/>
      </c>
      <c r="EU43" s="497" t="n"/>
      <c r="EV43" s="497" t="n"/>
      <c r="EW43" s="497" t="n"/>
      <c r="EX43" s="593">
        <f>IF(AND(ES43:EW43),1,0)</f>
        <v/>
      </c>
      <c r="FE43" s="592" t="n">
        <v>40</v>
      </c>
      <c r="FF43" s="597" t="n"/>
      <c r="FG43" s="592" t="n"/>
      <c r="FH43" s="497" t="n"/>
      <c r="FI43" s="497" t="n"/>
      <c r="FJ43" s="497">
        <f>FN42</f>
        <v/>
      </c>
      <c r="FK43" s="497" t="n"/>
      <c r="FL43" s="497" t="n"/>
      <c r="FM43" s="497" t="n"/>
      <c r="FN43" s="593">
        <f>IF(AND(FI43:FM43),1,0)</f>
        <v/>
      </c>
      <c r="FT43" s="592" t="n">
        <v>40</v>
      </c>
      <c r="FU43" s="597" t="n"/>
      <c r="FV43" s="724" t="n"/>
      <c r="FW43" s="497" t="n"/>
      <c r="FX43" s="497" t="n"/>
      <c r="FY43" s="592">
        <f>GC39</f>
        <v/>
      </c>
      <c r="FZ43" s="497" t="n"/>
      <c r="GA43" s="497" t="n"/>
      <c r="GB43" s="497" t="n"/>
      <c r="GC43" s="593">
        <f>IF(AND(FX43:GB43),1,0)</f>
        <v/>
      </c>
      <c r="GF43" s="592" t="n">
        <v>40</v>
      </c>
      <c r="GG43" s="597" t="n"/>
      <c r="GH43" s="724" t="n"/>
      <c r="GI43" s="497" t="n"/>
      <c r="GJ43" s="497" t="n"/>
      <c r="GK43" s="592">
        <f>GO20</f>
        <v/>
      </c>
      <c r="GL43" s="497" t="n"/>
      <c r="GM43" s="497" t="n"/>
      <c r="GN43" s="497" t="n"/>
      <c r="GO43" s="593">
        <f>IF(AND(GJ43:GN43),1,0)</f>
        <v/>
      </c>
      <c r="GU43" s="592" t="n">
        <v>40</v>
      </c>
      <c r="GV43" s="597" t="n"/>
      <c r="GW43" s="724" t="n"/>
      <c r="GX43" s="497" t="n"/>
      <c r="GY43" s="497" t="n"/>
      <c r="GZ43" s="757">
        <f>HD42</f>
        <v/>
      </c>
      <c r="HA43" s="497" t="n"/>
      <c r="HB43" s="497" t="n"/>
      <c r="HC43" s="497" t="n"/>
      <c r="HD43" s="602">
        <f>IF(AND(GY43:HC43),1,0)</f>
        <v/>
      </c>
      <c r="HK43" s="592" t="n">
        <v>40</v>
      </c>
      <c r="HL43" s="497" t="n"/>
      <c r="HM43" s="497" t="n"/>
      <c r="HN43" s="497" t="n"/>
      <c r="HO43" s="497" t="n"/>
      <c r="HP43" s="592">
        <f>HT32</f>
        <v/>
      </c>
      <c r="HQ43" s="497" t="n"/>
      <c r="HR43" s="497" t="n"/>
      <c r="HS43" s="497" t="n"/>
      <c r="HT43" s="593">
        <f>IF(AND(HO43:HS43),1,0)</f>
        <v/>
      </c>
      <c r="IL43" s="592" t="n">
        <v>40</v>
      </c>
      <c r="IM43" s="497" t="n"/>
      <c r="IN43" s="497" t="n"/>
      <c r="IO43" s="497" t="n"/>
      <c r="IP43" s="597" t="n"/>
      <c r="IQ43" s="597">
        <f>IF(OR(IU42,IU41,IU35,IU29,IU23),1,0)</f>
        <v/>
      </c>
      <c r="IR43" s="497" t="n"/>
      <c r="IS43" s="497" t="n"/>
      <c r="IT43" s="497" t="n"/>
      <c r="IU43" s="593">
        <f>IF(AND(IP43:IT43),1,0)</f>
        <v/>
      </c>
      <c r="KP43" s="592" t="n">
        <v>40</v>
      </c>
      <c r="KQ43" s="497" t="n"/>
      <c r="KR43" s="724" t="inlineStr">
        <is>
          <t xml:space="preserve">0 VDC </t>
        </is>
      </c>
      <c r="KS43" s="497" t="n"/>
      <c r="KT43" s="497" t="n"/>
      <c r="KU43" s="596" t="n">
        <v>1</v>
      </c>
      <c r="KV43" s="597" t="n"/>
      <c r="KW43" s="497" t="n"/>
      <c r="KX43" s="497" t="n"/>
      <c r="KY43" s="593">
        <f>IF(AND(KT43:KX43),1,0)</f>
        <v/>
      </c>
      <c r="LB43" s="592" t="n">
        <v>40</v>
      </c>
      <c r="LC43" s="497" t="n"/>
      <c r="LD43" s="724" t="n"/>
      <c r="LE43" s="497" t="n"/>
      <c r="LF43" s="724" t="n"/>
      <c r="LG43" s="724">
        <f>LK108</f>
        <v/>
      </c>
      <c r="LH43" s="724" t="n"/>
      <c r="LI43" s="497" t="n"/>
      <c r="LJ43" s="497" t="n"/>
      <c r="LK43" s="593">
        <f>IF(AND(LF43:LJ43),1,0)</f>
        <v/>
      </c>
      <c r="LR43" s="592" t="n">
        <v>40</v>
      </c>
      <c r="LS43" s="497" t="n"/>
      <c r="LT43" s="724" t="n"/>
      <c r="LU43" s="497" t="n"/>
      <c r="LV43" s="724" t="n"/>
      <c r="LW43" s="724">
        <f>MA42</f>
        <v/>
      </c>
      <c r="LX43" s="724" t="n"/>
      <c r="LY43" s="497" t="n"/>
      <c r="LZ43" s="497" t="n"/>
      <c r="MA43" s="593">
        <f>IF(AND(LV43:LZ43),1,0)</f>
        <v/>
      </c>
      <c r="MH43" s="592" t="n">
        <v>40</v>
      </c>
      <c r="MI43" s="497" t="n"/>
      <c r="MJ43" s="724" t="n"/>
      <c r="MK43" s="497" t="n"/>
      <c r="ML43" s="724" t="n"/>
      <c r="MM43" s="724">
        <f>MQ29</f>
        <v/>
      </c>
      <c r="MN43" s="724" t="n"/>
      <c r="MO43" s="497" t="n"/>
      <c r="MP43" s="497" t="n"/>
      <c r="MQ43" s="593">
        <f>IF(AND(ML43:MP43),1,0)</f>
        <v/>
      </c>
    </row>
    <row r="44" ht="42" customHeight="1">
      <c r="A44" s="590" t="n">
        <v>41</v>
      </c>
      <c r="B44" s="497" t="n"/>
      <c r="C44" s="497" t="n"/>
      <c r="D44" s="497" t="n"/>
      <c r="E44" s="497" t="n"/>
      <c r="F44" s="757">
        <f>J5</f>
        <v/>
      </c>
      <c r="G44" s="592" t="n"/>
      <c r="H44" s="497" t="n"/>
      <c r="I44" s="497" t="n"/>
      <c r="J44" s="593">
        <f>IF(AND(E44:I44),1,0)</f>
        <v/>
      </c>
      <c r="P44" s="592" t="n">
        <v>41</v>
      </c>
      <c r="Q44" s="497" t="n"/>
      <c r="R44" s="757" t="inlineStr">
        <is>
          <t>PPR2</t>
        </is>
      </c>
      <c r="S44" s="497" t="n"/>
      <c r="T44" s="497" t="n"/>
      <c r="U44" s="613">
        <f>AB34</f>
        <v/>
      </c>
      <c r="V44" s="757">
        <f>Y34</f>
        <v/>
      </c>
      <c r="W44" s="757">
        <f>Y37</f>
        <v/>
      </c>
      <c r="X44" s="757">
        <f>Y40</f>
        <v/>
      </c>
      <c r="Y44" s="593">
        <f>IF(AND(T44:X44),1,0)</f>
        <v/>
      </c>
      <c r="AF44" s="592" t="n">
        <v>41</v>
      </c>
      <c r="AG44" s="599" t="n"/>
      <c r="AH44" s="597" t="n"/>
      <c r="AI44" s="497" t="n"/>
      <c r="AJ44" s="497" t="n"/>
      <c r="AK44" s="619">
        <f>AO43</f>
        <v/>
      </c>
      <c r="AL44" s="497" t="n"/>
      <c r="AM44" s="497" t="n"/>
      <c r="AN44" s="497" t="n"/>
      <c r="AO44" s="593">
        <f>IF(AND(AJ44:AN44),1,0)</f>
        <v/>
      </c>
      <c r="AS44" s="742" t="n"/>
      <c r="AT44" s="497" t="n"/>
      <c r="AU44" s="497" t="n"/>
      <c r="BI44" s="592" t="n">
        <v>41</v>
      </c>
      <c r="BJ44" s="497" t="n"/>
      <c r="BK44" s="497" t="n"/>
      <c r="BL44" s="497" t="n"/>
      <c r="BM44" s="497" t="n"/>
      <c r="BN44" s="609">
        <f>BR43</f>
        <v/>
      </c>
      <c r="BO44" s="497" t="n"/>
      <c r="BP44" s="497" t="n"/>
      <c r="BQ44" s="497" t="n"/>
      <c r="BR44" s="593">
        <f>IF(AND(BM44:BQ44),1,0)</f>
        <v/>
      </c>
      <c r="BX44" s="592" t="n">
        <v>41</v>
      </c>
      <c r="BY44" s="497" t="n"/>
      <c r="BZ44" s="497" t="n"/>
      <c r="CA44" s="497" t="n"/>
      <c r="CB44" s="497" t="n"/>
      <c r="CC44" s="609">
        <f>CG43</f>
        <v/>
      </c>
      <c r="CD44" s="497" t="n"/>
      <c r="CE44" s="497" t="n"/>
      <c r="CF44" s="497" t="n"/>
      <c r="CG44" s="593">
        <f>IF(AND(CB44:CF44),1,0)</f>
        <v/>
      </c>
      <c r="CI44" s="592" t="n">
        <v>41</v>
      </c>
      <c r="CJ44" s="724" t="inlineStr">
        <is>
          <t>UD .X63.22-F 1 +63.20</t>
        </is>
      </c>
      <c r="CK44" s="592" t="n"/>
      <c r="CL44" s="497" t="n"/>
      <c r="CM44" s="497" t="n"/>
      <c r="CN44" s="497">
        <f>CR43</f>
        <v/>
      </c>
      <c r="CO44" s="497" t="n"/>
      <c r="CP44" s="497" t="n"/>
      <c r="CQ44" s="497" t="n"/>
      <c r="CR44" s="593">
        <f>IF(AND(CM44:CQ44),1,0)</f>
        <v/>
      </c>
      <c r="DK44" s="592" t="n">
        <v>41</v>
      </c>
      <c r="DL44" s="597" t="inlineStr">
        <is>
          <t>LA.F08(49.10)</t>
        </is>
      </c>
      <c r="DM44" s="592" t="inlineStr">
        <is>
          <t>CACPN</t>
        </is>
      </c>
      <c r="DN44" s="497" t="n"/>
      <c r="DO44" s="497" t="n"/>
      <c r="DP44" s="600">
        <f>DW19</f>
        <v/>
      </c>
      <c r="DQ44" s="497">
        <f>DT43</f>
        <v/>
      </c>
      <c r="DR44" s="497" t="n"/>
      <c r="DS44" s="497" t="n"/>
      <c r="DT44" s="593">
        <f>IF(AND(DO44:DS44),1,0)</f>
        <v/>
      </c>
      <c r="DZ44" s="592" t="n">
        <v>41</v>
      </c>
      <c r="EA44" s="597" t="inlineStr">
        <is>
          <t>X4</t>
        </is>
      </c>
      <c r="EB44" s="592" t="inlineStr">
        <is>
          <t>RX-</t>
        </is>
      </c>
      <c r="EC44" s="497" t="n"/>
      <c r="ED44" s="497" t="n"/>
      <c r="EE44" s="596" t="n">
        <v>1</v>
      </c>
      <c r="EF44" s="497" t="n"/>
      <c r="EG44" s="497" t="n"/>
      <c r="EH44" s="497" t="n"/>
      <c r="EI44" s="602">
        <f>IF(AND(ED44:EH44),1,0)</f>
        <v/>
      </c>
      <c r="EO44" s="592" t="n">
        <v>41</v>
      </c>
      <c r="EP44" s="597" t="n"/>
      <c r="EQ44" s="592" t="n"/>
      <c r="ER44" s="497" t="n"/>
      <c r="ES44" s="497" t="n"/>
      <c r="ET44" s="497">
        <f>EX43</f>
        <v/>
      </c>
      <c r="EU44" s="497" t="n"/>
      <c r="EV44" s="497" t="n"/>
      <c r="EW44" s="497" t="n"/>
      <c r="EX44" s="593">
        <f>IF(AND(ES44:EW44),1,0)</f>
        <v/>
      </c>
      <c r="FE44" s="592" t="n">
        <v>41</v>
      </c>
      <c r="FF44" s="597" t="n"/>
      <c r="FG44" s="592" t="n"/>
      <c r="FH44" s="497" t="n"/>
      <c r="FI44" s="497" t="n"/>
      <c r="FJ44" s="497">
        <f>FN43</f>
        <v/>
      </c>
      <c r="FK44" s="497" t="n"/>
      <c r="FL44" s="497" t="n"/>
      <c r="FM44" s="497" t="n"/>
      <c r="FN44" s="593">
        <f>IF(AND(FI44:FM44),1,0)</f>
        <v/>
      </c>
      <c r="FT44" s="592" t="n">
        <v>41</v>
      </c>
      <c r="FU44" s="597" t="n"/>
      <c r="FV44" s="724" t="inlineStr">
        <is>
          <t>SAFC1</t>
        </is>
      </c>
      <c r="FW44" s="497" t="n"/>
      <c r="FX44" s="497" t="n"/>
      <c r="FY44" s="604">
        <f>FQ21</f>
        <v/>
      </c>
      <c r="FZ44" s="497">
        <f>GC43</f>
        <v/>
      </c>
      <c r="GA44" s="497" t="n"/>
      <c r="GB44" s="497" t="n"/>
      <c r="GC44" s="593">
        <f>IF(AND(FX44:GB44),1,0)</f>
        <v/>
      </c>
      <c r="GF44" s="592" t="n">
        <v>41</v>
      </c>
      <c r="GG44" s="597" t="n"/>
      <c r="GH44" s="724" t="n"/>
      <c r="GI44" s="497" t="n"/>
      <c r="GJ44" s="497" t="n"/>
      <c r="GK44" s="592">
        <f>GO43</f>
        <v/>
      </c>
      <c r="GL44" s="497" t="n"/>
      <c r="GM44" s="497" t="n"/>
      <c r="GN44" s="497" t="n"/>
      <c r="GO44" s="593">
        <f>IF(AND(GJ44:GN44),1,0)</f>
        <v/>
      </c>
      <c r="GU44" s="592" t="n">
        <v>41</v>
      </c>
      <c r="GV44" s="597" t="n"/>
      <c r="GW44" s="724" t="n"/>
      <c r="GX44" s="497" t="n"/>
      <c r="GY44" s="497" t="n"/>
      <c r="GZ44" s="757">
        <f>HD54</f>
        <v/>
      </c>
      <c r="HA44" s="497" t="n"/>
      <c r="HB44" s="497" t="n"/>
      <c r="HC44" s="497" t="n"/>
      <c r="HD44" s="602">
        <f>IF(AND(GY44:HC44),1,0)</f>
        <v/>
      </c>
      <c r="HK44" s="592" t="n">
        <v>41</v>
      </c>
      <c r="HL44" s="497" t="n"/>
      <c r="HM44" s="497" t="n"/>
      <c r="HN44" s="497" t="n"/>
      <c r="HO44" s="497" t="n"/>
      <c r="HP44" s="497">
        <f>HT45</f>
        <v/>
      </c>
      <c r="HQ44" s="497" t="n"/>
      <c r="HR44" s="497" t="n"/>
      <c r="HS44" s="497" t="n"/>
      <c r="HT44" s="593">
        <f>IF(AND(HO44:HS44),1,0)</f>
        <v/>
      </c>
      <c r="IL44" s="592" t="n">
        <v>41</v>
      </c>
      <c r="IM44" s="497" t="n"/>
      <c r="IN44" s="497" t="n"/>
      <c r="IO44" s="497" t="n"/>
      <c r="IP44" s="597" t="n"/>
      <c r="IQ44" s="597" t="n"/>
      <c r="IR44" s="497" t="n"/>
      <c r="IS44" s="497" t="n"/>
      <c r="IT44" s="497" t="n"/>
      <c r="IU44" s="593" t="n">
        <v>0</v>
      </c>
      <c r="KP44" s="592" t="n">
        <v>41</v>
      </c>
      <c r="KQ44" s="497" t="n"/>
      <c r="KR44" s="724" t="n"/>
      <c r="KS44" s="497" t="n"/>
      <c r="KT44" s="724" t="n"/>
      <c r="KU44" s="724">
        <f>KY45</f>
        <v/>
      </c>
      <c r="KV44" s="597" t="n"/>
      <c r="KW44" s="497" t="n"/>
      <c r="KX44" s="497" t="n"/>
      <c r="KY44" s="593">
        <f>IF(AND(KT44:KX44),1,0)</f>
        <v/>
      </c>
      <c r="LB44" s="592" t="n">
        <v>41</v>
      </c>
      <c r="LC44" s="497" t="n"/>
      <c r="LD44" s="724" t="inlineStr">
        <is>
          <t>COMPRESSOR 2 Pa=7,5kW p.f.=0,75</t>
        </is>
      </c>
      <c r="LE44" s="497" t="n"/>
      <c r="LF44" s="724" t="n"/>
      <c r="LG44" s="605">
        <f>LN18</f>
        <v/>
      </c>
      <c r="LH44" s="724">
        <f>LK43</f>
        <v/>
      </c>
      <c r="LI44" s="757">
        <f>LK81</f>
        <v/>
      </c>
      <c r="LJ44" s="757">
        <f>LK109</f>
        <v/>
      </c>
      <c r="LK44" s="593">
        <f>IF(AND(LF44:LJ44),1,0)</f>
        <v/>
      </c>
      <c r="LR44" s="592" t="n">
        <v>41</v>
      </c>
      <c r="LS44" s="497" t="n"/>
      <c r="LT44" s="724" t="n"/>
      <c r="LU44" s="497" t="n"/>
      <c r="LV44" s="724" t="n"/>
      <c r="LW44" s="724">
        <f>MA7</f>
        <v/>
      </c>
      <c r="LX44" s="724" t="n"/>
      <c r="LY44" s="497" t="n"/>
      <c r="LZ44" s="497" t="n"/>
      <c r="MA44" s="593">
        <f>IF(AND(LV44:LZ44),1,0)</f>
        <v/>
      </c>
      <c r="MH44" s="592" t="n">
        <v>41</v>
      </c>
      <c r="MI44" s="497" t="n"/>
      <c r="MJ44" s="724" t="n"/>
      <c r="MK44" s="497" t="n"/>
      <c r="ML44" s="724" t="n"/>
      <c r="MM44" s="605">
        <f>MT23</f>
        <v/>
      </c>
      <c r="MN44" s="724" t="n"/>
      <c r="MO44" s="497" t="n"/>
      <c r="MP44" s="497" t="n"/>
      <c r="MQ44" s="593">
        <f>IF(AND(ML44:MP44),1,0)</f>
        <v/>
      </c>
    </row>
    <row r="45">
      <c r="A45" s="590" t="n">
        <v>42</v>
      </c>
      <c r="B45" s="497" t="n"/>
      <c r="C45" s="497" t="n"/>
      <c r="D45" s="497" t="n"/>
      <c r="E45" s="497" t="n"/>
      <c r="F45" s="757">
        <f>J44</f>
        <v/>
      </c>
      <c r="G45" s="592" t="n"/>
      <c r="H45" s="497" t="n"/>
      <c r="I45" s="497" t="n"/>
      <c r="J45" s="593">
        <f>IF(AND(E45:I45),1,0)</f>
        <v/>
      </c>
      <c r="P45" s="592" t="n">
        <v>42</v>
      </c>
      <c r="Q45" s="497" t="n"/>
      <c r="R45" s="592" t="n"/>
      <c r="S45" s="497" t="n"/>
      <c r="T45" s="497" t="n"/>
      <c r="U45" s="757">
        <f>Y34</f>
        <v/>
      </c>
      <c r="V45" s="592" t="n"/>
      <c r="W45" s="592" t="n"/>
      <c r="X45" s="592" t="n"/>
      <c r="Y45" s="593">
        <f>IF(AND(T45:X45),1,0)</f>
        <v/>
      </c>
      <c r="AF45" s="592" t="n">
        <v>42</v>
      </c>
      <c r="AG45" s="599" t="n"/>
      <c r="AH45" s="597" t="inlineStr">
        <is>
          <t>PPR 1</t>
        </is>
      </c>
      <c r="AI45" s="497" t="n"/>
      <c r="AJ45" s="497" t="n"/>
      <c r="AK45" s="600">
        <f>AB33</f>
        <v/>
      </c>
      <c r="AL45" s="592">
        <f>AO35</f>
        <v/>
      </c>
      <c r="AM45" s="592">
        <f>AO38</f>
        <v/>
      </c>
      <c r="AN45" s="592">
        <f>AO41</f>
        <v/>
      </c>
      <c r="AO45" s="593">
        <f>IF(AND(AJ45:AN45),1,0)</f>
        <v/>
      </c>
      <c r="AS45" s="742" t="n"/>
      <c r="AT45" s="597" t="inlineStr">
        <is>
          <t>UD.X11.02-F_+11.52</t>
        </is>
      </c>
      <c r="AU45" s="497" t="n"/>
      <c r="BI45" s="592" t="n">
        <v>42</v>
      </c>
      <c r="BJ45" s="497" t="n"/>
      <c r="BK45" s="497" t="n"/>
      <c r="BL45" s="497" t="n"/>
      <c r="BM45" s="497" t="n"/>
      <c r="BN45" s="592">
        <f>BR44</f>
        <v/>
      </c>
      <c r="BO45" s="497" t="n"/>
      <c r="BP45" s="497" t="n"/>
      <c r="BQ45" s="497" t="n"/>
      <c r="BR45" s="593">
        <f>IF(AND(BM45:BQ45),1,0)</f>
        <v/>
      </c>
      <c r="BX45" s="592" t="n">
        <v>42</v>
      </c>
      <c r="BY45" s="497" t="n"/>
      <c r="BZ45" s="497" t="n"/>
      <c r="CA45" s="497" t="n"/>
      <c r="CB45" s="497" t="n"/>
      <c r="CC45" s="592">
        <f>CG44</f>
        <v/>
      </c>
      <c r="CD45" s="497" t="n"/>
      <c r="CE45" s="497" t="n"/>
      <c r="CF45" s="497" t="n"/>
      <c r="CG45" s="593">
        <f>IF(AND(CB45:CF45),1,0)</f>
        <v/>
      </c>
      <c r="CI45" s="592" t="n">
        <v>42</v>
      </c>
      <c r="CJ45" s="497" t="n"/>
      <c r="CK45" s="592" t="n"/>
      <c r="CL45" s="497" t="n"/>
      <c r="CM45" s="497" t="n"/>
      <c r="CN45" s="497">
        <f>CR43</f>
        <v/>
      </c>
      <c r="CO45" s="497" t="n"/>
      <c r="CP45" s="497" t="n"/>
      <c r="CQ45" s="497" t="n"/>
      <c r="CR45" s="593">
        <f>IF(AND(CM45:CQ45),1,0)</f>
        <v/>
      </c>
      <c r="DK45" s="592" t="n">
        <v>42</v>
      </c>
      <c r="DL45" s="597" t="n"/>
      <c r="DM45" s="592" t="n"/>
      <c r="DN45" s="497" t="n"/>
      <c r="DO45" s="497" t="n"/>
      <c r="DP45" s="757">
        <f>DT44</f>
        <v/>
      </c>
      <c r="DQ45" s="497" t="n"/>
      <c r="DR45" s="497" t="n"/>
      <c r="DS45" s="497" t="n"/>
      <c r="DT45" s="593">
        <f>IF(AND(DO45:DS45),1,0)</f>
        <v/>
      </c>
      <c r="DZ45" s="592" t="n">
        <v>42</v>
      </c>
      <c r="EA45" s="597" t="n"/>
      <c r="EB45" s="592" t="n"/>
      <c r="EC45" s="497" t="n"/>
      <c r="ED45" s="497" t="n"/>
      <c r="EE45" s="497">
        <f>EI44</f>
        <v/>
      </c>
      <c r="EF45" s="497" t="n"/>
      <c r="EG45" s="497" t="n"/>
      <c r="EH45" s="497" t="n"/>
      <c r="EI45" s="602">
        <f>IF(AND(ED45:EH45),1,0)</f>
        <v/>
      </c>
      <c r="EO45" s="592" t="n">
        <v>42</v>
      </c>
      <c r="EP45" s="597" t="n"/>
      <c r="EQ45" s="592" t="inlineStr">
        <is>
          <t>TMR1</t>
        </is>
      </c>
      <c r="ER45" s="497" t="n"/>
      <c r="ES45" s="497" t="n"/>
      <c r="ET45" s="601">
        <f>FA13</f>
        <v/>
      </c>
      <c r="EU45" s="497" t="n"/>
      <c r="EV45" s="497" t="n"/>
      <c r="EW45" s="497" t="n"/>
      <c r="EX45" s="593">
        <f>IF(AND(ES45:EW45),1,0)</f>
        <v/>
      </c>
      <c r="FE45" s="592" t="n">
        <v>42</v>
      </c>
      <c r="FF45" s="597" t="n"/>
      <c r="FG45" s="592" t="inlineStr">
        <is>
          <t>TMR1</t>
        </is>
      </c>
      <c r="FH45" s="497" t="n"/>
      <c r="FI45" s="497" t="n"/>
      <c r="FJ45" s="601">
        <f>FA13</f>
        <v/>
      </c>
      <c r="FK45" s="497">
        <f>FN44</f>
        <v/>
      </c>
      <c r="FL45" s="497" t="n"/>
      <c r="FM45" s="497" t="n"/>
      <c r="FN45" s="593">
        <f>IF(AND(FI45:FM45),1,0)</f>
        <v/>
      </c>
      <c r="FT45" s="592" t="n">
        <v>42</v>
      </c>
      <c r="FU45" s="597" t="n"/>
      <c r="FV45" s="724" t="n"/>
      <c r="FW45" s="497" t="n"/>
      <c r="FX45" s="497" t="n"/>
      <c r="FY45" s="757">
        <f>GC44</f>
        <v/>
      </c>
      <c r="FZ45" s="497" t="n"/>
      <c r="GA45" s="497" t="n"/>
      <c r="GB45" s="497" t="n"/>
      <c r="GC45" s="593">
        <f>IF(AND(FX45:GB45),1,0)</f>
        <v/>
      </c>
      <c r="GF45" s="592" t="n">
        <v>42</v>
      </c>
      <c r="GG45" s="597" t="n"/>
      <c r="GH45" s="724" t="inlineStr">
        <is>
          <t>SFC OFF</t>
        </is>
      </c>
      <c r="GI45" s="497" t="n"/>
      <c r="GJ45" s="497" t="n"/>
      <c r="GK45" s="604">
        <f>GR15</f>
        <v/>
      </c>
      <c r="GL45" s="497">
        <f>GO44</f>
        <v/>
      </c>
      <c r="GM45" s="497" t="n"/>
      <c r="GN45" s="497" t="n"/>
      <c r="GO45" s="593">
        <f>IF(AND(GJ45:GN45),1,0)</f>
        <v/>
      </c>
      <c r="GU45" s="592" t="n">
        <v>42</v>
      </c>
      <c r="GV45" s="597" t="n"/>
      <c r="GW45" s="724" t="n"/>
      <c r="GX45" s="497" t="n"/>
      <c r="GY45" s="497" t="n"/>
      <c r="GZ45" s="757">
        <f>HD44</f>
        <v/>
      </c>
      <c r="HA45" s="497" t="n"/>
      <c r="HB45" s="497" t="n"/>
      <c r="HC45" s="497" t="n"/>
      <c r="HD45" s="602">
        <f>IF(AND(GY45:HC45),1,0)</f>
        <v/>
      </c>
      <c r="HK45" s="592" t="n">
        <v>42</v>
      </c>
      <c r="HL45" s="497" t="n"/>
      <c r="HM45" s="497" t="inlineStr">
        <is>
          <t>EMR</t>
        </is>
      </c>
      <c r="HN45" s="497" t="n"/>
      <c r="HO45" s="497" t="n"/>
      <c r="HP45" s="604">
        <f>HW13</f>
        <v/>
      </c>
      <c r="HQ45" s="497">
        <f>HT46</f>
        <v/>
      </c>
      <c r="HR45" s="497">
        <f>HT39</f>
        <v/>
      </c>
      <c r="HS45" s="497" t="n"/>
      <c r="HT45" s="593">
        <f>IF(AND(HO45:HS45),1,0)</f>
        <v/>
      </c>
      <c r="KP45" s="592" t="n">
        <v>42</v>
      </c>
      <c r="KQ45" s="497" t="n"/>
      <c r="KR45" s="724" t="inlineStr">
        <is>
          <t xml:space="preserve">SMRR 110 V DC </t>
        </is>
      </c>
      <c r="KS45" s="497" t="n"/>
      <c r="KT45" s="724" t="n"/>
      <c r="KU45" s="605">
        <f>KL19</f>
        <v/>
      </c>
      <c r="KV45" s="597" t="n"/>
      <c r="KW45" s="497" t="n"/>
      <c r="KX45" s="497" t="n"/>
      <c r="KY45" s="593">
        <f>IF(AND(KT45:KX45),1,0)</f>
        <v/>
      </c>
      <c r="LB45" s="592" t="n">
        <v>42</v>
      </c>
      <c r="LC45" s="497" t="n"/>
      <c r="LD45" s="724" t="n"/>
      <c r="LE45" s="497" t="n"/>
      <c r="LF45" s="724" t="n"/>
      <c r="LG45" s="724" t="n">
        <v>1</v>
      </c>
      <c r="LH45" s="724" t="n"/>
      <c r="LI45" s="497" t="n"/>
      <c r="LJ45" s="497" t="n"/>
      <c r="LK45" s="593">
        <f>IF(AND(LF45:LJ45),1,0)</f>
        <v/>
      </c>
      <c r="LR45" s="592" t="n">
        <v>42</v>
      </c>
      <c r="LS45" s="497" t="n"/>
      <c r="LT45" s="724" t="n"/>
      <c r="LU45" s="497" t="n"/>
      <c r="LV45" s="724" t="n"/>
      <c r="LW45" s="724">
        <f>MA44</f>
        <v/>
      </c>
      <c r="LX45" s="724" t="n"/>
      <c r="LY45" s="497" t="n"/>
      <c r="LZ45" s="497" t="n"/>
      <c r="MA45" s="593">
        <f>IF(AND(LV45:LZ45),1,0)</f>
        <v/>
      </c>
      <c r="MH45" s="592" t="n">
        <v>42</v>
      </c>
      <c r="MI45" s="497" t="n"/>
      <c r="MJ45" s="724" t="n"/>
      <c r="MK45" s="497" t="n"/>
      <c r="ML45" s="724" t="n"/>
      <c r="MM45" s="724">
        <f>MQ25</f>
        <v/>
      </c>
      <c r="MN45" s="724" t="n"/>
      <c r="MO45" s="497" t="n"/>
      <c r="MP45" s="497" t="n"/>
      <c r="MQ45" s="593">
        <f>IF(AND(ML45:MP45),1,0)</f>
        <v/>
      </c>
    </row>
    <row r="46" ht="24" customHeight="1">
      <c r="A46" s="590" t="n">
        <v>43</v>
      </c>
      <c r="B46" s="497" t="n"/>
      <c r="C46" s="497" t="n"/>
      <c r="D46" s="497" t="n"/>
      <c r="E46" s="497" t="n"/>
      <c r="F46" s="757">
        <f>J45</f>
        <v/>
      </c>
      <c r="G46" s="592" t="n"/>
      <c r="H46" s="497" t="n"/>
      <c r="I46" s="497" t="n"/>
      <c r="J46" s="593">
        <f>IF(AND(E46:I46),1,0)</f>
        <v/>
      </c>
      <c r="P46" s="592" t="n">
        <v>43</v>
      </c>
      <c r="Q46" s="497" t="n"/>
      <c r="R46" s="757" t="inlineStr">
        <is>
          <t>CMPB1 _13A</t>
        </is>
      </c>
      <c r="S46" s="497" t="n"/>
      <c r="T46" s="497" t="n"/>
      <c r="U46" s="613">
        <f>AB17</f>
        <v/>
      </c>
      <c r="V46" s="592">
        <f>Y45</f>
        <v/>
      </c>
      <c r="W46" s="592">
        <f>Y50</f>
        <v/>
      </c>
      <c r="X46" s="592">
        <f>Y53</f>
        <v/>
      </c>
      <c r="Y46" s="593">
        <f>IF(AND(T46:X46),1,0)</f>
        <v/>
      </c>
      <c r="AF46" s="592" t="n">
        <v>43</v>
      </c>
      <c r="AG46" s="599" t="n"/>
      <c r="AH46" s="597" t="n"/>
      <c r="AI46" s="497" t="n"/>
      <c r="AJ46" s="497" t="n"/>
      <c r="AK46" s="609">
        <f>AO35</f>
        <v/>
      </c>
      <c r="AL46" s="592" t="n"/>
      <c r="AM46" s="592" t="n"/>
      <c r="AN46" s="592" t="n"/>
      <c r="AO46" s="593">
        <f>IF(AND(AJ46:AN46),1,0)</f>
        <v/>
      </c>
      <c r="AS46" s="742" t="n"/>
      <c r="AT46" s="497" t="n"/>
      <c r="AU46" s="497" t="n"/>
      <c r="BI46" s="592" t="n">
        <v>43</v>
      </c>
      <c r="BJ46" s="497" t="n"/>
      <c r="BK46" s="497" t="n"/>
      <c r="BL46" s="497" t="n"/>
      <c r="BM46" s="497" t="n"/>
      <c r="BN46" s="609">
        <f>BR54</f>
        <v/>
      </c>
      <c r="BO46" s="497">
        <f>BR45</f>
        <v/>
      </c>
      <c r="BP46" s="497" t="n"/>
      <c r="BQ46" s="497" t="n"/>
      <c r="BR46" s="593">
        <f>IF(AND(BM46:BQ46),1,0)</f>
        <v/>
      </c>
      <c r="BX46" s="592" t="n">
        <v>43</v>
      </c>
      <c r="BY46" s="497" t="n"/>
      <c r="BZ46" s="497" t="n"/>
      <c r="CA46" s="497" t="n"/>
      <c r="CB46" s="497" t="n"/>
      <c r="CC46" s="609">
        <f>CG54</f>
        <v/>
      </c>
      <c r="CD46" s="497">
        <f>CG45</f>
        <v/>
      </c>
      <c r="CE46" s="497" t="n"/>
      <c r="CF46" s="497" t="n"/>
      <c r="CG46" s="593">
        <f>IF(AND(CB46:CF46),1,0)</f>
        <v/>
      </c>
      <c r="CI46" s="592" t="n">
        <v>43</v>
      </c>
      <c r="CJ46" s="497" t="n"/>
      <c r="CK46" s="592" t="n"/>
      <c r="CL46" s="497" t="n"/>
      <c r="CM46" s="497" t="n"/>
      <c r="CN46" s="497">
        <f>CR42</f>
        <v/>
      </c>
      <c r="CO46" s="497" t="n"/>
      <c r="CP46" s="497" t="n"/>
      <c r="CQ46" s="497" t="n"/>
      <c r="CR46" s="593">
        <f>IF(AND(CM46:CQ46),1,0)</f>
        <v/>
      </c>
      <c r="DK46" s="592" t="n">
        <v>43</v>
      </c>
      <c r="DL46" s="597" t="n"/>
      <c r="DM46" s="592" t="n"/>
      <c r="DN46" s="497" t="n"/>
      <c r="DO46" s="497" t="n"/>
      <c r="DP46" s="757">
        <f>DT45</f>
        <v/>
      </c>
      <c r="DQ46" s="497" t="n"/>
      <c r="DR46" s="497" t="n"/>
      <c r="DS46" s="497" t="n"/>
      <c r="DT46" s="593">
        <f>IF(AND(DO46:DS46),1,0)</f>
        <v/>
      </c>
      <c r="DZ46" s="592" t="n">
        <v>43</v>
      </c>
      <c r="EA46" s="597" t="inlineStr">
        <is>
          <t>X4</t>
        </is>
      </c>
      <c r="EB46" s="267" t="inlineStr">
        <is>
          <t>GND</t>
        </is>
      </c>
      <c r="EC46" s="497" t="n"/>
      <c r="ED46" s="497" t="n"/>
      <c r="EE46" s="596" t="n">
        <v>1</v>
      </c>
      <c r="EF46" s="497" t="n"/>
      <c r="EG46" s="497" t="n"/>
      <c r="EH46" s="497" t="n"/>
      <c r="EI46" s="602">
        <f>IF(AND(ED46:EH46),1,0)</f>
        <v/>
      </c>
      <c r="EO46" s="592" t="n">
        <v>43</v>
      </c>
      <c r="EP46" s="597" t="n"/>
      <c r="EQ46" s="592" t="n"/>
      <c r="ER46" s="497" t="n"/>
      <c r="ES46" s="497" t="n"/>
      <c r="ET46" s="497">
        <f>EX45</f>
        <v/>
      </c>
      <c r="EU46" s="497" t="n"/>
      <c r="EV46" s="497" t="n"/>
      <c r="EW46" s="497" t="n"/>
      <c r="EX46" s="593">
        <f>IF(AND(ES46:EW46),1,0)</f>
        <v/>
      </c>
      <c r="FE46" s="592" t="n">
        <v>43</v>
      </c>
      <c r="FF46" s="597" t="n"/>
      <c r="FG46" s="592" t="n"/>
      <c r="FH46" s="497" t="n"/>
      <c r="FI46" s="497" t="n"/>
      <c r="FJ46" s="497">
        <f>FN45</f>
        <v/>
      </c>
      <c r="FK46" s="497" t="n"/>
      <c r="FL46" s="497" t="n"/>
      <c r="FM46" s="497" t="n"/>
      <c r="FN46" s="593">
        <f>IF(AND(FI46:FM46),1,0)</f>
        <v/>
      </c>
      <c r="FT46" s="592" t="n">
        <v>43</v>
      </c>
      <c r="FU46" s="597" t="n"/>
      <c r="FV46" s="724" t="inlineStr">
        <is>
          <t>TMR1</t>
        </is>
      </c>
      <c r="FW46" s="497" t="n"/>
      <c r="FX46" s="497" t="n"/>
      <c r="FY46" s="604">
        <f>FQ13</f>
        <v/>
      </c>
      <c r="FZ46" s="497">
        <f>GC45</f>
        <v/>
      </c>
      <c r="GA46" s="497" t="n"/>
      <c r="GB46" s="497" t="n"/>
      <c r="GC46" s="593">
        <f>IF(AND(FX46:GB46),1,0)</f>
        <v/>
      </c>
      <c r="GF46" s="592" t="n">
        <v>43</v>
      </c>
      <c r="GG46" s="597" t="n"/>
      <c r="GH46" s="724" t="n"/>
      <c r="GI46" s="497" t="n"/>
      <c r="GJ46" s="497" t="n"/>
      <c r="GK46" s="592">
        <f>GO45</f>
        <v/>
      </c>
      <c r="GL46" s="497" t="n"/>
      <c r="GM46" s="497" t="n"/>
      <c r="GN46" s="497" t="n"/>
      <c r="GO46" s="593">
        <f>IF(AND(GJ46:GN46),1,0)</f>
        <v/>
      </c>
      <c r="GU46" s="592" t="n">
        <v>43</v>
      </c>
      <c r="GV46" s="597" t="n"/>
      <c r="GW46" s="724" t="n"/>
      <c r="GX46" s="497" t="n"/>
      <c r="GY46" s="497" t="n"/>
      <c r="GZ46" s="757">
        <f>HD45</f>
        <v/>
      </c>
      <c r="HA46" s="497" t="n"/>
      <c r="HB46" s="497" t="n"/>
      <c r="HC46" s="497" t="n"/>
      <c r="HD46" s="602">
        <f>IF(AND(GY46:HC46),1,0)</f>
        <v/>
      </c>
      <c r="HK46" s="592" t="n">
        <v>43</v>
      </c>
      <c r="HL46" s="497" t="n"/>
      <c r="HM46" s="497" t="inlineStr">
        <is>
          <t>110 V DC</t>
        </is>
      </c>
      <c r="HN46" s="497" t="n"/>
      <c r="HO46" s="497" t="n"/>
      <c r="HP46" s="600">
        <f>HW18</f>
        <v/>
      </c>
      <c r="HQ46" s="497" t="n"/>
      <c r="HR46" s="497" t="n"/>
      <c r="HS46" s="497" t="n"/>
      <c r="HT46" s="593">
        <f>IF(AND(HO46:HS46),1,0)</f>
        <v/>
      </c>
      <c r="KP46" s="592" t="n">
        <v>43</v>
      </c>
      <c r="KQ46" s="497" t="n"/>
      <c r="KS46" s="497" t="n"/>
      <c r="KT46" s="724" t="n"/>
      <c r="KU46" s="724">
        <f>KY47</f>
        <v/>
      </c>
      <c r="KV46" s="597" t="n"/>
      <c r="KW46" s="497" t="n"/>
      <c r="KX46" s="497" t="n"/>
      <c r="KY46" s="593">
        <f>IF(AND(KT46:KX46),1,0)</f>
        <v/>
      </c>
      <c r="LB46" s="592" t="n">
        <v>43</v>
      </c>
      <c r="LC46" s="497" t="n"/>
      <c r="LD46" s="724" t="n"/>
      <c r="LE46" s="497" t="n"/>
      <c r="LF46" s="724" t="n"/>
      <c r="LG46" s="724">
        <f>LK45</f>
        <v/>
      </c>
      <c r="LH46" s="724" t="n"/>
      <c r="LI46" s="497" t="n"/>
      <c r="LJ46" s="497" t="n"/>
      <c r="LK46" s="593">
        <f>IF(AND(LF46:LJ46),1,0)</f>
        <v/>
      </c>
      <c r="LR46" s="592" t="n">
        <v>43</v>
      </c>
      <c r="LS46" s="497" t="n"/>
      <c r="LT46" s="724" t="n"/>
      <c r="LU46" s="497" t="n"/>
      <c r="LV46" s="724" t="n"/>
      <c r="LW46" s="724">
        <f>MA45</f>
        <v/>
      </c>
      <c r="LX46" s="724" t="n"/>
      <c r="LY46" s="497" t="n"/>
      <c r="LZ46" s="497" t="n"/>
      <c r="MA46" s="593">
        <f>IF(AND(LV46:LZ46),1,0)</f>
        <v/>
      </c>
      <c r="MH46" s="592" t="n">
        <v>43</v>
      </c>
      <c r="MI46" s="497" t="n"/>
      <c r="MJ46" s="724" t="inlineStr">
        <is>
          <t>TCR 6</t>
        </is>
      </c>
      <c r="MK46" s="497" t="n"/>
      <c r="ML46" s="724" t="n"/>
      <c r="MM46" s="605">
        <f>MT17</f>
        <v/>
      </c>
      <c r="MN46" s="724" t="n"/>
      <c r="MO46" s="497" t="n"/>
      <c r="MP46" s="497" t="n"/>
      <c r="MQ46" s="593">
        <f>IF(AND(ML46:MP46),1,0)</f>
        <v/>
      </c>
    </row>
    <row r="47">
      <c r="A47" s="590" t="n">
        <v>44</v>
      </c>
      <c r="B47" s="497" t="n"/>
      <c r="C47" s="497" t="n"/>
      <c r="D47" s="497" t="n"/>
      <c r="E47" s="497" t="n"/>
      <c r="F47" s="757">
        <f>J46</f>
        <v/>
      </c>
      <c r="G47" s="592" t="n"/>
      <c r="H47" s="497" t="n"/>
      <c r="I47" s="497" t="n"/>
      <c r="J47" s="593">
        <f>IF(AND(E47:I47),1,0)</f>
        <v/>
      </c>
      <c r="P47" s="592" t="n">
        <v>44</v>
      </c>
      <c r="Q47" s="497" t="n"/>
      <c r="R47" s="592" t="n"/>
      <c r="S47" s="497" t="n"/>
      <c r="T47" s="497" t="n"/>
      <c r="U47" s="757">
        <f>Y46</f>
        <v/>
      </c>
      <c r="V47" s="592" t="n"/>
      <c r="W47" s="592" t="n"/>
      <c r="X47" s="592" t="n"/>
      <c r="Y47" s="593">
        <f>IF(AND(T47:X47),1,0)</f>
        <v/>
      </c>
      <c r="AF47" s="592" t="n">
        <v>44</v>
      </c>
      <c r="AG47" s="599" t="n"/>
      <c r="AH47" s="757" t="inlineStr">
        <is>
          <t>CMPB1 _13A</t>
        </is>
      </c>
      <c r="AI47" s="497" t="n"/>
      <c r="AJ47" s="497" t="n"/>
      <c r="AK47" s="604">
        <f>AB7</f>
        <v/>
      </c>
      <c r="AL47" s="592">
        <f>AO46</f>
        <v/>
      </c>
      <c r="AM47" s="592" t="n"/>
      <c r="AN47" s="592" t="n"/>
      <c r="AO47" s="593">
        <f>IF(AND(AJ47:AN47),1,0)</f>
        <v/>
      </c>
      <c r="AS47" s="742" t="n"/>
      <c r="AT47" s="497" t="n"/>
      <c r="AU47" s="497" t="n"/>
      <c r="BI47" s="592" t="n">
        <v>44</v>
      </c>
      <c r="BJ47" s="497" t="n"/>
      <c r="BK47" s="498" t="inlineStr">
        <is>
          <t>ESAFC</t>
        </is>
      </c>
      <c r="BL47" s="497" t="n"/>
      <c r="BM47" s="497" t="n"/>
      <c r="BN47" s="604">
        <f>BU10</f>
        <v/>
      </c>
      <c r="BO47" s="497">
        <f>BR46</f>
        <v/>
      </c>
      <c r="BP47" s="497" t="n"/>
      <c r="BQ47" s="497" t="n"/>
      <c r="BR47" s="593">
        <f>IF(AND(BM47:BQ47),1,0)</f>
        <v/>
      </c>
      <c r="BX47" s="592" t="n">
        <v>44</v>
      </c>
      <c r="BY47" s="497" t="n"/>
      <c r="BZ47" s="498" t="inlineStr">
        <is>
          <t>ESAFC</t>
        </is>
      </c>
      <c r="CA47" s="497" t="n"/>
      <c r="CB47" s="497" t="n"/>
      <c r="CC47" s="604">
        <f>BU10</f>
        <v/>
      </c>
      <c r="CD47" s="497">
        <f>CG46</f>
        <v/>
      </c>
      <c r="CE47" s="497" t="n"/>
      <c r="CF47" s="497" t="n"/>
      <c r="CG47" s="593">
        <f>IF(AND(CB47:CF47),1,0)</f>
        <v/>
      </c>
      <c r="CI47" s="592" t="n">
        <v>44</v>
      </c>
      <c r="CJ47" s="724" t="inlineStr">
        <is>
          <t>UD .X63.22-F 1 +63.20</t>
        </is>
      </c>
      <c r="CK47" s="592" t="n"/>
      <c r="CL47" s="497" t="n"/>
      <c r="CM47" s="497" t="n"/>
      <c r="CN47" s="497">
        <f>CR46</f>
        <v/>
      </c>
      <c r="CO47" s="497" t="n"/>
      <c r="CP47" s="497" t="n"/>
      <c r="CQ47" s="497" t="n"/>
      <c r="CR47" s="593">
        <f>IF(AND(CM47:CQ47),1,0)</f>
        <v/>
      </c>
      <c r="DK47" s="592" t="n">
        <v>44</v>
      </c>
      <c r="DL47" s="597" t="n"/>
      <c r="DM47" s="592" t="n"/>
      <c r="DN47" s="497" t="n"/>
      <c r="DO47" s="497" t="n"/>
      <c r="DP47" s="757">
        <f>DT45</f>
        <v/>
      </c>
      <c r="DQ47" s="497">
        <f>DT46</f>
        <v/>
      </c>
      <c r="DR47" s="497" t="n"/>
      <c r="DS47" s="497" t="n"/>
      <c r="DT47" s="593">
        <f>IF(AND(DO47:DS47),1,0)</f>
        <v/>
      </c>
      <c r="DZ47" s="592" t="n">
        <v>44</v>
      </c>
      <c r="EA47" s="597" t="n"/>
      <c r="EB47" s="592" t="n"/>
      <c r="EC47" s="497" t="n"/>
      <c r="ED47" s="497" t="n"/>
      <c r="EE47" s="497">
        <f>EI46</f>
        <v/>
      </c>
      <c r="EF47" s="497" t="n"/>
      <c r="EG47" s="497" t="n"/>
      <c r="EH47" s="497" t="n"/>
      <c r="EI47" s="602">
        <f>IF(AND(ED47:EH47),1,0)</f>
        <v/>
      </c>
      <c r="EO47" s="592" t="n">
        <v>44</v>
      </c>
      <c r="EP47" s="597" t="n"/>
      <c r="EQ47" s="592" t="n"/>
      <c r="ER47" s="497" t="n"/>
      <c r="ES47" s="497" t="n"/>
      <c r="ET47" s="497">
        <f>EX34</f>
        <v/>
      </c>
      <c r="EU47" s="497" t="n"/>
      <c r="EV47" s="497" t="n"/>
      <c r="EW47" s="497" t="n"/>
      <c r="EX47" s="593">
        <f>IF(AND(ES47:EW47),1,0)</f>
        <v/>
      </c>
      <c r="FE47" s="592" t="n">
        <v>44</v>
      </c>
      <c r="FF47" s="597" t="n"/>
      <c r="FG47" s="592" t="n"/>
      <c r="FH47" s="497" t="n"/>
      <c r="FI47" s="497" t="n"/>
      <c r="FJ47" s="497">
        <f>FN34</f>
        <v/>
      </c>
      <c r="FK47" s="497" t="n"/>
      <c r="FL47" s="497" t="n"/>
      <c r="FM47" s="497" t="n"/>
      <c r="FN47" s="593">
        <f>IF(AND(FI47:FM47),1,0)</f>
        <v/>
      </c>
      <c r="FT47" s="592" t="n">
        <v>44</v>
      </c>
      <c r="FU47" s="597" t="n"/>
      <c r="FV47" s="724" t="n"/>
      <c r="FW47" s="497" t="n"/>
      <c r="FX47" s="497" t="n"/>
      <c r="FY47" s="592">
        <f>GC46</f>
        <v/>
      </c>
      <c r="FZ47" s="497" t="n"/>
      <c r="GA47" s="497" t="n"/>
      <c r="GB47" s="497" t="n"/>
      <c r="GC47" s="593">
        <f>IF(AND(FX47:GB47),1,0)</f>
        <v/>
      </c>
      <c r="GF47" s="592" t="n">
        <v>44</v>
      </c>
      <c r="GG47" s="597" t="n"/>
      <c r="GH47" s="724" t="inlineStr">
        <is>
          <t>FADR4</t>
        </is>
      </c>
      <c r="GI47" s="497" t="n"/>
      <c r="GJ47" s="497" t="n"/>
      <c r="GK47" s="604">
        <f>GR12</f>
        <v/>
      </c>
      <c r="GL47" s="497">
        <f>GO46</f>
        <v/>
      </c>
      <c r="GM47" s="497" t="n"/>
      <c r="GN47" s="497" t="n"/>
      <c r="GO47" s="593">
        <f>IF(AND(GJ47:GN47),1,0)</f>
        <v/>
      </c>
      <c r="GU47" s="592" t="n">
        <v>44</v>
      </c>
      <c r="GV47" s="597" t="n"/>
      <c r="GW47" s="724" t="n"/>
      <c r="GX47" s="497" t="n"/>
      <c r="GY47" s="497" t="n"/>
      <c r="GZ47" s="757">
        <f>HD46</f>
        <v/>
      </c>
      <c r="HA47" s="497" t="n"/>
      <c r="HB47" s="497" t="n"/>
      <c r="HC47" s="497" t="n"/>
      <c r="HD47" s="602">
        <f>IF(AND(GY47:HC47),1,0)</f>
        <v/>
      </c>
      <c r="HK47" s="592" t="n">
        <v>44</v>
      </c>
      <c r="HL47" s="497" t="n"/>
      <c r="HM47" s="497" t="inlineStr">
        <is>
          <t>APS 1</t>
        </is>
      </c>
      <c r="HN47" s="497" t="n"/>
      <c r="HO47" s="497" t="n"/>
      <c r="HP47" s="600">
        <f>HW6</f>
        <v/>
      </c>
      <c r="HQ47" s="497" t="n"/>
      <c r="HR47" s="497" t="n"/>
      <c r="HS47" s="497" t="n"/>
      <c r="HT47" s="593">
        <f>IF(AND(HO47:HS47),1,0)</f>
        <v/>
      </c>
      <c r="KP47" s="592" t="n">
        <v>44</v>
      </c>
      <c r="KQ47" s="497" t="n"/>
      <c r="KR47" s="724" t="inlineStr">
        <is>
          <t xml:space="preserve">SMDR 110 V DC </t>
        </is>
      </c>
      <c r="KS47" s="497" t="n"/>
      <c r="KT47" s="724" t="n"/>
      <c r="KU47" s="605">
        <f>KL20</f>
        <v/>
      </c>
      <c r="KV47" s="597" t="n"/>
      <c r="KW47" s="497" t="n"/>
      <c r="KX47" s="497" t="n"/>
      <c r="KY47" s="593">
        <f>IF(AND(KT47:KX47),1,0)</f>
        <v/>
      </c>
      <c r="LB47" s="592" t="n">
        <v>44</v>
      </c>
      <c r="LC47" s="497" t="n"/>
      <c r="LD47" s="724" t="n"/>
      <c r="LE47" s="497" t="n"/>
      <c r="LF47" s="724" t="n"/>
      <c r="LG47" s="724">
        <f>LK111</f>
        <v/>
      </c>
      <c r="LH47" s="724" t="n"/>
      <c r="LI47" s="497" t="n"/>
      <c r="LJ47" s="497" t="n"/>
      <c r="LK47" s="593">
        <f>IF(AND(LF47:LJ47),1,0)</f>
        <v/>
      </c>
      <c r="LR47" s="592" t="n">
        <v>44</v>
      </c>
      <c r="LS47" s="497" t="n"/>
      <c r="LT47" s="724" t="n"/>
      <c r="LU47" s="497" t="n"/>
      <c r="LV47" s="724" t="n"/>
      <c r="LW47" s="724">
        <f>MA46</f>
        <v/>
      </c>
      <c r="LX47" s="724" t="n"/>
      <c r="LY47" s="497" t="n"/>
      <c r="LZ47" s="497" t="n"/>
      <c r="MA47" s="593">
        <f>IF(AND(LV47:LZ47),1,0)</f>
        <v/>
      </c>
      <c r="MH47" s="592" t="n">
        <v>44</v>
      </c>
      <c r="MI47" s="497" t="n"/>
      <c r="MJ47" s="724" t="n"/>
      <c r="MK47" s="497" t="n"/>
      <c r="ML47" s="724" t="n"/>
      <c r="MM47" s="724">
        <f>MQ46</f>
        <v/>
      </c>
      <c r="MN47" s="724" t="n"/>
      <c r="MO47" s="497" t="n"/>
      <c r="MP47" s="497" t="n"/>
      <c r="MQ47" s="593">
        <f>IF(AND(ML47:MP47),1,0)</f>
        <v/>
      </c>
    </row>
    <row r="48" ht="25.5" customHeight="1">
      <c r="A48" s="590" t="n">
        <v>45</v>
      </c>
      <c r="B48" s="497" t="n"/>
      <c r="C48" s="497" t="n"/>
      <c r="D48" s="497" t="n"/>
      <c r="E48" s="497" t="n"/>
      <c r="F48" s="757">
        <f>J47</f>
        <v/>
      </c>
      <c r="G48" s="592" t="n"/>
      <c r="H48" s="497" t="n"/>
      <c r="I48" s="497" t="n"/>
      <c r="J48" s="593">
        <f>IF(AND(E48:I48),1,0)</f>
        <v/>
      </c>
      <c r="P48" s="592" t="n">
        <v>45</v>
      </c>
      <c r="Q48" s="497" t="n"/>
      <c r="R48" s="757" t="inlineStr">
        <is>
          <t>CMPC1 16A</t>
        </is>
      </c>
      <c r="S48" s="497" t="n"/>
      <c r="T48" s="497" t="n"/>
      <c r="U48" s="613">
        <f>AB17</f>
        <v/>
      </c>
      <c r="V48" s="592">
        <f>Y47</f>
        <v/>
      </c>
      <c r="W48" s="592">
        <f>Y51</f>
        <v/>
      </c>
      <c r="X48" s="592">
        <f>Y54</f>
        <v/>
      </c>
      <c r="Y48" s="593">
        <f>IF(AND(T48:X48),1,0)</f>
        <v/>
      </c>
      <c r="AF48" s="592" t="n">
        <v>45</v>
      </c>
      <c r="AG48" s="599" t="n"/>
      <c r="AH48" s="597" t="n"/>
      <c r="AI48" s="497" t="n"/>
      <c r="AJ48" s="497" t="n"/>
      <c r="AK48" s="609">
        <f>AO47</f>
        <v/>
      </c>
      <c r="AL48" s="592" t="n"/>
      <c r="AM48" s="592" t="n"/>
      <c r="AN48" s="592" t="n"/>
      <c r="AO48" s="593">
        <f>IF(AND(AJ48:AN48),1,0)</f>
        <v/>
      </c>
      <c r="AS48" s="742" t="n"/>
      <c r="AT48" s="597" t="inlineStr">
        <is>
          <t>LA.S01_+11.30</t>
        </is>
      </c>
      <c r="AU48" s="592" t="inlineStr">
        <is>
          <t>SMDRB</t>
        </is>
      </c>
      <c r="BI48" s="592" t="n">
        <v>45</v>
      </c>
      <c r="BJ48" s="497" t="n"/>
      <c r="BK48" s="498" t="inlineStr">
        <is>
          <t>EMO1-</t>
        </is>
      </c>
      <c r="BL48" s="497" t="n"/>
      <c r="BM48" s="497" t="n"/>
      <c r="BN48" s="609">
        <f>BR47</f>
        <v/>
      </c>
      <c r="BO48" s="497" t="n"/>
      <c r="BP48" s="497" t="n"/>
      <c r="BQ48" s="497" t="n"/>
      <c r="BR48" s="593">
        <f>IF(AND(BM48:BQ48),1,0)</f>
        <v/>
      </c>
      <c r="BX48" s="592" t="n">
        <v>45</v>
      </c>
      <c r="BY48" s="497" t="n"/>
      <c r="BZ48" s="498" t="inlineStr">
        <is>
          <t>EMO1-</t>
        </is>
      </c>
      <c r="CA48" s="497" t="n"/>
      <c r="CB48" s="497" t="n"/>
      <c r="CC48" s="609">
        <f>CG47</f>
        <v/>
      </c>
      <c r="CD48" s="497" t="n"/>
      <c r="CE48" s="497" t="n"/>
      <c r="CF48" s="497" t="n"/>
      <c r="CG48" s="593">
        <f>IF(AND(CB48:CF48),1,0)</f>
        <v/>
      </c>
      <c r="CI48" s="592" t="n">
        <v>45</v>
      </c>
      <c r="CJ48" s="497" t="n"/>
      <c r="CK48" s="592" t="n"/>
      <c r="CL48" s="497" t="n"/>
      <c r="CM48" s="497" t="n"/>
      <c r="CN48" s="497">
        <f>CR46</f>
        <v/>
      </c>
      <c r="CO48" s="497" t="n"/>
      <c r="CP48" s="497" t="n"/>
      <c r="CQ48" s="497" t="n"/>
      <c r="CR48" s="593">
        <f>IF(AND(CM48:CQ48),1,0)</f>
        <v/>
      </c>
      <c r="DK48" s="592" t="n">
        <v>45</v>
      </c>
      <c r="DL48" s="597" t="n"/>
      <c r="DM48" s="592" t="n"/>
      <c r="DN48" s="497" t="n"/>
      <c r="DO48" s="497" t="n"/>
      <c r="DP48" s="757">
        <f>DT63</f>
        <v/>
      </c>
      <c r="DQ48" s="497">
        <f>DT47</f>
        <v/>
      </c>
      <c r="DR48" s="497" t="n"/>
      <c r="DS48" s="497" t="n"/>
      <c r="DT48" s="593">
        <f>IF(AND(DO48:DS48),1,0)</f>
        <v/>
      </c>
      <c r="DZ48" s="592" t="n">
        <v>45</v>
      </c>
      <c r="EA48" s="597" t="n"/>
      <c r="EB48" s="592" t="n"/>
      <c r="EC48" s="497" t="n"/>
      <c r="ED48" s="497" t="n"/>
      <c r="EE48" s="497">
        <f>EI47</f>
        <v/>
      </c>
      <c r="EF48" s="497" t="n"/>
      <c r="EG48" s="497" t="n"/>
      <c r="EH48" s="497" t="n"/>
      <c r="EI48" s="602">
        <f>IF(AND(ED48:EH48),1,0)</f>
        <v/>
      </c>
      <c r="EO48" s="592" t="n">
        <v>45</v>
      </c>
      <c r="EP48" s="597" t="n"/>
      <c r="EQ48" s="592" t="inlineStr">
        <is>
          <t>TMR1_60 SEC</t>
        </is>
      </c>
      <c r="ER48" s="497" t="n"/>
      <c r="ES48" s="497" t="n"/>
      <c r="ET48" s="601">
        <f>FA13</f>
        <v/>
      </c>
      <c r="EU48" s="497">
        <f>EX47</f>
        <v/>
      </c>
      <c r="EV48" s="497" t="n"/>
      <c r="EW48" s="497" t="n"/>
      <c r="EX48" s="593">
        <f>IF(AND(ES48:EW48),1,0)</f>
        <v/>
      </c>
      <c r="FE48" s="592" t="n">
        <v>45</v>
      </c>
      <c r="FF48" s="597" t="n"/>
      <c r="FG48" s="592" t="n"/>
      <c r="FH48" s="497" t="n"/>
      <c r="FI48" s="497" t="n"/>
      <c r="FJ48" s="497">
        <f>FN47</f>
        <v/>
      </c>
      <c r="FK48" s="497" t="n"/>
      <c r="FL48" s="497" t="n"/>
      <c r="FM48" s="497" t="n"/>
      <c r="FN48" s="593">
        <f>IF(AND(FI48:FM48),1,0)</f>
        <v/>
      </c>
      <c r="FT48" s="592" t="n">
        <v>45</v>
      </c>
      <c r="FU48" s="597" t="n"/>
      <c r="FV48" s="724" t="n"/>
      <c r="FW48" s="497" t="n"/>
      <c r="FX48" s="497" t="n"/>
      <c r="FY48" s="592">
        <f>GC47</f>
        <v/>
      </c>
      <c r="FZ48" s="497" t="n"/>
      <c r="GA48" s="497" t="n"/>
      <c r="GB48" s="497" t="n"/>
      <c r="GC48" s="593">
        <f>IF(AND(FX48:GB48),1,0)</f>
        <v/>
      </c>
      <c r="GF48" s="592" t="n">
        <v>45</v>
      </c>
      <c r="GG48" s="597" t="n"/>
      <c r="GH48" s="724" t="n"/>
      <c r="GI48" s="497" t="n"/>
      <c r="GJ48" s="497" t="n"/>
      <c r="GK48" s="592">
        <f>GO64</f>
        <v/>
      </c>
      <c r="GL48" s="497" t="n"/>
      <c r="GM48" s="497" t="n"/>
      <c r="GN48" s="497" t="n"/>
      <c r="GO48" s="593">
        <f>IF(AND(GJ48:GN48),1,0)</f>
        <v/>
      </c>
      <c r="GU48" s="592" t="n">
        <v>45</v>
      </c>
      <c r="GV48" s="597" t="n"/>
      <c r="GW48" s="724" t="n"/>
      <c r="GX48" s="497" t="n"/>
      <c r="GY48" s="497" t="n"/>
      <c r="GZ48" s="757">
        <f>HD47</f>
        <v/>
      </c>
      <c r="HA48" s="497" t="n"/>
      <c r="HB48" s="497" t="n"/>
      <c r="HC48" s="497" t="n"/>
      <c r="HD48" s="602">
        <f>IF(AND(GY48:HC48),1,0)</f>
        <v/>
      </c>
      <c r="HK48" s="592" t="n">
        <v>45</v>
      </c>
      <c r="HL48" s="497" t="n"/>
      <c r="HM48" s="497" t="n"/>
      <c r="HN48" s="497" t="n"/>
      <c r="HO48" s="497" t="n"/>
      <c r="HP48" s="757">
        <f>HT47</f>
        <v/>
      </c>
      <c r="HQ48" s="497" t="n"/>
      <c r="HR48" s="497" t="n"/>
      <c r="HS48" s="497" t="n"/>
      <c r="HT48" s="593">
        <f>IF(AND(HO48:HS48),1,0)</f>
        <v/>
      </c>
      <c r="KP48" s="592" t="n">
        <v>45</v>
      </c>
      <c r="KQ48" s="497" t="n"/>
      <c r="KR48" s="724" t="n"/>
      <c r="KS48" s="497" t="n"/>
      <c r="KT48" s="724" t="n"/>
      <c r="KU48" s="724">
        <f>KY49</f>
        <v/>
      </c>
      <c r="KV48" s="597" t="n"/>
      <c r="KW48" s="497" t="n"/>
      <c r="KX48" s="497" t="n"/>
      <c r="KY48" s="593">
        <f>IF(AND(KT48:KX48),1,0)</f>
        <v/>
      </c>
      <c r="LB48" s="592" t="n">
        <v>45</v>
      </c>
      <c r="LC48" s="497" t="n"/>
      <c r="LD48" s="724" t="n"/>
      <c r="LE48" s="497" t="n"/>
      <c r="LF48" s="724" t="n"/>
      <c r="LG48" s="724">
        <f>LK47</f>
        <v/>
      </c>
      <c r="LH48" s="724" t="n"/>
      <c r="LI48" s="497" t="n"/>
      <c r="LJ48" s="497" t="n"/>
      <c r="LK48" s="593">
        <f>IF(AND(LF48:LJ48),1,0)</f>
        <v/>
      </c>
      <c r="LR48" s="592" t="n">
        <v>45</v>
      </c>
      <c r="LS48" s="497" t="n"/>
      <c r="LT48" s="724" t="n"/>
      <c r="LU48" s="497" t="n"/>
      <c r="LV48" s="724" t="n"/>
      <c r="LW48" s="724">
        <f>MA47</f>
        <v/>
      </c>
      <c r="LX48" s="724" t="n"/>
      <c r="LY48" s="497" t="n"/>
      <c r="LZ48" s="497" t="n"/>
      <c r="MA48" s="593">
        <f>IF(AND(LV48:LZ48),1,0)</f>
        <v/>
      </c>
      <c r="MH48" s="592" t="n">
        <v>45</v>
      </c>
      <c r="MI48" s="497" t="n"/>
      <c r="MJ48" s="724" t="inlineStr">
        <is>
          <t>FADR</t>
        </is>
      </c>
      <c r="MK48" s="497" t="n"/>
      <c r="ML48" s="724" t="n"/>
      <c r="MM48" s="605">
        <f>MT13</f>
        <v/>
      </c>
      <c r="MN48" s="724" t="n"/>
      <c r="MO48" s="497" t="n"/>
      <c r="MP48" s="497" t="n"/>
      <c r="MQ48" s="593">
        <f>IF(AND(ML48:MP48),1,0)</f>
        <v/>
      </c>
    </row>
    <row r="49" ht="47.25" customFormat="1" customHeight="1" s="590">
      <c r="A49" s="590" t="n">
        <v>46</v>
      </c>
      <c r="C49" s="757" t="inlineStr">
        <is>
          <t>PE</t>
        </is>
      </c>
      <c r="F49" s="621" t="n">
        <v>1</v>
      </c>
      <c r="G49" s="592" t="n"/>
      <c r="H49" s="497" t="n"/>
      <c r="J49" s="593">
        <f>IF(AND(E49:I49),1,0)</f>
        <v/>
      </c>
      <c r="K49" s="742" t="n"/>
      <c r="L49" s="742" t="n"/>
      <c r="M49" s="742" t="n"/>
      <c r="N49" s="742" t="n"/>
      <c r="O49" s="742" t="n"/>
      <c r="P49" s="592" t="n">
        <v>46</v>
      </c>
      <c r="Q49" s="497" t="n"/>
      <c r="R49" s="592" t="n"/>
      <c r="S49" s="497" t="n"/>
      <c r="T49" s="497" t="n"/>
      <c r="U49" s="757">
        <f>Y48</f>
        <v/>
      </c>
      <c r="V49" s="592">
        <f>Y48</f>
        <v/>
      </c>
      <c r="W49" s="592" t="n"/>
      <c r="X49" s="592" t="n"/>
      <c r="Y49" s="593">
        <f>IF(AND(T49:X49),1,0)</f>
        <v/>
      </c>
      <c r="Z49" s="267" t="n"/>
      <c r="AA49" s="267" t="n"/>
      <c r="AD49" s="267" t="n"/>
      <c r="AE49" s="267" t="n"/>
      <c r="AF49" s="592" t="n">
        <v>46</v>
      </c>
      <c r="AG49" s="599" t="n"/>
      <c r="AH49" s="757" t="inlineStr">
        <is>
          <t>CMPC1 16A</t>
        </is>
      </c>
      <c r="AJ49" s="497" t="n"/>
      <c r="AK49" s="604">
        <f>AB11</f>
        <v/>
      </c>
      <c r="AL49" s="592">
        <f>AO48</f>
        <v/>
      </c>
      <c r="AM49" s="592" t="n"/>
      <c r="AN49" s="592" t="n"/>
      <c r="AO49" s="593">
        <f>IF(AND(AJ49:AN49),1,0)</f>
        <v/>
      </c>
      <c r="AQ49" s="622" t="n"/>
      <c r="AR49" s="742" t="n"/>
      <c r="AS49" s="742" t="n"/>
      <c r="AT49" s="497" t="n"/>
      <c r="AU49" s="592" t="n"/>
      <c r="AV49" s="742" t="n"/>
      <c r="AW49" s="742" t="n"/>
      <c r="AX49" s="742" t="n"/>
      <c r="AY49" s="742" t="n"/>
      <c r="AZ49" s="742" t="n"/>
      <c r="BA49" s="742" t="n"/>
      <c r="BB49" s="742" t="n"/>
      <c r="BC49" s="742" t="n"/>
      <c r="BD49" s="742" t="n"/>
      <c r="BE49" s="742" t="n"/>
      <c r="BF49" s="742" t="n"/>
      <c r="BG49" s="742" t="n"/>
      <c r="BH49" s="742" t="n"/>
      <c r="BI49" s="592" t="n">
        <v>46</v>
      </c>
      <c r="BJ49" s="497" t="n"/>
      <c r="BK49" s="498" t="inlineStr">
        <is>
          <t>EMO2-</t>
        </is>
      </c>
      <c r="BL49" s="497" t="n"/>
      <c r="BM49" s="497" t="n"/>
      <c r="BN49" s="592">
        <f>BR48</f>
        <v/>
      </c>
      <c r="BO49" s="497" t="n"/>
      <c r="BP49" s="497" t="n"/>
      <c r="BQ49" s="497" t="n"/>
      <c r="BR49" s="593">
        <f>IF(AND(BM49:BQ49),1,0)</f>
        <v/>
      </c>
      <c r="BS49" s="742" t="n"/>
      <c r="BT49" s="742" t="n"/>
      <c r="BU49" s="742" t="n"/>
      <c r="BV49" s="742" t="n"/>
      <c r="BW49" s="742" t="n"/>
      <c r="BX49" s="592" t="n">
        <v>46</v>
      </c>
      <c r="BY49" s="497" t="n"/>
      <c r="BZ49" s="498" t="inlineStr">
        <is>
          <t>EMO2-</t>
        </is>
      </c>
      <c r="CA49" s="497" t="n"/>
      <c r="CB49" s="497" t="n"/>
      <c r="CC49" s="592">
        <f>CG48</f>
        <v/>
      </c>
      <c r="CD49" s="497" t="n"/>
      <c r="CE49" s="497" t="n"/>
      <c r="CF49" s="497" t="n"/>
      <c r="CG49" s="593">
        <f>IF(AND(CB49:CF49),1,0)</f>
        <v/>
      </c>
      <c r="CH49" s="742" t="n"/>
      <c r="CI49" s="592" t="n">
        <v>46</v>
      </c>
      <c r="CJ49" s="497" t="n"/>
      <c r="CK49" s="592" t="n"/>
      <c r="CL49" s="497" t="n"/>
      <c r="CM49" s="497" t="n"/>
      <c r="CN49" s="596" t="n">
        <v>1</v>
      </c>
      <c r="CO49" s="497" t="n"/>
      <c r="CP49" s="497" t="n"/>
      <c r="CQ49" s="497" t="n"/>
      <c r="CR49" s="593">
        <f>IF(AND(CM49:CQ49),1,0)</f>
        <v/>
      </c>
      <c r="CS49" s="742" t="n"/>
      <c r="CT49" s="742" t="n"/>
      <c r="CU49" s="742" t="n"/>
      <c r="CV49" s="742" t="n"/>
      <c r="CW49" s="742" t="n"/>
      <c r="CX49" s="742" t="n"/>
      <c r="CY49" s="742" t="n"/>
      <c r="CZ49" s="742" t="n"/>
      <c r="DA49" s="742" t="n"/>
      <c r="DB49" s="742" t="n"/>
      <c r="DC49" s="742" t="n"/>
      <c r="DD49" s="742" t="n"/>
      <c r="DE49" s="742" t="n"/>
      <c r="DF49" s="742" t="n"/>
      <c r="DG49" s="742" t="n"/>
      <c r="DH49" s="742" t="n"/>
      <c r="DI49" s="742" t="n"/>
      <c r="DJ49" s="742" t="n"/>
      <c r="DK49" s="592" t="n">
        <v>46</v>
      </c>
      <c r="DL49" s="597" t="n"/>
      <c r="DM49" s="592" t="n"/>
      <c r="DN49" s="497" t="n"/>
      <c r="DO49" s="497" t="n"/>
      <c r="DP49" s="757">
        <f>DT48</f>
        <v/>
      </c>
      <c r="DQ49" s="497" t="n"/>
      <c r="DR49" s="497" t="n"/>
      <c r="DS49" s="497" t="n"/>
      <c r="DT49" s="593">
        <f>IF(AND(DO49:DS49),1,0)</f>
        <v/>
      </c>
      <c r="DU49" s="742" t="n"/>
      <c r="DV49" s="742" t="n"/>
      <c r="DW49" s="742" t="n"/>
      <c r="DX49" s="742" t="n"/>
      <c r="DY49" s="742" t="n"/>
      <c r="DZ49" s="592" t="n">
        <v>46</v>
      </c>
      <c r="EA49" s="597" t="inlineStr">
        <is>
          <t>X5</t>
        </is>
      </c>
      <c r="EB49" s="592" t="inlineStr">
        <is>
          <t>RS 485+</t>
        </is>
      </c>
      <c r="EC49" s="497" t="n"/>
      <c r="ED49" s="497" t="n"/>
      <c r="EE49" s="596" t="n">
        <v>1</v>
      </c>
      <c r="EF49" s="497" t="n"/>
      <c r="EG49" s="497" t="n"/>
      <c r="EH49" s="497" t="n"/>
      <c r="EI49" s="602">
        <f>IF(AND(ED49:EH49),1,0)</f>
        <v/>
      </c>
      <c r="EJ49" s="742" t="n"/>
      <c r="EK49" s="742" t="n"/>
      <c r="EL49" s="742" t="n"/>
      <c r="EM49" s="742" t="n"/>
      <c r="EN49" s="742" t="n"/>
      <c r="EO49" s="592" t="n">
        <v>46</v>
      </c>
      <c r="EP49" s="597" t="n"/>
      <c r="EQ49" s="592" t="n"/>
      <c r="ER49" s="497" t="n"/>
      <c r="ES49" s="497" t="n"/>
      <c r="ET49" s="497">
        <f>EX48</f>
        <v/>
      </c>
      <c r="EU49" s="497" t="n"/>
      <c r="EV49" s="497" t="n"/>
      <c r="EW49" s="497" t="n"/>
      <c r="EX49" s="593">
        <f>IF(AND(ES49:EW49),1,0)</f>
        <v/>
      </c>
      <c r="EY49" s="742" t="n"/>
      <c r="EZ49" s="742" t="n"/>
      <c r="FA49" s="742" t="n"/>
      <c r="FB49" s="742" t="n"/>
      <c r="FC49" s="742" t="n"/>
      <c r="FD49" s="742" t="n"/>
      <c r="FE49" s="592" t="n">
        <v>46</v>
      </c>
      <c r="FF49" s="597" t="n"/>
      <c r="FG49" s="592" t="n"/>
      <c r="FH49" s="497" t="n"/>
      <c r="FI49" s="497" t="n"/>
      <c r="FJ49" s="497">
        <f>FN48</f>
        <v/>
      </c>
      <c r="FK49" s="497" t="n"/>
      <c r="FL49" s="497" t="n"/>
      <c r="FM49" s="497" t="n"/>
      <c r="FN49" s="593">
        <f>IF(AND(FI49:FM49),1,0)</f>
        <v/>
      </c>
      <c r="FO49" s="742" t="n"/>
      <c r="FP49" s="742" t="n"/>
      <c r="FQ49" s="742" t="n"/>
      <c r="FR49" s="742" t="n"/>
      <c r="FS49" s="742" t="n"/>
      <c r="FT49" s="592" t="n">
        <v>46</v>
      </c>
      <c r="FU49" s="597" t="n"/>
      <c r="FV49" s="724" t="inlineStr">
        <is>
          <t>TMR1</t>
        </is>
      </c>
      <c r="FW49" s="497" t="n"/>
      <c r="FX49" s="497" t="n"/>
      <c r="FY49" s="604">
        <f>FQ13</f>
        <v/>
      </c>
      <c r="FZ49" s="497">
        <f>GC48</f>
        <v/>
      </c>
      <c r="GA49" s="497" t="n"/>
      <c r="GB49" s="497" t="n"/>
      <c r="GC49" s="593">
        <f>IF(AND(FX49:GB49),1,0)</f>
        <v/>
      </c>
      <c r="GD49" s="742" t="n"/>
      <c r="GE49" s="742" t="n"/>
      <c r="GF49" s="592" t="n">
        <v>46</v>
      </c>
      <c r="GG49" s="597" t="n"/>
      <c r="GH49" s="724" t="n"/>
      <c r="GI49" s="497" t="n"/>
      <c r="GJ49" s="497" t="n"/>
      <c r="GK49" s="592">
        <f>GO47</f>
        <v/>
      </c>
      <c r="GL49" s="497" t="n"/>
      <c r="GM49" s="497" t="n"/>
      <c r="GN49" s="497" t="n"/>
      <c r="GO49" s="593">
        <f>IF(AND(GJ49:GN49),1,0)</f>
        <v/>
      </c>
      <c r="GP49" s="742" t="n"/>
      <c r="GQ49" s="742" t="n"/>
      <c r="GR49" s="742" t="n"/>
      <c r="GS49" s="742" t="n"/>
      <c r="GT49" s="742" t="n"/>
      <c r="GU49" s="592" t="n">
        <v>46</v>
      </c>
      <c r="GV49" s="597" t="n"/>
      <c r="GW49" s="724" t="n"/>
      <c r="GX49" s="497" t="n"/>
      <c r="GY49" s="497" t="n"/>
      <c r="GZ49" s="757">
        <f>IF(OR(HD11,HD16,HD25,HD26),1,0)</f>
        <v/>
      </c>
      <c r="HA49" s="497" t="n"/>
      <c r="HB49" s="497" t="n"/>
      <c r="HC49" s="497" t="n"/>
      <c r="HD49" s="602">
        <f>IF(AND(GY49:HC49),1,0)</f>
        <v/>
      </c>
      <c r="HE49" s="742" t="n"/>
      <c r="HF49" s="742" t="n"/>
      <c r="HG49" s="742" t="n"/>
      <c r="HH49" s="742" t="n"/>
      <c r="HI49" s="742" t="n"/>
      <c r="HJ49" s="742" t="n"/>
      <c r="HK49" s="592" t="n">
        <v>46</v>
      </c>
      <c r="HL49" s="497" t="n"/>
      <c r="HM49" s="497" t="n"/>
      <c r="HN49" s="497" t="n"/>
      <c r="HO49" s="497" t="n"/>
      <c r="HP49" s="757">
        <f>HT27</f>
        <v/>
      </c>
      <c r="HQ49" s="497" t="n"/>
      <c r="HR49" s="497" t="n"/>
      <c r="HS49" s="497" t="n"/>
      <c r="HT49" s="593">
        <f>IF(AND(HO49:HS49),1,0)</f>
        <v/>
      </c>
      <c r="HU49" s="742" t="n"/>
      <c r="HV49" s="742" t="n"/>
      <c r="HW49" s="742" t="n"/>
      <c r="HX49" s="742" t="n"/>
      <c r="HY49" s="742" t="n"/>
      <c r="HZ49" s="742" t="n"/>
      <c r="IA49" s="742" t="n"/>
      <c r="IB49" s="742" t="n"/>
      <c r="IC49" s="742" t="n"/>
      <c r="ID49" s="742" t="n"/>
      <c r="IE49" s="742" t="n"/>
      <c r="IF49" s="742" t="n"/>
      <c r="IG49" s="742" t="n"/>
      <c r="IH49" s="742" t="n"/>
      <c r="II49" s="742" t="n"/>
      <c r="IJ49" s="742" t="n"/>
      <c r="IK49" s="742" t="n"/>
      <c r="IL49" s="742" t="n"/>
      <c r="IM49" s="742" t="n"/>
      <c r="IN49" s="742" t="n"/>
      <c r="IO49" s="742" t="n"/>
      <c r="IP49" s="742" t="n"/>
      <c r="IQ49" s="742" t="n"/>
      <c r="IR49" s="742" t="n"/>
      <c r="IS49" s="742" t="n"/>
      <c r="IT49" s="742" t="n"/>
      <c r="IU49" s="742" t="n"/>
      <c r="IV49" s="742" t="n"/>
      <c r="IW49" s="742" t="n"/>
      <c r="IX49" s="742" t="n"/>
      <c r="IY49" s="742" t="n"/>
      <c r="IZ49" s="267" t="n"/>
      <c r="JA49" s="742" t="n"/>
      <c r="JB49" s="742" t="n"/>
      <c r="JC49" s="742" t="n"/>
      <c r="JD49" s="742" t="n"/>
      <c r="JE49" s="742" t="n"/>
      <c r="JF49" s="742" t="n"/>
      <c r="JG49" s="267" t="n"/>
      <c r="JH49" s="742" t="n"/>
      <c r="JI49" s="742" t="n"/>
      <c r="JJ49" s="742" t="n"/>
      <c r="JK49" s="742" t="n"/>
      <c r="JL49" s="742" t="n"/>
      <c r="JM49" s="742" t="n"/>
      <c r="JN49" s="742" t="n"/>
      <c r="JO49" s="742" t="n"/>
      <c r="JP49" s="742" t="n"/>
      <c r="JQ49" s="742" t="n"/>
      <c r="JR49" s="742" t="n"/>
      <c r="JS49" s="742" t="n"/>
      <c r="JT49" s="742" t="n"/>
      <c r="JU49" s="742" t="n"/>
      <c r="JV49" s="742" t="n"/>
      <c r="JW49" s="742" t="n"/>
      <c r="JX49" s="742" t="n"/>
      <c r="JY49" s="742" t="n"/>
      <c r="JZ49" s="742" t="n"/>
      <c r="KA49" s="742" t="n"/>
      <c r="KB49" s="742" t="n"/>
      <c r="KC49" s="742" t="n"/>
      <c r="KD49" s="742" t="n"/>
      <c r="KE49" s="742" t="n"/>
      <c r="KF49" s="742" t="n"/>
      <c r="KG49" s="742" t="n"/>
      <c r="KH49" s="742" t="n"/>
      <c r="KI49" s="742" t="n"/>
      <c r="KJ49" s="742" t="n"/>
      <c r="KK49" s="742" t="n"/>
      <c r="KL49" s="742" t="n"/>
      <c r="KM49" s="742" t="n"/>
      <c r="KN49" s="742" t="n"/>
      <c r="KO49" s="742" t="n"/>
      <c r="KP49" s="592" t="n">
        <v>46</v>
      </c>
      <c r="KQ49" s="497" t="n"/>
      <c r="KR49" s="724" t="inlineStr">
        <is>
          <t xml:space="preserve">SMDR 110 V DC </t>
        </is>
      </c>
      <c r="KS49" s="497" t="n"/>
      <c r="KT49" s="724" t="n"/>
      <c r="KU49" s="605">
        <f>KL21</f>
        <v/>
      </c>
      <c r="KV49" s="597" t="n"/>
      <c r="KW49" s="497" t="n"/>
      <c r="KX49" s="497" t="n"/>
      <c r="KY49" s="593">
        <f>IF(AND(KT49:KX49),1,0)</f>
        <v/>
      </c>
      <c r="KZ49" s="742" t="n"/>
      <c r="LA49" s="742" t="n"/>
      <c r="LB49" s="592" t="n">
        <v>46</v>
      </c>
      <c r="LC49" s="497" t="n"/>
      <c r="LD49" s="724" t="inlineStr">
        <is>
          <t>COMPRESSOR 3
Pa=7,5kW
p.f.=0,75</t>
        </is>
      </c>
      <c r="LE49" s="497" t="n"/>
      <c r="LF49" s="724" t="n"/>
      <c r="LG49" s="605">
        <f>LN19</f>
        <v/>
      </c>
      <c r="LH49" s="724">
        <f>LK48</f>
        <v/>
      </c>
      <c r="LI49" s="757">
        <f>LK83</f>
        <v/>
      </c>
      <c r="LJ49" s="757">
        <f>LK114</f>
        <v/>
      </c>
      <c r="LK49" s="593">
        <f>IF(AND(LF49:LJ49),1,0)</f>
        <v/>
      </c>
      <c r="LL49" s="742" t="n"/>
      <c r="LM49" s="742" t="n"/>
      <c r="LN49" s="742" t="n"/>
      <c r="LO49" s="742" t="n"/>
      <c r="LP49" s="742" t="n"/>
      <c r="LQ49" s="742" t="n"/>
      <c r="LR49" s="592" t="n">
        <v>46</v>
      </c>
      <c r="LS49" s="497" t="n"/>
      <c r="LT49" s="724" t="inlineStr">
        <is>
          <t>SMRR</t>
        </is>
      </c>
      <c r="LU49" s="497" t="n"/>
      <c r="LV49" s="724" t="n"/>
      <c r="LW49" s="605">
        <f>MD11</f>
        <v/>
      </c>
      <c r="LX49" s="724" t="n"/>
      <c r="LY49" s="497" t="n"/>
      <c r="LZ49" s="497" t="n"/>
      <c r="MA49" s="593">
        <f>IF(AND(LV49:LZ49),1,0)</f>
        <v/>
      </c>
      <c r="MB49" s="742" t="n"/>
      <c r="MC49" s="742" t="n"/>
      <c r="MD49" s="742" t="n"/>
      <c r="ME49" s="742" t="n"/>
      <c r="MF49" s="742" t="n"/>
      <c r="MG49" s="742" t="n"/>
      <c r="MH49" s="592" t="n">
        <v>46</v>
      </c>
      <c r="MI49" s="497" t="n"/>
      <c r="MJ49" s="724" t="inlineStr">
        <is>
          <t>SFC OFF</t>
        </is>
      </c>
      <c r="MK49" s="497" t="n"/>
      <c r="ML49" s="724" t="n"/>
      <c r="MM49" s="605">
        <f>MT15</f>
        <v/>
      </c>
      <c r="MN49" s="724" t="n"/>
      <c r="MO49" s="497" t="n"/>
      <c r="MP49" s="497" t="n"/>
      <c r="MQ49" s="593">
        <f>IF(AND(ML49:MP49),1,0)</f>
        <v/>
      </c>
      <c r="MR49" s="742" t="n"/>
      <c r="MS49" s="742" t="n"/>
      <c r="MT49" s="742" t="n"/>
      <c r="MU49" s="742" t="n"/>
      <c r="MV49" s="742" t="n"/>
      <c r="MW49" s="742" t="n"/>
      <c r="MX49" s="742" t="n"/>
      <c r="MY49" s="742" t="n"/>
      <c r="MZ49" s="742" t="n"/>
      <c r="NA49" s="742" t="n"/>
      <c r="NB49" s="742" t="n"/>
      <c r="NC49" s="742" t="n"/>
      <c r="ND49" s="742" t="n"/>
      <c r="NE49" s="742" t="n"/>
      <c r="NF49" s="742" t="n"/>
      <c r="NG49" s="742" t="n"/>
      <c r="NH49" s="742" t="n"/>
      <c r="NI49" s="742" t="n"/>
      <c r="NJ49" s="742" t="n"/>
      <c r="NK49" s="742" t="n"/>
      <c r="NL49" s="742" t="n"/>
      <c r="NM49" s="742" t="n"/>
      <c r="NN49" s="742" t="n"/>
      <c r="NO49" s="742" t="n"/>
      <c r="NP49" s="742" t="n"/>
      <c r="NQ49" s="742" t="n"/>
    </row>
    <row r="50" ht="31.5" customHeight="1">
      <c r="A50" s="590" t="n">
        <v>47</v>
      </c>
      <c r="B50" s="497" t="n"/>
      <c r="C50" s="757" t="inlineStr">
        <is>
          <t>GROUND</t>
        </is>
      </c>
      <c r="D50" s="497" t="n"/>
      <c r="E50" s="497" t="n"/>
      <c r="F50" s="621" t="n">
        <v>1</v>
      </c>
      <c r="G50" s="592" t="n"/>
      <c r="H50" s="497" t="n"/>
      <c r="I50" s="497" t="n"/>
      <c r="J50" s="593">
        <f>IF(AND(E50:I50),1,0)</f>
        <v/>
      </c>
      <c r="P50" s="592" t="n">
        <v>47</v>
      </c>
      <c r="Q50" s="497" t="n"/>
      <c r="R50" s="592" t="n"/>
      <c r="S50" s="497" t="n"/>
      <c r="T50" s="497" t="n"/>
      <c r="U50" s="757">
        <f>Y37</f>
        <v/>
      </c>
      <c r="V50" s="592" t="n"/>
      <c r="W50" s="592" t="n"/>
      <c r="X50" s="592" t="n"/>
      <c r="Y50" s="593">
        <f>IF(AND(T50:X50),1,0)</f>
        <v/>
      </c>
      <c r="AF50" s="592" t="n">
        <v>47</v>
      </c>
      <c r="AG50" s="599" t="n"/>
      <c r="AH50" s="597" t="n"/>
      <c r="AI50" s="497" t="n"/>
      <c r="AJ50" s="497" t="n"/>
      <c r="AK50" s="619">
        <f>AO49</f>
        <v/>
      </c>
      <c r="AL50" s="592" t="n"/>
      <c r="AM50" s="592" t="n"/>
      <c r="AN50" s="592" t="n"/>
      <c r="AO50" s="593">
        <f>IF(AND(AJ50:AN50),1,0)</f>
        <v/>
      </c>
      <c r="AS50" s="742" t="n"/>
      <c r="AT50" s="497" t="n"/>
      <c r="AU50" s="497" t="n"/>
      <c r="BI50" s="592" t="n">
        <v>47</v>
      </c>
      <c r="BJ50" s="497" t="n"/>
      <c r="BK50" s="497" t="n"/>
      <c r="BL50" s="497" t="n"/>
      <c r="BM50" s="497" t="n"/>
      <c r="BN50" s="609">
        <f>BR12</f>
        <v/>
      </c>
      <c r="BO50" s="497" t="n"/>
      <c r="BP50" s="497" t="n"/>
      <c r="BQ50" s="497" t="n"/>
      <c r="BR50" s="593">
        <f>IF(AND(BM50:BQ50),1,0)</f>
        <v/>
      </c>
      <c r="BX50" s="592" t="n">
        <v>47</v>
      </c>
      <c r="BY50" s="497" t="n"/>
      <c r="BZ50" s="497" t="n"/>
      <c r="CA50" s="497" t="n"/>
      <c r="CB50" s="497" t="n"/>
      <c r="CC50" s="609">
        <f>CG12</f>
        <v/>
      </c>
      <c r="CD50" s="497" t="n"/>
      <c r="CE50" s="497" t="n"/>
      <c r="CF50" s="497" t="n"/>
      <c r="CG50" s="593">
        <f>IF(AND(CB50:CF50),1,0)</f>
        <v/>
      </c>
      <c r="CI50" s="592" t="n">
        <v>47</v>
      </c>
      <c r="CJ50" s="497" t="n"/>
      <c r="CK50" s="592" t="n"/>
      <c r="CL50" s="497" t="n"/>
      <c r="CM50" s="497" t="n"/>
      <c r="CN50" s="497">
        <f>CR49</f>
        <v/>
      </c>
      <c r="CO50" s="497" t="n"/>
      <c r="CP50" s="497" t="n"/>
      <c r="CQ50" s="497" t="n"/>
      <c r="CR50" s="593">
        <f>IF(AND(CM50:CQ50),1,0)</f>
        <v/>
      </c>
      <c r="DK50" s="592" t="n">
        <v>47</v>
      </c>
      <c r="DL50" s="597" t="n"/>
      <c r="DM50" s="757" t="inlineStr">
        <is>
          <t>HEATING P=1.5W</t>
        </is>
      </c>
      <c r="DN50" s="497" t="n"/>
      <c r="DO50" s="497" t="n"/>
      <c r="DP50" s="600">
        <f>DW16</f>
        <v/>
      </c>
      <c r="DQ50" s="497" t="n"/>
      <c r="DR50" s="497" t="n"/>
      <c r="DS50" s="497" t="n"/>
      <c r="DT50" s="593">
        <f>IF(AND(DO50:DS50),1,0)</f>
        <v/>
      </c>
      <c r="DZ50" s="592" t="n">
        <v>47</v>
      </c>
      <c r="EA50" s="597" t="n"/>
      <c r="EC50" s="497" t="n"/>
      <c r="ED50" s="497" t="n"/>
      <c r="EE50" s="497">
        <f>EI49</f>
        <v/>
      </c>
      <c r="EF50" s="497" t="n"/>
      <c r="EG50" s="497" t="n"/>
      <c r="EH50" s="497" t="n"/>
      <c r="EI50" s="602">
        <f>IF(AND(ED50:EH50),1,0)</f>
        <v/>
      </c>
      <c r="EO50" s="592" t="n">
        <v>47</v>
      </c>
      <c r="EP50" s="597" t="n"/>
      <c r="EQ50" s="592" t="n"/>
      <c r="ER50" s="497" t="n"/>
      <c r="ES50" s="497" t="n"/>
      <c r="ET50" s="497">
        <f>EX34</f>
        <v/>
      </c>
      <c r="EU50" s="497" t="n"/>
      <c r="EV50" s="497" t="n"/>
      <c r="EW50" s="497" t="n"/>
      <c r="EX50" s="593">
        <f>IF(AND(ES50:EW50),1,0)</f>
        <v/>
      </c>
      <c r="FE50" s="592" t="n">
        <v>47</v>
      </c>
      <c r="FF50" s="597" t="n"/>
      <c r="FG50" s="592" t="n"/>
      <c r="FH50" s="497" t="n"/>
      <c r="FI50" s="497" t="n"/>
      <c r="FJ50" s="497">
        <f>FN34</f>
        <v/>
      </c>
      <c r="FK50" s="497" t="n"/>
      <c r="FL50" s="497" t="n"/>
      <c r="FM50" s="497" t="n"/>
      <c r="FN50" s="593">
        <f>IF(AND(FI50:FM50),1,0)</f>
        <v/>
      </c>
      <c r="FT50" s="592" t="n">
        <v>47</v>
      </c>
      <c r="FU50" s="597" t="n"/>
      <c r="FV50" s="724" t="n"/>
      <c r="FW50" s="497" t="n"/>
      <c r="FX50" s="497" t="n"/>
      <c r="FY50" s="497">
        <f>GC49</f>
        <v/>
      </c>
      <c r="FZ50" s="497" t="n"/>
      <c r="GA50" s="497" t="n"/>
      <c r="GB50" s="497" t="n"/>
      <c r="GC50" s="593">
        <f>IF(AND(FX50:GB50),1,0)</f>
        <v/>
      </c>
      <c r="GF50" s="592" t="n">
        <v>47</v>
      </c>
      <c r="GG50" s="597" t="n"/>
      <c r="GH50" s="724" t="n"/>
      <c r="GI50" s="497" t="n"/>
      <c r="GJ50" s="497" t="n"/>
      <c r="GK50" s="592">
        <f>GO20</f>
        <v/>
      </c>
      <c r="GL50" s="497" t="n"/>
      <c r="GM50" s="497" t="n"/>
      <c r="GN50" s="497" t="n"/>
      <c r="GO50" s="593">
        <f>IF(AND(GJ50:GN50),1,0)</f>
        <v/>
      </c>
      <c r="GU50" s="592" t="n">
        <v>47</v>
      </c>
      <c r="GV50" s="597" t="n"/>
      <c r="GW50" s="724" t="inlineStr">
        <is>
          <t>M DAMPER (FRESH AIR DAMPER 1 RAD 1)</t>
        </is>
      </c>
      <c r="GX50" s="497" t="n"/>
      <c r="GY50" s="497" t="n"/>
      <c r="GZ50" s="600">
        <f>HG13</f>
        <v/>
      </c>
      <c r="HA50" s="497">
        <f>HD13</f>
        <v/>
      </c>
      <c r="HB50" s="497">
        <f>HD11</f>
        <v/>
      </c>
      <c r="HC50" s="497" t="n"/>
      <c r="HD50" s="602">
        <f>IF(AND(GY50:HC50),1,0)</f>
        <v/>
      </c>
      <c r="HK50" s="592" t="n">
        <v>47</v>
      </c>
      <c r="HL50" s="497" t="n"/>
      <c r="HM50" s="497" t="n"/>
      <c r="HN50" s="497" t="n"/>
      <c r="HO50" s="497" t="n"/>
      <c r="HP50" s="757">
        <f>HT49</f>
        <v/>
      </c>
      <c r="HQ50" s="497" t="n"/>
      <c r="HR50" s="497" t="n"/>
      <c r="HS50" s="497" t="n"/>
      <c r="HT50" s="593">
        <f>IF(AND(HO50:HS50),1,0)</f>
        <v/>
      </c>
      <c r="KP50" s="592" t="n">
        <v>47</v>
      </c>
      <c r="KQ50" s="497" t="n"/>
      <c r="KR50" s="724" t="n"/>
      <c r="KS50" s="497" t="n"/>
      <c r="KT50" s="724" t="n"/>
      <c r="KU50" s="724">
        <f>KY51</f>
        <v/>
      </c>
      <c r="KV50" s="597" t="n"/>
      <c r="KW50" s="497" t="n"/>
      <c r="KX50" s="497" t="n"/>
      <c r="KY50" s="593">
        <f>IF(AND(KT50:KX50),1,0)</f>
        <v/>
      </c>
      <c r="LB50" s="592" t="n">
        <v>47</v>
      </c>
      <c r="LC50" s="497" t="n"/>
      <c r="LD50" s="724" t="n"/>
      <c r="LE50" s="497" t="n"/>
      <c r="LF50" s="724" t="n"/>
      <c r="LG50" s="267" t="n">
        <v>1</v>
      </c>
      <c r="LH50" s="724" t="n"/>
      <c r="LI50" s="497" t="n"/>
      <c r="LJ50" s="497" t="n"/>
      <c r="LK50" s="593">
        <f>IF(AND(LF50:LJ50),1,0)</f>
        <v/>
      </c>
      <c r="LR50" s="592" t="n">
        <v>47</v>
      </c>
      <c r="LS50" s="497" t="n"/>
      <c r="LT50" s="724" t="inlineStr">
        <is>
          <t>SMDR 1</t>
        </is>
      </c>
      <c r="LU50" s="497" t="n"/>
      <c r="LV50" s="724" t="n"/>
      <c r="LW50" s="605">
        <f>MD12</f>
        <v/>
      </c>
      <c r="LX50" s="724" t="n"/>
      <c r="LY50" s="497" t="n"/>
      <c r="LZ50" s="497" t="n"/>
      <c r="MA50" s="593">
        <f>IF(AND(LV50:LZ50),1,0)</f>
        <v/>
      </c>
      <c r="MH50" s="592" t="n">
        <v>47</v>
      </c>
      <c r="MI50" s="497" t="n"/>
      <c r="MJ50" s="724" t="n"/>
      <c r="MK50" s="497" t="n"/>
      <c r="ML50" s="724" t="n"/>
      <c r="MM50" s="612" t="n">
        <v>1</v>
      </c>
      <c r="MN50" s="724" t="n"/>
      <c r="MO50" s="497" t="n"/>
      <c r="MP50" s="497" t="n"/>
      <c r="MQ50" s="593">
        <f>IF(AND(ML50:MP50),1,0)</f>
        <v/>
      </c>
    </row>
    <row r="51" ht="29.25" customHeight="1">
      <c r="A51" s="590" t="n">
        <v>48</v>
      </c>
      <c r="B51" s="497" t="n"/>
      <c r="C51" s="497" t="n"/>
      <c r="D51" s="497" t="n"/>
      <c r="E51" s="497" t="n"/>
      <c r="F51" s="591" t="n">
        <v>1</v>
      </c>
      <c r="G51" s="592" t="n"/>
      <c r="H51" s="497" t="n"/>
      <c r="I51" s="497" t="n"/>
      <c r="J51" s="593">
        <f>IF(AND(E51:I51),1,0)</f>
        <v/>
      </c>
      <c r="P51" s="592" t="n">
        <v>48</v>
      </c>
      <c r="Q51" s="497" t="n"/>
      <c r="R51" s="592" t="n"/>
      <c r="S51" s="497" t="n"/>
      <c r="T51" s="497" t="n"/>
      <c r="U51" s="757">
        <f>Y46</f>
        <v/>
      </c>
      <c r="V51" s="592" t="n"/>
      <c r="W51" s="592" t="n"/>
      <c r="X51" s="592" t="n"/>
      <c r="Y51" s="593">
        <f>IF(AND(T51:X51),1,0)</f>
        <v/>
      </c>
      <c r="AF51" s="592" t="n">
        <v>48</v>
      </c>
      <c r="AG51" s="599" t="n"/>
      <c r="AH51" s="597" t="n"/>
      <c r="AI51" s="497" t="n"/>
      <c r="AJ51" s="497" t="n"/>
      <c r="AK51" s="619">
        <f>AO38</f>
        <v/>
      </c>
      <c r="AL51" s="497" t="n"/>
      <c r="AM51" s="497" t="n"/>
      <c r="AN51" s="497" t="n"/>
      <c r="AO51" s="593">
        <f>IF(AND(AJ51:AN51),1,0)</f>
        <v/>
      </c>
      <c r="AS51" s="742" t="n"/>
      <c r="AT51" s="597" t="inlineStr">
        <is>
          <t>UD.X11.02-F_+11.52</t>
        </is>
      </c>
      <c r="AU51" s="592" t="n"/>
      <c r="BI51" s="592" t="n">
        <v>48</v>
      </c>
      <c r="BJ51" s="497" t="n"/>
      <c r="BK51" s="497" t="inlineStr">
        <is>
          <t>EMR</t>
        </is>
      </c>
      <c r="BL51" s="497" t="n"/>
      <c r="BM51" s="497" t="n"/>
      <c r="BN51" s="604">
        <f>BU8</f>
        <v/>
      </c>
      <c r="BO51" s="497">
        <f>BR50</f>
        <v/>
      </c>
      <c r="BP51" s="497" t="n"/>
      <c r="BQ51" s="497" t="n"/>
      <c r="BR51" s="593">
        <f>IF(AND(BM51:BQ51),1,0)</f>
        <v/>
      </c>
      <c r="BX51" s="592" t="n">
        <v>48</v>
      </c>
      <c r="BY51" s="497" t="n"/>
      <c r="BZ51" s="497" t="inlineStr">
        <is>
          <t>EMR</t>
        </is>
      </c>
      <c r="CA51" s="497" t="n"/>
      <c r="CB51" s="497" t="n"/>
      <c r="CC51" s="604">
        <f>BU8</f>
        <v/>
      </c>
      <c r="CD51" s="497">
        <f>CG50</f>
        <v/>
      </c>
      <c r="CE51" s="497" t="n"/>
      <c r="CF51" s="497" t="n"/>
      <c r="CG51" s="593">
        <f>IF(AND(CB51:CF51),1,0)</f>
        <v/>
      </c>
      <c r="CI51" s="592" t="n">
        <v>48</v>
      </c>
      <c r="CJ51" s="497" t="n"/>
      <c r="CK51" s="592" t="n"/>
      <c r="CL51" s="497" t="n"/>
      <c r="CM51" s="497" t="n"/>
      <c r="CN51" s="497">
        <f>CR49</f>
        <v/>
      </c>
      <c r="CO51" s="497" t="n"/>
      <c r="CP51" s="497" t="n"/>
      <c r="CQ51" s="497" t="n"/>
      <c r="CR51" s="593">
        <f>IF(AND(CM51:CQ51),1,0)</f>
        <v/>
      </c>
      <c r="DK51" s="592" t="n">
        <v>48</v>
      </c>
      <c r="DL51" s="597" t="n"/>
      <c r="DM51" s="757" t="inlineStr">
        <is>
          <t>HEATING P=1.5W</t>
        </is>
      </c>
      <c r="DN51" s="497" t="n"/>
      <c r="DO51" s="497" t="n"/>
      <c r="DP51" s="600">
        <f>DW16</f>
        <v/>
      </c>
      <c r="DQ51" s="497" t="n"/>
      <c r="DR51" s="497" t="n"/>
      <c r="DS51" s="497" t="n"/>
      <c r="DT51" s="593">
        <f>IF(AND(DO51:DS51),1,0)</f>
        <v/>
      </c>
      <c r="DZ51" s="592" t="n">
        <v>48</v>
      </c>
      <c r="EA51" s="597" t="inlineStr">
        <is>
          <t>X5</t>
        </is>
      </c>
      <c r="EB51" s="592" t="inlineStr">
        <is>
          <t>RS 485-</t>
        </is>
      </c>
      <c r="EC51" s="497" t="n"/>
      <c r="ED51" s="497" t="n"/>
      <c r="EE51" s="596" t="n">
        <v>1</v>
      </c>
      <c r="EF51" s="497" t="n"/>
      <c r="EG51" s="497" t="n"/>
      <c r="EH51" s="497" t="n"/>
      <c r="EI51" s="602">
        <f>IF(AND(ED51:EH51),1,0)</f>
        <v/>
      </c>
      <c r="EO51" s="592" t="n">
        <v>48</v>
      </c>
      <c r="EP51" s="597" t="n"/>
      <c r="EQ51" s="592" t="n"/>
      <c r="ER51" s="497" t="n"/>
      <c r="ES51" s="497" t="n"/>
      <c r="ET51" s="497">
        <f>EX50</f>
        <v/>
      </c>
      <c r="EU51" s="497" t="n"/>
      <c r="EV51" s="497" t="n"/>
      <c r="EW51" s="497" t="n"/>
      <c r="EX51" s="593">
        <f>IF(AND(ES51:EW51),1,0)</f>
        <v/>
      </c>
      <c r="FE51" s="592" t="n">
        <v>48</v>
      </c>
      <c r="FF51" s="597" t="n"/>
      <c r="FG51" s="592" t="n"/>
      <c r="FH51" s="497" t="n"/>
      <c r="FI51" s="497" t="n"/>
      <c r="FJ51" s="497">
        <f>FN50</f>
        <v/>
      </c>
      <c r="FK51" s="497" t="n"/>
      <c r="FL51" s="497" t="n"/>
      <c r="FM51" s="497" t="n"/>
      <c r="FN51" s="593">
        <f>IF(AND(FI51:FM51),1,0)</f>
        <v/>
      </c>
      <c r="FT51" s="592" t="n">
        <v>48</v>
      </c>
      <c r="FU51" s="597" t="n"/>
      <c r="FV51" s="724" t="n"/>
      <c r="FW51" s="497" t="n"/>
      <c r="FX51" s="497" t="n"/>
      <c r="FY51" s="497">
        <f>GC35</f>
        <v/>
      </c>
      <c r="FZ51" s="497" t="n"/>
      <c r="GA51" s="497" t="n"/>
      <c r="GB51" s="497" t="n"/>
      <c r="GC51" s="593">
        <f>IF(AND(FX51:GB51),1,0)</f>
        <v/>
      </c>
      <c r="GF51" s="592" t="n">
        <v>48</v>
      </c>
      <c r="GG51" s="597" t="n"/>
      <c r="GH51" s="724" t="n"/>
      <c r="GI51" s="497" t="n"/>
      <c r="GJ51" s="497" t="n"/>
      <c r="GK51" s="592">
        <f>GO50</f>
        <v/>
      </c>
      <c r="GL51" s="497" t="n"/>
      <c r="GM51" s="497" t="n"/>
      <c r="GN51" s="497" t="n"/>
      <c r="GO51" s="593">
        <f>IF(AND(GJ51:GN51),1,0)</f>
        <v/>
      </c>
      <c r="GU51" s="592" t="n">
        <v>48</v>
      </c>
      <c r="GV51" s="597" t="n"/>
      <c r="GW51" s="724" t="n"/>
      <c r="GX51" s="497" t="n"/>
      <c r="GY51" s="497" t="n"/>
      <c r="GZ51" s="757">
        <f>HD25</f>
        <v/>
      </c>
      <c r="HA51" s="497" t="n"/>
      <c r="HB51" s="497" t="n"/>
      <c r="HC51" s="497" t="n"/>
      <c r="HD51" s="602">
        <f>IF(AND(GY51:HC51),1,0)</f>
        <v/>
      </c>
      <c r="HK51" s="592" t="n">
        <v>48</v>
      </c>
      <c r="HL51" s="497" t="n"/>
      <c r="HM51" s="497" t="n"/>
      <c r="HN51" s="497" t="n"/>
      <c r="HO51" s="497" t="n"/>
      <c r="HP51" s="600">
        <f>IF(OR(HW10:HW11),1,0)</f>
        <v/>
      </c>
      <c r="HQ51" s="497" t="n"/>
      <c r="HR51" s="497" t="n"/>
      <c r="HS51" s="497" t="n"/>
      <c r="HT51" s="593">
        <f>IF(AND(HO51:HS51),1,0)</f>
        <v/>
      </c>
      <c r="KP51" s="592" t="n">
        <v>48</v>
      </c>
      <c r="KQ51" s="497" t="n"/>
      <c r="KR51" s="724" t="inlineStr">
        <is>
          <t>FADR 110 V DC</t>
        </is>
      </c>
      <c r="KS51" s="497" t="n"/>
      <c r="KT51" s="724" t="n"/>
      <c r="KU51" s="605">
        <f>KL22</f>
        <v/>
      </c>
      <c r="KV51" s="597" t="n"/>
      <c r="KW51" s="497" t="n"/>
      <c r="KX51" s="497" t="n"/>
      <c r="KY51" s="593">
        <f>IF(AND(KT51:KX51),1,0)</f>
        <v/>
      </c>
      <c r="LB51" s="592" t="n">
        <v>48</v>
      </c>
      <c r="LC51" s="497" t="n"/>
      <c r="LD51" s="724" t="n"/>
      <c r="LE51" s="497" t="n"/>
      <c r="LF51" s="724" t="n"/>
      <c r="LG51" s="267">
        <f>LK35</f>
        <v/>
      </c>
      <c r="LH51" s="724" t="n"/>
      <c r="LI51" s="497" t="n"/>
      <c r="LJ51" s="497" t="n"/>
      <c r="LK51" s="593">
        <f>IF(AND(LF51:LJ51),1,0)</f>
        <v/>
      </c>
      <c r="LR51" s="592" t="n">
        <v>48</v>
      </c>
      <c r="LS51" s="497" t="n"/>
      <c r="LT51" s="724" t="inlineStr">
        <is>
          <t>SMDR 2</t>
        </is>
      </c>
      <c r="LU51" s="497" t="n"/>
      <c r="LV51" s="724" t="n"/>
      <c r="LW51" s="605">
        <f>MD12</f>
        <v/>
      </c>
      <c r="LX51" s="724" t="n"/>
      <c r="LY51" s="497" t="n"/>
      <c r="LZ51" s="497" t="n"/>
      <c r="MA51" s="593">
        <f>IF(AND(LV51:LZ51),1,0)</f>
        <v/>
      </c>
      <c r="MH51" s="592" t="n">
        <v>48</v>
      </c>
      <c r="MI51" s="497" t="n"/>
      <c r="MJ51" s="724" t="n"/>
      <c r="MK51" s="497" t="n"/>
      <c r="ML51" s="724" t="n"/>
      <c r="MM51" s="724">
        <f>MQ50</f>
        <v/>
      </c>
      <c r="MN51" s="724" t="n"/>
      <c r="MO51" s="497" t="n"/>
      <c r="MP51" s="497" t="n"/>
      <c r="MQ51" s="593">
        <f>IF(AND(ML51:MP51),1,0)</f>
        <v/>
      </c>
    </row>
    <row r="52" ht="35.25" customHeight="1">
      <c r="A52" s="590" t="n">
        <v>49</v>
      </c>
      <c r="B52" s="497" t="n"/>
      <c r="C52" s="497" t="n"/>
      <c r="D52" s="497" t="n"/>
      <c r="E52" s="497" t="n"/>
      <c r="F52" s="757">
        <f>J51</f>
        <v/>
      </c>
      <c r="G52" s="592" t="n"/>
      <c r="H52" s="497" t="n"/>
      <c r="I52" s="497" t="n"/>
      <c r="J52" s="593">
        <f>IF(AND(E52:I52),1,0)</f>
        <v/>
      </c>
      <c r="P52" s="592" t="n">
        <v>49</v>
      </c>
      <c r="Q52" s="497" t="n"/>
      <c r="R52" s="592" t="n"/>
      <c r="S52" s="497" t="n"/>
      <c r="T52" s="497" t="n"/>
      <c r="U52" s="757">
        <f>Y48</f>
        <v/>
      </c>
      <c r="V52" s="592">
        <f>Y51</f>
        <v/>
      </c>
      <c r="W52" s="592" t="n"/>
      <c r="X52" s="592" t="n"/>
      <c r="Y52" s="593">
        <f>IF(AND(T52:X52),1,0)</f>
        <v/>
      </c>
      <c r="AF52" s="592" t="n">
        <v>49</v>
      </c>
      <c r="AG52" s="599" t="n"/>
      <c r="AH52" s="597" t="n"/>
      <c r="AI52" s="497" t="n"/>
      <c r="AJ52" s="497" t="n"/>
      <c r="AK52" s="609">
        <f>AO47</f>
        <v/>
      </c>
      <c r="AL52" s="497">
        <f>AO51</f>
        <v/>
      </c>
      <c r="AM52" s="497" t="n"/>
      <c r="AN52" s="497" t="n"/>
      <c r="AO52" s="593">
        <f>IF(AND(AJ52:AN52),1,0)</f>
        <v/>
      </c>
      <c r="AS52" s="742" t="n"/>
      <c r="AT52" s="497" t="n"/>
      <c r="AU52" s="497" t="n"/>
      <c r="BI52" s="592" t="n">
        <v>49</v>
      </c>
      <c r="BJ52" s="497" t="n"/>
      <c r="BK52" s="497" t="n"/>
      <c r="BL52" s="497" t="n"/>
      <c r="BM52" s="497" t="n"/>
      <c r="BN52" s="609">
        <f>BR51</f>
        <v/>
      </c>
      <c r="BO52" s="497" t="n"/>
      <c r="BP52" s="497" t="n"/>
      <c r="BQ52" s="497" t="n"/>
      <c r="BR52" s="593">
        <f>IF(AND(BM52:BQ52),1,0)</f>
        <v/>
      </c>
      <c r="BX52" s="592" t="n">
        <v>49</v>
      </c>
      <c r="BY52" s="497" t="n"/>
      <c r="BZ52" s="497" t="n"/>
      <c r="CA52" s="497" t="n"/>
      <c r="CB52" s="497" t="n"/>
      <c r="CC52" s="609">
        <f>CG51</f>
        <v/>
      </c>
      <c r="CD52" s="497" t="n"/>
      <c r="CE52" s="497" t="n"/>
      <c r="CF52" s="497" t="n"/>
      <c r="CG52" s="593">
        <f>IF(AND(CB52:CF52),1,0)</f>
        <v/>
      </c>
      <c r="CI52" s="592" t="n">
        <v>49</v>
      </c>
      <c r="CJ52" s="497" t="n"/>
      <c r="CK52" s="592" t="n"/>
      <c r="CL52" s="497" t="n"/>
      <c r="CM52" s="497" t="n"/>
      <c r="CN52" s="497">
        <f>CR51</f>
        <v/>
      </c>
      <c r="CO52" s="497" t="n"/>
      <c r="CP52" s="497" t="n"/>
      <c r="CQ52" s="497" t="n"/>
      <c r="CR52" s="593">
        <f>IF(AND(CM52:CQ52),1,0)</f>
        <v/>
      </c>
      <c r="DK52" s="592" t="n">
        <v>49</v>
      </c>
      <c r="DL52" s="597" t="n"/>
      <c r="DM52" s="592" t="inlineStr">
        <is>
          <t>FROM APS 415 VAC(L2)</t>
        </is>
      </c>
      <c r="DN52" s="497" t="n"/>
      <c r="DO52" s="497" t="n"/>
      <c r="DP52" s="591" t="n">
        <v>1</v>
      </c>
      <c r="DQ52" s="497" t="n"/>
      <c r="DR52" s="497" t="n"/>
      <c r="DS52" s="497" t="n"/>
      <c r="DT52" s="593">
        <f>IF(AND(DO52:DS52),1,0)</f>
        <v/>
      </c>
      <c r="DZ52" s="592" t="n">
        <v>49</v>
      </c>
      <c r="EA52" s="597" t="n"/>
      <c r="EB52" s="592" t="n"/>
      <c r="EC52" s="497" t="n"/>
      <c r="ED52" s="497" t="n"/>
      <c r="EE52" s="497">
        <f>EI51</f>
        <v/>
      </c>
      <c r="EF52" s="497" t="n"/>
      <c r="EG52" s="497" t="n"/>
      <c r="EH52" s="497" t="n"/>
      <c r="EI52" s="602">
        <f>IF(AND(ED52:EH52),1,0)</f>
        <v/>
      </c>
      <c r="EO52" s="592" t="n">
        <v>49</v>
      </c>
      <c r="EP52" s="597" t="n"/>
      <c r="EQ52" s="592" t="inlineStr">
        <is>
          <t xml:space="preserve">SMOKE DETECTOR </t>
        </is>
      </c>
      <c r="ER52" s="497" t="n"/>
      <c r="ES52" s="497" t="n"/>
      <c r="ET52" s="601">
        <f>FA20</f>
        <v/>
      </c>
      <c r="EU52" s="497" t="n"/>
      <c r="EV52" s="497" t="n"/>
      <c r="EW52" s="497" t="n"/>
      <c r="EX52" s="593">
        <f>IF(AND(ES52:EW52),1,0)</f>
        <v/>
      </c>
      <c r="FE52" s="592" t="n">
        <v>49</v>
      </c>
      <c r="FF52" s="597" t="n"/>
      <c r="FG52" s="592" t="n"/>
      <c r="FH52" s="497" t="n"/>
      <c r="FI52" s="497" t="n"/>
      <c r="FJ52" s="497">
        <f>FN51</f>
        <v/>
      </c>
      <c r="FK52" s="497" t="n"/>
      <c r="FL52" s="497" t="n"/>
      <c r="FM52" s="497" t="n"/>
      <c r="FN52" s="593">
        <f>IF(AND(FI52:FM52),1,0)</f>
        <v/>
      </c>
      <c r="FT52" s="592" t="n">
        <v>49</v>
      </c>
      <c r="FU52" s="597" t="n"/>
      <c r="FV52" s="724" t="n"/>
      <c r="FW52" s="497" t="n"/>
      <c r="FX52" s="497" t="n"/>
      <c r="FY52" s="497">
        <f>GC51</f>
        <v/>
      </c>
      <c r="FZ52" s="497" t="n"/>
      <c r="GA52" s="497" t="n"/>
      <c r="GB52" s="497" t="n"/>
      <c r="GC52" s="593">
        <f>IF(AND(FX52:GB52),1,0)</f>
        <v/>
      </c>
      <c r="GF52" s="592" t="n">
        <v>49</v>
      </c>
      <c r="GG52" s="597" t="n"/>
      <c r="GH52" s="724" t="inlineStr">
        <is>
          <t>SFC OFF</t>
        </is>
      </c>
      <c r="GI52" s="497" t="n"/>
      <c r="GJ52" s="497" t="n"/>
      <c r="GK52" s="604">
        <f>GR15</f>
        <v/>
      </c>
      <c r="GL52" s="497">
        <f>GO51</f>
        <v/>
      </c>
      <c r="GM52" s="497" t="n"/>
      <c r="GN52" s="497" t="n"/>
      <c r="GO52" s="593">
        <f>IF(AND(GJ52:GN52),1,0)</f>
        <v/>
      </c>
      <c r="GU52" s="592" t="n">
        <v>49</v>
      </c>
      <c r="GV52" s="597" t="n"/>
      <c r="GW52" s="724" t="n"/>
      <c r="GX52" s="497" t="n"/>
      <c r="GY52" s="497" t="n"/>
      <c r="GZ52" s="757">
        <f>IF(OR(HD36,HD39,HD21,HD43,HD44),1,0)</f>
        <v/>
      </c>
      <c r="HA52" s="497" t="n"/>
      <c r="HB52" s="497" t="n"/>
      <c r="HC52" s="497" t="n"/>
      <c r="HD52" s="602">
        <f>IF(AND(GY52:HC52),1,0)</f>
        <v/>
      </c>
      <c r="HK52" s="592" t="n">
        <v>49</v>
      </c>
      <c r="HL52" s="497" t="n"/>
      <c r="HM52" s="497" t="n"/>
      <c r="HN52" s="497" t="n"/>
      <c r="HO52" s="497" t="n"/>
      <c r="HP52" s="757">
        <f>HT27</f>
        <v/>
      </c>
      <c r="HQ52" s="497" t="n"/>
      <c r="HR52" s="497" t="n"/>
      <c r="HS52" s="497" t="n"/>
      <c r="HT52" s="593">
        <f>IF(AND(HO52:HS52),1,0)</f>
        <v/>
      </c>
      <c r="KP52" s="592" t="n">
        <v>49</v>
      </c>
      <c r="KQ52" s="497" t="n"/>
      <c r="KR52" s="724" t="n"/>
      <c r="KS52" s="497" t="n"/>
      <c r="KT52" s="724" t="n"/>
      <c r="KU52" s="724">
        <f>KY51</f>
        <v/>
      </c>
      <c r="KV52" s="597" t="n"/>
      <c r="KW52" s="497" t="n"/>
      <c r="KX52" s="497" t="n"/>
      <c r="KY52" s="593">
        <f>IF(AND(KT52:KX52),1,0)</f>
        <v/>
      </c>
      <c r="LB52" s="592" t="n">
        <v>49</v>
      </c>
      <c r="LC52" s="497" t="n"/>
      <c r="LD52" s="724" t="n"/>
      <c r="LE52" s="497" t="n"/>
      <c r="LF52" s="724" t="n"/>
      <c r="LG52" s="267">
        <f>LK116</f>
        <v/>
      </c>
      <c r="LH52" s="724" t="n"/>
      <c r="LI52" s="497" t="n"/>
      <c r="LJ52" s="497" t="n"/>
      <c r="LK52" s="593">
        <f>IF(AND(LF52:LJ52),1,0)</f>
        <v/>
      </c>
      <c r="LR52" s="592" t="n">
        <v>49</v>
      </c>
      <c r="LS52" s="497" t="n"/>
      <c r="LT52" s="724" t="inlineStr">
        <is>
          <t>FADR</t>
        </is>
      </c>
      <c r="LU52" s="497" t="n"/>
      <c r="LV52" s="724" t="n"/>
      <c r="LW52" s="605">
        <f>MD14</f>
        <v/>
      </c>
      <c r="LX52" s="724" t="n"/>
      <c r="LY52" s="497" t="n"/>
      <c r="LZ52" s="497" t="n"/>
      <c r="MA52" s="593">
        <f>IF(AND(LV52:LZ52),1,0)</f>
        <v/>
      </c>
      <c r="MH52" s="592" t="n">
        <v>49</v>
      </c>
      <c r="MI52" s="497" t="n"/>
      <c r="MJ52" s="724" t="n"/>
      <c r="MK52" s="497" t="n"/>
      <c r="ML52" s="724" t="n"/>
      <c r="MM52" s="724">
        <f>MQ51</f>
        <v/>
      </c>
      <c r="MN52" s="724" t="n"/>
      <c r="MO52" s="497" t="n"/>
      <c r="MP52" s="497" t="n"/>
      <c r="MQ52" s="593">
        <f>IF(AND(ML52:MP52),1,0)</f>
        <v/>
      </c>
    </row>
    <row r="53" ht="62.25" customHeight="1">
      <c r="A53" s="590" t="n">
        <v>50</v>
      </c>
      <c r="B53" s="497" t="n"/>
      <c r="C53" s="757" t="inlineStr">
        <is>
          <t>GROUND</t>
        </is>
      </c>
      <c r="D53" s="497" t="n"/>
      <c r="E53" s="497" t="n"/>
      <c r="F53" s="621">
        <f>J52</f>
        <v/>
      </c>
      <c r="G53" s="592" t="n"/>
      <c r="H53" s="497" t="n"/>
      <c r="I53" s="497" t="n"/>
      <c r="J53" s="593">
        <f>IF(AND(E53:I53),1,0)</f>
        <v/>
      </c>
      <c r="P53" s="592" t="n">
        <v>50</v>
      </c>
      <c r="Q53" s="497" t="n"/>
      <c r="R53" s="592" t="n"/>
      <c r="S53" s="497" t="n"/>
      <c r="T53" s="497" t="n"/>
      <c r="U53" s="757">
        <f>Y40</f>
        <v/>
      </c>
      <c r="V53" s="497" t="n"/>
      <c r="W53" s="497" t="n"/>
      <c r="X53" s="497" t="n"/>
      <c r="Y53" s="593">
        <f>IF(AND(T53:X53),1,0)</f>
        <v/>
      </c>
      <c r="AF53" s="592" t="n">
        <v>50</v>
      </c>
      <c r="AG53" s="599" t="n"/>
      <c r="AH53" s="597" t="n"/>
      <c r="AI53" s="497" t="n"/>
      <c r="AJ53" s="497" t="n"/>
      <c r="AK53" s="609">
        <f>AO49</f>
        <v/>
      </c>
      <c r="AL53" s="497">
        <f>AO52</f>
        <v/>
      </c>
      <c r="AM53" s="497" t="n"/>
      <c r="AN53" s="497" t="n"/>
      <c r="AO53" s="593">
        <f>IF(AND(AJ53:AN53),1,0)</f>
        <v/>
      </c>
      <c r="AS53" s="742" t="n"/>
      <c r="AT53" s="592" t="n"/>
      <c r="AU53" s="497" t="n"/>
      <c r="BI53" s="592" t="n">
        <v>50</v>
      </c>
      <c r="BJ53" s="497" t="n"/>
      <c r="BK53" s="497" t="n"/>
      <c r="BL53" s="497" t="n"/>
      <c r="BM53" s="497" t="n"/>
      <c r="BN53" s="592">
        <f>BR52</f>
        <v/>
      </c>
      <c r="BO53" s="497" t="n"/>
      <c r="BP53" s="497" t="n"/>
      <c r="BQ53" s="497" t="n"/>
      <c r="BR53" s="593">
        <f>IF(AND(BM53:BQ53),1,0)</f>
        <v/>
      </c>
      <c r="BX53" s="592" t="n">
        <v>50</v>
      </c>
      <c r="BY53" s="497" t="n"/>
      <c r="BZ53" s="497" t="n"/>
      <c r="CA53" s="497" t="n"/>
      <c r="CB53" s="497" t="n"/>
      <c r="CC53" s="592">
        <f>CG52</f>
        <v/>
      </c>
      <c r="CD53" s="497" t="n"/>
      <c r="CE53" s="497" t="n"/>
      <c r="CF53" s="497" t="n"/>
      <c r="CG53" s="593">
        <f>IF(AND(CB53:CF53),1,0)</f>
        <v/>
      </c>
      <c r="CI53" s="592" t="n">
        <v>50</v>
      </c>
      <c r="CJ53" s="497" t="n"/>
      <c r="CK53" s="592" t="n"/>
      <c r="CL53" s="497" t="n"/>
      <c r="CM53" s="497" t="n"/>
      <c r="CN53" s="497">
        <f>CR51</f>
        <v/>
      </c>
      <c r="CO53" s="497" t="n"/>
      <c r="CP53" s="497" t="n"/>
      <c r="CQ53" s="497" t="n"/>
      <c r="CR53" s="593">
        <f>IF(AND(CM53:CQ53),1,0)</f>
        <v/>
      </c>
      <c r="DK53" s="592" t="n">
        <v>50</v>
      </c>
      <c r="DL53" s="597" t="n"/>
      <c r="DM53" s="592" t="n"/>
      <c r="DN53" s="497" t="n"/>
      <c r="DO53" s="497" t="n"/>
      <c r="DP53" s="757">
        <f>DT52</f>
        <v/>
      </c>
      <c r="DQ53" s="497" t="n"/>
      <c r="DR53" s="497" t="n"/>
      <c r="DS53" s="497" t="n"/>
      <c r="DT53" s="593">
        <f>IF(AND(DO53:DS53),1,0)</f>
        <v/>
      </c>
      <c r="DZ53" s="592" t="n">
        <v>50</v>
      </c>
      <c r="EA53" s="597" t="inlineStr">
        <is>
          <t>X5</t>
        </is>
      </c>
      <c r="EB53" s="592" t="inlineStr">
        <is>
          <t>GND</t>
        </is>
      </c>
      <c r="EC53" s="497" t="n"/>
      <c r="ED53" s="497" t="n"/>
      <c r="EE53" s="596" t="n">
        <v>1</v>
      </c>
      <c r="EF53" s="497" t="n"/>
      <c r="EG53" s="497" t="n"/>
      <c r="EH53" s="497" t="n"/>
      <c r="EI53" s="602">
        <f>IF(AND(ED53:EH53),1,0)</f>
        <v/>
      </c>
      <c r="EO53" s="592" t="n">
        <v>50</v>
      </c>
      <c r="EP53" s="597" t="n"/>
      <c r="EQ53" s="592" t="n"/>
      <c r="ER53" s="497" t="n"/>
      <c r="ES53" s="497" t="n"/>
      <c r="ET53" s="497">
        <f>EX52</f>
        <v/>
      </c>
      <c r="EU53" s="497" t="n"/>
      <c r="EV53" s="497" t="n"/>
      <c r="EW53" s="497" t="n"/>
      <c r="EX53" s="593">
        <f>IF(AND(ES53:EW53),1,0)</f>
        <v/>
      </c>
      <c r="FE53" s="592" t="n">
        <v>50</v>
      </c>
      <c r="FF53" s="597" t="n"/>
      <c r="FG53" s="592" t="n"/>
      <c r="FH53" s="497" t="n"/>
      <c r="FI53" s="497" t="n"/>
      <c r="FJ53" s="497">
        <f>FN52</f>
        <v/>
      </c>
      <c r="FK53" s="497" t="n"/>
      <c r="FL53" s="497" t="n"/>
      <c r="FM53" s="497" t="n"/>
      <c r="FN53" s="593">
        <f>IF(AND(FI53:FM53),1,0)</f>
        <v/>
      </c>
      <c r="FT53" s="592" t="n">
        <v>50</v>
      </c>
      <c r="FU53" s="597" t="n"/>
      <c r="FV53" s="724" t="n"/>
      <c r="FW53" s="497" t="n"/>
      <c r="FX53" s="497" t="n"/>
      <c r="FY53" s="497">
        <f>GC52</f>
        <v/>
      </c>
      <c r="FZ53" s="497" t="n"/>
      <c r="GA53" s="497" t="n"/>
      <c r="GB53" s="497" t="n"/>
      <c r="GC53" s="593">
        <f>IF(AND(FX53:GB53),1,0)</f>
        <v/>
      </c>
      <c r="GF53" s="592" t="n">
        <v>50</v>
      </c>
      <c r="GG53" s="597" t="n"/>
      <c r="GH53" s="724" t="n"/>
      <c r="GI53" s="497" t="n"/>
      <c r="GJ53" s="497" t="n"/>
      <c r="GK53" s="592">
        <f>GO52</f>
        <v/>
      </c>
      <c r="GL53" s="497" t="n"/>
      <c r="GM53" s="497" t="n"/>
      <c r="GN53" s="497" t="n"/>
      <c r="GO53" s="593">
        <f>IF(AND(GJ53:GN53),1,0)</f>
        <v/>
      </c>
      <c r="GU53" s="592" t="n">
        <v>50</v>
      </c>
      <c r="GV53" s="597" t="n"/>
      <c r="GW53" s="724" t="inlineStr">
        <is>
          <t>M DAMPER (FRESH AIR DAMPER 2 RAD 2)</t>
        </is>
      </c>
      <c r="GX53" s="497" t="n"/>
      <c r="GY53" s="497" t="n"/>
      <c r="GZ53" s="600">
        <f>HG14</f>
        <v/>
      </c>
      <c r="HA53" s="497">
        <f>HD36</f>
        <v/>
      </c>
      <c r="HB53" s="497">
        <f>HD39</f>
        <v/>
      </c>
      <c r="HC53" s="497" t="n"/>
      <c r="HD53" s="602">
        <f>IF(AND(GY53:HC53),1,0)</f>
        <v/>
      </c>
      <c r="HK53" s="592" t="n">
        <v>50</v>
      </c>
      <c r="HL53" s="497" t="n"/>
      <c r="HM53" s="497" t="inlineStr">
        <is>
          <t>110 V DC</t>
        </is>
      </c>
      <c r="HN53" s="497" t="n"/>
      <c r="HO53" s="497" t="n"/>
      <c r="HP53" s="600">
        <f>HW18</f>
        <v/>
      </c>
      <c r="HQ53" s="497" t="n"/>
      <c r="HR53" s="497" t="n"/>
      <c r="HS53" s="497" t="n"/>
      <c r="HT53" s="593">
        <f>IF(AND(HO53:HS53),1,0)</f>
        <v/>
      </c>
      <c r="KP53" s="592" t="n">
        <v>50</v>
      </c>
      <c r="KQ53" s="497" t="n"/>
      <c r="KR53" s="724" t="inlineStr">
        <is>
          <t xml:space="preserve">SFC OFF 110 VDC </t>
        </is>
      </c>
      <c r="KS53" s="497" t="n"/>
      <c r="KT53" s="724" t="n"/>
      <c r="KU53" s="605" t="n">
        <v>1</v>
      </c>
      <c r="KV53" s="597" t="n"/>
      <c r="KW53" s="497" t="n"/>
      <c r="KX53" s="497" t="n"/>
      <c r="KY53" s="593">
        <f>IF(AND(KT53:KX53),1,0)</f>
        <v/>
      </c>
      <c r="LB53" s="592" t="n">
        <v>50</v>
      </c>
      <c r="LC53" s="497" t="n"/>
      <c r="LD53" s="724" t="n"/>
      <c r="LE53" s="497" t="n"/>
      <c r="LF53" s="724" t="n"/>
      <c r="LG53" s="267">
        <f>LK52</f>
        <v/>
      </c>
      <c r="LH53" s="724" t="n"/>
      <c r="LI53" s="497" t="n"/>
      <c r="LJ53" s="497" t="n"/>
      <c r="LK53" s="593">
        <f>IF(AND(LF53:LJ53),1,0)</f>
        <v/>
      </c>
      <c r="LR53" s="592" t="n">
        <v>50</v>
      </c>
      <c r="LS53" s="497" t="n"/>
      <c r="LT53" s="724" t="inlineStr">
        <is>
          <t>SFC OFF</t>
        </is>
      </c>
      <c r="LU53" s="497" t="n"/>
      <c r="LV53" s="724" t="n"/>
      <c r="LW53" s="605">
        <f>MD15</f>
        <v/>
      </c>
      <c r="LX53" s="724" t="n"/>
      <c r="LY53" s="497" t="n"/>
      <c r="LZ53" s="497" t="n"/>
      <c r="MA53" s="593">
        <f>IF(AND(LV53:LZ53),1,0)</f>
        <v/>
      </c>
      <c r="MH53" s="592" t="n">
        <v>50</v>
      </c>
      <c r="MI53" s="497" t="n"/>
      <c r="MJ53" s="724" t="n"/>
      <c r="MK53" s="497" t="n"/>
      <c r="ML53" s="724" t="n"/>
      <c r="MM53" s="612" t="n">
        <v>1</v>
      </c>
      <c r="MN53" s="724" t="n"/>
      <c r="MO53" s="497" t="n"/>
      <c r="MP53" s="497" t="n"/>
      <c r="MQ53" s="593">
        <f>IF(AND(ML53:MP53),1,0)</f>
        <v/>
      </c>
    </row>
    <row r="54">
      <c r="A54" s="590" t="n">
        <v>51</v>
      </c>
      <c r="B54" s="497" t="n"/>
      <c r="C54" s="497" t="n"/>
      <c r="D54" s="497" t="n"/>
      <c r="E54" s="497" t="n"/>
      <c r="F54" s="591" t="n">
        <v>1</v>
      </c>
      <c r="G54" s="592" t="n"/>
      <c r="H54" s="497" t="n"/>
      <c r="I54" s="497" t="n"/>
      <c r="J54" s="593">
        <f>IF(AND(E54:I54),1,0)</f>
        <v/>
      </c>
      <c r="P54" s="592" t="n">
        <v>51</v>
      </c>
      <c r="Q54" s="497" t="n"/>
      <c r="R54" s="592" t="n"/>
      <c r="S54" s="497" t="n"/>
      <c r="T54" s="497" t="n"/>
      <c r="U54" s="757">
        <f>Y46</f>
        <v/>
      </c>
      <c r="V54" s="497" t="n"/>
      <c r="W54" s="497" t="n"/>
      <c r="X54" s="497" t="n"/>
      <c r="Y54" s="593">
        <f>IF(AND(T54:X54),1,0)</f>
        <v/>
      </c>
      <c r="AF54" s="592" t="n">
        <v>51</v>
      </c>
      <c r="AG54" s="599" t="n"/>
      <c r="AH54" s="597" t="n"/>
      <c r="AI54" s="497" t="n"/>
      <c r="AJ54" s="497" t="n"/>
      <c r="AK54" s="619">
        <f>AO41</f>
        <v/>
      </c>
      <c r="AL54" s="497" t="n"/>
      <c r="AM54" s="497" t="n"/>
      <c r="AN54" s="497" t="n"/>
      <c r="AO54" s="593">
        <f>IF(AND(AJ54:AN54),1,0)</f>
        <v/>
      </c>
      <c r="AS54" s="742" t="n"/>
      <c r="AT54" s="497" t="n"/>
      <c r="AU54" s="497" t="n"/>
      <c r="BI54" s="592" t="n">
        <v>51</v>
      </c>
      <c r="BJ54" s="497" t="n"/>
      <c r="BL54" s="497" t="n"/>
      <c r="BM54" s="497" t="n"/>
      <c r="BN54" s="600">
        <f>BU9</f>
        <v/>
      </c>
      <c r="BO54" s="497">
        <f>BR45</f>
        <v/>
      </c>
      <c r="BP54" s="497" t="n"/>
      <c r="BQ54" s="497" t="n"/>
      <c r="BR54" s="593">
        <f>IF(AND(BM54:BQ54),1,0)</f>
        <v/>
      </c>
      <c r="BX54" s="592" t="n">
        <v>51</v>
      </c>
      <c r="BY54" s="497" t="n"/>
      <c r="CA54" s="497" t="n"/>
      <c r="CB54" s="497" t="n"/>
      <c r="CC54" s="600">
        <f>BU9</f>
        <v/>
      </c>
      <c r="CD54" s="497">
        <f>CG45</f>
        <v/>
      </c>
      <c r="CE54" s="497" t="n"/>
      <c r="CF54" s="497" t="n"/>
      <c r="CG54" s="593">
        <f>IF(AND(CB54:CF54),1,0)</f>
        <v/>
      </c>
      <c r="CI54" s="592" t="n">
        <v>51</v>
      </c>
      <c r="CJ54" s="497" t="n"/>
      <c r="CK54" s="592" t="n"/>
      <c r="CL54" s="497" t="n"/>
      <c r="CM54" s="497" t="n"/>
      <c r="CN54" s="497">
        <f>CR53</f>
        <v/>
      </c>
      <c r="CO54" s="497" t="n"/>
      <c r="CP54" s="497" t="n"/>
      <c r="CQ54" s="497" t="n"/>
      <c r="CR54" s="593">
        <f>IF(AND(CM54:CQ54),1,0)</f>
        <v/>
      </c>
      <c r="DK54" s="592" t="n">
        <v>51</v>
      </c>
      <c r="DL54" s="597" t="n"/>
      <c r="DM54" s="592" t="n"/>
      <c r="DN54" s="497" t="n"/>
      <c r="DO54" s="497" t="n"/>
      <c r="DP54" s="757">
        <f>DT44</f>
        <v/>
      </c>
      <c r="DQ54" s="497">
        <f>DT53</f>
        <v/>
      </c>
      <c r="DR54" s="497" t="n"/>
      <c r="DS54" s="497" t="n"/>
      <c r="DT54" s="593">
        <f>IF(AND(DO54:DS54),1,0)</f>
        <v/>
      </c>
      <c r="DZ54" s="592" t="n">
        <v>51</v>
      </c>
      <c r="EA54" s="597" t="n"/>
      <c r="EB54" s="592" t="n"/>
      <c r="EC54" s="497" t="n"/>
      <c r="ED54" s="497" t="n"/>
      <c r="EE54" s="497">
        <f>EI53</f>
        <v/>
      </c>
      <c r="EF54" s="497" t="n"/>
      <c r="EG54" s="497" t="n"/>
      <c r="EH54" s="497" t="n"/>
      <c r="EI54" s="602">
        <f>IF(AND(ED54:EH54),1,0)</f>
        <v/>
      </c>
      <c r="EO54" s="592" t="n">
        <v>51</v>
      </c>
      <c r="EP54" s="597" t="n"/>
      <c r="EQ54" s="757" t="inlineStr">
        <is>
          <t>SMDR</t>
        </is>
      </c>
      <c r="ER54" s="497" t="n"/>
      <c r="ES54" s="497" t="n"/>
      <c r="ET54" s="601">
        <f>IF(OR(FA6,FA7),1,0)</f>
        <v/>
      </c>
      <c r="EU54" s="497">
        <f>EX53</f>
        <v/>
      </c>
      <c r="EV54" s="497" t="n"/>
      <c r="EW54" s="497" t="n"/>
      <c r="EX54" s="593">
        <f>IF(AND(ES54:EW54),1,0)</f>
        <v/>
      </c>
      <c r="FE54" s="592" t="n">
        <v>51</v>
      </c>
      <c r="FF54" s="597" t="n"/>
      <c r="FG54" s="757" t="inlineStr">
        <is>
          <t>SMDR</t>
        </is>
      </c>
      <c r="FH54" s="497" t="n"/>
      <c r="FI54" s="497" t="n"/>
      <c r="FJ54" s="601" t="n">
        <v>1</v>
      </c>
      <c r="FK54" s="497">
        <f>FN53</f>
        <v/>
      </c>
      <c r="FL54" s="497" t="n"/>
      <c r="FM54" s="497" t="n"/>
      <c r="FN54" s="593">
        <f>IF(AND(FI54:FM54),1,0)</f>
        <v/>
      </c>
      <c r="FT54" s="592" t="n">
        <v>51</v>
      </c>
      <c r="FU54" s="597" t="n"/>
      <c r="FV54" s="724" t="n"/>
      <c r="FW54" s="497" t="n"/>
      <c r="FX54" s="497" t="n"/>
      <c r="FY54" s="497">
        <f>GC53</f>
        <v/>
      </c>
      <c r="FZ54" s="497" t="n"/>
      <c r="GA54" s="497" t="n"/>
      <c r="GB54" s="497" t="n"/>
      <c r="GC54" s="593">
        <f>IF(AND(FX54:GB54),1,0)</f>
        <v/>
      </c>
      <c r="GF54" s="592" t="n">
        <v>51</v>
      </c>
      <c r="GG54" s="597" t="n"/>
      <c r="GH54" s="724" t="inlineStr">
        <is>
          <t>FADR5</t>
        </is>
      </c>
      <c r="GI54" s="497" t="n"/>
      <c r="GJ54" s="497" t="n"/>
      <c r="GK54" s="604">
        <f>GR13</f>
        <v/>
      </c>
      <c r="GL54" s="497">
        <f>GO53</f>
        <v/>
      </c>
      <c r="GM54" s="497" t="n"/>
      <c r="GN54" s="497" t="n"/>
      <c r="GO54" s="593">
        <f>IF(AND(GJ54:GN54),1,0)</f>
        <v/>
      </c>
      <c r="GU54" s="592" t="n">
        <v>51</v>
      </c>
      <c r="GV54" s="597" t="n"/>
      <c r="GW54" s="724" t="n"/>
      <c r="GX54" s="497" t="n"/>
      <c r="GY54" s="497" t="n"/>
      <c r="GZ54" s="757">
        <f>HD43</f>
        <v/>
      </c>
      <c r="HA54" s="497" t="n"/>
      <c r="HB54" s="497" t="n"/>
      <c r="HC54" s="497" t="n"/>
      <c r="HD54" s="602">
        <f>IF(AND(GY54:HC54),1,0)</f>
        <v/>
      </c>
      <c r="HK54" s="592" t="n">
        <v>51</v>
      </c>
      <c r="HL54" s="497" t="n"/>
      <c r="HM54" s="497" t="inlineStr">
        <is>
          <t>PPR1</t>
        </is>
      </c>
      <c r="HN54" s="497" t="n"/>
      <c r="HO54" s="497" t="n"/>
      <c r="HP54" s="600">
        <f>HW14</f>
        <v/>
      </c>
      <c r="HQ54" s="497">
        <f>HT53</f>
        <v/>
      </c>
      <c r="HR54" s="497" t="n"/>
      <c r="HS54" s="497" t="n"/>
      <c r="HT54" s="593">
        <f>IF(AND(HO54:HS54),1,0)</f>
        <v/>
      </c>
      <c r="KP54" s="592" t="n">
        <v>51</v>
      </c>
      <c r="KQ54" s="497" t="n"/>
      <c r="KR54" s="724" t="n"/>
      <c r="KS54" s="497" t="n"/>
      <c r="KT54" s="724" t="n"/>
      <c r="KU54" s="724">
        <f>KY55</f>
        <v/>
      </c>
      <c r="KV54" s="597" t="n"/>
      <c r="KW54" s="497" t="n"/>
      <c r="KX54" s="497" t="n"/>
      <c r="KY54" s="593">
        <f>IF(AND(KT54:KX54),1,0)</f>
        <v/>
      </c>
      <c r="LB54" s="592" t="n">
        <v>51</v>
      </c>
      <c r="LC54" s="497" t="n"/>
      <c r="LD54" s="724" t="n"/>
      <c r="LE54" s="497" t="n"/>
      <c r="LF54" s="724" t="n"/>
      <c r="LG54" s="267">
        <f>LK53</f>
        <v/>
      </c>
      <c r="LH54" s="724" t="n"/>
      <c r="LI54" s="497" t="n"/>
      <c r="LJ54" s="497" t="n"/>
      <c r="LK54" s="593">
        <f>IF(AND(LF54:LJ54),1,0)</f>
        <v/>
      </c>
      <c r="LR54" s="592" t="n">
        <v>51</v>
      </c>
      <c r="LS54" s="497" t="n"/>
      <c r="LT54" s="724" t="n"/>
      <c r="LU54" s="497" t="n"/>
      <c r="LV54" s="724" t="n"/>
      <c r="LW54" s="612" t="n">
        <v>1</v>
      </c>
      <c r="LX54" s="724" t="n"/>
      <c r="LY54" s="497" t="n"/>
      <c r="LZ54" s="497" t="n"/>
      <c r="MA54" s="593">
        <f>IF(AND(LV54:LZ54),1,0)</f>
        <v/>
      </c>
      <c r="MH54" s="592" t="n">
        <v>51</v>
      </c>
      <c r="MI54" s="497" t="n"/>
      <c r="MJ54" s="724" t="n"/>
      <c r="MK54" s="497" t="n"/>
      <c r="ML54" s="724" t="n"/>
      <c r="MM54" s="724">
        <f>MQ17</f>
        <v/>
      </c>
      <c r="MN54" s="724" t="n"/>
      <c r="MO54" s="497" t="n"/>
      <c r="MP54" s="497" t="n"/>
      <c r="MQ54" s="593">
        <f>IF(AND(ML54:MP54),1,0)</f>
        <v/>
      </c>
    </row>
    <row r="55" ht="47.25" customHeight="1">
      <c r="A55" s="590" t="n">
        <v>52</v>
      </c>
      <c r="B55" s="497" t="n"/>
      <c r="C55" s="497" t="n"/>
      <c r="D55" s="497" t="n"/>
      <c r="E55" s="497" t="n"/>
      <c r="F55" s="757">
        <f>J54</f>
        <v/>
      </c>
      <c r="G55" s="592" t="n"/>
      <c r="H55" s="497" t="n"/>
      <c r="I55" s="497" t="n"/>
      <c r="J55" s="593">
        <f>IF(AND(E55:I55),1,0)</f>
        <v/>
      </c>
      <c r="P55" s="592" t="n">
        <v>52</v>
      </c>
      <c r="Q55" s="497" t="n"/>
      <c r="R55" s="592" t="n"/>
      <c r="S55" s="497" t="n"/>
      <c r="T55" s="497" t="n"/>
      <c r="U55" s="757">
        <f>Y48</f>
        <v/>
      </c>
      <c r="V55" s="497">
        <f>Y54</f>
        <v/>
      </c>
      <c r="W55" s="497" t="n"/>
      <c r="X55" s="497" t="n"/>
      <c r="Y55" s="593">
        <f>IF(AND(T55:X55),1,0)</f>
        <v/>
      </c>
      <c r="AF55" s="592" t="n">
        <v>52</v>
      </c>
      <c r="AG55" s="599" t="n"/>
      <c r="AH55" s="597" t="n"/>
      <c r="AI55" s="497" t="n"/>
      <c r="AJ55" s="497" t="n"/>
      <c r="AK55" s="619">
        <f>AO47</f>
        <v/>
      </c>
      <c r="AL55" s="497">
        <f>AO54</f>
        <v/>
      </c>
      <c r="AM55" s="497" t="n"/>
      <c r="AN55" s="497" t="n"/>
      <c r="AO55" s="593">
        <f>IF(AND(AJ55:AN55),1,0)</f>
        <v/>
      </c>
      <c r="AS55" s="742" t="n"/>
      <c r="AT55" s="597" t="inlineStr">
        <is>
          <t>LA.S01_+11.30</t>
        </is>
      </c>
      <c r="AU55" s="592" t="inlineStr">
        <is>
          <t>SMDRB</t>
        </is>
      </c>
      <c r="BI55" s="592" t="n">
        <v>52</v>
      </c>
      <c r="BJ55" s="497" t="n"/>
      <c r="BK55" s="497" t="n"/>
      <c r="BL55" s="497" t="n"/>
      <c r="BM55" s="497" t="n"/>
      <c r="BN55" s="592">
        <f>BR54</f>
        <v/>
      </c>
      <c r="BO55" s="497" t="n"/>
      <c r="BP55" s="497" t="n"/>
      <c r="BQ55" s="497" t="n"/>
      <c r="BR55" s="593">
        <f>IF(AND(BM55:BQ55),1,0)</f>
        <v/>
      </c>
      <c r="BX55" s="592" t="n">
        <v>52</v>
      </c>
      <c r="BY55" s="497" t="n"/>
      <c r="BZ55" s="497" t="n"/>
      <c r="CA55" s="497" t="n"/>
      <c r="CB55" s="497" t="n"/>
      <c r="CC55" s="592">
        <f>CG54</f>
        <v/>
      </c>
      <c r="CD55" s="497" t="n"/>
      <c r="CE55" s="497" t="n"/>
      <c r="CF55" s="497" t="n"/>
      <c r="CG55" s="593">
        <f>IF(AND(CB55:CF55),1,0)</f>
        <v/>
      </c>
      <c r="CI55" s="592" t="n">
        <v>52</v>
      </c>
      <c r="CJ55" s="497" t="n"/>
      <c r="CK55" s="592" t="n"/>
      <c r="CL55" s="497" t="n"/>
      <c r="CM55" s="497" t="n"/>
      <c r="CN55" s="497">
        <f>CR54</f>
        <v/>
      </c>
      <c r="CO55" s="497" t="n"/>
      <c r="CP55" s="497" t="n"/>
      <c r="CQ55" s="497" t="n"/>
      <c r="CR55" s="593">
        <f>IF(AND(CM55:CQ55),1,0)</f>
        <v/>
      </c>
      <c r="DK55" s="592" t="n">
        <v>52</v>
      </c>
      <c r="DL55" s="597" t="n"/>
      <c r="DM55" s="592" t="n"/>
      <c r="DN55" s="497" t="n"/>
      <c r="DO55" s="497" t="n"/>
      <c r="DP55" s="757">
        <f>DT54</f>
        <v/>
      </c>
      <c r="DQ55" s="497" t="n"/>
      <c r="DR55" s="497" t="n"/>
      <c r="DS55" s="497" t="n"/>
      <c r="DT55" s="593">
        <f>IF(AND(DO55:DS55),1,0)</f>
        <v/>
      </c>
      <c r="DZ55" s="592" t="n">
        <v>52</v>
      </c>
      <c r="EA55" s="597" t="n"/>
      <c r="EB55" s="592" t="n"/>
      <c r="EC55" s="497" t="n"/>
      <c r="ED55" s="497" t="n"/>
      <c r="EE55" s="497">
        <f>EI54</f>
        <v/>
      </c>
      <c r="EF55" s="497" t="n"/>
      <c r="EG55" s="497" t="n"/>
      <c r="EH55" s="497" t="n"/>
      <c r="EI55" s="602">
        <f>IF(AND(ED55:EH55),1,0)</f>
        <v/>
      </c>
      <c r="EO55" s="592" t="n">
        <v>52</v>
      </c>
      <c r="EP55" s="597" t="n"/>
      <c r="EQ55" s="592" t="n"/>
      <c r="ER55" s="497" t="n"/>
      <c r="ES55" s="497" t="n"/>
      <c r="ET55" s="497">
        <f>EX54</f>
        <v/>
      </c>
      <c r="EU55" s="497" t="n"/>
      <c r="EV55" s="497" t="n"/>
      <c r="EW55" s="497" t="n"/>
      <c r="EX55" s="593">
        <f>IF(AND(ES55:EW55),1,0)</f>
        <v/>
      </c>
      <c r="FE55" s="592" t="n">
        <v>52</v>
      </c>
      <c r="FF55" s="597" t="n"/>
      <c r="FG55" s="592" t="n"/>
      <c r="FH55" s="497" t="n"/>
      <c r="FI55" s="497" t="n"/>
      <c r="FJ55" s="497">
        <f>FN54</f>
        <v/>
      </c>
      <c r="FK55" s="497" t="n"/>
      <c r="FL55" s="497" t="n"/>
      <c r="FM55" s="497" t="n"/>
      <c r="FN55" s="593">
        <f>IF(AND(FI55:FM55),1,0)</f>
        <v/>
      </c>
      <c r="FT55" s="592" t="n">
        <v>52</v>
      </c>
      <c r="FU55" s="597" t="n"/>
      <c r="FV55" s="724" t="inlineStr">
        <is>
          <t>SMDR</t>
        </is>
      </c>
      <c r="FW55" s="497" t="n"/>
      <c r="FX55" s="497" t="n"/>
      <c r="FY55" s="601">
        <f>FQ20</f>
        <v/>
      </c>
      <c r="FZ55" s="497">
        <f>GC54</f>
        <v/>
      </c>
      <c r="GA55" s="497" t="n"/>
      <c r="GB55" s="497" t="n"/>
      <c r="GC55" s="593">
        <f>IF(AND(FX55:GB55),1,0)</f>
        <v/>
      </c>
      <c r="GF55" s="592" t="n">
        <v>52</v>
      </c>
      <c r="GG55" s="597" t="n"/>
      <c r="GH55" s="724" t="n"/>
      <c r="GI55" s="497" t="n"/>
      <c r="GJ55" s="497" t="n"/>
      <c r="GK55" s="592">
        <f>GO64</f>
        <v/>
      </c>
      <c r="GL55" s="497" t="n"/>
      <c r="GM55" s="497" t="n"/>
      <c r="GN55" s="497" t="n"/>
      <c r="GO55" s="593">
        <f>IF(AND(GJ55:GN55),1,0)</f>
        <v/>
      </c>
      <c r="GU55" s="592" t="n">
        <v>52</v>
      </c>
      <c r="GV55" s="597" t="n"/>
      <c r="GW55" s="724" t="n"/>
      <c r="GX55" s="497" t="n"/>
      <c r="GY55" s="497" t="n"/>
      <c r="GZ55" s="757">
        <f>HD19</f>
        <v/>
      </c>
      <c r="HA55" s="497" t="n"/>
      <c r="HB55" s="497" t="n"/>
      <c r="HC55" s="497" t="n"/>
      <c r="HD55" s="602">
        <f>IF(AND(GY55:HC55),1,0)</f>
        <v/>
      </c>
      <c r="HK55" s="592" t="n">
        <v>52</v>
      </c>
      <c r="HL55" s="497" t="n"/>
      <c r="HM55" s="497" t="n"/>
      <c r="HN55" s="497" t="n"/>
      <c r="HO55" s="497" t="n"/>
      <c r="HP55" s="757">
        <f>HT54</f>
        <v/>
      </c>
      <c r="HQ55" s="497" t="n"/>
      <c r="HR55" s="497" t="n"/>
      <c r="HS55" s="497" t="n"/>
      <c r="HT55" s="593">
        <f>IF(AND(HO55:HS55),1,0)</f>
        <v/>
      </c>
      <c r="KP55" s="592" t="n">
        <v>52</v>
      </c>
      <c r="KQ55" s="497" t="n"/>
      <c r="KR55" s="724" t="n"/>
      <c r="KS55" s="497" t="n"/>
      <c r="KT55" s="724" t="n"/>
      <c r="KU55" s="612" t="n">
        <v>1</v>
      </c>
      <c r="KV55" s="597" t="n"/>
      <c r="KW55" s="497" t="n"/>
      <c r="KX55" s="497" t="n"/>
      <c r="KY55" s="593">
        <f>IF(AND(KT55:KX55),1,0)</f>
        <v/>
      </c>
      <c r="LB55" s="592" t="n">
        <v>52</v>
      </c>
      <c r="LC55" s="497" t="n"/>
      <c r="LD55" s="724" t="inlineStr">
        <is>
          <t>COMPRESSOR 4
Pa=7,5kW
p.f.=0,75</t>
        </is>
      </c>
      <c r="LE55" s="497" t="n"/>
      <c r="LF55" s="724" t="n"/>
      <c r="LG55" s="605">
        <f>LN20</f>
        <v/>
      </c>
      <c r="LH55" s="724">
        <f>LK54</f>
        <v/>
      </c>
      <c r="LI55" s="757">
        <f>LK87</f>
        <v/>
      </c>
      <c r="LJ55" s="757">
        <f>LK121</f>
        <v/>
      </c>
      <c r="LK55" s="593">
        <f>IF(AND(LF55:LJ55),1,0)</f>
        <v/>
      </c>
      <c r="LR55" s="592" t="n">
        <v>52</v>
      </c>
      <c r="LS55" s="497" t="n"/>
      <c r="LT55" s="724" t="inlineStr">
        <is>
          <t xml:space="preserve">ONLY FOR HVAC 2_24 V DC </t>
        </is>
      </c>
      <c r="LU55" s="497" t="n"/>
      <c r="LV55" s="724" t="n"/>
      <c r="LW55" s="605">
        <f>MD16</f>
        <v/>
      </c>
      <c r="LX55" s="724" t="n"/>
      <c r="LY55" s="497" t="n"/>
      <c r="LZ55" s="497" t="n"/>
      <c r="MA55" s="593">
        <f>IF(AND(LV55:LZ55),1,0)</f>
        <v/>
      </c>
      <c r="MH55" s="592" t="n">
        <v>52</v>
      </c>
      <c r="MI55" s="497" t="n"/>
      <c r="MJ55" s="724" t="inlineStr">
        <is>
          <t>SMDRB</t>
        </is>
      </c>
      <c r="MK55" s="497" t="n"/>
      <c r="ML55" s="724" t="n"/>
      <c r="MM55" s="605">
        <f>MT11</f>
        <v/>
      </c>
      <c r="MN55" s="724">
        <f>MQ54</f>
        <v/>
      </c>
      <c r="MO55" s="497" t="n"/>
      <c r="MP55" s="497" t="n"/>
      <c r="MQ55" s="593">
        <f>IF(AND(ML55:MP55),1,0)</f>
        <v/>
      </c>
    </row>
    <row r="56" ht="31.5" customHeight="1">
      <c r="A56" s="590" t="n">
        <v>53</v>
      </c>
      <c r="B56" s="497" t="n"/>
      <c r="C56" s="497" t="n"/>
      <c r="D56" s="497" t="n"/>
      <c r="E56" s="497" t="n"/>
      <c r="F56" s="757">
        <f>J55</f>
        <v/>
      </c>
      <c r="G56" s="592" t="n"/>
      <c r="H56" s="497" t="n"/>
      <c r="I56" s="497" t="n"/>
      <c r="J56" s="593">
        <f>IF(AND(E56:I56),1,0)</f>
        <v/>
      </c>
      <c r="P56" s="592" t="n">
        <v>53</v>
      </c>
      <c r="Q56" s="497" t="n"/>
      <c r="R56" s="597" t="inlineStr">
        <is>
          <t>COMPRESSOR 1 (3A) Pa=7.5kW P.f=0.75</t>
        </is>
      </c>
      <c r="S56" s="497" t="n"/>
      <c r="T56" s="497" t="n"/>
      <c r="U56" s="613">
        <f>AB17</f>
        <v/>
      </c>
      <c r="V56" s="757">
        <f>Y49</f>
        <v/>
      </c>
      <c r="W56" s="757">
        <f>Y52</f>
        <v/>
      </c>
      <c r="X56" s="757">
        <f>Y55</f>
        <v/>
      </c>
      <c r="Y56" s="593">
        <f>IF(AND(T56:X56),1,0)</f>
        <v/>
      </c>
      <c r="AF56" s="592" t="n">
        <v>53</v>
      </c>
      <c r="AG56" s="599" t="n"/>
      <c r="AH56" s="597" t="n"/>
      <c r="AI56" s="497" t="n"/>
      <c r="AJ56" s="497" t="n"/>
      <c r="AK56" s="619">
        <f>AO49</f>
        <v/>
      </c>
      <c r="AL56" s="497">
        <f>AO55</f>
        <v/>
      </c>
      <c r="AM56" s="497" t="n"/>
      <c r="AN56" s="497" t="n"/>
      <c r="AO56" s="593">
        <f>IF(AND(AJ56:AN56),1,0)</f>
        <v/>
      </c>
      <c r="AS56" s="742" t="n"/>
      <c r="AT56" s="497" t="n"/>
      <c r="AU56" s="497" t="n"/>
      <c r="BI56" s="592" t="n">
        <v>53</v>
      </c>
      <c r="BJ56" s="497" t="n"/>
      <c r="BK56" s="498" t="inlineStr">
        <is>
          <t>ESAFC</t>
        </is>
      </c>
      <c r="BL56" s="497" t="n"/>
      <c r="BM56" s="497" t="n"/>
      <c r="BN56" s="604">
        <f>BU10</f>
        <v/>
      </c>
      <c r="BO56" s="497">
        <f>BR55</f>
        <v/>
      </c>
      <c r="BP56" s="497" t="n"/>
      <c r="BQ56" s="497" t="n"/>
      <c r="BR56" s="593">
        <f>IF(AND(BM56:BQ56),1,0)</f>
        <v/>
      </c>
      <c r="BX56" s="592" t="n">
        <v>53</v>
      </c>
      <c r="BY56" s="497" t="n"/>
      <c r="BZ56" s="498" t="inlineStr">
        <is>
          <t>ESAFC</t>
        </is>
      </c>
      <c r="CA56" s="497" t="n"/>
      <c r="CB56" s="497" t="n"/>
      <c r="CC56" s="604">
        <f>BU10</f>
        <v/>
      </c>
      <c r="CD56" s="497">
        <f>CG55</f>
        <v/>
      </c>
      <c r="CE56" s="497" t="n"/>
      <c r="CF56" s="497" t="n"/>
      <c r="CG56" s="593">
        <f>IF(AND(CB56:CF56),1,0)</f>
        <v/>
      </c>
      <c r="CI56" s="592" t="n">
        <v>53</v>
      </c>
      <c r="CJ56" s="497" t="n"/>
      <c r="CK56" s="592" t="n"/>
      <c r="CL56" s="497" t="n"/>
      <c r="CM56" s="497" t="n"/>
      <c r="CN56" s="497">
        <f>CR54</f>
        <v/>
      </c>
      <c r="CO56" s="497">
        <f>CR55</f>
        <v/>
      </c>
      <c r="CP56" s="497" t="n"/>
      <c r="CQ56" s="497" t="n"/>
      <c r="CR56" s="593">
        <f>IF(AND(CM56:CQ56),1,0)</f>
        <v/>
      </c>
      <c r="DK56" s="592" t="n">
        <v>53</v>
      </c>
      <c r="DL56" s="597" t="n"/>
      <c r="DM56" s="592" t="n"/>
      <c r="DN56" s="497" t="n"/>
      <c r="DO56" s="497" t="n"/>
      <c r="DP56" s="757">
        <f>DT63</f>
        <v/>
      </c>
      <c r="DQ56" s="497">
        <f>DT51</f>
        <v/>
      </c>
      <c r="DR56" s="497" t="n"/>
      <c r="DS56" s="497" t="n"/>
      <c r="DT56" s="593">
        <f>IF(AND(DO56:DS56),1,0)</f>
        <v/>
      </c>
      <c r="DZ56" s="592" t="n">
        <v>53</v>
      </c>
      <c r="EA56" s="597" t="n"/>
      <c r="EB56" s="592" t="n"/>
      <c r="EC56" s="497" t="n"/>
      <c r="ED56" s="497" t="n"/>
      <c r="EE56" s="497">
        <f>IF(OR(EI5,EI7,EI9,EI11),1,0)</f>
        <v/>
      </c>
      <c r="EF56" s="497" t="n"/>
      <c r="EG56" s="497" t="n"/>
      <c r="EH56" s="497" t="n"/>
      <c r="EI56" s="602">
        <f>IF(AND(ED56:EH56),1,0)</f>
        <v/>
      </c>
      <c r="EO56" s="592" t="n">
        <v>53</v>
      </c>
      <c r="EP56" s="597" t="n"/>
      <c r="EQ56" s="592" t="n"/>
      <c r="ER56" s="497" t="n"/>
      <c r="ES56" s="497" t="n"/>
      <c r="ET56" s="497">
        <f>EX34</f>
        <v/>
      </c>
      <c r="EU56" s="497" t="n"/>
      <c r="EV56" s="497" t="n"/>
      <c r="EW56" s="497" t="n"/>
      <c r="EX56" s="593">
        <f>IF(AND(ES56:EW56),1,0)</f>
        <v/>
      </c>
      <c r="FE56" s="592" t="n">
        <v>53</v>
      </c>
      <c r="FF56" s="597" t="n"/>
      <c r="FG56" s="592" t="n"/>
      <c r="FH56" s="497" t="n"/>
      <c r="FI56" s="497" t="n"/>
      <c r="FJ56" s="497">
        <f>FN34</f>
        <v/>
      </c>
      <c r="FK56" s="497" t="n"/>
      <c r="FL56" s="497" t="n"/>
      <c r="FM56" s="497" t="n"/>
      <c r="FN56" s="593">
        <f>IF(AND(FI56:FM56),1,0)</f>
        <v/>
      </c>
      <c r="FT56" s="592" t="n">
        <v>53</v>
      </c>
      <c r="FU56" s="597" t="n"/>
      <c r="FV56" s="724" t="n"/>
      <c r="FW56" s="497" t="n"/>
      <c r="FX56" s="497" t="n"/>
      <c r="FY56" s="497">
        <f>GC55</f>
        <v/>
      </c>
      <c r="FZ56" s="497" t="n"/>
      <c r="GA56" s="497" t="n"/>
      <c r="GB56" s="497" t="n"/>
      <c r="GC56" s="593">
        <f>IF(AND(FX56:GB56),1,0)</f>
        <v/>
      </c>
      <c r="GF56" s="592" t="n">
        <v>53</v>
      </c>
      <c r="GG56" s="597" t="n"/>
      <c r="GH56" s="724" t="n"/>
      <c r="GI56" s="497" t="n"/>
      <c r="GJ56" s="497" t="n"/>
      <c r="GK56" s="592">
        <f>GO54</f>
        <v/>
      </c>
      <c r="GL56" s="497" t="n"/>
      <c r="GM56" s="497" t="n"/>
      <c r="GN56" s="497" t="n"/>
      <c r="GO56" s="593">
        <f>IF(AND(GJ56:GN56),1,0)</f>
        <v/>
      </c>
      <c r="GU56" s="592" t="n">
        <v>53</v>
      </c>
      <c r="GV56" s="597" t="n"/>
      <c r="GW56" s="724" t="inlineStr">
        <is>
          <t>EMR</t>
        </is>
      </c>
      <c r="GX56" s="497" t="n"/>
      <c r="GY56" s="497" t="n"/>
      <c r="GZ56" s="600">
        <f>HG10</f>
        <v/>
      </c>
      <c r="HA56" s="497">
        <f>HD55</f>
        <v/>
      </c>
      <c r="HB56" s="497" t="n"/>
      <c r="HC56" s="497" t="n"/>
      <c r="HD56" s="602">
        <f>IF(AND(GY56:HC56),1,0)</f>
        <v/>
      </c>
      <c r="HK56" s="592" t="n">
        <v>53</v>
      </c>
      <c r="HL56" s="497" t="n"/>
      <c r="HM56" s="497" t="inlineStr">
        <is>
          <t>PPR2</t>
        </is>
      </c>
      <c r="HN56" s="497" t="n"/>
      <c r="HO56" s="497" t="n"/>
      <c r="HP56" s="600">
        <f>HW15</f>
        <v/>
      </c>
      <c r="HQ56" s="497">
        <f>HT55</f>
        <v/>
      </c>
      <c r="HR56" s="497" t="n"/>
      <c r="HS56" s="497" t="n"/>
      <c r="HT56" s="593">
        <f>IF(AND(HO56:HS56),1,0)</f>
        <v/>
      </c>
      <c r="KP56" s="592" t="n">
        <v>53</v>
      </c>
      <c r="KQ56" s="497" t="n"/>
      <c r="KR56" s="724" t="n"/>
      <c r="KS56" s="497" t="n"/>
      <c r="KT56" s="724" t="n"/>
      <c r="KU56" s="612" t="n">
        <v>1</v>
      </c>
      <c r="KV56" s="597" t="n"/>
      <c r="KW56" s="497" t="n"/>
      <c r="KX56" s="497" t="n"/>
      <c r="KY56" s="593">
        <f>IF(AND(KT56:KX56),1,0)</f>
        <v/>
      </c>
      <c r="LB56" s="592" t="n">
        <v>53</v>
      </c>
      <c r="LC56" s="497" t="n"/>
      <c r="LD56" s="724" t="n"/>
      <c r="LE56" s="497" t="n"/>
      <c r="LF56" s="724" t="n"/>
      <c r="LG56" s="724" t="n">
        <v>1</v>
      </c>
      <c r="LH56" s="724" t="n"/>
      <c r="LI56" s="497" t="n"/>
      <c r="LJ56" s="497" t="n"/>
      <c r="LK56" s="593">
        <f>IF(AND(LF56:LJ56),1,0)</f>
        <v/>
      </c>
      <c r="LR56" s="592" t="n">
        <v>53</v>
      </c>
      <c r="LS56" s="497" t="n"/>
      <c r="LT56" s="724" t="n"/>
      <c r="LU56" s="497" t="n"/>
      <c r="LV56" s="724" t="n"/>
      <c r="LW56" s="724">
        <f>MA55</f>
        <v/>
      </c>
      <c r="LX56" s="724" t="n"/>
      <c r="LY56" s="497" t="n"/>
      <c r="LZ56" s="497" t="n"/>
      <c r="MA56" s="593">
        <f>IF(AND(LV56:LZ56),1,0)</f>
        <v/>
      </c>
      <c r="MH56" s="592" t="n">
        <v>53</v>
      </c>
      <c r="MI56" s="497" t="n"/>
      <c r="MJ56" s="724" t="n"/>
      <c r="MK56" s="497" t="n"/>
      <c r="ML56" s="724" t="n"/>
      <c r="MM56" s="724">
        <f>MQ26</f>
        <v/>
      </c>
      <c r="MN56" s="724" t="n"/>
      <c r="MO56" s="497" t="n"/>
      <c r="MP56" s="497" t="n"/>
      <c r="MQ56" s="593">
        <f>IF(AND(ML56:MP56),1,0)</f>
        <v/>
      </c>
    </row>
    <row r="57" ht="31.5" customHeight="1">
      <c r="A57" s="590" t="n">
        <v>54</v>
      </c>
      <c r="B57" s="497" t="n"/>
      <c r="C57" s="757" t="inlineStr">
        <is>
          <t>HTC</t>
        </is>
      </c>
      <c r="D57" s="497" t="n"/>
      <c r="E57" s="497" t="n"/>
      <c r="F57" s="613">
        <f>M14</f>
        <v/>
      </c>
      <c r="G57" s="592">
        <f>J56</f>
        <v/>
      </c>
      <c r="H57" s="497" t="n"/>
      <c r="I57" s="497" t="n"/>
      <c r="J57" s="593">
        <f>IF(AND(E57:I57),1,0)</f>
        <v/>
      </c>
      <c r="P57" s="592" t="n">
        <v>54</v>
      </c>
      <c r="Q57" s="497" t="n"/>
      <c r="R57" s="592" t="inlineStr">
        <is>
          <t>GROUND</t>
        </is>
      </c>
      <c r="S57" s="497" t="n"/>
      <c r="T57" s="497" t="n"/>
      <c r="U57" s="757" t="n">
        <v>1</v>
      </c>
      <c r="V57" s="497" t="n"/>
      <c r="W57" s="497" t="n"/>
      <c r="X57" s="497" t="n"/>
      <c r="Y57" s="593">
        <f>IF(AND(T57:X57),1,0)</f>
        <v/>
      </c>
      <c r="AF57" s="592" t="n">
        <v>54</v>
      </c>
      <c r="AG57" s="599" t="n"/>
      <c r="AH57" s="597" t="inlineStr">
        <is>
          <t>COMPRESSOR 1 (3A) Pa=7.5kW P.f=0.75</t>
        </is>
      </c>
      <c r="AI57" s="497" t="n"/>
      <c r="AJ57" s="497" t="n"/>
      <c r="AK57" s="604">
        <f>AB17</f>
        <v/>
      </c>
      <c r="AL57" s="497">
        <f>AO56</f>
        <v/>
      </c>
      <c r="AM57" s="497" t="n"/>
      <c r="AN57" s="497" t="n"/>
      <c r="AO57" s="593">
        <f>IF(AND(AJ57:AN57),1,0)</f>
        <v/>
      </c>
      <c r="AS57" s="742" t="n"/>
      <c r="AT57" s="497" t="n"/>
      <c r="AU57" s="497" t="n"/>
      <c r="BI57" s="592" t="n">
        <v>54</v>
      </c>
      <c r="BJ57" s="497" t="n"/>
      <c r="BK57" s="498" t="inlineStr">
        <is>
          <t>EMO2+</t>
        </is>
      </c>
      <c r="BL57" s="497" t="n"/>
      <c r="BM57" s="497" t="n"/>
      <c r="BN57" s="592">
        <f>BR56</f>
        <v/>
      </c>
      <c r="BO57" s="497" t="n"/>
      <c r="BP57" s="497" t="n"/>
      <c r="BQ57" s="497" t="n"/>
      <c r="BR57" s="593">
        <f>IF(AND(BM57:BQ57),1,0)</f>
        <v/>
      </c>
      <c r="BX57" s="592" t="n">
        <v>54</v>
      </c>
      <c r="BY57" s="497" t="n"/>
      <c r="BZ57" s="498" t="inlineStr">
        <is>
          <t>EMO2+</t>
        </is>
      </c>
      <c r="CA57" s="497" t="n"/>
      <c r="CB57" s="497" t="n"/>
      <c r="CC57" s="592">
        <f>CG56</f>
        <v/>
      </c>
      <c r="CD57" s="497" t="n"/>
      <c r="CE57" s="497" t="n"/>
      <c r="CF57" s="497" t="n"/>
      <c r="CG57" s="593">
        <f>IF(AND(CB57:CF57),1,0)</f>
        <v/>
      </c>
      <c r="CI57" s="592" t="n">
        <v>54</v>
      </c>
      <c r="CJ57" s="497" t="n"/>
      <c r="CK57" s="592" t="n"/>
      <c r="CL57" s="497" t="n"/>
      <c r="CM57" s="497" t="n"/>
      <c r="CN57" s="497">
        <f>CR53</f>
        <v/>
      </c>
      <c r="CO57" s="497" t="n"/>
      <c r="CP57" s="497" t="n"/>
      <c r="CQ57" s="497" t="n"/>
      <c r="CR57" s="593">
        <f>IF(AND(CM57:CQ57),1,0)</f>
        <v/>
      </c>
      <c r="DK57" s="592" t="n">
        <v>54</v>
      </c>
      <c r="DL57" s="597" t="n"/>
      <c r="DM57" s="757" t="inlineStr">
        <is>
          <t>HEATING P=1.5W</t>
        </is>
      </c>
      <c r="DN57" s="497" t="n"/>
      <c r="DO57" s="497" t="n"/>
      <c r="DP57" s="600">
        <f>DW16</f>
        <v/>
      </c>
      <c r="DQ57" s="497" t="n"/>
      <c r="DR57" s="497" t="n"/>
      <c r="DS57" s="497" t="n"/>
      <c r="DT57" s="593">
        <f>IF(AND(DO57:DS57),1,0)</f>
        <v/>
      </c>
      <c r="DZ57" s="592" t="n">
        <v>54</v>
      </c>
      <c r="EA57" s="597" t="n"/>
      <c r="EB57" s="592" t="n"/>
      <c r="EC57" s="497" t="n"/>
      <c r="ED57" s="497" t="n"/>
      <c r="EE57" s="497">
        <f>IF(OR(EI13,EI15,EI17,EI19),1,0)</f>
        <v/>
      </c>
      <c r="EF57" s="497" t="n"/>
      <c r="EG57" s="497" t="n"/>
      <c r="EH57" s="497" t="n"/>
      <c r="EI57" s="602">
        <f>IF(AND(ED57:EH57),1,0)</f>
        <v/>
      </c>
      <c r="EO57" s="592" t="n">
        <v>54</v>
      </c>
      <c r="EP57" s="597" t="n"/>
      <c r="EQ57" s="592" t="inlineStr">
        <is>
          <t>SMTR</t>
        </is>
      </c>
      <c r="ER57" s="497" t="n"/>
      <c r="ES57" s="497" t="n"/>
      <c r="ET57" s="601">
        <f>FA14</f>
        <v/>
      </c>
      <c r="EU57" s="623">
        <f>EX56</f>
        <v/>
      </c>
      <c r="EV57" s="497" t="n"/>
      <c r="EW57" s="497" t="n"/>
      <c r="EX57" s="593">
        <f>IF(AND(ES57:EW57),1,0)</f>
        <v/>
      </c>
      <c r="FE57" s="592" t="n">
        <v>54</v>
      </c>
      <c r="FF57" s="597" t="n"/>
      <c r="FG57" s="592" t="inlineStr">
        <is>
          <t>SMTR</t>
        </is>
      </c>
      <c r="FH57" s="497" t="n"/>
      <c r="FI57" s="497" t="n"/>
      <c r="FJ57" s="601">
        <f>FA14</f>
        <v/>
      </c>
      <c r="FK57" s="497">
        <f>FN56</f>
        <v/>
      </c>
      <c r="FL57" s="497" t="n"/>
      <c r="FM57" s="497" t="n"/>
      <c r="FN57" s="593">
        <f>IF(AND(FI57:FM57),1,0)</f>
        <v/>
      </c>
      <c r="FT57" s="592" t="n">
        <v>54</v>
      </c>
      <c r="FU57" s="597" t="n"/>
      <c r="FV57" s="724" t="n"/>
      <c r="FW57" s="497" t="n"/>
      <c r="FX57" s="497" t="n"/>
      <c r="FY57" s="497">
        <f>GC35</f>
        <v/>
      </c>
      <c r="FZ57" s="497" t="n"/>
      <c r="GA57" s="497" t="n"/>
      <c r="GB57" s="497" t="n"/>
      <c r="GC57" s="593">
        <f>IF(AND(FX57:GB57),1,0)</f>
        <v/>
      </c>
      <c r="GF57" s="592" t="n">
        <v>54</v>
      </c>
      <c r="GG57" s="597" t="n"/>
      <c r="GH57" s="724" t="n"/>
      <c r="GI57" s="497" t="n"/>
      <c r="GJ57" s="497" t="n"/>
      <c r="GK57" s="592">
        <f>IF(OR(GO18:GO19),1,0)</f>
        <v/>
      </c>
      <c r="GL57" s="497" t="n"/>
      <c r="GM57" s="497" t="n"/>
      <c r="GN57" s="497" t="n"/>
      <c r="GO57" s="593">
        <f>IF(AND(GJ57:GN57),1,0)</f>
        <v/>
      </c>
      <c r="GU57" s="592" t="n">
        <v>54</v>
      </c>
      <c r="GV57" s="597" t="n"/>
      <c r="GW57" s="724" t="n"/>
      <c r="GX57" s="497" t="n"/>
      <c r="GY57" s="497" t="n"/>
      <c r="GZ57" s="757">
        <f>HD56</f>
        <v/>
      </c>
      <c r="HA57" s="497" t="n"/>
      <c r="HB57" s="497" t="n"/>
      <c r="HC57" s="497" t="n"/>
      <c r="HD57" s="602">
        <f>IF(AND(GY57:HC57),1,0)</f>
        <v/>
      </c>
      <c r="HK57" s="592" t="n">
        <v>54</v>
      </c>
      <c r="HL57" s="497" t="n"/>
      <c r="HM57" s="497" t="n"/>
      <c r="HN57" s="497" t="n"/>
      <c r="HO57" s="497" t="n"/>
      <c r="HP57" s="757">
        <f>HT56</f>
        <v/>
      </c>
      <c r="HQ57" s="497" t="n"/>
      <c r="HR57" s="497" t="n"/>
      <c r="HS57" s="497" t="n"/>
      <c r="HT57" s="593">
        <f>IF(AND(HO57:HS57),1,0)</f>
        <v/>
      </c>
      <c r="KP57" s="592" t="n">
        <v>54</v>
      </c>
      <c r="KQ57" s="497" t="n"/>
      <c r="KR57" s="724" t="n"/>
      <c r="KS57" s="497" t="n"/>
      <c r="KT57" s="724" t="n"/>
      <c r="KU57" s="724">
        <f>KY56</f>
        <v/>
      </c>
      <c r="KV57" s="597" t="n"/>
      <c r="KW57" s="497" t="n"/>
      <c r="KX57" s="497" t="n"/>
      <c r="KY57" s="593">
        <f>IF(AND(KT57:KX57),1,0)</f>
        <v/>
      </c>
      <c r="LB57" s="592" t="n">
        <v>54</v>
      </c>
      <c r="LC57" s="497" t="n"/>
      <c r="LD57" s="724" t="n"/>
      <c r="LE57" s="497" t="n"/>
      <c r="LF57" s="724" t="n"/>
      <c r="LG57" s="724">
        <f>LK35</f>
        <v/>
      </c>
      <c r="LH57" s="724" t="n"/>
      <c r="LI57" s="497" t="n"/>
      <c r="LJ57" s="497" t="n"/>
      <c r="LK57" s="593">
        <f>IF(AND(LF57:LJ57),1,0)</f>
        <v/>
      </c>
      <c r="LR57" s="592" t="n">
        <v>54</v>
      </c>
      <c r="LS57" s="497" t="n"/>
      <c r="LT57" s="724" t="n"/>
      <c r="LU57" s="497" t="n"/>
      <c r="LV57" s="724" t="n"/>
      <c r="LW57" s="724">
        <f>MA55</f>
        <v/>
      </c>
      <c r="LX57" s="724" t="n"/>
      <c r="LY57" s="497" t="n"/>
      <c r="LZ57" s="497" t="n"/>
      <c r="MA57" s="593">
        <f>IF(AND(LV57:LZ57),1,0)</f>
        <v/>
      </c>
      <c r="MH57" s="592" t="n">
        <v>54</v>
      </c>
      <c r="MI57" s="497" t="n"/>
      <c r="MJ57" s="724" t="inlineStr">
        <is>
          <t>DI RIO2 PCB 9(24))_I_FADFORCED OPN</t>
        </is>
      </c>
      <c r="MK57" s="497" t="n"/>
      <c r="ML57" s="724" t="n"/>
      <c r="MM57" s="605">
        <f>MT18</f>
        <v/>
      </c>
      <c r="MN57" s="724">
        <f>MQ56</f>
        <v/>
      </c>
      <c r="MO57" s="497" t="n"/>
      <c r="MP57" s="497" t="n"/>
      <c r="MQ57" s="593">
        <f>IF(AND(ML57:MP57),1,0)</f>
        <v/>
      </c>
    </row>
    <row r="58">
      <c r="A58" s="590" t="n">
        <v>55</v>
      </c>
      <c r="B58" s="497" t="n"/>
      <c r="C58" s="497" t="n"/>
      <c r="D58" s="497" t="n"/>
      <c r="E58" s="497" t="n"/>
      <c r="F58" s="757">
        <f>J57</f>
        <v/>
      </c>
      <c r="G58" s="592" t="n"/>
      <c r="H58" s="497" t="n"/>
      <c r="I58" s="497" t="n"/>
      <c r="J58" s="593">
        <f>IF(AND(E58:I58),1,0)</f>
        <v/>
      </c>
      <c r="P58" s="592" t="n">
        <v>55</v>
      </c>
      <c r="Q58" s="497" t="n"/>
      <c r="R58" s="592" t="n"/>
      <c r="S58" s="497" t="n"/>
      <c r="T58" s="497" t="n"/>
      <c r="U58" s="757">
        <f>Y34</f>
        <v/>
      </c>
      <c r="V58" s="497" t="n"/>
      <c r="W58" s="497" t="n"/>
      <c r="X58" s="497" t="n"/>
      <c r="Y58" s="593">
        <f>IF(AND(T58:X58),1,0)</f>
        <v/>
      </c>
      <c r="AF58" s="592" t="n">
        <v>55</v>
      </c>
      <c r="AG58" s="599" t="n"/>
      <c r="AH58" s="597" t="inlineStr">
        <is>
          <t>GROUND</t>
        </is>
      </c>
      <c r="AI58" s="497" t="n"/>
      <c r="AJ58" s="497" t="n"/>
      <c r="AK58" s="619" t="n">
        <v>1</v>
      </c>
      <c r="AL58" s="497" t="n"/>
      <c r="AM58" s="497" t="n"/>
      <c r="AN58" s="497" t="n"/>
      <c r="AO58" s="593">
        <f>IF(AND(AJ58:AN58),1,0)</f>
        <v/>
      </c>
      <c r="AS58" s="742" t="n"/>
      <c r="AT58" s="497" t="n"/>
      <c r="AU58" s="497" t="n"/>
      <c r="BI58" s="592" t="n">
        <v>55</v>
      </c>
      <c r="BJ58" s="497" t="n"/>
      <c r="BK58" s="498" t="inlineStr">
        <is>
          <t>EMO1+</t>
        </is>
      </c>
      <c r="BL58" s="497" t="n"/>
      <c r="BM58" s="497" t="n"/>
      <c r="BN58" s="609">
        <f>BR57</f>
        <v/>
      </c>
      <c r="BO58" s="497" t="n"/>
      <c r="BP58" s="497" t="n"/>
      <c r="BQ58" s="497" t="n"/>
      <c r="BR58" s="593">
        <f>IF(AND(BM58:BQ58),1,0)</f>
        <v/>
      </c>
      <c r="BX58" s="592" t="n">
        <v>55</v>
      </c>
      <c r="BY58" s="497" t="n"/>
      <c r="BZ58" s="498" t="inlineStr">
        <is>
          <t>EMO1+</t>
        </is>
      </c>
      <c r="CA58" s="497" t="n"/>
      <c r="CB58" s="497" t="n"/>
      <c r="CC58" s="609">
        <f>CG57</f>
        <v/>
      </c>
      <c r="CD58" s="497" t="n"/>
      <c r="CE58" s="497" t="n"/>
      <c r="CF58" s="497" t="n"/>
      <c r="CG58" s="593">
        <f>IF(AND(CB58:CF58),1,0)</f>
        <v/>
      </c>
      <c r="CI58" s="592" t="n">
        <v>55</v>
      </c>
      <c r="CJ58" s="497" t="n"/>
      <c r="CK58" s="592" t="n"/>
      <c r="CL58" s="497" t="n"/>
      <c r="CM58" s="497" t="n"/>
      <c r="CN58" s="497">
        <f>CR57</f>
        <v/>
      </c>
      <c r="CO58" s="497" t="n"/>
      <c r="CP58" s="497" t="n"/>
      <c r="CQ58" s="497" t="n"/>
      <c r="CR58" s="593">
        <f>IF(AND(CM58:CQ58),1,0)</f>
        <v/>
      </c>
      <c r="DK58" s="592" t="n">
        <v>55</v>
      </c>
      <c r="DL58" s="597" t="n"/>
      <c r="DM58" s="592" t="inlineStr">
        <is>
          <t>FROM APS 415 VAC(L3)</t>
        </is>
      </c>
      <c r="DN58" s="497" t="n"/>
      <c r="DO58" s="497" t="n"/>
      <c r="DP58" s="591" t="n">
        <v>1</v>
      </c>
      <c r="DQ58" s="497" t="n"/>
      <c r="DR58" s="497" t="n"/>
      <c r="DS58" s="497" t="n"/>
      <c r="DT58" s="593">
        <f>IF(AND(DO58:DS58),1,0)</f>
        <v/>
      </c>
      <c r="DZ58" s="592" t="n">
        <v>55</v>
      </c>
      <c r="EA58" s="597" t="n"/>
      <c r="EB58" s="592" t="n"/>
      <c r="EC58" s="497" t="n"/>
      <c r="ED58" s="497" t="n"/>
      <c r="EE58" s="497">
        <f>IF(OR(EI21,EI23,EI25,EI27,EI29,EI31,EI33,EI34,EI35,EI37,),1,0)</f>
        <v/>
      </c>
      <c r="EF58" s="497" t="n"/>
      <c r="EG58" s="497" t="n"/>
      <c r="EH58" s="497" t="n"/>
      <c r="EI58" s="602">
        <f>IF(AND(ED58:EH58),1,0)</f>
        <v/>
      </c>
      <c r="EO58" s="592" t="n">
        <v>55</v>
      </c>
      <c r="EP58" s="597" t="n"/>
      <c r="EQ58" s="592" t="n"/>
      <c r="ER58" s="497" t="n"/>
      <c r="ES58" s="497" t="n"/>
      <c r="ET58" s="497">
        <f>EX57</f>
        <v/>
      </c>
      <c r="EU58" s="497" t="n"/>
      <c r="EV58" s="497" t="n"/>
      <c r="EW58" s="497" t="n"/>
      <c r="EX58" s="593">
        <f>IF(AND(ES58:EW58),1,0)</f>
        <v/>
      </c>
      <c r="FE58" s="592" t="n">
        <v>55</v>
      </c>
      <c r="FF58" s="597" t="n"/>
      <c r="FG58" s="592" t="n"/>
      <c r="FH58" s="497" t="n"/>
      <c r="FI58" s="497" t="n"/>
      <c r="FJ58" s="497">
        <f>FN57</f>
        <v/>
      </c>
      <c r="FK58" s="497" t="n"/>
      <c r="FL58" s="497" t="n"/>
      <c r="FM58" s="497" t="n"/>
      <c r="FN58" s="593">
        <f>IF(AND(FI58:FM58),1,0)</f>
        <v/>
      </c>
      <c r="FT58" s="592" t="n">
        <v>55</v>
      </c>
      <c r="FU58" s="597" t="n"/>
      <c r="FV58" s="724" t="inlineStr">
        <is>
          <t>SMTR</t>
        </is>
      </c>
      <c r="FW58" s="497" t="n"/>
      <c r="FX58" s="497" t="n"/>
      <c r="FY58" s="601">
        <f>FQ14</f>
        <v/>
      </c>
      <c r="FZ58" s="497">
        <f>GC57</f>
        <v/>
      </c>
      <c r="GA58" s="497" t="n"/>
      <c r="GB58" s="497" t="n"/>
      <c r="GC58" s="593">
        <f>IF(AND(FX58:GB58),1,0)</f>
        <v/>
      </c>
      <c r="GF58" s="592" t="n">
        <v>55</v>
      </c>
      <c r="GG58" s="597" t="n"/>
      <c r="GH58" s="724" t="n"/>
      <c r="GI58" s="497" t="n"/>
      <c r="GJ58" s="497" t="n"/>
      <c r="GK58" s="592">
        <f>GO57</f>
        <v/>
      </c>
      <c r="GL58" s="497" t="n"/>
      <c r="GM58" s="497" t="n"/>
      <c r="GN58" s="497" t="n"/>
      <c r="GO58" s="593">
        <f>IF(AND(GJ58:GN58),1,0)</f>
        <v/>
      </c>
      <c r="GU58" s="592" t="n">
        <v>55</v>
      </c>
      <c r="GV58" s="597" t="n"/>
      <c r="GW58" s="724" t="inlineStr">
        <is>
          <t>TX/RX</t>
        </is>
      </c>
      <c r="GX58" s="497" t="n"/>
      <c r="GY58" s="497" t="n"/>
      <c r="GZ58" s="757">
        <f>HD57</f>
        <v/>
      </c>
      <c r="HA58" s="497" t="n"/>
      <c r="HB58" s="497" t="n"/>
      <c r="HC58" s="497" t="n"/>
      <c r="HD58" s="602">
        <f>IF(AND(GY58:HC58),1,0)</f>
        <v/>
      </c>
      <c r="HK58" s="592" t="n">
        <v>55</v>
      </c>
      <c r="HL58" s="497" t="n"/>
      <c r="HM58" s="497" t="inlineStr">
        <is>
          <t>SAFC1</t>
        </is>
      </c>
      <c r="HN58" s="497" t="n"/>
      <c r="HO58" s="497" t="n"/>
      <c r="HP58" s="600">
        <f>HW11</f>
        <v/>
      </c>
      <c r="HQ58" s="497">
        <f>HT57</f>
        <v/>
      </c>
      <c r="HR58" s="497" t="n"/>
      <c r="HS58" s="497" t="n"/>
      <c r="HT58" s="593">
        <f>IF(AND(HO58:HS58),1,0)</f>
        <v/>
      </c>
      <c r="KP58" s="592" t="n">
        <v>55</v>
      </c>
      <c r="KQ58" s="497" t="n"/>
      <c r="KR58" s="724" t="n"/>
      <c r="KS58" s="497" t="n"/>
      <c r="KT58" s="724" t="n"/>
      <c r="KU58" s="724">
        <f>KY57</f>
        <v/>
      </c>
      <c r="KV58" s="597" t="n"/>
      <c r="KW58" s="497" t="n"/>
      <c r="KX58" s="497" t="n"/>
      <c r="KY58" s="593">
        <f>IF(AND(KT58:KX58),1,0)</f>
        <v/>
      </c>
      <c r="LB58" s="592" t="n">
        <v>55</v>
      </c>
      <c r="LC58" s="497" t="n"/>
      <c r="LD58" s="724" t="n"/>
      <c r="LE58" s="497" t="n"/>
      <c r="LF58" s="724" t="n"/>
      <c r="LG58" s="724">
        <f>LK123</f>
        <v/>
      </c>
      <c r="LH58" s="724" t="n"/>
      <c r="LI58" s="497" t="n"/>
      <c r="LJ58" s="497" t="n"/>
      <c r="LK58" s="593">
        <f>IF(AND(LF58:LJ58),1,0)</f>
        <v/>
      </c>
      <c r="LR58" s="592" t="n">
        <v>55</v>
      </c>
      <c r="LS58" s="497" t="n"/>
      <c r="LT58" s="724" t="n"/>
      <c r="LU58" s="497" t="n"/>
      <c r="LV58" s="724" t="n"/>
      <c r="LW58" s="724">
        <f>MA56</f>
        <v/>
      </c>
      <c r="LX58" s="724" t="n"/>
      <c r="LY58" s="497" t="n"/>
      <c r="LZ58" s="497" t="n"/>
      <c r="MA58" s="593">
        <f>IF(AND(LV58:LZ58),1,0)</f>
        <v/>
      </c>
      <c r="MH58" s="592" t="n">
        <v>55</v>
      </c>
      <c r="MI58" s="497" t="n"/>
      <c r="MJ58" s="724" t="inlineStr">
        <is>
          <t>DI RIO1 PCB 9(24)_I_FADFORCED OPN</t>
        </is>
      </c>
      <c r="MK58" s="497" t="n"/>
      <c r="ML58" s="724" t="n"/>
      <c r="MM58" s="605">
        <f>MT19</f>
        <v/>
      </c>
      <c r="MN58" s="724">
        <f>MQ56</f>
        <v/>
      </c>
      <c r="MO58" s="497" t="n"/>
      <c r="MP58" s="497" t="n"/>
      <c r="MQ58" s="593">
        <f>IF(AND(ML58:MP58),1,0)</f>
        <v/>
      </c>
    </row>
    <row r="59" ht="62.25" customHeight="1">
      <c r="A59" s="590" t="n">
        <v>56</v>
      </c>
      <c r="B59" s="497" t="n"/>
      <c r="C59" s="497" t="n"/>
      <c r="D59" s="497" t="n"/>
      <c r="E59" s="497" t="n"/>
      <c r="F59" s="757">
        <f>J58</f>
        <v/>
      </c>
      <c r="G59" s="592" t="n"/>
      <c r="H59" s="497" t="n"/>
      <c r="I59" s="497" t="n"/>
      <c r="J59" s="593">
        <f>IF(AND(E59:I59),1,0)</f>
        <v/>
      </c>
      <c r="P59" s="592" t="n">
        <v>56</v>
      </c>
      <c r="Q59" s="497" t="n"/>
      <c r="R59" s="757" t="inlineStr">
        <is>
          <t>CMPB2 _13A</t>
        </is>
      </c>
      <c r="S59" s="497" t="n"/>
      <c r="T59" s="497" t="n"/>
      <c r="U59" s="613">
        <f>AB18</f>
        <v/>
      </c>
      <c r="V59" s="497">
        <f>Y58</f>
        <v/>
      </c>
      <c r="W59" s="497">
        <f>Y63</f>
        <v/>
      </c>
      <c r="X59" s="497">
        <f>Y66</f>
        <v/>
      </c>
      <c r="Y59" s="593">
        <f>IF(AND(T59:X59),1,0)</f>
        <v/>
      </c>
      <c r="AF59" s="592" t="n">
        <v>56</v>
      </c>
      <c r="AG59" s="599" t="n"/>
      <c r="AH59" s="597" t="n"/>
      <c r="AI59" s="497" t="n"/>
      <c r="AJ59" s="497" t="n"/>
      <c r="AK59" s="609">
        <f>AO35</f>
        <v/>
      </c>
      <c r="AL59" s="497" t="n"/>
      <c r="AM59" s="497" t="n"/>
      <c r="AN59" s="497" t="n"/>
      <c r="AO59" s="593">
        <f>IF(AND(AJ59:AN59),1,0)</f>
        <v/>
      </c>
      <c r="AS59" s="742" t="n"/>
      <c r="AT59" s="597" t="inlineStr">
        <is>
          <t>LA.S01_+11.30</t>
        </is>
      </c>
      <c r="AU59" s="592" t="inlineStr">
        <is>
          <t>SMDRB</t>
        </is>
      </c>
      <c r="BI59" s="592" t="n">
        <v>56</v>
      </c>
      <c r="BJ59" s="497" t="n"/>
      <c r="BK59" s="497" t="inlineStr">
        <is>
          <t>GROUND</t>
        </is>
      </c>
      <c r="BL59" s="497" t="n"/>
      <c r="BM59" s="497" t="n"/>
      <c r="BN59" s="592" t="n">
        <v>1</v>
      </c>
      <c r="BO59" s="497" t="n"/>
      <c r="BP59" s="497" t="n"/>
      <c r="BQ59" s="497" t="n"/>
      <c r="BR59" s="593">
        <f>IF(AND(BM59:BQ59),1,0)</f>
        <v/>
      </c>
      <c r="BX59" s="592" t="n">
        <v>56</v>
      </c>
      <c r="BY59" s="497" t="n"/>
      <c r="BZ59" s="497" t="inlineStr">
        <is>
          <t>GROUND</t>
        </is>
      </c>
      <c r="CA59" s="497" t="n"/>
      <c r="CB59" s="497" t="n"/>
      <c r="CC59" s="592" t="n">
        <v>1</v>
      </c>
      <c r="CD59" s="497" t="n"/>
      <c r="CE59" s="497" t="n"/>
      <c r="CF59" s="497" t="n"/>
      <c r="CG59" s="593">
        <f>IF(AND(CB59:CF59),1,0)</f>
        <v/>
      </c>
      <c r="CI59" s="592" t="n">
        <v>56</v>
      </c>
      <c r="CJ59" s="497" t="n"/>
      <c r="CK59" s="592" t="n"/>
      <c r="CL59" s="497" t="n"/>
      <c r="CM59" s="497" t="n"/>
      <c r="CN59" s="497">
        <f>CR57</f>
        <v/>
      </c>
      <c r="CO59" s="497">
        <f>CR58</f>
        <v/>
      </c>
      <c r="CP59" s="497" t="n"/>
      <c r="CQ59" s="497" t="n"/>
      <c r="CR59" s="593">
        <f>IF(AND(CM59:CQ59),1,0)</f>
        <v/>
      </c>
      <c r="DK59" s="592" t="n">
        <v>56</v>
      </c>
      <c r="DL59" s="597" t="n"/>
      <c r="DM59" s="592" t="n"/>
      <c r="DN59" s="497" t="n"/>
      <c r="DO59" s="497" t="n"/>
      <c r="DP59" s="757">
        <f>DT58</f>
        <v/>
      </c>
      <c r="DQ59" s="497" t="n"/>
      <c r="DR59" s="497" t="n"/>
      <c r="DS59" s="497" t="n"/>
      <c r="DT59" s="593">
        <f>IF(AND(DO59:DS59),1,0)</f>
        <v/>
      </c>
      <c r="DZ59" s="592" t="n">
        <v>56</v>
      </c>
      <c r="EA59" s="597" t="n"/>
      <c r="EB59" s="592" t="n"/>
      <c r="EC59" s="497" t="n"/>
      <c r="ED59" s="497" t="n"/>
      <c r="EE59" s="497">
        <f>IF(OR(EI39,EI41,EI43,EI45,EI48),1,0)</f>
        <v/>
      </c>
      <c r="EF59" s="497" t="n"/>
      <c r="EG59" s="497" t="n"/>
      <c r="EH59" s="497" t="n"/>
      <c r="EI59" s="602">
        <f>IF(AND(ED59:EH59),1,0)</f>
        <v/>
      </c>
      <c r="EO59" s="592" t="n">
        <v>56</v>
      </c>
      <c r="EP59" s="597" t="n"/>
      <c r="EQ59" s="592" t="n"/>
      <c r="ER59" s="497" t="n"/>
      <c r="ES59" s="497" t="n"/>
      <c r="ET59" s="497">
        <f>EX58</f>
        <v/>
      </c>
      <c r="EU59" s="497" t="n"/>
      <c r="EV59" s="497" t="n"/>
      <c r="EW59" s="497" t="n"/>
      <c r="EX59" s="593">
        <f>IF(AND(ES59:EW59),1,0)</f>
        <v/>
      </c>
      <c r="FE59" s="592" t="n">
        <v>56</v>
      </c>
      <c r="FF59" s="597" t="n"/>
      <c r="FG59" s="592" t="n"/>
      <c r="FH59" s="497" t="n"/>
      <c r="FI59" s="497" t="n"/>
      <c r="FJ59" s="497">
        <f>FN58</f>
        <v/>
      </c>
      <c r="FK59" s="497" t="n"/>
      <c r="FL59" s="497" t="n"/>
      <c r="FM59" s="497" t="n"/>
      <c r="FN59" s="593">
        <f>IF(AND(FI59:FM59),1,0)</f>
        <v/>
      </c>
      <c r="FT59" s="592" t="n">
        <v>56</v>
      </c>
      <c r="FU59" s="597" t="n"/>
      <c r="FV59" s="724" t="n"/>
      <c r="FW59" s="497" t="n"/>
      <c r="FX59" s="497" t="n"/>
      <c r="FY59" s="497">
        <f>GC58</f>
        <v/>
      </c>
      <c r="FZ59" s="497" t="n"/>
      <c r="GA59" s="497" t="n"/>
      <c r="GB59" s="497" t="n"/>
      <c r="GC59" s="593">
        <f>IF(AND(FX59:GB59),1,0)</f>
        <v/>
      </c>
      <c r="GF59" s="592" t="n">
        <v>56</v>
      </c>
      <c r="GG59" s="597" t="n"/>
      <c r="GH59" s="724" t="inlineStr">
        <is>
          <t>SFC OFF</t>
        </is>
      </c>
      <c r="GI59" s="497" t="n"/>
      <c r="GJ59" s="497" t="n"/>
      <c r="GK59" s="604">
        <f>GR15</f>
        <v/>
      </c>
      <c r="GL59" s="497">
        <f>GO58</f>
        <v/>
      </c>
      <c r="GM59" s="497" t="n"/>
      <c r="GN59" s="497" t="n"/>
      <c r="GO59" s="593">
        <f>IF(AND(GJ59:GN59),1,0)</f>
        <v/>
      </c>
      <c r="GU59" s="592" t="n">
        <v>56</v>
      </c>
      <c r="GV59" s="597" t="n"/>
      <c r="GW59" s="724" t="inlineStr">
        <is>
          <t>24V</t>
        </is>
      </c>
      <c r="GX59" s="497" t="n"/>
      <c r="GY59" s="497" t="n"/>
      <c r="GZ59" s="591" t="n">
        <v>1</v>
      </c>
      <c r="HA59" s="497" t="n"/>
      <c r="HB59" s="497" t="n"/>
      <c r="HC59" s="497" t="n"/>
      <c r="HD59" s="602">
        <f>IF(AND(GY59:HC59),1,0)</f>
        <v/>
      </c>
      <c r="HK59" s="592" t="n">
        <v>56</v>
      </c>
      <c r="HL59" s="497" t="n"/>
      <c r="HM59" s="757" t="inlineStr">
        <is>
          <t>TMR1</t>
        </is>
      </c>
      <c r="HN59" s="497" t="n"/>
      <c r="HO59" s="497" t="n"/>
      <c r="HP59" s="600">
        <f>HW16</f>
        <v/>
      </c>
      <c r="HQ59" s="497">
        <f>HT58</f>
        <v/>
      </c>
      <c r="HR59" s="497" t="n"/>
      <c r="HS59" s="497" t="n"/>
      <c r="HT59" s="593">
        <f>IF(AND(HO59:HS59),1,0)</f>
        <v/>
      </c>
      <c r="KP59" s="592" t="n">
        <v>56</v>
      </c>
      <c r="KQ59" s="497" t="n"/>
      <c r="KR59" s="724" t="n"/>
      <c r="KS59" s="497" t="n"/>
      <c r="KT59" s="724" t="n"/>
      <c r="KU59" s="724">
        <f>IF(AND(KY39,KY31,KY23,KY21,KY20),1,0)</f>
        <v/>
      </c>
      <c r="KV59" s="597" t="n"/>
      <c r="KW59" s="497" t="n"/>
      <c r="KX59" s="497" t="n"/>
      <c r="KY59" s="593">
        <f>IF(AND(KT59:KX59),1,0)</f>
        <v/>
      </c>
      <c r="LB59" s="592" t="n">
        <v>56</v>
      </c>
      <c r="LC59" s="497" t="n"/>
      <c r="LD59" s="724" t="n"/>
      <c r="LE59" s="497" t="n"/>
      <c r="LF59" s="724" t="n"/>
      <c r="LG59" s="724">
        <f>LK58</f>
        <v/>
      </c>
      <c r="LH59" s="724" t="n"/>
      <c r="LI59" s="497" t="n"/>
      <c r="LJ59" s="497" t="n"/>
      <c r="LK59" s="593">
        <f>IF(AND(LF59:LJ59),1,0)</f>
        <v/>
      </c>
      <c r="LR59" s="592" t="n">
        <v>56</v>
      </c>
      <c r="LS59" s="497" t="n"/>
      <c r="LT59" s="724" t="n"/>
      <c r="LU59" s="497" t="n"/>
      <c r="LV59" s="724" t="n"/>
      <c r="LW59" s="724">
        <f>MA5</f>
        <v/>
      </c>
      <c r="LX59" s="724" t="n"/>
      <c r="LY59" s="497" t="n"/>
      <c r="LZ59" s="497" t="n"/>
      <c r="MA59" s="593">
        <f>IF(AND(LV59:LZ59),1,0)</f>
        <v/>
      </c>
      <c r="MH59" s="592" t="n">
        <v>56</v>
      </c>
      <c r="MI59" s="497" t="n"/>
      <c r="MJ59" s="724" t="n"/>
      <c r="MK59" s="497" t="n"/>
      <c r="ML59" s="724" t="n"/>
      <c r="MM59" s="724">
        <f>MQ29</f>
        <v/>
      </c>
      <c r="MN59" s="724" t="n"/>
      <c r="MO59" s="497" t="n"/>
      <c r="MP59" s="497" t="n"/>
      <c r="MQ59" s="593">
        <f>IF(AND(ML59:MP59),1,0)</f>
        <v/>
      </c>
    </row>
    <row r="60" ht="47.25" customHeight="1">
      <c r="A60" s="590" t="n">
        <v>57</v>
      </c>
      <c r="B60" s="497" t="n"/>
      <c r="C60" s="497" t="n"/>
      <c r="D60" s="497" t="n"/>
      <c r="E60" s="497" t="n"/>
      <c r="F60" s="757">
        <f>J59</f>
        <v/>
      </c>
      <c r="G60" s="592" t="n"/>
      <c r="H60" s="497" t="n"/>
      <c r="I60" s="497" t="n"/>
      <c r="J60" s="593">
        <f>IF(AND(E60:I60),1,0)</f>
        <v/>
      </c>
      <c r="P60" s="592" t="n">
        <v>57</v>
      </c>
      <c r="Q60" s="497" t="n"/>
      <c r="R60" s="592" t="n"/>
      <c r="S60" s="497" t="n"/>
      <c r="T60" s="497" t="n"/>
      <c r="U60" s="757">
        <f>Y59</f>
        <v/>
      </c>
      <c r="V60" s="497">
        <f>Y59</f>
        <v/>
      </c>
      <c r="W60" s="497" t="n"/>
      <c r="X60" s="497" t="n"/>
      <c r="Y60" s="593">
        <f>IF(AND(T60:X60),1,0)</f>
        <v/>
      </c>
      <c r="AF60" s="592" t="n">
        <v>57</v>
      </c>
      <c r="AG60" s="599" t="n"/>
      <c r="AH60" s="757" t="inlineStr">
        <is>
          <t>CMPB2 _13A</t>
        </is>
      </c>
      <c r="AI60" s="497" t="n"/>
      <c r="AJ60" s="497" t="n"/>
      <c r="AK60" s="604">
        <f>AB19</f>
        <v/>
      </c>
      <c r="AL60" s="497">
        <f>AO59</f>
        <v/>
      </c>
      <c r="AM60" s="497" t="n"/>
      <c r="AN60" s="497" t="n"/>
      <c r="AO60" s="593">
        <f>IF(AND(AJ60:AN60),1,0)</f>
        <v/>
      </c>
      <c r="AS60" s="742" t="n"/>
      <c r="AT60" s="497" t="n"/>
      <c r="AU60" s="497" t="n"/>
      <c r="BI60" s="592" t="n">
        <v>57</v>
      </c>
      <c r="BJ60" s="742" t="inlineStr">
        <is>
          <t>/06.F2</t>
        </is>
      </c>
      <c r="BK60" s="497" t="n"/>
      <c r="BL60" s="497" t="n"/>
      <c r="BM60" s="497" t="n"/>
      <c r="BN60" s="598" t="n">
        <v>1</v>
      </c>
      <c r="BO60" s="497" t="n"/>
      <c r="BP60" s="497" t="n"/>
      <c r="BQ60" s="497" t="n"/>
      <c r="BR60" s="593">
        <f>IF(AND(BM60:BQ60),1,0)</f>
        <v/>
      </c>
      <c r="BX60" s="592" t="n">
        <v>57</v>
      </c>
      <c r="BY60" s="742" t="inlineStr">
        <is>
          <t>/06.F2</t>
        </is>
      </c>
      <c r="BZ60" s="497" t="n"/>
      <c r="CA60" s="497" t="n"/>
      <c r="CB60" s="497" t="n"/>
      <c r="CC60" s="598" t="n">
        <v>1</v>
      </c>
      <c r="CD60" s="497" t="n"/>
      <c r="CE60" s="497" t="n"/>
      <c r="CF60" s="497" t="n"/>
      <c r="CG60" s="593">
        <f>IF(AND(CB60:CF60),1,0)</f>
        <v/>
      </c>
      <c r="CI60" s="592" t="n">
        <v>57</v>
      </c>
      <c r="CJ60" s="497" t="n"/>
      <c r="CK60" s="592" t="n"/>
      <c r="CL60" s="497" t="n"/>
      <c r="CM60" s="497" t="n"/>
      <c r="CN60" s="497">
        <f>CR53</f>
        <v/>
      </c>
      <c r="CO60" s="497" t="n"/>
      <c r="CP60" s="497" t="n"/>
      <c r="CQ60" s="497" t="n"/>
      <c r="CR60" s="593">
        <f>IF(AND(CM60:CQ60),1,0)</f>
        <v/>
      </c>
      <c r="DK60" s="592" t="n">
        <v>57</v>
      </c>
      <c r="DL60" s="597" t="n"/>
      <c r="DM60" s="592" t="n"/>
      <c r="DN60" s="497" t="n"/>
      <c r="DO60" s="497" t="n"/>
      <c r="DP60" s="757">
        <f>DT44</f>
        <v/>
      </c>
      <c r="DQ60" s="497" t="n"/>
      <c r="DR60" s="497" t="n"/>
      <c r="DS60" s="497" t="n"/>
      <c r="DT60" s="593">
        <f>IF(AND(DO60:DS60),1,0)</f>
        <v/>
      </c>
      <c r="DZ60" s="592" t="n">
        <v>57</v>
      </c>
      <c r="EA60" s="597" t="n"/>
      <c r="EB60" s="592" t="n"/>
      <c r="EC60" s="497" t="n"/>
      <c r="ED60" s="497" t="n"/>
      <c r="EE60" s="497">
        <f>IF(OR(EI50,EI52,EI55),1,0)</f>
        <v/>
      </c>
      <c r="EF60" s="497" t="n"/>
      <c r="EG60" s="497" t="n"/>
      <c r="EH60" s="497" t="n"/>
      <c r="EI60" s="602">
        <f>IF(AND(ED60:EH60),1,0)</f>
        <v/>
      </c>
      <c r="EO60" s="592" t="n">
        <v>57</v>
      </c>
      <c r="EP60" s="597" t="n"/>
      <c r="EQ60" s="592" t="n"/>
      <c r="ER60" s="497" t="n"/>
      <c r="ES60" s="497" t="n"/>
      <c r="ET60" s="497">
        <f>EX34</f>
        <v/>
      </c>
      <c r="EU60" s="497" t="n"/>
      <c r="EV60" s="497" t="n"/>
      <c r="EW60" s="497" t="n"/>
      <c r="EX60" s="593">
        <f>IF(AND(ES60:EW60),1,0)</f>
        <v/>
      </c>
      <c r="FE60" s="592" t="n">
        <v>57</v>
      </c>
      <c r="FF60" s="597" t="n"/>
      <c r="FG60" s="592" t="n"/>
      <c r="FH60" s="497" t="n"/>
      <c r="FI60" s="497" t="n"/>
      <c r="FJ60" s="497">
        <f>FN34</f>
        <v/>
      </c>
      <c r="FK60" s="497" t="n"/>
      <c r="FL60" s="497" t="n"/>
      <c r="FM60" s="497" t="n"/>
      <c r="FN60" s="593">
        <f>IF(AND(FI60:FM60),1,0)</f>
        <v/>
      </c>
      <c r="FT60" s="592" t="n">
        <v>57</v>
      </c>
      <c r="FU60" s="597" t="n"/>
      <c r="FV60" s="724" t="n"/>
      <c r="FW60" s="497" t="n"/>
      <c r="FX60" s="497" t="n"/>
      <c r="FY60" s="497">
        <f>GC59</f>
        <v/>
      </c>
      <c r="FZ60" s="497" t="n"/>
      <c r="GA60" s="497" t="n"/>
      <c r="GB60" s="497" t="n"/>
      <c r="GC60" s="593">
        <f>IF(AND(FX60:GB60),1,0)</f>
        <v/>
      </c>
      <c r="GF60" s="592" t="n">
        <v>57</v>
      </c>
      <c r="GG60" s="597" t="n"/>
      <c r="GH60" s="724" t="n"/>
      <c r="GI60" s="497" t="n"/>
      <c r="GJ60" s="497" t="n"/>
      <c r="GK60" s="592">
        <f>GO59</f>
        <v/>
      </c>
      <c r="GL60" s="497" t="n"/>
      <c r="GM60" s="497" t="n"/>
      <c r="GN60" s="497" t="n"/>
      <c r="GO60" s="593">
        <f>IF(AND(GJ60:GN60),1,0)</f>
        <v/>
      </c>
      <c r="GU60" s="592" t="n">
        <v>57</v>
      </c>
      <c r="GV60" s="597" t="n"/>
      <c r="GW60" s="275" t="inlineStr">
        <is>
          <t>0V</t>
        </is>
      </c>
      <c r="GX60" s="497" t="n"/>
      <c r="GY60" s="497" t="n"/>
      <c r="GZ60" s="591" t="n">
        <v>1</v>
      </c>
      <c r="HA60" s="497" t="n"/>
      <c r="HB60" s="497" t="n"/>
      <c r="HC60" s="497" t="n"/>
      <c r="HD60" s="602">
        <f>IF(AND(GY60:HC60),1,0)</f>
        <v/>
      </c>
      <c r="HK60" s="592" t="n">
        <v>57</v>
      </c>
      <c r="HL60" s="497" t="n"/>
      <c r="HM60" s="497" t="n"/>
      <c r="HN60" s="497" t="n"/>
      <c r="HO60" s="497" t="n"/>
      <c r="HP60" s="757">
        <f>HT59</f>
        <v/>
      </c>
      <c r="HQ60" s="497" t="n"/>
      <c r="HR60" s="497" t="n"/>
      <c r="HS60" s="497" t="n"/>
      <c r="HT60" s="593">
        <f>IF(AND(HO60:HS60),1,0)</f>
        <v/>
      </c>
      <c r="LB60" s="592" t="n">
        <v>57</v>
      </c>
      <c r="LC60" s="497" t="n"/>
      <c r="LD60" s="724" t="inlineStr">
        <is>
          <t>CONDENSER MOTOR 1 Pa=2,5kW p.f.=0,75</t>
        </is>
      </c>
      <c r="LE60" s="497" t="n"/>
      <c r="LF60" s="724" t="n"/>
      <c r="LG60" s="605">
        <f>LN22</f>
        <v/>
      </c>
      <c r="LH60" s="724">
        <f>LK59</f>
        <v/>
      </c>
      <c r="LI60" s="757">
        <f>LK90</f>
        <v/>
      </c>
      <c r="LJ60" s="757">
        <f>LK126</f>
        <v/>
      </c>
      <c r="LK60" s="593">
        <f>IF(AND(LF60:LJ60),1,0)</f>
        <v/>
      </c>
      <c r="LR60" s="592" t="n">
        <v>57</v>
      </c>
      <c r="LS60" s="497" t="n"/>
      <c r="LT60" s="724" t="inlineStr">
        <is>
          <t>EMR</t>
        </is>
      </c>
      <c r="LU60" s="497" t="n"/>
      <c r="LV60" s="724" t="n"/>
      <c r="LW60" s="605">
        <f>MD7</f>
        <v/>
      </c>
      <c r="LX60" s="724">
        <f>MA59</f>
        <v/>
      </c>
      <c r="LY60" s="497" t="n"/>
      <c r="LZ60" s="497" t="n"/>
      <c r="MA60" s="593">
        <f>IF(AND(LV60:LZ60),1,0)</f>
        <v/>
      </c>
      <c r="MH60" s="592" t="n">
        <v>57</v>
      </c>
      <c r="MI60" s="497" t="n"/>
      <c r="MJ60" s="724" t="n"/>
      <c r="MK60" s="497" t="n"/>
      <c r="ML60" s="724" t="n"/>
      <c r="MM60" s="724">
        <f>IF(OR(MQ76,MQ94),1,0)</f>
        <v/>
      </c>
      <c r="MN60" s="724" t="n"/>
      <c r="MO60" s="497" t="n"/>
      <c r="MP60" s="497" t="n"/>
      <c r="MQ60" s="593">
        <f>IF(AND(ML60:MP60),1,0)</f>
        <v/>
      </c>
    </row>
    <row r="61">
      <c r="A61" s="590" t="n">
        <v>58</v>
      </c>
      <c r="B61" s="497" t="n"/>
      <c r="C61" s="497" t="n"/>
      <c r="D61" s="497" t="n"/>
      <c r="E61" s="497" t="n"/>
      <c r="F61" s="757">
        <f>J60</f>
        <v/>
      </c>
      <c r="G61" s="592" t="n"/>
      <c r="H61" s="497" t="n"/>
      <c r="I61" s="497" t="n"/>
      <c r="J61" s="593">
        <f>IF(AND(E61:I61),1,0)</f>
        <v/>
      </c>
      <c r="P61" s="592" t="n">
        <v>58</v>
      </c>
      <c r="Q61" s="497" t="n"/>
      <c r="R61" s="757" t="inlineStr">
        <is>
          <t>CMPC2 16A</t>
        </is>
      </c>
      <c r="S61" s="497" t="n"/>
      <c r="T61" s="497" t="n"/>
      <c r="U61" s="613">
        <f>AB18</f>
        <v/>
      </c>
      <c r="V61" s="497">
        <f>Y60</f>
        <v/>
      </c>
      <c r="W61" s="497">
        <f>Y64</f>
        <v/>
      </c>
      <c r="X61" s="497">
        <f>Y67</f>
        <v/>
      </c>
      <c r="Y61" s="593">
        <f>IF(AND(T61:X61),1,0)</f>
        <v/>
      </c>
      <c r="AF61" s="592" t="n">
        <v>58</v>
      </c>
      <c r="AG61" s="599" t="n"/>
      <c r="AH61" s="597" t="n"/>
      <c r="AI61" s="497" t="n"/>
      <c r="AJ61" s="497" t="n"/>
      <c r="AK61" s="609">
        <f>AO60</f>
        <v/>
      </c>
      <c r="AL61" s="497" t="n"/>
      <c r="AM61" s="497" t="n"/>
      <c r="AN61" s="497" t="n"/>
      <c r="AO61" s="593">
        <f>IF(AND(AJ61:AN61),1,0)</f>
        <v/>
      </c>
      <c r="AS61" s="742" t="n"/>
      <c r="AT61" s="592" t="n"/>
      <c r="AU61" s="497" t="n"/>
      <c r="BI61" s="592" t="n">
        <v>58</v>
      </c>
      <c r="BJ61" s="497" t="n"/>
      <c r="BK61" s="624" t="n"/>
      <c r="BL61" s="497" t="n"/>
      <c r="BM61" s="497" t="n"/>
      <c r="BN61" s="592">
        <f>BR60</f>
        <v/>
      </c>
      <c r="BO61" s="497" t="n"/>
      <c r="BP61" s="497" t="n"/>
      <c r="BQ61" s="497" t="n"/>
      <c r="BR61" s="593">
        <f>IF(AND(BM61:BQ61),1,0)</f>
        <v/>
      </c>
      <c r="BX61" s="592" t="n">
        <v>58</v>
      </c>
      <c r="BY61" s="497" t="n"/>
      <c r="BZ61" s="624" t="n"/>
      <c r="CA61" s="497" t="n"/>
      <c r="CB61" s="497" t="n"/>
      <c r="CC61" s="592">
        <f>CG60</f>
        <v/>
      </c>
      <c r="CD61" s="497" t="n"/>
      <c r="CE61" s="497" t="n"/>
      <c r="CF61" s="497" t="n"/>
      <c r="CG61" s="593">
        <f>IF(AND(CB61:CF61),1,0)</f>
        <v/>
      </c>
      <c r="CI61" s="592" t="n">
        <v>58</v>
      </c>
      <c r="CJ61" s="497" t="n"/>
      <c r="CK61" s="592" t="n"/>
      <c r="CL61" s="497" t="n"/>
      <c r="CM61" s="497" t="n"/>
      <c r="CN61" s="497">
        <f>CR60</f>
        <v/>
      </c>
      <c r="CO61" s="497" t="n"/>
      <c r="CP61" s="497" t="n"/>
      <c r="CQ61" s="497" t="n"/>
      <c r="CR61" s="593">
        <f>IF(AND(CM61:CQ61),1,0)</f>
        <v/>
      </c>
      <c r="DK61" s="592" t="n">
        <v>58</v>
      </c>
      <c r="DL61" s="597" t="n"/>
      <c r="DM61" s="592" t="n"/>
      <c r="DN61" s="497" t="n"/>
      <c r="DO61" s="497" t="n"/>
      <c r="DP61" s="757">
        <f>DT60</f>
        <v/>
      </c>
      <c r="DQ61" s="497" t="n"/>
      <c r="DR61" s="497" t="n"/>
      <c r="DS61" s="497" t="n"/>
      <c r="DT61" s="593">
        <f>IF(AND(DO61:DS61),1,0)</f>
        <v/>
      </c>
      <c r="DZ61" s="592" t="n">
        <v>58</v>
      </c>
      <c r="EA61" s="597" t="n"/>
      <c r="EB61" s="592" t="inlineStr">
        <is>
          <t>HVAC 1-2 CONTROL PANEL</t>
        </is>
      </c>
      <c r="EC61" s="497" t="n"/>
      <c r="ED61" s="497" t="n"/>
      <c r="EE61" s="497">
        <f>IF(OR(EI54:EI60),1,0)</f>
        <v/>
      </c>
      <c r="EF61" s="497" t="n"/>
      <c r="EG61" s="497" t="n"/>
      <c r="EH61" s="497" t="n"/>
      <c r="EI61" s="602">
        <f>IF(AND(ED61:EH61),1,0)</f>
        <v/>
      </c>
      <c r="EO61" s="592" t="n">
        <v>58</v>
      </c>
      <c r="EP61" s="597" t="n"/>
      <c r="EQ61" s="592" t="inlineStr">
        <is>
          <t>SMRR</t>
        </is>
      </c>
      <c r="ER61" s="497" t="n"/>
      <c r="ES61" s="497" t="n"/>
      <c r="ET61" s="601">
        <f>FA5</f>
        <v/>
      </c>
      <c r="EU61" s="497">
        <f>EX60</f>
        <v/>
      </c>
      <c r="EV61" s="497" t="n"/>
      <c r="EW61" s="497" t="n"/>
      <c r="EX61" s="593">
        <f>IF(AND(ES61:EW61),1,0)</f>
        <v/>
      </c>
      <c r="FE61" s="592" t="n">
        <v>58</v>
      </c>
      <c r="FF61" s="597" t="n"/>
      <c r="FG61" s="592" t="inlineStr">
        <is>
          <t>SMRR</t>
        </is>
      </c>
      <c r="FH61" s="497" t="n"/>
      <c r="FI61" s="497" t="n"/>
      <c r="FJ61" s="601">
        <f>FQ5</f>
        <v/>
      </c>
      <c r="FK61" s="497">
        <f>FN60</f>
        <v/>
      </c>
      <c r="FL61" s="497" t="n"/>
      <c r="FM61" s="497" t="n"/>
      <c r="FN61" s="593">
        <f>IF(AND(FI61:FM61),1,0)</f>
        <v/>
      </c>
      <c r="FT61" s="592" t="n">
        <v>58</v>
      </c>
      <c r="FU61" s="597" t="n"/>
      <c r="FV61" s="724" t="n"/>
      <c r="FW61" s="497" t="n"/>
      <c r="FX61" s="497" t="n"/>
      <c r="FY61" s="497">
        <f>GC35</f>
        <v/>
      </c>
      <c r="FZ61" s="497" t="n"/>
      <c r="GA61" s="497" t="n"/>
      <c r="GB61" s="497" t="n"/>
      <c r="GC61" s="593">
        <f>IF(AND(FX61:GB61),1,0)</f>
        <v/>
      </c>
      <c r="GF61" s="592" t="n">
        <v>58</v>
      </c>
      <c r="GG61" s="597" t="n"/>
      <c r="GH61" s="724" t="inlineStr">
        <is>
          <t>FADR 6</t>
        </is>
      </c>
      <c r="GI61" s="497" t="n"/>
      <c r="GJ61" s="497" t="n"/>
      <c r="GK61" s="604">
        <f>GR14</f>
        <v/>
      </c>
      <c r="GL61" s="497">
        <f>GO60</f>
        <v/>
      </c>
      <c r="GM61" s="497" t="n"/>
      <c r="GN61" s="497" t="n"/>
      <c r="GO61" s="593">
        <f>IF(AND(GJ61:GN61),1,0)</f>
        <v/>
      </c>
      <c r="GU61" s="592" t="n">
        <v>58</v>
      </c>
      <c r="GV61" s="597" t="n"/>
      <c r="GW61" s="724" t="n"/>
      <c r="GX61" s="497" t="n"/>
      <c r="GY61" s="497" t="n"/>
      <c r="GZ61" s="591" t="n">
        <v>1</v>
      </c>
      <c r="HA61" s="497" t="n"/>
      <c r="HB61" s="497" t="n"/>
      <c r="HC61" s="497" t="n"/>
      <c r="HD61" s="602">
        <f>IF(AND(GY61:HC61),1,0)</f>
        <v/>
      </c>
      <c r="HK61" s="592" t="n">
        <v>58</v>
      </c>
      <c r="HL61" s="497" t="n"/>
      <c r="HM61" s="497" t="n"/>
      <c r="HN61" s="497" t="n"/>
      <c r="HO61" s="497" t="n"/>
      <c r="HP61" s="757">
        <f>HT59</f>
        <v/>
      </c>
      <c r="HQ61" s="497" t="n"/>
      <c r="HR61" s="497" t="n"/>
      <c r="HS61" s="497" t="n"/>
      <c r="HT61" s="593">
        <f>IF(AND(HO61:HS61),1,0)</f>
        <v/>
      </c>
      <c r="LB61" s="592" t="n">
        <v>58</v>
      </c>
      <c r="LC61" s="497" t="n"/>
      <c r="LD61" s="757" t="n"/>
      <c r="LE61" s="497" t="n"/>
      <c r="LF61" s="724" t="n"/>
      <c r="LG61" s="724" t="n">
        <v>1</v>
      </c>
      <c r="LH61" s="724" t="n"/>
      <c r="LI61" s="497" t="n"/>
      <c r="LJ61" s="497" t="n"/>
      <c r="LK61" s="593">
        <f>IF(AND(LF61:LJ61),1,0)</f>
        <v/>
      </c>
      <c r="LR61" s="592" t="n">
        <v>58</v>
      </c>
      <c r="LS61" s="497" t="n"/>
      <c r="LT61" s="724" t="n"/>
      <c r="LU61" s="497" t="n"/>
      <c r="LV61" s="724" t="n"/>
      <c r="LW61" s="724">
        <f>MA60</f>
        <v/>
      </c>
      <c r="LX61" s="724" t="n"/>
      <c r="LY61" s="497" t="n"/>
      <c r="LZ61" s="497" t="n"/>
      <c r="MA61" s="593">
        <f>IF(AND(LV61:LZ61),1,0)</f>
        <v/>
      </c>
      <c r="MH61" s="592" t="n">
        <v>58</v>
      </c>
      <c r="MI61" s="497" t="n"/>
      <c r="MJ61" s="724" t="n"/>
      <c r="MK61" s="497" t="n"/>
      <c r="ML61" s="724" t="n"/>
      <c r="MM61" s="724">
        <f>MQ29</f>
        <v/>
      </c>
      <c r="MN61" s="724" t="n"/>
      <c r="MO61" s="497" t="n"/>
      <c r="MP61" s="497" t="n"/>
      <c r="MQ61" s="593">
        <f>IF(AND(ML61:MP61),1,0)</f>
        <v/>
      </c>
    </row>
    <row r="62">
      <c r="A62" s="590" t="n">
        <v>59</v>
      </c>
      <c r="B62" s="497" t="n"/>
      <c r="C62" s="497" t="n"/>
      <c r="D62" s="497" t="n"/>
      <c r="E62" s="497" t="n"/>
      <c r="F62" s="591">
        <f>M14</f>
        <v/>
      </c>
      <c r="G62" s="592" t="n"/>
      <c r="H62" s="497" t="n"/>
      <c r="I62" s="497" t="n"/>
      <c r="J62" s="593">
        <f>IF(AND(E62:I62),1,0)</f>
        <v/>
      </c>
      <c r="P62" s="592" t="n">
        <v>59</v>
      </c>
      <c r="Q62" s="497" t="n"/>
      <c r="R62" s="592" t="n"/>
      <c r="S62" s="497" t="n"/>
      <c r="T62" s="497" t="n"/>
      <c r="U62" s="757">
        <f>Y61</f>
        <v/>
      </c>
      <c r="V62" s="497" t="n"/>
      <c r="W62" s="497" t="n"/>
      <c r="X62" s="497" t="n"/>
      <c r="Y62" s="593">
        <f>IF(AND(T62:X62),1,0)</f>
        <v/>
      </c>
      <c r="AF62" s="592" t="n">
        <v>59</v>
      </c>
      <c r="AG62" s="599" t="n"/>
      <c r="AH62" s="757" t="inlineStr">
        <is>
          <t>CMPC2 16A</t>
        </is>
      </c>
      <c r="AI62" s="497" t="n"/>
      <c r="AJ62" s="497" t="n"/>
      <c r="AK62" s="604">
        <f>AB19</f>
        <v/>
      </c>
      <c r="AL62" s="497">
        <f>AO61</f>
        <v/>
      </c>
      <c r="AM62" s="497" t="n"/>
      <c r="AN62" s="497" t="n"/>
      <c r="AO62" s="593">
        <f>IF(AND(AJ62:AN62),1,0)</f>
        <v/>
      </c>
      <c r="AS62" s="742" t="n"/>
      <c r="AT62" s="497" t="n"/>
      <c r="AU62" s="497" t="n"/>
      <c r="BI62" s="592" t="n">
        <v>59</v>
      </c>
      <c r="BJ62" s="742" t="inlineStr">
        <is>
          <t>/06.F3</t>
        </is>
      </c>
      <c r="BK62" s="497" t="n"/>
      <c r="BL62" s="497" t="n"/>
      <c r="BM62" s="497" t="n"/>
      <c r="BN62" s="598" t="n">
        <v>1</v>
      </c>
      <c r="BO62" s="497" t="n"/>
      <c r="BP62" s="497" t="n"/>
      <c r="BQ62" s="497" t="n"/>
      <c r="BR62" s="593">
        <f>IF(AND(BM62:BQ62),1,0)</f>
        <v/>
      </c>
      <c r="BX62" s="592" t="n">
        <v>59</v>
      </c>
      <c r="BY62" s="742" t="inlineStr">
        <is>
          <t>/06.F3</t>
        </is>
      </c>
      <c r="BZ62" s="497" t="n"/>
      <c r="CA62" s="497" t="n"/>
      <c r="CB62" s="497" t="n"/>
      <c r="CC62" s="598" t="n">
        <v>1</v>
      </c>
      <c r="CD62" s="497" t="n"/>
      <c r="CE62" s="497" t="n"/>
      <c r="CF62" s="497" t="n"/>
      <c r="CG62" s="593">
        <f>IF(AND(CB62:CF62),1,0)</f>
        <v/>
      </c>
      <c r="CI62" s="592" t="n">
        <v>59</v>
      </c>
      <c r="CJ62" s="497" t="n"/>
      <c r="CK62" s="592" t="n"/>
      <c r="CL62" s="497" t="n"/>
      <c r="CM62" s="497" t="n"/>
      <c r="CN62" s="497">
        <f>CR60</f>
        <v/>
      </c>
      <c r="CO62" s="497">
        <f>CR61</f>
        <v/>
      </c>
      <c r="CP62" s="497" t="n"/>
      <c r="CQ62" s="497" t="n"/>
      <c r="CR62" s="593">
        <f>IF(AND(CM62:CQ62),1,0)</f>
        <v/>
      </c>
      <c r="DK62" s="592" t="n">
        <v>59</v>
      </c>
      <c r="DL62" s="597" t="n"/>
      <c r="DM62" s="592" t="n"/>
      <c r="DN62" s="497" t="n"/>
      <c r="DO62" s="497" t="n"/>
      <c r="DP62" s="757">
        <f>DT72</f>
        <v/>
      </c>
      <c r="DQ62" s="497">
        <f>DT61</f>
        <v/>
      </c>
      <c r="DR62" s="497" t="n"/>
      <c r="DS62" s="497" t="n"/>
      <c r="DT62" s="593">
        <f>IF(AND(DO62:DS62),1,0)</f>
        <v/>
      </c>
      <c r="EI62" s="742" t="n"/>
      <c r="EO62" s="592" t="n">
        <v>59</v>
      </c>
      <c r="EP62" s="597" t="n"/>
      <c r="EQ62" s="592" t="n"/>
      <c r="ER62" s="497" t="n"/>
      <c r="ES62" s="497" t="n"/>
      <c r="ET62" s="497">
        <f>EX61</f>
        <v/>
      </c>
      <c r="EU62" s="497" t="n"/>
      <c r="EV62" s="497" t="n"/>
      <c r="EW62" s="497" t="n"/>
      <c r="EX62" s="593">
        <f>IF(AND(ES62:EW62),1,0)</f>
        <v/>
      </c>
      <c r="FE62" s="592" t="n">
        <v>59</v>
      </c>
      <c r="FF62" s="597" t="n"/>
      <c r="FG62" s="592" t="n"/>
      <c r="FH62" s="497" t="n"/>
      <c r="FI62" s="497" t="n"/>
      <c r="FJ62" s="497">
        <f>FN61</f>
        <v/>
      </c>
      <c r="FK62" s="497" t="n"/>
      <c r="FL62" s="497" t="n"/>
      <c r="FM62" s="497" t="n"/>
      <c r="FN62" s="593">
        <f>IF(AND(FI62:FM62),1,0)</f>
        <v/>
      </c>
      <c r="FT62" s="592" t="n">
        <v>59</v>
      </c>
      <c r="FU62" s="597" t="n"/>
      <c r="FV62" s="724" t="inlineStr">
        <is>
          <t>SMRR</t>
        </is>
      </c>
      <c r="FW62" s="497" t="n"/>
      <c r="FX62" s="497" t="n"/>
      <c r="FY62" s="601">
        <f>FQ15</f>
        <v/>
      </c>
      <c r="FZ62" s="497">
        <f>GC61</f>
        <v/>
      </c>
      <c r="GA62" s="497" t="n"/>
      <c r="GB62" s="497" t="n"/>
      <c r="GC62" s="593">
        <f>IF(AND(FX62:GB62),1,0)</f>
        <v/>
      </c>
      <c r="GF62" s="592" t="n">
        <v>59</v>
      </c>
      <c r="GG62" s="597" t="n"/>
      <c r="GH62" s="724" t="n"/>
      <c r="GI62" s="497" t="n"/>
      <c r="GJ62" s="497" t="n"/>
      <c r="GK62" s="592">
        <f>GO64</f>
        <v/>
      </c>
      <c r="GL62" s="497" t="n"/>
      <c r="GM62" s="497" t="n"/>
      <c r="GN62" s="497" t="n"/>
      <c r="GO62" s="593">
        <f>IF(AND(GJ62:GN62),1,0)</f>
        <v/>
      </c>
      <c r="GU62" s="592" t="n">
        <v>59</v>
      </c>
      <c r="GV62" s="597" t="n"/>
      <c r="GW62" s="724" t="inlineStr">
        <is>
          <t xml:space="preserve">FADR STATUS </t>
        </is>
      </c>
      <c r="GX62" s="497" t="n"/>
      <c r="GY62" s="497" t="n"/>
      <c r="GZ62" s="600">
        <f>HG11</f>
        <v/>
      </c>
      <c r="HA62" s="497">
        <f>HD61</f>
        <v/>
      </c>
      <c r="HB62" s="497" t="n"/>
      <c r="HC62" s="497" t="n"/>
      <c r="HD62" s="602">
        <f>IF(AND(GY62:HC62),1,0)</f>
        <v/>
      </c>
      <c r="HK62" s="592" t="n">
        <v>59</v>
      </c>
      <c r="HL62" s="497" t="n"/>
      <c r="HM62" s="497" t="inlineStr">
        <is>
          <t>24 V DC</t>
        </is>
      </c>
      <c r="HN62" s="497" t="n"/>
      <c r="HO62" s="497" t="n"/>
      <c r="HP62" s="600">
        <f>HW17</f>
        <v/>
      </c>
      <c r="HQ62" s="497" t="n"/>
      <c r="HR62" s="497" t="n"/>
      <c r="HS62" s="497" t="n"/>
      <c r="HT62" s="593">
        <f>IF(AND(HO62:HS62),1,0)</f>
        <v/>
      </c>
      <c r="LB62" s="592" t="n">
        <v>59</v>
      </c>
      <c r="LC62" s="497" t="n"/>
      <c r="LD62" s="724" t="n"/>
      <c r="LE62" s="497" t="n"/>
      <c r="LF62" s="724" t="n"/>
      <c r="LG62" s="724">
        <f>LK61</f>
        <v/>
      </c>
      <c r="LH62" s="724" t="n"/>
      <c r="LI62" s="497" t="n"/>
      <c r="LJ62" s="497" t="n"/>
      <c r="LK62" s="593">
        <f>IF(AND(LF62:LJ62),1,0)</f>
        <v/>
      </c>
      <c r="LR62" s="592" t="n">
        <v>59</v>
      </c>
      <c r="LS62" s="497" t="n"/>
      <c r="LT62" s="724" t="n"/>
      <c r="LU62" s="497" t="n"/>
      <c r="LV62" s="724" t="n"/>
      <c r="LW62" s="724">
        <f>MA61</f>
        <v/>
      </c>
      <c r="LX62" s="724" t="n"/>
      <c r="LY62" s="497" t="n"/>
      <c r="LZ62" s="497" t="n"/>
      <c r="MA62" s="593">
        <f>IF(AND(LV62:LZ62),1,0)</f>
        <v/>
      </c>
      <c r="MH62" s="592" t="n">
        <v>59</v>
      </c>
      <c r="MI62" s="497" t="n"/>
      <c r="MJ62" s="724" t="n"/>
      <c r="MK62" s="497" t="n"/>
      <c r="ML62" s="724" t="n"/>
      <c r="MM62" s="724">
        <f>IF(OR(MQ76,MQ94),1,0)</f>
        <v/>
      </c>
      <c r="MN62" s="724" t="n"/>
      <c r="MO62" s="497" t="n"/>
      <c r="MP62" s="497" t="n"/>
      <c r="MQ62" s="593">
        <f>IF(AND(ML62:MP62),1,0)</f>
        <v/>
      </c>
    </row>
    <row r="63">
      <c r="A63" s="590" t="n">
        <v>60</v>
      </c>
      <c r="B63" s="497" t="n"/>
      <c r="C63" s="497" t="n"/>
      <c r="D63" s="497" t="n"/>
      <c r="E63" s="497" t="n"/>
      <c r="F63" s="757">
        <f>J62</f>
        <v/>
      </c>
      <c r="G63" s="592" t="n"/>
      <c r="H63" s="497" t="n"/>
      <c r="I63" s="497" t="n"/>
      <c r="J63" s="593">
        <f>IF(AND(E63:I63),1,0)</f>
        <v/>
      </c>
      <c r="P63" s="592" t="n">
        <v>60</v>
      </c>
      <c r="Q63" s="497" t="n"/>
      <c r="S63" s="497" t="n"/>
      <c r="T63" s="497" t="n"/>
      <c r="U63" s="757">
        <f>Y37</f>
        <v/>
      </c>
      <c r="V63" s="497" t="n"/>
      <c r="W63" s="497" t="n"/>
      <c r="X63" s="497" t="n"/>
      <c r="Y63" s="593">
        <f>IF(AND(T63:X63),1,0)</f>
        <v/>
      </c>
      <c r="AF63" s="592" t="n">
        <v>60</v>
      </c>
      <c r="AG63" s="599" t="n"/>
      <c r="AH63" s="597" t="n"/>
      <c r="AI63" s="497" t="n"/>
      <c r="AJ63" s="497" t="n"/>
      <c r="AK63" s="609">
        <f>AO62</f>
        <v/>
      </c>
      <c r="AL63" s="497" t="n"/>
      <c r="AM63" s="497" t="n"/>
      <c r="AN63" s="497" t="n"/>
      <c r="AO63" s="593">
        <f>IF(AND(AJ63:AN63),1,0)</f>
        <v/>
      </c>
      <c r="AS63" s="742" t="n"/>
      <c r="AT63" s="497" t="n"/>
      <c r="AU63" s="497" t="n"/>
      <c r="BI63" s="592" t="n">
        <v>60</v>
      </c>
      <c r="BJ63" s="497" t="n"/>
      <c r="BK63" s="267" t="n"/>
      <c r="BL63" s="497" t="n"/>
      <c r="BM63" s="497" t="n"/>
      <c r="BN63" s="592">
        <f>BR62</f>
        <v/>
      </c>
      <c r="BO63" s="497" t="n"/>
      <c r="BP63" s="497" t="n"/>
      <c r="BQ63" s="497" t="n"/>
      <c r="BR63" s="593">
        <f>IF(AND(BM63:BQ63),1,0)</f>
        <v/>
      </c>
      <c r="BX63" s="592" t="n">
        <v>60</v>
      </c>
      <c r="BY63" s="497" t="n"/>
      <c r="BZ63" s="267" t="n"/>
      <c r="CA63" s="497" t="n"/>
      <c r="CB63" s="497" t="n"/>
      <c r="CC63" s="592">
        <f>CG62</f>
        <v/>
      </c>
      <c r="CD63" s="497" t="n"/>
      <c r="CE63" s="497" t="n"/>
      <c r="CF63" s="497" t="n"/>
      <c r="CG63" s="593">
        <f>IF(AND(CB63:CF63),1,0)</f>
        <v/>
      </c>
      <c r="CI63" s="592" t="n">
        <v>60</v>
      </c>
      <c r="CJ63" s="497" t="n"/>
      <c r="CK63" s="592" t="n"/>
      <c r="CL63" s="497" t="n"/>
      <c r="CM63" s="497" t="n"/>
      <c r="CN63" s="596" t="n">
        <v>1</v>
      </c>
      <c r="CO63" s="497" t="n"/>
      <c r="CP63" s="497" t="n"/>
      <c r="CQ63" s="497" t="n"/>
      <c r="CR63" s="593">
        <f>IF(AND(CM63:CQ63),1,0)</f>
        <v/>
      </c>
      <c r="DK63" s="592" t="n">
        <v>60</v>
      </c>
      <c r="DL63" s="597" t="n"/>
      <c r="DM63" s="592" t="inlineStr">
        <is>
          <t>HTC</t>
        </is>
      </c>
      <c r="DN63" s="497" t="n"/>
      <c r="DO63" s="497" t="n"/>
      <c r="DP63" s="600">
        <f>DW15</f>
        <v/>
      </c>
      <c r="DQ63" s="497" t="n"/>
      <c r="DR63" s="497" t="n"/>
      <c r="DS63" s="497" t="n"/>
      <c r="DT63" s="593">
        <f>IF(AND(DO63:DS63),1,0)</f>
        <v/>
      </c>
      <c r="EI63" s="742" t="n"/>
      <c r="EO63" s="592" t="n">
        <v>60</v>
      </c>
      <c r="EP63" s="597" t="n"/>
      <c r="EQ63" s="592" t="n"/>
      <c r="ER63" s="497" t="n"/>
      <c r="ES63" s="497" t="n"/>
      <c r="ET63" s="497">
        <f>EX62</f>
        <v/>
      </c>
      <c r="EU63" s="497" t="n"/>
      <c r="EV63" s="497" t="n"/>
      <c r="EW63" s="497" t="n"/>
      <c r="EX63" s="593">
        <f>IF(AND(ES63:EW63),1,0)</f>
        <v/>
      </c>
      <c r="FE63" s="592" t="n">
        <v>60</v>
      </c>
      <c r="FF63" s="597" t="n"/>
      <c r="FG63" s="592" t="n"/>
      <c r="FH63" s="497" t="n"/>
      <c r="FI63" s="497" t="n"/>
      <c r="FJ63" s="497">
        <f>FN62</f>
        <v/>
      </c>
      <c r="FK63" s="497" t="n"/>
      <c r="FL63" s="497" t="n"/>
      <c r="FM63" s="497" t="n"/>
      <c r="FN63" s="593">
        <f>IF(AND(FI63:FM63),1,0)</f>
        <v/>
      </c>
      <c r="FT63" s="592" t="n">
        <v>60</v>
      </c>
      <c r="FU63" s="597" t="n"/>
      <c r="FV63" s="724" t="n"/>
      <c r="FW63" s="497" t="n"/>
      <c r="FX63" s="497" t="n"/>
      <c r="FY63" s="497">
        <f>GC62</f>
        <v/>
      </c>
      <c r="FZ63" s="497" t="n"/>
      <c r="GA63" s="497" t="n"/>
      <c r="GB63" s="497" t="n"/>
      <c r="GC63" s="593">
        <f>IF(AND(FX63:GB63),1,0)</f>
        <v/>
      </c>
      <c r="GF63" s="592" t="n">
        <v>60</v>
      </c>
      <c r="GG63" s="597" t="n"/>
      <c r="GH63" s="724" t="n"/>
      <c r="GI63" s="497" t="n"/>
      <c r="GJ63" s="497" t="n"/>
      <c r="GK63" s="592">
        <f>GO61</f>
        <v/>
      </c>
      <c r="GL63" s="497" t="n"/>
      <c r="GM63" s="497" t="n"/>
      <c r="GN63" s="497" t="n"/>
      <c r="GO63" s="593">
        <f>IF(AND(GJ63:GN63),1,0)</f>
        <v/>
      </c>
      <c r="GU63" s="592" t="n">
        <v>60</v>
      </c>
      <c r="GV63" s="597" t="n"/>
      <c r="GW63" s="724" t="n"/>
      <c r="GX63" s="497" t="n"/>
      <c r="GY63" s="497" t="n"/>
      <c r="GZ63" s="757">
        <f>HD62</f>
        <v/>
      </c>
      <c r="HA63" s="497" t="n"/>
      <c r="HB63" s="497" t="n"/>
      <c r="HC63" s="497" t="n"/>
      <c r="HD63" s="602">
        <f>IF(AND(GY63:HC63),1,0)</f>
        <v/>
      </c>
      <c r="HK63" s="592" t="n">
        <v>60</v>
      </c>
      <c r="HL63" s="497" t="n"/>
      <c r="HM63" s="497" t="inlineStr">
        <is>
          <t>TMR1</t>
        </is>
      </c>
      <c r="HN63" s="497" t="n"/>
      <c r="HO63" s="497" t="n"/>
      <c r="HP63" s="600">
        <f>HW16</f>
        <v/>
      </c>
      <c r="HQ63" s="497">
        <f>HT62</f>
        <v/>
      </c>
      <c r="HR63" s="497" t="n"/>
      <c r="HS63" s="497" t="n"/>
      <c r="HT63" s="593">
        <f>IF(AND(HO63:HS63),1,0)</f>
        <v/>
      </c>
      <c r="LB63" s="592" t="n">
        <v>60</v>
      </c>
      <c r="LC63" s="497" t="n"/>
      <c r="LD63" s="724" t="n"/>
      <c r="LE63" s="497" t="n"/>
      <c r="LF63" s="724" t="n"/>
      <c r="LG63" s="724">
        <f>LK62</f>
        <v/>
      </c>
      <c r="LH63" s="724" t="n"/>
      <c r="LI63" s="497" t="n"/>
      <c r="LJ63" s="497" t="n"/>
      <c r="LK63" s="593">
        <f>IF(AND(LF63:LJ63),1,0)</f>
        <v/>
      </c>
      <c r="LR63" s="592" t="n">
        <v>60</v>
      </c>
      <c r="LS63" s="497" t="n"/>
      <c r="LT63" s="724" t="n"/>
      <c r="LU63" s="497" t="n"/>
      <c r="LV63" s="724" t="n"/>
      <c r="LW63" s="724" t="n">
        <v>1</v>
      </c>
      <c r="LX63" s="724" t="n"/>
      <c r="LY63" s="497" t="n"/>
      <c r="LZ63" s="497" t="n"/>
      <c r="MA63" s="593">
        <f>IF(AND(LV63:LZ63),1,0)</f>
        <v/>
      </c>
      <c r="MH63" s="592" t="n">
        <v>60</v>
      </c>
      <c r="MI63" s="497" t="n"/>
      <c r="MJ63" s="724" t="n"/>
      <c r="MK63" s="497" t="n"/>
      <c r="ML63" s="724" t="n"/>
      <c r="MM63" s="724">
        <f>MQ28</f>
        <v/>
      </c>
      <c r="MN63" s="724" t="n"/>
      <c r="MO63" s="497" t="n"/>
      <c r="MP63" s="497" t="n"/>
      <c r="MQ63" s="593">
        <f>IF(AND(ML63:MP63),1,0)</f>
        <v/>
      </c>
    </row>
    <row r="64">
      <c r="A64" s="590" t="n">
        <v>61</v>
      </c>
      <c r="B64" s="497" t="n"/>
      <c r="C64" s="497" t="n"/>
      <c r="D64" s="497" t="n"/>
      <c r="E64" s="497" t="n"/>
      <c r="F64" s="757">
        <f>J63</f>
        <v/>
      </c>
      <c r="G64" s="592" t="n"/>
      <c r="H64" s="497" t="n"/>
      <c r="I64" s="497" t="n"/>
      <c r="J64" s="593">
        <f>IF(AND(E64:I64),1,0)</f>
        <v/>
      </c>
      <c r="P64" s="592" t="n">
        <v>61</v>
      </c>
      <c r="Q64" s="497" t="n"/>
      <c r="R64" s="592" t="n"/>
      <c r="S64" s="497" t="n"/>
      <c r="T64" s="497" t="n"/>
      <c r="U64" s="757">
        <f>Y59</f>
        <v/>
      </c>
      <c r="V64" s="497">
        <f>Y63</f>
        <v/>
      </c>
      <c r="W64" s="497" t="n"/>
      <c r="X64" s="497" t="n"/>
      <c r="Y64" s="593">
        <f>IF(AND(T64:X64),1,0)</f>
        <v/>
      </c>
      <c r="AF64" s="592" t="n">
        <v>61</v>
      </c>
      <c r="AG64" s="599" t="n"/>
      <c r="AH64" s="597" t="n"/>
      <c r="AI64" s="497" t="n"/>
      <c r="AJ64" s="497" t="n"/>
      <c r="AK64" s="609">
        <f>AO38</f>
        <v/>
      </c>
      <c r="AL64" s="497" t="n"/>
      <c r="AM64" s="497" t="n"/>
      <c r="AN64" s="497" t="n"/>
      <c r="AO64" s="593">
        <f>IF(AND(AJ64:AN64),1,0)</f>
        <v/>
      </c>
      <c r="AS64" s="742" t="n"/>
      <c r="AT64" s="597" t="inlineStr">
        <is>
          <t>LA.S01_+11.30</t>
        </is>
      </c>
      <c r="AU64" s="592" t="inlineStr">
        <is>
          <t>SMDRB</t>
        </is>
      </c>
      <c r="BI64" s="592" t="n">
        <v>61</v>
      </c>
      <c r="BJ64" s="742" t="inlineStr">
        <is>
          <t>/06.F6</t>
        </is>
      </c>
      <c r="BK64" s="497" t="n"/>
      <c r="BL64" s="497" t="n"/>
      <c r="BM64" s="497" t="n"/>
      <c r="BN64" s="598" t="n">
        <v>1</v>
      </c>
      <c r="BO64" s="497" t="n"/>
      <c r="BP64" s="497" t="n"/>
      <c r="BQ64" s="497" t="n"/>
      <c r="BR64" s="593">
        <f>IF(AND(BM64:BQ64),1,0)</f>
        <v/>
      </c>
      <c r="BX64" s="592" t="n">
        <v>61</v>
      </c>
      <c r="BY64" s="742" t="inlineStr">
        <is>
          <t>/06.F6</t>
        </is>
      </c>
      <c r="BZ64" s="497" t="n"/>
      <c r="CA64" s="497" t="n"/>
      <c r="CB64" s="497" t="n"/>
      <c r="CC64" s="598" t="n">
        <v>1</v>
      </c>
      <c r="CD64" s="497" t="n"/>
      <c r="CE64" s="497" t="n"/>
      <c r="CF64" s="497" t="n"/>
      <c r="CG64" s="593">
        <f>IF(AND(CB64:CF64),1,0)</f>
        <v/>
      </c>
      <c r="CI64" s="592" t="n">
        <v>61</v>
      </c>
      <c r="CJ64" s="497" t="n"/>
      <c r="CK64" s="592" t="n"/>
      <c r="CL64" s="497" t="n"/>
      <c r="CM64" s="497" t="n"/>
      <c r="CN64" s="497">
        <f>CR63</f>
        <v/>
      </c>
      <c r="CO64" s="497" t="n"/>
      <c r="CP64" s="497" t="n"/>
      <c r="CQ64" s="497" t="n"/>
      <c r="CR64" s="593">
        <f>IF(AND(CM64:CQ64),1,0)</f>
        <v/>
      </c>
      <c r="DK64" s="592" t="n">
        <v>61</v>
      </c>
      <c r="DL64" s="597" t="n"/>
      <c r="DM64" s="592" t="n"/>
      <c r="DN64" s="497" t="n"/>
      <c r="DO64" s="497" t="n"/>
      <c r="DP64" s="757">
        <f>DT63</f>
        <v/>
      </c>
      <c r="DQ64" s="497" t="n"/>
      <c r="DR64" s="497" t="n"/>
      <c r="DS64" s="497" t="n"/>
      <c r="DT64" s="593">
        <f>IF(AND(DO64:DS64),1,0)</f>
        <v/>
      </c>
      <c r="EI64" s="742" t="n"/>
      <c r="EO64" s="592" t="n">
        <v>61</v>
      </c>
      <c r="EP64" s="597" t="n"/>
      <c r="EQ64" s="592" t="n"/>
      <c r="ER64" s="497" t="n"/>
      <c r="ES64" s="497" t="n"/>
      <c r="ET64" s="497">
        <f>EX63</f>
        <v/>
      </c>
      <c r="EU64" s="497" t="n"/>
      <c r="EV64" s="497" t="n"/>
      <c r="EW64" s="497" t="n"/>
      <c r="EX64" s="593">
        <f>IF(AND(ES64:EW64),1,0)</f>
        <v/>
      </c>
      <c r="FE64" s="592" t="n">
        <v>61</v>
      </c>
      <c r="FF64" s="597" t="n"/>
      <c r="FG64" s="592" t="n"/>
      <c r="FH64" s="497" t="n"/>
      <c r="FI64" s="497" t="n"/>
      <c r="FJ64" s="497">
        <f>FN63</f>
        <v/>
      </c>
      <c r="FK64" s="497" t="n"/>
      <c r="FL64" s="497" t="n"/>
      <c r="FM64" s="497" t="n"/>
      <c r="FN64" s="593">
        <f>IF(AND(FI64:FM64),1,0)</f>
        <v/>
      </c>
      <c r="FT64" s="592" t="n">
        <v>61</v>
      </c>
      <c r="FU64" s="597" t="n"/>
      <c r="FV64" s="724" t="n"/>
      <c r="FW64" s="497" t="n"/>
      <c r="FX64" s="497" t="n"/>
      <c r="FY64" s="497">
        <f>GC63</f>
        <v/>
      </c>
      <c r="FZ64" s="497" t="n"/>
      <c r="GA64" s="497" t="n"/>
      <c r="GB64" s="497" t="n"/>
      <c r="GC64" s="593">
        <f>IF(AND(FX64:GB64),1,0)</f>
        <v/>
      </c>
      <c r="GF64" s="592" t="n">
        <v>61</v>
      </c>
      <c r="GG64" s="597" t="n"/>
      <c r="GH64" s="724" t="n"/>
      <c r="GI64" s="497" t="n"/>
      <c r="GJ64" s="497" t="n"/>
      <c r="GK64" s="592" t="n"/>
      <c r="GL64" s="601">
        <f>GR7</f>
        <v/>
      </c>
      <c r="GM64" s="497" t="n"/>
      <c r="GN64" s="497" t="n"/>
      <c r="GO64" s="593">
        <f>IF(AND(GJ64:GN64),1,0)</f>
        <v/>
      </c>
      <c r="GU64" s="592" t="n">
        <v>61</v>
      </c>
      <c r="GV64" s="597" t="n"/>
      <c r="GW64" s="724" t="n"/>
      <c r="GX64" s="497" t="n"/>
      <c r="GY64" s="497" t="n"/>
      <c r="GZ64" s="757">
        <f>HD63</f>
        <v/>
      </c>
      <c r="HA64" s="497" t="n"/>
      <c r="HB64" s="497" t="n"/>
      <c r="HC64" s="497" t="n"/>
      <c r="HD64" s="602">
        <f>IF(AND(GY64:HC64),1,0)</f>
        <v/>
      </c>
      <c r="HK64" s="592" t="n">
        <v>61</v>
      </c>
      <c r="HL64" s="497" t="n"/>
      <c r="HM64" s="497" t="n"/>
      <c r="HN64" s="497" t="n"/>
      <c r="HO64" s="497" t="n"/>
      <c r="HP64" s="757">
        <f>HT63</f>
        <v/>
      </c>
      <c r="HQ64" s="497" t="n"/>
      <c r="HR64" s="497" t="n"/>
      <c r="HS64" s="497" t="n"/>
      <c r="HT64" s="593">
        <f>IF(AND(HO64:HS64),1,0)</f>
        <v/>
      </c>
      <c r="LB64" s="592" t="n">
        <v>61</v>
      </c>
      <c r="LC64" s="497" t="n"/>
      <c r="LD64" s="724" t="n"/>
      <c r="LE64" s="497" t="n"/>
      <c r="LF64" s="724" t="n"/>
      <c r="LG64" s="724">
        <f>LK63</f>
        <v/>
      </c>
      <c r="LH64" s="724" t="n"/>
      <c r="LI64" s="497" t="n"/>
      <c r="LJ64" s="497" t="n"/>
      <c r="LK64" s="593">
        <f>IF(AND(LF64:LJ64),1,0)</f>
        <v/>
      </c>
      <c r="LR64" s="592" t="n">
        <v>61</v>
      </c>
      <c r="LS64" s="497" t="n"/>
      <c r="LT64" s="724" t="n"/>
      <c r="LU64" s="497" t="n"/>
      <c r="LV64" s="724" t="n"/>
      <c r="LW64" s="724">
        <f>MA62</f>
        <v/>
      </c>
      <c r="LX64" s="724" t="n"/>
      <c r="LY64" s="497" t="n"/>
      <c r="LZ64" s="497" t="n"/>
      <c r="MA64" s="593">
        <f>IF(AND(LV64:LZ64),1,0)</f>
        <v/>
      </c>
      <c r="MH64" s="592" t="n">
        <v>61</v>
      </c>
      <c r="MI64" s="497" t="n"/>
      <c r="MJ64" s="724" t="n"/>
      <c r="MK64" s="497" t="n"/>
      <c r="ML64" s="724" t="n"/>
      <c r="MM64" s="724">
        <f>MQ63</f>
        <v/>
      </c>
      <c r="MN64" s="724" t="n"/>
      <c r="MO64" s="497" t="n"/>
      <c r="MP64" s="497" t="n"/>
      <c r="MQ64" s="593">
        <f>IF(AND(ML64:MP64),1,0)</f>
        <v/>
      </c>
    </row>
    <row r="65" ht="31.5" customHeight="1">
      <c r="A65" s="590" t="n">
        <v>62</v>
      </c>
      <c r="B65" s="497" t="n"/>
      <c r="C65" s="757" t="inlineStr">
        <is>
          <t>HTC</t>
        </is>
      </c>
      <c r="D65" s="497" t="n"/>
      <c r="E65" s="497" t="n"/>
      <c r="F65" s="625">
        <f>M14</f>
        <v/>
      </c>
      <c r="G65" s="757">
        <f>J64</f>
        <v/>
      </c>
      <c r="H65" s="497" t="n"/>
      <c r="I65" s="497" t="n"/>
      <c r="J65" s="593">
        <f>IF(AND(E65:I65),1,0)</f>
        <v/>
      </c>
      <c r="P65" s="592" t="n">
        <v>62</v>
      </c>
      <c r="Q65" s="497" t="n"/>
      <c r="R65" s="592" t="n"/>
      <c r="S65" s="497" t="n"/>
      <c r="T65" s="497" t="n"/>
      <c r="U65" s="757">
        <f>Y61</f>
        <v/>
      </c>
      <c r="V65" s="497" t="n"/>
      <c r="W65" s="497" t="n"/>
      <c r="X65" s="497" t="n"/>
      <c r="Y65" s="593">
        <f>IF(AND(T65:X65),1,0)</f>
        <v/>
      </c>
      <c r="AF65" s="592" t="n">
        <v>62</v>
      </c>
      <c r="AG65" s="599" t="n"/>
      <c r="AH65" s="597" t="n"/>
      <c r="AI65" s="497" t="n"/>
      <c r="AJ65" s="497" t="n"/>
      <c r="AK65" s="609">
        <f>AO60</f>
        <v/>
      </c>
      <c r="AL65" s="497">
        <f>AO64</f>
        <v/>
      </c>
      <c r="AM65" s="497" t="n"/>
      <c r="AN65" s="497" t="n"/>
      <c r="AO65" s="593">
        <f>IF(AND(AJ65:AN65),1,0)</f>
        <v/>
      </c>
      <c r="BI65" s="592" t="n">
        <v>62</v>
      </c>
      <c r="BJ65" s="497" t="n"/>
      <c r="BK65" s="497" t="n"/>
      <c r="BL65" s="497" t="n"/>
      <c r="BM65" s="497" t="n"/>
      <c r="BN65" s="592">
        <f>BR64</f>
        <v/>
      </c>
      <c r="BO65" s="497" t="n"/>
      <c r="BP65" s="497" t="n"/>
      <c r="BQ65" s="497" t="n"/>
      <c r="BR65" s="593">
        <f>IF(AND(BM65:BQ65),1,0)</f>
        <v/>
      </c>
      <c r="BX65" s="592" t="n">
        <v>62</v>
      </c>
      <c r="BY65" s="497" t="n"/>
      <c r="BZ65" s="497" t="n"/>
      <c r="CA65" s="497" t="n"/>
      <c r="CB65" s="497" t="n"/>
      <c r="CC65" s="592">
        <f>CG64</f>
        <v/>
      </c>
      <c r="CD65" s="497" t="n"/>
      <c r="CE65" s="497" t="n"/>
      <c r="CF65" s="497" t="n"/>
      <c r="CG65" s="593">
        <f>IF(AND(CB65:CF65),1,0)</f>
        <v/>
      </c>
      <c r="CI65" s="592" t="n">
        <v>62</v>
      </c>
      <c r="CJ65" s="497" t="n"/>
      <c r="CK65" s="592" t="n"/>
      <c r="CL65" s="497" t="n"/>
      <c r="CM65" s="497" t="n"/>
      <c r="CN65" s="497">
        <f>CR63</f>
        <v/>
      </c>
      <c r="CO65" s="497">
        <f>CR64</f>
        <v/>
      </c>
      <c r="CP65" s="497" t="n"/>
      <c r="CQ65" s="497" t="n"/>
      <c r="CR65" s="593">
        <f>IF(AND(CM65:CQ65),1,0)</f>
        <v/>
      </c>
      <c r="DK65" s="592" t="n">
        <v>62</v>
      </c>
      <c r="DL65" s="597" t="n"/>
      <c r="DM65" s="592" t="n"/>
      <c r="DN65" s="497" t="n"/>
      <c r="DO65" s="497" t="n"/>
      <c r="DP65" s="757">
        <f>IF(OR(DT64,DT57),1,0)</f>
        <v/>
      </c>
      <c r="DQ65" s="497" t="n"/>
      <c r="DR65" s="497" t="n"/>
      <c r="DS65" s="497" t="n"/>
      <c r="DT65" s="593">
        <f>IF(AND(DO65:DS65),1,0)</f>
        <v/>
      </c>
      <c r="EI65" s="742" t="n"/>
      <c r="EO65" s="592" t="n">
        <v>62</v>
      </c>
      <c r="EP65" s="597" t="n"/>
      <c r="EQ65" s="592" t="n"/>
      <c r="ER65" s="497" t="n"/>
      <c r="ES65" s="497" t="n"/>
      <c r="ET65" s="497">
        <f>EX64</f>
        <v/>
      </c>
      <c r="EU65" s="497" t="n"/>
      <c r="EV65" s="497" t="n"/>
      <c r="EW65" s="497" t="n"/>
      <c r="EX65" s="593">
        <f>IF(AND(ES65:EW65),1,0)</f>
        <v/>
      </c>
      <c r="FE65" s="592" t="n">
        <v>62</v>
      </c>
      <c r="FF65" s="597" t="n"/>
      <c r="FG65" s="592" t="n"/>
      <c r="FH65" s="497" t="n"/>
      <c r="FI65" s="497" t="n"/>
      <c r="FJ65" s="497">
        <f>FN64</f>
        <v/>
      </c>
      <c r="FK65" s="497" t="n"/>
      <c r="FL65" s="497" t="n"/>
      <c r="FM65" s="497" t="n"/>
      <c r="FN65" s="593">
        <f>IF(AND(FI65:FM65),1,0)</f>
        <v/>
      </c>
      <c r="FT65" s="592" t="n">
        <v>62</v>
      </c>
      <c r="FU65" s="597" t="n"/>
      <c r="FV65" s="724" t="n"/>
      <c r="FW65" s="497" t="n"/>
      <c r="FX65" s="497" t="n"/>
      <c r="FY65" s="497">
        <f>GC64</f>
        <v/>
      </c>
      <c r="FZ65" s="497" t="n"/>
      <c r="GA65" s="497" t="n"/>
      <c r="GB65" s="497" t="n"/>
      <c r="GC65" s="593">
        <f>IF(AND(FX65:GB65),1,0)</f>
        <v/>
      </c>
      <c r="GF65" s="592" t="n">
        <v>62</v>
      </c>
      <c r="GG65" s="597" t="n"/>
      <c r="GH65" s="724" t="n"/>
      <c r="GI65" s="497" t="n"/>
      <c r="GJ65" s="497" t="n"/>
      <c r="GK65" s="592">
        <f>GO21</f>
        <v/>
      </c>
      <c r="GL65" s="497" t="n"/>
      <c r="GM65" s="497" t="n"/>
      <c r="GN65" s="497" t="n"/>
      <c r="GO65" s="593">
        <f>IF(AND(GJ65:GN65),1,0)</f>
        <v/>
      </c>
      <c r="GU65" s="592" t="n">
        <v>62</v>
      </c>
      <c r="GV65" s="597" t="n"/>
      <c r="GW65" s="724" t="n"/>
      <c r="GX65" s="497" t="n"/>
      <c r="GY65" s="497" t="n"/>
      <c r="GZ65" s="757">
        <f>HD64</f>
        <v/>
      </c>
      <c r="HA65" s="497" t="n"/>
      <c r="HB65" s="497" t="n"/>
      <c r="HC65" s="497" t="n"/>
      <c r="HD65" s="602">
        <f>IF(AND(GY65:HC65),1,0)</f>
        <v/>
      </c>
      <c r="HK65" s="592" t="n">
        <v>62</v>
      </c>
      <c r="HL65" s="497" t="n"/>
      <c r="HM65" s="497" t="inlineStr">
        <is>
          <t>SAFC2</t>
        </is>
      </c>
      <c r="HN65" s="497" t="n"/>
      <c r="HO65" s="497" t="n"/>
      <c r="HP65" s="600">
        <f>HW10</f>
        <v/>
      </c>
      <c r="HQ65" s="497">
        <f>HT64</f>
        <v/>
      </c>
      <c r="HR65" s="497" t="n"/>
      <c r="HS65" s="497" t="n"/>
      <c r="HT65" s="593">
        <f>IF(AND(HO65:HS65),1,0)</f>
        <v/>
      </c>
      <c r="LB65" s="592" t="n">
        <v>62</v>
      </c>
      <c r="LC65" s="497" t="n"/>
      <c r="LD65" s="724" t="inlineStr">
        <is>
          <t>SUPPLY AIR FAN 1 Pa=1,25kW p.f.=0,75</t>
        </is>
      </c>
      <c r="LE65" s="497" t="n"/>
      <c r="LF65" s="724" t="n"/>
      <c r="LG65" s="605">
        <f>LN16</f>
        <v/>
      </c>
      <c r="LH65" s="724">
        <f>LK64</f>
        <v/>
      </c>
      <c r="LI65" s="757">
        <f>LK93</f>
        <v/>
      </c>
      <c r="LJ65" s="757">
        <f>LK136</f>
        <v/>
      </c>
      <c r="LK65" s="593">
        <f>IF(AND(LF65:LJ65),1,0)</f>
        <v/>
      </c>
      <c r="LR65" s="592" t="n">
        <v>62</v>
      </c>
      <c r="LS65" s="497" t="n"/>
      <c r="LT65" s="724" t="n"/>
      <c r="LU65" s="497" t="n"/>
      <c r="LV65" s="724" t="n"/>
      <c r="LW65" s="724">
        <f>MA73</f>
        <v/>
      </c>
      <c r="LX65" s="724" t="n"/>
      <c r="LY65" s="497" t="n"/>
      <c r="LZ65" s="497" t="n"/>
      <c r="MA65" s="593">
        <f>IF(AND(LV65:LZ65),1,0)</f>
        <v/>
      </c>
      <c r="MH65" s="592" t="n">
        <v>62</v>
      </c>
      <c r="MI65" s="497" t="n"/>
      <c r="MJ65" s="724" t="inlineStr">
        <is>
          <t xml:space="preserve">110 V DC </t>
        </is>
      </c>
      <c r="MK65" s="497" t="n"/>
      <c r="ML65" s="724" t="n"/>
      <c r="MM65" s="605">
        <f>MT6</f>
        <v/>
      </c>
      <c r="MN65" s="724" t="n"/>
      <c r="MO65" s="497" t="n"/>
      <c r="MP65" s="497" t="n"/>
      <c r="MQ65" s="593">
        <f>IF(AND(ML65:MP65),1,0)</f>
        <v/>
      </c>
    </row>
    <row r="66">
      <c r="A66" s="590" t="n">
        <v>63</v>
      </c>
      <c r="B66" s="497" t="n"/>
      <c r="C66" s="497" t="n"/>
      <c r="D66" s="497" t="n"/>
      <c r="E66" s="497" t="n"/>
      <c r="F66" s="757">
        <f>J65</f>
        <v/>
      </c>
      <c r="G66" s="592" t="n"/>
      <c r="H66" s="497" t="n"/>
      <c r="I66" s="497" t="n"/>
      <c r="J66" s="593">
        <f>IF(AND(E66:I66),1,0)</f>
        <v/>
      </c>
      <c r="P66" s="592" t="n">
        <v>63</v>
      </c>
      <c r="Q66" s="497" t="n"/>
      <c r="R66" s="592" t="n"/>
      <c r="S66" s="497" t="n"/>
      <c r="T66" s="497" t="n"/>
      <c r="U66" s="757">
        <f>Y40</f>
        <v/>
      </c>
      <c r="V66" s="497" t="n"/>
      <c r="W66" s="497" t="n"/>
      <c r="X66" s="497" t="n"/>
      <c r="Y66" s="593">
        <f>IF(AND(T66:X66),1,0)</f>
        <v/>
      </c>
      <c r="AF66" s="592" t="n">
        <v>63</v>
      </c>
      <c r="AG66" s="599" t="n"/>
      <c r="AH66" s="597" t="n"/>
      <c r="AI66" s="497" t="n"/>
      <c r="AJ66" s="497" t="n"/>
      <c r="AK66" s="609">
        <f>AO62</f>
        <v/>
      </c>
      <c r="AL66" s="497">
        <f>AO65</f>
        <v/>
      </c>
      <c r="AM66" s="497" t="n"/>
      <c r="AN66" s="497" t="n"/>
      <c r="AO66" s="593">
        <f>IF(AND(AJ66:AN66),1,0)</f>
        <v/>
      </c>
      <c r="BI66" s="592" t="n">
        <v>63</v>
      </c>
      <c r="BJ66" s="742" t="inlineStr">
        <is>
          <t>/06.F4</t>
        </is>
      </c>
      <c r="BK66" s="497" t="n"/>
      <c r="BL66" s="497" t="n"/>
      <c r="BM66" s="497" t="n"/>
      <c r="BN66" s="598" t="n">
        <v>1</v>
      </c>
      <c r="BO66" s="497" t="n"/>
      <c r="BP66" s="497" t="n"/>
      <c r="BQ66" s="497" t="n"/>
      <c r="BR66" s="593">
        <f>IF(AND(BM66:BQ66),1,0)</f>
        <v/>
      </c>
      <c r="BX66" s="592" t="n">
        <v>63</v>
      </c>
      <c r="BY66" s="742" t="inlineStr">
        <is>
          <t>/06.F4</t>
        </is>
      </c>
      <c r="BZ66" s="497" t="n"/>
      <c r="CA66" s="497" t="n"/>
      <c r="CB66" s="497" t="n"/>
      <c r="CC66" s="598" t="n">
        <v>1</v>
      </c>
      <c r="CD66" s="497" t="n"/>
      <c r="CE66" s="497" t="n"/>
      <c r="CF66" s="497" t="n"/>
      <c r="CG66" s="593">
        <f>IF(AND(CB66:CF66),1,0)</f>
        <v/>
      </c>
      <c r="CI66" s="592" t="n">
        <v>63</v>
      </c>
      <c r="CJ66" s="497" t="n"/>
      <c r="CK66" s="592" t="n"/>
      <c r="CL66" s="497" t="n"/>
      <c r="CM66" s="497" t="n"/>
      <c r="CN66" s="596" t="n">
        <v>1</v>
      </c>
      <c r="CO66" s="497" t="n"/>
      <c r="CP66" s="497" t="n"/>
      <c r="CQ66" s="497" t="n"/>
      <c r="CR66" s="593">
        <f>IF(AND(CM66:CQ66),1,0)</f>
        <v/>
      </c>
      <c r="DK66" s="592" t="n">
        <v>63</v>
      </c>
      <c r="DL66" s="597" t="n"/>
      <c r="DM66" s="757" t="inlineStr">
        <is>
          <t>HEATING P=1.5W</t>
        </is>
      </c>
      <c r="DN66" s="497" t="n"/>
      <c r="DO66" s="497" t="n"/>
      <c r="DP66" s="600">
        <f>DW16</f>
        <v/>
      </c>
      <c r="DQ66" s="497" t="n"/>
      <c r="DR66" s="497" t="n"/>
      <c r="DS66" s="497" t="n"/>
      <c r="DT66" s="593">
        <f>IF(AND(DO66:DS66),1,0)</f>
        <v/>
      </c>
      <c r="EI66" s="742" t="n"/>
      <c r="EO66" s="592" t="n">
        <v>63</v>
      </c>
      <c r="EP66" s="597" t="n"/>
      <c r="EQ66" s="592" t="n"/>
      <c r="ER66" s="497" t="n"/>
      <c r="ES66" s="497" t="n"/>
      <c r="ET66" s="497">
        <f>EX65</f>
        <v/>
      </c>
      <c r="EU66" s="497" t="n"/>
      <c r="EV66" s="497" t="n"/>
      <c r="EW66" s="497" t="n"/>
      <c r="EX66" s="593">
        <f>IF(AND(ES66:EW66),1,0)</f>
        <v/>
      </c>
      <c r="FE66" s="592" t="n">
        <v>63</v>
      </c>
      <c r="FF66" s="597" t="n"/>
      <c r="FG66" s="592" t="n"/>
      <c r="FH66" s="497" t="n"/>
      <c r="FI66" s="497" t="n"/>
      <c r="FJ66" s="497">
        <f>FN65</f>
        <v/>
      </c>
      <c r="FK66" s="497" t="n"/>
      <c r="FL66" s="497" t="n"/>
      <c r="FM66" s="497" t="n"/>
      <c r="FN66" s="593">
        <f>IF(AND(FI66:FM66),1,0)</f>
        <v/>
      </c>
      <c r="FT66" s="592" t="n">
        <v>63</v>
      </c>
      <c r="FU66" s="597" t="n"/>
      <c r="FV66" s="724" t="n"/>
      <c r="FW66" s="497" t="n"/>
      <c r="FX66" s="497" t="n"/>
      <c r="FY66" s="497">
        <f>GC65</f>
        <v/>
      </c>
      <c r="FZ66" s="497" t="n"/>
      <c r="GA66" s="497" t="n"/>
      <c r="GB66" s="497" t="n"/>
      <c r="GC66" s="593">
        <f>IF(AND(FX66:GB66),1,0)</f>
        <v/>
      </c>
      <c r="GF66" s="592" t="n">
        <v>63</v>
      </c>
      <c r="GG66" s="597" t="n"/>
      <c r="GH66" s="724" t="n"/>
      <c r="GI66" s="497" t="n"/>
      <c r="GJ66" s="497" t="n"/>
      <c r="GK66" s="592">
        <f>GO28</f>
        <v/>
      </c>
      <c r="GL66" s="497" t="n"/>
      <c r="GM66" s="497" t="n"/>
      <c r="GN66" s="497" t="n"/>
      <c r="GO66" s="593">
        <f>IF(AND(GJ66:GN66),1,0)</f>
        <v/>
      </c>
      <c r="GU66" s="592" t="n">
        <v>63</v>
      </c>
      <c r="GV66" s="597" t="n"/>
      <c r="GW66" s="724" t="n"/>
      <c r="GX66" s="497" t="n"/>
      <c r="GY66" s="497" t="n"/>
      <c r="GZ66" s="757">
        <f>IF(OR(HD58,HD63,HD30),1,0)</f>
        <v/>
      </c>
      <c r="HA66" s="497" t="n"/>
      <c r="HB66" s="497" t="n"/>
      <c r="HC66" s="497" t="n"/>
      <c r="HD66" s="602">
        <f>IF(AND(GY66:HC66),1,0)</f>
        <v/>
      </c>
      <c r="HK66" s="592" t="n">
        <v>63</v>
      </c>
      <c r="HL66" s="497" t="n"/>
      <c r="HM66" s="497" t="n"/>
      <c r="HN66" s="497" t="n"/>
      <c r="HO66" s="497" t="n"/>
      <c r="HP66" s="757">
        <f>HT65</f>
        <v/>
      </c>
      <c r="HQ66" s="497" t="n"/>
      <c r="HR66" s="497" t="n"/>
      <c r="HS66" s="497" t="n"/>
      <c r="HT66" s="593">
        <f>IF(AND(HO66:HS66),1,0)</f>
        <v/>
      </c>
      <c r="LB66" s="592" t="n">
        <v>63</v>
      </c>
      <c r="LC66" s="497" t="n"/>
      <c r="LD66" s="724" t="n"/>
      <c r="LE66" s="497" t="n"/>
      <c r="LF66" s="724" t="n"/>
      <c r="LG66" s="724">
        <f>LK65</f>
        <v/>
      </c>
      <c r="LH66" s="724" t="n"/>
      <c r="LI66" s="497" t="n"/>
      <c r="LJ66" s="497" t="n"/>
      <c r="LK66" s="593">
        <f>IF(AND(LF66:LJ66),1,0)</f>
        <v/>
      </c>
      <c r="LR66" s="592" t="n">
        <v>63</v>
      </c>
      <c r="LS66" s="497" t="n"/>
      <c r="LT66" s="724" t="n"/>
      <c r="LU66" s="497" t="n"/>
      <c r="LV66" s="724" t="n"/>
      <c r="LW66" s="724">
        <f>MA73</f>
        <v/>
      </c>
      <c r="LX66" s="724" t="n"/>
      <c r="LY66" s="497" t="n"/>
      <c r="LZ66" s="497" t="n"/>
      <c r="MA66" s="593">
        <f>IF(AND(LV66:LZ66),1,0)</f>
        <v/>
      </c>
      <c r="MH66" s="592" t="n">
        <v>63</v>
      </c>
      <c r="MI66" s="497" t="n"/>
      <c r="MJ66" s="724" t="n"/>
      <c r="MK66" s="497" t="n"/>
      <c r="ML66" s="724" t="n"/>
      <c r="MM66" s="724">
        <f>MQ65</f>
        <v/>
      </c>
      <c r="MN66" s="724" t="n"/>
      <c r="MO66" s="497" t="n"/>
      <c r="MP66" s="497" t="n"/>
      <c r="MQ66" s="593">
        <f>IF(AND(ML66:MP66),1,0)</f>
        <v/>
      </c>
    </row>
    <row r="67">
      <c r="A67" s="590" t="n">
        <v>64</v>
      </c>
      <c r="B67" s="497" t="n"/>
      <c r="C67" s="497" t="n"/>
      <c r="D67" s="497" t="n"/>
      <c r="E67" s="497" t="n"/>
      <c r="F67" s="757">
        <f>J66</f>
        <v/>
      </c>
      <c r="G67" s="592" t="n"/>
      <c r="H67" s="497" t="n"/>
      <c r="I67" s="497" t="n"/>
      <c r="J67" s="593">
        <f>IF(AND(E67:I67),1,0)</f>
        <v/>
      </c>
      <c r="P67" s="592" t="n">
        <v>64</v>
      </c>
      <c r="Q67" s="497" t="n"/>
      <c r="R67" s="592" t="n"/>
      <c r="S67" s="497" t="n"/>
      <c r="T67" s="497" t="n"/>
      <c r="U67" s="757">
        <f>Y59</f>
        <v/>
      </c>
      <c r="V67" s="497">
        <f>Y66</f>
        <v/>
      </c>
      <c r="W67" s="497" t="n"/>
      <c r="X67" s="497" t="n"/>
      <c r="Y67" s="593">
        <f>IF(AND(T67:X67),1,0)</f>
        <v/>
      </c>
      <c r="AF67" s="592" t="n">
        <v>64</v>
      </c>
      <c r="AG67" s="599" t="n"/>
      <c r="AH67" s="597" t="n"/>
      <c r="AI67" s="497" t="n"/>
      <c r="AJ67" s="497" t="n"/>
      <c r="AK67" s="609">
        <f>AO41</f>
        <v/>
      </c>
      <c r="AL67" s="497" t="n"/>
      <c r="AM67" s="497" t="n"/>
      <c r="AN67" s="497" t="n"/>
      <c r="AO67" s="593">
        <f>IF(AND(AJ67:AN67),1,0)</f>
        <v/>
      </c>
      <c r="BI67" s="592" t="n">
        <v>64</v>
      </c>
      <c r="BJ67" s="497" t="n"/>
      <c r="BK67" s="267" t="n"/>
      <c r="BL67" s="497" t="n"/>
      <c r="BM67" s="497" t="n"/>
      <c r="BN67" s="592">
        <f>BR66</f>
        <v/>
      </c>
      <c r="BO67" s="497" t="n"/>
      <c r="BP67" s="497" t="n"/>
      <c r="BQ67" s="497" t="n"/>
      <c r="BR67" s="593">
        <f>IF(AND(BM67:BQ67),1,0)</f>
        <v/>
      </c>
      <c r="BX67" s="592" t="n">
        <v>64</v>
      </c>
      <c r="BY67" s="497" t="n"/>
      <c r="BZ67" s="267" t="n"/>
      <c r="CA67" s="497" t="n"/>
      <c r="CB67" s="497" t="n"/>
      <c r="CC67" s="592">
        <f>CG66</f>
        <v/>
      </c>
      <c r="CD67" s="497" t="n"/>
      <c r="CE67" s="497" t="n"/>
      <c r="CF67" s="497" t="n"/>
      <c r="CG67" s="593">
        <f>IF(AND(CB67:CF67),1,0)</f>
        <v/>
      </c>
      <c r="CI67" s="592" t="n">
        <v>64</v>
      </c>
      <c r="CJ67" s="497" t="n"/>
      <c r="CK67" s="592" t="n"/>
      <c r="CL67" s="497" t="n"/>
      <c r="CM67" s="497" t="n"/>
      <c r="CN67" s="497">
        <f>CR66</f>
        <v/>
      </c>
      <c r="CO67" s="497" t="n"/>
      <c r="CP67" s="497" t="n"/>
      <c r="CQ67" s="497" t="n"/>
      <c r="CR67" s="593">
        <f>IF(AND(CM67:CQ67),1,0)</f>
        <v/>
      </c>
      <c r="DK67" s="592" t="n">
        <v>64</v>
      </c>
      <c r="DL67" s="597" t="n"/>
      <c r="DM67" s="592" t="n"/>
      <c r="DN67" s="497" t="n"/>
      <c r="DO67" s="497" t="n"/>
      <c r="DP67" s="757">
        <f>DT43</f>
        <v/>
      </c>
      <c r="DQ67" s="497" t="n"/>
      <c r="DR67" s="497" t="n"/>
      <c r="DS67" s="497" t="n"/>
      <c r="DT67" s="593">
        <f>IF(AND(DO67:DS67),1,0)</f>
        <v/>
      </c>
      <c r="EI67" s="742" t="n"/>
      <c r="EO67" s="592" t="n">
        <v>64</v>
      </c>
      <c r="EP67" s="597" t="n"/>
      <c r="EQ67" s="592" t="n"/>
      <c r="ER67" s="497" t="n"/>
      <c r="ES67" s="497" t="n"/>
      <c r="ET67" s="497">
        <f>EX66</f>
        <v/>
      </c>
      <c r="EU67" s="497" t="n"/>
      <c r="EV67" s="497" t="n"/>
      <c r="EW67" s="497" t="n"/>
      <c r="EX67" s="593">
        <f>IF(AND(ES67:EW67),1,0)</f>
        <v/>
      </c>
      <c r="FE67" s="592" t="n">
        <v>64</v>
      </c>
      <c r="FF67" s="597" t="n"/>
      <c r="FG67" s="592" t="n"/>
      <c r="FH67" s="497" t="n"/>
      <c r="FI67" s="497" t="n"/>
      <c r="FJ67" s="497">
        <f>FN66</f>
        <v/>
      </c>
      <c r="FK67" s="497" t="n"/>
      <c r="FL67" s="497" t="n"/>
      <c r="FM67" s="497" t="n"/>
      <c r="FN67" s="593">
        <f>IF(AND(FI67:FM67),1,0)</f>
        <v/>
      </c>
      <c r="FT67" s="592" t="n">
        <v>64</v>
      </c>
      <c r="FU67" s="597" t="n"/>
      <c r="FV67" s="724" t="n"/>
      <c r="FW67" s="497" t="n"/>
      <c r="FX67" s="497" t="n"/>
      <c r="FY67" s="497">
        <f>GC66</f>
        <v/>
      </c>
      <c r="FZ67" s="497" t="n"/>
      <c r="GA67" s="497" t="n"/>
      <c r="GB67" s="497" t="n"/>
      <c r="GC67" s="593">
        <f>IF(AND(FX67:GB67),1,0)</f>
        <v/>
      </c>
      <c r="GF67" s="592" t="n">
        <v>64</v>
      </c>
      <c r="GG67" s="597" t="n"/>
      <c r="GH67" s="724" t="n"/>
      <c r="GI67" s="497" t="n"/>
      <c r="GJ67" s="497" t="n"/>
      <c r="GK67" s="592">
        <f>GO36</f>
        <v/>
      </c>
      <c r="GL67" s="497" t="n"/>
      <c r="GM67" s="497" t="n"/>
      <c r="GN67" s="497" t="n"/>
      <c r="GO67" s="593">
        <f>IF(AND(GJ67:GN67),1,0)</f>
        <v/>
      </c>
      <c r="GU67" s="592" t="n">
        <v>64</v>
      </c>
      <c r="GV67" s="597" t="n"/>
      <c r="GW67" s="724" t="inlineStr">
        <is>
          <t xml:space="preserve">24 v dc </t>
        </is>
      </c>
      <c r="GX67" s="497" t="n"/>
      <c r="GY67" s="497" t="n"/>
      <c r="GZ67" s="600">
        <f>HG8</f>
        <v/>
      </c>
      <c r="HA67" s="497" t="n"/>
      <c r="HB67" s="497" t="n"/>
      <c r="HC67" s="497" t="n"/>
      <c r="HD67" s="602">
        <f>IF(AND(GY67:HC67),1,0)</f>
        <v/>
      </c>
      <c r="HK67" s="592" t="n">
        <v>64</v>
      </c>
      <c r="HL67" s="497" t="n"/>
      <c r="HM67" s="497" t="n"/>
      <c r="HN67" s="497" t="n"/>
      <c r="HO67" s="497" t="n"/>
      <c r="HP67" s="757">
        <f>HT66</f>
        <v/>
      </c>
      <c r="HQ67" s="497" t="n"/>
      <c r="HR67" s="497" t="n"/>
      <c r="HS67" s="497" t="n"/>
      <c r="HT67" s="593">
        <f>IF(AND(HO67:HS67),1,0)</f>
        <v/>
      </c>
      <c r="LB67" s="592" t="n">
        <v>64</v>
      </c>
      <c r="LC67" s="497" t="n"/>
      <c r="LD67" s="724" t="n"/>
      <c r="LE67" s="497" t="n"/>
      <c r="LF67" s="724" t="n"/>
      <c r="LG67" s="724">
        <f>LK65</f>
        <v/>
      </c>
      <c r="LH67" s="724" t="n"/>
      <c r="LI67" s="497" t="n"/>
      <c r="LJ67" s="497" t="n"/>
      <c r="LK67" s="593">
        <f>IF(AND(LF67:LJ67),1,0)</f>
        <v/>
      </c>
      <c r="LR67" s="592" t="n">
        <v>64</v>
      </c>
      <c r="LS67" s="497" t="n"/>
      <c r="LT67" s="724" t="n"/>
      <c r="LU67" s="497" t="n"/>
      <c r="LV67" s="724" t="n"/>
      <c r="LW67" s="724">
        <f>MA73</f>
        <v/>
      </c>
      <c r="LX67" s="724" t="n"/>
      <c r="LY67" s="497" t="n"/>
      <c r="LZ67" s="497" t="n"/>
      <c r="MA67" s="593">
        <f>IF(AND(LV67:LZ67),1,0)</f>
        <v/>
      </c>
      <c r="MH67" s="592" t="n">
        <v>64</v>
      </c>
      <c r="MI67" s="497" t="n"/>
      <c r="MJ67" s="724" t="inlineStr">
        <is>
          <t>ACCP1N</t>
        </is>
      </c>
      <c r="MK67" s="497" t="n"/>
      <c r="ML67" s="724" t="n"/>
      <c r="MM67" s="605">
        <f>MT7</f>
        <v/>
      </c>
      <c r="MN67" s="724">
        <f>MQ66</f>
        <v/>
      </c>
      <c r="MO67" s="497" t="n"/>
      <c r="MP67" s="497" t="n"/>
      <c r="MQ67" s="593">
        <f>IF(AND(ML67:MP67),1,0)</f>
        <v/>
      </c>
    </row>
    <row r="68" ht="31.5" customHeight="1">
      <c r="A68" s="590" t="n">
        <v>65</v>
      </c>
      <c r="B68" s="497" t="n"/>
      <c r="C68" s="497" t="n"/>
      <c r="D68" s="497" t="n"/>
      <c r="E68" s="497" t="n"/>
      <c r="F68" s="757">
        <f>J67</f>
        <v/>
      </c>
      <c r="G68" s="592" t="n"/>
      <c r="H68" s="497" t="n"/>
      <c r="I68" s="497" t="n"/>
      <c r="J68" s="593">
        <f>IF(AND(E68:I68),1,0)</f>
        <v/>
      </c>
      <c r="P68" s="592" t="n">
        <v>65</v>
      </c>
      <c r="Q68" s="497" t="n"/>
      <c r="R68" s="592" t="n"/>
      <c r="S68" s="497" t="n"/>
      <c r="T68" s="497" t="n"/>
      <c r="U68" s="757">
        <f>Y61</f>
        <v/>
      </c>
      <c r="V68" s="497" t="n"/>
      <c r="W68" s="497" t="n"/>
      <c r="X68" s="497" t="n"/>
      <c r="Y68" s="593">
        <f>IF(AND(T68:X68),1,0)</f>
        <v/>
      </c>
      <c r="AF68" s="592" t="n">
        <v>65</v>
      </c>
      <c r="AG68" s="599" t="n"/>
      <c r="AH68" s="597" t="n"/>
      <c r="AI68" s="497" t="n"/>
      <c r="AJ68" s="497" t="n"/>
      <c r="AK68" s="609">
        <f>AO60</f>
        <v/>
      </c>
      <c r="AL68" s="497">
        <f>AO67</f>
        <v/>
      </c>
      <c r="AM68" s="497" t="n"/>
      <c r="AN68" s="497" t="n"/>
      <c r="AO68" s="593">
        <f>IF(AND(AJ68:AN68),1,0)</f>
        <v/>
      </c>
      <c r="BI68" s="592" t="n">
        <v>65</v>
      </c>
      <c r="BJ68" s="742" t="inlineStr">
        <is>
          <t>/06.F7</t>
        </is>
      </c>
      <c r="BK68" s="497" t="n"/>
      <c r="BL68" s="497" t="n"/>
      <c r="BM68" s="497" t="n"/>
      <c r="BN68" s="598" t="n">
        <v>1</v>
      </c>
      <c r="BO68" s="497" t="n"/>
      <c r="BP68" s="497" t="n"/>
      <c r="BQ68" s="497" t="n"/>
      <c r="BR68" s="593">
        <f>IF(AND(BM68:BQ68),1,0)</f>
        <v/>
      </c>
      <c r="BX68" s="592" t="n">
        <v>65</v>
      </c>
      <c r="BY68" s="742" t="inlineStr">
        <is>
          <t>/06.F7</t>
        </is>
      </c>
      <c r="BZ68" s="497" t="n"/>
      <c r="CA68" s="497" t="n"/>
      <c r="CB68" s="497" t="n"/>
      <c r="CC68" s="598" t="n">
        <v>1</v>
      </c>
      <c r="CD68" s="497" t="n"/>
      <c r="CE68" s="497" t="n"/>
      <c r="CF68" s="497" t="n"/>
      <c r="CG68" s="593">
        <f>IF(AND(CB68:CF68),1,0)</f>
        <v/>
      </c>
      <c r="CI68" s="592" t="n">
        <v>65</v>
      </c>
      <c r="CJ68" s="497" t="n"/>
      <c r="CK68" s="592" t="n"/>
      <c r="CL68" s="497" t="n"/>
      <c r="CM68" s="497" t="n"/>
      <c r="CN68" s="497">
        <f>CR66</f>
        <v/>
      </c>
      <c r="CO68" s="497">
        <f>CR67</f>
        <v/>
      </c>
      <c r="CP68" s="497" t="n"/>
      <c r="CQ68" s="497" t="n"/>
      <c r="CR68" s="593">
        <f>IF(AND(CM68:CQ68),1,0)</f>
        <v/>
      </c>
      <c r="DK68" s="592" t="n">
        <v>65</v>
      </c>
      <c r="DL68" s="597" t="n"/>
      <c r="DM68" s="592" t="n"/>
      <c r="DN68" s="497" t="n"/>
      <c r="DO68" s="497" t="n"/>
      <c r="DP68" s="757">
        <f>DT67</f>
        <v/>
      </c>
      <c r="DQ68" s="497" t="n"/>
      <c r="DR68" s="497" t="n"/>
      <c r="DS68" s="497" t="n"/>
      <c r="DT68" s="593">
        <f>IF(AND(DO68:DS68),1,0)</f>
        <v/>
      </c>
      <c r="EI68" s="742" t="n"/>
      <c r="EO68" s="592" t="n">
        <v>65</v>
      </c>
      <c r="EP68" s="597" t="n"/>
      <c r="EQ68" s="592" t="n"/>
      <c r="ER68" s="497" t="n"/>
      <c r="ES68" s="497" t="n"/>
      <c r="ET68" s="497">
        <f>IF(OR(EX67,EX55,EX46,EX41),1,0)</f>
        <v/>
      </c>
      <c r="EU68" s="497" t="n"/>
      <c r="EV68" s="497" t="n"/>
      <c r="EW68" s="497" t="n"/>
      <c r="EX68" s="593">
        <f>IF(AND(ES68:EW68),1,0)</f>
        <v/>
      </c>
      <c r="FE68" s="592" t="n">
        <v>65</v>
      </c>
      <c r="FF68" s="597" t="n"/>
      <c r="FG68" s="592" t="n"/>
      <c r="FH68" s="497" t="n"/>
      <c r="FI68" s="497" t="n"/>
      <c r="FJ68" s="497">
        <f>IF(OR(FN67,FN55,FN46,FN41),1,0)</f>
        <v/>
      </c>
      <c r="FK68" s="497" t="n"/>
      <c r="FL68" s="497" t="n"/>
      <c r="FM68" s="497" t="n"/>
      <c r="FN68" s="593">
        <f>IF(AND(FI68:FM68),1,0)</f>
        <v/>
      </c>
      <c r="FT68" s="592" t="n">
        <v>65</v>
      </c>
      <c r="FU68" s="597" t="n"/>
      <c r="FV68" s="724" t="n"/>
      <c r="FW68" s="497" t="n"/>
      <c r="FX68" s="497" t="n"/>
      <c r="FY68" s="497">
        <f>GC67</f>
        <v/>
      </c>
      <c r="FZ68" s="497" t="n"/>
      <c r="GA68" s="497" t="n"/>
      <c r="GB68" s="497" t="n"/>
      <c r="GC68" s="593">
        <f>IF(AND(FX68:GB68),1,0)</f>
        <v/>
      </c>
      <c r="GF68" s="592" t="n">
        <v>65</v>
      </c>
      <c r="GG68" s="597" t="n"/>
      <c r="GH68" s="724" t="n"/>
      <c r="GI68" s="497" t="n"/>
      <c r="GJ68" s="497" t="n"/>
      <c r="GK68" s="592">
        <f>GO43</f>
        <v/>
      </c>
      <c r="GL68" s="497" t="n"/>
      <c r="GM68" s="497" t="n"/>
      <c r="GN68" s="497" t="n"/>
      <c r="GO68" s="593">
        <f>IF(AND(GJ68:GN68),1,0)</f>
        <v/>
      </c>
      <c r="GU68" s="592" t="n">
        <v>65</v>
      </c>
      <c r="GV68" s="597" t="n"/>
      <c r="GW68" s="724" t="n"/>
      <c r="GX68" s="497" t="n"/>
      <c r="GY68" s="497" t="n"/>
      <c r="GZ68" s="757">
        <f>HD67</f>
        <v/>
      </c>
      <c r="HA68" s="497" t="n"/>
      <c r="HB68" s="497" t="n"/>
      <c r="HC68" s="497" t="n"/>
      <c r="HD68" s="602">
        <f>IF(AND(GY68:HC68),1,0)</f>
        <v/>
      </c>
      <c r="HK68" s="592" t="n">
        <v>65</v>
      </c>
      <c r="HL68" s="497" t="n"/>
      <c r="HM68" s="497" t="inlineStr">
        <is>
          <t>SAFC2</t>
        </is>
      </c>
      <c r="HN68" s="497" t="n"/>
      <c r="HO68" s="497" t="n"/>
      <c r="HP68" s="600">
        <f>HW10</f>
        <v/>
      </c>
      <c r="HQ68" s="497">
        <f>HT67</f>
        <v/>
      </c>
      <c r="HR68" s="497" t="n"/>
      <c r="HS68" s="497" t="n"/>
      <c r="HT68" s="593">
        <f>IF(AND(HO68:HS68),1,0)</f>
        <v/>
      </c>
      <c r="LB68" s="592" t="n">
        <v>65</v>
      </c>
      <c r="LC68" s="497" t="n"/>
      <c r="LD68" s="724" t="n"/>
      <c r="LE68" s="497" t="n"/>
      <c r="LF68" s="724" t="n"/>
      <c r="LG68" s="724" t="n">
        <v>1</v>
      </c>
      <c r="LH68" s="724" t="n"/>
      <c r="LI68" s="497" t="n"/>
      <c r="LJ68" s="497" t="n"/>
      <c r="LK68" s="593">
        <f>IF(AND(LF68:LJ68),1,0)</f>
        <v/>
      </c>
      <c r="LR68" s="592" t="n">
        <v>65</v>
      </c>
      <c r="LS68" s="497" t="n"/>
      <c r="LT68" s="724" t="n"/>
      <c r="LU68" s="497" t="n"/>
      <c r="LV68" s="724" t="n"/>
      <c r="LW68" s="724">
        <f>MA73</f>
        <v/>
      </c>
      <c r="LX68" s="724" t="n"/>
      <c r="LY68" s="497" t="n"/>
      <c r="LZ68" s="497" t="n"/>
      <c r="MA68" s="593">
        <f>IF(AND(LV68:LZ68),1,0)</f>
        <v/>
      </c>
      <c r="MH68" s="592" t="n">
        <v>65</v>
      </c>
      <c r="MI68" s="497" t="n"/>
      <c r="MJ68" s="724" t="n"/>
      <c r="MK68" s="497" t="n"/>
      <c r="ML68" s="724" t="n"/>
      <c r="MM68" s="724">
        <f>MQ67</f>
        <v/>
      </c>
      <c r="MN68" s="724" t="n"/>
      <c r="MO68" s="497" t="n"/>
      <c r="MP68" s="497" t="n"/>
      <c r="MQ68" s="593">
        <f>IF(AND(ML68:MP68),1,0)</f>
        <v/>
      </c>
    </row>
    <row r="69" ht="31.5" customHeight="1">
      <c r="A69" s="590" t="n">
        <v>66</v>
      </c>
      <c r="B69" s="497" t="n"/>
      <c r="C69" s="497" t="n"/>
      <c r="D69" s="497" t="n"/>
      <c r="E69" s="497" t="n"/>
      <c r="F69" s="591">
        <f>M14</f>
        <v/>
      </c>
      <c r="G69" s="592" t="n"/>
      <c r="H69" s="497" t="n"/>
      <c r="I69" s="497" t="n"/>
      <c r="J69" s="593">
        <f>IF(AND(E69:I69),1,0)</f>
        <v/>
      </c>
      <c r="P69" s="592" t="n">
        <v>66</v>
      </c>
      <c r="Q69" s="497" t="n"/>
      <c r="R69" s="597" t="inlineStr">
        <is>
          <t>COMPRESSOR 2 (3A) Pa=7.5kW P.f=0.77</t>
        </is>
      </c>
      <c r="S69" s="497" t="n"/>
      <c r="T69" s="497" t="n"/>
      <c r="U69" s="613">
        <f>AB18</f>
        <v/>
      </c>
      <c r="V69" s="757">
        <f>Y62</f>
        <v/>
      </c>
      <c r="W69" s="757">
        <f>Y65</f>
        <v/>
      </c>
      <c r="X69" s="757">
        <f>Y68</f>
        <v/>
      </c>
      <c r="Y69" s="593">
        <f>IF(AND(T69:X69),1,0)</f>
        <v/>
      </c>
      <c r="AF69" s="592" t="n">
        <v>66</v>
      </c>
      <c r="AG69" s="599" t="n"/>
      <c r="AH69" s="597" t="n"/>
      <c r="AI69" s="497" t="n"/>
      <c r="AJ69" s="497" t="n"/>
      <c r="AK69" s="609">
        <f>AO62</f>
        <v/>
      </c>
      <c r="AL69" s="592">
        <f>AO68</f>
        <v/>
      </c>
      <c r="AM69" s="497" t="n"/>
      <c r="AN69" s="497" t="n"/>
      <c r="AO69" s="593">
        <f>IF(AND(AJ69:AN69),1,0)</f>
        <v/>
      </c>
      <c r="BI69" s="592" t="n">
        <v>66</v>
      </c>
      <c r="BJ69" s="497" t="n"/>
      <c r="BK69" s="497" t="n"/>
      <c r="BL69" s="497" t="n"/>
      <c r="BM69" s="497" t="n"/>
      <c r="BN69" s="592">
        <f>BR68</f>
        <v/>
      </c>
      <c r="BO69" s="497" t="n"/>
      <c r="BP69" s="497" t="n"/>
      <c r="BQ69" s="497" t="n"/>
      <c r="BR69" s="593">
        <f>IF(AND(BM69:BQ69),1,0)</f>
        <v/>
      </c>
      <c r="BX69" s="592" t="n">
        <v>66</v>
      </c>
      <c r="BY69" s="497" t="n"/>
      <c r="BZ69" s="497" t="n"/>
      <c r="CA69" s="497" t="n"/>
      <c r="CB69" s="497" t="n"/>
      <c r="CC69" s="592">
        <f>CG68</f>
        <v/>
      </c>
      <c r="CD69" s="497" t="n"/>
      <c r="CE69" s="497" t="n"/>
      <c r="CF69" s="497" t="n"/>
      <c r="CG69" s="593">
        <f>IF(AND(CB69:CF69),1,0)</f>
        <v/>
      </c>
      <c r="CI69" s="592" t="n">
        <v>66</v>
      </c>
      <c r="CJ69" s="497" t="n"/>
      <c r="CK69" s="592" t="n"/>
      <c r="CL69" s="497" t="n"/>
      <c r="CM69" s="497" t="n"/>
      <c r="CN69" s="596" t="n">
        <v>1</v>
      </c>
      <c r="CO69" s="497" t="n"/>
      <c r="CP69" s="497" t="n"/>
      <c r="CQ69" s="497" t="n"/>
      <c r="CR69" s="593">
        <f>IF(AND(CM69:CQ69),1,0)</f>
        <v/>
      </c>
      <c r="DK69" s="592" t="n">
        <v>66</v>
      </c>
      <c r="DL69" s="597" t="n"/>
      <c r="DM69" s="592" t="n"/>
      <c r="DN69" s="497" t="n"/>
      <c r="DO69" s="497" t="n"/>
      <c r="DP69" s="757">
        <f>DT68</f>
        <v/>
      </c>
      <c r="DQ69" s="497" t="n"/>
      <c r="DR69" s="497" t="n"/>
      <c r="DS69" s="497" t="n"/>
      <c r="DT69" s="593">
        <f>IF(AND(DO69:DS69),1,0)</f>
        <v/>
      </c>
      <c r="EI69" s="742" t="n"/>
      <c r="EO69" s="592" t="n">
        <v>66</v>
      </c>
      <c r="EP69" s="597" t="n"/>
      <c r="EQ69" s="592" t="n"/>
      <c r="ER69" s="497" t="n"/>
      <c r="ES69" s="497" t="n"/>
      <c r="ET69" s="497">
        <f>IF(OR(EX26,EX21,EX8),1,0)</f>
        <v/>
      </c>
      <c r="EU69" s="497" t="n"/>
      <c r="EV69" s="497" t="n"/>
      <c r="EW69" s="497" t="n"/>
      <c r="EX69" s="593">
        <f>IF(AND(ES69:EW69),1,0)</f>
        <v/>
      </c>
      <c r="FE69" s="592" t="n">
        <v>66</v>
      </c>
      <c r="FF69" s="597" t="n"/>
      <c r="FG69" s="592" t="n"/>
      <c r="FH69" s="497" t="n"/>
      <c r="FI69" s="497" t="n"/>
      <c r="FJ69" s="497">
        <f>IF(OR(FN26,FN21,FN8),1,0)</f>
        <v/>
      </c>
      <c r="FK69" s="497" t="n"/>
      <c r="FL69" s="497" t="n"/>
      <c r="FM69" s="497" t="n"/>
      <c r="FN69" s="593">
        <f>IF(AND(FI69:FM69),1,0)</f>
        <v/>
      </c>
      <c r="FT69" s="592" t="n">
        <v>66</v>
      </c>
      <c r="FU69" s="597" t="n"/>
      <c r="FV69" s="724" t="n"/>
      <c r="FW69" s="497" t="n"/>
      <c r="FX69" s="497" t="n"/>
      <c r="FY69" s="497">
        <f>IF(OR(GC68,GC56,GC47,GC42),1,0)</f>
        <v/>
      </c>
      <c r="FZ69" s="497" t="n"/>
      <c r="GA69" s="497" t="n"/>
      <c r="GB69" s="497" t="n"/>
      <c r="GC69" s="593">
        <f>IF(AND(FX69:GB69),1,0)</f>
        <v/>
      </c>
      <c r="GF69" s="592" t="n">
        <v>66</v>
      </c>
      <c r="GG69" s="597" t="n"/>
      <c r="GH69" s="724" t="n"/>
      <c r="GI69" s="497" t="n"/>
      <c r="GJ69" s="497" t="n"/>
      <c r="GK69" s="592">
        <f>GO50</f>
        <v/>
      </c>
      <c r="GL69" s="497" t="n"/>
      <c r="GM69" s="497" t="n"/>
      <c r="GN69" s="497" t="n"/>
      <c r="GO69" s="593">
        <f>IF(AND(GJ69:GN69),1,0)</f>
        <v/>
      </c>
      <c r="GU69" s="592" t="n">
        <v>66</v>
      </c>
      <c r="GV69" s="597" t="n"/>
      <c r="GW69" s="724" t="n"/>
      <c r="GX69" s="497" t="n"/>
      <c r="GY69" s="497" t="n"/>
      <c r="GZ69" s="757">
        <f>HD67</f>
        <v/>
      </c>
      <c r="HA69" s="497" t="n"/>
      <c r="HB69" s="497" t="n"/>
      <c r="HC69" s="497" t="n"/>
      <c r="HD69" s="602">
        <f>IF(AND(GY69:HC69),1,0)</f>
        <v/>
      </c>
      <c r="HK69" s="592" t="n">
        <v>66</v>
      </c>
      <c r="HL69" s="497" t="n"/>
      <c r="HM69" s="497" t="n"/>
      <c r="HN69" s="497" t="n"/>
      <c r="HO69" s="497" t="n"/>
      <c r="HP69" s="757">
        <f>HT68</f>
        <v/>
      </c>
      <c r="HQ69" s="497" t="n"/>
      <c r="HR69" s="497" t="n"/>
      <c r="HS69" s="497" t="n"/>
      <c r="HT69" s="593">
        <f>IF(AND(HO69:HS69),1,0)</f>
        <v/>
      </c>
      <c r="LB69" s="592" t="n">
        <v>66</v>
      </c>
      <c r="LC69" s="497" t="n"/>
      <c r="LD69" s="724" t="n"/>
      <c r="LE69" s="497" t="n"/>
      <c r="LF69" s="724" t="n"/>
      <c r="LG69" s="724">
        <f>LK35</f>
        <v/>
      </c>
      <c r="LH69" s="724" t="n"/>
      <c r="LI69" s="497" t="n"/>
      <c r="LJ69" s="497" t="n"/>
      <c r="LK69" s="593">
        <f>IF(AND(LF69:LJ69),1,0)</f>
        <v/>
      </c>
      <c r="LR69" s="592" t="n">
        <v>66</v>
      </c>
      <c r="LS69" s="497" t="n"/>
      <c r="LT69" s="724" t="n"/>
      <c r="LU69" s="497" t="n"/>
      <c r="LV69" s="724" t="n"/>
      <c r="LW69" s="724">
        <f>MA42</f>
        <v/>
      </c>
      <c r="LX69" s="724" t="n"/>
      <c r="LY69" s="497" t="n"/>
      <c r="LZ69" s="497" t="n"/>
      <c r="MA69" s="593">
        <f>IF(AND(LV69:LZ69),1,0)</f>
        <v/>
      </c>
      <c r="MH69" s="592" t="n">
        <v>66</v>
      </c>
      <c r="MI69" s="497" t="n"/>
      <c r="MJ69" s="724" t="n"/>
      <c r="MK69" s="497" t="n"/>
      <c r="ML69" s="724" t="n"/>
      <c r="MM69" s="724">
        <f>MQ68</f>
        <v/>
      </c>
      <c r="MN69" s="724" t="n"/>
      <c r="MO69" s="497" t="n"/>
      <c r="MP69" s="497" t="n"/>
      <c r="MQ69" s="593">
        <f>IF(AND(ML69:MP69),1,0)</f>
        <v/>
      </c>
    </row>
    <row r="70" ht="31.5" customHeight="1">
      <c r="A70" s="590" t="n">
        <v>67</v>
      </c>
      <c r="B70" s="497" t="n"/>
      <c r="C70" s="497" t="n"/>
      <c r="D70" s="497" t="n"/>
      <c r="E70" s="497" t="n"/>
      <c r="F70" s="757">
        <f>J69</f>
        <v/>
      </c>
      <c r="G70" s="592" t="n"/>
      <c r="H70" s="497" t="n"/>
      <c r="I70" s="497" t="n"/>
      <c r="J70" s="593">
        <f>IF(AND(E70:I70),1,0)</f>
        <v/>
      </c>
      <c r="P70" s="592" t="n">
        <v>67</v>
      </c>
      <c r="Q70" s="497" t="n"/>
      <c r="R70" s="757" t="inlineStr">
        <is>
          <t>GROUND</t>
        </is>
      </c>
      <c r="S70" s="497" t="n"/>
      <c r="T70" s="497" t="n"/>
      <c r="U70" s="757" t="n">
        <v>1</v>
      </c>
      <c r="V70" s="497" t="n"/>
      <c r="W70" s="497" t="n"/>
      <c r="X70" s="497" t="n"/>
      <c r="Y70" s="593">
        <f>IF(AND(T70:X70),1,0)</f>
        <v/>
      </c>
      <c r="AF70" s="592" t="n">
        <v>67</v>
      </c>
      <c r="AG70" s="599" t="n"/>
      <c r="AH70" s="597" t="inlineStr">
        <is>
          <t>COMPRESSOR 2 (3A) Pa=7.5kW P.f=0.75</t>
        </is>
      </c>
      <c r="AI70" s="497" t="n"/>
      <c r="AJ70" s="497" t="n"/>
      <c r="AK70" s="604">
        <f>AB19</f>
        <v/>
      </c>
      <c r="AL70" s="592">
        <f>AO63</f>
        <v/>
      </c>
      <c r="AM70" s="592">
        <f>AO66</f>
        <v/>
      </c>
      <c r="AN70" s="592">
        <f>AO69</f>
        <v/>
      </c>
      <c r="AO70" s="593">
        <f>IF(AND(AJ70:AN70),1,0)</f>
        <v/>
      </c>
      <c r="BI70" s="592" t="n">
        <v>67</v>
      </c>
      <c r="BK70" s="497" t="n"/>
      <c r="BL70" s="497" t="n"/>
      <c r="BM70" s="497" t="n"/>
      <c r="BN70" s="598" t="n">
        <v>1</v>
      </c>
      <c r="BO70" s="497" t="n"/>
      <c r="BP70" s="497" t="n"/>
      <c r="BQ70" s="497" t="n"/>
      <c r="BR70" s="593">
        <f>IF(AND(BM70:BQ70),1,0)</f>
        <v/>
      </c>
      <c r="BX70" s="592" t="n">
        <v>67</v>
      </c>
      <c r="BZ70" s="497" t="n"/>
      <c r="CA70" s="497" t="n"/>
      <c r="CB70" s="497" t="n"/>
      <c r="CC70" s="598" t="n">
        <v>1</v>
      </c>
      <c r="CD70" s="497" t="n"/>
      <c r="CE70" s="497" t="n"/>
      <c r="CF70" s="497" t="n"/>
      <c r="CG70" s="593">
        <f>IF(AND(CB70:CF70),1,0)</f>
        <v/>
      </c>
      <c r="CI70" s="592" t="n">
        <v>67</v>
      </c>
      <c r="CJ70" s="497" t="n"/>
      <c r="CK70" s="592" t="n"/>
      <c r="CL70" s="497" t="n"/>
      <c r="CM70" s="497" t="n"/>
      <c r="CN70" s="497">
        <f>CR69</f>
        <v/>
      </c>
      <c r="CO70" s="497" t="n"/>
      <c r="CP70" s="497" t="n"/>
      <c r="CQ70" s="497" t="n"/>
      <c r="CR70" s="593">
        <f>IF(AND(CM70:CQ70),1,0)</f>
        <v/>
      </c>
      <c r="DK70" s="592" t="n">
        <v>67</v>
      </c>
      <c r="DL70" s="597" t="n"/>
      <c r="DM70" s="592" t="n"/>
      <c r="DN70" s="497" t="n"/>
      <c r="DO70" s="497" t="n"/>
      <c r="DP70" s="757">
        <f>DT69</f>
        <v/>
      </c>
      <c r="DQ70" s="497" t="n"/>
      <c r="DR70" s="497" t="n"/>
      <c r="DS70" s="497" t="n"/>
      <c r="DT70" s="593">
        <f>IF(AND(DO70:DS70),1,0)</f>
        <v/>
      </c>
      <c r="FT70" s="592" t="n">
        <v>67</v>
      </c>
      <c r="FU70" s="597" t="n"/>
      <c r="FV70" s="724" t="n"/>
      <c r="FW70" s="497" t="n"/>
      <c r="FX70" s="497" t="n"/>
      <c r="FY70" s="497">
        <f>IF(OR(GC22,GC8,GC27),1,0)</f>
        <v/>
      </c>
      <c r="FZ70" s="497" t="n"/>
      <c r="GA70" s="497" t="n"/>
      <c r="GB70" s="497" t="n"/>
      <c r="GC70" s="593">
        <f>IF(AND(FX70:GB70),1,0)</f>
        <v/>
      </c>
      <c r="GF70" s="592" t="n">
        <v>67</v>
      </c>
      <c r="GG70" s="597" t="n"/>
      <c r="GH70" s="724" t="n"/>
      <c r="GI70" s="497" t="n"/>
      <c r="GJ70" s="497" t="n"/>
      <c r="GK70" s="592">
        <f>GO57</f>
        <v/>
      </c>
      <c r="GL70" s="497" t="n"/>
      <c r="GM70" s="497" t="n"/>
      <c r="GN70" s="497" t="n"/>
      <c r="GO70" s="593">
        <f>IF(AND(GJ70:GN70),1,0)</f>
        <v/>
      </c>
      <c r="GU70" s="592" t="n">
        <v>67</v>
      </c>
      <c r="GV70" s="597" t="n"/>
      <c r="GW70" s="724" t="n"/>
      <c r="GX70" s="497" t="n"/>
      <c r="GY70" s="497" t="n"/>
      <c r="GZ70" s="757">
        <f>HD69</f>
        <v/>
      </c>
      <c r="HA70" s="497" t="n"/>
      <c r="HB70" s="497" t="n"/>
      <c r="HC70" s="497" t="n"/>
      <c r="HD70" s="602">
        <f>IF(AND(GY70:HC70),1,0)</f>
        <v/>
      </c>
      <c r="HK70" s="592" t="n">
        <v>67</v>
      </c>
      <c r="HL70" s="497" t="n"/>
      <c r="HM70" s="497" t="n"/>
      <c r="HN70" s="497" t="n"/>
      <c r="HO70" s="497" t="n"/>
      <c r="HP70" s="757">
        <f>HT69</f>
        <v/>
      </c>
      <c r="HQ70" s="497" t="n"/>
      <c r="HR70" s="497" t="n"/>
      <c r="HS70" s="497" t="n"/>
      <c r="HT70" s="593">
        <f>IF(AND(HO70:HS70),1,0)</f>
        <v/>
      </c>
      <c r="LB70" s="592" t="n">
        <v>67</v>
      </c>
      <c r="LC70" s="497" t="n"/>
      <c r="LD70" s="724" t="n"/>
      <c r="LE70" s="497" t="n"/>
      <c r="LF70" s="724" t="n"/>
      <c r="LG70" s="724">
        <f>LK141</f>
        <v/>
      </c>
      <c r="LH70" s="724" t="n"/>
      <c r="LI70" s="497" t="n"/>
      <c r="LJ70" s="497" t="n"/>
      <c r="LK70" s="593">
        <f>IF(AND(LF70:LJ70),1,0)</f>
        <v/>
      </c>
      <c r="LR70" s="592" t="n">
        <v>67</v>
      </c>
      <c r="LS70" s="497" t="n"/>
      <c r="LT70" s="724" t="n"/>
      <c r="LU70" s="497" t="n"/>
      <c r="LV70" s="724" t="n"/>
      <c r="LW70" s="724">
        <f>MA69</f>
        <v/>
      </c>
      <c r="LX70" s="724" t="n"/>
      <c r="LY70" s="497" t="n"/>
      <c r="LZ70" s="497" t="n"/>
      <c r="MA70" s="593">
        <f>IF(AND(LV70:LZ70),1,0)</f>
        <v/>
      </c>
      <c r="MH70" s="592" t="n">
        <v>67</v>
      </c>
      <c r="MI70" s="497" t="n"/>
      <c r="MJ70" s="724" t="n"/>
      <c r="MK70" s="497" t="n"/>
      <c r="ML70" s="724" t="n"/>
      <c r="MM70" s="612" t="n">
        <v>1</v>
      </c>
      <c r="MN70" s="724" t="n"/>
      <c r="MO70" s="497" t="n"/>
      <c r="MP70" s="497" t="n"/>
      <c r="MQ70" s="593">
        <f>IF(AND(ML70:MP70),1,0)</f>
        <v/>
      </c>
    </row>
    <row r="71">
      <c r="A71" s="590" t="n">
        <v>68</v>
      </c>
      <c r="B71" s="497" t="n"/>
      <c r="C71" s="497" t="n"/>
      <c r="D71" s="497" t="n"/>
      <c r="E71" s="497" t="n"/>
      <c r="F71" s="757">
        <f>J70</f>
        <v/>
      </c>
      <c r="G71" s="592">
        <f>J80</f>
        <v/>
      </c>
      <c r="H71" s="497" t="n"/>
      <c r="I71" s="497" t="n"/>
      <c r="J71" s="593">
        <f>IF(AND(E71:I71),1,0)</f>
        <v/>
      </c>
      <c r="P71" s="592" t="n">
        <v>68</v>
      </c>
      <c r="Q71" s="497" t="n"/>
      <c r="R71" s="592" t="n"/>
      <c r="S71" s="497" t="n"/>
      <c r="T71" s="497" t="n"/>
      <c r="U71" s="757">
        <f>Y34</f>
        <v/>
      </c>
      <c r="V71" s="497" t="n"/>
      <c r="W71" s="497" t="n"/>
      <c r="X71" s="497" t="n"/>
      <c r="Y71" s="593">
        <f>IF(AND(T71:X71),1,0)</f>
        <v/>
      </c>
      <c r="AF71" s="592" t="n">
        <v>68</v>
      </c>
      <c r="AG71" s="599" t="n"/>
      <c r="AH71" s="597" t="inlineStr">
        <is>
          <t>GROUND</t>
        </is>
      </c>
      <c r="AI71" s="497" t="n"/>
      <c r="AJ71" s="497" t="n"/>
      <c r="AK71" s="609" t="n">
        <v>1</v>
      </c>
      <c r="AL71" s="497" t="n"/>
      <c r="AM71" s="497" t="n"/>
      <c r="AN71" s="497" t="n"/>
      <c r="AO71" s="593">
        <f>IF(AND(AJ71:AN71),1,0)</f>
        <v/>
      </c>
      <c r="BI71" s="592" t="n">
        <v>68</v>
      </c>
      <c r="BJ71" s="497" t="n"/>
      <c r="BK71" s="267" t="n"/>
      <c r="BL71" s="497" t="n"/>
      <c r="BM71" s="497" t="n"/>
      <c r="BN71" s="598" t="n">
        <v>1</v>
      </c>
      <c r="BO71" s="497" t="n"/>
      <c r="BP71" s="497" t="n"/>
      <c r="BQ71" s="497" t="n"/>
      <c r="BR71" s="593">
        <f>IF(AND(BM71:BQ71),1,0)</f>
        <v/>
      </c>
      <c r="BX71" s="592" t="n">
        <v>68</v>
      </c>
      <c r="BY71" s="497" t="n"/>
      <c r="BZ71" s="267" t="n"/>
      <c r="CA71" s="497" t="n"/>
      <c r="CB71" s="497" t="n"/>
      <c r="CC71" s="598" t="n">
        <v>1</v>
      </c>
      <c r="CD71" s="497" t="n"/>
      <c r="CE71" s="497" t="n"/>
      <c r="CF71" s="497" t="n"/>
      <c r="CG71" s="593">
        <f>IF(AND(CB71:CF71),1,0)</f>
        <v/>
      </c>
      <c r="CI71" s="592" t="n">
        <v>68</v>
      </c>
      <c r="CJ71" s="497" t="n"/>
      <c r="CK71" s="592" t="n"/>
      <c r="CL71" s="497" t="n"/>
      <c r="CM71" s="497" t="n"/>
      <c r="CN71" s="497">
        <f>CR69</f>
        <v/>
      </c>
      <c r="CO71" s="497">
        <f>CR70</f>
        <v/>
      </c>
      <c r="CP71" s="497" t="n"/>
      <c r="CQ71" s="497" t="n"/>
      <c r="CR71" s="593">
        <f>IF(AND(CM71:CQ71),1,0)</f>
        <v/>
      </c>
      <c r="DK71" s="592" t="n">
        <v>68</v>
      </c>
      <c r="DL71" s="597" t="n"/>
      <c r="DM71" s="592" t="inlineStr">
        <is>
          <t>THR2</t>
        </is>
      </c>
      <c r="DN71" s="497" t="n"/>
      <c r="DO71" s="497" t="n"/>
      <c r="DP71" s="600">
        <f>'DATA TRANSFER'!AT18</f>
        <v/>
      </c>
      <c r="DQ71" s="497">
        <f>DT70</f>
        <v/>
      </c>
      <c r="DR71" s="497" t="n"/>
      <c r="DS71" s="497" t="n"/>
      <c r="DT71" s="593">
        <f>IF(AND(DO71:DS71),1,0)</f>
        <v/>
      </c>
      <c r="GF71" s="592" t="n">
        <v>68</v>
      </c>
      <c r="GG71" s="592" t="n"/>
      <c r="GH71" s="592" t="n"/>
      <c r="GI71" s="592" t="n"/>
      <c r="GJ71" s="592" t="n"/>
      <c r="GK71" s="592">
        <f>GO6</f>
        <v/>
      </c>
      <c r="GL71" s="592" t="n"/>
      <c r="GM71" s="592" t="n"/>
      <c r="GN71" s="592" t="n"/>
      <c r="GO71" s="593">
        <f>IF(AND(GJ71:GN71),1,0)</f>
        <v/>
      </c>
      <c r="GU71" s="592" t="n">
        <v>68</v>
      </c>
      <c r="GV71" s="597" t="n"/>
      <c r="GW71" s="724" t="inlineStr">
        <is>
          <t xml:space="preserve">24 v dc </t>
        </is>
      </c>
      <c r="GX71" s="497" t="n"/>
      <c r="GY71" s="497" t="n"/>
      <c r="GZ71" s="600">
        <f>HG8</f>
        <v/>
      </c>
      <c r="HA71" s="497" t="n"/>
      <c r="HB71" s="497" t="n"/>
      <c r="HC71" s="497" t="n"/>
      <c r="HD71" s="602">
        <f>IF(AND(GY71:HC71),1,0)</f>
        <v/>
      </c>
      <c r="LB71" s="592" t="n">
        <v>68</v>
      </c>
      <c r="LC71" s="497" t="n"/>
      <c r="LD71" s="724" t="n"/>
      <c r="LE71" s="497" t="n"/>
      <c r="LF71" s="724" t="n"/>
      <c r="LG71" s="724">
        <f>LK143</f>
        <v/>
      </c>
      <c r="LH71" s="724" t="n"/>
      <c r="LI71" s="497" t="n"/>
      <c r="LJ71" s="497" t="n"/>
      <c r="LK71" s="593">
        <f>IF(AND(LF71:LJ71),1,0)</f>
        <v/>
      </c>
      <c r="LR71" s="592" t="n">
        <v>68</v>
      </c>
      <c r="LS71" s="497" t="n"/>
      <c r="LT71" s="724" t="n"/>
      <c r="LU71" s="497" t="n"/>
      <c r="LV71" s="724" t="n"/>
      <c r="LW71" s="724">
        <f>MA61</f>
        <v/>
      </c>
      <c r="LX71" s="724" t="n"/>
      <c r="LY71" s="497" t="n"/>
      <c r="LZ71" s="497" t="n"/>
      <c r="MA71" s="593">
        <f>IF(AND(LV71:LZ71),1,0)</f>
        <v/>
      </c>
      <c r="MH71" s="592" t="n">
        <v>68</v>
      </c>
      <c r="MI71" s="497" t="n"/>
      <c r="MJ71" s="724" t="inlineStr">
        <is>
          <t>ACCP1N</t>
        </is>
      </c>
      <c r="MK71" s="497" t="n"/>
      <c r="ML71" s="724" t="n"/>
      <c r="MM71" s="605">
        <f>MT7</f>
        <v/>
      </c>
      <c r="MN71" s="724">
        <f>MQ70</f>
        <v/>
      </c>
      <c r="MO71" s="497" t="n"/>
      <c r="MP71" s="497" t="n"/>
      <c r="MQ71" s="593">
        <f>IF(AND(ML71:MP71),1,0)</f>
        <v/>
      </c>
    </row>
    <row r="72">
      <c r="A72" s="590" t="n">
        <v>69</v>
      </c>
      <c r="B72" s="497" t="n"/>
      <c r="C72" s="757" t="inlineStr">
        <is>
          <t>HTC</t>
        </is>
      </c>
      <c r="D72" s="497" t="n"/>
      <c r="E72" s="497" t="n"/>
      <c r="F72" s="613">
        <f>M14</f>
        <v/>
      </c>
      <c r="G72" s="592">
        <f>J71</f>
        <v/>
      </c>
      <c r="H72" s="497" t="n"/>
      <c r="I72" s="497" t="n"/>
      <c r="J72" s="593">
        <f>IF(AND(E72:I72),1,0)</f>
        <v/>
      </c>
      <c r="P72" s="592" t="n">
        <v>69</v>
      </c>
      <c r="Q72" s="497" t="n"/>
      <c r="R72" s="757" t="inlineStr">
        <is>
          <t>CMPB3 _13A</t>
        </is>
      </c>
      <c r="S72" s="497" t="n"/>
      <c r="T72" s="497" t="n"/>
      <c r="U72" s="613">
        <f>AB22</f>
        <v/>
      </c>
      <c r="V72" s="497">
        <f>Y71</f>
        <v/>
      </c>
      <c r="W72" s="497">
        <f>Y76</f>
        <v/>
      </c>
      <c r="X72" s="497">
        <f>Y79</f>
        <v/>
      </c>
      <c r="Y72" s="593">
        <f>IF(AND(T72:X72),1,0)</f>
        <v/>
      </c>
      <c r="AF72" s="592" t="n">
        <v>69</v>
      </c>
      <c r="AG72" s="599" t="n"/>
      <c r="AH72" s="597" t="n"/>
      <c r="AI72" s="497" t="n"/>
      <c r="AJ72" s="497" t="n"/>
      <c r="AK72" s="609">
        <f>AO35</f>
        <v/>
      </c>
      <c r="AL72" s="497" t="n"/>
      <c r="AM72" s="497" t="n"/>
      <c r="AN72" s="497" t="n"/>
      <c r="AO72" s="593">
        <f>IF(AND(AJ72:AN72),1,0)</f>
        <v/>
      </c>
      <c r="BI72" s="592" t="n">
        <v>69</v>
      </c>
      <c r="BJ72" s="497" t="n"/>
      <c r="BK72" s="497" t="n"/>
      <c r="BL72" s="497" t="n"/>
      <c r="BM72" s="497" t="n"/>
      <c r="BN72" s="609">
        <f>BR71</f>
        <v/>
      </c>
      <c r="BO72" s="497" t="n"/>
      <c r="BP72" s="497" t="n"/>
      <c r="BQ72" s="497" t="n"/>
      <c r="BR72" s="593">
        <f>IF(AND(BM72:BQ72),1,0)</f>
        <v/>
      </c>
      <c r="BX72" s="592" t="n">
        <v>69</v>
      </c>
      <c r="BY72" s="497" t="n"/>
      <c r="BZ72" s="497" t="n"/>
      <c r="CA72" s="497" t="n"/>
      <c r="CB72" s="497" t="n"/>
      <c r="CC72" s="609">
        <f>CG71</f>
        <v/>
      </c>
      <c r="CD72" s="497" t="n"/>
      <c r="CE72" s="497" t="n"/>
      <c r="CF72" s="497" t="n"/>
      <c r="CG72" s="593">
        <f>IF(AND(CB72:CF72),1,0)</f>
        <v/>
      </c>
      <c r="CI72" s="592" t="n">
        <v>69</v>
      </c>
      <c r="CJ72" s="497" t="n"/>
      <c r="CK72" s="592" t="n"/>
      <c r="CL72" s="497" t="n"/>
      <c r="CM72" s="497" t="n"/>
      <c r="CN72" s="497" t="n"/>
      <c r="CO72" s="497" t="n"/>
      <c r="CP72" s="497" t="n"/>
      <c r="CQ72" s="497" t="n"/>
      <c r="CR72" s="593" t="n"/>
      <c r="DK72" s="592" t="n">
        <v>69</v>
      </c>
      <c r="DL72" s="597" t="n"/>
      <c r="DM72" s="592" t="n"/>
      <c r="DN72" s="497" t="n"/>
      <c r="DO72" s="497" t="n"/>
      <c r="DP72" s="757">
        <f>DT71</f>
        <v/>
      </c>
      <c r="DQ72" s="497" t="n"/>
      <c r="DR72" s="497" t="n"/>
      <c r="DS72" s="497" t="n"/>
      <c r="DT72" s="593">
        <f>IF(AND(DO72:DS72),1,0)</f>
        <v/>
      </c>
      <c r="GF72" s="592" t="n">
        <v>69</v>
      </c>
      <c r="GG72" s="592" t="n"/>
      <c r="GH72" s="592" t="n"/>
      <c r="GI72" s="592" t="n"/>
      <c r="GJ72" s="592" t="n"/>
      <c r="GK72" s="592">
        <f>GO10</f>
        <v/>
      </c>
      <c r="GL72" s="592" t="n"/>
      <c r="GM72" s="592" t="n"/>
      <c r="GN72" s="592" t="n"/>
      <c r="GO72" s="593">
        <f>IF(AND(GJ72:GN72),1,0)</f>
        <v/>
      </c>
      <c r="GU72" s="592" t="n">
        <v>69</v>
      </c>
      <c r="GV72" s="597" t="n"/>
      <c r="GW72" s="724" t="inlineStr">
        <is>
          <t>TMR2</t>
        </is>
      </c>
      <c r="GX72" s="497" t="n"/>
      <c r="GY72" s="497" t="n"/>
      <c r="GZ72" s="600">
        <f>HG15</f>
        <v/>
      </c>
      <c r="HA72" s="497">
        <f>HD71</f>
        <v/>
      </c>
      <c r="HB72" s="497" t="n"/>
      <c r="HC72" s="497" t="n"/>
      <c r="HD72" s="602">
        <f>IF(AND(GY72:HC72),1,0)</f>
        <v/>
      </c>
      <c r="LB72" s="592" t="n">
        <v>69</v>
      </c>
      <c r="LC72" s="497" t="n"/>
      <c r="LD72" s="724" t="n"/>
      <c r="LE72" s="497" t="n"/>
      <c r="LF72" s="724" t="n"/>
      <c r="LG72" s="605">
        <f>LN32</f>
        <v/>
      </c>
      <c r="LH72" s="724">
        <f>LK71</f>
        <v/>
      </c>
      <c r="LI72" s="497" t="n"/>
      <c r="LJ72" s="497" t="n"/>
      <c r="LK72" s="593">
        <f>IF(AND(LF72:LJ72),1,0)</f>
        <v/>
      </c>
      <c r="LR72" s="592" t="n">
        <v>69</v>
      </c>
      <c r="LS72" s="497" t="n"/>
      <c r="LT72" s="724" t="n"/>
      <c r="LU72" s="497" t="n"/>
      <c r="LV72" s="724" t="n"/>
      <c r="LW72" s="724">
        <f>MA70</f>
        <v/>
      </c>
      <c r="LX72" s="724" t="n"/>
      <c r="LY72" s="497" t="n"/>
      <c r="LZ72" s="497" t="n"/>
      <c r="MA72" s="593">
        <f>IF(AND(LV72:LZ72),1,0)</f>
        <v/>
      </c>
      <c r="MH72" s="592" t="n">
        <v>69</v>
      </c>
      <c r="MI72" s="497" t="n"/>
      <c r="MJ72" s="724" t="n"/>
      <c r="MK72" s="497" t="n"/>
      <c r="ML72" s="724" t="n"/>
      <c r="MM72" s="724">
        <f>MQ71</f>
        <v/>
      </c>
      <c r="MN72" s="724" t="n"/>
      <c r="MO72" s="497" t="n"/>
      <c r="MP72" s="497" t="n"/>
      <c r="MQ72" s="593">
        <f>IF(AND(ML72:MP72),1,0)</f>
        <v/>
      </c>
    </row>
    <row r="73">
      <c r="A73" s="590" t="n">
        <v>70</v>
      </c>
      <c r="B73" s="497" t="n"/>
      <c r="C73" s="497" t="n"/>
      <c r="D73" s="497" t="n"/>
      <c r="E73" s="497" t="n"/>
      <c r="F73" s="757">
        <f>J72</f>
        <v/>
      </c>
      <c r="G73" s="592" t="n"/>
      <c r="H73" s="497" t="n"/>
      <c r="I73" s="497" t="n"/>
      <c r="J73" s="593">
        <f>IF(AND(E73:I73),1,0)</f>
        <v/>
      </c>
      <c r="P73" s="592" t="n">
        <v>70</v>
      </c>
      <c r="Q73" s="497" t="n"/>
      <c r="R73" s="592" t="n"/>
      <c r="S73" s="497" t="n"/>
      <c r="T73" s="497" t="n"/>
      <c r="U73" s="757">
        <f>Y72</f>
        <v/>
      </c>
      <c r="V73" s="497">
        <f>Y72</f>
        <v/>
      </c>
      <c r="W73" s="497" t="n"/>
      <c r="X73" s="497" t="n"/>
      <c r="Y73" s="593">
        <f>IF(AND(T73:X73),1,0)</f>
        <v/>
      </c>
      <c r="AF73" s="592" t="n">
        <v>70</v>
      </c>
      <c r="AG73" s="599" t="n"/>
      <c r="AH73" s="757" t="inlineStr">
        <is>
          <t>CMPB3 _13A</t>
        </is>
      </c>
      <c r="AI73" s="497" t="n"/>
      <c r="AJ73" s="497" t="n"/>
      <c r="AK73" s="604">
        <f>AB20</f>
        <v/>
      </c>
      <c r="AL73" s="497">
        <f>AO72</f>
        <v/>
      </c>
      <c r="AM73" s="497" t="n"/>
      <c r="AN73" s="497" t="n"/>
      <c r="AO73" s="593">
        <f>IF(AND(AJ73:AN73),1,0)</f>
        <v/>
      </c>
      <c r="BI73" s="592" t="n">
        <v>70</v>
      </c>
      <c r="BJ73" s="267" t="n"/>
      <c r="BK73" s="497" t="n"/>
      <c r="BL73" s="497" t="n"/>
      <c r="BM73" s="497" t="n"/>
      <c r="BN73" s="592">
        <f>BR72</f>
        <v/>
      </c>
      <c r="BO73" s="497" t="n"/>
      <c r="BP73" s="497" t="n"/>
      <c r="BQ73" s="497" t="n"/>
      <c r="BR73" s="593">
        <f>IF(AND(BM73:BQ73),1,0)</f>
        <v/>
      </c>
      <c r="BX73" s="592" t="n">
        <v>70</v>
      </c>
      <c r="BY73" s="267" t="n"/>
      <c r="BZ73" s="497" t="n"/>
      <c r="CA73" s="497" t="n"/>
      <c r="CB73" s="497" t="n"/>
      <c r="CC73" s="592">
        <f>CG72</f>
        <v/>
      </c>
      <c r="CD73" s="497" t="n"/>
      <c r="CE73" s="497" t="n"/>
      <c r="CF73" s="497" t="n"/>
      <c r="CG73" s="593">
        <f>IF(AND(CB73:CF73),1,0)</f>
        <v/>
      </c>
      <c r="CI73" s="592" t="n">
        <v>70</v>
      </c>
      <c r="CJ73" s="497" t="n"/>
      <c r="CK73" s="592" t="n"/>
      <c r="CL73" s="497" t="n"/>
      <c r="CM73" s="497" t="n"/>
      <c r="CN73" s="497" t="n"/>
      <c r="CO73" s="497" t="n"/>
      <c r="CP73" s="497" t="n"/>
      <c r="CQ73" s="497" t="n"/>
      <c r="CR73" s="593" t="n"/>
      <c r="DK73" s="592" t="n">
        <v>70</v>
      </c>
      <c r="DL73" s="597" t="n"/>
      <c r="DM73" s="592" t="n"/>
      <c r="DN73" s="497" t="n"/>
      <c r="DO73" s="497" t="n"/>
      <c r="DP73" s="757">
        <f>IF(OR(DT68,DT44),1,0)</f>
        <v/>
      </c>
      <c r="DQ73" s="497" t="n"/>
      <c r="DR73" s="497" t="n"/>
      <c r="DS73" s="497" t="n"/>
      <c r="DT73" s="593">
        <f>IF(AND(DO73:DS73),1,0)</f>
        <v/>
      </c>
      <c r="GF73" s="592" t="n">
        <v>70</v>
      </c>
      <c r="GG73" s="592" t="n"/>
      <c r="GH73" s="592" t="n"/>
      <c r="GI73" s="592" t="n"/>
      <c r="GJ73" s="592" t="n"/>
      <c r="GK73" s="592">
        <f>GO14</f>
        <v/>
      </c>
      <c r="GL73" s="592" t="n"/>
      <c r="GM73" s="592" t="n"/>
      <c r="GN73" s="592" t="n"/>
      <c r="GO73" s="593">
        <f>IF(AND(GJ73:GN73),1,0)</f>
        <v/>
      </c>
      <c r="GU73" s="592" t="n">
        <v>70</v>
      </c>
      <c r="GV73" s="597" t="n"/>
      <c r="GW73" s="724" t="n"/>
      <c r="GX73" s="497" t="n"/>
      <c r="GY73" s="497" t="n"/>
      <c r="GZ73" s="757">
        <f>HD72</f>
        <v/>
      </c>
      <c r="HA73" s="497" t="n"/>
      <c r="HB73" s="497" t="n"/>
      <c r="HC73" s="497" t="n"/>
      <c r="HD73" s="602">
        <f>IF(AND(GY73:HC73),1,0)</f>
        <v/>
      </c>
      <c r="LB73" s="592" t="n">
        <v>70</v>
      </c>
      <c r="LC73" s="757" t="inlineStr">
        <is>
          <t>X1</t>
        </is>
      </c>
      <c r="LD73" s="724" t="inlineStr">
        <is>
          <t>APS 1_415 VAC _V2</t>
        </is>
      </c>
      <c r="LE73" s="497" t="n"/>
      <c r="LF73" s="724" t="n"/>
      <c r="LG73" s="612">
        <f>LN36</f>
        <v/>
      </c>
      <c r="LH73" s="724" t="n"/>
      <c r="LI73" s="497" t="n"/>
      <c r="LJ73" s="497" t="n"/>
      <c r="LK73" s="593">
        <f>IF(AND(LF73:LJ73),1,0)</f>
        <v/>
      </c>
      <c r="LR73" s="592" t="n">
        <v>70</v>
      </c>
      <c r="LS73" s="497" t="n"/>
      <c r="LT73" s="724" t="inlineStr">
        <is>
          <t>ESAFC</t>
        </is>
      </c>
      <c r="LU73" s="497" t="n"/>
      <c r="LV73" s="724" t="n"/>
      <c r="LW73" s="605">
        <f>MD9</f>
        <v/>
      </c>
      <c r="LX73" s="724">
        <f>MA64</f>
        <v/>
      </c>
      <c r="LY73" s="497">
        <f>MA72</f>
        <v/>
      </c>
      <c r="LZ73" s="497" t="n"/>
      <c r="MA73" s="593">
        <f>IF(AND(LV73:LZ73),1,0)</f>
        <v/>
      </c>
      <c r="MH73" s="592" t="n">
        <v>70</v>
      </c>
      <c r="MI73" s="497" t="n"/>
      <c r="MJ73" s="724" t="inlineStr">
        <is>
          <t>SMRR</t>
        </is>
      </c>
      <c r="MK73" s="497" t="n"/>
      <c r="ML73" s="724" t="n"/>
      <c r="MM73" s="605">
        <f>IF(OR(MT11=1,MT12=1),0,1)</f>
        <v/>
      </c>
      <c r="MN73" s="724" t="n"/>
      <c r="MO73" s="497" t="n"/>
      <c r="MP73" s="497" t="n"/>
      <c r="MQ73" s="593">
        <f>IF(AND(ML73:MP73),1,0)</f>
        <v/>
      </c>
    </row>
    <row r="74" ht="21" customHeight="1">
      <c r="A74" s="590" t="n">
        <v>71</v>
      </c>
      <c r="B74" s="497" t="n"/>
      <c r="C74" s="497" t="n"/>
      <c r="D74" s="497" t="n"/>
      <c r="E74" s="497" t="n"/>
      <c r="F74" s="757">
        <f>J73</f>
        <v/>
      </c>
      <c r="G74" s="592" t="n"/>
      <c r="H74" s="497" t="n"/>
      <c r="I74" s="497" t="n"/>
      <c r="J74" s="593">
        <f>IF(AND(E74:I74),1,0)</f>
        <v/>
      </c>
      <c r="P74" s="592" t="n">
        <v>71</v>
      </c>
      <c r="Q74" s="497" t="n"/>
      <c r="R74" s="757" t="inlineStr">
        <is>
          <t>CMPC3 16A</t>
        </is>
      </c>
      <c r="S74" s="497" t="n"/>
      <c r="T74" s="497" t="n"/>
      <c r="U74" s="613">
        <f>AB22</f>
        <v/>
      </c>
      <c r="V74" s="497">
        <f>Y73</f>
        <v/>
      </c>
      <c r="W74" s="497">
        <f>Y77</f>
        <v/>
      </c>
      <c r="X74" s="497">
        <f>Y80</f>
        <v/>
      </c>
      <c r="Y74" s="593">
        <f>IF(AND(T74:X74),1,0)</f>
        <v/>
      </c>
      <c r="AF74" s="592" t="n">
        <v>71</v>
      </c>
      <c r="AG74" s="599" t="n"/>
      <c r="AH74" s="597" t="n"/>
      <c r="AI74" s="497" t="n"/>
      <c r="AJ74" s="497" t="n"/>
      <c r="AK74" s="609">
        <f>AO73</f>
        <v/>
      </c>
      <c r="AL74" s="497" t="n"/>
      <c r="AM74" s="497" t="n"/>
      <c r="AN74" s="497" t="n"/>
      <c r="AO74" s="593">
        <f>IF(AND(AJ74:AN74),1,0)</f>
        <v/>
      </c>
      <c r="BI74" s="592" t="n">
        <v>71</v>
      </c>
      <c r="BJ74" s="497" t="n"/>
      <c r="BK74" s="497" t="n"/>
      <c r="BL74" s="497" t="n"/>
      <c r="BM74" s="497" t="n"/>
      <c r="BN74" s="598">
        <f>BU11</f>
        <v/>
      </c>
      <c r="BO74" s="497" t="n"/>
      <c r="BP74" s="497" t="n"/>
      <c r="BQ74" s="497" t="n"/>
      <c r="BR74" s="593">
        <f>IF(AND(BM74:BQ74),1,0)</f>
        <v/>
      </c>
      <c r="BX74" s="592" t="n">
        <v>71</v>
      </c>
      <c r="BY74" s="497" t="n"/>
      <c r="BZ74" s="497" t="n"/>
      <c r="CA74" s="497" t="n"/>
      <c r="CB74" s="497" t="n"/>
      <c r="CC74" s="598">
        <f>BU11</f>
        <v/>
      </c>
      <c r="CD74" s="497" t="n"/>
      <c r="CE74" s="497" t="n"/>
      <c r="CF74" s="497" t="n"/>
      <c r="CG74" s="593">
        <f>IF(AND(CB74:CF74),1,0)</f>
        <v/>
      </c>
      <c r="DK74" s="592" t="n">
        <v>71</v>
      </c>
      <c r="DL74" s="626" t="inlineStr">
        <is>
          <t>X6</t>
        </is>
      </c>
      <c r="DM74" s="592" t="n"/>
      <c r="DN74" s="497" t="n"/>
      <c r="DO74" s="497" t="n"/>
      <c r="DP74" s="757">
        <f>IF(OR(DT12,DT20,DT28,DT34),1,0)</f>
        <v/>
      </c>
      <c r="DQ74" s="497" t="n"/>
      <c r="DR74" s="497" t="n"/>
      <c r="DS74" s="497" t="n"/>
      <c r="DT74" s="593">
        <f>IF(AND(DO74:DS74),1,0)</f>
        <v/>
      </c>
      <c r="GF74" s="267" t="n"/>
      <c r="GG74" s="267" t="n"/>
      <c r="GH74" s="267" t="n"/>
      <c r="GI74" s="267" t="n"/>
      <c r="GJ74" s="267" t="n"/>
      <c r="GL74" s="267" t="n"/>
      <c r="GM74" s="267" t="n"/>
      <c r="GN74" s="267" t="n"/>
      <c r="GO74" s="267" t="n"/>
      <c r="GU74" s="592" t="n">
        <v>71</v>
      </c>
      <c r="GV74" s="597" t="n"/>
      <c r="GW74" s="724" t="n"/>
      <c r="GX74" s="497" t="n"/>
      <c r="GY74" s="497" t="n"/>
      <c r="GZ74" s="757">
        <f>HD73</f>
        <v/>
      </c>
      <c r="HA74" s="497" t="n"/>
      <c r="HB74" s="497" t="n"/>
      <c r="HC74" s="497" t="n"/>
      <c r="HD74" s="602">
        <f>IF(AND(GY74:HC74),1,0)</f>
        <v/>
      </c>
      <c r="LB74" s="592" t="n">
        <v>71</v>
      </c>
      <c r="LC74" s="497" t="n"/>
      <c r="LD74" s="724" t="n"/>
      <c r="LE74" s="497" t="n"/>
      <c r="LF74" s="724" t="n"/>
      <c r="LG74" s="724">
        <f>LK73</f>
        <v/>
      </c>
      <c r="LH74" s="724" t="n"/>
      <c r="LI74" s="497" t="n"/>
      <c r="LJ74" s="497" t="n"/>
      <c r="LK74" s="593">
        <f>IF(AND(LF74:LJ74),1,0)</f>
        <v/>
      </c>
      <c r="LR74" s="592" t="n">
        <v>71</v>
      </c>
      <c r="LS74" s="497" t="n"/>
      <c r="LT74" s="724" t="n"/>
      <c r="LU74" s="724" t="n"/>
      <c r="LV74" s="724" t="n"/>
      <c r="LW74" s="612">
        <f>MD10</f>
        <v/>
      </c>
      <c r="LX74" s="724" t="n"/>
      <c r="LY74" s="497" t="n"/>
      <c r="LZ74" s="497" t="n"/>
      <c r="MA74" s="593">
        <f>IF(AND(LV74:LZ74),1,0)</f>
        <v/>
      </c>
      <c r="MH74" s="592" t="n">
        <v>71</v>
      </c>
      <c r="MI74" s="497" t="n"/>
      <c r="MJ74" s="724" t="n"/>
      <c r="MK74" s="497" t="n"/>
      <c r="ML74" s="724" t="n"/>
      <c r="MM74" s="612" t="n">
        <v>1</v>
      </c>
      <c r="MN74" s="724" t="n"/>
      <c r="MO74" s="497" t="n"/>
      <c r="MP74" s="497" t="n"/>
      <c r="MQ74" s="593">
        <f>IF(AND(ML74:MP74),1,0)</f>
        <v/>
      </c>
    </row>
    <row r="75" ht="51.75" customHeight="1">
      <c r="A75" s="590" t="n">
        <v>72</v>
      </c>
      <c r="B75" s="497" t="n"/>
      <c r="C75" s="497" t="n"/>
      <c r="D75" s="497" t="n"/>
      <c r="E75" s="497" t="n"/>
      <c r="F75" s="757">
        <f>J74</f>
        <v/>
      </c>
      <c r="G75" s="592" t="n"/>
      <c r="H75" s="497" t="n"/>
      <c r="I75" s="497" t="n"/>
      <c r="J75" s="593">
        <f>IF(AND(E75:I75),1,0)</f>
        <v/>
      </c>
      <c r="P75" s="592" t="n">
        <v>72</v>
      </c>
      <c r="Q75" s="497" t="n"/>
      <c r="R75" s="592" t="n"/>
      <c r="S75" s="497" t="n"/>
      <c r="T75" s="497" t="n"/>
      <c r="U75" s="757">
        <f>Y74</f>
        <v/>
      </c>
      <c r="V75" s="497" t="n"/>
      <c r="W75" s="497" t="n"/>
      <c r="X75" s="497" t="n"/>
      <c r="Y75" s="593">
        <f>IF(AND(T75:X75),1,0)</f>
        <v/>
      </c>
      <c r="AF75" s="592" t="n">
        <v>72</v>
      </c>
      <c r="AG75" s="599" t="n"/>
      <c r="AH75" s="757" t="inlineStr">
        <is>
          <t>CMPC3 16A</t>
        </is>
      </c>
      <c r="AI75" s="497" t="n"/>
      <c r="AJ75" s="497" t="n"/>
      <c r="AK75" s="604">
        <f>AB20</f>
        <v/>
      </c>
      <c r="AL75" s="497">
        <f>AO74</f>
        <v/>
      </c>
      <c r="AM75" s="497" t="n"/>
      <c r="AN75" s="497" t="n"/>
      <c r="AO75" s="593">
        <f>IF(AND(AJ75:AN75),1,0)</f>
        <v/>
      </c>
      <c r="BI75" s="592" t="n">
        <v>72</v>
      </c>
      <c r="BJ75" s="497" t="n"/>
      <c r="BK75" s="497" t="n"/>
      <c r="BL75" s="497" t="n"/>
      <c r="BM75" s="497" t="n"/>
      <c r="BN75" s="592">
        <f>BR74</f>
        <v/>
      </c>
      <c r="BO75" s="497" t="n"/>
      <c r="BP75" s="497" t="n"/>
      <c r="BQ75" s="497" t="n"/>
      <c r="BR75" s="593">
        <f>IF(AND(BM75:BQ75),1,0)</f>
        <v/>
      </c>
      <c r="BX75" s="592" t="n">
        <v>72</v>
      </c>
      <c r="BY75" s="497" t="n"/>
      <c r="BZ75" s="497" t="n"/>
      <c r="CA75" s="497" t="n"/>
      <c r="CB75" s="497" t="n"/>
      <c r="CC75" s="592">
        <f>CG74</f>
        <v/>
      </c>
      <c r="CD75" s="497" t="n"/>
      <c r="CE75" s="497" t="n"/>
      <c r="CF75" s="497" t="n"/>
      <c r="CG75" s="593">
        <f>IF(AND(CB75:CF75),1,0)</f>
        <v/>
      </c>
      <c r="DK75" s="592" t="n">
        <v>72</v>
      </c>
      <c r="DL75" s="627" t="inlineStr">
        <is>
          <t>X7</t>
        </is>
      </c>
      <c r="DM75" s="592" t="n"/>
      <c r="DN75" s="497" t="n"/>
      <c r="DO75" s="497" t="n"/>
      <c r="DP75" s="757">
        <f>IF(OR(DT41,DT46,DT54,DT60,DT69),1,0)</f>
        <v/>
      </c>
      <c r="DQ75" s="497" t="n"/>
      <c r="DR75" s="497" t="n"/>
      <c r="DS75" s="497" t="n"/>
      <c r="DT75" s="593">
        <f>IF(AND(DO75:DS75),1,0)</f>
        <v/>
      </c>
      <c r="GF75" s="267" t="n"/>
      <c r="GG75" s="267" t="n"/>
      <c r="GH75" s="267" t="n"/>
      <c r="GI75" s="267" t="n"/>
      <c r="GJ75" s="267" t="n"/>
      <c r="GL75" s="267" t="n"/>
      <c r="GM75" s="267" t="n"/>
      <c r="GN75" s="267" t="n"/>
      <c r="GO75" s="267" t="n"/>
      <c r="GU75" s="592" t="n">
        <v>72</v>
      </c>
      <c r="GV75" s="597" t="n"/>
      <c r="GW75" s="724" t="n"/>
      <c r="GX75" s="497" t="n"/>
      <c r="GY75" s="497" t="n"/>
      <c r="GZ75" s="757">
        <f>HD74</f>
        <v/>
      </c>
      <c r="HA75" s="497" t="n"/>
      <c r="HB75" s="497" t="n"/>
      <c r="HC75" s="497" t="n"/>
      <c r="HD75" s="602">
        <f>IF(AND(GY75:HC75),1,0)</f>
        <v/>
      </c>
      <c r="LB75" s="592" t="n">
        <v>72</v>
      </c>
      <c r="LC75" s="497" t="n"/>
      <c r="LD75" s="724" t="n"/>
      <c r="LE75" s="497" t="n"/>
      <c r="LF75" s="724" t="n"/>
      <c r="LG75" s="724">
        <f>LK74</f>
        <v/>
      </c>
      <c r="LH75" s="724" t="n"/>
      <c r="LI75" s="497" t="n"/>
      <c r="LJ75" s="497" t="n"/>
      <c r="LK75" s="593">
        <f>IF(AND(LF75:LJ75),1,0)</f>
        <v/>
      </c>
      <c r="LR75" s="592" t="n">
        <v>72</v>
      </c>
      <c r="LS75" s="497" t="n"/>
      <c r="LT75" s="724" t="n"/>
      <c r="LU75" s="724" t="n"/>
      <c r="LV75" s="724" t="n"/>
      <c r="LW75" s="612">
        <f>MA74</f>
        <v/>
      </c>
      <c r="LX75" s="724" t="n"/>
      <c r="LY75" s="497" t="n"/>
      <c r="LZ75" s="497" t="n"/>
      <c r="MA75" s="593">
        <f>IF(AND(LV75:LZ75),1,0)</f>
        <v/>
      </c>
      <c r="MH75" s="592" t="n">
        <v>72</v>
      </c>
      <c r="MI75" s="497" t="n"/>
      <c r="MJ75" s="724" t="n"/>
      <c r="MK75" s="497" t="n"/>
      <c r="ML75" s="724" t="n"/>
      <c r="MM75" s="724">
        <f>MQ76</f>
        <v/>
      </c>
      <c r="MN75" s="724" t="n"/>
      <c r="MO75" s="497" t="n"/>
      <c r="MP75" s="497" t="n"/>
      <c r="MQ75" s="593">
        <f>IF(AND(ML75:MP75),1,0)</f>
        <v/>
      </c>
    </row>
    <row r="76">
      <c r="A76" s="590" t="n">
        <v>73</v>
      </c>
      <c r="B76" s="497" t="n"/>
      <c r="C76" s="497" t="n"/>
      <c r="D76" s="497" t="n"/>
      <c r="E76" s="497" t="n"/>
      <c r="F76" s="591">
        <f>M14</f>
        <v/>
      </c>
      <c r="G76" s="592" t="n"/>
      <c r="H76" s="497" t="n"/>
      <c r="I76" s="497" t="n"/>
      <c r="J76" s="593">
        <f>IF(AND(E76:I76),1,0)</f>
        <v/>
      </c>
      <c r="P76" s="592" t="n">
        <v>73</v>
      </c>
      <c r="Q76" s="497" t="n"/>
      <c r="R76" s="592" t="n"/>
      <c r="S76" s="497" t="n"/>
      <c r="T76" s="497" t="n"/>
      <c r="U76" s="757">
        <f>Y37</f>
        <v/>
      </c>
      <c r="V76" s="497" t="n"/>
      <c r="W76" s="497" t="n"/>
      <c r="X76" s="497" t="n"/>
      <c r="Y76" s="593">
        <f>IF(AND(T76:X76),1,0)</f>
        <v/>
      </c>
      <c r="AF76" s="592" t="n">
        <v>73</v>
      </c>
      <c r="AG76" s="599" t="n"/>
      <c r="AH76" s="597" t="n"/>
      <c r="AI76" s="497" t="n"/>
      <c r="AJ76" s="497" t="n"/>
      <c r="AK76" s="609">
        <f>AO75</f>
        <v/>
      </c>
      <c r="AL76" s="497" t="n"/>
      <c r="AM76" s="497" t="n"/>
      <c r="AN76" s="497" t="n"/>
      <c r="AO76" s="593">
        <f>IF(AND(AJ76:AN76),1,0)</f>
        <v/>
      </c>
      <c r="BI76" s="592" t="n">
        <v>73</v>
      </c>
      <c r="BJ76" s="497" t="n"/>
      <c r="BK76" s="497" t="n"/>
      <c r="BL76" s="497" t="n"/>
      <c r="BM76" s="497" t="n"/>
      <c r="BN76" s="609">
        <f>BR75</f>
        <v/>
      </c>
      <c r="BO76" s="497" t="n"/>
      <c r="BP76" s="497" t="n"/>
      <c r="BQ76" s="497" t="n"/>
      <c r="BR76" s="593">
        <f>IF(AND(BM76:BQ76),1,0)</f>
        <v/>
      </c>
      <c r="BX76" s="592" t="n">
        <v>73</v>
      </c>
      <c r="BY76" s="497" t="n"/>
      <c r="BZ76" s="497" t="n"/>
      <c r="CA76" s="497" t="n"/>
      <c r="CB76" s="497" t="n"/>
      <c r="CC76" s="609">
        <f>CG75</f>
        <v/>
      </c>
      <c r="CD76" s="497" t="n"/>
      <c r="CE76" s="497" t="n"/>
      <c r="CF76" s="497" t="n"/>
      <c r="CG76" s="593">
        <f>IF(AND(CB76:CF76),1,0)</f>
        <v/>
      </c>
      <c r="DP76" s="742" t="n"/>
      <c r="GU76" s="592" t="n">
        <v>73</v>
      </c>
      <c r="GV76" s="597" t="n"/>
      <c r="GW76" s="724" t="inlineStr">
        <is>
          <t>24 V (HEC)</t>
        </is>
      </c>
      <c r="GX76" s="497" t="n"/>
      <c r="GY76" s="497" t="n"/>
      <c r="GZ76" s="600">
        <f>HG16</f>
        <v/>
      </c>
      <c r="HA76" s="497" t="n"/>
      <c r="HB76" s="497" t="n"/>
      <c r="HC76" s="497" t="n"/>
      <c r="HD76" s="602">
        <f>IF(AND(GY76:HC76),1,0)</f>
        <v/>
      </c>
      <c r="LB76" s="592" t="n">
        <v>73</v>
      </c>
      <c r="LC76" s="497" t="n"/>
      <c r="LD76" s="724" t="n"/>
      <c r="LE76" s="497" t="n"/>
      <c r="LF76" s="724" t="n"/>
      <c r="LG76" s="724">
        <f>LK101</f>
        <v/>
      </c>
      <c r="LH76" s="724" t="n"/>
      <c r="LI76" s="497" t="n"/>
      <c r="LJ76" s="497" t="n"/>
      <c r="LK76" s="593">
        <f>IF(AND(LF76:LJ76),1,0)</f>
        <v/>
      </c>
      <c r="LR76" s="592" t="n">
        <v>73</v>
      </c>
      <c r="LS76" s="497" t="n"/>
      <c r="LT76" s="724" t="n"/>
      <c r="LU76" s="724" t="n"/>
      <c r="LV76" s="724" t="n"/>
      <c r="LW76" s="612">
        <f>MA75</f>
        <v/>
      </c>
      <c r="LX76" s="724" t="n"/>
      <c r="LY76" s="497" t="n"/>
      <c r="LZ76" s="497" t="n"/>
      <c r="MA76" s="593">
        <f>IF(AND(LV76:LZ76),1,0)</f>
        <v/>
      </c>
      <c r="MH76" s="592" t="n">
        <v>73</v>
      </c>
      <c r="MI76" s="497" t="n"/>
      <c r="MJ76" s="724" t="inlineStr">
        <is>
          <t>SMDR</t>
        </is>
      </c>
      <c r="MK76" s="497" t="n"/>
      <c r="ML76" s="724" t="n"/>
      <c r="MM76" s="605">
        <f>IF(OR('DATA TRANSFER'!M12),1,0)</f>
        <v/>
      </c>
      <c r="MN76" s="724" t="n"/>
      <c r="MO76" s="497" t="n"/>
      <c r="MP76" s="497" t="n"/>
      <c r="MQ76" s="593">
        <f>IF(AND(ML76:MP76),1,0)</f>
        <v/>
      </c>
    </row>
    <row r="77">
      <c r="A77" s="590" t="n">
        <v>74</v>
      </c>
      <c r="B77" s="497" t="n"/>
      <c r="C77" s="497" t="n"/>
      <c r="D77" s="497" t="n"/>
      <c r="E77" s="497" t="n"/>
      <c r="F77" s="757">
        <f>J76</f>
        <v/>
      </c>
      <c r="G77" s="592" t="n"/>
      <c r="H77" s="497" t="n"/>
      <c r="I77" s="497" t="n"/>
      <c r="J77" s="593">
        <f>IF(AND(E77:I77),1,0)</f>
        <v/>
      </c>
      <c r="P77" s="592" t="n">
        <v>74</v>
      </c>
      <c r="Q77" s="497" t="n"/>
      <c r="R77" s="592" t="n"/>
      <c r="S77" s="497" t="n"/>
      <c r="T77" s="497" t="n"/>
      <c r="U77" s="757">
        <f>Y72</f>
        <v/>
      </c>
      <c r="V77" s="497">
        <f>Y76</f>
        <v/>
      </c>
      <c r="W77" s="497" t="n"/>
      <c r="X77" s="497" t="n"/>
      <c r="Y77" s="593">
        <f>IF(AND(T77:X77),1,0)</f>
        <v/>
      </c>
      <c r="AF77" s="592" t="n">
        <v>74</v>
      </c>
      <c r="AG77" s="599" t="n"/>
      <c r="AH77" s="597" t="n"/>
      <c r="AI77" s="497" t="n"/>
      <c r="AJ77" s="497" t="n"/>
      <c r="AK77" s="609">
        <f>AO38</f>
        <v/>
      </c>
      <c r="AL77" s="497" t="n"/>
      <c r="AM77" s="497" t="n"/>
      <c r="AN77" s="497" t="n"/>
      <c r="AO77" s="593">
        <f>IF(AND(AJ77:AN77),1,0)</f>
        <v/>
      </c>
      <c r="BI77" s="592" t="n">
        <v>74</v>
      </c>
      <c r="BJ77" s="497" t="n"/>
      <c r="BK77" s="497" t="n"/>
      <c r="BL77" s="497" t="n"/>
      <c r="BM77" s="497" t="n"/>
      <c r="BN77" s="592">
        <f>BR76</f>
        <v/>
      </c>
      <c r="BO77" s="497" t="n"/>
      <c r="BP77" s="497" t="n"/>
      <c r="BQ77" s="497" t="n"/>
      <c r="BR77" s="593">
        <f>IF(AND(BM77:BQ77),1,0)</f>
        <v/>
      </c>
      <c r="BX77" s="592" t="n">
        <v>74</v>
      </c>
      <c r="BY77" s="497" t="n"/>
      <c r="BZ77" s="497" t="n"/>
      <c r="CA77" s="497" t="n"/>
      <c r="CB77" s="497" t="n"/>
      <c r="CC77" s="592">
        <f>CG76</f>
        <v/>
      </c>
      <c r="CD77" s="497" t="n"/>
      <c r="CE77" s="497" t="n"/>
      <c r="CF77" s="497" t="n"/>
      <c r="CG77" s="593">
        <f>IF(AND(CB77:CF77),1,0)</f>
        <v/>
      </c>
      <c r="DP77" s="742" t="n"/>
      <c r="GU77" s="592" t="n">
        <v>74</v>
      </c>
      <c r="GV77" s="597" t="n"/>
      <c r="GW77" s="724" t="n"/>
      <c r="GX77" s="497" t="n"/>
      <c r="GY77" s="497" t="n"/>
      <c r="GZ77" s="757">
        <f>HD76</f>
        <v/>
      </c>
      <c r="HA77" s="497" t="n"/>
      <c r="HB77" s="497" t="n"/>
      <c r="HC77" s="497" t="n"/>
      <c r="HD77" s="602">
        <f>IF(AND(GY77:HC77),1,0)</f>
        <v/>
      </c>
      <c r="LB77" s="592" t="n">
        <v>74</v>
      </c>
      <c r="LC77" s="497" t="n"/>
      <c r="LD77" s="724" t="n"/>
      <c r="LE77" s="497" t="n"/>
      <c r="LF77" s="724" t="n"/>
      <c r="LG77" s="724">
        <f>LK103</f>
        <v/>
      </c>
      <c r="LH77" s="724" t="n"/>
      <c r="LI77" s="497" t="n"/>
      <c r="LJ77" s="497" t="n"/>
      <c r="LK77" s="593">
        <f>IF(AND(LF77:LJ77),1,0)</f>
        <v/>
      </c>
      <c r="LR77" s="592" t="n">
        <v>74</v>
      </c>
      <c r="LS77" s="497" t="n"/>
      <c r="LT77" s="724" t="n"/>
      <c r="LU77" s="724" t="n"/>
      <c r="LV77" s="724" t="n"/>
      <c r="LW77" s="612">
        <f>MA76</f>
        <v/>
      </c>
      <c r="LX77" s="724" t="n"/>
      <c r="LY77" s="497" t="n"/>
      <c r="LZ77" s="497" t="n"/>
      <c r="MA77" s="593">
        <f>IF(AND(LV77:LZ77),1,0)</f>
        <v/>
      </c>
      <c r="MH77" s="592" t="n">
        <v>74</v>
      </c>
      <c r="MI77" s="497" t="n"/>
      <c r="MJ77" s="724" t="n"/>
      <c r="MK77" s="497" t="n"/>
      <c r="ML77" s="724" t="n"/>
      <c r="MM77" s="612" t="n">
        <v>1</v>
      </c>
      <c r="MN77" s="724" t="n"/>
      <c r="MO77" s="497" t="n"/>
      <c r="MP77" s="497" t="n"/>
      <c r="MQ77" s="593">
        <f>IF(AND(ML77:MP77),1,0)</f>
        <v/>
      </c>
    </row>
    <row r="78">
      <c r="A78" s="590" t="n">
        <v>75</v>
      </c>
      <c r="B78" s="497" t="n"/>
      <c r="C78" s="497" t="n"/>
      <c r="D78" s="497" t="n"/>
      <c r="E78" s="497" t="n"/>
      <c r="F78" s="757">
        <f>J77</f>
        <v/>
      </c>
      <c r="G78" s="592" t="n"/>
      <c r="H78" s="497" t="n"/>
      <c r="I78" s="497" t="n"/>
      <c r="J78" s="593">
        <f>IF(AND(E78:I78),1,0)</f>
        <v/>
      </c>
      <c r="P78" s="592" t="n">
        <v>75</v>
      </c>
      <c r="Q78" s="497" t="n"/>
      <c r="R78" s="592" t="n"/>
      <c r="S78" s="497" t="n"/>
      <c r="T78" s="497" t="n"/>
      <c r="U78" s="757">
        <f>Y74</f>
        <v/>
      </c>
      <c r="V78" s="497" t="n"/>
      <c r="W78" s="497" t="n"/>
      <c r="X78" s="497" t="n"/>
      <c r="Y78" s="593">
        <f>IF(AND(T78:X78),1,0)</f>
        <v/>
      </c>
      <c r="AF78" s="592" t="n">
        <v>75</v>
      </c>
      <c r="AG78" s="599" t="n"/>
      <c r="AH78" s="597" t="n"/>
      <c r="AI78" s="497" t="n"/>
      <c r="AJ78" s="497" t="n"/>
      <c r="AK78" s="609">
        <f>AO73</f>
        <v/>
      </c>
      <c r="AL78" s="497">
        <f>AO77</f>
        <v/>
      </c>
      <c r="AM78" s="497" t="n"/>
      <c r="AN78" s="497" t="n"/>
      <c r="AO78" s="593">
        <f>IF(AND(AJ78:AN78),1,0)</f>
        <v/>
      </c>
      <c r="BI78" s="592" t="n">
        <v>75</v>
      </c>
      <c r="BJ78" s="497" t="n"/>
      <c r="BK78" s="497" t="n"/>
      <c r="BL78" s="497" t="n"/>
      <c r="BM78" s="497" t="n"/>
      <c r="BN78" s="598">
        <f>BU11</f>
        <v/>
      </c>
      <c r="BO78" s="497" t="n"/>
      <c r="BP78" s="497" t="n"/>
      <c r="BQ78" s="497" t="n"/>
      <c r="BR78" s="593">
        <f>IF(AND(BM78:BQ78),1,0)</f>
        <v/>
      </c>
      <c r="BX78" s="592" t="n">
        <v>75</v>
      </c>
      <c r="BY78" s="497" t="n"/>
      <c r="BZ78" s="497" t="n"/>
      <c r="CA78" s="497" t="n"/>
      <c r="CB78" s="497" t="n"/>
      <c r="CC78" s="598">
        <f>BU11</f>
        <v/>
      </c>
      <c r="CD78" s="497" t="n"/>
      <c r="CE78" s="497" t="n"/>
      <c r="CF78" s="497" t="n"/>
      <c r="CG78" s="593">
        <f>IF(AND(CB78:CF78),1,0)</f>
        <v/>
      </c>
      <c r="DP78" s="742" t="n"/>
      <c r="GU78" s="592" t="n">
        <v>75</v>
      </c>
      <c r="GV78" s="597" t="n"/>
      <c r="GW78" s="724" t="n"/>
      <c r="GX78" s="497" t="n"/>
      <c r="GY78" s="497" t="n"/>
      <c r="GZ78" s="757">
        <f>HD77</f>
        <v/>
      </c>
      <c r="HA78" s="497" t="n"/>
      <c r="HB78" s="497" t="n"/>
      <c r="HC78" s="497" t="n"/>
      <c r="HD78" s="602">
        <f>IF(AND(GY78:HC78),1,0)</f>
        <v/>
      </c>
      <c r="LB78" s="592" t="n">
        <v>75</v>
      </c>
      <c r="LC78" s="497" t="n"/>
      <c r="LD78" s="724" t="n"/>
      <c r="LE78" s="497" t="n"/>
      <c r="LF78" s="724" t="n"/>
      <c r="LG78" s="724">
        <f>LK74</f>
        <v/>
      </c>
      <c r="LH78" s="724" t="n"/>
      <c r="LI78" s="497" t="n"/>
      <c r="LJ78" s="497" t="n"/>
      <c r="LK78" s="593">
        <f>IF(AND(LF78:LJ78),1,0)</f>
        <v/>
      </c>
      <c r="LR78" s="592" t="n">
        <v>75</v>
      </c>
      <c r="LS78" s="497" t="n"/>
      <c r="LT78" s="724" t="n"/>
      <c r="LU78" s="724" t="n"/>
      <c r="LV78" s="724" t="n"/>
      <c r="LW78" s="612">
        <f>MA77</f>
        <v/>
      </c>
      <c r="LX78" s="724" t="n"/>
      <c r="LY78" s="497" t="n"/>
      <c r="LZ78" s="497" t="n"/>
      <c r="MA78" s="593">
        <f>IF(AND(LV78:LZ78),1,0)</f>
        <v/>
      </c>
      <c r="MH78" s="592" t="n">
        <v>75</v>
      </c>
      <c r="MI78" s="497" t="n"/>
      <c r="MJ78" s="724" t="inlineStr">
        <is>
          <t>SMDR</t>
        </is>
      </c>
      <c r="MK78" s="497" t="n"/>
      <c r="ML78" s="724" t="n"/>
      <c r="MM78" s="605">
        <f>IF(OR('DATA TRANSFER'!M12),1,0)</f>
        <v/>
      </c>
      <c r="MN78" s="724" t="n"/>
      <c r="MO78" s="497" t="n"/>
      <c r="MP78" s="497" t="n"/>
      <c r="MQ78" s="593">
        <f>IF(AND(ML78:MP78),1,0)</f>
        <v/>
      </c>
    </row>
    <row r="79">
      <c r="A79" s="590" t="n">
        <v>76</v>
      </c>
      <c r="B79" s="497" t="n"/>
      <c r="C79" s="757" t="inlineStr">
        <is>
          <t>TERMOSTAT 2</t>
        </is>
      </c>
      <c r="D79" s="497" t="n"/>
      <c r="E79" s="497" t="n"/>
      <c r="F79" s="613">
        <f>M12</f>
        <v/>
      </c>
      <c r="G79" s="592">
        <f>J78</f>
        <v/>
      </c>
      <c r="H79" s="497" t="n"/>
      <c r="I79" s="497" t="n"/>
      <c r="J79" s="593">
        <f>IF(AND(E79:I79),1,0)</f>
        <v/>
      </c>
      <c r="P79" s="592" t="n">
        <v>76</v>
      </c>
      <c r="Q79" s="497" t="n"/>
      <c r="R79" s="592" t="n"/>
      <c r="S79" s="497" t="n"/>
      <c r="T79" s="497" t="n"/>
      <c r="U79" s="757">
        <f>Y40</f>
        <v/>
      </c>
      <c r="V79" s="497" t="n"/>
      <c r="W79" s="497" t="n"/>
      <c r="X79" s="497" t="n"/>
      <c r="Y79" s="593">
        <f>IF(AND(T79:X79),1,0)</f>
        <v/>
      </c>
      <c r="AF79" s="592" t="n">
        <v>76</v>
      </c>
      <c r="AG79" s="599" t="n"/>
      <c r="AH79" s="597" t="n"/>
      <c r="AI79" s="497" t="n"/>
      <c r="AJ79" s="497" t="n"/>
      <c r="AK79" s="609">
        <f>AO75</f>
        <v/>
      </c>
      <c r="AL79" s="497">
        <f>AO78</f>
        <v/>
      </c>
      <c r="AM79" s="497" t="n"/>
      <c r="AN79" s="497" t="n"/>
      <c r="AO79" s="593">
        <f>IF(AND(AJ79:AN79),1,0)</f>
        <v/>
      </c>
      <c r="BI79" s="592" t="n">
        <v>76</v>
      </c>
      <c r="BJ79" s="497" t="n"/>
      <c r="BK79" s="497" t="n"/>
      <c r="BL79" s="497" t="n"/>
      <c r="BM79" s="497" t="n"/>
      <c r="BN79" s="592">
        <f>BR78</f>
        <v/>
      </c>
      <c r="BO79" s="497" t="n"/>
      <c r="BP79" s="497" t="n"/>
      <c r="BQ79" s="497" t="n"/>
      <c r="BR79" s="593">
        <f>IF(AND(BM79:BQ79),1,0)</f>
        <v/>
      </c>
      <c r="BX79" s="592" t="n">
        <v>76</v>
      </c>
      <c r="BY79" s="497" t="n"/>
      <c r="BZ79" s="497" t="n"/>
      <c r="CA79" s="497" t="n"/>
      <c r="CB79" s="497" t="n"/>
      <c r="CC79" s="592">
        <f>CG78</f>
        <v/>
      </c>
      <c r="CD79" s="497" t="n"/>
      <c r="CE79" s="497" t="n"/>
      <c r="CF79" s="497" t="n"/>
      <c r="CG79" s="593">
        <f>IF(AND(CB79:CF79),1,0)</f>
        <v/>
      </c>
      <c r="DP79" s="742" t="n"/>
      <c r="GU79" s="592" t="n">
        <v>76</v>
      </c>
      <c r="GV79" s="597" t="n"/>
      <c r="GW79" s="724" t="n"/>
      <c r="GX79" s="497" t="n"/>
      <c r="GY79" s="497" t="n"/>
      <c r="GZ79" s="757">
        <f>HD78</f>
        <v/>
      </c>
      <c r="HA79" s="497" t="n"/>
      <c r="HB79" s="497" t="n"/>
      <c r="HC79" s="497" t="n"/>
      <c r="HD79" s="602">
        <f>IF(AND(GY79:HC79),1,0)</f>
        <v/>
      </c>
      <c r="LB79" s="592" t="n">
        <v>76</v>
      </c>
      <c r="LC79" s="497" t="n"/>
      <c r="LD79" s="724" t="n"/>
      <c r="LE79" s="497" t="n"/>
      <c r="LF79" s="724" t="n"/>
      <c r="LG79" s="724">
        <f>LK106</f>
        <v/>
      </c>
      <c r="LH79" s="724" t="n"/>
      <c r="LI79" s="497" t="n"/>
      <c r="LJ79" s="497" t="n"/>
      <c r="LK79" s="593">
        <f>IF(AND(LF79:LJ79),1,0)</f>
        <v/>
      </c>
      <c r="LR79" s="592" t="n">
        <v>76</v>
      </c>
      <c r="LS79" s="497" t="n"/>
      <c r="LT79" s="724" t="n"/>
      <c r="LU79" s="724" t="n"/>
      <c r="LV79" s="724" t="n"/>
      <c r="LW79" s="612">
        <f>MA78</f>
        <v/>
      </c>
      <c r="LX79" s="724" t="n"/>
      <c r="LY79" s="497" t="n"/>
      <c r="LZ79" s="497" t="n"/>
      <c r="MA79" s="593">
        <f>IF(AND(LV79:LZ79),1,0)</f>
        <v/>
      </c>
      <c r="MH79" s="592" t="n">
        <v>76</v>
      </c>
      <c r="MI79" s="497" t="n"/>
      <c r="MJ79" s="724" t="n"/>
      <c r="MK79" s="497" t="n"/>
      <c r="ML79" s="724" t="n"/>
      <c r="MM79" s="724">
        <f>MQ78</f>
        <v/>
      </c>
      <c r="MN79" s="724" t="n"/>
      <c r="MO79" s="497" t="n"/>
      <c r="MP79" s="497" t="n"/>
      <c r="MQ79" s="593">
        <f>IF(AND(ML79:MP79),1,0)</f>
        <v/>
      </c>
    </row>
    <row r="80">
      <c r="A80" s="590" t="n">
        <v>77</v>
      </c>
      <c r="B80" s="497" t="n"/>
      <c r="C80" s="497" t="n"/>
      <c r="D80" s="497" t="n"/>
      <c r="E80" s="497" t="n"/>
      <c r="F80" s="757">
        <f>J79</f>
        <v/>
      </c>
      <c r="G80" s="592" t="n"/>
      <c r="H80" s="497" t="n"/>
      <c r="I80" s="497" t="n"/>
      <c r="J80" s="593">
        <f>IF(AND(E80:I80),1,0)</f>
        <v/>
      </c>
      <c r="P80" s="592" t="n">
        <v>77</v>
      </c>
      <c r="Q80" s="497" t="n"/>
      <c r="R80" s="592" t="n"/>
      <c r="S80" s="497" t="n"/>
      <c r="T80" s="497" t="n"/>
      <c r="U80" s="757">
        <f>Y72</f>
        <v/>
      </c>
      <c r="V80" s="497">
        <f>Y79</f>
        <v/>
      </c>
      <c r="W80" s="497" t="n"/>
      <c r="X80" s="497" t="n"/>
      <c r="Y80" s="593">
        <f>IF(AND(T80:X80),1,0)</f>
        <v/>
      </c>
      <c r="AF80" s="592" t="n">
        <v>77</v>
      </c>
      <c r="AG80" s="599" t="n"/>
      <c r="AH80" s="597" t="n"/>
      <c r="AI80" s="497" t="n"/>
      <c r="AJ80" s="497" t="n"/>
      <c r="AK80" s="609">
        <f>AO41</f>
        <v/>
      </c>
      <c r="AL80" s="497" t="n"/>
      <c r="AM80" s="497" t="n"/>
      <c r="AN80" s="497" t="n"/>
      <c r="AO80" s="593">
        <f>IF(AND(AJ80:AN80),1,0)</f>
        <v/>
      </c>
      <c r="BI80" s="592" t="n">
        <v>77</v>
      </c>
      <c r="BJ80" s="497" t="n"/>
      <c r="BK80" s="497" t="n"/>
      <c r="BL80" s="497" t="n"/>
      <c r="BM80" s="497" t="n"/>
      <c r="BN80" s="609">
        <f>BR79</f>
        <v/>
      </c>
      <c r="BO80" s="497" t="n"/>
      <c r="BP80" s="497" t="n"/>
      <c r="BQ80" s="497" t="n"/>
      <c r="BR80" s="593">
        <f>IF(AND(BM80:BQ80),1,0)</f>
        <v/>
      </c>
      <c r="BX80" s="592" t="n">
        <v>77</v>
      </c>
      <c r="BY80" s="497" t="n"/>
      <c r="BZ80" s="497" t="n"/>
      <c r="CA80" s="497" t="n"/>
      <c r="CB80" s="497" t="n"/>
      <c r="CC80" s="609">
        <f>CG79</f>
        <v/>
      </c>
      <c r="CD80" s="497" t="n"/>
      <c r="CE80" s="497" t="n"/>
      <c r="CF80" s="497" t="n"/>
      <c r="CG80" s="593">
        <f>IF(AND(CB80:CF80),1,0)</f>
        <v/>
      </c>
      <c r="DP80" s="742" t="n"/>
      <c r="GU80" s="592" t="n">
        <v>77</v>
      </c>
      <c r="GV80" s="597" t="n"/>
      <c r="GW80" s="724" t="n"/>
      <c r="GX80" s="497" t="n"/>
      <c r="GY80" s="497" t="n"/>
      <c r="GZ80" s="757">
        <f>HD79</f>
        <v/>
      </c>
      <c r="HA80" s="497" t="n"/>
      <c r="HB80" s="497" t="n"/>
      <c r="HC80" s="497" t="n"/>
      <c r="HD80" s="602">
        <f>IF(AND(GY80:HC80),1,0)</f>
        <v/>
      </c>
      <c r="LB80" s="592" t="n">
        <v>77</v>
      </c>
      <c r="LC80" s="497" t="n"/>
      <c r="LD80" s="724" t="n"/>
      <c r="LE80" s="497" t="n"/>
      <c r="LF80" s="724" t="n"/>
      <c r="LG80" s="724">
        <f>LK106</f>
        <v/>
      </c>
      <c r="LH80" s="724" t="n"/>
      <c r="LI80" s="497" t="n"/>
      <c r="LJ80" s="497" t="n"/>
      <c r="LK80" s="593">
        <f>IF(AND(LF80:LJ80),1,0)</f>
        <v/>
      </c>
      <c r="LR80" s="592" t="n">
        <v>77</v>
      </c>
      <c r="LS80" s="497" t="n"/>
      <c r="LT80" s="724" t="n"/>
      <c r="LU80" s="724" t="n"/>
      <c r="LV80" s="724" t="n"/>
      <c r="LW80" s="724">
        <f>MA79</f>
        <v/>
      </c>
      <c r="LX80" s="724" t="n"/>
      <c r="LY80" s="497" t="n"/>
      <c r="LZ80" s="497" t="n"/>
      <c r="MA80" s="593">
        <f>IF(AND(LV80:LZ80),1,0)</f>
        <v/>
      </c>
      <c r="MH80" s="592" t="n">
        <v>77</v>
      </c>
      <c r="MI80" s="497" t="n"/>
      <c r="MJ80" s="724" t="inlineStr">
        <is>
          <t>FADR</t>
        </is>
      </c>
      <c r="MK80" s="497" t="n"/>
      <c r="ML80" s="724" t="n"/>
      <c r="MM80" s="605">
        <f>MT13</f>
        <v/>
      </c>
      <c r="MN80" s="724" t="n"/>
      <c r="MO80" s="497" t="n"/>
      <c r="MP80" s="497" t="n"/>
      <c r="MQ80" s="593">
        <f>IF(AND(ML80:MP80),1,0)</f>
        <v/>
      </c>
    </row>
    <row r="81" ht="15" customHeight="1">
      <c r="F81" s="742" t="n"/>
      <c r="G81" s="742" t="n"/>
      <c r="P81" s="592" t="n">
        <v>78</v>
      </c>
      <c r="Q81" s="497" t="n"/>
      <c r="R81" s="592" t="n"/>
      <c r="S81" s="497" t="n"/>
      <c r="T81" s="497" t="n"/>
      <c r="U81" s="757">
        <f>Y74</f>
        <v/>
      </c>
      <c r="V81" s="497" t="n"/>
      <c r="W81" s="497" t="n"/>
      <c r="X81" s="497" t="n"/>
      <c r="Y81" s="593">
        <f>IF(AND(T81:X81),1,0)</f>
        <v/>
      </c>
      <c r="AF81" s="592" t="n">
        <v>78</v>
      </c>
      <c r="AG81" s="599" t="n"/>
      <c r="AH81" s="597" t="n"/>
      <c r="AI81" s="497" t="n"/>
      <c r="AJ81" s="497" t="n"/>
      <c r="AK81" s="609">
        <f>AO73</f>
        <v/>
      </c>
      <c r="AL81" s="592">
        <f>AO80</f>
        <v/>
      </c>
      <c r="AM81" s="497" t="n"/>
      <c r="AN81" s="497" t="n"/>
      <c r="AO81" s="593">
        <f>IF(AND(AJ81:AN81),1,0)</f>
        <v/>
      </c>
      <c r="BI81" s="592" t="n">
        <v>78</v>
      </c>
      <c r="BJ81" s="497" t="n"/>
      <c r="BK81" s="497" t="n"/>
      <c r="BL81" s="497" t="n"/>
      <c r="BM81" s="497" t="n"/>
      <c r="BN81" s="592">
        <f>BR80</f>
        <v/>
      </c>
      <c r="BO81" s="497" t="n"/>
      <c r="BP81" s="497" t="n"/>
      <c r="BQ81" s="497" t="n"/>
      <c r="BR81" s="593">
        <f>IF(AND(BM81:BQ81),1,0)</f>
        <v/>
      </c>
      <c r="BX81" s="592" t="n">
        <v>78</v>
      </c>
      <c r="BY81" s="497" t="n"/>
      <c r="BZ81" s="497" t="n"/>
      <c r="CA81" s="497" t="n"/>
      <c r="CB81" s="497" t="n"/>
      <c r="CC81" s="592">
        <f>CG80</f>
        <v/>
      </c>
      <c r="CD81" s="497" t="n"/>
      <c r="CE81" s="497" t="n"/>
      <c r="CF81" s="497" t="n"/>
      <c r="CG81" s="593">
        <f>IF(AND(CB81:CF81),1,0)</f>
        <v/>
      </c>
      <c r="DP81" s="742" t="n"/>
      <c r="GU81" s="592" t="n">
        <v>78</v>
      </c>
      <c r="GV81" s="597" t="n"/>
      <c r="GW81" s="724" t="n"/>
      <c r="GX81" s="497" t="n"/>
      <c r="GY81" s="497" t="n"/>
      <c r="GZ81" s="757">
        <f>HD80</f>
        <v/>
      </c>
      <c r="HA81" s="497" t="n"/>
      <c r="HB81" s="497" t="n"/>
      <c r="HC81" s="497" t="n"/>
      <c r="HD81" s="602">
        <f>IF(AND(GY81:HC81),1,0)</f>
        <v/>
      </c>
      <c r="LB81" s="592" t="n">
        <v>78</v>
      </c>
      <c r="LC81" s="497" t="n"/>
      <c r="LD81" s="724" t="n"/>
      <c r="LE81" s="497" t="n"/>
      <c r="LF81" s="724" t="n"/>
      <c r="LG81" s="742">
        <f>LK80</f>
        <v/>
      </c>
      <c r="LH81" s="724" t="n"/>
      <c r="LI81" s="497" t="n"/>
      <c r="LJ81" s="497" t="n"/>
      <c r="LK81" s="593">
        <f>IF(AND(LF81:LJ81),1,0)</f>
        <v/>
      </c>
      <c r="LR81" s="592" t="n">
        <v>78</v>
      </c>
      <c r="LS81" s="497" t="n"/>
      <c r="LT81" s="724" t="inlineStr">
        <is>
          <t xml:space="preserve">RETURN AIR DAMPER </t>
        </is>
      </c>
      <c r="LU81" s="724" t="n"/>
      <c r="LV81" s="724" t="n"/>
      <c r="LW81" s="605">
        <f>MD10</f>
        <v/>
      </c>
      <c r="LX81" s="724">
        <f>MA75</f>
        <v/>
      </c>
      <c r="LY81" s="497">
        <f>MA76</f>
        <v/>
      </c>
      <c r="LZ81" s="497">
        <f>MA77</f>
        <v/>
      </c>
      <c r="MA81" s="593">
        <f>IF(AND(LV81:LZ81),1,0)</f>
        <v/>
      </c>
      <c r="MH81" s="592" t="n">
        <v>78</v>
      </c>
      <c r="MI81" s="497" t="n"/>
      <c r="MJ81" s="724" t="inlineStr">
        <is>
          <t>SFC OFF</t>
        </is>
      </c>
      <c r="MK81" s="497" t="n"/>
      <c r="ML81" s="724" t="n"/>
      <c r="MM81" s="605">
        <f>MT15</f>
        <v/>
      </c>
      <c r="MN81" s="724" t="n"/>
      <c r="MO81" s="497" t="n"/>
      <c r="MP81" s="497" t="n"/>
      <c r="MQ81" s="593">
        <f>IF(AND(ML81:MP81),1,0)</f>
        <v/>
      </c>
    </row>
    <row r="82" ht="15.75" customHeight="1">
      <c r="F82" s="742" t="n"/>
      <c r="G82" s="742" t="n"/>
      <c r="P82" s="592" t="n">
        <v>79</v>
      </c>
      <c r="Q82" s="497" t="n"/>
      <c r="R82" s="597" t="inlineStr">
        <is>
          <t>COMPRESSOR 3 (3A) Pa=7.5kW P.f=0.77</t>
        </is>
      </c>
      <c r="S82" s="497" t="n"/>
      <c r="T82" s="497" t="n"/>
      <c r="U82" s="613">
        <f>AB22</f>
        <v/>
      </c>
      <c r="V82" s="592">
        <f>Y75</f>
        <v/>
      </c>
      <c r="W82" s="592">
        <f>Y78</f>
        <v/>
      </c>
      <c r="X82" s="592">
        <f>Y81</f>
        <v/>
      </c>
      <c r="Y82" s="593">
        <f>IF(AND(T82:X82),1,0)</f>
        <v/>
      </c>
      <c r="AF82" s="592" t="n">
        <v>79</v>
      </c>
      <c r="AG82" s="599" t="n"/>
      <c r="AH82" s="597" t="n"/>
      <c r="AI82" s="497" t="n"/>
      <c r="AJ82" s="497" t="n"/>
      <c r="AK82" s="609">
        <f>AO75</f>
        <v/>
      </c>
      <c r="AL82" s="592">
        <f>AO81</f>
        <v/>
      </c>
      <c r="AM82" s="497" t="n"/>
      <c r="AN82" s="497" t="n"/>
      <c r="AO82" s="593">
        <f>IF(AND(AJ82:AN82),1,0)</f>
        <v/>
      </c>
      <c r="BI82" s="592" t="n">
        <v>79</v>
      </c>
      <c r="BJ82" s="497" t="n"/>
      <c r="BK82" s="497" t="n"/>
      <c r="BL82" s="497" t="n"/>
      <c r="BM82" s="497" t="n"/>
      <c r="BN82" s="609">
        <f>BR80</f>
        <v/>
      </c>
      <c r="BO82" s="497" t="n"/>
      <c r="BP82" s="497" t="n"/>
      <c r="BQ82" s="497" t="n"/>
      <c r="BR82" s="593">
        <f>IF(AND(BM82:BQ82),1,0)</f>
        <v/>
      </c>
      <c r="BX82" s="592" t="n">
        <v>79</v>
      </c>
      <c r="BY82" s="497" t="n"/>
      <c r="BZ82" s="497" t="n"/>
      <c r="CA82" s="497" t="n"/>
      <c r="CB82" s="497" t="n"/>
      <c r="CC82" s="609">
        <f>CG80</f>
        <v/>
      </c>
      <c r="CD82" s="497" t="n"/>
      <c r="CE82" s="497" t="n"/>
      <c r="CF82" s="497" t="n"/>
      <c r="CG82" s="593">
        <f>IF(AND(CB82:CF82),1,0)</f>
        <v/>
      </c>
      <c r="DP82" s="742" t="n"/>
      <c r="GU82" s="592" t="n">
        <v>79</v>
      </c>
      <c r="GV82" s="597" t="n"/>
      <c r="GW82" s="724" t="n"/>
      <c r="GX82" s="497" t="n"/>
      <c r="GY82" s="497" t="n"/>
      <c r="GZ82" s="757">
        <f>HD81</f>
        <v/>
      </c>
      <c r="HA82" s="497" t="n"/>
      <c r="HB82" s="497" t="n"/>
      <c r="HC82" s="497" t="n"/>
      <c r="HD82" s="602">
        <f>IF(AND(GY82:HC82),1,0)</f>
        <v/>
      </c>
      <c r="LB82" s="592" t="n">
        <v>79</v>
      </c>
      <c r="LC82" s="497" t="n"/>
      <c r="LD82" s="724" t="n"/>
      <c r="LE82" s="497" t="n"/>
      <c r="LF82" s="724" t="n"/>
      <c r="LG82" s="724">
        <f>LK111</f>
        <v/>
      </c>
      <c r="LH82" s="724" t="n"/>
      <c r="LI82" s="497" t="n"/>
      <c r="LJ82" s="497" t="n"/>
      <c r="LK82" s="593">
        <f>IF(AND(LF82:LJ82),1,0)</f>
        <v/>
      </c>
      <c r="MH82" s="592" t="n">
        <v>79</v>
      </c>
      <c r="MI82" s="497" t="n"/>
      <c r="MJ82" s="724" t="n"/>
      <c r="MK82" s="497" t="n"/>
      <c r="ML82" s="724" t="n"/>
      <c r="MM82" s="612" t="n">
        <v>1</v>
      </c>
      <c r="MN82" s="724" t="n"/>
      <c r="MO82" s="497" t="n"/>
      <c r="MP82" s="497" t="n"/>
      <c r="MQ82" s="593">
        <f>IF(AND(ML82:MP82),1,0)</f>
        <v/>
      </c>
    </row>
    <row r="83" ht="31.5" customHeight="1">
      <c r="A83" s="599" t="n"/>
      <c r="B83" s="597" t="n"/>
      <c r="F83" s="742" t="n"/>
      <c r="G83" s="742" t="n"/>
      <c r="P83" s="592" t="n">
        <v>80</v>
      </c>
      <c r="Q83" s="497" t="n"/>
      <c r="R83" s="592" t="inlineStr">
        <is>
          <t>GROUND</t>
        </is>
      </c>
      <c r="S83" s="497" t="n"/>
      <c r="T83" s="497" t="n"/>
      <c r="U83" s="757" t="n">
        <v>1</v>
      </c>
      <c r="V83" s="497" t="n"/>
      <c r="W83" s="497" t="n"/>
      <c r="X83" s="497" t="n"/>
      <c r="Y83" s="593">
        <f>IF(AND(T83:X83),1,0)</f>
        <v/>
      </c>
      <c r="AF83" s="592" t="n">
        <v>80</v>
      </c>
      <c r="AG83" s="599" t="n"/>
      <c r="AH83" s="597" t="inlineStr">
        <is>
          <t>COMPRESSOR 3 (3A) Pa=7.5kW P.f=0.75</t>
        </is>
      </c>
      <c r="AI83" s="497" t="n"/>
      <c r="AJ83" s="497" t="n"/>
      <c r="AK83" s="604">
        <f>AB20</f>
        <v/>
      </c>
      <c r="AL83" s="592">
        <f>AO76</f>
        <v/>
      </c>
      <c r="AM83" s="592">
        <f>AO79</f>
        <v/>
      </c>
      <c r="AN83" s="592">
        <f>AO82</f>
        <v/>
      </c>
      <c r="AO83" s="593">
        <f>IF(AND(AJ83:AN83),1,0)</f>
        <v/>
      </c>
      <c r="BI83" s="592" t="n">
        <v>80</v>
      </c>
      <c r="BJ83" s="497" t="n"/>
      <c r="BK83" s="497" t="n"/>
      <c r="BL83" s="497" t="n"/>
      <c r="BM83" s="497" t="n"/>
      <c r="BN83" s="592">
        <f>BR82</f>
        <v/>
      </c>
      <c r="BO83" s="497" t="n"/>
      <c r="BP83" s="497" t="n"/>
      <c r="BQ83" s="497" t="n"/>
      <c r="BR83" s="593">
        <f>IF(AND(BM83:BQ83),1,0)</f>
        <v/>
      </c>
      <c r="BX83" s="592" t="n">
        <v>80</v>
      </c>
      <c r="BY83" s="497" t="n"/>
      <c r="BZ83" s="497" t="n"/>
      <c r="CA83" s="497" t="n"/>
      <c r="CB83" s="497" t="n"/>
      <c r="CC83" s="592">
        <f>CG82</f>
        <v/>
      </c>
      <c r="CD83" s="497" t="n"/>
      <c r="CE83" s="497" t="n"/>
      <c r="CF83" s="497" t="n"/>
      <c r="CG83" s="593">
        <f>IF(AND(CB83:CF83),1,0)</f>
        <v/>
      </c>
      <c r="DP83" s="742" t="n"/>
      <c r="GU83" s="592" t="n">
        <v>80</v>
      </c>
      <c r="GV83" s="597" t="n"/>
      <c r="GW83" s="724" t="n"/>
      <c r="GX83" s="497" t="n"/>
      <c r="GY83" s="497" t="n"/>
      <c r="GZ83" s="757">
        <f>HD82</f>
        <v/>
      </c>
      <c r="HA83" s="497" t="n"/>
      <c r="HB83" s="497" t="n"/>
      <c r="HC83" s="497" t="n"/>
      <c r="HD83" s="602">
        <f>IF(AND(GY83:HC83),1,0)</f>
        <v/>
      </c>
      <c r="LB83" s="592" t="n">
        <v>80</v>
      </c>
      <c r="LC83" s="497" t="n"/>
      <c r="LD83" s="724" t="n"/>
      <c r="LE83" s="497" t="n"/>
      <c r="LF83" s="724" t="n"/>
      <c r="LG83" s="724">
        <f>LK113</f>
        <v/>
      </c>
      <c r="LH83" s="724" t="n"/>
      <c r="LI83" s="497" t="n"/>
      <c r="LJ83" s="497" t="n"/>
      <c r="LK83" s="593">
        <f>IF(AND(LF83:LJ83),1,0)</f>
        <v/>
      </c>
      <c r="MH83" s="592" t="n">
        <v>80</v>
      </c>
      <c r="MI83" s="497" t="n"/>
      <c r="MJ83" s="724" t="n"/>
      <c r="MK83" s="497" t="n"/>
      <c r="ML83" s="724" t="n"/>
      <c r="MM83" s="724">
        <f>MQ65</f>
        <v/>
      </c>
      <c r="MN83" s="724" t="n"/>
      <c r="MO83" s="497" t="n"/>
      <c r="MP83" s="497" t="n"/>
      <c r="MQ83" s="593">
        <f>IF(AND(ML83:MP83),1,0)</f>
        <v/>
      </c>
    </row>
    <row r="84" ht="31.5" customHeight="1">
      <c r="A84" s="597" t="inlineStr">
        <is>
          <t>LA.T01_ +14.10</t>
        </is>
      </c>
      <c r="F84" s="742" t="n"/>
      <c r="G84" s="742" t="n"/>
      <c r="P84" s="592" t="n">
        <v>81</v>
      </c>
      <c r="Q84" s="497" t="n"/>
      <c r="R84" s="592" t="n"/>
      <c r="S84" s="497" t="n"/>
      <c r="T84" s="497" t="n"/>
      <c r="U84" s="757">
        <f>Y34</f>
        <v/>
      </c>
      <c r="V84" s="497" t="n"/>
      <c r="W84" s="497" t="n"/>
      <c r="X84" s="497" t="n"/>
      <c r="Y84" s="593">
        <f>IF(AND(T84:X84),1,0)</f>
        <v/>
      </c>
      <c r="AF84" s="592" t="n">
        <v>81</v>
      </c>
      <c r="AG84" s="599" t="n"/>
      <c r="AH84" s="724" t="inlineStr">
        <is>
          <t>GROUND</t>
        </is>
      </c>
      <c r="AI84" s="497" t="n"/>
      <c r="AJ84" s="497" t="n"/>
      <c r="AK84" s="619" t="n">
        <v>1</v>
      </c>
      <c r="AL84" s="497" t="n"/>
      <c r="AM84" s="497" t="n"/>
      <c r="AN84" s="497" t="n"/>
      <c r="AO84" s="593">
        <f>IF(AND(AJ84:AN84),1,0)</f>
        <v/>
      </c>
      <c r="BI84" s="592" t="n">
        <v>81</v>
      </c>
      <c r="BJ84" s="497" t="n"/>
      <c r="BK84" s="497" t="n"/>
      <c r="BL84" s="497" t="n"/>
      <c r="BM84" s="497" t="n"/>
      <c r="BN84" s="598">
        <f>BU11</f>
        <v/>
      </c>
      <c r="BO84" s="497" t="n"/>
      <c r="BP84" s="497" t="n"/>
      <c r="BQ84" s="497" t="n"/>
      <c r="BR84" s="593">
        <f>IF(AND(BM84:BQ84),1,0)</f>
        <v/>
      </c>
      <c r="BX84" s="592" t="n">
        <v>81</v>
      </c>
      <c r="BY84" s="497" t="n"/>
      <c r="BZ84" s="497" t="n"/>
      <c r="CA84" s="497" t="n"/>
      <c r="CB84" s="497" t="n"/>
      <c r="CC84" s="598">
        <f>BU11</f>
        <v/>
      </c>
      <c r="CD84" s="497" t="n"/>
      <c r="CE84" s="497" t="n"/>
      <c r="CF84" s="497" t="n"/>
      <c r="CG84" s="593">
        <f>IF(AND(CB84:CF84),1,0)</f>
        <v/>
      </c>
      <c r="DP84" s="742" t="n"/>
      <c r="GU84" s="592" t="n">
        <v>81</v>
      </c>
      <c r="GV84" s="597" t="n"/>
      <c r="GW84" s="724" t="n"/>
      <c r="GX84" s="497" t="n"/>
      <c r="GY84" s="497" t="n"/>
      <c r="GZ84" s="757">
        <f>HD83</f>
        <v/>
      </c>
      <c r="HA84" s="497" t="n"/>
      <c r="HB84" s="497" t="n"/>
      <c r="HC84" s="497" t="n"/>
      <c r="HD84" s="602">
        <f>IF(AND(GY84:HC84),1,0)</f>
        <v/>
      </c>
      <c r="LB84" s="592" t="n">
        <v>81</v>
      </c>
      <c r="LC84" s="497" t="n"/>
      <c r="LD84" s="724" t="n"/>
      <c r="LE84" s="497" t="n"/>
      <c r="LF84" s="724" t="n"/>
      <c r="LG84" s="724">
        <f>LK74</f>
        <v/>
      </c>
      <c r="LH84" s="724" t="n"/>
      <c r="LI84" s="497" t="n"/>
      <c r="LJ84" s="497" t="n"/>
      <c r="LK84" s="593">
        <f>IF(AND(LF84:LJ84),1,0)</f>
        <v/>
      </c>
      <c r="MH84" s="592" t="n">
        <v>81</v>
      </c>
      <c r="MI84" s="497" t="n"/>
      <c r="MJ84" s="724" t="n"/>
      <c r="MK84" s="497" t="n"/>
      <c r="ML84" s="724" t="n"/>
      <c r="MM84" s="724">
        <f>MQ83</f>
        <v/>
      </c>
      <c r="MN84" s="724" t="n"/>
      <c r="MO84" s="497" t="n"/>
      <c r="MP84" s="497" t="n"/>
      <c r="MQ84" s="593">
        <f>IF(AND(ML84:MP84),1,0)</f>
        <v/>
      </c>
    </row>
    <row r="85" ht="31.5" customHeight="1">
      <c r="A85" s="597" t="inlineStr">
        <is>
          <t>UD.XT14.01</t>
        </is>
      </c>
      <c r="B85" s="597" t="n"/>
      <c r="F85" s="742" t="n"/>
      <c r="G85" s="742" t="n"/>
      <c r="P85" s="592" t="n">
        <v>82</v>
      </c>
      <c r="Q85" s="497" t="n"/>
      <c r="R85" s="628" t="inlineStr">
        <is>
          <t>CMPB4 20A</t>
        </is>
      </c>
      <c r="S85" s="497" t="n"/>
      <c r="T85" s="497" t="n"/>
      <c r="U85" s="613">
        <f>AB20</f>
        <v/>
      </c>
      <c r="V85" s="592">
        <f>Y84</f>
        <v/>
      </c>
      <c r="W85" s="497">
        <f>Y91</f>
        <v/>
      </c>
      <c r="X85" s="497">
        <f>Y95</f>
        <v/>
      </c>
      <c r="Y85" s="593">
        <f>IF(AND(T85:X85),1,0)</f>
        <v/>
      </c>
      <c r="AF85" s="592" t="n">
        <v>82</v>
      </c>
      <c r="AG85" s="599" t="n"/>
      <c r="AH85" s="597" t="n"/>
      <c r="AI85" s="497" t="n"/>
      <c r="AJ85" s="497" t="n"/>
      <c r="AK85" s="619">
        <f>AO35</f>
        <v/>
      </c>
      <c r="AL85" s="497" t="n"/>
      <c r="AM85" s="497" t="n"/>
      <c r="AN85" s="497" t="n"/>
      <c r="AO85" s="593">
        <f>IF(AND(AJ85:AN85),1,0)</f>
        <v/>
      </c>
      <c r="BI85" s="592" t="n">
        <v>82</v>
      </c>
      <c r="BJ85" s="497" t="n"/>
      <c r="BK85" s="497" t="n"/>
      <c r="BL85" s="497" t="n"/>
      <c r="BM85" s="497" t="n"/>
      <c r="BN85" s="592">
        <f>BR84</f>
        <v/>
      </c>
      <c r="BO85" s="497" t="n"/>
      <c r="BP85" s="497" t="n"/>
      <c r="BQ85" s="497" t="n"/>
      <c r="BR85" s="593">
        <f>IF(AND(BM85:BQ85),1,0)</f>
        <v/>
      </c>
      <c r="BX85" s="592" t="n">
        <v>82</v>
      </c>
      <c r="BY85" s="497" t="n"/>
      <c r="BZ85" s="497" t="n"/>
      <c r="CA85" s="497" t="n"/>
      <c r="CB85" s="497" t="n"/>
      <c r="CC85" s="592">
        <f>CG84</f>
        <v/>
      </c>
      <c r="CD85" s="497" t="n"/>
      <c r="CE85" s="497" t="n"/>
      <c r="CF85" s="497" t="n"/>
      <c r="CG85" s="593">
        <f>IF(AND(CB85:CF85),1,0)</f>
        <v/>
      </c>
      <c r="DP85" s="742" t="n"/>
      <c r="GU85" s="592" t="n">
        <v>82</v>
      </c>
      <c r="GV85" s="597" t="n"/>
      <c r="GW85" s="724" t="n"/>
      <c r="GX85" s="497" t="n"/>
      <c r="GY85" s="497" t="n"/>
      <c r="GZ85" s="757">
        <f>HD84</f>
        <v/>
      </c>
      <c r="HA85" s="497" t="n"/>
      <c r="HB85" s="497" t="n"/>
      <c r="HC85" s="497" t="n"/>
      <c r="HD85" s="602">
        <f>IF(AND(GY85:HC85),1,0)</f>
        <v/>
      </c>
      <c r="LB85" s="592" t="n">
        <v>82</v>
      </c>
      <c r="LC85" s="497" t="n"/>
      <c r="LD85" s="724" t="n"/>
      <c r="LE85" s="497" t="n"/>
      <c r="LF85" s="724" t="n"/>
      <c r="LG85" s="724">
        <f>LK116</f>
        <v/>
      </c>
      <c r="LH85" s="724" t="n"/>
      <c r="LI85" s="497" t="n"/>
      <c r="LJ85" s="497" t="n"/>
      <c r="LK85" s="593">
        <f>IF(AND(LF85:LJ85),1,0)</f>
        <v/>
      </c>
      <c r="MH85" s="592" t="n">
        <v>82</v>
      </c>
      <c r="MI85" s="497" t="n"/>
      <c r="MJ85" s="724" t="inlineStr">
        <is>
          <t>ACCP2N</t>
        </is>
      </c>
      <c r="MK85" s="497" t="n"/>
      <c r="ML85" s="724" t="n"/>
      <c r="MM85" s="605">
        <f>MT20</f>
        <v/>
      </c>
      <c r="MN85" s="724" t="n"/>
      <c r="MO85" s="497" t="n"/>
      <c r="MP85" s="497" t="n"/>
      <c r="MQ85" s="593">
        <f>IF(AND(ML85:MP85),1,0)</f>
        <v/>
      </c>
    </row>
    <row r="86">
      <c r="A86" s="597" t="n"/>
      <c r="B86" s="597" t="n"/>
      <c r="F86" s="742" t="n"/>
      <c r="G86" s="742" t="n"/>
      <c r="P86" s="592" t="n">
        <v>83</v>
      </c>
      <c r="Q86" s="497" t="n"/>
      <c r="R86" s="592" t="n"/>
      <c r="S86" s="497" t="n"/>
      <c r="T86" s="497" t="n"/>
      <c r="U86" s="757">
        <f>Y85</f>
        <v/>
      </c>
      <c r="V86" s="497" t="n"/>
      <c r="W86" s="497" t="n"/>
      <c r="X86" s="497" t="n"/>
      <c r="Y86" s="593">
        <f>IF(AND(T86:X86),1,0)</f>
        <v/>
      </c>
      <c r="AF86" s="592" t="n">
        <v>83</v>
      </c>
      <c r="AG86" s="599" t="n"/>
      <c r="AH86" s="757" t="inlineStr">
        <is>
          <t>CMPB4 _13A</t>
        </is>
      </c>
      <c r="AI86" s="497" t="n"/>
      <c r="AJ86" s="497" t="n"/>
      <c r="AK86" s="600">
        <f>AB20</f>
        <v/>
      </c>
      <c r="AL86" s="497">
        <f>AO85</f>
        <v/>
      </c>
      <c r="AM86" s="497" t="n"/>
      <c r="AN86" s="497" t="n"/>
      <c r="AO86" s="593">
        <f>IF(AND(AJ86:AN86),1,0)</f>
        <v/>
      </c>
      <c r="BI86" s="592" t="n">
        <v>83</v>
      </c>
      <c r="BJ86" s="497" t="n"/>
      <c r="BK86" s="497" t="n"/>
      <c r="BL86" s="497" t="n"/>
      <c r="BM86" s="497" t="n"/>
      <c r="BN86" s="609">
        <f>BR85</f>
        <v/>
      </c>
      <c r="BO86" s="497" t="n"/>
      <c r="BP86" s="497" t="n"/>
      <c r="BQ86" s="497" t="n"/>
      <c r="BR86" s="593">
        <f>IF(AND(BM86:BQ86),1,0)</f>
        <v/>
      </c>
      <c r="BX86" s="592" t="n">
        <v>83</v>
      </c>
      <c r="BY86" s="497" t="n"/>
      <c r="BZ86" s="497" t="n"/>
      <c r="CA86" s="497" t="n"/>
      <c r="CB86" s="497" t="n"/>
      <c r="CC86" s="609">
        <f>CG85</f>
        <v/>
      </c>
      <c r="CD86" s="497" t="n"/>
      <c r="CE86" s="497" t="n"/>
      <c r="CF86" s="497" t="n"/>
      <c r="CG86" s="593">
        <f>IF(AND(CB86:CF86),1,0)</f>
        <v/>
      </c>
      <c r="GU86" s="592" t="n">
        <v>83</v>
      </c>
      <c r="GV86" s="597" t="n"/>
      <c r="GW86" s="724" t="inlineStr">
        <is>
          <t>RAD CLOSE</t>
        </is>
      </c>
      <c r="GX86" s="497" t="n"/>
      <c r="GY86" s="497" t="n"/>
      <c r="GZ86" s="600">
        <f>HG18</f>
        <v/>
      </c>
      <c r="HA86" s="497">
        <f>HD85</f>
        <v/>
      </c>
      <c r="HB86" s="497" t="n"/>
      <c r="HC86" s="497" t="n"/>
      <c r="HD86" s="602">
        <f>IF(AND(GY86:HC86),1,0)</f>
        <v/>
      </c>
      <c r="LB86" s="592" t="n">
        <v>83</v>
      </c>
      <c r="LC86" s="497" t="n"/>
      <c r="LD86" s="724" t="n"/>
      <c r="LE86" s="497" t="n"/>
      <c r="LF86" s="724" t="n"/>
      <c r="LG86" s="724">
        <f>LK118</f>
        <v/>
      </c>
      <c r="LH86" s="724" t="n"/>
      <c r="LI86" s="497" t="n"/>
      <c r="LJ86" s="497" t="n"/>
      <c r="LK86" s="593">
        <f>IF(AND(LF86:LJ86),1,0)</f>
        <v/>
      </c>
      <c r="MH86" s="592" t="n">
        <v>83</v>
      </c>
      <c r="MI86" s="497" t="n"/>
      <c r="MJ86" s="724" t="n"/>
      <c r="MK86" s="497" t="n"/>
      <c r="ML86" s="724" t="n"/>
      <c r="MM86" s="724">
        <f>MQ85</f>
        <v/>
      </c>
      <c r="MN86" s="724" t="n"/>
      <c r="MO86" s="497" t="n"/>
      <c r="MP86" s="497" t="n"/>
      <c r="MQ86" s="593">
        <f>IF(AND(ML86:MP86),1,0)</f>
        <v/>
      </c>
    </row>
    <row r="87">
      <c r="A87" s="497" t="n"/>
      <c r="B87" s="497" t="n"/>
      <c r="F87" s="742" t="n"/>
      <c r="G87" s="742" t="n"/>
      <c r="P87" s="592" t="n">
        <v>84</v>
      </c>
      <c r="Q87" s="497" t="n"/>
      <c r="R87" s="628" t="inlineStr">
        <is>
          <t>CMPC4 26A</t>
        </is>
      </c>
      <c r="S87" s="497" t="n"/>
      <c r="T87" s="497" t="n"/>
      <c r="U87" s="613">
        <f>AB14</f>
        <v/>
      </c>
      <c r="V87" s="497">
        <f>Y86</f>
        <v/>
      </c>
      <c r="W87" s="497">
        <f>Y92</f>
        <v/>
      </c>
      <c r="X87" s="497">
        <f>Y96</f>
        <v/>
      </c>
      <c r="Y87" s="593">
        <f>IF(AND(T87:X87),1,0)</f>
        <v/>
      </c>
      <c r="AF87" s="592" t="n">
        <v>84</v>
      </c>
      <c r="AG87" s="599" t="n"/>
      <c r="AH87" s="597" t="n"/>
      <c r="AI87" s="497" t="n"/>
      <c r="AJ87" s="497" t="n"/>
      <c r="AK87" s="619">
        <f>AO86</f>
        <v/>
      </c>
      <c r="AL87" s="497" t="n"/>
      <c r="AM87" s="497" t="n"/>
      <c r="AN87" s="497" t="n"/>
      <c r="AO87" s="593">
        <f>IF(AND(AJ87:AN87),1,0)</f>
        <v/>
      </c>
      <c r="BI87" s="592" t="n">
        <v>84</v>
      </c>
      <c r="BJ87" s="497" t="n"/>
      <c r="BK87" s="497" t="n"/>
      <c r="BL87" s="497" t="n"/>
      <c r="BM87" s="497" t="n"/>
      <c r="BN87" s="592">
        <f>BR86</f>
        <v/>
      </c>
      <c r="BO87" s="497" t="n"/>
      <c r="BP87" s="497" t="n"/>
      <c r="BQ87" s="497" t="n"/>
      <c r="BR87" s="593">
        <f>IF(AND(BM87:BQ87),1,0)</f>
        <v/>
      </c>
      <c r="BX87" s="592" t="n">
        <v>84</v>
      </c>
      <c r="BY87" s="497" t="n"/>
      <c r="BZ87" s="497" t="n"/>
      <c r="CA87" s="497" t="n"/>
      <c r="CB87" s="497" t="n"/>
      <c r="CC87" s="592">
        <f>CG86</f>
        <v/>
      </c>
      <c r="CD87" s="497">
        <f>IF(NOT(CG95),1,0)</f>
        <v/>
      </c>
      <c r="CE87" s="497" t="n"/>
      <c r="CF87" s="497" t="n"/>
      <c r="CG87" s="593">
        <f>IF(AND(CB87:CF87),1,0)</f>
        <v/>
      </c>
      <c r="GU87" s="592" t="n">
        <v>84</v>
      </c>
      <c r="GV87" s="597" t="n"/>
      <c r="GW87" s="724" t="n"/>
      <c r="GX87" s="497" t="n"/>
      <c r="GY87" s="497" t="n"/>
      <c r="GZ87" s="757">
        <f>IF(NOT(GZ81),1,0)</f>
        <v/>
      </c>
      <c r="HA87" s="497" t="n"/>
      <c r="HB87" s="497" t="n"/>
      <c r="HC87" s="497" t="n"/>
      <c r="HD87" s="602">
        <f>IF(AND(GY87:HC87),1,0)</f>
        <v/>
      </c>
      <c r="LB87" s="592" t="n">
        <v>84</v>
      </c>
      <c r="LC87" s="497" t="n"/>
      <c r="LD87" s="724" t="n"/>
      <c r="LE87" s="497" t="n"/>
      <c r="LF87" s="724" t="n"/>
      <c r="LG87" s="724">
        <f>LK86</f>
        <v/>
      </c>
      <c r="LH87" s="724" t="n"/>
      <c r="LI87" s="497" t="n"/>
      <c r="LJ87" s="497" t="n"/>
      <c r="LK87" s="593">
        <f>IF(AND(LF87:LJ87),1,0)</f>
        <v/>
      </c>
      <c r="MH87" s="592" t="n">
        <v>84</v>
      </c>
      <c r="MI87" s="497" t="n"/>
      <c r="MJ87" s="724" t="n"/>
      <c r="MK87" s="497" t="n"/>
      <c r="ML87" s="724" t="n"/>
      <c r="MM87" s="612" t="n">
        <v>1</v>
      </c>
      <c r="MN87" s="724" t="n"/>
      <c r="MO87" s="497" t="n"/>
      <c r="MP87" s="497" t="n"/>
      <c r="MQ87" s="593">
        <f>IF(AND(ML87:MP87),1,0)</f>
        <v/>
      </c>
    </row>
    <row r="88" ht="31.5" customHeight="1">
      <c r="A88" s="597" t="inlineStr">
        <is>
          <t>LA .S03_ +14.30</t>
        </is>
      </c>
      <c r="B88" s="757" t="inlineStr">
        <is>
          <t>CACS</t>
        </is>
      </c>
      <c r="P88" s="592" t="n">
        <v>85</v>
      </c>
      <c r="Q88" s="497" t="n"/>
      <c r="R88" s="592" t="n"/>
      <c r="S88" s="497" t="n"/>
      <c r="T88" s="497" t="n"/>
      <c r="U88" s="757">
        <f>Y87</f>
        <v/>
      </c>
      <c r="V88" s="497">
        <f>Y87</f>
        <v/>
      </c>
      <c r="W88" s="497" t="n"/>
      <c r="X88" s="497" t="n"/>
      <c r="Y88" s="593">
        <f>IF(AND(T88:X88),1,0)</f>
        <v/>
      </c>
      <c r="AF88" s="592" t="n">
        <v>85</v>
      </c>
      <c r="AG88" s="599" t="n"/>
      <c r="AH88" s="757" t="inlineStr">
        <is>
          <t>CMPC4 16A</t>
        </is>
      </c>
      <c r="AI88" s="497" t="n"/>
      <c r="AJ88" s="497" t="n"/>
      <c r="AK88" s="600">
        <f>AB20</f>
        <v/>
      </c>
      <c r="AL88" s="497">
        <f>AO87</f>
        <v/>
      </c>
      <c r="AM88" s="497" t="n"/>
      <c r="AN88" s="497" t="n"/>
      <c r="AO88" s="593">
        <f>IF(AND(AJ88:AN88),1,0)</f>
        <v/>
      </c>
      <c r="BI88" s="592" t="n">
        <v>85</v>
      </c>
      <c r="BJ88" s="497" t="n"/>
      <c r="BK88" s="497" t="n"/>
      <c r="BL88" s="497" t="n"/>
      <c r="BM88" s="497" t="n"/>
      <c r="BN88" s="598">
        <f>BU11</f>
        <v/>
      </c>
      <c r="BO88" s="497" t="n"/>
      <c r="BP88" s="497" t="n"/>
      <c r="BQ88" s="497" t="n"/>
      <c r="BR88" s="593">
        <f>IF(AND(BM88:BQ88),1,0)</f>
        <v/>
      </c>
      <c r="BX88" s="592" t="n">
        <v>85</v>
      </c>
      <c r="BY88" s="497" t="n"/>
      <c r="BZ88" s="497" t="n"/>
      <c r="CA88" s="497" t="n"/>
      <c r="CB88" s="497" t="n"/>
      <c r="CC88" s="598">
        <f>BU11</f>
        <v/>
      </c>
      <c r="CD88" s="497" t="n"/>
      <c r="CE88" s="497" t="n"/>
      <c r="CF88" s="497" t="n"/>
      <c r="CG88" s="593">
        <f>IF(AND(CB88:CF88),1,0)</f>
        <v/>
      </c>
      <c r="GU88" s="592" t="n">
        <v>85</v>
      </c>
      <c r="GV88" s="597" t="n"/>
      <c r="GW88" s="724" t="n"/>
      <c r="GX88" s="497" t="n"/>
      <c r="GY88" s="497" t="n"/>
      <c r="GZ88" s="757">
        <f>HD87</f>
        <v/>
      </c>
      <c r="HA88" s="497" t="n"/>
      <c r="HB88" s="497" t="n"/>
      <c r="HC88" s="497" t="n"/>
      <c r="HD88" s="602">
        <f>IF(AND(GY88:HC88),1,0)</f>
        <v/>
      </c>
      <c r="LB88" s="592" t="n">
        <v>85</v>
      </c>
      <c r="LC88" s="497" t="n"/>
      <c r="LD88" s="724" t="n"/>
      <c r="LE88" s="497" t="n"/>
      <c r="LF88" s="724" t="n"/>
      <c r="LG88" s="724">
        <f>LK74</f>
        <v/>
      </c>
      <c r="LH88" s="724" t="n"/>
      <c r="LI88" s="497" t="n"/>
      <c r="LJ88" s="497" t="n"/>
      <c r="LK88" s="593">
        <f>IF(AND(LF88:LJ88),1,0)</f>
        <v/>
      </c>
      <c r="MH88" s="592" t="n">
        <v>85</v>
      </c>
      <c r="MI88" s="497" t="n"/>
      <c r="MJ88" s="724" t="inlineStr">
        <is>
          <t>ACCP2N</t>
        </is>
      </c>
      <c r="MK88" s="497" t="n"/>
      <c r="ML88" s="724" t="n"/>
      <c r="MM88" s="605">
        <f>MT20</f>
        <v/>
      </c>
      <c r="MN88" s="724" t="n"/>
      <c r="MO88" s="497" t="n"/>
      <c r="MP88" s="497" t="n"/>
      <c r="MQ88" s="593">
        <f>IF(AND(ML88:MP88),1,0)</f>
        <v/>
      </c>
    </row>
    <row r="89">
      <c r="A89" s="497" t="n"/>
      <c r="B89" s="497" t="n"/>
      <c r="P89" s="592" t="n">
        <v>86</v>
      </c>
      <c r="Q89" s="497" t="n"/>
      <c r="R89" s="628" t="inlineStr">
        <is>
          <t>EMR DRIVE</t>
        </is>
      </c>
      <c r="S89" s="497" t="n"/>
      <c r="T89" s="497" t="n"/>
      <c r="U89" s="613">
        <f>AB20</f>
        <v/>
      </c>
      <c r="V89" s="497">
        <f>Y88</f>
        <v/>
      </c>
      <c r="W89" s="497">
        <f>Y93</f>
        <v/>
      </c>
      <c r="X89" s="497">
        <f>Y97</f>
        <v/>
      </c>
      <c r="Y89" s="593">
        <f>IF(AND(T89:X89),1,0)</f>
        <v/>
      </c>
      <c r="AF89" s="592" t="n">
        <v>86</v>
      </c>
      <c r="AG89" s="599" t="n"/>
      <c r="AH89" s="597" t="n"/>
      <c r="AI89" s="497" t="n"/>
      <c r="AJ89" s="497" t="n"/>
      <c r="AK89" s="619">
        <f>AO88</f>
        <v/>
      </c>
      <c r="AL89" s="497" t="n"/>
      <c r="AM89" s="497" t="n"/>
      <c r="AN89" s="497" t="n"/>
      <c r="AO89" s="593">
        <f>IF(AND(AJ89:AN89),1,0)</f>
        <v/>
      </c>
      <c r="BI89" s="592" t="n">
        <v>86</v>
      </c>
      <c r="BJ89" s="497" t="n"/>
      <c r="BK89" s="497" t="n"/>
      <c r="BL89" s="497" t="n"/>
      <c r="BM89" s="497" t="n"/>
      <c r="BN89" s="592">
        <f>BR88</f>
        <v/>
      </c>
      <c r="BO89" s="497" t="n"/>
      <c r="BP89" s="497" t="n"/>
      <c r="BQ89" s="497" t="n"/>
      <c r="BR89" s="593">
        <f>IF(AND(BM89:BQ89),1,0)</f>
        <v/>
      </c>
      <c r="BX89" s="592" t="n">
        <v>86</v>
      </c>
      <c r="BY89" s="497" t="n"/>
      <c r="BZ89" s="497" t="n"/>
      <c r="CA89" s="497" t="n"/>
      <c r="CB89" s="497" t="n"/>
      <c r="CC89" s="592">
        <f>CG88</f>
        <v/>
      </c>
      <c r="CD89" s="497" t="n"/>
      <c r="CE89" s="497" t="n"/>
      <c r="CF89" s="497" t="n"/>
      <c r="CG89" s="593">
        <f>IF(AND(CB89:CF89),1,0)</f>
        <v/>
      </c>
      <c r="GU89" s="592" t="n">
        <v>86</v>
      </c>
      <c r="GV89" s="597" t="n"/>
      <c r="GW89" s="724" t="n"/>
      <c r="GX89" s="497" t="n"/>
      <c r="GY89" s="497" t="n"/>
      <c r="GZ89" s="757">
        <f>HD88</f>
        <v/>
      </c>
      <c r="HA89" s="497" t="n"/>
      <c r="HB89" s="497" t="n"/>
      <c r="HC89" s="497" t="n"/>
      <c r="HD89" s="602">
        <f>IF(AND(GY89:HC89),1,0)</f>
        <v/>
      </c>
      <c r="LB89" s="592" t="n">
        <v>86</v>
      </c>
      <c r="LC89" s="497" t="n"/>
      <c r="LD89" s="724" t="n"/>
      <c r="LE89" s="497" t="n"/>
      <c r="LF89" s="724" t="n"/>
      <c r="LG89" s="724">
        <f>LK123</f>
        <v/>
      </c>
      <c r="LH89" s="724" t="n"/>
      <c r="LI89" s="497" t="n"/>
      <c r="LJ89" s="497" t="n"/>
      <c r="LK89" s="593">
        <f>IF(AND(LF89:LJ89),1,0)</f>
        <v/>
      </c>
      <c r="MH89" s="592" t="n">
        <v>86</v>
      </c>
      <c r="MI89" s="497" t="n"/>
      <c r="MJ89" s="724" t="n"/>
      <c r="MK89" s="497" t="n"/>
      <c r="ML89" s="724" t="n"/>
      <c r="MM89" s="724">
        <f>MQ90</f>
        <v/>
      </c>
      <c r="MN89" s="724" t="n"/>
      <c r="MO89" s="497" t="n"/>
      <c r="MP89" s="497" t="n"/>
      <c r="MQ89" s="593">
        <f>IF(AND(ML89:MP89),1,0)</f>
        <v/>
      </c>
    </row>
    <row r="90">
      <c r="A90" s="497" t="n"/>
      <c r="B90" s="497" t="n"/>
      <c r="P90" s="592" t="n">
        <v>87</v>
      </c>
      <c r="Q90" s="497" t="n"/>
      <c r="R90" s="592" t="n"/>
      <c r="S90" s="497" t="n"/>
      <c r="T90" s="497" t="n"/>
      <c r="U90" s="757">
        <f>Y89</f>
        <v/>
      </c>
      <c r="V90" s="497">
        <f>Y88</f>
        <v/>
      </c>
      <c r="W90" s="497" t="n"/>
      <c r="X90" s="497" t="n"/>
      <c r="Y90" s="593">
        <f>IF(AND(T90:X90),1,0)</f>
        <v/>
      </c>
      <c r="AF90" s="592" t="n">
        <v>87</v>
      </c>
      <c r="AG90" s="599" t="n"/>
      <c r="AH90" s="597" t="n"/>
      <c r="AI90" s="497" t="n"/>
      <c r="AJ90" s="497" t="n"/>
      <c r="AK90" s="600">
        <f>AB20</f>
        <v/>
      </c>
      <c r="AL90" s="497">
        <f>AO89</f>
        <v/>
      </c>
      <c r="AM90" s="497">
        <f>AO94</f>
        <v/>
      </c>
      <c r="AN90" s="497">
        <f>AO98</f>
        <v/>
      </c>
      <c r="AO90" s="593">
        <f>IF(AND(AJ90:AN90),1,0)</f>
        <v/>
      </c>
      <c r="BI90" s="592" t="n">
        <v>87</v>
      </c>
      <c r="BJ90" s="497" t="n"/>
      <c r="BK90" s="497" t="n"/>
      <c r="BL90" s="497" t="n"/>
      <c r="BM90" s="497" t="n"/>
      <c r="BN90" s="609">
        <f>BR89</f>
        <v/>
      </c>
      <c r="BO90" s="497" t="n"/>
      <c r="BP90" s="497" t="n"/>
      <c r="BQ90" s="497" t="n"/>
      <c r="BR90" s="593">
        <f>IF(AND(BM90:BQ90),1,0)</f>
        <v/>
      </c>
      <c r="BX90" s="592" t="n">
        <v>87</v>
      </c>
      <c r="BY90" s="497" t="n"/>
      <c r="BZ90" s="497" t="n"/>
      <c r="CA90" s="497" t="n"/>
      <c r="CB90" s="497" t="n"/>
      <c r="CC90" s="609">
        <f>CG89</f>
        <v/>
      </c>
      <c r="CD90" s="497" t="n"/>
      <c r="CE90" s="497" t="n"/>
      <c r="CF90" s="497" t="n"/>
      <c r="CG90" s="593">
        <f>IF(AND(CB90:CF90),1,0)</f>
        <v/>
      </c>
      <c r="GU90" s="592" t="n">
        <v>87</v>
      </c>
      <c r="GV90" s="597" t="n"/>
      <c r="GW90" s="724" t="n"/>
      <c r="GX90" s="497" t="n"/>
      <c r="GY90" s="497" t="n"/>
      <c r="GZ90" s="757">
        <f>HD89</f>
        <v/>
      </c>
      <c r="HA90" s="497" t="n"/>
      <c r="HB90" s="497" t="n"/>
      <c r="HC90" s="497" t="n"/>
      <c r="HD90" s="602">
        <f>IF(AND(GY90:HC90),1,0)</f>
        <v/>
      </c>
      <c r="LB90" s="592" t="n">
        <v>87</v>
      </c>
      <c r="LC90" s="497" t="n"/>
      <c r="LD90" s="724" t="n"/>
      <c r="LE90" s="497" t="n"/>
      <c r="LF90" s="724" t="n"/>
      <c r="LG90" s="724">
        <f>LK125</f>
        <v/>
      </c>
      <c r="LH90" s="724" t="n"/>
      <c r="LI90" s="497" t="n"/>
      <c r="LJ90" s="497" t="n"/>
      <c r="LK90" s="593">
        <f>IF(AND(LF90:LJ90),1,0)</f>
        <v/>
      </c>
      <c r="MH90" s="592" t="n">
        <v>87</v>
      </c>
      <c r="MI90" s="497" t="n"/>
      <c r="MJ90" s="724" t="inlineStr">
        <is>
          <t>SMRR</t>
        </is>
      </c>
      <c r="MK90" s="497" t="n"/>
      <c r="ML90" s="724" t="n"/>
      <c r="MM90" s="605">
        <f>IF(OR(MT11=1,MT12=1),0,1)</f>
        <v/>
      </c>
      <c r="MN90" s="724" t="n"/>
      <c r="MO90" s="497" t="n"/>
      <c r="MP90" s="497" t="n"/>
      <c r="MQ90" s="593">
        <f>IF(AND(ML90:MP90),1,0)</f>
        <v/>
      </c>
    </row>
    <row r="91" ht="47.25" customHeight="1">
      <c r="A91" s="597" t="inlineStr">
        <is>
          <t>LA .F11__ +14.20</t>
        </is>
      </c>
      <c r="P91" s="592" t="n">
        <v>88</v>
      </c>
      <c r="Q91" s="497" t="n"/>
      <c r="S91" s="497" t="n"/>
      <c r="T91" s="497" t="n"/>
      <c r="U91" s="757">
        <f>Y37</f>
        <v/>
      </c>
      <c r="V91" s="497" t="n"/>
      <c r="W91" s="497" t="n"/>
      <c r="X91" s="497" t="n"/>
      <c r="Y91" s="593">
        <f>IF(AND(T91:X91),1,0)</f>
        <v/>
      </c>
      <c r="AF91" s="592" t="n">
        <v>88</v>
      </c>
      <c r="AG91" s="599" t="n"/>
      <c r="AH91" s="597" t="n"/>
      <c r="AI91" s="497" t="n"/>
      <c r="AJ91" s="497" t="n"/>
      <c r="AK91" s="619">
        <f>AO90</f>
        <v/>
      </c>
      <c r="AL91" s="497" t="n"/>
      <c r="AM91" s="497" t="n"/>
      <c r="AN91" s="497" t="n"/>
      <c r="AO91" s="593">
        <f>IF(AND(AJ91:AN91),1,0)</f>
        <v/>
      </c>
      <c r="BI91" s="592" t="n">
        <v>88</v>
      </c>
      <c r="BJ91" s="497" t="n"/>
      <c r="BK91" s="497" t="n"/>
      <c r="BL91" s="497" t="n"/>
      <c r="BM91" s="497" t="n"/>
      <c r="BN91" s="592">
        <f>BR90</f>
        <v/>
      </c>
      <c r="BO91" s="497" t="n"/>
      <c r="BP91" s="497" t="n"/>
      <c r="BQ91" s="497" t="n"/>
      <c r="BR91" s="593">
        <f>IF(AND(BM91:BQ91),1,0)</f>
        <v/>
      </c>
      <c r="BX91" s="592" t="n">
        <v>88</v>
      </c>
      <c r="BY91" s="497" t="n"/>
      <c r="BZ91" s="497" t="n"/>
      <c r="CA91" s="497" t="n"/>
      <c r="CB91" s="497" t="n"/>
      <c r="CC91" s="592">
        <f>CG90</f>
        <v/>
      </c>
      <c r="CD91" s="497" t="n"/>
      <c r="CE91" s="497" t="n"/>
      <c r="CF91" s="497" t="n"/>
      <c r="CG91" s="593">
        <f>IF(AND(CB91:CF91),1,0)</f>
        <v/>
      </c>
      <c r="GU91" s="592" t="n">
        <v>88</v>
      </c>
      <c r="GV91" s="597" t="n"/>
      <c r="GW91" s="724" t="n"/>
      <c r="GX91" s="497" t="n"/>
      <c r="GY91" s="497" t="n"/>
      <c r="GZ91" s="757">
        <f>HD90</f>
        <v/>
      </c>
      <c r="HA91" s="497" t="n"/>
      <c r="HB91" s="497" t="n"/>
      <c r="HC91" s="497" t="n"/>
      <c r="HD91" s="602">
        <f>IF(AND(GY91:HC91),1,0)</f>
        <v/>
      </c>
      <c r="LB91" s="592" t="n">
        <v>88</v>
      </c>
      <c r="LC91" s="497" t="n"/>
      <c r="LD91" s="724" t="n"/>
      <c r="LE91" s="497" t="n"/>
      <c r="LF91" s="724" t="n"/>
      <c r="LG91" s="724">
        <f>LK74</f>
        <v/>
      </c>
      <c r="LH91" s="724" t="n"/>
      <c r="LI91" s="497" t="n"/>
      <c r="LJ91" s="497" t="n"/>
      <c r="LK91" s="593">
        <f>IF(AND(LF91:LJ91),1,0)</f>
        <v/>
      </c>
      <c r="MH91" s="592" t="n">
        <v>88</v>
      </c>
      <c r="MI91" s="497" t="n"/>
      <c r="MJ91" s="724" t="n"/>
      <c r="MK91" s="497" t="n"/>
      <c r="ML91" s="724" t="n"/>
      <c r="MM91" s="612" t="n">
        <v>1</v>
      </c>
      <c r="MN91" s="724" t="n"/>
      <c r="MO91" s="497" t="n"/>
      <c r="MP91" s="497" t="n"/>
      <c r="MQ91" s="593">
        <f>IF(AND(ML91:MP91),1,0)</f>
        <v/>
      </c>
    </row>
    <row r="92">
      <c r="A92" s="497" t="n"/>
      <c r="B92" s="497" t="n"/>
      <c r="P92" s="592" t="n">
        <v>89</v>
      </c>
      <c r="Q92" s="497" t="n"/>
      <c r="R92" s="592" t="n"/>
      <c r="S92" s="497" t="n"/>
      <c r="T92" s="497" t="n"/>
      <c r="U92" s="757">
        <f>Y85</f>
        <v/>
      </c>
      <c r="V92" s="497">
        <f>Y91</f>
        <v/>
      </c>
      <c r="W92" s="497" t="n"/>
      <c r="X92" s="497" t="n"/>
      <c r="Y92" s="593">
        <f>IF(AND(T92:X92),1,0)</f>
        <v/>
      </c>
      <c r="AF92" s="592" t="n">
        <v>89</v>
      </c>
      <c r="AG92" s="599" t="n"/>
      <c r="AH92" s="597" t="n"/>
      <c r="AI92" s="497" t="n"/>
      <c r="AJ92" s="497" t="n"/>
      <c r="AK92" s="619">
        <f>AO38</f>
        <v/>
      </c>
      <c r="AL92" s="497" t="n"/>
      <c r="AM92" s="497" t="n"/>
      <c r="AN92" s="497" t="n"/>
      <c r="AO92" s="593">
        <f>IF(AND(AJ92:AN92),1,0)</f>
        <v/>
      </c>
      <c r="BI92" s="592" t="n">
        <v>89</v>
      </c>
      <c r="BJ92" s="497" t="n"/>
      <c r="BK92" s="497" t="n"/>
      <c r="BL92" s="497" t="n"/>
      <c r="BM92" s="497" t="n"/>
      <c r="BN92" s="598">
        <f>BU11</f>
        <v/>
      </c>
      <c r="BO92" s="497" t="n"/>
      <c r="BP92" s="497" t="n"/>
      <c r="BQ92" s="497" t="n"/>
      <c r="BR92" s="593">
        <f>IF(AND(BM92:BQ92),1,0)</f>
        <v/>
      </c>
      <c r="BX92" s="592" t="n">
        <v>89</v>
      </c>
      <c r="BY92" s="497" t="n"/>
      <c r="BZ92" s="497" t="n"/>
      <c r="CA92" s="497" t="n"/>
      <c r="CB92" s="497" t="n"/>
      <c r="CC92" s="598">
        <f>BU11</f>
        <v/>
      </c>
      <c r="CD92" s="497" t="n"/>
      <c r="CE92" s="497" t="n"/>
      <c r="CF92" s="497" t="n"/>
      <c r="CG92" s="593">
        <f>IF(AND(CB92:CF92),1,0)</f>
        <v/>
      </c>
      <c r="GU92" s="592" t="n">
        <v>89</v>
      </c>
      <c r="GV92" s="597" t="n"/>
      <c r="GW92" s="724" t="inlineStr">
        <is>
          <t>RAD OPEN</t>
        </is>
      </c>
      <c r="GX92" s="497" t="n"/>
      <c r="GY92" s="497" t="n"/>
      <c r="GZ92" s="600">
        <f>HG17</f>
        <v/>
      </c>
      <c r="HA92" s="497">
        <f>HD91</f>
        <v/>
      </c>
      <c r="HB92" s="497" t="n"/>
      <c r="HC92" s="497" t="n"/>
      <c r="HD92" s="602">
        <f>IF(AND(GY92:HC92),1,0)</f>
        <v/>
      </c>
      <c r="LB92" s="592" t="n">
        <v>89</v>
      </c>
      <c r="LC92" s="497" t="n"/>
      <c r="LD92" s="724" t="n"/>
      <c r="LE92" s="497" t="n"/>
      <c r="LF92" s="724" t="n"/>
      <c r="LG92" s="724">
        <f>LK133</f>
        <v/>
      </c>
      <c r="LH92" s="724" t="n"/>
      <c r="LI92" s="497" t="n"/>
      <c r="LJ92" s="497" t="n"/>
      <c r="LK92" s="593">
        <f>IF(AND(LF92:LJ92),1,0)</f>
        <v/>
      </c>
      <c r="MH92" s="592" t="n">
        <v>89</v>
      </c>
      <c r="MI92" s="497" t="n"/>
      <c r="MJ92" s="724" t="n"/>
      <c r="MK92" s="497" t="n"/>
      <c r="ML92" s="724" t="n"/>
      <c r="MM92" s="724">
        <f>MQ91</f>
        <v/>
      </c>
      <c r="MN92" s="724" t="n"/>
      <c r="MO92" s="497" t="n"/>
      <c r="MP92" s="497" t="n"/>
      <c r="MQ92" s="593">
        <f>IF(AND(ML92:MP92),1,0)</f>
        <v/>
      </c>
    </row>
    <row r="93">
      <c r="A93" s="497" t="n"/>
      <c r="B93" s="497" t="n"/>
      <c r="P93" s="592" t="n">
        <v>90</v>
      </c>
      <c r="Q93" s="497" t="n"/>
      <c r="R93" s="592" t="n"/>
      <c r="S93" s="497" t="n"/>
      <c r="T93" s="497" t="n"/>
      <c r="U93" s="757">
        <f>Y87</f>
        <v/>
      </c>
      <c r="V93" s="497" t="n"/>
      <c r="W93" s="497" t="n"/>
      <c r="X93" s="497" t="n"/>
      <c r="Y93" s="593">
        <f>IF(AND(T93:X93),1,0)</f>
        <v/>
      </c>
      <c r="AF93" s="592" t="n">
        <v>90</v>
      </c>
      <c r="AG93" s="599" t="n"/>
      <c r="AH93" s="597" t="n"/>
      <c r="AI93" s="497" t="n"/>
      <c r="AJ93" s="497" t="n"/>
      <c r="AK93" s="619">
        <f>AO86</f>
        <v/>
      </c>
      <c r="AL93" s="497">
        <f>AO92</f>
        <v/>
      </c>
      <c r="AM93" s="497" t="n"/>
      <c r="AN93" s="497" t="n"/>
      <c r="AO93" s="593">
        <f>IF(AND(AJ93:AN93),1,0)</f>
        <v/>
      </c>
      <c r="BI93" s="592" t="n">
        <v>90</v>
      </c>
      <c r="BJ93" s="497" t="n"/>
      <c r="BK93" s="497" t="n"/>
      <c r="BL93" s="497" t="n"/>
      <c r="BM93" s="497" t="n"/>
      <c r="BN93" s="592">
        <f>BR92</f>
        <v/>
      </c>
      <c r="BO93" s="497" t="n"/>
      <c r="BP93" s="497" t="n"/>
      <c r="BQ93" s="497" t="n"/>
      <c r="BR93" s="593">
        <f>IF(AND(BM93:BQ93),1,0)</f>
        <v/>
      </c>
      <c r="BX93" s="592" t="n">
        <v>90</v>
      </c>
      <c r="BY93" s="497" t="n"/>
      <c r="BZ93" s="497" t="n"/>
      <c r="CA93" s="497" t="n"/>
      <c r="CB93" s="497" t="n"/>
      <c r="CC93" s="592">
        <f>CG92</f>
        <v/>
      </c>
      <c r="CD93" s="497" t="n"/>
      <c r="CE93" s="497" t="n"/>
      <c r="CF93" s="497" t="n"/>
      <c r="CG93" s="593">
        <f>IF(AND(CB93:CF93),1,0)</f>
        <v/>
      </c>
      <c r="GU93" s="592" t="n">
        <v>90</v>
      </c>
      <c r="GV93" s="597" t="n"/>
      <c r="GW93" s="724" t="n"/>
      <c r="GX93" s="497" t="n"/>
      <c r="GY93" s="497" t="n"/>
      <c r="GZ93" s="757">
        <f>HD86</f>
        <v/>
      </c>
      <c r="HA93" s="497">
        <f>HD92</f>
        <v/>
      </c>
      <c r="HB93" s="497" t="n"/>
      <c r="HC93" s="497" t="n"/>
      <c r="HD93" s="602">
        <f>IF(AND(GY93:HC93),1,0)</f>
        <v/>
      </c>
      <c r="LB93" s="592" t="n">
        <v>90</v>
      </c>
      <c r="LC93" s="497" t="n"/>
      <c r="LD93" s="724" t="n"/>
      <c r="LE93" s="497" t="n"/>
      <c r="LF93" s="724" t="n"/>
      <c r="LG93" s="724">
        <f>LK135</f>
        <v/>
      </c>
      <c r="LH93" s="724" t="n"/>
      <c r="LI93" s="497" t="n"/>
      <c r="LJ93" s="497" t="n"/>
      <c r="LK93" s="593">
        <f>IF(AND(LF93:LJ93),1,0)</f>
        <v/>
      </c>
      <c r="MH93" s="592" t="n">
        <v>90</v>
      </c>
      <c r="MI93" s="497" t="n"/>
      <c r="MJ93" s="724" t="n"/>
      <c r="MK93" s="497" t="n"/>
      <c r="ML93" s="724" t="n"/>
      <c r="MM93" s="724">
        <f>MQ94</f>
        <v/>
      </c>
      <c r="MN93" s="724" t="n"/>
      <c r="MO93" s="497" t="n"/>
      <c r="MP93" s="497" t="n"/>
      <c r="MQ93" s="593">
        <f>IF(AND(ML93:MP93),1,0)</f>
        <v/>
      </c>
    </row>
    <row r="94">
      <c r="A94" s="497" t="n"/>
      <c r="B94" s="497" t="n"/>
      <c r="P94" s="592" t="n">
        <v>91</v>
      </c>
      <c r="Q94" s="497" t="n"/>
      <c r="R94" s="592" t="n"/>
      <c r="S94" s="497" t="n"/>
      <c r="T94" s="497" t="n"/>
      <c r="U94" s="757">
        <f>Y89</f>
        <v/>
      </c>
      <c r="V94" s="497">
        <f>Y93</f>
        <v/>
      </c>
      <c r="W94" s="497" t="n"/>
      <c r="X94" s="497" t="n"/>
      <c r="Y94" s="593">
        <f>IF(AND(T94:X94),1,0)</f>
        <v/>
      </c>
      <c r="AF94" s="592" t="n">
        <v>91</v>
      </c>
      <c r="AG94" s="599" t="n"/>
      <c r="AH94" s="597" t="n"/>
      <c r="AI94" s="497" t="n"/>
      <c r="AJ94" s="497" t="n"/>
      <c r="AK94" s="619">
        <f>AO88</f>
        <v/>
      </c>
      <c r="AL94" s="497">
        <f>AO93</f>
        <v/>
      </c>
      <c r="AM94" s="497" t="n"/>
      <c r="AN94" s="497" t="n"/>
      <c r="AO94" s="593">
        <f>IF(AND(AJ94:AN94),1,0)</f>
        <v/>
      </c>
      <c r="BI94" s="592" t="n">
        <v>91</v>
      </c>
      <c r="BJ94" s="497" t="n"/>
      <c r="BK94" s="497" t="n"/>
      <c r="BL94" s="497" t="n"/>
      <c r="BM94" s="497" t="n"/>
      <c r="BN94" s="609">
        <f>BR93</f>
        <v/>
      </c>
      <c r="BO94" s="497" t="n"/>
      <c r="BP94" s="497" t="n"/>
      <c r="BQ94" s="497" t="n"/>
      <c r="BR94" s="593">
        <f>IF(AND(BM94:BQ94),1,0)</f>
        <v/>
      </c>
      <c r="BX94" s="592" t="n">
        <v>91</v>
      </c>
      <c r="BY94" s="497" t="n"/>
      <c r="BZ94" s="497" t="n"/>
      <c r="CA94" s="497" t="n"/>
      <c r="CB94" s="497" t="n"/>
      <c r="CC94" s="609">
        <f>CG93</f>
        <v/>
      </c>
      <c r="CD94" s="497" t="n"/>
      <c r="CE94" s="497" t="n"/>
      <c r="CF94" s="497" t="n"/>
      <c r="CG94" s="593">
        <f>IF(AND(CB94:CF94),1,0)</f>
        <v/>
      </c>
      <c r="GZ94" s="742" t="n"/>
      <c r="HD94" s="742" t="n"/>
      <c r="LB94" s="592" t="n">
        <v>91</v>
      </c>
      <c r="LC94" s="497" t="n"/>
      <c r="LD94" s="724" t="n"/>
      <c r="LE94" s="497" t="n"/>
      <c r="LF94" s="724" t="n"/>
      <c r="LG94" s="724">
        <f>LK74</f>
        <v/>
      </c>
      <c r="LH94" s="724" t="n"/>
      <c r="LI94" s="497" t="n"/>
      <c r="LJ94" s="497" t="n"/>
      <c r="LK94" s="593">
        <f>IF(AND(LF94:LJ94),1,0)</f>
        <v/>
      </c>
      <c r="MH94" s="592" t="n">
        <v>91</v>
      </c>
      <c r="MI94" s="497" t="n"/>
      <c r="MJ94" s="724" t="inlineStr">
        <is>
          <t>SMDR</t>
        </is>
      </c>
      <c r="MK94" s="497" t="n"/>
      <c r="ML94" s="724" t="n"/>
      <c r="MM94" s="605">
        <f>IF(OR('DATA TRANSFER'!M12),1,0)</f>
        <v/>
      </c>
      <c r="MN94" s="724" t="n"/>
      <c r="MO94" s="497" t="n"/>
      <c r="MP94" s="497" t="n"/>
      <c r="MQ94" s="593">
        <f>IF(AND(ML94:MP94),1,0)</f>
        <v/>
      </c>
    </row>
    <row r="95" ht="31.5" customHeight="1">
      <c r="A95" s="597" t="inlineStr">
        <is>
          <t>LA .A03-X06</t>
        </is>
      </c>
      <c r="B95" s="592" t="n"/>
      <c r="P95" s="592" t="n">
        <v>92</v>
      </c>
      <c r="Q95" s="497" t="n"/>
      <c r="R95" s="592" t="n"/>
      <c r="S95" s="497" t="n"/>
      <c r="T95" s="497" t="n"/>
      <c r="U95" s="757">
        <f>Y40</f>
        <v/>
      </c>
      <c r="V95" s="497" t="n"/>
      <c r="W95" s="497" t="n"/>
      <c r="X95" s="497" t="n"/>
      <c r="Y95" s="593">
        <f>IF(AND(T95:X95),1,0)</f>
        <v/>
      </c>
      <c r="AF95" s="592" t="n">
        <v>92</v>
      </c>
      <c r="AG95" s="599" t="n"/>
      <c r="AH95" s="597" t="n"/>
      <c r="AI95" s="497" t="n"/>
      <c r="AJ95" s="497" t="n"/>
      <c r="AK95" s="619">
        <f>AO90</f>
        <v/>
      </c>
      <c r="AL95" s="497">
        <f>AO94</f>
        <v/>
      </c>
      <c r="AM95" s="497" t="n"/>
      <c r="AN95" s="497" t="n"/>
      <c r="AO95" s="593">
        <f>IF(AND(AJ95:AN95),1,0)</f>
        <v/>
      </c>
      <c r="BI95" s="592" t="n">
        <v>92</v>
      </c>
      <c r="BJ95" s="497" t="n"/>
      <c r="BK95" s="497" t="n"/>
      <c r="BL95" s="497" t="n"/>
      <c r="BM95" s="497" t="n"/>
      <c r="BN95" s="592">
        <f>BR94</f>
        <v/>
      </c>
      <c r="BO95" s="497" t="n"/>
      <c r="BP95" s="497" t="n"/>
      <c r="BQ95" s="497" t="n"/>
      <c r="BR95" s="593">
        <f>IF(AND(BM95:BQ95),1,0)</f>
        <v/>
      </c>
      <c r="BX95" s="592" t="n">
        <v>92</v>
      </c>
      <c r="BY95" s="497" t="n"/>
      <c r="BZ95" s="497" t="n"/>
      <c r="CA95" s="497" t="n"/>
      <c r="CB95" s="497" t="n"/>
      <c r="CC95" s="592">
        <f>CG94</f>
        <v/>
      </c>
      <c r="CD95" s="497" t="n"/>
      <c r="CE95" s="497" t="n"/>
      <c r="CF95" s="497" t="n"/>
      <c r="CG95" s="593">
        <f>IF(AND(CB95:CF95),1,0)</f>
        <v/>
      </c>
      <c r="GZ95" s="742" t="n"/>
      <c r="HD95" s="742" t="n"/>
      <c r="LB95" s="592" t="n">
        <v>92</v>
      </c>
      <c r="LC95" s="497" t="n"/>
      <c r="LD95" s="724" t="n"/>
      <c r="LE95" s="497" t="n"/>
      <c r="LF95" s="724" t="n"/>
      <c r="LG95" s="724">
        <f>LK141</f>
        <v/>
      </c>
      <c r="LH95" s="724" t="n"/>
      <c r="LI95" s="497" t="n"/>
      <c r="LJ95" s="497" t="n"/>
      <c r="LK95" s="593">
        <f>IF(AND(LF95:LJ95),1,0)</f>
        <v/>
      </c>
      <c r="MH95" s="592" t="n">
        <v>92</v>
      </c>
      <c r="MI95" s="497" t="n"/>
      <c r="MJ95" s="724" t="n"/>
      <c r="MK95" s="497" t="n"/>
      <c r="ML95" s="724" t="n"/>
      <c r="MM95" s="724">
        <f>MQ96</f>
        <v/>
      </c>
      <c r="MN95" s="724" t="n"/>
      <c r="MO95" s="497" t="n"/>
      <c r="MP95" s="497" t="n"/>
      <c r="MQ95" s="593">
        <f>IF(AND(ML95:MP95),1,0)</f>
        <v/>
      </c>
    </row>
    <row r="96" ht="57.75" customHeight="1">
      <c r="A96" s="497" t="n"/>
      <c r="B96" s="497" t="n"/>
      <c r="P96" s="592" t="n">
        <v>93</v>
      </c>
      <c r="Q96" s="497" t="n"/>
      <c r="R96" s="592" t="n"/>
      <c r="S96" s="497" t="n"/>
      <c r="T96" s="497" t="n"/>
      <c r="U96" s="757">
        <f>Y85</f>
        <v/>
      </c>
      <c r="V96" s="497">
        <f>Y95</f>
        <v/>
      </c>
      <c r="W96" s="497" t="n"/>
      <c r="X96" s="497" t="n"/>
      <c r="Y96" s="593">
        <f>IF(AND(T96:X96),1,0)</f>
        <v/>
      </c>
      <c r="AF96" s="592" t="n">
        <v>93</v>
      </c>
      <c r="AG96" s="599" t="n"/>
      <c r="AH96" s="597" t="n"/>
      <c r="AI96" s="497" t="n"/>
      <c r="AJ96" s="497" t="n"/>
      <c r="AK96" s="619">
        <f>AO41</f>
        <v/>
      </c>
      <c r="AL96" s="497" t="n"/>
      <c r="AM96" s="497" t="n"/>
      <c r="AN96" s="497" t="n"/>
      <c r="AO96" s="593">
        <f>IF(AND(AJ96:AN96),1,0)</f>
        <v/>
      </c>
      <c r="BI96" s="592" t="n">
        <v>93</v>
      </c>
      <c r="BJ96" s="497" t="n"/>
      <c r="BK96" s="629" t="inlineStr">
        <is>
          <t>RETURN AIR DAMPER</t>
        </is>
      </c>
      <c r="BL96" s="497" t="n"/>
      <c r="BM96" s="497" t="n"/>
      <c r="BN96" s="604">
        <f>BU11</f>
        <v/>
      </c>
      <c r="BO96" s="497">
        <f>BR77</f>
        <v/>
      </c>
      <c r="BP96" s="497">
        <f>BR81</f>
        <v/>
      </c>
      <c r="BQ96" s="497">
        <f>BR83</f>
        <v/>
      </c>
      <c r="BR96" s="593">
        <f>IF(AND(BM96:BQ96),1,0)</f>
        <v/>
      </c>
      <c r="BX96" s="592" t="n">
        <v>93</v>
      </c>
      <c r="BY96" s="497" t="n"/>
      <c r="BZ96" s="629" t="inlineStr">
        <is>
          <t>RETURN AIR DAMPER</t>
        </is>
      </c>
      <c r="CA96" s="497" t="n"/>
      <c r="CB96" s="497" t="n"/>
      <c r="CC96" s="604">
        <f>BU11</f>
        <v/>
      </c>
      <c r="CD96" s="497">
        <f>CG77</f>
        <v/>
      </c>
      <c r="CE96" s="497">
        <f>CG81</f>
        <v/>
      </c>
      <c r="CF96" s="497">
        <f>CG83</f>
        <v/>
      </c>
      <c r="CG96" s="593">
        <f>IF(AND(CB96:CF96),1,0)</f>
        <v/>
      </c>
      <c r="GZ96" s="742" t="n"/>
      <c r="HD96" s="742" t="n"/>
      <c r="LB96" s="592" t="n">
        <v>93</v>
      </c>
      <c r="LC96" s="497" t="n"/>
      <c r="LD96" s="724" t="n"/>
      <c r="LE96" s="497" t="n"/>
      <c r="LF96" s="724" t="n"/>
      <c r="LG96" s="724">
        <f>LK143</f>
        <v/>
      </c>
      <c r="LH96" s="724" t="n"/>
      <c r="LI96" s="497" t="n"/>
      <c r="LJ96" s="497" t="n"/>
      <c r="LK96" s="593">
        <f>IF(AND(LF96:LJ96),1,0)</f>
        <v/>
      </c>
      <c r="MH96" s="592" t="n">
        <v>93</v>
      </c>
      <c r="MI96" s="497" t="n"/>
      <c r="MJ96" s="724" t="inlineStr">
        <is>
          <t>SMDR</t>
        </is>
      </c>
      <c r="MK96" s="497" t="n"/>
      <c r="ML96" s="724" t="n"/>
      <c r="MM96" s="605">
        <f>IF(OR('DATA TRANSFER'!M12),1,0)</f>
        <v/>
      </c>
      <c r="MN96" s="724" t="n"/>
      <c r="MO96" s="497" t="n"/>
      <c r="MP96" s="497" t="n"/>
      <c r="MQ96" s="593">
        <f>IF(AND(ML96:MP96),1,0)</f>
        <v/>
      </c>
    </row>
    <row r="97">
      <c r="A97" s="592" t="n"/>
      <c r="P97" s="592" t="n">
        <v>94</v>
      </c>
      <c r="Q97" s="497" t="n"/>
      <c r="R97" s="592" t="n"/>
      <c r="S97" s="497" t="n"/>
      <c r="T97" s="497" t="n"/>
      <c r="U97" s="757">
        <f>Y87</f>
        <v/>
      </c>
      <c r="V97" s="497">
        <f>Y96</f>
        <v/>
      </c>
      <c r="W97" s="497" t="n"/>
      <c r="X97" s="497" t="n"/>
      <c r="Y97" s="593">
        <f>IF(AND(T97:X97),1,0)</f>
        <v/>
      </c>
      <c r="AF97" s="592" t="n">
        <v>94</v>
      </c>
      <c r="AG97" s="599" t="n"/>
      <c r="AH97" s="597" t="n"/>
      <c r="AI97" s="497" t="n"/>
      <c r="AJ97" s="497" t="n"/>
      <c r="AK97" s="609">
        <f>AO86</f>
        <v/>
      </c>
      <c r="AL97" s="497">
        <f>AO96</f>
        <v/>
      </c>
      <c r="AM97" s="497" t="n"/>
      <c r="AN97" s="497" t="n"/>
      <c r="AO97" s="593">
        <f>IF(AND(AJ97:AN97),1,0)</f>
        <v/>
      </c>
      <c r="BI97" s="592" t="n">
        <v>94</v>
      </c>
      <c r="BJ97" s="497" t="n"/>
      <c r="BK97" s="592" t="n"/>
      <c r="BL97" s="497" t="n"/>
      <c r="BM97" s="497" t="n"/>
      <c r="BN97" s="592">
        <f>BR96</f>
        <v/>
      </c>
      <c r="BO97" s="497" t="n"/>
      <c r="BP97" s="497" t="n"/>
      <c r="BQ97" s="497" t="n"/>
      <c r="BR97" s="593">
        <f>IF(AND(BM97:BQ97),1,0)</f>
        <v/>
      </c>
      <c r="BX97" s="592" t="n">
        <v>94</v>
      </c>
      <c r="BY97" s="497" t="n"/>
      <c r="BZ97" s="592" t="n"/>
      <c r="CA97" s="497" t="n"/>
      <c r="CB97" s="497" t="n"/>
      <c r="CC97" s="592">
        <f>CG96</f>
        <v/>
      </c>
      <c r="CD97" s="497" t="n"/>
      <c r="CE97" s="497" t="n"/>
      <c r="CF97" s="497" t="n"/>
      <c r="CG97" s="593">
        <f>IF(AND(CB97:CF97),1,0)</f>
        <v/>
      </c>
      <c r="GZ97" s="742" t="n"/>
      <c r="HD97" s="742" t="n"/>
      <c r="LB97" s="592" t="n">
        <v>94</v>
      </c>
      <c r="LC97" s="497" t="n"/>
      <c r="LD97" s="724" t="n"/>
      <c r="LE97" s="497" t="n"/>
      <c r="LF97" s="724" t="n"/>
      <c r="LG97" s="605">
        <f>LN32</f>
        <v/>
      </c>
      <c r="LH97" s="724">
        <f>LK96</f>
        <v/>
      </c>
      <c r="LI97" s="497" t="n"/>
      <c r="LJ97" s="497" t="n"/>
      <c r="LK97" s="593">
        <f>IF(AND(LF97:LJ97),1,0)</f>
        <v/>
      </c>
      <c r="MH97" s="592" t="n">
        <v>94</v>
      </c>
      <c r="MI97" s="497" t="n"/>
      <c r="MJ97" s="724" t="n"/>
      <c r="MK97" s="497" t="n"/>
      <c r="ML97" s="724" t="n"/>
      <c r="MM97" s="612" t="n">
        <v>1</v>
      </c>
      <c r="MN97" s="724" t="n"/>
      <c r="MO97" s="497" t="n"/>
      <c r="MP97" s="497" t="n"/>
      <c r="MQ97" s="593">
        <f>IF(AND(ML97:MP97),1,0)</f>
        <v/>
      </c>
    </row>
    <row r="98">
      <c r="A98" s="497" t="n"/>
      <c r="B98" s="497" t="n"/>
      <c r="P98" s="592" t="n">
        <v>95</v>
      </c>
      <c r="Q98" s="497" t="n"/>
      <c r="R98" s="592" t="n"/>
      <c r="S98" s="497" t="n"/>
      <c r="T98" s="497" t="n"/>
      <c r="U98" s="757">
        <f>Y89</f>
        <v/>
      </c>
      <c r="V98" s="497">
        <f>Y97</f>
        <v/>
      </c>
      <c r="W98" s="497" t="n"/>
      <c r="X98" s="497" t="n"/>
      <c r="Y98" s="593">
        <f>IF(AND(T98:X98),1,0)</f>
        <v/>
      </c>
      <c r="AF98" s="592" t="n">
        <v>95</v>
      </c>
      <c r="AG98" s="599" t="n"/>
      <c r="AH98" s="597" t="n"/>
      <c r="AI98" s="497" t="n"/>
      <c r="AJ98" s="497" t="n"/>
      <c r="AK98" s="609">
        <f>AO88</f>
        <v/>
      </c>
      <c r="AL98" s="592">
        <f>AO97</f>
        <v/>
      </c>
      <c r="AM98" s="497" t="n"/>
      <c r="AN98" s="497" t="n"/>
      <c r="AO98" s="593">
        <f>IF(AND(AJ98:AN98),1,0)</f>
        <v/>
      </c>
      <c r="GZ98" s="742" t="n"/>
      <c r="HD98" s="742" t="n"/>
      <c r="LB98" s="592" t="n">
        <v>95</v>
      </c>
      <c r="LC98" s="497" t="n"/>
      <c r="LD98" s="724" t="n"/>
      <c r="LE98" s="497" t="n"/>
      <c r="LF98" s="724" t="n"/>
      <c r="LG98" s="614">
        <f>LN36</f>
        <v/>
      </c>
      <c r="LH98" s="724" t="n"/>
      <c r="LI98" s="497" t="n"/>
      <c r="LJ98" s="497" t="n"/>
      <c r="LK98" s="593">
        <f>IF(AND(LF98:LJ98),1,0)</f>
        <v/>
      </c>
      <c r="MH98" s="592" t="n">
        <v>95</v>
      </c>
      <c r="MI98" s="497" t="n"/>
      <c r="MJ98" s="724" t="inlineStr">
        <is>
          <t>FADR</t>
        </is>
      </c>
      <c r="MK98" s="497" t="n"/>
      <c r="ML98" s="724" t="n"/>
      <c r="MM98" s="605">
        <f>MT13</f>
        <v/>
      </c>
      <c r="MN98" s="724" t="n"/>
      <c r="MO98" s="497" t="n"/>
      <c r="MP98" s="497" t="n"/>
      <c r="MQ98" s="593">
        <f>IF(AND(ML98:MP98),1,0)</f>
        <v/>
      </c>
    </row>
    <row r="99" ht="20.25" customHeight="1">
      <c r="A99" s="592" t="n"/>
      <c r="B99" s="497" t="n"/>
      <c r="P99" s="592" t="n">
        <v>96</v>
      </c>
      <c r="Q99" s="497" t="n"/>
      <c r="R99" s="597" t="inlineStr">
        <is>
          <t>COMPRESSOR 4 (3A) Pa=7.5kW P.f=0.77</t>
        </is>
      </c>
      <c r="S99" s="497" t="n"/>
      <c r="T99" s="497" t="n"/>
      <c r="U99" s="613">
        <f>AB20</f>
        <v/>
      </c>
      <c r="V99" s="497">
        <f>Y90</f>
        <v/>
      </c>
      <c r="W99" s="497">
        <f>Y94</f>
        <v/>
      </c>
      <c r="X99" s="497">
        <f>Y98</f>
        <v/>
      </c>
      <c r="Y99" s="593">
        <f>IF(AND(T99:X99),1,0)</f>
        <v/>
      </c>
      <c r="AF99" s="592" t="n">
        <v>96</v>
      </c>
      <c r="AG99" s="599" t="n"/>
      <c r="AH99" s="597" t="n"/>
      <c r="AI99" s="497" t="n"/>
      <c r="AJ99" s="497" t="n"/>
      <c r="AK99" s="630">
        <f>AO90</f>
        <v/>
      </c>
      <c r="AL99" s="497">
        <f>AO98</f>
        <v/>
      </c>
      <c r="AM99" s="497" t="n"/>
      <c r="AN99" s="497" t="n"/>
      <c r="AO99" s="593">
        <f>IF(AND(AJ99:AN99),1,0)</f>
        <v/>
      </c>
      <c r="GZ99" s="742" t="n"/>
      <c r="HD99" s="742" t="n"/>
      <c r="LB99" s="592" t="n">
        <v>96</v>
      </c>
      <c r="LC99" s="497" t="n"/>
      <c r="LD99" s="724" t="n"/>
      <c r="LE99" s="497" t="n"/>
      <c r="LF99" s="724" t="n"/>
      <c r="LG99" s="724">
        <f>LK98</f>
        <v/>
      </c>
      <c r="LH99" s="724" t="n"/>
      <c r="LI99" s="497" t="n"/>
      <c r="LJ99" s="497" t="n"/>
      <c r="LK99" s="593">
        <f>IF(AND(LF99:LJ99),1,0)</f>
        <v/>
      </c>
      <c r="MH99" s="592" t="n">
        <v>96</v>
      </c>
      <c r="MI99" s="497" t="n"/>
      <c r="MJ99" s="724" t="inlineStr">
        <is>
          <t>SFC OFF</t>
        </is>
      </c>
      <c r="MK99" s="497" t="n"/>
      <c r="ML99" s="724" t="n"/>
      <c r="MM99" s="605">
        <f>MT15</f>
        <v/>
      </c>
      <c r="MN99" s="724" t="n"/>
      <c r="MO99" s="497" t="n"/>
      <c r="MP99" s="497" t="n"/>
      <c r="MQ99" s="593">
        <f>IF(AND(ML99:MP99),1,0)</f>
        <v/>
      </c>
    </row>
    <row r="100" ht="31.5" customHeight="1">
      <c r="A100" s="597" t="inlineStr">
        <is>
          <t>LA .S03_ +14.30</t>
        </is>
      </c>
      <c r="B100" s="757" t="inlineStr">
        <is>
          <t>CACS</t>
        </is>
      </c>
      <c r="P100" s="592" t="n">
        <v>97</v>
      </c>
      <c r="Q100" s="497" t="n"/>
      <c r="R100" s="592" t="inlineStr">
        <is>
          <t>GROUND</t>
        </is>
      </c>
      <c r="S100" s="497" t="n"/>
      <c r="T100" s="497" t="n"/>
      <c r="U100" s="757" t="n">
        <v>1</v>
      </c>
      <c r="V100" s="497" t="n"/>
      <c r="W100" s="497" t="n"/>
      <c r="X100" s="497" t="n"/>
      <c r="Y100" s="593">
        <f>IF(AND(T100:X100),1,0)</f>
        <v/>
      </c>
      <c r="AF100" s="592" t="n">
        <v>97</v>
      </c>
      <c r="AG100" s="599" t="n"/>
      <c r="AH100" s="597" t="inlineStr">
        <is>
          <t>COMPRESSOR 4 (3A) Pa=7.5kW P.f=0.75</t>
        </is>
      </c>
      <c r="AI100" s="497" t="n"/>
      <c r="AJ100" s="497" t="n"/>
      <c r="AK100" s="604">
        <f>AB20</f>
        <v/>
      </c>
      <c r="AL100" s="497" t="n"/>
      <c r="AM100" s="497" t="n"/>
      <c r="AN100" s="497" t="n"/>
      <c r="AO100" s="593">
        <f>IF(AND(AJ100:AN100),1,0)</f>
        <v/>
      </c>
      <c r="GZ100" s="742" t="n"/>
      <c r="HD100" s="742" t="n"/>
      <c r="LB100" s="592" t="n">
        <v>97</v>
      </c>
      <c r="LC100" s="497" t="n"/>
      <c r="LD100" s="724" t="n"/>
      <c r="LE100" s="497" t="n"/>
      <c r="LF100" s="724" t="n"/>
      <c r="LG100" s="724">
        <f>LK99</f>
        <v/>
      </c>
      <c r="LH100" s="724" t="n"/>
      <c r="LI100" s="497" t="n"/>
      <c r="LJ100" s="497" t="n"/>
      <c r="LK100" s="593">
        <f>IF(AND(LF100:LJ100),1,0)</f>
        <v/>
      </c>
      <c r="MH100" s="592" t="n">
        <v>97</v>
      </c>
      <c r="MI100" s="497" t="n"/>
      <c r="MJ100" s="724" t="n"/>
      <c r="MK100" s="497" t="n"/>
      <c r="ML100" s="724" t="n"/>
      <c r="MM100" s="724">
        <f>MQ101</f>
        <v/>
      </c>
      <c r="MN100" s="724" t="n"/>
      <c r="MO100" s="497" t="n"/>
      <c r="MP100" s="497" t="n"/>
      <c r="MQ100" s="593">
        <f>IF(AND(ML100:MP100),1,0)</f>
        <v/>
      </c>
    </row>
    <row r="101">
      <c r="A101" s="497" t="n"/>
      <c r="B101" s="497" t="n"/>
      <c r="P101" s="592" t="n">
        <v>98</v>
      </c>
      <c r="Q101" s="497" t="n"/>
      <c r="R101" s="592" t="n"/>
      <c r="S101" s="497" t="n"/>
      <c r="T101" s="497" t="n"/>
      <c r="U101" s="757">
        <f>Y34</f>
        <v/>
      </c>
      <c r="V101" s="497" t="n"/>
      <c r="W101" s="497" t="n"/>
      <c r="X101" s="497" t="n"/>
      <c r="Y101" s="593">
        <f>IF(AND(T101:X101),1,0)</f>
        <v/>
      </c>
      <c r="AF101" s="592" t="n">
        <v>98</v>
      </c>
      <c r="AG101" s="599" t="n"/>
      <c r="AH101" s="597" t="inlineStr">
        <is>
          <t>GROUND</t>
        </is>
      </c>
      <c r="AI101" s="497" t="n"/>
      <c r="AJ101" s="497" t="n"/>
      <c r="AK101" s="619" t="n">
        <v>1</v>
      </c>
      <c r="AL101" s="497" t="n"/>
      <c r="AM101" s="497" t="n"/>
      <c r="AN101" s="497" t="n"/>
      <c r="AO101" s="593">
        <f>IF(AND(AJ101:AN101),1,0)</f>
        <v/>
      </c>
      <c r="GZ101" s="742" t="n"/>
      <c r="HD101" s="742" t="n"/>
      <c r="LB101" s="592" t="n">
        <v>98</v>
      </c>
      <c r="LC101" s="497" t="n"/>
      <c r="LD101" s="724" t="inlineStr">
        <is>
          <t>CMPB1 13 A</t>
        </is>
      </c>
      <c r="LE101" s="497" t="n"/>
      <c r="LF101" s="724" t="n"/>
      <c r="LG101" s="605">
        <f>LN17</f>
        <v/>
      </c>
      <c r="LH101" s="724">
        <f>LK36</f>
        <v/>
      </c>
      <c r="LI101" s="497">
        <f>LK75</f>
        <v/>
      </c>
      <c r="LJ101" s="497">
        <f>LK100</f>
        <v/>
      </c>
      <c r="LK101" s="593">
        <f>IF(AND(LF101:LJ101),1,0)</f>
        <v/>
      </c>
      <c r="MH101" s="592" t="n">
        <v>98</v>
      </c>
      <c r="MI101" s="497" t="n"/>
      <c r="MJ101" s="724" t="inlineStr">
        <is>
          <t>110 V DC</t>
        </is>
      </c>
      <c r="MK101" s="497" t="n"/>
      <c r="ML101" s="724" t="n"/>
      <c r="MM101" s="605">
        <f>MT6</f>
        <v/>
      </c>
      <c r="MN101" s="724" t="n"/>
      <c r="MO101" s="497" t="n"/>
      <c r="MP101" s="497" t="n"/>
      <c r="MQ101" s="593">
        <f>IF(AND(ML101:MP101),1,0)</f>
        <v/>
      </c>
    </row>
    <row r="102">
      <c r="A102" s="497" t="n"/>
      <c r="B102" s="497" t="n"/>
      <c r="P102" s="592" t="n">
        <v>99</v>
      </c>
      <c r="Q102" s="497" t="n"/>
      <c r="R102" s="592" t="inlineStr">
        <is>
          <t>CDFB 4,63A</t>
        </is>
      </c>
      <c r="S102" s="497" t="n"/>
      <c r="T102" s="497" t="n"/>
      <c r="U102" s="613">
        <f>AB22</f>
        <v/>
      </c>
      <c r="V102" s="497">
        <f>Y101</f>
        <v/>
      </c>
      <c r="W102" s="497">
        <f>Y106</f>
        <v/>
      </c>
      <c r="X102" s="497">
        <f>Y109</f>
        <v/>
      </c>
      <c r="Y102" s="593">
        <f>IF(AND(T102:X102),1,0)</f>
        <v/>
      </c>
      <c r="AF102" s="592" t="n">
        <v>99</v>
      </c>
      <c r="AG102" s="599" t="n"/>
      <c r="AH102" s="597" t="n"/>
      <c r="AI102" s="497" t="n"/>
      <c r="AJ102" s="497" t="n"/>
      <c r="AK102" s="609">
        <f>AO35</f>
        <v/>
      </c>
      <c r="AL102" s="497" t="n"/>
      <c r="AM102" s="497" t="n"/>
      <c r="AN102" s="497" t="n"/>
      <c r="AO102" s="593">
        <f>IF(AND(AJ102:AN102),1,0)</f>
        <v/>
      </c>
      <c r="GZ102" s="742" t="n"/>
      <c r="HD102" s="742" t="n"/>
      <c r="LB102" s="592" t="n">
        <v>99</v>
      </c>
      <c r="LC102" s="497" t="n"/>
      <c r="LD102" s="724" t="n"/>
      <c r="LE102" s="497" t="n"/>
      <c r="LF102" s="724" t="n"/>
      <c r="LG102" s="724">
        <f>LK101</f>
        <v/>
      </c>
      <c r="LH102" s="724" t="n"/>
      <c r="LI102" s="497" t="n"/>
      <c r="LJ102" s="497" t="n"/>
      <c r="LK102" s="593">
        <f>IF(AND(LF102:LJ102),1,0)</f>
        <v/>
      </c>
      <c r="MH102" s="592" t="n">
        <v>99</v>
      </c>
      <c r="MI102" s="497" t="n"/>
      <c r="MJ102" s="724" t="n"/>
      <c r="MK102" s="497" t="n"/>
      <c r="ML102" s="724" t="n"/>
      <c r="MM102" s="724">
        <f>MQ101</f>
        <v/>
      </c>
      <c r="MN102" s="724" t="n"/>
      <c r="MO102" s="497" t="n"/>
      <c r="MP102" s="497" t="n"/>
      <c r="MQ102" s="593">
        <f>IF(AND(ML102:MP102),1,0)</f>
        <v/>
      </c>
    </row>
    <row r="103" ht="47.25" customHeight="1">
      <c r="A103" s="597" t="inlineStr">
        <is>
          <t>LA .F11__ +14.20</t>
        </is>
      </c>
      <c r="B103" s="757" t="n"/>
      <c r="P103" s="592" t="n">
        <v>100</v>
      </c>
      <c r="Q103" s="497" t="n"/>
      <c r="R103" s="592" t="n"/>
      <c r="S103" s="497" t="n"/>
      <c r="T103" s="497" t="n"/>
      <c r="U103" s="757">
        <f>Y102</f>
        <v/>
      </c>
      <c r="V103" s="497">
        <f>Y102</f>
        <v/>
      </c>
      <c r="W103" s="497" t="n"/>
      <c r="X103" s="497" t="n"/>
      <c r="Y103" s="593">
        <f>IF(AND(T103:X103),1,0)</f>
        <v/>
      </c>
      <c r="AF103" s="592" t="n">
        <v>100</v>
      </c>
      <c r="AG103" s="599" t="n"/>
      <c r="AH103" s="497" t="inlineStr">
        <is>
          <t>CDFB 4,63A</t>
        </is>
      </c>
      <c r="AI103" s="497" t="n"/>
      <c r="AJ103" s="497" t="n"/>
      <c r="AK103" s="604">
        <f>AB22</f>
        <v/>
      </c>
      <c r="AL103" s="497">
        <f>AO102</f>
        <v/>
      </c>
      <c r="AM103" s="497" t="n"/>
      <c r="AN103" s="497" t="n"/>
      <c r="AO103" s="593">
        <f>IF(AND(AJ103:AN103),1,0)</f>
        <v/>
      </c>
      <c r="GZ103" s="742" t="n"/>
      <c r="HD103" s="742" t="n"/>
      <c r="LB103" s="592" t="n">
        <v>100</v>
      </c>
      <c r="LC103" s="497" t="n"/>
      <c r="LD103" s="724" t="inlineStr">
        <is>
          <t>CMPC1 16 A</t>
        </is>
      </c>
      <c r="LE103" s="497" t="n"/>
      <c r="LF103" s="724" t="n"/>
      <c r="LG103" s="605">
        <f>LN17</f>
        <v/>
      </c>
      <c r="LH103" s="724">
        <f>LK102</f>
        <v/>
      </c>
      <c r="LI103" s="497">
        <f>LK76</f>
        <v/>
      </c>
      <c r="LJ103" s="497">
        <f>LK37</f>
        <v/>
      </c>
      <c r="LK103" s="593">
        <f>IF(AND(LF103:LJ103),1,0)</f>
        <v/>
      </c>
      <c r="MH103" s="592" t="n">
        <v>100</v>
      </c>
      <c r="MI103" s="497" t="n"/>
      <c r="MJ103" s="724" t="inlineStr">
        <is>
          <t>ACCP1N</t>
        </is>
      </c>
      <c r="MK103" s="497" t="n"/>
      <c r="ML103" s="724" t="n"/>
      <c r="MM103" s="605">
        <f>MT7</f>
        <v/>
      </c>
      <c r="MN103" s="724">
        <f>MQ102</f>
        <v/>
      </c>
      <c r="MO103" s="497" t="n"/>
      <c r="MP103" s="497" t="n"/>
      <c r="MQ103" s="593">
        <f>IF(AND(ML103:MP103),1,0)</f>
        <v/>
      </c>
    </row>
    <row r="104">
      <c r="A104" s="497" t="n"/>
      <c r="B104" s="497" t="n"/>
      <c r="P104" s="592" t="n">
        <v>101</v>
      </c>
      <c r="Q104" s="497" t="n"/>
      <c r="R104" s="592" t="inlineStr">
        <is>
          <t>CDFC 9A</t>
        </is>
      </c>
      <c r="S104" s="497" t="n"/>
      <c r="T104" s="497" t="n"/>
      <c r="U104" s="613">
        <f>AB22</f>
        <v/>
      </c>
      <c r="V104" s="497">
        <f>Y103</f>
        <v/>
      </c>
      <c r="W104" s="497">
        <f>Y107</f>
        <v/>
      </c>
      <c r="X104" s="497">
        <f>Y109</f>
        <v/>
      </c>
      <c r="Y104" s="593">
        <f>IF(AND(T104:X104),1,0)</f>
        <v/>
      </c>
      <c r="AF104" s="592" t="n">
        <v>101</v>
      </c>
      <c r="AG104" s="599" t="n"/>
      <c r="AH104" s="597" t="n"/>
      <c r="AI104" s="497" t="n"/>
      <c r="AJ104" s="497" t="n"/>
      <c r="AK104" s="609">
        <f>AO103</f>
        <v/>
      </c>
      <c r="AL104" s="497" t="n"/>
      <c r="AM104" s="497" t="n"/>
      <c r="AN104" s="497" t="n"/>
      <c r="AO104" s="593">
        <f>IF(AND(AJ104:AN104),1,0)</f>
        <v/>
      </c>
      <c r="GZ104" s="742" t="n"/>
      <c r="HD104" s="742" t="n"/>
      <c r="LB104" s="592" t="n">
        <v>101</v>
      </c>
      <c r="LC104" s="497" t="n"/>
      <c r="LD104" s="724" t="n"/>
      <c r="LE104" s="497" t="n"/>
      <c r="LF104" s="724" t="n"/>
      <c r="LG104" s="724">
        <f>LK103</f>
        <v/>
      </c>
      <c r="LH104" s="724" t="n"/>
      <c r="LI104" s="497" t="n"/>
      <c r="LJ104" s="497" t="n"/>
      <c r="LK104" s="593">
        <f>IF(AND(LF104:LJ104),1,0)</f>
        <v/>
      </c>
      <c r="MH104" s="592" t="n">
        <v>101</v>
      </c>
      <c r="MI104" s="497" t="n"/>
      <c r="MJ104" s="724" t="n"/>
      <c r="MK104" s="497" t="n"/>
      <c r="ML104" s="724" t="n"/>
      <c r="MM104" s="724">
        <f>MQ103</f>
        <v/>
      </c>
      <c r="MN104" s="724" t="n"/>
      <c r="MO104" s="497" t="n"/>
      <c r="MP104" s="497" t="n"/>
      <c r="MQ104" s="593">
        <f>IF(AND(ML104:MP104),1,0)</f>
        <v/>
      </c>
    </row>
    <row r="105">
      <c r="A105" s="497" t="n"/>
      <c r="B105" s="592" t="n"/>
      <c r="P105" s="592" t="n">
        <v>102</v>
      </c>
      <c r="Q105" s="497" t="n"/>
      <c r="R105" s="592" t="n"/>
      <c r="S105" s="497" t="n"/>
      <c r="T105" s="497" t="n"/>
      <c r="U105" s="757">
        <f>Y104</f>
        <v/>
      </c>
      <c r="V105" s="497" t="n"/>
      <c r="W105" s="497" t="n"/>
      <c r="X105" s="497" t="n"/>
      <c r="Y105" s="593">
        <f>IF(AND(T105:X105),1,0)</f>
        <v/>
      </c>
      <c r="AF105" s="592" t="n">
        <v>102</v>
      </c>
      <c r="AG105" s="599" t="n"/>
      <c r="AH105" s="497" t="inlineStr">
        <is>
          <t>CDFC 9A</t>
        </is>
      </c>
      <c r="AI105" s="497" t="n"/>
      <c r="AJ105" s="497" t="n"/>
      <c r="AK105" s="604">
        <f>AB22</f>
        <v/>
      </c>
      <c r="AL105" s="497">
        <f>AO104</f>
        <v/>
      </c>
      <c r="AM105" s="497" t="n"/>
      <c r="AN105" s="497" t="n"/>
      <c r="AO105" s="593">
        <f>IF(AND(AJ105:AN105),1,0)</f>
        <v/>
      </c>
      <c r="GZ105" s="742" t="n"/>
      <c r="HD105" s="742" t="n"/>
      <c r="LB105" s="592" t="n">
        <v>102</v>
      </c>
      <c r="LC105" s="497" t="n"/>
      <c r="LD105" s="724" t="n"/>
      <c r="LE105" s="497" t="n"/>
      <c r="LF105" s="724" t="n"/>
      <c r="LG105" s="724">
        <f>LK99</f>
        <v/>
      </c>
      <c r="LH105" s="724" t="n"/>
      <c r="LI105" s="497" t="n"/>
      <c r="LJ105" s="497" t="n"/>
      <c r="LK105" s="593">
        <f>IF(AND(LF105:LJ105),1,0)</f>
        <v/>
      </c>
      <c r="MH105" s="592" t="n">
        <v>102</v>
      </c>
      <c r="MI105" s="497" t="n"/>
      <c r="MJ105" s="724" t="n"/>
      <c r="MK105" s="497" t="n"/>
      <c r="ML105" s="724" t="n"/>
      <c r="MM105" s="724">
        <f>MQ104</f>
        <v/>
      </c>
      <c r="MN105" s="724" t="n"/>
      <c r="MO105" s="497" t="n"/>
      <c r="MP105" s="497" t="n"/>
      <c r="MQ105" s="593">
        <f>IF(AND(ML105:MP105),1,0)</f>
        <v/>
      </c>
    </row>
    <row r="106">
      <c r="A106" s="497" t="n"/>
      <c r="B106" s="497" t="n"/>
      <c r="P106" s="592" t="n">
        <v>103</v>
      </c>
      <c r="Q106" s="497" t="n"/>
      <c r="R106" s="592" t="n"/>
      <c r="S106" s="497" t="n"/>
      <c r="T106" s="497" t="n"/>
      <c r="U106" s="757">
        <f>Y37</f>
        <v/>
      </c>
      <c r="V106" s="497" t="n"/>
      <c r="W106" s="497" t="n"/>
      <c r="X106" s="497" t="n"/>
      <c r="Y106" s="593">
        <f>IF(AND(T106:X106),1,0)</f>
        <v/>
      </c>
      <c r="AF106" s="592" t="n">
        <v>103</v>
      </c>
      <c r="AG106" s="599" t="n"/>
      <c r="AH106" s="597" t="n"/>
      <c r="AI106" s="497" t="n"/>
      <c r="AJ106" s="497" t="n"/>
      <c r="AK106" s="609">
        <f>AO105</f>
        <v/>
      </c>
      <c r="AL106" s="497" t="n"/>
      <c r="AM106" s="497" t="n"/>
      <c r="AN106" s="497" t="n"/>
      <c r="AO106" s="593">
        <f>IF(AND(AJ106:AN106),1,0)</f>
        <v/>
      </c>
      <c r="GZ106" s="742" t="n"/>
      <c r="HD106" s="742" t="n"/>
      <c r="LB106" s="592" t="n">
        <v>103</v>
      </c>
      <c r="LC106" s="497" t="n"/>
      <c r="LD106" s="724" t="inlineStr">
        <is>
          <t xml:space="preserve">CMPB2 13 A </t>
        </is>
      </c>
      <c r="LE106" s="497" t="n"/>
      <c r="LF106" s="724" t="n"/>
      <c r="LG106" s="605">
        <f>'DATA TRANSFER'!AT15</f>
        <v/>
      </c>
      <c r="LH106" s="724">
        <f>LK105</f>
        <v/>
      </c>
      <c r="LI106" s="497">
        <f>LK78</f>
        <v/>
      </c>
      <c r="LJ106" s="497">
        <f>LK41</f>
        <v/>
      </c>
      <c r="LK106" s="593">
        <f>IF(AND(LF106:LJ106),1,0)</f>
        <v/>
      </c>
      <c r="MH106" s="592" t="n">
        <v>103</v>
      </c>
      <c r="MI106" s="497" t="n"/>
      <c r="MJ106" s="724" t="n"/>
      <c r="MK106" s="497" t="n"/>
      <c r="ML106" s="724" t="n"/>
      <c r="MM106" s="612" t="n">
        <v>1</v>
      </c>
      <c r="MN106" s="724" t="n"/>
      <c r="MO106" s="497" t="n"/>
      <c r="MP106" s="497" t="n"/>
      <c r="MQ106" s="593">
        <f>IF(AND(ML106:MP106),1,0)</f>
        <v/>
      </c>
    </row>
    <row r="107" ht="31.5" customHeight="1">
      <c r="A107" s="597" t="inlineStr">
        <is>
          <t>LA .A03-X06</t>
        </is>
      </c>
      <c r="B107" s="497" t="n"/>
      <c r="P107" s="592" t="n">
        <v>104</v>
      </c>
      <c r="Q107" s="497" t="n"/>
      <c r="R107" s="592" t="n"/>
      <c r="S107" s="497" t="n"/>
      <c r="T107" s="497" t="n"/>
      <c r="U107" s="757">
        <f>Y102</f>
        <v/>
      </c>
      <c r="V107" s="497">
        <f>Y106</f>
        <v/>
      </c>
      <c r="W107" s="497" t="n"/>
      <c r="X107" s="497" t="n"/>
      <c r="Y107" s="593">
        <f>IF(AND(T107:X107),1,0)</f>
        <v/>
      </c>
      <c r="AF107" s="592" t="n">
        <v>104</v>
      </c>
      <c r="AG107" s="599" t="n"/>
      <c r="AH107" s="597" t="n"/>
      <c r="AI107" s="497" t="n"/>
      <c r="AJ107" s="497" t="n"/>
      <c r="AK107" s="609">
        <f>AO38</f>
        <v/>
      </c>
      <c r="AL107" s="497" t="n"/>
      <c r="AM107" s="497" t="n"/>
      <c r="AN107" s="497" t="n"/>
      <c r="AO107" s="593">
        <f>IF(AND(AJ107:AN107),1,0)</f>
        <v/>
      </c>
      <c r="GZ107" s="742" t="n"/>
      <c r="HD107" s="742" t="n"/>
      <c r="LB107" s="592" t="n">
        <v>104</v>
      </c>
      <c r="LC107" s="497" t="n"/>
      <c r="LD107" s="724" t="n"/>
      <c r="LE107" s="497" t="n"/>
      <c r="LF107" s="724" t="n"/>
      <c r="LG107" s="724">
        <f>LK106</f>
        <v/>
      </c>
      <c r="LH107" s="724" t="n"/>
      <c r="LI107" s="497" t="n"/>
      <c r="LJ107" s="497" t="n"/>
      <c r="LK107" s="593">
        <f>IF(AND(LF107:LJ107),1,0)</f>
        <v/>
      </c>
      <c r="MH107" s="592" t="n">
        <v>104</v>
      </c>
      <c r="MI107" s="497" t="n"/>
      <c r="MJ107" s="724" t="n"/>
      <c r="MK107" s="497" t="n"/>
      <c r="ML107" s="724" t="n"/>
      <c r="MM107" s="724">
        <f>MQ106</f>
        <v/>
      </c>
      <c r="MN107" s="724" t="n"/>
      <c r="MO107" s="497" t="n"/>
      <c r="MP107" s="497" t="n"/>
      <c r="MQ107" s="593">
        <f>IF(AND(ML107:MP107),1,0)</f>
        <v/>
      </c>
    </row>
    <row r="108">
      <c r="A108" s="497" t="n"/>
      <c r="B108" s="497" t="n"/>
      <c r="P108" s="592" t="n">
        <v>105</v>
      </c>
      <c r="Q108" s="497" t="n"/>
      <c r="R108" s="592" t="n"/>
      <c r="S108" s="497" t="n"/>
      <c r="T108" s="497" t="n"/>
      <c r="U108" s="757">
        <f>Y104</f>
        <v/>
      </c>
      <c r="V108" s="497">
        <f>Y107</f>
        <v/>
      </c>
      <c r="W108" s="497" t="n"/>
      <c r="X108" s="497" t="n"/>
      <c r="Y108" s="593">
        <f>IF(AND(T108:X108),1,0)</f>
        <v/>
      </c>
      <c r="AF108" s="592" t="n">
        <v>105</v>
      </c>
      <c r="AG108" s="599" t="n"/>
      <c r="AH108" s="597" t="n"/>
      <c r="AI108" s="497" t="n"/>
      <c r="AJ108" s="497" t="n"/>
      <c r="AK108" s="609">
        <f>AO103</f>
        <v/>
      </c>
      <c r="AL108" s="497">
        <f>AO107</f>
        <v/>
      </c>
      <c r="AM108" s="497" t="n"/>
      <c r="AN108" s="497" t="n"/>
      <c r="AO108" s="593">
        <f>IF(AND(AJ108:AN108),1,0)</f>
        <v/>
      </c>
      <c r="GZ108" s="742" t="n"/>
      <c r="HD108" s="742" t="n"/>
      <c r="LB108" s="592" t="n">
        <v>105</v>
      </c>
      <c r="LC108" s="497" t="n"/>
      <c r="LD108" s="724" t="inlineStr">
        <is>
          <t>CMPC2 16 A</t>
        </is>
      </c>
      <c r="LE108" s="497" t="n"/>
      <c r="LF108" s="724" t="n"/>
      <c r="LG108" s="605">
        <f>'DATA TRANSFER'!AT15</f>
        <v/>
      </c>
      <c r="LH108" s="724">
        <f>LK42</f>
        <v/>
      </c>
      <c r="LI108" s="497">
        <f>LK79</f>
        <v/>
      </c>
      <c r="LJ108" s="497">
        <f>LK42</f>
        <v/>
      </c>
      <c r="LK108" s="593">
        <f>IF(AND(LF108:LJ108),1,0)</f>
        <v/>
      </c>
      <c r="MH108" s="592" t="n">
        <v>105</v>
      </c>
      <c r="MI108" s="497" t="n"/>
      <c r="MJ108" s="724" t="inlineStr">
        <is>
          <t>ACCP1N</t>
        </is>
      </c>
      <c r="MK108" s="497" t="n"/>
      <c r="ML108" s="724" t="n"/>
      <c r="MM108" s="605">
        <f>MT7</f>
        <v/>
      </c>
      <c r="MN108" s="724">
        <f>MQ107</f>
        <v/>
      </c>
      <c r="MO108" s="497" t="n"/>
      <c r="MP108" s="497" t="n"/>
      <c r="MQ108" s="593">
        <f>IF(AND(ML108:MP108),1,0)</f>
        <v/>
      </c>
    </row>
    <row r="109">
      <c r="A109" s="497" t="n"/>
      <c r="B109" s="497" t="n"/>
      <c r="P109" s="592" t="n">
        <v>106</v>
      </c>
      <c r="Q109" s="497" t="n"/>
      <c r="R109" s="592" t="n"/>
      <c r="S109" s="497" t="n"/>
      <c r="T109" s="497" t="n"/>
      <c r="U109" s="757">
        <f>Y40</f>
        <v/>
      </c>
      <c r="V109" s="497" t="n"/>
      <c r="W109" s="497" t="n"/>
      <c r="X109" s="497" t="n"/>
      <c r="Y109" s="593">
        <f>IF(AND(T109:X109),1,0)</f>
        <v/>
      </c>
      <c r="AF109" s="592" t="n">
        <v>106</v>
      </c>
      <c r="AG109" s="599" t="n"/>
      <c r="AH109" s="597" t="n"/>
      <c r="AI109" s="497" t="n"/>
      <c r="AJ109" s="497" t="n"/>
      <c r="AK109" s="609">
        <f>AO105</f>
        <v/>
      </c>
      <c r="AL109" s="497">
        <f>AO108</f>
        <v/>
      </c>
      <c r="AM109" s="497" t="n"/>
      <c r="AN109" s="497" t="n"/>
      <c r="AO109" s="593">
        <f>IF(AND(AJ109:AN109),1,0)</f>
        <v/>
      </c>
      <c r="GZ109" s="742" t="n"/>
      <c r="HD109" s="742" t="n"/>
      <c r="LB109" s="592" t="n">
        <v>106</v>
      </c>
      <c r="LC109" s="497" t="n"/>
      <c r="LD109" s="724" t="n"/>
      <c r="LE109" s="497" t="n"/>
      <c r="LF109" s="724" t="n"/>
      <c r="LG109" s="724">
        <f>LK108</f>
        <v/>
      </c>
      <c r="LH109" s="724" t="n"/>
      <c r="LI109" s="497" t="n"/>
      <c r="LJ109" s="497" t="n"/>
      <c r="LK109" s="593">
        <f>IF(AND(LF109:LJ109),1,0)</f>
        <v/>
      </c>
      <c r="MH109" s="592" t="n">
        <v>106</v>
      </c>
      <c r="MI109" s="497" t="n"/>
      <c r="MJ109" s="724" t="n"/>
      <c r="MK109" s="497" t="n"/>
      <c r="ML109" s="724" t="n"/>
      <c r="MM109" s="724">
        <f>MQ101</f>
        <v/>
      </c>
      <c r="MN109" s="724" t="n"/>
      <c r="MO109" s="497" t="n"/>
      <c r="MP109" s="497" t="n"/>
      <c r="MQ109" s="593">
        <f>IF(AND(ML109:MP109),1,0)</f>
        <v/>
      </c>
    </row>
    <row r="110">
      <c r="A110" s="497" t="n"/>
      <c r="P110" s="592" t="n">
        <v>107</v>
      </c>
      <c r="Q110" s="497" t="n"/>
      <c r="R110" s="592" t="n"/>
      <c r="S110" s="497" t="n"/>
      <c r="T110" s="497" t="n"/>
      <c r="U110" s="757">
        <f>Y102</f>
        <v/>
      </c>
      <c r="V110" s="497">
        <f>Y109</f>
        <v/>
      </c>
      <c r="W110" s="497" t="n"/>
      <c r="X110" s="497" t="n"/>
      <c r="Y110" s="593">
        <f>IF(AND(T110:X110),1,0)</f>
        <v/>
      </c>
      <c r="AF110" s="592" t="n">
        <v>107</v>
      </c>
      <c r="AG110" s="599" t="n"/>
      <c r="AH110" s="597" t="n"/>
      <c r="AI110" s="497" t="n"/>
      <c r="AJ110" s="497" t="n"/>
      <c r="AK110" s="609">
        <f>AO41</f>
        <v/>
      </c>
      <c r="AL110" s="497" t="n"/>
      <c r="AM110" s="497" t="n"/>
      <c r="AN110" s="497" t="n"/>
      <c r="AO110" s="593">
        <f>IF(AND(AJ110:AN110),1,0)</f>
        <v/>
      </c>
      <c r="GZ110" s="742" t="n"/>
      <c r="HD110" s="742" t="n"/>
      <c r="LB110" s="592" t="n">
        <v>107</v>
      </c>
      <c r="LC110" s="497" t="n"/>
      <c r="LD110" s="724" t="n"/>
      <c r="LE110" s="497" t="n"/>
      <c r="LF110" s="724" t="n"/>
      <c r="LG110" s="724">
        <f>LK99</f>
        <v/>
      </c>
      <c r="LH110" s="724" t="n"/>
      <c r="LI110" s="497" t="n"/>
      <c r="LJ110" s="497" t="n"/>
      <c r="LK110" s="593">
        <f>IF(AND(LF110:LJ110),1,0)</f>
        <v/>
      </c>
      <c r="MH110" s="592" t="n">
        <v>107</v>
      </c>
      <c r="MI110" s="497" t="n"/>
      <c r="MJ110" s="724" t="inlineStr">
        <is>
          <t>MCBTL</t>
        </is>
      </c>
      <c r="MK110" s="497" t="n"/>
      <c r="ML110" s="724" t="n"/>
      <c r="MM110" s="605">
        <f>MT8</f>
        <v/>
      </c>
      <c r="MN110" s="724">
        <f>MQ109</f>
        <v/>
      </c>
      <c r="MO110" s="497" t="n"/>
      <c r="MP110" s="497" t="n"/>
      <c r="MQ110" s="593">
        <f>IF(AND(ML110:MP110),1,0)</f>
        <v/>
      </c>
    </row>
    <row r="111">
      <c r="A111" s="592" t="n"/>
      <c r="B111" s="497" t="n"/>
      <c r="P111" s="592" t="n">
        <v>108</v>
      </c>
      <c r="Q111" s="497" t="n"/>
      <c r="R111" s="592" t="n"/>
      <c r="S111" s="497" t="n"/>
      <c r="T111" s="497" t="n"/>
      <c r="U111" s="757">
        <f>Y104</f>
        <v/>
      </c>
      <c r="V111" s="497">
        <f>Y110</f>
        <v/>
      </c>
      <c r="W111" s="497" t="n"/>
      <c r="X111" s="497" t="n"/>
      <c r="Y111" s="593">
        <f>IF(AND(T111:X111),1,0)</f>
        <v/>
      </c>
      <c r="AF111" s="592" t="n">
        <v>108</v>
      </c>
      <c r="AG111" s="599" t="n"/>
      <c r="AH111" s="597" t="n"/>
      <c r="AI111" s="497" t="n"/>
      <c r="AJ111" s="497" t="n"/>
      <c r="AK111" s="609">
        <f>AO103</f>
        <v/>
      </c>
      <c r="AL111" s="592">
        <f>AO110</f>
        <v/>
      </c>
      <c r="AM111" s="497" t="n"/>
      <c r="AN111" s="497" t="n"/>
      <c r="AO111" s="593">
        <f>IF(AND(AJ111:AN111),1,0)</f>
        <v/>
      </c>
      <c r="GZ111" s="742" t="n"/>
      <c r="HD111" s="742" t="n"/>
      <c r="LB111" s="592" t="n">
        <v>108</v>
      </c>
      <c r="LC111" s="497" t="n"/>
      <c r="LD111" s="724" t="inlineStr">
        <is>
          <t xml:space="preserve">CMPB3 13 A </t>
        </is>
      </c>
      <c r="LE111" s="497" t="n"/>
      <c r="LF111" s="724" t="n"/>
      <c r="LG111" s="605">
        <f>LN19</f>
        <v/>
      </c>
      <c r="LH111" s="724">
        <f>LK46</f>
        <v/>
      </c>
      <c r="LI111" s="497">
        <f>LK81</f>
        <v/>
      </c>
      <c r="LJ111" s="497">
        <f>LK110</f>
        <v/>
      </c>
      <c r="LK111" s="593">
        <f>IF(AND(LF111:LJ111),1,0)</f>
        <v/>
      </c>
      <c r="MH111" s="592" t="n">
        <v>108</v>
      </c>
      <c r="MI111" s="497" t="n"/>
      <c r="MJ111" s="724" t="n"/>
      <c r="MK111" s="497" t="n"/>
      <c r="ML111" s="724" t="n"/>
      <c r="MM111" s="724">
        <f>MQ110</f>
        <v/>
      </c>
      <c r="MN111" s="724" t="n"/>
      <c r="MO111" s="497" t="n"/>
      <c r="MP111" s="497" t="n"/>
      <c r="MQ111" s="593">
        <f>IF(AND(ML111:MP111),1,0)</f>
        <v/>
      </c>
    </row>
    <row r="112" ht="86.25" customHeight="1">
      <c r="A112" s="497" t="n"/>
      <c r="B112" s="592" t="n"/>
      <c r="P112" s="592" t="n">
        <v>109</v>
      </c>
      <c r="Q112" s="497" t="n"/>
      <c r="R112" s="724" t="inlineStr">
        <is>
          <t>CONDESER MOTOR 1 (3A) Pa=2.5kW P.f=0.74</t>
        </is>
      </c>
      <c r="S112" s="497" t="n"/>
      <c r="T112" s="497" t="n"/>
      <c r="U112" s="613">
        <f>AB22</f>
        <v/>
      </c>
      <c r="V112" s="497">
        <f>Y105</f>
        <v/>
      </c>
      <c r="W112" s="497">
        <f>Y108</f>
        <v/>
      </c>
      <c r="X112" s="497">
        <f>Y111</f>
        <v/>
      </c>
      <c r="Y112" s="593">
        <f>IF(AND(T112:X112),1,0)</f>
        <v/>
      </c>
      <c r="AF112" s="592" t="n">
        <v>109</v>
      </c>
      <c r="AG112" s="599" t="n"/>
      <c r="AH112" s="597" t="n"/>
      <c r="AI112" s="497" t="n"/>
      <c r="AJ112" s="497" t="n"/>
      <c r="AK112" s="609">
        <f>AO105</f>
        <v/>
      </c>
      <c r="AL112" s="592">
        <f>AO111</f>
        <v/>
      </c>
      <c r="AM112" s="497" t="n"/>
      <c r="AN112" s="497" t="n"/>
      <c r="AO112" s="593">
        <f>IF(AND(AJ112:AN112),1,0)</f>
        <v/>
      </c>
      <c r="GZ112" s="742" t="n"/>
      <c r="HD112" s="742" t="n"/>
      <c r="LB112" s="592" t="n">
        <v>109</v>
      </c>
      <c r="LC112" s="497" t="n"/>
      <c r="LD112" s="724" t="n"/>
      <c r="LE112" s="497" t="n"/>
      <c r="LF112" s="724" t="n"/>
      <c r="LG112" s="724">
        <f>LK111</f>
        <v/>
      </c>
      <c r="LH112" s="724" t="n"/>
      <c r="LI112" s="497" t="n"/>
      <c r="LJ112" s="497" t="n"/>
      <c r="LK112" s="593">
        <f>IF(AND(LF112:LJ112),1,0)</f>
        <v/>
      </c>
      <c r="MH112" s="592" t="n">
        <v>109</v>
      </c>
      <c r="MI112" s="497" t="n"/>
      <c r="MJ112" s="724" t="inlineStr">
        <is>
          <t>SRRB</t>
        </is>
      </c>
      <c r="MK112" s="497" t="n"/>
      <c r="ML112" s="724" t="n"/>
      <c r="MM112" s="605">
        <f>MT9</f>
        <v/>
      </c>
      <c r="MN112" s="724" t="n"/>
      <c r="MO112" s="497" t="n"/>
      <c r="MP112" s="497" t="n"/>
      <c r="MQ112" s="593">
        <f>IF(AND(ML112:MP112),1,0)</f>
        <v/>
      </c>
    </row>
    <row r="113" ht="31.5" customHeight="1">
      <c r="A113" s="597" t="inlineStr">
        <is>
          <t>LA .S03_ +14.30</t>
        </is>
      </c>
      <c r="B113" s="757" t="inlineStr">
        <is>
          <t>CACS</t>
        </is>
      </c>
      <c r="P113" s="592" t="n">
        <v>110</v>
      </c>
      <c r="Q113" s="497" t="n"/>
      <c r="R113" s="757" t="inlineStr">
        <is>
          <t>GROUND</t>
        </is>
      </c>
      <c r="S113" s="497" t="n"/>
      <c r="T113" s="497" t="n"/>
      <c r="U113" s="757" t="n">
        <v>1</v>
      </c>
      <c r="V113" s="497" t="n"/>
      <c r="W113" s="497" t="n"/>
      <c r="X113" s="497" t="n"/>
      <c r="Y113" s="593">
        <f>IF(AND(T113:X113),1,0)</f>
        <v/>
      </c>
      <c r="AF113" s="592" t="n">
        <v>110</v>
      </c>
      <c r="AG113" s="599" t="n"/>
      <c r="AH113" s="724" t="inlineStr">
        <is>
          <t>CONDESER MOTOR 1 (3A) Pa=2.5kW P.f=0.74</t>
        </is>
      </c>
      <c r="AI113" s="497" t="n"/>
      <c r="AJ113" s="497" t="n"/>
      <c r="AK113" s="601">
        <f>AB22</f>
        <v/>
      </c>
      <c r="AL113" s="497">
        <f>AO112</f>
        <v/>
      </c>
      <c r="AM113" s="497" t="n"/>
      <c r="AN113" s="497" t="n"/>
      <c r="AO113" s="593">
        <f>IF(AND(AJ113:AN113),1,0)</f>
        <v/>
      </c>
      <c r="GZ113" s="742" t="n"/>
      <c r="HD113" s="742" t="n"/>
      <c r="LB113" s="592" t="n">
        <v>110</v>
      </c>
      <c r="LC113" s="497" t="n"/>
      <c r="LD113" s="724" t="inlineStr">
        <is>
          <t>CMPC3 16 A</t>
        </is>
      </c>
      <c r="LE113" s="497" t="n"/>
      <c r="LF113" s="724" t="n"/>
      <c r="LG113" s="605">
        <f>LN19</f>
        <v/>
      </c>
      <c r="LH113" s="724">
        <f>LK47</f>
        <v/>
      </c>
      <c r="LI113" s="497">
        <f>LK82</f>
        <v/>
      </c>
      <c r="LJ113" s="497">
        <f>LK112</f>
        <v/>
      </c>
      <c r="LK113" s="593">
        <f>IF(AND(LF113:LJ113),1,0)</f>
        <v/>
      </c>
      <c r="MH113" s="592" t="n">
        <v>110</v>
      </c>
      <c r="MI113" s="497" t="n"/>
      <c r="MJ113" s="724" t="n"/>
      <c r="MK113" s="497" t="n"/>
      <c r="ML113" s="724" t="n"/>
      <c r="MM113" s="724">
        <f>MQ112</f>
        <v/>
      </c>
      <c r="MN113" s="724" t="n"/>
      <c r="MO113" s="497" t="n"/>
      <c r="MP113" s="497" t="n"/>
      <c r="MQ113" s="593">
        <f>IF(AND(ML113:MP113),1,0)</f>
        <v/>
      </c>
    </row>
    <row r="114">
      <c r="A114" s="592" t="n"/>
      <c r="B114" s="592" t="n"/>
      <c r="P114" s="592" t="n">
        <v>111</v>
      </c>
      <c r="Q114" s="497" t="n"/>
      <c r="R114" s="592" t="n"/>
      <c r="S114" s="497" t="n"/>
      <c r="T114" s="497" t="n"/>
      <c r="U114" s="757">
        <f>Y105</f>
        <v/>
      </c>
      <c r="V114" s="497" t="n"/>
      <c r="W114" s="497" t="n"/>
      <c r="X114" s="497" t="n"/>
      <c r="Y114" s="593">
        <f>IF(AND(T114:X114),1,0)</f>
        <v/>
      </c>
      <c r="AF114" s="592" t="n">
        <v>111</v>
      </c>
      <c r="AG114" s="599" t="n"/>
      <c r="AH114" s="597" t="inlineStr">
        <is>
          <t>GROUND</t>
        </is>
      </c>
      <c r="AI114" s="497" t="n"/>
      <c r="AJ114" s="497" t="n"/>
      <c r="AK114" s="630" t="n">
        <v>1</v>
      </c>
      <c r="AL114" s="497" t="n"/>
      <c r="AM114" s="497" t="n"/>
      <c r="AN114" s="497" t="n"/>
      <c r="AO114" s="593">
        <f>IF(AND(AJ114:AN114),1,0)</f>
        <v/>
      </c>
      <c r="GZ114" s="742" t="n"/>
      <c r="HD114" s="742" t="n"/>
      <c r="LB114" s="592" t="n">
        <v>111</v>
      </c>
      <c r="LC114" s="497" t="n"/>
      <c r="LD114" s="724" t="n"/>
      <c r="LE114" s="497" t="n"/>
      <c r="LF114" s="724" t="n"/>
      <c r="LG114" s="724">
        <f>LK112</f>
        <v/>
      </c>
      <c r="LH114" s="724" t="n"/>
      <c r="LI114" s="497" t="n"/>
      <c r="LJ114" s="497" t="n"/>
      <c r="LK114" s="593">
        <f>IF(AND(LF114:LJ114),1,0)</f>
        <v/>
      </c>
      <c r="MH114" s="592" t="n">
        <v>111</v>
      </c>
      <c r="MI114" s="497" t="n"/>
      <c r="MJ114" s="724" t="inlineStr">
        <is>
          <t>SMRR</t>
        </is>
      </c>
      <c r="MK114" s="497" t="n"/>
      <c r="ML114" s="724" t="n"/>
      <c r="MM114" s="605">
        <f>IF(OR(MT11=1,MT12=1),0,1)</f>
        <v/>
      </c>
      <c r="MN114" s="724" t="n"/>
      <c r="MO114" s="497" t="n"/>
      <c r="MP114" s="497" t="n"/>
      <c r="MQ114" s="593">
        <f>IF(AND(ML114:MP114),1,0)</f>
        <v/>
      </c>
    </row>
    <row r="115">
      <c r="A115" s="497" t="n"/>
      <c r="B115" s="497" t="n"/>
      <c r="P115" s="592" t="n">
        <v>112</v>
      </c>
      <c r="Q115" s="497" t="n"/>
      <c r="R115" s="592" t="n"/>
      <c r="S115" s="497" t="n"/>
      <c r="T115" s="497" t="n"/>
      <c r="U115" s="757">
        <f>Y108</f>
        <v/>
      </c>
      <c r="V115" s="497" t="n"/>
      <c r="W115" s="497" t="n"/>
      <c r="X115" s="497" t="n"/>
      <c r="Y115" s="593">
        <f>IF(AND(T115:X115),1,0)</f>
        <v/>
      </c>
      <c r="AF115" s="592" t="n">
        <v>112</v>
      </c>
      <c r="AG115" s="599" t="n"/>
      <c r="AH115" s="597" t="n"/>
      <c r="AI115" s="497" t="n"/>
      <c r="AJ115" s="497" t="n"/>
      <c r="AK115" s="630">
        <f>AO106</f>
        <v/>
      </c>
      <c r="AL115" s="497" t="n"/>
      <c r="AM115" s="497" t="n"/>
      <c r="AN115" s="497" t="n"/>
      <c r="AO115" s="593">
        <f>IF(AND(AJ115:AN115),1,0)</f>
        <v/>
      </c>
      <c r="GZ115" s="742" t="n"/>
      <c r="HD115" s="742" t="n"/>
      <c r="LB115" s="592" t="n">
        <v>112</v>
      </c>
      <c r="LC115" s="497" t="n"/>
      <c r="LD115" s="724" t="n"/>
      <c r="LE115" s="497" t="n"/>
      <c r="LF115" s="724" t="n"/>
      <c r="LG115" s="724">
        <f>LK99</f>
        <v/>
      </c>
      <c r="LH115" s="724" t="n"/>
      <c r="LI115" s="497" t="n"/>
      <c r="LJ115" s="497" t="n"/>
      <c r="LK115" s="593">
        <f>IF(AND(LF115:LJ115),1,0)</f>
        <v/>
      </c>
      <c r="MH115" s="592" t="n">
        <v>112</v>
      </c>
      <c r="MI115" s="497" t="n"/>
      <c r="MJ115" s="724" t="n"/>
      <c r="MK115" s="497" t="n"/>
      <c r="ML115" s="724" t="n"/>
      <c r="MM115" s="612" t="n">
        <v>1</v>
      </c>
      <c r="MN115" s="724" t="n"/>
      <c r="MO115" s="497" t="n"/>
      <c r="MP115" s="497" t="n"/>
      <c r="MQ115" s="593">
        <f>IF(AND(ML115:MP115),1,0)</f>
        <v/>
      </c>
    </row>
    <row r="116">
      <c r="A116" s="497" t="n"/>
      <c r="B116" s="497" t="n"/>
      <c r="P116" s="592" t="n">
        <v>113</v>
      </c>
      <c r="Q116" s="497" t="n"/>
      <c r="R116" s="592" t="n"/>
      <c r="S116" s="497" t="n"/>
      <c r="T116" s="497" t="n"/>
      <c r="U116" s="757">
        <f>Y111</f>
        <v/>
      </c>
      <c r="V116" s="497" t="n"/>
      <c r="W116" s="497" t="n"/>
      <c r="X116" s="497" t="n"/>
      <c r="Y116" s="593">
        <f>IF(AND(T116:X116),1,0)</f>
        <v/>
      </c>
      <c r="AF116" s="592" t="n">
        <v>113</v>
      </c>
      <c r="AG116" s="599" t="n"/>
      <c r="AH116" s="597" t="n"/>
      <c r="AI116" s="497" t="n"/>
      <c r="AJ116" s="497" t="n"/>
      <c r="AK116" s="630">
        <f>AO109</f>
        <v/>
      </c>
      <c r="AL116" s="497" t="n"/>
      <c r="AM116" s="497" t="n"/>
      <c r="AN116" s="497" t="n"/>
      <c r="AO116" s="593">
        <f>IF(AND(AJ116:AN116),1,0)</f>
        <v/>
      </c>
      <c r="GZ116" s="742" t="n"/>
      <c r="HD116" s="742" t="n"/>
      <c r="LB116" s="592" t="n">
        <v>113</v>
      </c>
      <c r="LC116" s="497" t="n"/>
      <c r="LD116" s="724" t="inlineStr">
        <is>
          <t>CMPB4 13 A</t>
        </is>
      </c>
      <c r="LE116" s="497" t="n"/>
      <c r="LF116" s="724" t="n"/>
      <c r="LG116" s="605">
        <f>LN20</f>
        <v/>
      </c>
      <c r="LH116" s="724">
        <f>LK51</f>
        <v/>
      </c>
      <c r="LI116" s="497">
        <f>LK84</f>
        <v/>
      </c>
      <c r="LJ116" s="497">
        <f>LK115</f>
        <v/>
      </c>
      <c r="LK116" s="593">
        <f>IF(AND(LF116:LJ116),1,0)</f>
        <v/>
      </c>
      <c r="MH116" s="592" t="n">
        <v>113</v>
      </c>
      <c r="MI116" s="497" t="n"/>
      <c r="MJ116" s="724" t="inlineStr">
        <is>
          <t>HCR 9</t>
        </is>
      </c>
      <c r="MK116" s="497" t="n"/>
      <c r="ML116" s="724" t="n"/>
      <c r="MM116" s="605">
        <f>MT10</f>
        <v/>
      </c>
      <c r="MN116" s="724">
        <f>MQ115</f>
        <v/>
      </c>
      <c r="MO116" s="497" t="n"/>
      <c r="MP116" s="497" t="n"/>
      <c r="MQ116" s="593">
        <f>IF(AND(ML116:MP116),1,0)</f>
        <v/>
      </c>
    </row>
    <row r="117" ht="47.25" customHeight="1">
      <c r="A117" s="597" t="inlineStr">
        <is>
          <t>LA .A03-X06</t>
        </is>
      </c>
      <c r="B117" s="497" t="n"/>
      <c r="P117" s="592" t="n">
        <v>114</v>
      </c>
      <c r="Q117" s="497" t="n"/>
      <c r="R117" s="724" t="inlineStr">
        <is>
          <t>CONDESER MOTOR 2 (3A) Pa=2.5kW P.f=0.75</t>
        </is>
      </c>
      <c r="S117" s="497" t="n"/>
      <c r="T117" s="497" t="n"/>
      <c r="U117" s="613">
        <f>AB23</f>
        <v/>
      </c>
      <c r="V117" s="757">
        <f>Y114</f>
        <v/>
      </c>
      <c r="W117" s="757">
        <f>Y115</f>
        <v/>
      </c>
      <c r="X117" s="757">
        <f>Y116</f>
        <v/>
      </c>
      <c r="Y117" s="593">
        <f>IF(AND(T117:X117),1,0)</f>
        <v/>
      </c>
      <c r="AF117" s="592" t="n">
        <v>114</v>
      </c>
      <c r="AG117" s="599" t="n"/>
      <c r="AH117" s="597" t="n"/>
      <c r="AI117" s="497" t="n"/>
      <c r="AJ117" s="497" t="n"/>
      <c r="AK117" s="630">
        <f>AO112</f>
        <v/>
      </c>
      <c r="AL117" s="497" t="n"/>
      <c r="AM117" s="497" t="n"/>
      <c r="AN117" s="497" t="n"/>
      <c r="AO117" s="593">
        <f>IF(AND(AJ117:AN117),1,0)</f>
        <v/>
      </c>
      <c r="GZ117" s="742" t="n"/>
      <c r="HD117" s="742" t="n"/>
      <c r="LB117" s="592" t="n">
        <v>114</v>
      </c>
      <c r="LC117" s="497" t="n"/>
      <c r="LD117" s="724" t="n"/>
      <c r="LE117" s="497" t="n"/>
      <c r="LF117" s="724" t="n"/>
      <c r="LG117" s="724">
        <f>LK116</f>
        <v/>
      </c>
      <c r="LH117" s="724" t="n"/>
      <c r="LI117" s="497" t="n"/>
      <c r="LJ117" s="497" t="n"/>
      <c r="LK117" s="593">
        <f>IF(AND(LF117:LJ117),1,0)</f>
        <v/>
      </c>
      <c r="MH117" s="592" t="n">
        <v>114</v>
      </c>
      <c r="MI117" s="497" t="n"/>
      <c r="MJ117" s="724" t="n"/>
      <c r="MK117" s="497" t="n"/>
      <c r="ML117" s="724" t="n"/>
      <c r="MM117" s="724">
        <f>MQ116</f>
        <v/>
      </c>
      <c r="MO117" s="497" t="n"/>
      <c r="MP117" s="497" t="n"/>
      <c r="MQ117" s="593">
        <f>IF(AND(ML117:MP117),1,0)</f>
        <v/>
      </c>
    </row>
    <row r="118" ht="31.5" customHeight="1">
      <c r="A118" s="592" t="n"/>
      <c r="B118" s="497" t="n"/>
      <c r="P118" s="592" t="n">
        <v>115</v>
      </c>
      <c r="Q118" s="497" t="n"/>
      <c r="R118" s="592" t="inlineStr">
        <is>
          <t>GROUND</t>
        </is>
      </c>
      <c r="S118" s="497" t="n"/>
      <c r="T118" s="497" t="n"/>
      <c r="U118" s="757" t="n">
        <v>1</v>
      </c>
      <c r="V118" s="497" t="n"/>
      <c r="W118" s="497" t="n"/>
      <c r="X118" s="497" t="n"/>
      <c r="Y118" s="593">
        <f>IF(AND(T118:X118),1,0)</f>
        <v/>
      </c>
      <c r="AF118" s="592" t="n">
        <v>115</v>
      </c>
      <c r="AG118" s="599" t="n"/>
      <c r="AH118" s="724" t="inlineStr">
        <is>
          <t>CONDESER MOTOR 2 (3A) Pa=2.5kW P.f=0.74</t>
        </is>
      </c>
      <c r="AI118" s="497" t="n"/>
      <c r="AJ118" s="497" t="n"/>
      <c r="AK118" s="601">
        <f>AB23</f>
        <v/>
      </c>
      <c r="AL118" s="497">
        <f>AO117</f>
        <v/>
      </c>
      <c r="AM118" s="497" t="n"/>
      <c r="AN118" s="497" t="n"/>
      <c r="AO118" s="593">
        <f>IF(AND(AJ118:AN118),1,0)</f>
        <v/>
      </c>
      <c r="GZ118" s="742" t="n"/>
      <c r="HD118" s="742" t="n"/>
      <c r="LB118" s="592" t="n">
        <v>115</v>
      </c>
      <c r="LC118" s="497" t="n"/>
      <c r="LD118" s="724" t="inlineStr">
        <is>
          <t>CMPC4 16 A</t>
        </is>
      </c>
      <c r="LE118" s="497" t="n"/>
      <c r="LF118" s="724" t="n"/>
      <c r="LG118" s="605">
        <f>LN20</f>
        <v/>
      </c>
      <c r="LH118" s="724">
        <f>LK52</f>
        <v/>
      </c>
      <c r="LI118" s="497">
        <f>LK85</f>
        <v/>
      </c>
      <c r="LJ118" s="497">
        <f>LK117</f>
        <v/>
      </c>
      <c r="LK118" s="593">
        <f>IF(AND(LF118:LJ118),1,0)</f>
        <v/>
      </c>
      <c r="MH118" s="592" t="n">
        <v>115</v>
      </c>
      <c r="MI118" s="497" t="n"/>
      <c r="MJ118" s="724" t="inlineStr">
        <is>
          <t>SMDRB</t>
        </is>
      </c>
      <c r="MK118" s="497" t="n"/>
      <c r="ML118" s="724" t="n"/>
      <c r="MM118" s="605">
        <f>MT11</f>
        <v/>
      </c>
      <c r="MN118" s="724">
        <f>MQ117</f>
        <v/>
      </c>
      <c r="MO118" s="497" t="n"/>
      <c r="MP118" s="497" t="n"/>
      <c r="MQ118" s="593">
        <f>IF(AND(ML118:MP118),1,0)</f>
        <v/>
      </c>
    </row>
    <row r="119">
      <c r="A119" s="497" t="n"/>
      <c r="P119" s="592" t="n">
        <v>116</v>
      </c>
      <c r="Q119" s="497" t="n"/>
      <c r="R119" s="592" t="n"/>
      <c r="S119" s="497" t="n"/>
      <c r="T119" s="497" t="n"/>
      <c r="U119" s="757">
        <f>Y34</f>
        <v/>
      </c>
      <c r="V119" s="497" t="n"/>
      <c r="W119" s="497" t="n"/>
      <c r="X119" s="497" t="n"/>
      <c r="Y119" s="593">
        <f>IF(AND(T119:X119),1,0)</f>
        <v/>
      </c>
      <c r="AF119" s="592" t="n">
        <v>116</v>
      </c>
      <c r="AG119" s="599" t="n"/>
      <c r="AH119" s="597" t="inlineStr">
        <is>
          <t>GROUND</t>
        </is>
      </c>
      <c r="AI119" s="497" t="n"/>
      <c r="AJ119" s="497" t="n"/>
      <c r="AK119" s="630" t="n">
        <v>1</v>
      </c>
      <c r="AL119" s="497" t="n"/>
      <c r="AM119" s="497" t="n"/>
      <c r="AN119" s="497" t="n"/>
      <c r="AO119" s="593">
        <f>IF(AND(AJ119:AN119),1,0)</f>
        <v/>
      </c>
      <c r="GZ119" s="742" t="n"/>
      <c r="HD119" s="742" t="n"/>
      <c r="LB119" s="592" t="n">
        <v>116</v>
      </c>
      <c r="LC119" s="497" t="n"/>
      <c r="LD119" s="724" t="n"/>
      <c r="LF119" s="724" t="n"/>
      <c r="LG119" s="724">
        <f>LK117</f>
        <v/>
      </c>
      <c r="LH119" s="724" t="n"/>
      <c r="LI119" s="497" t="n"/>
      <c r="LJ119" s="497" t="n"/>
      <c r="LK119" s="593">
        <f>IF(AND(LF119:LJ119),1,0)</f>
        <v/>
      </c>
      <c r="MH119" s="592" t="n">
        <v>116</v>
      </c>
      <c r="MI119" s="497" t="n"/>
      <c r="MJ119" s="724" t="n"/>
      <c r="MK119" s="497" t="n"/>
      <c r="ML119" s="724" t="n"/>
      <c r="MM119" s="724">
        <f>MQ118</f>
        <v/>
      </c>
      <c r="MN119" s="724" t="n"/>
      <c r="MO119" s="497" t="n"/>
      <c r="MP119" s="497" t="n"/>
      <c r="MQ119" s="593">
        <f>IF(AND(ML119:MP119),1,0)</f>
        <v/>
      </c>
    </row>
    <row r="120">
      <c r="A120" s="592" t="n"/>
      <c r="P120" s="592" t="n">
        <v>117</v>
      </c>
      <c r="Q120" s="497" t="n"/>
      <c r="R120" s="592" t="inlineStr">
        <is>
          <t>SAFB1 9.5A</t>
        </is>
      </c>
      <c r="S120" s="497" t="n"/>
      <c r="T120" s="497" t="n"/>
      <c r="U120" s="613">
        <f>AB16</f>
        <v/>
      </c>
      <c r="V120" s="497">
        <f>Y119</f>
        <v/>
      </c>
      <c r="W120" s="497">
        <f>Y124</f>
        <v/>
      </c>
      <c r="X120" s="497">
        <f>Y127</f>
        <v/>
      </c>
      <c r="Y120" s="593">
        <f>IF(AND(T120:X120),1,0)</f>
        <v/>
      </c>
      <c r="AF120" s="592" t="n">
        <v>117</v>
      </c>
      <c r="AG120" s="599" t="n"/>
      <c r="AH120" s="597" t="n"/>
      <c r="AI120" s="497" t="n"/>
      <c r="AJ120" s="497" t="n"/>
      <c r="AK120" s="630">
        <f>AO35</f>
        <v/>
      </c>
      <c r="AL120" s="497" t="n"/>
      <c r="AM120" s="497" t="n"/>
      <c r="AN120" s="497" t="n"/>
      <c r="AO120" s="593">
        <f>IF(AND(AJ120:AN120),1,0)</f>
        <v/>
      </c>
      <c r="GZ120" s="742" t="n"/>
      <c r="HD120" s="742" t="n"/>
      <c r="LB120" s="592" t="n">
        <v>117</v>
      </c>
      <c r="LC120" s="497" t="n"/>
      <c r="LD120" s="724" t="inlineStr">
        <is>
          <t xml:space="preserve">VFD DRIVE </t>
        </is>
      </c>
      <c r="LE120" s="497" t="n"/>
      <c r="LF120" s="724" t="n"/>
      <c r="LG120" s="605">
        <f>LN28</f>
        <v/>
      </c>
      <c r="LH120" s="724">
        <f>LK53</f>
        <v/>
      </c>
      <c r="LI120" s="497">
        <f>LK86</f>
        <v/>
      </c>
      <c r="LJ120" s="497">
        <f>LK119</f>
        <v/>
      </c>
      <c r="LK120" s="593">
        <f>IF(AND(LF120:LJ120),1,0)</f>
        <v/>
      </c>
      <c r="MH120" s="592" t="n">
        <v>117</v>
      </c>
      <c r="MI120" s="497" t="n"/>
      <c r="MJ120" s="724" t="inlineStr">
        <is>
          <t>SMDR</t>
        </is>
      </c>
      <c r="MK120" s="497" t="n"/>
      <c r="ML120" s="724" t="n"/>
      <c r="MM120" s="605">
        <f>IF(OR('DATA TRANSFER'!M12),1,0)</f>
        <v/>
      </c>
      <c r="MN120" s="724" t="n"/>
      <c r="MO120" s="497" t="n"/>
      <c r="MP120" s="497" t="n"/>
      <c r="MQ120" s="593">
        <f>IF(AND(ML120:MP120),1,0)</f>
        <v/>
      </c>
    </row>
    <row r="121">
      <c r="A121" s="592" t="n"/>
      <c r="B121" s="497" t="n"/>
      <c r="P121" s="592" t="n">
        <v>118</v>
      </c>
      <c r="Q121" s="497" t="n"/>
      <c r="R121" s="592" t="n"/>
      <c r="S121" s="497" t="n"/>
      <c r="T121" s="497" t="n"/>
      <c r="U121" s="757">
        <f>Y120</f>
        <v/>
      </c>
      <c r="V121" s="497" t="n"/>
      <c r="W121" s="497" t="n"/>
      <c r="X121" s="497" t="n"/>
      <c r="Y121" s="593">
        <f>IF(AND(T121:X121),1,0)</f>
        <v/>
      </c>
      <c r="AF121" s="592" t="n">
        <v>118</v>
      </c>
      <c r="AG121" s="599" t="n"/>
      <c r="AH121" s="497" t="inlineStr">
        <is>
          <t>SAFB1 9.5A</t>
        </is>
      </c>
      <c r="AI121" s="497" t="n"/>
      <c r="AJ121" s="497" t="n"/>
      <c r="AK121" s="601">
        <f>AB15</f>
        <v/>
      </c>
      <c r="AL121" s="497">
        <f>AO120</f>
        <v/>
      </c>
      <c r="AM121" s="497" t="n"/>
      <c r="AN121" s="497" t="n"/>
      <c r="AO121" s="593">
        <f>IF(AND(AJ121:AN121),1,0)</f>
        <v/>
      </c>
      <c r="GZ121" s="742" t="n"/>
      <c r="HD121" s="742" t="n"/>
      <c r="LB121" s="592" t="n">
        <v>118</v>
      </c>
      <c r="LC121" s="497" t="n"/>
      <c r="LD121" s="724" t="n"/>
      <c r="LE121" s="497" t="n"/>
      <c r="LF121" s="724" t="n"/>
      <c r="LG121" s="724">
        <f>LK120</f>
        <v/>
      </c>
      <c r="LH121" s="724" t="n"/>
      <c r="LI121" s="497" t="n"/>
      <c r="LJ121" s="497" t="n"/>
      <c r="LK121" s="593">
        <f>IF(AND(LF121:LJ121),1,0)</f>
        <v/>
      </c>
      <c r="MH121" s="592" t="n">
        <v>118</v>
      </c>
      <c r="MI121" s="497" t="n"/>
      <c r="MJ121" s="724" t="n"/>
      <c r="MK121" s="497" t="n"/>
      <c r="ML121" s="724" t="n"/>
      <c r="MM121" s="612" t="n">
        <v>1</v>
      </c>
      <c r="MN121" s="724" t="n"/>
      <c r="MO121" s="497" t="n"/>
      <c r="MP121" s="497" t="n"/>
      <c r="MQ121" s="593">
        <f>IF(AND(ML121:MP121),1,0)</f>
        <v/>
      </c>
    </row>
    <row r="122">
      <c r="A122" s="497" t="n"/>
      <c r="B122" s="497" t="n"/>
      <c r="P122" s="592" t="n">
        <v>119</v>
      </c>
      <c r="Q122" s="497" t="n"/>
      <c r="R122" s="592" t="inlineStr">
        <is>
          <t>SAFC1 12A</t>
        </is>
      </c>
      <c r="S122" s="497" t="n"/>
      <c r="T122" s="497" t="n"/>
      <c r="U122" s="613">
        <f>AB16</f>
        <v/>
      </c>
      <c r="V122" s="497">
        <f>Y121</f>
        <v/>
      </c>
      <c r="W122" s="497">
        <f>Y125</f>
        <v/>
      </c>
      <c r="X122" s="497">
        <f>Y128</f>
        <v/>
      </c>
      <c r="Y122" s="593">
        <f>IF(AND(T122:X122),1,0)</f>
        <v/>
      </c>
      <c r="AF122" s="592" t="n">
        <v>119</v>
      </c>
      <c r="AG122" s="599" t="n"/>
      <c r="AH122" s="597" t="n"/>
      <c r="AI122" s="497" t="n"/>
      <c r="AJ122" s="497" t="n"/>
      <c r="AK122" s="630">
        <f>AO121</f>
        <v/>
      </c>
      <c r="AL122" s="497" t="n"/>
      <c r="AM122" s="497" t="n"/>
      <c r="AN122" s="497" t="n"/>
      <c r="AO122" s="593">
        <f>IF(AND(AJ122:AN122),1,0)</f>
        <v/>
      </c>
      <c r="GZ122" s="742" t="n"/>
      <c r="HD122" s="742" t="n"/>
      <c r="LB122" s="592" t="n">
        <v>119</v>
      </c>
      <c r="LC122" s="497" t="n"/>
      <c r="LD122" s="724" t="n"/>
      <c r="LE122" s="497" t="n"/>
      <c r="LF122" s="724" t="n"/>
      <c r="LG122" s="724">
        <f>LK99</f>
        <v/>
      </c>
      <c r="LH122" s="724" t="n"/>
      <c r="LI122" s="497" t="n"/>
      <c r="LJ122" s="497" t="n"/>
      <c r="LK122" s="593">
        <f>IF(AND(LF122:LJ122),1,0)</f>
        <v/>
      </c>
      <c r="MH122" s="592" t="n">
        <v>119</v>
      </c>
      <c r="MI122" s="497" t="n"/>
      <c r="MJ122" s="724" t="n"/>
      <c r="MK122" s="497" t="n"/>
      <c r="ML122" s="724" t="n"/>
      <c r="MM122" s="724">
        <f>MQ123</f>
        <v/>
      </c>
      <c r="MN122" s="724" t="n"/>
      <c r="MO122" s="497" t="n"/>
      <c r="MP122" s="497" t="n"/>
      <c r="MQ122" s="593">
        <f>IF(AND(ML122:MP122),1,0)</f>
        <v/>
      </c>
    </row>
    <row r="123">
      <c r="A123" s="497" t="n"/>
      <c r="B123" s="497" t="n"/>
      <c r="P123" s="592" t="n">
        <v>120</v>
      </c>
      <c r="Q123" s="497" t="n"/>
      <c r="R123" s="592" t="n"/>
      <c r="S123" s="497" t="n"/>
      <c r="T123" s="497" t="n"/>
      <c r="U123" s="757">
        <f>Y122</f>
        <v/>
      </c>
      <c r="V123" s="497" t="n"/>
      <c r="W123" s="497" t="n"/>
      <c r="X123" s="497" t="n"/>
      <c r="Y123" s="593">
        <f>IF(AND(T123:X123),1,0)</f>
        <v/>
      </c>
      <c r="AF123" s="592" t="n">
        <v>120</v>
      </c>
      <c r="AG123" s="599" t="n"/>
      <c r="AH123" s="497" t="inlineStr">
        <is>
          <t>SAFC1 12A</t>
        </is>
      </c>
      <c r="AI123" s="497" t="n"/>
      <c r="AJ123" s="497" t="n"/>
      <c r="AK123" s="601">
        <f>AB15</f>
        <v/>
      </c>
      <c r="AL123" s="497">
        <f>AO122</f>
        <v/>
      </c>
      <c r="AM123" s="497" t="n"/>
      <c r="AN123" s="497" t="n"/>
      <c r="AO123" s="593">
        <f>IF(AND(AJ123:AN123),1,0)</f>
        <v/>
      </c>
      <c r="GZ123" s="742" t="n"/>
      <c r="HD123" s="742" t="n"/>
      <c r="LB123" s="592" t="n">
        <v>120</v>
      </c>
      <c r="LC123" s="497" t="n"/>
      <c r="LD123" s="724" t="inlineStr">
        <is>
          <t>CDFB 4,63 A</t>
        </is>
      </c>
      <c r="LE123" s="497" t="n"/>
      <c r="LF123" s="724" t="n"/>
      <c r="LG123" s="605">
        <f>LN22</f>
        <v/>
      </c>
      <c r="LH123" s="724">
        <f>LK57</f>
        <v/>
      </c>
      <c r="LI123" s="497">
        <f>LK88</f>
        <v/>
      </c>
      <c r="LJ123" s="497">
        <f>LK122</f>
        <v/>
      </c>
      <c r="LK123" s="593">
        <f>IF(AND(LF123:LJ123),1,0)</f>
        <v/>
      </c>
      <c r="MH123" s="592" t="n">
        <v>120</v>
      </c>
      <c r="MI123" s="497" t="n"/>
      <c r="MJ123" s="724" t="inlineStr">
        <is>
          <t>SMDR</t>
        </is>
      </c>
      <c r="MK123" s="497" t="n"/>
      <c r="ML123" s="724" t="n"/>
      <c r="MM123" s="605">
        <f>IF(OR('DATA TRANSFER'!M12),1,0)</f>
        <v/>
      </c>
      <c r="MN123" s="724" t="n"/>
      <c r="MO123" s="497" t="n"/>
      <c r="MP123" s="497" t="n"/>
      <c r="MQ123" s="593">
        <f>IF(AND(ML123:MP123),1,0)</f>
        <v/>
      </c>
    </row>
    <row r="124">
      <c r="A124" s="497" t="n"/>
      <c r="B124" s="497" t="n"/>
      <c r="P124" s="592" t="n">
        <v>121</v>
      </c>
      <c r="Q124" s="497" t="n"/>
      <c r="R124" s="592" t="n"/>
      <c r="S124" s="497" t="n"/>
      <c r="T124" s="497" t="n"/>
      <c r="U124" s="757">
        <f>Y37</f>
        <v/>
      </c>
      <c r="V124" s="497" t="n"/>
      <c r="W124" s="497" t="n"/>
      <c r="X124" s="497" t="n"/>
      <c r="Y124" s="593">
        <f>IF(AND(T124:X124),1,0)</f>
        <v/>
      </c>
      <c r="AF124" s="592" t="n">
        <v>121</v>
      </c>
      <c r="AG124" s="599" t="n"/>
      <c r="AH124" s="597" t="n"/>
      <c r="AI124" s="497" t="n"/>
      <c r="AJ124" s="497" t="n"/>
      <c r="AK124" s="630">
        <f>AO123</f>
        <v/>
      </c>
      <c r="AL124" s="497" t="n"/>
      <c r="AM124" s="497" t="n"/>
      <c r="AN124" s="497" t="n"/>
      <c r="AO124" s="593">
        <f>IF(AND(AJ124:AN124),1,0)</f>
        <v/>
      </c>
      <c r="GZ124" s="742" t="n"/>
      <c r="HD124" s="742" t="n"/>
      <c r="LB124" s="592" t="n">
        <v>121</v>
      </c>
      <c r="LC124" s="497" t="n"/>
      <c r="LD124" s="724" t="n"/>
      <c r="LE124" s="497" t="n"/>
      <c r="LF124" s="724" t="n"/>
      <c r="LG124" s="724">
        <f>LK123</f>
        <v/>
      </c>
      <c r="LH124" s="724" t="n"/>
      <c r="LI124" s="497" t="n"/>
      <c r="LJ124" s="497" t="n"/>
      <c r="LK124" s="593">
        <f>IF(AND(LF124:LJ124),1,0)</f>
        <v/>
      </c>
      <c r="MH124" s="592" t="n">
        <v>121</v>
      </c>
      <c r="MI124" s="497" t="n"/>
      <c r="MJ124" s="724" t="n"/>
      <c r="MK124" s="497" t="n"/>
      <c r="ML124" s="724" t="n"/>
      <c r="MM124" s="612" t="n">
        <v>1</v>
      </c>
      <c r="MN124" s="724" t="n"/>
      <c r="MO124" s="497" t="n"/>
      <c r="MP124" s="497" t="n"/>
      <c r="MQ124" s="593">
        <f>IF(AND(ML124:MP124),1,0)</f>
        <v/>
      </c>
    </row>
    <row r="125">
      <c r="A125" s="497" t="n"/>
      <c r="B125" s="497" t="n"/>
      <c r="P125" s="592" t="n">
        <v>122</v>
      </c>
      <c r="Q125" s="497" t="n"/>
      <c r="R125" s="592" t="n"/>
      <c r="S125" s="497" t="n"/>
      <c r="T125" s="497" t="n"/>
      <c r="U125" s="757">
        <f>Y120</f>
        <v/>
      </c>
      <c r="V125" s="497">
        <f>Y124</f>
        <v/>
      </c>
      <c r="W125" s="497" t="n"/>
      <c r="X125" s="497" t="n"/>
      <c r="Y125" s="593">
        <f>IF(AND(T125:X125),1,0)</f>
        <v/>
      </c>
      <c r="AF125" s="592" t="n">
        <v>122</v>
      </c>
      <c r="AG125" s="599" t="n"/>
      <c r="AH125" s="597" t="n"/>
      <c r="AI125" s="497" t="n"/>
      <c r="AJ125" s="497" t="n"/>
      <c r="AK125" s="630">
        <f>AO38</f>
        <v/>
      </c>
      <c r="AL125" s="497" t="n"/>
      <c r="AM125" s="497" t="n"/>
      <c r="AN125" s="497" t="n"/>
      <c r="AO125" s="593">
        <f>IF(AND(AJ125:AN125),1,0)</f>
        <v/>
      </c>
      <c r="GZ125" s="742" t="n"/>
      <c r="HD125" s="742" t="n"/>
      <c r="LB125" s="592" t="n">
        <v>122</v>
      </c>
      <c r="LC125" s="497" t="n"/>
      <c r="LD125" s="724" t="inlineStr">
        <is>
          <t>CDFC 9 A</t>
        </is>
      </c>
      <c r="LE125" s="497" t="n"/>
      <c r="LF125" s="724" t="n"/>
      <c r="LG125" s="605">
        <f>LN22</f>
        <v/>
      </c>
      <c r="LH125" s="724">
        <f>LK58</f>
        <v/>
      </c>
      <c r="LI125" s="497">
        <f>LK89</f>
        <v/>
      </c>
      <c r="LJ125" s="497">
        <f>LK124</f>
        <v/>
      </c>
      <c r="LK125" s="593">
        <f>IF(AND(LF125:LJ125),1,0)</f>
        <v/>
      </c>
      <c r="MH125" s="592" t="n">
        <v>122</v>
      </c>
      <c r="MI125" s="497" t="n"/>
      <c r="MJ125" s="724" t="n"/>
      <c r="MK125" s="497" t="n"/>
      <c r="ML125" s="724" t="n"/>
      <c r="MM125" s="724">
        <f>MQ126</f>
        <v/>
      </c>
      <c r="MN125" s="724" t="n"/>
      <c r="MO125" s="497" t="n"/>
      <c r="MP125" s="497" t="n"/>
      <c r="MQ125" s="593">
        <f>IF(AND(ML125:MP125),1,0)</f>
        <v/>
      </c>
    </row>
    <row r="126" ht="31.5" customHeight="1">
      <c r="A126" s="597" t="inlineStr">
        <is>
          <t>LA .A03-X06</t>
        </is>
      </c>
      <c r="B126" s="497" t="n"/>
      <c r="P126" s="592" t="n">
        <v>123</v>
      </c>
      <c r="Q126" s="497" t="n"/>
      <c r="R126" s="592" t="n"/>
      <c r="S126" s="497" t="n"/>
      <c r="T126" s="497" t="n"/>
      <c r="U126" s="757">
        <f>Y122</f>
        <v/>
      </c>
      <c r="V126" s="497">
        <f>Y125</f>
        <v/>
      </c>
      <c r="W126" s="497" t="n"/>
      <c r="X126" s="497" t="n"/>
      <c r="Y126" s="593">
        <f>IF(AND(T126:X126),1,0)</f>
        <v/>
      </c>
      <c r="AF126" s="592" t="n">
        <v>123</v>
      </c>
      <c r="AG126" s="599" t="n"/>
      <c r="AH126" s="597" t="n"/>
      <c r="AI126" s="497" t="n"/>
      <c r="AJ126" s="497" t="n"/>
      <c r="AK126" s="630">
        <f>AO121</f>
        <v/>
      </c>
      <c r="AL126" s="497">
        <f>AO125</f>
        <v/>
      </c>
      <c r="AM126" s="497" t="n"/>
      <c r="AN126" s="497" t="n"/>
      <c r="AO126" s="593">
        <f>IF(AND(AJ126:AN126),1,0)</f>
        <v/>
      </c>
      <c r="GZ126" s="742" t="n"/>
      <c r="HD126" s="742" t="n"/>
      <c r="LB126" s="592" t="n">
        <v>123</v>
      </c>
      <c r="LC126" s="497" t="n"/>
      <c r="LD126" s="724" t="n"/>
      <c r="LE126" s="497" t="n"/>
      <c r="LF126" s="724" t="n"/>
      <c r="LG126" s="724">
        <f>LK125</f>
        <v/>
      </c>
      <c r="LH126" s="724" t="n"/>
      <c r="LI126" s="497" t="n"/>
      <c r="LJ126" s="497" t="n"/>
      <c r="LK126" s="593">
        <f>IF(AND(LF126:LJ126),1,0)</f>
        <v/>
      </c>
      <c r="MH126" s="592" t="n">
        <v>123</v>
      </c>
      <c r="MI126" s="497" t="n"/>
      <c r="MJ126" s="724" t="inlineStr">
        <is>
          <t>FADR</t>
        </is>
      </c>
      <c r="MK126" s="497" t="n"/>
      <c r="ML126" s="724" t="n"/>
      <c r="MM126" s="605">
        <f>MT13</f>
        <v/>
      </c>
      <c r="MN126" s="724" t="n"/>
      <c r="MO126" s="497" t="n"/>
      <c r="MP126" s="497" t="n"/>
      <c r="MQ126" s="593">
        <f>IF(AND(ML126:MP126),1,0)</f>
        <v/>
      </c>
    </row>
    <row r="127">
      <c r="A127" s="497" t="n"/>
      <c r="B127" s="497" t="n"/>
      <c r="P127" s="592" t="n">
        <v>124</v>
      </c>
      <c r="Q127" s="497" t="n"/>
      <c r="R127" s="592" t="n"/>
      <c r="S127" s="497" t="n"/>
      <c r="T127" s="497" t="n"/>
      <c r="U127" s="757">
        <f>Y40</f>
        <v/>
      </c>
      <c r="V127" s="497" t="n"/>
      <c r="W127" s="497" t="n"/>
      <c r="X127" s="497" t="n"/>
      <c r="Y127" s="593">
        <f>IF(AND(T127:X127),1,0)</f>
        <v/>
      </c>
      <c r="AF127" s="592" t="n">
        <v>124</v>
      </c>
      <c r="AG127" s="599" t="n"/>
      <c r="AH127" s="597" t="n"/>
      <c r="AI127" s="497" t="n"/>
      <c r="AJ127" s="497" t="n"/>
      <c r="AK127" s="630">
        <f>AO123</f>
        <v/>
      </c>
      <c r="AL127" s="497">
        <f>AO126</f>
        <v/>
      </c>
      <c r="AM127" s="497" t="n"/>
      <c r="AN127" s="497" t="n"/>
      <c r="AO127" s="593">
        <f>IF(AND(AJ127:AN127),1,0)</f>
        <v/>
      </c>
      <c r="GZ127" s="742" t="n"/>
      <c r="HD127" s="742" t="n"/>
      <c r="LB127" s="592" t="n">
        <v>124</v>
      </c>
      <c r="LC127" s="497" t="n"/>
      <c r="LD127" s="724" t="n"/>
      <c r="LE127" s="497" t="n"/>
      <c r="LF127" s="724" t="n"/>
      <c r="LG127" s="724">
        <f>LK126</f>
        <v/>
      </c>
      <c r="LH127" s="724" t="n"/>
      <c r="LI127" s="497" t="n"/>
      <c r="LJ127" s="497" t="n"/>
      <c r="LK127" s="593">
        <f>IF(AND(LF127:LJ127),1,0)</f>
        <v/>
      </c>
      <c r="MH127" s="592" t="n">
        <v>124</v>
      </c>
      <c r="MI127" s="497" t="n"/>
      <c r="MJ127" s="724" t="n"/>
      <c r="MK127" s="497" t="n"/>
      <c r="ML127" s="724" t="n"/>
      <c r="MM127" s="605">
        <f>MT15</f>
        <v/>
      </c>
      <c r="MN127" s="724" t="n"/>
      <c r="MO127" s="497" t="n"/>
      <c r="MP127" s="497" t="n"/>
      <c r="MQ127" s="593">
        <f>IF(AND(ML127:MP127),1,0)</f>
        <v/>
      </c>
    </row>
    <row r="128">
      <c r="A128" s="590" t="n"/>
      <c r="B128" s="590" t="n"/>
      <c r="P128" s="592" t="n">
        <v>125</v>
      </c>
      <c r="Q128" s="497" t="n"/>
      <c r="R128" s="592" t="n"/>
      <c r="S128" s="497" t="n"/>
      <c r="T128" s="497" t="n"/>
      <c r="U128" s="757">
        <f>Y120</f>
        <v/>
      </c>
      <c r="V128" s="497">
        <f>Y127</f>
        <v/>
      </c>
      <c r="W128" s="497" t="n"/>
      <c r="X128" s="497" t="n"/>
      <c r="Y128" s="593">
        <f>IF(AND(T128:X128),1,0)</f>
        <v/>
      </c>
      <c r="AF128" s="592" t="n">
        <v>125</v>
      </c>
      <c r="AG128" s="599" t="n"/>
      <c r="AH128" s="597" t="n"/>
      <c r="AI128" s="497" t="n"/>
      <c r="AJ128" s="497" t="n"/>
      <c r="AK128" s="630">
        <f>AO41</f>
        <v/>
      </c>
      <c r="AL128" s="497" t="n"/>
      <c r="AM128" s="497" t="n"/>
      <c r="AN128" s="497" t="n"/>
      <c r="AO128" s="593">
        <f>IF(AND(AJ128:AN128),1,0)</f>
        <v/>
      </c>
      <c r="GZ128" s="742" t="n"/>
      <c r="HD128" s="742" t="n"/>
      <c r="LB128" s="592" t="n">
        <v>125</v>
      </c>
      <c r="LC128" s="497" t="n"/>
      <c r="LD128" s="724" t="n"/>
      <c r="LE128" s="497" t="n"/>
      <c r="LF128" s="724" t="n"/>
      <c r="LG128" s="724">
        <f>LK90</f>
        <v/>
      </c>
      <c r="LH128" s="724" t="n"/>
      <c r="LI128" s="497" t="n"/>
      <c r="LJ128" s="497" t="n"/>
      <c r="LK128" s="593">
        <f>IF(AND(LF128:LJ128),1,0)</f>
        <v/>
      </c>
      <c r="MH128" s="592" t="n">
        <v>125</v>
      </c>
      <c r="MI128" s="497" t="n"/>
      <c r="MJ128" s="724" t="n"/>
      <c r="MK128" s="497" t="n"/>
      <c r="ML128" s="724" t="n"/>
      <c r="MM128" s="724">
        <f>MQ127</f>
        <v/>
      </c>
      <c r="MN128" s="724" t="n"/>
      <c r="MO128" s="497" t="n"/>
      <c r="MP128" s="497" t="n"/>
      <c r="MQ128" s="593">
        <f>IF(AND(ML128:MP128),1,0)</f>
        <v/>
      </c>
    </row>
    <row r="129" ht="47.25" customHeight="1">
      <c r="A129" s="597" t="inlineStr">
        <is>
          <t>UB .XE01.01_+01.10</t>
        </is>
      </c>
      <c r="B129" s="497" t="n"/>
      <c r="P129" s="592" t="n">
        <v>126</v>
      </c>
      <c r="Q129" s="497" t="n"/>
      <c r="R129" s="592" t="n"/>
      <c r="S129" s="497" t="n"/>
      <c r="T129" s="497" t="n"/>
      <c r="U129" s="757">
        <f>Y122</f>
        <v/>
      </c>
      <c r="V129" s="497">
        <f>Y128</f>
        <v/>
      </c>
      <c r="W129" s="497" t="n"/>
      <c r="X129" s="497" t="n"/>
      <c r="Y129" s="593">
        <f>IF(AND(T129:X129),1,0)</f>
        <v/>
      </c>
      <c r="AF129" s="592" t="n">
        <v>126</v>
      </c>
      <c r="AG129" s="599" t="n"/>
      <c r="AH129" s="597" t="n"/>
      <c r="AI129" s="497" t="n"/>
      <c r="AJ129" s="497" t="n"/>
      <c r="AK129" s="630">
        <f>AO121</f>
        <v/>
      </c>
      <c r="AL129" s="497">
        <f>AO128</f>
        <v/>
      </c>
      <c r="AM129" s="497" t="n"/>
      <c r="AN129" s="497" t="n"/>
      <c r="AO129" s="593">
        <f>IF(AND(AJ129:AN129),1,0)</f>
        <v/>
      </c>
      <c r="GZ129" s="742" t="n"/>
      <c r="HD129" s="742" t="n"/>
      <c r="LB129" s="592" t="n">
        <v>126</v>
      </c>
      <c r="LC129" s="497" t="n"/>
      <c r="LD129" s="724" t="n"/>
      <c r="LE129" s="497" t="n"/>
      <c r="LF129" s="724" t="n"/>
      <c r="LG129" s="724">
        <f>LK59</f>
        <v/>
      </c>
      <c r="LH129" s="724" t="n"/>
      <c r="LI129" s="497" t="n"/>
      <c r="LJ129" s="497" t="n"/>
      <c r="LK129" s="593">
        <f>IF(AND(LF129:LJ129),1,0)</f>
        <v/>
      </c>
      <c r="MH129" s="592" t="n">
        <v>126</v>
      </c>
      <c r="MI129" s="497" t="n"/>
      <c r="MJ129" s="724" t="n"/>
      <c r="MK129" s="497" t="n"/>
      <c r="ML129" s="724" t="n"/>
      <c r="MM129" s="724">
        <f>MQ101</f>
        <v/>
      </c>
      <c r="MN129" s="724" t="n"/>
      <c r="MO129" s="497" t="n"/>
      <c r="MP129" s="497" t="n"/>
      <c r="MQ129" s="593">
        <f>IF(AND(ML129:MP129),1,0)</f>
        <v/>
      </c>
    </row>
    <row r="130" ht="58.5" customHeight="1">
      <c r="A130" s="497" t="n"/>
      <c r="B130" s="497" t="n"/>
      <c r="P130" s="592" t="n">
        <v>127</v>
      </c>
      <c r="Q130" s="497" t="n"/>
      <c r="R130" s="724" t="inlineStr">
        <is>
          <t>SUPPLY AIR FAN 2 Pa=1.25kW P.f=0.76</t>
        </is>
      </c>
      <c r="S130" s="497" t="n"/>
      <c r="T130" s="497" t="n"/>
      <c r="U130" s="613">
        <f>AB16</f>
        <v/>
      </c>
      <c r="V130" s="497">
        <f>Y123</f>
        <v/>
      </c>
      <c r="W130" s="497">
        <f>Y126</f>
        <v/>
      </c>
      <c r="X130" s="497">
        <f>Y129</f>
        <v/>
      </c>
      <c r="Y130" s="593">
        <f>IF(AND(T130:X130),1,0)</f>
        <v/>
      </c>
      <c r="AF130" s="592" t="n">
        <v>127</v>
      </c>
      <c r="AG130" s="599" t="n"/>
      <c r="AH130" s="597" t="n"/>
      <c r="AI130" s="497" t="n"/>
      <c r="AJ130" s="497" t="n"/>
      <c r="AK130" s="630">
        <f>AO123</f>
        <v/>
      </c>
      <c r="AL130" s="497">
        <f>AO129</f>
        <v/>
      </c>
      <c r="AM130" s="497" t="n"/>
      <c r="AN130" s="497" t="n"/>
      <c r="AO130" s="593">
        <f>IF(AND(AJ130:AN130),1,0)</f>
        <v/>
      </c>
      <c r="GZ130" s="742" t="n"/>
      <c r="HD130" s="742" t="n"/>
      <c r="LB130" s="592" t="n">
        <v>127</v>
      </c>
      <c r="LC130" s="497" t="n"/>
      <c r="LD130" s="724" t="inlineStr">
        <is>
          <t>CONDENSER MOTOR 2 Pa=2,5kW p.f.=0,75</t>
        </is>
      </c>
      <c r="LE130" s="497" t="n"/>
      <c r="LF130" s="724" t="n"/>
      <c r="LG130" s="605">
        <f>LN23</f>
        <v/>
      </c>
      <c r="LH130" s="724">
        <f>LK129</f>
        <v/>
      </c>
      <c r="LI130" s="497">
        <f>LK128</f>
        <v/>
      </c>
      <c r="LJ130" s="497">
        <f>LK127</f>
        <v/>
      </c>
      <c r="LK130" s="593">
        <f>IF(AND(LF130:LJ130),1,0)</f>
        <v/>
      </c>
      <c r="MH130" s="592" t="n">
        <v>127</v>
      </c>
      <c r="MI130" s="497" t="n"/>
      <c r="MJ130" s="724" t="inlineStr">
        <is>
          <t>ACCP2N</t>
        </is>
      </c>
      <c r="MK130" s="497" t="n"/>
      <c r="ML130" s="724" t="n"/>
      <c r="MM130" s="605">
        <f>MT20</f>
        <v/>
      </c>
      <c r="MN130" s="724">
        <f>MQ129</f>
        <v/>
      </c>
      <c r="MO130" s="497" t="n"/>
      <c r="MP130" s="497" t="n"/>
      <c r="MQ130" s="593">
        <f>IF(AND(ML130:MP130),1,0)</f>
        <v/>
      </c>
    </row>
    <row r="131" ht="31.5" customHeight="1">
      <c r="A131" s="597" t="inlineStr">
        <is>
          <t>LA .A03-X07</t>
        </is>
      </c>
      <c r="B131" s="497" t="n"/>
      <c r="P131" s="592" t="n">
        <v>128</v>
      </c>
      <c r="Q131" s="497" t="n"/>
      <c r="R131" s="592" t="n"/>
      <c r="S131" s="497" t="n"/>
      <c r="T131" s="497" t="n"/>
      <c r="U131" s="757">
        <f>Y130</f>
        <v/>
      </c>
      <c r="V131" s="497" t="n"/>
      <c r="W131" s="497" t="n"/>
      <c r="X131" s="497" t="n"/>
      <c r="Y131" s="593">
        <f>IF(AND(T131:X131),1,0)</f>
        <v/>
      </c>
      <c r="AF131" s="592" t="n">
        <v>128</v>
      </c>
      <c r="AG131" s="599" t="n"/>
      <c r="AH131" s="724" t="inlineStr">
        <is>
          <t>SUPPLY AIR FAN 1 Pa=1.25kW P.f=0.75</t>
        </is>
      </c>
      <c r="AI131" s="497" t="n"/>
      <c r="AJ131" s="497" t="n"/>
      <c r="AK131" s="601">
        <f>AB15</f>
        <v/>
      </c>
      <c r="AL131" s="497">
        <f>AO124</f>
        <v/>
      </c>
      <c r="AM131" s="497">
        <f>AO127</f>
        <v/>
      </c>
      <c r="AN131" s="497">
        <f>AO130</f>
        <v/>
      </c>
      <c r="AO131" s="593">
        <f>IF(AND(AJ131:AN131),1,0)</f>
        <v/>
      </c>
      <c r="GZ131" s="742" t="n"/>
      <c r="HD131" s="742" t="n"/>
      <c r="LB131" s="592" t="n">
        <v>128</v>
      </c>
      <c r="LC131" s="497" t="n"/>
      <c r="LD131" s="724" t="n"/>
      <c r="LE131" s="497" t="n"/>
      <c r="LF131" s="724" t="n"/>
      <c r="LG131" s="724" t="n">
        <v>1</v>
      </c>
      <c r="LH131" s="724" t="n"/>
      <c r="LI131" s="497" t="n"/>
      <c r="LJ131" s="497" t="n"/>
      <c r="LK131" s="593">
        <f>IF(AND(LF131:LJ131),1,0)</f>
        <v/>
      </c>
      <c r="MH131" s="592" t="n">
        <v>128</v>
      </c>
      <c r="MI131" s="497" t="n"/>
      <c r="MJ131" s="724" t="n"/>
      <c r="MK131" s="497" t="n"/>
      <c r="ML131" s="724" t="n"/>
      <c r="MM131" s="724">
        <f>MQ130</f>
        <v/>
      </c>
      <c r="MN131" s="724" t="n"/>
      <c r="MO131" s="497" t="n"/>
      <c r="MP131" s="497" t="n"/>
      <c r="MQ131" s="593">
        <f>IF(AND(ML131:MP131),1,0)</f>
        <v/>
      </c>
    </row>
    <row r="132">
      <c r="A132" s="497" t="n"/>
      <c r="B132" s="497" t="n"/>
      <c r="P132" s="592" t="n">
        <v>129</v>
      </c>
      <c r="Q132" s="497" t="n"/>
      <c r="R132" s="592" t="n"/>
      <c r="S132" s="497" t="n"/>
      <c r="T132" s="497" t="n"/>
      <c r="U132" s="275">
        <f>Y130</f>
        <v/>
      </c>
      <c r="V132" s="497" t="n"/>
      <c r="W132" s="497" t="n"/>
      <c r="X132" s="497" t="n"/>
      <c r="Y132" s="593">
        <f>IF(AND(T132:X132),1,0)</f>
        <v/>
      </c>
      <c r="AF132" s="592" t="n">
        <v>129</v>
      </c>
      <c r="AG132" s="599" t="n"/>
      <c r="AH132" s="597" t="n"/>
      <c r="AI132" s="497" t="n"/>
      <c r="AJ132" s="497" t="n"/>
      <c r="AK132" s="630">
        <f>AO131</f>
        <v/>
      </c>
      <c r="AL132" s="497" t="n"/>
      <c r="AM132" s="497" t="n"/>
      <c r="AN132" s="497" t="n"/>
      <c r="AO132" s="593">
        <f>IF(AND(AJ132:AN132),1,0)</f>
        <v/>
      </c>
      <c r="GZ132" s="742" t="n"/>
      <c r="HD132" s="742" t="n"/>
      <c r="LB132" s="592" t="n">
        <v>129</v>
      </c>
      <c r="LC132" s="497" t="n"/>
      <c r="LD132" s="724" t="n"/>
      <c r="LE132" s="497" t="n"/>
      <c r="LF132" s="724" t="n"/>
      <c r="LG132" s="724">
        <f>LK99</f>
        <v/>
      </c>
      <c r="LH132" s="724" t="n"/>
      <c r="LI132" s="497" t="n"/>
      <c r="LJ132" s="497" t="n"/>
      <c r="LK132" s="593">
        <f>IF(AND(LF132:LJ132),1,0)</f>
        <v/>
      </c>
      <c r="MH132" s="592" t="n">
        <v>129</v>
      </c>
      <c r="MI132" s="497" t="n"/>
      <c r="MJ132" s="724" t="n"/>
      <c r="MK132" s="497" t="n"/>
      <c r="ML132" s="724" t="n"/>
      <c r="MM132" s="724">
        <f>MQ131</f>
        <v/>
      </c>
      <c r="MN132" s="724" t="n"/>
      <c r="MO132" s="497" t="n"/>
      <c r="MP132" s="497" t="n"/>
      <c r="MQ132" s="593">
        <f>IF(AND(ML132:MP132),1,0)</f>
        <v/>
      </c>
    </row>
    <row r="133">
      <c r="A133" s="497" t="n"/>
      <c r="B133" s="497" t="n"/>
      <c r="P133" s="592" t="n">
        <v>130</v>
      </c>
      <c r="Q133" s="497" t="n"/>
      <c r="R133" s="592" t="inlineStr">
        <is>
          <t>GROUND</t>
        </is>
      </c>
      <c r="S133" s="497" t="n"/>
      <c r="T133" s="497" t="n"/>
      <c r="U133" s="757" t="n">
        <v>1</v>
      </c>
      <c r="V133" s="497" t="n"/>
      <c r="W133" s="497" t="n"/>
      <c r="X133" s="497" t="n"/>
      <c r="Y133" s="593">
        <f>IF(AND(T133:X133),1,0)</f>
        <v/>
      </c>
      <c r="AF133" s="592" t="n">
        <v>130</v>
      </c>
      <c r="AG133" s="599" t="n"/>
      <c r="AH133" s="597" t="n"/>
      <c r="AI133" s="497" t="n"/>
      <c r="AJ133" s="497" t="n"/>
      <c r="AK133" s="630">
        <f>AO131</f>
        <v/>
      </c>
      <c r="AL133" s="497" t="n"/>
      <c r="AM133" s="497" t="n"/>
      <c r="AN133" s="497" t="n"/>
      <c r="AO133" s="593">
        <f>IF(AND(AJ133:AN133),1,0)</f>
        <v/>
      </c>
      <c r="GZ133" s="742" t="n"/>
      <c r="HD133" s="742" t="n"/>
      <c r="LB133" s="592" t="n">
        <v>130</v>
      </c>
      <c r="LC133" s="497" t="n"/>
      <c r="LD133" s="724" t="inlineStr">
        <is>
          <t>SFFB 9,5 A</t>
        </is>
      </c>
      <c r="LE133" s="497" t="n"/>
      <c r="LF133" s="724" t="n"/>
      <c r="LG133" s="605">
        <f>LN16</f>
        <v/>
      </c>
      <c r="LH133" s="724">
        <f>LK132</f>
        <v/>
      </c>
      <c r="LI133" s="497">
        <f>LK91</f>
        <v/>
      </c>
      <c r="LJ133" s="497">
        <f>LK62</f>
        <v/>
      </c>
      <c r="LK133" s="593">
        <f>IF(AND(LF133:LJ133),1,0)</f>
        <v/>
      </c>
      <c r="MH133" s="592" t="n">
        <v>130</v>
      </c>
      <c r="MI133" s="497" t="n"/>
      <c r="MJ133" s="724" t="n"/>
      <c r="MK133" s="497" t="n"/>
      <c r="ML133" s="724" t="n"/>
      <c r="MM133" s="724">
        <f>IF(OR(MQ39,MQ14),1,0)</f>
        <v/>
      </c>
      <c r="MN133" s="724" t="n"/>
      <c r="MO133" s="497" t="n"/>
      <c r="MP133" s="497" t="n"/>
      <c r="MQ133" s="593">
        <f>IF(AND(ML133:MP133),1,0)</f>
        <v/>
      </c>
    </row>
    <row r="134" ht="31.5" customHeight="1">
      <c r="A134" s="597" t="inlineStr">
        <is>
          <t>LA .A03-X07</t>
        </is>
      </c>
      <c r="B134" s="497" t="n"/>
      <c r="P134" s="592" t="n">
        <v>131</v>
      </c>
      <c r="Q134" s="497" t="n"/>
      <c r="R134" s="592" t="n"/>
      <c r="S134" s="497" t="n"/>
      <c r="T134" s="497" t="n"/>
      <c r="U134" s="757">
        <f>Y132</f>
        <v/>
      </c>
      <c r="V134" s="757">
        <f>Y133</f>
        <v/>
      </c>
      <c r="W134" s="497" t="n"/>
      <c r="X134" s="497" t="n"/>
      <c r="Y134" s="593">
        <f>IF(AND(T134:X134),1,0)</f>
        <v/>
      </c>
      <c r="AF134" s="592" t="n">
        <v>131</v>
      </c>
      <c r="AG134" s="599" t="n"/>
      <c r="AH134" s="597" t="inlineStr">
        <is>
          <t>GROUND</t>
        </is>
      </c>
      <c r="AI134" s="497" t="n"/>
      <c r="AJ134" s="497" t="n"/>
      <c r="AK134" s="630" t="n">
        <v>1</v>
      </c>
      <c r="AL134" s="497" t="n"/>
      <c r="AM134" s="497" t="n"/>
      <c r="AN134" s="497" t="n"/>
      <c r="AO134" s="593">
        <f>IF(AND(AJ134:AN134),1,0)</f>
        <v/>
      </c>
      <c r="GZ134" s="742" t="n"/>
      <c r="HD134" s="742" t="n"/>
      <c r="LB134" s="592" t="n">
        <v>131</v>
      </c>
      <c r="LC134" s="497" t="n"/>
      <c r="LE134" s="497" t="n"/>
      <c r="LF134" s="724" t="n"/>
      <c r="LG134" s="724">
        <f>LK133</f>
        <v/>
      </c>
      <c r="LH134" s="724" t="n"/>
      <c r="LI134" s="497" t="n"/>
      <c r="LJ134" s="497" t="n"/>
      <c r="LK134" s="593">
        <f>IF(AND(LF134:LJ134),1,0)</f>
        <v/>
      </c>
      <c r="MH134" s="592" t="n">
        <v>131</v>
      </c>
      <c r="MI134" s="497" t="n"/>
      <c r="MJ134" s="724" t="n"/>
      <c r="MK134" s="497" t="n"/>
      <c r="ML134" s="724" t="n"/>
      <c r="MM134" s="724">
        <f>IF(OR(MQ135,MQ136),1,0)</f>
        <v/>
      </c>
      <c r="MN134" s="724" t="n"/>
      <c r="MO134" s="497" t="n"/>
      <c r="MP134" s="497" t="n"/>
      <c r="MQ134" s="593">
        <f>IF(AND(ML134:MP134),1,0)</f>
        <v/>
      </c>
    </row>
    <row r="135">
      <c r="A135" s="497" t="n"/>
      <c r="B135" s="497" t="n"/>
      <c r="P135" s="592" t="n">
        <v>131</v>
      </c>
      <c r="Q135" s="497" t="n"/>
      <c r="R135" s="592" t="n"/>
      <c r="S135" s="497" t="n"/>
      <c r="T135" s="497" t="n"/>
      <c r="U135" s="757">
        <f>Y34</f>
        <v/>
      </c>
      <c r="V135" s="497" t="n"/>
      <c r="W135" s="497" t="n"/>
      <c r="X135" s="497" t="n"/>
      <c r="Y135" s="593">
        <f>IF(AND(T135:X135),1,0)</f>
        <v/>
      </c>
      <c r="AF135" s="592" t="n">
        <v>132</v>
      </c>
      <c r="AG135" s="599" t="n"/>
      <c r="AH135" s="597" t="n"/>
      <c r="AI135" s="497" t="n"/>
      <c r="AJ135" s="497" t="n"/>
      <c r="AK135" s="630">
        <f>AO132</f>
        <v/>
      </c>
      <c r="AL135" s="497">
        <f>AO133</f>
        <v/>
      </c>
      <c r="AM135" s="497" t="n"/>
      <c r="AN135" s="497" t="n"/>
      <c r="AO135" s="593">
        <f>IF(AND(AJ135:AN135),1,0)</f>
        <v/>
      </c>
      <c r="GZ135" s="742" t="n"/>
      <c r="HD135" s="742" t="n"/>
      <c r="LB135" s="592" t="n">
        <v>132</v>
      </c>
      <c r="LC135" s="497" t="n"/>
      <c r="LD135" s="724" t="inlineStr">
        <is>
          <t>SAFC 12 A</t>
        </is>
      </c>
      <c r="LE135" s="497" t="n"/>
      <c r="LF135" s="724" t="n"/>
      <c r="LG135" s="605">
        <f>LN16</f>
        <v/>
      </c>
      <c r="LH135" s="724">
        <f>LK134</f>
        <v/>
      </c>
      <c r="LI135" s="497">
        <f>LK92</f>
        <v/>
      </c>
      <c r="LJ135" s="497">
        <f>LK63</f>
        <v/>
      </c>
      <c r="LK135" s="593">
        <f>IF(AND(LF135:LJ135),1,0)</f>
        <v/>
      </c>
      <c r="MH135" s="592" t="n">
        <v>132</v>
      </c>
      <c r="MI135" s="497" t="n"/>
      <c r="MJ135" s="724" t="n"/>
      <c r="MK135" s="497" t="n"/>
      <c r="ML135" s="724" t="n"/>
      <c r="MM135" s="724">
        <f>IF(OR(MQ89,MQ73),1,0)</f>
        <v/>
      </c>
      <c r="MN135" s="724" t="n"/>
      <c r="MO135" s="497" t="n"/>
      <c r="MP135" s="497" t="n"/>
      <c r="MQ135" s="593">
        <f>IF(AND(ML135:MP135),1,0)</f>
        <v/>
      </c>
    </row>
    <row r="136">
      <c r="A136" s="497" t="n"/>
      <c r="B136" s="757" t="inlineStr">
        <is>
          <t>HTC</t>
        </is>
      </c>
      <c r="P136" s="592" t="n">
        <v>132</v>
      </c>
      <c r="Q136" s="497" t="n"/>
      <c r="R136" s="592" t="inlineStr">
        <is>
          <t>HTRB 13.2A</t>
        </is>
      </c>
      <c r="S136" s="497" t="n"/>
      <c r="T136" s="497" t="n"/>
      <c r="U136" s="613">
        <f>AB29</f>
        <v/>
      </c>
      <c r="V136" s="497">
        <f>Y135</f>
        <v/>
      </c>
      <c r="W136" s="497">
        <f>Y143</f>
        <v/>
      </c>
      <c r="X136" s="497">
        <f>Y149</f>
        <v/>
      </c>
      <c r="Y136" s="593">
        <f>IF(AND(T136:X136),1,0)</f>
        <v/>
      </c>
      <c r="AF136" s="592" t="n">
        <v>133</v>
      </c>
      <c r="AG136" s="599" t="n"/>
      <c r="AH136" s="597" t="n"/>
      <c r="AI136" s="497" t="n"/>
      <c r="AJ136" s="497" t="n"/>
      <c r="AK136" s="630">
        <f>AO35</f>
        <v/>
      </c>
      <c r="AL136" s="497" t="n"/>
      <c r="AM136" s="497" t="n"/>
      <c r="AN136" s="497" t="n"/>
      <c r="AO136" s="593">
        <f>IF(AND(AJ136:AN136),1,0)</f>
        <v/>
      </c>
      <c r="GZ136" s="742" t="n"/>
      <c r="HD136" s="742" t="n"/>
      <c r="LB136" s="592" t="n">
        <v>133</v>
      </c>
      <c r="LC136" s="497" t="n"/>
      <c r="LD136" s="724" t="n"/>
      <c r="LE136" s="497" t="n"/>
      <c r="LF136" s="724" t="n"/>
      <c r="LG136" s="724">
        <f>LK135</f>
        <v/>
      </c>
      <c r="LH136" s="724" t="n"/>
      <c r="LI136" s="497" t="n"/>
      <c r="LJ136" s="497" t="n"/>
      <c r="LK136" s="593">
        <f>IF(AND(LF136:LJ136),1,0)</f>
        <v/>
      </c>
      <c r="MH136" s="592" t="n">
        <v>133</v>
      </c>
      <c r="MI136" s="497" t="n"/>
      <c r="MJ136" s="724" t="n"/>
      <c r="MK136" s="497" t="n"/>
      <c r="ML136" s="724" t="n"/>
      <c r="MM136" s="724">
        <f>IF(OR(MQ89,MQ135),1,0)</f>
        <v/>
      </c>
      <c r="MN136" s="724" t="n"/>
      <c r="MO136" s="497" t="n"/>
      <c r="MP136" s="497" t="n"/>
      <c r="MQ136" s="593">
        <f>IF(AND(ML136:MP136),1,0)</f>
        <v/>
      </c>
    </row>
    <row r="137">
      <c r="A137" s="497" t="n"/>
      <c r="B137" s="497" t="n"/>
      <c r="P137" s="592" t="n">
        <v>133</v>
      </c>
      <c r="Q137" s="497" t="n"/>
      <c r="R137" s="592" t="n"/>
      <c r="S137" s="497" t="n"/>
      <c r="T137" s="497" t="n"/>
      <c r="U137" s="757">
        <f>Y136</f>
        <v/>
      </c>
      <c r="V137" s="497" t="n"/>
      <c r="W137" s="497" t="n"/>
      <c r="X137" s="497" t="n"/>
      <c r="Y137" s="593">
        <f>IF(AND(T137:X137),1,0)</f>
        <v/>
      </c>
      <c r="AF137" s="592" t="n">
        <v>134</v>
      </c>
      <c r="AG137" s="599" t="n"/>
      <c r="AH137" s="497" t="inlineStr">
        <is>
          <t>HTRB 13.2A</t>
        </is>
      </c>
      <c r="AI137" s="497" t="n"/>
      <c r="AJ137" s="497" t="n"/>
      <c r="AK137" s="601">
        <f>AB29</f>
        <v/>
      </c>
      <c r="AL137" s="497">
        <f>AO136</f>
        <v/>
      </c>
      <c r="AM137" s="497" t="n"/>
      <c r="AN137" s="497" t="n"/>
      <c r="AO137" s="593">
        <f>IF(AND(AJ137:AN137),1,0)</f>
        <v/>
      </c>
      <c r="GZ137" s="742" t="n"/>
      <c r="HD137" s="742" t="n"/>
      <c r="LB137" s="592" t="n">
        <v>134</v>
      </c>
      <c r="LC137" s="497" t="n"/>
      <c r="LD137" s="724" t="n"/>
      <c r="LE137" s="497" t="n"/>
      <c r="LF137" s="724" t="n"/>
      <c r="LG137" s="724">
        <f>LK136</f>
        <v/>
      </c>
      <c r="LH137" s="724" t="n"/>
      <c r="LI137" s="497" t="n"/>
      <c r="LJ137" s="497" t="n"/>
      <c r="LK137" s="593">
        <f>IF(AND(LF137:LJ137),1,0)</f>
        <v/>
      </c>
      <c r="MH137" s="592" t="n">
        <v>134</v>
      </c>
      <c r="MI137" s="497" t="n"/>
      <c r="MJ137" s="724" t="n"/>
      <c r="MK137" s="497" t="n"/>
      <c r="ML137" s="724" t="n"/>
      <c r="MM137" s="724">
        <f>MQ138</f>
        <v/>
      </c>
      <c r="MN137" s="724" t="n"/>
      <c r="MO137" s="497" t="n"/>
      <c r="MP137" s="497" t="n"/>
      <c r="MQ137" s="593">
        <f>IF(AND(ML137:MP137),1,0)</f>
        <v/>
      </c>
    </row>
    <row r="138">
      <c r="A138" s="497" t="n"/>
      <c r="B138" s="497" t="n"/>
      <c r="P138" s="592" t="n">
        <v>134</v>
      </c>
      <c r="Q138" s="497" t="n"/>
      <c r="R138" s="592" t="inlineStr">
        <is>
          <t>HTRC1  9A</t>
        </is>
      </c>
      <c r="S138" s="497" t="n"/>
      <c r="T138" s="497" t="n"/>
      <c r="U138" s="613">
        <f>AB30</f>
        <v/>
      </c>
      <c r="V138" s="497">
        <f>Y137</f>
        <v/>
      </c>
      <c r="W138" s="497">
        <f>Y144</f>
        <v/>
      </c>
      <c r="X138" s="497">
        <f>Y150</f>
        <v/>
      </c>
      <c r="Y138" s="593">
        <f>IF(AND(T138:X138),1,0)</f>
        <v/>
      </c>
      <c r="AF138" s="592" t="n">
        <v>135</v>
      </c>
      <c r="AG138" s="599" t="n"/>
      <c r="AH138" s="597" t="n"/>
      <c r="AI138" s="497" t="n"/>
      <c r="AJ138" s="497" t="n"/>
      <c r="AK138" s="630">
        <f>AO137</f>
        <v/>
      </c>
      <c r="AL138" s="497" t="n"/>
      <c r="AM138" s="497" t="n"/>
      <c r="AN138" s="497" t="n"/>
      <c r="AO138" s="593">
        <f>IF(AND(AJ138:AN138),1,0)</f>
        <v/>
      </c>
      <c r="GZ138" s="742" t="n"/>
      <c r="HD138" s="742" t="n"/>
      <c r="LB138" s="592" t="n">
        <v>135</v>
      </c>
      <c r="LC138" s="497" t="n"/>
      <c r="LD138" s="724" t="n"/>
      <c r="LE138" s="497" t="n"/>
      <c r="LF138" s="724" t="n"/>
      <c r="LG138" s="724">
        <f>LK93</f>
        <v/>
      </c>
      <c r="LH138" s="724" t="n"/>
      <c r="LI138" s="497" t="n"/>
      <c r="LJ138" s="497" t="n"/>
      <c r="LK138" s="593">
        <f>IF(AND(LF138:LJ138),1,0)</f>
        <v/>
      </c>
      <c r="MH138" s="592" t="n">
        <v>135</v>
      </c>
      <c r="MI138" s="497" t="n"/>
      <c r="MJ138" s="724" t="n"/>
      <c r="MK138" s="497" t="n"/>
      <c r="ML138" s="724" t="n"/>
      <c r="MM138" s="724">
        <f>MQ139</f>
        <v/>
      </c>
      <c r="MN138" s="724" t="n"/>
      <c r="MO138" s="497" t="n"/>
      <c r="MP138" s="497" t="n"/>
      <c r="MQ138" s="593">
        <f>IF(AND(ML138:MP138),1,0)</f>
        <v/>
      </c>
    </row>
    <row r="139">
      <c r="A139" s="597" t="n"/>
      <c r="P139" s="592" t="n">
        <v>135</v>
      </c>
      <c r="Q139" s="497" t="n"/>
      <c r="R139" s="592" t="n"/>
      <c r="S139" s="497" t="n"/>
      <c r="T139" s="497" t="n"/>
      <c r="U139" s="757">
        <f>Y138</f>
        <v/>
      </c>
      <c r="V139" s="497" t="n"/>
      <c r="W139" s="497" t="n"/>
      <c r="X139" s="497" t="n"/>
      <c r="Y139" s="593">
        <f>IF(AND(T139:X139),1,0)</f>
        <v/>
      </c>
      <c r="AF139" s="592" t="n">
        <v>136</v>
      </c>
      <c r="AG139" s="599" t="n"/>
      <c r="AH139" s="497" t="inlineStr">
        <is>
          <t>HTRC1 9A</t>
        </is>
      </c>
      <c r="AI139" s="497" t="n"/>
      <c r="AJ139" s="497" t="n"/>
      <c r="AK139" s="601">
        <f>AB30</f>
        <v/>
      </c>
      <c r="AL139" s="497">
        <f>AO138</f>
        <v/>
      </c>
      <c r="AM139" s="497" t="n"/>
      <c r="AN139" s="497" t="n"/>
      <c r="AO139" s="593">
        <f>IF(AND(AJ139:AN139),1,0)</f>
        <v/>
      </c>
      <c r="GZ139" s="742" t="n"/>
      <c r="HD139" s="742" t="n"/>
      <c r="LB139" s="592" t="n">
        <v>136</v>
      </c>
      <c r="LC139" s="497" t="n"/>
      <c r="LD139" s="724" t="n"/>
      <c r="LE139" s="497" t="n"/>
      <c r="LF139" s="724" t="n"/>
      <c r="LG139" s="724">
        <f>LK64</f>
        <v/>
      </c>
      <c r="LH139" s="724" t="n"/>
      <c r="LI139" s="497" t="n"/>
      <c r="LJ139" s="497" t="n"/>
      <c r="LK139" s="593">
        <f>IF(AND(LF139:LJ139),1,0)</f>
        <v/>
      </c>
      <c r="MH139" s="592" t="n">
        <v>136</v>
      </c>
      <c r="MI139" s="497" t="n"/>
      <c r="MJ139" s="724" t="inlineStr">
        <is>
          <t>SMRR</t>
        </is>
      </c>
      <c r="MK139" s="497" t="n"/>
      <c r="ML139" s="724" t="n"/>
      <c r="MM139" s="605">
        <f>IF(OR(MT11=1,MT12=1),0,1)</f>
        <v/>
      </c>
      <c r="MN139" s="724" t="n"/>
      <c r="MO139" s="497" t="n"/>
      <c r="MP139" s="497" t="n"/>
      <c r="MQ139" s="593">
        <f>IF(AND(ML139:MP139),1,0)</f>
        <v/>
      </c>
    </row>
    <row r="140">
      <c r="A140" s="497" t="n"/>
      <c r="B140" s="497" t="n"/>
      <c r="P140" s="592" t="n">
        <v>136</v>
      </c>
      <c r="Q140" s="497" t="n"/>
      <c r="R140" s="592" t="n"/>
      <c r="S140" s="497" t="n"/>
      <c r="T140" s="497" t="n"/>
      <c r="U140" s="757">
        <f>Y139</f>
        <v/>
      </c>
      <c r="V140" s="497" t="n"/>
      <c r="W140" s="497" t="n"/>
      <c r="X140" s="497" t="n"/>
      <c r="Y140" s="593">
        <f>IF(AND(T140:X140),1,0)</f>
        <v/>
      </c>
      <c r="AF140" s="592" t="n">
        <v>137</v>
      </c>
      <c r="AG140" s="599" t="n"/>
      <c r="AH140" s="597" t="n"/>
      <c r="AI140" s="497" t="n"/>
      <c r="AJ140" s="497" t="n"/>
      <c r="AK140" s="630">
        <f>AO139</f>
        <v/>
      </c>
      <c r="AL140" s="497" t="n"/>
      <c r="AM140" s="497" t="n"/>
      <c r="AN140" s="497" t="n"/>
      <c r="AO140" s="593">
        <f>IF(AND(AJ140:AN140),1,0)</f>
        <v/>
      </c>
      <c r="GZ140" s="742" t="n"/>
      <c r="HD140" s="742" t="n"/>
      <c r="LB140" s="592" t="n">
        <v>137</v>
      </c>
      <c r="LC140" s="497" t="n"/>
      <c r="LD140" s="724" t="n"/>
      <c r="LE140" s="497" t="n"/>
      <c r="LF140" s="724" t="n"/>
      <c r="LG140" s="724">
        <f>LK99</f>
        <v/>
      </c>
      <c r="LH140" s="724" t="n"/>
      <c r="LI140" s="497" t="n"/>
      <c r="LJ140" s="497" t="n"/>
      <c r="LK140" s="593">
        <f>IF(AND(LF140:LJ140),1,0)</f>
        <v/>
      </c>
      <c r="MH140" s="592" t="n">
        <v>137</v>
      </c>
      <c r="MI140" s="497" t="n"/>
      <c r="MJ140" s="724" t="n"/>
      <c r="MK140" s="497" t="n"/>
      <c r="ML140" s="724" t="n"/>
      <c r="MM140" s="724">
        <f>MQ141</f>
        <v/>
      </c>
      <c r="MN140" s="724" t="n"/>
      <c r="MO140" s="497" t="n"/>
      <c r="MP140" s="497" t="n"/>
      <c r="MQ140" s="593">
        <f>IF(AND(ML140:MP140),1,0)</f>
        <v/>
      </c>
    </row>
    <row r="141">
      <c r="A141" s="497" t="n"/>
      <c r="B141" s="592" t="n"/>
      <c r="P141" s="592" t="n">
        <v>137</v>
      </c>
      <c r="Q141" s="497" t="n"/>
      <c r="R141" s="597" t="inlineStr">
        <is>
          <t>HEATER 1 4.5kW</t>
        </is>
      </c>
      <c r="S141" s="497" t="n"/>
      <c r="T141" s="497" t="n"/>
      <c r="U141" s="613">
        <f>AB32</f>
        <v/>
      </c>
      <c r="V141" s="497">
        <f>Y140</f>
        <v/>
      </c>
      <c r="W141" s="497" t="n"/>
      <c r="X141" s="497" t="n"/>
      <c r="Y141" s="593">
        <f>IF(AND(T141:X141),1,0)</f>
        <v/>
      </c>
      <c r="AF141" s="592" t="n">
        <v>138</v>
      </c>
      <c r="AG141" s="599" t="n"/>
      <c r="AH141" s="597" t="n"/>
      <c r="AI141" s="497" t="n"/>
      <c r="AJ141" s="497" t="n"/>
      <c r="AK141" s="742">
        <f>AO140</f>
        <v/>
      </c>
      <c r="AL141" s="497" t="n"/>
      <c r="AM141" s="497" t="n"/>
      <c r="AN141" s="497" t="n"/>
      <c r="AO141" s="593">
        <f>IF(AND(AJ141:AN141),1,0)</f>
        <v/>
      </c>
      <c r="GZ141" s="742" t="n"/>
      <c r="HD141" s="742" t="n"/>
      <c r="LB141" s="592" t="n">
        <v>138</v>
      </c>
      <c r="LC141" s="497" t="n"/>
      <c r="LD141" s="724" t="inlineStr">
        <is>
          <t>HTRB 13,2 A</t>
        </is>
      </c>
      <c r="LE141" s="497" t="n"/>
      <c r="LF141" s="724" t="n"/>
      <c r="LG141" s="605">
        <f>LN29</f>
        <v/>
      </c>
      <c r="LH141" s="724">
        <f>LK69</f>
        <v/>
      </c>
      <c r="LI141" s="497">
        <f>LK94</f>
        <v/>
      </c>
      <c r="LJ141" s="497">
        <f>LK140</f>
        <v/>
      </c>
      <c r="LK141" s="593">
        <f>IF(AND(LF141:LJ141),1,0)</f>
        <v/>
      </c>
      <c r="MH141" s="592" t="n">
        <v>138</v>
      </c>
      <c r="MI141" s="497" t="n"/>
      <c r="MJ141" s="724" t="inlineStr">
        <is>
          <t>SMDR</t>
        </is>
      </c>
      <c r="MK141" s="497" t="n"/>
      <c r="ML141" s="724" t="n"/>
      <c r="MM141" s="605">
        <f>IF(OR('DATA TRANSFER'!M12),1,0)</f>
        <v/>
      </c>
      <c r="MN141" s="724" t="n"/>
      <c r="MO141" s="497" t="n"/>
      <c r="MP141" s="497" t="n"/>
      <c r="MQ141" s="593">
        <f>IF(AND(ML141:MP141),1,0)</f>
        <v/>
      </c>
    </row>
    <row r="142" ht="31.5" customHeight="1">
      <c r="A142" s="597" t="inlineStr">
        <is>
          <t>LA .A03-X07</t>
        </is>
      </c>
      <c r="B142" s="497" t="n"/>
      <c r="P142" s="592" t="n">
        <v>138</v>
      </c>
      <c r="Q142" s="497" t="n"/>
      <c r="R142" s="592" t="n"/>
      <c r="S142" s="497" t="n"/>
      <c r="T142" s="497" t="n"/>
      <c r="U142" s="757">
        <f>Y141</f>
        <v/>
      </c>
      <c r="V142" s="497" t="n"/>
      <c r="W142" s="497" t="n"/>
      <c r="X142" s="497" t="n"/>
      <c r="Y142" s="593">
        <f>IF(AND(T142:X142),1,0)</f>
        <v/>
      </c>
      <c r="AF142" s="592" t="n">
        <v>139</v>
      </c>
      <c r="AG142" s="599" t="n"/>
      <c r="AH142" s="618" t="inlineStr">
        <is>
          <t>HEATER 1 4.5kW</t>
        </is>
      </c>
      <c r="AI142" s="497" t="n"/>
      <c r="AJ142" s="497" t="n"/>
      <c r="AK142" s="601">
        <f>AB32</f>
        <v/>
      </c>
      <c r="AL142" s="497">
        <f>AO141</f>
        <v/>
      </c>
      <c r="AM142" s="497" t="n"/>
      <c r="AN142" s="497" t="n"/>
      <c r="AO142" s="593">
        <f>IF(AND(AJ142:AN142),1,0)</f>
        <v/>
      </c>
      <c r="GZ142" s="742" t="n"/>
      <c r="HD142" s="742" t="n"/>
      <c r="LB142" s="592" t="n">
        <v>139</v>
      </c>
      <c r="LC142" s="497" t="n"/>
      <c r="LD142" s="724" t="n"/>
      <c r="LE142" s="497" t="n"/>
      <c r="LF142" s="724" t="n"/>
      <c r="LG142" s="724">
        <f>LK141</f>
        <v/>
      </c>
      <c r="LH142" s="724" t="n"/>
      <c r="LI142" s="497" t="n"/>
      <c r="LJ142" s="497" t="n"/>
      <c r="LK142" s="593">
        <f>IF(AND(LF142:LJ142),1,0)</f>
        <v/>
      </c>
      <c r="MH142" s="592" t="n">
        <v>139</v>
      </c>
      <c r="MI142" s="497" t="n"/>
      <c r="MJ142" s="724" t="n"/>
      <c r="MK142" s="497" t="n"/>
      <c r="ML142" s="724" t="n"/>
      <c r="MM142" s="724">
        <f>IF(OR(MQ96,MQ76,MQ79),1,0)</f>
        <v/>
      </c>
      <c r="MN142" s="724" t="n"/>
      <c r="MO142" s="497" t="n"/>
      <c r="MP142" s="497" t="n"/>
      <c r="MQ142" s="593">
        <f>IF(AND(ML142:MP142),1,0)</f>
        <v/>
      </c>
    </row>
    <row r="143">
      <c r="A143" s="497" t="n"/>
      <c r="B143" s="497" t="n"/>
      <c r="P143" s="592" t="n">
        <v>139</v>
      </c>
      <c r="Q143" s="497" t="n"/>
      <c r="R143" s="592" t="n"/>
      <c r="S143" s="497" t="n"/>
      <c r="T143" s="497" t="n"/>
      <c r="U143" s="757">
        <f>Y37</f>
        <v/>
      </c>
      <c r="V143" s="497" t="n"/>
      <c r="W143" s="497" t="n"/>
      <c r="X143" s="497" t="n"/>
      <c r="Y143" s="593">
        <f>IF(AND(T143:X143),1,0)</f>
        <v/>
      </c>
      <c r="AF143" s="592" t="n">
        <v>140</v>
      </c>
      <c r="AG143" s="599" t="n"/>
      <c r="AH143" s="597" t="n"/>
      <c r="AI143" s="497" t="n"/>
      <c r="AJ143" s="497" t="n"/>
      <c r="AK143" s="630">
        <f>AO142</f>
        <v/>
      </c>
      <c r="AL143" s="497" t="n"/>
      <c r="AM143" s="497" t="n"/>
      <c r="AN143" s="497" t="n"/>
      <c r="AO143" s="593">
        <f>IF(AND(AJ143:AN143),1,0)</f>
        <v/>
      </c>
      <c r="GZ143" s="742" t="n"/>
      <c r="HD143" s="742" t="n"/>
      <c r="LB143" s="592" t="n">
        <v>140</v>
      </c>
      <c r="LC143" s="497" t="n"/>
      <c r="LD143" s="724" t="inlineStr">
        <is>
          <t>HTRC1</t>
        </is>
      </c>
      <c r="LE143" s="497" t="n"/>
      <c r="LF143" s="724" t="n"/>
      <c r="LG143" s="605">
        <f>LN30</f>
        <v/>
      </c>
      <c r="LH143" s="724">
        <f>LK70</f>
        <v/>
      </c>
      <c r="LI143" s="497">
        <f>LK95</f>
        <v/>
      </c>
      <c r="LJ143" s="497">
        <f>LK142</f>
        <v/>
      </c>
      <c r="LK143" s="593">
        <f>IF(AND(LF143:LJ143),1,0)</f>
        <v/>
      </c>
      <c r="MH143" s="592" t="n">
        <v>140</v>
      </c>
      <c r="MI143" s="497" t="n"/>
      <c r="MJ143" s="724" t="n"/>
      <c r="MK143" s="497" t="n"/>
      <c r="ML143" s="724" t="n"/>
      <c r="MM143" s="724">
        <f>IF(OR(MQ123,MQ146),1,0)</f>
        <v/>
      </c>
      <c r="MN143" s="724" t="n"/>
      <c r="MO143" s="497" t="n"/>
      <c r="MP143" s="497" t="n"/>
      <c r="MQ143" s="593">
        <f>IF(AND(ML143:MP143),1,0)</f>
        <v/>
      </c>
    </row>
    <row r="144">
      <c r="A144" s="497" t="n"/>
      <c r="B144" s="497" t="n"/>
      <c r="P144" s="592" t="n">
        <v>140</v>
      </c>
      <c r="Q144" s="497" t="n"/>
      <c r="R144" s="592" t="n"/>
      <c r="S144" s="497" t="n"/>
      <c r="T144" s="497" t="n"/>
      <c r="U144" s="757">
        <f>Y136</f>
        <v/>
      </c>
      <c r="V144" s="497">
        <f>Y143</f>
        <v/>
      </c>
      <c r="W144" s="497" t="n"/>
      <c r="X144" s="497" t="n"/>
      <c r="Y144" s="593">
        <f>IF(AND(T144:X144),1,0)</f>
        <v/>
      </c>
      <c r="AF144" s="592" t="n">
        <v>141</v>
      </c>
      <c r="AG144" s="599" t="n"/>
      <c r="AH144" s="597" t="n"/>
      <c r="AI144" s="497" t="n"/>
      <c r="AJ144" s="497" t="n"/>
      <c r="AK144" s="630">
        <f>AO38</f>
        <v/>
      </c>
      <c r="AL144" s="497" t="n"/>
      <c r="AM144" s="497" t="n"/>
      <c r="AN144" s="497" t="n"/>
      <c r="AO144" s="593">
        <f>IF(AND(AJ144:AN144),1,0)</f>
        <v/>
      </c>
      <c r="GZ144" s="742" t="n"/>
      <c r="HD144" s="742" t="n"/>
      <c r="LB144" s="592" t="n">
        <v>141</v>
      </c>
      <c r="LC144" s="497" t="n"/>
      <c r="LD144" s="724" t="n"/>
      <c r="LE144" s="497" t="n"/>
      <c r="LF144" s="724" t="n"/>
      <c r="LG144" s="605">
        <f>LN32</f>
        <v/>
      </c>
      <c r="LH144" s="724">
        <f>LK143</f>
        <v/>
      </c>
      <c r="LI144" s="497" t="n"/>
      <c r="LJ144" s="497" t="n"/>
      <c r="LK144" s="593">
        <f>IF(AND(LF144:LJ144),1,0)</f>
        <v/>
      </c>
      <c r="MH144" s="592" t="n">
        <v>141</v>
      </c>
      <c r="MI144" s="497" t="n"/>
      <c r="MJ144" s="724" t="n"/>
      <c r="MK144" s="497" t="n"/>
      <c r="ML144" s="724" t="n"/>
      <c r="MM144" s="724">
        <f>IF(OR(MQ96,MQ76,MQ79),1,0)</f>
        <v/>
      </c>
      <c r="MN144" s="724" t="n"/>
      <c r="MO144" s="497" t="n"/>
      <c r="MP144" s="497" t="n"/>
      <c r="MQ144" s="593">
        <f>IF(AND(ML144:MP144),1,0)</f>
        <v/>
      </c>
    </row>
    <row r="145">
      <c r="A145" s="497" t="n"/>
      <c r="B145" s="497" t="n"/>
      <c r="P145" s="592" t="n">
        <v>141</v>
      </c>
      <c r="Q145" s="497" t="n"/>
      <c r="R145" s="592" t="n"/>
      <c r="S145" s="497" t="n"/>
      <c r="T145" s="497" t="n"/>
      <c r="U145" s="757">
        <f>Y138</f>
        <v/>
      </c>
      <c r="V145" s="497">
        <f>Y144</f>
        <v/>
      </c>
      <c r="W145" s="497" t="n"/>
      <c r="X145" s="497" t="n"/>
      <c r="Y145" s="593">
        <f>IF(AND(T145:X145),1,0)</f>
        <v/>
      </c>
      <c r="AF145" s="592" t="n">
        <v>142</v>
      </c>
      <c r="AG145" s="599" t="n"/>
      <c r="AH145" s="597" t="n"/>
      <c r="AI145" s="497" t="n"/>
      <c r="AJ145" s="497" t="n"/>
      <c r="AK145" s="630">
        <f>AO137</f>
        <v/>
      </c>
      <c r="AL145" s="497">
        <f>AO144</f>
        <v/>
      </c>
      <c r="AM145" s="497" t="n"/>
      <c r="AN145" s="497" t="n"/>
      <c r="AO145" s="593">
        <f>IF(AND(AJ145:AN145),1,0)</f>
        <v/>
      </c>
      <c r="GZ145" s="742" t="n"/>
      <c r="HD145" s="742" t="n"/>
      <c r="LB145" s="592" t="n">
        <v>142</v>
      </c>
      <c r="LC145" s="497" t="n"/>
      <c r="LD145" s="724" t="n"/>
      <c r="LE145" s="497" t="n"/>
      <c r="LF145" s="724" t="n"/>
      <c r="LG145" s="724">
        <f>LK142</f>
        <v/>
      </c>
      <c r="LH145" s="724" t="n"/>
      <c r="LI145" s="497" t="n"/>
      <c r="LJ145" s="497" t="n"/>
      <c r="LK145" s="593">
        <f>IF(AND(LF145:LJ145),1,0)</f>
        <v/>
      </c>
      <c r="MH145" s="592" t="n">
        <v>142</v>
      </c>
      <c r="MI145" s="497" t="n"/>
      <c r="MJ145" s="724" t="n"/>
      <c r="MK145" s="497" t="n"/>
      <c r="ML145" s="724" t="n"/>
      <c r="MM145" s="724">
        <f>IF(OR(MQ123,MQ146),1,0)</f>
        <v/>
      </c>
      <c r="MN145" s="724" t="n"/>
      <c r="MO145" s="497" t="n"/>
      <c r="MP145" s="497" t="n"/>
      <c r="MQ145" s="593">
        <f>IF(AND(ML145:MP145),1,0)</f>
        <v/>
      </c>
    </row>
    <row r="146" ht="47.25" customHeight="1">
      <c r="A146" s="597" t="n"/>
      <c r="B146" s="597" t="inlineStr">
        <is>
          <t>ELECTRICAL HEATING P=1.5 KW</t>
        </is>
      </c>
      <c r="P146" s="592" t="n">
        <v>142</v>
      </c>
      <c r="Q146" s="497" t="n"/>
      <c r="R146" s="592" t="n"/>
      <c r="S146" s="497" t="n"/>
      <c r="T146" s="497" t="n"/>
      <c r="U146" s="757">
        <f>Y145</f>
        <v/>
      </c>
      <c r="V146" s="497" t="n"/>
      <c r="W146" s="497" t="n"/>
      <c r="X146" s="497" t="n"/>
      <c r="Y146" s="593">
        <f>IF(AND(T146:X146),1,0)</f>
        <v/>
      </c>
      <c r="AF146" s="592" t="n">
        <v>143</v>
      </c>
      <c r="AG146" s="599" t="n"/>
      <c r="AH146" s="597" t="n"/>
      <c r="AI146" s="497" t="n"/>
      <c r="AJ146" s="497" t="n"/>
      <c r="AK146" s="630">
        <f>AO139</f>
        <v/>
      </c>
      <c r="AL146" s="497">
        <f>AO145</f>
        <v/>
      </c>
      <c r="AM146" s="497" t="n"/>
      <c r="AN146" s="497" t="n"/>
      <c r="AO146" s="593">
        <f>IF(AND(AJ146:AN146),1,0)</f>
        <v/>
      </c>
      <c r="GZ146" s="742" t="n"/>
      <c r="HD146" s="742" t="n"/>
      <c r="LB146" s="592" t="n">
        <v>143</v>
      </c>
      <c r="LC146" s="497" t="n"/>
      <c r="LD146" s="724" t="n"/>
      <c r="LE146" s="497" t="n"/>
      <c r="LF146" s="724" t="n"/>
      <c r="LG146" s="605">
        <f>LN35</f>
        <v/>
      </c>
      <c r="LH146" s="724">
        <f>LK151</f>
        <v/>
      </c>
      <c r="LI146" s="497" t="n"/>
      <c r="LJ146" s="497" t="n"/>
      <c r="LK146" s="593">
        <f>IF(AND(LF146:LJ146),1,0)</f>
        <v/>
      </c>
      <c r="MH146" s="592" t="n">
        <v>143</v>
      </c>
      <c r="MI146" s="497" t="n"/>
      <c r="MJ146" s="724" t="inlineStr">
        <is>
          <t>SMDR</t>
        </is>
      </c>
      <c r="MK146" s="497" t="n"/>
      <c r="ML146" s="724" t="n"/>
      <c r="MM146" s="605">
        <f>IF(OR('DATA TRANSFER'!M12),1,0)</f>
        <v/>
      </c>
      <c r="MN146" s="724" t="n"/>
      <c r="MO146" s="497" t="n"/>
      <c r="MP146" s="497" t="n"/>
      <c r="MQ146" s="593">
        <f>IF(AND(ML146:MP146),1,0)</f>
        <v/>
      </c>
    </row>
    <row r="147">
      <c r="A147" s="497" t="n"/>
      <c r="B147" s="497" t="n"/>
      <c r="P147" s="592" t="n">
        <v>143</v>
      </c>
      <c r="Q147" s="497" t="n"/>
      <c r="R147" s="597" t="inlineStr">
        <is>
          <t>HEATER 1 4.5kW</t>
        </is>
      </c>
      <c r="S147" s="497" t="n"/>
      <c r="T147" s="497" t="n"/>
      <c r="U147" s="613">
        <f>AB32</f>
        <v/>
      </c>
      <c r="V147" s="497">
        <f>Y146</f>
        <v/>
      </c>
      <c r="W147" s="497" t="n"/>
      <c r="X147" s="497" t="n"/>
      <c r="Y147" s="593">
        <f>IF(AND(T147:X147),1,0)</f>
        <v/>
      </c>
      <c r="AF147" s="592" t="n">
        <v>144</v>
      </c>
      <c r="AG147" s="599" t="n"/>
      <c r="AH147" s="597" t="n"/>
      <c r="AI147" s="497" t="n"/>
      <c r="AJ147" s="497" t="n"/>
      <c r="AK147" s="630">
        <f>AO146</f>
        <v/>
      </c>
      <c r="AL147" s="497" t="n"/>
      <c r="AM147" s="497" t="n"/>
      <c r="AN147" s="497" t="n"/>
      <c r="AO147" s="593">
        <f>IF(AND(AJ147:AN147),1,0)</f>
        <v/>
      </c>
      <c r="GZ147" s="742" t="n"/>
      <c r="HD147" s="742" t="n"/>
      <c r="LB147" s="592" t="n">
        <v>144</v>
      </c>
      <c r="LC147" s="497" t="n"/>
      <c r="LD147" s="724" t="n"/>
      <c r="LE147" s="497" t="n"/>
      <c r="LF147" s="724" t="n"/>
      <c r="LG147" s="724">
        <f>LK95</f>
        <v/>
      </c>
      <c r="LH147" s="724" t="n"/>
      <c r="LI147" s="497" t="n"/>
      <c r="LJ147" s="497" t="n"/>
      <c r="LK147" s="593">
        <f>IF(AND(LF147:LJ147),1,0)</f>
        <v/>
      </c>
      <c r="MH147" s="592" t="n">
        <v>144</v>
      </c>
      <c r="MI147" s="497" t="n"/>
      <c r="MJ147" s="724" t="n"/>
      <c r="MK147" s="497" t="n"/>
      <c r="ML147" s="724" t="n"/>
      <c r="MM147" s="724">
        <f>MQ113</f>
        <v/>
      </c>
      <c r="MN147" s="724" t="n"/>
      <c r="MO147" s="497" t="n"/>
      <c r="MP147" s="497" t="n"/>
      <c r="MQ147" s="593">
        <f>IF(AND(ML147:MP147),1,0)</f>
        <v/>
      </c>
    </row>
    <row r="148">
      <c r="A148" s="497" t="n"/>
      <c r="B148" s="497" t="n"/>
      <c r="P148" s="592" t="n">
        <v>144</v>
      </c>
      <c r="Q148" s="497" t="n"/>
      <c r="R148" s="592" t="n"/>
      <c r="S148" s="497" t="n"/>
      <c r="T148" s="497" t="n"/>
      <c r="U148" s="757">
        <f>Y147</f>
        <v/>
      </c>
      <c r="V148" s="497" t="n"/>
      <c r="W148" s="497" t="n"/>
      <c r="X148" s="497" t="n"/>
      <c r="Y148" s="593">
        <f>IF(AND(T148:X148),1,0)</f>
        <v/>
      </c>
      <c r="AF148" s="592" t="n">
        <v>145</v>
      </c>
      <c r="AG148" s="599" t="n"/>
      <c r="AH148" s="618" t="inlineStr">
        <is>
          <t>HEATER 1 4.5kW</t>
        </is>
      </c>
      <c r="AI148" s="497" t="n"/>
      <c r="AJ148" s="497" t="n"/>
      <c r="AK148" s="601">
        <f>AB32</f>
        <v/>
      </c>
      <c r="AL148" s="497" t="n"/>
      <c r="AM148" s="497" t="n"/>
      <c r="AN148" s="497" t="n"/>
      <c r="AO148" s="593">
        <f>IF(AND(AJ148:AN148),1,0)</f>
        <v/>
      </c>
      <c r="GZ148" s="742" t="n"/>
      <c r="HD148" s="742" t="n"/>
      <c r="LB148" s="592" t="n">
        <v>145</v>
      </c>
      <c r="LC148" s="497" t="n"/>
      <c r="LD148" s="724" t="n"/>
      <c r="LE148" s="497" t="n"/>
      <c r="LF148" s="724" t="n"/>
      <c r="LG148" s="605">
        <f>LN35</f>
        <v/>
      </c>
      <c r="LH148" s="724">
        <f>LK151</f>
        <v/>
      </c>
      <c r="LI148" s="497" t="n"/>
      <c r="LJ148" s="497" t="n"/>
      <c r="LK148" s="593">
        <f>IF(AND(LF148:LJ148),1,0)</f>
        <v/>
      </c>
      <c r="MH148" s="592" t="n">
        <v>145</v>
      </c>
      <c r="MI148" s="497" t="n"/>
      <c r="MJ148" s="724" t="inlineStr">
        <is>
          <t>TCR6</t>
        </is>
      </c>
      <c r="MK148" s="497" t="n"/>
      <c r="ML148" s="724" t="n"/>
      <c r="MM148" s="605">
        <f>MT17</f>
        <v/>
      </c>
      <c r="MN148" s="724">
        <f>MQ147</f>
        <v/>
      </c>
      <c r="MO148" s="497" t="n"/>
      <c r="MP148" s="497" t="n"/>
      <c r="MQ148" s="593">
        <f>IF(AND(ML148:MP148),1,0)</f>
        <v/>
      </c>
    </row>
    <row r="149" ht="31.5" customHeight="1">
      <c r="A149" s="597" t="inlineStr">
        <is>
          <t>LA .A03-X07</t>
        </is>
      </c>
      <c r="B149" s="497" t="n"/>
      <c r="P149" s="592" t="n">
        <v>145</v>
      </c>
      <c r="Q149" s="497" t="n"/>
      <c r="R149" s="592" t="n"/>
      <c r="S149" s="497" t="n"/>
      <c r="T149" s="497" t="n"/>
      <c r="U149" s="757">
        <f>Y40</f>
        <v/>
      </c>
      <c r="V149" s="497" t="n"/>
      <c r="W149" s="497" t="n"/>
      <c r="X149" s="497" t="n"/>
      <c r="Y149" s="593">
        <f>IF(AND(T149:X149),1,0)</f>
        <v/>
      </c>
      <c r="AF149" s="592" t="n">
        <v>146</v>
      </c>
      <c r="AG149" s="599" t="n"/>
      <c r="AH149" s="597" t="n"/>
      <c r="AI149" s="497" t="n"/>
      <c r="AJ149" s="497" t="n"/>
      <c r="AK149" s="630">
        <f>AO148</f>
        <v/>
      </c>
      <c r="AL149" s="497" t="n"/>
      <c r="AM149" s="497" t="n"/>
      <c r="AN149" s="497" t="n"/>
      <c r="AO149" s="593">
        <f>IF(AND(AJ149:AN149),1,0)</f>
        <v/>
      </c>
      <c r="GZ149" s="742" t="n"/>
      <c r="HD149" s="742" t="n"/>
      <c r="LB149" s="592" t="n">
        <v>146</v>
      </c>
      <c r="LC149" s="497" t="n"/>
      <c r="LD149" s="724" t="n"/>
      <c r="LE149" s="497" t="n"/>
      <c r="LF149" s="724" t="n"/>
      <c r="LG149" s="724">
        <f>LK70</f>
        <v/>
      </c>
      <c r="LH149" s="724" t="n"/>
      <c r="LI149" s="497" t="n"/>
      <c r="LJ149" s="497" t="n"/>
      <c r="LK149" s="593">
        <f>IF(AND(LF149:LJ149),1,0)</f>
        <v/>
      </c>
      <c r="MH149" s="592" t="n">
        <v>146</v>
      </c>
      <c r="MI149" s="497" t="n"/>
      <c r="MJ149" s="724" t="inlineStr">
        <is>
          <t>FADR</t>
        </is>
      </c>
      <c r="MK149" s="497" t="n"/>
      <c r="ML149" s="724" t="n"/>
      <c r="MM149" s="605">
        <f>MT13</f>
        <v/>
      </c>
      <c r="MN149" s="724" t="n"/>
      <c r="MO149" s="497" t="n"/>
      <c r="MP149" s="497" t="n"/>
      <c r="MQ149" s="593">
        <f>IF(AND(ML149:MP149),1,0)</f>
        <v/>
      </c>
    </row>
    <row r="150">
      <c r="A150" s="497" t="n"/>
      <c r="B150" s="497" t="n"/>
      <c r="P150" s="592" t="n">
        <v>146</v>
      </c>
      <c r="Q150" s="497" t="n"/>
      <c r="R150" s="592" t="n"/>
      <c r="S150" s="497" t="n"/>
      <c r="T150" s="497" t="n"/>
      <c r="U150" s="757">
        <f>Y136</f>
        <v/>
      </c>
      <c r="V150" s="497">
        <f>Y149</f>
        <v/>
      </c>
      <c r="W150" s="497" t="n"/>
      <c r="X150" s="497" t="n"/>
      <c r="Y150" s="593">
        <f>IF(AND(T150:X150),1,0)</f>
        <v/>
      </c>
      <c r="AF150" s="592" t="n">
        <v>147</v>
      </c>
      <c r="AG150" s="599" t="n"/>
      <c r="AH150" s="597" t="n"/>
      <c r="AI150" s="497" t="n"/>
      <c r="AJ150" s="497" t="n"/>
      <c r="AK150" s="630">
        <f>AO41</f>
        <v/>
      </c>
      <c r="AL150" s="497" t="n"/>
      <c r="AM150" s="497" t="n"/>
      <c r="AN150" s="497" t="n"/>
      <c r="AO150" s="593">
        <f>IF(AND(AJ150:AN150),1,0)</f>
        <v/>
      </c>
      <c r="DL150" s="742">
        <f>'DATA TRANSFER'!DP146</f>
        <v/>
      </c>
      <c r="GZ150" s="742" t="n"/>
      <c r="HD150" s="742" t="n"/>
      <c r="LB150" s="592" t="n">
        <v>147</v>
      </c>
      <c r="LC150" s="497" t="n"/>
      <c r="LD150" s="724" t="n"/>
      <c r="LE150" s="497" t="n"/>
      <c r="LF150" s="724" t="n"/>
      <c r="LG150" s="605">
        <f>LN35</f>
        <v/>
      </c>
      <c r="LH150" s="724">
        <f>LK151</f>
        <v/>
      </c>
      <c r="LI150" s="497" t="n"/>
      <c r="LJ150" s="497" t="n"/>
      <c r="LK150" s="593">
        <f>IF(AND(LF150:LJ150),1,0)</f>
        <v/>
      </c>
      <c r="MH150" s="592" t="n">
        <v>147</v>
      </c>
      <c r="MI150" s="497" t="n"/>
      <c r="MJ150" s="724" t="inlineStr">
        <is>
          <t xml:space="preserve">SFC OFF </t>
        </is>
      </c>
      <c r="MK150" s="497" t="n"/>
      <c r="ML150" s="724" t="n"/>
      <c r="MM150" s="605">
        <f>MT15</f>
        <v/>
      </c>
      <c r="MN150" s="724" t="n"/>
      <c r="MO150" s="497" t="n"/>
      <c r="MP150" s="497" t="n"/>
      <c r="MQ150" s="593">
        <f>IF(AND(ML150:MP150),1,0)</f>
        <v/>
      </c>
    </row>
    <row r="151">
      <c r="A151" s="497" t="n"/>
      <c r="B151" s="497" t="n"/>
      <c r="P151" s="592" t="n">
        <v>147</v>
      </c>
      <c r="Q151" s="497" t="n"/>
      <c r="R151" s="592" t="n"/>
      <c r="S151" s="497" t="n"/>
      <c r="T151" s="497" t="n"/>
      <c r="U151" s="757">
        <f>Y138</f>
        <v/>
      </c>
      <c r="V151" s="497">
        <f>Y150</f>
        <v/>
      </c>
      <c r="W151" s="497" t="n"/>
      <c r="X151" s="497" t="n"/>
      <c r="Y151" s="593">
        <f>IF(AND(T151:X151),1,0)</f>
        <v/>
      </c>
      <c r="AF151" s="592" t="n">
        <v>148</v>
      </c>
      <c r="AG151" s="599" t="n"/>
      <c r="AH151" s="597" t="n"/>
      <c r="AI151" s="497" t="n"/>
      <c r="AJ151" s="497" t="n"/>
      <c r="AK151" s="630">
        <f>AO137</f>
        <v/>
      </c>
      <c r="AL151" s="497">
        <f>AO150</f>
        <v/>
      </c>
      <c r="AM151" s="497" t="n"/>
      <c r="AN151" s="497" t="n"/>
      <c r="AO151" s="593">
        <f>IF(AND(AJ151:AN151),1,0)</f>
        <v/>
      </c>
      <c r="GZ151" s="742" t="n"/>
      <c r="HD151" s="742" t="n"/>
      <c r="LB151" s="592" t="n">
        <v>148</v>
      </c>
      <c r="LC151" s="497" t="n"/>
      <c r="LD151" s="724" t="inlineStr">
        <is>
          <t>HTRC2</t>
        </is>
      </c>
      <c r="LE151" s="497" t="n"/>
      <c r="LF151" s="724" t="n"/>
      <c r="LG151" s="605">
        <f>LN31</f>
        <v/>
      </c>
      <c r="LH151" s="724">
        <f>LK149</f>
        <v/>
      </c>
      <c r="LI151" s="497">
        <f>LK147</f>
        <v/>
      </c>
      <c r="LJ151" s="497">
        <f>LK145</f>
        <v/>
      </c>
      <c r="LK151" s="593">
        <f>IF(AND(LF151:LJ151),1,0)</f>
        <v/>
      </c>
      <c r="MH151" s="592" t="n">
        <v>148</v>
      </c>
      <c r="MI151" s="497" t="n"/>
      <c r="MJ151" s="724" t="n"/>
      <c r="MK151" s="497" t="n"/>
      <c r="ML151" s="724" t="n"/>
      <c r="MM151" s="724">
        <f>MQ150</f>
        <v/>
      </c>
      <c r="MN151" s="724" t="n"/>
      <c r="MO151" s="497" t="n"/>
      <c r="MP151" s="497" t="n"/>
      <c r="MQ151" s="593">
        <f>IF(AND(ML151:MP151),1,0)</f>
        <v/>
      </c>
    </row>
    <row r="152">
      <c r="A152" s="497" t="n"/>
      <c r="B152" s="497" t="n"/>
      <c r="P152" s="592" t="n">
        <v>148</v>
      </c>
      <c r="Q152" s="497" t="n"/>
      <c r="R152" s="592" t="n"/>
      <c r="S152" s="497" t="n"/>
      <c r="T152" s="497" t="n"/>
      <c r="U152" s="757">
        <f>Y151</f>
        <v/>
      </c>
      <c r="V152" s="497" t="n"/>
      <c r="W152" s="497" t="n"/>
      <c r="X152" s="497" t="n"/>
      <c r="Y152" s="593">
        <f>IF(AND(T152:X152),1,0)</f>
        <v/>
      </c>
      <c r="AF152" s="592" t="n">
        <v>149</v>
      </c>
      <c r="AG152" s="599" t="n"/>
      <c r="AH152" s="597" t="n"/>
      <c r="AI152" s="497" t="n"/>
      <c r="AJ152" s="497" t="n"/>
      <c r="AK152" s="630">
        <f>AO139</f>
        <v/>
      </c>
      <c r="AL152" s="497">
        <f>AO151</f>
        <v/>
      </c>
      <c r="AM152" s="497" t="n"/>
      <c r="AN152" s="497" t="n"/>
      <c r="AO152" s="593">
        <f>IF(AND(AJ152:AN152),1,0)</f>
        <v/>
      </c>
      <c r="GZ152" s="742" t="n"/>
      <c r="HD152" s="742" t="n"/>
      <c r="LB152" s="592" t="n">
        <v>149</v>
      </c>
      <c r="LC152" s="497" t="n"/>
      <c r="LD152" s="724" t="n"/>
      <c r="LE152" s="497" t="n"/>
      <c r="LF152" s="724" t="n"/>
      <c r="LG152" s="724" t="n">
        <v>1</v>
      </c>
      <c r="LH152" s="724" t="n"/>
      <c r="LI152" s="497" t="n"/>
      <c r="LJ152" s="497" t="n"/>
      <c r="LK152" s="593">
        <f>IF(AND(LF152:LJ152),1,0)</f>
        <v/>
      </c>
      <c r="MH152" s="592" t="n">
        <v>149</v>
      </c>
      <c r="MI152" s="497" t="n"/>
      <c r="MJ152" s="724" t="n"/>
      <c r="MK152" s="497" t="n"/>
      <c r="ML152" s="724" t="n"/>
      <c r="MM152" s="724">
        <f>IF(OR(MQ98,MQ80,MQ64),1,0)</f>
        <v/>
      </c>
      <c r="MN152" s="724" t="n"/>
      <c r="MO152" s="497" t="n"/>
      <c r="MP152" s="497" t="n"/>
      <c r="MQ152" s="593">
        <f>IF(AND(ML152:MP152),1,0)</f>
        <v/>
      </c>
    </row>
    <row r="153" ht="47.25" customHeight="1">
      <c r="A153" s="597" t="n"/>
      <c r="B153" s="597" t="inlineStr">
        <is>
          <t>ELECTRICAL HEATING P=1.5 KW</t>
        </is>
      </c>
      <c r="P153" s="592" t="n">
        <v>149</v>
      </c>
      <c r="Q153" s="497" t="n"/>
      <c r="R153" s="597" t="inlineStr">
        <is>
          <t>HEATER 1 4.5kW</t>
        </is>
      </c>
      <c r="S153" s="497" t="n"/>
      <c r="T153" s="497" t="n"/>
      <c r="U153" s="613">
        <f>AB32</f>
        <v/>
      </c>
      <c r="V153" s="497">
        <f>Y152</f>
        <v/>
      </c>
      <c r="W153" s="497" t="n"/>
      <c r="X153" s="497" t="n"/>
      <c r="Y153" s="593">
        <f>IF(AND(T153:X153),1,0)</f>
        <v/>
      </c>
      <c r="AF153" s="592" t="n">
        <v>150</v>
      </c>
      <c r="AG153" s="599" t="n"/>
      <c r="AH153" s="597" t="n"/>
      <c r="AI153" s="497" t="n"/>
      <c r="AJ153" s="497" t="n"/>
      <c r="AK153" s="630">
        <f>AO152</f>
        <v/>
      </c>
      <c r="AL153" s="497" t="n"/>
      <c r="AM153" s="497" t="n"/>
      <c r="AN153" s="497" t="n"/>
      <c r="AO153" s="593">
        <f>IF(AND(AJ153:AN153),1,0)</f>
        <v/>
      </c>
      <c r="GZ153" s="742" t="n"/>
      <c r="HD153" s="742" t="n"/>
      <c r="LB153" s="592" t="n">
        <v>150</v>
      </c>
      <c r="LC153" s="497" t="n"/>
      <c r="LD153" s="724" t="inlineStr">
        <is>
          <t>PHASE PROTECTION REALY PPR 1</t>
        </is>
      </c>
      <c r="LE153" s="497" t="n"/>
      <c r="LF153" s="724" t="n"/>
      <c r="LG153" s="605">
        <f>LN33</f>
        <v/>
      </c>
      <c r="LH153" s="724">
        <f>LK99</f>
        <v/>
      </c>
      <c r="LI153" s="497">
        <f>LK74</f>
        <v/>
      </c>
      <c r="LJ153" s="497">
        <f>LK99</f>
        <v/>
      </c>
      <c r="LK153" s="593">
        <f>IF(AND(LF153:LJ153),1,0)</f>
        <v/>
      </c>
      <c r="MH153" s="592" t="n">
        <v>150</v>
      </c>
      <c r="MI153" s="497" t="n"/>
      <c r="MJ153" s="724" t="n"/>
      <c r="MK153" s="497" t="n"/>
      <c r="ML153" s="724" t="n"/>
      <c r="MM153" s="724">
        <f>IF(OR(MQ126,MQ149),1,0)</f>
        <v/>
      </c>
      <c r="MN153" s="724" t="n"/>
      <c r="MO153" s="497" t="n"/>
      <c r="MP153" s="497" t="n"/>
      <c r="MQ153" s="593">
        <f>IF(AND(ML153:MP153),1,0)</f>
        <v/>
      </c>
    </row>
    <row r="154">
      <c r="A154" s="497" t="n"/>
      <c r="B154" s="497" t="n"/>
      <c r="P154" s="592" t="n">
        <v>150</v>
      </c>
      <c r="Q154" s="497" t="n"/>
      <c r="R154" s="592" t="n"/>
      <c r="S154" s="497" t="n"/>
      <c r="T154" s="497" t="n"/>
      <c r="U154" s="757">
        <f>Y153</f>
        <v/>
      </c>
      <c r="V154" s="497" t="n"/>
      <c r="W154" s="497" t="n"/>
      <c r="X154" s="497" t="n"/>
      <c r="Y154" s="593">
        <f>IF(AND(T154:X154),1,0)</f>
        <v/>
      </c>
      <c r="AF154" s="592" t="n">
        <v>151</v>
      </c>
      <c r="AG154" s="599" t="n"/>
      <c r="AH154" s="618" t="inlineStr">
        <is>
          <t>HEATER 1 4.5kW</t>
        </is>
      </c>
      <c r="AI154" s="497" t="n"/>
      <c r="AJ154" s="497" t="n"/>
      <c r="AK154" s="601">
        <f>AB32</f>
        <v/>
      </c>
      <c r="AL154" s="497">
        <f>AO153</f>
        <v/>
      </c>
      <c r="AM154" s="497" t="n"/>
      <c r="AN154" s="497" t="n"/>
      <c r="AO154" s="593">
        <f>IF(AND(AJ154:AN154),1,0)</f>
        <v/>
      </c>
      <c r="GZ154" s="742" t="n"/>
      <c r="HD154" s="742" t="n"/>
      <c r="LB154" s="592" t="n">
        <v>151</v>
      </c>
      <c r="LG154" s="742" t="n">
        <v>1</v>
      </c>
      <c r="LK154" s="593">
        <f>IF(AND(LF154:LJ154),1,0)</f>
        <v/>
      </c>
      <c r="MH154" s="592" t="n">
        <v>151</v>
      </c>
      <c r="MI154" s="497" t="n"/>
      <c r="MJ154" s="724" t="n"/>
      <c r="MK154" s="497" t="n"/>
      <c r="ML154" s="724" t="n"/>
      <c r="MM154" s="612" t="n">
        <v>1</v>
      </c>
      <c r="MN154" s="724" t="n"/>
      <c r="MO154" s="497" t="n"/>
      <c r="MP154" s="497" t="n"/>
      <c r="MQ154" s="593">
        <f>IF(AND(ML154:MP154),1,0)</f>
        <v/>
      </c>
    </row>
    <row r="155">
      <c r="A155" s="497" t="n"/>
      <c r="B155" s="497" t="n"/>
      <c r="P155" s="592" t="n">
        <v>151</v>
      </c>
      <c r="Q155" s="497" t="n"/>
      <c r="R155" s="592" t="n"/>
      <c r="S155" s="497" t="n"/>
      <c r="T155" s="497" t="n"/>
      <c r="U155" s="757">
        <f>Y150</f>
        <v/>
      </c>
      <c r="V155" s="497" t="n"/>
      <c r="W155" s="497" t="n"/>
      <c r="X155" s="497" t="n"/>
      <c r="Y155" s="593">
        <f>IF(AND(T155:X155),1,0)</f>
        <v/>
      </c>
      <c r="AF155" s="592" t="n">
        <v>152</v>
      </c>
      <c r="AG155" s="599" t="n"/>
      <c r="AH155" s="597" t="n"/>
      <c r="AI155" s="497" t="n"/>
      <c r="AJ155" s="497" t="n"/>
      <c r="AK155" s="630">
        <f>AO154</f>
        <v/>
      </c>
      <c r="AL155" s="497" t="n"/>
      <c r="AM155" s="497" t="n"/>
      <c r="AN155" s="497" t="n"/>
      <c r="AO155" s="593">
        <f>IF(AND(AJ155:AN155),1,0)</f>
        <v/>
      </c>
      <c r="GZ155" s="742" t="n"/>
      <c r="HD155" s="742" t="n"/>
      <c r="LB155" s="592" t="n">
        <v>152</v>
      </c>
      <c r="LG155" s="742" t="n">
        <v>1</v>
      </c>
      <c r="LK155" s="593">
        <f>IF(AND(LF155:LJ155),1,0)</f>
        <v/>
      </c>
      <c r="MH155" s="592" t="n">
        <v>152</v>
      </c>
      <c r="MI155" s="497" t="n"/>
      <c r="MJ155" s="724" t="n"/>
      <c r="MK155" s="497" t="n"/>
      <c r="ML155" s="724" t="n"/>
      <c r="MM155" s="724">
        <f>MQ154</f>
        <v/>
      </c>
      <c r="MN155" s="724" t="n"/>
      <c r="MO155" s="497" t="n"/>
      <c r="MP155" s="497" t="n"/>
      <c r="MQ155" s="593">
        <f>IF(AND(ML155:MP155),1,0)</f>
        <v/>
      </c>
    </row>
    <row r="156" ht="31.5" customHeight="1">
      <c r="A156" s="597" t="inlineStr">
        <is>
          <t>LA .A03-X07</t>
        </is>
      </c>
      <c r="B156" s="497" t="n"/>
      <c r="P156" s="592" t="n">
        <v>152</v>
      </c>
      <c r="Q156" s="497" t="n"/>
      <c r="R156" s="592" t="inlineStr">
        <is>
          <t>HTRC2 9A</t>
        </is>
      </c>
      <c r="S156" s="497" t="n"/>
      <c r="T156" s="497" t="n"/>
      <c r="U156" s="613">
        <f>AB31</f>
        <v/>
      </c>
      <c r="V156" s="497">
        <f>Y155</f>
        <v/>
      </c>
      <c r="W156" s="497">
        <f>Y161</f>
        <v/>
      </c>
      <c r="X156" s="497">
        <f>Y166</f>
        <v/>
      </c>
      <c r="Y156" s="593">
        <f>IF(AND(T156:X156),1,0)</f>
        <v/>
      </c>
      <c r="AF156" s="592" t="n">
        <v>153</v>
      </c>
      <c r="AG156" s="599" t="n"/>
      <c r="AH156" s="597" t="n"/>
      <c r="AI156" s="497" t="n"/>
      <c r="AJ156" s="497" t="n"/>
      <c r="AK156" s="630">
        <f>AO151</f>
        <v/>
      </c>
      <c r="AL156" s="497" t="n"/>
      <c r="AM156" s="497" t="n"/>
      <c r="AN156" s="497" t="n"/>
      <c r="AO156" s="593">
        <f>IF(AND(AJ156:AN156),1,0)</f>
        <v/>
      </c>
      <c r="GZ156" s="742" t="n"/>
      <c r="HD156" s="742" t="n"/>
      <c r="MH156" s="592" t="n">
        <v>153</v>
      </c>
      <c r="MI156" s="497" t="n"/>
      <c r="MJ156" s="724" t="inlineStr">
        <is>
          <t>ACCP2N</t>
        </is>
      </c>
      <c r="MK156" s="497" t="n"/>
      <c r="ML156" s="724" t="n"/>
      <c r="MM156" s="605">
        <f>MT20</f>
        <v/>
      </c>
      <c r="MN156" s="724">
        <f>MQ155</f>
        <v/>
      </c>
      <c r="MO156" s="497" t="n"/>
      <c r="MP156" s="497" t="n"/>
      <c r="MQ156" s="593">
        <f>IF(AND(ML156:MP156),1,0)</f>
        <v/>
      </c>
    </row>
    <row r="157">
      <c r="A157" s="497" t="n"/>
      <c r="B157" s="497" t="n"/>
      <c r="P157" s="592" t="n">
        <v>153</v>
      </c>
      <c r="Q157" s="497" t="n"/>
      <c r="R157" s="592" t="n"/>
      <c r="S157" s="497" t="n"/>
      <c r="T157" s="497" t="n"/>
      <c r="U157" s="757">
        <f>Y156</f>
        <v/>
      </c>
      <c r="V157" s="497" t="n"/>
      <c r="W157" s="497" t="n"/>
      <c r="X157" s="497" t="n"/>
      <c r="Y157" s="593">
        <f>IF(AND(T157:X157),1,0)</f>
        <v/>
      </c>
      <c r="AF157" s="592" t="n">
        <v>154</v>
      </c>
      <c r="AG157" s="599" t="n"/>
      <c r="AH157" s="497" t="inlineStr">
        <is>
          <t>HTRC2 9A</t>
        </is>
      </c>
      <c r="AI157" s="497" t="n"/>
      <c r="AJ157" s="497" t="n"/>
      <c r="AK157" s="601">
        <f>AB31</f>
        <v/>
      </c>
      <c r="AL157" s="497">
        <f>AO156</f>
        <v/>
      </c>
      <c r="AM157" s="497" t="n"/>
      <c r="AN157" s="497" t="n"/>
      <c r="AO157" s="593">
        <f>IF(AND(AJ157:AN157),1,0)</f>
        <v/>
      </c>
      <c r="GZ157" s="742" t="n"/>
      <c r="HD157" s="742" t="n"/>
      <c r="MH157" s="592" t="n">
        <v>154</v>
      </c>
      <c r="MI157" s="497" t="n"/>
      <c r="MJ157" s="724" t="n"/>
      <c r="MK157" s="497" t="n"/>
      <c r="ML157" s="724" t="n"/>
      <c r="MM157" s="724">
        <f>MQ156</f>
        <v/>
      </c>
      <c r="MN157" s="724" t="n"/>
      <c r="MO157" s="497" t="n"/>
      <c r="MP157" s="497" t="n"/>
      <c r="MQ157" s="593">
        <f>IF(AND(ML157:MP157),1,0)</f>
        <v/>
      </c>
    </row>
    <row r="158">
      <c r="A158" s="497" t="n"/>
      <c r="P158" s="592" t="n">
        <v>154</v>
      </c>
      <c r="Q158" s="497" t="n"/>
      <c r="R158" s="592" t="n"/>
      <c r="S158" s="497" t="n"/>
      <c r="T158" s="497" t="n"/>
      <c r="U158" s="757">
        <f>Y157</f>
        <v/>
      </c>
      <c r="V158" s="497" t="n"/>
      <c r="W158" s="497" t="n"/>
      <c r="X158" s="497" t="n"/>
      <c r="Y158" s="593">
        <f>IF(AND(T158:X158),1,0)</f>
        <v/>
      </c>
      <c r="AF158" s="592" t="n">
        <v>155</v>
      </c>
      <c r="AG158" s="599" t="n"/>
      <c r="AH158" s="597" t="n"/>
      <c r="AI158" s="497" t="n"/>
      <c r="AJ158" s="497" t="n"/>
      <c r="AK158" s="630">
        <f>AO157</f>
        <v/>
      </c>
      <c r="AL158" s="497" t="n"/>
      <c r="AM158" s="497" t="n"/>
      <c r="AN158" s="497" t="n"/>
      <c r="AO158" s="593">
        <f>IF(AND(AJ158:AN158),1,0)</f>
        <v/>
      </c>
      <c r="GZ158" s="742" t="n"/>
      <c r="HD158" s="742" t="n"/>
      <c r="MH158" s="592" t="n">
        <v>155</v>
      </c>
      <c r="MI158" s="497" t="n"/>
      <c r="MJ158" s="724" t="n"/>
      <c r="MK158" s="497" t="n"/>
      <c r="ML158" s="724" t="n"/>
      <c r="MM158" s="724">
        <f>IF(OR(MQ157,MQ108),1,0)</f>
        <v/>
      </c>
      <c r="MN158" s="724" t="n"/>
      <c r="MO158" s="497" t="n"/>
      <c r="MP158" s="497" t="n"/>
      <c r="MQ158" s="593">
        <f>IF(AND(ML158:MP158),1,0)</f>
        <v/>
      </c>
    </row>
    <row r="159">
      <c r="A159" s="497" t="n"/>
      <c r="B159" s="497" t="n"/>
      <c r="P159" s="592" t="n">
        <v>155</v>
      </c>
      <c r="Q159" s="497" t="n"/>
      <c r="R159" s="597" t="inlineStr">
        <is>
          <t>HEATER 2 4.5kW</t>
        </is>
      </c>
      <c r="S159" s="497" t="n"/>
      <c r="T159" s="497" t="n"/>
      <c r="U159" s="613">
        <f>AB35</f>
        <v/>
      </c>
      <c r="V159" s="497">
        <f>Y157</f>
        <v/>
      </c>
      <c r="W159" s="497">
        <f>Y158</f>
        <v/>
      </c>
      <c r="X159" s="497" t="n"/>
      <c r="Y159" s="593">
        <f>IF(AND(T159:X159),1,0)</f>
        <v/>
      </c>
      <c r="AF159" s="592" t="n">
        <v>156</v>
      </c>
      <c r="AG159" s="599" t="n"/>
      <c r="AH159" s="597" t="n"/>
      <c r="AI159" s="497" t="n"/>
      <c r="AJ159" s="497" t="n"/>
      <c r="AK159" s="630">
        <f>AO158</f>
        <v/>
      </c>
      <c r="AL159" s="497" t="n"/>
      <c r="AM159" s="497" t="n"/>
      <c r="AN159" s="497" t="n"/>
      <c r="AO159" s="593">
        <f>IF(AND(AJ159:AN159),1,0)</f>
        <v/>
      </c>
      <c r="GZ159" s="742" t="n"/>
      <c r="HD159" s="742" t="n"/>
      <c r="MH159" s="592" t="n">
        <v>156</v>
      </c>
      <c r="MI159" s="497" t="n"/>
      <c r="MJ159" s="724" t="n"/>
      <c r="MK159" s="497" t="n"/>
      <c r="ML159" s="724" t="n"/>
      <c r="MM159" s="724">
        <f>MQ117</f>
        <v/>
      </c>
      <c r="MN159" s="724" t="n"/>
      <c r="MO159" s="497" t="n"/>
      <c r="MP159" s="497" t="n"/>
      <c r="MQ159" s="593">
        <f>IF(AND(ML159:MP159),1,0)</f>
        <v/>
      </c>
    </row>
    <row r="160">
      <c r="A160" s="497" t="n"/>
      <c r="B160" s="497" t="n"/>
      <c r="P160" s="592" t="n">
        <v>156</v>
      </c>
      <c r="Q160" s="497" t="n"/>
      <c r="R160" s="592" t="n"/>
      <c r="S160" s="497" t="n"/>
      <c r="T160" s="497" t="n"/>
      <c r="U160" s="757">
        <f>Y159</f>
        <v/>
      </c>
      <c r="V160" s="497" t="n"/>
      <c r="W160" s="497" t="n"/>
      <c r="X160" s="497" t="n"/>
      <c r="Y160" s="593">
        <f>IF(AND(T160:X160),1,0)</f>
        <v/>
      </c>
      <c r="AF160" s="592" t="n">
        <v>157</v>
      </c>
      <c r="AG160" s="599" t="n"/>
      <c r="AH160" s="618" t="inlineStr">
        <is>
          <t>HEATER2_ 4.5kW</t>
        </is>
      </c>
      <c r="AI160" s="497" t="n"/>
      <c r="AJ160" s="497" t="n"/>
      <c r="AK160" s="601">
        <f>AB35</f>
        <v/>
      </c>
      <c r="AL160" s="497">
        <f>AO159</f>
        <v/>
      </c>
      <c r="AM160" s="497" t="n"/>
      <c r="AN160" s="497" t="n"/>
      <c r="AO160" s="593">
        <f>IF(AND(AJ160:AN160),1,0)</f>
        <v/>
      </c>
      <c r="GZ160" s="742" t="n"/>
      <c r="HD160" s="742" t="n"/>
      <c r="MH160" s="592" t="n">
        <v>157</v>
      </c>
      <c r="MI160" s="497" t="n"/>
      <c r="MJ160" s="724" t="inlineStr">
        <is>
          <t>SMDRB</t>
        </is>
      </c>
      <c r="MK160" s="497" t="n"/>
      <c r="ML160" s="724" t="n"/>
      <c r="MM160" s="605">
        <f>MT11</f>
        <v/>
      </c>
      <c r="MN160" s="724">
        <f>MQ159</f>
        <v/>
      </c>
      <c r="MO160" s="497" t="n"/>
      <c r="MP160" s="497" t="n"/>
      <c r="MQ160" s="593">
        <f>IF(AND(ML160:MP160),1,0)</f>
        <v/>
      </c>
    </row>
    <row r="161">
      <c r="A161" s="497" t="n"/>
      <c r="B161" s="497" t="n"/>
      <c r="P161" s="592" t="n">
        <v>157</v>
      </c>
      <c r="Q161" s="497" t="n"/>
      <c r="R161" s="592" t="n"/>
      <c r="S161" s="497" t="n"/>
      <c r="T161" s="497" t="n"/>
      <c r="U161" s="757">
        <f>Y144</f>
        <v/>
      </c>
      <c r="V161" s="497" t="n"/>
      <c r="W161" s="497" t="n"/>
      <c r="X161" s="497" t="n"/>
      <c r="Y161" s="593">
        <f>IF(AND(T161:X161),1,0)</f>
        <v/>
      </c>
      <c r="AF161" s="592" t="n">
        <v>158</v>
      </c>
      <c r="AG161" s="599" t="n"/>
      <c r="AH161" s="597" t="n"/>
      <c r="AI161" s="497" t="n"/>
      <c r="AJ161" s="497" t="n"/>
      <c r="AK161" s="630">
        <f>AO160</f>
        <v/>
      </c>
      <c r="AL161" s="497" t="n"/>
      <c r="AM161" s="497" t="n"/>
      <c r="AN161" s="497" t="n"/>
      <c r="AO161" s="593">
        <f>IF(AND(AJ161:AN161),1,0)</f>
        <v/>
      </c>
      <c r="GZ161" s="742" t="n"/>
      <c r="HD161" s="742" t="n"/>
      <c r="MH161" s="592" t="n">
        <v>158</v>
      </c>
      <c r="MI161" s="497" t="n"/>
      <c r="MJ161" s="724" t="n"/>
      <c r="MK161" s="497" t="n"/>
      <c r="ML161" s="724" t="n"/>
      <c r="MM161" s="724">
        <f>MQ160</f>
        <v/>
      </c>
      <c r="MN161" s="724" t="n"/>
      <c r="MO161" s="497" t="n"/>
      <c r="MP161" s="497" t="n"/>
      <c r="MQ161" s="593">
        <f>IF(AND(ML161:MP161),1,0)</f>
        <v/>
      </c>
    </row>
    <row r="162">
      <c r="A162" s="497" t="n"/>
      <c r="B162" s="497" t="n"/>
      <c r="P162" s="592" t="n">
        <v>158</v>
      </c>
      <c r="Q162" s="497" t="n"/>
      <c r="R162" s="592" t="n"/>
      <c r="S162" s="497" t="n"/>
      <c r="T162" s="497" t="n"/>
      <c r="U162" s="757">
        <f>Y156</f>
        <v/>
      </c>
      <c r="V162" s="497">
        <f>Y161</f>
        <v/>
      </c>
      <c r="W162" s="497" t="n"/>
      <c r="X162" s="497" t="n"/>
      <c r="Y162" s="593">
        <f>IF(AND(T162:X162),1,0)</f>
        <v/>
      </c>
      <c r="AF162" s="592" t="n">
        <v>159</v>
      </c>
      <c r="AG162" s="599" t="n"/>
      <c r="AH162" s="597" t="n"/>
      <c r="AI162" s="497" t="n"/>
      <c r="AJ162" s="497" t="n"/>
      <c r="AK162" s="630">
        <f>AO145</f>
        <v/>
      </c>
      <c r="AL162" s="497" t="n"/>
      <c r="AM162" s="497" t="n"/>
      <c r="AN162" s="497" t="n"/>
      <c r="AO162" s="593">
        <f>IF(AND(AJ162:AN162),1,0)</f>
        <v/>
      </c>
      <c r="GZ162" s="742" t="n"/>
      <c r="HD162" s="742" t="n"/>
      <c r="MH162" s="592" t="n">
        <v>159</v>
      </c>
      <c r="MI162" s="497" t="n"/>
      <c r="MJ162" s="724" t="n"/>
      <c r="MK162" s="497" t="n"/>
      <c r="ML162" s="724" t="n"/>
      <c r="MM162" s="724">
        <f>MQ161</f>
        <v/>
      </c>
      <c r="MN162" s="724" t="n"/>
      <c r="MO162" s="497" t="n"/>
      <c r="MP162" s="497" t="n"/>
      <c r="MQ162" s="593">
        <f>IF(AND(ML162:MP162),1,0)</f>
        <v/>
      </c>
    </row>
    <row r="163">
      <c r="P163" s="592" t="n">
        <v>159</v>
      </c>
      <c r="Q163" s="497" t="n"/>
      <c r="R163" s="592" t="n"/>
      <c r="S163" s="497" t="n"/>
      <c r="T163" s="497" t="n"/>
      <c r="U163" s="757">
        <f>Y162</f>
        <v/>
      </c>
      <c r="V163" s="497" t="n"/>
      <c r="W163" s="497" t="n"/>
      <c r="X163" s="497" t="n"/>
      <c r="Y163" s="593">
        <f>IF(AND(T163:X163),1,0)</f>
        <v/>
      </c>
      <c r="AF163" s="592" t="n">
        <v>160</v>
      </c>
      <c r="AG163" s="599" t="n"/>
      <c r="AH163" s="597" t="n"/>
      <c r="AI163" s="497" t="n"/>
      <c r="AJ163" s="497" t="n"/>
      <c r="AK163" s="630">
        <f>AO157</f>
        <v/>
      </c>
      <c r="AL163" s="497">
        <f>AO162</f>
        <v/>
      </c>
      <c r="AM163" s="497" t="n"/>
      <c r="AN163" s="497" t="n"/>
      <c r="AO163" s="593">
        <f>IF(AND(AJ163:AN163),1,0)</f>
        <v/>
      </c>
      <c r="GZ163" s="742" t="n"/>
      <c r="HD163" s="742" t="n"/>
      <c r="MH163" s="592" t="n">
        <v>160</v>
      </c>
      <c r="MI163" s="497" t="n"/>
      <c r="MJ163" s="724" t="inlineStr">
        <is>
          <t>DI RIO 2 PCB 9 (15)_I_FAD FORCED CLS</t>
        </is>
      </c>
      <c r="MK163" s="497" t="n"/>
      <c r="ML163" s="724" t="n"/>
      <c r="MM163" s="605">
        <f>MT21</f>
        <v/>
      </c>
      <c r="MN163" s="724">
        <f>MQ162</f>
        <v/>
      </c>
      <c r="MO163" s="497" t="n"/>
      <c r="MP163" s="497" t="n"/>
      <c r="MQ163" s="593">
        <f>IF(AND(ML163:MP163),1,0)</f>
        <v/>
      </c>
    </row>
    <row r="164">
      <c r="P164" s="592" t="n">
        <v>160</v>
      </c>
      <c r="Q164" s="497" t="n"/>
      <c r="R164" s="597" t="inlineStr">
        <is>
          <t>HEATER 2 4.5kW</t>
        </is>
      </c>
      <c r="S164" s="497" t="n"/>
      <c r="T164" s="497" t="n"/>
      <c r="U164" s="613">
        <f>AB35</f>
        <v/>
      </c>
      <c r="V164" s="497">
        <f>Y163</f>
        <v/>
      </c>
      <c r="W164" s="497">
        <f>Y162</f>
        <v/>
      </c>
      <c r="X164" s="497" t="n"/>
      <c r="Y164" s="593">
        <f>IF(AND(T164:X164),1,0)</f>
        <v/>
      </c>
      <c r="AF164" s="592" t="n">
        <v>161</v>
      </c>
      <c r="AG164" s="599" t="n"/>
      <c r="AH164" s="597" t="n"/>
      <c r="AI164" s="497" t="n"/>
      <c r="AJ164" s="497" t="n"/>
      <c r="AK164" s="630">
        <f>AO163</f>
        <v/>
      </c>
      <c r="AL164" s="497" t="n"/>
      <c r="AM164" s="497" t="n"/>
      <c r="AN164" s="497" t="n"/>
      <c r="AO164" s="593">
        <f>IF(AND(AJ164:AN164),1,0)</f>
        <v/>
      </c>
      <c r="GZ164" s="742" t="n"/>
      <c r="HD164" s="742" t="n"/>
      <c r="MH164" s="592" t="n">
        <v>161</v>
      </c>
      <c r="MI164" s="497" t="n"/>
      <c r="MK164" s="497" t="n"/>
      <c r="ML164" s="724" t="n"/>
      <c r="MM164" s="724">
        <f>MQ161</f>
        <v/>
      </c>
      <c r="MN164" s="724" t="n"/>
      <c r="MO164" s="497" t="n"/>
      <c r="MP164" s="497" t="n"/>
      <c r="MQ164" s="593">
        <f>IF(AND(ML164:MP164),1,0)</f>
        <v/>
      </c>
    </row>
    <row r="165">
      <c r="P165" s="592" t="n">
        <v>161</v>
      </c>
      <c r="Q165" s="497" t="n"/>
      <c r="R165" s="592" t="n"/>
      <c r="S165" s="497" t="n"/>
      <c r="T165" s="497" t="n"/>
      <c r="U165" s="757">
        <f>Y164</f>
        <v/>
      </c>
      <c r="V165" s="497" t="n"/>
      <c r="W165" s="497" t="n"/>
      <c r="X165" s="497" t="n"/>
      <c r="Y165" s="593">
        <f>IF(AND(T165:X165),1,0)</f>
        <v/>
      </c>
      <c r="AF165" s="592" t="n">
        <v>162</v>
      </c>
      <c r="AG165" s="599" t="n"/>
      <c r="AH165" s="618" t="inlineStr">
        <is>
          <t>HEATER2_ 4.5kW</t>
        </is>
      </c>
      <c r="AI165" s="497" t="n"/>
      <c r="AJ165" s="497" t="n"/>
      <c r="AK165" s="601">
        <f>AB35</f>
        <v/>
      </c>
      <c r="AL165" s="497">
        <f>AO164</f>
        <v/>
      </c>
      <c r="AM165" s="497" t="n"/>
      <c r="AN165" s="497" t="n"/>
      <c r="AO165" s="593">
        <f>IF(AND(AJ165:AN165),1,0)</f>
        <v/>
      </c>
      <c r="GZ165" s="742" t="n"/>
      <c r="HD165" s="742" t="n"/>
      <c r="MH165" s="592" t="n">
        <v>162</v>
      </c>
      <c r="MI165" s="497" t="n"/>
      <c r="MJ165" s="724" t="inlineStr">
        <is>
          <t>DI RIO 1 PCB 9 (15)_I_FAD FORCED CLS</t>
        </is>
      </c>
      <c r="MK165" s="497" t="n"/>
      <c r="ML165" s="724" t="n"/>
      <c r="MM165" s="605">
        <f>MT23</f>
        <v/>
      </c>
      <c r="MN165" s="724">
        <f>MQ164</f>
        <v/>
      </c>
      <c r="MO165" s="497" t="n"/>
      <c r="MP165" s="497" t="n"/>
      <c r="MQ165" s="593">
        <f>IF(AND(ML165:MP165),1,0)</f>
        <v/>
      </c>
    </row>
    <row r="166">
      <c r="P166" s="592" t="n">
        <v>162</v>
      </c>
      <c r="Q166" s="497" t="n"/>
      <c r="R166" s="592" t="n"/>
      <c r="S166" s="497" t="n"/>
      <c r="T166" s="497" t="n"/>
      <c r="U166" s="757">
        <f>Y137</f>
        <v/>
      </c>
      <c r="V166" s="497" t="n"/>
      <c r="W166" s="497" t="n"/>
      <c r="X166" s="497" t="n"/>
      <c r="Y166" s="593">
        <f>IF(AND(T166:X166),1,0)</f>
        <v/>
      </c>
      <c r="AF166" s="592" t="n">
        <v>163</v>
      </c>
      <c r="AG166" s="599" t="n"/>
      <c r="AH166" s="597" t="n"/>
      <c r="AI166" s="497" t="n"/>
      <c r="AJ166" s="497" t="n"/>
      <c r="AK166" s="630">
        <f>AO165</f>
        <v/>
      </c>
      <c r="AL166" s="497" t="n"/>
      <c r="AM166" s="497" t="n"/>
      <c r="AN166" s="497" t="n"/>
      <c r="AO166" s="593">
        <f>IF(AND(AJ166:AN166),1,0)</f>
        <v/>
      </c>
      <c r="GZ166" s="742" t="n"/>
      <c r="HD166" s="742" t="n"/>
      <c r="MH166" s="592" t="n">
        <v>163</v>
      </c>
      <c r="MI166" s="497" t="n"/>
      <c r="MJ166" s="724" t="n"/>
      <c r="MK166" s="497" t="n"/>
      <c r="ML166" s="724" t="n"/>
      <c r="MM166" s="724">
        <f>MQ117</f>
        <v/>
      </c>
      <c r="MN166" s="724" t="n"/>
      <c r="MO166" s="497" t="n"/>
      <c r="MP166" s="497" t="n"/>
      <c r="MQ166" s="593">
        <f>IF(AND(ML166:MP166),1,0)</f>
        <v/>
      </c>
    </row>
    <row r="167">
      <c r="P167" s="592" t="n">
        <v>163</v>
      </c>
      <c r="Q167" s="497" t="n"/>
      <c r="R167" s="592" t="n"/>
      <c r="S167" s="497" t="n"/>
      <c r="T167" s="497" t="n"/>
      <c r="U167" s="757">
        <f>Y156</f>
        <v/>
      </c>
      <c r="V167" s="497">
        <f>Y166</f>
        <v/>
      </c>
      <c r="W167" s="497" t="n"/>
      <c r="X167" s="497" t="n"/>
      <c r="Y167" s="593">
        <f>IF(AND(T167:X167),1,0)</f>
        <v/>
      </c>
      <c r="AF167" s="592" t="n">
        <v>164</v>
      </c>
      <c r="AG167" s="599" t="n"/>
      <c r="AH167" s="597" t="n"/>
      <c r="AI167" s="497" t="n"/>
      <c r="AJ167" s="497" t="n"/>
      <c r="AK167" s="630">
        <f>AO138</f>
        <v/>
      </c>
      <c r="AL167" s="497" t="n"/>
      <c r="AM167" s="497" t="n"/>
      <c r="AN167" s="497" t="n"/>
      <c r="AO167" s="593">
        <f>IF(AND(AJ167:AN167),1,0)</f>
        <v/>
      </c>
      <c r="GZ167" s="742" t="n"/>
      <c r="HD167" s="742" t="n"/>
      <c r="MH167" s="592" t="n">
        <v>164</v>
      </c>
      <c r="MI167" s="497" t="n"/>
      <c r="MJ167" s="724" t="inlineStr">
        <is>
          <t>SMDRB</t>
        </is>
      </c>
      <c r="MK167" s="497" t="n"/>
      <c r="ML167" s="724" t="n"/>
      <c r="MM167" s="605">
        <f>MT12</f>
        <v/>
      </c>
      <c r="MN167" s="724">
        <f>MQ166</f>
        <v/>
      </c>
      <c r="MO167" s="497" t="n"/>
      <c r="MP167" s="497" t="n"/>
      <c r="MQ167" s="593">
        <f>IF(AND(ML167:MP167),1,0)</f>
        <v/>
      </c>
    </row>
    <row r="168">
      <c r="P168" s="592" t="n">
        <v>164</v>
      </c>
      <c r="Q168" s="497" t="n"/>
      <c r="R168" s="592" t="n"/>
      <c r="S168" s="497" t="n"/>
      <c r="T168" s="497" t="n"/>
      <c r="U168" s="757">
        <f>Y167</f>
        <v/>
      </c>
      <c r="V168" s="497" t="n"/>
      <c r="W168" s="497" t="n"/>
      <c r="X168" s="497" t="n"/>
      <c r="Y168" s="593">
        <f>IF(AND(T168:X168),1,0)</f>
        <v/>
      </c>
      <c r="AF168" s="592" t="n">
        <v>165</v>
      </c>
      <c r="AG168" s="599" t="n"/>
      <c r="AH168" s="597" t="n"/>
      <c r="AI168" s="497" t="n"/>
      <c r="AJ168" s="497" t="n"/>
      <c r="AK168" s="630">
        <f>AO157</f>
        <v/>
      </c>
      <c r="AL168" s="497">
        <f>AO167</f>
        <v/>
      </c>
      <c r="AM168" s="497" t="n"/>
      <c r="AN168" s="497" t="n"/>
      <c r="AO168" s="593">
        <f>IF(AND(AJ168:AN168),1,0)</f>
        <v/>
      </c>
      <c r="GZ168" s="742" t="n"/>
      <c r="HD168" s="742" t="n"/>
      <c r="MH168" s="592" t="n">
        <v>165</v>
      </c>
      <c r="MI168" s="497" t="n"/>
      <c r="MJ168" s="724" t="n"/>
      <c r="MK168" s="497" t="n"/>
      <c r="ML168" s="724" t="n"/>
      <c r="MM168" s="724">
        <f>MQ167</f>
        <v/>
      </c>
      <c r="MN168" s="724" t="n"/>
      <c r="MO168" s="497" t="n"/>
      <c r="MP168" s="497" t="n"/>
      <c r="MQ168" s="593">
        <f>IF(AND(ML168:MP168),1,0)</f>
        <v/>
      </c>
    </row>
    <row r="169">
      <c r="P169" s="592" t="n">
        <v>164</v>
      </c>
      <c r="Q169" s="497" t="n"/>
      <c r="R169" s="597" t="inlineStr">
        <is>
          <t>HEATER 2 4.5kW</t>
        </is>
      </c>
      <c r="S169" s="497" t="n"/>
      <c r="T169" s="497" t="n"/>
      <c r="U169" s="613">
        <f>AB35</f>
        <v/>
      </c>
      <c r="V169" s="497">
        <f>Y168</f>
        <v/>
      </c>
      <c r="W169" s="497" t="n"/>
      <c r="X169" s="497" t="n"/>
      <c r="Y169" s="593">
        <f>IF(AND(T169:X169),1,0)</f>
        <v/>
      </c>
      <c r="AF169" s="592" t="n">
        <v>166</v>
      </c>
      <c r="AG169" s="599" t="n"/>
      <c r="AH169" s="597" t="n"/>
      <c r="AI169" s="497" t="n"/>
      <c r="AJ169" s="497" t="n"/>
      <c r="AK169" s="630">
        <f>AO168</f>
        <v/>
      </c>
      <c r="AL169" s="497" t="n"/>
      <c r="AM169" s="497" t="n"/>
      <c r="AN169" s="497" t="n"/>
      <c r="AO169" s="593">
        <f>IF(AND(AJ169:AN169),1,0)</f>
        <v/>
      </c>
      <c r="GZ169" s="742" t="n"/>
      <c r="HD169" s="742" t="n"/>
      <c r="MH169" s="592" t="n">
        <v>166</v>
      </c>
      <c r="MI169" s="497" t="n"/>
      <c r="MJ169" s="724" t="n"/>
      <c r="MK169" s="497" t="n"/>
      <c r="ML169" s="724" t="n"/>
      <c r="MM169" s="724">
        <f>MQ168</f>
        <v/>
      </c>
      <c r="MN169" s="724" t="n"/>
      <c r="MO169" s="497" t="n"/>
      <c r="MP169" s="497" t="n"/>
      <c r="MQ169" s="593">
        <f>IF(AND(ML169:MP169),1,0)</f>
        <v/>
      </c>
    </row>
    <row r="170">
      <c r="P170" s="592" t="n">
        <v>165</v>
      </c>
      <c r="Q170" s="497" t="n"/>
      <c r="R170" s="592" t="n"/>
      <c r="S170" s="497" t="n"/>
      <c r="T170" s="497" t="n"/>
      <c r="U170" s="757">
        <f>Y169</f>
        <v/>
      </c>
      <c r="V170" s="497" t="n"/>
      <c r="W170" s="497" t="n"/>
      <c r="X170" s="497" t="n"/>
      <c r="Y170" s="593">
        <f>IF(AND(T170:X170),1,0)</f>
        <v/>
      </c>
      <c r="AF170" s="592" t="n">
        <v>167</v>
      </c>
      <c r="AG170" s="599" t="n"/>
      <c r="AH170" s="597" t="n"/>
      <c r="AI170" s="497" t="n"/>
      <c r="AJ170" s="497" t="n"/>
      <c r="AK170" s="742">
        <f>AO169</f>
        <v/>
      </c>
      <c r="AL170" s="497" t="n"/>
      <c r="AM170" s="497" t="n"/>
      <c r="AN170" s="497" t="n"/>
      <c r="AO170" s="593">
        <f>IF(AND(AJ170:AN170),1,0)</f>
        <v/>
      </c>
      <c r="GZ170" s="742" t="n"/>
      <c r="HD170" s="742" t="n"/>
      <c r="MH170" s="592" t="n">
        <v>167</v>
      </c>
      <c r="MI170" s="497" t="n"/>
      <c r="MJ170" s="724" t="n"/>
      <c r="MK170" s="497" t="n"/>
      <c r="ML170" s="724" t="n"/>
      <c r="MM170" s="724">
        <f>MQ169</f>
        <v/>
      </c>
      <c r="MN170" s="724" t="n"/>
      <c r="MO170" s="497" t="n"/>
      <c r="MP170" s="497" t="n"/>
      <c r="MQ170" s="593">
        <f>IF(AND(ML170:MP170),1,0)</f>
        <v/>
      </c>
    </row>
    <row r="171">
      <c r="P171" s="592" t="n">
        <v>166</v>
      </c>
      <c r="Q171" s="497" t="n"/>
      <c r="R171" s="592" t="inlineStr">
        <is>
          <t>HEATER 1 &amp; 2</t>
        </is>
      </c>
      <c r="S171" s="497" t="n"/>
      <c r="T171" s="497" t="n"/>
      <c r="U171" s="757">
        <f>AB32</f>
        <v/>
      </c>
      <c r="V171" s="757">
        <f>AB35</f>
        <v/>
      </c>
      <c r="W171" s="497" t="n"/>
      <c r="X171" s="497" t="n"/>
      <c r="Y171" s="593">
        <f>IF(AND(T171:X171),1,0)</f>
        <v/>
      </c>
      <c r="AF171" s="592" t="n">
        <v>168</v>
      </c>
      <c r="AG171" s="599" t="n"/>
      <c r="AH171" s="618" t="inlineStr">
        <is>
          <t>HEATER2_ 4.5kW</t>
        </is>
      </c>
      <c r="AI171" s="497" t="n"/>
      <c r="AJ171" s="497" t="n"/>
      <c r="AK171" s="601">
        <f>AB35</f>
        <v/>
      </c>
      <c r="AL171" s="497">
        <f>AO170</f>
        <v/>
      </c>
      <c r="AM171" s="497" t="n"/>
      <c r="AN171" s="497" t="n"/>
      <c r="AO171" s="593">
        <f>IF(AND(AL171:AN171),1,0)</f>
        <v/>
      </c>
      <c r="GZ171" s="742" t="n"/>
      <c r="HD171" s="742" t="n"/>
      <c r="MH171" s="592" t="n">
        <v>168</v>
      </c>
      <c r="MI171" s="497" t="n"/>
      <c r="MJ171" s="724" t="inlineStr">
        <is>
          <t>DI RIO 2 PCB 9 (24)_I_FAD FORCED OPN</t>
        </is>
      </c>
      <c r="MK171" s="497" t="n"/>
      <c r="ML171" s="724" t="n"/>
      <c r="MM171" s="605">
        <f>MT22</f>
        <v/>
      </c>
      <c r="MN171" s="724">
        <f>MQ170</f>
        <v/>
      </c>
      <c r="MO171" s="497" t="n"/>
      <c r="MP171" s="497" t="n"/>
      <c r="MQ171" s="593">
        <f>IF(AND(ML171:MP171),1,0)</f>
        <v/>
      </c>
    </row>
    <row r="172">
      <c r="P172" s="592" t="n">
        <v>167</v>
      </c>
      <c r="Q172" s="497" t="n"/>
      <c r="R172" s="592" t="inlineStr">
        <is>
          <t>GROUND</t>
        </is>
      </c>
      <c r="S172" s="497" t="n"/>
      <c r="T172" s="497" t="n"/>
      <c r="U172" s="757" t="n">
        <v>1</v>
      </c>
      <c r="V172" s="497" t="n"/>
      <c r="W172" s="497" t="n"/>
      <c r="X172" s="497" t="n"/>
      <c r="Y172" s="593">
        <f>IF(AND(T172:X172),1,0)</f>
        <v/>
      </c>
      <c r="AF172" s="592" t="n">
        <v>169</v>
      </c>
      <c r="AG172" s="599" t="n"/>
      <c r="AH172" s="597" t="n"/>
      <c r="AI172" s="497" t="n"/>
      <c r="AJ172" s="497" t="n"/>
      <c r="AK172" s="630">
        <f>AO171</f>
        <v/>
      </c>
      <c r="AL172" s="497" t="n"/>
      <c r="AM172" s="497" t="n"/>
      <c r="AN172" s="497" t="n"/>
      <c r="AO172" s="593">
        <f>IF(AND(AJ172:AN172),1,0)</f>
        <v/>
      </c>
      <c r="GZ172" s="742" t="n"/>
      <c r="HD172" s="742" t="n"/>
      <c r="MH172" s="592" t="n">
        <v>169</v>
      </c>
      <c r="MI172" s="497" t="n"/>
      <c r="MK172" s="497" t="n"/>
      <c r="ML172" s="724" t="n"/>
      <c r="MM172" s="724">
        <f>MQ169</f>
        <v/>
      </c>
      <c r="MN172" s="724" t="n"/>
      <c r="MO172" s="497" t="n"/>
      <c r="MP172" s="497" t="n"/>
      <c r="MQ172" s="593">
        <f>IF(AND(ML172:MP172),1,0)</f>
        <v/>
      </c>
    </row>
    <row r="173">
      <c r="P173" s="592" t="n">
        <v>168</v>
      </c>
      <c r="Q173" s="497" t="n"/>
      <c r="R173" s="592" t="n"/>
      <c r="S173" s="497" t="n"/>
      <c r="T173" s="497" t="n"/>
      <c r="U173" s="631" t="n">
        <v>1</v>
      </c>
      <c r="V173" s="497" t="n"/>
      <c r="W173" s="497" t="n"/>
      <c r="X173" s="497" t="n"/>
      <c r="Y173" s="593">
        <f>IF(AND(T173:X173),1,0)</f>
        <v/>
      </c>
      <c r="Z173" s="267" t="n"/>
      <c r="AF173" s="592" t="n">
        <v>170</v>
      </c>
      <c r="AG173" s="599" t="n"/>
      <c r="AH173" s="597" t="inlineStr">
        <is>
          <t>HEATER 1 &amp; 2</t>
        </is>
      </c>
      <c r="AI173" s="497" t="n"/>
      <c r="AJ173" s="497" t="n"/>
      <c r="AK173" s="630">
        <f>AB32</f>
        <v/>
      </c>
      <c r="AL173" s="497">
        <f>AB35</f>
        <v/>
      </c>
      <c r="AM173" s="497" t="n"/>
      <c r="AN173" s="497" t="n"/>
      <c r="AO173" s="593" t="n"/>
      <c r="GZ173" s="742" t="n"/>
      <c r="HD173" s="742" t="n"/>
      <c r="MH173" s="592" t="n">
        <v>170</v>
      </c>
      <c r="MI173" s="497" t="n"/>
      <c r="MJ173" s="724" t="inlineStr">
        <is>
          <t>DI RIO 1 PCB 9 (24)_I_FAD FORCED OPN</t>
        </is>
      </c>
      <c r="MK173" s="497" t="n"/>
      <c r="ML173" s="724" t="n"/>
      <c r="MM173" s="605">
        <f>MT22</f>
        <v/>
      </c>
      <c r="MN173" s="724">
        <f>MQ172</f>
        <v/>
      </c>
      <c r="MO173" s="497" t="n"/>
      <c r="MP173" s="497" t="n"/>
      <c r="MQ173" s="593">
        <f>IF(AND(ML173:MP173),1,0)</f>
        <v/>
      </c>
    </row>
    <row r="174">
      <c r="P174" s="592" t="n">
        <v>169</v>
      </c>
      <c r="Q174" s="497" t="n"/>
      <c r="R174" s="592" t="n"/>
      <c r="S174" s="497" t="n"/>
      <c r="T174" s="497" t="n"/>
      <c r="U174" s="757">
        <f>Y28</f>
        <v/>
      </c>
      <c r="V174" s="497" t="n"/>
      <c r="W174" s="497" t="n"/>
      <c r="X174" s="497" t="n"/>
      <c r="Y174" s="593">
        <f>IF(AND(T174:X174),1,0)</f>
        <v/>
      </c>
      <c r="Z174" s="267" t="n"/>
      <c r="AF174" s="592" t="n">
        <v>171</v>
      </c>
      <c r="AG174" s="599" t="n"/>
      <c r="AH174" s="597" t="inlineStr">
        <is>
          <t>GROUND</t>
        </is>
      </c>
      <c r="AI174" s="497" t="n"/>
      <c r="AJ174" s="497" t="n"/>
      <c r="AK174" s="630" t="n">
        <v>1</v>
      </c>
      <c r="AL174" s="497" t="n"/>
      <c r="AM174" s="497" t="n"/>
      <c r="AN174" s="497" t="n"/>
      <c r="AO174" s="593">
        <f>IF(AND(AJ174:AN174),1,0)</f>
        <v/>
      </c>
      <c r="GZ174" s="742" t="n"/>
      <c r="HD174" s="742" t="n"/>
      <c r="MH174" s="592" t="n">
        <v>171</v>
      </c>
      <c r="MI174" s="497" t="n"/>
      <c r="MJ174" s="724" t="n"/>
      <c r="MK174" s="497" t="n"/>
      <c r="ML174" s="724" t="n"/>
      <c r="MM174" s="612" t="n">
        <v>1</v>
      </c>
      <c r="MN174" s="724" t="n"/>
      <c r="MO174" s="497" t="n"/>
      <c r="MP174" s="497" t="n"/>
      <c r="MQ174" s="593">
        <f>IF(AND(ML174:MP174),1,0)</f>
        <v/>
      </c>
    </row>
    <row r="175">
      <c r="S175" s="267" t="n"/>
      <c r="T175" s="267" t="n"/>
      <c r="U175" s="267" t="n"/>
      <c r="V175" s="267" t="n"/>
      <c r="W175" s="267" t="n"/>
      <c r="X175" s="267" t="n"/>
      <c r="Y175" s="267" t="n"/>
      <c r="Z175" s="267" t="n"/>
      <c r="AF175" s="592" t="n">
        <v>172</v>
      </c>
      <c r="AG175" s="599" t="n"/>
      <c r="AH175" s="597" t="n"/>
      <c r="AI175" s="497" t="n"/>
      <c r="AJ175" s="497" t="n"/>
      <c r="AK175" s="630" t="n"/>
      <c r="AL175" s="497" t="n"/>
      <c r="AM175" s="497" t="n"/>
      <c r="AN175" s="497" t="n"/>
      <c r="AO175" s="593" t="n">
        <v>0</v>
      </c>
      <c r="GZ175" s="742" t="n"/>
      <c r="HD175" s="742" t="n"/>
      <c r="MH175" s="592" t="n">
        <v>172</v>
      </c>
      <c r="MI175" s="497" t="n"/>
      <c r="MJ175" s="724" t="n"/>
      <c r="MK175" s="497" t="n"/>
      <c r="ML175" s="724" t="n"/>
      <c r="MM175" s="724">
        <f>MQ174</f>
        <v/>
      </c>
      <c r="MN175" s="724" t="n"/>
      <c r="MO175" s="497" t="n"/>
      <c r="MP175" s="497" t="n"/>
      <c r="MQ175" s="593">
        <f>IF(AND(ML175:MP175),1,0)</f>
        <v/>
      </c>
    </row>
    <row r="176">
      <c r="S176" s="267" t="n"/>
      <c r="T176" s="267" t="n"/>
      <c r="U176" s="267" t="n"/>
      <c r="V176" s="267" t="n"/>
      <c r="W176" s="267" t="n"/>
      <c r="X176" s="267" t="n"/>
      <c r="Y176" s="267" t="n"/>
      <c r="Z176" s="267" t="n"/>
      <c r="AF176" s="592" t="n">
        <v>173</v>
      </c>
      <c r="AG176" s="599" t="n"/>
      <c r="AH176" s="597" t="n"/>
      <c r="AI176" s="497" t="n"/>
      <c r="AJ176" s="497" t="n"/>
      <c r="AK176" s="630" t="n"/>
      <c r="AL176" s="497" t="n"/>
      <c r="AM176" s="497" t="n"/>
      <c r="AN176" s="497" t="n"/>
      <c r="AO176" s="593" t="n"/>
      <c r="GZ176" s="742" t="n"/>
      <c r="HD176" s="742" t="n"/>
      <c r="MH176" s="592" t="n">
        <v>173</v>
      </c>
      <c r="MI176" s="497" t="n"/>
      <c r="MJ176" s="724" t="n"/>
      <c r="MK176" s="497" t="n"/>
      <c r="ML176" s="724" t="n"/>
      <c r="MM176" s="724">
        <f>MQ175</f>
        <v/>
      </c>
      <c r="MN176" s="724" t="n"/>
      <c r="MO176" s="497" t="n"/>
      <c r="MP176" s="497" t="n"/>
      <c r="MQ176" s="593">
        <f>IF(AND(ML176:MP176),1,0)</f>
        <v/>
      </c>
    </row>
    <row r="177">
      <c r="S177" s="267" t="n"/>
      <c r="T177" s="267" t="n"/>
      <c r="U177" s="267" t="n"/>
      <c r="V177" s="267" t="n"/>
      <c r="W177" s="267" t="n"/>
      <c r="X177" s="267" t="n"/>
      <c r="Y177" s="267" t="n"/>
      <c r="Z177" s="267" t="n"/>
      <c r="AF177" s="592" t="n">
        <v>174</v>
      </c>
      <c r="AG177" s="599" t="n"/>
      <c r="AH177" s="597" t="n"/>
      <c r="AI177" s="497" t="n"/>
      <c r="AJ177" s="497" t="n"/>
      <c r="AK177" s="630" t="n"/>
      <c r="AL177" s="497" t="n"/>
      <c r="AM177" s="497" t="n"/>
      <c r="AN177" s="497" t="n"/>
      <c r="AO177" s="593" t="n"/>
      <c r="GZ177" s="742" t="n"/>
      <c r="HD177" s="742" t="n"/>
      <c r="MH177" s="592" t="n">
        <v>174</v>
      </c>
      <c r="MI177" s="497" t="n"/>
      <c r="MJ177" s="724" t="n"/>
      <c r="MK177" s="497" t="n"/>
      <c r="ML177" s="724" t="n"/>
      <c r="MM177" s="612" t="n">
        <v>1</v>
      </c>
      <c r="MN177" s="724" t="n"/>
      <c r="MO177" s="497" t="n"/>
      <c r="MP177" s="497" t="n"/>
      <c r="MQ177" s="593">
        <f>IF(AND(ML177:MP177),1,0)</f>
        <v/>
      </c>
    </row>
    <row r="178">
      <c r="S178" s="267" t="n"/>
      <c r="T178" s="267" t="n"/>
      <c r="U178" s="267" t="n"/>
      <c r="V178" s="267" t="n"/>
      <c r="W178" s="267" t="n"/>
      <c r="X178" s="267" t="n"/>
      <c r="Y178" s="267" t="n"/>
      <c r="Z178" s="267" t="n"/>
      <c r="AF178" s="592" t="n">
        <v>175</v>
      </c>
      <c r="AG178" s="599" t="n"/>
      <c r="AH178" s="597" t="n"/>
      <c r="AI178" s="497" t="n"/>
      <c r="AJ178" s="497" t="n"/>
      <c r="AK178" s="630" t="n"/>
      <c r="AL178" s="497" t="n"/>
      <c r="AM178" s="497" t="n"/>
      <c r="AN178" s="497" t="n"/>
      <c r="AO178" s="593" t="n"/>
      <c r="GZ178" s="742" t="n"/>
      <c r="HD178" s="742" t="n"/>
    </row>
    <row r="179">
      <c r="S179" s="267" t="n"/>
      <c r="T179" s="267" t="n"/>
      <c r="U179" s="267" t="n"/>
      <c r="V179" s="267" t="n"/>
      <c r="W179" s="267" t="n"/>
      <c r="X179" s="267" t="n"/>
      <c r="Y179" s="267" t="n"/>
      <c r="Z179" s="267" t="n"/>
      <c r="AF179" s="592" t="n">
        <v>176</v>
      </c>
      <c r="AG179" s="599" t="n"/>
      <c r="AH179" s="597" t="n"/>
      <c r="AI179" s="497" t="n"/>
      <c r="AJ179" s="497" t="n"/>
      <c r="AK179" s="630" t="n"/>
      <c r="AL179" s="497" t="n"/>
      <c r="AM179" s="497" t="n"/>
      <c r="AN179" s="497" t="n"/>
      <c r="AO179" s="593" t="n"/>
      <c r="GZ179" s="742" t="n"/>
      <c r="HD179" s="742" t="n"/>
    </row>
    <row r="180">
      <c r="S180" s="267" t="n"/>
      <c r="T180" s="267" t="n"/>
      <c r="U180" s="267" t="n"/>
      <c r="V180" s="267" t="n"/>
      <c r="W180" s="267" t="n"/>
      <c r="X180" s="267" t="n"/>
      <c r="Y180" s="267" t="n"/>
      <c r="Z180" s="267" t="n"/>
      <c r="AF180" s="592" t="n">
        <v>177</v>
      </c>
      <c r="AG180" s="599" t="n"/>
      <c r="AH180" s="597" t="n"/>
      <c r="AI180" s="497" t="n"/>
      <c r="AJ180" s="497" t="n"/>
      <c r="AK180" s="630" t="n"/>
      <c r="AL180" s="497" t="n"/>
      <c r="AM180" s="497" t="n"/>
      <c r="AN180" s="497" t="n"/>
      <c r="AO180" s="593" t="n"/>
      <c r="GZ180" s="742" t="n"/>
      <c r="HD180" s="742" t="n"/>
    </row>
    <row r="181">
      <c r="S181" s="267" t="n"/>
      <c r="T181" s="267" t="n"/>
      <c r="U181" s="267" t="n"/>
      <c r="V181" s="267" t="n"/>
      <c r="W181" s="267" t="n"/>
      <c r="X181" s="267" t="n"/>
      <c r="Y181" s="267" t="n"/>
      <c r="Z181" s="267" t="n"/>
      <c r="AF181" s="592" t="n">
        <v>178</v>
      </c>
      <c r="AG181" s="599" t="n"/>
      <c r="AH181" s="597" t="n"/>
      <c r="AI181" s="497" t="n"/>
      <c r="AJ181" s="497" t="n"/>
      <c r="AK181" s="630" t="n"/>
      <c r="AL181" s="497" t="n"/>
      <c r="AM181" s="497" t="n"/>
      <c r="AN181" s="497" t="n"/>
      <c r="AO181" s="593" t="n"/>
      <c r="GZ181" s="742" t="n"/>
      <c r="HD181" s="742" t="n"/>
    </row>
    <row r="182">
      <c r="S182" s="267" t="n"/>
      <c r="T182" s="267" t="n"/>
      <c r="U182" s="267" t="n"/>
      <c r="V182" s="267" t="n"/>
      <c r="W182" s="267" t="n"/>
      <c r="X182" s="267" t="n"/>
      <c r="Y182" s="267" t="n"/>
      <c r="Z182" s="267" t="n"/>
      <c r="AF182" s="592" t="n">
        <v>179</v>
      </c>
      <c r="AG182" s="599" t="n"/>
      <c r="AH182" s="597" t="n"/>
      <c r="AI182" s="497" t="n"/>
      <c r="AJ182" s="497" t="n"/>
      <c r="AK182" s="630" t="n"/>
      <c r="AL182" s="497" t="n"/>
      <c r="AM182" s="497" t="n"/>
      <c r="AN182" s="497" t="n"/>
      <c r="AO182" s="593" t="n"/>
      <c r="GZ182" s="742" t="n"/>
      <c r="HD182" s="742" t="n"/>
    </row>
    <row r="183">
      <c r="S183" s="267" t="n"/>
      <c r="T183" s="267" t="n"/>
      <c r="U183" s="267" t="n"/>
      <c r="V183" s="267" t="n"/>
      <c r="W183" s="267" t="n"/>
      <c r="X183" s="267" t="n"/>
      <c r="Y183" s="267" t="n"/>
      <c r="Z183" s="267" t="n"/>
      <c r="AF183" s="592" t="n">
        <v>180</v>
      </c>
      <c r="AG183" s="599" t="n"/>
      <c r="AH183" s="597" t="n"/>
      <c r="AI183" s="497" t="n"/>
      <c r="AJ183" s="497" t="n"/>
      <c r="AK183" s="630" t="n"/>
      <c r="AL183" s="497" t="n"/>
      <c r="AM183" s="497" t="n"/>
      <c r="AN183" s="497" t="n"/>
      <c r="AO183" s="593" t="n"/>
      <c r="GZ183" s="742" t="n"/>
      <c r="HD183" s="742" t="n"/>
    </row>
    <row r="184">
      <c r="S184" s="267" t="n"/>
      <c r="T184" s="267" t="n"/>
      <c r="U184" s="267" t="n"/>
      <c r="V184" s="267" t="n"/>
      <c r="W184" s="267" t="n"/>
      <c r="X184" s="267" t="n"/>
      <c r="Y184" s="267" t="n"/>
      <c r="Z184" s="267" t="n"/>
      <c r="AF184" s="592" t="n">
        <v>181</v>
      </c>
      <c r="AG184" s="599" t="n"/>
      <c r="AH184" s="597" t="n"/>
      <c r="AI184" s="497" t="n"/>
      <c r="AJ184" s="497" t="n"/>
      <c r="AK184" s="630" t="n"/>
      <c r="AL184" s="497" t="n"/>
      <c r="AM184" s="497" t="n"/>
      <c r="AN184" s="497" t="n"/>
      <c r="AO184" s="593" t="n"/>
      <c r="GZ184" s="742" t="n"/>
      <c r="HD184" s="742" t="n"/>
    </row>
    <row r="185">
      <c r="S185" s="267" t="n"/>
      <c r="T185" s="267" t="n"/>
      <c r="U185" s="267" t="n"/>
      <c r="V185" s="267" t="n"/>
      <c r="W185" s="267" t="n"/>
      <c r="X185" s="267" t="n"/>
      <c r="Y185" s="267" t="n"/>
      <c r="Z185" s="267" t="n"/>
      <c r="AF185" s="592" t="n">
        <v>182</v>
      </c>
      <c r="AG185" s="599" t="n"/>
      <c r="AH185" s="597" t="n"/>
      <c r="AI185" s="497" t="n"/>
      <c r="AJ185" s="497" t="n"/>
      <c r="AK185" s="630" t="n"/>
      <c r="AL185" s="497" t="n"/>
      <c r="AM185" s="497" t="n"/>
      <c r="AN185" s="497" t="n"/>
      <c r="AO185" s="593" t="n"/>
      <c r="GZ185" s="742" t="n"/>
      <c r="HD185" s="742" t="n"/>
    </row>
    <row r="186">
      <c r="S186" s="267" t="n"/>
      <c r="T186" s="267" t="n"/>
      <c r="U186" s="267" t="n"/>
      <c r="V186" s="267" t="n"/>
      <c r="W186" s="267" t="n"/>
      <c r="X186" s="267" t="n"/>
      <c r="Y186" s="267" t="n"/>
      <c r="Z186" s="267" t="n"/>
      <c r="AF186" s="592" t="n">
        <v>183</v>
      </c>
      <c r="AG186" s="599" t="n"/>
      <c r="AH186" s="597" t="n"/>
      <c r="AI186" s="497" t="n"/>
      <c r="AJ186" s="497" t="n"/>
      <c r="AK186" s="630" t="n"/>
      <c r="AL186" s="497" t="n"/>
      <c r="AM186" s="497" t="n"/>
      <c r="AN186" s="497" t="n"/>
      <c r="AO186" s="593" t="n"/>
      <c r="GZ186" s="742" t="n"/>
      <c r="HD186" s="742" t="n"/>
    </row>
    <row r="187">
      <c r="S187" s="267" t="n"/>
      <c r="T187" s="267" t="n"/>
      <c r="U187" s="267" t="n"/>
      <c r="V187" s="267" t="n"/>
      <c r="W187" s="267" t="n"/>
      <c r="X187" s="267" t="n"/>
      <c r="Y187" s="267" t="n"/>
      <c r="Z187" s="267" t="n"/>
      <c r="AF187" s="592" t="n">
        <v>184</v>
      </c>
      <c r="AG187" s="599" t="n"/>
      <c r="AH187" s="597" t="n"/>
      <c r="AI187" s="497" t="n"/>
      <c r="AJ187" s="497" t="n"/>
      <c r="AK187" s="630" t="n"/>
      <c r="AL187" s="497" t="n"/>
      <c r="AM187" s="497" t="n"/>
      <c r="AN187" s="497" t="n"/>
      <c r="AO187" s="593" t="n"/>
      <c r="GZ187" s="742" t="n"/>
      <c r="HD187" s="742" t="n"/>
    </row>
    <row r="188">
      <c r="S188" s="267" t="n"/>
      <c r="T188" s="267" t="n"/>
      <c r="U188" s="267" t="n"/>
      <c r="V188" s="267" t="n"/>
      <c r="W188" s="267" t="n"/>
      <c r="X188" s="267" t="n"/>
      <c r="Y188" s="267" t="n"/>
      <c r="Z188" s="267" t="n"/>
      <c r="AF188" s="592" t="n">
        <v>185</v>
      </c>
      <c r="AG188" s="599" t="n"/>
      <c r="AH188" s="597" t="n"/>
      <c r="AI188" s="497" t="n"/>
      <c r="AJ188" s="497" t="n"/>
      <c r="AK188" s="630" t="n"/>
      <c r="AL188" s="497" t="n"/>
      <c r="AM188" s="497" t="n"/>
      <c r="AN188" s="497" t="n"/>
      <c r="AO188" s="593" t="n"/>
      <c r="GZ188" s="742" t="n"/>
      <c r="HD188" s="742" t="n"/>
    </row>
    <row r="189">
      <c r="S189" s="267" t="n"/>
      <c r="T189" s="267" t="n"/>
      <c r="U189" s="267" t="n"/>
      <c r="V189" s="267" t="n"/>
      <c r="W189" s="267" t="n"/>
      <c r="X189" s="267" t="n"/>
      <c r="Y189" s="267" t="n"/>
      <c r="Z189" s="267" t="n"/>
      <c r="AF189" s="592" t="n">
        <v>186</v>
      </c>
      <c r="AG189" s="599" t="n"/>
      <c r="AH189" s="597" t="n"/>
      <c r="AI189" s="497" t="n"/>
      <c r="AJ189" s="497" t="n"/>
      <c r="AK189" s="630" t="n"/>
      <c r="AL189" s="497" t="n"/>
      <c r="AM189" s="497" t="n"/>
      <c r="AN189" s="497" t="n"/>
      <c r="AO189" s="593" t="n"/>
      <c r="GZ189" s="742" t="n"/>
      <c r="HD189" s="742" t="n"/>
    </row>
    <row r="190">
      <c r="S190" s="267" t="n"/>
      <c r="T190" s="267" t="n"/>
      <c r="U190" s="267" t="n"/>
      <c r="V190" s="267" t="n"/>
      <c r="W190" s="267" t="n"/>
      <c r="X190" s="267" t="n"/>
      <c r="Y190" s="267" t="n"/>
      <c r="Z190" s="267" t="n"/>
      <c r="AF190" s="592" t="n">
        <v>187</v>
      </c>
      <c r="AG190" s="599" t="n"/>
      <c r="AH190" s="597" t="n"/>
      <c r="AI190" s="497" t="n"/>
      <c r="AJ190" s="497" t="n"/>
      <c r="AK190" s="630" t="n"/>
      <c r="AL190" s="497" t="n"/>
      <c r="AM190" s="497" t="n"/>
      <c r="AN190" s="497" t="n"/>
      <c r="AO190" s="593" t="n"/>
      <c r="GZ190" s="742" t="n"/>
      <c r="HD190" s="742" t="n"/>
    </row>
    <row r="191">
      <c r="S191" s="267" t="n"/>
      <c r="T191" s="267" t="n"/>
      <c r="U191" s="267" t="n"/>
      <c r="V191" s="267" t="n"/>
      <c r="W191" s="267" t="n"/>
      <c r="X191" s="267" t="n"/>
      <c r="Y191" s="267" t="n"/>
      <c r="Z191" s="267" t="n"/>
      <c r="AF191" s="592" t="n">
        <v>188</v>
      </c>
      <c r="AG191" s="599" t="n"/>
      <c r="AH191" s="597" t="n"/>
      <c r="AI191" s="497" t="n"/>
      <c r="AJ191" s="497" t="n"/>
      <c r="AK191" s="630" t="n"/>
      <c r="AL191" s="497" t="n"/>
      <c r="AM191" s="497" t="n"/>
      <c r="AN191" s="497" t="n"/>
      <c r="AO191" s="593" t="n"/>
      <c r="GZ191" s="742" t="n"/>
      <c r="HD191" s="742" t="n"/>
    </row>
    <row r="192">
      <c r="S192" s="267" t="n"/>
      <c r="T192" s="267" t="n"/>
      <c r="U192" s="267" t="n"/>
      <c r="V192" s="267" t="n"/>
      <c r="W192" s="267" t="n"/>
      <c r="X192" s="267" t="n"/>
      <c r="Y192" s="267" t="n"/>
      <c r="Z192" s="267" t="n"/>
      <c r="AF192" s="592" t="n">
        <v>189</v>
      </c>
      <c r="AG192" s="599" t="n"/>
      <c r="AH192" s="597" t="n"/>
      <c r="AI192" s="497" t="n"/>
      <c r="AJ192" s="497" t="n"/>
      <c r="AK192" s="630" t="n"/>
      <c r="AL192" s="497" t="n"/>
      <c r="AM192" s="497" t="n"/>
      <c r="AN192" s="497" t="n"/>
      <c r="AO192" s="593" t="n"/>
      <c r="GZ192" s="742" t="n"/>
      <c r="HD192" s="742" t="n"/>
    </row>
    <row r="193">
      <c r="S193" s="267" t="n"/>
      <c r="T193" s="267" t="n"/>
      <c r="U193" s="267" t="n"/>
      <c r="V193" s="267" t="n"/>
      <c r="W193" s="267" t="n"/>
      <c r="X193" s="267" t="n"/>
      <c r="Y193" s="267" t="n"/>
      <c r="Z193" s="267" t="n"/>
      <c r="AF193" s="592" t="n">
        <v>190</v>
      </c>
      <c r="AG193" s="599" t="n"/>
      <c r="AH193" s="597" t="n"/>
      <c r="AI193" s="497" t="n"/>
      <c r="AJ193" s="497" t="n"/>
      <c r="AK193" s="630" t="n"/>
      <c r="AL193" s="497" t="n"/>
      <c r="AM193" s="497" t="n"/>
      <c r="AN193" s="497" t="n"/>
      <c r="AO193" s="593" t="n"/>
      <c r="GZ193" s="742" t="n"/>
      <c r="HD193" s="742" t="n"/>
    </row>
    <row r="194">
      <c r="S194" s="267" t="n"/>
      <c r="T194" s="267" t="n"/>
      <c r="U194" s="267" t="n"/>
      <c r="V194" s="267" t="n"/>
      <c r="W194" s="267" t="n"/>
      <c r="X194" s="267" t="n"/>
      <c r="Y194" s="267" t="n"/>
      <c r="Z194" s="267" t="n"/>
      <c r="AF194" s="592" t="n">
        <v>191</v>
      </c>
      <c r="AG194" s="599" t="n"/>
      <c r="AH194" s="597" t="n"/>
      <c r="AI194" s="497" t="n"/>
      <c r="AJ194" s="497" t="n"/>
      <c r="AK194" s="630" t="n"/>
      <c r="AL194" s="497" t="n"/>
      <c r="AM194" s="497" t="n"/>
      <c r="AN194" s="497" t="n"/>
      <c r="AO194" s="593" t="n"/>
      <c r="GZ194" s="742" t="n"/>
      <c r="HD194" s="742" t="n"/>
    </row>
    <row r="195">
      <c r="S195" s="267" t="n"/>
      <c r="T195" s="267" t="n"/>
      <c r="U195" s="267" t="n"/>
      <c r="V195" s="267" t="n"/>
      <c r="W195" s="267" t="n"/>
      <c r="X195" s="267" t="n"/>
      <c r="Y195" s="267" t="n"/>
      <c r="Z195" s="267" t="n"/>
      <c r="AF195" s="592" t="n">
        <v>192</v>
      </c>
      <c r="AG195" s="599" t="n"/>
      <c r="AH195" s="597" t="n"/>
      <c r="AI195" s="497" t="n"/>
      <c r="AJ195" s="497" t="n"/>
      <c r="AK195" s="630" t="n"/>
      <c r="AL195" s="497" t="n"/>
      <c r="AM195" s="497" t="n"/>
      <c r="AN195" s="497" t="n"/>
      <c r="AO195" s="593" t="n"/>
      <c r="GZ195" s="742" t="n"/>
      <c r="HD195" s="742" t="n"/>
    </row>
    <row r="196">
      <c r="S196" s="267" t="n"/>
      <c r="T196" s="267" t="n"/>
      <c r="U196" s="267" t="n"/>
      <c r="V196" s="267" t="n"/>
      <c r="W196" s="267" t="n"/>
      <c r="X196" s="267" t="n"/>
      <c r="Y196" s="267" t="n"/>
      <c r="Z196" s="267" t="n"/>
      <c r="AF196" s="592" t="n">
        <v>193</v>
      </c>
      <c r="AG196" s="599" t="n"/>
      <c r="AH196" s="597" t="n"/>
      <c r="AI196" s="497" t="n"/>
      <c r="AJ196" s="497" t="n"/>
      <c r="AK196" s="630" t="n"/>
      <c r="AL196" s="497" t="n"/>
      <c r="AM196" s="497" t="n"/>
      <c r="AN196" s="497" t="n"/>
      <c r="AO196" s="593" t="n"/>
      <c r="GZ196" s="742" t="n"/>
      <c r="HD196" s="742" t="n"/>
    </row>
    <row r="197">
      <c r="S197" s="267" t="n"/>
      <c r="T197" s="267" t="n"/>
      <c r="U197" s="267" t="n"/>
      <c r="V197" s="267" t="n"/>
      <c r="W197" s="267" t="n"/>
      <c r="X197" s="267" t="n"/>
      <c r="Y197" s="267" t="n"/>
      <c r="Z197" s="267" t="n"/>
      <c r="AF197" s="592" t="n">
        <v>194</v>
      </c>
      <c r="AG197" s="599" t="n"/>
      <c r="AH197" s="597" t="n"/>
      <c r="AI197" s="497" t="n"/>
      <c r="AJ197" s="497" t="n"/>
      <c r="AK197" s="630" t="n"/>
      <c r="AL197" s="497" t="n"/>
      <c r="AM197" s="497" t="n"/>
      <c r="AN197" s="497" t="n"/>
      <c r="AO197" s="593" t="n"/>
      <c r="GZ197" s="742" t="n"/>
      <c r="HD197" s="742" t="n"/>
    </row>
    <row r="198">
      <c r="P198" s="742" t="n"/>
      <c r="AF198" s="592" t="n">
        <v>195</v>
      </c>
      <c r="AG198" s="599" t="n"/>
      <c r="AH198" s="597" t="n"/>
      <c r="AI198" s="497" t="n"/>
      <c r="AJ198" s="497" t="n"/>
      <c r="AK198" s="630" t="n"/>
      <c r="AL198" s="497" t="n"/>
      <c r="AM198" s="497" t="n"/>
      <c r="AN198" s="497" t="n"/>
      <c r="AO198" s="593" t="n"/>
      <c r="GZ198" s="742" t="n"/>
      <c r="HD198" s="742" t="n"/>
    </row>
    <row r="199">
      <c r="P199" s="742" t="n"/>
      <c r="AF199" s="592" t="n">
        <v>196</v>
      </c>
      <c r="AG199" s="599" t="n"/>
      <c r="AH199" s="597" t="n"/>
      <c r="AI199" s="497" t="n"/>
      <c r="AJ199" s="497" t="n"/>
      <c r="AK199" s="630" t="n"/>
      <c r="AL199" s="497" t="n"/>
      <c r="AM199" s="497" t="n"/>
      <c r="AN199" s="497" t="n"/>
      <c r="AO199" s="593" t="n"/>
      <c r="GZ199" s="742" t="n"/>
      <c r="HD199" s="742" t="n"/>
    </row>
    <row r="200">
      <c r="P200" s="742" t="n"/>
      <c r="Q200" s="599" t="n"/>
      <c r="R200" s="597" t="n"/>
      <c r="T200" s="275" t="inlineStr">
        <is>
          <t>LA .A01-X02</t>
        </is>
      </c>
      <c r="U200" s="724" t="inlineStr">
        <is>
          <t>NODE _L1_U1</t>
        </is>
      </c>
      <c r="AF200" s="592" t="n">
        <v>197</v>
      </c>
      <c r="AG200" s="599" t="n"/>
      <c r="AH200" s="597" t="n"/>
      <c r="AI200" s="497" t="n"/>
      <c r="AJ200" s="497" t="n"/>
      <c r="AK200" s="630" t="n"/>
      <c r="AL200" s="497" t="n"/>
      <c r="AM200" s="497" t="n"/>
      <c r="AN200" s="497" t="n"/>
      <c r="AO200" s="593" t="n"/>
      <c r="GZ200" s="742" t="n"/>
      <c r="HD200" s="742" t="n"/>
    </row>
    <row r="201">
      <c r="P201" s="742" t="n"/>
      <c r="Q201" s="275" t="inlineStr">
        <is>
          <t>LA .A01-X02</t>
        </is>
      </c>
      <c r="R201" s="724" t="inlineStr">
        <is>
          <t>NODE _L1_U1</t>
        </is>
      </c>
      <c r="T201" s="597" t="n"/>
      <c r="U201" s="597" t="n"/>
      <c r="AF201" s="592" t="n">
        <v>198</v>
      </c>
      <c r="AG201" s="599" t="n"/>
      <c r="AH201" s="597" t="n"/>
      <c r="AI201" s="497" t="n"/>
      <c r="AJ201" s="497" t="n"/>
      <c r="AK201" s="630" t="n"/>
      <c r="AL201" s="497" t="n"/>
      <c r="AM201" s="497" t="n"/>
      <c r="AN201" s="497" t="n"/>
      <c r="AO201" s="593" t="n"/>
      <c r="GZ201" s="742" t="n"/>
      <c r="HD201" s="742" t="n"/>
    </row>
    <row r="202">
      <c r="P202" s="742" t="n"/>
      <c r="Q202" s="597" t="n"/>
      <c r="R202" s="597" t="n"/>
      <c r="T202" s="597" t="n"/>
      <c r="U202" s="597" t="n"/>
      <c r="AF202" s="592" t="n">
        <v>199</v>
      </c>
      <c r="AG202" s="599" t="n"/>
      <c r="AH202" s="597" t="n"/>
      <c r="AI202" s="497" t="n"/>
      <c r="AJ202" s="497" t="n"/>
      <c r="AK202" s="630" t="n"/>
      <c r="AL202" s="497" t="n"/>
      <c r="AM202" s="497" t="n"/>
      <c r="AN202" s="497" t="n"/>
      <c r="AO202" s="593" t="n"/>
      <c r="GZ202" s="742" t="n"/>
      <c r="HD202" s="742" t="n"/>
    </row>
    <row r="203">
      <c r="P203" s="742" t="n"/>
      <c r="Q203" s="597" t="n"/>
      <c r="R203" s="597" t="n"/>
      <c r="T203" s="275" t="inlineStr">
        <is>
          <t>LA .A01-X02</t>
        </is>
      </c>
      <c r="U203" s="724" t="inlineStr">
        <is>
          <t>NODE _L2_V1</t>
        </is>
      </c>
      <c r="AF203" s="592" t="n">
        <v>200</v>
      </c>
      <c r="AG203" s="599" t="n"/>
      <c r="AH203" s="597" t="n"/>
      <c r="AI203" s="497" t="n"/>
      <c r="AJ203" s="497" t="n"/>
      <c r="AK203" s="630" t="n"/>
      <c r="AL203" s="497" t="n"/>
      <c r="AM203" s="497" t="n"/>
      <c r="AN203" s="497" t="n"/>
      <c r="AO203" s="593" t="n"/>
      <c r="GZ203" s="742" t="n"/>
      <c r="HD203" s="742" t="n"/>
    </row>
    <row r="204">
      <c r="P204" s="742" t="n"/>
      <c r="Q204" s="275" t="inlineStr">
        <is>
          <t>LA .A01-X02</t>
        </is>
      </c>
      <c r="R204" s="724" t="inlineStr">
        <is>
          <t>NODE _L2_V1</t>
        </is>
      </c>
      <c r="T204" s="592" t="n"/>
      <c r="U204" s="497" t="n"/>
      <c r="AF204" s="592" t="n"/>
      <c r="AG204" s="599" t="n"/>
      <c r="AH204" s="597" t="n"/>
      <c r="AI204" s="497" t="n"/>
      <c r="AJ204" s="497" t="n"/>
      <c r="AK204" s="630" t="n"/>
      <c r="AL204" s="497" t="n"/>
      <c r="AM204" s="497" t="n"/>
      <c r="AN204" s="497" t="n"/>
      <c r="AO204" s="593" t="n"/>
      <c r="GZ204" s="742" t="n"/>
      <c r="HD204" s="742" t="n"/>
    </row>
    <row r="205">
      <c r="P205" s="742" t="n"/>
      <c r="Q205" s="592" t="n"/>
      <c r="R205" s="592" t="n"/>
      <c r="T205" s="592" t="n"/>
      <c r="U205" s="497" t="n"/>
      <c r="AF205" s="592" t="n"/>
      <c r="AG205" s="599" t="n"/>
      <c r="AH205" s="597" t="n"/>
      <c r="AI205" s="497" t="n"/>
      <c r="AJ205" s="497" t="n"/>
      <c r="AK205" s="630" t="n"/>
      <c r="AL205" s="497" t="n"/>
      <c r="AM205" s="497" t="n"/>
      <c r="AN205" s="497" t="n"/>
      <c r="AO205" s="593" t="n"/>
      <c r="GZ205" s="742" t="n"/>
      <c r="HD205" s="742" t="n"/>
    </row>
    <row r="206">
      <c r="P206" s="742" t="n"/>
      <c r="Q206" s="592" t="n"/>
      <c r="R206" s="592" t="n"/>
      <c r="T206" s="275" t="inlineStr">
        <is>
          <t>LA .A01-X02</t>
        </is>
      </c>
      <c r="U206" s="724" t="inlineStr">
        <is>
          <t>NODE _L3_W1</t>
        </is>
      </c>
      <c r="AF206" s="592" t="n"/>
      <c r="AG206" s="599" t="n"/>
      <c r="AH206" s="597" t="n"/>
      <c r="AI206" s="497" t="n"/>
      <c r="AJ206" s="497" t="n"/>
      <c r="AK206" s="630" t="n"/>
      <c r="AL206" s="497" t="n"/>
      <c r="AM206" s="497" t="n"/>
      <c r="AN206" s="497" t="n"/>
      <c r="AO206" s="593" t="n"/>
      <c r="GZ206" s="742" t="n"/>
      <c r="HD206" s="742" t="n"/>
    </row>
    <row r="207">
      <c r="P207" s="742" t="n"/>
      <c r="Q207" s="275" t="inlineStr">
        <is>
          <t>LA .A01-X02</t>
        </is>
      </c>
      <c r="R207" s="724" t="inlineStr">
        <is>
          <t>NODE _L3_W1</t>
        </is>
      </c>
      <c r="T207" s="592" t="n"/>
      <c r="U207" s="497" t="n"/>
      <c r="AF207" s="592" t="n"/>
      <c r="AG207" s="599" t="n"/>
      <c r="AH207" s="597" t="n"/>
      <c r="AI207" s="497" t="n"/>
      <c r="AJ207" s="497" t="n"/>
      <c r="AK207" s="630" t="n"/>
      <c r="AL207" s="497" t="n"/>
      <c r="AM207" s="497" t="n"/>
      <c r="AN207" s="497" t="n"/>
      <c r="AO207" s="593" t="n"/>
      <c r="GZ207" s="742" t="n"/>
      <c r="HD207" s="742" t="n"/>
    </row>
    <row r="208">
      <c r="P208" s="742" t="n"/>
      <c r="Q208" s="592" t="n"/>
      <c r="R208" s="592" t="n"/>
      <c r="T208" s="592" t="n"/>
      <c r="U208" s="497" t="n"/>
      <c r="AF208" s="592" t="n"/>
      <c r="AG208" s="599" t="n"/>
      <c r="AH208" s="597" t="n"/>
      <c r="AI208" s="497" t="n"/>
      <c r="AJ208" s="497" t="n"/>
      <c r="AK208" s="630" t="n"/>
      <c r="AL208" s="497" t="n"/>
      <c r="AM208" s="497" t="n"/>
      <c r="AN208" s="497" t="n"/>
      <c r="AO208" s="593" t="n"/>
      <c r="GZ208" s="742" t="n"/>
      <c r="HD208" s="742" t="n"/>
    </row>
    <row r="209">
      <c r="P209" s="742" t="n"/>
      <c r="Q209" s="592" t="n"/>
      <c r="R209" s="592" t="n"/>
      <c r="T209" s="275" t="inlineStr">
        <is>
          <t>LA .A01-X02</t>
        </is>
      </c>
      <c r="U209" s="597" t="inlineStr">
        <is>
          <t>PE</t>
        </is>
      </c>
      <c r="AF209" s="592" t="n"/>
      <c r="AG209" s="599" t="n"/>
      <c r="AH209" s="597" t="n"/>
      <c r="AI209" s="497" t="n"/>
      <c r="AJ209" s="497" t="n"/>
      <c r="AK209" s="630" t="n"/>
      <c r="AL209" s="497" t="n"/>
      <c r="AM209" s="497" t="n"/>
      <c r="AN209" s="497" t="n"/>
      <c r="AO209" s="593" t="n"/>
      <c r="GZ209" s="742" t="n"/>
      <c r="HD209" s="742" t="n"/>
    </row>
    <row r="210">
      <c r="P210" s="742" t="n"/>
      <c r="Q210" s="275" t="inlineStr">
        <is>
          <t>LA .A01-X02</t>
        </is>
      </c>
      <c r="R210" s="597" t="inlineStr">
        <is>
          <t>PE</t>
        </is>
      </c>
      <c r="T210" s="592" t="n"/>
      <c r="U210" s="497" t="n"/>
      <c r="AF210" s="592" t="n"/>
      <c r="AG210" s="599" t="n"/>
      <c r="AH210" s="597" t="n"/>
      <c r="AI210" s="497" t="n"/>
      <c r="AJ210" s="497" t="n"/>
      <c r="AK210" s="630" t="n"/>
      <c r="AL210" s="497" t="n"/>
      <c r="AM210" s="497" t="n"/>
      <c r="AN210" s="497" t="n"/>
      <c r="AO210" s="593" t="n"/>
      <c r="GZ210" s="742" t="n"/>
      <c r="HD210" s="742" t="n"/>
    </row>
    <row r="211">
      <c r="P211" s="742" t="n"/>
      <c r="Q211" s="592" t="n"/>
      <c r="R211" s="592" t="n"/>
      <c r="T211" s="592" t="n"/>
      <c r="U211" s="597" t="n"/>
      <c r="AF211" s="592" t="n"/>
      <c r="AG211" s="599" t="n"/>
      <c r="AH211" s="597" t="n"/>
      <c r="AI211" s="497" t="n"/>
      <c r="AJ211" s="497" t="n"/>
      <c r="AK211" s="630" t="n"/>
      <c r="AL211" s="497" t="n"/>
      <c r="AM211" s="497" t="n"/>
      <c r="AN211" s="497" t="n"/>
      <c r="AO211" s="593" t="n"/>
      <c r="GZ211" s="742" t="n"/>
      <c r="HD211" s="742" t="n"/>
    </row>
    <row r="212">
      <c r="P212" s="742" t="n"/>
      <c r="Q212" s="592" t="n"/>
      <c r="R212" s="597" t="n"/>
      <c r="T212" s="592" t="n"/>
      <c r="U212" s="497" t="n"/>
      <c r="AF212" s="592" t="n"/>
      <c r="AG212" s="599" t="n"/>
      <c r="AH212" s="597" t="n"/>
      <c r="AI212" s="497" t="n"/>
      <c r="AJ212" s="497" t="n"/>
      <c r="AK212" s="630" t="n"/>
      <c r="AL212" s="497" t="n"/>
      <c r="AM212" s="497" t="n"/>
      <c r="AN212" s="497" t="n"/>
      <c r="AO212" s="593" t="n"/>
      <c r="GZ212" s="742" t="n"/>
      <c r="HD212" s="742" t="n"/>
    </row>
    <row r="213">
      <c r="P213" s="742" t="n"/>
      <c r="Q213" s="592" t="n"/>
      <c r="R213" s="592" t="n"/>
      <c r="T213" s="592" t="n"/>
      <c r="U213" s="724" t="inlineStr">
        <is>
          <t>SAFB1 _9.5A</t>
        </is>
      </c>
      <c r="AF213" s="592" t="n"/>
      <c r="AG213" s="599" t="n"/>
      <c r="AH213" s="597" t="n"/>
      <c r="AI213" s="497" t="n"/>
      <c r="AJ213" s="497" t="n"/>
      <c r="AK213" s="630" t="n"/>
      <c r="AL213" s="497" t="n"/>
      <c r="AM213" s="497" t="n"/>
      <c r="AN213" s="497" t="n"/>
      <c r="AO213" s="593" t="n"/>
      <c r="GZ213" s="742" t="n"/>
      <c r="HD213" s="742" t="n"/>
    </row>
    <row r="214">
      <c r="P214" s="742" t="n"/>
      <c r="Q214" s="592" t="n"/>
      <c r="T214" s="592" t="n"/>
      <c r="U214" s="497" t="n"/>
      <c r="AF214" s="592" t="n"/>
      <c r="AG214" s="599" t="n"/>
      <c r="AH214" s="597" t="n"/>
      <c r="AI214" s="497" t="n"/>
      <c r="AJ214" s="497" t="n"/>
      <c r="AK214" s="630" t="n"/>
      <c r="AL214" s="497" t="n"/>
      <c r="AM214" s="497" t="n"/>
      <c r="AN214" s="497" t="n"/>
      <c r="AO214" s="593" t="n"/>
      <c r="GZ214" s="742" t="n"/>
      <c r="HD214" s="742" t="n"/>
    </row>
    <row r="215">
      <c r="P215" s="742" t="n"/>
      <c r="Q215" s="592" t="n"/>
      <c r="R215" s="592" t="n"/>
      <c r="T215" s="592" t="n"/>
      <c r="U215" s="724" t="inlineStr">
        <is>
          <t>SAFC1_12A</t>
        </is>
      </c>
      <c r="AF215" s="592" t="n"/>
      <c r="AG215" s="599" t="n"/>
      <c r="AH215" s="597" t="n"/>
      <c r="AI215" s="497" t="n"/>
      <c r="AJ215" s="497" t="n"/>
      <c r="AK215" s="630" t="n"/>
      <c r="AL215" s="497" t="n"/>
      <c r="AM215" s="497" t="n"/>
      <c r="AN215" s="497" t="n"/>
      <c r="AO215" s="593" t="n"/>
      <c r="GZ215" s="742" t="n"/>
      <c r="HD215" s="742" t="n"/>
    </row>
    <row r="216">
      <c r="P216" s="742" t="n"/>
      <c r="Q216" s="592" t="n"/>
      <c r="T216" s="757" t="inlineStr">
        <is>
          <t>U1</t>
        </is>
      </c>
      <c r="U216" s="497" t="n"/>
      <c r="AF216" s="592" t="n"/>
      <c r="AG216" s="599" t="n"/>
      <c r="AH216" s="597" t="n"/>
      <c r="AI216" s="497" t="n"/>
      <c r="AJ216" s="497" t="n"/>
      <c r="AK216" s="630" t="n"/>
      <c r="AL216" s="497" t="n"/>
      <c r="AM216" s="497" t="n"/>
      <c r="AN216" s="497" t="n"/>
      <c r="AO216" s="593" t="n"/>
      <c r="GZ216" s="742" t="n"/>
      <c r="HD216" s="742" t="n"/>
    </row>
    <row r="217">
      <c r="P217" s="742" t="n"/>
      <c r="Q217" s="757" t="inlineStr">
        <is>
          <t>U1</t>
        </is>
      </c>
      <c r="R217" s="592" t="n"/>
      <c r="T217" s="592" t="n"/>
      <c r="U217" s="497" t="n"/>
      <c r="AF217" s="592" t="n"/>
      <c r="AG217" s="599" t="n"/>
      <c r="AH217" s="597" t="n"/>
      <c r="AI217" s="497" t="n"/>
      <c r="AJ217" s="497" t="n"/>
      <c r="AK217" s="630" t="n"/>
      <c r="AL217" s="497" t="n"/>
      <c r="AM217" s="497" t="n"/>
      <c r="AN217" s="497" t="n"/>
      <c r="AO217" s="593" t="n"/>
      <c r="GZ217" s="742" t="n"/>
      <c r="HD217" s="742" t="n"/>
    </row>
    <row r="218">
      <c r="P218" s="742" t="n"/>
      <c r="Q218" s="592" t="n"/>
      <c r="R218" s="592" t="n"/>
      <c r="T218" s="592" t="n"/>
      <c r="U218" s="497" t="n"/>
      <c r="GZ218" s="742" t="n"/>
      <c r="HD218" s="742" t="n"/>
    </row>
    <row r="219">
      <c r="Q219" s="592" t="n"/>
      <c r="R219" s="592" t="n"/>
      <c r="T219" s="757" t="inlineStr">
        <is>
          <t>V1</t>
        </is>
      </c>
      <c r="U219" s="497" t="n"/>
      <c r="GZ219" s="742" t="n"/>
      <c r="HD219" s="742" t="n"/>
    </row>
    <row r="220">
      <c r="Q220" s="757" t="inlineStr">
        <is>
          <t>V1</t>
        </is>
      </c>
      <c r="R220" s="592" t="n"/>
      <c r="T220" s="592" t="n"/>
      <c r="U220" s="497" t="n"/>
      <c r="GZ220" s="742" t="n"/>
      <c r="HD220" s="742" t="n"/>
    </row>
    <row r="221">
      <c r="Q221" s="592" t="n"/>
      <c r="R221" s="592" t="n"/>
      <c r="T221" s="592" t="n"/>
      <c r="U221" s="497" t="n"/>
      <c r="GZ221" s="742" t="n"/>
      <c r="HD221" s="742" t="n"/>
    </row>
    <row r="222">
      <c r="Q222" s="592" t="n"/>
      <c r="R222" s="592" t="n"/>
      <c r="T222" s="757" t="inlineStr">
        <is>
          <t>W1</t>
        </is>
      </c>
      <c r="U222" s="497" t="n"/>
      <c r="GZ222" s="742" t="n"/>
      <c r="HD222" s="742" t="n"/>
    </row>
    <row r="223">
      <c r="Q223" s="757" t="inlineStr">
        <is>
          <t>W1</t>
        </is>
      </c>
      <c r="R223" s="592" t="n"/>
      <c r="T223" s="592" t="n"/>
      <c r="U223" s="592" t="inlineStr">
        <is>
          <t>MOTOR_3A</t>
        </is>
      </c>
      <c r="GZ223" s="742" t="n"/>
      <c r="HD223" s="742" t="n"/>
    </row>
    <row r="224">
      <c r="Q224" s="592" t="n"/>
      <c r="R224" s="592" t="inlineStr">
        <is>
          <t>MOTOR_3A</t>
        </is>
      </c>
      <c r="T224" s="592" t="inlineStr">
        <is>
          <t>EMO2</t>
        </is>
      </c>
      <c r="U224" s="592" t="inlineStr">
        <is>
          <t>EMO2</t>
        </is>
      </c>
      <c r="GZ224" s="742" t="n"/>
      <c r="HD224" s="742" t="n"/>
    </row>
    <row r="225">
      <c r="Q225" s="592" t="inlineStr">
        <is>
          <t>EMO2</t>
        </is>
      </c>
      <c r="R225" s="592" t="inlineStr">
        <is>
          <t>EMO2</t>
        </is>
      </c>
      <c r="T225" s="592" t="inlineStr">
        <is>
          <t>EMO2+</t>
        </is>
      </c>
      <c r="U225" s="592" t="inlineStr">
        <is>
          <t>EMO2+</t>
        </is>
      </c>
      <c r="GZ225" s="742" t="n"/>
      <c r="HD225" s="742" t="n"/>
    </row>
    <row r="226">
      <c r="Q226" s="592" t="inlineStr">
        <is>
          <t>EMO2+</t>
        </is>
      </c>
      <c r="R226" s="592" t="inlineStr">
        <is>
          <t>EMO2+</t>
        </is>
      </c>
      <c r="T226" s="592" t="n"/>
      <c r="U226" s="592" t="n"/>
      <c r="GZ226" s="742" t="n"/>
      <c r="HD226" s="742" t="n"/>
    </row>
    <row r="227">
      <c r="Q227" s="592" t="n"/>
      <c r="R227" s="592" t="n"/>
      <c r="T227" s="592" t="n"/>
      <c r="U227" s="497" t="n"/>
      <c r="GZ227" s="742" t="n"/>
      <c r="HD227" s="742" t="n"/>
    </row>
    <row r="228">
      <c r="Q228" s="592" t="n"/>
      <c r="R228" s="592" t="n"/>
      <c r="T228" s="757" t="inlineStr">
        <is>
          <t>LA .A01-X01</t>
        </is>
      </c>
      <c r="U228" s="597" t="n"/>
      <c r="GZ228" s="742" t="n"/>
      <c r="HD228" s="742" t="n"/>
    </row>
    <row r="229">
      <c r="Q229" s="757" t="inlineStr">
        <is>
          <t>LA .A01-X01</t>
        </is>
      </c>
      <c r="T229" s="757" t="n"/>
      <c r="U229" s="497" t="n"/>
      <c r="GZ229" s="742" t="n"/>
      <c r="HD229" s="742" t="n"/>
    </row>
    <row r="230">
      <c r="Q230" s="757" t="n"/>
      <c r="R230" s="592" t="n"/>
      <c r="T230" s="757" t="n"/>
      <c r="U230" s="592" t="n"/>
      <c r="GZ230" s="742" t="n"/>
      <c r="HD230" s="742" t="n"/>
    </row>
    <row r="231">
      <c r="Q231" s="757" t="n"/>
      <c r="R231" s="592" t="n"/>
      <c r="T231" s="757" t="inlineStr">
        <is>
          <t>LA .A01-X01</t>
        </is>
      </c>
      <c r="U231" s="497" t="n"/>
      <c r="GZ231" s="742" t="n"/>
      <c r="HD231" s="742" t="n"/>
    </row>
    <row r="232">
      <c r="Q232" s="757" t="inlineStr">
        <is>
          <t>LA .A01-X01</t>
        </is>
      </c>
      <c r="R232" s="592" t="n"/>
      <c r="T232" s="757" t="n"/>
      <c r="U232" s="597" t="n"/>
      <c r="GZ232" s="742" t="n"/>
      <c r="HD232" s="742" t="n"/>
    </row>
    <row r="233">
      <c r="Q233" s="757" t="n"/>
      <c r="R233" s="597" t="n"/>
      <c r="T233" s="757" t="n"/>
      <c r="U233" s="497" t="n"/>
      <c r="GZ233" s="742" t="n"/>
      <c r="HD233" s="742" t="n"/>
    </row>
    <row r="234">
      <c r="Q234" s="757" t="n"/>
      <c r="R234" s="592" t="n"/>
      <c r="T234" s="757" t="inlineStr">
        <is>
          <t>LA .A01-X01</t>
        </is>
      </c>
      <c r="U234" s="597" t="n"/>
      <c r="GZ234" s="742" t="n"/>
      <c r="HD234" s="742" t="n"/>
    </row>
    <row r="235">
      <c r="Q235" s="757" t="inlineStr">
        <is>
          <t>LA .A01-X01</t>
        </is>
      </c>
      <c r="R235" s="597" t="n"/>
      <c r="T235" s="757" t="n"/>
      <c r="U235" s="497" t="n"/>
      <c r="GZ235" s="742" t="n"/>
      <c r="HD235" s="742" t="n"/>
    </row>
    <row r="236">
      <c r="Q236" s="757" t="n"/>
      <c r="R236" s="592" t="n"/>
      <c r="T236" s="757" t="n"/>
      <c r="U236" s="592" t="n"/>
      <c r="GZ236" s="742" t="n"/>
      <c r="HD236" s="742" t="n"/>
    </row>
    <row r="237">
      <c r="Q237" s="757" t="n"/>
      <c r="R237" s="757" t="inlineStr">
        <is>
          <t>CMPB1 _13A</t>
        </is>
      </c>
      <c r="T237" s="757" t="inlineStr">
        <is>
          <t>LA .A01-X01</t>
        </is>
      </c>
      <c r="U237" s="497" t="n"/>
      <c r="GZ237" s="742" t="n"/>
      <c r="HD237" s="742" t="n"/>
    </row>
    <row r="238">
      <c r="Q238" s="757" t="inlineStr">
        <is>
          <t>LA .A01-X01</t>
        </is>
      </c>
      <c r="R238" s="592" t="n"/>
      <c r="T238" s="592" t="n"/>
      <c r="U238" s="592" t="n"/>
      <c r="GZ238" s="742" t="n"/>
      <c r="HD238" s="742" t="n"/>
    </row>
    <row r="239">
      <c r="Q239" s="592" t="n"/>
      <c r="T239" s="592" t="n"/>
      <c r="U239" s="497" t="n"/>
      <c r="GZ239" s="742" t="n"/>
      <c r="HD239" s="742" t="n"/>
    </row>
    <row r="240">
      <c r="Q240" s="592" t="n"/>
      <c r="R240" s="592" t="n"/>
      <c r="T240" s="592" t="n"/>
      <c r="U240" s="724" t="n"/>
      <c r="GZ240" s="742" t="n"/>
      <c r="HD240" s="742" t="n"/>
    </row>
    <row r="241" ht="31.5" customHeight="1">
      <c r="Q241" s="592" t="n"/>
      <c r="R241" s="608" t="inlineStr">
        <is>
          <t>COMPRESSOR 1 (3A) Pa=7.5kW P.f=0.75</t>
        </is>
      </c>
      <c r="T241" s="592" t="n"/>
      <c r="U241" s="757" t="inlineStr">
        <is>
          <t>CMPB1 _13A</t>
        </is>
      </c>
      <c r="GZ241" s="742" t="n"/>
      <c r="HD241" s="742" t="n"/>
    </row>
    <row r="242">
      <c r="Q242" s="592" t="n"/>
      <c r="R242" s="724" t="n"/>
      <c r="T242" s="592" t="n"/>
      <c r="U242" s="497" t="n"/>
      <c r="GZ242" s="742" t="n"/>
      <c r="HD242" s="742" t="n"/>
    </row>
    <row r="243">
      <c r="Q243" s="592" t="n"/>
      <c r="R243" s="724" t="n"/>
      <c r="T243" s="592" t="n"/>
      <c r="U243" s="757" t="inlineStr">
        <is>
          <t>CMPC1 16A</t>
        </is>
      </c>
      <c r="GZ243" s="742" t="n"/>
      <c r="HD243" s="742" t="n"/>
    </row>
    <row r="244">
      <c r="Q244" s="592" t="n"/>
      <c r="R244" s="757" t="inlineStr">
        <is>
          <t>CMPB2 13A</t>
        </is>
      </c>
      <c r="T244" s="592" t="n"/>
      <c r="U244" s="590" t="n"/>
      <c r="GZ244" s="742" t="n"/>
      <c r="HD244" s="742" t="n"/>
    </row>
    <row r="245">
      <c r="Q245" s="592" t="n"/>
      <c r="R245" s="592" t="n"/>
      <c r="T245" s="592" t="n"/>
      <c r="U245" s="592" t="n"/>
      <c r="GZ245" s="742" t="n"/>
      <c r="HD245" s="742" t="n"/>
    </row>
    <row r="246">
      <c r="Q246" s="592" t="n"/>
      <c r="R246" s="757" t="inlineStr">
        <is>
          <t>CMPC2 16A</t>
        </is>
      </c>
      <c r="T246" s="592" t="n"/>
      <c r="U246" s="497" t="n"/>
      <c r="GZ246" s="742" t="n"/>
      <c r="HD246" s="742" t="n"/>
    </row>
    <row r="247">
      <c r="Q247" s="592" t="n"/>
      <c r="R247" s="592" t="n"/>
      <c r="T247" s="592" t="n"/>
      <c r="U247" s="597" t="n"/>
      <c r="GZ247" s="742" t="n"/>
      <c r="HD247" s="742" t="n"/>
    </row>
    <row r="248" ht="31.5" customHeight="1">
      <c r="Q248" s="592" t="n"/>
      <c r="R248" s="608" t="inlineStr">
        <is>
          <t>COMPRESSOR 2 (3A) Pa=7.5kW P.f=0.75</t>
        </is>
      </c>
      <c r="T248" s="592" t="n"/>
      <c r="U248" s="497" t="n"/>
      <c r="GZ248" s="742" t="n"/>
      <c r="HD248" s="742" t="n"/>
    </row>
    <row r="249">
      <c r="Q249" s="592" t="n"/>
      <c r="R249" s="597" t="n"/>
      <c r="T249" s="592" t="n"/>
      <c r="U249" s="497" t="n"/>
      <c r="GZ249" s="742" t="n"/>
      <c r="HD249" s="742" t="n"/>
    </row>
    <row r="250">
      <c r="Q250" s="592" t="n"/>
      <c r="R250" s="597" t="n"/>
      <c r="T250" s="592" t="n"/>
      <c r="U250" s="592" t="n"/>
      <c r="GZ250" s="742" t="n"/>
      <c r="HD250" s="742" t="n"/>
    </row>
    <row r="251" ht="47.25" customHeight="1">
      <c r="Q251" s="592" t="n"/>
      <c r="T251" s="592" t="n"/>
      <c r="U251" s="632" t="inlineStr">
        <is>
          <t>COMPRESSOR 1 (3A) Pa=7.5kW P.f=0.75</t>
        </is>
      </c>
      <c r="GZ251" s="742" t="n"/>
      <c r="HD251" s="742" t="n"/>
    </row>
    <row r="252">
      <c r="Q252" s="592" t="n"/>
      <c r="T252" s="592" t="n"/>
      <c r="U252" s="592" t="n"/>
      <c r="GZ252" s="742" t="n"/>
      <c r="HD252" s="742" t="n"/>
    </row>
    <row r="253">
      <c r="Q253" s="592" t="n"/>
      <c r="T253" s="592" t="n"/>
      <c r="U253" s="497" t="n"/>
      <c r="GZ253" s="742" t="n"/>
      <c r="HD253" s="742" t="n"/>
    </row>
    <row r="254">
      <c r="Q254" s="592" t="n"/>
      <c r="R254" s="597" t="n"/>
      <c r="T254" s="592" t="n"/>
      <c r="U254" s="757" t="inlineStr">
        <is>
          <t>CMPB2 13A</t>
        </is>
      </c>
      <c r="GZ254" s="742" t="n"/>
      <c r="HD254" s="742" t="n"/>
    </row>
    <row r="255" ht="31.5" customHeight="1">
      <c r="Q255" s="592" t="n"/>
      <c r="R255" s="608" t="inlineStr">
        <is>
          <t>COMPRESSOR 3 (3A) Pa=7.5kW P.f=0.75</t>
        </is>
      </c>
      <c r="T255" s="592" t="n"/>
      <c r="U255" s="497" t="n"/>
      <c r="GZ255" s="742" t="n"/>
      <c r="HD255" s="742" t="n"/>
    </row>
    <row r="256">
      <c r="Q256" s="592" t="n"/>
      <c r="R256" s="592" t="n"/>
      <c r="T256" s="592" t="n"/>
      <c r="U256" s="757" t="inlineStr">
        <is>
          <t>CMPC2 16A</t>
        </is>
      </c>
      <c r="GZ256" s="742" t="n"/>
      <c r="HD256" s="742" t="n"/>
    </row>
    <row r="257">
      <c r="Q257" s="592" t="n"/>
      <c r="R257" s="592" t="n"/>
      <c r="T257" s="592" t="n"/>
      <c r="U257" s="592" t="n"/>
      <c r="GZ257" s="742" t="n"/>
      <c r="HD257" s="742" t="n"/>
    </row>
    <row r="258">
      <c r="Q258" s="592" t="n"/>
      <c r="R258" s="267" t="inlineStr">
        <is>
          <t>CMPB4 20A</t>
        </is>
      </c>
      <c r="T258" s="592" t="n"/>
      <c r="U258" s="590" t="n"/>
      <c r="GZ258" s="742" t="n"/>
      <c r="HD258" s="742" t="n"/>
    </row>
    <row r="259">
      <c r="Q259" s="592" t="n"/>
      <c r="R259" s="592" t="n"/>
      <c r="T259" s="592" t="n"/>
      <c r="U259" s="592" t="n"/>
      <c r="GZ259" s="742" t="n"/>
      <c r="HD259" s="742" t="n"/>
    </row>
    <row r="260">
      <c r="Q260" s="592" t="n"/>
      <c r="R260" s="267" t="inlineStr">
        <is>
          <t>CMPC4 26A</t>
        </is>
      </c>
      <c r="T260" s="592" t="n"/>
      <c r="U260" s="497" t="n"/>
      <c r="GZ260" s="742" t="n"/>
      <c r="HD260" s="742" t="n"/>
    </row>
    <row r="261">
      <c r="Q261" s="592" t="n"/>
      <c r="R261" s="592" t="n"/>
      <c r="T261" s="592" t="n"/>
      <c r="U261" s="592" t="n"/>
      <c r="GZ261" s="742" t="n"/>
      <c r="HD261" s="742" t="n"/>
    </row>
    <row r="262">
      <c r="Q262" s="592" t="n"/>
      <c r="T262" s="592" t="n"/>
      <c r="U262" s="497" t="n"/>
      <c r="GZ262" s="742" t="n"/>
      <c r="HD262" s="742" t="n"/>
    </row>
    <row r="263">
      <c r="Q263" s="592" t="n"/>
      <c r="R263" s="592" t="n"/>
      <c r="T263" s="592" t="n"/>
      <c r="U263" s="597" t="n"/>
      <c r="GZ263" s="742" t="n"/>
      <c r="HD263" s="742" t="n"/>
    </row>
    <row r="264" ht="47.25" customHeight="1">
      <c r="Q264" s="592" t="n"/>
      <c r="R264" s="608" t="inlineStr">
        <is>
          <t>COMPRESSOR 4 (3A) Pa=7.5kW P.f=0.75</t>
        </is>
      </c>
      <c r="T264" s="592" t="n"/>
      <c r="U264" s="632" t="inlineStr">
        <is>
          <t>COMPRESSOR 2 (3A) Pa=7.5kW P.f=0.75</t>
        </is>
      </c>
      <c r="GZ264" s="742" t="n"/>
      <c r="HD264" s="742" t="n"/>
    </row>
    <row r="265">
      <c r="Q265" s="592" t="n"/>
      <c r="R265" s="592" t="n"/>
      <c r="T265" s="592" t="n"/>
      <c r="U265" s="592" t="n"/>
      <c r="GZ265" s="742" t="n"/>
      <c r="HD265" s="742" t="n"/>
    </row>
    <row r="266">
      <c r="Q266" s="592" t="n"/>
      <c r="R266" s="592" t="n"/>
      <c r="T266" s="592" t="n"/>
      <c r="U266" s="592" t="n"/>
      <c r="GZ266" s="742" t="n"/>
      <c r="HD266" s="742" t="n"/>
    </row>
    <row r="267">
      <c r="R267" s="267" t="inlineStr">
        <is>
          <t>CMPB3 13A</t>
        </is>
      </c>
      <c r="T267" s="592" t="n"/>
      <c r="U267" s="742" t="inlineStr">
        <is>
          <t>CMPB3 13A</t>
        </is>
      </c>
      <c r="GZ267" s="742" t="n"/>
      <c r="HD267" s="742" t="n"/>
    </row>
    <row r="268">
      <c r="R268" s="592" t="n"/>
      <c r="T268" s="592" t="n"/>
      <c r="U268" s="592" t="n"/>
      <c r="GZ268" s="742" t="n"/>
      <c r="HD268" s="742" t="n"/>
    </row>
    <row r="269">
      <c r="R269" s="267" t="inlineStr">
        <is>
          <t>CMPC4 16A</t>
        </is>
      </c>
      <c r="T269" s="592" t="n"/>
      <c r="U269" s="742" t="inlineStr">
        <is>
          <t>CMPC4 16A</t>
        </is>
      </c>
      <c r="GZ269" s="742" t="n"/>
      <c r="HD269" s="742" t="n"/>
    </row>
    <row r="270">
      <c r="Q270" s="592" t="n"/>
      <c r="R270" s="592" t="n"/>
      <c r="T270" s="592" t="n"/>
      <c r="U270" s="597" t="n"/>
      <c r="GZ270" s="742" t="n"/>
      <c r="HD270" s="742" t="n"/>
    </row>
    <row r="271">
      <c r="Q271" s="592" t="n"/>
      <c r="T271" s="592" t="n"/>
      <c r="U271" s="592" t="n"/>
      <c r="GZ271" s="742" t="n"/>
      <c r="HD271" s="742" t="n"/>
    </row>
    <row r="272">
      <c r="Q272" s="592" t="n"/>
      <c r="R272" s="592" t="n"/>
      <c r="T272" s="592" t="n"/>
      <c r="U272" s="497" t="n"/>
    </row>
    <row r="273">
      <c r="Q273" s="592" t="n"/>
      <c r="R273" s="592" t="n"/>
      <c r="T273" s="592" t="n"/>
      <c r="U273" s="592" t="n"/>
    </row>
    <row r="274">
      <c r="Q274" s="592" t="n"/>
      <c r="R274" s="597" t="n"/>
      <c r="T274" s="592" t="n"/>
      <c r="U274" s="497" t="n"/>
    </row>
    <row r="275">
      <c r="Q275" s="592" t="n"/>
      <c r="R275" s="592" t="n"/>
      <c r="T275" s="592" t="n"/>
      <c r="U275" s="592" t="n"/>
    </row>
    <row r="276">
      <c r="Q276" s="592" t="n"/>
      <c r="R276" s="592" t="n"/>
      <c r="T276" s="592" t="n"/>
      <c r="U276" s="592" t="n"/>
    </row>
    <row r="277" ht="47.25" customHeight="1">
      <c r="Q277" s="592" t="n"/>
      <c r="T277" s="592" t="n"/>
      <c r="U277" s="632" t="inlineStr">
        <is>
          <t>COMPRESSOR 3 (3A) Pa=7.5kW P.f=0.75</t>
        </is>
      </c>
    </row>
    <row r="278">
      <c r="Q278" s="592" t="n"/>
      <c r="T278" s="592" t="n"/>
      <c r="U278" s="592" t="n"/>
    </row>
    <row r="279">
      <c r="Q279" s="592" t="n"/>
      <c r="T279" s="592" t="n"/>
      <c r="U279" s="592" t="n"/>
    </row>
    <row r="280">
      <c r="Q280" s="598" t="n"/>
      <c r="R280" s="598" t="n"/>
      <c r="T280" s="592" t="n"/>
      <c r="U280" s="742" t="inlineStr">
        <is>
          <t>CMPB4 20A</t>
        </is>
      </c>
    </row>
    <row r="281">
      <c r="Q281" s="598" t="n"/>
      <c r="R281" s="598" t="n"/>
      <c r="T281" s="592" t="n"/>
      <c r="U281" s="592" t="n"/>
    </row>
    <row r="282">
      <c r="Q282" s="598" t="n"/>
      <c r="R282" s="598" t="n"/>
      <c r="T282" s="592" t="n"/>
      <c r="U282" s="742" t="inlineStr">
        <is>
          <t>CMPC4 26A</t>
        </is>
      </c>
    </row>
    <row r="283">
      <c r="Q283" s="598" t="n"/>
      <c r="R283" s="598" t="n"/>
      <c r="T283" s="592" t="n"/>
      <c r="U283" s="592" t="n"/>
    </row>
    <row r="284">
      <c r="Q284" s="598" t="n"/>
      <c r="R284" s="598" t="n"/>
      <c r="T284" s="592" t="n"/>
      <c r="U284" s="742" t="inlineStr">
        <is>
          <t>EMR DRIVE</t>
        </is>
      </c>
    </row>
    <row r="285">
      <c r="Q285" s="598" t="n"/>
      <c r="R285" s="633" t="n"/>
      <c r="T285" s="592" t="n"/>
      <c r="U285" s="592" t="n"/>
    </row>
    <row r="286">
      <c r="Q286" s="598" t="n"/>
      <c r="R286" s="633" t="n"/>
      <c r="T286" s="592" t="n"/>
      <c r="U286" s="497" t="n"/>
    </row>
    <row r="287">
      <c r="Q287" s="598" t="n"/>
      <c r="R287" s="633" t="n"/>
      <c r="T287" s="592" t="n"/>
      <c r="U287" s="592" t="n"/>
    </row>
    <row r="288">
      <c r="Q288" s="598" t="n"/>
      <c r="R288" s="598" t="n"/>
      <c r="T288" s="592" t="n"/>
      <c r="U288" s="497" t="n"/>
    </row>
    <row r="289">
      <c r="Q289" s="592" t="n"/>
      <c r="R289" s="592" t="n"/>
      <c r="T289" s="592" t="n"/>
      <c r="U289" s="592" t="n"/>
    </row>
    <row r="290">
      <c r="Q290" s="592" t="n"/>
      <c r="R290" s="592" t="n"/>
      <c r="T290" s="592" t="n"/>
      <c r="U290" s="497" t="n"/>
    </row>
    <row r="291">
      <c r="Q291" s="592" t="n"/>
      <c r="R291" s="592" t="n"/>
      <c r="T291" s="592" t="n"/>
      <c r="U291" s="597" t="n"/>
    </row>
    <row r="292" ht="31.5" customHeight="1">
      <c r="Q292" s="592" t="n"/>
      <c r="R292" s="624" t="inlineStr">
        <is>
          <t>SUPPLY AIR FAN 2 Pa=1.25kW P.f=0.75</t>
        </is>
      </c>
      <c r="T292" s="592" t="n"/>
      <c r="U292" s="497" t="n"/>
    </row>
    <row r="293">
      <c r="Q293" s="592" t="n"/>
      <c r="R293" s="592" t="n"/>
      <c r="T293" s="592" t="n"/>
      <c r="U293" s="497" t="n"/>
    </row>
    <row r="294" ht="47.25" customHeight="1">
      <c r="Q294" s="592" t="n"/>
      <c r="R294" s="592" t="n"/>
      <c r="T294" s="592" t="n"/>
      <c r="U294" s="632" t="inlineStr">
        <is>
          <t>COMPRESSOR 4 (3A) Pa=7.5kW P.f=0.75</t>
        </is>
      </c>
    </row>
    <row r="295">
      <c r="Q295" s="592" t="n"/>
      <c r="R295" s="592" t="n"/>
      <c r="T295" s="592" t="n"/>
      <c r="U295" s="592" t="n"/>
    </row>
    <row r="296">
      <c r="Q296" s="592" t="n"/>
      <c r="T296" s="592" t="n"/>
      <c r="U296" s="497" t="n"/>
    </row>
    <row r="297">
      <c r="Q297" s="592" t="n"/>
      <c r="R297" s="592" t="n"/>
      <c r="T297" s="592" t="n"/>
      <c r="U297" s="742" t="inlineStr">
        <is>
          <t>CDFB 4,63A</t>
        </is>
      </c>
    </row>
    <row r="298">
      <c r="Q298" s="742" t="inlineStr">
        <is>
          <t>HTRC1 9A</t>
        </is>
      </c>
      <c r="T298" s="592" t="n"/>
      <c r="U298" s="497" t="n"/>
    </row>
    <row r="299">
      <c r="Q299" s="597" t="n"/>
      <c r="T299" s="592" t="n"/>
      <c r="U299" s="742" t="inlineStr">
        <is>
          <t>CDFC 9A</t>
        </is>
      </c>
    </row>
    <row r="300">
      <c r="Q300" s="632" t="inlineStr">
        <is>
          <t>HEATER 1 4.5kW</t>
        </is>
      </c>
      <c r="T300" s="592" t="n"/>
      <c r="U300" s="497" t="n"/>
    </row>
    <row r="301">
      <c r="Q301" s="592" t="n"/>
      <c r="R301" s="592" t="n"/>
      <c r="T301" s="592" t="n"/>
      <c r="U301" s="497" t="n"/>
    </row>
    <row r="302">
      <c r="Q302" s="592" t="n"/>
      <c r="R302" s="592" t="n"/>
      <c r="T302" s="592" t="n"/>
      <c r="U302" s="497" t="n"/>
    </row>
    <row r="303">
      <c r="Q303" s="634" t="n"/>
      <c r="R303" s="634" t="n"/>
      <c r="T303" s="592" t="n"/>
      <c r="U303" s="497" t="n"/>
    </row>
    <row r="304">
      <c r="Q304" s="592" t="inlineStr">
        <is>
          <t>L2</t>
        </is>
      </c>
      <c r="R304" s="592" t="n"/>
      <c r="T304" s="597" t="n"/>
      <c r="U304" s="597" t="n"/>
    </row>
    <row r="305">
      <c r="Q305" s="597" t="n"/>
      <c r="R305" s="592" t="n"/>
      <c r="T305" s="592" t="n"/>
      <c r="U305" s="497" t="n"/>
    </row>
    <row r="306">
      <c r="Q306" s="592" t="n"/>
      <c r="R306" s="592" t="n"/>
      <c r="T306" s="592" t="n"/>
      <c r="U306" s="497" t="n"/>
    </row>
    <row r="307" ht="63" customHeight="1">
      <c r="Q307" s="592" t="n"/>
      <c r="R307" s="592" t="n"/>
      <c r="T307" s="592" t="n"/>
      <c r="U307" s="624" t="inlineStr">
        <is>
          <t>CONDESER MOTOR 1 (3A) Pa=2.5kW P.f=0.75</t>
        </is>
      </c>
    </row>
    <row r="308">
      <c r="Q308" s="592" t="n"/>
      <c r="R308" s="592" t="n"/>
      <c r="T308" s="592" t="n"/>
      <c r="U308" s="497" t="n"/>
    </row>
    <row r="309">
      <c r="Q309" s="592" t="n"/>
      <c r="R309" s="592" t="n"/>
      <c r="T309" s="592" t="n"/>
      <c r="U309" s="497" t="n"/>
    </row>
    <row r="310">
      <c r="Q310" s="592" t="n"/>
      <c r="R310" s="592" t="n"/>
      <c r="T310" s="592" t="n"/>
      <c r="U310" s="497" t="n"/>
    </row>
    <row r="311">
      <c r="Q311" s="592" t="n"/>
      <c r="R311" s="592" t="n"/>
      <c r="T311" s="592" t="n"/>
      <c r="U311" s="497" t="n"/>
    </row>
    <row r="312" ht="63" customHeight="1">
      <c r="Q312" s="592" t="n"/>
      <c r="R312" s="592" t="n"/>
      <c r="T312" s="592" t="n"/>
      <c r="U312" s="624" t="inlineStr">
        <is>
          <t>CONDESER MOTOR 2 (3A) Pa=2.5kW P.f=0.75</t>
        </is>
      </c>
    </row>
    <row r="313">
      <c r="Q313" s="592" t="n"/>
      <c r="R313" s="592" t="n"/>
      <c r="T313" s="592" t="n"/>
      <c r="U313" s="497" t="n"/>
    </row>
    <row r="314">
      <c r="Q314" s="592" t="n"/>
      <c r="R314" s="592" t="n"/>
      <c r="T314" s="592" t="n"/>
      <c r="U314" s="497" t="n"/>
    </row>
    <row r="315">
      <c r="Q315" s="592" t="n"/>
      <c r="R315" s="592" t="n"/>
      <c r="T315" s="592" t="n"/>
      <c r="U315" s="742" t="inlineStr">
        <is>
          <t>SAFB1 9.5A</t>
        </is>
      </c>
    </row>
    <row r="316">
      <c r="Q316" s="592" t="n"/>
      <c r="R316" s="592" t="n"/>
      <c r="T316" s="592" t="n"/>
      <c r="U316" s="497" t="n"/>
    </row>
    <row r="317">
      <c r="Q317" s="592" t="n"/>
      <c r="R317" s="592" t="n"/>
      <c r="T317" s="592" t="n"/>
      <c r="U317" s="742" t="inlineStr">
        <is>
          <t>SAFC1 12A</t>
        </is>
      </c>
    </row>
    <row r="318">
      <c r="Q318" s="592" t="n"/>
      <c r="R318" s="592" t="n"/>
      <c r="T318" s="592" t="n"/>
      <c r="U318" s="497" t="n"/>
    </row>
    <row r="319">
      <c r="Q319" s="592" t="n"/>
      <c r="R319" s="592" t="n"/>
      <c r="T319" s="592" t="n"/>
      <c r="U319" s="497" t="n"/>
    </row>
    <row r="320">
      <c r="Q320" s="592" t="n"/>
      <c r="T320" s="592" t="n"/>
      <c r="U320" s="497" t="n"/>
    </row>
    <row r="321">
      <c r="Q321" s="592" t="n"/>
      <c r="R321" s="592" t="n"/>
      <c r="T321" s="592" t="n"/>
      <c r="U321" s="497" t="n"/>
    </row>
    <row r="322">
      <c r="Q322" s="592" t="n"/>
      <c r="R322" s="592" t="n"/>
      <c r="T322" s="592" t="n"/>
      <c r="U322" s="497" t="n"/>
    </row>
    <row r="323">
      <c r="Q323" s="592" t="n"/>
      <c r="R323" s="592" t="n"/>
      <c r="T323" s="592" t="n"/>
      <c r="U323" s="497" t="n"/>
    </row>
    <row r="324">
      <c r="Q324" s="592" t="n"/>
      <c r="R324" s="592" t="n"/>
      <c r="T324" s="592" t="n"/>
      <c r="U324" s="497" t="n"/>
    </row>
    <row r="325">
      <c r="Q325" s="592" t="n"/>
      <c r="R325" s="592" t="n"/>
      <c r="T325" s="592" t="n"/>
      <c r="U325" s="497" t="n"/>
    </row>
    <row r="326">
      <c r="Q326" s="592" t="n"/>
      <c r="R326" s="592" t="n"/>
      <c r="T326" s="592" t="n"/>
      <c r="U326" s="497" t="n"/>
    </row>
    <row r="327">
      <c r="Q327" s="592" t="n"/>
      <c r="R327" s="592" t="n"/>
      <c r="T327" s="592" t="n"/>
      <c r="U327" s="497" t="n"/>
    </row>
    <row r="328">
      <c r="Q328" s="592" t="n"/>
      <c r="R328" s="592" t="n"/>
      <c r="T328" s="592" t="n"/>
      <c r="U328" s="592" t="n"/>
    </row>
    <row r="329">
      <c r="Q329" s="592" t="n"/>
      <c r="R329" s="592" t="n"/>
      <c r="T329" s="592" t="n"/>
      <c r="U329" s="497" t="n"/>
    </row>
    <row r="330">
      <c r="Q330" s="592" t="n"/>
      <c r="R330" s="592" t="n"/>
      <c r="T330" s="592" t="n"/>
      <c r="U330" s="742" t="inlineStr">
        <is>
          <t>HTRB 13.2A</t>
        </is>
      </c>
    </row>
    <row r="331">
      <c r="Q331" s="592" t="n"/>
      <c r="R331" s="592" t="n"/>
      <c r="T331" s="592" t="n"/>
      <c r="U331" s="497" t="n"/>
    </row>
    <row r="332">
      <c r="Q332" s="592" t="n"/>
      <c r="R332" s="597" t="n"/>
      <c r="T332" s="592" t="n"/>
      <c r="U332" s="742" t="inlineStr">
        <is>
          <t>HTRC1 9A</t>
        </is>
      </c>
    </row>
    <row r="333">
      <c r="Q333" s="592" t="n"/>
      <c r="R333" s="608" t="inlineStr">
        <is>
          <t>HEATER 2 4.5kW</t>
        </is>
      </c>
      <c r="T333" s="597" t="n"/>
      <c r="U333" s="597" t="n"/>
    </row>
    <row r="334">
      <c r="Q334" s="597" t="n"/>
      <c r="R334" s="592" t="n"/>
      <c r="T334" s="592" t="n"/>
      <c r="U334" s="742" t="inlineStr">
        <is>
          <t>HEATER 1 4.5kW</t>
        </is>
      </c>
    </row>
    <row r="335">
      <c r="Q335" s="592" t="n"/>
      <c r="R335" s="592" t="n"/>
      <c r="T335" s="592" t="n"/>
      <c r="U335" s="497" t="n"/>
    </row>
    <row r="336">
      <c r="Q336" s="592" t="n"/>
      <c r="R336" s="592" t="n"/>
      <c r="T336" s="592" t="n"/>
      <c r="U336" s="497" t="n"/>
    </row>
    <row r="337">
      <c r="Q337" s="592" t="n"/>
      <c r="R337" s="592" t="n"/>
      <c r="T337" s="592" t="n"/>
      <c r="U337" s="497" t="n"/>
    </row>
    <row r="338">
      <c r="Q338" s="592" t="n"/>
      <c r="R338" s="592" t="n"/>
      <c r="T338" s="592" t="n"/>
      <c r="U338" s="497" t="n"/>
    </row>
    <row r="339">
      <c r="Q339" s="592" t="n"/>
      <c r="R339" s="592" t="n"/>
      <c r="T339" s="592" t="n"/>
      <c r="U339" s="497" t="n"/>
    </row>
    <row r="340">
      <c r="Q340" s="592" t="n"/>
      <c r="R340" s="592" t="n"/>
      <c r="T340" s="592" t="n"/>
      <c r="U340" s="497" t="n"/>
    </row>
    <row r="341">
      <c r="Q341" s="592" t="n"/>
      <c r="R341" s="592" t="n"/>
      <c r="T341" s="592" t="n"/>
      <c r="U341" s="497" t="n"/>
    </row>
    <row r="342">
      <c r="Q342" s="592" t="n"/>
      <c r="R342" s="592" t="n"/>
      <c r="T342" s="592" t="n"/>
      <c r="U342" s="497" t="n"/>
    </row>
    <row r="343">
      <c r="Q343" s="592" t="n"/>
      <c r="R343" s="592" t="n"/>
      <c r="T343" s="592" t="n"/>
      <c r="U343" s="497" t="n"/>
    </row>
    <row r="344">
      <c r="Q344" s="592" t="n"/>
      <c r="R344" s="592" t="n"/>
      <c r="T344" s="592" t="n"/>
      <c r="U344" s="497" t="n"/>
    </row>
    <row r="345">
      <c r="Q345" s="592" t="n"/>
      <c r="R345" s="592" t="n"/>
      <c r="T345" s="592" t="n"/>
      <c r="U345" s="497" t="n"/>
    </row>
    <row r="346">
      <c r="Q346" s="592" t="n"/>
      <c r="R346" s="592" t="n"/>
      <c r="T346" s="592" t="n"/>
      <c r="U346" s="497" t="n"/>
    </row>
    <row r="347">
      <c r="Q347" s="592" t="n"/>
      <c r="R347" s="592" t="n"/>
      <c r="T347" s="592" t="n"/>
      <c r="U347" s="497" t="n"/>
    </row>
    <row r="348">
      <c r="Q348" s="592" t="n"/>
      <c r="R348" s="592" t="n"/>
      <c r="T348" s="592" t="n"/>
      <c r="U348" s="497" t="n"/>
    </row>
    <row r="349">
      <c r="Q349" s="592" t="n"/>
      <c r="R349" s="592" t="n"/>
      <c r="T349" s="592" t="n"/>
      <c r="U349" s="497" t="n"/>
    </row>
    <row r="350">
      <c r="Q350" s="592" t="n"/>
      <c r="R350" s="592" t="n"/>
      <c r="T350" s="592" t="n"/>
      <c r="U350" s="742" t="inlineStr">
        <is>
          <t>HTRC2 9A</t>
        </is>
      </c>
    </row>
    <row r="351">
      <c r="Q351" s="592" t="n"/>
      <c r="T351" s="592" t="n"/>
      <c r="U351" s="497" t="n"/>
    </row>
    <row r="352">
      <c r="Q352" s="592" t="n"/>
      <c r="R352" s="592" t="n"/>
      <c r="T352" s="592" t="n"/>
      <c r="U352" s="497" t="n"/>
    </row>
    <row r="353">
      <c r="Q353" s="592" t="n"/>
      <c r="R353" s="592" t="n"/>
      <c r="T353" s="592" t="n"/>
      <c r="U353" s="497" t="n"/>
    </row>
    <row r="354">
      <c r="Q354" s="592" t="n"/>
      <c r="R354" s="592" t="n"/>
      <c r="T354" s="592" t="n"/>
      <c r="U354" s="497" t="n"/>
    </row>
    <row r="355">
      <c r="Q355" s="592" t="n"/>
      <c r="R355" s="592" t="n"/>
      <c r="T355" s="592" t="n"/>
      <c r="U355" s="497" t="n"/>
    </row>
    <row r="356">
      <c r="Q356" s="592" t="n"/>
      <c r="R356" s="592" t="n"/>
      <c r="T356" s="592" t="n"/>
      <c r="U356" s="497" t="n"/>
    </row>
    <row r="357">
      <c r="Q357" s="592" t="n"/>
      <c r="R357" s="592" t="n"/>
      <c r="T357" s="592" t="n"/>
      <c r="U357" s="592" t="n"/>
    </row>
    <row r="358">
      <c r="Q358" s="592" t="n"/>
      <c r="R358" s="592" t="n"/>
      <c r="T358" s="592" t="n"/>
      <c r="U358" s="497" t="n"/>
    </row>
    <row r="359">
      <c r="Q359" s="592" t="n"/>
      <c r="R359" s="592" t="n"/>
      <c r="T359" s="592" t="n"/>
      <c r="U359" s="592" t="n"/>
    </row>
    <row r="360">
      <c r="Q360" s="592" t="n"/>
      <c r="R360" s="592" t="n"/>
      <c r="T360" s="592" t="n"/>
      <c r="U360" s="497" t="n"/>
    </row>
    <row r="361">
      <c r="Q361" s="592" t="n"/>
      <c r="R361" s="592" t="n"/>
      <c r="T361" s="592" t="n"/>
      <c r="U361" s="497" t="n"/>
    </row>
    <row r="362">
      <c r="Q362" s="592" t="n"/>
      <c r="R362" s="592" t="n"/>
      <c r="T362" s="592" t="n"/>
      <c r="U362" s="597" t="n"/>
    </row>
    <row r="363">
      <c r="Q363" s="592" t="n"/>
      <c r="R363" s="592" t="n"/>
      <c r="T363" s="592" t="n"/>
      <c r="U363" s="742" t="inlineStr">
        <is>
          <t>HEATER 2 4.5kW</t>
        </is>
      </c>
    </row>
    <row r="364">
      <c r="Q364" s="592" t="n"/>
      <c r="R364" s="592" t="n"/>
      <c r="T364" s="592" t="n"/>
      <c r="U364" s="497" t="n"/>
    </row>
    <row r="365">
      <c r="Q365" s="598" t="n"/>
      <c r="R365" s="598" t="n"/>
      <c r="T365" s="592" t="n"/>
      <c r="U365" s="497" t="n"/>
    </row>
    <row r="366">
      <c r="Q366" s="598" t="n"/>
      <c r="R366" s="598" t="n"/>
      <c r="T366" s="592" t="n"/>
      <c r="U366" s="497" t="n"/>
    </row>
    <row r="367" ht="47.25" customHeight="1">
      <c r="Q367" s="598" t="n"/>
      <c r="R367" s="598" t="n"/>
      <c r="T367" s="592" t="n"/>
      <c r="U367" s="624" t="inlineStr">
        <is>
          <t>SUPPLY AIR FAN 1 Pa=1.25kW P.f=0.75</t>
        </is>
      </c>
    </row>
    <row r="368">
      <c r="Q368" s="598" t="n"/>
      <c r="R368" s="598" t="n"/>
      <c r="T368" s="592" t="n"/>
      <c r="U368" s="497" t="n"/>
    </row>
    <row r="369">
      <c r="Q369" s="598" t="n"/>
      <c r="R369" s="598" t="n"/>
      <c r="T369" s="497" t="n"/>
      <c r="U369" s="497" t="n"/>
    </row>
    <row r="370">
      <c r="Q370" s="598" t="n"/>
      <c r="R370" s="598" t="n"/>
      <c r="T370" s="497" t="n"/>
      <c r="U370" s="497" t="n"/>
    </row>
    <row r="371">
      <c r="Q371" s="598" t="n"/>
      <c r="R371" s="598" t="n"/>
      <c r="T371" s="497" t="n"/>
      <c r="U371" s="497" t="n"/>
    </row>
    <row r="372">
      <c r="Q372" s="598" t="n"/>
      <c r="R372" s="598" t="n"/>
      <c r="T372" s="497" t="n"/>
      <c r="U372" s="497" t="n"/>
    </row>
    <row r="373">
      <c r="Q373" s="592" t="n"/>
      <c r="R373" s="592" t="n"/>
      <c r="T373" s="497" t="n"/>
      <c r="U373" s="497" t="n"/>
    </row>
    <row r="374">
      <c r="Q374" s="592" t="n"/>
      <c r="R374" s="592" t="n"/>
      <c r="T374" s="497" t="n"/>
      <c r="U374" s="497" t="n"/>
    </row>
    <row r="375">
      <c r="Q375" s="598" t="n"/>
      <c r="R375" s="598" t="n"/>
      <c r="T375" s="497" t="n"/>
      <c r="U375" s="497" t="n"/>
    </row>
    <row r="376" ht="63" customHeight="1">
      <c r="Q376" s="592" t="n"/>
      <c r="R376" s="592" t="n"/>
      <c r="T376" s="497" t="n"/>
      <c r="U376" s="597" t="inlineStr">
        <is>
          <t>(3 MOTOR )
COMPRESSOR 2
Pa=7.5KW
PF=0.75</t>
        </is>
      </c>
    </row>
    <row r="377" ht="47.25" customHeight="1">
      <c r="Q377" s="592" t="n"/>
      <c r="R377" s="597" t="inlineStr">
        <is>
          <t>CONDESER MOTOR 2 (3A) Pa=2.5kW P.f=0.75</t>
        </is>
      </c>
      <c r="T377" s="497" t="n"/>
      <c r="U377" s="497" t="n"/>
    </row>
    <row r="378">
      <c r="Q378" s="592" t="n"/>
      <c r="R378" s="592" t="n"/>
      <c r="T378" s="497" t="n"/>
      <c r="U378" s="497" t="n"/>
    </row>
    <row r="379">
      <c r="Q379" s="592" t="n"/>
      <c r="R379" s="592" t="n"/>
      <c r="T379" s="497" t="n"/>
      <c r="U379" s="497" t="n"/>
    </row>
    <row r="380">
      <c r="Q380" s="592" t="n"/>
      <c r="R380" s="592" t="n"/>
      <c r="T380" s="497" t="n"/>
      <c r="U380" s="497" t="n"/>
    </row>
    <row r="381">
      <c r="Q381" s="592" t="n"/>
      <c r="R381" s="592" t="n"/>
      <c r="T381" s="497" t="n"/>
      <c r="U381" s="497" t="n"/>
    </row>
    <row r="382">
      <c r="Q382" s="592" t="n"/>
      <c r="R382" s="592" t="n"/>
      <c r="T382" s="497" t="n"/>
      <c r="U382" s="497" t="n"/>
    </row>
    <row r="383">
      <c r="Q383" s="592" t="n"/>
      <c r="R383" s="592" t="n"/>
      <c r="T383" s="497" t="n"/>
      <c r="U383" s="497" t="n"/>
    </row>
    <row r="384">
      <c r="Q384" s="592" t="n"/>
      <c r="R384" s="592" t="n"/>
      <c r="T384" s="497" t="n"/>
      <c r="U384" s="497" t="n"/>
    </row>
    <row r="385">
      <c r="Q385" s="592" t="n"/>
      <c r="R385" s="592" t="n"/>
      <c r="T385" s="497" t="n"/>
      <c r="U385" s="497" t="n"/>
    </row>
    <row r="386">
      <c r="Q386" s="592" t="n"/>
      <c r="R386" s="592" t="n"/>
      <c r="T386" s="497" t="n"/>
      <c r="U386" s="497" t="n"/>
    </row>
    <row r="387">
      <c r="Q387" s="592" t="n"/>
      <c r="R387" s="592" t="n"/>
      <c r="T387" s="497" t="n"/>
      <c r="U387" s="497" t="n"/>
    </row>
    <row r="388">
      <c r="Q388" s="592" t="n"/>
      <c r="R388" s="592" t="n"/>
      <c r="T388" s="497" t="n"/>
      <c r="U388" s="592" t="inlineStr">
        <is>
          <t>HTRC2_9A</t>
        </is>
      </c>
    </row>
    <row r="389">
      <c r="Q389" s="592" t="n"/>
      <c r="R389" s="592" t="n"/>
      <c r="T389" s="497" t="n"/>
      <c r="U389" s="497" t="n"/>
    </row>
    <row r="390">
      <c r="Q390" s="592" t="n"/>
      <c r="R390" s="592" t="n"/>
      <c r="T390" s="497" t="n"/>
      <c r="U390" s="497" t="n"/>
    </row>
    <row r="391">
      <c r="Q391" s="592" t="n"/>
      <c r="R391" s="592" t="n"/>
      <c r="T391" s="497" t="n"/>
      <c r="U391" s="497" t="n"/>
    </row>
    <row r="392">
      <c r="Q392" s="592" t="n"/>
      <c r="R392" s="592" t="n"/>
      <c r="T392" s="497" t="n"/>
      <c r="U392" s="497" t="n"/>
    </row>
    <row r="393">
      <c r="T393" s="497" t="n"/>
      <c r="U393" s="497" t="n"/>
    </row>
    <row r="394">
      <c r="T394" s="497" t="n"/>
      <c r="U394" s="497" t="n"/>
    </row>
    <row r="395">
      <c r="T395" s="497" t="n"/>
      <c r="U395" s="497" t="n"/>
    </row>
    <row r="396">
      <c r="T396" s="497" t="n"/>
      <c r="U396" s="497" t="n"/>
    </row>
    <row r="397">
      <c r="T397" s="497" t="n"/>
      <c r="U397" s="497" t="n"/>
    </row>
    <row r="398">
      <c r="T398" s="497" t="n"/>
      <c r="U398" s="497" t="n"/>
    </row>
    <row r="399">
      <c r="T399" s="497" t="n"/>
      <c r="U399" s="497" t="n"/>
    </row>
    <row r="400">
      <c r="T400" s="497" t="n"/>
      <c r="U400" s="497" t="n"/>
    </row>
    <row r="401">
      <c r="T401" s="497" t="n"/>
      <c r="U401" s="497" t="n"/>
    </row>
    <row r="402">
      <c r="T402" s="497" t="n"/>
      <c r="U402" s="497" t="n"/>
    </row>
    <row r="403">
      <c r="T403" s="497" t="n"/>
      <c r="U403" s="497" t="n"/>
    </row>
    <row r="404">
      <c r="T404" s="497" t="n"/>
      <c r="U404" s="497" t="n"/>
    </row>
    <row r="405">
      <c r="T405" s="497" t="n"/>
      <c r="U405" s="497" t="n"/>
    </row>
    <row r="406">
      <c r="T406" s="497" t="n"/>
      <c r="U406" s="497" t="n"/>
    </row>
    <row r="407">
      <c r="T407" s="497" t="n"/>
      <c r="U407" s="497" t="n"/>
    </row>
    <row r="408">
      <c r="T408" s="497" t="n"/>
      <c r="U408" s="497" t="n"/>
    </row>
    <row r="409">
      <c r="T409" s="497" t="n"/>
      <c r="U409" s="497" t="n"/>
    </row>
    <row r="410">
      <c r="T410" s="497" t="n"/>
      <c r="U410" s="497" t="n"/>
    </row>
    <row r="411">
      <c r="T411" s="497" t="n"/>
      <c r="U411" s="497" t="n"/>
    </row>
    <row r="412">
      <c r="T412" s="497" t="n"/>
      <c r="U412" s="497" t="n"/>
    </row>
    <row r="665">
      <c r="G665" s="742" t="n"/>
      <c r="I665" s="267" t="n"/>
      <c r="P665" s="742" t="n"/>
      <c r="Q665" s="742" t="n"/>
      <c r="S665" s="267" t="n"/>
      <c r="AS665" s="742" t="n"/>
      <c r="AU665" s="267" t="n"/>
    </row>
    <row r="666">
      <c r="G666" s="742" t="n"/>
      <c r="I666" s="267" t="n"/>
      <c r="P666" s="742" t="n"/>
      <c r="Q666" s="742" t="n"/>
      <c r="S666" s="267" t="n"/>
      <c r="AS666" s="742" t="n"/>
      <c r="AU666" s="267" t="n"/>
    </row>
    <row r="667">
      <c r="G667" s="742" t="n"/>
      <c r="P667" s="742" t="n"/>
      <c r="Q667" s="742" t="n"/>
      <c r="AS667" s="742" t="n"/>
      <c r="AU667" s="267" t="n"/>
    </row>
    <row r="668">
      <c r="D668" s="632" t="n"/>
      <c r="E668" s="632" t="n"/>
      <c r="F668" s="624" t="n"/>
      <c r="G668" s="632" t="n"/>
      <c r="H668" s="632" t="n"/>
      <c r="I668" s="632" t="n"/>
      <c r="J668" s="632" t="n"/>
      <c r="K668" s="632" t="n"/>
      <c r="L668" s="632" t="n"/>
      <c r="M668" s="632" t="n"/>
      <c r="N668" s="632" t="n"/>
      <c r="O668" s="632" t="n"/>
      <c r="P668" s="632" t="n"/>
      <c r="Q668" s="632" t="n"/>
      <c r="R668" s="608" t="n"/>
      <c r="S668" s="632" t="n"/>
      <c r="T668" s="632" t="n"/>
      <c r="U668" s="624" t="n"/>
      <c r="V668" s="632" t="n"/>
      <c r="W668" s="632" t="n"/>
      <c r="X668" s="632" t="n"/>
      <c r="AI668" s="592" t="n"/>
      <c r="AJ668" s="798" t="n"/>
      <c r="AK668" s="798" t="n"/>
      <c r="AL668" s="798" t="n"/>
      <c r="AM668" s="798" t="n"/>
      <c r="AN668" s="798" t="n"/>
      <c r="AO668" s="798" t="n"/>
      <c r="AP668" s="798" t="n"/>
      <c r="AQ668" s="798" t="n"/>
      <c r="AR668" s="798" t="n"/>
      <c r="AS668" s="798" t="n"/>
      <c r="AT668" s="798" t="n"/>
      <c r="AU668" s="309" t="n"/>
    </row>
    <row r="669">
      <c r="D669" s="632" t="n"/>
      <c r="E669" s="632" t="n"/>
      <c r="F669" s="624" t="n"/>
      <c r="G669" s="632" t="n"/>
      <c r="H669" s="632" t="n"/>
      <c r="I669" s="632" t="n"/>
      <c r="J669" s="632" t="n"/>
      <c r="K669" s="632" t="n"/>
      <c r="L669" s="632" t="n"/>
      <c r="M669" s="632" t="n"/>
      <c r="N669" s="632" t="n"/>
      <c r="O669" s="632" t="n"/>
      <c r="P669" s="632" t="n"/>
      <c r="Q669" s="632" t="n"/>
      <c r="R669" s="608" t="n"/>
      <c r="S669" s="632" t="n"/>
      <c r="T669" s="632" t="n"/>
      <c r="U669" s="624" t="n"/>
      <c r="V669" s="632" t="inlineStr">
        <is>
          <t xml:space="preserve">Fault </t>
        </is>
      </c>
      <c r="W669" s="636" t="n"/>
      <c r="X669" s="632" t="n"/>
      <c r="AH669" s="632" t="n"/>
      <c r="AI669" s="632" t="n"/>
      <c r="AJ669" s="632" t="n"/>
      <c r="AK669" s="632" t="n"/>
      <c r="AL669" s="632" t="n"/>
      <c r="AM669" s="632" t="n"/>
      <c r="AN669" s="632" t="n"/>
      <c r="AO669" s="632" t="n"/>
      <c r="AP669" s="632" t="n"/>
      <c r="AQ669" s="632" t="n"/>
      <c r="AR669" s="632" t="n"/>
      <c r="AS669" s="632" t="n"/>
      <c r="AT669" s="632" t="n"/>
      <c r="AU669" s="632" t="n"/>
    </row>
    <row r="670">
      <c r="E670" s="742" t="inlineStr">
        <is>
          <t>Normal mode</t>
        </is>
      </c>
      <c r="G670" s="742" t="inlineStr">
        <is>
          <t>Output</t>
        </is>
      </c>
      <c r="I670" s="742" t="inlineStr">
        <is>
          <t>Independent mode</t>
        </is>
      </c>
      <c r="L670" s="637" t="inlineStr">
        <is>
          <t>BLUE - INPUT FROM OTHER CIRCUIT OR EXTERNAL</t>
        </is>
      </c>
      <c r="P670" s="742" t="n"/>
      <c r="Q670" s="742" t="n"/>
      <c r="AH670" s="632" t="n"/>
      <c r="AI670" s="638" t="n"/>
      <c r="AJ670" s="639" t="n"/>
      <c r="AK670" s="639" t="n"/>
      <c r="AL670" s="639" t="n"/>
      <c r="AM670" s="639" t="n"/>
      <c r="AN670" s="639" t="n"/>
      <c r="AO670" s="639" t="n"/>
      <c r="AP670" s="639" t="n"/>
      <c r="AQ670" s="639" t="n"/>
      <c r="AR670" s="639" t="n"/>
      <c r="AS670" s="639" t="n"/>
      <c r="AT670" s="639" t="n"/>
      <c r="AU670" s="639" t="n"/>
    </row>
    <row r="671">
      <c r="D671" s="639" t="n">
        <v>1</v>
      </c>
      <c r="G671" s="742" t="n"/>
      <c r="L671" s="640" t="n"/>
      <c r="P671" s="742" t="n"/>
      <c r="Q671" s="742" t="n"/>
      <c r="AH671" s="632" t="n"/>
      <c r="AI671" s="641" t="n"/>
      <c r="AJ671" s="641" t="n"/>
      <c r="AK671" s="641" t="n"/>
      <c r="AL671" s="641" t="n"/>
      <c r="AM671" s="641" t="n"/>
      <c r="AN671" s="641" t="n"/>
      <c r="AO671" s="641" t="n"/>
      <c r="AP671" s="641" t="n"/>
      <c r="AQ671" s="641" t="n"/>
      <c r="AR671" s="641" t="n"/>
      <c r="AS671" s="641" t="n"/>
      <c r="AT671" s="641" t="n"/>
      <c r="AU671" s="641" t="n"/>
    </row>
    <row r="672">
      <c r="D672" s="639" t="n">
        <v>2</v>
      </c>
      <c r="G672" s="742" t="n"/>
      <c r="P672" s="742" t="n"/>
      <c r="Q672" s="742" t="n"/>
      <c r="AH672" s="632" t="n"/>
      <c r="AI672" s="641" t="n"/>
      <c r="AJ672" s="641" t="n"/>
      <c r="AK672" s="641" t="n"/>
      <c r="AL672" s="641" t="n"/>
      <c r="AM672" s="641" t="n"/>
      <c r="AN672" s="641" t="n"/>
      <c r="AO672" s="641" t="n"/>
      <c r="AP672" s="641" t="n"/>
      <c r="AQ672" s="641" t="n"/>
      <c r="AR672" s="641" t="n"/>
      <c r="AS672" s="641" t="n"/>
      <c r="AT672" s="641" t="n"/>
      <c r="AU672" s="641" t="n"/>
    </row>
    <row r="673" ht="16.5" customHeight="1" thickBot="1">
      <c r="D673" s="639" t="n">
        <v>3</v>
      </c>
      <c r="G673" s="742" t="n"/>
      <c r="P673" s="742" t="n"/>
      <c r="Q673" s="742" t="n"/>
      <c r="AH673" s="632" t="n"/>
      <c r="AI673" s="641" t="n"/>
      <c r="AJ673" s="641" t="n"/>
      <c r="AK673" s="641" t="n"/>
      <c r="AL673" s="641" t="n"/>
      <c r="AM673" s="641" t="n"/>
      <c r="AN673" s="641" t="n"/>
      <c r="AO673" s="641" t="n"/>
      <c r="AP673" s="641" t="n"/>
      <c r="AQ673" s="641" t="n"/>
      <c r="AR673" s="641" t="n"/>
      <c r="AS673" s="641" t="n"/>
      <c r="AT673" s="641" t="n"/>
      <c r="AU673" s="641" t="n"/>
    </row>
    <row r="674" ht="47.25" customHeight="1">
      <c r="D674" s="639" t="n">
        <v>4</v>
      </c>
      <c r="G674" s="742" t="n"/>
      <c r="I674" s="267" t="n"/>
      <c r="J674" s="642" t="inlineStr">
        <is>
          <t>Pcool</t>
        </is>
      </c>
      <c r="K674" s="643" t="inlineStr">
        <is>
          <t>Pheat</t>
        </is>
      </c>
      <c r="L674" s="643" t="inlineStr">
        <is>
          <t>Cool 1</t>
        </is>
      </c>
      <c r="M674" s="643" t="inlineStr">
        <is>
          <t>Cool 2</t>
        </is>
      </c>
      <c r="N674" s="643" t="n"/>
      <c r="O674" s="643" t="n"/>
      <c r="P674" s="643" t="n"/>
      <c r="Q674" s="643" t="inlineStr">
        <is>
          <t>Cool 3</t>
        </is>
      </c>
      <c r="R674" s="643" t="inlineStr">
        <is>
          <t>Cool 4</t>
        </is>
      </c>
      <c r="S674" s="643" t="inlineStr">
        <is>
          <t>Cool 5</t>
        </is>
      </c>
      <c r="T674" s="643" t="inlineStr">
        <is>
          <t>Cool 6</t>
        </is>
      </c>
      <c r="U674" s="643" t="inlineStr">
        <is>
          <t>Cool 7</t>
        </is>
      </c>
      <c r="V674" s="643" t="inlineStr">
        <is>
          <t>Cool 8</t>
        </is>
      </c>
      <c r="W674" s="643" t="inlineStr">
        <is>
          <t>Vent</t>
        </is>
      </c>
      <c r="X674" s="644" t="inlineStr">
        <is>
          <t>Dehumidifcation Mode</t>
        </is>
      </c>
      <c r="Y674" s="644" t="inlineStr">
        <is>
          <t>Internal smoke mode</t>
        </is>
      </c>
      <c r="Z674" s="644" t="inlineStr">
        <is>
          <t>EXternal smoke mode</t>
        </is>
      </c>
      <c r="AA674" s="644" t="n"/>
      <c r="AB674" s="644" t="n"/>
      <c r="AC674" s="644" t="n"/>
      <c r="AD674" s="644" t="n"/>
      <c r="AE674" s="644" t="inlineStr">
        <is>
          <t>Emergency Inverter</t>
        </is>
      </c>
      <c r="AF674" s="645" t="inlineStr">
        <is>
          <t>Emergency Vent Mode</t>
        </is>
      </c>
      <c r="AH674" s="632" t="n"/>
      <c r="AI674" s="641" t="n"/>
      <c r="AJ674" s="641" t="n"/>
      <c r="AK674" s="641" t="n"/>
      <c r="AL674" s="641" t="n"/>
      <c r="AM674" s="641" t="n"/>
      <c r="AN674" s="641" t="n"/>
      <c r="AO674" s="641" t="n"/>
      <c r="AP674" s="641" t="n"/>
      <c r="AQ674" s="641" t="n"/>
      <c r="AR674" s="641" t="n"/>
      <c r="AS674" s="641" t="n"/>
      <c r="AT674" s="641" t="n"/>
      <c r="AU674" s="641" t="n"/>
    </row>
    <row r="675" ht="16.5" customHeight="1" thickBot="1">
      <c r="D675" s="639" t="n">
        <v>5</v>
      </c>
      <c r="G675" s="742" t="n"/>
      <c r="I675" s="267" t="n"/>
      <c r="J675" s="646">
        <f>'[2]DATA TRANSFER'!AF16</f>
        <v/>
      </c>
      <c r="K675" s="647">
        <f>'[2]DATA TRANSFER'!AF17</f>
        <v/>
      </c>
      <c r="L675" s="647">
        <f>[2]HVAC_IOs!AE2</f>
        <v/>
      </c>
      <c r="M675" s="647">
        <f>[2]HVAC_IOs!AE3</f>
        <v/>
      </c>
      <c r="N675" s="647" t="n"/>
      <c r="O675" s="647" t="n"/>
      <c r="P675" s="647" t="n"/>
      <c r="Q675" s="647">
        <f>[2]HVAC_IOs!AE4</f>
        <v/>
      </c>
      <c r="R675" s="647">
        <f>[2]HVAC_IOs!AE5</f>
        <v/>
      </c>
      <c r="S675" s="647">
        <f>[2]HVAC_IOs!AE6</f>
        <v/>
      </c>
      <c r="T675" s="647">
        <f>[2]HVAC_IOs!AE7</f>
        <v/>
      </c>
      <c r="U675" s="648">
        <f>[2]HVAC_IOs!AE8</f>
        <v/>
      </c>
      <c r="V675" s="647">
        <f>[2]HVAC_IOs!AE9</f>
        <v/>
      </c>
      <c r="W675" s="647">
        <f>'[2]DATA TRANSFER'!AF19</f>
        <v/>
      </c>
      <c r="X675" s="647">
        <f>'[2]DATA TRANSFER'!AE23</f>
        <v/>
      </c>
      <c r="Y675" s="647">
        <f>'[2]DATA TRANSFER'!AE21</f>
        <v/>
      </c>
      <c r="Z675" s="647">
        <f>'[2]DATA TRANSFER'!AE22</f>
        <v/>
      </c>
      <c r="AA675" s="647" t="n"/>
      <c r="AB675" s="647" t="n"/>
      <c r="AC675" s="647" t="n"/>
      <c r="AD675" s="647" t="n"/>
      <c r="AE675" s="647" t="n"/>
      <c r="AF675" s="649">
        <f>'[2]DATA TRANSFER'!AE24</f>
        <v/>
      </c>
      <c r="AH675" s="632" t="n"/>
      <c r="AI675" s="650" t="n"/>
      <c r="AJ675" s="650" t="n"/>
      <c r="AK675" s="650" t="n"/>
      <c r="AL675" s="650" t="n"/>
      <c r="AM675" s="650" t="n"/>
      <c r="AN675" s="650" t="n"/>
      <c r="AO675" s="650" t="n"/>
      <c r="AP675" s="650" t="n"/>
      <c r="AQ675" s="650" t="n"/>
      <c r="AR675" s="650" t="n"/>
      <c r="AS675" s="650" t="n"/>
      <c r="AT675" s="650" t="n"/>
      <c r="AU675" s="650" t="n"/>
    </row>
    <row r="676">
      <c r="D676" s="639" t="n">
        <v>6</v>
      </c>
      <c r="G676" s="742" t="n"/>
      <c r="P676" s="742" t="n"/>
      <c r="Q676" s="742" t="n"/>
      <c r="S676" s="267" t="n"/>
      <c r="AH676" s="632" t="n"/>
      <c r="AI676" s="650" t="n"/>
      <c r="AJ676" s="650" t="n"/>
      <c r="AK676" s="650" t="n"/>
      <c r="AL676" s="650" t="n"/>
      <c r="AM676" s="650" t="n"/>
      <c r="AN676" s="650" t="n"/>
      <c r="AO676" s="650" t="n"/>
      <c r="AP676" s="650" t="n"/>
      <c r="AQ676" s="650" t="n"/>
      <c r="AR676" s="650" t="n"/>
      <c r="AS676" s="650" t="n"/>
      <c r="AT676" s="650" t="n"/>
      <c r="AU676" s="650" t="n"/>
    </row>
    <row r="677" ht="16.5" customHeight="1" thickBot="1">
      <c r="D677" s="639" t="n">
        <v>7</v>
      </c>
      <c r="G677" s="742" t="n"/>
      <c r="P677" s="742" t="n"/>
      <c r="Q677" s="742" t="n"/>
      <c r="S677" s="267" t="n"/>
      <c r="AS677" s="742" t="n"/>
    </row>
    <row r="678" ht="16.5" customHeight="1" thickBot="1">
      <c r="D678" s="639" t="n">
        <v>8</v>
      </c>
      <c r="G678" s="742" t="n"/>
      <c r="P678" s="742" t="n"/>
      <c r="Q678" s="829" t="inlineStr">
        <is>
          <t>Fault mode effect</t>
        </is>
      </c>
      <c r="R678" s="795" t="n"/>
      <c r="S678" s="267" t="n"/>
      <c r="T678" s="830" t="inlineStr">
        <is>
          <t>Mode Logic</t>
        </is>
      </c>
      <c r="U678" s="831" t="n"/>
      <c r="AS678" s="742" t="n"/>
    </row>
    <row r="679">
      <c r="D679" s="639" t="n">
        <v>9</v>
      </c>
      <c r="G679" s="742" t="n"/>
      <c r="K679" s="497" t="inlineStr">
        <is>
          <t>HAVC1_COMP_1</t>
        </is>
      </c>
      <c r="L679" s="497" t="n"/>
      <c r="P679" s="742" t="n"/>
      <c r="Q679" s="651" t="inlineStr">
        <is>
          <t>HAVC1_COMP_1_off</t>
        </is>
      </c>
      <c r="R679" s="652" t="n"/>
      <c r="S679" s="267" t="n"/>
      <c r="T679" s="497" t="inlineStr">
        <is>
          <t>HAVC1_COMP_1</t>
        </is>
      </c>
      <c r="U679" s="653" t="n"/>
      <c r="AS679" s="742" t="n"/>
    </row>
    <row r="680">
      <c r="D680" s="639" t="n">
        <v>10</v>
      </c>
      <c r="G680" s="742" t="n"/>
      <c r="K680" s="497" t="inlineStr">
        <is>
          <t>HAVC1_COMP_2</t>
        </is>
      </c>
      <c r="L680" s="497" t="n"/>
      <c r="P680" s="742" t="n"/>
      <c r="Q680" s="497" t="inlineStr">
        <is>
          <t>HAVC1_COMP_1_off</t>
        </is>
      </c>
      <c r="R680" s="592" t="n"/>
      <c r="S680" s="267" t="n"/>
      <c r="T680" s="497" t="inlineStr">
        <is>
          <t>HAVC1_COMP_2</t>
        </is>
      </c>
      <c r="U680" s="600" t="n"/>
      <c r="AS680" s="742" t="n"/>
    </row>
    <row r="681">
      <c r="D681" s="639" t="n">
        <v>11</v>
      </c>
      <c r="G681" s="742" t="n"/>
      <c r="K681" s="497" t="inlineStr">
        <is>
          <t>HAVC1_COMP_3</t>
        </is>
      </c>
      <c r="L681" s="497" t="n"/>
      <c r="P681" s="742" t="n"/>
      <c r="Q681" s="497" t="inlineStr">
        <is>
          <t>HAVC1_COMP_1_off</t>
        </is>
      </c>
      <c r="R681" s="592" t="n"/>
      <c r="S681" s="267" t="n"/>
      <c r="T681" s="497" t="inlineStr">
        <is>
          <t>HAVC1_COMP_3</t>
        </is>
      </c>
      <c r="U681" s="600" t="n"/>
      <c r="AH681" s="632" t="inlineStr">
        <is>
          <t>Compressor 1</t>
        </is>
      </c>
      <c r="AI681" s="654" t="n"/>
      <c r="AJ681" s="654" t="n"/>
      <c r="AK681" s="654" t="n"/>
      <c r="AL681" s="641" t="n"/>
      <c r="AM681" s="641" t="n"/>
      <c r="AN681" s="641" t="n"/>
      <c r="AO681" s="641" t="n"/>
      <c r="AP681" s="641" t="n"/>
      <c r="AQ681" s="641" t="n"/>
      <c r="AR681" s="641" t="n"/>
      <c r="AS681" s="641" t="n"/>
      <c r="AT681" s="641" t="n"/>
      <c r="AU681" s="641" t="n"/>
    </row>
    <row r="682">
      <c r="D682" s="639" t="n">
        <v>12</v>
      </c>
      <c r="G682" s="742" t="n"/>
      <c r="K682" s="497" t="inlineStr">
        <is>
          <t>HAVC1_COMP_4</t>
        </is>
      </c>
      <c r="L682" s="497" t="n"/>
      <c r="P682" s="742" t="n"/>
      <c r="Q682" s="497" t="inlineStr">
        <is>
          <t>HAVC1_COMP_1_off</t>
        </is>
      </c>
      <c r="R682" s="592" t="n"/>
      <c r="S682" s="267" t="n"/>
      <c r="T682" s="497" t="inlineStr">
        <is>
          <t>HAVC1_COMP_4</t>
        </is>
      </c>
      <c r="U682" s="600" t="n"/>
      <c r="AH682" s="632" t="inlineStr">
        <is>
          <t>Compressor 2</t>
        </is>
      </c>
      <c r="AI682" s="654" t="n"/>
      <c r="AJ682" s="654" t="n"/>
      <c r="AK682" s="654" t="n"/>
      <c r="AL682" s="641" t="n"/>
      <c r="AM682" s="641" t="n"/>
      <c r="AN682" s="641" t="n"/>
      <c r="AO682" s="641" t="n"/>
      <c r="AP682" s="641" t="n"/>
      <c r="AQ682" s="641" t="n"/>
      <c r="AR682" s="641" t="n"/>
      <c r="AS682" s="641" t="n"/>
      <c r="AT682" s="641" t="n"/>
      <c r="AU682" s="641" t="n"/>
    </row>
    <row r="683">
      <c r="D683" s="639" t="n">
        <v>13</v>
      </c>
      <c r="G683" s="742" t="n"/>
      <c r="K683" s="497" t="inlineStr">
        <is>
          <t>HVAC1_CF_1</t>
        </is>
      </c>
      <c r="L683" s="601" t="n"/>
      <c r="P683" s="742" t="n"/>
      <c r="Q683" s="497" t="inlineStr">
        <is>
          <t>HVAC1_CF_1_off</t>
        </is>
      </c>
      <c r="R683" s="592" t="n"/>
      <c r="S683" s="267" t="n"/>
      <c r="T683" s="497" t="inlineStr">
        <is>
          <t>HVAC1_CF_1</t>
        </is>
      </c>
      <c r="U683" s="757" t="n"/>
      <c r="AH683" s="632" t="inlineStr">
        <is>
          <t>Condenser Fan 1</t>
        </is>
      </c>
      <c r="AI683" s="654" t="n"/>
      <c r="AJ683" s="654" t="n"/>
      <c r="AK683" s="654" t="n"/>
      <c r="AL683" s="641" t="n"/>
      <c r="AM683" s="641" t="n"/>
      <c r="AN683" s="641" t="n"/>
      <c r="AO683" s="641" t="n"/>
      <c r="AP683" s="641" t="n"/>
      <c r="AQ683" s="641" t="n"/>
      <c r="AR683" s="641" t="n"/>
      <c r="AS683" s="641" t="n"/>
      <c r="AT683" s="641" t="n"/>
      <c r="AU683" s="641" t="n"/>
    </row>
    <row r="684">
      <c r="D684" s="639" t="n">
        <v>14</v>
      </c>
      <c r="G684" s="742" t="n"/>
      <c r="K684" s="497" t="inlineStr">
        <is>
          <t>HVAC1_CF_2</t>
        </is>
      </c>
      <c r="L684" s="601" t="n"/>
      <c r="P684" s="742" t="n"/>
      <c r="Q684" s="497" t="inlineStr">
        <is>
          <t>HVAC1_CF_1_off</t>
        </is>
      </c>
      <c r="R684" s="592" t="n"/>
      <c r="S684" s="267" t="n"/>
      <c r="T684" s="497" t="inlineStr">
        <is>
          <t>HVAC1_CF_2</t>
        </is>
      </c>
      <c r="U684" s="757" t="n"/>
      <c r="AH684" s="632" t="inlineStr">
        <is>
          <t>Condenser Fan 2</t>
        </is>
      </c>
      <c r="AI684" s="654" t="n"/>
      <c r="AJ684" s="654" t="n"/>
      <c r="AK684" s="654" t="n"/>
      <c r="AL684" s="641" t="n"/>
      <c r="AM684" s="641" t="n"/>
      <c r="AN684" s="641" t="n"/>
      <c r="AO684" s="641" t="n"/>
      <c r="AP684" s="641" t="n"/>
      <c r="AQ684" s="641" t="n"/>
      <c r="AR684" s="641" t="n"/>
      <c r="AS684" s="641" t="n"/>
      <c r="AT684" s="641" t="n"/>
      <c r="AU684" s="641" t="n"/>
    </row>
    <row r="685">
      <c r="D685" s="639" t="n">
        <v>15</v>
      </c>
      <c r="G685" s="742" t="n"/>
      <c r="K685" s="497" t="inlineStr">
        <is>
          <t>Command_RAD</t>
        </is>
      </c>
      <c r="L685" s="497" t="n"/>
      <c r="P685" s="742" t="n"/>
      <c r="Q685" s="497" t="inlineStr">
        <is>
          <t>Command_RAD</t>
        </is>
      </c>
      <c r="R685" s="592" t="n"/>
      <c r="S685" s="267" t="n"/>
      <c r="T685" s="497" t="inlineStr">
        <is>
          <t>Command_RAD</t>
        </is>
      </c>
      <c r="U685" s="757" t="n"/>
      <c r="AH685" s="632" t="inlineStr">
        <is>
          <t>Supply Air Fan</t>
        </is>
      </c>
      <c r="AI685" s="654" t="n"/>
      <c r="AJ685" s="654" t="n"/>
      <c r="AK685" s="654" t="n"/>
      <c r="AL685" s="641" t="n"/>
      <c r="AM685" s="641" t="n"/>
      <c r="AN685" s="641" t="n"/>
      <c r="AO685" s="641" t="n"/>
      <c r="AP685" s="641" t="n"/>
      <c r="AQ685" s="641" t="n"/>
      <c r="AR685" s="641" t="n"/>
      <c r="AS685" s="641" t="n"/>
      <c r="AT685" s="641" t="n"/>
      <c r="AU685" s="641" t="n"/>
    </row>
    <row r="686">
      <c r="D686" s="639" t="n">
        <v>16</v>
      </c>
      <c r="G686" s="742" t="n"/>
      <c r="K686" s="497" t="inlineStr">
        <is>
          <t>Command_FAD_1</t>
        </is>
      </c>
      <c r="L686" s="497" t="n"/>
      <c r="P686" s="742" t="n"/>
      <c r="Q686" s="497" t="inlineStr">
        <is>
          <t>Command_FAD_1</t>
        </is>
      </c>
      <c r="R686" s="592" t="n"/>
      <c r="S686" s="267" t="n"/>
      <c r="T686" s="497" t="inlineStr">
        <is>
          <t>Command_FAD_1</t>
        </is>
      </c>
      <c r="U686" s="757" t="n"/>
      <c r="AH686" s="632" t="inlineStr">
        <is>
          <t>Heater</t>
        </is>
      </c>
      <c r="AI686" s="654" t="n"/>
      <c r="AJ686" s="654" t="n"/>
      <c r="AK686" s="654" t="n"/>
      <c r="AL686" s="641" t="n"/>
      <c r="AM686" s="641" t="n"/>
      <c r="AN686" s="641" t="n"/>
      <c r="AO686" s="641" t="n"/>
      <c r="AP686" s="641" t="n"/>
      <c r="AQ686" s="641" t="n"/>
      <c r="AR686" s="641" t="n"/>
      <c r="AS686" s="641" t="n"/>
      <c r="AT686" s="641" t="n"/>
      <c r="AU686" s="641" t="n"/>
    </row>
    <row r="687">
      <c r="D687" s="639" t="n">
        <v>17</v>
      </c>
      <c r="G687" s="742" t="n"/>
      <c r="K687" s="497" t="inlineStr">
        <is>
          <t>Command_FAD_2</t>
        </is>
      </c>
      <c r="L687" s="497" t="n"/>
      <c r="P687" s="742" t="n"/>
      <c r="Q687" s="497" t="inlineStr">
        <is>
          <t>Command_FAD_2</t>
        </is>
      </c>
      <c r="R687" s="592" t="n"/>
      <c r="S687" s="267" t="n"/>
      <c r="T687" s="497" t="inlineStr">
        <is>
          <t>Command_FAD_2</t>
        </is>
      </c>
      <c r="U687" s="757" t="n"/>
      <c r="AH687" s="632" t="inlineStr">
        <is>
          <t>RCCB</t>
        </is>
      </c>
      <c r="AS687" s="742" t="n"/>
    </row>
    <row r="688">
      <c r="D688" s="639" t="n">
        <v>18</v>
      </c>
      <c r="G688" s="742" t="n"/>
      <c r="K688" s="497" t="inlineStr">
        <is>
          <t>HVAC1_SAF1</t>
        </is>
      </c>
      <c r="L688" s="497" t="n"/>
      <c r="P688" s="742" t="n"/>
      <c r="Q688" s="497" t="inlineStr">
        <is>
          <t>HVAC1_SAF1</t>
        </is>
      </c>
      <c r="R688" s="592" t="n"/>
      <c r="S688" s="267" t="n"/>
      <c r="T688" s="497" t="inlineStr">
        <is>
          <t>HVAC1_SAF1</t>
        </is>
      </c>
      <c r="U688" s="757" t="n"/>
      <c r="AH688" s="632" t="inlineStr">
        <is>
          <t>VACFR</t>
        </is>
      </c>
      <c r="AS688" s="742" t="n"/>
    </row>
    <row r="689">
      <c r="D689" s="639" t="n">
        <v>19</v>
      </c>
      <c r="G689" s="742" t="n"/>
      <c r="K689" s="497" t="inlineStr">
        <is>
          <t>HVAC1_SAF2</t>
        </is>
      </c>
      <c r="L689" s="497" t="n"/>
      <c r="P689" s="742" t="n"/>
      <c r="Q689" s="497" t="inlineStr">
        <is>
          <t>HVAC1_SAF2</t>
        </is>
      </c>
      <c r="R689" s="592" t="n"/>
      <c r="S689" s="267" t="n"/>
      <c r="T689" s="497" t="inlineStr">
        <is>
          <t>HVAC1_SAF2</t>
        </is>
      </c>
      <c r="U689" s="757" t="n"/>
      <c r="AS689" s="742" t="n"/>
      <c r="AU689" s="267" t="n"/>
    </row>
    <row r="690">
      <c r="D690" s="639" t="n">
        <v>20</v>
      </c>
      <c r="G690" s="742" t="n"/>
      <c r="K690" s="497" t="inlineStr">
        <is>
          <t>Heater 1</t>
        </is>
      </c>
      <c r="L690" s="497" t="n"/>
      <c r="P690" s="742" t="n"/>
      <c r="Q690" s="497" t="inlineStr">
        <is>
          <t>Heater 1</t>
        </is>
      </c>
      <c r="R690" s="592" t="n"/>
      <c r="S690" s="267" t="n"/>
      <c r="T690" s="497" t="inlineStr">
        <is>
          <t>Heater 1</t>
        </is>
      </c>
      <c r="U690" s="757" t="n"/>
      <c r="AS690" s="742" t="n"/>
      <c r="AU690" s="267" t="n"/>
    </row>
    <row r="691">
      <c r="D691" s="639" t="n">
        <v>21</v>
      </c>
      <c r="G691" s="742" t="n"/>
      <c r="K691" s="497" t="inlineStr">
        <is>
          <t>Heater 2</t>
        </is>
      </c>
      <c r="L691" s="497" t="n"/>
      <c r="P691" s="742" t="n"/>
      <c r="Q691" s="497" t="inlineStr">
        <is>
          <t>Heater 2</t>
        </is>
      </c>
      <c r="R691" s="592" t="n"/>
      <c r="T691" s="497" t="inlineStr">
        <is>
          <t>Heater 2</t>
        </is>
      </c>
      <c r="U691" s="757" t="n"/>
      <c r="AS691" s="742" t="n"/>
      <c r="AU691" s="267" t="n"/>
    </row>
    <row r="692">
      <c r="D692" s="639" t="n">
        <v>22</v>
      </c>
      <c r="G692" s="742" t="n"/>
      <c r="P692" s="742" t="n"/>
      <c r="Q692" s="742" t="n"/>
      <c r="S692" s="267" t="n"/>
      <c r="AS692" s="742" t="n"/>
      <c r="AU692" s="267" t="n"/>
    </row>
    <row r="693">
      <c r="D693" s="639" t="n">
        <v>23</v>
      </c>
      <c r="G693" s="742" t="n"/>
      <c r="P693" s="742" t="n"/>
      <c r="Q693" s="742" t="n"/>
      <c r="S693" s="267" t="n"/>
      <c r="AS693" s="742" t="n"/>
      <c r="AU693" s="267" t="n"/>
    </row>
    <row r="694" ht="16.5" customHeight="1" thickBot="1">
      <c r="D694" s="639" t="n">
        <v>24</v>
      </c>
      <c r="G694" s="742" t="n"/>
      <c r="K694" s="655" t="inlineStr">
        <is>
          <t>For LFD</t>
        </is>
      </c>
      <c r="L694" s="655" t="n"/>
      <c r="M694" s="655" t="n"/>
      <c r="N694" s="655" t="n"/>
      <c r="O694" s="655" t="n"/>
      <c r="P694" s="655" t="n"/>
      <c r="Q694" s="655" t="n"/>
      <c r="R694" s="655" t="n"/>
      <c r="S694" s="655" t="n"/>
      <c r="AS694" s="742" t="n"/>
      <c r="AU694" s="267" t="n"/>
    </row>
    <row r="695" ht="16.5" customHeight="1" thickBot="1">
      <c r="D695" s="639" t="n">
        <v>25</v>
      </c>
      <c r="G695" s="742" t="n"/>
      <c r="K695" s="660" t="inlineStr">
        <is>
          <t>Emergency Vent Mode</t>
        </is>
      </c>
      <c r="L695" s="795" t="n"/>
      <c r="M695" s="660" t="inlineStr">
        <is>
          <t>Internal Smoke Mode</t>
        </is>
      </c>
      <c r="N695" s="794" t="n"/>
      <c r="O695" s="794" t="n"/>
      <c r="P695" s="794" t="n"/>
      <c r="Q695" s="795" t="n"/>
      <c r="R695" s="660" t="inlineStr">
        <is>
          <t>External Smoke Mode</t>
        </is>
      </c>
      <c r="S695" s="795" t="n"/>
      <c r="AS695" s="742" t="n"/>
      <c r="AU695" s="267" t="n"/>
    </row>
    <row r="696" ht="16.5" customHeight="1" thickBot="1">
      <c r="D696" s="656" t="n">
        <v>35</v>
      </c>
      <c r="G696" s="742" t="n"/>
      <c r="K696" s="497" t="inlineStr">
        <is>
          <t>COMP_1</t>
        </is>
      </c>
      <c r="L696" s="657">
        <f>IF($AE$675=1,1,0)</f>
        <v/>
      </c>
      <c r="M696" s="497" t="inlineStr">
        <is>
          <t>COMP_1</t>
        </is>
      </c>
      <c r="P696" s="742" t="n"/>
      <c r="Q696" s="657">
        <f>IF($Y$675=1,0,1)</f>
        <v/>
      </c>
      <c r="R696" s="735" t="inlineStr">
        <is>
          <t>COMP_1</t>
        </is>
      </c>
      <c r="S696" s="658">
        <f>IF($Z$675=1,1,0)</f>
        <v/>
      </c>
      <c r="AS696" s="742" t="n"/>
      <c r="AU696" s="267" t="n"/>
    </row>
    <row r="697" ht="16.5" customHeight="1" thickBot="1">
      <c r="D697" s="656" t="n">
        <v>36</v>
      </c>
      <c r="G697" s="742" t="n"/>
      <c r="K697" s="497" t="inlineStr">
        <is>
          <t>COMP_2</t>
        </is>
      </c>
      <c r="L697" s="657">
        <f>IF($AE$675=1,1,0)</f>
        <v/>
      </c>
      <c r="M697" s="497" t="inlineStr">
        <is>
          <t>COMP_2</t>
        </is>
      </c>
      <c r="P697" s="742" t="n"/>
      <c r="Q697" s="657">
        <f>IF($Y$675=1,0,1)</f>
        <v/>
      </c>
      <c r="R697" s="735" t="inlineStr">
        <is>
          <t>COMP_2</t>
        </is>
      </c>
      <c r="S697" s="658">
        <f>IF($Z$675=1,1,0)</f>
        <v/>
      </c>
      <c r="AS697" s="742" t="n"/>
      <c r="AU697" s="267" t="n"/>
    </row>
    <row r="698" ht="16.5" customHeight="1" thickBot="1">
      <c r="D698" s="656" t="n">
        <v>37</v>
      </c>
      <c r="G698" s="742" t="n"/>
      <c r="K698" s="497" t="inlineStr">
        <is>
          <t>COMP_3</t>
        </is>
      </c>
      <c r="L698" s="657">
        <f>IF($AE$675=1,1,0)</f>
        <v/>
      </c>
      <c r="M698" s="497" t="inlineStr">
        <is>
          <t>COMP_3</t>
        </is>
      </c>
      <c r="P698" s="742" t="n"/>
      <c r="Q698" s="657">
        <f>IF($Y$675=1,0,1)</f>
        <v/>
      </c>
      <c r="R698" s="735" t="inlineStr">
        <is>
          <t>COMP_3</t>
        </is>
      </c>
      <c r="S698" s="658">
        <f>IF($Z$675=1,1,0)</f>
        <v/>
      </c>
      <c r="AS698" s="742" t="n"/>
      <c r="AU698" s="267" t="n"/>
    </row>
    <row r="699" ht="16.5" customHeight="1" thickBot="1">
      <c r="D699" s="656" t="n">
        <v>38</v>
      </c>
      <c r="G699" s="742" t="n"/>
      <c r="K699" s="497" t="inlineStr">
        <is>
          <t>COMP_4</t>
        </is>
      </c>
      <c r="L699" s="657">
        <f>IF($AE$675=1,1,0)</f>
        <v/>
      </c>
      <c r="M699" s="497" t="inlineStr">
        <is>
          <t>COMP_4</t>
        </is>
      </c>
      <c r="P699" s="742" t="n"/>
      <c r="Q699" s="657">
        <f>IF($Y$675=1,0,1)</f>
        <v/>
      </c>
      <c r="R699" s="735" t="inlineStr">
        <is>
          <t>COMP_4</t>
        </is>
      </c>
      <c r="S699" s="658">
        <f>IF($Z$675=1,1,0)</f>
        <v/>
      </c>
      <c r="AS699" s="742" t="n"/>
      <c r="AU699" s="267" t="n"/>
    </row>
    <row r="700" ht="16.5" customHeight="1" thickBot="1">
      <c r="D700" s="656" t="n">
        <v>39</v>
      </c>
      <c r="G700" s="742" t="n"/>
      <c r="K700" s="497" t="inlineStr">
        <is>
          <t>CF_1</t>
        </is>
      </c>
      <c r="L700" s="657">
        <f>IF($AE$675=1,1,0)</f>
        <v/>
      </c>
      <c r="M700" s="497" t="inlineStr">
        <is>
          <t>CF_1</t>
        </is>
      </c>
      <c r="P700" s="742" t="n"/>
      <c r="Q700" s="657">
        <f>IF($Y$675=1,0,1)</f>
        <v/>
      </c>
      <c r="R700" s="735" t="inlineStr">
        <is>
          <t>CF_1</t>
        </is>
      </c>
      <c r="S700" s="658">
        <f>IF($Z$675=1,1,0)</f>
        <v/>
      </c>
      <c r="AS700" s="742" t="n"/>
    </row>
    <row r="701" ht="16.5" customHeight="1" thickBot="1">
      <c r="D701" s="656" t="n">
        <v>40</v>
      </c>
      <c r="G701" s="742" t="n"/>
      <c r="K701" s="497" t="inlineStr">
        <is>
          <t>CF_2</t>
        </is>
      </c>
      <c r="L701" s="657">
        <f>IF($AE$675=1,1,0)</f>
        <v/>
      </c>
      <c r="M701" s="497" t="inlineStr">
        <is>
          <t>CF_2</t>
        </is>
      </c>
      <c r="P701" s="742" t="n"/>
      <c r="Q701" s="657">
        <f>IF($Y$675=1,0,1)</f>
        <v/>
      </c>
      <c r="R701" s="735" t="inlineStr">
        <is>
          <t>CF_2</t>
        </is>
      </c>
      <c r="S701" s="658">
        <f>IF($Z$675=1,1,0)</f>
        <v/>
      </c>
      <c r="AS701" s="742" t="n"/>
    </row>
    <row r="702" ht="16.5" customHeight="1" thickBot="1">
      <c r="D702" s="656" t="n">
        <v>41</v>
      </c>
      <c r="G702" s="742" t="n"/>
      <c r="K702" s="497" t="inlineStr">
        <is>
          <t>RAD</t>
        </is>
      </c>
      <c r="L702" s="657">
        <f>IF($AE$675=1,1,0)</f>
        <v/>
      </c>
      <c r="M702" s="497" t="inlineStr">
        <is>
          <t>RAD</t>
        </is>
      </c>
      <c r="P702" s="742" t="n"/>
      <c r="Q702" s="657">
        <f>IF($Y$675=1,0,1)</f>
        <v/>
      </c>
      <c r="R702" s="735" t="inlineStr">
        <is>
          <t>RAD</t>
        </is>
      </c>
      <c r="S702" s="658">
        <f>IF($Z$675=1,1,0)</f>
        <v/>
      </c>
      <c r="AS702" s="742" t="n"/>
    </row>
    <row r="703" ht="16.5" customHeight="1" thickBot="1">
      <c r="D703" s="656" t="n">
        <v>42</v>
      </c>
      <c r="G703" s="742" t="n"/>
      <c r="K703" s="497" t="inlineStr">
        <is>
          <t>FAD_1</t>
        </is>
      </c>
      <c r="L703" s="657">
        <f>IF($AE$675=1,0,1)</f>
        <v/>
      </c>
      <c r="M703" s="497" t="inlineStr">
        <is>
          <t>FAD_1</t>
        </is>
      </c>
      <c r="P703" s="742" t="n"/>
      <c r="Q703" s="657">
        <f>IF($Y$675=1,0,1)</f>
        <v/>
      </c>
      <c r="R703" s="735" t="inlineStr">
        <is>
          <t>FAD_1</t>
        </is>
      </c>
      <c r="S703" s="658">
        <f>IF($Z$675=1,0,1)</f>
        <v/>
      </c>
      <c r="AS703" s="742" t="n"/>
    </row>
    <row r="704" ht="16.5" customHeight="1" thickBot="1">
      <c r="G704" s="742" t="n"/>
      <c r="I704" s="267" t="n"/>
      <c r="K704" s="497" t="inlineStr">
        <is>
          <t>FAD_2</t>
        </is>
      </c>
      <c r="L704" s="657">
        <f>IF($AE$675=1,0,1)</f>
        <v/>
      </c>
      <c r="M704" s="497" t="inlineStr">
        <is>
          <t>FAD_2</t>
        </is>
      </c>
      <c r="P704" s="742" t="n"/>
      <c r="Q704" s="657">
        <f>IF($Y$675=1,0,1)</f>
        <v/>
      </c>
      <c r="R704" s="735" t="inlineStr">
        <is>
          <t>FAD_2</t>
        </is>
      </c>
      <c r="S704" s="658">
        <f>IF($Z$675=1,0,1)</f>
        <v/>
      </c>
      <c r="AS704" s="742" t="n"/>
    </row>
    <row r="705" ht="16.5" customHeight="1" thickBot="1">
      <c r="G705" s="742" t="n"/>
      <c r="I705" s="267" t="n"/>
      <c r="K705" s="497" t="inlineStr">
        <is>
          <t>SAF1</t>
        </is>
      </c>
      <c r="L705" s="657">
        <f>IF($AE$675=1,1,0)</f>
        <v/>
      </c>
      <c r="M705" s="497" t="inlineStr">
        <is>
          <t>SAF1</t>
        </is>
      </c>
      <c r="P705" s="742" t="n"/>
      <c r="Q705" s="657">
        <f>IF($Y$675=1,0,1)</f>
        <v/>
      </c>
      <c r="R705" s="735" t="inlineStr">
        <is>
          <t>SAF1</t>
        </is>
      </c>
      <c r="S705" s="658">
        <f>IF($Z$675=1,1,0)</f>
        <v/>
      </c>
      <c r="AS705" s="742" t="n"/>
    </row>
    <row r="706" ht="16.5" customHeight="1" thickBot="1">
      <c r="G706" s="742" t="n"/>
      <c r="I706" s="267" t="n"/>
      <c r="K706" s="497" t="inlineStr">
        <is>
          <t>SAF2</t>
        </is>
      </c>
      <c r="L706" s="657">
        <f>IF($AE$675=1,1,0)</f>
        <v/>
      </c>
      <c r="M706" s="497" t="inlineStr">
        <is>
          <t>SAF2</t>
        </is>
      </c>
      <c r="P706" s="742" t="n"/>
      <c r="Q706" s="657">
        <f>IF($Y$675=1,0,1)</f>
        <v/>
      </c>
      <c r="R706" s="735" t="inlineStr">
        <is>
          <t>SAF2</t>
        </is>
      </c>
      <c r="S706" s="658">
        <f>IF($Z$675=1,1,0)</f>
        <v/>
      </c>
      <c r="AS706" s="742" t="n"/>
    </row>
    <row r="707" ht="16.5" customHeight="1" thickBot="1">
      <c r="G707" s="742" t="n"/>
      <c r="I707" s="267" t="n"/>
      <c r="K707" s="659" t="n"/>
      <c r="L707" s="660" t="n"/>
      <c r="M707" s="659" t="n"/>
      <c r="P707" s="742" t="n"/>
      <c r="Q707" s="660" t="n"/>
      <c r="R707" s="735" t="n"/>
      <c r="S707" s="660" t="n"/>
      <c r="AS707" s="742" t="n"/>
    </row>
    <row r="708">
      <c r="G708" s="742" t="n"/>
      <c r="I708" s="267" t="n"/>
      <c r="P708" s="742" t="n"/>
      <c r="Q708" s="742" t="n"/>
      <c r="S708" s="267" t="n"/>
      <c r="AS708" s="742" t="n"/>
    </row>
    <row r="709">
      <c r="G709" s="742" t="n"/>
      <c r="I709" s="267" t="n"/>
      <c r="P709" s="742" t="n"/>
      <c r="Q709" s="742" t="n"/>
      <c r="S709" s="267" t="n"/>
      <c r="AS709" s="742" t="n"/>
      <c r="AU709" s="267" t="n"/>
    </row>
    <row r="710">
      <c r="G710" s="742" t="n"/>
      <c r="I710" s="267" t="n"/>
      <c r="P710" s="742" t="n"/>
      <c r="Q710" s="742" t="n"/>
      <c r="S710" s="267" t="n"/>
      <c r="AS710" s="742" t="n"/>
      <c r="AU710" s="267" t="n"/>
    </row>
    <row r="711">
      <c r="G711" s="742" t="n"/>
      <c r="I711" s="267" t="n"/>
      <c r="P711" s="742" t="n"/>
      <c r="Q711" s="742" t="n"/>
      <c r="S711" s="267" t="n"/>
      <c r="AS711" s="742" t="n"/>
      <c r="AU711" s="267" t="n"/>
    </row>
    <row r="712">
      <c r="G712" s="742" t="n"/>
      <c r="I712" s="267" t="n"/>
      <c r="P712" s="742" t="n"/>
      <c r="Q712" s="742" t="n"/>
      <c r="S712" s="267" t="n"/>
      <c r="AS712" s="742" t="n"/>
      <c r="AU712" s="267" t="n"/>
    </row>
    <row r="713">
      <c r="G713" s="742" t="n"/>
      <c r="I713" s="267" t="n"/>
      <c r="P713" s="742" t="n"/>
      <c r="Q713" s="742" t="n"/>
      <c r="S713" s="267" t="n"/>
      <c r="AS713" s="742" t="n"/>
      <c r="AU713" s="267" t="n"/>
    </row>
    <row r="714">
      <c r="G714" s="742" t="n"/>
      <c r="I714" s="267" t="n"/>
      <c r="P714" s="742" t="n"/>
      <c r="Q714" s="742" t="n"/>
      <c r="S714" s="267" t="n"/>
      <c r="AS714" s="742" t="n"/>
      <c r="AU714" s="267" t="n"/>
    </row>
    <row r="715">
      <c r="G715" s="742" t="n"/>
      <c r="I715" s="267" t="n"/>
      <c r="P715" s="742" t="n"/>
      <c r="Q715" s="742" t="n"/>
      <c r="S715" s="267" t="n"/>
      <c r="AS715" s="742" t="n"/>
      <c r="AU715" s="267" t="n"/>
    </row>
    <row r="716">
      <c r="G716" s="742" t="n"/>
      <c r="I716" s="267" t="n"/>
      <c r="P716" s="742" t="n"/>
      <c r="Q716" s="742" t="n"/>
      <c r="S716" s="267" t="n"/>
      <c r="AS716" s="742" t="n"/>
      <c r="AU716" s="267" t="n"/>
    </row>
    <row r="717">
      <c r="G717" s="742" t="n"/>
      <c r="I717" s="267" t="n"/>
      <c r="P717" s="742" t="n"/>
      <c r="Q717" s="742" t="n"/>
      <c r="AS717" s="742" t="n"/>
      <c r="AU717" s="267" t="n"/>
    </row>
    <row r="718">
      <c r="G718" s="742" t="n"/>
      <c r="I718" s="267" t="n"/>
      <c r="P718" s="742" t="n"/>
      <c r="Q718" s="742" t="n"/>
      <c r="S718" s="267" t="n"/>
      <c r="AS718" s="742" t="n"/>
      <c r="AU718" s="267" t="n"/>
    </row>
    <row r="719">
      <c r="G719" s="742" t="n"/>
      <c r="I719" s="267" t="n"/>
      <c r="P719" s="742" t="n"/>
      <c r="Q719" s="742" t="n"/>
      <c r="S719" s="267" t="n"/>
      <c r="AS719" s="742" t="n"/>
      <c r="AU719" s="267" t="n"/>
    </row>
    <row r="720">
      <c r="G720" s="742" t="n"/>
      <c r="I720" s="267" t="n"/>
      <c r="P720" s="742" t="n"/>
      <c r="Q720" s="742" t="n"/>
      <c r="S720" s="267" t="n"/>
      <c r="AS720" s="742" t="n"/>
      <c r="AU720" s="267" t="n"/>
    </row>
    <row r="721">
      <c r="G721" s="742" t="n"/>
      <c r="I721" s="267" t="n"/>
      <c r="P721" s="742" t="n"/>
      <c r="Q721" s="742" t="n"/>
      <c r="S721" s="267" t="n"/>
      <c r="AS721" s="742" t="n"/>
      <c r="AU721" s="267" t="n"/>
    </row>
    <row r="722">
      <c r="G722" s="742" t="n"/>
      <c r="I722" s="267" t="n"/>
      <c r="P722" s="742" t="n"/>
      <c r="Q722" s="742" t="n"/>
      <c r="S722" s="267" t="n"/>
      <c r="AS722" s="742" t="n"/>
      <c r="AU722" s="267" t="n"/>
    </row>
    <row r="723">
      <c r="G723" s="742" t="n"/>
      <c r="I723" s="267" t="n"/>
      <c r="P723" s="742" t="n"/>
      <c r="Q723" s="742" t="n"/>
      <c r="S723" s="267" t="n"/>
      <c r="AS723" s="742" t="n"/>
      <c r="AU723" s="267" t="n"/>
    </row>
    <row r="724">
      <c r="G724" s="742" t="n"/>
      <c r="I724" s="267" t="n"/>
      <c r="P724" s="742" t="n"/>
      <c r="Q724" s="742" t="n"/>
      <c r="S724" s="267" t="n"/>
      <c r="AS724" s="742" t="n"/>
      <c r="AU724" s="267" t="n"/>
    </row>
    <row r="725">
      <c r="G725" s="742" t="n"/>
      <c r="I725" s="267" t="n"/>
      <c r="P725" s="742" t="n"/>
      <c r="Q725" s="742" t="n"/>
      <c r="S725" s="267" t="n"/>
      <c r="AS725" s="742" t="n"/>
      <c r="AU725" s="267" t="n"/>
    </row>
    <row r="726">
      <c r="G726" s="742" t="n"/>
      <c r="I726" s="267" t="n"/>
      <c r="P726" s="742" t="n"/>
      <c r="Q726" s="742" t="n"/>
      <c r="S726" s="267" t="n"/>
      <c r="AS726" s="742" t="n"/>
      <c r="AU726" s="267" t="n"/>
    </row>
    <row r="727">
      <c r="G727" s="742" t="n"/>
      <c r="I727" s="267" t="n"/>
      <c r="P727" s="742" t="n"/>
      <c r="Q727" s="742" t="n"/>
      <c r="S727" s="267" t="n"/>
      <c r="AS727" s="742" t="n"/>
      <c r="AU727" s="267" t="n"/>
    </row>
    <row r="728">
      <c r="G728" s="742" t="n"/>
      <c r="I728" s="267" t="n"/>
      <c r="P728" s="742" t="n"/>
      <c r="Q728" s="742" t="n"/>
      <c r="S728" s="267" t="n"/>
      <c r="AS728" s="742" t="n"/>
      <c r="AU728" s="267" t="n"/>
    </row>
    <row r="729">
      <c r="G729" s="742" t="n"/>
      <c r="I729" s="267" t="n"/>
      <c r="P729" s="742" t="n"/>
      <c r="Q729" s="742" t="n"/>
      <c r="S729" s="267" t="n"/>
      <c r="AS729" s="742" t="n"/>
      <c r="AU729" s="267" t="n"/>
    </row>
    <row r="730">
      <c r="G730" s="742" t="n"/>
      <c r="I730" s="267" t="n"/>
      <c r="P730" s="742" t="n"/>
      <c r="Q730" s="742" t="n"/>
      <c r="S730" s="267" t="n"/>
      <c r="AS730" s="742" t="n"/>
      <c r="AU730" s="267" t="n"/>
    </row>
    <row r="731">
      <c r="G731" s="742" t="n"/>
      <c r="I731" s="267" t="n"/>
      <c r="P731" s="742" t="n"/>
      <c r="Q731" s="742" t="n"/>
      <c r="S731" s="267" t="n"/>
      <c r="AS731" s="742" t="n"/>
      <c r="AU731" s="267" t="n"/>
    </row>
    <row r="732">
      <c r="G732" s="742" t="n"/>
      <c r="I732" s="267" t="n"/>
      <c r="P732" s="742" t="n"/>
      <c r="Q732" s="742" t="n"/>
      <c r="S732" s="267" t="n"/>
      <c r="AS732" s="742" t="n"/>
      <c r="AU732" s="267" t="n"/>
    </row>
    <row r="733">
      <c r="G733" s="742" t="n"/>
      <c r="I733" s="267" t="n"/>
      <c r="P733" s="742" t="n"/>
      <c r="Q733" s="742" t="n"/>
      <c r="S733" s="267" t="n"/>
      <c r="AS733" s="742" t="n"/>
      <c r="AU733" s="267" t="n"/>
    </row>
    <row r="734">
      <c r="G734" s="742" t="n"/>
      <c r="I734" s="267" t="n"/>
      <c r="P734" s="742" t="n"/>
      <c r="Q734" s="742" t="n"/>
      <c r="S734" s="267" t="n"/>
      <c r="AS734" s="742" t="n"/>
      <c r="AU734" s="267" t="n"/>
    </row>
    <row r="735">
      <c r="G735" s="742" t="n"/>
      <c r="I735" s="267" t="n"/>
      <c r="P735" s="742" t="n"/>
      <c r="Q735" s="742" t="n"/>
      <c r="S735" s="267" t="n"/>
      <c r="AS735" s="742" t="n"/>
      <c r="AU735" s="267" t="n"/>
    </row>
    <row r="736">
      <c r="G736" s="742" t="n"/>
      <c r="I736" s="267" t="n"/>
      <c r="P736" s="742" t="n"/>
      <c r="Q736" s="742" t="n"/>
      <c r="S736" s="267" t="n"/>
      <c r="AS736" s="742" t="n"/>
      <c r="AU736" s="267" t="n"/>
    </row>
    <row r="737">
      <c r="G737" s="742" t="n"/>
      <c r="I737" s="267" t="n"/>
      <c r="P737" s="742" t="n"/>
      <c r="Q737" s="742" t="n"/>
      <c r="S737" s="267" t="n"/>
      <c r="AS737" s="742" t="n"/>
      <c r="AU737" s="267" t="n"/>
    </row>
    <row r="738">
      <c r="G738" s="742" t="n"/>
      <c r="I738" s="267" t="n"/>
      <c r="P738" s="742" t="n"/>
      <c r="Q738" s="742" t="n"/>
      <c r="S738" s="267" t="n"/>
      <c r="AS738" s="742" t="n"/>
      <c r="AU738" s="267" t="n"/>
    </row>
    <row r="739">
      <c r="G739" s="742" t="n"/>
      <c r="I739" s="267" t="n"/>
      <c r="P739" s="742" t="n"/>
      <c r="Q739" s="742" t="n"/>
      <c r="S739" s="267" t="n"/>
      <c r="AS739" s="742" t="n"/>
      <c r="AU739" s="267" t="n"/>
    </row>
    <row r="740">
      <c r="G740" s="742" t="n"/>
      <c r="I740" s="267" t="n"/>
      <c r="P740" s="742" t="n"/>
      <c r="Q740" s="742" t="n"/>
      <c r="S740" s="267" t="n"/>
      <c r="AS740" s="742" t="n"/>
      <c r="AU740" s="267" t="n"/>
    </row>
    <row r="741">
      <c r="G741" s="742" t="n"/>
      <c r="I741" s="267" t="n"/>
      <c r="P741" s="742" t="n"/>
      <c r="Q741" s="742" t="n"/>
      <c r="S741" s="267" t="n"/>
      <c r="AS741" s="742" t="n"/>
      <c r="AU741" s="267" t="n"/>
    </row>
    <row r="914">
      <c r="DN914" s="742">
        <f>IF(OR('[2]DATA TRANSFER'!M10,'[2]DATA TRANSFER'!M12),1,0)</f>
        <v/>
      </c>
    </row>
  </sheetData>
  <mergeCells count="56">
    <mergeCell ref="DK3:DT3"/>
    <mergeCell ref="KC1:KH1"/>
    <mergeCell ref="K695:L695"/>
    <mergeCell ref="T678:U678"/>
    <mergeCell ref="CI3:CR3"/>
    <mergeCell ref="MH3:MQ3"/>
    <mergeCell ref="P3:Y3"/>
    <mergeCell ref="AS3:BB3"/>
    <mergeCell ref="FW1:GB1"/>
    <mergeCell ref="LB3:LK3"/>
    <mergeCell ref="BX3:CG3"/>
    <mergeCell ref="GI1:GN1"/>
    <mergeCell ref="EO3:EX3"/>
    <mergeCell ref="IC1:IH1"/>
    <mergeCell ref="IX3:JG3"/>
    <mergeCell ref="DZ3:EI3"/>
    <mergeCell ref="HN1:HS1"/>
    <mergeCell ref="FT3:GC3"/>
    <mergeCell ref="FE3:FN3"/>
    <mergeCell ref="AF3:AO3"/>
    <mergeCell ref="LU1:LZ1"/>
    <mergeCell ref="CY3:DH3"/>
    <mergeCell ref="JZ3:KI3"/>
    <mergeCell ref="LR3:MA3"/>
    <mergeCell ref="IO1:IT1"/>
    <mergeCell ref="GF3:GO3"/>
    <mergeCell ref="R695:S695"/>
    <mergeCell ref="S1:X1"/>
    <mergeCell ref="KS1:KX1"/>
    <mergeCell ref="HK3:HT3"/>
    <mergeCell ref="AI668:AU668"/>
    <mergeCell ref="M695:Q695"/>
    <mergeCell ref="CL1:CQ1"/>
    <mergeCell ref="MK1:MP1"/>
    <mergeCell ref="JQ1:JV1"/>
    <mergeCell ref="DB1:DG1"/>
    <mergeCell ref="ER1:EW1"/>
    <mergeCell ref="JA1:JF1"/>
    <mergeCell ref="D1:I1"/>
    <mergeCell ref="AV1:BA1"/>
    <mergeCell ref="LE1:LJ1"/>
    <mergeCell ref="GX1:HC1"/>
    <mergeCell ref="GU3:HD3"/>
    <mergeCell ref="CA1:CF1"/>
    <mergeCell ref="AI1:AN1"/>
    <mergeCell ref="KP3:KY3"/>
    <mergeCell ref="JN3:JW3"/>
    <mergeCell ref="A3:J3"/>
    <mergeCell ref="Q678:R678"/>
    <mergeCell ref="EC1:EH1"/>
    <mergeCell ref="BL1:BQ1"/>
    <mergeCell ref="DN1:DS1"/>
    <mergeCell ref="HZ3:II3"/>
    <mergeCell ref="BI3:BR3"/>
    <mergeCell ref="FH1:FM1"/>
    <mergeCell ref="IL3:IU3"/>
  </mergeCells>
  <pageMargins left="0.7" right="0.7" top="0.75" bottom="0.75" header="0.3" footer="0.3"/>
  <pageSetup orientation="portrait" horizontalDpi="1200" verticalDpi="12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zoomScale="85" zoomScaleNormal="85" workbookViewId="0">
      <selection activeCell="F22" sqref="F22"/>
    </sheetView>
  </sheetViews>
  <sheetFormatPr baseColWidth="8" defaultColWidth="9" defaultRowHeight="15"/>
  <cols>
    <col width="9" customWidth="1" style="715" min="1" max="1"/>
    <col width="26.7109375" customWidth="1" style="261" min="2" max="2"/>
    <col width="14.42578125" customWidth="1" style="715" min="3" max="4"/>
    <col width="16.42578125" customWidth="1" style="715" min="5" max="5"/>
    <col width="17.28515625" customWidth="1" style="715" min="6" max="6"/>
    <col width="14.42578125" customWidth="1" style="715" min="7" max="12"/>
    <col width="46.42578125" customWidth="1" style="715" min="13" max="13"/>
    <col width="14.42578125" customWidth="1" style="715" min="14" max="20"/>
    <col width="9" customWidth="1" style="715" min="21" max="16384"/>
  </cols>
  <sheetData>
    <row r="1" customFormat="1" s="262">
      <c r="A1" s="262" t="inlineStr">
        <is>
          <t>Sr No</t>
        </is>
      </c>
      <c r="B1" s="262" t="inlineStr">
        <is>
          <t>Mode of Operation</t>
        </is>
      </c>
      <c r="C1" s="262" t="inlineStr">
        <is>
          <t>Heater</t>
        </is>
      </c>
      <c r="D1" s="262" t="inlineStr">
        <is>
          <t>Condensor Fan</t>
        </is>
      </c>
      <c r="E1" s="262" t="inlineStr">
        <is>
          <t>Evaporator Fan 1</t>
        </is>
      </c>
      <c r="F1" s="262" t="inlineStr">
        <is>
          <t>Evaporator Fan 2</t>
        </is>
      </c>
      <c r="G1" s="262" t="inlineStr">
        <is>
          <t>Compressor 1</t>
        </is>
      </c>
      <c r="H1" s="262" t="inlineStr">
        <is>
          <t>Compressor 2</t>
        </is>
      </c>
      <c r="I1" s="262" t="inlineStr">
        <is>
          <t>Compressor 3</t>
        </is>
      </c>
      <c r="J1" s="262" t="inlineStr">
        <is>
          <t>Compressor 4</t>
        </is>
      </c>
      <c r="K1" s="262" t="inlineStr">
        <is>
          <t>FAD</t>
        </is>
      </c>
      <c r="L1" s="262" t="inlineStr">
        <is>
          <t>RAD</t>
        </is>
      </c>
      <c r="M1" s="262" t="inlineStr">
        <is>
          <t>Remarks</t>
        </is>
      </c>
    </row>
    <row r="2">
      <c r="A2" s="715" t="n">
        <v>1</v>
      </c>
      <c r="B2" s="261" t="inlineStr">
        <is>
          <t>Pre Cooling</t>
        </is>
      </c>
      <c r="C2" s="715" t="n">
        <v>0</v>
      </c>
      <c r="D2" s="715" t="n">
        <v>0</v>
      </c>
      <c r="E2" s="715" t="n">
        <v>1</v>
      </c>
      <c r="F2" s="715" t="n">
        <v>1</v>
      </c>
      <c r="G2" s="263" t="n">
        <v>1</v>
      </c>
      <c r="H2" s="263" t="n">
        <v>1</v>
      </c>
      <c r="I2" s="263" t="n">
        <v>1</v>
      </c>
      <c r="J2" s="263" t="n">
        <v>1</v>
      </c>
      <c r="K2" s="263" t="n">
        <v>0</v>
      </c>
      <c r="L2" s="263" t="n">
        <v>1</v>
      </c>
      <c r="M2" s="715" t="inlineStr">
        <is>
          <t>FAD usually closed or minimum opening.; RAD mostly 1</t>
        </is>
      </c>
    </row>
    <row r="3">
      <c r="A3" s="715" t="n">
        <v>2</v>
      </c>
      <c r="B3" s="261" t="inlineStr">
        <is>
          <t>Cooling Mode</t>
        </is>
      </c>
      <c r="C3" s="715" t="n">
        <v>0</v>
      </c>
      <c r="D3" s="715" t="n">
        <v>1</v>
      </c>
      <c r="E3" s="715" t="n">
        <v>1</v>
      </c>
      <c r="F3" s="715" t="n">
        <v>1</v>
      </c>
      <c r="G3" s="263" t="n">
        <v>1</v>
      </c>
      <c r="H3" s="263" t="n">
        <v>1</v>
      </c>
      <c r="I3" s="263" t="n">
        <v>1</v>
      </c>
      <c r="J3" s="263" t="n">
        <v>1</v>
      </c>
      <c r="K3" s="263" t="n">
        <v>1</v>
      </c>
      <c r="L3" s="263" t="n"/>
    </row>
    <row r="4">
      <c r="A4" s="715" t="n">
        <v>3</v>
      </c>
      <c r="B4" s="261" t="inlineStr">
        <is>
          <t>Ventilation Mode</t>
        </is>
      </c>
      <c r="C4" s="715" t="n">
        <v>0</v>
      </c>
      <c r="E4" s="715" t="n">
        <v>1</v>
      </c>
      <c r="F4" s="715" t="n">
        <v>1</v>
      </c>
      <c r="G4" s="715" t="n">
        <v>0</v>
      </c>
      <c r="H4" s="715" t="n">
        <v>0</v>
      </c>
      <c r="I4" s="715" t="n">
        <v>0</v>
      </c>
      <c r="J4" s="715" t="n">
        <v>0</v>
      </c>
      <c r="K4" s="715" t="n">
        <v>1</v>
      </c>
    </row>
    <row r="5">
      <c r="A5" s="715" t="n">
        <v>4</v>
      </c>
      <c r="B5" s="261" t="inlineStr">
        <is>
          <t>Heating Mode</t>
        </is>
      </c>
      <c r="C5" s="715" t="n">
        <v>1</v>
      </c>
      <c r="E5" s="715" t="n">
        <v>1</v>
      </c>
      <c r="F5" s="715" t="n">
        <v>1</v>
      </c>
      <c r="G5" s="263" t="n">
        <v>0</v>
      </c>
      <c r="H5" s="263" t="n">
        <v>0</v>
      </c>
      <c r="I5" s="263" t="n">
        <v>0</v>
      </c>
      <c r="J5" s="263" t="n">
        <v>0</v>
      </c>
    </row>
    <row r="6">
      <c r="A6" s="715" t="n">
        <v>5</v>
      </c>
      <c r="B6" s="261" t="inlineStr">
        <is>
          <t>Internal Smoke Mode</t>
        </is>
      </c>
    </row>
    <row r="7">
      <c r="A7" s="715" t="n">
        <v>6</v>
      </c>
      <c r="B7" s="261" t="inlineStr">
        <is>
          <t>External Smoke Mode</t>
        </is>
      </c>
    </row>
    <row r="8">
      <c r="A8" s="715" t="n">
        <v>7</v>
      </c>
      <c r="B8" s="261" t="inlineStr">
        <is>
          <t>Dehumidification Mode</t>
        </is>
      </c>
    </row>
    <row r="9">
      <c r="A9" s="715" t="n">
        <v>8</v>
      </c>
      <c r="B9" s="261" t="inlineStr">
        <is>
          <t>Emergency Ventilation Mode</t>
        </is>
      </c>
    </row>
  </sheetData>
  <pageMargins left="0.7" right="0.7" top="0.75" bottom="0.75" header="0.3" footer="0.3"/>
  <pageSetup orientation="portrait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51"/>
  <sheetViews>
    <sheetView topLeftCell="A144" zoomScale="76" workbookViewId="0">
      <selection activeCell="O208" sqref="O208"/>
    </sheetView>
  </sheetViews>
  <sheetFormatPr baseColWidth="8" defaultColWidth="9.140625" defaultRowHeight="15.75"/>
  <cols>
    <col width="9.140625" customWidth="1" style="48" min="1" max="1"/>
    <col width="42.28515625" customWidth="1" style="48" min="2" max="2"/>
    <col width="34.7109375" customWidth="1" style="48" min="3" max="3"/>
    <col width="26.28515625" customWidth="1" style="48" min="4" max="4"/>
    <col width="33.28515625" customWidth="1" style="48" min="5" max="5"/>
    <col width="21.140625" customWidth="1" style="48" min="6" max="6"/>
    <col width="25" customWidth="1" style="48" min="7" max="7"/>
    <col width="19.7109375" customWidth="1" style="48" min="8" max="8"/>
    <col width="43" customWidth="1" style="48" min="9" max="9"/>
    <col width="25" customWidth="1" style="48" min="10" max="10"/>
    <col width="30.7109375" customWidth="1" style="48" min="11" max="11"/>
    <col width="27.85546875" customWidth="1" style="48" min="12" max="12"/>
    <col width="24" customWidth="1" style="48" min="13" max="13"/>
    <col width="13.28515625" customWidth="1" style="48" min="14" max="14"/>
    <col width="24.85546875" customWidth="1" style="48" min="15" max="15"/>
    <col width="33.42578125" customWidth="1" style="48" min="16" max="16"/>
    <col width="17.85546875" customWidth="1" style="48" min="17" max="17"/>
    <col width="18" customWidth="1" style="48" min="18" max="18"/>
    <col width="22.7109375" customWidth="1" style="48" min="19" max="19"/>
    <col width="19.42578125" customWidth="1" style="48" min="20" max="20"/>
    <col width="10.140625" customWidth="1" style="48" min="21" max="21"/>
    <col width="12.7109375" customWidth="1" style="48" min="22" max="22"/>
    <col width="31.140625" customWidth="1" style="48" min="23" max="23"/>
    <col width="20.7109375" customWidth="1" style="48" min="24" max="24"/>
    <col width="19" customWidth="1" style="48" min="25" max="25"/>
    <col width="19.42578125" customWidth="1" style="64" min="26" max="26"/>
    <col width="17.42578125" customWidth="1" style="48" min="27" max="27"/>
    <col width="9.140625" customWidth="1" style="48" min="28" max="29"/>
    <col width="44.42578125" customWidth="1" style="48" min="30" max="30"/>
    <col width="17" customWidth="1" style="48" min="31" max="31"/>
    <col width="9.140625" customWidth="1" style="48" min="32" max="34"/>
    <col width="24.140625" customWidth="1" style="48" min="35" max="35"/>
    <col width="20.140625" customWidth="1" style="48" min="36" max="36"/>
    <col width="22.28515625" customWidth="1" style="48" min="37" max="37"/>
    <col width="9.140625" customWidth="1" style="48" min="38" max="16384"/>
  </cols>
  <sheetData>
    <row r="1">
      <c r="A1" s="360" t="inlineStr">
        <is>
          <t>Sr.No</t>
        </is>
      </c>
      <c r="B1" s="360" t="inlineStr">
        <is>
          <t>Signal / Component</t>
        </is>
      </c>
      <c r="C1" s="360" t="inlineStr">
        <is>
          <t>Category</t>
        </is>
      </c>
      <c r="D1" s="360" t="inlineStr">
        <is>
          <t xml:space="preserve">value </t>
        </is>
      </c>
      <c r="E1" s="360" t="inlineStr">
        <is>
          <t xml:space="preserve">source </t>
        </is>
      </c>
      <c r="F1" s="360" t="inlineStr">
        <is>
          <t>Communication</t>
        </is>
      </c>
      <c r="H1" s="360" t="inlineStr">
        <is>
          <t>Component Id</t>
        </is>
      </c>
      <c r="I1" s="360" t="inlineStr">
        <is>
          <t>Digital Output</t>
        </is>
      </c>
      <c r="J1" s="360" t="inlineStr">
        <is>
          <t xml:space="preserve">Source </t>
        </is>
      </c>
      <c r="K1" s="360" t="inlineStr">
        <is>
          <t xml:space="preserve">Value </t>
        </is>
      </c>
      <c r="L1" s="360" t="n"/>
      <c r="M1" s="360" t="n"/>
      <c r="O1" s="360" t="inlineStr">
        <is>
          <t>Sr.No</t>
        </is>
      </c>
      <c r="P1" s="360" t="inlineStr">
        <is>
          <t>Signal / Component</t>
        </is>
      </c>
      <c r="Q1" s="360" t="inlineStr">
        <is>
          <t>Category</t>
        </is>
      </c>
      <c r="R1" s="360" t="inlineStr">
        <is>
          <t xml:space="preserve">value </t>
        </is>
      </c>
      <c r="S1" s="360" t="inlineStr">
        <is>
          <t>Source</t>
        </is>
      </c>
      <c r="T1" s="360" t="inlineStr">
        <is>
          <t>Communication</t>
        </is>
      </c>
      <c r="V1" s="360" t="inlineStr">
        <is>
          <t>Sr.No</t>
        </is>
      </c>
      <c r="W1" s="360" t="inlineStr">
        <is>
          <t>Signal / Component</t>
        </is>
      </c>
      <c r="X1" s="360" t="inlineStr">
        <is>
          <t>Category</t>
        </is>
      </c>
      <c r="Y1" s="360" t="inlineStr">
        <is>
          <t xml:space="preserve">value </t>
        </is>
      </c>
      <c r="Z1" s="361" t="inlineStr">
        <is>
          <t>Direction</t>
        </is>
      </c>
      <c r="AA1" s="360" t="inlineStr">
        <is>
          <t>Communication</t>
        </is>
      </c>
    </row>
    <row r="2" ht="30" customHeight="1">
      <c r="A2" s="778" t="n">
        <v>1</v>
      </c>
      <c r="B2" s="778" t="inlineStr">
        <is>
          <t>Smoke Detector Status</t>
        </is>
      </c>
      <c r="C2" s="778" t="inlineStr">
        <is>
          <t>DI</t>
        </is>
      </c>
      <c r="D2" s="778">
        <f>IF(OR('DATA TRANSFER'!AE22,'DATA TRANSFER'!AE21),1,0)</f>
        <v/>
      </c>
      <c r="E2" s="778" t="n"/>
      <c r="F2" s="778" t="inlineStr">
        <is>
          <t>Hardwired</t>
        </is>
      </c>
      <c r="H2" s="236" t="inlineStr">
        <is>
          <t>HVAC1_Comp_1</t>
        </is>
      </c>
      <c r="I2" s="362" t="inlineStr">
        <is>
          <t>Compressor 1</t>
        </is>
      </c>
      <c r="J2" s="200" t="inlineStr">
        <is>
          <t>LFD</t>
        </is>
      </c>
      <c r="K2" s="363">
        <f>'DATA TRANSFER'!AT15</f>
        <v/>
      </c>
      <c r="L2" s="3" t="n"/>
      <c r="M2" s="63" t="n"/>
      <c r="O2" s="778" t="n">
        <v>1</v>
      </c>
      <c r="P2" s="778" t="inlineStr">
        <is>
          <t>Return Air Temperature (RAT)</t>
        </is>
      </c>
      <c r="Q2" s="778" t="inlineStr">
        <is>
          <t>AI</t>
        </is>
      </c>
      <c r="R2" s="778">
        <f>'DATA TRANSFER'!F38</f>
        <v/>
      </c>
      <c r="S2" s="778" t="inlineStr">
        <is>
          <t>control panel screen i/p</t>
        </is>
      </c>
      <c r="T2" s="778" t="inlineStr">
        <is>
          <t>Analog</t>
        </is>
      </c>
      <c r="V2" s="778" t="n">
        <v>1</v>
      </c>
      <c r="W2" s="778" t="inlineStr">
        <is>
          <t>Compressor 4 VFD Speed Reference</t>
        </is>
      </c>
      <c r="X2" s="778" t="inlineStr">
        <is>
          <t>AO</t>
        </is>
      </c>
      <c r="Y2" s="778" t="n"/>
      <c r="Z2" s="778" t="inlineStr">
        <is>
          <t>HVAC → Equipment</t>
        </is>
      </c>
      <c r="AA2" s="778" t="inlineStr">
        <is>
          <t>Analog</t>
        </is>
      </c>
      <c r="AD2" s="44" t="inlineStr">
        <is>
          <t>Level_Cool 1</t>
        </is>
      </c>
      <c r="AE2" s="3">
        <f>IF(AND('LFD OLD'!H6,'DATA TRANSFER'!AE20:AE22,'DATA TRANSFER'!AF16,'DATA TRANSFER'!AF17,'DATA TRANSFER'!CP36),1,0)</f>
        <v/>
      </c>
    </row>
    <row r="3" ht="15.75" customHeight="1">
      <c r="A3" s="778" t="n">
        <v>2</v>
      </c>
      <c r="B3" s="778" t="inlineStr">
        <is>
          <t>External Smoke Detection</t>
        </is>
      </c>
      <c r="C3" s="778" t="inlineStr">
        <is>
          <t>DI</t>
        </is>
      </c>
      <c r="D3" s="778">
        <f>'DATA TRANSFER'!AE22</f>
        <v/>
      </c>
      <c r="E3" s="778" t="n"/>
      <c r="F3" s="778" t="inlineStr">
        <is>
          <t>Hardwired</t>
        </is>
      </c>
      <c r="H3" s="236" t="inlineStr">
        <is>
          <t>HVAC1_Comp_2</t>
        </is>
      </c>
      <c r="I3" s="362" t="inlineStr">
        <is>
          <t>Compressor 2</t>
        </is>
      </c>
      <c r="J3" s="200" t="inlineStr">
        <is>
          <t>LFD</t>
        </is>
      </c>
      <c r="K3" s="363">
        <f>'DATA TRANSFER'!AT23</f>
        <v/>
      </c>
      <c r="L3" s="3" t="n"/>
      <c r="M3" s="63" t="n"/>
      <c r="O3" s="778" t="n">
        <v>2</v>
      </c>
      <c r="P3" s="778" t="inlineStr">
        <is>
          <t>Supply Air Temperature (SAT)</t>
        </is>
      </c>
      <c r="Q3" s="778" t="inlineStr">
        <is>
          <t>AI</t>
        </is>
      </c>
      <c r="R3" s="778" t="n"/>
      <c r="S3" s="778" t="n"/>
      <c r="T3" s="778" t="inlineStr">
        <is>
          <t>Analog</t>
        </is>
      </c>
      <c r="V3" s="778" t="n">
        <v>2</v>
      </c>
      <c r="W3" s="778" t="inlineStr">
        <is>
          <t>Supply Air Fan Speed Reference</t>
        </is>
      </c>
      <c r="X3" s="778" t="inlineStr">
        <is>
          <t>AO</t>
        </is>
      </c>
      <c r="Y3" s="778" t="n"/>
      <c r="Z3" s="778" t="inlineStr">
        <is>
          <t>HVAC → Equipment</t>
        </is>
      </c>
      <c r="AA3" s="778" t="inlineStr">
        <is>
          <t>Analog</t>
        </is>
      </c>
      <c r="AD3" s="44" t="inlineStr">
        <is>
          <t>Level_Cool 2</t>
        </is>
      </c>
      <c r="AE3" s="3">
        <f>IF(AND('LFD OLD'!I6,'DATA TRANSFER'!AE20:AE22,'DATA TRANSFER'!AF16,'DATA TRANSFER'!AF17,'DATA TRANSFER'!CP36),1,0)</f>
        <v/>
      </c>
    </row>
    <row r="4" ht="28.5" customHeight="1">
      <c r="A4" s="778" t="n">
        <v>3</v>
      </c>
      <c r="B4" s="778" t="inlineStr">
        <is>
          <t>Internal Fire Detection</t>
        </is>
      </c>
      <c r="C4" s="778" t="inlineStr">
        <is>
          <t>DI</t>
        </is>
      </c>
      <c r="D4" s="778">
        <f>'DATA TRANSFER'!AE21</f>
        <v/>
      </c>
      <c r="E4" s="778" t="n"/>
      <c r="F4" s="778" t="inlineStr">
        <is>
          <t>Hardwired</t>
        </is>
      </c>
      <c r="H4" s="236" t="inlineStr">
        <is>
          <t>HVAC1_Comp_3</t>
        </is>
      </c>
      <c r="I4" s="362" t="inlineStr">
        <is>
          <t>Compressor 3</t>
        </is>
      </c>
      <c r="J4" s="200" t="inlineStr">
        <is>
          <t>LFD</t>
        </is>
      </c>
      <c r="K4" s="363">
        <f>'DATA TRANSFER'!AT24</f>
        <v/>
      </c>
      <c r="L4" s="3" t="n"/>
      <c r="M4" s="63" t="n"/>
      <c r="O4" s="778" t="n">
        <v>3</v>
      </c>
      <c r="P4" s="778" t="inlineStr">
        <is>
          <t>Fresh Air Temperature (FAT)</t>
        </is>
      </c>
      <c r="Q4" s="778" t="inlineStr">
        <is>
          <t>AI</t>
        </is>
      </c>
      <c r="R4" s="778" t="n"/>
      <c r="S4" s="778" t="inlineStr">
        <is>
          <t>control panel screen i/p</t>
        </is>
      </c>
      <c r="T4" s="778" t="inlineStr">
        <is>
          <t>Analog</t>
        </is>
      </c>
      <c r="V4" s="778" t="n">
        <v>3</v>
      </c>
      <c r="W4" s="778" t="inlineStr">
        <is>
          <t>Cooling Demand %</t>
        </is>
      </c>
      <c r="X4" s="778" t="inlineStr">
        <is>
          <t>AO</t>
        </is>
      </c>
      <c r="Y4" s="778" t="n"/>
      <c r="Z4" s="778" t="inlineStr">
        <is>
          <t>HVAC → Equipment</t>
        </is>
      </c>
      <c r="AA4" s="778" t="inlineStr">
        <is>
          <t>Analog</t>
        </is>
      </c>
      <c r="AD4" s="44" t="inlineStr">
        <is>
          <t>Level_Cool 3</t>
        </is>
      </c>
      <c r="AE4" s="3">
        <f>IF(AND('LFD OLD'!J6,'DATA TRANSFER'!AE20:AE22,'DATA TRANSFER'!AF16,'DATA TRANSFER'!AF17,'DATA TRANSFER'!CP36),1,0)</f>
        <v/>
      </c>
    </row>
    <row r="5" ht="20.25" customHeight="1">
      <c r="A5" s="778" t="n">
        <v>4</v>
      </c>
      <c r="B5" s="778" t="inlineStr">
        <is>
          <t>SMDR Relay Status</t>
        </is>
      </c>
      <c r="C5" s="778" t="inlineStr">
        <is>
          <t>DI</t>
        </is>
      </c>
      <c r="D5" s="778">
        <f>IF(OR(D3:D4),1,0)</f>
        <v/>
      </c>
      <c r="E5" s="778" t="n"/>
      <c r="F5" s="778" t="inlineStr">
        <is>
          <t>Hardwired</t>
        </is>
      </c>
      <c r="H5" s="236" t="inlineStr">
        <is>
          <t>HVAC1_Comp_4</t>
        </is>
      </c>
      <c r="I5" s="362" t="inlineStr">
        <is>
          <t>Compressor 4</t>
        </is>
      </c>
      <c r="J5" s="200" t="inlineStr">
        <is>
          <t>LFD</t>
        </is>
      </c>
      <c r="K5" s="363">
        <f>IF(AND('CIRCUIT SIM'!L682,Calculation!$I$95=0,Calculation!D$95=0),1,0)</f>
        <v/>
      </c>
      <c r="L5" s="3" t="n"/>
      <c r="M5" s="63" t="n"/>
      <c r="O5" s="778" t="n">
        <v>4</v>
      </c>
      <c r="P5" s="778" t="inlineStr">
        <is>
          <t>Relative Humidity</t>
        </is>
      </c>
      <c r="Q5" s="778" t="inlineStr">
        <is>
          <t>AI</t>
        </is>
      </c>
      <c r="R5" s="778">
        <f>'DATA TRANSFER'!F43</f>
        <v/>
      </c>
      <c r="S5" s="778" t="inlineStr">
        <is>
          <t>control panel screen i/p</t>
        </is>
      </c>
      <c r="T5" s="778" t="inlineStr">
        <is>
          <t>Analog</t>
        </is>
      </c>
      <c r="V5" s="778" t="n">
        <v>4</v>
      </c>
      <c r="W5" s="778" t="inlineStr">
        <is>
          <t>Fresh Air Damper Position %</t>
        </is>
      </c>
      <c r="X5" s="778" t="inlineStr">
        <is>
          <t>AO</t>
        </is>
      </c>
      <c r="Y5" s="778" t="n"/>
      <c r="Z5" s="778" t="inlineStr">
        <is>
          <t>HVAC → Actuator</t>
        </is>
      </c>
      <c r="AA5" s="778" t="inlineStr">
        <is>
          <t>Analog</t>
        </is>
      </c>
      <c r="AD5" s="44" t="inlineStr">
        <is>
          <t>Level_Cool 4</t>
        </is>
      </c>
      <c r="AE5" s="3">
        <f>IF(AND('LFD OLD'!K6,'DATA TRANSFER'!AE20:AE22,'DATA TRANSFER'!AF16,'DATA TRANSFER'!AF17,'DATA TRANSFER'!CP36),1,0)</f>
        <v/>
      </c>
    </row>
    <row r="6" ht="20.25" customHeight="1">
      <c r="A6" s="778" t="n">
        <v>5</v>
      </c>
      <c r="B6" s="778" t="inlineStr">
        <is>
          <t>FADR Relay Status</t>
        </is>
      </c>
      <c r="C6" s="778" t="inlineStr">
        <is>
          <t>DI</t>
        </is>
      </c>
      <c r="D6" s="778">
        <f>Calculation!B28</f>
        <v/>
      </c>
      <c r="E6" s="778" t="n"/>
      <c r="F6" s="778" t="inlineStr">
        <is>
          <t>Hardwired</t>
        </is>
      </c>
      <c r="H6" s="236" t="inlineStr">
        <is>
          <t>HAVC1_CF_1</t>
        </is>
      </c>
      <c r="I6" s="362" t="inlineStr">
        <is>
          <t>Condenser fan 1_on</t>
        </is>
      </c>
      <c r="J6" s="200" t="inlineStr">
        <is>
          <t>LFD</t>
        </is>
      </c>
      <c r="K6" s="363">
        <f>IF(AND('CIRCUIT SIM'!L683,Calculation!$I$95=0,Calculation!D$95=0),1,0)</f>
        <v/>
      </c>
      <c r="L6" s="3" t="n"/>
      <c r="M6" s="63" t="n"/>
      <c r="O6" s="778" t="n">
        <v>5</v>
      </c>
      <c r="P6" s="778" t="inlineStr">
        <is>
          <t>HP Sensor 1</t>
        </is>
      </c>
      <c r="Q6" s="778" t="inlineStr">
        <is>
          <t>AI</t>
        </is>
      </c>
      <c r="R6" s="778">
        <f>'DATA TRANSFER'!F35</f>
        <v/>
      </c>
      <c r="S6" s="778" t="n"/>
      <c r="T6" s="778" t="inlineStr">
        <is>
          <t>Analog</t>
        </is>
      </c>
      <c r="V6" s="778" t="n">
        <v>5</v>
      </c>
      <c r="W6" s="778" t="inlineStr">
        <is>
          <t>HP Pressure Feedback</t>
        </is>
      </c>
      <c r="X6" s="778" t="inlineStr">
        <is>
          <t>Network AO</t>
        </is>
      </c>
      <c r="Y6" s="778" t="n"/>
      <c r="Z6" s="778" t="inlineStr">
        <is>
          <t>HVAC → TCMS</t>
        </is>
      </c>
      <c r="AA6" s="778" t="inlineStr">
        <is>
          <t>Ethernet/ECN</t>
        </is>
      </c>
      <c r="AD6" s="44" t="inlineStr">
        <is>
          <t>Level_Cool 5</t>
        </is>
      </c>
      <c r="AE6" s="3">
        <f>IF(AND('LFD OLD'!L6,'DATA TRANSFER'!AE20:AE22,'DATA TRANSFER'!AF16,'DATA TRANSFER'!AF17,'DATA TRANSFER'!CP36),1,0)</f>
        <v/>
      </c>
    </row>
    <row r="7" ht="16.5" customHeight="1">
      <c r="A7" s="778" t="n">
        <v>6</v>
      </c>
      <c r="B7" s="778" t="inlineStr">
        <is>
          <t>SFC-OFF Relay Status</t>
        </is>
      </c>
      <c r="C7" s="778" t="inlineStr">
        <is>
          <t>DI</t>
        </is>
      </c>
      <c r="D7" s="778">
        <f>IF(OR(D64:D65),1,0)</f>
        <v/>
      </c>
      <c r="E7" s="778" t="n"/>
      <c r="F7" s="778" t="inlineStr">
        <is>
          <t>Hardwired</t>
        </is>
      </c>
      <c r="H7" s="236" t="inlineStr">
        <is>
          <t>HAVC1_CF_2</t>
        </is>
      </c>
      <c r="I7" s="362" t="inlineStr">
        <is>
          <t>condenser fan 2 _on</t>
        </is>
      </c>
      <c r="J7" s="200" t="inlineStr">
        <is>
          <t>LFD</t>
        </is>
      </c>
      <c r="K7" s="363">
        <f>IF(AND('CIRCUIT SIM'!L684,Calculation!$I$95=0,Calculation!D$95=0),1,0)</f>
        <v/>
      </c>
      <c r="L7" s="3" t="n"/>
      <c r="M7" s="63" t="n"/>
      <c r="O7" s="778" t="n">
        <v>6</v>
      </c>
      <c r="P7" s="778" t="inlineStr">
        <is>
          <t>LP Sensor 1</t>
        </is>
      </c>
      <c r="Q7" s="778" t="inlineStr">
        <is>
          <t>AI</t>
        </is>
      </c>
      <c r="R7" s="778">
        <f>'DATA TRANSFER'!F36</f>
        <v/>
      </c>
      <c r="S7" s="778" t="n"/>
      <c r="T7" s="778" t="inlineStr">
        <is>
          <t>Analog</t>
        </is>
      </c>
      <c r="V7" s="778" t="n">
        <v>6</v>
      </c>
      <c r="W7" s="778" t="inlineStr">
        <is>
          <t>LP Pressure Feedback</t>
        </is>
      </c>
      <c r="X7" s="778" t="inlineStr">
        <is>
          <t>Network AO</t>
        </is>
      </c>
      <c r="Y7" s="778" t="n"/>
      <c r="Z7" s="778" t="inlineStr">
        <is>
          <t>HVAC → TCMS</t>
        </is>
      </c>
      <c r="AA7" s="778" t="inlineStr">
        <is>
          <t>Ethernet/ECN</t>
        </is>
      </c>
      <c r="AD7" s="44" t="inlineStr">
        <is>
          <t>Level_Cool 6</t>
        </is>
      </c>
      <c r="AE7" s="3">
        <f>IF(AND('LFD OLD'!M6,'DATA TRANSFER'!AE20:AE22,'DATA TRANSFER'!AF16,'DATA TRANSFER'!AF17,'DATA TRANSFER'!CP36),1,0)</f>
        <v/>
      </c>
    </row>
    <row r="8" ht="15" customHeight="1">
      <c r="A8" s="778" t="n">
        <v>7</v>
      </c>
      <c r="B8" s="778" t="inlineStr">
        <is>
          <t>PPR1 Relay Status</t>
        </is>
      </c>
      <c r="C8" s="778" t="inlineStr">
        <is>
          <t>DI</t>
        </is>
      </c>
      <c r="D8" s="778" t="n">
        <v>1</v>
      </c>
      <c r="E8" s="778" t="n"/>
      <c r="F8" s="778" t="inlineStr">
        <is>
          <t>Hardwired</t>
        </is>
      </c>
      <c r="H8" s="236" t="inlineStr">
        <is>
          <t>HAVC1__SF_1</t>
        </is>
      </c>
      <c r="I8" s="362" t="inlineStr">
        <is>
          <t>Supply air fan 1_on</t>
        </is>
      </c>
      <c r="J8" s="200" t="inlineStr">
        <is>
          <t>LFD</t>
        </is>
      </c>
      <c r="K8" s="363">
        <f>IF(AND('CIRCUIT SIM'!L688,Calculation!$I$95=0,Calculation!D$95=0),1,0)</f>
        <v/>
      </c>
      <c r="L8" s="3" t="n"/>
      <c r="M8" s="63" t="n"/>
      <c r="O8" s="778" t="n">
        <v>7</v>
      </c>
      <c r="P8" s="778" t="inlineStr">
        <is>
          <t>HP Sensor 2</t>
        </is>
      </c>
      <c r="Q8" s="778" t="inlineStr">
        <is>
          <t>AI</t>
        </is>
      </c>
      <c r="R8" s="778">
        <f>'DATA TRANSFER'!F35</f>
        <v/>
      </c>
      <c r="S8" s="778" t="n"/>
      <c r="T8" s="778" t="inlineStr">
        <is>
          <t>Analog</t>
        </is>
      </c>
      <c r="V8" s="778" t="n">
        <v>7</v>
      </c>
      <c r="W8" s="778" t="inlineStr">
        <is>
          <t>Temperature Feedback</t>
        </is>
      </c>
      <c r="X8" s="778" t="inlineStr">
        <is>
          <t>Network AO</t>
        </is>
      </c>
      <c r="Y8" s="778" t="n"/>
      <c r="Z8" s="778" t="inlineStr">
        <is>
          <t>HVAC → TCMS</t>
        </is>
      </c>
      <c r="AA8" s="778" t="inlineStr">
        <is>
          <t>Ethernet/ECN</t>
        </is>
      </c>
      <c r="AD8" s="44" t="inlineStr">
        <is>
          <t>Level_Cool 7</t>
        </is>
      </c>
      <c r="AE8" s="3">
        <f>IF(AND('LFD OLD'!N6,'DATA TRANSFER'!AE20:AE22,'DATA TRANSFER'!AF16,'DATA TRANSFER'!AF17,'DATA TRANSFER'!CP36),1,0)</f>
        <v/>
      </c>
    </row>
    <row r="9" ht="15.75" customHeight="1">
      <c r="A9" s="778" t="n">
        <v>8</v>
      </c>
      <c r="B9" s="778" t="inlineStr">
        <is>
          <t>PPR2 Relay Status</t>
        </is>
      </c>
      <c r="C9" s="778" t="inlineStr">
        <is>
          <t>DI</t>
        </is>
      </c>
      <c r="D9" s="778" t="n">
        <v>1</v>
      </c>
      <c r="E9" s="778" t="n"/>
      <c r="F9" s="778" t="inlineStr">
        <is>
          <t>Hardwired</t>
        </is>
      </c>
      <c r="H9" s="236" t="inlineStr">
        <is>
          <t>HAVC1__SF_2</t>
        </is>
      </c>
      <c r="I9" s="362" t="inlineStr">
        <is>
          <t>Supply air fan 2_on</t>
        </is>
      </c>
      <c r="J9" s="200" t="inlineStr">
        <is>
          <t>LFD</t>
        </is>
      </c>
      <c r="K9" s="363">
        <f>IF(AND('CIRCUIT SIM'!L689,Calculation!$I$95=0,Calculation!D$95=0),1,0)</f>
        <v/>
      </c>
      <c r="L9" s="3">
        <f>IF(OR(K8:K9),1,0)</f>
        <v/>
      </c>
      <c r="M9" s="63" t="n"/>
      <c r="O9" s="778" t="n">
        <v>8</v>
      </c>
      <c r="P9" s="778" t="inlineStr">
        <is>
          <t>LP Sensor 2</t>
        </is>
      </c>
      <c r="Q9" s="778" t="inlineStr">
        <is>
          <t>AI</t>
        </is>
      </c>
      <c r="R9" s="778">
        <f>'DATA TRANSFER'!F36</f>
        <v/>
      </c>
      <c r="S9" s="778" t="n"/>
      <c r="T9" s="778" t="inlineStr">
        <is>
          <t>Analog</t>
        </is>
      </c>
      <c r="AD9" s="44" t="inlineStr">
        <is>
          <t>Level_Cool 8</t>
        </is>
      </c>
      <c r="AE9" s="3">
        <f>IF(AND('LFD OLD'!O6,'DATA TRANSFER'!AE20:AE22,'DATA TRANSFER'!AF16,'DATA TRANSFER'!AF17,'DATA TRANSFER'!CP36),1,0)</f>
        <v/>
      </c>
    </row>
    <row r="10" ht="18.75" customHeight="1">
      <c r="A10" s="778" t="n">
        <v>9</v>
      </c>
      <c r="B10" s="778" t="inlineStr">
        <is>
          <t>HP Switch 1</t>
        </is>
      </c>
      <c r="C10" s="778" t="inlineStr">
        <is>
          <t>DI</t>
        </is>
      </c>
      <c r="D10" s="778" t="n">
        <v>1</v>
      </c>
      <c r="E10" s="778" t="n"/>
      <c r="F10" s="778" t="inlineStr">
        <is>
          <t>Hardwired</t>
        </is>
      </c>
      <c r="H10" s="236" t="inlineStr">
        <is>
          <t>HVAC1_RADA_1</t>
        </is>
      </c>
      <c r="I10" s="362" t="inlineStr">
        <is>
          <t>Return air damper actuator 1</t>
        </is>
      </c>
      <c r="J10" s="200" t="inlineStr">
        <is>
          <t>LFD</t>
        </is>
      </c>
      <c r="K10" s="364">
        <f>IF(AND('CIRCUIT SIM'!L$685,Calculation!$I$95=0,Calculation!D$95=0,Calculation!G51=0),1,0)</f>
        <v/>
      </c>
      <c r="L10" s="3" t="n"/>
      <c r="M10" s="63" t="n"/>
      <c r="O10" s="778" t="n">
        <v>9</v>
      </c>
      <c r="P10" s="778" t="inlineStr">
        <is>
          <t>Target Temperature (Set Point)</t>
        </is>
      </c>
      <c r="Q10" s="778" t="inlineStr">
        <is>
          <t>Network AI</t>
        </is>
      </c>
      <c r="R10" s="778">
        <f>'DATA TRANSFER'!F37</f>
        <v/>
      </c>
      <c r="S10" s="778" t="inlineStr">
        <is>
          <t>control panel screen i/p</t>
        </is>
      </c>
      <c r="T10" s="778" t="inlineStr">
        <is>
          <t>Ethernet/ECN</t>
        </is>
      </c>
      <c r="W10" s="48" t="inlineStr">
        <is>
          <t>FAD _1</t>
        </is>
      </c>
      <c r="AD10" s="44" t="inlineStr">
        <is>
          <t>Reduced auxiliary Power</t>
        </is>
      </c>
      <c r="AE10" s="3">
        <f>IF(NOT(OR(HVAC_IOs!D8=1,HVAC_IOs!D9=1)),1,0)</f>
        <v/>
      </c>
    </row>
    <row r="11" ht="17.25" customHeight="1">
      <c r="A11" s="778" t="n">
        <v>10</v>
      </c>
      <c r="B11" s="778" t="inlineStr">
        <is>
          <t>LP Switch 1</t>
        </is>
      </c>
      <c r="C11" s="778" t="inlineStr">
        <is>
          <t>DI</t>
        </is>
      </c>
      <c r="D11" s="778" t="n">
        <v>1</v>
      </c>
      <c r="E11" s="778" t="n"/>
      <c r="F11" s="778" t="inlineStr">
        <is>
          <t>Hardwired</t>
        </is>
      </c>
      <c r="H11" s="236" t="inlineStr">
        <is>
          <t>HVAC1_FADA_1</t>
        </is>
      </c>
      <c r="I11" s="362" t="inlineStr">
        <is>
          <t>fresh air damper actuator 1</t>
        </is>
      </c>
      <c r="J11" s="200" t="inlineStr">
        <is>
          <t>LFD</t>
        </is>
      </c>
      <c r="K11" s="365">
        <f>IF(AND('CIRCUIT SIM'!L$686,Calculation!$I$95=0,Calculation!D$95=0,Calculation!G50=0),1,0)</f>
        <v/>
      </c>
      <c r="L11" s="3" t="n"/>
      <c r="M11" s="63" t="n"/>
      <c r="O11" s="778" t="n">
        <v>10</v>
      </c>
      <c r="P11" s="778" t="inlineStr">
        <is>
          <t>Passenger Count</t>
        </is>
      </c>
      <c r="Q11" s="778" t="inlineStr">
        <is>
          <t>Network AI</t>
        </is>
      </c>
      <c r="R11" s="778">
        <f>'DATA TRANSFER'!F40</f>
        <v/>
      </c>
      <c r="S11" s="778" t="inlineStr">
        <is>
          <t>control panel screen i/p</t>
        </is>
      </c>
      <c r="T11" s="778" t="inlineStr">
        <is>
          <t>Ethernet/ECN</t>
        </is>
      </c>
      <c r="W11" s="48" t="inlineStr">
        <is>
          <t>FAD _2</t>
        </is>
      </c>
    </row>
    <row r="12" ht="17.25" customHeight="1">
      <c r="A12" s="778" t="n">
        <v>11</v>
      </c>
      <c r="B12" s="778" t="inlineStr">
        <is>
          <t>HP Switch 2</t>
        </is>
      </c>
      <c r="C12" s="778" t="inlineStr">
        <is>
          <t>DI</t>
        </is>
      </c>
      <c r="D12" s="778" t="n">
        <v>1</v>
      </c>
      <c r="E12" s="778" t="n"/>
      <c r="F12" s="778" t="inlineStr">
        <is>
          <t>Hardwired</t>
        </is>
      </c>
      <c r="H12" s="236" t="inlineStr">
        <is>
          <t>HVAC1_FADA_2</t>
        </is>
      </c>
      <c r="I12" s="362" t="inlineStr">
        <is>
          <t>fresh air damper actuator 2</t>
        </is>
      </c>
      <c r="J12" s="200" t="inlineStr">
        <is>
          <t>LFD</t>
        </is>
      </c>
      <c r="K12" s="365">
        <f>K11</f>
        <v/>
      </c>
      <c r="L12" s="366">
        <f>IF(OR(K11:K12),1,0)</f>
        <v/>
      </c>
      <c r="M12" s="63" t="n"/>
      <c r="O12" s="778" t="n">
        <v>11</v>
      </c>
      <c r="P12" s="778" t="inlineStr">
        <is>
          <t>ambient Temperature</t>
        </is>
      </c>
      <c r="Q12" s="778" t="inlineStr">
        <is>
          <t>AI</t>
        </is>
      </c>
      <c r="R12" s="778" t="n"/>
      <c r="S12" s="778" t="n"/>
      <c r="T12" s="778" t="n"/>
    </row>
    <row r="13" ht="15.75" customHeight="1">
      <c r="A13" s="778" t="n">
        <v>12</v>
      </c>
      <c r="B13" s="778" t="inlineStr">
        <is>
          <t>LP Switch 2</t>
        </is>
      </c>
      <c r="C13" s="778" t="inlineStr">
        <is>
          <t>DI</t>
        </is>
      </c>
      <c r="D13" s="778" t="n">
        <v>1</v>
      </c>
      <c r="E13" s="778" t="n"/>
      <c r="F13" s="778" t="inlineStr">
        <is>
          <t>Hardwired</t>
        </is>
      </c>
      <c r="H13" s="236" t="inlineStr">
        <is>
          <t>HVAC1_EVP_1</t>
        </is>
      </c>
      <c r="I13" s="200" t="inlineStr">
        <is>
          <t xml:space="preserve">evaporator </t>
        </is>
      </c>
      <c r="J13" s="200" t="inlineStr">
        <is>
          <t>LFD</t>
        </is>
      </c>
      <c r="K13" s="3">
        <f>IF(AND(Calculation!I$95=0,Calculation!D95=0),1,0)</f>
        <v/>
      </c>
      <c r="L13" s="3" t="n"/>
      <c r="M13" s="63" t="n"/>
      <c r="P13" s="48" t="inlineStr">
        <is>
          <t>Low Pressure  1</t>
        </is>
      </c>
    </row>
    <row r="14" ht="15.75" customHeight="1">
      <c r="A14" s="778" t="n">
        <v>13</v>
      </c>
      <c r="B14" s="778" t="inlineStr">
        <is>
          <t>AC415 Power Available</t>
        </is>
      </c>
      <c r="C14" s="778" t="inlineStr">
        <is>
          <t>DI</t>
        </is>
      </c>
      <c r="D14" s="778" t="n">
        <v>1</v>
      </c>
      <c r="E14" s="778" t="n"/>
      <c r="F14" s="778" t="inlineStr">
        <is>
          <t>Hardwired</t>
        </is>
      </c>
      <c r="H14" s="236" t="inlineStr">
        <is>
          <t>HVAC1_EINV_1</t>
        </is>
      </c>
      <c r="I14" s="200" t="inlineStr">
        <is>
          <t>Emergency Inverter</t>
        </is>
      </c>
      <c r="J14" s="200" t="inlineStr">
        <is>
          <t>LFD</t>
        </is>
      </c>
      <c r="K14" s="3" t="n"/>
      <c r="L14" s="3" t="n"/>
      <c r="M14" s="63" t="n"/>
      <c r="P14" s="48" t="inlineStr">
        <is>
          <t>Low Pressure  2</t>
        </is>
      </c>
    </row>
    <row r="15" ht="15.75" customHeight="1">
      <c r="A15" s="778" t="n">
        <v>14</v>
      </c>
      <c r="B15" s="778" t="inlineStr">
        <is>
          <t>APS 1 Online Status</t>
        </is>
      </c>
      <c r="C15" s="778" t="inlineStr">
        <is>
          <t>DI</t>
        </is>
      </c>
      <c r="D15" s="778" t="n">
        <v>1</v>
      </c>
      <c r="E15" s="778" t="n"/>
      <c r="F15" s="778" t="inlineStr">
        <is>
          <t>Network</t>
        </is>
      </c>
      <c r="H15" s="236" t="inlineStr">
        <is>
          <t>HVAC1_CF_RE_1</t>
        </is>
      </c>
      <c r="I15" s="200" t="inlineStr">
        <is>
          <t>Condenser Fan Relay I</t>
        </is>
      </c>
      <c r="J15" s="200" t="inlineStr">
        <is>
          <t>LFD</t>
        </is>
      </c>
      <c r="K15" s="3" t="n"/>
      <c r="L15" s="3" t="n"/>
      <c r="M15" s="63" t="n"/>
      <c r="P15" s="48" t="inlineStr">
        <is>
          <t>Low Pressure  3</t>
        </is>
      </c>
    </row>
    <row r="16" ht="18" customHeight="1">
      <c r="A16" s="778" t="n">
        <v>15</v>
      </c>
      <c r="B16" s="778" t="inlineStr">
        <is>
          <t>SIVK ON Status</t>
        </is>
      </c>
      <c r="C16" s="778" t="inlineStr">
        <is>
          <t>DI</t>
        </is>
      </c>
      <c r="D16" s="778" t="n">
        <v>1</v>
      </c>
      <c r="E16" s="778" t="n"/>
      <c r="F16" s="778" t="inlineStr">
        <is>
          <t>Network</t>
        </is>
      </c>
      <c r="H16" s="236" t="inlineStr">
        <is>
          <t>HVAC1_CF_RE_2</t>
        </is>
      </c>
      <c r="I16" s="200" t="inlineStr">
        <is>
          <t>Condenser Fan Relay II</t>
        </is>
      </c>
      <c r="J16" s="200" t="inlineStr">
        <is>
          <t>LFD</t>
        </is>
      </c>
      <c r="K16" s="3">
        <f>IF(NOT('LFD OLD'!R610),1,0)</f>
        <v/>
      </c>
      <c r="L16" s="3" t="n"/>
      <c r="M16" s="63" t="n"/>
      <c r="P16" s="48" t="inlineStr">
        <is>
          <t>Low Pressure  4</t>
        </is>
      </c>
    </row>
    <row r="17" ht="15" customHeight="1">
      <c r="A17" s="778" t="n">
        <v>16</v>
      </c>
      <c r="B17" s="200" t="inlineStr">
        <is>
          <t>Inverter ON Status</t>
        </is>
      </c>
      <c r="C17" s="778" t="inlineStr">
        <is>
          <t>DI</t>
        </is>
      </c>
      <c r="D17" s="778" t="n">
        <v>1</v>
      </c>
      <c r="E17" s="778" t="n"/>
      <c r="F17" s="778" t="inlineStr">
        <is>
          <t>Network</t>
        </is>
      </c>
      <c r="H17" s="236" t="inlineStr">
        <is>
          <t>HVAC1_COMP_RE_1</t>
        </is>
      </c>
      <c r="I17" s="200" t="inlineStr">
        <is>
          <t>Compressor Relay 1</t>
        </is>
      </c>
      <c r="J17" s="200" t="inlineStr">
        <is>
          <t>LFD</t>
        </is>
      </c>
      <c r="K17" s="3">
        <f>IF(NOT('LFD OLD'!R129),1,0)</f>
        <v/>
      </c>
      <c r="L17" s="3" t="n"/>
      <c r="M17" s="63" t="n"/>
      <c r="P17" s="48" t="inlineStr">
        <is>
          <t>High  Pressure  1</t>
        </is>
      </c>
    </row>
    <row r="18" ht="15.75" customHeight="1">
      <c r="A18" s="778" t="n">
        <v>17</v>
      </c>
      <c r="B18" s="200" t="inlineStr">
        <is>
          <t>HVAC Start Allow</t>
        </is>
      </c>
      <c r="C18" s="778" t="inlineStr">
        <is>
          <t>Network DI</t>
        </is>
      </c>
      <c r="D18" s="778" t="n">
        <v>1</v>
      </c>
      <c r="E18" s="778" t="n"/>
      <c r="F18" s="778" t="inlineStr">
        <is>
          <t>Ethernet/ECN</t>
        </is>
      </c>
      <c r="H18" s="236" t="inlineStr">
        <is>
          <t>HVAC1_COMP_RE_2</t>
        </is>
      </c>
      <c r="I18" s="200" t="inlineStr">
        <is>
          <t>Compressor Relay 2</t>
        </is>
      </c>
      <c r="J18" s="200" t="inlineStr">
        <is>
          <t>LFD</t>
        </is>
      </c>
      <c r="K18" s="3">
        <f>IF(NOT('LFD OLD'!R130),1,0)</f>
        <v/>
      </c>
      <c r="L18" s="3" t="n"/>
      <c r="M18" s="63" t="n"/>
      <c r="P18" s="48" t="inlineStr">
        <is>
          <t>High  Pressure  2</t>
        </is>
      </c>
    </row>
    <row r="19" ht="17.25" customHeight="1">
      <c r="A19" s="778" t="n">
        <v>18</v>
      </c>
      <c r="B19" s="200" t="inlineStr">
        <is>
          <t>HVAC Reset</t>
        </is>
      </c>
      <c r="C19" s="778" t="inlineStr">
        <is>
          <t>Network DI</t>
        </is>
      </c>
      <c r="D19" s="778">
        <f>'DATA TRANSFER'!F604</f>
        <v/>
      </c>
      <c r="E19" s="778" t="n"/>
      <c r="F19" s="778" t="inlineStr">
        <is>
          <t>Ethernet/ECN</t>
        </is>
      </c>
      <c r="H19" s="236" t="inlineStr">
        <is>
          <t>HVAC1_COMP_RE_3</t>
        </is>
      </c>
      <c r="I19" s="200" t="inlineStr">
        <is>
          <t>Compressor Relay 3</t>
        </is>
      </c>
      <c r="J19" s="200" t="inlineStr">
        <is>
          <t>LFD</t>
        </is>
      </c>
      <c r="K19" s="3">
        <f>IF(NOT('LFD OLD'!R131),1,0)</f>
        <v/>
      </c>
      <c r="L19" s="3" t="n"/>
      <c r="M19" s="63" t="n"/>
      <c r="P19" s="48" t="inlineStr">
        <is>
          <t>High  Pressure  3</t>
        </is>
      </c>
    </row>
    <row r="20" ht="17.25" customHeight="1">
      <c r="A20" s="778" t="n">
        <v>19</v>
      </c>
      <c r="B20" s="200" t="inlineStr">
        <is>
          <t>HVAC Mode Request</t>
        </is>
      </c>
      <c r="C20" s="778" t="inlineStr">
        <is>
          <t>Network DI</t>
        </is>
      </c>
      <c r="D20" s="778" t="n">
        <v>0</v>
      </c>
      <c r="E20" s="778" t="n"/>
      <c r="F20" s="778" t="inlineStr">
        <is>
          <t>Ethernet/ECN</t>
        </is>
      </c>
      <c r="H20" s="236" t="inlineStr">
        <is>
          <t>HVAC1_COMP_RE_4</t>
        </is>
      </c>
      <c r="I20" s="200" t="inlineStr">
        <is>
          <t>Compressor Relay 4</t>
        </is>
      </c>
      <c r="J20" s="200" t="inlineStr">
        <is>
          <t>LFD</t>
        </is>
      </c>
      <c r="K20" s="3">
        <f>IF(NOT('LFD OLD'!R143),1,0)</f>
        <v/>
      </c>
      <c r="L20" s="3" t="n"/>
      <c r="M20" s="63" t="n"/>
      <c r="P20" s="48" t="inlineStr">
        <is>
          <t>High  Pressure  4</t>
        </is>
      </c>
    </row>
    <row r="21" ht="19.5" customHeight="1">
      <c r="A21" s="778" t="n">
        <v>20</v>
      </c>
      <c r="B21" s="200" t="inlineStr">
        <is>
          <t>Isolation Command</t>
        </is>
      </c>
      <c r="C21" s="778" t="inlineStr">
        <is>
          <t>Network DI</t>
        </is>
      </c>
      <c r="D21" s="778" t="n">
        <v>0</v>
      </c>
      <c r="E21" s="778" t="n"/>
      <c r="F21" s="778" t="inlineStr">
        <is>
          <t>Ethernet/ECN</t>
        </is>
      </c>
      <c r="H21" s="236" t="inlineStr">
        <is>
          <t>HVAC1_HTR_RE_1</t>
        </is>
      </c>
      <c r="I21" s="200" t="inlineStr">
        <is>
          <t>Heater Relay 1</t>
        </is>
      </c>
      <c r="J21" s="200" t="inlineStr">
        <is>
          <t>LFD</t>
        </is>
      </c>
      <c r="K21" s="3" t="n"/>
      <c r="L21" s="3" t="n"/>
      <c r="M21" s="63" t="n"/>
    </row>
    <row r="22" ht="17.25" customHeight="1">
      <c r="A22" s="778" t="n">
        <v>21</v>
      </c>
      <c r="B22" s="362" t="inlineStr">
        <is>
          <t>FAD _1 Open Command</t>
        </is>
      </c>
      <c r="C22" s="778" t="inlineStr">
        <is>
          <t>Network DI</t>
        </is>
      </c>
      <c r="D22" s="778">
        <f>D6</f>
        <v/>
      </c>
      <c r="E22" s="778" t="n"/>
      <c r="F22" s="778" t="inlineStr">
        <is>
          <t>Ethernet/ECN</t>
        </is>
      </c>
      <c r="H22" s="236" t="inlineStr">
        <is>
          <t>HVAC1_HTR_RE_2</t>
        </is>
      </c>
      <c r="I22" s="200" t="inlineStr">
        <is>
          <t>Heater Relay 2</t>
        </is>
      </c>
      <c r="J22" s="200" t="inlineStr">
        <is>
          <t>LFD</t>
        </is>
      </c>
      <c r="K22" s="3" t="n"/>
      <c r="L22" s="3">
        <f>IF(OR(K21=1,K22=1),1,0)</f>
        <v/>
      </c>
      <c r="M22" s="63" t="n"/>
    </row>
    <row r="23" ht="15.75" customHeight="1">
      <c r="A23" s="778" t="n">
        <v>22</v>
      </c>
      <c r="B23" s="362" t="inlineStr">
        <is>
          <t>FAD _2 Close Command</t>
        </is>
      </c>
      <c r="C23" s="778" t="inlineStr">
        <is>
          <t>Network DI</t>
        </is>
      </c>
      <c r="D23" s="778">
        <f>IF(NOT(D22),1,0)</f>
        <v/>
      </c>
      <c r="E23" s="778" t="n"/>
      <c r="F23" s="778" t="inlineStr">
        <is>
          <t>Ethernet/ECN</t>
        </is>
      </c>
      <c r="H23" s="236" t="inlineStr">
        <is>
          <t>HVAC1_FAD_RE_1</t>
        </is>
      </c>
      <c r="I23" s="200" t="inlineStr">
        <is>
          <t>Fresh Air Damper Relay I</t>
        </is>
      </c>
      <c r="J23" s="200" t="inlineStr">
        <is>
          <t>LFD</t>
        </is>
      </c>
      <c r="K23" s="3">
        <f>IF(NOT(OR('LFD OLD'!R189=1,'LFD OLD'!R201=1,'LFD OLD'!R218=1,'LFD OLD'!R30=1)),1,0)</f>
        <v/>
      </c>
      <c r="L23" s="3" t="n"/>
      <c r="M23" s="63" t="n"/>
    </row>
    <row r="24" ht="15" customHeight="1">
      <c r="A24" s="778" t="n">
        <v>23</v>
      </c>
      <c r="B24" s="200" t="inlineStr">
        <is>
          <t>Driver Bypass Command</t>
        </is>
      </c>
      <c r="C24" s="3" t="inlineStr">
        <is>
          <t>Network DI</t>
        </is>
      </c>
      <c r="D24" s="63" t="n">
        <v>0</v>
      </c>
      <c r="E24" s="3" t="n"/>
      <c r="F24" s="3" t="inlineStr">
        <is>
          <t>Ethernet/ECN</t>
        </is>
      </c>
      <c r="H24" s="237" t="inlineStr">
        <is>
          <t>HVAC1_FAD_RE_2</t>
        </is>
      </c>
      <c r="I24" s="367" t="inlineStr">
        <is>
          <t>Fresh Air Damper Relay II</t>
        </is>
      </c>
      <c r="J24" s="367" t="inlineStr">
        <is>
          <t>LFD</t>
        </is>
      </c>
      <c r="K24" s="201">
        <f>IF(NOT(OR('LFD OLD'!R189=1,'LFD OLD'!R201=1,'LFD OLD'!R218=1,'LFD OLD'!R30=1)),1,0)</f>
        <v/>
      </c>
      <c r="L24" s="201" t="n"/>
      <c r="M24" s="368" t="n"/>
    </row>
    <row r="25" ht="15.75" customHeight="1">
      <c r="A25" s="778" t="n">
        <v>24</v>
      </c>
      <c r="B25" s="200" t="inlineStr">
        <is>
          <t>110V DC Control Supply Healthy</t>
        </is>
      </c>
      <c r="C25" s="778" t="inlineStr">
        <is>
          <t>DI</t>
        </is>
      </c>
      <c r="D25" s="63">
        <f>'DATA TRANSFER'!F595</f>
        <v/>
      </c>
      <c r="E25" s="3" t="n"/>
      <c r="F25" s="3" t="inlineStr">
        <is>
          <t>Hardwired</t>
        </is>
      </c>
      <c r="H25" s="238" t="inlineStr">
        <is>
          <t>HVAC1_RAD_RE_1</t>
        </is>
      </c>
      <c r="I25" s="3" t="inlineStr">
        <is>
          <t>Return Air Damper Relay 1</t>
        </is>
      </c>
      <c r="J25" s="3" t="inlineStr">
        <is>
          <t>LFD</t>
        </is>
      </c>
      <c r="K25" s="3" t="n"/>
      <c r="L25" s="3" t="n"/>
      <c r="M25" s="63" t="n"/>
    </row>
    <row r="26" ht="15.75" customHeight="1">
      <c r="A26" s="778" t="n">
        <v>25</v>
      </c>
      <c r="B26" s="200" t="inlineStr">
        <is>
          <t>APS 2 Online Status</t>
        </is>
      </c>
      <c r="C26" s="778" t="inlineStr">
        <is>
          <t>DI</t>
        </is>
      </c>
      <c r="D26" s="778" t="n">
        <v>1</v>
      </c>
      <c r="E26" s="778" t="n"/>
      <c r="F26" s="778" t="inlineStr">
        <is>
          <t>Network</t>
        </is>
      </c>
      <c r="H26" s="238" t="inlineStr">
        <is>
          <t>HVAC1_RAD_RE_2</t>
        </is>
      </c>
      <c r="I26" s="3" t="inlineStr">
        <is>
          <t>Return Air Damper Relay 2</t>
        </is>
      </c>
      <c r="J26" s="3" t="inlineStr">
        <is>
          <t>LFD</t>
        </is>
      </c>
      <c r="K26" s="63" t="n"/>
      <c r="L26" s="3" t="n"/>
      <c r="M26" s="63" t="n"/>
    </row>
    <row r="27" ht="15.75" customHeight="1">
      <c r="A27" s="778" t="n">
        <v>26</v>
      </c>
      <c r="B27" s="200" t="inlineStr">
        <is>
          <t>VDU Command</t>
        </is>
      </c>
      <c r="C27" s="778" t="inlineStr">
        <is>
          <t>Network DI</t>
        </is>
      </c>
      <c r="D27" s="63" t="n"/>
      <c r="E27" s="778" t="n"/>
      <c r="F27" s="778" t="inlineStr">
        <is>
          <t>Ethernet/ECN</t>
        </is>
      </c>
      <c r="H27" s="18" t="inlineStr">
        <is>
          <t>HVAC1_MFR</t>
        </is>
      </c>
      <c r="I27" s="3" t="inlineStr">
        <is>
          <t>HVAC Major Fault Relay</t>
        </is>
      </c>
      <c r="J27" s="3" t="inlineStr">
        <is>
          <t>HC</t>
        </is>
      </c>
      <c r="K27" s="3" t="n">
        <v>0</v>
      </c>
      <c r="L27" s="3" t="n"/>
      <c r="M27" s="63" t="n"/>
    </row>
    <row r="28" ht="15.75" customHeight="1">
      <c r="A28" s="778" t="n">
        <v>27</v>
      </c>
      <c r="B28" s="200" t="inlineStr">
        <is>
          <t>Condenser Fan Contactor Feedback (CFMC)</t>
        </is>
      </c>
      <c r="C28" s="778" t="inlineStr">
        <is>
          <t>DI</t>
        </is>
      </c>
      <c r="D28" s="63" t="n"/>
      <c r="E28" s="778" t="n"/>
      <c r="F28" s="778" t="inlineStr">
        <is>
          <t>Hardwired</t>
        </is>
      </c>
      <c r="H28" s="18" t="inlineStr">
        <is>
          <t>HVAC1_EINVCR</t>
        </is>
      </c>
      <c r="I28" s="3" t="inlineStr">
        <is>
          <t>Emergency Inverter Contactor Relay</t>
        </is>
      </c>
      <c r="J28" s="3" t="inlineStr">
        <is>
          <t>LFD</t>
        </is>
      </c>
      <c r="K28" s="3" t="n"/>
      <c r="L28" s="63" t="n"/>
      <c r="M28" s="63" t="n"/>
    </row>
    <row r="29" ht="15.75" customHeight="1">
      <c r="A29" s="778" t="n">
        <v>28</v>
      </c>
      <c r="B29" s="200" t="inlineStr">
        <is>
          <t>Heater Thermostats (1 &amp; 2)</t>
        </is>
      </c>
      <c r="C29" s="778" t="inlineStr">
        <is>
          <t>DI</t>
        </is>
      </c>
      <c r="D29" s="63" t="n"/>
      <c r="E29" s="63" t="n"/>
      <c r="F29" s="778" t="inlineStr">
        <is>
          <t>Hardwired</t>
        </is>
      </c>
      <c r="H29" s="236" t="inlineStr">
        <is>
          <t>HVAC1_HTR_1</t>
        </is>
      </c>
      <c r="I29" s="3" t="inlineStr">
        <is>
          <t>Heater 1</t>
        </is>
      </c>
      <c r="J29" s="3" t="inlineStr">
        <is>
          <t>LFD</t>
        </is>
      </c>
      <c r="K29" s="363">
        <f>IF(AND('CIRCUIT SIM'!L690,Calculation!$I$95=0,Calculation!D$95=0),1,0)</f>
        <v/>
      </c>
      <c r="L29" s="63" t="n"/>
      <c r="M29" s="63" t="n"/>
    </row>
    <row r="30" ht="15.75" customHeight="1">
      <c r="A30" s="778" t="n">
        <v>29</v>
      </c>
      <c r="B30" s="200" t="inlineStr">
        <is>
          <t>CMPB 1</t>
        </is>
      </c>
      <c r="C30" s="778" t="inlineStr">
        <is>
          <t>DI</t>
        </is>
      </c>
      <c r="D30" s="63" t="n">
        <v>1</v>
      </c>
      <c r="E30" s="63" t="n"/>
      <c r="F30" s="778" t="inlineStr">
        <is>
          <t>Hardwired</t>
        </is>
      </c>
      <c r="H30" s="236" t="inlineStr">
        <is>
          <t>HVAC1_HTR_2</t>
        </is>
      </c>
      <c r="I30" s="3" t="inlineStr">
        <is>
          <t>Heater 2</t>
        </is>
      </c>
      <c r="J30" s="201" t="inlineStr">
        <is>
          <t>LFD</t>
        </is>
      </c>
      <c r="K30" s="369">
        <f>IF(AND('CIRCUIT SIM'!L691,Calculation!$I$95=0,Calculation!D$95=0),1,0)</f>
        <v/>
      </c>
      <c r="L30" s="368">
        <f>IF(OR(K29:K30),1,0)</f>
        <v/>
      </c>
      <c r="M30" s="368" t="n"/>
    </row>
    <row r="31" ht="15.75" customHeight="1">
      <c r="A31" s="778" t="n">
        <v>30</v>
      </c>
      <c r="B31" s="200" t="inlineStr">
        <is>
          <t>CMPB 2</t>
        </is>
      </c>
      <c r="C31" s="778" t="inlineStr">
        <is>
          <t>DI</t>
        </is>
      </c>
      <c r="D31" s="63" t="n">
        <v>1</v>
      </c>
      <c r="E31" s="63" t="n"/>
      <c r="F31" s="778" t="inlineStr">
        <is>
          <t>Hardwired</t>
        </is>
      </c>
      <c r="H31" s="236" t="inlineStr">
        <is>
          <t>HVAC1_HTR_3</t>
        </is>
      </c>
      <c r="I31" s="370" t="inlineStr">
        <is>
          <t>evaporator  solenoid on_1</t>
        </is>
      </c>
      <c r="J31" s="63" t="inlineStr">
        <is>
          <t>-</t>
        </is>
      </c>
      <c r="K31" s="63" t="n"/>
      <c r="L31" s="63" t="n"/>
      <c r="M31" s="63" t="n"/>
    </row>
    <row r="32" ht="15.75" customHeight="1">
      <c r="A32" s="778" t="n">
        <v>31</v>
      </c>
      <c r="B32" s="200" t="inlineStr">
        <is>
          <t>CMPB 3</t>
        </is>
      </c>
      <c r="C32" s="778" t="inlineStr">
        <is>
          <t>DI</t>
        </is>
      </c>
      <c r="D32" s="63" t="n">
        <v>1</v>
      </c>
      <c r="E32" s="63" t="n"/>
      <c r="F32" s="778" t="inlineStr">
        <is>
          <t>Hardwired</t>
        </is>
      </c>
      <c r="H32" s="236" t="inlineStr">
        <is>
          <t>HVAC1_HTR_4</t>
        </is>
      </c>
      <c r="I32" s="370" t="inlineStr">
        <is>
          <t>evaporator  solenoid on_2</t>
        </is>
      </c>
      <c r="J32" s="63" t="inlineStr">
        <is>
          <t>-</t>
        </is>
      </c>
      <c r="K32" s="63" t="n"/>
      <c r="L32" s="63" t="n"/>
      <c r="M32" s="63" t="n"/>
    </row>
    <row r="33" ht="15.75" customHeight="1">
      <c r="A33" s="778" t="n">
        <v>32</v>
      </c>
      <c r="B33" s="200" t="inlineStr">
        <is>
          <t>CMPB 4</t>
        </is>
      </c>
      <c r="C33" s="778" t="inlineStr">
        <is>
          <t>DI</t>
        </is>
      </c>
      <c r="D33" s="63" t="n">
        <v>1</v>
      </c>
      <c r="E33" s="63" t="n"/>
      <c r="F33" s="778" t="inlineStr">
        <is>
          <t>Hardwired</t>
        </is>
      </c>
      <c r="H33" s="236" t="inlineStr">
        <is>
          <t>HVAC1_HTR_5</t>
        </is>
      </c>
      <c r="I33" s="370" t="inlineStr">
        <is>
          <t>evaporator  solenoid on_3</t>
        </is>
      </c>
      <c r="J33" s="63" t="inlineStr">
        <is>
          <t>-</t>
        </is>
      </c>
      <c r="K33" s="63" t="n"/>
      <c r="L33" s="63" t="n"/>
      <c r="M33" s="63" t="n"/>
    </row>
    <row r="34" ht="15.75" customHeight="1">
      <c r="A34" s="778" t="n">
        <v>33</v>
      </c>
      <c r="B34" s="200" t="inlineStr">
        <is>
          <t>CDFB</t>
        </is>
      </c>
      <c r="C34" s="778" t="inlineStr">
        <is>
          <t>DI</t>
        </is>
      </c>
      <c r="D34" s="63" t="n">
        <v>1</v>
      </c>
      <c r="E34" s="63" t="n"/>
      <c r="F34" s="778" t="inlineStr">
        <is>
          <t>Hardwired</t>
        </is>
      </c>
      <c r="H34" s="236" t="inlineStr">
        <is>
          <t>HVAC1_HTR_6</t>
        </is>
      </c>
      <c r="I34" s="371" t="inlineStr">
        <is>
          <t>evaporator  solenoid on_4</t>
        </is>
      </c>
      <c r="J34" s="63" t="inlineStr">
        <is>
          <t>-</t>
        </is>
      </c>
      <c r="K34" s="63" t="n"/>
      <c r="L34" s="63" t="n"/>
      <c r="M34" s="63" t="n"/>
    </row>
    <row r="35" ht="15.75" customHeight="1">
      <c r="A35" s="778" t="n">
        <v>34</v>
      </c>
      <c r="B35" s="200" t="inlineStr">
        <is>
          <t>SAFB 1</t>
        </is>
      </c>
      <c r="C35" s="778" t="inlineStr">
        <is>
          <t>DI</t>
        </is>
      </c>
      <c r="D35" s="63" t="n">
        <v>1</v>
      </c>
      <c r="E35" s="63" t="n"/>
      <c r="F35" s="778" t="inlineStr">
        <is>
          <t>Hardwired</t>
        </is>
      </c>
      <c r="H35" s="260" t="inlineStr">
        <is>
          <t>HVAC1_HTR_7</t>
        </is>
      </c>
      <c r="I35" s="372" t="inlineStr">
        <is>
          <t>HP Switch _1</t>
        </is>
      </c>
      <c r="J35" s="63" t="inlineStr">
        <is>
          <t>-</t>
        </is>
      </c>
      <c r="K35" s="63" t="n"/>
      <c r="L35" s="63" t="n"/>
      <c r="M35" s="63" t="n"/>
    </row>
    <row r="36" ht="15.75" customHeight="1">
      <c r="A36" s="778" t="n">
        <v>35</v>
      </c>
      <c r="B36" s="200" t="inlineStr">
        <is>
          <t>SAFB 2</t>
        </is>
      </c>
      <c r="C36" s="778" t="inlineStr">
        <is>
          <t>DI</t>
        </is>
      </c>
      <c r="D36" s="63" t="n">
        <v>1</v>
      </c>
      <c r="E36" s="63" t="n"/>
      <c r="F36" s="778" t="inlineStr">
        <is>
          <t>Hardwired</t>
        </is>
      </c>
      <c r="H36" s="260" t="inlineStr">
        <is>
          <t>HVAC1_HTR_8</t>
        </is>
      </c>
      <c r="I36" s="372" t="inlineStr">
        <is>
          <t>HP Switch _2</t>
        </is>
      </c>
      <c r="J36" s="63" t="inlineStr">
        <is>
          <t>-</t>
        </is>
      </c>
      <c r="K36" s="63" t="n"/>
      <c r="L36" s="63" t="n"/>
      <c r="M36" s="63" t="n"/>
    </row>
    <row r="37" ht="15.75" customHeight="1">
      <c r="A37" s="778" t="n">
        <v>36</v>
      </c>
      <c r="B37" s="200" t="inlineStr">
        <is>
          <t>HTRB</t>
        </is>
      </c>
      <c r="C37" s="778" t="inlineStr">
        <is>
          <t>DI</t>
        </is>
      </c>
      <c r="D37" s="63" t="n">
        <v>1</v>
      </c>
      <c r="E37" s="63" t="n"/>
      <c r="F37" s="778" t="inlineStr">
        <is>
          <t>Hardwired</t>
        </is>
      </c>
      <c r="H37" s="260" t="inlineStr">
        <is>
          <t>HVAC1_HTR_9</t>
        </is>
      </c>
      <c r="I37" s="372" t="inlineStr">
        <is>
          <t>HP Switch _3</t>
        </is>
      </c>
      <c r="J37" s="63" t="inlineStr">
        <is>
          <t>-</t>
        </is>
      </c>
      <c r="K37" s="63" t="n"/>
      <c r="L37" s="63" t="n"/>
      <c r="M37" s="63" t="n"/>
    </row>
    <row r="38" ht="15.75" customHeight="1">
      <c r="A38" s="778" t="n">
        <v>37</v>
      </c>
      <c r="B38" s="200" t="inlineStr">
        <is>
          <t>HCBN</t>
        </is>
      </c>
      <c r="C38" s="778" t="inlineStr">
        <is>
          <t>DI</t>
        </is>
      </c>
      <c r="D38" s="63" t="n">
        <v>1</v>
      </c>
      <c r="E38" s="63" t="n"/>
      <c r="F38" s="778" t="inlineStr">
        <is>
          <t>Hardwired</t>
        </is>
      </c>
      <c r="H38" s="260" t="inlineStr">
        <is>
          <t>HVAC1_HTR_10</t>
        </is>
      </c>
      <c r="I38" s="372" t="inlineStr">
        <is>
          <t>HP Switch _4</t>
        </is>
      </c>
      <c r="J38" s="63" t="inlineStr">
        <is>
          <t>-</t>
        </is>
      </c>
      <c r="K38" s="63" t="n"/>
      <c r="L38" s="63" t="n"/>
      <c r="M38" s="63" t="n"/>
    </row>
    <row r="39" ht="15.75" customHeight="1">
      <c r="A39" s="778" t="n">
        <v>38</v>
      </c>
      <c r="B39" s="200" t="inlineStr">
        <is>
          <t>HTCN(110v)</t>
        </is>
      </c>
      <c r="C39" s="778" t="inlineStr">
        <is>
          <t>DI</t>
        </is>
      </c>
      <c r="D39" s="63" t="n">
        <v>1</v>
      </c>
      <c r="E39" s="63" t="n"/>
      <c r="F39" s="778" t="inlineStr">
        <is>
          <t>Hardwired</t>
        </is>
      </c>
    </row>
    <row r="40" ht="15.75" customHeight="1">
      <c r="A40" s="778" t="n">
        <v>39</v>
      </c>
      <c r="B40" s="200" t="inlineStr">
        <is>
          <t>HTC24N</t>
        </is>
      </c>
      <c r="C40" s="778" t="inlineStr">
        <is>
          <t>DI</t>
        </is>
      </c>
      <c r="D40" s="63" t="n">
        <v>1</v>
      </c>
      <c r="E40" s="63" t="n"/>
      <c r="F40" s="778" t="inlineStr">
        <is>
          <t>Hardwired</t>
        </is>
      </c>
    </row>
    <row r="41" ht="15.75" customHeight="1">
      <c r="A41" s="778" t="n">
        <v>40</v>
      </c>
      <c r="B41" s="200" t="inlineStr">
        <is>
          <t>LVB (6A)</t>
        </is>
      </c>
      <c r="C41" s="778" t="inlineStr">
        <is>
          <t>DI</t>
        </is>
      </c>
      <c r="D41" s="63" t="n">
        <v>1</v>
      </c>
      <c r="E41" s="63" t="n"/>
      <c r="F41" s="778" t="inlineStr">
        <is>
          <t>Hardwired</t>
        </is>
      </c>
    </row>
    <row r="42" ht="15.75" customHeight="1">
      <c r="A42" s="778" t="n">
        <v>41</v>
      </c>
      <c r="B42" s="200" t="inlineStr">
        <is>
          <t>ACCP1N</t>
        </is>
      </c>
      <c r="C42" s="778" t="inlineStr">
        <is>
          <t>DI</t>
        </is>
      </c>
      <c r="D42" s="63" t="n">
        <v>1</v>
      </c>
      <c r="E42" s="63" t="n"/>
      <c r="F42" s="778" t="inlineStr">
        <is>
          <t>Hardwired</t>
        </is>
      </c>
    </row>
    <row r="43" ht="15.75" customHeight="1">
      <c r="A43" s="778" t="n">
        <v>42</v>
      </c>
      <c r="B43" s="200" t="inlineStr">
        <is>
          <t>ACCP2N</t>
        </is>
      </c>
      <c r="C43" s="778" t="inlineStr">
        <is>
          <t>DI</t>
        </is>
      </c>
      <c r="D43" s="63" t="n">
        <v>1</v>
      </c>
      <c r="E43" s="63" t="n"/>
      <c r="F43" s="778" t="inlineStr">
        <is>
          <t>Hardwired</t>
        </is>
      </c>
    </row>
    <row r="44" ht="15.75" customHeight="1">
      <c r="A44" s="778" t="n">
        <v>43</v>
      </c>
      <c r="B44" s="200" t="inlineStr">
        <is>
          <t>CACPN</t>
        </is>
      </c>
      <c r="C44" s="778" t="inlineStr">
        <is>
          <t>DI</t>
        </is>
      </c>
      <c r="D44" s="63" t="n">
        <v>1</v>
      </c>
      <c r="E44" s="63" t="n"/>
      <c r="F44" s="778" t="inlineStr">
        <is>
          <t>Hardwired</t>
        </is>
      </c>
    </row>
    <row r="45" ht="15.75" customHeight="1">
      <c r="A45" s="778" t="n">
        <v>44</v>
      </c>
      <c r="B45" s="200" t="inlineStr">
        <is>
          <t>SAFC1</t>
        </is>
      </c>
      <c r="C45" s="778" t="inlineStr">
        <is>
          <t>DI</t>
        </is>
      </c>
      <c r="D45" s="63" t="n">
        <v>1</v>
      </c>
      <c r="E45" s="63" t="n"/>
      <c r="F45" s="778" t="inlineStr">
        <is>
          <t>Hardwired</t>
        </is>
      </c>
    </row>
    <row r="46" ht="15.75" customHeight="1">
      <c r="A46" s="778" t="n">
        <v>45</v>
      </c>
      <c r="B46" s="200" t="inlineStr">
        <is>
          <t>SAFC2</t>
        </is>
      </c>
      <c r="C46" s="778" t="inlineStr">
        <is>
          <t>DI</t>
        </is>
      </c>
      <c r="D46" s="63" t="n">
        <v>1</v>
      </c>
      <c r="E46" s="63" t="n"/>
      <c r="F46" s="778" t="inlineStr">
        <is>
          <t>Hardwired</t>
        </is>
      </c>
    </row>
    <row r="47" ht="15.75" customHeight="1">
      <c r="A47" s="778" t="n">
        <v>46</v>
      </c>
      <c r="B47" s="200" t="inlineStr">
        <is>
          <t>Comp TDR1</t>
        </is>
      </c>
      <c r="C47" s="778" t="inlineStr">
        <is>
          <t>DI</t>
        </is>
      </c>
      <c r="D47" s="63" t="n">
        <v>1</v>
      </c>
      <c r="E47" s="63" t="n"/>
      <c r="F47" s="778" t="inlineStr">
        <is>
          <t>Hardwired</t>
        </is>
      </c>
    </row>
    <row r="48" ht="15.75" customHeight="1">
      <c r="A48" s="778" t="n">
        <v>47</v>
      </c>
      <c r="B48" s="200" t="inlineStr">
        <is>
          <t>EMR (Emergency Relay)</t>
        </is>
      </c>
      <c r="C48" s="778" t="inlineStr">
        <is>
          <t>DI</t>
        </is>
      </c>
      <c r="D48" s="63" t="n">
        <v>1</v>
      </c>
      <c r="E48" s="63" t="n"/>
      <c r="F48" s="778" t="inlineStr">
        <is>
          <t>Hardwired</t>
        </is>
      </c>
    </row>
    <row r="49" ht="15.75" customHeight="1">
      <c r="A49" s="778" t="n">
        <v>48</v>
      </c>
      <c r="B49" s="200" t="inlineStr">
        <is>
          <t>CMC (Compressor Motor Contactor)</t>
        </is>
      </c>
      <c r="C49" s="778" t="inlineStr">
        <is>
          <t>DI</t>
        </is>
      </c>
      <c r="D49" s="63" t="n">
        <v>1</v>
      </c>
      <c r="E49" s="63" t="n"/>
      <c r="F49" s="778" t="inlineStr">
        <is>
          <t>Network</t>
        </is>
      </c>
    </row>
    <row r="50" ht="15.75" customHeight="1">
      <c r="A50" s="778" t="n">
        <v>49</v>
      </c>
      <c r="B50" s="200" t="inlineStr">
        <is>
          <t xml:space="preserve">HVAC Start time </t>
        </is>
      </c>
      <c r="C50" s="778" t="inlineStr">
        <is>
          <t>DI</t>
        </is>
      </c>
      <c r="D50" s="63" t="n">
        <v>1</v>
      </c>
      <c r="E50" s="778" t="inlineStr">
        <is>
          <t>control panel screen i/p</t>
        </is>
      </c>
      <c r="F50" s="778" t="inlineStr">
        <is>
          <t>Network</t>
        </is>
      </c>
    </row>
    <row r="51" ht="15.75" customHeight="1">
      <c r="A51" s="778" t="n">
        <v>50</v>
      </c>
      <c r="B51" s="200" t="inlineStr">
        <is>
          <t xml:space="preserve">HVAC current time </t>
        </is>
      </c>
      <c r="C51" s="778" t="inlineStr">
        <is>
          <t>DI</t>
        </is>
      </c>
      <c r="D51" s="63" t="n">
        <v>1</v>
      </c>
      <c r="E51" s="778" t="inlineStr">
        <is>
          <t>control panel screen i/p</t>
        </is>
      </c>
      <c r="F51" s="778" t="inlineStr">
        <is>
          <t>Network</t>
        </is>
      </c>
    </row>
    <row r="52" ht="15.75" customHeight="1">
      <c r="A52" s="778" t="n">
        <v>51</v>
      </c>
      <c r="B52" s="200" t="inlineStr">
        <is>
          <t>Pumpdown Check(Managed Shutdown )</t>
        </is>
      </c>
      <c r="C52" s="778" t="inlineStr">
        <is>
          <t>DI</t>
        </is>
      </c>
      <c r="D52" s="63" t="n">
        <v>1</v>
      </c>
      <c r="E52" s="778" t="n"/>
      <c r="F52" s="778" t="inlineStr">
        <is>
          <t>Network</t>
        </is>
      </c>
    </row>
    <row r="53" ht="15.75" customHeight="1">
      <c r="A53" s="778" t="n">
        <v>52</v>
      </c>
      <c r="B53" s="200" t="inlineStr">
        <is>
          <t>Runtime Equalization</t>
        </is>
      </c>
      <c r="C53" s="778" t="inlineStr">
        <is>
          <t>DI</t>
        </is>
      </c>
      <c r="D53" s="63" t="n">
        <v>1</v>
      </c>
      <c r="E53" s="778" t="n"/>
      <c r="F53" s="778" t="inlineStr">
        <is>
          <t>Network</t>
        </is>
      </c>
    </row>
    <row r="54" ht="15.75" customHeight="1">
      <c r="A54" s="778" t="n">
        <v>53</v>
      </c>
      <c r="B54" s="200" t="inlineStr">
        <is>
          <t>Comp TDR2</t>
        </is>
      </c>
      <c r="C54" s="778" t="inlineStr">
        <is>
          <t>DI</t>
        </is>
      </c>
      <c r="D54" s="63" t="n">
        <v>1</v>
      </c>
      <c r="E54" s="778" t="n"/>
      <c r="F54" s="778" t="inlineStr">
        <is>
          <t>Network</t>
        </is>
      </c>
    </row>
    <row r="55" ht="15.75" customHeight="1">
      <c r="A55" s="778" t="n">
        <v>54</v>
      </c>
      <c r="B55" s="200" t="inlineStr">
        <is>
          <t>RAD Open Status</t>
        </is>
      </c>
      <c r="C55" s="778" t="inlineStr">
        <is>
          <t>DI</t>
        </is>
      </c>
      <c r="D55" s="63">
        <f>Calculation!B78</f>
        <v/>
      </c>
      <c r="E55" s="778" t="n"/>
      <c r="F55" s="778" t="inlineStr">
        <is>
          <t>Network</t>
        </is>
      </c>
    </row>
    <row r="56" ht="15.75" customHeight="1">
      <c r="A56" s="778" t="n">
        <v>55</v>
      </c>
      <c r="B56" s="200" t="inlineStr">
        <is>
          <t>RAD CLOSE Status</t>
        </is>
      </c>
      <c r="C56" s="778" t="inlineStr">
        <is>
          <t>DI</t>
        </is>
      </c>
      <c r="D56" s="63">
        <f>IF(NOT(D55),1,0)</f>
        <v/>
      </c>
      <c r="E56" s="778" t="n"/>
      <c r="F56" s="778" t="inlineStr">
        <is>
          <t>Network</t>
        </is>
      </c>
    </row>
    <row r="57" ht="15.75" customHeight="1">
      <c r="A57" s="778" t="n">
        <v>56</v>
      </c>
      <c r="B57" s="367" t="inlineStr">
        <is>
          <t>Heater Status</t>
        </is>
      </c>
      <c r="C57" s="411" t="inlineStr">
        <is>
          <t>DI</t>
        </is>
      </c>
      <c r="D57" s="368">
        <f>Calculation!B65</f>
        <v/>
      </c>
      <c r="E57" s="368" t="n"/>
      <c r="F57" s="778" t="inlineStr">
        <is>
          <t>Network</t>
        </is>
      </c>
    </row>
    <row r="58" ht="15.75" customHeight="1">
      <c r="A58" s="778" t="n">
        <v>57</v>
      </c>
      <c r="B58" s="63" t="inlineStr">
        <is>
          <t>CDFC</t>
        </is>
      </c>
      <c r="C58" s="411" t="inlineStr">
        <is>
          <t>DI</t>
        </is>
      </c>
      <c r="D58" s="63" t="n">
        <v>1</v>
      </c>
      <c r="E58" s="63" t="n"/>
      <c r="F58" s="778" t="inlineStr">
        <is>
          <t>Network</t>
        </is>
      </c>
    </row>
    <row r="59" ht="15.75" customHeight="1">
      <c r="A59" s="778" t="n">
        <v>58</v>
      </c>
      <c r="B59" s="63" t="inlineStr">
        <is>
          <t>HTRC 1</t>
        </is>
      </c>
      <c r="C59" s="778" t="inlineStr">
        <is>
          <t>DI</t>
        </is>
      </c>
      <c r="D59" s="63" t="n"/>
      <c r="E59" s="63" t="n"/>
      <c r="F59" s="778" t="inlineStr">
        <is>
          <t>Network</t>
        </is>
      </c>
    </row>
    <row r="60" ht="15.75" customHeight="1">
      <c r="A60" s="778" t="n">
        <v>59</v>
      </c>
      <c r="B60" s="48" t="inlineStr">
        <is>
          <t>COMP 1</t>
        </is>
      </c>
      <c r="D60" s="48">
        <f>Calculation!B73</f>
        <v/>
      </c>
    </row>
    <row r="61" ht="15.75" customHeight="1">
      <c r="A61" s="778" t="n">
        <v>60</v>
      </c>
      <c r="B61" s="48" t="inlineStr">
        <is>
          <t>COMP 2</t>
        </is>
      </c>
      <c r="D61" s="48">
        <f>Calculation!B74</f>
        <v/>
      </c>
    </row>
    <row r="62" ht="15.75" customHeight="1">
      <c r="A62" s="778" t="n">
        <v>61</v>
      </c>
      <c r="B62" s="48" t="inlineStr">
        <is>
          <t>COMP 3</t>
        </is>
      </c>
      <c r="D62" s="48">
        <f>Calculation!B75</f>
        <v/>
      </c>
    </row>
    <row r="63" ht="15.75" customHeight="1">
      <c r="A63" s="778" t="n">
        <v>62</v>
      </c>
      <c r="B63" s="48" t="inlineStr">
        <is>
          <t>COMP 4</t>
        </is>
      </c>
      <c r="D63" s="48">
        <f>Calculation!B76</f>
        <v/>
      </c>
    </row>
    <row r="64" ht="15.75" customHeight="1">
      <c r="A64" s="778" t="n">
        <v>63</v>
      </c>
      <c r="B64" s="48" t="inlineStr">
        <is>
          <t>SUPPLY AIR FAN 1</t>
        </is>
      </c>
      <c r="D64" s="48">
        <f>'DATA TRANSFER'!AT14</f>
        <v/>
      </c>
    </row>
    <row r="65" ht="15.75" customHeight="1">
      <c r="A65" s="778" t="n">
        <v>64</v>
      </c>
      <c r="B65" s="48" t="inlineStr">
        <is>
          <t>SUPPLY AIR FAN 2</t>
        </is>
      </c>
      <c r="D65" s="48">
        <f>'DATA TRANSFER'!AT26</f>
        <v/>
      </c>
    </row>
    <row r="66" ht="15.75" customHeight="1">
      <c r="A66" s="778" t="n">
        <v>65</v>
      </c>
      <c r="B66" s="48" t="inlineStr">
        <is>
          <t>CONDENSER FAN 1</t>
        </is>
      </c>
      <c r="D66" s="48">
        <f>'DATA TRANSFER'!AT14</f>
        <v/>
      </c>
    </row>
    <row r="67" ht="15.75" customHeight="1">
      <c r="A67" s="778" t="n">
        <v>66</v>
      </c>
      <c r="B67" s="48" t="inlineStr">
        <is>
          <t>CONDENSER FAN 2</t>
        </is>
      </c>
      <c r="D67" s="48">
        <f>'DATA TRANSFER'!AT22</f>
        <v/>
      </c>
    </row>
    <row r="68">
      <c r="A68" s="778" t="n">
        <v>67</v>
      </c>
    </row>
    <row r="69" ht="15" customHeight="1">
      <c r="A69" s="778" t="n">
        <v>68</v>
      </c>
      <c r="B69" s="3" t="inlineStr">
        <is>
          <t>CMPC 1</t>
        </is>
      </c>
      <c r="C69" s="63" t="n"/>
      <c r="D69" s="63" t="n">
        <v>1</v>
      </c>
      <c r="E69" s="63" t="n"/>
      <c r="F69" s="778" t="inlineStr">
        <is>
          <t>Hardwired</t>
        </is>
      </c>
    </row>
    <row r="70">
      <c r="A70" s="778" t="n">
        <v>69</v>
      </c>
      <c r="B70" s="3" t="inlineStr">
        <is>
          <t>CMPC 2</t>
        </is>
      </c>
      <c r="C70" s="63" t="n"/>
      <c r="D70" s="63" t="n">
        <v>1</v>
      </c>
      <c r="E70" s="63" t="n"/>
      <c r="F70" s="778" t="inlineStr">
        <is>
          <t>Hardwired</t>
        </is>
      </c>
    </row>
    <row r="71">
      <c r="A71" s="778" t="n">
        <v>70</v>
      </c>
      <c r="B71" s="3" t="inlineStr">
        <is>
          <t>CMPC 3</t>
        </is>
      </c>
      <c r="C71" s="63" t="n"/>
      <c r="D71" s="63" t="n">
        <v>1</v>
      </c>
      <c r="E71" s="63" t="n"/>
      <c r="F71" s="778" t="inlineStr">
        <is>
          <t>Hardwired</t>
        </is>
      </c>
    </row>
    <row r="72">
      <c r="A72" s="778" t="n">
        <v>71</v>
      </c>
      <c r="B72" s="3" t="inlineStr">
        <is>
          <t>CMPC 4</t>
        </is>
      </c>
      <c r="C72" s="63" t="n"/>
      <c r="D72" s="63" t="n">
        <v>1</v>
      </c>
      <c r="E72" s="63" t="n"/>
      <c r="F72" s="778" t="inlineStr">
        <is>
          <t>Hardwired</t>
        </is>
      </c>
    </row>
    <row r="73">
      <c r="A73" s="778" t="n">
        <v>72</v>
      </c>
      <c r="B73" s="63" t="inlineStr">
        <is>
          <t>HTRC 2</t>
        </is>
      </c>
      <c r="C73" s="63" t="n"/>
      <c r="D73" s="63" t="n">
        <v>1</v>
      </c>
      <c r="E73" s="63" t="n"/>
      <c r="F73" s="778" t="inlineStr">
        <is>
          <t>Hardwired</t>
        </is>
      </c>
    </row>
    <row r="74">
      <c r="A74" s="778" t="n">
        <v>73</v>
      </c>
      <c r="B74" s="63" t="inlineStr">
        <is>
          <t>HCR9</t>
        </is>
      </c>
      <c r="C74" s="63" t="n"/>
      <c r="D74" s="63" t="n">
        <v>1</v>
      </c>
      <c r="E74" s="63" t="n"/>
      <c r="F74" s="778" t="inlineStr">
        <is>
          <t>Hardwired</t>
        </is>
      </c>
    </row>
    <row r="75">
      <c r="A75" s="778" t="n">
        <v>74</v>
      </c>
      <c r="B75" s="63" t="inlineStr">
        <is>
          <t>SRRB</t>
        </is>
      </c>
      <c r="C75" s="63" t="n"/>
      <c r="D75" s="63" t="n">
        <v>1</v>
      </c>
      <c r="E75" s="63" t="n"/>
      <c r="F75" s="778" t="inlineStr">
        <is>
          <t>Hardwired</t>
        </is>
      </c>
    </row>
    <row r="76">
      <c r="A76" s="778" t="n">
        <v>75</v>
      </c>
      <c r="B76" s="63" t="inlineStr">
        <is>
          <t>SMDRB</t>
        </is>
      </c>
      <c r="C76" s="63" t="n"/>
      <c r="D76" s="63" t="n">
        <v>1</v>
      </c>
      <c r="E76" s="63" t="n"/>
      <c r="F76" s="778" t="inlineStr">
        <is>
          <t>Hardwired</t>
        </is>
      </c>
    </row>
    <row r="77">
      <c r="A77" s="778" t="n">
        <v>76</v>
      </c>
      <c r="B77" s="63" t="inlineStr">
        <is>
          <t>TCR6-E</t>
        </is>
      </c>
      <c r="C77" s="63" t="n"/>
      <c r="D77" s="63" t="n">
        <v>1</v>
      </c>
      <c r="E77" s="63" t="n"/>
      <c r="F77" s="778" t="inlineStr">
        <is>
          <t>Hardwired</t>
        </is>
      </c>
    </row>
    <row r="78">
      <c r="A78" s="778" t="n">
        <v>77</v>
      </c>
      <c r="B78" s="63" t="inlineStr">
        <is>
          <t>LUB</t>
        </is>
      </c>
      <c r="C78" s="63" t="n"/>
      <c r="D78" s="63" t="n">
        <v>1</v>
      </c>
      <c r="E78" s="63" t="n"/>
      <c r="F78" s="778" t="inlineStr">
        <is>
          <t>Hardwired</t>
        </is>
      </c>
    </row>
    <row r="79">
      <c r="A79" s="778" t="n">
        <v>78</v>
      </c>
      <c r="B79" s="63" t="inlineStr">
        <is>
          <t>ESAFC</t>
        </is>
      </c>
      <c r="C79" s="63" t="n"/>
      <c r="D79" s="63" t="n">
        <v>1</v>
      </c>
      <c r="E79" s="63" t="n"/>
      <c r="F79" s="778" t="inlineStr">
        <is>
          <t>Hardwired</t>
        </is>
      </c>
    </row>
    <row r="80">
      <c r="A80" s="778" t="n">
        <v>79</v>
      </c>
      <c r="B80" s="63" t="inlineStr">
        <is>
          <t>SMRR</t>
        </is>
      </c>
      <c r="C80" s="63" t="n"/>
      <c r="D80" s="63" t="n">
        <v>1</v>
      </c>
      <c r="E80" s="63" t="n"/>
      <c r="F80" s="778" t="inlineStr">
        <is>
          <t>Hardwired</t>
        </is>
      </c>
    </row>
    <row r="81">
      <c r="A81" s="778" t="n">
        <v>80</v>
      </c>
      <c r="B81" s="63" t="inlineStr">
        <is>
          <t>TMR 1</t>
        </is>
      </c>
      <c r="C81" s="63" t="n"/>
      <c r="D81" s="63" t="n">
        <v>1</v>
      </c>
      <c r="E81" s="63" t="n"/>
      <c r="F81" s="778" t="inlineStr">
        <is>
          <t>Network</t>
        </is>
      </c>
    </row>
    <row r="82">
      <c r="A82" s="778" t="n">
        <v>81</v>
      </c>
      <c r="B82" s="63" t="inlineStr">
        <is>
          <t>TMR 2</t>
        </is>
      </c>
      <c r="C82" s="63" t="n"/>
      <c r="D82" s="63" t="n">
        <v>1</v>
      </c>
      <c r="E82" s="63" t="n"/>
      <c r="F82" s="778" t="inlineStr">
        <is>
          <t>Network</t>
        </is>
      </c>
    </row>
    <row r="92" ht="16.5" customHeight="1">
      <c r="A92" s="755" t="inlineStr">
        <is>
          <t>Inputs from TCMS SCREEN</t>
        </is>
      </c>
      <c r="B92" s="798" t="n"/>
      <c r="C92" s="798" t="n"/>
      <c r="D92" s="798" t="n"/>
      <c r="E92" s="798" t="n"/>
      <c r="F92" s="798" t="n"/>
      <c r="G92" s="798" t="n"/>
      <c r="J92" s="755" t="inlineStr">
        <is>
          <t>OUTputs from TCMS SCREEN</t>
        </is>
      </c>
      <c r="K92" s="798" t="n"/>
      <c r="L92" s="798" t="n"/>
      <c r="M92" s="798" t="n"/>
      <c r="N92" s="798" t="n"/>
      <c r="O92" s="798" t="n"/>
      <c r="P92" s="798" t="n"/>
    </row>
    <row r="93" ht="16.5" customHeight="1">
      <c r="A93" s="146" t="inlineStr">
        <is>
          <t>Sr. No.</t>
        </is>
      </c>
      <c r="B93" s="146" t="inlineStr">
        <is>
          <t>Ferrule Number/ Unique id</t>
        </is>
      </c>
      <c r="C93" s="146" t="inlineStr">
        <is>
          <t>TCMS  Input variable</t>
        </is>
      </c>
      <c r="D93" s="147" t="inlineStr">
        <is>
          <t>Data Type</t>
        </is>
      </c>
      <c r="E93" s="146" t="inlineStr">
        <is>
          <t xml:space="preserve">Source </t>
        </is>
      </c>
      <c r="F93" s="146" t="inlineStr">
        <is>
          <t>Value</t>
        </is>
      </c>
      <c r="G93" s="146" t="inlineStr">
        <is>
          <t>Remark</t>
        </is>
      </c>
      <c r="J93" s="146" t="inlineStr">
        <is>
          <t>Sr. No.</t>
        </is>
      </c>
      <c r="K93" s="146" t="inlineStr">
        <is>
          <t>Ferrule Number/ Unique id</t>
        </is>
      </c>
      <c r="L93" s="146" t="inlineStr">
        <is>
          <t>TCMS  OUTPUT variable</t>
        </is>
      </c>
      <c r="M93" s="147" t="inlineStr">
        <is>
          <t>Data Type</t>
        </is>
      </c>
      <c r="N93" s="146" t="inlineStr">
        <is>
          <t xml:space="preserve">Source </t>
        </is>
      </c>
      <c r="O93" s="146" t="inlineStr">
        <is>
          <t>Value</t>
        </is>
      </c>
      <c r="P93" s="146" t="inlineStr">
        <is>
          <t>Remark</t>
        </is>
      </c>
    </row>
    <row r="94" ht="28.5" customHeight="1">
      <c r="A94" s="140" t="n">
        <v>1</v>
      </c>
      <c r="B94" s="141" t="inlineStr">
        <is>
          <t>MODE SETTING SCREEN- CAR Select</t>
        </is>
      </c>
      <c r="C94" s="141" t="inlineStr">
        <is>
          <t>ALL CAR</t>
        </is>
      </c>
      <c r="D94" s="142" t="inlineStr">
        <is>
          <t>boolean</t>
        </is>
      </c>
      <c r="E94" s="143" t="inlineStr">
        <is>
          <t>TCMS</t>
        </is>
      </c>
      <c r="F94" s="143">
        <f>'DATA TRANSFER'!F731</f>
        <v/>
      </c>
      <c r="G94" s="141" t="inlineStr">
        <is>
          <t>ALL CAR/ DMA/ TCA /DMB</t>
        </is>
      </c>
      <c r="J94" s="140" t="n">
        <v>1</v>
      </c>
      <c r="K94" s="140" t="inlineStr">
        <is>
          <t>HVAC STATUS SCREEN</t>
        </is>
      </c>
      <c r="L94" s="140" t="inlineStr">
        <is>
          <t>HVAC_1_DMA_Status</t>
        </is>
      </c>
      <c r="M94" s="144" t="inlineStr">
        <is>
          <t>Integer</t>
        </is>
      </c>
      <c r="N94" s="140" t="inlineStr">
        <is>
          <t>TCMS</t>
        </is>
      </c>
      <c r="O94" s="140">
        <f>TCMS!C4</f>
        <v/>
      </c>
      <c r="P94" s="140" t="inlineStr">
        <is>
          <t>0-10</t>
        </is>
      </c>
    </row>
    <row r="95" ht="18.75" customHeight="1">
      <c r="A95" s="140" t="n">
        <v>2</v>
      </c>
      <c r="B95" s="141" t="inlineStr">
        <is>
          <t>MODE SETTING SCREEN- CAR Select</t>
        </is>
      </c>
      <c r="C95" s="141" t="inlineStr">
        <is>
          <t>DMA</t>
        </is>
      </c>
      <c r="D95" s="144" t="inlineStr">
        <is>
          <t>boolean</t>
        </is>
      </c>
      <c r="E95" s="143" t="inlineStr">
        <is>
          <t>TCMS</t>
        </is>
      </c>
      <c r="F95" s="143">
        <f>'DATA TRANSFER'!F732</f>
        <v/>
      </c>
      <c r="G95" s="141" t="inlineStr">
        <is>
          <t>ALL HVAC /UNIT1 /UNIT2</t>
        </is>
      </c>
      <c r="J95" s="140" t="n">
        <v>2</v>
      </c>
      <c r="K95" s="140" t="inlineStr">
        <is>
          <t>HVAC STATUS SCREEN</t>
        </is>
      </c>
      <c r="L95" s="140" t="inlineStr">
        <is>
          <t>HVAC_2_DMA_Status</t>
        </is>
      </c>
      <c r="M95" s="144" t="inlineStr">
        <is>
          <t>Integer</t>
        </is>
      </c>
      <c r="N95" s="140" t="inlineStr">
        <is>
          <t>TCMS</t>
        </is>
      </c>
      <c r="O95" s="140">
        <f>TCMS!D4</f>
        <v/>
      </c>
      <c r="P95" s="140" t="inlineStr">
        <is>
          <t>0-10</t>
        </is>
      </c>
    </row>
    <row r="96" ht="29.25" customHeight="1">
      <c r="A96" s="140" t="n">
        <v>3</v>
      </c>
      <c r="B96" s="141" t="inlineStr">
        <is>
          <t>MODE SETTING SCREEN- CAR Select</t>
        </is>
      </c>
      <c r="C96" s="141" t="inlineStr">
        <is>
          <t>TCA</t>
        </is>
      </c>
      <c r="D96" s="144" t="inlineStr">
        <is>
          <t>boolean</t>
        </is>
      </c>
      <c r="E96" s="143" t="inlineStr">
        <is>
          <t>TCMS</t>
        </is>
      </c>
      <c r="F96" s="143">
        <f>'DATA TRANSFER'!F733</f>
        <v/>
      </c>
      <c r="G96" s="141" t="inlineStr">
        <is>
          <t>OFF,VENT,AUTO ,ALL OFF,ALLVENT,ALL AUTO,CLEAR</t>
        </is>
      </c>
      <c r="J96" s="140" t="n">
        <v>3</v>
      </c>
      <c r="K96" s="140" t="inlineStr">
        <is>
          <t>HVAC STATUS SCREEN</t>
        </is>
      </c>
      <c r="L96" s="140" t="inlineStr">
        <is>
          <t>HVAC_3_TCA_Status</t>
        </is>
      </c>
      <c r="M96" s="144" t="inlineStr">
        <is>
          <t>Integer</t>
        </is>
      </c>
      <c r="N96" s="140" t="inlineStr">
        <is>
          <t>TCMS</t>
        </is>
      </c>
      <c r="O96" s="140">
        <f>TCMS!E4</f>
        <v/>
      </c>
      <c r="P96" s="140" t="inlineStr">
        <is>
          <t>0-10</t>
        </is>
      </c>
    </row>
    <row r="97" ht="28.5" customHeight="1">
      <c r="A97" s="140" t="n">
        <v>4</v>
      </c>
      <c r="B97" s="141" t="inlineStr">
        <is>
          <t>MODE SETTING SCREEN- CAR Select</t>
        </is>
      </c>
      <c r="C97" s="141" t="inlineStr">
        <is>
          <t>DMB</t>
        </is>
      </c>
      <c r="D97" s="144" t="inlineStr">
        <is>
          <t>boolean</t>
        </is>
      </c>
      <c r="E97" s="143" t="inlineStr">
        <is>
          <t>TCMS</t>
        </is>
      </c>
      <c r="F97" s="143">
        <f>'DATA TRANSFER'!F734</f>
        <v/>
      </c>
      <c r="G97" s="141" t="n"/>
      <c r="J97" s="140" t="n">
        <v>4</v>
      </c>
      <c r="K97" s="140" t="inlineStr">
        <is>
          <t>HVAC STATUS SCREEN</t>
        </is>
      </c>
      <c r="L97" s="140" t="inlineStr">
        <is>
          <t>HVAC_4_TCA_Status</t>
        </is>
      </c>
      <c r="M97" s="144" t="inlineStr">
        <is>
          <t>Integer</t>
        </is>
      </c>
      <c r="N97" s="140" t="inlineStr">
        <is>
          <t>TCMS</t>
        </is>
      </c>
      <c r="O97" s="140">
        <f>TCMS!F4</f>
        <v/>
      </c>
      <c r="P97" s="140" t="inlineStr">
        <is>
          <t>0-10</t>
        </is>
      </c>
    </row>
    <row r="98" ht="25.5" customHeight="1">
      <c r="A98" s="141" t="n">
        <v>5</v>
      </c>
      <c r="B98" s="141" t="inlineStr">
        <is>
          <t>MODE SETTING SCREEN-HVAC Select</t>
        </is>
      </c>
      <c r="C98" s="141" t="inlineStr">
        <is>
          <t>ALL HVAC</t>
        </is>
      </c>
      <c r="D98" s="141" t="n"/>
      <c r="E98" s="141" t="n"/>
      <c r="F98" s="143">
        <f>'DATA TRANSFER'!F735</f>
        <v/>
      </c>
      <c r="G98" s="141" t="n"/>
      <c r="J98" s="140" t="n">
        <v>5</v>
      </c>
      <c r="K98" s="140" t="inlineStr">
        <is>
          <t>HVAC STATUS SCREEN</t>
        </is>
      </c>
      <c r="L98" s="140" t="inlineStr">
        <is>
          <t>HVAC_5_DMB_Status</t>
        </is>
      </c>
      <c r="M98" s="144" t="inlineStr">
        <is>
          <t>Integer</t>
        </is>
      </c>
      <c r="N98" s="140" t="inlineStr">
        <is>
          <t>TCMS</t>
        </is>
      </c>
      <c r="O98" s="140">
        <f>TCMS!G4</f>
        <v/>
      </c>
      <c r="P98" s="140" t="inlineStr">
        <is>
          <t>0-10</t>
        </is>
      </c>
    </row>
    <row r="99" ht="32.25" customHeight="1">
      <c r="A99" s="141" t="n">
        <v>6</v>
      </c>
      <c r="B99" s="141" t="inlineStr">
        <is>
          <t>MODE SETTING SCREEN-HVAC Select</t>
        </is>
      </c>
      <c r="C99" s="141" t="inlineStr">
        <is>
          <t>UNIT1</t>
        </is>
      </c>
      <c r="D99" s="141" t="n"/>
      <c r="E99" s="141" t="n"/>
      <c r="F99" s="143">
        <f>'DATA TRANSFER'!F736</f>
        <v/>
      </c>
      <c r="G99" s="141" t="n"/>
      <c r="J99" s="140" t="n">
        <v>6</v>
      </c>
      <c r="K99" s="140" t="inlineStr">
        <is>
          <t>HVAC STATUS SCREEN</t>
        </is>
      </c>
      <c r="L99" s="140" t="inlineStr">
        <is>
          <t>HVAC_6_DMB_Status</t>
        </is>
      </c>
      <c r="M99" s="144" t="inlineStr">
        <is>
          <t>Integer</t>
        </is>
      </c>
      <c r="N99" s="140" t="inlineStr">
        <is>
          <t>TCMS</t>
        </is>
      </c>
      <c r="O99" s="140">
        <f>TCMS!H4</f>
        <v/>
      </c>
      <c r="P99" s="140" t="inlineStr">
        <is>
          <t>0-10</t>
        </is>
      </c>
    </row>
    <row r="100" ht="21.75" customHeight="1">
      <c r="A100" s="141" t="n">
        <v>7</v>
      </c>
      <c r="B100" s="141" t="inlineStr">
        <is>
          <t>MODE SETTING SCREEN-HVAC Select</t>
        </is>
      </c>
      <c r="C100" s="141" t="inlineStr">
        <is>
          <t>UNIT2</t>
        </is>
      </c>
      <c r="D100" s="141" t="n"/>
      <c r="E100" s="141" t="n"/>
      <c r="F100" s="143">
        <f>'DATA TRANSFER'!F737</f>
        <v/>
      </c>
      <c r="G100" s="141" t="n"/>
      <c r="J100" s="140" t="n">
        <v>7</v>
      </c>
      <c r="K100" s="140" t="n"/>
      <c r="M100" s="144" t="inlineStr">
        <is>
          <t>Float</t>
        </is>
      </c>
      <c r="N100" s="140" t="inlineStr">
        <is>
          <t>TCMS</t>
        </is>
      </c>
      <c r="O100" s="140" t="n"/>
      <c r="P100" s="140" t="inlineStr">
        <is>
          <t>(degC)</t>
        </is>
      </c>
    </row>
    <row r="101" ht="22.5" customHeight="1">
      <c r="A101" s="141" t="n">
        <v>8</v>
      </c>
      <c r="B101" s="141" t="inlineStr">
        <is>
          <t>MODE SETTING SCREEN-MODE Select</t>
        </is>
      </c>
      <c r="C101" s="141" t="inlineStr">
        <is>
          <t>OFF</t>
        </is>
      </c>
      <c r="D101" s="141" t="n"/>
      <c r="E101" s="141" t="n"/>
      <c r="F101" s="143">
        <f>'DATA TRANSFER'!F738</f>
        <v/>
      </c>
      <c r="G101" s="141" t="n"/>
      <c r="J101" s="140" t="n">
        <v>8</v>
      </c>
      <c r="K101" s="140" t="inlineStr">
        <is>
          <t>HVAC INFO SCREEN</t>
        </is>
      </c>
      <c r="L101" s="140" t="inlineStr">
        <is>
          <t>Current Outside Temperature _DMA</t>
        </is>
      </c>
      <c r="M101" s="144" t="inlineStr">
        <is>
          <t>Float</t>
        </is>
      </c>
      <c r="N101" s="140" t="inlineStr">
        <is>
          <t>TCMS</t>
        </is>
      </c>
      <c r="O101" s="140">
        <f>TCMS!D19</f>
        <v/>
      </c>
      <c r="P101" s="140" t="inlineStr">
        <is>
          <t>(degC)</t>
        </is>
      </c>
    </row>
    <row r="102" ht="30.75" customHeight="1">
      <c r="A102" s="141" t="n">
        <v>9</v>
      </c>
      <c r="B102" s="141" t="inlineStr">
        <is>
          <t>MODE SETTING SCREEN-MODE Select</t>
        </is>
      </c>
      <c r="C102" s="141" t="inlineStr">
        <is>
          <t>VENT</t>
        </is>
      </c>
      <c r="D102" s="141" t="n"/>
      <c r="E102" s="141" t="n"/>
      <c r="F102" s="143">
        <f>'DATA TRANSFER'!F739</f>
        <v/>
      </c>
      <c r="G102" s="141" t="n"/>
      <c r="J102" s="140" t="n">
        <v>9</v>
      </c>
      <c r="K102" s="140" t="inlineStr">
        <is>
          <t>HVAC INFO SCREEN</t>
        </is>
      </c>
      <c r="L102" s="140" t="inlineStr">
        <is>
          <t>Current Outside Temperature _TCA</t>
        </is>
      </c>
      <c r="M102" s="144" t="inlineStr">
        <is>
          <t>Float</t>
        </is>
      </c>
      <c r="N102" s="140" t="inlineStr">
        <is>
          <t>TCMS</t>
        </is>
      </c>
      <c r="O102" s="140">
        <f>TCMS!E19</f>
        <v/>
      </c>
      <c r="P102" s="140" t="inlineStr">
        <is>
          <t>(degC)</t>
        </is>
      </c>
    </row>
    <row r="103" ht="24" customHeight="1">
      <c r="A103" s="141" t="n">
        <v>10</v>
      </c>
      <c r="B103" s="141" t="inlineStr">
        <is>
          <t>MODE SETTING SCREEN-MODE Select</t>
        </is>
      </c>
      <c r="C103" s="141" t="inlineStr">
        <is>
          <t>AUTO</t>
        </is>
      </c>
      <c r="D103" s="141" t="n"/>
      <c r="E103" s="141" t="n"/>
      <c r="F103" s="143">
        <f>'DATA TRANSFER'!F740</f>
        <v/>
      </c>
      <c r="G103" s="141" t="n"/>
      <c r="J103" s="140" t="n">
        <v>10</v>
      </c>
      <c r="K103" s="140" t="inlineStr">
        <is>
          <t>HVAC INFO SCREEN</t>
        </is>
      </c>
      <c r="L103" s="140" t="inlineStr">
        <is>
          <t>Current Outside Temperature _DMB</t>
        </is>
      </c>
      <c r="M103" s="144" t="inlineStr">
        <is>
          <t>Float</t>
        </is>
      </c>
      <c r="N103" s="140" t="inlineStr">
        <is>
          <t>TCMS</t>
        </is>
      </c>
      <c r="O103" s="140">
        <f>TCMS!F19</f>
        <v/>
      </c>
      <c r="P103" s="140" t="n"/>
    </row>
    <row r="104" ht="22.5" customHeight="1">
      <c r="A104" s="141" t="n">
        <v>11</v>
      </c>
      <c r="B104" s="141" t="inlineStr">
        <is>
          <t>MODE SETTING SCREEN-MODE Select</t>
        </is>
      </c>
      <c r="C104" s="141" t="inlineStr">
        <is>
          <t>ALL OFF</t>
        </is>
      </c>
      <c r="D104" s="141" t="n"/>
      <c r="E104" s="141" t="n"/>
      <c r="F104" s="143">
        <f>'DATA TRANSFER'!F741</f>
        <v/>
      </c>
      <c r="G104" s="141" t="n"/>
      <c r="J104" s="140" t="n">
        <v>11</v>
      </c>
      <c r="K104" s="140" t="inlineStr">
        <is>
          <t>HVAC INFO SCREEN</t>
        </is>
      </c>
      <c r="L104" s="140" t="inlineStr">
        <is>
          <t>Current Inside Temperature (degC)_UNIT 1_DMA</t>
        </is>
      </c>
      <c r="M104" s="144" t="inlineStr">
        <is>
          <t>Float</t>
        </is>
      </c>
      <c r="N104" s="140" t="inlineStr">
        <is>
          <t>TCMS</t>
        </is>
      </c>
      <c r="O104" s="140">
        <f>TCMS!D21</f>
        <v/>
      </c>
      <c r="P104" s="140" t="inlineStr">
        <is>
          <t>(MPa)</t>
        </is>
      </c>
    </row>
    <row r="105" ht="29.25" customHeight="1">
      <c r="A105" s="141" t="n">
        <v>12</v>
      </c>
      <c r="B105" s="141" t="inlineStr">
        <is>
          <t>MODE SETTING SCREEN-MODE Select</t>
        </is>
      </c>
      <c r="C105" s="141" t="inlineStr">
        <is>
          <t>ALL VENT</t>
        </is>
      </c>
      <c r="D105" s="141" t="n"/>
      <c r="E105" s="141" t="n"/>
      <c r="F105" s="143">
        <f>'DATA TRANSFER'!F742</f>
        <v/>
      </c>
      <c r="G105" s="141" t="n"/>
      <c r="J105" s="140" t="n">
        <v>12</v>
      </c>
      <c r="K105" s="140" t="inlineStr">
        <is>
          <t>HVAC INFO SCREEN</t>
        </is>
      </c>
      <c r="L105" s="140" t="inlineStr">
        <is>
          <t>Current Inside Temperature (degC)_UNIT 1_TCA</t>
        </is>
      </c>
      <c r="M105" s="144" t="inlineStr">
        <is>
          <t>Float</t>
        </is>
      </c>
      <c r="N105" s="140" t="inlineStr">
        <is>
          <t>TCMS</t>
        </is>
      </c>
      <c r="O105" s="140">
        <f>TCMS!E21</f>
        <v/>
      </c>
      <c r="P105" s="140" t="inlineStr">
        <is>
          <t>(MPa)</t>
        </is>
      </c>
    </row>
    <row r="106" ht="29.25" customHeight="1">
      <c r="A106" s="141" t="n">
        <v>13</v>
      </c>
      <c r="B106" s="141" t="inlineStr">
        <is>
          <t>MODE SETTING SCREEN-MODE Select</t>
        </is>
      </c>
      <c r="C106" s="141" t="inlineStr">
        <is>
          <t>ALL AUTO</t>
        </is>
      </c>
      <c r="D106" s="141" t="n"/>
      <c r="E106" s="141" t="n"/>
      <c r="F106" s="143">
        <f>'DATA TRANSFER'!F743</f>
        <v/>
      </c>
      <c r="G106" s="141" t="n"/>
      <c r="J106" s="140" t="n">
        <v>13</v>
      </c>
      <c r="K106" s="140" t="inlineStr">
        <is>
          <t>HVAC INFO SCREEN</t>
        </is>
      </c>
      <c r="L106" s="140" t="inlineStr">
        <is>
          <t>Current Inside Temperature (degC)_UNIT 1_DMB</t>
        </is>
      </c>
      <c r="M106" s="144" t="inlineStr">
        <is>
          <t>Integer</t>
        </is>
      </c>
      <c r="N106" s="140" t="inlineStr">
        <is>
          <t>TCMS</t>
        </is>
      </c>
      <c r="O106" s="140">
        <f>TCMS!F21</f>
        <v/>
      </c>
      <c r="P106" s="140" t="inlineStr">
        <is>
          <t>0-7</t>
        </is>
      </c>
    </row>
    <row r="107" ht="47.25" customHeight="1">
      <c r="A107" s="141" t="n">
        <v>14</v>
      </c>
      <c r="B107" s="145" t="n"/>
      <c r="C107" s="145" t="inlineStr">
        <is>
          <t>spare</t>
        </is>
      </c>
      <c r="D107" s="145" t="n"/>
      <c r="E107" s="145" t="n"/>
      <c r="F107" s="145" t="n"/>
      <c r="G107" s="145" t="n"/>
      <c r="J107" s="140" t="n">
        <v>14</v>
      </c>
      <c r="K107" s="140" t="inlineStr">
        <is>
          <t>HVAC INFO SCREEN</t>
        </is>
      </c>
      <c r="L107" s="140" t="inlineStr">
        <is>
          <t>Current Inside Temperature (degC)_UNIT 2_DMA</t>
        </is>
      </c>
      <c r="M107" s="144" t="n"/>
      <c r="N107" s="140" t="inlineStr">
        <is>
          <t>TCMS</t>
        </is>
      </c>
      <c r="O107" s="140">
        <f>TCMS!D22</f>
        <v/>
      </c>
      <c r="P107" s="140" t="n"/>
    </row>
    <row r="108" ht="25.5" customHeight="1">
      <c r="A108" s="141" t="n">
        <v>15</v>
      </c>
      <c r="B108" s="141" t="inlineStr">
        <is>
          <t>TEMP SETTING SCREEN-CAR Select</t>
        </is>
      </c>
      <c r="C108" s="141" t="inlineStr">
        <is>
          <t>ALL CAR</t>
        </is>
      </c>
      <c r="D108" s="141" t="n"/>
      <c r="E108" s="141" t="n"/>
      <c r="F108" s="141">
        <f>'DATA TRANSFER'!F745</f>
        <v/>
      </c>
      <c r="G108" s="141" t="n"/>
      <c r="J108" s="140" t="n">
        <v>15</v>
      </c>
      <c r="K108" s="140" t="inlineStr">
        <is>
          <t>HVAC INFO SCREEN</t>
        </is>
      </c>
      <c r="L108" s="140" t="inlineStr">
        <is>
          <t>Current Inside Temperature (degC)_UNIT 2_TCA</t>
        </is>
      </c>
      <c r="M108" s="144" t="n"/>
      <c r="N108" s="140" t="inlineStr">
        <is>
          <t>TCMS</t>
        </is>
      </c>
      <c r="O108" s="140">
        <f>TCMS!E22</f>
        <v/>
      </c>
      <c r="P108" s="140" t="n"/>
    </row>
    <row r="109" ht="24.75" customHeight="1">
      <c r="A109" s="141" t="n">
        <v>16</v>
      </c>
      <c r="B109" s="141" t="inlineStr">
        <is>
          <t>TEMP SETTING SCREEN-CAR Select</t>
        </is>
      </c>
      <c r="C109" s="141" t="inlineStr">
        <is>
          <t>DMA</t>
        </is>
      </c>
      <c r="D109" s="141" t="n"/>
      <c r="E109" s="141" t="n"/>
      <c r="F109" s="141">
        <f>'DATA TRANSFER'!F746</f>
        <v/>
      </c>
      <c r="G109" s="141" t="n"/>
      <c r="J109" s="140" t="n">
        <v>16</v>
      </c>
      <c r="K109" s="140" t="inlineStr">
        <is>
          <t>HVAC INFO SCREEN</t>
        </is>
      </c>
      <c r="L109" s="140" t="inlineStr">
        <is>
          <t>Current Inside Temperature (degC)_UNIT 2_DMB</t>
        </is>
      </c>
      <c r="M109" s="144" t="n"/>
      <c r="N109" s="140" t="inlineStr">
        <is>
          <t>TCMS</t>
        </is>
      </c>
      <c r="O109" s="140">
        <f>TCMS!F22</f>
        <v/>
      </c>
      <c r="P109" s="140" t="n"/>
    </row>
    <row r="110" ht="25.5" customHeight="1">
      <c r="A110" s="141" t="n">
        <v>17</v>
      </c>
      <c r="B110" s="141" t="inlineStr">
        <is>
          <t>TEMP SETTING SCREEN-CAR Select</t>
        </is>
      </c>
      <c r="C110" s="141" t="inlineStr">
        <is>
          <t>TCA</t>
        </is>
      </c>
      <c r="D110" s="141" t="n"/>
      <c r="E110" s="141" t="n"/>
      <c r="F110" s="141">
        <f>'DATA TRANSFER'!F747</f>
        <v/>
      </c>
      <c r="G110" s="141" t="n"/>
      <c r="J110" s="140" t="n">
        <v>17</v>
      </c>
      <c r="K110" s="140" t="inlineStr">
        <is>
          <t>HVAC INFO SCREEN</t>
        </is>
      </c>
      <c r="L110" s="140" t="inlineStr">
        <is>
          <t>Target Temperature (degC)_UNIT 1_DMA</t>
        </is>
      </c>
      <c r="M110" s="144" t="n"/>
      <c r="N110" s="140" t="inlineStr">
        <is>
          <t>TCMS</t>
        </is>
      </c>
      <c r="O110" s="140">
        <f>TCMS!D24</f>
        <v/>
      </c>
      <c r="P110" s="140" t="n"/>
    </row>
    <row r="111" ht="25.5" customHeight="1">
      <c r="A111" s="141" t="n">
        <v>18</v>
      </c>
      <c r="B111" s="141" t="inlineStr">
        <is>
          <t>TEMP SETTING SCREEN-CAR Select</t>
        </is>
      </c>
      <c r="C111" s="141" t="inlineStr">
        <is>
          <t>DMB</t>
        </is>
      </c>
      <c r="D111" s="141" t="n"/>
      <c r="E111" s="141" t="n"/>
      <c r="F111" s="141">
        <f>'DATA TRANSFER'!F748</f>
        <v/>
      </c>
      <c r="G111" s="141" t="n"/>
      <c r="J111" s="140" t="n">
        <v>18</v>
      </c>
      <c r="K111" s="140" t="inlineStr">
        <is>
          <t>HVAC INFO SCREEN</t>
        </is>
      </c>
      <c r="L111" s="140" t="inlineStr">
        <is>
          <t>Target Temperature (degC)_UNIT 1_TCA</t>
        </is>
      </c>
      <c r="M111" s="144" t="n"/>
      <c r="N111" s="140" t="inlineStr">
        <is>
          <t>TCMS</t>
        </is>
      </c>
      <c r="O111" s="140">
        <f>TCMS!E24</f>
        <v/>
      </c>
      <c r="P111" s="140" t="n"/>
    </row>
    <row r="112" ht="21.75" customHeight="1">
      <c r="A112" s="141" t="n">
        <v>19</v>
      </c>
      <c r="B112" s="141" t="inlineStr">
        <is>
          <t>TEMP SETTING SCREEN-HVAC Select</t>
        </is>
      </c>
      <c r="C112" s="141" t="inlineStr">
        <is>
          <t>ALL HVAC</t>
        </is>
      </c>
      <c r="D112" s="141" t="n"/>
      <c r="E112" s="141" t="n"/>
      <c r="F112" s="141">
        <f>'DATA TRANSFER'!F749</f>
        <v/>
      </c>
      <c r="G112" s="141" t="n"/>
      <c r="J112" s="140" t="n">
        <v>19</v>
      </c>
      <c r="K112" s="140" t="inlineStr">
        <is>
          <t>HVAC INFO SCREEN</t>
        </is>
      </c>
      <c r="L112" s="140" t="inlineStr">
        <is>
          <t>Target Temperature (degC)_UNIT 1_DMB</t>
        </is>
      </c>
      <c r="M112" s="144" t="n"/>
      <c r="N112" s="140" t="inlineStr">
        <is>
          <t>TCMS</t>
        </is>
      </c>
      <c r="O112" s="140">
        <f>TCMS!F24</f>
        <v/>
      </c>
      <c r="P112" s="140" t="n"/>
    </row>
    <row r="113" ht="24" customHeight="1">
      <c r="A113" s="141" t="n">
        <v>20</v>
      </c>
      <c r="B113" s="141" t="inlineStr">
        <is>
          <t>TEMP SETTING SCREEN-HVAC Select</t>
        </is>
      </c>
      <c r="C113" s="141" t="inlineStr">
        <is>
          <t>UNIT1</t>
        </is>
      </c>
      <c r="D113" s="141" t="n"/>
      <c r="E113" s="141" t="n"/>
      <c r="F113" s="141">
        <f>'DATA TRANSFER'!F750</f>
        <v/>
      </c>
      <c r="G113" s="141" t="n"/>
      <c r="J113" s="140" t="n">
        <v>20</v>
      </c>
      <c r="K113" s="140" t="inlineStr">
        <is>
          <t>HVAC INFO SCREEN</t>
        </is>
      </c>
      <c r="L113" s="140" t="inlineStr">
        <is>
          <t>Target Temperature (degC)_UNIT 2_DMA</t>
        </is>
      </c>
      <c r="M113" s="144" t="n"/>
      <c r="N113" s="140" t="inlineStr">
        <is>
          <t>TCMS</t>
        </is>
      </c>
      <c r="O113" s="140">
        <f>TCMS!D25</f>
        <v/>
      </c>
      <c r="P113" s="140" t="n"/>
    </row>
    <row r="114" ht="21" customHeight="1">
      <c r="A114" s="141" t="n">
        <v>21</v>
      </c>
      <c r="B114" s="141" t="inlineStr">
        <is>
          <t>TEMP SETTING SCREEN-HVAC Select</t>
        </is>
      </c>
      <c r="C114" s="141" t="inlineStr">
        <is>
          <t>UNIT2</t>
        </is>
      </c>
      <c r="D114" s="141" t="n"/>
      <c r="E114" s="141" t="n"/>
      <c r="F114" s="141">
        <f>'DATA TRANSFER'!F751</f>
        <v/>
      </c>
      <c r="G114" s="141" t="n"/>
      <c r="J114" s="140" t="n">
        <v>21</v>
      </c>
      <c r="K114" s="140" t="inlineStr">
        <is>
          <t>HVAC INFO SCREEN</t>
        </is>
      </c>
      <c r="L114" s="140" t="inlineStr">
        <is>
          <t>Target Temperature (degC)_UNIT 2_TCA</t>
        </is>
      </c>
      <c r="M114" s="144" t="n"/>
      <c r="N114" s="140" t="inlineStr">
        <is>
          <t>TCMS</t>
        </is>
      </c>
      <c r="O114" s="140">
        <f>TCMS!E25</f>
        <v/>
      </c>
      <c r="P114" s="140" t="n"/>
    </row>
    <row r="115" ht="31.5" customHeight="1">
      <c r="A115" s="141" t="n">
        <v>22</v>
      </c>
      <c r="B115" s="145" t="n"/>
      <c r="C115" s="145" t="n"/>
      <c r="D115" s="145" t="n"/>
      <c r="E115" s="145" t="n"/>
      <c r="F115" s="145" t="n"/>
      <c r="G115" s="145" t="n"/>
      <c r="J115" s="140" t="n">
        <v>22</v>
      </c>
      <c r="K115" s="140" t="inlineStr">
        <is>
          <t>HVAC INFO SCREEN</t>
        </is>
      </c>
      <c r="L115" s="140" t="inlineStr">
        <is>
          <t>Target Temperature (degC)_UNIT 2_DMB</t>
        </is>
      </c>
      <c r="M115" s="144" t="n"/>
      <c r="N115" s="140" t="inlineStr">
        <is>
          <t>TCMS</t>
        </is>
      </c>
      <c r="O115" s="140">
        <f>TCMS!F25</f>
        <v/>
      </c>
      <c r="P115" s="140" t="n"/>
    </row>
    <row r="116" ht="31.5" customHeight="1">
      <c r="A116" s="141" t="n">
        <v>23</v>
      </c>
      <c r="B116" s="141" t="inlineStr">
        <is>
          <t>HVAC ISO- HVAC 1 TARGET CAR</t>
        </is>
      </c>
      <c r="C116" s="141" t="inlineStr">
        <is>
          <t>DMA</t>
        </is>
      </c>
      <c r="D116" s="141" t="n"/>
      <c r="E116" s="141" t="n"/>
      <c r="F116" s="141">
        <f>'DATA TRANSFER'!F753</f>
        <v/>
      </c>
      <c r="G116" s="141" t="n"/>
      <c r="J116" s="140" t="n">
        <v>23</v>
      </c>
      <c r="K116" s="140" t="inlineStr">
        <is>
          <t>HVAC INFO SCREEN</t>
        </is>
      </c>
      <c r="L116" s="140" t="inlineStr">
        <is>
          <t>Fresh Air Damper_UNIT 1_DMA</t>
        </is>
      </c>
      <c r="M116" s="144" t="n"/>
      <c r="N116" s="140" t="inlineStr">
        <is>
          <t>TCMS</t>
        </is>
      </c>
      <c r="O116" s="140">
        <f>TCMS!D27</f>
        <v/>
      </c>
      <c r="P116" s="140" t="n"/>
    </row>
    <row r="117" ht="31.5" customHeight="1">
      <c r="A117" s="141" t="n">
        <v>24</v>
      </c>
      <c r="B117" s="141" t="inlineStr">
        <is>
          <t>HVAC ISO- HVAC 1 TARGET CAR</t>
        </is>
      </c>
      <c r="C117" s="141" t="inlineStr">
        <is>
          <t>TCA</t>
        </is>
      </c>
      <c r="D117" s="141" t="n"/>
      <c r="E117" s="141" t="n"/>
      <c r="F117" s="141">
        <f>'DATA TRANSFER'!F754</f>
        <v/>
      </c>
      <c r="G117" s="141" t="n"/>
      <c r="J117" s="140" t="n">
        <v>24</v>
      </c>
      <c r="K117" s="140" t="inlineStr">
        <is>
          <t>HVAC INFO SCREEN</t>
        </is>
      </c>
      <c r="L117" s="140" t="inlineStr">
        <is>
          <t>Fresh Air Damper_UNIT 1_TCA</t>
        </is>
      </c>
      <c r="M117" s="144" t="n"/>
      <c r="N117" s="140" t="inlineStr">
        <is>
          <t>TCMS</t>
        </is>
      </c>
      <c r="O117" s="140">
        <f>TCMS!E27</f>
        <v/>
      </c>
      <c r="P117" s="140" t="n"/>
    </row>
    <row r="118" ht="31.5" customHeight="1">
      <c r="A118" s="141" t="n">
        <v>25</v>
      </c>
      <c r="B118" s="141" t="inlineStr">
        <is>
          <t>HVAC ISO- HVAC 1 TARGET CAR</t>
        </is>
      </c>
      <c r="C118" s="141" t="inlineStr">
        <is>
          <t>DMB</t>
        </is>
      </c>
      <c r="D118" s="141" t="n"/>
      <c r="E118" s="141" t="n"/>
      <c r="F118" s="141">
        <f>'DATA TRANSFER'!F755</f>
        <v/>
      </c>
      <c r="G118" s="141" t="n"/>
      <c r="J118" s="140" t="n">
        <v>25</v>
      </c>
      <c r="K118" s="140" t="inlineStr">
        <is>
          <t>HVAC INFO SCREEN</t>
        </is>
      </c>
      <c r="L118" s="140" t="inlineStr">
        <is>
          <t>Fresh Air Damper_UNIT 1_DMB</t>
        </is>
      </c>
      <c r="M118" s="144" t="n"/>
      <c r="N118" s="140" t="inlineStr">
        <is>
          <t>TCMS</t>
        </is>
      </c>
      <c r="O118" s="140">
        <f>TCMS!F27</f>
        <v/>
      </c>
      <c r="P118" s="140" t="n"/>
    </row>
    <row r="119" ht="31.5" customHeight="1">
      <c r="A119" s="141" t="n">
        <v>26</v>
      </c>
      <c r="B119" s="141" t="inlineStr">
        <is>
          <t>HVAC ISO- HVAC 2 TARGET CAR</t>
        </is>
      </c>
      <c r="C119" s="141" t="inlineStr">
        <is>
          <t>DMA</t>
        </is>
      </c>
      <c r="D119" s="141" t="n"/>
      <c r="E119" s="141" t="n"/>
      <c r="F119" s="141">
        <f>'DATA TRANSFER'!F756</f>
        <v/>
      </c>
      <c r="G119" s="141" t="n"/>
      <c r="J119" s="140" t="n">
        <v>26</v>
      </c>
      <c r="K119" s="140" t="inlineStr">
        <is>
          <t>HVAC INFO SCREEN</t>
        </is>
      </c>
      <c r="L119" s="140" t="inlineStr">
        <is>
          <t>Fresh Air Damper_UNIT 2_DMA</t>
        </is>
      </c>
      <c r="M119" s="144" t="n"/>
      <c r="N119" s="140" t="inlineStr">
        <is>
          <t>TCMS</t>
        </is>
      </c>
      <c r="O119" s="140">
        <f>TCMS!D28</f>
        <v/>
      </c>
      <c r="P119" s="140" t="n"/>
    </row>
    <row r="120" ht="31.5" customHeight="1">
      <c r="A120" s="141" t="n">
        <v>27</v>
      </c>
      <c r="B120" s="141" t="inlineStr">
        <is>
          <t>HVAC ISO- HVAC 2 TARGET CAR</t>
        </is>
      </c>
      <c r="C120" s="141" t="inlineStr">
        <is>
          <t>TCA</t>
        </is>
      </c>
      <c r="D120" s="141" t="n"/>
      <c r="E120" s="141" t="n"/>
      <c r="F120" s="141">
        <f>'DATA TRANSFER'!F757</f>
        <v/>
      </c>
      <c r="G120" s="141" t="n"/>
      <c r="J120" s="140" t="n">
        <v>27</v>
      </c>
      <c r="K120" s="140" t="inlineStr">
        <is>
          <t>HVAC INFO SCREEN</t>
        </is>
      </c>
      <c r="L120" s="140" t="inlineStr">
        <is>
          <t>Fresh Air Damper_UNIT 2_TCA</t>
        </is>
      </c>
      <c r="M120" s="144" t="n"/>
      <c r="N120" s="140" t="inlineStr">
        <is>
          <t>TCMS</t>
        </is>
      </c>
      <c r="O120" s="140">
        <f>TCMS!E28</f>
        <v/>
      </c>
      <c r="P120" s="140" t="n"/>
    </row>
    <row r="121" ht="31.5" customHeight="1">
      <c r="A121" s="141" t="n">
        <v>28</v>
      </c>
      <c r="B121" s="141" t="inlineStr">
        <is>
          <t>HVAC ISO- HVAC 2 TARGET CAR</t>
        </is>
      </c>
      <c r="C121" s="141" t="inlineStr">
        <is>
          <t>DMB</t>
        </is>
      </c>
      <c r="D121" s="141" t="n"/>
      <c r="E121" s="141" t="n"/>
      <c r="F121" s="141">
        <f>'DATA TRANSFER'!F758</f>
        <v/>
      </c>
      <c r="G121" s="141" t="n"/>
      <c r="J121" s="140" t="n">
        <v>28</v>
      </c>
      <c r="K121" s="140" t="inlineStr">
        <is>
          <t>HVAC INFO SCREEN</t>
        </is>
      </c>
      <c r="L121" s="140" t="inlineStr">
        <is>
          <t>Fresh Air Damper_UNIT 2_DMB</t>
        </is>
      </c>
      <c r="M121" s="144" t="n"/>
      <c r="N121" s="140" t="inlineStr">
        <is>
          <t>TCMS</t>
        </is>
      </c>
      <c r="O121" s="140">
        <f>TCMS!F28</f>
        <v/>
      </c>
      <c r="P121" s="140" t="n"/>
    </row>
    <row r="122" ht="47.25" customHeight="1">
      <c r="A122" s="141" t="n">
        <v>29</v>
      </c>
      <c r="B122" s="141" t="inlineStr">
        <is>
          <t>HVAC ISO</t>
        </is>
      </c>
      <c r="C122" s="141" t="inlineStr">
        <is>
          <t>HVAC Reset</t>
        </is>
      </c>
      <c r="D122" s="141" t="n"/>
      <c r="E122" s="141" t="n"/>
      <c r="F122" s="141">
        <f>'DATA TRANSFER'!F759</f>
        <v/>
      </c>
      <c r="G122" s="141" t="n"/>
      <c r="J122" s="140" t="n">
        <v>29</v>
      </c>
      <c r="K122" s="140" t="inlineStr">
        <is>
          <t>HVAC INFO SCREEN</t>
        </is>
      </c>
      <c r="L122" s="140" t="inlineStr">
        <is>
          <t>Low-pressure value on Compressor_UNIT 1_DMA</t>
        </is>
      </c>
      <c r="M122" s="144" t="n"/>
      <c r="N122" s="140" t="inlineStr">
        <is>
          <t>TCMS</t>
        </is>
      </c>
      <c r="O122" s="140">
        <f>TCMS!D30</f>
        <v/>
      </c>
      <c r="P122" s="140" t="n"/>
    </row>
    <row r="123" ht="47.25" customHeight="1">
      <c r="A123" s="141" t="n">
        <v>30</v>
      </c>
      <c r="B123" s="141" t="inlineStr">
        <is>
          <t>HVAC ISO</t>
        </is>
      </c>
      <c r="C123" s="141" t="inlineStr">
        <is>
          <t>ISOLATE</t>
        </is>
      </c>
      <c r="D123" s="141" t="n"/>
      <c r="E123" s="141" t="n"/>
      <c r="F123" s="141">
        <f>'DATA TRANSFER'!F760</f>
        <v/>
      </c>
      <c r="G123" s="141" t="n"/>
      <c r="J123" s="140" t="n">
        <v>30</v>
      </c>
      <c r="K123" s="140" t="inlineStr">
        <is>
          <t>HVAC INFO SCREEN</t>
        </is>
      </c>
      <c r="L123" s="140" t="inlineStr">
        <is>
          <t>Low-pressure value on Compressor_UNIT 1_TCA</t>
        </is>
      </c>
      <c r="M123" s="144" t="n"/>
      <c r="N123" s="140" t="inlineStr">
        <is>
          <t>TCMS</t>
        </is>
      </c>
      <c r="O123" s="140">
        <f>TCMS!E30</f>
        <v/>
      </c>
      <c r="P123" s="140" t="n"/>
    </row>
    <row r="124" ht="47.25" customHeight="1">
      <c r="A124" s="141" t="n">
        <v>31</v>
      </c>
      <c r="B124" s="141" t="inlineStr">
        <is>
          <t>HVAC ISO</t>
        </is>
      </c>
      <c r="C124" s="141" t="inlineStr">
        <is>
          <t>ISOLATE RESET</t>
        </is>
      </c>
      <c r="D124" s="141" t="n"/>
      <c r="E124" s="141" t="n"/>
      <c r="F124" s="141">
        <f>'DATA TRANSFER'!F761</f>
        <v/>
      </c>
      <c r="G124" s="141" t="n"/>
      <c r="J124" s="140" t="n">
        <v>31</v>
      </c>
      <c r="K124" s="140" t="inlineStr">
        <is>
          <t>HVAC INFO SCREEN</t>
        </is>
      </c>
      <c r="L124" s="140" t="inlineStr">
        <is>
          <t>Low-pressure value on Compressor_UNIT 1_DMB</t>
        </is>
      </c>
      <c r="M124" s="144" t="n"/>
      <c r="N124" s="140" t="inlineStr">
        <is>
          <t>TCMS</t>
        </is>
      </c>
      <c r="O124" s="140">
        <f>TCMS!F30</f>
        <v/>
      </c>
      <c r="P124" s="140" t="n"/>
    </row>
    <row r="125" ht="47.25" customHeight="1">
      <c r="A125" s="141" t="n">
        <v>32</v>
      </c>
      <c r="B125" s="141" t="n"/>
      <c r="C125" s="141" t="inlineStr">
        <is>
          <t>spare</t>
        </is>
      </c>
      <c r="D125" s="141" t="n"/>
      <c r="E125" s="141" t="n"/>
      <c r="F125" s="141" t="n"/>
      <c r="G125" s="141" t="n"/>
      <c r="J125" s="140" t="n">
        <v>32</v>
      </c>
      <c r="K125" s="140" t="inlineStr">
        <is>
          <t>HVAC INFO SCREEN</t>
        </is>
      </c>
      <c r="L125" s="140" t="inlineStr">
        <is>
          <t>Low-pressure value on Compressor_UNIT 2_DMA</t>
        </is>
      </c>
      <c r="M125" s="144" t="n"/>
      <c r="N125" s="140" t="inlineStr">
        <is>
          <t>TCMS</t>
        </is>
      </c>
      <c r="O125" s="140">
        <f>TCMS!D31</f>
        <v/>
      </c>
      <c r="P125" s="140" t="n"/>
    </row>
    <row r="126" ht="47.25" customHeight="1">
      <c r="A126" s="141" t="n">
        <v>33</v>
      </c>
      <c r="B126" s="141" t="n"/>
      <c r="C126" s="141" t="inlineStr">
        <is>
          <t>spare</t>
        </is>
      </c>
      <c r="D126" s="141" t="n"/>
      <c r="E126" s="141" t="n"/>
      <c r="F126" s="141" t="n"/>
      <c r="G126" s="141" t="n"/>
      <c r="J126" s="140" t="n">
        <v>33</v>
      </c>
      <c r="K126" s="140" t="inlineStr">
        <is>
          <t>HVAC INFO SCREEN</t>
        </is>
      </c>
      <c r="L126" s="140" t="inlineStr">
        <is>
          <t>Low-pressure value on Compressor_UNIT 2_TCA</t>
        </is>
      </c>
      <c r="M126" s="144" t="n"/>
      <c r="N126" s="140" t="inlineStr">
        <is>
          <t>TCMS</t>
        </is>
      </c>
      <c r="O126" s="140">
        <f>TCMS!E31</f>
        <v/>
      </c>
      <c r="P126" s="140" t="n"/>
    </row>
    <row r="127" ht="47.25" customHeight="1">
      <c r="A127" s="141" t="n">
        <v>34</v>
      </c>
      <c r="B127" s="141" t="n"/>
      <c r="C127" s="141" t="inlineStr">
        <is>
          <t>spare</t>
        </is>
      </c>
      <c r="D127" s="141" t="n"/>
      <c r="E127" s="141" t="n"/>
      <c r="F127" s="141" t="n"/>
      <c r="G127" s="141" t="n"/>
      <c r="J127" s="140" t="n">
        <v>34</v>
      </c>
      <c r="K127" s="140" t="inlineStr">
        <is>
          <t>HVAC INFO SCREEN</t>
        </is>
      </c>
      <c r="L127" s="140" t="inlineStr">
        <is>
          <t>Low-pressure value on Compressor_UNIT 2_DMB</t>
        </is>
      </c>
      <c r="M127" s="144" t="n"/>
      <c r="N127" s="140" t="inlineStr">
        <is>
          <t>TCMS</t>
        </is>
      </c>
      <c r="O127" s="140">
        <f>TCMS!F31</f>
        <v/>
      </c>
      <c r="P127" s="140" t="n"/>
    </row>
    <row r="128" ht="47.25" customHeight="1">
      <c r="J128" s="140" t="n">
        <v>35</v>
      </c>
      <c r="K128" s="140" t="inlineStr">
        <is>
          <t>HVAC INFO SCREEN</t>
        </is>
      </c>
      <c r="L128" s="140" t="inlineStr">
        <is>
          <t>High-pressure value on Compressor_UNIT 1_DMA</t>
        </is>
      </c>
      <c r="M128" s="144" t="n"/>
      <c r="N128" s="140" t="inlineStr">
        <is>
          <t>TCMS</t>
        </is>
      </c>
      <c r="O128" s="140">
        <f>TCMS!D33</f>
        <v/>
      </c>
      <c r="P128" s="140" t="n"/>
    </row>
    <row r="129" ht="47.25" customHeight="1">
      <c r="J129" s="140" t="n">
        <v>36</v>
      </c>
      <c r="K129" s="140" t="inlineStr">
        <is>
          <t>HVAC INFO SCREEN</t>
        </is>
      </c>
      <c r="L129" s="140" t="inlineStr">
        <is>
          <t>High-pressure value on Compressor_UNIT 1_TCA</t>
        </is>
      </c>
      <c r="M129" s="144" t="n"/>
      <c r="N129" s="140" t="inlineStr">
        <is>
          <t>TCMS</t>
        </is>
      </c>
      <c r="O129" s="140">
        <f>TCMS!E33</f>
        <v/>
      </c>
      <c r="P129" s="140" t="n"/>
    </row>
    <row r="130" ht="47.25" customHeight="1">
      <c r="J130" s="140" t="n">
        <v>37</v>
      </c>
      <c r="K130" s="140" t="inlineStr">
        <is>
          <t>HVAC INFO SCREEN</t>
        </is>
      </c>
      <c r="L130" s="140" t="inlineStr">
        <is>
          <t>High-pressure value on Compressor_UNIT 1_DMB</t>
        </is>
      </c>
      <c r="M130" s="144" t="n"/>
      <c r="N130" s="140" t="inlineStr">
        <is>
          <t>TCMS</t>
        </is>
      </c>
      <c r="O130" s="140">
        <f>TCMS!F33</f>
        <v/>
      </c>
      <c r="P130" s="140" t="n"/>
    </row>
    <row r="131" ht="47.25" customHeight="1">
      <c r="J131" s="140" t="n">
        <v>38</v>
      </c>
      <c r="K131" s="140" t="inlineStr">
        <is>
          <t>HVAC INFO SCREEN</t>
        </is>
      </c>
      <c r="L131" s="140" t="inlineStr">
        <is>
          <t>High-pressure value on Compressor_UNIT 2_DMA</t>
        </is>
      </c>
      <c r="M131" s="144" t="n"/>
      <c r="N131" s="140" t="inlineStr">
        <is>
          <t>TCMS</t>
        </is>
      </c>
      <c r="O131" s="140">
        <f>TCMS!D34</f>
        <v/>
      </c>
      <c r="P131" s="140" t="n"/>
    </row>
    <row r="132" ht="47.25" customHeight="1">
      <c r="J132" s="140" t="n">
        <v>39</v>
      </c>
      <c r="K132" s="140" t="inlineStr">
        <is>
          <t>HVAC INFO SCREEN</t>
        </is>
      </c>
      <c r="L132" s="140" t="inlineStr">
        <is>
          <t>High-pressure value on Compressor_UNIT 2_TCA</t>
        </is>
      </c>
      <c r="M132" s="144" t="n"/>
      <c r="N132" s="140" t="inlineStr">
        <is>
          <t>TCMS</t>
        </is>
      </c>
      <c r="O132" s="140">
        <f>TCMS!E34</f>
        <v/>
      </c>
      <c r="P132" s="140" t="n"/>
    </row>
    <row r="133" ht="47.25" customHeight="1">
      <c r="J133" s="140" t="n">
        <v>40</v>
      </c>
      <c r="K133" s="140" t="inlineStr">
        <is>
          <t>HVAC INFO SCREEN</t>
        </is>
      </c>
      <c r="L133" s="140" t="inlineStr">
        <is>
          <t>High-pressure value on Compressor_UNIT 2_DMB</t>
        </is>
      </c>
      <c r="M133" s="144" t="n"/>
      <c r="N133" s="140" t="inlineStr">
        <is>
          <t>TCMS</t>
        </is>
      </c>
      <c r="O133" s="140">
        <f>TCMS!F34</f>
        <v/>
      </c>
      <c r="P133" s="140" t="n"/>
    </row>
    <row r="134">
      <c r="J134" s="140" t="n">
        <v>41</v>
      </c>
      <c r="K134" s="140" t="n"/>
      <c r="M134" s="144" t="n"/>
      <c r="N134" s="140" t="inlineStr">
        <is>
          <t>TCMS</t>
        </is>
      </c>
      <c r="O134" s="140" t="n"/>
      <c r="P134" s="140" t="n"/>
    </row>
    <row r="135" ht="31.5" customHeight="1">
      <c r="J135" s="140" t="n">
        <v>42</v>
      </c>
      <c r="K135" s="140" t="inlineStr">
        <is>
          <t>MODE SETTING  SCREEN</t>
        </is>
      </c>
      <c r="L135" s="140" t="inlineStr">
        <is>
          <t>Current Mode Status_UNIT 1_DMA</t>
        </is>
      </c>
      <c r="M135" s="144" t="n"/>
      <c r="N135" s="140" t="inlineStr">
        <is>
          <t>TCMS</t>
        </is>
      </c>
      <c r="O135" s="140">
        <f>TCMS!D36</f>
        <v/>
      </c>
      <c r="P135" s="140" t="n"/>
    </row>
    <row r="136" ht="31.5" customHeight="1">
      <c r="J136" s="140" t="n">
        <v>43</v>
      </c>
      <c r="K136" s="140" t="inlineStr">
        <is>
          <t>MODE SETTING  SCREEN</t>
        </is>
      </c>
      <c r="L136" s="140" t="inlineStr">
        <is>
          <t>Current Mode Status_UNIT 1_TCA</t>
        </is>
      </c>
      <c r="M136" s="144" t="n"/>
      <c r="N136" s="140" t="inlineStr">
        <is>
          <t>TCMS</t>
        </is>
      </c>
      <c r="O136" s="140">
        <f>TCMS!E36</f>
        <v/>
      </c>
      <c r="P136" s="140" t="n"/>
    </row>
    <row r="137" ht="31.5" customHeight="1">
      <c r="J137" s="140" t="n">
        <v>44</v>
      </c>
      <c r="K137" s="140" t="inlineStr">
        <is>
          <t>MODE SETTING  SCREEN</t>
        </is>
      </c>
      <c r="L137" s="140" t="inlineStr">
        <is>
          <t>Current Mode Status_UNIT 1_DMB</t>
        </is>
      </c>
      <c r="M137" s="144" t="n"/>
      <c r="N137" s="140" t="inlineStr">
        <is>
          <t>TCMS</t>
        </is>
      </c>
      <c r="O137" s="140">
        <f>TCMS!F36</f>
        <v/>
      </c>
      <c r="P137" s="140" t="n"/>
    </row>
    <row r="138" ht="31.5" customHeight="1">
      <c r="J138" s="140" t="n">
        <v>45</v>
      </c>
      <c r="K138" s="140" t="inlineStr">
        <is>
          <t>MODE SETTING  SCREEN</t>
        </is>
      </c>
      <c r="L138" s="140" t="inlineStr">
        <is>
          <t>Current Mode Status_UNIT 2_DMA</t>
        </is>
      </c>
      <c r="M138" s="144" t="n"/>
      <c r="N138" s="140" t="inlineStr">
        <is>
          <t>TCMS</t>
        </is>
      </c>
      <c r="O138" s="140">
        <f>TCMS!D37</f>
        <v/>
      </c>
      <c r="P138" s="140" t="n"/>
    </row>
    <row r="139" ht="31.5" customHeight="1">
      <c r="J139" s="140" t="n">
        <v>46</v>
      </c>
      <c r="K139" s="140" t="inlineStr">
        <is>
          <t>MODE SETTING  SCREEN</t>
        </is>
      </c>
      <c r="L139" s="140" t="inlineStr">
        <is>
          <t>Current Mode Status_UNIT 2_TCA</t>
        </is>
      </c>
      <c r="M139" s="144" t="n"/>
      <c r="N139" s="140" t="inlineStr">
        <is>
          <t>TCMS</t>
        </is>
      </c>
      <c r="O139" s="140">
        <f>TCMS!E37</f>
        <v/>
      </c>
      <c r="P139" s="140" t="n"/>
    </row>
    <row r="140" ht="31.5" customHeight="1">
      <c r="J140" s="140" t="n">
        <v>47</v>
      </c>
      <c r="K140" s="140" t="inlineStr">
        <is>
          <t>MODE SETTING  SCREEN</t>
        </is>
      </c>
      <c r="L140" s="140" t="inlineStr">
        <is>
          <t>Current Mode Status_UNIT 2_DMB</t>
        </is>
      </c>
      <c r="M140" s="144" t="n"/>
      <c r="N140" s="140" t="inlineStr">
        <is>
          <t>TCMS</t>
        </is>
      </c>
      <c r="O140" s="140">
        <f>TCMS!F37</f>
        <v/>
      </c>
      <c r="P140" s="140" t="n"/>
    </row>
    <row r="141">
      <c r="J141" s="140" t="n">
        <v>48</v>
      </c>
      <c r="K141" s="140" t="n"/>
      <c r="M141" s="144" t="n"/>
      <c r="N141" s="140" t="inlineStr">
        <is>
          <t>TCMS</t>
        </is>
      </c>
      <c r="O141" s="140" t="n"/>
      <c r="P141" s="140" t="n"/>
    </row>
    <row r="142" ht="31.5" customHeight="1">
      <c r="J142" s="140" t="n">
        <v>49</v>
      </c>
      <c r="K142" s="140" t="inlineStr">
        <is>
          <t>TEMP SETTING SCREEN</t>
        </is>
      </c>
      <c r="L142" s="140" t="inlineStr">
        <is>
          <t>Target Temperature (degC)_UNIT 1_DMA</t>
        </is>
      </c>
      <c r="M142" s="144" t="n"/>
      <c r="N142" s="140" t="inlineStr">
        <is>
          <t>TCMS</t>
        </is>
      </c>
      <c r="O142" s="140">
        <f>TCMS!D74</f>
        <v/>
      </c>
      <c r="P142" s="140" t="n"/>
    </row>
    <row r="143" ht="31.5" customHeight="1">
      <c r="J143" s="140" t="n">
        <v>50</v>
      </c>
      <c r="K143" s="140" t="inlineStr">
        <is>
          <t>TEMP SETTING SCREEN</t>
        </is>
      </c>
      <c r="L143" s="140" t="inlineStr">
        <is>
          <t>Target Temperature (degC)_UNIT 1_TCA</t>
        </is>
      </c>
      <c r="M143" s="144" t="n"/>
      <c r="N143" s="140" t="inlineStr">
        <is>
          <t>TCMS</t>
        </is>
      </c>
      <c r="O143" s="140">
        <f>TCMS!E74</f>
        <v/>
      </c>
      <c r="P143" s="140" t="n"/>
    </row>
    <row r="144" ht="31.5" customHeight="1">
      <c r="J144" s="140" t="n">
        <v>51</v>
      </c>
      <c r="K144" s="140" t="inlineStr">
        <is>
          <t>TEMP SETTING SCREEN</t>
        </is>
      </c>
      <c r="L144" s="140" t="inlineStr">
        <is>
          <t>Target Temperature (degC)_UNIT 1_DMB</t>
        </is>
      </c>
      <c r="M144" s="144" t="n"/>
      <c r="N144" s="140" t="inlineStr">
        <is>
          <t>TCMS</t>
        </is>
      </c>
      <c r="O144" s="140">
        <f>TCMS!F74</f>
        <v/>
      </c>
      <c r="P144" s="140" t="n"/>
    </row>
    <row r="145" ht="31.5" customHeight="1">
      <c r="J145" s="140" t="n">
        <v>52</v>
      </c>
      <c r="K145" s="140" t="inlineStr">
        <is>
          <t>TEMP SETTING SCREEN</t>
        </is>
      </c>
      <c r="L145" s="140" t="inlineStr">
        <is>
          <t>Target Temperature (degC)_UNIT 2_DMA</t>
        </is>
      </c>
      <c r="M145" s="144" t="n"/>
      <c r="N145" s="140" t="inlineStr">
        <is>
          <t>TCMS</t>
        </is>
      </c>
      <c r="O145" s="140">
        <f>TCMS!D75</f>
        <v/>
      </c>
      <c r="P145" s="140" t="n"/>
    </row>
    <row r="146" ht="31.5" customHeight="1">
      <c r="J146" s="140" t="n">
        <v>53</v>
      </c>
      <c r="K146" s="140" t="inlineStr">
        <is>
          <t>TEMP SETTING SCREEN</t>
        </is>
      </c>
      <c r="L146" s="140" t="inlineStr">
        <is>
          <t>Target Temperature (degC)_UNIT 2_TCA</t>
        </is>
      </c>
      <c r="M146" s="144" t="n"/>
      <c r="N146" s="140" t="inlineStr">
        <is>
          <t>TCMS</t>
        </is>
      </c>
      <c r="O146" s="140">
        <f>TCMS!E75</f>
        <v/>
      </c>
      <c r="P146" s="140" t="n"/>
    </row>
    <row r="147" ht="31.5" customHeight="1">
      <c r="J147" s="140" t="n">
        <v>54</v>
      </c>
      <c r="K147" s="140" t="inlineStr">
        <is>
          <t>TEMP SETTING SCREEN</t>
        </is>
      </c>
      <c r="L147" s="140" t="inlineStr">
        <is>
          <t>Target Temperature (degC)_UNIT 2_DMB</t>
        </is>
      </c>
      <c r="M147" s="144" t="n"/>
      <c r="N147" s="140" t="inlineStr">
        <is>
          <t>TCMS</t>
        </is>
      </c>
      <c r="O147" s="140">
        <f>TCMS!F75</f>
        <v/>
      </c>
      <c r="P147" s="140" t="n"/>
    </row>
    <row r="148">
      <c r="J148" s="140" t="n">
        <v>55</v>
      </c>
      <c r="K148" s="140" t="inlineStr">
        <is>
          <t>TEMP SETTING SCREEN</t>
        </is>
      </c>
      <c r="L148" s="140" t="inlineStr">
        <is>
          <t>Request Temp</t>
        </is>
      </c>
      <c r="M148" s="144" t="n"/>
      <c r="N148" s="140" t="inlineStr">
        <is>
          <t>TCMS</t>
        </is>
      </c>
      <c r="O148" s="140">
        <f>TCMS!C85</f>
        <v/>
      </c>
      <c r="P148" s="140" t="n"/>
    </row>
    <row r="149">
      <c r="J149" s="140" t="n">
        <v>56</v>
      </c>
      <c r="K149" s="140" t="n"/>
      <c r="L149" s="62" t="n"/>
      <c r="M149" s="144" t="n"/>
      <c r="N149" s="140" t="inlineStr">
        <is>
          <t>TCMS</t>
        </is>
      </c>
      <c r="O149" s="140" t="n"/>
      <c r="P149" s="140" t="n"/>
    </row>
    <row r="150" ht="31.5" customHeight="1">
      <c r="J150" s="140" t="n">
        <v>57</v>
      </c>
      <c r="K150" s="140" t="inlineStr">
        <is>
          <t>HVAC ISOLATION SCREEN</t>
        </is>
      </c>
      <c r="L150" s="140" t="inlineStr">
        <is>
          <t>HVAC 1 _DMA</t>
        </is>
      </c>
      <c r="M150" s="144" t="n"/>
      <c r="N150" s="140" t="inlineStr">
        <is>
          <t>TCMS</t>
        </is>
      </c>
      <c r="O150" s="140">
        <f>TCMS!C93</f>
        <v/>
      </c>
      <c r="P150" s="140" t="n"/>
    </row>
    <row r="151" ht="31.5" customHeight="1">
      <c r="J151" s="140" t="n">
        <v>58</v>
      </c>
      <c r="K151" s="140" t="inlineStr">
        <is>
          <t>HVAC ISOLATION SCREEN</t>
        </is>
      </c>
      <c r="L151" s="140" t="inlineStr">
        <is>
          <t>HVAC 1 _TCA</t>
        </is>
      </c>
      <c r="M151" s="144" t="n"/>
      <c r="N151" s="140" t="inlineStr">
        <is>
          <t>TCMS</t>
        </is>
      </c>
      <c r="O151" s="140">
        <f>TCMS!D93</f>
        <v/>
      </c>
      <c r="P151" s="140" t="n"/>
    </row>
    <row r="152" ht="31.5" customHeight="1">
      <c r="J152" s="140" t="n">
        <v>59</v>
      </c>
      <c r="K152" s="140" t="inlineStr">
        <is>
          <t>HVAC ISOLATION SCREEN</t>
        </is>
      </c>
      <c r="L152" s="140" t="inlineStr">
        <is>
          <t>HVAC 1 _DMB</t>
        </is>
      </c>
      <c r="M152" s="144" t="n"/>
      <c r="N152" s="140" t="inlineStr">
        <is>
          <t>TCMS</t>
        </is>
      </c>
      <c r="O152" s="140">
        <f>TCMS!E93</f>
        <v/>
      </c>
      <c r="P152" s="140" t="n"/>
    </row>
    <row r="153" ht="31.5" customHeight="1">
      <c r="J153" s="140" t="n">
        <v>60</v>
      </c>
      <c r="K153" s="140" t="inlineStr">
        <is>
          <t>HVAC ISOLATION SCREEN</t>
        </is>
      </c>
      <c r="L153" s="140" t="inlineStr">
        <is>
          <t>HVAC 2 _DMA</t>
        </is>
      </c>
      <c r="M153" s="144" t="n"/>
      <c r="N153" s="140" t="inlineStr">
        <is>
          <t>TCMS</t>
        </is>
      </c>
      <c r="O153" s="140">
        <f>TCMS!C94</f>
        <v/>
      </c>
      <c r="P153" s="140" t="n"/>
    </row>
    <row r="154" ht="31.5" customHeight="1">
      <c r="J154" s="140" t="n">
        <v>61</v>
      </c>
      <c r="K154" s="140" t="inlineStr">
        <is>
          <t>HVAC ISOLATION SCREEN</t>
        </is>
      </c>
      <c r="L154" s="140" t="inlineStr">
        <is>
          <t>HVAC 2 _TCA</t>
        </is>
      </c>
      <c r="M154" s="144" t="n"/>
      <c r="N154" s="140" t="inlineStr">
        <is>
          <t>TCMS</t>
        </is>
      </c>
      <c r="O154" s="140">
        <f>TCMS!D94</f>
        <v/>
      </c>
      <c r="P154" s="140" t="n"/>
    </row>
    <row r="155" ht="31.5" customHeight="1">
      <c r="J155" s="140" t="n">
        <v>62</v>
      </c>
      <c r="K155" s="140" t="inlineStr">
        <is>
          <t>HVAC ISOLATION SCREEN</t>
        </is>
      </c>
      <c r="L155" s="140" t="inlineStr">
        <is>
          <t>HVAC 2 _DMB</t>
        </is>
      </c>
      <c r="M155" s="144" t="n"/>
      <c r="N155" s="140" t="inlineStr">
        <is>
          <t>TCMS</t>
        </is>
      </c>
      <c r="O155" s="140">
        <f>TCMS!E94</f>
        <v/>
      </c>
      <c r="P155" s="140" t="n"/>
    </row>
    <row r="170" customFormat="1" s="373">
      <c r="Z170" s="374" t="n"/>
    </row>
    <row r="171" ht="16.5" customHeight="1" thickBot="1"/>
    <row r="172" ht="45.75" customHeight="1" thickBot="1">
      <c r="B172" s="15" t="inlineStr">
        <is>
          <t>DI00</t>
        </is>
      </c>
      <c r="C172" s="35" t="inlineStr">
        <is>
          <t>Door 1 LH Limit Switch</t>
        </is>
      </c>
      <c r="D172" s="28" t="inlineStr">
        <is>
          <t>boolean</t>
        </is>
      </c>
      <c r="E172" s="16" t="inlineStr">
        <is>
          <t>HVAC Replica</t>
        </is>
      </c>
      <c r="F172" s="339" t="n"/>
      <c r="G172" s="339" t="n"/>
      <c r="K172" s="15" t="inlineStr">
        <is>
          <t>DO00</t>
        </is>
      </c>
      <c r="L172" s="16" t="inlineStr">
        <is>
          <t>Saloon Lights</t>
        </is>
      </c>
      <c r="M172" s="339" t="n"/>
      <c r="N172" s="16" t="inlineStr">
        <is>
          <t>HVAC Replica</t>
        </is>
      </c>
      <c r="O172" s="240">
        <f>HVAC_IOs!K11</f>
        <v/>
      </c>
      <c r="P172" s="339" t="n"/>
      <c r="Q172" s="715" t="inlineStr">
        <is>
          <t xml:space="preserve">DO </t>
        </is>
      </c>
      <c r="R172" s="375" t="n"/>
      <c r="S172" s="336" t="n"/>
      <c r="T172" s="336" t="n"/>
      <c r="U172" s="38" t="inlineStr">
        <is>
          <t>AI00</t>
        </is>
      </c>
      <c r="V172" s="43" t="inlineStr">
        <is>
          <t>LP Sensor 1</t>
        </is>
      </c>
      <c r="W172" s="29" t="n"/>
      <c r="X172" s="27" t="inlineStr">
        <is>
          <t xml:space="preserve">HVAC Replica </t>
        </is>
      </c>
      <c r="Y172" s="338" t="n"/>
      <c r="Z172" s="338" t="n"/>
      <c r="AC172" s="242" t="inlineStr">
        <is>
          <t>Analog outputs (DO)</t>
        </is>
      </c>
      <c r="AD172" s="243" t="inlineStr">
        <is>
          <t>Output Description</t>
        </is>
      </c>
      <c r="AE172" s="243" t="inlineStr">
        <is>
          <t>Remarks / special comments if any</t>
        </is>
      </c>
      <c r="AF172" s="244" t="inlineStr">
        <is>
          <t>Status</t>
        </is>
      </c>
      <c r="AG172" s="245" t="n"/>
      <c r="AH172" s="198" t="n"/>
      <c r="AI172" s="198" t="n"/>
      <c r="AJ172" s="199" t="n"/>
      <c r="AK172" s="198" t="n"/>
    </row>
    <row r="173">
      <c r="B173" s="15" t="inlineStr">
        <is>
          <t>DI01</t>
        </is>
      </c>
      <c r="C173" s="35" t="inlineStr">
        <is>
          <t>Door 1 RH Limit Switch</t>
        </is>
      </c>
      <c r="D173" s="28" t="inlineStr">
        <is>
          <t>boolean</t>
        </is>
      </c>
      <c r="E173" s="16" t="inlineStr">
        <is>
          <t>HVAC Replica</t>
        </is>
      </c>
      <c r="F173" s="339" t="n"/>
      <c r="G173" s="339" t="n"/>
      <c r="K173" s="15" t="inlineStr">
        <is>
          <t>DO01</t>
        </is>
      </c>
      <c r="L173" s="16" t="inlineStr">
        <is>
          <t>Int 1</t>
        </is>
      </c>
      <c r="M173" s="339" t="n"/>
      <c r="N173" s="16" t="inlineStr">
        <is>
          <t>HVAC Replica</t>
        </is>
      </c>
      <c r="O173" s="16">
        <f>IF(O172=1,0,1)</f>
        <v/>
      </c>
      <c r="P173" s="339" t="n"/>
      <c r="Q173" s="336" t="n"/>
      <c r="R173" s="336" t="n"/>
      <c r="S173" s="336" t="n"/>
      <c r="T173" s="336" t="n"/>
      <c r="U173" s="38" t="inlineStr">
        <is>
          <t>AI01</t>
        </is>
      </c>
      <c r="V173" s="43" t="inlineStr">
        <is>
          <t>HP Sensor 1</t>
        </is>
      </c>
      <c r="W173" s="29" t="n"/>
      <c r="X173" s="27" t="inlineStr">
        <is>
          <t xml:space="preserve">HVAC Replica </t>
        </is>
      </c>
      <c r="Y173" s="338" t="n"/>
      <c r="Z173" s="338" t="n"/>
      <c r="AC173" s="246" t="inlineStr">
        <is>
          <t>AO00</t>
        </is>
      </c>
      <c r="AD173" s="247" t="inlineStr">
        <is>
          <t>Spare</t>
        </is>
      </c>
      <c r="AE173" s="248" t="n"/>
      <c r="AF173" s="249" t="n"/>
      <c r="AG173" s="245" t="n"/>
      <c r="AH173" s="198" t="n"/>
      <c r="AI173" s="198" t="inlineStr">
        <is>
          <t xml:space="preserve"> AL549</t>
        </is>
      </c>
      <c r="AJ173" s="241" t="inlineStr">
        <is>
          <t>Condensor Coils</t>
        </is>
      </c>
      <c r="AK173" s="198" t="n">
        <v>1</v>
      </c>
    </row>
    <row r="174">
      <c r="B174" s="15" t="inlineStr">
        <is>
          <t>DI02</t>
        </is>
      </c>
      <c r="C174" s="35" t="inlineStr">
        <is>
          <t>Door 2 LH Limit Switch</t>
        </is>
      </c>
      <c r="D174" s="28" t="inlineStr">
        <is>
          <t>boolean</t>
        </is>
      </c>
      <c r="E174" s="16" t="inlineStr">
        <is>
          <t>HVAC Replica</t>
        </is>
      </c>
      <c r="F174" s="339" t="n"/>
      <c r="G174" s="339" t="n"/>
      <c r="K174" s="15" t="inlineStr">
        <is>
          <t>DO02</t>
        </is>
      </c>
      <c r="L174" s="16" t="inlineStr">
        <is>
          <t>Door(close)</t>
        </is>
      </c>
      <c r="M174" s="339" t="n"/>
      <c r="N174" s="16" t="inlineStr">
        <is>
          <t>HVAC Replica</t>
        </is>
      </c>
      <c r="O174" s="16">
        <f>IF('DATA TRANSFER'!CP38=0,1,0)</f>
        <v/>
      </c>
      <c r="P174" s="339" t="n"/>
      <c r="Q174" s="336" t="n"/>
      <c r="R174" s="336" t="n"/>
      <c r="S174" s="336" t="n"/>
      <c r="T174" s="336" t="n"/>
      <c r="U174" s="38" t="inlineStr">
        <is>
          <t>AI02</t>
        </is>
      </c>
      <c r="V174" s="43" t="inlineStr">
        <is>
          <t>LP Sensor 2</t>
        </is>
      </c>
      <c r="W174" s="29" t="n"/>
      <c r="X174" s="27" t="inlineStr">
        <is>
          <t xml:space="preserve">HVAC Replica </t>
        </is>
      </c>
      <c r="Y174" s="338" t="n"/>
      <c r="Z174" s="338" t="n"/>
      <c r="AC174" s="250" t="inlineStr">
        <is>
          <t>AO01</t>
        </is>
      </c>
      <c r="AD174" s="200" t="inlineStr">
        <is>
          <t>Spare</t>
        </is>
      </c>
      <c r="AE174" s="198" t="n"/>
      <c r="AF174" s="251" t="n"/>
      <c r="AG174" s="245" t="n"/>
      <c r="AH174" s="198" t="n"/>
      <c r="AI174" s="198" t="inlineStr">
        <is>
          <t xml:space="preserve"> AL550</t>
        </is>
      </c>
      <c r="AJ174" s="241" t="inlineStr">
        <is>
          <t>CF</t>
        </is>
      </c>
      <c r="AK174" s="198" t="n">
        <v>0</v>
      </c>
    </row>
    <row r="175">
      <c r="B175" s="15" t="inlineStr">
        <is>
          <t>DI03</t>
        </is>
      </c>
      <c r="C175" s="35" t="inlineStr">
        <is>
          <t>Door 2 RH Limit Switch</t>
        </is>
      </c>
      <c r="D175" s="28" t="inlineStr">
        <is>
          <t>boolean</t>
        </is>
      </c>
      <c r="E175" s="16" t="inlineStr">
        <is>
          <t>HVAC Replica</t>
        </is>
      </c>
      <c r="F175" s="339" t="n"/>
      <c r="G175" s="339" t="n"/>
      <c r="K175" s="15" t="inlineStr">
        <is>
          <t>DO03</t>
        </is>
      </c>
      <c r="L175" s="16" t="inlineStr">
        <is>
          <t>Door(open)</t>
        </is>
      </c>
      <c r="M175" s="339" t="n"/>
      <c r="N175" s="16" t="inlineStr">
        <is>
          <t>HVAC Replica</t>
        </is>
      </c>
      <c r="O175" s="16">
        <f>'DATA TRANSFER'!CP37</f>
        <v/>
      </c>
      <c r="P175" s="339" t="n"/>
      <c r="Q175" s="336" t="n"/>
      <c r="R175" s="336" t="n"/>
      <c r="S175" s="336" t="n"/>
      <c r="T175" s="336" t="n"/>
      <c r="U175" s="38" t="inlineStr">
        <is>
          <t>AI03</t>
        </is>
      </c>
      <c r="V175" s="43" t="inlineStr">
        <is>
          <t>HP Sensor 2</t>
        </is>
      </c>
      <c r="W175" s="29" t="n"/>
      <c r="X175" s="27" t="inlineStr">
        <is>
          <t xml:space="preserve">HVAC Replica </t>
        </is>
      </c>
      <c r="Y175" s="338" t="n"/>
      <c r="Z175" s="338" t="n"/>
      <c r="AC175" s="250" t="inlineStr">
        <is>
          <t>AO02</t>
        </is>
      </c>
      <c r="AD175" s="200" t="inlineStr">
        <is>
          <t>Spare</t>
        </is>
      </c>
      <c r="AE175" s="198" t="n"/>
      <c r="AF175" s="251" t="n"/>
      <c r="AG175" s="245" t="n"/>
      <c r="AH175" s="198" t="n"/>
      <c r="AI175" s="198" t="inlineStr">
        <is>
          <t xml:space="preserve"> AL551</t>
        </is>
      </c>
      <c r="AJ175" s="241" t="inlineStr">
        <is>
          <t>EI</t>
        </is>
      </c>
      <c r="AK175" s="198" t="n">
        <v>0</v>
      </c>
    </row>
    <row r="176">
      <c r="B176" s="15" t="inlineStr">
        <is>
          <t>DI04</t>
        </is>
      </c>
      <c r="C176" s="35" t="inlineStr">
        <is>
          <t>Door 1 Center Limit Switch (Centre)</t>
        </is>
      </c>
      <c r="D176" s="28" t="inlineStr">
        <is>
          <t>boolean</t>
        </is>
      </c>
      <c r="E176" s="16" t="inlineStr">
        <is>
          <t>HVAC Replica</t>
        </is>
      </c>
      <c r="F176" s="339" t="n"/>
      <c r="G176" s="339" t="n"/>
      <c r="K176" s="15" t="inlineStr">
        <is>
          <t>DO04</t>
        </is>
      </c>
      <c r="L176" s="16" t="inlineStr">
        <is>
          <t>Door(Open-RIGHT)</t>
        </is>
      </c>
      <c r="M176" s="339" t="n"/>
      <c r="N176" s="16" t="inlineStr">
        <is>
          <t>HVAC Replica</t>
        </is>
      </c>
      <c r="O176" s="16">
        <f>O175</f>
        <v/>
      </c>
      <c r="P176" s="339" t="n"/>
      <c r="Q176" s="336" t="n"/>
      <c r="R176" s="336" t="n"/>
      <c r="S176" s="336" t="n"/>
      <c r="T176" s="336" t="n"/>
      <c r="U176" s="38" t="inlineStr">
        <is>
          <t>AI04</t>
        </is>
      </c>
      <c r="V176" s="43" t="inlineStr">
        <is>
          <t>FAT Sensor</t>
        </is>
      </c>
      <c r="W176" s="29" t="n"/>
      <c r="X176" s="27" t="inlineStr">
        <is>
          <t xml:space="preserve">HVAC Replica </t>
        </is>
      </c>
      <c r="Y176" s="338" t="n"/>
      <c r="Z176" s="338" t="n"/>
      <c r="AC176" s="250" t="inlineStr">
        <is>
          <t>AO03</t>
        </is>
      </c>
      <c r="AD176" s="200" t="inlineStr">
        <is>
          <t>Spare</t>
        </is>
      </c>
      <c r="AE176" s="198" t="n"/>
      <c r="AF176" s="251" t="n"/>
      <c r="AG176" s="245" t="n"/>
      <c r="AH176" s="198" t="n"/>
      <c r="AI176" s="198" t="inlineStr">
        <is>
          <t xml:space="preserve"> AL552</t>
        </is>
      </c>
      <c r="AJ176" s="241" t="inlineStr">
        <is>
          <t>Evaporator</t>
        </is>
      </c>
      <c r="AK176" s="198" t="n">
        <v>0</v>
      </c>
    </row>
    <row r="177" ht="47.25" customHeight="1">
      <c r="B177" s="15" t="inlineStr">
        <is>
          <t>DI05</t>
        </is>
      </c>
      <c r="C177" s="35" t="inlineStr">
        <is>
          <t>Door 2 Center Limit Switch (right side)</t>
        </is>
      </c>
      <c r="D177" s="28" t="inlineStr">
        <is>
          <t>boolean</t>
        </is>
      </c>
      <c r="E177" s="16" t="inlineStr">
        <is>
          <t>HVAC Replica</t>
        </is>
      </c>
      <c r="F177" s="339" t="n"/>
      <c r="G177" s="339" t="n"/>
      <c r="K177" s="15" t="inlineStr">
        <is>
          <t>DO05</t>
        </is>
      </c>
      <c r="L177" s="16" t="inlineStr">
        <is>
          <t>Door(CLOSE-RIGHT)</t>
        </is>
      </c>
      <c r="M177" s="339" t="n"/>
      <c r="N177" s="16" t="inlineStr">
        <is>
          <t>HVAC Replica</t>
        </is>
      </c>
      <c r="O177" s="16">
        <f>O174</f>
        <v/>
      </c>
      <c r="P177" s="339" t="n"/>
      <c r="Q177" s="336" t="n"/>
      <c r="R177" s="336" t="n"/>
      <c r="S177" s="336" t="n"/>
      <c r="T177" s="336" t="n"/>
      <c r="U177" s="38" t="inlineStr">
        <is>
          <t>AI05</t>
        </is>
      </c>
      <c r="V177" s="43" t="inlineStr">
        <is>
          <t>Supply Air Temp Sensor</t>
        </is>
      </c>
      <c r="W177" s="29" t="n"/>
      <c r="X177" s="27" t="inlineStr">
        <is>
          <t xml:space="preserve">HVAC Replica </t>
        </is>
      </c>
      <c r="Y177" s="338" t="n"/>
      <c r="Z177" s="338" t="n"/>
      <c r="AC177" s="250" t="inlineStr">
        <is>
          <t>AO04</t>
        </is>
      </c>
      <c r="AD177" s="200" t="inlineStr">
        <is>
          <t>Spare</t>
        </is>
      </c>
      <c r="AE177" s="198" t="n"/>
      <c r="AF177" s="251" t="n"/>
      <c r="AG177" s="245" t="n"/>
      <c r="AH177" s="198" t="n"/>
      <c r="AI177" s="198" t="inlineStr">
        <is>
          <t xml:space="preserve"> AL553</t>
        </is>
      </c>
      <c r="AJ177" s="241" t="inlineStr">
        <is>
          <t>Filter Drier</t>
        </is>
      </c>
      <c r="AK177" s="198" t="n">
        <v>0</v>
      </c>
    </row>
    <row r="178">
      <c r="B178" s="15" t="inlineStr">
        <is>
          <t>DI06</t>
        </is>
      </c>
      <c r="C178" s="35" t="inlineStr">
        <is>
          <t>Spare</t>
        </is>
      </c>
      <c r="D178" s="28" t="inlineStr">
        <is>
          <t>boolean</t>
        </is>
      </c>
      <c r="E178" s="16" t="inlineStr">
        <is>
          <t>HVAC Replica</t>
        </is>
      </c>
      <c r="F178" s="339" t="n"/>
      <c r="G178" s="339" t="n"/>
      <c r="K178" s="15" t="inlineStr">
        <is>
          <t>DO06</t>
        </is>
      </c>
      <c r="L178" s="16" t="inlineStr">
        <is>
          <t>Comp 1</t>
        </is>
      </c>
      <c r="M178" s="339" t="n"/>
      <c r="N178" s="16" t="inlineStr">
        <is>
          <t>HVAC Replica</t>
        </is>
      </c>
      <c r="O178" s="16" t="n"/>
      <c r="P178" s="339" t="n"/>
      <c r="Q178" s="336" t="n"/>
      <c r="R178" s="336" t="n"/>
      <c r="S178" s="336" t="n"/>
      <c r="T178" s="336" t="n"/>
      <c r="U178" s="38" t="inlineStr">
        <is>
          <t>AI06</t>
        </is>
      </c>
      <c r="V178" s="43" t="inlineStr">
        <is>
          <t>RAT Sensor</t>
        </is>
      </c>
      <c r="W178" s="29" t="n"/>
      <c r="X178" s="27" t="inlineStr">
        <is>
          <t xml:space="preserve">HVAC Replica </t>
        </is>
      </c>
      <c r="Y178" s="338" t="n"/>
      <c r="Z178" s="338" t="n"/>
      <c r="AC178" s="250" t="inlineStr">
        <is>
          <t>AO05</t>
        </is>
      </c>
      <c r="AD178" s="200" t="inlineStr">
        <is>
          <t>Spare</t>
        </is>
      </c>
      <c r="AE178" s="198" t="n"/>
      <c r="AF178" s="251" t="n"/>
      <c r="AG178" s="245" t="n"/>
      <c r="AH178" s="198" t="n"/>
      <c r="AI178" s="198" t="inlineStr">
        <is>
          <t xml:space="preserve"> AL554</t>
        </is>
      </c>
      <c r="AJ178" s="241" t="inlineStr">
        <is>
          <t>FAD</t>
        </is>
      </c>
      <c r="AK178" s="198" t="n">
        <v>0</v>
      </c>
    </row>
    <row r="179" ht="31.5" customHeight="1">
      <c r="B179" s="15" t="inlineStr">
        <is>
          <t>DI07</t>
        </is>
      </c>
      <c r="C179" s="35" t="inlineStr">
        <is>
          <t>Spare</t>
        </is>
      </c>
      <c r="D179" s="28" t="inlineStr">
        <is>
          <t>boolean</t>
        </is>
      </c>
      <c r="E179" s="16" t="inlineStr">
        <is>
          <t>HVAC Replica</t>
        </is>
      </c>
      <c r="F179" s="339" t="n"/>
      <c r="G179" s="339" t="n"/>
      <c r="K179" s="15" t="inlineStr">
        <is>
          <t>DO07</t>
        </is>
      </c>
      <c r="L179" s="16" t="inlineStr">
        <is>
          <t>Comp2</t>
        </is>
      </c>
      <c r="M179" s="339" t="n"/>
      <c r="N179" s="16" t="inlineStr">
        <is>
          <t>HVAC Replica</t>
        </is>
      </c>
      <c r="O179" s="16">
        <f>'DATA TRANSFER'!M27</f>
        <v/>
      </c>
      <c r="P179" s="339" t="n"/>
      <c r="Q179" s="336" t="n"/>
      <c r="R179" s="336" t="n"/>
      <c r="S179" s="336" t="n"/>
      <c r="T179" s="336" t="n"/>
      <c r="U179" s="38" t="inlineStr">
        <is>
          <t>AI07</t>
        </is>
      </c>
      <c r="V179" s="43" t="inlineStr">
        <is>
          <t xml:space="preserve">Humidity Sensor </t>
        </is>
      </c>
      <c r="W179" s="29" t="n"/>
      <c r="X179" s="27" t="inlineStr">
        <is>
          <t xml:space="preserve">HVAC Replica </t>
        </is>
      </c>
      <c r="Y179" s="338" t="n"/>
      <c r="Z179" s="338" t="n"/>
      <c r="AC179" s="250" t="inlineStr">
        <is>
          <t>AO06</t>
        </is>
      </c>
      <c r="AD179" s="200" t="inlineStr">
        <is>
          <t>Spare</t>
        </is>
      </c>
      <c r="AE179" s="198" t="n"/>
      <c r="AF179" s="251" t="n"/>
      <c r="AG179" s="245" t="n"/>
      <c r="AH179" s="198" t="n"/>
      <c r="AI179" s="198" t="inlineStr">
        <is>
          <t xml:space="preserve"> AL555</t>
        </is>
      </c>
      <c r="AJ179" s="241" t="inlineStr">
        <is>
          <t xml:space="preserve">Filter   </t>
        </is>
      </c>
      <c r="AK179" s="198" t="n">
        <v>0</v>
      </c>
    </row>
    <row r="180">
      <c r="B180" s="15" t="inlineStr">
        <is>
          <t>DI08</t>
        </is>
      </c>
      <c r="C180" s="35" t="inlineStr">
        <is>
          <t>Spare</t>
        </is>
      </c>
      <c r="D180" s="28" t="inlineStr">
        <is>
          <t>boolean</t>
        </is>
      </c>
      <c r="E180" s="16" t="inlineStr">
        <is>
          <t>HVAC Replica</t>
        </is>
      </c>
      <c r="F180" s="339" t="n"/>
      <c r="G180" s="339" t="n"/>
      <c r="K180" s="15" t="inlineStr">
        <is>
          <t>DO08</t>
        </is>
      </c>
      <c r="L180" s="16" t="inlineStr">
        <is>
          <t>Comp3</t>
        </is>
      </c>
      <c r="M180" s="339" t="n"/>
      <c r="N180" s="16" t="inlineStr">
        <is>
          <t>HVAC Replica</t>
        </is>
      </c>
      <c r="O180" s="16">
        <f>'DATA TRANSFER'!M28</f>
        <v/>
      </c>
      <c r="P180" s="339" t="n"/>
      <c r="Q180" s="336" t="n"/>
      <c r="R180" s="336" t="n"/>
      <c r="S180" s="336" t="n"/>
      <c r="T180" s="336" t="n"/>
      <c r="U180" s="38" t="inlineStr">
        <is>
          <t>AI08</t>
        </is>
      </c>
      <c r="V180" s="43" t="inlineStr">
        <is>
          <t>Spare</t>
        </is>
      </c>
      <c r="W180" s="29" t="n"/>
      <c r="X180" s="27" t="inlineStr">
        <is>
          <t xml:space="preserve">HVAC Replica </t>
        </is>
      </c>
      <c r="Y180" s="338" t="n"/>
      <c r="Z180" s="338" t="n"/>
      <c r="AC180" s="250" t="inlineStr">
        <is>
          <t>AO07</t>
        </is>
      </c>
      <c r="AD180" s="200" t="inlineStr">
        <is>
          <t>Spare</t>
        </is>
      </c>
      <c r="AE180" s="198" t="n"/>
      <c r="AF180" s="251" t="n"/>
      <c r="AG180" s="245" t="n"/>
      <c r="AH180" s="198" t="n"/>
      <c r="AI180" s="198" t="inlineStr">
        <is>
          <t xml:space="preserve"> AL556</t>
        </is>
      </c>
      <c r="AJ180" s="241" t="inlineStr">
        <is>
          <t>FAT Sensor</t>
        </is>
      </c>
      <c r="AK180" s="198" t="n">
        <v>0</v>
      </c>
    </row>
    <row r="181">
      <c r="B181" s="15" t="inlineStr">
        <is>
          <t>DI09</t>
        </is>
      </c>
      <c r="C181" s="35" t="inlineStr">
        <is>
          <t>Spare</t>
        </is>
      </c>
      <c r="D181" s="28" t="inlineStr">
        <is>
          <t>boolean</t>
        </is>
      </c>
      <c r="E181" s="16" t="inlineStr">
        <is>
          <t>HVAC Replica</t>
        </is>
      </c>
      <c r="F181" s="339" t="n"/>
      <c r="G181" s="339" t="n"/>
      <c r="K181" s="15" t="inlineStr">
        <is>
          <t>DO09</t>
        </is>
      </c>
      <c r="L181" s="16" t="inlineStr">
        <is>
          <t>Comp4</t>
        </is>
      </c>
      <c r="M181" s="339" t="n"/>
      <c r="N181" s="16" t="inlineStr">
        <is>
          <t>HVAC Replica</t>
        </is>
      </c>
      <c r="O181" s="16">
        <f>'DATA TRANSFER'!M29</f>
        <v/>
      </c>
      <c r="P181" s="339" t="n"/>
      <c r="Q181" s="336" t="n"/>
      <c r="R181" s="336" t="n"/>
      <c r="S181" s="336" t="n"/>
      <c r="T181" s="336" t="n"/>
      <c r="U181" s="26" t="n"/>
      <c r="V181" s="38" t="inlineStr">
        <is>
          <t>spare</t>
        </is>
      </c>
      <c r="W181" s="29" t="n"/>
      <c r="X181" s="27" t="inlineStr">
        <is>
          <t xml:space="preserve">HVAC Replica </t>
        </is>
      </c>
      <c r="Y181" s="338" t="n"/>
      <c r="Z181" s="338" t="n"/>
      <c r="AC181" s="250" t="inlineStr">
        <is>
          <t>AO08</t>
        </is>
      </c>
      <c r="AD181" s="200" t="inlineStr">
        <is>
          <t>Spare</t>
        </is>
      </c>
      <c r="AE181" s="198" t="n"/>
      <c r="AF181" s="251" t="n"/>
      <c r="AG181" s="245" t="n"/>
      <c r="AH181" s="198" t="n"/>
      <c r="AI181" s="198" t="inlineStr">
        <is>
          <t xml:space="preserve"> AL557</t>
        </is>
      </c>
      <c r="AJ181" s="241" t="inlineStr">
        <is>
          <t>HP</t>
        </is>
      </c>
      <c r="AK181" s="198" t="n">
        <v>0</v>
      </c>
    </row>
    <row r="182">
      <c r="B182" s="15" t="inlineStr">
        <is>
          <t>DI10</t>
        </is>
      </c>
      <c r="C182" s="35" t="inlineStr">
        <is>
          <t>Spare</t>
        </is>
      </c>
      <c r="D182" s="28" t="inlineStr">
        <is>
          <t>boolean</t>
        </is>
      </c>
      <c r="E182" s="16" t="inlineStr">
        <is>
          <t>HVAC Replica</t>
        </is>
      </c>
      <c r="F182" s="339" t="n"/>
      <c r="G182" s="339" t="n"/>
      <c r="K182" s="15" t="inlineStr">
        <is>
          <t>DO10</t>
        </is>
      </c>
      <c r="L182" s="16" t="inlineStr">
        <is>
          <t>SAF 1 HW LED</t>
        </is>
      </c>
      <c r="M182" s="339" t="n"/>
      <c r="N182" s="16" t="inlineStr">
        <is>
          <t>HVAC Replica</t>
        </is>
      </c>
      <c r="O182" s="239">
        <f>HVAC_IOs!K8</f>
        <v/>
      </c>
      <c r="P182" s="339" t="n"/>
      <c r="Q182" s="336" t="n"/>
      <c r="R182" s="336" t="n"/>
      <c r="S182" s="336" t="n"/>
      <c r="T182" s="336" t="n"/>
      <c r="U182" s="26" t="n"/>
      <c r="V182" s="38" t="inlineStr">
        <is>
          <t>spare</t>
        </is>
      </c>
      <c r="W182" s="29" t="n"/>
      <c r="X182" s="27" t="inlineStr">
        <is>
          <t xml:space="preserve">HVAC Replica </t>
        </is>
      </c>
      <c r="Y182" s="338" t="n"/>
      <c r="Z182" s="338" t="n"/>
      <c r="AC182" s="250" t="inlineStr">
        <is>
          <t>AO09</t>
        </is>
      </c>
      <c r="AD182" s="200" t="inlineStr">
        <is>
          <t>Spare</t>
        </is>
      </c>
      <c r="AE182" s="198" t="n"/>
      <c r="AF182" s="251" t="n"/>
      <c r="AG182" s="245" t="n"/>
      <c r="AH182" s="198" t="n"/>
      <c r="AI182" s="198" t="inlineStr">
        <is>
          <t xml:space="preserve"> AL558</t>
        </is>
      </c>
      <c r="AJ182" s="241" t="inlineStr">
        <is>
          <t>Blanks</t>
        </is>
      </c>
      <c r="AK182" s="198" t="n">
        <v>0</v>
      </c>
    </row>
    <row r="183">
      <c r="B183" s="15" t="inlineStr">
        <is>
          <t>DI11</t>
        </is>
      </c>
      <c r="C183" s="35" t="inlineStr">
        <is>
          <t>Spare</t>
        </is>
      </c>
      <c r="D183" s="28" t="inlineStr">
        <is>
          <t>boolean</t>
        </is>
      </c>
      <c r="E183" s="16" t="inlineStr">
        <is>
          <t>HVAC Replica</t>
        </is>
      </c>
      <c r="F183" s="339" t="n"/>
      <c r="G183" s="339" t="n"/>
      <c r="K183" s="15" t="inlineStr">
        <is>
          <t>DO11</t>
        </is>
      </c>
      <c r="L183" s="16" t="inlineStr">
        <is>
          <t>SAF 2 HW LED</t>
        </is>
      </c>
      <c r="M183" s="339" t="n"/>
      <c r="N183" s="16" t="inlineStr">
        <is>
          <t>HVAC Replica</t>
        </is>
      </c>
      <c r="O183" s="239">
        <f>HVAC_IOs!K9</f>
        <v/>
      </c>
      <c r="P183" s="339" t="n"/>
      <c r="Q183" s="336" t="n"/>
      <c r="R183" s="336" t="n"/>
      <c r="S183" s="336" t="n"/>
      <c r="T183" s="336" t="n"/>
      <c r="U183" s="22" t="n"/>
      <c r="V183" s="38" t="inlineStr">
        <is>
          <t>spare</t>
        </is>
      </c>
      <c r="W183" s="29" t="n"/>
      <c r="X183" s="27" t="inlineStr">
        <is>
          <t xml:space="preserve">HVAC Replica </t>
        </is>
      </c>
      <c r="Y183" s="338" t="n"/>
      <c r="Z183" s="338" t="n"/>
      <c r="AC183" s="250" t="inlineStr">
        <is>
          <t>AO10</t>
        </is>
      </c>
      <c r="AD183" s="200" t="inlineStr">
        <is>
          <t>Spare</t>
        </is>
      </c>
      <c r="AE183" s="198" t="n"/>
      <c r="AF183" s="251" t="n"/>
      <c r="AG183" s="245" t="n"/>
      <c r="AH183" s="198" t="n"/>
      <c r="AI183" s="198" t="inlineStr">
        <is>
          <t xml:space="preserve"> AL559</t>
        </is>
      </c>
      <c r="AJ183" s="241" t="inlineStr">
        <is>
          <t>Humidity Sensor</t>
        </is>
      </c>
      <c r="AK183" s="198" t="n">
        <v>0</v>
      </c>
    </row>
    <row r="184">
      <c r="B184" s="15" t="inlineStr">
        <is>
          <t>DI12</t>
        </is>
      </c>
      <c r="C184" s="35" t="inlineStr">
        <is>
          <t>Spare</t>
        </is>
      </c>
      <c r="D184" s="28" t="inlineStr">
        <is>
          <t>boolean</t>
        </is>
      </c>
      <c r="E184" s="16" t="inlineStr">
        <is>
          <t>HVAC Replica</t>
        </is>
      </c>
      <c r="F184" s="339" t="n"/>
      <c r="G184" s="339" t="n"/>
      <c r="K184" s="15" t="inlineStr">
        <is>
          <t>DO12</t>
        </is>
      </c>
      <c r="L184" s="16" t="inlineStr">
        <is>
          <t>Low Pressure Solenoid 1</t>
        </is>
      </c>
      <c r="M184" s="339" t="n"/>
      <c r="N184" s="16" t="inlineStr">
        <is>
          <t>HVAC Replica</t>
        </is>
      </c>
      <c r="O184" s="339" t="n"/>
      <c r="P184" s="339" t="n"/>
      <c r="Q184" s="336" t="n"/>
      <c r="R184" s="336" t="n"/>
      <c r="S184" s="336" t="n"/>
      <c r="T184" s="336" t="n"/>
      <c r="U184" s="22" t="n"/>
      <c r="V184" s="38" t="inlineStr">
        <is>
          <t>spare</t>
        </is>
      </c>
      <c r="W184" s="29" t="n"/>
      <c r="X184" s="27" t="inlineStr">
        <is>
          <t xml:space="preserve">HVAC Replica </t>
        </is>
      </c>
      <c r="Y184" s="338" t="n"/>
      <c r="Z184" s="338" t="n"/>
      <c r="AC184" s="250" t="inlineStr">
        <is>
          <t>AO11</t>
        </is>
      </c>
      <c r="AD184" s="200" t="inlineStr">
        <is>
          <t>Spare</t>
        </is>
      </c>
      <c r="AE184" s="198" t="n"/>
      <c r="AF184" s="251" t="n"/>
      <c r="AG184" s="245" t="n"/>
      <c r="AH184" s="198" t="n"/>
      <c r="AI184" s="198" t="inlineStr">
        <is>
          <t xml:space="preserve"> AL560</t>
        </is>
      </c>
      <c r="AJ184" s="241" t="inlineStr">
        <is>
          <t>LP</t>
        </is>
      </c>
      <c r="AK184" s="198" t="n">
        <v>0</v>
      </c>
    </row>
    <row r="185">
      <c r="B185" s="15" t="inlineStr">
        <is>
          <t>DI13</t>
        </is>
      </c>
      <c r="C185" s="35" t="inlineStr">
        <is>
          <t>Spare</t>
        </is>
      </c>
      <c r="D185" s="28" t="inlineStr">
        <is>
          <t>boolean</t>
        </is>
      </c>
      <c r="E185" s="16" t="inlineStr">
        <is>
          <t>HVAC Replica</t>
        </is>
      </c>
      <c r="F185" s="339" t="n"/>
      <c r="G185" s="339" t="n"/>
      <c r="K185" s="15" t="inlineStr">
        <is>
          <t>DO13</t>
        </is>
      </c>
      <c r="L185" s="16" t="inlineStr">
        <is>
          <t>Low Pressure Solenoid 2</t>
        </is>
      </c>
      <c r="M185" s="339" t="n"/>
      <c r="N185" s="16" t="inlineStr">
        <is>
          <t>HVAC Replica</t>
        </is>
      </c>
      <c r="O185" s="339" t="n"/>
      <c r="P185" s="339" t="n"/>
      <c r="Q185" s="336" t="n"/>
      <c r="R185" s="336" t="n"/>
      <c r="S185" s="336" t="n"/>
      <c r="T185" s="336" t="n"/>
      <c r="U185" s="22" t="n"/>
      <c r="V185" s="38" t="inlineStr">
        <is>
          <t>spare</t>
        </is>
      </c>
      <c r="W185" s="29" t="n"/>
      <c r="X185" s="27" t="inlineStr">
        <is>
          <t xml:space="preserve">HVAC Replica </t>
        </is>
      </c>
      <c r="Y185" s="338" t="n"/>
      <c r="Z185" s="338" t="n"/>
      <c r="AC185" s="250" t="inlineStr">
        <is>
          <t>AO12</t>
        </is>
      </c>
      <c r="AD185" s="200" t="inlineStr">
        <is>
          <t>Spare</t>
        </is>
      </c>
      <c r="AE185" s="198" t="n"/>
      <c r="AF185" s="251" t="n"/>
      <c r="AG185" s="245" t="n"/>
      <c r="AH185" s="198" t="n"/>
      <c r="AI185" s="198" t="inlineStr">
        <is>
          <t xml:space="preserve"> AL561</t>
        </is>
      </c>
      <c r="AJ185" s="241" t="inlineStr">
        <is>
          <t>Blanks</t>
        </is>
      </c>
      <c r="AK185" s="198" t="n">
        <v>0</v>
      </c>
    </row>
    <row r="186">
      <c r="B186" s="15" t="inlineStr">
        <is>
          <t>DI14</t>
        </is>
      </c>
      <c r="C186" s="35" t="inlineStr">
        <is>
          <t>Spare</t>
        </is>
      </c>
      <c r="D186" s="28" t="inlineStr">
        <is>
          <t>boolean</t>
        </is>
      </c>
      <c r="E186" s="16" t="inlineStr">
        <is>
          <t>HVAC Replica</t>
        </is>
      </c>
      <c r="F186" s="339" t="n"/>
      <c r="G186" s="339" t="n"/>
      <c r="K186" s="15" t="inlineStr">
        <is>
          <t>DO14</t>
        </is>
      </c>
      <c r="L186" s="16" t="inlineStr">
        <is>
          <t>Blower 1</t>
        </is>
      </c>
      <c r="M186" s="339" t="n"/>
      <c r="N186" s="16" t="inlineStr">
        <is>
          <t>HVAC Replica</t>
        </is>
      </c>
      <c r="O186" s="16">
        <f>'DATA TRANSFER'!M30</f>
        <v/>
      </c>
      <c r="P186" s="339" t="n"/>
      <c r="Q186" s="336" t="n"/>
      <c r="R186" s="336" t="n"/>
      <c r="S186" s="336" t="n"/>
      <c r="T186" s="336" t="n"/>
      <c r="U186" s="22" t="n"/>
      <c r="V186" s="38" t="inlineStr">
        <is>
          <t>spare</t>
        </is>
      </c>
      <c r="W186" s="29" t="n"/>
      <c r="X186" s="27" t="inlineStr">
        <is>
          <t xml:space="preserve">HVAC Replica </t>
        </is>
      </c>
      <c r="Y186" s="338" t="n"/>
      <c r="Z186" s="338" t="n"/>
      <c r="AC186" s="250" t="inlineStr">
        <is>
          <t>AO13</t>
        </is>
      </c>
      <c r="AD186" s="200" t="inlineStr">
        <is>
          <t>Spare</t>
        </is>
      </c>
      <c r="AE186" s="198" t="n"/>
      <c r="AF186" s="251" t="n"/>
      <c r="AG186" s="245" t="n"/>
      <c r="AH186" s="198" t="n"/>
      <c r="AI186" s="198" t="inlineStr">
        <is>
          <t xml:space="preserve"> AL562</t>
        </is>
      </c>
      <c r="AJ186" s="241" t="inlineStr">
        <is>
          <t>Mixed Air filter</t>
        </is>
      </c>
      <c r="AK186" s="198" t="n">
        <v>0</v>
      </c>
    </row>
    <row r="187">
      <c r="B187" s="15" t="inlineStr">
        <is>
          <t>DI15</t>
        </is>
      </c>
      <c r="C187" s="35" t="inlineStr">
        <is>
          <t>Spare</t>
        </is>
      </c>
      <c r="D187" s="28" t="inlineStr">
        <is>
          <t>boolean</t>
        </is>
      </c>
      <c r="E187" s="16" t="inlineStr">
        <is>
          <t>HVAC Replica</t>
        </is>
      </c>
      <c r="F187" s="339" t="n"/>
      <c r="G187" s="339" t="n"/>
      <c r="K187" s="15" t="inlineStr">
        <is>
          <t>DO15</t>
        </is>
      </c>
      <c r="L187" s="16" t="inlineStr">
        <is>
          <t>Blower 2</t>
        </is>
      </c>
      <c r="M187" s="339" t="n"/>
      <c r="N187" s="16" t="inlineStr">
        <is>
          <t>HVAC Replica</t>
        </is>
      </c>
      <c r="O187" s="16">
        <f>'DATA TRANSFER'!M30</f>
        <v/>
      </c>
      <c r="P187" s="339" t="n"/>
      <c r="Q187" s="336" t="n"/>
      <c r="R187" s="336" t="n"/>
      <c r="S187" s="336" t="n"/>
      <c r="T187" s="336" t="n"/>
      <c r="U187" s="22" t="n"/>
      <c r="V187" s="38" t="inlineStr">
        <is>
          <t>spare</t>
        </is>
      </c>
      <c r="W187" s="29" t="n"/>
      <c r="X187" s="27" t="inlineStr">
        <is>
          <t xml:space="preserve">HVAC Replica </t>
        </is>
      </c>
      <c r="Y187" s="338" t="n"/>
      <c r="Z187" s="338" t="n"/>
      <c r="AC187" s="250" t="inlineStr">
        <is>
          <t>AO14</t>
        </is>
      </c>
      <c r="AD187" s="200" t="inlineStr">
        <is>
          <t>Spare</t>
        </is>
      </c>
      <c r="AE187" s="198" t="n"/>
      <c r="AF187" s="251" t="n"/>
      <c r="AG187" s="245" t="n"/>
      <c r="AH187" s="198" t="n"/>
      <c r="AI187" s="198" t="inlineStr">
        <is>
          <t xml:space="preserve"> AL563</t>
        </is>
      </c>
      <c r="AJ187" s="241" t="inlineStr">
        <is>
          <t>Comp</t>
        </is>
      </c>
      <c r="AK187" s="198" t="n">
        <v>0</v>
      </c>
    </row>
    <row r="188">
      <c r="B188" s="15" t="inlineStr">
        <is>
          <t>DI16</t>
        </is>
      </c>
      <c r="C188" s="35" t="inlineStr">
        <is>
          <t>Spare</t>
        </is>
      </c>
      <c r="D188" s="28" t="inlineStr">
        <is>
          <t>boolean</t>
        </is>
      </c>
      <c r="E188" s="16" t="inlineStr">
        <is>
          <t>HVAC Replica</t>
        </is>
      </c>
      <c r="F188" s="339" t="n"/>
      <c r="G188" s="339" t="n"/>
      <c r="K188" s="15" t="inlineStr">
        <is>
          <t>DO16</t>
        </is>
      </c>
      <c r="L188" s="16" t="inlineStr">
        <is>
          <t>Condenser Fan 1 On Command</t>
        </is>
      </c>
      <c r="M188" s="339" t="n"/>
      <c r="N188" s="16" t="inlineStr">
        <is>
          <t>HVAC Replica</t>
        </is>
      </c>
      <c r="O188" s="239">
        <f>HVAC_IOs!K10</f>
        <v/>
      </c>
      <c r="P188" s="339" t="n"/>
      <c r="Q188" s="336" t="n"/>
      <c r="R188" s="336" t="n"/>
      <c r="S188" s="336" t="n"/>
      <c r="T188" s="336" t="n"/>
      <c r="U188" s="22" t="n"/>
      <c r="V188" s="38" t="inlineStr">
        <is>
          <t>spare</t>
        </is>
      </c>
      <c r="W188" s="29" t="n"/>
      <c r="X188" s="27" t="inlineStr">
        <is>
          <t xml:space="preserve">HVAC Replica </t>
        </is>
      </c>
      <c r="Y188" s="338" t="n"/>
      <c r="Z188" s="338" t="n"/>
      <c r="AC188" s="250" t="inlineStr">
        <is>
          <t>AO15</t>
        </is>
      </c>
      <c r="AD188" s="200" t="inlineStr">
        <is>
          <t>Spare</t>
        </is>
      </c>
      <c r="AE188" s="198" t="n"/>
      <c r="AF188" s="251" t="n"/>
      <c r="AG188" s="245" t="n"/>
      <c r="AH188" s="198" t="n"/>
      <c r="AI188" s="198" t="inlineStr">
        <is>
          <t xml:space="preserve"> AL564</t>
        </is>
      </c>
      <c r="AJ188" s="241" t="inlineStr">
        <is>
          <t>RAD</t>
        </is>
      </c>
      <c r="AK188" s="198" t="n">
        <v>0</v>
      </c>
    </row>
    <row r="189">
      <c r="B189" s="15" t="inlineStr">
        <is>
          <t>DI17</t>
        </is>
      </c>
      <c r="C189" s="35" t="inlineStr">
        <is>
          <t>Spare</t>
        </is>
      </c>
      <c r="D189" s="28" t="inlineStr">
        <is>
          <t>boolean</t>
        </is>
      </c>
      <c r="E189" s="16" t="inlineStr">
        <is>
          <t>HVAC Replica</t>
        </is>
      </c>
      <c r="F189" s="339" t="n"/>
      <c r="G189" s="339" t="n"/>
      <c r="K189" s="15" t="inlineStr">
        <is>
          <t>DO17</t>
        </is>
      </c>
      <c r="L189" s="16" t="inlineStr">
        <is>
          <t xml:space="preserve">High Pressure Transducer 1 </t>
        </is>
      </c>
      <c r="M189" s="339" t="n"/>
      <c r="N189" s="16" t="inlineStr">
        <is>
          <t>HVAC Replica</t>
        </is>
      </c>
      <c r="O189" s="16">
        <f>IF(O188=1,0,1)</f>
        <v/>
      </c>
      <c r="P189" s="339" t="n"/>
      <c r="Q189" s="336" t="n"/>
      <c r="R189" s="336" t="n"/>
      <c r="S189" s="336" t="n"/>
      <c r="T189" s="336" t="n"/>
      <c r="U189" s="22" t="n"/>
      <c r="V189" s="38" t="inlineStr">
        <is>
          <t>spare</t>
        </is>
      </c>
      <c r="W189" s="29" t="n"/>
      <c r="X189" s="27" t="inlineStr">
        <is>
          <t xml:space="preserve">HVAC Replica </t>
        </is>
      </c>
      <c r="Y189" s="338" t="n"/>
      <c r="Z189" s="338" t="n"/>
      <c r="AC189" s="250" t="inlineStr">
        <is>
          <t>AO16</t>
        </is>
      </c>
      <c r="AD189" s="200" t="inlineStr">
        <is>
          <t>Spare</t>
        </is>
      </c>
      <c r="AE189" s="198" t="n"/>
      <c r="AF189" s="251" t="n"/>
      <c r="AG189" s="245" t="n"/>
      <c r="AH189" s="198" t="n"/>
      <c r="AI189" s="198" t="inlineStr">
        <is>
          <t xml:space="preserve"> AL565</t>
        </is>
      </c>
      <c r="AJ189" s="241" t="inlineStr">
        <is>
          <t>RAT Sensor</t>
        </is>
      </c>
      <c r="AK189" s="198" t="n">
        <v>0</v>
      </c>
    </row>
    <row r="190">
      <c r="B190" s="15" t="inlineStr">
        <is>
          <t>DI18</t>
        </is>
      </c>
      <c r="C190" s="35" t="inlineStr">
        <is>
          <t>Spare</t>
        </is>
      </c>
      <c r="D190" s="28" t="inlineStr">
        <is>
          <t>boolean</t>
        </is>
      </c>
      <c r="E190" s="16" t="inlineStr">
        <is>
          <t>HVAC Replica</t>
        </is>
      </c>
      <c r="F190" s="339" t="n"/>
      <c r="G190" s="339" t="n"/>
      <c r="K190" s="15" t="inlineStr">
        <is>
          <t>DO18</t>
        </is>
      </c>
      <c r="L190" s="16" t="inlineStr">
        <is>
          <t>High Pressure Transducer 2</t>
        </is>
      </c>
      <c r="M190" s="339" t="n"/>
      <c r="N190" s="16" t="inlineStr">
        <is>
          <t>HVAC Replica</t>
        </is>
      </c>
      <c r="O190" s="16">
        <f>IF(O188=1,0,1)</f>
        <v/>
      </c>
      <c r="P190" s="339" t="n"/>
      <c r="Q190" s="336" t="n"/>
      <c r="R190" s="336" t="n"/>
      <c r="S190" s="336" t="n"/>
      <c r="T190" s="336" t="n"/>
      <c r="U190" s="22" t="n"/>
      <c r="V190" s="38" t="inlineStr">
        <is>
          <t>spare</t>
        </is>
      </c>
      <c r="W190" s="29" t="n"/>
      <c r="X190" s="27" t="inlineStr">
        <is>
          <t xml:space="preserve">HVAC Replica </t>
        </is>
      </c>
      <c r="Y190" s="338" t="n"/>
      <c r="Z190" s="338" t="n"/>
      <c r="AC190" s="250" t="inlineStr">
        <is>
          <t>AO17</t>
        </is>
      </c>
      <c r="AD190" s="200" t="inlineStr">
        <is>
          <t>Spare</t>
        </is>
      </c>
      <c r="AE190" s="198" t="n"/>
      <c r="AF190" s="251" t="n"/>
      <c r="AG190" s="245" t="n"/>
      <c r="AH190" s="198" t="n"/>
      <c r="AI190" s="198" t="inlineStr">
        <is>
          <t xml:space="preserve"> AL566</t>
        </is>
      </c>
      <c r="AJ190" s="241" t="inlineStr">
        <is>
          <t>SAF</t>
        </is>
      </c>
      <c r="AK190" s="198" t="n">
        <v>0</v>
      </c>
    </row>
    <row r="191">
      <c r="B191" s="15" t="inlineStr">
        <is>
          <t>DI19</t>
        </is>
      </c>
      <c r="C191" s="35" t="inlineStr">
        <is>
          <t>Spare</t>
        </is>
      </c>
      <c r="D191" s="28" t="inlineStr">
        <is>
          <t>boolean</t>
        </is>
      </c>
      <c r="E191" s="16" t="inlineStr">
        <is>
          <t>HVAC Replica</t>
        </is>
      </c>
      <c r="F191" s="339" t="n"/>
      <c r="G191" s="339" t="n"/>
      <c r="K191" s="15" t="inlineStr">
        <is>
          <t>DO18</t>
        </is>
      </c>
      <c r="L191" s="16" t="inlineStr">
        <is>
          <t>COMP 1 HW LED</t>
        </is>
      </c>
      <c r="M191" s="339" t="n"/>
      <c r="N191" s="16" t="inlineStr">
        <is>
          <t>HVAC Replica</t>
        </is>
      </c>
      <c r="O191" s="239">
        <f>HVAC_IOs!K2</f>
        <v/>
      </c>
      <c r="P191" s="339" t="n"/>
      <c r="Q191" s="336" t="n"/>
      <c r="R191" s="336" t="n"/>
      <c r="S191" s="336" t="n"/>
      <c r="T191" s="336" t="n"/>
      <c r="U191" s="22" t="n"/>
      <c r="V191" s="38" t="inlineStr">
        <is>
          <t>spare</t>
        </is>
      </c>
      <c r="W191" s="29" t="n"/>
      <c r="X191" s="27" t="n"/>
      <c r="Y191" s="338" t="n"/>
      <c r="Z191" s="338" t="n"/>
      <c r="AC191" s="250" t="inlineStr">
        <is>
          <t>AO18</t>
        </is>
      </c>
      <c r="AD191" s="200" t="inlineStr">
        <is>
          <t>Spare</t>
        </is>
      </c>
      <c r="AE191" s="198" t="n"/>
      <c r="AF191" s="251" t="n"/>
      <c r="AG191" s="245" t="n"/>
      <c r="AH191" s="198" t="n"/>
      <c r="AI191" s="198" t="inlineStr">
        <is>
          <t xml:space="preserve"> AL567</t>
        </is>
      </c>
      <c r="AJ191" s="241" t="inlineStr">
        <is>
          <t>SAT Sensor</t>
        </is>
      </c>
      <c r="AK191" s="198" t="n">
        <v>0</v>
      </c>
    </row>
    <row r="192">
      <c r="B192" s="15" t="inlineStr">
        <is>
          <t>DI20</t>
        </is>
      </c>
      <c r="C192" s="35" t="inlineStr">
        <is>
          <t>Spare</t>
        </is>
      </c>
      <c r="D192" s="28" t="inlineStr">
        <is>
          <t>boolean</t>
        </is>
      </c>
      <c r="E192" s="16" t="inlineStr">
        <is>
          <t>HVAC Replica</t>
        </is>
      </c>
      <c r="F192" s="339" t="n"/>
      <c r="G192" s="339" t="n"/>
      <c r="K192" s="15" t="inlineStr">
        <is>
          <t>DO19</t>
        </is>
      </c>
      <c r="L192" s="16" t="inlineStr">
        <is>
          <t>COMP 2 HW LED</t>
        </is>
      </c>
      <c r="M192" s="339" t="n"/>
      <c r="N192" s="16" t="inlineStr">
        <is>
          <t>HVAC Replica</t>
        </is>
      </c>
      <c r="O192" s="239">
        <f>HVAC_IOs!K3</f>
        <v/>
      </c>
      <c r="P192" s="339" t="n"/>
      <c r="Q192" s="336" t="n"/>
      <c r="R192" s="336" t="n"/>
      <c r="S192" s="336" t="n"/>
      <c r="T192" s="336" t="n"/>
      <c r="U192" s="22" t="n"/>
      <c r="V192" s="38" t="inlineStr">
        <is>
          <t>spare</t>
        </is>
      </c>
      <c r="W192" s="29" t="n"/>
      <c r="X192" s="27" t="n"/>
      <c r="Y192" s="338" t="n"/>
      <c r="Z192" s="338" t="n"/>
      <c r="AC192" s="250" t="inlineStr">
        <is>
          <t>AO19</t>
        </is>
      </c>
      <c r="AD192" s="200" t="inlineStr">
        <is>
          <t>Spare</t>
        </is>
      </c>
      <c r="AE192" s="198" t="n"/>
      <c r="AF192" s="251" t="n"/>
      <c r="AG192" s="245" t="n"/>
      <c r="AH192" s="198" t="n"/>
      <c r="AI192" s="198" t="inlineStr">
        <is>
          <t xml:space="preserve"> AL568</t>
        </is>
      </c>
      <c r="AJ192" s="241" t="inlineStr">
        <is>
          <t>HVAC Unit</t>
        </is>
      </c>
      <c r="AK192" s="252" t="n">
        <v>0</v>
      </c>
    </row>
    <row r="193">
      <c r="B193" s="15" t="inlineStr">
        <is>
          <t>DI21</t>
        </is>
      </c>
      <c r="C193" s="35" t="inlineStr">
        <is>
          <t>Spare</t>
        </is>
      </c>
      <c r="D193" s="28" t="inlineStr">
        <is>
          <t>boolean</t>
        </is>
      </c>
      <c r="E193" s="16" t="inlineStr">
        <is>
          <t>HVAC Replica</t>
        </is>
      </c>
      <c r="F193" s="339" t="n"/>
      <c r="G193" s="339" t="n"/>
      <c r="K193" s="15" t="inlineStr">
        <is>
          <t>DO20</t>
        </is>
      </c>
      <c r="L193" s="16" t="inlineStr">
        <is>
          <t>COMP 3 HW LED</t>
        </is>
      </c>
      <c r="M193" s="339" t="n"/>
      <c r="N193" s="16" t="inlineStr">
        <is>
          <t>HVAC Replica</t>
        </is>
      </c>
      <c r="O193" s="239">
        <f>HVAC_IOs!K4</f>
        <v/>
      </c>
      <c r="P193" s="339" t="n"/>
      <c r="Q193" s="336" t="n"/>
      <c r="R193" s="336" t="n"/>
      <c r="S193" s="336" t="n"/>
      <c r="T193" s="336" t="n"/>
      <c r="U193" s="22" t="n"/>
      <c r="V193" s="38" t="inlineStr">
        <is>
          <t>spare</t>
        </is>
      </c>
      <c r="W193" s="29" t="n"/>
      <c r="X193" s="27" t="n"/>
      <c r="Y193" s="338" t="n"/>
      <c r="Z193" s="338" t="n"/>
      <c r="AC193" s="250" t="inlineStr">
        <is>
          <t>AO20</t>
        </is>
      </c>
      <c r="AD193" s="200" t="inlineStr">
        <is>
          <t>Spare</t>
        </is>
      </c>
      <c r="AE193" s="198" t="n"/>
      <c r="AF193" s="251" t="n"/>
      <c r="AG193" s="245" t="n"/>
      <c r="AH193" s="198" t="n"/>
      <c r="AI193" s="198" t="inlineStr">
        <is>
          <t xml:space="preserve"> AL569</t>
        </is>
      </c>
      <c r="AJ193" s="199" t="n"/>
      <c r="AK193" s="198" t="n">
        <v>0</v>
      </c>
    </row>
    <row r="194">
      <c r="B194" s="15" t="inlineStr">
        <is>
          <t>DI22</t>
        </is>
      </c>
      <c r="C194" s="35" t="inlineStr">
        <is>
          <t>Compressor 1 Feedback</t>
        </is>
      </c>
      <c r="D194" s="28" t="inlineStr">
        <is>
          <t>boolean</t>
        </is>
      </c>
      <c r="E194" s="16" t="inlineStr">
        <is>
          <t>HVAC Replica</t>
        </is>
      </c>
      <c r="F194" s="339" t="n"/>
      <c r="G194" s="339" t="n"/>
      <c r="K194" s="15" t="inlineStr">
        <is>
          <t>DO21</t>
        </is>
      </c>
      <c r="L194" s="16" t="inlineStr">
        <is>
          <t>COMP 4 HW LED</t>
        </is>
      </c>
      <c r="M194" s="339" t="n"/>
      <c r="N194" s="16" t="inlineStr">
        <is>
          <t>HVAC Replica</t>
        </is>
      </c>
      <c r="O194" s="239">
        <f>HVAC_IOs!K5</f>
        <v/>
      </c>
      <c r="P194" s="339" t="n"/>
      <c r="Q194" s="336" t="n"/>
      <c r="R194" s="336" t="n"/>
      <c r="S194" s="336" t="n"/>
      <c r="T194" s="336" t="n"/>
      <c r="U194" s="22" t="n"/>
      <c r="V194" s="38" t="inlineStr">
        <is>
          <t>spare</t>
        </is>
      </c>
      <c r="W194" s="29" t="n"/>
      <c r="X194" s="27" t="n"/>
      <c r="Y194" s="338" t="n"/>
      <c r="Z194" s="338" t="n"/>
      <c r="AC194" s="250" t="inlineStr">
        <is>
          <t>AO21</t>
        </is>
      </c>
      <c r="AD194" s="200" t="inlineStr">
        <is>
          <t>Spare</t>
        </is>
      </c>
      <c r="AE194" s="198" t="n"/>
      <c r="AF194" s="251" t="n"/>
      <c r="AG194" s="245" t="n"/>
      <c r="AH194" s="198" t="n"/>
      <c r="AI194" s="198" t="n"/>
      <c r="AJ194" s="199" t="n"/>
      <c r="AK194" s="198" t="n"/>
    </row>
    <row r="195">
      <c r="B195" s="15" t="inlineStr">
        <is>
          <t>DI23</t>
        </is>
      </c>
      <c r="C195" s="35" t="inlineStr">
        <is>
          <t>Compressor 2 Feedback</t>
        </is>
      </c>
      <c r="D195" s="28" t="inlineStr">
        <is>
          <t>boolean</t>
        </is>
      </c>
      <c r="E195" s="16" t="inlineStr">
        <is>
          <t>HVAC Replica</t>
        </is>
      </c>
      <c r="F195" s="339" t="n"/>
      <c r="G195" s="339" t="n"/>
      <c r="K195" s="15" t="inlineStr">
        <is>
          <t>DO22</t>
        </is>
      </c>
      <c r="L195" s="16" t="inlineStr">
        <is>
          <t>RAD HW LED</t>
        </is>
      </c>
      <c r="M195" s="339" t="n"/>
      <c r="N195" s="16" t="inlineStr">
        <is>
          <t>HVAC Replica</t>
        </is>
      </c>
      <c r="O195" s="239">
        <f>HVAC_IOs!K10</f>
        <v/>
      </c>
      <c r="P195" s="339" t="n"/>
      <c r="Q195" s="336" t="n"/>
      <c r="R195" s="336" t="n"/>
      <c r="S195" s="336" t="n"/>
      <c r="T195" s="336" t="n"/>
      <c r="U195" s="22" t="n"/>
      <c r="V195" s="38" t="inlineStr">
        <is>
          <t>spare</t>
        </is>
      </c>
      <c r="W195" s="29" t="n"/>
      <c r="X195" s="27" t="n"/>
      <c r="Y195" s="338" t="n"/>
      <c r="Z195" s="338" t="n"/>
      <c r="AC195" s="250" t="inlineStr">
        <is>
          <t>AO22</t>
        </is>
      </c>
      <c r="AD195" s="200" t="inlineStr">
        <is>
          <t>Spare</t>
        </is>
      </c>
      <c r="AE195" s="198" t="n"/>
      <c r="AF195" s="251" t="n"/>
      <c r="AG195" s="245" t="n"/>
      <c r="AH195" s="198" t="n"/>
      <c r="AI195" s="198" t="n"/>
      <c r="AJ195" s="199" t="n"/>
      <c r="AK195" s="198" t="n"/>
    </row>
    <row r="196">
      <c r="B196" s="15" t="inlineStr">
        <is>
          <t>DI24</t>
        </is>
      </c>
      <c r="C196" s="35" t="inlineStr">
        <is>
          <t>Spare</t>
        </is>
      </c>
      <c r="D196" s="28" t="inlineStr">
        <is>
          <t>boolean</t>
        </is>
      </c>
      <c r="E196" s="16" t="inlineStr">
        <is>
          <t>HVAC Replica</t>
        </is>
      </c>
      <c r="F196" s="339" t="n"/>
      <c r="G196" s="339" t="n"/>
      <c r="K196" s="15" t="inlineStr">
        <is>
          <t>DO23</t>
        </is>
      </c>
      <c r="L196" s="16" t="inlineStr">
        <is>
          <t>Compressor 1 Replica HW</t>
        </is>
      </c>
      <c r="M196" s="339" t="n"/>
      <c r="N196" s="16" t="inlineStr">
        <is>
          <t>HVAC Replica</t>
        </is>
      </c>
      <c r="O196" s="16">
        <f>O186</f>
        <v/>
      </c>
      <c r="P196" s="339" t="n"/>
      <c r="Q196" s="336" t="n"/>
      <c r="R196" s="336" t="n"/>
      <c r="S196" s="336" t="n"/>
      <c r="T196" s="336" t="n"/>
      <c r="U196" s="22" t="n"/>
      <c r="V196" s="38" t="inlineStr">
        <is>
          <t>spare</t>
        </is>
      </c>
      <c r="W196" s="29" t="n"/>
      <c r="X196" s="27" t="n"/>
      <c r="Y196" s="338" t="n"/>
      <c r="Z196" s="338" t="n"/>
      <c r="AC196" s="250" t="inlineStr">
        <is>
          <t>AO23</t>
        </is>
      </c>
      <c r="AD196" s="200" t="inlineStr">
        <is>
          <t>Spare</t>
        </is>
      </c>
      <c r="AE196" s="198" t="n"/>
      <c r="AF196" s="251" t="n"/>
      <c r="AG196" s="245" t="n"/>
      <c r="AH196" s="198" t="n"/>
      <c r="AI196" s="198" t="n"/>
      <c r="AJ196" s="199" t="n"/>
      <c r="AK196" s="198" t="n"/>
    </row>
    <row r="197" ht="16.5" customHeight="1" thickBot="1">
      <c r="B197" s="15" t="inlineStr">
        <is>
          <t>DI25</t>
        </is>
      </c>
      <c r="C197" s="35" t="inlineStr">
        <is>
          <t>Spare</t>
        </is>
      </c>
      <c r="D197" s="28" t="inlineStr">
        <is>
          <t>boolean</t>
        </is>
      </c>
      <c r="E197" s="16" t="inlineStr">
        <is>
          <t>HVAC Replica</t>
        </is>
      </c>
      <c r="F197" s="339" t="n"/>
      <c r="G197" s="339" t="n"/>
      <c r="K197" s="15" t="inlineStr">
        <is>
          <t>DO24</t>
        </is>
      </c>
      <c r="L197" s="16" t="inlineStr">
        <is>
          <t>Compressor 2 Replica HW</t>
        </is>
      </c>
      <c r="M197" s="339" t="n"/>
      <c r="N197" s="16" t="inlineStr">
        <is>
          <t>HVAC Replica</t>
        </is>
      </c>
      <c r="O197" s="16">
        <f>O186</f>
        <v/>
      </c>
      <c r="P197" s="339" t="n"/>
      <c r="Q197" s="336" t="n"/>
      <c r="R197" s="336" t="n"/>
      <c r="S197" s="336" t="n"/>
      <c r="T197" s="336" t="n"/>
      <c r="U197" s="22" t="n"/>
      <c r="V197" s="38" t="inlineStr">
        <is>
          <t>spare</t>
        </is>
      </c>
      <c r="W197" s="29" t="n"/>
      <c r="X197" s="27" t="n"/>
      <c r="Y197" s="338" t="n"/>
      <c r="Z197" s="338" t="n"/>
      <c r="AC197" s="253" t="inlineStr">
        <is>
          <t>AO24</t>
        </is>
      </c>
      <c r="AD197" s="254" t="inlineStr">
        <is>
          <t>Spare</t>
        </is>
      </c>
      <c r="AE197" s="255" t="n"/>
      <c r="AF197" s="256" t="n"/>
      <c r="AG197" s="245" t="n"/>
      <c r="AH197" s="198" t="n"/>
      <c r="AI197" s="198" t="n"/>
      <c r="AJ197" s="199" t="n"/>
      <c r="AK197" s="198" t="n"/>
    </row>
    <row r="198">
      <c r="B198" s="15" t="inlineStr">
        <is>
          <t>DI26</t>
        </is>
      </c>
      <c r="C198" s="35" t="inlineStr">
        <is>
          <t xml:space="preserve">Heater 1 Feedback </t>
        </is>
      </c>
      <c r="D198" s="28" t="inlineStr">
        <is>
          <t>boolean</t>
        </is>
      </c>
      <c r="E198" s="16" t="inlineStr">
        <is>
          <t>HVAC Replica</t>
        </is>
      </c>
      <c r="F198" s="339" t="n"/>
      <c r="G198" s="339" t="n"/>
      <c r="K198" s="15" t="inlineStr">
        <is>
          <t>DO25</t>
        </is>
      </c>
      <c r="L198" s="16" t="inlineStr">
        <is>
          <t>Compressor 3 Replica HW</t>
        </is>
      </c>
      <c r="M198" s="339" t="n"/>
      <c r="N198" s="16" t="inlineStr">
        <is>
          <t>HVAC Replica</t>
        </is>
      </c>
      <c r="O198" s="16">
        <f>O187</f>
        <v/>
      </c>
      <c r="P198" s="339" t="n"/>
      <c r="Q198" s="336" t="n"/>
      <c r="R198" s="336" t="n"/>
      <c r="S198" s="336" t="n"/>
      <c r="T198" s="336" t="n"/>
      <c r="U198" s="22" t="n"/>
      <c r="V198" s="38" t="inlineStr">
        <is>
          <t>spare</t>
        </is>
      </c>
      <c r="W198" s="29" t="n"/>
      <c r="X198" s="27" t="n"/>
      <c r="Y198" s="338" t="n"/>
      <c r="Z198" s="338" t="n"/>
    </row>
    <row r="199">
      <c r="B199" s="15" t="inlineStr">
        <is>
          <t>DI27</t>
        </is>
      </c>
      <c r="C199" s="35" t="inlineStr">
        <is>
          <t>Spare</t>
        </is>
      </c>
      <c r="D199" s="28" t="inlineStr">
        <is>
          <t>boolean</t>
        </is>
      </c>
      <c r="E199" s="16" t="inlineStr">
        <is>
          <t>HVAC Replica</t>
        </is>
      </c>
      <c r="F199" s="339" t="n"/>
      <c r="G199" s="339" t="n"/>
      <c r="K199" s="15" t="inlineStr">
        <is>
          <t>DO26</t>
        </is>
      </c>
      <c r="L199" s="16" t="inlineStr">
        <is>
          <t>Compressor 4 Replica HW</t>
        </is>
      </c>
      <c r="M199" s="339" t="n"/>
      <c r="N199" s="16" t="inlineStr">
        <is>
          <t>HVAC Replica</t>
        </is>
      </c>
      <c r="O199" s="16">
        <f>O187</f>
        <v/>
      </c>
      <c r="P199" s="339" t="n"/>
      <c r="Q199" s="336" t="n"/>
      <c r="R199" s="336" t="n"/>
      <c r="S199" s="336" t="n"/>
      <c r="T199" s="336" t="n"/>
    </row>
    <row r="200">
      <c r="B200" s="15" t="inlineStr">
        <is>
          <t>DI28</t>
        </is>
      </c>
      <c r="C200" s="35" t="inlineStr">
        <is>
          <t>Supply Fan 1 Feedback</t>
        </is>
      </c>
      <c r="D200" s="28" t="inlineStr">
        <is>
          <t>boolean</t>
        </is>
      </c>
      <c r="E200" s="16" t="inlineStr">
        <is>
          <t>HVAC Replica</t>
        </is>
      </c>
      <c r="F200" s="339" t="n"/>
      <c r="G200" s="339" t="n"/>
      <c r="K200" s="15" t="inlineStr">
        <is>
          <t>DO27</t>
        </is>
      </c>
      <c r="L200" s="16" t="inlineStr">
        <is>
          <t>Condensor fan 1</t>
        </is>
      </c>
      <c r="M200" s="339" t="n"/>
      <c r="N200" s="16" t="inlineStr">
        <is>
          <t>HVAC Replica</t>
        </is>
      </c>
      <c r="O200" s="16">
        <f>'DATA TRANSFER'!M20</f>
        <v/>
      </c>
      <c r="P200" s="339" t="n"/>
      <c r="Q200" s="336" t="n"/>
      <c r="R200" s="336" t="n"/>
      <c r="S200" s="336" t="n"/>
      <c r="T200" s="336" t="n"/>
    </row>
    <row r="201">
      <c r="B201" s="15" t="inlineStr">
        <is>
          <t>DI29</t>
        </is>
      </c>
      <c r="C201" s="35" t="inlineStr">
        <is>
          <t>Supply Fan 2 Feedback</t>
        </is>
      </c>
      <c r="D201" s="28" t="inlineStr">
        <is>
          <t>boolean</t>
        </is>
      </c>
      <c r="E201" s="16" t="inlineStr">
        <is>
          <t>HVAC Replica</t>
        </is>
      </c>
      <c r="F201" s="339" t="n"/>
      <c r="G201" s="339" t="n"/>
      <c r="K201" s="15" t="inlineStr">
        <is>
          <t>DO28</t>
        </is>
      </c>
      <c r="L201" s="16" t="inlineStr">
        <is>
          <t>Condensor fan 2</t>
        </is>
      </c>
      <c r="M201" s="339" t="n"/>
      <c r="N201" s="16" t="inlineStr">
        <is>
          <t>HVAC Replica</t>
        </is>
      </c>
      <c r="O201" s="16">
        <f>'DATA TRANSFER'!M21</f>
        <v/>
      </c>
      <c r="P201" s="339" t="n"/>
      <c r="Q201" s="336" t="n"/>
      <c r="R201" s="336" t="n"/>
      <c r="S201" s="336" t="n"/>
      <c r="T201" s="336" t="n"/>
    </row>
    <row r="202">
      <c r="B202" s="15" t="inlineStr">
        <is>
          <t>DI30</t>
        </is>
      </c>
      <c r="C202" s="35" t="inlineStr">
        <is>
          <t>Spare</t>
        </is>
      </c>
      <c r="D202" s="28" t="inlineStr">
        <is>
          <t>boolean</t>
        </is>
      </c>
      <c r="E202" s="16" t="inlineStr">
        <is>
          <t>HVAC Replica</t>
        </is>
      </c>
      <c r="F202" s="339" t="n"/>
      <c r="G202" s="339" t="n"/>
      <c r="K202" s="15" t="inlineStr">
        <is>
          <t>DO29</t>
        </is>
      </c>
      <c r="L202" s="16" t="inlineStr">
        <is>
          <t xml:space="preserve">Humidifier </t>
        </is>
      </c>
      <c r="M202" s="339" t="n"/>
      <c r="N202" s="16" t="inlineStr">
        <is>
          <t>HVAC Replica</t>
        </is>
      </c>
      <c r="O202" s="339" t="n"/>
      <c r="P202" s="339" t="n"/>
      <c r="Q202" s="336" t="n"/>
      <c r="R202" s="336" t="n"/>
      <c r="S202" s="336" t="n"/>
      <c r="T202" s="336" t="n"/>
    </row>
    <row r="203">
      <c r="B203" s="15" t="inlineStr">
        <is>
          <t>DI31</t>
        </is>
      </c>
      <c r="C203" s="35" t="inlineStr">
        <is>
          <t>Spare</t>
        </is>
      </c>
      <c r="D203" s="28" t="inlineStr">
        <is>
          <t>boolean</t>
        </is>
      </c>
      <c r="E203" s="16" t="inlineStr">
        <is>
          <t>HVAC Replica</t>
        </is>
      </c>
      <c r="F203" s="339" t="n"/>
      <c r="G203" s="339" t="n"/>
      <c r="K203" s="15" t="inlineStr">
        <is>
          <t>DO30</t>
        </is>
      </c>
      <c r="L203" s="16" t="inlineStr">
        <is>
          <t>Room Heater 1</t>
        </is>
      </c>
      <c r="M203" s="339" t="n"/>
      <c r="N203" s="16" t="inlineStr">
        <is>
          <t>HVAC Replica</t>
        </is>
      </c>
      <c r="O203" s="339" t="n"/>
      <c r="P203" s="339" t="n"/>
      <c r="Q203" s="336" t="n"/>
      <c r="R203" s="336" t="n"/>
      <c r="S203" s="336" t="n"/>
      <c r="T203" s="336" t="n"/>
    </row>
    <row r="204">
      <c r="B204" s="15" t="inlineStr">
        <is>
          <t>DI32</t>
        </is>
      </c>
      <c r="C204" s="35" t="inlineStr">
        <is>
          <t>Spare</t>
        </is>
      </c>
      <c r="D204" s="28" t="inlineStr">
        <is>
          <t>boolean</t>
        </is>
      </c>
      <c r="E204" s="16" t="inlineStr">
        <is>
          <t>HVAC Replica</t>
        </is>
      </c>
      <c r="F204" s="339" t="n"/>
      <c r="G204" s="339" t="n"/>
      <c r="K204" s="15" t="inlineStr">
        <is>
          <t>DO31</t>
        </is>
      </c>
      <c r="L204" s="16" t="inlineStr">
        <is>
          <t>Room Heater 2</t>
        </is>
      </c>
      <c r="M204" s="339" t="n"/>
      <c r="N204" s="16" t="inlineStr">
        <is>
          <t>HVAC Replica</t>
        </is>
      </c>
      <c r="O204" s="339" t="n"/>
      <c r="P204" s="339" t="n"/>
      <c r="Q204" s="336" t="n"/>
      <c r="R204" s="336" t="n"/>
      <c r="S204" s="336" t="n"/>
      <c r="T204" s="336" t="n"/>
    </row>
    <row r="205">
      <c r="B205" s="15" t="inlineStr">
        <is>
          <t>DI33</t>
        </is>
      </c>
      <c r="C205" s="35" t="inlineStr">
        <is>
          <t>Spare</t>
        </is>
      </c>
      <c r="D205" s="28" t="inlineStr">
        <is>
          <t>boolean</t>
        </is>
      </c>
      <c r="E205" s="16" t="n"/>
      <c r="F205" s="339" t="n"/>
      <c r="G205" s="339" t="n"/>
      <c r="K205" s="15" t="inlineStr">
        <is>
          <t>DO32</t>
        </is>
      </c>
      <c r="L205" s="16" t="inlineStr">
        <is>
          <t>Evaporator Solenoid Valve 1</t>
        </is>
      </c>
      <c r="M205" s="339" t="n"/>
      <c r="N205" s="16" t="inlineStr">
        <is>
          <t>HVAC Replica</t>
        </is>
      </c>
      <c r="O205" s="339" t="n"/>
      <c r="P205" s="339" t="n"/>
      <c r="Q205" s="336" t="n"/>
      <c r="R205" s="336" t="n"/>
      <c r="S205" s="336" t="n"/>
      <c r="T205" s="336" t="n"/>
    </row>
    <row r="206">
      <c r="B206" s="15" t="inlineStr">
        <is>
          <t>DI34</t>
        </is>
      </c>
      <c r="C206" s="35" t="inlineStr">
        <is>
          <t>Spare</t>
        </is>
      </c>
      <c r="D206" s="28" t="inlineStr">
        <is>
          <t>boolean</t>
        </is>
      </c>
      <c r="E206" s="16" t="n"/>
      <c r="F206" s="339" t="n"/>
      <c r="G206" s="339" t="n"/>
      <c r="K206" s="15" t="inlineStr">
        <is>
          <t>DO33</t>
        </is>
      </c>
      <c r="L206" s="16" t="inlineStr">
        <is>
          <t>Evaporator Solenoid Valve 2</t>
        </is>
      </c>
      <c r="M206" s="339" t="n"/>
      <c r="N206" s="16" t="inlineStr">
        <is>
          <t>HVAC Replica</t>
        </is>
      </c>
      <c r="O206" s="339" t="n"/>
      <c r="P206" s="339" t="n"/>
      <c r="Q206" s="336" t="n"/>
      <c r="R206" s="336" t="n"/>
      <c r="S206" s="336" t="n"/>
      <c r="T206" s="336" t="n"/>
    </row>
    <row r="207">
      <c r="B207" s="15" t="inlineStr">
        <is>
          <t>DI35</t>
        </is>
      </c>
      <c r="C207" s="35" t="inlineStr">
        <is>
          <t>Spare</t>
        </is>
      </c>
      <c r="D207" s="28" t="inlineStr">
        <is>
          <t>boolean</t>
        </is>
      </c>
      <c r="E207" s="16" t="n"/>
      <c r="F207" s="339" t="n"/>
      <c r="G207" s="339" t="n"/>
      <c r="K207" s="15" t="inlineStr">
        <is>
          <t>DO34</t>
        </is>
      </c>
      <c r="L207" s="16" t="inlineStr">
        <is>
          <t>Liquid Line Solenoid Valve 1</t>
        </is>
      </c>
      <c r="M207" s="339" t="n"/>
      <c r="N207" s="16" t="inlineStr">
        <is>
          <t>HVAC Replica</t>
        </is>
      </c>
      <c r="O207" s="16" t="n">
        <v>0</v>
      </c>
      <c r="P207" s="339" t="n"/>
      <c r="Q207" s="336" t="n"/>
      <c r="R207" s="336" t="n"/>
      <c r="S207" s="336" t="n"/>
      <c r="T207" s="336" t="n"/>
    </row>
    <row r="208">
      <c r="B208" s="15" t="inlineStr">
        <is>
          <t>DI36</t>
        </is>
      </c>
      <c r="C208" s="35" t="inlineStr">
        <is>
          <t>Spare</t>
        </is>
      </c>
      <c r="D208" s="28" t="inlineStr">
        <is>
          <t>boolean</t>
        </is>
      </c>
      <c r="E208" s="16" t="n"/>
      <c r="F208" s="339" t="n"/>
      <c r="G208" s="339" t="n"/>
      <c r="K208" s="15" t="inlineStr">
        <is>
          <t>DO35</t>
        </is>
      </c>
      <c r="L208" s="16" t="inlineStr">
        <is>
          <t>Liquid Line Solenoid Valve 2</t>
        </is>
      </c>
      <c r="M208" s="339" t="n"/>
      <c r="N208" s="16" t="inlineStr">
        <is>
          <t>HVAC Replica</t>
        </is>
      </c>
      <c r="O208" s="16">
        <f>IF(OR(O180:O181),1,0)</f>
        <v/>
      </c>
      <c r="P208" s="339" t="n"/>
      <c r="Q208" s="336" t="n"/>
      <c r="R208" s="336" t="n"/>
      <c r="S208" s="336" t="n"/>
      <c r="T208" s="336" t="n"/>
    </row>
    <row r="209">
      <c r="B209" s="15" t="inlineStr">
        <is>
          <t>DI37</t>
        </is>
      </c>
      <c r="C209" s="35" t="inlineStr">
        <is>
          <t>Spare</t>
        </is>
      </c>
      <c r="D209" s="28" t="inlineStr">
        <is>
          <t>boolean</t>
        </is>
      </c>
      <c r="E209" s="16" t="n"/>
      <c r="F209" s="339" t="n"/>
      <c r="G209" s="339" t="n"/>
      <c r="K209" s="15" t="inlineStr">
        <is>
          <t>DO36</t>
        </is>
      </c>
      <c r="L209" s="16" t="inlineStr">
        <is>
          <t>CF1 AND 2 HW LED</t>
        </is>
      </c>
      <c r="M209" s="339" t="n"/>
      <c r="N209" s="16" t="inlineStr">
        <is>
          <t>HVAC Replica</t>
        </is>
      </c>
      <c r="O209" s="240">
        <f>IF(OR(HVAC_IOs!K6:K7),1,0)</f>
        <v/>
      </c>
      <c r="P209" s="339" t="n"/>
      <c r="Q209" s="336" t="n"/>
      <c r="R209" s="336" t="n"/>
      <c r="S209" s="336" t="n"/>
      <c r="T209" s="336" t="n"/>
    </row>
    <row r="210">
      <c r="B210" s="15" t="inlineStr">
        <is>
          <t>DI38</t>
        </is>
      </c>
      <c r="C210" s="35" t="inlineStr">
        <is>
          <t>Spare</t>
        </is>
      </c>
      <c r="D210" s="28" t="inlineStr">
        <is>
          <t>boolean</t>
        </is>
      </c>
      <c r="E210" s="16" t="n"/>
      <c r="F210" s="339" t="n"/>
      <c r="G210" s="339" t="n"/>
      <c r="K210" s="15" t="inlineStr">
        <is>
          <t>DO37</t>
        </is>
      </c>
      <c r="L210" s="16" t="inlineStr">
        <is>
          <t>HP Switch 1</t>
        </is>
      </c>
      <c r="M210" s="339" t="n"/>
      <c r="N210" s="16" t="inlineStr">
        <is>
          <t>HVAC Replica</t>
        </is>
      </c>
      <c r="O210" s="339" t="n"/>
      <c r="P210" s="339" t="n"/>
      <c r="Q210" s="336" t="n"/>
      <c r="R210" s="336" t="n"/>
      <c r="S210" s="336" t="n"/>
      <c r="T210" s="336" t="n"/>
    </row>
    <row r="211">
      <c r="B211" s="15" t="inlineStr">
        <is>
          <t>DI39</t>
        </is>
      </c>
      <c r="C211" s="35" t="inlineStr">
        <is>
          <t>Spare</t>
        </is>
      </c>
      <c r="D211" s="28" t="inlineStr">
        <is>
          <t>boolean</t>
        </is>
      </c>
      <c r="E211" s="16" t="n"/>
      <c r="F211" s="339" t="n"/>
      <c r="G211" s="339" t="n"/>
      <c r="K211" s="15" t="inlineStr">
        <is>
          <t>DO38</t>
        </is>
      </c>
      <c r="L211" s="16" t="inlineStr">
        <is>
          <t>HP Switch 2</t>
        </is>
      </c>
      <c r="M211" s="339" t="n"/>
      <c r="N211" s="16" t="inlineStr">
        <is>
          <t>HVAC Replica</t>
        </is>
      </c>
      <c r="O211" s="339" t="n"/>
      <c r="P211" s="339" t="n"/>
      <c r="Q211" s="336" t="n"/>
      <c r="R211" s="336" t="n"/>
      <c r="S211" s="336" t="n"/>
      <c r="T211" s="336" t="n"/>
    </row>
    <row r="212">
      <c r="B212" s="15" t="inlineStr">
        <is>
          <t>DI40</t>
        </is>
      </c>
      <c r="C212" s="35" t="inlineStr">
        <is>
          <t>Spare</t>
        </is>
      </c>
      <c r="D212" s="28" t="inlineStr">
        <is>
          <t>boolean</t>
        </is>
      </c>
      <c r="E212" s="16" t="n"/>
      <c r="F212" s="339" t="n"/>
      <c r="G212" s="339" t="n"/>
      <c r="K212" s="15" t="inlineStr">
        <is>
          <t>DO39</t>
        </is>
      </c>
      <c r="L212" s="16" t="inlineStr">
        <is>
          <t>Sight Galss 1</t>
        </is>
      </c>
      <c r="M212" s="339" t="n"/>
      <c r="N212" s="16" t="inlineStr">
        <is>
          <t>HVAC Replica</t>
        </is>
      </c>
      <c r="O212" s="16">
        <f>O172</f>
        <v/>
      </c>
      <c r="P212" s="339" t="n"/>
      <c r="Q212" s="336" t="n"/>
      <c r="R212" s="336" t="n"/>
      <c r="S212" s="336" t="n"/>
      <c r="T212" s="336" t="n"/>
    </row>
    <row r="213">
      <c r="B213" s="15" t="inlineStr">
        <is>
          <t>DI41</t>
        </is>
      </c>
      <c r="C213" s="35" t="inlineStr">
        <is>
          <t>Spare</t>
        </is>
      </c>
      <c r="D213" s="28" t="inlineStr">
        <is>
          <t>boolean</t>
        </is>
      </c>
      <c r="E213" s="16" t="n"/>
      <c r="F213" s="339" t="n"/>
      <c r="G213" s="339" t="n"/>
      <c r="K213" s="15" t="inlineStr">
        <is>
          <t>DO40</t>
        </is>
      </c>
      <c r="L213" s="16" t="inlineStr">
        <is>
          <t>Sight Galss 2</t>
        </is>
      </c>
      <c r="M213" s="339" t="n"/>
      <c r="N213" s="16" t="inlineStr">
        <is>
          <t>HVAC Replica</t>
        </is>
      </c>
      <c r="O213" s="16">
        <f>O172</f>
        <v/>
      </c>
      <c r="P213" s="339" t="n"/>
      <c r="Q213" s="336" t="n"/>
      <c r="R213" s="336" t="n"/>
      <c r="S213" s="336" t="n"/>
      <c r="T213" s="336" t="n"/>
    </row>
    <row r="214">
      <c r="B214" s="15" t="inlineStr">
        <is>
          <t>DI42</t>
        </is>
      </c>
      <c r="C214" s="35" t="inlineStr">
        <is>
          <t>Spare</t>
        </is>
      </c>
      <c r="D214" s="28" t="inlineStr">
        <is>
          <t>boolean</t>
        </is>
      </c>
      <c r="E214" s="16" t="n"/>
      <c r="F214" s="339" t="n"/>
      <c r="G214" s="339" t="n"/>
      <c r="K214" s="15" t="inlineStr">
        <is>
          <t>DO41</t>
        </is>
      </c>
      <c r="L214" s="16" t="inlineStr">
        <is>
          <t xml:space="preserve"> FAD 1 HW LED</t>
        </is>
      </c>
      <c r="M214" s="339" t="n"/>
      <c r="N214" s="16" t="inlineStr">
        <is>
          <t>HVAC Replica</t>
        </is>
      </c>
      <c r="O214" s="16">
        <f>O172</f>
        <v/>
      </c>
      <c r="P214" s="339" t="n"/>
      <c r="Q214" s="336" t="n"/>
      <c r="R214" s="336" t="n"/>
      <c r="S214" s="336" t="n"/>
      <c r="T214" s="336" t="n"/>
    </row>
    <row r="215">
      <c r="B215" s="15" t="inlineStr">
        <is>
          <t>DI43</t>
        </is>
      </c>
      <c r="C215" s="35" t="inlineStr">
        <is>
          <t>Spare</t>
        </is>
      </c>
      <c r="D215" s="28" t="inlineStr">
        <is>
          <t>boolean</t>
        </is>
      </c>
      <c r="E215" s="16" t="n"/>
      <c r="F215" s="339" t="n"/>
      <c r="G215" s="339" t="n"/>
      <c r="K215" s="15" t="inlineStr">
        <is>
          <t>DO42</t>
        </is>
      </c>
      <c r="L215" s="16" t="inlineStr">
        <is>
          <t xml:space="preserve"> FAD 2 HW LED</t>
        </is>
      </c>
      <c r="M215" s="339" t="n"/>
      <c r="N215" s="16" t="inlineStr">
        <is>
          <t>HVAC Replica</t>
        </is>
      </c>
      <c r="O215" s="16">
        <f>O172</f>
        <v/>
      </c>
      <c r="P215" s="339" t="n"/>
      <c r="Q215" s="336" t="n"/>
      <c r="R215" s="336" t="n"/>
      <c r="S215" s="336" t="n"/>
      <c r="T215" s="336" t="n"/>
    </row>
    <row r="216">
      <c r="B216" s="15" t="inlineStr">
        <is>
          <t>DI44</t>
        </is>
      </c>
      <c r="C216" s="35" t="inlineStr">
        <is>
          <t>Spare</t>
        </is>
      </c>
      <c r="D216" s="28" t="inlineStr">
        <is>
          <t>boolean</t>
        </is>
      </c>
      <c r="E216" s="16" t="n"/>
      <c r="F216" s="339" t="n"/>
      <c r="G216" s="339" t="n"/>
      <c r="K216" s="15" t="inlineStr">
        <is>
          <t>DO43</t>
        </is>
      </c>
      <c r="L216" s="16" t="inlineStr">
        <is>
          <t>Condensor Coil  1</t>
        </is>
      </c>
      <c r="M216" s="339" t="n"/>
      <c r="N216" s="16" t="inlineStr">
        <is>
          <t>HVAC Replica</t>
        </is>
      </c>
      <c r="O216" s="16">
        <f>IF('DATA TRANSFER'!$AJ$337=2,HVAC_IOs!S216,1)</f>
        <v/>
      </c>
      <c r="P216" s="339" t="n"/>
      <c r="Q216" s="336" t="n"/>
      <c r="R216" s="241" t="inlineStr">
        <is>
          <t>Condensor Coils</t>
        </is>
      </c>
      <c r="S216" s="198">
        <f>IF(OR(HVAC_IOs!AK173,HVAC_IOs!AK192),1,0)</f>
        <v/>
      </c>
    </row>
    <row r="217">
      <c r="B217" s="15" t="inlineStr">
        <is>
          <t>DI45</t>
        </is>
      </c>
      <c r="C217" s="35" t="inlineStr">
        <is>
          <t>Spare</t>
        </is>
      </c>
      <c r="D217" s="28" t="inlineStr">
        <is>
          <t>boolean</t>
        </is>
      </c>
      <c r="E217" s="16" t="n"/>
      <c r="F217" s="339" t="n"/>
      <c r="G217" s="339" t="n"/>
      <c r="K217" s="15" t="inlineStr">
        <is>
          <t>DO44</t>
        </is>
      </c>
      <c r="L217" s="16" t="inlineStr">
        <is>
          <t>Condensor Coil  2</t>
        </is>
      </c>
      <c r="M217" s="339" t="n"/>
      <c r="N217" s="16" t="inlineStr">
        <is>
          <t>HVAC Replica</t>
        </is>
      </c>
      <c r="O217" s="339" t="n"/>
      <c r="P217" s="339" t="n"/>
      <c r="Q217" s="336" t="n"/>
      <c r="R217" s="241" t="inlineStr">
        <is>
          <t>CF</t>
        </is>
      </c>
      <c r="S217" s="198">
        <f>IF(OR(HVAC_IOs!AK174,HVAC_IOs!AK192),1,0)</f>
        <v/>
      </c>
    </row>
    <row r="218">
      <c r="B218" s="15" t="inlineStr">
        <is>
          <t>DI46</t>
        </is>
      </c>
      <c r="C218" s="35" t="inlineStr">
        <is>
          <t>Spare</t>
        </is>
      </c>
      <c r="D218" s="28" t="inlineStr">
        <is>
          <t>boolean</t>
        </is>
      </c>
      <c r="E218" s="16" t="n"/>
      <c r="F218" s="339" t="n"/>
      <c r="G218" s="339" t="n"/>
      <c r="K218" s="15" t="inlineStr">
        <is>
          <t>DO45</t>
        </is>
      </c>
      <c r="L218" s="16" t="inlineStr">
        <is>
          <t>Inverter HW LED</t>
        </is>
      </c>
      <c r="M218" s="339" t="n"/>
      <c r="N218" s="16" t="inlineStr">
        <is>
          <t>HVAC Replica</t>
        </is>
      </c>
      <c r="O218" s="240">
        <f>HVAC_IOs!K14</f>
        <v/>
      </c>
      <c r="P218" s="339" t="n"/>
      <c r="Q218" s="336" t="n"/>
      <c r="R218" s="241" t="inlineStr">
        <is>
          <t>EI</t>
        </is>
      </c>
      <c r="S218" s="198">
        <f>IF(OR(HVAC_IOs!AK175,HVAC_IOs!AK192),1,0)</f>
        <v/>
      </c>
    </row>
    <row r="219">
      <c r="K219" s="15" t="inlineStr">
        <is>
          <t>DO46</t>
        </is>
      </c>
      <c r="L219" s="16" t="inlineStr">
        <is>
          <t>comp 1</t>
        </is>
      </c>
      <c r="M219" s="339" t="n"/>
      <c r="N219" s="16" t="inlineStr">
        <is>
          <t>HVAC Replica</t>
        </is>
      </c>
      <c r="O219" s="16">
        <f>IF('DATA TRANSFER'!$CP$35=2,HVAC_IOs!S230,IF(OR(O178:O181),1,0))</f>
        <v/>
      </c>
      <c r="P219" s="339" t="n"/>
      <c r="Q219" s="336" t="n"/>
      <c r="R219" s="241" t="inlineStr">
        <is>
          <t>Evaporator</t>
        </is>
      </c>
      <c r="S219" s="198">
        <f>IF(OR('DATA TRANSFER'!$AO$570,HVAC_IOs!AK176),1,0)</f>
        <v/>
      </c>
    </row>
    <row r="220">
      <c r="K220" s="15" t="inlineStr">
        <is>
          <t>DO47</t>
        </is>
      </c>
      <c r="L220" s="16" t="inlineStr">
        <is>
          <t>comp 2</t>
        </is>
      </c>
      <c r="M220" s="339" t="n"/>
      <c r="N220" s="16" t="inlineStr">
        <is>
          <t>HVAC Replica</t>
        </is>
      </c>
      <c r="O220" s="16">
        <f>IF('DATA TRANSFER'!$CP$35=2,HVAC_IOs!S230,IF(OR(O178:O181),1,0))</f>
        <v/>
      </c>
      <c r="P220" s="339" t="n"/>
      <c r="Q220" s="336" t="n"/>
      <c r="R220" s="241" t="inlineStr">
        <is>
          <t>Filter Drier</t>
        </is>
      </c>
      <c r="S220" s="198">
        <f>IF(OR(HVAC_IOs!$AK$192,HVAC_IOs!AK177),1,0)</f>
        <v/>
      </c>
    </row>
    <row r="221">
      <c r="K221" s="15" t="inlineStr">
        <is>
          <t>DO48</t>
        </is>
      </c>
      <c r="L221" s="16" t="inlineStr">
        <is>
          <t>comp 3</t>
        </is>
      </c>
      <c r="M221" s="339" t="n"/>
      <c r="N221" s="16" t="inlineStr">
        <is>
          <t>HVAC Replica</t>
        </is>
      </c>
      <c r="O221" s="16">
        <f>IF('DATA TRANSFER'!$CP$35=2,HVAC_IOs!S230,IF(OR(O178:O181),1,0))</f>
        <v/>
      </c>
      <c r="P221" s="339" t="n"/>
      <c r="Q221" s="336" t="n"/>
      <c r="R221" s="241" t="inlineStr">
        <is>
          <t>FAD</t>
        </is>
      </c>
      <c r="S221" s="198">
        <f>IF(OR(HVAC_IOs!$AK$192,HVAC_IOs!AK178),1,0)</f>
        <v/>
      </c>
    </row>
    <row r="222">
      <c r="K222" s="15" t="inlineStr">
        <is>
          <t>DO49</t>
        </is>
      </c>
      <c r="L222" s="16" t="inlineStr">
        <is>
          <t>comp 4</t>
        </is>
      </c>
      <c r="M222" s="339" t="n"/>
      <c r="N222" s="16" t="inlineStr">
        <is>
          <t>HVAC Replica</t>
        </is>
      </c>
      <c r="O222" s="16">
        <f>IF('DATA TRANSFER'!$CP$35=2,HVAC_IOs!S230,IF(OR(O178:O181),1,0))</f>
        <v/>
      </c>
      <c r="P222" s="339" t="n"/>
      <c r="Q222" s="336" t="n"/>
      <c r="R222" s="241" t="inlineStr">
        <is>
          <t xml:space="preserve">Filter   </t>
        </is>
      </c>
      <c r="S222" s="198">
        <f>IF(OR(HVAC_IOs!$AK$192,HVAC_IOs!AK179),1,0)</f>
        <v/>
      </c>
    </row>
    <row r="223">
      <c r="K223" s="15" t="inlineStr">
        <is>
          <t>DO50</t>
        </is>
      </c>
      <c r="L223" s="16" t="inlineStr">
        <is>
          <t>SAF</t>
        </is>
      </c>
      <c r="M223" s="339" t="n"/>
      <c r="N223" s="16" t="inlineStr">
        <is>
          <t>HVAC Replica</t>
        </is>
      </c>
      <c r="O223" s="16">
        <f>IF('DATA TRANSFER'!$CP$35=2,HVAC_IOs!S233,'DATA TRANSFER'!M30)</f>
        <v/>
      </c>
      <c r="P223" s="339" t="n"/>
      <c r="Q223" s="336" t="n"/>
      <c r="R223" s="241" t="inlineStr">
        <is>
          <t>FAT Sensor</t>
        </is>
      </c>
      <c r="S223" s="198">
        <f>IF(OR(HVAC_IOs!$AK$192,HVAC_IOs!AK180),1,0)</f>
        <v/>
      </c>
    </row>
    <row r="224">
      <c r="K224" s="15" t="inlineStr">
        <is>
          <t>DO51</t>
        </is>
      </c>
      <c r="L224" s="16" t="inlineStr">
        <is>
          <t>Emergency Inverter</t>
        </is>
      </c>
      <c r="M224" s="339" t="n"/>
      <c r="N224" s="16" t="inlineStr">
        <is>
          <t>HVAC Replica</t>
        </is>
      </c>
      <c r="O224" s="16">
        <f>IF('DATA TRANSFER'!$CP$35=2,HVAC_IOs!S228,0)</f>
        <v/>
      </c>
      <c r="P224" s="339" t="n"/>
      <c r="Q224" s="336" t="n"/>
      <c r="R224" s="241" t="inlineStr">
        <is>
          <t>HP</t>
        </is>
      </c>
      <c r="S224" s="198">
        <f>IF(OR(HVAC_IOs!$AK$192,HVAC_IOs!AK181),1,0)</f>
        <v/>
      </c>
    </row>
    <row r="225">
      <c r="K225" s="15" t="inlineStr">
        <is>
          <t>DO52</t>
        </is>
      </c>
      <c r="L225" s="16" t="inlineStr">
        <is>
          <t>Condensor Fan</t>
        </is>
      </c>
      <c r="M225" s="339" t="n"/>
      <c r="N225" s="16" t="inlineStr">
        <is>
          <t>HVAC Replica</t>
        </is>
      </c>
      <c r="O225" s="16">
        <f>O216</f>
        <v/>
      </c>
      <c r="P225" s="339" t="n"/>
      <c r="Q225" s="336" t="n"/>
      <c r="R225" s="241" t="inlineStr">
        <is>
          <t>Blanks</t>
        </is>
      </c>
      <c r="S225" s="198">
        <f>IF(OR(HVAC_IOs!$AK$192,HVAC_IOs!AK182),1,0)</f>
        <v/>
      </c>
    </row>
    <row r="226">
      <c r="K226" s="15" t="inlineStr">
        <is>
          <t>DO53</t>
        </is>
      </c>
      <c r="L226" s="16" t="inlineStr">
        <is>
          <t>Mixed Air</t>
        </is>
      </c>
      <c r="M226" s="339" t="n"/>
      <c r="N226" s="16" t="inlineStr">
        <is>
          <t>HVAC Replica</t>
        </is>
      </c>
      <c r="O226" s="16">
        <f>IF('DATA TRANSFER'!$CP$337=2,HVAC_IOs!S229,0)</f>
        <v/>
      </c>
      <c r="P226" s="339" t="n"/>
      <c r="Q226" s="336" t="n"/>
      <c r="R226" s="241" t="inlineStr">
        <is>
          <t>Humidity Sensor</t>
        </is>
      </c>
      <c r="S226" s="198">
        <f>IF(OR(HVAC_IOs!$AK$192,HVAC_IOs!AK183),1,0)</f>
        <v/>
      </c>
    </row>
    <row r="227">
      <c r="K227" s="15" t="inlineStr">
        <is>
          <t>DO54</t>
        </is>
      </c>
      <c r="L227" s="16" t="inlineStr">
        <is>
          <t>FAD</t>
        </is>
      </c>
      <c r="M227" s="339" t="n"/>
      <c r="N227" s="16" t="inlineStr">
        <is>
          <t>HVAC Replica</t>
        </is>
      </c>
      <c r="O227" s="16">
        <f>IF('DATA TRANSFER'!$CP$35=2,HVAC_IOs!S221,O172)</f>
        <v/>
      </c>
      <c r="P227" s="339" t="n"/>
      <c r="Q227" s="336" t="n"/>
      <c r="R227" s="241" t="inlineStr">
        <is>
          <t>LP</t>
        </is>
      </c>
      <c r="S227" s="198">
        <f>IF(OR(HVAC_IOs!$AK$192,HVAC_IOs!AK184),1,0)</f>
        <v/>
      </c>
    </row>
    <row r="228">
      <c r="K228" s="15" t="inlineStr">
        <is>
          <t>DO55</t>
        </is>
      </c>
      <c r="L228" s="16" t="inlineStr">
        <is>
          <t>Evaporator Coil</t>
        </is>
      </c>
      <c r="M228" s="339" t="n"/>
      <c r="N228" s="16" t="inlineStr">
        <is>
          <t>HVAC Replica</t>
        </is>
      </c>
      <c r="O228" s="16">
        <f>IF('DATA TRANSFER'!$CP$337=2,HVAC_IOs!S219,1)</f>
        <v/>
      </c>
      <c r="P228" s="339" t="n"/>
      <c r="Q228" s="336" t="n"/>
      <c r="R228" s="241" t="inlineStr">
        <is>
          <t>Blanks</t>
        </is>
      </c>
      <c r="S228" s="198">
        <f>IF(OR(HVAC_IOs!$AK$192,HVAC_IOs!AK185),1,0)</f>
        <v/>
      </c>
    </row>
    <row r="229">
      <c r="K229" s="15" t="inlineStr">
        <is>
          <t>DO56</t>
        </is>
      </c>
      <c r="L229" s="16" t="inlineStr">
        <is>
          <t>HP/LP</t>
        </is>
      </c>
      <c r="M229" s="339" t="n"/>
      <c r="N229" s="16" t="inlineStr">
        <is>
          <t>HVAC Replica</t>
        </is>
      </c>
      <c r="O229" s="16">
        <f>IF('DATA TRANSFER'!$CP$337=2,IF(OR(HVAC_IOs!S224,HVAC_IOs!S227),1,0),1)</f>
        <v/>
      </c>
      <c r="P229" s="339" t="n"/>
      <c r="Q229" s="336" t="n"/>
      <c r="R229" s="241" t="inlineStr">
        <is>
          <t>Mixed Air filter</t>
        </is>
      </c>
      <c r="S229" s="198">
        <f>IF(OR(HVAC_IOs!$AK$192,HVAC_IOs!AK186),1,0)</f>
        <v/>
      </c>
    </row>
    <row r="230">
      <c r="K230" s="15" t="inlineStr">
        <is>
          <t>DO57</t>
        </is>
      </c>
      <c r="L230" s="16" t="inlineStr">
        <is>
          <t>Blank</t>
        </is>
      </c>
      <c r="M230" s="339" t="n"/>
      <c r="N230" s="16" t="inlineStr">
        <is>
          <t>HVAC Replica</t>
        </is>
      </c>
      <c r="O230" s="16">
        <f>IF('DATA TRANSFER'!$CP$35=2,HVAC_IOs!S225,1)</f>
        <v/>
      </c>
      <c r="P230" s="339" t="n"/>
      <c r="Q230" s="336" t="n"/>
      <c r="R230" s="241" t="inlineStr">
        <is>
          <t>Comp</t>
        </is>
      </c>
      <c r="S230" s="198">
        <f>IF(OR(HVAC_IOs!$AK$192,HVAC_IOs!AK187),1,0)</f>
        <v/>
      </c>
    </row>
    <row r="231">
      <c r="K231" s="15" t="inlineStr">
        <is>
          <t>DO58</t>
        </is>
      </c>
      <c r="L231" s="16" t="inlineStr">
        <is>
          <t>Blank</t>
        </is>
      </c>
      <c r="M231" s="339" t="n"/>
      <c r="N231" s="16" t="inlineStr">
        <is>
          <t>HVAC Replica</t>
        </is>
      </c>
      <c r="O231" s="16">
        <f>IF('DATA TRANSFER'!$CP$35=2,HVAC_IOs!S228,1)</f>
        <v/>
      </c>
      <c r="P231" s="339" t="n"/>
      <c r="Q231" s="336" t="n"/>
      <c r="R231" s="241" t="inlineStr">
        <is>
          <t>RAD</t>
        </is>
      </c>
      <c r="S231" s="198">
        <f>IF(OR(HVAC_IOs!$AK$192,HVAC_IOs!AK188),1,0)</f>
        <v/>
      </c>
    </row>
    <row r="232">
      <c r="K232" s="16" t="n"/>
      <c r="L232" s="16" t="inlineStr">
        <is>
          <t>spare</t>
        </is>
      </c>
      <c r="M232" s="339" t="n"/>
      <c r="N232" s="339" t="n"/>
      <c r="O232" s="339" t="n"/>
      <c r="P232" s="339" t="n"/>
      <c r="Q232" s="336" t="n"/>
      <c r="R232" s="241" t="inlineStr">
        <is>
          <t>RAT Sensor</t>
        </is>
      </c>
      <c r="S232" s="198">
        <f>IF(OR(HVAC_IOs!$AK$192,HVAC_IOs!AK189),1,0)</f>
        <v/>
      </c>
    </row>
    <row r="233">
      <c r="K233" s="16" t="n"/>
      <c r="L233" s="16" t="inlineStr">
        <is>
          <t>spare</t>
        </is>
      </c>
      <c r="M233" s="339" t="n"/>
      <c r="N233" s="339" t="n"/>
      <c r="O233" s="339" t="n"/>
      <c r="P233" s="339" t="n"/>
      <c r="Q233" s="336" t="n"/>
      <c r="R233" s="241" t="inlineStr">
        <is>
          <t>SAF</t>
        </is>
      </c>
      <c r="S233" s="198">
        <f>IF(OR(HVAC_IOs!$AK$192,HVAC_IOs!AK190),1,0)</f>
        <v/>
      </c>
    </row>
    <row r="234">
      <c r="K234" s="16" t="n"/>
      <c r="L234" s="16" t="inlineStr">
        <is>
          <t>spare</t>
        </is>
      </c>
      <c r="M234" s="339" t="n"/>
      <c r="N234" s="339" t="n"/>
      <c r="O234" s="339" t="n"/>
      <c r="P234" s="339" t="n"/>
      <c r="Q234" s="336" t="n"/>
      <c r="R234" s="241" t="inlineStr">
        <is>
          <t>SAT Sensor</t>
        </is>
      </c>
      <c r="S234" s="198">
        <f>IF(OR(HVAC_IOs!$AK$192,HVAC_IOs!AK191),1,0)</f>
        <v/>
      </c>
    </row>
    <row r="337">
      <c r="AJ337" s="48" t="n">
        <v>30</v>
      </c>
      <c r="AK337" s="48" t="n">
        <v>30</v>
      </c>
      <c r="AL337" s="48" t="n">
        <v>30</v>
      </c>
      <c r="AM337" s="48" t="n">
        <v>30</v>
      </c>
      <c r="AN337" s="48" t="n">
        <v>30</v>
      </c>
      <c r="AO337" s="48" t="n">
        <v>30</v>
      </c>
    </row>
    <row r="338">
      <c r="AJ338" s="48" t="n">
        <v>40</v>
      </c>
    </row>
    <row r="339">
      <c r="AJ339" s="48" t="n">
        <v>25</v>
      </c>
    </row>
    <row r="340">
      <c r="AJ340" s="48" t="n">
        <v>50</v>
      </c>
    </row>
    <row r="341">
      <c r="AJ341" s="48" t="n">
        <v>0</v>
      </c>
    </row>
    <row r="342">
      <c r="AJ342" s="48" t="n">
        <v>0</v>
      </c>
    </row>
    <row r="343">
      <c r="AJ343" s="48" t="n">
        <v>0</v>
      </c>
    </row>
    <row r="344">
      <c r="AJ344" s="48" t="n">
        <v>0</v>
      </c>
    </row>
    <row r="353">
      <c r="AJ353" s="48" t="n">
        <v>0</v>
      </c>
    </row>
    <row r="354">
      <c r="AJ354" s="48" t="n">
        <v>0</v>
      </c>
    </row>
    <row r="358">
      <c r="AJ358" s="48" t="n">
        <v>0</v>
      </c>
    </row>
    <row r="359">
      <c r="AJ359" s="48" t="n">
        <v>2</v>
      </c>
    </row>
    <row r="370">
      <c r="AJ370" s="48" t="n">
        <v>1</v>
      </c>
    </row>
    <row r="378">
      <c r="AJ378" s="48" t="n">
        <v>0</v>
      </c>
    </row>
    <row r="451">
      <c r="AJ451" s="48" t="n">
        <v>0</v>
      </c>
    </row>
  </sheetData>
  <mergeCells count="2">
    <mergeCell ref="A92:G92"/>
    <mergeCell ref="J92:P9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0"/>
  <sheetViews>
    <sheetView zoomScale="70" zoomScaleNormal="70" workbookViewId="0">
      <selection activeCell="K16" sqref="K16"/>
    </sheetView>
  </sheetViews>
  <sheetFormatPr baseColWidth="8" defaultColWidth="9.140625" defaultRowHeight="15.75"/>
  <cols>
    <col width="9.140625" customWidth="1" style="742" min="1" max="1"/>
    <col width="33.42578125" customWidth="1" style="742" min="2" max="2"/>
    <col width="20.28515625" customWidth="1" style="275" min="3" max="3"/>
    <col width="22.42578125" customWidth="1" style="275" min="4" max="4"/>
    <col width="20.42578125" customWidth="1" style="275" min="5" max="5"/>
    <col width="19" customWidth="1" style="275" min="6" max="6"/>
    <col width="18.85546875" customWidth="1" style="275" min="7" max="7"/>
    <col width="20.85546875" customWidth="1" style="275" min="8" max="8"/>
    <col width="9.140625" customWidth="1" style="742" min="9" max="16384"/>
  </cols>
  <sheetData>
    <row r="1" ht="24" customHeight="1" thickBot="1">
      <c r="A1" s="832" t="inlineStr">
        <is>
          <t>Operating  Screen for HVAC</t>
        </is>
      </c>
      <c r="B1" s="794" t="n"/>
      <c r="C1" s="794" t="n"/>
      <c r="D1" s="794" t="n"/>
      <c r="E1" s="794" t="n"/>
      <c r="F1" s="794" t="n"/>
      <c r="G1" s="794" t="n"/>
      <c r="H1" s="794" t="n"/>
      <c r="I1" s="795" t="n"/>
    </row>
    <row r="2">
      <c r="C2" s="757" t="inlineStr">
        <is>
          <t xml:space="preserve">DMA </t>
        </is>
      </c>
      <c r="D2" s="309" t="n"/>
      <c r="E2" s="757" t="inlineStr">
        <is>
          <t>TCA</t>
        </is>
      </c>
      <c r="F2" s="309" t="n"/>
      <c r="G2" s="757" t="inlineStr">
        <is>
          <t>DMB</t>
        </is>
      </c>
      <c r="H2" s="309" t="n"/>
    </row>
    <row r="3" customFormat="1" s="267">
      <c r="B3" s="272" t="inlineStr">
        <is>
          <t xml:space="preserve">HVAC UNIT </t>
        </is>
      </c>
      <c r="C3" s="273" t="inlineStr">
        <is>
          <t>HVAC 1 (DMA)</t>
        </is>
      </c>
      <c r="D3" s="273" t="inlineStr">
        <is>
          <t>HVAC 2  (DMA)</t>
        </is>
      </c>
      <c r="E3" s="273" t="inlineStr">
        <is>
          <t>HVAC 3 (T CAR )</t>
        </is>
      </c>
      <c r="F3" s="273" t="inlineStr">
        <is>
          <t>HVAC 4 (T CAR )</t>
        </is>
      </c>
      <c r="G3" s="273" t="inlineStr">
        <is>
          <t>HVAC 5 (DMB)</t>
        </is>
      </c>
      <c r="H3" s="273" t="inlineStr">
        <is>
          <t>HVAC 6 (DMB)</t>
        </is>
      </c>
    </row>
    <row r="4">
      <c r="B4" s="272" t="inlineStr">
        <is>
          <t xml:space="preserve"> HVAC STATUS</t>
        </is>
      </c>
      <c r="C4" s="274">
        <f>functionality!B5</f>
        <v/>
      </c>
      <c r="D4" s="274">
        <f>functionality!B8</f>
        <v/>
      </c>
      <c r="E4" s="274">
        <f>functionality!B12</f>
        <v/>
      </c>
      <c r="F4" s="274">
        <f>functionality!B15</f>
        <v/>
      </c>
      <c r="G4" s="274">
        <f>functionality!B19</f>
        <v/>
      </c>
      <c r="H4" s="274">
        <f>functionality!B22</f>
        <v/>
      </c>
    </row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4" ht="16.5" customHeight="1" thickBot="1"/>
    <row r="15" ht="16.5" customHeight="1" thickBot="1">
      <c r="A15" s="833" t="inlineStr">
        <is>
          <t xml:space="preserve"> Status Screen for HVAC</t>
        </is>
      </c>
      <c r="B15" s="794" t="n"/>
      <c r="C15" s="794" t="n"/>
      <c r="D15" s="794" t="n"/>
      <c r="E15" s="794" t="n"/>
      <c r="F15" s="794" t="n"/>
      <c r="G15" s="794" t="n"/>
      <c r="H15" s="794" t="n"/>
      <c r="I15" s="795" t="n"/>
    </row>
    <row r="16" ht="16.5" customHeight="1" thickBot="1"/>
    <row r="17" ht="16.5" customHeight="1" thickBot="1">
      <c r="B17" s="276" t="n"/>
      <c r="C17" s="277" t="n"/>
      <c r="D17" s="277" t="inlineStr">
        <is>
          <t>DMA</t>
        </is>
      </c>
      <c r="E17" s="277" t="inlineStr">
        <is>
          <t xml:space="preserve"> T CAR</t>
        </is>
      </c>
      <c r="F17" s="278" t="inlineStr">
        <is>
          <t xml:space="preserve">DMB </t>
        </is>
      </c>
    </row>
    <row r="18" ht="16.5" customHeight="1" thickBot="1"/>
    <row r="19" ht="33" customHeight="1" thickBot="1">
      <c r="B19" s="279" t="inlineStr">
        <is>
          <t>Current Outside Temperature (degC)</t>
        </is>
      </c>
      <c r="C19" s="277" t="n"/>
      <c r="D19" s="280">
        <f>HVAC_IOs!R4</f>
        <v/>
      </c>
      <c r="E19" s="280">
        <f>HVAC_IOs!R4</f>
        <v/>
      </c>
      <c r="F19" s="281">
        <f>HVAC_IOs!R4</f>
        <v/>
      </c>
    </row>
    <row r="20" ht="16.5" customHeight="1" thickBot="1">
      <c r="B20" s="282" t="n"/>
      <c r="C20" s="283" t="n"/>
    </row>
    <row r="21" ht="16.5" customHeight="1">
      <c r="B21" s="763" t="inlineStr">
        <is>
          <t>Current Inside Temperature (degC)</t>
        </is>
      </c>
      <c r="C21" s="284" t="inlineStr">
        <is>
          <t>UNIT 1</t>
        </is>
      </c>
      <c r="D21" s="285">
        <f>HVAC_IOs!R2</f>
        <v/>
      </c>
      <c r="E21" s="285">
        <f>HVAC_IOs!R2</f>
        <v/>
      </c>
      <c r="F21" s="286">
        <f>HVAC_IOs!R2</f>
        <v/>
      </c>
    </row>
    <row r="22" ht="16.5" customHeight="1" thickBot="1">
      <c r="B22" s="834" t="n"/>
      <c r="C22" s="287" t="inlineStr">
        <is>
          <t>UNIT 2</t>
        </is>
      </c>
      <c r="D22" s="288">
        <f>HVAC_IOs!R2</f>
        <v/>
      </c>
      <c r="E22" s="288">
        <f>HVAC_IOs!R2</f>
        <v/>
      </c>
      <c r="F22" s="289">
        <f>HVAC_IOs!R2</f>
        <v/>
      </c>
    </row>
    <row r="23" ht="16.5" customHeight="1" thickBot="1">
      <c r="B23" s="282" t="n"/>
      <c r="C23" s="283" t="n"/>
    </row>
    <row r="24" ht="18" customHeight="1">
      <c r="B24" s="763" t="inlineStr">
        <is>
          <t>Target Temperature (degC)</t>
        </is>
      </c>
      <c r="C24" s="284" t="inlineStr">
        <is>
          <t>UNIT 1</t>
        </is>
      </c>
      <c r="D24" s="285">
        <f>HVAC_IOs!R10</f>
        <v/>
      </c>
      <c r="E24" s="285">
        <f>HVAC_IOs!R10</f>
        <v/>
      </c>
      <c r="F24" s="286">
        <f>HVAC_IOs!R10</f>
        <v/>
      </c>
    </row>
    <row r="25" ht="16.5" customHeight="1" thickBot="1">
      <c r="B25" s="834" t="n"/>
      <c r="C25" s="287" t="inlineStr">
        <is>
          <t>UNIT 2</t>
        </is>
      </c>
      <c r="D25" s="288">
        <f>HVAC_IOs!R10</f>
        <v/>
      </c>
      <c r="E25" s="288">
        <f>HVAC_IOs!R10</f>
        <v/>
      </c>
      <c r="F25" s="289">
        <f>HVAC_IOs!R10</f>
        <v/>
      </c>
    </row>
    <row r="26" ht="16.5" customHeight="1" thickBot="1">
      <c r="B26" s="282" t="n"/>
      <c r="C26" s="283" t="n"/>
    </row>
    <row r="27" ht="17.25" customHeight="1">
      <c r="B27" s="763" t="inlineStr">
        <is>
          <t>Fresh Air Damper (degC)</t>
        </is>
      </c>
      <c r="C27" s="284" t="inlineStr">
        <is>
          <t>UNIT 1</t>
        </is>
      </c>
      <c r="D27" s="285">
        <f>functionality!E27</f>
        <v/>
      </c>
      <c r="E27" s="285">
        <f>functionality!E34</f>
        <v/>
      </c>
      <c r="F27" s="286">
        <f>functionality!E40</f>
        <v/>
      </c>
    </row>
    <row r="28" ht="16.5" customHeight="1" thickBot="1">
      <c r="B28" s="834" t="n"/>
      <c r="C28" s="287" t="inlineStr">
        <is>
          <t>UNIT 2</t>
        </is>
      </c>
      <c r="D28" s="288">
        <f>functionality!E30</f>
        <v/>
      </c>
      <c r="E28" s="288">
        <f>functionality!E37</f>
        <v/>
      </c>
      <c r="F28" s="289">
        <f>functionality!E43</f>
        <v/>
      </c>
    </row>
    <row r="29" ht="16.5" customHeight="1" thickBot="1">
      <c r="B29" s="290" t="n"/>
      <c r="C29" s="283" t="n"/>
    </row>
    <row r="30" ht="18.75" customHeight="1">
      <c r="B30" s="773" t="inlineStr">
        <is>
          <t>Low-pressure value on Compressor (MPa)</t>
        </is>
      </c>
      <c r="C30" s="284" t="inlineStr">
        <is>
          <t>UNIT 1</t>
        </is>
      </c>
      <c r="D30" s="285">
        <f>IF(AND(HVAC_IOs!R7=1,HVAC_IOs!R9=1),1,0)</f>
        <v/>
      </c>
      <c r="E30" s="285">
        <f>IF(AND(HVAC_IOs!R7=1,HVAC_IOs!R9=1),1,0)</f>
        <v/>
      </c>
      <c r="F30" s="286">
        <f>IF(AND(HVAC_IOs!R7=1,HVAC_IOs!R9=1),1,0)</f>
        <v/>
      </c>
    </row>
    <row r="31" ht="16.5" customHeight="1" thickBot="1">
      <c r="B31" s="834" t="n"/>
      <c r="C31" s="287" t="inlineStr">
        <is>
          <t>UNIT 2</t>
        </is>
      </c>
      <c r="D31" s="288">
        <f>IF(AND(HVAC_IOs!R7=1,HVAC_IOs!R9=1),1,0)</f>
        <v/>
      </c>
      <c r="E31" s="288">
        <f>IF(AND(HVAC_IOs!R7=1,HVAC_IOs!R9=1),1,0)</f>
        <v/>
      </c>
      <c r="F31" s="289">
        <f>IF(AND(HVAC_IOs!R7=1,HVAC_IOs!R9=1),1,0)</f>
        <v/>
      </c>
    </row>
    <row r="32" ht="16.5" customHeight="1" thickBot="1">
      <c r="B32" s="282" t="n"/>
      <c r="C32" s="283" t="n"/>
    </row>
    <row r="33" ht="16.5" customHeight="1">
      <c r="B33" s="773" t="inlineStr">
        <is>
          <t>High-pressure value on Compressor (MPa)</t>
        </is>
      </c>
      <c r="C33" s="284" t="inlineStr">
        <is>
          <t>UNIT 1</t>
        </is>
      </c>
      <c r="D33" s="285">
        <f>IF(AND(HVAC_IOs!R6=1,HVAC_IOs!R8=1),1,0)</f>
        <v/>
      </c>
      <c r="E33" s="285">
        <f>IF(AND(HVAC_IOs!R6=1,HVAC_IOs!R8=1),1,0)</f>
        <v/>
      </c>
      <c r="F33" s="286">
        <f>IF(AND(HVAC_IOs!R6=1,HVAC_IOs!R8=1),1,0)</f>
        <v/>
      </c>
    </row>
    <row r="34" ht="16.5" customHeight="1" thickBot="1">
      <c r="B34" s="834" t="n"/>
      <c r="C34" s="287" t="inlineStr">
        <is>
          <t>UNIT 2</t>
        </is>
      </c>
      <c r="D34" s="288">
        <f>IF(AND(HVAC_IOs!R6=1,HVAC_IOs!R8=1),1,0)</f>
        <v/>
      </c>
      <c r="E34" s="288">
        <f>IF(AND(HVAC_IOs!R6=1,HVAC_IOs!R8=1),1,0)</f>
        <v/>
      </c>
      <c r="F34" s="289">
        <f>IF(AND(HVAC_IOs!R6=1,HVAC_IOs!R8=1),1,0)</f>
        <v/>
      </c>
    </row>
    <row r="35" ht="16.5" customHeight="1" thickBot="1"/>
    <row r="36">
      <c r="B36" s="763" t="inlineStr">
        <is>
          <t>Current Mode Status</t>
        </is>
      </c>
      <c r="C36" s="284" t="inlineStr">
        <is>
          <t>UNIT 1</t>
        </is>
      </c>
      <c r="D36" s="285">
        <f>functionality!C47</f>
        <v/>
      </c>
      <c r="E36" s="285">
        <f>functionality!C54</f>
        <v/>
      </c>
      <c r="F36" s="286">
        <f>functionality!C60</f>
        <v/>
      </c>
    </row>
    <row r="37" ht="16.5" customHeight="1" thickBot="1">
      <c r="B37" s="834" t="n"/>
      <c r="C37" s="287" t="inlineStr">
        <is>
          <t>UNIT 2</t>
        </is>
      </c>
      <c r="D37" s="288">
        <f>functionality!C50</f>
        <v/>
      </c>
      <c r="E37" s="288">
        <f>functionality!C57</f>
        <v/>
      </c>
      <c r="F37" s="289">
        <f>functionality!C63</f>
        <v/>
      </c>
    </row>
    <row r="38" ht="16.5" customHeight="1" thickBot="1"/>
    <row r="39" ht="16.5" customHeight="1" thickBot="1">
      <c r="B39" s="763" t="inlineStr">
        <is>
          <t>Exterior Smoke Status</t>
        </is>
      </c>
      <c r="C39" s="284" t="inlineStr">
        <is>
          <t>UNIT 1</t>
        </is>
      </c>
      <c r="D39" s="285">
        <f>functionality!C67</f>
        <v/>
      </c>
      <c r="E39" s="288">
        <f>functionality!C74</f>
        <v/>
      </c>
      <c r="F39" s="286">
        <f>functionality!C80</f>
        <v/>
      </c>
    </row>
    <row r="40" ht="16.5" customHeight="1" thickBot="1">
      <c r="B40" s="834" t="n"/>
      <c r="C40" s="287" t="inlineStr">
        <is>
          <t>UNIT 2</t>
        </is>
      </c>
      <c r="D40" s="285">
        <f>functionality!C70</f>
        <v/>
      </c>
      <c r="E40" s="288">
        <f>functionality!C77</f>
        <v/>
      </c>
      <c r="F40" s="289">
        <f>functionality!C83</f>
        <v/>
      </c>
    </row>
    <row r="41" ht="16.5" customHeight="1" thickBot="1"/>
    <row r="42">
      <c r="B42" s="284" t="inlineStr">
        <is>
          <t>Fresh Air Damper Open</t>
        </is>
      </c>
      <c r="C42" s="284" t="n"/>
      <c r="D42" s="285" t="n"/>
    </row>
    <row r="43" ht="16.5" customHeight="1" thickBot="1"/>
    <row r="44">
      <c r="B44" s="284" t="inlineStr">
        <is>
          <t>Fresh Air Damper Close</t>
        </is>
      </c>
      <c r="C44" s="284" t="n"/>
      <c r="D44" s="285" t="n"/>
    </row>
    <row r="49" ht="16.5" customHeight="1" thickBot="1"/>
    <row r="50" ht="16.5" customHeight="1" thickBot="1">
      <c r="A50" s="833" t="inlineStr">
        <is>
          <t xml:space="preserve"> Status Screen for Mode Setting: </t>
        </is>
      </c>
      <c r="B50" s="794" t="n"/>
      <c r="C50" s="794" t="n"/>
      <c r="D50" s="794" t="n"/>
      <c r="E50" s="794" t="n"/>
      <c r="F50" s="794" t="n"/>
      <c r="G50" s="794" t="n"/>
      <c r="H50" s="794" t="n"/>
      <c r="I50" s="795" t="n"/>
    </row>
    <row r="52" ht="16.5" customHeight="1" thickBot="1">
      <c r="D52" s="275" t="inlineStr">
        <is>
          <t xml:space="preserve">DMA </t>
        </is>
      </c>
      <c r="E52" s="275" t="inlineStr">
        <is>
          <t>TCA</t>
        </is>
      </c>
      <c r="F52" s="275" t="inlineStr">
        <is>
          <t>DMB</t>
        </is>
      </c>
    </row>
    <row r="53">
      <c r="B53" s="835" t="inlineStr">
        <is>
          <t xml:space="preserve">Car select </t>
        </is>
      </c>
      <c r="C53" s="291" t="inlineStr">
        <is>
          <t>All car</t>
        </is>
      </c>
      <c r="D53" s="292" t="inlineStr">
        <is>
          <t>DMA</t>
        </is>
      </c>
      <c r="E53" s="292" t="inlineStr">
        <is>
          <t>TCA</t>
        </is>
      </c>
      <c r="F53" s="293" t="inlineStr">
        <is>
          <t>DMB</t>
        </is>
      </c>
    </row>
    <row r="54" ht="16.5" customHeight="1" thickBot="1">
      <c r="B54" s="836" t="n"/>
      <c r="C54" s="294">
        <f>HVAC_IOs!F94</f>
        <v/>
      </c>
      <c r="D54" s="288">
        <f>HVAC_IOs!F95</f>
        <v/>
      </c>
      <c r="E54" s="288">
        <f>HVAC_IOs!F96</f>
        <v/>
      </c>
      <c r="F54" s="289">
        <f>HVAC_IOs!F97</f>
        <v/>
      </c>
    </row>
    <row r="55">
      <c r="B55" s="267" t="n"/>
    </row>
    <row r="56" ht="16.5" customHeight="1" thickBot="1">
      <c r="B56" s="267" t="n"/>
    </row>
    <row r="57">
      <c r="B57" s="835" t="inlineStr">
        <is>
          <t xml:space="preserve">HVAC Select </t>
        </is>
      </c>
      <c r="C57" s="291" t="inlineStr">
        <is>
          <t>All HVAC</t>
        </is>
      </c>
      <c r="D57" s="292" t="inlineStr">
        <is>
          <t xml:space="preserve"> Unit 1 </t>
        </is>
      </c>
      <c r="E57" s="293" t="inlineStr">
        <is>
          <t xml:space="preserve"> Unit 2</t>
        </is>
      </c>
    </row>
    <row r="58" ht="16.5" customHeight="1" thickBot="1">
      <c r="B58" s="836" t="n"/>
      <c r="C58" s="294">
        <f>HVAC_IOs!F98</f>
        <v/>
      </c>
      <c r="D58" s="288">
        <f>HVAC_IOs!F99</f>
        <v/>
      </c>
      <c r="E58" s="289">
        <f>HVAC_IOs!F100</f>
        <v/>
      </c>
    </row>
    <row r="59">
      <c r="B59" s="267" t="n"/>
    </row>
    <row r="60" ht="16.5" customHeight="1" thickBot="1">
      <c r="B60" s="267" t="n"/>
    </row>
    <row r="61">
      <c r="B61" s="835" t="inlineStr">
        <is>
          <t xml:space="preserve">Mode Select </t>
        </is>
      </c>
      <c r="C61" s="291" t="inlineStr">
        <is>
          <t>OFF</t>
        </is>
      </c>
      <c r="D61" s="292" t="inlineStr">
        <is>
          <t>VENT</t>
        </is>
      </c>
      <c r="E61" s="293" t="inlineStr">
        <is>
          <t>AUTO</t>
        </is>
      </c>
    </row>
    <row r="62" ht="16.5" customHeight="1" thickBot="1">
      <c r="B62" s="837" t="n"/>
      <c r="C62" s="294">
        <f>HVAC_IOs!F101</f>
        <v/>
      </c>
      <c r="D62" s="288">
        <f>HVAC_IOs!F102</f>
        <v/>
      </c>
      <c r="E62" s="289">
        <f>HVAC_IOs!F103</f>
        <v/>
      </c>
    </row>
    <row r="63" ht="16.5" customHeight="1" thickBot="1">
      <c r="B63" s="837" t="n"/>
    </row>
    <row r="64">
      <c r="B64" s="837" t="n"/>
      <c r="C64" s="291" t="inlineStr">
        <is>
          <t>ALL OFF</t>
        </is>
      </c>
      <c r="D64" s="292" t="inlineStr">
        <is>
          <t>ALL VENT</t>
        </is>
      </c>
      <c r="E64" s="293" t="inlineStr">
        <is>
          <t>ALL AUTO</t>
        </is>
      </c>
    </row>
    <row r="65" ht="16.5" customHeight="1" thickBot="1">
      <c r="B65" s="836" t="n"/>
      <c r="C65" s="294">
        <f>HVAC_IOs!F104</f>
        <v/>
      </c>
      <c r="D65" s="288">
        <f>HVAC_IOs!F105</f>
        <v/>
      </c>
      <c r="E65" s="289">
        <f>HVAC_IOs!F106</f>
        <v/>
      </c>
    </row>
    <row r="70" ht="16.5" customHeight="1" thickBot="1"/>
    <row r="71" ht="16.5" customHeight="1" thickBot="1">
      <c r="A71" s="833" t="inlineStr">
        <is>
          <t xml:space="preserve"> Status Screen for Temperature Setting: </t>
        </is>
      </c>
      <c r="B71" s="794" t="n"/>
      <c r="C71" s="794" t="n"/>
      <c r="D71" s="794" t="n"/>
      <c r="E71" s="794" t="n"/>
      <c r="F71" s="794" t="n"/>
      <c r="G71" s="794" t="n"/>
      <c r="H71" s="794" t="n"/>
      <c r="I71" s="795" t="n"/>
    </row>
    <row r="73" ht="16.5" customHeight="1" thickBot="1">
      <c r="D73" s="275" t="inlineStr">
        <is>
          <t xml:space="preserve">DMA </t>
        </is>
      </c>
      <c r="E73" s="275" t="inlineStr">
        <is>
          <t>TCA</t>
        </is>
      </c>
      <c r="F73" s="275" t="inlineStr">
        <is>
          <t>DMB</t>
        </is>
      </c>
    </row>
    <row r="74">
      <c r="B74" s="763" t="inlineStr">
        <is>
          <t>Target Temperature (degC)</t>
        </is>
      </c>
      <c r="C74" s="284" t="inlineStr">
        <is>
          <t>UNIT 1</t>
        </is>
      </c>
      <c r="D74" s="285">
        <f>HVAC_IOs!R10</f>
        <v/>
      </c>
      <c r="E74" s="285">
        <f>HVAC_IOs!R10</f>
        <v/>
      </c>
      <c r="F74" s="286">
        <f>HVAC_IOs!R10</f>
        <v/>
      </c>
    </row>
    <row r="75" ht="16.5" customHeight="1" thickBot="1">
      <c r="B75" s="834" t="n"/>
      <c r="C75" s="287" t="inlineStr">
        <is>
          <t>UNIT 2</t>
        </is>
      </c>
      <c r="D75" s="288">
        <f>HVAC_IOs!R10</f>
        <v/>
      </c>
      <c r="E75" s="288">
        <f>HVAC_IOs!R10</f>
        <v/>
      </c>
      <c r="F75" s="289">
        <f>HVAC_IOs!R10</f>
        <v/>
      </c>
    </row>
    <row r="77" ht="16.5" customHeight="1" thickBot="1"/>
    <row r="78">
      <c r="B78" s="835" t="inlineStr">
        <is>
          <t xml:space="preserve">Car select </t>
        </is>
      </c>
      <c r="C78" s="291" t="inlineStr">
        <is>
          <t>All car</t>
        </is>
      </c>
      <c r="D78" s="292" t="inlineStr">
        <is>
          <t>DMA</t>
        </is>
      </c>
      <c r="E78" s="292" t="inlineStr">
        <is>
          <t>TCA</t>
        </is>
      </c>
      <c r="F78" s="293" t="inlineStr">
        <is>
          <t>DMB</t>
        </is>
      </c>
    </row>
    <row r="79" ht="16.5" customHeight="1" thickBot="1">
      <c r="B79" s="836" t="n"/>
      <c r="C79" s="294">
        <f>HVAC_IOs!F108</f>
        <v/>
      </c>
      <c r="D79" s="288">
        <f>HVAC_IOs!F109</f>
        <v/>
      </c>
      <c r="E79" s="288">
        <f>HVAC_IOs!F110</f>
        <v/>
      </c>
      <c r="F79" s="289">
        <f>HVAC_IOs!F111</f>
        <v/>
      </c>
    </row>
    <row r="80" ht="16.5" customHeight="1" thickBot="1"/>
    <row r="81">
      <c r="B81" s="835" t="inlineStr">
        <is>
          <t xml:space="preserve">HVAC Select </t>
        </is>
      </c>
      <c r="C81" s="291" t="inlineStr">
        <is>
          <t>All HVAC</t>
        </is>
      </c>
      <c r="D81" s="292" t="inlineStr">
        <is>
          <t xml:space="preserve"> Unit 1 </t>
        </is>
      </c>
      <c r="E81" s="293" t="inlineStr">
        <is>
          <t xml:space="preserve"> Unit 2</t>
        </is>
      </c>
    </row>
    <row r="82" ht="16.5" customHeight="1" thickBot="1">
      <c r="B82" s="836" t="n"/>
      <c r="C82" s="294">
        <f>HVAC_IOs!F112</f>
        <v/>
      </c>
      <c r="D82" s="288">
        <f>HVAC_IOs!F113</f>
        <v/>
      </c>
      <c r="E82" s="289">
        <f>HVAC_IOs!F114</f>
        <v/>
      </c>
    </row>
    <row r="84" ht="16.5" customHeight="1" thickBot="1"/>
    <row r="85">
      <c r="B85" s="835" t="inlineStr">
        <is>
          <t>Request Temp</t>
        </is>
      </c>
      <c r="C85" s="838">
        <f>HVAC_IOs!R10</f>
        <v/>
      </c>
    </row>
    <row r="86" ht="16.5" customHeight="1" thickBot="1">
      <c r="B86" s="836" t="n"/>
      <c r="C86" s="839" t="n"/>
    </row>
    <row r="90" ht="16.5" customHeight="1" thickBot="1"/>
    <row r="91" ht="16.5" customHeight="1" thickBot="1">
      <c r="A91" s="833" t="inlineStr">
        <is>
          <t>HVAC isolation</t>
        </is>
      </c>
      <c r="B91" s="794" t="n"/>
      <c r="C91" s="794" t="n"/>
      <c r="D91" s="794" t="n"/>
      <c r="E91" s="794" t="n"/>
      <c r="F91" s="794" t="n"/>
      <c r="G91" s="794" t="n"/>
      <c r="H91" s="794" t="n"/>
      <c r="I91" s="795" t="n"/>
    </row>
    <row r="92">
      <c r="C92" s="275" t="inlineStr">
        <is>
          <t xml:space="preserve">DMA </t>
        </is>
      </c>
      <c r="D92" s="275" t="inlineStr">
        <is>
          <t>TCA</t>
        </is>
      </c>
      <c r="E92" s="275" t="inlineStr">
        <is>
          <t>DMB</t>
        </is>
      </c>
    </row>
    <row r="93">
      <c r="B93" s="295" t="inlineStr">
        <is>
          <t>HVAC 1</t>
        </is>
      </c>
      <c r="C93" s="274">
        <f>functionality!B90</f>
        <v/>
      </c>
      <c r="D93" s="274">
        <f>functionality!B97</f>
        <v/>
      </c>
      <c r="E93" s="274">
        <f>functionality!B104</f>
        <v/>
      </c>
    </row>
    <row r="94">
      <c r="B94" s="295" t="inlineStr">
        <is>
          <t>HVAC 2</t>
        </is>
      </c>
      <c r="C94" s="274">
        <f>functionality!B93</f>
        <v/>
      </c>
      <c r="D94" s="274">
        <f>functionality!B100</f>
        <v/>
      </c>
      <c r="E94" s="274">
        <f>functionality!B107</f>
        <v/>
      </c>
    </row>
    <row r="97">
      <c r="B97" s="295" t="inlineStr">
        <is>
          <t xml:space="preserve">HVAC 1 </t>
        </is>
      </c>
      <c r="C97" s="274">
        <f>HVAC_IOs!F116</f>
        <v/>
      </c>
      <c r="D97" s="274">
        <f>HVAC_IOs!F117</f>
        <v/>
      </c>
      <c r="E97" s="274">
        <f>HVAC_IOs!F118</f>
        <v/>
      </c>
    </row>
    <row r="98">
      <c r="B98" s="295" t="inlineStr">
        <is>
          <t xml:space="preserve">TARGET CAR </t>
        </is>
      </c>
      <c r="C98" s="296" t="n"/>
      <c r="D98" s="274" t="n"/>
      <c r="E98" s="274" t="n"/>
    </row>
    <row r="100">
      <c r="B100" s="295" t="inlineStr">
        <is>
          <t>HVAC 2</t>
        </is>
      </c>
      <c r="C100" s="274">
        <f>HVAC_IOs!F119</f>
        <v/>
      </c>
      <c r="D100" s="274">
        <f>HVAC_IOs!F120</f>
        <v/>
      </c>
      <c r="E100" s="274">
        <f>HVAC_IOs!F121</f>
        <v/>
      </c>
    </row>
    <row r="101">
      <c r="B101" s="295" t="inlineStr">
        <is>
          <t xml:space="preserve">TARGET CAR </t>
        </is>
      </c>
      <c r="C101" s="296" t="n"/>
      <c r="D101" s="296" t="n"/>
      <c r="E101" s="296" t="n"/>
    </row>
    <row r="103">
      <c r="B103" s="295" t="inlineStr">
        <is>
          <t>HVAC Reset</t>
        </is>
      </c>
      <c r="C103" s="274">
        <f>HVAC_IOs!F122</f>
        <v/>
      </c>
    </row>
    <row r="105">
      <c r="B105" s="295" t="inlineStr">
        <is>
          <t>ISOLATE</t>
        </is>
      </c>
      <c r="C105" s="274">
        <f>HVAC_IOs!F123</f>
        <v/>
      </c>
    </row>
    <row r="107">
      <c r="B107" s="295" t="inlineStr">
        <is>
          <t>ISOLATE RESET</t>
        </is>
      </c>
      <c r="C107" s="274">
        <f>HVAC_IOs!F124</f>
        <v/>
      </c>
    </row>
    <row r="119">
      <c r="A119" s="275" t="n"/>
      <c r="B119" s="275" t="n"/>
      <c r="I119" s="275" t="n"/>
    </row>
    <row r="120">
      <c r="A120" s="275" t="n"/>
      <c r="B120" s="275" t="n"/>
      <c r="I120" s="275" t="n"/>
    </row>
    <row r="121">
      <c r="A121" s="275" t="n"/>
      <c r="B121" s="275" t="n"/>
      <c r="I121" s="275" t="n"/>
    </row>
    <row r="122">
      <c r="A122" s="275" t="n"/>
      <c r="B122" s="275" t="n"/>
      <c r="I122" s="275" t="n"/>
    </row>
    <row r="123">
      <c r="A123" s="275" t="n"/>
      <c r="B123" s="275" t="n"/>
      <c r="I123" s="275" t="n"/>
    </row>
    <row r="124">
      <c r="A124" s="275" t="n"/>
      <c r="B124" s="275" t="n"/>
      <c r="I124" s="275" t="n"/>
    </row>
    <row r="125">
      <c r="A125" s="275" t="n"/>
      <c r="B125" s="275" t="n"/>
      <c r="I125" s="275" t="n"/>
    </row>
    <row r="126">
      <c r="A126" s="275" t="n"/>
      <c r="B126" s="275" t="n"/>
      <c r="I126" s="275" t="n"/>
    </row>
    <row r="127">
      <c r="A127" s="275" t="n"/>
      <c r="B127" s="275" t="n"/>
      <c r="I127" s="275" t="n"/>
    </row>
    <row r="128">
      <c r="A128" s="275" t="n"/>
      <c r="B128" s="275" t="n"/>
      <c r="I128" s="275" t="n"/>
    </row>
    <row r="129">
      <c r="A129" s="275" t="n"/>
      <c r="B129" s="275" t="n"/>
      <c r="I129" s="275" t="n"/>
    </row>
    <row r="130">
      <c r="A130" s="275" t="n"/>
      <c r="B130" s="275" t="n"/>
      <c r="I130" s="275" t="n"/>
    </row>
  </sheetData>
  <mergeCells count="23">
    <mergeCell ref="B27:B28"/>
    <mergeCell ref="G2:H2"/>
    <mergeCell ref="C85:C86"/>
    <mergeCell ref="A50:I50"/>
    <mergeCell ref="B39:B40"/>
    <mergeCell ref="B57:B58"/>
    <mergeCell ref="A71:I71"/>
    <mergeCell ref="B78:B79"/>
    <mergeCell ref="A91:I91"/>
    <mergeCell ref="B24:B25"/>
    <mergeCell ref="B53:B54"/>
    <mergeCell ref="C2:D2"/>
    <mergeCell ref="B36:B37"/>
    <mergeCell ref="E2:F2"/>
    <mergeCell ref="B74:B75"/>
    <mergeCell ref="B33:B34"/>
    <mergeCell ref="B30:B31"/>
    <mergeCell ref="A15:I15"/>
    <mergeCell ref="B61:B65"/>
    <mergeCell ref="A1:I1"/>
    <mergeCell ref="B85:B86"/>
    <mergeCell ref="B81:B82"/>
    <mergeCell ref="B21:B2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6" sqref="Q6"/>
    </sheetView>
  </sheetViews>
  <sheetFormatPr baseColWidth="8" defaultRowHeight="15"/>
  <cols>
    <col width="9.140625" customWidth="1" min="18" max="18"/>
  </cols>
  <sheetData/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O107"/>
  <sheetViews>
    <sheetView topLeftCell="A12" workbookViewId="0">
      <selection activeCell="F38" sqref="F38"/>
    </sheetView>
  </sheetViews>
  <sheetFormatPr baseColWidth="8" defaultRowHeight="15"/>
  <cols>
    <col width="31.28515625" customWidth="1" min="1" max="1"/>
    <col width="24.42578125" customWidth="1" min="2" max="2"/>
    <col width="24.28515625" customWidth="1" min="3" max="3"/>
    <col width="19.42578125" customWidth="1" min="4" max="4"/>
    <col width="16.85546875" customWidth="1" min="5" max="5"/>
    <col width="18" customWidth="1" min="6" max="6"/>
    <col width="14.85546875" customWidth="1" min="7" max="7"/>
    <col width="19.5703125" customWidth="1" style="2" min="8" max="8"/>
    <col width="12.28515625" customWidth="1" style="2" min="9" max="9"/>
    <col width="13.42578125" customWidth="1" min="10" max="10"/>
    <col width="16.42578125" customWidth="1" min="11" max="11"/>
    <col width="19.140625" customWidth="1" min="12" max="12"/>
    <col width="19.28515625" customWidth="1" min="13" max="13"/>
    <col width="11" customWidth="1" min="14" max="14"/>
    <col width="12.5703125" customWidth="1" min="15" max="15"/>
  </cols>
  <sheetData>
    <row r="1" ht="15.75" customHeight="1" thickBot="1"/>
    <row r="2" ht="17.25" customHeight="1" thickBot="1">
      <c r="A2" s="49" t="inlineStr">
        <is>
          <t xml:space="preserve">CAR </t>
        </is>
      </c>
      <c r="B2" s="775" t="inlineStr">
        <is>
          <t xml:space="preserve">UNIT </t>
        </is>
      </c>
      <c r="C2" s="775" t="inlineStr">
        <is>
          <t xml:space="preserve">ALL MODE </t>
        </is>
      </c>
      <c r="D2" s="794" t="n"/>
      <c r="E2" s="794" t="n"/>
      <c r="F2" s="794" t="n"/>
      <c r="G2" s="794" t="n"/>
      <c r="H2" s="794" t="n"/>
      <c r="I2" s="794" t="n"/>
      <c r="J2" s="794" t="n"/>
      <c r="K2" s="794" t="n"/>
      <c r="L2" s="794" t="n"/>
      <c r="M2" s="802" t="n"/>
    </row>
    <row r="3" ht="15.75" customHeight="1" thickBot="1">
      <c r="L3" s="45" t="n"/>
    </row>
    <row r="4" ht="15.75" customHeight="1" thickBot="1">
      <c r="A4" s="779" t="inlineStr">
        <is>
          <t xml:space="preserve">DMA </t>
        </is>
      </c>
      <c r="B4" s="51" t="inlineStr">
        <is>
          <t>HVAC 1</t>
        </is>
      </c>
      <c r="C4" s="52" t="inlineStr">
        <is>
          <t>Unknown</t>
        </is>
      </c>
      <c r="D4" s="52" t="inlineStr">
        <is>
          <t>Isolation</t>
        </is>
      </c>
      <c r="E4" s="52" t="inlineStr">
        <is>
          <t>Faulty</t>
        </is>
      </c>
      <c r="F4" s="52" t="inlineStr">
        <is>
          <t>Degraded</t>
        </is>
      </c>
      <c r="G4" s="52" t="inlineStr">
        <is>
          <t>Warning</t>
        </is>
      </c>
      <c r="H4" s="52" t="inlineStr">
        <is>
          <t>Emergency</t>
        </is>
      </c>
      <c r="I4" s="52" t="inlineStr">
        <is>
          <t>Cooling</t>
        </is>
      </c>
      <c r="J4" s="52" t="inlineStr">
        <is>
          <t>Heating</t>
        </is>
      </c>
      <c r="K4" s="52" t="inlineStr">
        <is>
          <t>Ventilation</t>
        </is>
      </c>
      <c r="L4" s="52" t="inlineStr">
        <is>
          <t>Off</t>
        </is>
      </c>
      <c r="M4" s="53" t="inlineStr">
        <is>
          <t>On</t>
        </is>
      </c>
    </row>
    <row r="5" ht="15.75" customHeight="1" thickBot="1">
      <c r="A5" s="840" t="n"/>
      <c r="B5" s="47">
        <f>IF(C5=1,1,IF(D5=1,2,IF(E5=1,3,IF(F5=1,4,IF(G5=1,5,IF(H5=1,6,IF(I5=1,7,IF(J5=1,8,IF(K5=1,9,IF(L5=1,10,IF(M5=1,11,0)))))))))))</f>
        <v/>
      </c>
      <c r="C5" s="418" t="n">
        <v>0</v>
      </c>
      <c r="D5" s="418" t="n">
        <v>0</v>
      </c>
      <c r="E5" s="418" t="n">
        <v>0</v>
      </c>
      <c r="F5" s="418" t="n">
        <v>0</v>
      </c>
      <c r="G5" s="418" t="n">
        <v>0</v>
      </c>
      <c r="H5" s="414">
        <f>IF(OR('Mode Logic'!J13:J15),1,0)</f>
        <v/>
      </c>
      <c r="I5" s="414">
        <f>IF(OR('Mode Logic'!J6:J10),1,0)</f>
        <v/>
      </c>
      <c r="J5" s="414">
        <f>'Mode Logic'!J12</f>
        <v/>
      </c>
      <c r="K5" s="414">
        <f>'Mode Logic'!J11</f>
        <v/>
      </c>
      <c r="L5" s="414">
        <f>IF(NOT(M5),1,0)</f>
        <v/>
      </c>
      <c r="M5" s="419">
        <f>'LFD New'!D2</f>
        <v/>
      </c>
    </row>
    <row r="6">
      <c r="A6" s="840" t="n"/>
      <c r="M6" s="54" t="n"/>
    </row>
    <row r="7" ht="15.75" customHeight="1" thickBot="1">
      <c r="A7" s="840" t="n"/>
      <c r="B7" s="55" t="inlineStr">
        <is>
          <t>HVAC 2</t>
        </is>
      </c>
      <c r="C7" s="46" t="inlineStr">
        <is>
          <t>Unknown</t>
        </is>
      </c>
      <c r="D7" s="46" t="inlineStr">
        <is>
          <t>Isolation</t>
        </is>
      </c>
      <c r="E7" s="46" t="inlineStr">
        <is>
          <t>Faulty</t>
        </is>
      </c>
      <c r="F7" s="46" t="inlineStr">
        <is>
          <t>Degraded</t>
        </is>
      </c>
      <c r="G7" s="46" t="inlineStr">
        <is>
          <t>Warning</t>
        </is>
      </c>
      <c r="H7" s="46" t="inlineStr">
        <is>
          <t>Emergency</t>
        </is>
      </c>
      <c r="I7" s="46" t="inlineStr">
        <is>
          <t>Cooling</t>
        </is>
      </c>
      <c r="J7" s="46" t="inlineStr">
        <is>
          <t>Heating</t>
        </is>
      </c>
      <c r="K7" s="46" t="inlineStr">
        <is>
          <t>Ventilation</t>
        </is>
      </c>
      <c r="L7" s="46" t="inlineStr">
        <is>
          <t>Off</t>
        </is>
      </c>
      <c r="M7" s="56" t="inlineStr">
        <is>
          <t>On</t>
        </is>
      </c>
    </row>
    <row r="8" ht="15.75" customHeight="1" thickBot="1">
      <c r="A8" s="834" t="n"/>
      <c r="B8" s="47">
        <f>IF(C8=1,1,IF(D8=1,2,IF(E8=1,3,IF(F8=1,4,IF(G8=1,5,IF(H8=1,6,IF(I8=1,7,IF(J8=1,8,IF(K8=1,9,IF(L8=1,10,IF(M8=1,11,0)))))))))))</f>
        <v/>
      </c>
      <c r="C8" s="421" t="n">
        <v>0</v>
      </c>
      <c r="D8" s="421" t="n">
        <v>0</v>
      </c>
      <c r="E8" s="421" t="n">
        <v>0</v>
      </c>
      <c r="F8" s="421" t="n">
        <v>0</v>
      </c>
      <c r="G8" s="421" t="n">
        <v>0</v>
      </c>
      <c r="H8" s="415">
        <f>IF(OR('Mode Logic'!J13:J15),1,0)</f>
        <v/>
      </c>
      <c r="I8" s="414">
        <f>IF(OR('Mode Logic'!J6:J10),1,0)</f>
        <v/>
      </c>
      <c r="J8" s="414">
        <f>'Mode Logic'!J12</f>
        <v/>
      </c>
      <c r="K8" s="414">
        <f>'Mode Logic'!J11</f>
        <v/>
      </c>
      <c r="L8" s="415">
        <f>IF(NOT(M8),1,0)</f>
        <v/>
      </c>
      <c r="M8" s="420">
        <f>'LFD New'!D3</f>
        <v/>
      </c>
    </row>
    <row r="10" ht="15.75" customHeight="1" thickBot="1"/>
    <row r="11" ht="15.75" customHeight="1" thickBot="1">
      <c r="A11" s="779" t="inlineStr">
        <is>
          <t>TCA</t>
        </is>
      </c>
      <c r="B11" s="51" t="inlineStr">
        <is>
          <t>HVAC 1</t>
        </is>
      </c>
      <c r="C11" s="52" t="inlineStr">
        <is>
          <t>Unknown</t>
        </is>
      </c>
      <c r="D11" s="52" t="inlineStr">
        <is>
          <t>Isolation</t>
        </is>
      </c>
      <c r="E11" s="52" t="inlineStr">
        <is>
          <t>Faulty</t>
        </is>
      </c>
      <c r="F11" s="52" t="inlineStr">
        <is>
          <t>Degraded</t>
        </is>
      </c>
      <c r="G11" s="52" t="inlineStr">
        <is>
          <t>Warning</t>
        </is>
      </c>
      <c r="H11" s="52" t="inlineStr">
        <is>
          <t>Emergency</t>
        </is>
      </c>
      <c r="I11" s="52" t="inlineStr">
        <is>
          <t>Cooling</t>
        </is>
      </c>
      <c r="J11" s="52" t="inlineStr">
        <is>
          <t>Heating</t>
        </is>
      </c>
      <c r="K11" s="52" t="inlineStr">
        <is>
          <t>Ventilation</t>
        </is>
      </c>
      <c r="L11" s="52" t="inlineStr">
        <is>
          <t>Off</t>
        </is>
      </c>
      <c r="M11" s="53" t="inlineStr">
        <is>
          <t>On</t>
        </is>
      </c>
    </row>
    <row r="12" ht="15.75" customHeight="1" thickBot="1">
      <c r="A12" s="840" t="n"/>
      <c r="B12" s="47">
        <f>IF(C12=1,1,IF(D12=1,2,IF(E12=1,3,IF(F12=1,4,IF(G12=1,5,IF(H12=1,6,IF(I12=1,7,IF(J12=1,8,IF(K12=1,9,IF(L12=1,10,IF(M12=1,11,0)))))))))))</f>
        <v/>
      </c>
      <c r="C12" s="418" t="n">
        <v>0</v>
      </c>
      <c r="D12" s="418" t="n">
        <v>0</v>
      </c>
      <c r="E12" s="418" t="n">
        <v>0</v>
      </c>
      <c r="F12" s="418" t="n">
        <v>0</v>
      </c>
      <c r="G12" s="418" t="n">
        <v>0</v>
      </c>
      <c r="H12" s="414">
        <f>IF(OR('Mode Logic'!J13:J15),1,0)</f>
        <v/>
      </c>
      <c r="I12" s="414">
        <f>IF(OR('Mode Logic'!J6:J10),1,0)</f>
        <v/>
      </c>
      <c r="J12" s="414">
        <f>'Mode Logic'!J12</f>
        <v/>
      </c>
      <c r="K12" s="414">
        <f>'Mode Logic'!J11</f>
        <v/>
      </c>
      <c r="L12" s="414">
        <f>IF(NOT(M12),1,0)</f>
        <v/>
      </c>
      <c r="M12" s="419">
        <f>'LFD New'!D2</f>
        <v/>
      </c>
    </row>
    <row r="13">
      <c r="A13" s="840" t="n"/>
      <c r="M13" s="54" t="n"/>
    </row>
    <row r="14" ht="15.75" customHeight="1" thickBot="1">
      <c r="A14" s="840" t="n"/>
      <c r="B14" s="55" t="inlineStr">
        <is>
          <t>HVAC 2</t>
        </is>
      </c>
      <c r="C14" s="46" t="inlineStr">
        <is>
          <t>Unknown</t>
        </is>
      </c>
      <c r="D14" s="46" t="inlineStr">
        <is>
          <t>Isolation</t>
        </is>
      </c>
      <c r="E14" s="46" t="inlineStr">
        <is>
          <t>Faulty</t>
        </is>
      </c>
      <c r="F14" s="46" t="inlineStr">
        <is>
          <t>Degraded</t>
        </is>
      </c>
      <c r="G14" s="46" t="inlineStr">
        <is>
          <t>Warning</t>
        </is>
      </c>
      <c r="H14" s="46" t="inlineStr">
        <is>
          <t>Emergency</t>
        </is>
      </c>
      <c r="I14" s="46" t="inlineStr">
        <is>
          <t>Cooling</t>
        </is>
      </c>
      <c r="J14" s="46" t="inlineStr">
        <is>
          <t>Heating</t>
        </is>
      </c>
      <c r="K14" s="46" t="inlineStr">
        <is>
          <t>Ventilation</t>
        </is>
      </c>
      <c r="L14" s="46" t="inlineStr">
        <is>
          <t>Off</t>
        </is>
      </c>
      <c r="M14" s="56" t="inlineStr">
        <is>
          <t>On</t>
        </is>
      </c>
    </row>
    <row r="15" ht="15.75" customHeight="1" thickBot="1">
      <c r="A15" s="834" t="n"/>
      <c r="B15" s="47">
        <f>IF(C15=1,1,IF(D15=1,2,IF(E15=1,3,IF(F15=1,4,IF(G15=1,5,IF(H15=1,6,IF(I15=1,7,IF(J15=1,8,IF(K15=1,9,IF(L15=1,10,IF(M15=1,11,0)))))))))))</f>
        <v/>
      </c>
      <c r="C15" s="421" t="n">
        <v>0</v>
      </c>
      <c r="D15" s="421" t="n">
        <v>0</v>
      </c>
      <c r="E15" s="421" t="n">
        <v>0</v>
      </c>
      <c r="F15" s="421" t="n">
        <v>0</v>
      </c>
      <c r="G15" s="421" t="n">
        <v>0</v>
      </c>
      <c r="H15" s="415">
        <f>IF(OR('Mode Logic'!J13:J15),1,0)</f>
        <v/>
      </c>
      <c r="I15" s="415">
        <f>IF(OR('Mode Logic'!J6:J10),1,0)</f>
        <v/>
      </c>
      <c r="J15" s="415">
        <f>'Mode Logic'!J12</f>
        <v/>
      </c>
      <c r="K15" s="415">
        <f>'Mode Logic'!J11</f>
        <v/>
      </c>
      <c r="L15" s="415">
        <f>IF(NOT(M15),1,0)</f>
        <v/>
      </c>
      <c r="M15" s="420">
        <f>'LFD New'!D3</f>
        <v/>
      </c>
    </row>
    <row r="17" ht="15.75" customHeight="1" thickBot="1"/>
    <row r="18" ht="15.75" customHeight="1" thickBot="1">
      <c r="A18" s="779" t="inlineStr">
        <is>
          <t>DMB</t>
        </is>
      </c>
      <c r="B18" s="51" t="inlineStr">
        <is>
          <t>HVAC 1</t>
        </is>
      </c>
      <c r="C18" s="52" t="inlineStr">
        <is>
          <t>Unknown</t>
        </is>
      </c>
      <c r="D18" s="52" t="inlineStr">
        <is>
          <t>Isolation</t>
        </is>
      </c>
      <c r="E18" s="52" t="inlineStr">
        <is>
          <t>Faulty</t>
        </is>
      </c>
      <c r="F18" s="52" t="inlineStr">
        <is>
          <t>Degraded</t>
        </is>
      </c>
      <c r="G18" s="52" t="inlineStr">
        <is>
          <t>Warning</t>
        </is>
      </c>
      <c r="H18" s="52" t="inlineStr">
        <is>
          <t>Emergency</t>
        </is>
      </c>
      <c r="I18" s="52" t="inlineStr">
        <is>
          <t>Cooling</t>
        </is>
      </c>
      <c r="J18" s="52" t="inlineStr">
        <is>
          <t>Heating</t>
        </is>
      </c>
      <c r="K18" s="52" t="inlineStr">
        <is>
          <t>Ventilation</t>
        </is>
      </c>
      <c r="L18" s="52" t="inlineStr">
        <is>
          <t>Off</t>
        </is>
      </c>
      <c r="M18" s="53" t="inlineStr">
        <is>
          <t>On</t>
        </is>
      </c>
    </row>
    <row r="19" ht="15.75" customHeight="1" thickBot="1">
      <c r="A19" s="840" t="n"/>
      <c r="B19" s="47">
        <f>IF(C19=1,1,IF(D19=1,2,IF(E19=1,3,IF(F19=1,4,IF(G19=1,5,IF(H19=1,6,IF(I19=1,7,IF(J19=1,8,IF(K19=1,9,IF(L19=1,10,IF(M19=1,11,0)))))))))))</f>
        <v/>
      </c>
      <c r="C19" s="418" t="n">
        <v>0</v>
      </c>
      <c r="D19" s="418" t="n">
        <v>0</v>
      </c>
      <c r="E19" s="418" t="n">
        <v>0</v>
      </c>
      <c r="F19" s="418" t="n">
        <v>0</v>
      </c>
      <c r="G19" s="418" t="n">
        <v>0</v>
      </c>
      <c r="H19" s="414">
        <f>IF(OR('Mode Logic'!J13:J15),1,0)</f>
        <v/>
      </c>
      <c r="I19" s="414">
        <f>IF(OR('Mode Logic'!J6:J10),1,0)</f>
        <v/>
      </c>
      <c r="J19" s="414">
        <f>'Mode Logic'!J12</f>
        <v/>
      </c>
      <c r="K19" s="414">
        <f>'Mode Logic'!J11</f>
        <v/>
      </c>
      <c r="L19" s="414">
        <f>IF(NOT(M19),1,0)</f>
        <v/>
      </c>
      <c r="M19" s="419">
        <f>'LFD New'!D2</f>
        <v/>
      </c>
    </row>
    <row r="20">
      <c r="A20" s="840" t="n"/>
      <c r="M20" s="54" t="n"/>
    </row>
    <row r="21" ht="15.75" customHeight="1" thickBot="1">
      <c r="A21" s="840" t="n"/>
      <c r="B21" s="55" t="inlineStr">
        <is>
          <t>HVAC 2</t>
        </is>
      </c>
      <c r="C21" s="46" t="inlineStr">
        <is>
          <t>Unknown</t>
        </is>
      </c>
      <c r="D21" s="46" t="inlineStr">
        <is>
          <t>Isolation</t>
        </is>
      </c>
      <c r="E21" s="46" t="inlineStr">
        <is>
          <t>Faulty</t>
        </is>
      </c>
      <c r="F21" s="46" t="inlineStr">
        <is>
          <t>Degraded</t>
        </is>
      </c>
      <c r="G21" s="46" t="inlineStr">
        <is>
          <t>Warning</t>
        </is>
      </c>
      <c r="H21" s="46" t="inlineStr">
        <is>
          <t>Emergency</t>
        </is>
      </c>
      <c r="I21" s="46" t="inlineStr">
        <is>
          <t>Cooling</t>
        </is>
      </c>
      <c r="J21" s="46" t="inlineStr">
        <is>
          <t>Heating</t>
        </is>
      </c>
      <c r="K21" s="46" t="inlineStr">
        <is>
          <t>Ventilation</t>
        </is>
      </c>
      <c r="L21" s="46" t="inlineStr">
        <is>
          <t>Off</t>
        </is>
      </c>
      <c r="M21" s="56" t="inlineStr">
        <is>
          <t>On</t>
        </is>
      </c>
    </row>
    <row r="22" ht="15.75" customHeight="1" thickBot="1">
      <c r="A22" s="834" t="n"/>
      <c r="B22" s="47">
        <f>IF(C22=1,1,IF(D22=1,2,IF(E22=1,3,IF(F22=1,4,IF(G22=1,5,IF(H22=1,6,IF(I22=1,7,IF(J22=1,8,IF(K22=1,9,IF(L22=1,10,IF(M22=1,11,0)))))))))))</f>
        <v/>
      </c>
      <c r="C22" s="421" t="n">
        <v>0</v>
      </c>
      <c r="D22" s="421" t="n">
        <v>0</v>
      </c>
      <c r="E22" s="421" t="n">
        <v>0</v>
      </c>
      <c r="F22" s="421" t="n">
        <v>0</v>
      </c>
      <c r="G22" s="421" t="n">
        <v>0</v>
      </c>
      <c r="H22" s="415">
        <f>IF(OR('Mode Logic'!J13:J15),1,0)</f>
        <v/>
      </c>
      <c r="I22" s="415">
        <f>IF(OR('Mode Logic'!J6:J10),1,0)</f>
        <v/>
      </c>
      <c r="J22" s="415">
        <f>'Mode Logic'!J12</f>
        <v/>
      </c>
      <c r="K22" s="415">
        <f>'Mode Logic'!J11</f>
        <v/>
      </c>
      <c r="L22" s="415">
        <f>IF(NOT(M22),1,0)</f>
        <v/>
      </c>
      <c r="M22" s="420">
        <f>'LFD New'!D3</f>
        <v/>
      </c>
    </row>
    <row r="25" ht="15.75" customHeight="1" thickBot="1">
      <c r="C25" s="45" t="n"/>
      <c r="D25" s="45" t="n"/>
      <c r="E25" s="45" t="n"/>
    </row>
    <row r="26">
      <c r="A26" s="779" t="inlineStr">
        <is>
          <t>DM A</t>
        </is>
      </c>
      <c r="B26" s="777" t="inlineStr">
        <is>
          <t xml:space="preserve">HVAC UNIT 1 </t>
        </is>
      </c>
      <c r="C26" s="52" t="inlineStr">
        <is>
          <t>Current Temp</t>
        </is>
      </c>
      <c r="D26" s="52" t="inlineStr">
        <is>
          <t>Target Temp</t>
        </is>
      </c>
      <c r="E26" s="412" t="inlineStr">
        <is>
          <t>Damper</t>
        </is>
      </c>
      <c r="F26" s="6" t="n">
        <v>1</v>
      </c>
      <c r="G26" s="778" t="inlineStr">
        <is>
          <t>OPEN</t>
        </is>
      </c>
    </row>
    <row r="27" customFormat="1" s="2">
      <c r="A27" s="840" t="n"/>
      <c r="B27" s="168" t="n"/>
      <c r="C27" s="778">
        <f>'DATA TRANSFER'!AE11</f>
        <v/>
      </c>
      <c r="D27" s="778">
        <f>'DATA TRANSFER'!F37</f>
        <v/>
      </c>
      <c r="E27" s="413">
        <f>IF(C27&gt;D27,"OPEN","CLOSED")</f>
        <v/>
      </c>
      <c r="F27" s="2" t="n">
        <v>0</v>
      </c>
      <c r="G27" s="6" t="inlineStr">
        <is>
          <t>CLOSED</t>
        </is>
      </c>
    </row>
    <row r="28" customFormat="1" s="2">
      <c r="A28" s="840" t="n"/>
      <c r="E28" s="54" t="n"/>
    </row>
    <row r="29">
      <c r="A29" s="840" t="n"/>
      <c r="B29" s="778" t="inlineStr">
        <is>
          <t>HVAC UNIT 2</t>
        </is>
      </c>
      <c r="C29" s="46" t="inlineStr">
        <is>
          <t>Current Temp</t>
        </is>
      </c>
      <c r="D29" s="46" t="inlineStr">
        <is>
          <t>Target Temp</t>
        </is>
      </c>
      <c r="E29" s="56" t="inlineStr">
        <is>
          <t>Damper</t>
        </is>
      </c>
    </row>
    <row r="30" ht="15.75" customHeight="1" thickBot="1">
      <c r="A30" s="834" t="n"/>
      <c r="B30" s="168" t="n"/>
      <c r="C30" s="782">
        <f>'DATA TRANSFER'!AE11</f>
        <v/>
      </c>
      <c r="D30" s="782">
        <f>'DATA TRANSFER'!F37</f>
        <v/>
      </c>
      <c r="E30" s="59">
        <f>IF(C27&gt;D27,"OPEN","CLOSED")</f>
        <v/>
      </c>
    </row>
    <row r="32" ht="15.75" customHeight="1" thickBot="1"/>
    <row r="33">
      <c r="A33" s="779" t="inlineStr">
        <is>
          <t>TCA</t>
        </is>
      </c>
      <c r="B33" s="777" t="inlineStr">
        <is>
          <t xml:space="preserve">HVAC UNIT 1 </t>
        </is>
      </c>
      <c r="C33" s="52" t="inlineStr">
        <is>
          <t>Current Temp</t>
        </is>
      </c>
      <c r="D33" s="52" t="inlineStr">
        <is>
          <t>Target Temp</t>
        </is>
      </c>
      <c r="E33" s="53" t="inlineStr">
        <is>
          <t>Damper</t>
        </is>
      </c>
    </row>
    <row r="34">
      <c r="A34" s="840" t="n"/>
      <c r="B34" s="168" t="n"/>
      <c r="C34" s="778">
        <f>'DATA TRANSFER'!AE11</f>
        <v/>
      </c>
      <c r="D34" s="778">
        <f>'DATA TRANSFER'!F37</f>
        <v/>
      </c>
      <c r="E34" s="59">
        <f>IF(C27&gt;D27,"OPEN","CLOSED")</f>
        <v/>
      </c>
    </row>
    <row r="35">
      <c r="A35" s="840" t="n"/>
      <c r="E35" s="54" t="n"/>
    </row>
    <row r="36">
      <c r="A36" s="840" t="n"/>
      <c r="B36" s="778" t="inlineStr">
        <is>
          <t>HVAC UNIT 2</t>
        </is>
      </c>
      <c r="C36" s="46" t="inlineStr">
        <is>
          <t>Current Temp</t>
        </is>
      </c>
      <c r="D36" s="46" t="inlineStr">
        <is>
          <t>Target Temp</t>
        </is>
      </c>
      <c r="E36" s="56" t="inlineStr">
        <is>
          <t>Damper</t>
        </is>
      </c>
    </row>
    <row r="37" ht="15.75" customHeight="1" thickBot="1">
      <c r="A37" s="834" t="n"/>
      <c r="B37" s="168" t="n"/>
      <c r="C37" s="782">
        <f>'DATA TRANSFER'!AE11</f>
        <v/>
      </c>
      <c r="D37" s="782">
        <f>'DATA TRANSFER'!F37</f>
        <v/>
      </c>
      <c r="E37" s="59">
        <f>IF(C27&gt;D27,"OPEN","CLOSED")</f>
        <v/>
      </c>
    </row>
    <row r="38" ht="15.75" customHeight="1" thickBot="1"/>
    <row r="39">
      <c r="A39" s="779" t="inlineStr">
        <is>
          <t>DMB</t>
        </is>
      </c>
      <c r="B39" s="777" t="inlineStr">
        <is>
          <t xml:space="preserve">HVAC UNIT 1 </t>
        </is>
      </c>
      <c r="C39" s="52" t="inlineStr">
        <is>
          <t>Current Temp</t>
        </is>
      </c>
      <c r="D39" s="52" t="inlineStr">
        <is>
          <t>Target Temp</t>
        </is>
      </c>
      <c r="E39" s="53" t="inlineStr">
        <is>
          <t>Damper</t>
        </is>
      </c>
    </row>
    <row r="40">
      <c r="A40" s="840" t="n"/>
      <c r="B40" s="168" t="n"/>
      <c r="C40" s="778">
        <f>'DATA TRANSFER'!AE11</f>
        <v/>
      </c>
      <c r="D40" s="778">
        <f>'DATA TRANSFER'!F37</f>
        <v/>
      </c>
      <c r="E40" s="59">
        <f>IF(C27&gt;D27,"OPEN","CLOSED")</f>
        <v/>
      </c>
    </row>
    <row r="41">
      <c r="A41" s="840" t="n"/>
      <c r="E41" s="54" t="n"/>
    </row>
    <row r="42">
      <c r="A42" s="840" t="n"/>
      <c r="B42" s="778" t="inlineStr">
        <is>
          <t>HVAC UNIT 2</t>
        </is>
      </c>
      <c r="C42" s="46" t="inlineStr">
        <is>
          <t>Current Temp</t>
        </is>
      </c>
      <c r="D42" s="46" t="inlineStr">
        <is>
          <t>Target Temp</t>
        </is>
      </c>
      <c r="E42" s="56" t="inlineStr">
        <is>
          <t>Damper</t>
        </is>
      </c>
    </row>
    <row r="43" ht="15.75" customHeight="1" thickBot="1">
      <c r="A43" s="834" t="n"/>
      <c r="B43" s="168" t="n"/>
      <c r="C43" s="782">
        <f>'DATA TRANSFER'!AE11</f>
        <v/>
      </c>
      <c r="D43" s="782">
        <f>'DATA TRANSFER'!F37</f>
        <v/>
      </c>
      <c r="E43" s="59">
        <f>IF(C27&gt;D27,"OPEN","CLOSED")</f>
        <v/>
      </c>
    </row>
    <row r="45" ht="15.75" customHeight="1" thickBot="1">
      <c r="B45" s="2" t="n"/>
      <c r="C45" s="2" t="n"/>
      <c r="D45" s="2" t="n"/>
      <c r="E45" s="2" t="n"/>
      <c r="F45" s="2" t="n"/>
      <c r="G45" s="2" t="n"/>
    </row>
    <row r="46">
      <c r="A46" s="779" t="inlineStr">
        <is>
          <t>DM A</t>
        </is>
      </c>
      <c r="B46" s="777" t="inlineStr">
        <is>
          <t xml:space="preserve">HVAC UNIT 1 </t>
        </is>
      </c>
      <c r="C46" s="60" t="inlineStr">
        <is>
          <t>Current Mode Status</t>
        </is>
      </c>
      <c r="D46" s="60" t="inlineStr">
        <is>
          <t>Unknown</t>
        </is>
      </c>
      <c r="E46" s="60" t="inlineStr">
        <is>
          <t>Off</t>
        </is>
      </c>
      <c r="F46" s="60" t="inlineStr">
        <is>
          <t>Ventilation</t>
        </is>
      </c>
      <c r="G46" s="60" t="inlineStr">
        <is>
          <t>Emergency</t>
        </is>
      </c>
      <c r="H46" s="60" t="inlineStr">
        <is>
          <t>Cooling</t>
        </is>
      </c>
      <c r="I46" s="60" t="inlineStr">
        <is>
          <t>Heating</t>
        </is>
      </c>
    </row>
    <row r="47">
      <c r="A47" s="840" t="n"/>
      <c r="B47" s="168" t="n"/>
      <c r="C47" s="58">
        <f>IF(D47=1,1,IF(E47=1,2,IF(F47=1,3,IF(G47=1,4,IF(H47=1,5,IF(I47=1,6,0))))))</f>
        <v/>
      </c>
      <c r="D47" s="6" t="n">
        <v>0</v>
      </c>
      <c r="E47" s="6" t="n">
        <v>0</v>
      </c>
      <c r="F47" s="417">
        <f>'Mode Logic'!J11</f>
        <v/>
      </c>
      <c r="G47" s="417">
        <f>IF(OR('Mode Logic'!J13:J15),1,0)</f>
        <v/>
      </c>
      <c r="H47" s="417">
        <f>IF(OR('Mode Logic'!J6:J10),1,0)</f>
        <v/>
      </c>
      <c r="I47" s="417">
        <f>'Mode Logic'!J12</f>
        <v/>
      </c>
    </row>
    <row r="48" ht="30" customHeight="1">
      <c r="A48" s="840" t="n"/>
      <c r="E48" s="2" t="n"/>
      <c r="L48" s="61" t="inlineStr">
        <is>
          <t>Exterior Smoke Status</t>
        </is>
      </c>
      <c r="M48" s="60" t="inlineStr">
        <is>
          <t>Out Smoke mode</t>
        </is>
      </c>
      <c r="N48" s="60" t="inlineStr">
        <is>
          <t>Unknown</t>
        </is>
      </c>
      <c r="O48" s="60" t="inlineStr">
        <is>
          <t>(Blank)</t>
        </is>
      </c>
    </row>
    <row r="49">
      <c r="A49" s="840" t="n"/>
      <c r="B49" s="778" t="inlineStr">
        <is>
          <t>HVAC UNIT 2</t>
        </is>
      </c>
      <c r="C49" s="60" t="inlineStr">
        <is>
          <t>Current Mode Status</t>
        </is>
      </c>
      <c r="D49" s="60" t="inlineStr">
        <is>
          <t>Unknown</t>
        </is>
      </c>
      <c r="E49" s="60" t="inlineStr">
        <is>
          <t>Off</t>
        </is>
      </c>
      <c r="F49" s="60" t="inlineStr">
        <is>
          <t>Ventilation</t>
        </is>
      </c>
      <c r="G49" s="60" t="inlineStr">
        <is>
          <t>Emergency</t>
        </is>
      </c>
      <c r="H49" s="60" t="inlineStr">
        <is>
          <t>Cooling</t>
        </is>
      </c>
      <c r="I49" s="60" t="inlineStr">
        <is>
          <t>Heating</t>
        </is>
      </c>
      <c r="L49" s="58">
        <f t="array" ref="L49">INDEX({"SMOKE","UNKNOWN","BLANK"},MATCH(1,M49:O49,0))</f>
        <v/>
      </c>
      <c r="M49" s="1" t="n">
        <v>0</v>
      </c>
      <c r="N49" s="1" t="n">
        <v>1</v>
      </c>
      <c r="O49" s="1" t="n">
        <v>0</v>
      </c>
    </row>
    <row r="50" ht="15.75" customHeight="1" thickBot="1">
      <c r="A50" s="834" t="n"/>
      <c r="B50" s="168" t="n"/>
      <c r="C50" s="58">
        <f>IF(D50=1,1,IF(E50=1,2,IF(F50=1,3,IF(G50=1,4,IF(H50=1,5,IF(I50=1,6,0))))))</f>
        <v/>
      </c>
      <c r="D50" s="6" t="n">
        <v>0</v>
      </c>
      <c r="E50" s="6" t="n">
        <v>0</v>
      </c>
      <c r="F50" s="417">
        <f>'Mode Logic'!J11</f>
        <v/>
      </c>
      <c r="G50" s="417">
        <f>IF(OR('Mode Logic'!J13:J15),1,0)</f>
        <v/>
      </c>
      <c r="H50" s="417">
        <f>IF(OR('Mode Logic'!J6:J10),1,0)</f>
        <v/>
      </c>
      <c r="I50" s="417">
        <f>'Mode Logic'!J12</f>
        <v/>
      </c>
    </row>
    <row r="51">
      <c r="B51" s="2" t="n"/>
      <c r="C51" s="2" t="n"/>
      <c r="D51" s="2" t="n"/>
    </row>
    <row r="52" ht="15.75" customHeight="1" thickBot="1">
      <c r="B52" s="2" t="n"/>
      <c r="C52" s="2" t="n"/>
      <c r="D52" s="2" t="n"/>
    </row>
    <row r="53">
      <c r="A53" s="779" t="inlineStr">
        <is>
          <t>TCA</t>
        </is>
      </c>
      <c r="B53" s="777" t="inlineStr">
        <is>
          <t xml:space="preserve">HVAC UNIT 1 </t>
        </is>
      </c>
      <c r="C53" s="60" t="inlineStr">
        <is>
          <t>Current Mode Status</t>
        </is>
      </c>
      <c r="D53" s="60" t="inlineStr">
        <is>
          <t>Unknown</t>
        </is>
      </c>
      <c r="E53" s="60" t="inlineStr">
        <is>
          <t>Off</t>
        </is>
      </c>
      <c r="F53" s="60" t="inlineStr">
        <is>
          <t>Ventilation</t>
        </is>
      </c>
      <c r="G53" s="60" t="inlineStr">
        <is>
          <t>Emergency</t>
        </is>
      </c>
      <c r="H53" s="60" t="inlineStr">
        <is>
          <t>Cooling</t>
        </is>
      </c>
      <c r="I53" s="60" t="inlineStr">
        <is>
          <t>Heating</t>
        </is>
      </c>
    </row>
    <row r="54">
      <c r="A54" s="840" t="n"/>
      <c r="B54" s="168" t="n"/>
      <c r="C54" s="58">
        <f>IF(D54=1,1,IF(E54=1,2,IF(F54=1,3,IF(G54=1,4,IF(H54=1,5,IF(I54=1,6,0))))))</f>
        <v/>
      </c>
      <c r="D54" s="6" t="n">
        <v>0</v>
      </c>
      <c r="E54" s="6" t="n">
        <v>0</v>
      </c>
      <c r="F54" s="417">
        <f>'Mode Logic'!J11</f>
        <v/>
      </c>
      <c r="G54" s="417">
        <f>IF(OR('Mode Logic'!J13:J15),1,0)</f>
        <v/>
      </c>
      <c r="H54" s="417">
        <f>IF(OR('Mode Logic'!J6:J10),1,0)</f>
        <v/>
      </c>
      <c r="I54" s="417">
        <f>'Mode Logic'!J12</f>
        <v/>
      </c>
    </row>
    <row r="55">
      <c r="A55" s="840" t="n"/>
    </row>
    <row r="56">
      <c r="A56" s="840" t="n"/>
      <c r="B56" s="778" t="inlineStr">
        <is>
          <t>HVAC UNIT 2</t>
        </is>
      </c>
      <c r="C56" s="60" t="inlineStr">
        <is>
          <t>Current Mode Status</t>
        </is>
      </c>
      <c r="D56" s="60" t="inlineStr">
        <is>
          <t>Unknown</t>
        </is>
      </c>
      <c r="E56" s="60" t="inlineStr">
        <is>
          <t>Off</t>
        </is>
      </c>
      <c r="F56" s="60" t="inlineStr">
        <is>
          <t>Ventilation</t>
        </is>
      </c>
      <c r="G56" s="60" t="inlineStr">
        <is>
          <t>Emergency</t>
        </is>
      </c>
      <c r="H56" s="60" t="inlineStr">
        <is>
          <t>Cooling</t>
        </is>
      </c>
      <c r="I56" s="60" t="inlineStr">
        <is>
          <t>Heating</t>
        </is>
      </c>
    </row>
    <row r="57" ht="15.75" customHeight="1" thickBot="1">
      <c r="A57" s="834" t="n"/>
      <c r="B57" s="168" t="n"/>
      <c r="C57" s="58">
        <f>IF(D57=1,1,IF(E57=1,2,IF(F57=1,3,IF(G57=1,4,IF(H57=1,5,IF(I57=1,6,0))))))</f>
        <v/>
      </c>
      <c r="D57" s="6" t="n">
        <v>0</v>
      </c>
      <c r="E57" s="6" t="n">
        <v>0</v>
      </c>
      <c r="F57" s="417">
        <f>'Mode Logic'!J11</f>
        <v/>
      </c>
      <c r="G57" s="417">
        <f>IF(OR('Mode Logic'!J13:J15),1,0)</f>
        <v/>
      </c>
      <c r="H57" s="417">
        <f>IF(OR('Mode Logic'!J6:J10),1,0)</f>
        <v/>
      </c>
      <c r="I57" s="417">
        <f>'Mode Logic'!J12</f>
        <v/>
      </c>
    </row>
    <row r="58" ht="15.75" customHeight="1" thickBot="1"/>
    <row r="59">
      <c r="A59" s="779" t="inlineStr">
        <is>
          <t>DMB</t>
        </is>
      </c>
      <c r="B59" s="777" t="inlineStr">
        <is>
          <t xml:space="preserve">HVAC UNIT 1 </t>
        </is>
      </c>
      <c r="C59" s="60" t="inlineStr">
        <is>
          <t>Current Mode Status</t>
        </is>
      </c>
      <c r="D59" s="60" t="inlineStr">
        <is>
          <t>Unknown</t>
        </is>
      </c>
      <c r="E59" s="60" t="inlineStr">
        <is>
          <t>Off</t>
        </is>
      </c>
      <c r="F59" s="60" t="inlineStr">
        <is>
          <t>Ventilation</t>
        </is>
      </c>
      <c r="G59" s="60" t="inlineStr">
        <is>
          <t>Emergency</t>
        </is>
      </c>
      <c r="H59" s="60" t="inlineStr">
        <is>
          <t>Cooling</t>
        </is>
      </c>
      <c r="I59" s="60" t="inlineStr">
        <is>
          <t>Heating</t>
        </is>
      </c>
    </row>
    <row r="60">
      <c r="A60" s="840" t="n"/>
      <c r="B60" s="168" t="n"/>
      <c r="C60" s="58">
        <f>IF(D60=1,1,IF(E60=1,2,IF(F60=1,3,IF(G60=1,4,IF(H60=1,5,IF(I60=1,6,0))))))</f>
        <v/>
      </c>
      <c r="D60" s="6" t="n">
        <v>0</v>
      </c>
      <c r="E60" s="6" t="n">
        <v>0</v>
      </c>
      <c r="F60" s="417">
        <f>'Mode Logic'!J11</f>
        <v/>
      </c>
      <c r="G60" s="417">
        <f>IF(OR('Mode Logic'!J13:J15),1,0)</f>
        <v/>
      </c>
      <c r="H60" s="417">
        <f>IF(OR('Mode Logic'!J6:J10),1,0)</f>
        <v/>
      </c>
      <c r="I60" s="417">
        <f>'Mode Logic'!J12</f>
        <v/>
      </c>
    </row>
    <row r="61">
      <c r="A61" s="840" t="n"/>
    </row>
    <row r="62">
      <c r="A62" s="840" t="n"/>
      <c r="B62" s="778" t="inlineStr">
        <is>
          <t>HVAC UNIT 2</t>
        </is>
      </c>
      <c r="C62" s="60" t="inlineStr">
        <is>
          <t>Current Mode Status</t>
        </is>
      </c>
      <c r="D62" s="60" t="inlineStr">
        <is>
          <t>Unknown</t>
        </is>
      </c>
      <c r="E62" s="60" t="inlineStr">
        <is>
          <t>Off</t>
        </is>
      </c>
      <c r="F62" s="60" t="inlineStr">
        <is>
          <t>Ventilation</t>
        </is>
      </c>
      <c r="G62" s="60" t="inlineStr">
        <is>
          <t>Emergency</t>
        </is>
      </c>
      <c r="H62" s="60" t="inlineStr">
        <is>
          <t>Cooling</t>
        </is>
      </c>
      <c r="I62" s="60" t="inlineStr">
        <is>
          <t>Heating</t>
        </is>
      </c>
    </row>
    <row r="63" ht="15.75" customHeight="1" thickBot="1">
      <c r="A63" s="834" t="n"/>
      <c r="B63" s="168" t="n"/>
      <c r="C63" s="58">
        <f>IF(D63=1,1,IF(E63=1,2,IF(F63=1,3,IF(G63=1,4,IF(H63=1,5,IF(I63=1,6,0))))))</f>
        <v/>
      </c>
      <c r="D63" s="6" t="n">
        <v>0</v>
      </c>
      <c r="E63" s="6" t="n">
        <v>0</v>
      </c>
      <c r="F63" s="417">
        <f>'Mode Logic'!J11</f>
        <v/>
      </c>
      <c r="G63" s="417">
        <f>IF(OR('Mode Logic'!J13:J15),1,0)</f>
        <v/>
      </c>
      <c r="H63" s="417">
        <f>IF(OR('Mode Logic'!J6:J10),1,0)</f>
        <v/>
      </c>
      <c r="I63" s="417">
        <f>'Mode Logic'!J12</f>
        <v/>
      </c>
    </row>
    <row r="65" ht="15.75" customHeight="1" thickBot="1"/>
    <row r="66">
      <c r="A66" s="779" t="inlineStr">
        <is>
          <t>DM A</t>
        </is>
      </c>
      <c r="B66" s="777" t="inlineStr">
        <is>
          <t xml:space="preserve">HVAC UNIT 1 </t>
        </is>
      </c>
      <c r="C66" s="61" t="inlineStr">
        <is>
          <t>Exterior Smoke Status</t>
        </is>
      </c>
      <c r="D66" s="60" t="inlineStr">
        <is>
          <t>Out Smoke mode</t>
        </is>
      </c>
      <c r="E66" s="60" t="inlineStr">
        <is>
          <t>Unknown</t>
        </is>
      </c>
      <c r="F66" s="60" t="inlineStr">
        <is>
          <t>(Blank)</t>
        </is>
      </c>
    </row>
    <row r="67">
      <c r="A67" s="840" t="n"/>
      <c r="B67" s="168" t="n"/>
      <c r="C67" s="58">
        <f>IF(D67=1,1,IF(E67=1,2,IF(F67=1,3,0)))</f>
        <v/>
      </c>
      <c r="D67" s="416">
        <f>'Mode Logic'!J14</f>
        <v/>
      </c>
      <c r="E67" s="1" t="n">
        <v>1</v>
      </c>
      <c r="F67" s="1" t="n">
        <v>0</v>
      </c>
    </row>
    <row r="68">
      <c r="A68" s="840" t="n"/>
    </row>
    <row r="69">
      <c r="A69" s="840" t="n"/>
      <c r="B69" s="778" t="inlineStr">
        <is>
          <t>HVAC UNIT 2</t>
        </is>
      </c>
      <c r="C69" s="61" t="inlineStr">
        <is>
          <t>Exterior Smoke Status</t>
        </is>
      </c>
      <c r="D69" s="60" t="inlineStr">
        <is>
          <t>Out Smoke mode</t>
        </is>
      </c>
      <c r="E69" s="60" t="inlineStr">
        <is>
          <t>Unknown</t>
        </is>
      </c>
      <c r="F69" s="60" t="inlineStr">
        <is>
          <t>(Blank)</t>
        </is>
      </c>
    </row>
    <row r="70" ht="15.75" customHeight="1" thickBot="1">
      <c r="A70" s="834" t="n"/>
      <c r="B70" s="168" t="n"/>
      <c r="C70" s="58">
        <f>IF(D70=1,1,IF(E70=1,2,IF(F70=1,3,0)))</f>
        <v/>
      </c>
      <c r="D70" s="416">
        <f>'Mode Logic'!J14</f>
        <v/>
      </c>
      <c r="E70" s="1" t="n">
        <v>0</v>
      </c>
      <c r="F70" s="1" t="n">
        <v>1</v>
      </c>
    </row>
    <row r="71">
      <c r="B71" s="2" t="n"/>
    </row>
    <row r="72" ht="15.75" customHeight="1" thickBot="1">
      <c r="B72" s="2" t="n"/>
    </row>
    <row r="73">
      <c r="A73" s="779" t="inlineStr">
        <is>
          <t>TCA</t>
        </is>
      </c>
      <c r="B73" s="777" t="inlineStr">
        <is>
          <t xml:space="preserve">HVAC UNIT 1 </t>
        </is>
      </c>
      <c r="C73" s="61" t="inlineStr">
        <is>
          <t>Exterior Smoke Status</t>
        </is>
      </c>
      <c r="D73" s="60" t="inlineStr">
        <is>
          <t>Out Smoke mode</t>
        </is>
      </c>
      <c r="E73" s="60" t="inlineStr">
        <is>
          <t>Unknown</t>
        </is>
      </c>
      <c r="F73" s="60" t="inlineStr">
        <is>
          <t>(Blank)</t>
        </is>
      </c>
    </row>
    <row r="74">
      <c r="A74" s="840" t="n"/>
      <c r="B74" s="168" t="n"/>
      <c r="C74" s="58">
        <f>IF(D74=1,1,IF(E74=1,2,IF(F74=1,3,0)))</f>
        <v/>
      </c>
      <c r="D74" s="416">
        <f>'Mode Logic'!J14</f>
        <v/>
      </c>
      <c r="E74" s="1" t="n">
        <v>0</v>
      </c>
      <c r="F74" s="1" t="n">
        <v>1</v>
      </c>
    </row>
    <row r="75">
      <c r="A75" s="840" t="n"/>
    </row>
    <row r="76">
      <c r="A76" s="840" t="n"/>
      <c r="B76" s="778" t="inlineStr">
        <is>
          <t>HVAC UNIT 2</t>
        </is>
      </c>
      <c r="C76" s="61" t="inlineStr">
        <is>
          <t>Exterior Smoke Status</t>
        </is>
      </c>
      <c r="D76" s="60" t="inlineStr">
        <is>
          <t>Out Smoke mode</t>
        </is>
      </c>
      <c r="E76" s="60" t="inlineStr">
        <is>
          <t>Unknown</t>
        </is>
      </c>
      <c r="F76" s="60" t="inlineStr">
        <is>
          <t>(Blank)</t>
        </is>
      </c>
    </row>
    <row r="77" ht="15.75" customHeight="1" thickBot="1">
      <c r="A77" s="834" t="n"/>
      <c r="B77" s="168" t="n"/>
      <c r="C77" s="58">
        <f>IF(D77=1,1,IF(E77=1,2,IF(F77=1,3,0)))</f>
        <v/>
      </c>
      <c r="D77" s="416">
        <f>'Mode Logic'!J14</f>
        <v/>
      </c>
      <c r="E77" s="1" t="n">
        <v>0</v>
      </c>
      <c r="F77" s="1" t="n">
        <v>0</v>
      </c>
    </row>
    <row r="78" ht="15.75" customHeight="1" thickBot="1"/>
    <row r="79">
      <c r="A79" s="779" t="inlineStr">
        <is>
          <t>DMB</t>
        </is>
      </c>
      <c r="B79" s="777" t="inlineStr">
        <is>
          <t xml:space="preserve">HVAC UNIT 1 </t>
        </is>
      </c>
      <c r="C79" s="61" t="inlineStr">
        <is>
          <t>Exterior Smoke Status</t>
        </is>
      </c>
      <c r="D79" s="60" t="inlineStr">
        <is>
          <t>Out Smoke mode</t>
        </is>
      </c>
      <c r="E79" s="60" t="inlineStr">
        <is>
          <t>Unknown</t>
        </is>
      </c>
      <c r="F79" s="60" t="inlineStr">
        <is>
          <t>(Blank)</t>
        </is>
      </c>
    </row>
    <row r="80">
      <c r="A80" s="840" t="n"/>
      <c r="B80" s="168" t="n"/>
      <c r="C80" s="58">
        <f>IF(D80=1,1,IF(E80=1,2,IF(F80=1,3,0)))</f>
        <v/>
      </c>
      <c r="D80" s="416">
        <f>'Mode Logic'!J14</f>
        <v/>
      </c>
      <c r="E80" s="1" t="n">
        <v>1</v>
      </c>
      <c r="F80" s="1" t="n">
        <v>0</v>
      </c>
    </row>
    <row r="81">
      <c r="A81" s="840" t="n"/>
    </row>
    <row r="82">
      <c r="A82" s="840" t="n"/>
      <c r="B82" s="778" t="inlineStr">
        <is>
          <t>HVAC UNIT 2</t>
        </is>
      </c>
      <c r="C82" s="61" t="inlineStr">
        <is>
          <t>Exterior Smoke Status</t>
        </is>
      </c>
      <c r="D82" s="60" t="inlineStr">
        <is>
          <t>Out Smoke mode</t>
        </is>
      </c>
      <c r="E82" s="60" t="inlineStr">
        <is>
          <t>Unknown</t>
        </is>
      </c>
      <c r="F82" s="60" t="inlineStr">
        <is>
          <t>(Blank)</t>
        </is>
      </c>
    </row>
    <row r="83" ht="15.75" customHeight="1" thickBot="1">
      <c r="A83" s="834" t="n"/>
      <c r="B83" s="168" t="n"/>
      <c r="C83" s="58">
        <f>IF(D83=1,1,IF(E83=1,2,IF(F83=1,3,0)))</f>
        <v/>
      </c>
      <c r="D83" s="416">
        <f>'Mode Logic'!J14</f>
        <v/>
      </c>
      <c r="E83" s="1" t="n">
        <v>0</v>
      </c>
      <c r="F83" s="1" t="n">
        <v>0</v>
      </c>
    </row>
    <row r="88" ht="15.75" customHeight="1" thickBot="1"/>
    <row r="89" ht="15.75" customHeight="1" thickBot="1">
      <c r="A89" s="779" t="inlineStr">
        <is>
          <t xml:space="preserve">DMA </t>
        </is>
      </c>
      <c r="B89" s="51" t="inlineStr">
        <is>
          <t>HVAC 1</t>
        </is>
      </c>
      <c r="C89" s="52" t="inlineStr">
        <is>
          <t>Unknown</t>
        </is>
      </c>
      <c r="D89" s="52" t="inlineStr">
        <is>
          <t>Isolation</t>
        </is>
      </c>
      <c r="E89" s="52" t="inlineStr">
        <is>
          <t>Faulty</t>
        </is>
      </c>
      <c r="F89" s="52" t="inlineStr">
        <is>
          <t>Degraded</t>
        </is>
      </c>
      <c r="G89" s="52" t="inlineStr">
        <is>
          <t>Warning</t>
        </is>
      </c>
      <c r="H89" s="52" t="inlineStr">
        <is>
          <t>Emergency</t>
        </is>
      </c>
      <c r="I89" s="52" t="inlineStr">
        <is>
          <t>Cooling</t>
        </is>
      </c>
      <c r="J89" s="52" t="inlineStr">
        <is>
          <t>Heating</t>
        </is>
      </c>
      <c r="K89" s="52" t="inlineStr">
        <is>
          <t>Ventilation</t>
        </is>
      </c>
      <c r="L89" s="52" t="inlineStr">
        <is>
          <t>Off</t>
        </is>
      </c>
      <c r="M89" s="53" t="inlineStr">
        <is>
          <t>On</t>
        </is>
      </c>
    </row>
    <row r="90" ht="15.75" customHeight="1" thickBot="1">
      <c r="A90" s="840" t="n"/>
      <c r="B90" s="47">
        <f>IF(D90=1,1,IF(E90=1,1,IF(F90=1,1,IF(G90=1,1,IF(H90=1,1,IF(I90=1,1,IF(J90=1,1,IF(K90=1,1,IF(L90=1,1,IF(M90=1,1,0))))))))))</f>
        <v/>
      </c>
      <c r="C90" s="418" t="n">
        <v>0</v>
      </c>
      <c r="D90" s="418" t="n">
        <v>0</v>
      </c>
      <c r="E90" s="418" t="n">
        <v>0</v>
      </c>
      <c r="F90" s="418" t="n">
        <v>0</v>
      </c>
      <c r="G90" s="418" t="n">
        <v>0</v>
      </c>
      <c r="H90" s="414">
        <f>IF(OR('Mode Logic'!J13:J15),1,0)</f>
        <v/>
      </c>
      <c r="I90" s="414">
        <f>IF(OR('Mode Logic'!J6:J10),1,0)</f>
        <v/>
      </c>
      <c r="J90" s="414">
        <f>'Mode Logic'!J12</f>
        <v/>
      </c>
      <c r="K90" s="414">
        <f>'Mode Logic'!J11</f>
        <v/>
      </c>
      <c r="L90" s="414">
        <f>IF(NOT(M90),1,0)</f>
        <v/>
      </c>
      <c r="M90" s="419">
        <f>'LFD New'!D2</f>
        <v/>
      </c>
    </row>
    <row r="91">
      <c r="A91" s="840" t="n"/>
      <c r="M91" s="54" t="n"/>
    </row>
    <row r="92" ht="15.75" customHeight="1" thickBot="1">
      <c r="A92" s="840" t="n"/>
      <c r="B92" s="55" t="inlineStr">
        <is>
          <t>HVAC 2</t>
        </is>
      </c>
      <c r="C92" s="46" t="inlineStr">
        <is>
          <t>Unknown</t>
        </is>
      </c>
      <c r="D92" s="46" t="inlineStr">
        <is>
          <t>Isolation</t>
        </is>
      </c>
      <c r="E92" s="46" t="inlineStr">
        <is>
          <t>Faulty</t>
        </is>
      </c>
      <c r="F92" s="46" t="inlineStr">
        <is>
          <t>Degraded</t>
        </is>
      </c>
      <c r="G92" s="46" t="inlineStr">
        <is>
          <t>Warning</t>
        </is>
      </c>
      <c r="H92" s="46" t="inlineStr">
        <is>
          <t>Emergency</t>
        </is>
      </c>
      <c r="I92" s="46" t="inlineStr">
        <is>
          <t>Cooling</t>
        </is>
      </c>
      <c r="J92" s="46" t="inlineStr">
        <is>
          <t>Heating</t>
        </is>
      </c>
      <c r="K92" s="46" t="inlineStr">
        <is>
          <t>Ventilation</t>
        </is>
      </c>
      <c r="L92" s="46" t="inlineStr">
        <is>
          <t>Off</t>
        </is>
      </c>
      <c r="M92" s="56" t="inlineStr">
        <is>
          <t>On</t>
        </is>
      </c>
    </row>
    <row r="93" ht="15.75" customHeight="1" thickBot="1">
      <c r="A93" s="834" t="n"/>
      <c r="B93" s="47">
        <f>IF(D93=1,1,IF(E93=1,1,IF(F93=1,1,IF(G93=1,1,IF(H93=1,1,IF(I93=1,1,IF(J93=1,1,IF(K93=1,1,IF(L93=1,1,IF(M93=1,1,0))))))))))</f>
        <v/>
      </c>
      <c r="C93" s="421" t="n">
        <v>0</v>
      </c>
      <c r="D93" s="421" t="n">
        <v>0</v>
      </c>
      <c r="E93" s="421" t="n">
        <v>0</v>
      </c>
      <c r="F93" s="421" t="n">
        <v>0</v>
      </c>
      <c r="G93" s="421" t="n">
        <v>0</v>
      </c>
      <c r="H93" s="415">
        <f>IF(OR('Mode Logic'!J13:J15),1,0)</f>
        <v/>
      </c>
      <c r="I93" s="415">
        <f>IF(OR('Mode Logic'!J6:J10),1,0)</f>
        <v/>
      </c>
      <c r="J93" s="415">
        <f>'Mode Logic'!J12</f>
        <v/>
      </c>
      <c r="K93" s="415">
        <f>'Mode Logic'!J11</f>
        <v/>
      </c>
      <c r="L93" s="415">
        <f>IF(NOT(M93),1,0)</f>
        <v/>
      </c>
      <c r="M93" s="420">
        <f>'LFD New'!D3</f>
        <v/>
      </c>
    </row>
    <row r="95" ht="15.75" customHeight="1" thickBot="1"/>
    <row r="96" ht="15.75" customHeight="1" thickBot="1">
      <c r="A96" s="779" t="inlineStr">
        <is>
          <t>TCA</t>
        </is>
      </c>
      <c r="B96" s="51" t="inlineStr">
        <is>
          <t>HVAC 1</t>
        </is>
      </c>
      <c r="C96" s="52" t="inlineStr">
        <is>
          <t>Unknown</t>
        </is>
      </c>
      <c r="D96" s="52" t="inlineStr">
        <is>
          <t>Isolation</t>
        </is>
      </c>
      <c r="E96" s="52" t="inlineStr">
        <is>
          <t>Faulty</t>
        </is>
      </c>
      <c r="F96" s="52" t="inlineStr">
        <is>
          <t>Degraded</t>
        </is>
      </c>
      <c r="G96" s="52" t="inlineStr">
        <is>
          <t>Warning</t>
        </is>
      </c>
      <c r="H96" s="52" t="inlineStr">
        <is>
          <t>Emergency</t>
        </is>
      </c>
      <c r="I96" s="52" t="inlineStr">
        <is>
          <t>Cooling</t>
        </is>
      </c>
      <c r="J96" s="52" t="inlineStr">
        <is>
          <t>Heating</t>
        </is>
      </c>
      <c r="K96" s="52" t="inlineStr">
        <is>
          <t>Ventilation</t>
        </is>
      </c>
      <c r="L96" s="52" t="inlineStr">
        <is>
          <t>Off</t>
        </is>
      </c>
      <c r="M96" s="53" t="inlineStr">
        <is>
          <t>On</t>
        </is>
      </c>
    </row>
    <row r="97" ht="15.75" customHeight="1" thickBot="1">
      <c r="A97" s="840" t="n"/>
      <c r="B97" s="47">
        <f>IF(D97=1,1,IF(E97=1,1,IF(F97=1,1,IF(G97=1,1,IF(H97=1,1,IF(I97=1,1,IF(J97=1,1,IF(K97=1,1,IF(L97=1,1,IF(M97=1,1,0))))))))))</f>
        <v/>
      </c>
      <c r="C97" s="418" t="n">
        <v>0</v>
      </c>
      <c r="D97" s="418" t="n">
        <v>0</v>
      </c>
      <c r="E97" s="418" t="n">
        <v>0</v>
      </c>
      <c r="F97" s="418" t="n">
        <v>0</v>
      </c>
      <c r="G97" s="418" t="n">
        <v>0</v>
      </c>
      <c r="H97" s="414">
        <f>IF(OR('Mode Logic'!J13:J15),1,0)</f>
        <v/>
      </c>
      <c r="I97" s="414">
        <f>IF(OR('Mode Logic'!J6:J10),1,0)</f>
        <v/>
      </c>
      <c r="J97" s="414">
        <f>'Mode Logic'!J12</f>
        <v/>
      </c>
      <c r="K97" s="414">
        <f>'Mode Logic'!J11</f>
        <v/>
      </c>
      <c r="L97" s="414">
        <f>IF(NOT(M97),1,0)</f>
        <v/>
      </c>
      <c r="M97" s="419">
        <f>'LFD New'!D2</f>
        <v/>
      </c>
    </row>
    <row r="98">
      <c r="A98" s="840" t="n"/>
      <c r="M98" s="54" t="n"/>
    </row>
    <row r="99" ht="15.75" customHeight="1" thickBot="1">
      <c r="A99" s="840" t="n"/>
      <c r="B99" s="55" t="inlineStr">
        <is>
          <t>HVAC 2</t>
        </is>
      </c>
      <c r="C99" s="46" t="inlineStr">
        <is>
          <t>Unknown</t>
        </is>
      </c>
      <c r="D99" s="46" t="inlineStr">
        <is>
          <t>Isolation</t>
        </is>
      </c>
      <c r="E99" s="46" t="inlineStr">
        <is>
          <t>Faulty</t>
        </is>
      </c>
      <c r="F99" s="46" t="inlineStr">
        <is>
          <t>Degraded</t>
        </is>
      </c>
      <c r="G99" s="46" t="inlineStr">
        <is>
          <t>Warning</t>
        </is>
      </c>
      <c r="H99" s="46" t="inlineStr">
        <is>
          <t>Emergency</t>
        </is>
      </c>
      <c r="I99" s="46" t="inlineStr">
        <is>
          <t>Cooling</t>
        </is>
      </c>
      <c r="J99" s="46" t="inlineStr">
        <is>
          <t>Heating</t>
        </is>
      </c>
      <c r="K99" s="46" t="inlineStr">
        <is>
          <t>Ventilation</t>
        </is>
      </c>
      <c r="L99" s="46" t="inlineStr">
        <is>
          <t>Off</t>
        </is>
      </c>
      <c r="M99" s="56" t="inlineStr">
        <is>
          <t>On</t>
        </is>
      </c>
    </row>
    <row r="100" ht="15.75" customHeight="1" thickBot="1">
      <c r="A100" s="834" t="n"/>
      <c r="B100" s="47">
        <f>IF(D100=1,1,IF(E100=1,1,IF(F100=1,1,IF(G100=1,1,IF(H100=1,1,IF(I100=1,1,IF(J100=1,1,IF(K100=1,1,IF(L100=1,1,IF(M100=1,1,0))))))))))</f>
        <v/>
      </c>
      <c r="C100" s="421" t="n">
        <v>0</v>
      </c>
      <c r="D100" s="421" t="n">
        <v>0</v>
      </c>
      <c r="E100" s="421" t="n">
        <v>0</v>
      </c>
      <c r="F100" s="421" t="n">
        <v>0</v>
      </c>
      <c r="G100" s="421" t="n">
        <v>0</v>
      </c>
      <c r="H100" s="415">
        <f>IF(OR('Mode Logic'!J13:J15),1,0)</f>
        <v/>
      </c>
      <c r="I100" s="415">
        <f>IF(OR('Mode Logic'!J6:J10),1,0)</f>
        <v/>
      </c>
      <c r="J100" s="415">
        <f>'Mode Logic'!J12</f>
        <v/>
      </c>
      <c r="K100" s="415">
        <f>'Mode Logic'!J11</f>
        <v/>
      </c>
      <c r="L100" s="415">
        <f>IF(NOT(M100),1,0)</f>
        <v/>
      </c>
      <c r="M100" s="420">
        <f>'LFD New'!D3</f>
        <v/>
      </c>
    </row>
    <row r="102" ht="15.75" customHeight="1" thickBot="1"/>
    <row r="103" ht="15.75" customHeight="1" thickBot="1">
      <c r="A103" s="779" t="inlineStr">
        <is>
          <t>DMB</t>
        </is>
      </c>
      <c r="B103" s="51" t="inlineStr">
        <is>
          <t>HVAC 1</t>
        </is>
      </c>
      <c r="C103" s="52" t="inlineStr">
        <is>
          <t>Unknown</t>
        </is>
      </c>
      <c r="D103" s="52" t="inlineStr">
        <is>
          <t>Isolation</t>
        </is>
      </c>
      <c r="E103" s="52" t="inlineStr">
        <is>
          <t>Faulty</t>
        </is>
      </c>
      <c r="F103" s="52" t="inlineStr">
        <is>
          <t>Degraded</t>
        </is>
      </c>
      <c r="G103" s="52" t="inlineStr">
        <is>
          <t>Warning</t>
        </is>
      </c>
      <c r="H103" s="52" t="inlineStr">
        <is>
          <t>Emergency</t>
        </is>
      </c>
      <c r="I103" s="52" t="inlineStr">
        <is>
          <t>Cooling</t>
        </is>
      </c>
      <c r="J103" s="52" t="inlineStr">
        <is>
          <t>Heating</t>
        </is>
      </c>
      <c r="K103" s="52" t="inlineStr">
        <is>
          <t>Ventilation</t>
        </is>
      </c>
      <c r="L103" s="52" t="inlineStr">
        <is>
          <t>Off</t>
        </is>
      </c>
      <c r="M103" s="53" t="inlineStr">
        <is>
          <t>On</t>
        </is>
      </c>
    </row>
    <row r="104" ht="15.75" customHeight="1" thickBot="1">
      <c r="A104" s="840" t="n"/>
      <c r="B104" s="47">
        <f>IF(D104=1,1,IF(E104=1,1,IF(F104=1,1,IF(G104=1,1,IF(H104=1,1,IF(I104=1,1,IF(J104=1,1,IF(K104=1,1,IF(L104=1,1,IF(M104=1,1,0))))))))))</f>
        <v/>
      </c>
      <c r="C104" s="418" t="n">
        <v>0</v>
      </c>
      <c r="D104" s="418" t="n">
        <v>0</v>
      </c>
      <c r="E104" s="418" t="n">
        <v>0</v>
      </c>
      <c r="F104" s="418" t="n">
        <v>0</v>
      </c>
      <c r="G104" s="418" t="n">
        <v>0</v>
      </c>
      <c r="H104" s="414">
        <f>IF(OR('Mode Logic'!J13:J15),1,0)</f>
        <v/>
      </c>
      <c r="I104" s="414">
        <f>IF(OR('Mode Logic'!J6:J10),1,0)</f>
        <v/>
      </c>
      <c r="J104" s="414">
        <f>'Mode Logic'!J12</f>
        <v/>
      </c>
      <c r="K104" s="414">
        <f>'Mode Logic'!J11</f>
        <v/>
      </c>
      <c r="L104" s="414">
        <f>IF(NOT(M104),1,0)</f>
        <v/>
      </c>
      <c r="M104" s="419">
        <f>'LFD New'!D2</f>
        <v/>
      </c>
    </row>
    <row r="105">
      <c r="A105" s="840" t="n"/>
      <c r="M105" s="54" t="n"/>
    </row>
    <row r="106" ht="15.75" customHeight="1" thickBot="1">
      <c r="A106" s="840" t="n"/>
      <c r="B106" s="55" t="inlineStr">
        <is>
          <t>HVAC 2</t>
        </is>
      </c>
      <c r="C106" s="46" t="inlineStr">
        <is>
          <t>Unknown</t>
        </is>
      </c>
      <c r="D106" s="46" t="inlineStr">
        <is>
          <t>Isolation</t>
        </is>
      </c>
      <c r="E106" s="46" t="inlineStr">
        <is>
          <t>Faulty</t>
        </is>
      </c>
      <c r="F106" s="46" t="inlineStr">
        <is>
          <t>Degraded</t>
        </is>
      </c>
      <c r="G106" s="46" t="inlineStr">
        <is>
          <t>Warning</t>
        </is>
      </c>
      <c r="H106" s="46" t="inlineStr">
        <is>
          <t>Emergency</t>
        </is>
      </c>
      <c r="I106" s="46" t="inlineStr">
        <is>
          <t>Cooling</t>
        </is>
      </c>
      <c r="J106" s="46" t="inlineStr">
        <is>
          <t>Heating</t>
        </is>
      </c>
      <c r="K106" s="46" t="inlineStr">
        <is>
          <t>Ventilation</t>
        </is>
      </c>
      <c r="L106" s="46" t="inlineStr">
        <is>
          <t>Off</t>
        </is>
      </c>
      <c r="M106" s="56" t="inlineStr">
        <is>
          <t>On</t>
        </is>
      </c>
    </row>
    <row r="107" ht="15.75" customHeight="1" thickBot="1">
      <c r="A107" s="834" t="n"/>
      <c r="B107" s="47">
        <f>IF(D107=1,1,IF(E107=1,1,IF(F107=1,1,IF(G107=1,1,IF(H107=1,1,IF(I107=1,1,IF(J107=1,1,IF(K107=1,1,IF(L107=1,1,IF(M107=1,1,0))))))))))</f>
        <v/>
      </c>
      <c r="C107" s="421" t="n">
        <v>0</v>
      </c>
      <c r="D107" s="421" t="n">
        <v>0</v>
      </c>
      <c r="E107" s="421" t="n">
        <v>0</v>
      </c>
      <c r="F107" s="421" t="n">
        <v>0</v>
      </c>
      <c r="G107" s="421" t="n">
        <v>0</v>
      </c>
      <c r="H107" s="415">
        <f>IF(OR('Mode Logic'!J13:J15),1,0)</f>
        <v/>
      </c>
      <c r="I107" s="415">
        <f>IF(OR('Mode Logic'!J6:J10),1,0)</f>
        <v/>
      </c>
      <c r="J107" s="415">
        <f>'Mode Logic'!J12</f>
        <v/>
      </c>
      <c r="K107" s="415">
        <f>'Mode Logic'!J11</f>
        <v/>
      </c>
      <c r="L107" s="415">
        <f>IF(NOT(M107),1,0)</f>
        <v/>
      </c>
      <c r="M107" s="420">
        <f>'LFD New'!D3</f>
        <v/>
      </c>
    </row>
  </sheetData>
  <mergeCells count="34">
    <mergeCell ref="A18:A22"/>
    <mergeCell ref="B62:B63"/>
    <mergeCell ref="A4:A8"/>
    <mergeCell ref="B46:B47"/>
    <mergeCell ref="A33:A37"/>
    <mergeCell ref="B73:B74"/>
    <mergeCell ref="B42:B43"/>
    <mergeCell ref="B82:B83"/>
    <mergeCell ref="A26:A30"/>
    <mergeCell ref="B29:B30"/>
    <mergeCell ref="B39:B40"/>
    <mergeCell ref="A53:A57"/>
    <mergeCell ref="A96:A100"/>
    <mergeCell ref="B69:B70"/>
    <mergeCell ref="A59:A63"/>
    <mergeCell ref="A73:A77"/>
    <mergeCell ref="B53:B54"/>
    <mergeCell ref="B49:B50"/>
    <mergeCell ref="A39:A43"/>
    <mergeCell ref="B36:B37"/>
    <mergeCell ref="A79:A83"/>
    <mergeCell ref="B33:B34"/>
    <mergeCell ref="C2:M2"/>
    <mergeCell ref="A11:A15"/>
    <mergeCell ref="B76:B77"/>
    <mergeCell ref="B79:B80"/>
    <mergeCell ref="A66:A70"/>
    <mergeCell ref="A103:A107"/>
    <mergeCell ref="B66:B67"/>
    <mergeCell ref="B56:B57"/>
    <mergeCell ref="B26:B27"/>
    <mergeCell ref="A46:A50"/>
    <mergeCell ref="B59:B60"/>
    <mergeCell ref="A89:A9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"/>
  <sheetViews>
    <sheetView topLeftCell="A44" workbookViewId="0">
      <selection activeCell="D15" sqref="D15"/>
    </sheetView>
  </sheetViews>
  <sheetFormatPr baseColWidth="8" defaultRowHeight="15"/>
  <cols>
    <col width="11.42578125" customWidth="1" min="1" max="1"/>
    <col width="13.85546875" customWidth="1" min="2" max="2"/>
    <col width="15.7109375" customWidth="1" min="3" max="3"/>
    <col width="19.140625" customWidth="1" min="4" max="4"/>
    <col width="15.28515625" customWidth="1" min="5" max="5"/>
    <col width="16" customWidth="1" min="6" max="6"/>
    <col width="15.28515625" customWidth="1" min="7" max="7"/>
  </cols>
  <sheetData>
    <row r="1">
      <c r="A1" s="297" t="inlineStr">
        <is>
          <t>Sr.No</t>
        </is>
      </c>
      <c r="B1" s="783" t="inlineStr">
        <is>
          <t>Fault Number</t>
        </is>
      </c>
      <c r="C1" s="783" t="inlineStr">
        <is>
          <t>Cause Number</t>
        </is>
      </c>
      <c r="D1" s="783" t="inlineStr">
        <is>
          <t>From instructor</t>
        </is>
      </c>
      <c r="E1" s="841" t="n"/>
      <c r="F1" s="783" t="inlineStr">
        <is>
          <t>To Unity</t>
        </is>
      </c>
      <c r="G1" s="841" t="n"/>
      <c r="H1" s="842" t="inlineStr">
        <is>
          <t>Fault Description</t>
        </is>
      </c>
    </row>
    <row r="2" ht="15.75" customHeight="1" thickBot="1">
      <c r="A2" s="299" t="n"/>
      <c r="B2" s="300" t="n"/>
      <c r="C2" s="301" t="n"/>
      <c r="D2" s="302" t="inlineStr">
        <is>
          <t>Fault Number</t>
        </is>
      </c>
      <c r="E2" s="302" t="inlineStr">
        <is>
          <t>Cause Number</t>
        </is>
      </c>
      <c r="F2" s="302" t="inlineStr">
        <is>
          <t>Fault Number</t>
        </is>
      </c>
      <c r="G2" s="303" t="inlineStr">
        <is>
          <t>Cause Number</t>
        </is>
      </c>
    </row>
    <row r="3">
      <c r="A3" s="304" t="n">
        <v>1</v>
      </c>
      <c r="B3" s="305" t="n">
        <v>101</v>
      </c>
      <c r="C3" s="306" t="n">
        <v>10101</v>
      </c>
      <c r="D3" s="843">
        <f>'DATA TRANSFER'!$F$1209</f>
        <v/>
      </c>
      <c r="E3" s="844">
        <f>'DATA TRANSFER'!$F$1210</f>
        <v/>
      </c>
      <c r="F3" s="844">
        <f>IF(AND($D3=INT(C3/100), OR($E3=C3, $E3=0)), INT(C3/100), 0)</f>
        <v/>
      </c>
      <c r="G3" s="844">
        <f>IF(AND($D3=INT(C3/100), $E3=C3), C3, 0)</f>
        <v/>
      </c>
      <c r="H3" s="845" t="inlineStr">
        <is>
          <t>Fault 101: No HVAC operations</t>
        </is>
      </c>
    </row>
    <row r="4">
      <c r="A4" s="304" t="n">
        <v>2</v>
      </c>
      <c r="B4" s="308" t="n"/>
      <c r="C4" s="218" t="n">
        <v>10102</v>
      </c>
      <c r="D4" s="846">
        <f>'DATA TRANSFER'!$F$1209</f>
        <v/>
      </c>
      <c r="E4" s="847">
        <f>'DATA TRANSFER'!$F$1210</f>
        <v/>
      </c>
      <c r="F4" s="847">
        <f>IF(AND($D4=INT(C4/100), OR($E4=C4, $E4=0)), INT(C4/100), 0)</f>
        <v/>
      </c>
      <c r="G4" s="847">
        <f>IF(AND($D4=INT(C4/100), $E4=C4), C4, 0)</f>
        <v/>
      </c>
      <c r="H4" s="845" t="inlineStr">
        <is>
          <t>Fault 101: No HVAC operations</t>
        </is>
      </c>
    </row>
    <row r="5" ht="15.75" customHeight="1" thickBot="1">
      <c r="A5" s="304" t="n">
        <v>3</v>
      </c>
      <c r="B5" s="310" t="n"/>
      <c r="C5" s="220" t="n">
        <v>10103</v>
      </c>
      <c r="D5" s="846">
        <f>'DATA TRANSFER'!$F$1209</f>
        <v/>
      </c>
      <c r="E5" s="847">
        <f>'DATA TRANSFER'!$F$1210</f>
        <v/>
      </c>
      <c r="F5" s="847">
        <f>IF(AND($D5=INT(C5/100), OR($E5=C5, $E5=0)), INT(C5/100), 0)</f>
        <v/>
      </c>
      <c r="G5" s="847">
        <f>IF(AND($D5=INT(C5/100), $E5=C5), C5, 0)</f>
        <v/>
      </c>
      <c r="H5" s="845" t="inlineStr">
        <is>
          <t>Fault 101: No HVAC operations</t>
        </is>
      </c>
    </row>
    <row r="6">
      <c r="A6" s="304" t="n">
        <v>4</v>
      </c>
      <c r="B6" s="311" t="n">
        <v>102</v>
      </c>
      <c r="C6" s="312" t="n">
        <v>10201</v>
      </c>
      <c r="D6" s="846">
        <f>'DATA TRANSFER'!$F$1209</f>
        <v/>
      </c>
      <c r="E6" s="847">
        <f>'DATA TRANSFER'!$F$1210</f>
        <v/>
      </c>
      <c r="F6" s="847">
        <f>IF(AND($D6=INT(C6/100), OR($E6=C6, $E6=0)), INT(C6/100), 0)</f>
        <v/>
      </c>
      <c r="G6" s="847">
        <f>IF(AND($D6=INT(C6/100), $E6=C6), C6, 0)</f>
        <v/>
      </c>
      <c r="H6" s="845" t="inlineStr">
        <is>
          <t>Fault 102: No ventilation</t>
        </is>
      </c>
    </row>
    <row r="7">
      <c r="A7" s="304" t="n">
        <v>5</v>
      </c>
      <c r="B7" s="308" t="n"/>
      <c r="C7" s="218" t="n">
        <v>10202</v>
      </c>
      <c r="D7" s="846">
        <f>'DATA TRANSFER'!$F$1209</f>
        <v/>
      </c>
      <c r="E7" s="847">
        <f>'DATA TRANSFER'!$F$1210</f>
        <v/>
      </c>
      <c r="F7" s="847">
        <f>IF(AND($D7=INT(C7/100), OR($E7=C7, $E7=0)), INT(C7/100), 0)</f>
        <v/>
      </c>
      <c r="G7" s="847">
        <f>IF(AND($D7=INT(C7/100), $E7=C7), C7, 0)</f>
        <v/>
      </c>
      <c r="H7" s="845" t="inlineStr">
        <is>
          <t>Fault 102: No ventilation</t>
        </is>
      </c>
    </row>
    <row r="8">
      <c r="A8" s="304" t="n">
        <v>6</v>
      </c>
      <c r="B8" s="308" t="n"/>
      <c r="C8" s="218" t="n">
        <v>10203</v>
      </c>
      <c r="D8" s="846">
        <f>'DATA TRANSFER'!$F$1209</f>
        <v/>
      </c>
      <c r="E8" s="847">
        <f>'DATA TRANSFER'!$F$1210</f>
        <v/>
      </c>
      <c r="F8" s="847">
        <f>IF(AND($D8=INT(C8/100), OR($E8=C8, $E8=0)), INT(C8/100), 0)</f>
        <v/>
      </c>
      <c r="G8" s="847">
        <f>IF(AND($D8=INT(C8/100), $E8=C8), C8, 0)</f>
        <v/>
      </c>
      <c r="H8" s="845" t="inlineStr">
        <is>
          <t>Fault 102: No ventilation</t>
        </is>
      </c>
    </row>
    <row r="9" ht="15.75" customHeight="1" thickBot="1">
      <c r="A9" s="304" t="n">
        <v>7</v>
      </c>
      <c r="B9" s="310" t="n"/>
      <c r="C9" s="220" t="n">
        <v>10204</v>
      </c>
      <c r="D9" s="846">
        <f>'DATA TRANSFER'!$F$1209</f>
        <v/>
      </c>
      <c r="E9" s="847">
        <f>'DATA TRANSFER'!$F$1210</f>
        <v/>
      </c>
      <c r="F9" s="847">
        <f>IF(AND($D9=INT(C9/100), OR($E9=C9, $E9=0)), INT(C9/100), 0)</f>
        <v/>
      </c>
      <c r="G9" s="847">
        <f>IF(AND($D9=INT(C9/100), $E9=C9), C9, 0)</f>
        <v/>
      </c>
      <c r="H9" s="845" t="inlineStr">
        <is>
          <t>Fault 102: No ventilation</t>
        </is>
      </c>
    </row>
    <row r="10">
      <c r="A10" s="304" t="n">
        <v>8</v>
      </c>
      <c r="B10" s="311" t="n">
        <v>103</v>
      </c>
      <c r="C10" s="312" t="n">
        <v>10301</v>
      </c>
      <c r="D10" s="847">
        <f>'DATA TRANSFER'!$F$1209</f>
        <v/>
      </c>
      <c r="E10" s="847">
        <f>'DATA TRANSFER'!$F$1210</f>
        <v/>
      </c>
      <c r="F10" s="847">
        <f>IF(AND($D10=INT(C10/100), OR($E10=C10, $E10=0)), INT(C10/100), 0)</f>
        <v/>
      </c>
      <c r="G10" s="847">
        <f>IF(AND($D10=INT(C10/100), $E10=C10), C10, 0)</f>
        <v/>
      </c>
      <c r="H10" s="845" t="inlineStr">
        <is>
          <t>Fault 103: Reduced ventilation</t>
        </is>
      </c>
    </row>
    <row r="11">
      <c r="A11" s="304" t="n">
        <v>9</v>
      </c>
      <c r="B11" s="308" t="n"/>
      <c r="C11" s="218" t="n">
        <v>10302</v>
      </c>
      <c r="D11" s="847">
        <f>'DATA TRANSFER'!$F$1209</f>
        <v/>
      </c>
      <c r="E11" s="847">
        <f>'DATA TRANSFER'!$F$1210</f>
        <v/>
      </c>
      <c r="F11" s="847">
        <f>IF(AND($D11=INT(C11/100), OR($E11=C11, $E11=0)), INT(C11/100), 0)</f>
        <v/>
      </c>
      <c r="G11" s="847">
        <f>IF(AND($D11=INT(C11/100), $E11=C11), C11, 0)</f>
        <v/>
      </c>
      <c r="H11" s="845" t="inlineStr">
        <is>
          <t>Fault 103: Reduced ventilation</t>
        </is>
      </c>
    </row>
    <row r="12">
      <c r="A12" s="304" t="n">
        <v>10</v>
      </c>
      <c r="B12" s="308" t="n"/>
      <c r="C12" s="218" t="n">
        <v>10303</v>
      </c>
      <c r="D12" s="847">
        <f>'DATA TRANSFER'!$F$1209</f>
        <v/>
      </c>
      <c r="E12" s="847">
        <f>'DATA TRANSFER'!$F$1210</f>
        <v/>
      </c>
      <c r="F12" s="847">
        <f>IF(AND($D12=INT(C12/100), OR($E12=C12, $E12=0)), INT(C12/100), 0)</f>
        <v/>
      </c>
      <c r="G12" s="847">
        <f>IF(AND($D12=INT(C12/100), $E12=C12), C12, 0)</f>
        <v/>
      </c>
      <c r="H12" s="845" t="inlineStr">
        <is>
          <t>Fault 103: Reduced ventilation</t>
        </is>
      </c>
    </row>
    <row r="13">
      <c r="A13" s="304" t="n">
        <v>11</v>
      </c>
      <c r="B13" s="308" t="n"/>
      <c r="C13" s="218" t="n">
        <v>10304</v>
      </c>
      <c r="D13" s="847">
        <f>'DATA TRANSFER'!$F$1209</f>
        <v/>
      </c>
      <c r="E13" s="847">
        <f>'DATA TRANSFER'!$F$1210</f>
        <v/>
      </c>
      <c r="F13" s="847">
        <f>IF(AND($D13=INT(C13/100), OR($E13=C13, $E13=0)), INT(C13/100), 0)</f>
        <v/>
      </c>
      <c r="G13" s="847">
        <f>IF(AND($D13=INT(C13/100), $E13=C13), C13, 0)</f>
        <v/>
      </c>
      <c r="H13" s="845" t="inlineStr">
        <is>
          <t>Fault 103: Reduced ventilation</t>
        </is>
      </c>
    </row>
    <row r="14" ht="15.75" customHeight="1" thickBot="1">
      <c r="A14" s="304" t="n">
        <v>12</v>
      </c>
      <c r="B14" s="310" t="n"/>
      <c r="C14" s="220" t="n">
        <v>10305</v>
      </c>
      <c r="D14" s="847">
        <f>'DATA TRANSFER'!$F$1209</f>
        <v/>
      </c>
      <c r="E14" s="847">
        <f>'DATA TRANSFER'!$F$1210</f>
        <v/>
      </c>
      <c r="F14" s="847">
        <f>IF(AND($D14=INT(C14/100), OR($E14=C14, $E14=0)), INT(C14/100), 0)</f>
        <v/>
      </c>
      <c r="G14" s="847">
        <f>IF(AND($D14=INT(C14/100), $E14=C14), C14, 0)</f>
        <v/>
      </c>
      <c r="H14" s="845" t="inlineStr">
        <is>
          <t>Fault 103: Reduced ventilation</t>
        </is>
      </c>
    </row>
    <row r="15">
      <c r="A15" s="304" t="n">
        <v>13</v>
      </c>
      <c r="B15" s="311" t="n">
        <v>104</v>
      </c>
      <c r="C15" s="312" t="n">
        <v>10401</v>
      </c>
      <c r="D15" s="847">
        <f>'DATA TRANSFER'!$F$1209</f>
        <v/>
      </c>
      <c r="E15" s="847">
        <f>'DATA TRANSFER'!$F$1210</f>
        <v/>
      </c>
      <c r="F15" s="847">
        <f>IF(AND($D15=INT(C15/100), OR($E15=C15, $E15=0)), INT(C15/100), 0)</f>
        <v/>
      </c>
      <c r="G15" s="847">
        <f>IF(AND($D15=INT(C15/100), $E15=C15), C15, 0)</f>
        <v/>
      </c>
      <c r="H15" s="845" t="inlineStr">
        <is>
          <t>Fault 104: Suction low and discharge low (Circuit 1)</t>
        </is>
      </c>
    </row>
    <row r="16">
      <c r="A16" s="304" t="n">
        <v>14</v>
      </c>
      <c r="B16" s="308" t="n"/>
      <c r="C16" s="306" t="n">
        <v>10402</v>
      </c>
      <c r="D16" s="847">
        <f>'DATA TRANSFER'!$F$1209</f>
        <v/>
      </c>
      <c r="E16" s="847">
        <f>'DATA TRANSFER'!$F$1210</f>
        <v/>
      </c>
      <c r="F16" s="847">
        <f>IF(AND($D16=INT(C16/100), OR($E16=C16, $E16=0)), INT(C16/100), 0)</f>
        <v/>
      </c>
      <c r="G16" s="847">
        <f>IF(AND($D16=INT(C16/100), $E16=C16), C16, 0)</f>
        <v/>
      </c>
      <c r="H16" s="845" t="inlineStr">
        <is>
          <t>Fault 104: Suction low and discharge low (Circuit 1)</t>
        </is>
      </c>
    </row>
    <row r="17">
      <c r="A17" s="304" t="n">
        <v>15</v>
      </c>
      <c r="B17" s="308" t="n"/>
      <c r="C17" s="306" t="n">
        <v>10403</v>
      </c>
      <c r="D17" s="847">
        <f>'DATA TRANSFER'!$F$1209</f>
        <v/>
      </c>
      <c r="E17" s="847">
        <f>'DATA TRANSFER'!$F$1210</f>
        <v/>
      </c>
      <c r="F17" s="847">
        <f>IF(AND($D17=INT(C17/100), OR($E17=C17, $E17=0)), INT(C17/100), 0)</f>
        <v/>
      </c>
      <c r="G17" s="847">
        <f>IF(AND($D17=INT(C17/100), $E17=C17), C17, 0)</f>
        <v/>
      </c>
      <c r="H17" s="845" t="inlineStr">
        <is>
          <t>Fault 104: Suction low and discharge low (Circuit 1)</t>
        </is>
      </c>
    </row>
    <row r="18" ht="15.75" customHeight="1" thickBot="1">
      <c r="A18" s="304" t="n">
        <v>16</v>
      </c>
      <c r="B18" s="310" t="n"/>
      <c r="C18" s="313" t="n">
        <v>10404</v>
      </c>
      <c r="D18" s="847">
        <f>'DATA TRANSFER'!$F$1209</f>
        <v/>
      </c>
      <c r="E18" s="847">
        <f>'DATA TRANSFER'!$F$1210</f>
        <v/>
      </c>
      <c r="F18" s="847">
        <f>IF(AND($D18=INT(C18/100), OR($E18=C18, $E18=0)), INT(C18/100), 0)</f>
        <v/>
      </c>
      <c r="G18" s="847">
        <f>IF(AND($D18=INT(C18/100), $E18=C18), C18, 0)</f>
        <v/>
      </c>
      <c r="H18" s="845" t="inlineStr">
        <is>
          <t>Fault 104: Suction low and discharge low (Circuit 1)</t>
        </is>
      </c>
    </row>
    <row r="19">
      <c r="A19" s="304" t="n">
        <v>17</v>
      </c>
      <c r="B19" s="311" t="n">
        <v>105</v>
      </c>
      <c r="C19" s="312" t="n">
        <v>10501</v>
      </c>
      <c r="D19" s="847">
        <f>'DATA TRANSFER'!$F$1209</f>
        <v/>
      </c>
      <c r="E19" s="847">
        <f>'DATA TRANSFER'!$F$1210</f>
        <v/>
      </c>
      <c r="F19" s="847">
        <f>IF(AND($D19=INT(C19/100), OR($E19=C19, $E19=0)), INT(C19/100), 0)</f>
        <v/>
      </c>
      <c r="G19" s="847">
        <f>IF(AND($D19=INT(C19/100), $E19=C19), C19, 0)</f>
        <v/>
      </c>
      <c r="H19" s="845" t="inlineStr">
        <is>
          <t>Fault 105: Suction low and discharge low (Circuit 2)</t>
        </is>
      </c>
    </row>
    <row r="20">
      <c r="A20" s="304" t="n">
        <v>18</v>
      </c>
      <c r="B20" s="308" t="n"/>
      <c r="C20" s="306" t="n">
        <v>10502</v>
      </c>
      <c r="D20" s="847">
        <f>'DATA TRANSFER'!$F$1209</f>
        <v/>
      </c>
      <c r="E20" s="847">
        <f>'DATA TRANSFER'!$F$1210</f>
        <v/>
      </c>
      <c r="F20" s="847">
        <f>IF(AND($D20=INT(C20/100), OR($E20=C20, $E20=0)), INT(C20/100), 0)</f>
        <v/>
      </c>
      <c r="G20" s="847">
        <f>IF(AND($D20=INT(C20/100), $E20=C20), C20, 0)</f>
        <v/>
      </c>
      <c r="H20" s="845" t="inlineStr">
        <is>
          <t>Fault 105: Suction low and discharge low (Circuit 2)</t>
        </is>
      </c>
    </row>
    <row r="21" ht="15.75" customHeight="1" thickBot="1">
      <c r="A21" s="304" t="n">
        <v>19</v>
      </c>
      <c r="B21" s="310" t="n"/>
      <c r="C21" s="313" t="n">
        <v>10503</v>
      </c>
      <c r="D21" s="847">
        <f>'DATA TRANSFER'!$F$1209</f>
        <v/>
      </c>
      <c r="E21" s="847">
        <f>'DATA TRANSFER'!$F$1210</f>
        <v/>
      </c>
      <c r="F21" s="847">
        <f>IF(AND($D21=INT(C21/100), OR($E21=C21, $E21=0)), INT(C21/100), 0)</f>
        <v/>
      </c>
      <c r="G21" s="847">
        <f>IF(AND($D21=INT(C21/100), $E21=C21), C21, 0)</f>
        <v/>
      </c>
      <c r="H21" s="845" t="inlineStr">
        <is>
          <t>Fault 105: Suction low and discharge low (Circuit 2)</t>
        </is>
      </c>
    </row>
    <row r="22">
      <c r="A22" s="304" t="n">
        <v>20</v>
      </c>
      <c r="B22" s="311" t="n">
        <v>106</v>
      </c>
      <c r="C22" s="312" t="n">
        <v>10601</v>
      </c>
      <c r="D22" s="846">
        <f>'DATA TRANSFER'!$F$1209</f>
        <v/>
      </c>
      <c r="E22" s="847">
        <f>'DATA TRANSFER'!$F$1210</f>
        <v/>
      </c>
      <c r="F22" s="847">
        <f>IF(AND($D22=INT(C22/100), OR($E22=C22, $E22=0)), INT(C22/100), 0)</f>
        <v/>
      </c>
      <c r="G22" s="847">
        <f>IF(AND($D22=INT(C22/100), $E22=C22), C22, 0)</f>
        <v/>
      </c>
      <c r="H22" s="845" t="inlineStr">
        <is>
          <t>Fault 106: High suction and high discharge</t>
        </is>
      </c>
    </row>
    <row r="23">
      <c r="A23" s="304" t="n">
        <v>21</v>
      </c>
      <c r="B23" s="308" t="n"/>
      <c r="C23" s="306" t="n">
        <v>10602</v>
      </c>
      <c r="D23" s="846">
        <f>'DATA TRANSFER'!$F$1209</f>
        <v/>
      </c>
      <c r="E23" s="847">
        <f>'DATA TRANSFER'!$F$1210</f>
        <v/>
      </c>
      <c r="F23" s="847">
        <f>IF(AND($D23=INT(C23/100), OR($E23=C23, $E23=0)), INT(C23/100), 0)</f>
        <v/>
      </c>
      <c r="G23" s="847">
        <f>IF(AND($D23=INT(C23/100), $E23=C23), C23, 0)</f>
        <v/>
      </c>
      <c r="H23" s="845" t="inlineStr">
        <is>
          <t>Fault 106: High suction and high discharge</t>
        </is>
      </c>
    </row>
    <row r="24">
      <c r="A24" s="304" t="n">
        <v>22</v>
      </c>
      <c r="B24" s="308" t="n"/>
      <c r="C24" s="306" t="n">
        <v>10603</v>
      </c>
      <c r="D24" s="846">
        <f>'DATA TRANSFER'!$F$1209</f>
        <v/>
      </c>
      <c r="E24" s="847">
        <f>'DATA TRANSFER'!$F$1210</f>
        <v/>
      </c>
      <c r="F24" s="847">
        <f>IF(AND($D24=INT(C24/100), OR($E24=C24, $E24=0)), INT(C24/100), 0)</f>
        <v/>
      </c>
      <c r="G24" s="847">
        <f>IF(AND($D24=INT(C24/100), $E24=C24), C24, 0)</f>
        <v/>
      </c>
      <c r="H24" s="845" t="inlineStr">
        <is>
          <t>Fault 106: High suction and high discharge</t>
        </is>
      </c>
    </row>
    <row r="25" ht="15.75" customHeight="1" thickBot="1">
      <c r="A25" s="304" t="n">
        <v>23</v>
      </c>
      <c r="B25" s="310" t="n"/>
      <c r="C25" s="313" t="n">
        <v>10604</v>
      </c>
      <c r="D25" s="848">
        <f>'DATA TRANSFER'!$F$1209</f>
        <v/>
      </c>
      <c r="E25" s="849">
        <f>'DATA TRANSFER'!$F$1210</f>
        <v/>
      </c>
      <c r="F25" s="849">
        <f>IF(AND($D25=INT(C25/100), OR($E25=C25, $E25=0)), INT(C25/100), 0)</f>
        <v/>
      </c>
      <c r="G25" s="849">
        <f>IF(AND($D25=INT(C25/100), $E25=C25), C25, 0)</f>
        <v/>
      </c>
      <c r="H25" s="845" t="inlineStr">
        <is>
          <t>Fault 106: High suction and high discharge</t>
        </is>
      </c>
    </row>
    <row r="26">
      <c r="A26" s="304" t="n">
        <v>24</v>
      </c>
      <c r="B26" s="311" t="n">
        <v>107</v>
      </c>
      <c r="C26" s="312" t="n">
        <v>10701</v>
      </c>
      <c r="D26" s="846">
        <f>'DATA TRANSFER'!$F$1209</f>
        <v/>
      </c>
      <c r="E26" s="847">
        <f>'DATA TRANSFER'!$F$1210</f>
        <v/>
      </c>
      <c r="F26" s="847">
        <f>IF(AND($D26=INT(C26/100), OR($E26=C26, $E26=0)), INT(C26/100), 0)</f>
        <v/>
      </c>
      <c r="G26" s="847">
        <f>IF(AND($D26=INT(C26/100), $E26=C26), C26, 0)</f>
        <v/>
      </c>
      <c r="H26" s="845" t="inlineStr">
        <is>
          <t>Fault 107: Compressor not operating</t>
        </is>
      </c>
    </row>
    <row r="27">
      <c r="A27" s="304" t="n">
        <v>25</v>
      </c>
      <c r="B27" s="308" t="n"/>
      <c r="C27" s="218" t="n">
        <v>10702</v>
      </c>
      <c r="D27" s="846">
        <f>'DATA TRANSFER'!$F$1209</f>
        <v/>
      </c>
      <c r="E27" s="847">
        <f>'DATA TRANSFER'!$F$1210</f>
        <v/>
      </c>
      <c r="F27" s="847">
        <f>IF(AND($D27=INT(C27/100), OR($E27=C27, $E27=0)), INT(C27/100), 0)</f>
        <v/>
      </c>
      <c r="G27" s="847">
        <f>IF(AND($D27=INT(C27/100), $E27=C27), C27, 0)</f>
        <v/>
      </c>
      <c r="H27" s="845" t="inlineStr">
        <is>
          <t>Fault 107: Compressor not operating</t>
        </is>
      </c>
    </row>
    <row r="28">
      <c r="A28" s="304" t="n">
        <v>26</v>
      </c>
      <c r="B28" s="315" t="n"/>
      <c r="C28" s="218" t="n">
        <v>10703</v>
      </c>
      <c r="D28" s="846">
        <f>'DATA TRANSFER'!$F$1209</f>
        <v/>
      </c>
      <c r="E28" s="847">
        <f>'DATA TRANSFER'!$F$1210</f>
        <v/>
      </c>
      <c r="F28" s="847">
        <f>IF(AND($D28=INT(C28/100), OR($E28=C28, $E28=0)), INT(C28/100), 0)</f>
        <v/>
      </c>
      <c r="G28" s="847">
        <f>IF(AND($D28=INT(C28/100), $E28=C28), C28, 0)</f>
        <v/>
      </c>
      <c r="H28" s="845" t="inlineStr">
        <is>
          <t>Fault 107: Compressor not operating</t>
        </is>
      </c>
    </row>
    <row r="29">
      <c r="A29" s="304" t="n">
        <v>27</v>
      </c>
      <c r="B29" s="315" t="n"/>
      <c r="C29" s="218" t="n">
        <v>10704</v>
      </c>
      <c r="D29" s="846">
        <f>'DATA TRANSFER'!$F$1209</f>
        <v/>
      </c>
      <c r="E29" s="847">
        <f>'DATA TRANSFER'!$F$1210</f>
        <v/>
      </c>
      <c r="F29" s="847">
        <f>IF(AND($D29=INT(C29/100), OR($E29=C29, $E29=0)), INT(C29/100), 0)</f>
        <v/>
      </c>
      <c r="G29" s="847">
        <f>IF(AND($D29=INT(C29/100), $E29=C29), C29, 0)</f>
        <v/>
      </c>
      <c r="H29" s="845" t="inlineStr">
        <is>
          <t>Fault 107: Compressor not operating</t>
        </is>
      </c>
    </row>
    <row r="30" ht="15.75" customHeight="1" thickBot="1">
      <c r="A30" s="304" t="n">
        <v>28</v>
      </c>
      <c r="B30" s="316" t="n"/>
      <c r="C30" s="220" t="n">
        <v>10705</v>
      </c>
      <c r="D30" s="846">
        <f>'DATA TRANSFER'!$F$1209</f>
        <v/>
      </c>
      <c r="E30" s="847">
        <f>'DATA TRANSFER'!$F$1210</f>
        <v/>
      </c>
      <c r="F30" s="847">
        <f>IF(AND($D30=INT(C30/100), OR($E30=C30, $E30=0)), INT(C30/100), 0)</f>
        <v/>
      </c>
      <c r="G30" s="847">
        <f>IF(AND($D30=INT(C30/100), $E30=C30), C30, 0)</f>
        <v/>
      </c>
      <c r="H30" s="845" t="inlineStr">
        <is>
          <t>Fault 107: Compressor not operating</t>
        </is>
      </c>
    </row>
    <row r="31">
      <c r="A31" s="304" t="n">
        <v>29</v>
      </c>
      <c r="B31" s="311" t="n">
        <v>108</v>
      </c>
      <c r="C31" s="312" t="n">
        <v>10801</v>
      </c>
      <c r="D31" s="846">
        <f>'DATA TRANSFER'!$F$1209</f>
        <v/>
      </c>
      <c r="E31" s="847">
        <f>'DATA TRANSFER'!$F$1210</f>
        <v/>
      </c>
      <c r="F31" s="847">
        <f>IF(AND($D31=INT(C31/100), OR($E31=C31, $E31=0)), INT(C31/100), 0)</f>
        <v/>
      </c>
      <c r="G31" s="847">
        <f>IF(AND($D31=INT(C31/100), $E31=C31), C31, 0)</f>
        <v/>
      </c>
      <c r="H31" s="845" t="inlineStr">
        <is>
          <t>Fault 108: Reduced cooling</t>
        </is>
      </c>
    </row>
    <row r="32">
      <c r="A32" s="304" t="n">
        <v>30</v>
      </c>
      <c r="B32" s="315" t="n"/>
      <c r="C32" s="218" t="n">
        <v>10802</v>
      </c>
      <c r="D32" s="846">
        <f>'DATA TRANSFER'!$F$1209</f>
        <v/>
      </c>
      <c r="E32" s="847">
        <f>'DATA TRANSFER'!$F$1210</f>
        <v/>
      </c>
      <c r="F32" s="847">
        <f>IF(AND($D32=INT(C32/100), OR($E32=C32, $E32=0)), INT(C32/100), 0)</f>
        <v/>
      </c>
      <c r="G32" s="847">
        <f>IF(AND($D32=INT(C32/100), $E32=C32), C32, 0)</f>
        <v/>
      </c>
      <c r="H32" s="845" t="inlineStr">
        <is>
          <t>Fault 108: Reduced cooling</t>
        </is>
      </c>
    </row>
    <row r="33">
      <c r="A33" s="304" t="n">
        <v>31</v>
      </c>
      <c r="B33" s="315" t="n"/>
      <c r="C33" s="218" t="n">
        <v>10803</v>
      </c>
      <c r="D33" s="846">
        <f>'DATA TRANSFER'!$F$1209</f>
        <v/>
      </c>
      <c r="E33" s="847">
        <f>'DATA TRANSFER'!$F$1210</f>
        <v/>
      </c>
      <c r="F33" s="847">
        <f>IF(AND($D33=INT(C33/100), OR($E33=C33, $E33=0)), INT(C33/100), 0)</f>
        <v/>
      </c>
      <c r="G33" s="847">
        <f>IF(AND($D33=INT(C33/100), $E33=C33), C33, 0)</f>
        <v/>
      </c>
      <c r="H33" s="845" t="inlineStr">
        <is>
          <t>Fault 108: Reduced cooling</t>
        </is>
      </c>
    </row>
    <row r="34">
      <c r="A34" s="304" t="n">
        <v>32</v>
      </c>
      <c r="B34" s="315" t="n"/>
      <c r="C34" s="218" t="n">
        <v>10804</v>
      </c>
      <c r="D34" s="846">
        <f>'DATA TRANSFER'!$F$1209</f>
        <v/>
      </c>
      <c r="E34" s="847">
        <f>'DATA TRANSFER'!$F$1210</f>
        <v/>
      </c>
      <c r="F34" s="847">
        <f>IF(AND($D34=INT(C34/100), OR($E34=C34, $E34=0)), INT(C34/100), 0)</f>
        <v/>
      </c>
      <c r="G34" s="847">
        <f>IF(AND($D34=INT(C34/100), $E34=C34), C34, 0)</f>
        <v/>
      </c>
      <c r="H34" s="845" t="inlineStr">
        <is>
          <t>Fault 108: Reduced cooling</t>
        </is>
      </c>
    </row>
    <row r="35">
      <c r="A35" s="304" t="n">
        <v>33</v>
      </c>
      <c r="B35" s="315" t="n"/>
      <c r="C35" s="218" t="n">
        <v>10805</v>
      </c>
      <c r="D35" s="846">
        <f>'DATA TRANSFER'!$F$1209</f>
        <v/>
      </c>
      <c r="E35" s="847">
        <f>'DATA TRANSFER'!$F$1210</f>
        <v/>
      </c>
      <c r="F35" s="847">
        <f>IF(AND($D35=INT(C35/100), OR($E35=C35, $E35=0)), INT(C35/100), 0)</f>
        <v/>
      </c>
      <c r="G35" s="847">
        <f>IF(AND($D35=INT(C35/100), $E35=C35), C35, 0)</f>
        <v/>
      </c>
      <c r="H35" s="845" t="inlineStr">
        <is>
          <t>Fault 108: Reduced cooling</t>
        </is>
      </c>
    </row>
    <row r="36" ht="15.75" customHeight="1" thickBot="1">
      <c r="A36" s="304" t="n">
        <v>34</v>
      </c>
      <c r="B36" s="316" t="n"/>
      <c r="C36" s="220" t="n">
        <v>10806</v>
      </c>
      <c r="D36" s="846">
        <f>'DATA TRANSFER'!$F$1209</f>
        <v/>
      </c>
      <c r="E36" s="847">
        <f>'DATA TRANSFER'!$F$1210</f>
        <v/>
      </c>
      <c r="F36" s="847">
        <f>IF(AND($D36=INT(C36/100), OR($E36=C36, $E36=0)), INT(C36/100), 0)</f>
        <v/>
      </c>
      <c r="G36" s="847">
        <f>IF(AND($D36=INT(C36/100), $E36=C36), C36, 0)</f>
        <v/>
      </c>
      <c r="H36" s="845" t="inlineStr">
        <is>
          <t>Fault 108: Reduced cooling</t>
        </is>
      </c>
    </row>
    <row r="37">
      <c r="A37" s="304" t="n">
        <v>35</v>
      </c>
      <c r="B37" s="311" t="n">
        <v>109</v>
      </c>
      <c r="C37" s="312" t="n">
        <v>10901</v>
      </c>
      <c r="D37" s="846">
        <f>'DATA TRANSFER'!$F$1209</f>
        <v/>
      </c>
      <c r="E37" s="847">
        <f>'DATA TRANSFER'!$F$1210</f>
        <v/>
      </c>
      <c r="F37" s="847">
        <f>IF(AND($D37=INT(C37/100), OR($E37=C37, $E37=0)), INT(C37/100), 0)</f>
        <v/>
      </c>
      <c r="G37" s="847">
        <f>IF(AND($D37=INT(C37/100), $E37=C37), C37, 0)</f>
        <v/>
      </c>
      <c r="H37" s="845" t="inlineStr">
        <is>
          <t>Fault 109: No Heating</t>
        </is>
      </c>
    </row>
    <row r="38">
      <c r="A38" s="304" t="n">
        <v>36</v>
      </c>
      <c r="B38" s="315" t="n"/>
      <c r="C38" s="218" t="n">
        <v>10902</v>
      </c>
      <c r="D38" s="846">
        <f>'DATA TRANSFER'!$F$1209</f>
        <v/>
      </c>
      <c r="E38" s="847">
        <f>'DATA TRANSFER'!$F$1210</f>
        <v/>
      </c>
      <c r="F38" s="847">
        <f>IF(AND($D38=INT(C38/100), OR($E38=C38, $E38=0)), INT(C38/100), 0)</f>
        <v/>
      </c>
      <c r="G38" s="847">
        <f>IF(AND($D38=INT(C38/100), $E38=C38), C38, 0)</f>
        <v/>
      </c>
      <c r="H38" s="845" t="inlineStr">
        <is>
          <t>Fault 109: No Heating</t>
        </is>
      </c>
    </row>
    <row r="39">
      <c r="A39" s="304" t="n">
        <v>37</v>
      </c>
      <c r="B39" s="315" t="n"/>
      <c r="C39" s="218" t="n">
        <v>10903</v>
      </c>
      <c r="D39" s="846">
        <f>'DATA TRANSFER'!$F$1209</f>
        <v/>
      </c>
      <c r="E39" s="847">
        <f>'DATA TRANSFER'!$F$1210</f>
        <v/>
      </c>
      <c r="F39" s="847">
        <f>IF(AND($D39=INT(C39/100), OR($E39=C39, $E39=0)), INT(C39/100), 0)</f>
        <v/>
      </c>
      <c r="G39" s="847">
        <f>IF(AND($D39=INT(C39/100), $E39=C39), C39, 0)</f>
        <v/>
      </c>
      <c r="H39" s="845" t="inlineStr">
        <is>
          <t>Fault 109: No Heating</t>
        </is>
      </c>
    </row>
    <row r="40">
      <c r="A40" s="304" t="n">
        <v>38</v>
      </c>
      <c r="B40" s="315" t="n"/>
      <c r="C40" s="218" t="n">
        <v>10904</v>
      </c>
      <c r="D40" s="846">
        <f>'DATA TRANSFER'!$F$1209</f>
        <v/>
      </c>
      <c r="E40" s="847">
        <f>'DATA TRANSFER'!$F$1210</f>
        <v/>
      </c>
      <c r="F40" s="847">
        <f>IF(AND($D40=INT(C40/100), OR($E40=C40, $E40=0)), INT(C40/100), 0)</f>
        <v/>
      </c>
      <c r="G40" s="847">
        <f>IF(AND($D40=INT(C40/100), $E40=C40), C40, 0)</f>
        <v/>
      </c>
      <c r="H40" s="845" t="inlineStr">
        <is>
          <t>Fault 109: No Heating</t>
        </is>
      </c>
    </row>
    <row r="41" ht="15.75" customHeight="1" thickBot="1">
      <c r="A41" s="304" t="n">
        <v>39</v>
      </c>
      <c r="B41" s="316" t="n"/>
      <c r="C41" s="220" t="n">
        <v>10905</v>
      </c>
      <c r="D41" s="846">
        <f>'DATA TRANSFER'!$F$1209</f>
        <v/>
      </c>
      <c r="E41" s="847">
        <f>'DATA TRANSFER'!$F$1210</f>
        <v/>
      </c>
      <c r="F41" s="847">
        <f>IF(AND($D41=INT(C41/100), OR($E41=C41, $E41=0)), INT(C41/100), 0)</f>
        <v/>
      </c>
      <c r="G41" s="847">
        <f>IF(AND($D41=INT(C41/100), $E41=C41), C41, 0)</f>
        <v/>
      </c>
      <c r="H41" s="845" t="inlineStr">
        <is>
          <t>Fault 109: No Heating</t>
        </is>
      </c>
    </row>
    <row r="42" ht="15.75" customHeight="1" thickBot="1">
      <c r="A42" s="304" t="n">
        <v>40</v>
      </c>
      <c r="B42" s="317" t="n">
        <v>110</v>
      </c>
      <c r="C42" s="318" t="n">
        <v>11001</v>
      </c>
      <c r="D42" s="846">
        <f>'DATA TRANSFER'!$F$1209</f>
        <v/>
      </c>
      <c r="E42" s="847">
        <f>'DATA TRANSFER'!$F$1210</f>
        <v/>
      </c>
      <c r="F42" s="847">
        <f>IF(AND($D42=INT(C42/100), OR($E42=C42, $E42=0)), INT(C42/100), 0)</f>
        <v/>
      </c>
      <c r="G42" s="847">
        <f>IF(AND($D42=INT(C42/100), $E42=C42), C42, 0)</f>
        <v/>
      </c>
      <c r="H42" s="845" t="inlineStr">
        <is>
          <t>Fault 110: Over Cooling</t>
        </is>
      </c>
    </row>
    <row r="43">
      <c r="A43" s="304" t="n">
        <v>41</v>
      </c>
      <c r="B43" s="311" t="n">
        <v>111</v>
      </c>
      <c r="C43" s="312" t="n">
        <v>11101</v>
      </c>
      <c r="D43" s="846">
        <f>'DATA TRANSFER'!$F$1209</f>
        <v/>
      </c>
      <c r="E43" s="847">
        <f>'DATA TRANSFER'!$F$1210</f>
        <v/>
      </c>
      <c r="F43" s="847">
        <f>IF(AND($D43=INT(C43/100), OR($E43=C43, $E43=0)), INT(C43/100), 0)</f>
        <v/>
      </c>
      <c r="G43" s="847">
        <f>IF(AND($D43=INT(C43/100), $E43=C43), C43, 0)</f>
        <v/>
      </c>
      <c r="H43" s="845" t="inlineStr">
        <is>
          <t>Fault 111: Over Heating</t>
        </is>
      </c>
    </row>
    <row r="44" ht="15.75" customHeight="1" thickBot="1">
      <c r="A44" s="304" t="n">
        <v>42</v>
      </c>
      <c r="B44" s="316" t="n"/>
      <c r="C44" s="220" t="n">
        <v>11102</v>
      </c>
      <c r="D44" s="846">
        <f>'DATA TRANSFER'!$F$1209</f>
        <v/>
      </c>
      <c r="E44" s="847">
        <f>'DATA TRANSFER'!$F$1210</f>
        <v/>
      </c>
      <c r="F44" s="847">
        <f>IF(AND($D44=INT(C44/100), OR($E44=C44, $E44=0)), INT(C44/100), 0)</f>
        <v/>
      </c>
      <c r="G44" s="847">
        <f>IF(AND($D44=INT(C44/100), $E44=C44), C44, 0)</f>
        <v/>
      </c>
      <c r="H44" s="845" t="inlineStr">
        <is>
          <t>Fault 111: Over Heating</t>
        </is>
      </c>
    </row>
    <row r="45">
      <c r="A45" s="304" t="n">
        <v>43</v>
      </c>
      <c r="B45" s="311" t="n">
        <v>112</v>
      </c>
      <c r="C45" s="312" t="n">
        <v>11201</v>
      </c>
      <c r="D45" s="846">
        <f>'DATA TRANSFER'!$F$1209</f>
        <v/>
      </c>
      <c r="E45" s="847">
        <f>'DATA TRANSFER'!$F$1210</f>
        <v/>
      </c>
      <c r="F45" s="847">
        <f>IF(AND($D45=INT(C45/100), OR($E45=C45, $E45=0)), INT(C45/100), 0)</f>
        <v/>
      </c>
      <c r="G45" s="847">
        <f>IF(AND($D45=INT(C45/100), $E45=C45), C45, 0)</f>
        <v/>
      </c>
      <c r="H45" s="845" t="inlineStr">
        <is>
          <t>Fault 112: No emergency ventilation</t>
        </is>
      </c>
    </row>
    <row r="46" ht="15.75" customHeight="1" thickBot="1">
      <c r="A46" s="304" t="n">
        <v>44</v>
      </c>
      <c r="B46" s="316" t="n"/>
      <c r="C46" s="220" t="n">
        <v>11202</v>
      </c>
      <c r="D46" s="846">
        <f>'DATA TRANSFER'!$F$1209</f>
        <v/>
      </c>
      <c r="E46" s="847">
        <f>'DATA TRANSFER'!$F$1210</f>
        <v/>
      </c>
      <c r="F46" s="847">
        <f>IF(AND($D46=INT(C46/100), OR($E46=C46, $E46=0)), INT(C46/100), 0)</f>
        <v/>
      </c>
      <c r="G46" s="847">
        <f>IF(AND($D46=INT(C46/100), $E46=C46), C46, 0)</f>
        <v/>
      </c>
      <c r="H46" s="845" t="inlineStr">
        <is>
          <t>Fault 112: No emergency ventilation</t>
        </is>
      </c>
    </row>
    <row r="47">
      <c r="A47" s="304" t="n">
        <v>45</v>
      </c>
      <c r="B47" s="311" t="n">
        <v>113</v>
      </c>
      <c r="C47" s="312" t="n">
        <v>11301</v>
      </c>
      <c r="D47" s="846">
        <f>'DATA TRANSFER'!$F$1209</f>
        <v/>
      </c>
      <c r="E47" s="847">
        <f>'DATA TRANSFER'!$F$1210</f>
        <v/>
      </c>
      <c r="F47" s="847">
        <f>IF(AND($D47=INT(C47/100), OR($E47=C47, $E47=0)), INT(C47/100), 0)</f>
        <v/>
      </c>
      <c r="G47" s="847">
        <f>IF(AND($D47=INT(C47/100), $E47=C47), C47, 0)</f>
        <v/>
      </c>
      <c r="H47" s="845" t="inlineStr">
        <is>
          <t>Fault 113: Smoke identified in saloon</t>
        </is>
      </c>
    </row>
    <row r="48" ht="15.75" customHeight="1" thickBot="1">
      <c r="A48" s="304" t="n">
        <v>46</v>
      </c>
      <c r="B48" s="316" t="n"/>
      <c r="C48" s="220" t="n">
        <v>11302</v>
      </c>
      <c r="D48" s="846">
        <f>'DATA TRANSFER'!$F$1209</f>
        <v/>
      </c>
      <c r="E48" s="847">
        <f>'DATA TRANSFER'!$F$1210</f>
        <v/>
      </c>
      <c r="F48" s="847">
        <f>IF(AND($D48=INT(C48/100), OR($E48=C48, $E48=0)), INT(C48/100), 0)</f>
        <v/>
      </c>
      <c r="G48" s="847">
        <f>IF(AND($D48=INT(C48/100), $E48=C48), C48, 0)</f>
        <v/>
      </c>
      <c r="H48" s="845" t="inlineStr">
        <is>
          <t>Fault 113: Smoke identified in saloon</t>
        </is>
      </c>
    </row>
    <row r="49">
      <c r="A49" s="304" t="n">
        <v>47</v>
      </c>
      <c r="B49" s="311" t="n">
        <v>114</v>
      </c>
      <c r="C49" s="312" t="n">
        <v>11401</v>
      </c>
      <c r="D49" s="846">
        <f>'DATA TRANSFER'!$F$1209</f>
        <v/>
      </c>
      <c r="E49" s="847">
        <f>'DATA TRANSFER'!$F$1210</f>
        <v/>
      </c>
      <c r="F49" s="847">
        <f>IF(AND($D49=INT(C49/100), OR($E49=C49, $E49=0)), INT(C49/100), 0)</f>
        <v/>
      </c>
      <c r="G49" s="847">
        <f>IF(AND($D49=INT(C49/100), $E49=C49), C49, 0)</f>
        <v/>
      </c>
      <c r="H49" s="845" t="inlineStr">
        <is>
          <t>Fault 114: Compressor excessively noisy | Condenser Fan or Supply Blower</t>
        </is>
      </c>
    </row>
    <row r="50">
      <c r="A50" s="304" t="n">
        <v>48</v>
      </c>
      <c r="B50" s="315" t="n"/>
      <c r="C50" s="218" t="n">
        <v>11402</v>
      </c>
      <c r="D50" s="846">
        <f>'DATA TRANSFER'!$F$1209</f>
        <v/>
      </c>
      <c r="E50" s="847">
        <f>'DATA TRANSFER'!$F$1210</f>
        <v/>
      </c>
      <c r="F50" s="847">
        <f>IF(AND($D50=INT(C50/100), OR($E50=C50, $E50=0)), INT(C50/100), 0)</f>
        <v/>
      </c>
      <c r="G50" s="847">
        <f>IF(AND($D50=INT(C50/100), $E50=C50), C50, 0)</f>
        <v/>
      </c>
      <c r="H50" s="845" t="inlineStr">
        <is>
          <t>Fault 114: Compressor excessively noisy | Condenser Fan or Supply Blower</t>
        </is>
      </c>
    </row>
    <row r="51">
      <c r="A51" s="304" t="n">
        <v>49</v>
      </c>
      <c r="B51" s="315" t="n"/>
      <c r="C51" s="218" t="n">
        <v>11403</v>
      </c>
      <c r="D51" s="846">
        <f>'DATA TRANSFER'!$F$1209</f>
        <v/>
      </c>
      <c r="E51" s="847">
        <f>'DATA TRANSFER'!$F$1210</f>
        <v/>
      </c>
      <c r="F51" s="847">
        <f>IF(AND($D51=INT(C51/100), OR($E51=C51, $E51=0)), INT(C51/100), 0)</f>
        <v/>
      </c>
      <c r="G51" s="847">
        <f>IF(AND($D51=INT(C51/100), $E51=C51), C51, 0)</f>
        <v/>
      </c>
      <c r="H51" s="845" t="inlineStr">
        <is>
          <t>Fault 114: Compressor excessively noisy | Condenser Fan or Supply Blower</t>
        </is>
      </c>
    </row>
    <row r="52" ht="15.75" customHeight="1" thickBot="1">
      <c r="A52" s="304" t="n">
        <v>50</v>
      </c>
      <c r="B52" s="319" t="n"/>
      <c r="C52" s="320" t="n">
        <v>11404</v>
      </c>
      <c r="D52" s="846">
        <f>'DATA TRANSFER'!$F$1209</f>
        <v/>
      </c>
      <c r="E52" s="847">
        <f>'DATA TRANSFER'!$F$1210</f>
        <v/>
      </c>
      <c r="F52" s="847">
        <f>IF(AND($D52=INT(C52/100), OR($E52=C52, $E52=0)), INT(C52/100), 0)</f>
        <v/>
      </c>
      <c r="G52" s="847">
        <f>IF(AND($D52=INT(C52/100), $E52=C52), C52, 0)</f>
        <v/>
      </c>
      <c r="H52" s="845" t="inlineStr">
        <is>
          <t>Fault 114: Compressor excessively noisy | Condenser Fan or Supply Blower</t>
        </is>
      </c>
    </row>
    <row r="53">
      <c r="A53" s="304" t="n">
        <v>51</v>
      </c>
      <c r="B53" s="311" t="n">
        <v>115</v>
      </c>
      <c r="C53" s="312" t="n">
        <v>11501</v>
      </c>
      <c r="D53" s="846">
        <f>'DATA TRANSFER'!$F$1209</f>
        <v/>
      </c>
      <c r="E53" s="847">
        <f>'DATA TRANSFER'!$F$1210</f>
        <v/>
      </c>
      <c r="F53" s="847">
        <f>IF(AND($D53=INT(C53/100), OR($E53=C53, $E53=0)), INT(C53/100), 0)</f>
        <v/>
      </c>
      <c r="G53" s="847">
        <f>IF(AND($D53=INT(C53/100), $E53=C53), C53, 0)</f>
        <v/>
      </c>
      <c r="H53" s="845" t="inlineStr">
        <is>
          <t>Fault 115: Spare Fault Scenario</t>
        </is>
      </c>
    </row>
    <row r="54" ht="15.75" customHeight="1" thickBot="1">
      <c r="A54" s="304" t="n">
        <v>52</v>
      </c>
      <c r="B54" s="319" t="n"/>
      <c r="C54" s="320" t="n">
        <v>11502</v>
      </c>
      <c r="D54" s="846">
        <f>'DATA TRANSFER'!$F$1209</f>
        <v/>
      </c>
      <c r="E54" s="847">
        <f>'DATA TRANSFER'!$F$1210</f>
        <v/>
      </c>
      <c r="F54" s="847">
        <f>IF(AND($D54=INT(C54/100), OR($E54=C54, $E54=0)), INT(C54/100), 0)</f>
        <v/>
      </c>
      <c r="G54" s="847">
        <f>IF(AND($D54=INT(C54/100), $E54=C54), C54, 0)</f>
        <v/>
      </c>
      <c r="H54" s="845" t="inlineStr">
        <is>
          <t>Fault 115: Spare Fault Scenario</t>
        </is>
      </c>
    </row>
    <row r="55" ht="15.75" customHeight="1" thickBot="1">
      <c r="A55" s="304" t="n">
        <v>53</v>
      </c>
      <c r="B55" s="317" t="n">
        <v>116</v>
      </c>
      <c r="C55" s="318" t="n">
        <v>11601</v>
      </c>
      <c r="D55" s="846">
        <f>'DATA TRANSFER'!$F$1209</f>
        <v/>
      </c>
      <c r="E55" s="847">
        <f>'DATA TRANSFER'!$F$1210</f>
        <v/>
      </c>
      <c r="F55" s="847">
        <f>IF(AND($D55=INT(C55/100), OR($E55=C55, $E55=0)), INT(C55/100), 0)</f>
        <v/>
      </c>
      <c r="G55" s="847">
        <f>IF(AND($D55=INT(C55/100), $E55=C55), C55, 0)</f>
        <v/>
      </c>
      <c r="H55" s="845" t="inlineStr">
        <is>
          <t>Fault 116: Spare Fault Scenario</t>
        </is>
      </c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Lapalikar</dc:creator>
  <dcterms:created xsi:type="dcterms:W3CDTF">2026-04-07T11:29:31Z</dcterms:created>
  <dcterms:modified xsi:type="dcterms:W3CDTF">2026-10-17T09:04:40Z</dcterms:modified>
  <cp:lastModifiedBy>Kunal Kapadane</cp:lastModifiedBy>
</cp:coreProperties>
</file>