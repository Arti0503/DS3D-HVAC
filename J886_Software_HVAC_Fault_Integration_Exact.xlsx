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DATA TRANSFER" sheetId="1" state="visible" r:id="rId1"/>
    <sheet name="Fault Logic" sheetId="2" state="visible" r:id="rId2"/>
  </sheets>
  <definedNames>
    <definedName name="A1J">'CIRCUIT SIMULATION'!$DS$895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0">
    <font>
      <name val="Aptos Narrow"/>
      <family val="2"/>
      <color theme="1"/>
      <sz val="11"/>
      <scheme val="minor"/>
    </font>
    <font>
      <name val="Book Antiqua"/>
      <family val="1"/>
      <b val="1"/>
      <color theme="1"/>
      <sz val="12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Book Antiqua"/>
      <family val="1"/>
      <color theme="1"/>
      <sz val="11"/>
    </font>
    <font>
      <name val="Calibri"/>
      <family val="2"/>
      <b val="1"/>
      <color indexed="8"/>
      <sz val="11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color rgb="FF7030A0"/>
      <sz val="12"/>
    </font>
    <font>
      <name val="Calibri"/>
      <family val="2"/>
      <b val="1"/>
      <color theme="1"/>
      <sz val="14"/>
    </font>
    <font>
      <name val="Calibri"/>
      <family val="2"/>
      <b val="1"/>
      <color theme="1"/>
      <sz val="16"/>
    </font>
    <font>
      <name val="Book Antiqua"/>
      <family val="1"/>
      <color rgb="FF000000"/>
      <sz val="11"/>
    </font>
    <font>
      <name val="Aptos Narrow"/>
      <family val="2"/>
      <color rgb="FFD60C7F"/>
      <sz val="11"/>
      <scheme val="minor"/>
    </font>
    <font>
      <name val="Calibri"/>
      <family val="2"/>
      <color rgb="FFD60C7F"/>
      <sz val="12"/>
    </font>
    <font>
      <name val="Calibri"/>
      <family val="2"/>
      <b val="1"/>
      <color theme="1"/>
      <sz val="22"/>
    </font>
    <font>
      <name val="Calibri"/>
      <family val="2"/>
      <b val="1"/>
      <color theme="1"/>
      <sz val="26"/>
    </font>
    <font>
      <name val="Calibri"/>
      <family val="2"/>
      <sz val="12"/>
    </font>
    <font>
      <name val="Book Antiqua"/>
      <family val="1"/>
      <color theme="1"/>
      <sz val="12"/>
    </font>
    <font>
      <name val="Arial Unicode MS"/>
      <family val="2"/>
      <color theme="1"/>
      <sz val="10"/>
    </font>
    <font>
      <name val="Book Antiqua"/>
      <family val="1"/>
      <color rgb="FFFF0000"/>
      <sz val="11"/>
    </font>
    <font>
      <name val="Book Antiqua"/>
      <family val="1"/>
      <b val="1"/>
      <color theme="1"/>
      <sz val="11"/>
    </font>
    <font>
      <name val="Calibri"/>
      <charset val="1"/>
      <family val="2"/>
      <b val="1"/>
      <color indexed="8"/>
      <sz val="11"/>
    </font>
    <font>
      <name val="Calibri"/>
      <charset val="1"/>
      <family val="2"/>
      <color indexed="8"/>
      <sz val="11"/>
    </font>
    <font>
      <name val="Book Antiqua"/>
      <family val="1"/>
      <b val="1"/>
      <color theme="1"/>
      <sz val="16"/>
    </font>
    <font>
      <name val="Book Antiqua"/>
      <family val="1"/>
      <color rgb="FF000000"/>
      <sz val="12"/>
    </font>
    <font>
      <name val="Book Antiqua"/>
      <family val="1"/>
      <color rgb="FFD60C7F"/>
      <sz val="12"/>
    </font>
    <font>
      <name val="Book Antiqua"/>
      <family val="1"/>
      <b val="1"/>
      <color indexed="8"/>
      <sz val="12"/>
    </font>
    <font>
      <name val="Book Antiqua"/>
      <family val="1"/>
      <b val="1"/>
      <color rgb="FFFF0000"/>
      <sz val="16"/>
    </font>
    <font>
      <name val="Google Sans Text"/>
      <color rgb="FF303030"/>
      <sz val="12"/>
    </font>
    <font>
      <name val="Calibri"/>
      <charset val="1"/>
      <family val="2"/>
      <color rgb="FFFF0000"/>
      <sz val="11"/>
    </font>
    <font>
      <name val="Calibri"/>
      <charset val="1"/>
      <family val="2"/>
      <color indexed="8"/>
      <sz val="12"/>
    </font>
    <font>
      <name val="Calibri"/>
      <charset val="1"/>
      <family val="2"/>
      <sz val="12"/>
    </font>
    <font>
      <name val="Lato"/>
      <family val="2"/>
      <b val="1"/>
      <color rgb="FF000000"/>
      <sz val="12"/>
    </font>
    <font>
      <name val="Aptos Narrow"/>
      <family val="2"/>
      <color rgb="FFFF0000"/>
      <sz val="11"/>
      <scheme val="minor"/>
    </font>
    <font>
      <name val="Aptos Narrow"/>
      <family val="2"/>
      <color rgb="FF9C0006"/>
      <sz val="11"/>
      <scheme val="minor"/>
    </font>
    <font>
      <name val="Calibri"/>
      <family val="2"/>
      <b val="1"/>
      <color indexed="8"/>
      <sz val="18"/>
    </font>
    <font>
      <name val="Aptos Narrow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  <vertAlign val="superscript"/>
    </font>
    <font>
      <name val="Calibri"/>
      <family val="2"/>
      <b val="1"/>
      <color theme="1"/>
      <sz val="12"/>
    </font>
    <font>
      <name val="Calibri"/>
      <family val="2"/>
      <b val="1"/>
      <color theme="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libri"/>
      <family val="2"/>
      <color theme="0"/>
      <sz val="20"/>
    </font>
    <font>
      <name val="Calibri"/>
      <family val="2"/>
      <b val="1"/>
      <color theme="0"/>
      <sz val="14"/>
    </font>
    <font>
      <name val="Calibri"/>
      <family val="2"/>
      <color rgb="FFD60C7F"/>
      <sz val="11"/>
    </font>
    <font>
      <name val="Calibri"/>
      <family val="2"/>
      <b val="1"/>
      <color theme="1"/>
      <sz val="20"/>
    </font>
    <font>
      <name val="Calibri"/>
      <family val="2"/>
      <color rgb="FFFF0000"/>
      <sz val="11"/>
    </font>
    <font>
      <name val="Calibri"/>
      <family val="2"/>
      <color rgb="FF9C0006"/>
      <sz val="11"/>
    </font>
    <font>
      <name val="Calibri"/>
      <family val="2"/>
      <b val="1"/>
      <color theme="1"/>
      <sz val="24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color theme="1"/>
      <sz val="22"/>
    </font>
    <font>
      <name val="Calibri"/>
      <family val="2"/>
      <b val="1"/>
      <color rgb="FFFF0000"/>
      <sz val="11"/>
    </font>
    <font>
      <name val="Calibri"/>
      <family val="2"/>
      <b val="1"/>
      <color rgb="FF0000FF"/>
      <sz val="12"/>
      <u val="single"/>
    </font>
    <font>
      <name val="Calibri"/>
      <family val="2"/>
      <color rgb="FFFF0000"/>
      <sz val="12"/>
    </font>
    <font>
      <name val="Calibri"/>
      <family val="2"/>
      <b val="1"/>
      <color rgb="FFFF0000"/>
      <sz val="12"/>
    </font>
    <font>
      <name val="Aptos Narrow"/>
      <family val="2"/>
      <color rgb="FF002060"/>
      <sz val="11"/>
      <scheme val="minor"/>
    </font>
    <font>
      <name val="Aptos Narrow"/>
      <family val="2"/>
      <b val="1"/>
      <color rgb="FF002060"/>
      <sz val="11"/>
      <scheme val="minor"/>
    </font>
    <font>
      <name val="Calibri"/>
      <family val="2"/>
      <b val="1"/>
      <color rgb="FF002060"/>
      <sz val="11"/>
    </font>
    <font>
      <name val="Calibri"/>
      <family val="2"/>
      <b val="1"/>
      <color rgb="FF0070C0"/>
      <sz val="11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rgb="FF002060"/>
      <sz val="12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Calibri"/>
      <family val="2"/>
      <sz val="11"/>
    </font>
  </fonts>
  <fills count="6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EFB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BEFCFE"/>
        <bgColor indexed="64"/>
      </patternFill>
    </fill>
    <fill>
      <patternFill patternType="solid">
        <fgColor rgb="FFFEEF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4B5F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BD6F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9F7DB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11"/>
        <bgColor indexed="35"/>
      </patternFill>
    </fill>
    <fill>
      <patternFill patternType="solid">
        <fgColor indexed="51"/>
        <bgColor indexed="20"/>
      </patternFill>
    </fill>
    <fill>
      <patternFill patternType="solid">
        <fgColor indexed="13"/>
        <bgColor indexed="43"/>
      </patternFill>
    </fill>
    <fill>
      <patternFill patternType="solid">
        <fgColor theme="8" tint="0.7999816888943144"/>
        <bgColor indexed="47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indexed="50"/>
        <bgColor indexed="3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CD7FD"/>
        <bgColor indexed="64"/>
      </patternFill>
    </fill>
    <fill>
      <patternFill patternType="solid">
        <fgColor indexed="47"/>
        <bgColor indexed="6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2" fillId="0" borderId="0"/>
    <xf numFmtId="0" fontId="34" fillId="53" borderId="0"/>
  </cellStyleXfs>
  <cellXfs count="912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49" fontId="5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49" fontId="5" fillId="6" borderId="9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 wrapText="1"/>
    </xf>
    <xf numFmtId="49" fontId="5" fillId="6" borderId="2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7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1" borderId="15" pivotButton="0" quotePrefix="0" xfId="0"/>
    <xf numFmtId="0" fontId="17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0" fillId="8" borderId="30" pivotButton="0" quotePrefix="0" xfId="0"/>
    <xf numFmtId="0" fontId="0" fillId="8" borderId="22" applyAlignment="1" pivotButton="0" quotePrefix="0" xfId="0">
      <alignment horizontal="center" vertical="center" wrapText="1"/>
    </xf>
    <xf numFmtId="0" fontId="0" fillId="8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8" borderId="0" pivotButton="0" quotePrefix="0" xfId="0"/>
    <xf numFmtId="0" fontId="0" fillId="8" borderId="3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/>
    </xf>
    <xf numFmtId="0" fontId="18" fillId="21" borderId="3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vertical="center"/>
    </xf>
    <xf numFmtId="0" fontId="4" fillId="28" borderId="4" applyAlignment="1" pivotButton="0" quotePrefix="0" xfId="0">
      <alignment horizontal="left" vertical="center"/>
    </xf>
    <xf numFmtId="0" fontId="4" fillId="28" borderId="4" applyAlignment="1" pivotButton="0" quotePrefix="0" xfId="0">
      <alignment vertical="center"/>
    </xf>
    <xf numFmtId="0" fontId="4" fillId="28" borderId="0" applyAlignment="1" pivotButton="0" quotePrefix="0" xfId="0">
      <alignment vertical="center"/>
    </xf>
    <xf numFmtId="0" fontId="4" fillId="28" borderId="1" applyAlignment="1" pivotButton="0" quotePrefix="0" xfId="0">
      <alignment horizontal="left" vertical="center"/>
    </xf>
    <xf numFmtId="0" fontId="4" fillId="28" borderId="2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21" fillId="0" borderId="1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21" fillId="30" borderId="44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32" borderId="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21" fillId="33" borderId="12" applyAlignment="1" pivotButton="0" quotePrefix="0" xfId="0">
      <alignment horizontal="center" vertical="center" wrapText="1"/>
    </xf>
    <xf numFmtId="0" fontId="0" fillId="33" borderId="4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/>
    </xf>
    <xf numFmtId="49" fontId="5" fillId="6" borderId="8" applyAlignment="1" pivotButton="0" quotePrefix="0" xfId="0">
      <alignment horizontal="left" vertical="center"/>
    </xf>
    <xf numFmtId="0" fontId="0" fillId="0" borderId="45" applyAlignment="1" pivotButton="0" quotePrefix="0" xfId="0">
      <alignment horizontal="center" vertical="center"/>
    </xf>
    <xf numFmtId="0" fontId="0" fillId="11" borderId="55" applyAlignment="1" pivotButton="0" quotePrefix="0" xfId="0">
      <alignment horizontal="center" vertical="center"/>
    </xf>
    <xf numFmtId="0" fontId="0" fillId="11" borderId="56" applyAlignment="1" pivotButton="0" quotePrefix="0" xfId="0">
      <alignment horizontal="center" vertical="center"/>
    </xf>
    <xf numFmtId="0" fontId="0" fillId="11" borderId="42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34" borderId="0" applyAlignment="1" pivotButton="0" quotePrefix="0" xfId="0">
      <alignment horizontal="center" vertical="center"/>
    </xf>
    <xf numFmtId="0" fontId="0" fillId="35" borderId="49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35" borderId="50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11" borderId="46" applyAlignment="1" pivotButton="0" quotePrefix="0" xfId="0">
      <alignment horizontal="center" vertical="center"/>
    </xf>
    <xf numFmtId="0" fontId="0" fillId="11" borderId="47" applyAlignment="1" pivotButton="0" quotePrefix="0" xfId="0">
      <alignment horizontal="center" vertical="center"/>
    </xf>
    <xf numFmtId="0" fontId="0" fillId="11" borderId="48" applyAlignment="1" pivotButton="0" quotePrefix="0" xfId="0">
      <alignment horizontal="center" vertical="center"/>
    </xf>
    <xf numFmtId="0" fontId="0" fillId="11" borderId="49" applyAlignment="1" pivotButton="0" quotePrefix="0" xfId="0">
      <alignment horizontal="center" vertical="center"/>
    </xf>
    <xf numFmtId="0" fontId="0" fillId="11" borderId="50" applyAlignment="1" pivotButton="0" quotePrefix="0" xfId="0">
      <alignment horizontal="center" vertical="center"/>
    </xf>
    <xf numFmtId="0" fontId="0" fillId="11" borderId="57" applyAlignment="1" pivotButton="0" quotePrefix="0" xfId="0">
      <alignment horizontal="center" vertical="center"/>
    </xf>
    <xf numFmtId="0" fontId="0" fillId="11" borderId="5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11" borderId="52" applyAlignment="1" pivotButton="0" quotePrefix="0" xfId="0">
      <alignment horizontal="center" vertical="center"/>
    </xf>
    <xf numFmtId="0" fontId="0" fillId="11" borderId="58" applyAlignment="1" pivotButton="0" quotePrefix="0" xfId="0">
      <alignment horizontal="center" vertical="center"/>
    </xf>
    <xf numFmtId="0" fontId="0" fillId="35" borderId="46" applyAlignment="1" pivotButton="0" quotePrefix="0" xfId="0">
      <alignment horizontal="center" vertical="center"/>
    </xf>
    <xf numFmtId="0" fontId="0" fillId="35" borderId="47" applyAlignment="1" pivotButton="0" quotePrefix="0" xfId="0">
      <alignment horizontal="center" vertical="center"/>
    </xf>
    <xf numFmtId="0" fontId="0" fillId="35" borderId="48" applyAlignment="1" pivotButton="0" quotePrefix="0" xfId="0">
      <alignment horizontal="center" vertical="center"/>
    </xf>
    <xf numFmtId="0" fontId="0" fillId="35" borderId="57" applyAlignment="1" pivotButton="0" quotePrefix="0" xfId="0">
      <alignment horizontal="center" vertical="center"/>
    </xf>
    <xf numFmtId="0" fontId="0" fillId="35" borderId="51" applyAlignment="1" pivotButton="0" quotePrefix="0" xfId="0">
      <alignment horizontal="center" vertical="center"/>
    </xf>
    <xf numFmtId="0" fontId="0" fillId="35" borderId="5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1" borderId="23" applyAlignment="1" pivotButton="0" quotePrefix="0" xfId="0">
      <alignment horizontal="center" vertical="center"/>
    </xf>
    <xf numFmtId="0" fontId="0" fillId="11" borderId="31" applyAlignment="1" pivotButton="0" quotePrefix="0" xfId="0">
      <alignment horizontal="center" vertical="center"/>
    </xf>
    <xf numFmtId="0" fontId="0" fillId="11" borderId="32" applyAlignment="1" pivotButton="0" quotePrefix="0" xfId="0">
      <alignment horizontal="center" vertical="center"/>
    </xf>
    <xf numFmtId="0" fontId="0" fillId="11" borderId="26" applyAlignment="1" pivotButton="0" quotePrefix="0" xfId="0">
      <alignment horizontal="center" vertical="center"/>
    </xf>
    <xf numFmtId="0" fontId="0" fillId="11" borderId="27" applyAlignment="1" pivotButton="0" quotePrefix="0" xfId="0">
      <alignment horizontal="center" vertical="center"/>
    </xf>
    <xf numFmtId="0" fontId="0" fillId="11" borderId="60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59" applyAlignment="1" pivotButton="0" quotePrefix="0" xfId="0">
      <alignment horizontal="center" vertical="center"/>
    </xf>
    <xf numFmtId="0" fontId="2" fillId="11" borderId="16" applyAlignment="1" pivotButton="0" quotePrefix="0" xfId="0">
      <alignment horizontal="center" vertical="center"/>
    </xf>
    <xf numFmtId="0" fontId="0" fillId="11" borderId="61" applyAlignment="1" pivotButton="0" quotePrefix="0" xfId="0">
      <alignment horizontal="center" vertical="center"/>
    </xf>
    <xf numFmtId="0" fontId="2" fillId="11" borderId="17" applyAlignment="1" pivotButton="0" quotePrefix="0" xfId="0">
      <alignment horizontal="center" vertical="center"/>
    </xf>
    <xf numFmtId="0" fontId="2" fillId="11" borderId="19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9" borderId="8" applyAlignment="1" pivotButton="0" quotePrefix="0" xfId="0">
      <alignment horizontal="center" vertical="center" wrapText="1"/>
    </xf>
    <xf numFmtId="0" fontId="24" fillId="9" borderId="8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49" fontId="26" fillId="6" borderId="1" applyAlignment="1" pivotButton="0" quotePrefix="0" xfId="0">
      <alignment horizontal="center" vertical="center"/>
    </xf>
    <xf numFmtId="49" fontId="26" fillId="6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vertical="center"/>
    </xf>
    <xf numFmtId="0" fontId="4" fillId="36" borderId="4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17" borderId="5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37" borderId="26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29" borderId="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0" borderId="4" applyAlignment="1" pivotButton="0" quotePrefix="0" xfId="0">
      <alignment horizontal="center" vertical="center"/>
    </xf>
    <xf numFmtId="0" fontId="0" fillId="36" borderId="54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41" borderId="65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41" borderId="73" applyAlignment="1" pivotButton="0" quotePrefix="0" xfId="0">
      <alignment horizontal="center" vertical="center"/>
    </xf>
    <xf numFmtId="0" fontId="0" fillId="0" borderId="74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41" borderId="7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 wrapText="1"/>
    </xf>
    <xf numFmtId="0" fontId="0" fillId="0" borderId="8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74" applyAlignment="1" pivotButton="0" quotePrefix="0" xfId="0">
      <alignment horizontal="center" vertical="center" wrapText="1"/>
    </xf>
    <xf numFmtId="0" fontId="0" fillId="0" borderId="84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0" fillId="0" borderId="88" applyAlignment="1" pivotButton="0" quotePrefix="0" xfId="0">
      <alignment horizontal="center" vertical="center"/>
    </xf>
    <xf numFmtId="0" fontId="33" fillId="37" borderId="25" applyAlignment="1" pivotButton="0" quotePrefix="0" xfId="0">
      <alignment horizontal="center" vertical="center"/>
    </xf>
    <xf numFmtId="0" fontId="33" fillId="37" borderId="0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 wrapText="1"/>
    </xf>
    <xf numFmtId="0" fontId="0" fillId="0" borderId="66" applyAlignment="1" applyProtection="1" pivotButton="0" quotePrefix="0" xfId="0">
      <alignment horizontal="center" vertical="center" wrapText="1"/>
      <protection locked="1" hidden="1"/>
    </xf>
    <xf numFmtId="0" fontId="0" fillId="0" borderId="6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17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7" borderId="25" applyAlignment="1" pivotButton="0" quotePrefix="0" xfId="0">
      <alignment horizontal="center" vertical="center"/>
    </xf>
    <xf numFmtId="0" fontId="29" fillId="17" borderId="2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32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/>
    </xf>
    <xf numFmtId="0" fontId="32" fillId="0" borderId="26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32" fillId="0" borderId="89" applyAlignment="1" pivotButton="0" quotePrefix="0" xfId="0">
      <alignment horizontal="center"/>
    </xf>
    <xf numFmtId="0" fontId="0" fillId="0" borderId="9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47" borderId="47" applyAlignment="1" pivotButton="0" quotePrefix="0" xfId="0">
      <alignment horizontal="center" vertical="center"/>
    </xf>
    <xf numFmtId="0" fontId="0" fillId="47" borderId="0" applyAlignment="1" pivotButton="0" quotePrefix="0" xfId="0">
      <alignment horizontal="center" vertical="center"/>
    </xf>
    <xf numFmtId="0" fontId="0" fillId="18" borderId="21" applyAlignment="1" pivotButton="0" quotePrefix="0" xfId="0">
      <alignment horizontal="center" vertical="center"/>
    </xf>
    <xf numFmtId="0" fontId="0" fillId="18" borderId="22" applyAlignment="1" pivotButton="0" quotePrefix="0" xfId="0">
      <alignment horizontal="center" vertical="center"/>
    </xf>
    <xf numFmtId="0" fontId="0" fillId="18" borderId="23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 wrapText="1"/>
    </xf>
    <xf numFmtId="0" fontId="0" fillId="35" borderId="29" applyAlignment="1" pivotButton="0" quotePrefix="0" xfId="0">
      <alignment horizontal="center" vertical="center"/>
    </xf>
    <xf numFmtId="0" fontId="0" fillId="35" borderId="30" applyAlignment="1" pivotButton="0" quotePrefix="0" xfId="0">
      <alignment horizontal="center" vertical="center"/>
    </xf>
    <xf numFmtId="0" fontId="0" fillId="35" borderId="74" applyAlignment="1" pivotButton="0" quotePrefix="0" xfId="0">
      <alignment horizontal="center" vertical="center"/>
    </xf>
    <xf numFmtId="0" fontId="0" fillId="35" borderId="25" applyAlignment="1" pivotButton="0" quotePrefix="0" xfId="0">
      <alignment horizontal="center" vertical="center"/>
    </xf>
    <xf numFmtId="0" fontId="0" fillId="35" borderId="33" applyAlignment="1" pivotButton="0" quotePrefix="0" xfId="0">
      <alignment horizontal="center" vertical="center"/>
    </xf>
    <xf numFmtId="0" fontId="0" fillId="0" borderId="66" applyAlignment="1" pivotButton="0" quotePrefix="0" xfId="0">
      <alignment vertical="center"/>
    </xf>
    <xf numFmtId="0" fontId="0" fillId="0" borderId="9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0" borderId="0" applyAlignment="1" pivotButton="0" quotePrefix="0" xfId="0">
      <alignment horizontal="center" vertical="center"/>
    </xf>
    <xf numFmtId="0" fontId="0" fillId="50" borderId="1" applyAlignment="1" pivotButton="0" quotePrefix="0" xfId="0">
      <alignment horizontal="center" vertical="center"/>
    </xf>
    <xf numFmtId="0" fontId="0" fillId="17" borderId="66" applyAlignment="1" applyProtection="1" pivotButton="0" quotePrefix="0" xfId="0">
      <alignment horizontal="center" vertical="center" wrapText="1"/>
      <protection locked="1" hidden="1"/>
    </xf>
    <xf numFmtId="0" fontId="21" fillId="51" borderId="11" applyAlignment="1" pivotButton="0" quotePrefix="0" xfId="0">
      <alignment horizontal="center" vertical="center" wrapText="1"/>
    </xf>
    <xf numFmtId="0" fontId="21" fillId="51" borderId="12" applyAlignment="1" pivotButton="0" quotePrefix="0" xfId="0">
      <alignment horizontal="center" vertical="center" wrapText="1"/>
    </xf>
    <xf numFmtId="0" fontId="21" fillId="51" borderId="13" applyAlignment="1" pivotButton="0" quotePrefix="0" xfId="0">
      <alignment horizontal="center" vertical="center" wrapText="1"/>
    </xf>
    <xf numFmtId="0" fontId="0" fillId="0" borderId="92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center" vertical="center"/>
    </xf>
    <xf numFmtId="0" fontId="0" fillId="0" borderId="94" applyAlignment="1" pivotButton="0" quotePrefix="0" xfId="0">
      <alignment horizontal="center" vertical="center" wrapText="1"/>
    </xf>
    <xf numFmtId="0" fontId="0" fillId="0" borderId="95" applyAlignment="1" pivotButton="0" quotePrefix="0" xfId="0">
      <alignment horizontal="center" vertical="center" wrapText="1"/>
    </xf>
    <xf numFmtId="0" fontId="0" fillId="0" borderId="96" applyAlignment="1" pivotButton="0" quotePrefix="0" xfId="0">
      <alignment horizontal="center" vertical="center" wrapText="1"/>
    </xf>
    <xf numFmtId="0" fontId="0" fillId="0" borderId="97" applyAlignment="1" pivotButton="0" quotePrefix="0" xfId="0">
      <alignment horizontal="center" vertical="center" wrapText="1"/>
    </xf>
    <xf numFmtId="0" fontId="0" fillId="17" borderId="66" applyAlignment="1" pivotButton="0" quotePrefix="0" xfId="0">
      <alignment horizontal="center" vertical="center" wrapText="1"/>
    </xf>
    <xf numFmtId="0" fontId="0" fillId="0" borderId="98" applyAlignment="1" pivotButton="0" quotePrefix="0" xfId="0">
      <alignment horizontal="center" vertical="center" wrapText="1"/>
    </xf>
    <xf numFmtId="0" fontId="0" fillId="0" borderId="99" applyAlignment="1" pivotButton="0" quotePrefix="0" xfId="0">
      <alignment horizontal="center" vertical="center"/>
    </xf>
    <xf numFmtId="0" fontId="0" fillId="0" borderId="99" applyAlignment="1" pivotButton="0" quotePrefix="0" xfId="0">
      <alignment horizontal="center" vertical="center" wrapText="1"/>
    </xf>
    <xf numFmtId="0" fontId="0" fillId="0" borderId="100" applyAlignment="1" pivotButton="0" quotePrefix="0" xfId="0">
      <alignment horizontal="center" vertical="center" wrapText="1"/>
    </xf>
    <xf numFmtId="0" fontId="10" fillId="2" borderId="4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10" fillId="2" borderId="6" applyAlignment="1" pivotButton="0" quotePrefix="0" xfId="0">
      <alignment vertical="center"/>
    </xf>
    <xf numFmtId="0" fontId="0" fillId="0" borderId="10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47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9" fontId="6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41" fillId="5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8" borderId="1" applyAlignment="1" pivotButton="0" quotePrefix="0" xfId="0">
      <alignment horizontal="center"/>
    </xf>
    <xf numFmtId="0" fontId="40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17" pivotButton="0" quotePrefix="0" xfId="0"/>
    <xf numFmtId="0" fontId="6" fillId="8" borderId="18" applyAlignment="1" pivotButton="0" quotePrefix="0" xfId="0">
      <alignment horizontal="center" vertical="center"/>
    </xf>
    <xf numFmtId="0" fontId="6" fillId="8" borderId="19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wrapText="1"/>
    </xf>
    <xf numFmtId="0" fontId="6" fillId="19" borderId="18" applyAlignment="1" pivotButton="0" quotePrefix="0" xfId="0">
      <alignment horizontal="center" vertical="center"/>
    </xf>
    <xf numFmtId="0" fontId="6" fillId="19" borderId="19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6" fillId="8" borderId="22" applyAlignment="1" pivotButton="0" quotePrefix="0" xfId="0">
      <alignment horizontal="center" vertical="center"/>
    </xf>
    <xf numFmtId="0" fontId="6" fillId="19" borderId="22" applyAlignment="1" pivotButton="0" quotePrefix="0" xfId="0">
      <alignment horizontal="center" vertical="center"/>
    </xf>
    <xf numFmtId="0" fontId="6" fillId="19" borderId="23" applyAlignment="1" pivotButton="0" quotePrefix="0" xfId="0">
      <alignment horizontal="center" vertical="center"/>
    </xf>
    <xf numFmtId="0" fontId="6" fillId="8" borderId="27" applyAlignment="1" pivotButton="0" quotePrefix="0" xfId="0">
      <alignment horizontal="center" vertical="center"/>
    </xf>
    <xf numFmtId="0" fontId="6" fillId="19" borderId="27" applyAlignment="1" pivotButton="0" quotePrefix="0" xfId="0">
      <alignment horizontal="center" vertical="center"/>
    </xf>
    <xf numFmtId="0" fontId="6" fillId="19" borderId="28" applyAlignment="1" pivotButton="0" quotePrefix="0" xfId="0">
      <alignment horizontal="center" vertical="center"/>
    </xf>
    <xf numFmtId="0" fontId="6" fillId="0" borderId="2" applyAlignment="1" pivotButton="0" quotePrefix="0" xfId="0">
      <alignment wrapText="1"/>
    </xf>
    <xf numFmtId="0" fontId="6" fillId="18" borderId="21" applyAlignment="1" pivotButton="0" quotePrefix="0" xfId="0">
      <alignment horizontal="center" vertical="center"/>
    </xf>
    <xf numFmtId="0" fontId="6" fillId="18" borderId="22" applyAlignment="1" pivotButton="0" quotePrefix="0" xfId="0">
      <alignment horizontal="center" vertical="center"/>
    </xf>
    <xf numFmtId="0" fontId="6" fillId="18" borderId="23" applyAlignment="1" pivotButton="0" quotePrefix="0" xfId="0">
      <alignment horizontal="center" vertical="center"/>
    </xf>
    <xf numFmtId="0" fontId="6" fillId="19" borderId="26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84" applyAlignment="1" pivotButton="0" quotePrefix="0" xfId="0">
      <alignment horizontal="center" vertical="center"/>
    </xf>
    <xf numFmtId="0" fontId="37" fillId="0" borderId="85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0" fontId="37" fillId="0" borderId="33" applyAlignment="1" pivotButton="0" quotePrefix="0" xfId="0">
      <alignment horizontal="center" vertical="center"/>
    </xf>
    <xf numFmtId="0" fontId="37" fillId="0" borderId="24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68" applyAlignment="1" pivotButton="0" quotePrefix="0" xfId="0">
      <alignment horizontal="center" vertical="center"/>
    </xf>
    <xf numFmtId="9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right" vertical="center" wrapText="1"/>
    </xf>
    <xf numFmtId="0" fontId="38" fillId="0" borderId="0" applyAlignment="1" pivotButton="0" quotePrefix="0" xfId="0">
      <alignment vertical="center" wrapText="1"/>
    </xf>
    <xf numFmtId="0" fontId="37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4" fillId="19" borderId="26" applyAlignment="1" pivotButton="0" quotePrefix="0" xfId="0">
      <alignment horizontal="center" vertical="center"/>
    </xf>
    <xf numFmtId="0" fontId="4" fillId="19" borderId="27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19" fillId="37" borderId="33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/>
    </xf>
    <xf numFmtId="0" fontId="19" fillId="37" borderId="25" applyAlignment="1" pivotButton="0" quotePrefix="0" xfId="0">
      <alignment vertical="center"/>
    </xf>
    <xf numFmtId="0" fontId="19" fillId="37" borderId="0" applyAlignment="1" pivotButton="0" quotePrefix="0" xfId="0">
      <alignment vertical="center"/>
    </xf>
    <xf numFmtId="0" fontId="19" fillId="37" borderId="24" applyAlignment="1" pivotButton="0" quotePrefix="0" xfId="0">
      <alignment vertical="center"/>
    </xf>
    <xf numFmtId="0" fontId="19" fillId="37" borderId="67" applyAlignment="1" pivotButton="0" quotePrefix="0" xfId="0">
      <alignment vertical="center"/>
    </xf>
    <xf numFmtId="0" fontId="19" fillId="37" borderId="68" applyAlignment="1" pivotButton="0" quotePrefix="0" xfId="0">
      <alignment vertical="center"/>
    </xf>
    <xf numFmtId="0" fontId="4" fillId="1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vertical="center"/>
    </xf>
    <xf numFmtId="0" fontId="19" fillId="3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vertical="center"/>
    </xf>
    <xf numFmtId="0" fontId="4" fillId="11" borderId="1" applyAlignment="1" pivotButton="0" quotePrefix="0" xfId="0">
      <alignment vertical="center" wrapText="1"/>
    </xf>
    <xf numFmtId="0" fontId="4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vertical="center"/>
    </xf>
    <xf numFmtId="0" fontId="4" fillId="29" borderId="1" applyAlignment="1" pivotButton="0" quotePrefix="0" xfId="0">
      <alignment vertical="center" wrapText="1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 wrapText="1"/>
    </xf>
    <xf numFmtId="0" fontId="0" fillId="52" borderId="66" applyAlignment="1" pivotButton="0" quotePrefix="0" xfId="0">
      <alignment horizontal="center" vertical="center"/>
    </xf>
    <xf numFmtId="0" fontId="0" fillId="40" borderId="66" applyAlignment="1" pivotButton="0" quotePrefix="0" xfId="0">
      <alignment horizontal="center" vertical="center"/>
    </xf>
    <xf numFmtId="0" fontId="0" fillId="17" borderId="66" applyAlignment="1" pivotButton="0" quotePrefix="0" xfId="0">
      <alignment horizontal="center" vertical="center"/>
    </xf>
    <xf numFmtId="0" fontId="0" fillId="49" borderId="0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0" fillId="40" borderId="91" applyAlignment="1" pivotButton="0" quotePrefix="0" xfId="0">
      <alignment horizontal="center" vertical="center"/>
    </xf>
    <xf numFmtId="0" fontId="0" fillId="52" borderId="101" applyAlignment="1" pivotButton="0" quotePrefix="0" xfId="0">
      <alignment horizontal="center" vertical="center"/>
    </xf>
    <xf numFmtId="0" fontId="0" fillId="52" borderId="102" applyAlignment="1" pivotButton="0" quotePrefix="0" xfId="0">
      <alignment horizontal="center" vertical="center"/>
    </xf>
    <xf numFmtId="0" fontId="17" fillId="52" borderId="4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 wrapText="1"/>
    </xf>
    <xf numFmtId="0" fontId="0" fillId="50" borderId="0" applyAlignment="1" pivotButton="0" quotePrefix="0" xfId="0">
      <alignment vertical="center"/>
    </xf>
    <xf numFmtId="0" fontId="19" fillId="11" borderId="1" applyAlignment="1" pivotButton="0" quotePrefix="0" xfId="0">
      <alignment vertical="center"/>
    </xf>
    <xf numFmtId="0" fontId="19" fillId="36" borderId="1" applyAlignment="1" pivotButton="0" quotePrefix="0" xfId="0">
      <alignment vertical="center"/>
    </xf>
    <xf numFmtId="0" fontId="19" fillId="11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vertical="center"/>
    </xf>
    <xf numFmtId="49" fontId="35" fillId="8" borderId="4" applyAlignment="1" pivotButton="0" quotePrefix="0" xfId="0">
      <alignment vertical="center"/>
    </xf>
    <xf numFmtId="49" fontId="35" fillId="8" borderId="5" applyAlignment="1" pivotButton="0" quotePrefix="0" xfId="0">
      <alignment vertical="center"/>
    </xf>
    <xf numFmtId="49" fontId="35" fillId="8" borderId="6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0" fontId="11" fillId="7" borderId="7" applyAlignment="1" pivotButton="0" quotePrefix="0" xfId="0">
      <alignment horizontal="left" vertical="center" wrapText="1"/>
    </xf>
    <xf numFmtId="0" fontId="11" fillId="7" borderId="27" applyAlignment="1" pivotButton="0" quotePrefix="0" xfId="0">
      <alignment horizontal="left" vertical="center" wrapText="1"/>
    </xf>
    <xf numFmtId="0" fontId="11" fillId="7" borderId="22" applyAlignment="1" pivotButton="0" quotePrefix="0" xfId="0">
      <alignment horizontal="left" vertical="center" wrapText="1"/>
    </xf>
    <xf numFmtId="0" fontId="4" fillId="7" borderId="27" applyAlignment="1" pivotButton="0" quotePrefix="0" xfId="0">
      <alignment horizontal="left" vertical="center"/>
    </xf>
    <xf numFmtId="0" fontId="37" fillId="11" borderId="1" applyAlignment="1" pivotButton="0" quotePrefix="0" xfId="0">
      <alignment vertical="center"/>
    </xf>
    <xf numFmtId="0" fontId="37" fillId="28" borderId="1" applyAlignment="1" pivotButton="0" quotePrefix="0" xfId="0">
      <alignment vertical="center"/>
    </xf>
    <xf numFmtId="0" fontId="44" fillId="7" borderId="1" applyAlignment="1" pivotButton="0" quotePrefix="0" xfId="0">
      <alignment horizontal="left" vertical="center" wrapText="1"/>
    </xf>
    <xf numFmtId="0" fontId="44" fillId="7" borderId="7" applyAlignment="1" pivotButton="0" quotePrefix="0" xfId="0">
      <alignment horizontal="left" vertical="center" wrapText="1"/>
    </xf>
    <xf numFmtId="0" fontId="37" fillId="0" borderId="29" applyAlignment="1" pivotButton="0" quotePrefix="0" xfId="0">
      <alignment vertical="center"/>
    </xf>
    <xf numFmtId="0" fontId="37" fillId="0" borderId="30" applyAlignment="1" pivotButton="0" quotePrefix="0" xfId="0">
      <alignment vertical="center"/>
    </xf>
    <xf numFmtId="0" fontId="37" fillId="0" borderId="74" applyAlignment="1" pivotButton="0" quotePrefix="0" xfId="0">
      <alignment horizontal="center" vertical="center"/>
    </xf>
    <xf numFmtId="0" fontId="37" fillId="0" borderId="25" applyAlignment="1" pivotButton="0" quotePrefix="0" xfId="0">
      <alignment vertical="center"/>
    </xf>
    <xf numFmtId="0" fontId="37" fillId="0" borderId="24" applyAlignment="1" pivotButton="0" quotePrefix="0" xfId="0">
      <alignment vertical="center"/>
    </xf>
    <xf numFmtId="0" fontId="37" fillId="0" borderId="67" applyAlignment="1" pivotButton="0" quotePrefix="0" xfId="0">
      <alignment vertical="center"/>
    </xf>
    <xf numFmtId="0" fontId="44" fillId="7" borderId="0" applyAlignment="1" pivotButton="0" quotePrefix="0" xfId="0">
      <alignment horizontal="left" vertical="center" wrapText="1"/>
    </xf>
    <xf numFmtId="0" fontId="44" fillId="7" borderId="30" applyAlignment="1" pivotButton="0" quotePrefix="0" xfId="0">
      <alignment horizontal="left" vertical="center" wrapText="1"/>
    </xf>
    <xf numFmtId="0" fontId="4" fillId="7" borderId="7" applyAlignment="1" pivotButton="0" quotePrefix="0" xfId="0">
      <alignment horizontal="left" vertical="center"/>
    </xf>
    <xf numFmtId="0" fontId="4" fillId="7" borderId="22" applyAlignment="1" pivotButton="0" quotePrefix="0" xfId="0">
      <alignment horizontal="left" vertical="center"/>
    </xf>
    <xf numFmtId="0" fontId="37" fillId="7" borderId="22" applyAlignment="1" pivotButton="0" quotePrefix="0" xfId="0">
      <alignment horizontal="left" vertical="center"/>
    </xf>
    <xf numFmtId="0" fontId="37" fillId="7" borderId="1" applyAlignment="1" pivotButton="0" quotePrefix="0" xfId="0">
      <alignment horizontal="left" vertical="center"/>
    </xf>
    <xf numFmtId="0" fontId="37" fillId="7" borderId="27" applyAlignment="1" pivotButton="0" quotePrefix="0" xfId="0">
      <alignment horizontal="left" vertical="center"/>
    </xf>
    <xf numFmtId="0" fontId="44" fillId="7" borderId="22" applyAlignment="1" pivotButton="0" quotePrefix="0" xfId="0">
      <alignment horizontal="left" vertical="center" wrapText="1"/>
    </xf>
    <xf numFmtId="0" fontId="44" fillId="7" borderId="2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8" borderId="106" applyAlignment="1" pivotButton="0" quotePrefix="0" xfId="0">
      <alignment horizontal="center" vertical="center" wrapText="1"/>
    </xf>
    <xf numFmtId="0" fontId="18" fillId="21" borderId="4" applyAlignment="1" pivotButton="0" quotePrefix="0" xfId="0">
      <alignment horizontal="center" vertical="center" wrapText="1"/>
    </xf>
    <xf numFmtId="0" fontId="0" fillId="52" borderId="1" applyAlignment="1" pivotButton="0" quotePrefix="0" xfId="0">
      <alignment horizontal="center" vertical="center" wrapText="1"/>
    </xf>
    <xf numFmtId="0" fontId="0" fillId="52" borderId="27" applyAlignment="1" pivotButton="0" quotePrefix="0" xfId="0">
      <alignment horizontal="center" vertical="center" wrapText="1"/>
    </xf>
    <xf numFmtId="0" fontId="0" fillId="52" borderId="1" pivotButton="0" quotePrefix="0" xfId="0"/>
    <xf numFmtId="0" fontId="0" fillId="52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 wrapText="1"/>
    </xf>
    <xf numFmtId="0" fontId="0" fillId="52" borderId="32" applyAlignment="1" pivotButton="0" quotePrefix="0" xfId="0">
      <alignment horizontal="center" vertical="center" wrapText="1"/>
    </xf>
    <xf numFmtId="0" fontId="0" fillId="52" borderId="28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/>
    </xf>
    <xf numFmtId="49" fontId="5" fillId="6" borderId="6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2" fontId="37" fillId="0" borderId="0" applyAlignment="1" pivotButton="0" quotePrefix="0" xfId="0">
      <alignment horizontal="center" vertical="center"/>
    </xf>
    <xf numFmtId="164" fontId="37" fillId="0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indent="1"/>
    </xf>
    <xf numFmtId="0" fontId="37" fillId="0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 indent="1"/>
    </xf>
    <xf numFmtId="0" fontId="37" fillId="17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6" fillId="48" borderId="14" applyAlignment="1" pivotButton="0" quotePrefix="0" xfId="0">
      <alignment horizontal="center" vertical="center"/>
    </xf>
    <xf numFmtId="0" fontId="46" fillId="48" borderId="15" applyAlignment="1" pivotButton="0" quotePrefix="0" xfId="0">
      <alignment horizontal="center" vertical="center"/>
    </xf>
    <xf numFmtId="0" fontId="46" fillId="48" borderId="16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left" vertical="center"/>
    </xf>
    <xf numFmtId="0" fontId="40" fillId="6" borderId="2" applyAlignment="1" pivotButton="0" quotePrefix="0" xfId="0">
      <alignment horizontal="center" vertical="center"/>
    </xf>
    <xf numFmtId="0" fontId="38" fillId="6" borderId="2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left" vertical="center"/>
    </xf>
    <xf numFmtId="0" fontId="48" fillId="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 wrapText="1"/>
    </xf>
    <xf numFmtId="0" fontId="37" fillId="40" borderId="1" applyAlignment="1" pivotButton="0" quotePrefix="0" xfId="0">
      <alignment horizontal="center" vertical="center"/>
    </xf>
    <xf numFmtId="0" fontId="37" fillId="0" borderId="1" applyAlignment="1" pivotButton="0" quotePrefix="0" xfId="0">
      <alignment vertical="center"/>
    </xf>
    <xf numFmtId="0" fontId="37" fillId="1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/>
    </xf>
    <xf numFmtId="0" fontId="37" fillId="0" borderId="66" applyAlignment="1" pivotButton="0" quotePrefix="0" xfId="0">
      <alignment horizontal="center" vertical="center" wrapText="1"/>
    </xf>
    <xf numFmtId="165" fontId="37" fillId="4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left" vertical="center"/>
    </xf>
    <xf numFmtId="0" fontId="37" fillId="0" borderId="66" applyAlignment="1" pivotButton="0" quotePrefix="0" xfId="0">
      <alignment horizontal="center" vertical="center"/>
    </xf>
    <xf numFmtId="0" fontId="37" fillId="2" borderId="2" applyAlignment="1" pivotButton="0" quotePrefix="0" xfId="0">
      <alignment horizontal="center" vertical="center"/>
    </xf>
    <xf numFmtId="0" fontId="37" fillId="2" borderId="2" applyAlignment="1" pivotButton="0" quotePrefix="0" xfId="0">
      <alignment horizontal="left" vertical="center"/>
    </xf>
    <xf numFmtId="0" fontId="37" fillId="54" borderId="66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left" vertical="center" wrapText="1"/>
    </xf>
    <xf numFmtId="0" fontId="37" fillId="56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 wrapText="1"/>
    </xf>
    <xf numFmtId="0" fontId="37" fillId="39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7" fillId="54" borderId="1" applyAlignment="1" pivotButton="0" quotePrefix="0" xfId="0">
      <alignment horizontal="center" vertical="center"/>
    </xf>
    <xf numFmtId="0" fontId="37" fillId="40" borderId="0" applyAlignment="1" pivotButton="0" quotePrefix="0" xfId="0">
      <alignment vertical="center"/>
    </xf>
    <xf numFmtId="0" fontId="37" fillId="0" borderId="7" applyAlignment="1" pivotButton="0" quotePrefix="0" xfId="0">
      <alignment horizontal="center" vertical="center"/>
    </xf>
    <xf numFmtId="0" fontId="37" fillId="40" borderId="7" applyAlignment="1" pivotButton="0" quotePrefix="0" xfId="0">
      <alignment horizontal="center" vertical="center"/>
    </xf>
    <xf numFmtId="0" fontId="37" fillId="0" borderId="7" applyAlignment="1" pivotButton="0" quotePrefix="0" xfId="0">
      <alignment vertical="center"/>
    </xf>
    <xf numFmtId="0" fontId="37" fillId="43" borderId="1" applyAlignment="1" pivotButton="0" quotePrefix="0" xfId="0">
      <alignment vertical="center"/>
    </xf>
    <xf numFmtId="0" fontId="37" fillId="0" borderId="1" applyAlignment="1" pivotButton="0" quotePrefix="0" xfId="0">
      <alignment horizontal="left" vertical="center"/>
    </xf>
    <xf numFmtId="0" fontId="37" fillId="7" borderId="1" applyAlignment="1" pivotButton="0" quotePrefix="0" xfId="0">
      <alignment vertical="center"/>
    </xf>
    <xf numFmtId="0" fontId="37" fillId="0" borderId="7" applyAlignment="1" pivotButton="0" quotePrefix="0" xfId="0">
      <alignment horizontal="left" vertical="center"/>
    </xf>
    <xf numFmtId="0" fontId="37" fillId="7" borderId="7" applyAlignment="1" pivotButton="0" quotePrefix="0" xfId="0">
      <alignment horizontal="left" vertical="center"/>
    </xf>
    <xf numFmtId="0" fontId="48" fillId="0" borderId="7" applyAlignment="1" pivotButton="0" quotePrefix="0" xfId="0">
      <alignment horizontal="center" vertical="center"/>
    </xf>
    <xf numFmtId="0" fontId="37" fillId="0" borderId="21" applyAlignment="1" pivotButton="0" quotePrefix="0" xfId="0">
      <alignment horizontal="left" vertical="center"/>
    </xf>
    <xf numFmtId="0" fontId="37" fillId="0" borderId="106" applyAlignment="1" pivotButton="0" quotePrefix="0" xfId="0">
      <alignment horizontal="center" vertical="center"/>
    </xf>
    <xf numFmtId="0" fontId="38" fillId="7" borderId="69" applyAlignment="1" pivotButton="0" quotePrefix="0" xfId="0">
      <alignment horizontal="center" vertical="center"/>
    </xf>
    <xf numFmtId="0" fontId="48" fillId="0" borderId="107" applyAlignment="1" pivotButton="0" quotePrefix="0" xfId="0">
      <alignment horizontal="center" vertical="center"/>
    </xf>
    <xf numFmtId="0" fontId="37" fillId="0" borderId="22" applyAlignment="1" pivotButton="0" quotePrefix="0" xfId="0">
      <alignment horizontal="center" vertical="center"/>
    </xf>
    <xf numFmtId="0" fontId="37" fillId="0" borderId="22" applyAlignment="1" pivotButton="0" quotePrefix="0" xfId="0">
      <alignment horizontal="left" vertical="center"/>
    </xf>
    <xf numFmtId="0" fontId="48" fillId="0" borderId="22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37" fillId="0" borderId="31" applyAlignment="1" pivotButton="0" quotePrefix="0" xfId="0">
      <alignment horizontal="left" vertical="center"/>
    </xf>
    <xf numFmtId="0" fontId="37" fillId="7" borderId="8" applyAlignment="1" pivotButton="0" quotePrefix="0" xfId="0">
      <alignment horizontal="left" vertical="center"/>
    </xf>
    <xf numFmtId="0" fontId="37" fillId="0" borderId="32" applyAlignment="1" pivotButton="0" quotePrefix="0" xfId="0">
      <alignment horizontal="center" vertical="center"/>
    </xf>
    <xf numFmtId="0" fontId="37" fillId="0" borderId="26" applyAlignment="1" pivotButton="0" quotePrefix="0" xfId="0">
      <alignment horizontal="left" vertical="center"/>
    </xf>
    <xf numFmtId="0" fontId="37" fillId="0" borderId="27" applyAlignment="1" pivotButton="0" quotePrefix="0" xfId="0">
      <alignment horizontal="center" vertical="center"/>
    </xf>
    <xf numFmtId="0" fontId="48" fillId="0" borderId="27" applyAlignment="1" pivotButton="0" quotePrefix="0" xfId="0">
      <alignment horizontal="center" vertical="center"/>
    </xf>
    <xf numFmtId="0" fontId="37" fillId="0" borderId="27" applyAlignment="1" pivotButton="0" quotePrefix="0" xfId="0">
      <alignment horizontal="left" vertical="center"/>
    </xf>
    <xf numFmtId="0" fontId="37" fillId="0" borderId="28" applyAlignment="1" pivotButton="0" quotePrefix="0" xfId="0">
      <alignment horizontal="center" vertical="center"/>
    </xf>
    <xf numFmtId="0" fontId="44" fillId="7" borderId="8" applyAlignment="1" pivotButton="0" quotePrefix="0" xfId="0">
      <alignment horizontal="left" vertical="center" wrapText="1"/>
    </xf>
    <xf numFmtId="0" fontId="37" fillId="0" borderId="8" applyAlignment="1" pivotButton="0" quotePrefix="0" xfId="0">
      <alignment horizontal="left" vertical="center"/>
    </xf>
    <xf numFmtId="0" fontId="37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/>
    </xf>
    <xf numFmtId="0" fontId="6" fillId="0" borderId="1" pivotButton="0" quotePrefix="0" xfId="0"/>
    <xf numFmtId="0" fontId="37" fillId="0" borderId="1" pivotButton="0" quotePrefix="0" xfId="0"/>
    <xf numFmtId="0" fontId="38" fillId="7" borderId="22" applyAlignment="1" pivotButton="0" quotePrefix="0" xfId="0">
      <alignment horizontal="center" vertical="center"/>
    </xf>
    <xf numFmtId="0" fontId="37" fillId="0" borderId="108" applyAlignment="1" pivotButton="0" quotePrefix="0" xfId="0">
      <alignment horizontal="center" vertical="center"/>
    </xf>
    <xf numFmtId="0" fontId="38" fillId="7" borderId="108" applyAlignment="1" pivotButton="0" quotePrefix="0" xfId="0">
      <alignment horizontal="center" vertical="center"/>
    </xf>
    <xf numFmtId="0" fontId="48" fillId="0" borderId="108" applyAlignment="1" pivotButton="0" quotePrefix="0" xfId="0">
      <alignment horizontal="center" vertical="center"/>
    </xf>
    <xf numFmtId="0" fontId="37" fillId="0" borderId="108" applyAlignment="1" pivotButton="0" quotePrefix="0" xfId="0">
      <alignment horizontal="left" vertical="center"/>
    </xf>
    <xf numFmtId="0" fontId="37" fillId="7" borderId="108" applyAlignment="1" pivotButton="0" quotePrefix="0" xfId="0">
      <alignment horizontal="left" vertical="center"/>
    </xf>
    <xf numFmtId="0" fontId="37" fillId="0" borderId="109" applyAlignment="1" pivotButton="0" quotePrefix="0" xfId="0">
      <alignment horizontal="center" vertical="center"/>
    </xf>
    <xf numFmtId="0" fontId="37" fillId="0" borderId="110" applyAlignment="1" pivotButton="0" quotePrefix="0" xfId="0">
      <alignment horizontal="left" vertical="center"/>
    </xf>
    <xf numFmtId="0" fontId="37" fillId="0" borderId="21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111" applyAlignment="1" pivotButton="0" quotePrefix="0" xfId="0">
      <alignment horizontal="left" vertical="center"/>
    </xf>
    <xf numFmtId="0" fontId="37" fillId="0" borderId="26" applyAlignment="1" pivotButton="0" quotePrefix="0" xfId="0">
      <alignment horizontal="center" vertical="center"/>
    </xf>
    <xf numFmtId="0" fontId="38" fillId="7" borderId="8" applyAlignment="1" pivotButton="0" quotePrefix="0" xfId="0">
      <alignment horizontal="center" vertical="center"/>
    </xf>
    <xf numFmtId="0" fontId="37" fillId="17" borderId="21" applyAlignment="1" pivotButton="0" quotePrefix="0" xfId="0">
      <alignment horizontal="left" vertical="center"/>
    </xf>
    <xf numFmtId="0" fontId="37" fillId="17" borderId="106" applyAlignment="1" pivotButton="0" quotePrefix="0" xfId="0">
      <alignment horizontal="center" vertical="center"/>
    </xf>
    <xf numFmtId="0" fontId="38" fillId="17" borderId="69" applyAlignment="1" pivotButton="0" quotePrefix="0" xfId="0">
      <alignment horizontal="left" vertical="center"/>
    </xf>
    <xf numFmtId="0" fontId="48" fillId="17" borderId="107" applyAlignment="1" pivotButton="0" quotePrefix="0" xfId="0">
      <alignment horizontal="center" vertical="center"/>
    </xf>
    <xf numFmtId="0" fontId="37" fillId="17" borderId="22" applyAlignment="1" pivotButton="0" quotePrefix="0" xfId="0">
      <alignment horizontal="center" vertical="center"/>
    </xf>
    <xf numFmtId="0" fontId="37" fillId="17" borderId="22" applyAlignment="1" pivotButton="0" quotePrefix="0" xfId="0">
      <alignment horizontal="left" vertical="center"/>
    </xf>
    <xf numFmtId="0" fontId="48" fillId="17" borderId="22" applyAlignment="1" pivotButton="0" quotePrefix="0" xfId="0">
      <alignment horizontal="center" vertical="center"/>
    </xf>
    <xf numFmtId="0" fontId="37" fillId="17" borderId="23" applyAlignment="1" pivotButton="0" quotePrefix="0" xfId="0">
      <alignment horizontal="center" vertical="center"/>
    </xf>
    <xf numFmtId="0" fontId="37" fillId="17" borderId="31" applyAlignment="1" pivotButton="0" quotePrefix="0" xfId="0">
      <alignment horizontal="left" vertical="center"/>
    </xf>
    <xf numFmtId="0" fontId="44" fillId="17" borderId="8" applyAlignment="1" pivotButton="0" quotePrefix="0" xfId="0">
      <alignment horizontal="left" vertical="center" wrapText="1"/>
    </xf>
    <xf numFmtId="0" fontId="48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44" fillId="17" borderId="1" applyAlignment="1" pivotButton="0" quotePrefix="0" xfId="0">
      <alignment horizontal="left" vertical="center" wrapText="1"/>
    </xf>
    <xf numFmtId="0" fontId="37" fillId="17" borderId="32" applyAlignment="1" pivotButton="0" quotePrefix="0" xfId="0">
      <alignment horizontal="center" vertical="center"/>
    </xf>
    <xf numFmtId="0" fontId="37" fillId="17" borderId="26" applyAlignment="1" pivotButton="0" quotePrefix="0" xfId="0">
      <alignment horizontal="left" vertical="center"/>
    </xf>
    <xf numFmtId="0" fontId="37" fillId="17" borderId="27" applyAlignment="1" pivotButton="0" quotePrefix="0" xfId="0">
      <alignment horizontal="center" vertical="center"/>
    </xf>
    <xf numFmtId="0" fontId="37" fillId="17" borderId="27" applyAlignment="1" pivotButton="0" quotePrefix="0" xfId="0">
      <alignment horizontal="left" vertical="center"/>
    </xf>
    <xf numFmtId="0" fontId="48" fillId="17" borderId="27" applyAlignment="1" pivotButton="0" quotePrefix="0" xfId="0">
      <alignment horizontal="center" vertical="center"/>
    </xf>
    <xf numFmtId="0" fontId="44" fillId="17" borderId="27" applyAlignment="1" pivotButton="0" quotePrefix="0" xfId="0">
      <alignment horizontal="left" vertical="center" wrapText="1"/>
    </xf>
    <xf numFmtId="0" fontId="37" fillId="17" borderId="28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 wrapText="1"/>
    </xf>
    <xf numFmtId="0" fontId="37" fillId="5" borderId="1" applyAlignment="1" pivotButton="0" quotePrefix="0" xfId="0">
      <alignment horizontal="center" vertical="center"/>
    </xf>
    <xf numFmtId="0" fontId="37" fillId="5" borderId="6" applyAlignment="1" pivotButton="0" quotePrefix="0" xfId="0">
      <alignment vertical="center"/>
    </xf>
    <xf numFmtId="0" fontId="37" fillId="5" borderId="1" applyAlignment="1" pivotButton="0" quotePrefix="0" xfId="0">
      <alignment vertical="center"/>
    </xf>
    <xf numFmtId="0" fontId="5" fillId="51" borderId="11" applyAlignment="1" pivotButton="0" quotePrefix="0" xfId="0">
      <alignment horizontal="center" vertical="center" wrapText="1"/>
    </xf>
    <xf numFmtId="0" fontId="5" fillId="51" borderId="12" applyAlignment="1" pivotButton="0" quotePrefix="0" xfId="0">
      <alignment horizontal="center" vertical="center" wrapText="1"/>
    </xf>
    <xf numFmtId="0" fontId="5" fillId="51" borderId="13" applyAlignment="1" pivotButton="0" quotePrefix="0" xfId="0">
      <alignment horizontal="center" vertical="center" wrapText="1"/>
    </xf>
    <xf numFmtId="0" fontId="37" fillId="0" borderId="92" applyAlignment="1" pivotButton="0" quotePrefix="0" xfId="0">
      <alignment horizontal="center" vertical="center" wrapText="1"/>
    </xf>
    <xf numFmtId="0" fontId="37" fillId="0" borderId="66" applyAlignment="1" applyProtection="1" pivotButton="0" quotePrefix="0" xfId="0">
      <alignment horizontal="center" vertical="center" wrapText="1"/>
      <protection locked="1" hidden="1"/>
    </xf>
    <xf numFmtId="0" fontId="37" fillId="0" borderId="93" applyAlignment="1" pivotButton="0" quotePrefix="0" xfId="0">
      <alignment horizontal="center" vertical="center" wrapText="1"/>
    </xf>
    <xf numFmtId="0" fontId="37" fillId="0" borderId="94" applyAlignment="1" pivotButton="0" quotePrefix="0" xfId="0">
      <alignment horizontal="center" vertical="center"/>
    </xf>
    <xf numFmtId="0" fontId="37" fillId="0" borderId="94" applyAlignment="1" pivotButton="0" quotePrefix="0" xfId="0">
      <alignment horizontal="center" vertical="center" wrapText="1"/>
    </xf>
    <xf numFmtId="0" fontId="37" fillId="0" borderId="95" applyAlignment="1" pivotButton="0" quotePrefix="0" xfId="0">
      <alignment horizontal="center" vertical="center" wrapText="1"/>
    </xf>
    <xf numFmtId="0" fontId="37" fillId="0" borderId="96" applyAlignment="1" pivotButton="0" quotePrefix="0" xfId="0">
      <alignment horizontal="center" vertical="center" wrapText="1"/>
    </xf>
    <xf numFmtId="0" fontId="37" fillId="0" borderId="97" applyAlignment="1" pivotButton="0" quotePrefix="0" xfId="0">
      <alignment horizontal="center" vertical="center" wrapText="1"/>
    </xf>
    <xf numFmtId="0" fontId="37" fillId="0" borderId="98" applyAlignment="1" pivotButton="0" quotePrefix="0" xfId="0">
      <alignment horizontal="center" vertical="center" wrapText="1"/>
    </xf>
    <xf numFmtId="0" fontId="37" fillId="0" borderId="99" applyAlignment="1" pivotButton="0" quotePrefix="0" xfId="0">
      <alignment horizontal="center" vertical="center"/>
    </xf>
    <xf numFmtId="0" fontId="37" fillId="0" borderId="99" applyAlignment="1" pivotButton="0" quotePrefix="0" xfId="0">
      <alignment horizontal="center" vertical="center" wrapText="1"/>
    </xf>
    <xf numFmtId="0" fontId="37" fillId="0" borderId="100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left" vertical="center"/>
    </xf>
    <xf numFmtId="0" fontId="48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vertical="center"/>
    </xf>
    <xf numFmtId="0" fontId="50" fillId="17" borderId="0" applyAlignment="1" pivotButton="0" quotePrefix="0" xfId="0">
      <alignment horizontal="center" vertical="center"/>
    </xf>
    <xf numFmtId="0" fontId="37" fillId="40" borderId="1" applyAlignment="1" pivotButton="0" quotePrefix="0" xfId="0">
      <alignment vertical="center"/>
    </xf>
    <xf numFmtId="0" fontId="37" fillId="0" borderId="2" applyAlignment="1" pivotButton="0" quotePrefix="0" xfId="0">
      <alignment vertical="center"/>
    </xf>
    <xf numFmtId="0" fontId="37" fillId="0" borderId="8" applyAlignment="1" pivotButton="0" quotePrefix="0" xfId="0">
      <alignment vertical="center"/>
    </xf>
    <xf numFmtId="0" fontId="51" fillId="53" borderId="1" applyAlignment="1" pivotButton="0" quotePrefix="0" xfId="2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53" fillId="3" borderId="1" applyAlignment="1" pivotButton="0" quotePrefix="0" xfId="0">
      <alignment horizontal="center" vertical="center"/>
    </xf>
    <xf numFmtId="0" fontId="54" fillId="3" borderId="1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vertical="center"/>
    </xf>
    <xf numFmtId="0" fontId="56" fillId="17" borderId="1" applyAlignment="1" pivotButton="0" quotePrefix="0" xfId="0">
      <alignment horizontal="center" vertical="center"/>
    </xf>
    <xf numFmtId="0" fontId="37" fillId="0" borderId="6" applyAlignment="1" pivotButton="0" quotePrefix="0" xfId="0">
      <alignment horizontal="center" vertical="center"/>
    </xf>
    <xf numFmtId="0" fontId="57" fillId="0" borderId="37" applyAlignment="1" pivotButton="0" quotePrefix="0" xfId="0">
      <alignment horizontal="center" vertical="center" wrapText="1"/>
    </xf>
    <xf numFmtId="0" fontId="40" fillId="0" borderId="34" applyAlignment="1" pivotButton="0" quotePrefix="0" xfId="0">
      <alignment horizontal="center" vertical="center" wrapText="1"/>
    </xf>
    <xf numFmtId="0" fontId="40" fillId="23" borderId="34" applyAlignment="1" pivotButton="0" quotePrefix="0" xfId="0">
      <alignment horizontal="center" vertical="center"/>
    </xf>
    <xf numFmtId="0" fontId="6" fillId="0" borderId="38" applyAlignment="1" pivotButton="0" quotePrefix="0" xfId="0">
      <alignment horizontal="right"/>
    </xf>
    <xf numFmtId="0" fontId="6" fillId="0" borderId="39" applyAlignment="1" pivotButton="0" quotePrefix="0" xfId="0">
      <alignment horizontal="center" wrapText="1"/>
    </xf>
    <xf numFmtId="0" fontId="40" fillId="24" borderId="39" applyAlignment="1" pivotButton="0" quotePrefix="0" xfId="0">
      <alignment horizontal="center" vertical="center" wrapText="1"/>
    </xf>
    <xf numFmtId="0" fontId="40" fillId="22" borderId="39" applyAlignment="1" pivotButton="0" quotePrefix="0" xfId="0">
      <alignment horizontal="center" wrapText="1"/>
    </xf>
    <xf numFmtId="0" fontId="40" fillId="22" borderId="39" applyAlignment="1" pivotButton="0" quotePrefix="0" xfId="0">
      <alignment horizontal="center" vertical="center" wrapText="1"/>
    </xf>
    <xf numFmtId="0" fontId="6" fillId="23" borderId="39" applyAlignment="1" pivotButton="0" quotePrefix="0" xfId="0">
      <alignment wrapText="1"/>
    </xf>
    <xf numFmtId="0" fontId="6" fillId="0" borderId="40" applyAlignment="1" pivotButton="0" quotePrefix="0" xfId="0">
      <alignment horizontal="center"/>
    </xf>
    <xf numFmtId="0" fontId="6" fillId="0" borderId="41" applyAlignment="1" pivotButton="0" quotePrefix="0" xfId="0">
      <alignment horizontal="center" wrapText="1"/>
    </xf>
    <xf numFmtId="0" fontId="40" fillId="24" borderId="41" applyAlignment="1" pivotButton="0" quotePrefix="0" xfId="0">
      <alignment horizontal="center" vertical="center" wrapText="1"/>
    </xf>
    <xf numFmtId="0" fontId="40" fillId="22" borderId="41" applyAlignment="1" pivotButton="0" quotePrefix="0" xfId="0">
      <alignment horizontal="center" wrapText="1"/>
    </xf>
    <xf numFmtId="0" fontId="40" fillId="22" borderId="41" applyAlignment="1" pivotButton="0" quotePrefix="0" xfId="0">
      <alignment horizontal="center" vertical="center" wrapText="1"/>
    </xf>
    <xf numFmtId="0" fontId="6" fillId="23" borderId="41" applyAlignment="1" pivotButton="0" quotePrefix="0" xfId="0">
      <alignment wrapText="1"/>
    </xf>
    <xf numFmtId="0" fontId="6" fillId="0" borderId="38" applyAlignment="1" pivotButton="0" quotePrefix="0" xfId="0">
      <alignment horizontal="center"/>
    </xf>
    <xf numFmtId="0" fontId="6" fillId="23" borderId="39" applyAlignment="1" pivotButton="0" quotePrefix="0" xfId="0">
      <alignment horizontal="center" wrapText="1"/>
    </xf>
    <xf numFmtId="0" fontId="6" fillId="0" borderId="1" applyAlignment="1" pivotButton="0" quotePrefix="0" xfId="0">
      <alignment horizontal="right"/>
    </xf>
    <xf numFmtId="0" fontId="6" fillId="1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1" borderId="1" pivotButton="0" quotePrefix="0" xfId="0"/>
    <xf numFmtId="0" fontId="6" fillId="2" borderId="1" applyAlignment="1" pivotButton="0" quotePrefix="0" xfId="0">
      <alignment horizontal="center" vertical="center"/>
    </xf>
    <xf numFmtId="0" fontId="37" fillId="0" borderId="0" pivotButton="0" quotePrefix="0" xfId="0"/>
    <xf numFmtId="0" fontId="6" fillId="17" borderId="1" pivotButton="0" quotePrefix="0" xfId="0"/>
    <xf numFmtId="0" fontId="6" fillId="0" borderId="1" applyAlignment="1" pivotButton="0" quotePrefix="0" xfId="0">
      <alignment horizontal="center" wrapText="1"/>
    </xf>
    <xf numFmtId="0" fontId="6" fillId="17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wrapText="1"/>
    </xf>
    <xf numFmtId="0" fontId="6" fillId="43" borderId="1" applyAlignment="1" pivotButton="0" quotePrefix="0" xfId="0">
      <alignment horizontal="center" vertical="center"/>
    </xf>
    <xf numFmtId="0" fontId="6" fillId="43" borderId="1" pivotButton="0" quotePrefix="0" xfId="0"/>
    <xf numFmtId="0" fontId="6" fillId="21" borderId="1" applyAlignment="1" pivotButton="0" quotePrefix="0" xfId="0">
      <alignment horizontal="center"/>
    </xf>
    <xf numFmtId="0" fontId="6" fillId="37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/>
    </xf>
    <xf numFmtId="0" fontId="6" fillId="43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center" wrapText="1"/>
    </xf>
    <xf numFmtId="0" fontId="6" fillId="26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/>
    </xf>
    <xf numFmtId="0" fontId="6" fillId="17" borderId="1" applyAlignment="1" pivotButton="0" quotePrefix="0" xfId="0">
      <alignment horizontal="center" vertical="center" wrapText="1"/>
    </xf>
    <xf numFmtId="0" fontId="6" fillId="35" borderId="1" applyAlignment="1" pivotButton="0" quotePrefix="0" xfId="0">
      <alignment horizontal="center" vertical="center"/>
    </xf>
    <xf numFmtId="0" fontId="6" fillId="58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center" wrapText="1"/>
    </xf>
    <xf numFmtId="11" fontId="37" fillId="0" borderId="0" applyAlignment="1" pivotButton="0" quotePrefix="0" xfId="0">
      <alignment horizontal="center"/>
    </xf>
    <xf numFmtId="0" fontId="6" fillId="17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6" fillId="26" borderId="1" applyAlignment="1" pivotButton="0" quotePrefix="0" xfId="0">
      <alignment horizontal="center" vertical="center"/>
    </xf>
    <xf numFmtId="0" fontId="6" fillId="35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6" fillId="50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35" borderId="0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wrapText="1"/>
    </xf>
    <xf numFmtId="0" fontId="37" fillId="0" borderId="0" applyAlignment="1" pivotButton="0" quotePrefix="0" xfId="0">
      <alignment horizontal="center"/>
    </xf>
    <xf numFmtId="0" fontId="37" fillId="0" borderId="0" applyAlignment="1" pivotButton="0" quotePrefix="0" xfId="0">
      <alignment wrapText="1"/>
    </xf>
    <xf numFmtId="0" fontId="6" fillId="26" borderId="1" pivotButton="0" quotePrefix="0" xfId="0"/>
    <xf numFmtId="0" fontId="5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6" fillId="17" borderId="0" applyAlignment="1" pivotButton="0" quotePrefix="0" xfId="0">
      <alignment horizontal="center"/>
    </xf>
    <xf numFmtId="0" fontId="6" fillId="57" borderId="1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17" borderId="0" applyAlignment="1" pivotButton="0" quotePrefix="0" xfId="0">
      <alignment wrapText="1"/>
    </xf>
    <xf numFmtId="0" fontId="6" fillId="28" borderId="0" pivotButton="0" quotePrefix="0" xfId="0"/>
    <xf numFmtId="0" fontId="6" fillId="4" borderId="0" pivotButton="0" quotePrefix="0" xfId="0"/>
    <xf numFmtId="0" fontId="6" fillId="42" borderId="0" pivotButton="0" quotePrefix="0" xfId="0"/>
    <xf numFmtId="0" fontId="6" fillId="43" borderId="0" pivotButton="0" quotePrefix="0" xfId="0"/>
    <xf numFmtId="0" fontId="6" fillId="17" borderId="0" pivotButton="0" quotePrefix="0" xfId="0"/>
    <xf numFmtId="0" fontId="6" fillId="17" borderId="29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 wrapText="1"/>
    </xf>
    <xf numFmtId="0" fontId="6" fillId="17" borderId="74" applyAlignment="1" pivotButton="0" quotePrefix="0" xfId="0">
      <alignment horizontal="center" vertical="center" wrapText="1"/>
    </xf>
    <xf numFmtId="0" fontId="6" fillId="17" borderId="24" applyAlignment="1" pivotButton="0" quotePrefix="0" xfId="0">
      <alignment horizontal="center"/>
    </xf>
    <xf numFmtId="0" fontId="6" fillId="17" borderId="67" applyAlignment="1" pivotButton="0" quotePrefix="0" xfId="0">
      <alignment horizontal="center"/>
    </xf>
    <xf numFmtId="0" fontId="6" fillId="17" borderId="67" applyAlignment="1" pivotButton="0" quotePrefix="0" xfId="0">
      <alignment horizontal="center" vertical="center"/>
    </xf>
    <xf numFmtId="0" fontId="6" fillId="0" borderId="68" applyAlignment="1" pivotButton="0" quotePrefix="0" xfId="0">
      <alignment horizontal="center"/>
    </xf>
    <xf numFmtId="0" fontId="6" fillId="44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horizontal="center"/>
    </xf>
    <xf numFmtId="0" fontId="6" fillId="44" borderId="1" applyAlignment="1" pivotButton="0" quotePrefix="0" xfId="0">
      <alignment horizontal="center" vertical="center"/>
    </xf>
    <xf numFmtId="0" fontId="6" fillId="45" borderId="0" pivotButton="0" quotePrefix="0" xfId="0"/>
    <xf numFmtId="0" fontId="6" fillId="0" borderId="67" applyAlignment="1" pivotButton="0" quotePrefix="0" xfId="0">
      <alignment horizontal="center"/>
    </xf>
    <xf numFmtId="0" fontId="6" fillId="46" borderId="0" pivotButton="0" quotePrefix="0" xfId="0"/>
    <xf numFmtId="0" fontId="6" fillId="0" borderId="74" applyAlignment="1" pivotButton="0" quotePrefix="0" xfId="0">
      <alignment horizontal="center"/>
    </xf>
    <xf numFmtId="0" fontId="6" fillId="0" borderId="53" applyAlignment="1" pivotButton="0" quotePrefix="0" xfId="0">
      <alignment horizontal="center"/>
    </xf>
    <xf numFmtId="0" fontId="6" fillId="0" borderId="4" pivotButton="0" quotePrefix="0" xfId="0"/>
    <xf numFmtId="0" fontId="6" fillId="0" borderId="69" applyAlignment="1" pivotButton="0" quotePrefix="0" xfId="0">
      <alignment horizontal="center"/>
    </xf>
    <xf numFmtId="0" fontId="17" fillId="0" borderId="1" applyAlignment="1" pivotButton="0" quotePrefix="0" xfId="0">
      <alignment horizontal="left" vertical="center"/>
    </xf>
    <xf numFmtId="0" fontId="37" fillId="0" borderId="4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/>
    </xf>
    <xf numFmtId="0" fontId="38" fillId="0" borderId="1" applyAlignment="1" pivotButton="0" quotePrefix="0" xfId="0">
      <alignment vertical="center"/>
    </xf>
    <xf numFmtId="0" fontId="58" fillId="59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61" fillId="0" borderId="7" applyAlignment="1" pivotButton="0" quotePrefix="0" xfId="0">
      <alignment horizontal="center" vertical="center"/>
    </xf>
    <xf numFmtId="0" fontId="61" fillId="0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/>
    </xf>
    <xf numFmtId="0" fontId="6" fillId="37" borderId="1" applyAlignment="1" pivotButton="0" quotePrefix="0" xfId="0">
      <alignment horizontal="center" wrapText="1"/>
    </xf>
    <xf numFmtId="0" fontId="6" fillId="37" borderId="1" pivotButton="0" quotePrefix="0" xfId="0"/>
    <xf numFmtId="0" fontId="61" fillId="0" borderId="1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vertical="center"/>
    </xf>
    <xf numFmtId="0" fontId="62" fillId="0" borderId="1" applyAlignment="1" pivotButton="0" quotePrefix="0" xfId="0">
      <alignment horizontal="center" vertical="center"/>
    </xf>
    <xf numFmtId="0" fontId="63" fillId="0" borderId="1" applyAlignment="1" pivotButton="0" quotePrefix="0" xfId="0">
      <alignment horizontal="center" vertical="center"/>
    </xf>
    <xf numFmtId="0" fontId="64" fillId="0" borderId="1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1" fillId="0" borderId="14" applyAlignment="1" pivotButton="0" quotePrefix="0" xfId="0">
      <alignment horizontal="center" vertical="center"/>
    </xf>
    <xf numFmtId="0" fontId="61" fillId="0" borderId="69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/>
    </xf>
    <xf numFmtId="0" fontId="61" fillId="0" borderId="6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 indent="1"/>
    </xf>
    <xf numFmtId="0" fontId="2" fillId="0" borderId="106" applyAlignment="1" pivotButton="0" quotePrefix="0" xfId="0">
      <alignment horizontal="center" vertical="center"/>
    </xf>
    <xf numFmtId="0" fontId="61" fillId="0" borderId="113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13" applyAlignment="1" pivotButton="0" quotePrefix="0" xfId="0">
      <alignment horizontal="center" vertical="center"/>
    </xf>
    <xf numFmtId="0" fontId="0" fillId="0" borderId="114" applyAlignment="1" pivotButton="0" quotePrefix="0" xfId="0">
      <alignment horizontal="left" vertical="center" indent="1"/>
    </xf>
    <xf numFmtId="0" fontId="61" fillId="0" borderId="8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2" fillId="0" borderId="31" applyAlignment="1" pivotButton="0" quotePrefix="0" xfId="0">
      <alignment horizontal="center" vertical="center"/>
    </xf>
    <xf numFmtId="0" fontId="66" fillId="0" borderId="115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 indent="1"/>
    </xf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16" applyAlignment="1" pivotButton="0" quotePrefix="0" xfId="0">
      <alignment horizontal="center" vertical="center"/>
    </xf>
    <xf numFmtId="0" fontId="2" fillId="0" borderId="117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indent="1"/>
    </xf>
    <xf numFmtId="0" fontId="66" fillId="0" borderId="118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2" fillId="0" borderId="27" applyAlignment="1" pivotButton="0" quotePrefix="0" xfId="0">
      <alignment horizontal="left" vertical="center" indent="1"/>
    </xf>
    <xf numFmtId="0" fontId="0" fillId="0" borderId="90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2" fillId="60" borderId="8" applyAlignment="1" pivotButton="0" quotePrefix="0" xfId="0">
      <alignment horizontal="center" vertical="center"/>
    </xf>
    <xf numFmtId="0" fontId="2" fillId="60" borderId="1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 indent="1"/>
    </xf>
    <xf numFmtId="0" fontId="0" fillId="17" borderId="1" applyAlignment="1" pivotButton="0" quotePrefix="0" xfId="0">
      <alignment horizontal="left" vertical="center" wrapText="1" indent="1"/>
    </xf>
    <xf numFmtId="0" fontId="0" fillId="17" borderId="1" applyAlignment="1" pivotButton="0" quotePrefix="0" xfId="0">
      <alignment horizontal="center" vertical="center"/>
    </xf>
    <xf numFmtId="0" fontId="2" fillId="0" borderId="115" applyAlignment="1" pivotButton="0" quotePrefix="0" xfId="0">
      <alignment horizontal="center" vertical="center"/>
    </xf>
    <xf numFmtId="0" fontId="0" fillId="0" borderId="121" applyAlignment="1" pivotButton="0" quotePrefix="0" xfId="0">
      <alignment horizontal="left" vertical="center" indent="1"/>
    </xf>
    <xf numFmtId="0" fontId="0" fillId="0" borderId="118" applyAlignment="1" pivotButton="0" quotePrefix="0" xfId="0">
      <alignment vertical="center"/>
    </xf>
    <xf numFmtId="0" fontId="2" fillId="60" borderId="69" applyAlignment="1" pivotButton="0" quotePrefix="0" xfId="0">
      <alignment horizontal="center" vertical="center"/>
    </xf>
    <xf numFmtId="0" fontId="2" fillId="60" borderId="15" applyAlignment="1" pivotButton="0" quotePrefix="0" xfId="0">
      <alignment horizontal="center" vertical="center"/>
    </xf>
    <xf numFmtId="0" fontId="2" fillId="60" borderId="16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 indent="1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wrapText="1" indent="1"/>
    </xf>
    <xf numFmtId="0" fontId="0" fillId="17" borderId="31" applyAlignment="1" pivotButton="0" quotePrefix="0" xfId="0">
      <alignment horizontal="center" vertical="center"/>
    </xf>
    <xf numFmtId="0" fontId="0" fillId="17" borderId="32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67" fillId="0" borderId="24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0" fillId="0" borderId="116" applyAlignment="1" pivotButton="0" quotePrefix="0" xfId="0">
      <alignment horizontal="center" vertical="center"/>
    </xf>
    <xf numFmtId="0" fontId="0" fillId="0" borderId="60" applyAlignment="1" pivotButton="0" quotePrefix="0" xfId="0">
      <alignment horizontal="center" vertical="center"/>
    </xf>
    <xf numFmtId="0" fontId="0" fillId="17" borderId="1" applyAlignment="1" pivotButton="0" quotePrefix="0" xfId="0">
      <alignment horizontal="left" vertical="center" indent="1"/>
    </xf>
    <xf numFmtId="0" fontId="0" fillId="17" borderId="21" applyAlignment="1" pivotButton="0" quotePrefix="0" xfId="0">
      <alignment horizontal="center" vertical="center"/>
    </xf>
    <xf numFmtId="0" fontId="0" fillId="17" borderId="23" applyAlignment="1" pivotButton="0" quotePrefix="0" xfId="0">
      <alignment horizontal="center" vertical="center"/>
    </xf>
    <xf numFmtId="0" fontId="0" fillId="0" borderId="115" applyAlignment="1" pivotButton="0" quotePrefix="0" xfId="0">
      <alignment horizontal="center" vertical="center"/>
    </xf>
    <xf numFmtId="0" fontId="0" fillId="0" borderId="121" applyAlignment="1" pivotButton="0" quotePrefix="0" xfId="0">
      <alignment horizontal="left" vertical="center" wrapText="1" indent="1"/>
    </xf>
    <xf numFmtId="0" fontId="69" fillId="0" borderId="1" applyAlignment="1" pivotButton="0" quotePrefix="0" xfId="0">
      <alignment horizontal="center" vertical="center"/>
    </xf>
    <xf numFmtId="0" fontId="69" fillId="0" borderId="1" applyAlignment="1" pivotButton="0" quotePrefix="0" xfId="0">
      <alignment horizontal="left" vertical="center"/>
    </xf>
    <xf numFmtId="0" fontId="0" fillId="18" borderId="49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0" fillId="18" borderId="5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/>
    </xf>
    <xf numFmtId="0" fontId="69" fillId="0" borderId="1" applyAlignment="1" pivotButton="0" quotePrefix="0" xfId="0">
      <alignment horizontal="left" vertical="center" indent="1"/>
    </xf>
    <xf numFmtId="0" fontId="50" fillId="0" borderId="1" applyAlignment="1" pivotButton="0" quotePrefix="0" xfId="0">
      <alignment horizontal="left" vertical="center"/>
    </xf>
    <xf numFmtId="0" fontId="5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1" fillId="4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5" fillId="3" borderId="3" applyAlignment="1" pivotButton="0" quotePrefix="0" xfId="0">
      <alignment horizontal="center" vertical="center"/>
    </xf>
    <xf numFmtId="0" fontId="46" fillId="48" borderId="14" applyAlignment="1" pivotButton="0" quotePrefix="0" xfId="0">
      <alignment horizontal="center" vertical="center"/>
    </xf>
    <xf numFmtId="0" fontId="46" fillId="48" borderId="15" applyAlignment="1" pivotButton="0" quotePrefix="0" xfId="0">
      <alignment horizontal="center" vertical="center"/>
    </xf>
    <xf numFmtId="0" fontId="46" fillId="48" borderId="16" applyAlignment="1" pivotButton="0" quotePrefix="0" xfId="0">
      <alignment horizontal="center" vertical="center"/>
    </xf>
    <xf numFmtId="0" fontId="52" fillId="14" borderId="1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15" fillId="13" borderId="1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49" fillId="2" borderId="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4" borderId="4" applyAlignment="1" pivotButton="0" quotePrefix="0" xfId="0">
      <alignment horizontal="center" vertical="center"/>
    </xf>
    <xf numFmtId="0" fontId="49" fillId="4" borderId="5" applyAlignment="1" pivotButton="0" quotePrefix="0" xfId="0">
      <alignment horizontal="center" vertical="center"/>
    </xf>
    <xf numFmtId="0" fontId="49" fillId="4" borderId="6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49" fontId="35" fillId="8" borderId="4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49" fontId="35" fillId="8" borderId="6" applyAlignment="1" pivotButton="0" quotePrefix="0" xfId="0">
      <alignment horizontal="center" vertical="center"/>
    </xf>
    <xf numFmtId="0" fontId="47" fillId="3" borderId="3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/>
    </xf>
    <xf numFmtId="0" fontId="37" fillId="0" borderId="27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center" vertical="center"/>
    </xf>
    <xf numFmtId="0" fontId="46" fillId="3" borderId="3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55" fillId="0" borderId="3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10" fillId="13" borderId="5" applyAlignment="1" pivotButton="0" quotePrefix="0" xfId="0">
      <alignment horizontal="center" vertical="center"/>
    </xf>
    <xf numFmtId="0" fontId="10" fillId="13" borderId="6" applyAlignment="1" pivotButton="0" quotePrefix="0" xfId="0">
      <alignment horizontal="center" vertical="center"/>
    </xf>
    <xf numFmtId="0" fontId="52" fillId="9" borderId="10" applyAlignment="1" pivotButton="0" quotePrefix="0" xfId="0">
      <alignment horizontal="center" vertical="center"/>
    </xf>
    <xf numFmtId="0" fontId="52" fillId="9" borderId="0" applyAlignment="1" pivotButton="0" quotePrefix="0" xfId="0">
      <alignment horizontal="center" vertical="center"/>
    </xf>
    <xf numFmtId="0" fontId="61" fillId="0" borderId="1" applyAlignment="1" pivotButton="0" quotePrefix="0" xfId="0">
      <alignment horizontal="center" vertical="center"/>
    </xf>
    <xf numFmtId="0" fontId="61" fillId="0" borderId="7" applyAlignment="1" pivotButton="0" quotePrefix="0" xfId="0">
      <alignment horizontal="center" vertical="center"/>
    </xf>
    <xf numFmtId="0" fontId="61" fillId="0" borderId="2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0" fontId="65" fillId="8" borderId="1" applyAlignment="1" pivotButton="0" quotePrefix="0" xfId="0">
      <alignment horizontal="center" vertical="center"/>
    </xf>
    <xf numFmtId="0" fontId="65" fillId="8" borderId="112" applyAlignment="1" pivotButton="0" quotePrefix="0" xfId="0">
      <alignment horizontal="center" vertical="center"/>
    </xf>
    <xf numFmtId="0" fontId="65" fillId="8" borderId="108" applyAlignment="1" pivotButton="0" quotePrefix="0" xfId="0">
      <alignment horizontal="center" vertical="center"/>
    </xf>
    <xf numFmtId="0" fontId="65" fillId="8" borderId="109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2" fillId="39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11" borderId="62" applyAlignment="1" pivotButton="0" quotePrefix="0" xfId="0">
      <alignment horizontal="center" vertical="center"/>
    </xf>
    <xf numFmtId="0" fontId="0" fillId="11" borderId="63" applyAlignment="1" pivotButton="0" quotePrefix="0" xfId="0">
      <alignment horizontal="center" vertical="center"/>
    </xf>
    <xf numFmtId="0" fontId="0" fillId="11" borderId="64" applyAlignment="1" pivotButton="0" quotePrefix="0" xfId="0">
      <alignment horizontal="center" vertical="center"/>
    </xf>
    <xf numFmtId="0" fontId="0" fillId="11" borderId="45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8" fillId="0" borderId="103" applyAlignment="1" pivotButton="0" quotePrefix="0" xfId="0">
      <alignment horizontal="center" vertical="center"/>
    </xf>
    <xf numFmtId="0" fontId="38" fillId="0" borderId="104" applyAlignment="1" pivotButton="0" quotePrefix="0" xfId="0">
      <alignment horizontal="center" vertical="center"/>
    </xf>
    <xf numFmtId="0" fontId="38" fillId="0" borderId="105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8" borderId="29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/>
    </xf>
    <xf numFmtId="0" fontId="40" fillId="20" borderId="15" applyAlignment="1" pivotButton="0" quotePrefix="0" xfId="0">
      <alignment horizontal="center"/>
    </xf>
    <xf numFmtId="0" fontId="40" fillId="20" borderId="16" applyAlignment="1" pivotButton="0" quotePrefix="0" xfId="0">
      <alignment horizontal="center"/>
    </xf>
    <xf numFmtId="0" fontId="6" fillId="8" borderId="21" applyAlignment="1" pivotButton="0" quotePrefix="0" xfId="0">
      <alignment horizontal="center" vertical="center" wrapText="1"/>
    </xf>
    <xf numFmtId="0" fontId="6" fillId="8" borderId="26" applyAlignment="1" pivotButton="0" quotePrefix="0" xfId="0">
      <alignment horizontal="center" vertical="center" wrapText="1"/>
    </xf>
    <xf numFmtId="0" fontId="6" fillId="19" borderId="53" applyAlignment="1" pivotButton="0" quotePrefix="0" xfId="0">
      <alignment horizontal="center" vertical="center"/>
    </xf>
    <xf numFmtId="0" fontId="6" fillId="19" borderId="5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 vertical="center"/>
    </xf>
    <xf numFmtId="0" fontId="40" fillId="20" borderId="15" applyAlignment="1" pivotButton="0" quotePrefix="0" xfId="0">
      <alignment horizontal="center" vertical="center"/>
    </xf>
    <xf numFmtId="0" fontId="40" fillId="20" borderId="30" applyAlignment="1" pivotButton="0" quotePrefix="0" xfId="0">
      <alignment horizontal="center" vertical="center"/>
    </xf>
    <xf numFmtId="0" fontId="40" fillId="20" borderId="16" applyAlignment="1" pivotButton="0" quotePrefix="0" xfId="0">
      <alignment horizontal="center" vertical="center"/>
    </xf>
    <xf numFmtId="0" fontId="6" fillId="8" borderId="25" applyAlignment="1" pivotButton="0" quotePrefix="0" xfId="0">
      <alignment horizontal="center" vertical="center"/>
    </xf>
    <xf numFmtId="0" fontId="6" fillId="8" borderId="20" applyAlignment="1" pivotButton="0" quotePrefix="0" xfId="0">
      <alignment horizontal="center" vertical="center"/>
    </xf>
    <xf numFmtId="0" fontId="6" fillId="8" borderId="21" applyAlignment="1" pivotButton="0" quotePrefix="0" xfId="0">
      <alignment horizontal="center" wrapText="1"/>
    </xf>
    <xf numFmtId="0" fontId="6" fillId="8" borderId="26" applyAlignment="1" pivotButton="0" quotePrefix="0" xfId="0">
      <alignment horizont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0" fontId="21" fillId="30" borderId="13" applyAlignment="1" pivotButton="0" quotePrefix="0" xfId="0">
      <alignment horizontal="center" vertical="center" wrapText="1"/>
    </xf>
    <xf numFmtId="0" fontId="21" fillId="31" borderId="42" applyAlignment="1" pivotButton="0" quotePrefix="0" xfId="0">
      <alignment horizontal="center" vertical="center" wrapText="1"/>
    </xf>
    <xf numFmtId="0" fontId="23" fillId="17" borderId="4" applyAlignment="1" pivotButton="0" quotePrefix="0" xfId="0">
      <alignment horizontal="center" vertical="center"/>
    </xf>
    <xf numFmtId="0" fontId="23" fillId="17" borderId="5" applyAlignment="1" pivotButton="0" quotePrefix="0" xfId="0">
      <alignment horizontal="center" vertical="center"/>
    </xf>
    <xf numFmtId="0" fontId="23" fillId="17" borderId="6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40" fillId="22" borderId="35" applyAlignment="1" pivotButton="0" quotePrefix="0" xfId="0">
      <alignment horizontal="center" vertical="center" wrapText="1"/>
    </xf>
    <xf numFmtId="0" fontId="40" fillId="22" borderId="36" applyAlignment="1" pivotButton="0" quotePrefix="0" xfId="0">
      <alignment horizontal="center" vertical="center" wrapText="1"/>
    </xf>
    <xf numFmtId="0" fontId="40" fillId="22" borderId="34" applyAlignment="1" pivotButton="0" quotePrefix="0" xfId="0">
      <alignment horizontal="center" vertical="center" wrapText="1"/>
    </xf>
    <xf numFmtId="0" fontId="40" fillId="25" borderId="0" applyAlignment="1" pivotButton="0" quotePrefix="0" xfId="0">
      <alignment horizontal="center" wrapText="1"/>
    </xf>
    <xf numFmtId="0" fontId="6" fillId="0" borderId="0" pivotButton="0" quotePrefix="0" xfId="0"/>
    <xf numFmtId="0" fontId="40" fillId="2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40" fillId="0" borderId="14" applyAlignment="1" pivotButton="0" quotePrefix="0" xfId="0">
      <alignment horizontal="center"/>
    </xf>
    <xf numFmtId="0" fontId="40" fillId="0" borderId="16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40" fillId="0" borderId="82" applyAlignment="1" pivotButton="0" quotePrefix="0" xfId="0">
      <alignment horizontal="center" wrapText="1"/>
    </xf>
    <xf numFmtId="0" fontId="40" fillId="0" borderId="83" applyAlignment="1" pivotButton="0" quotePrefix="0" xfId="0">
      <alignment horizontal="center" wrapText="1"/>
    </xf>
    <xf numFmtId="0" fontId="40" fillId="25" borderId="0" applyAlignment="1" pivotButton="0" quotePrefix="0" xfId="0">
      <alignment horizontal="center" vertical="center"/>
    </xf>
    <xf numFmtId="0" fontId="40" fillId="2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wrapText="1"/>
    </xf>
    <xf numFmtId="0" fontId="0" fillId="0" borderId="3" pivotButton="0" quotePrefix="0" xfId="0"/>
    <xf numFmtId="0" fontId="46" fillId="48" borderId="6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5" fontId="37" fillId="40" borderId="1" applyAlignment="1" pivotButton="0" quotePrefix="0" xfId="0">
      <alignment horizontal="center" vertical="center"/>
    </xf>
    <xf numFmtId="0" fontId="49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9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9" fillId="2" borderId="69" applyAlignment="1" pivotButton="0" quotePrefix="0" xfId="0">
      <alignment horizontal="center" vertical="center"/>
    </xf>
    <xf numFmtId="0" fontId="0" fillId="0" borderId="126" pivotButton="0" quotePrefix="0" xfId="0"/>
    <xf numFmtId="0" fontId="10" fillId="2" borderId="1" applyAlignment="1" pivotButton="0" quotePrefix="0" xfId="0">
      <alignment horizontal="center" vertical="center"/>
    </xf>
    <xf numFmtId="49" fontId="35" fillId="8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25" pivotButton="0" quotePrefix="0" xfId="0"/>
    <xf numFmtId="0" fontId="0" fillId="0" borderId="56" pivotButton="0" quotePrefix="0" xfId="0"/>
    <xf numFmtId="0" fontId="0" fillId="0" borderId="42" pivotButton="0" quotePrefix="0" xfId="0"/>
    <xf numFmtId="0" fontId="0" fillId="11" borderId="127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164" fontId="0" fillId="1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28" pivotButton="0" quotePrefix="0" xfId="0"/>
    <xf numFmtId="0" fontId="0" fillId="0" borderId="129" pivotButton="0" quotePrefix="0" xfId="0"/>
    <xf numFmtId="164" fontId="37" fillId="0" borderId="0" applyAlignment="1" pivotButton="0" quotePrefix="0" xfId="0">
      <alignment horizontal="center" vertical="center"/>
    </xf>
    <xf numFmtId="0" fontId="40" fillId="20" borderId="69" applyAlignment="1" pivotButton="0" quotePrefix="0" xfId="0">
      <alignment horizontal="center" vertical="center"/>
    </xf>
    <xf numFmtId="0" fontId="40" fillId="20" borderId="69" applyAlignment="1" pivotButton="0" quotePrefix="0" xfId="0">
      <alignment horizontal="center"/>
    </xf>
    <xf numFmtId="0" fontId="0" fillId="0" borderId="89" pivotButton="0" quotePrefix="0" xfId="0"/>
    <xf numFmtId="0" fontId="6" fillId="8" borderId="1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6" fillId="19" borderId="69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51" pivotButton="0" quotePrefix="0" xfId="0"/>
    <xf numFmtId="0" fontId="20" fillId="6" borderId="1" applyAlignment="1" pivotButton="0" quotePrefix="0" xfId="0">
      <alignment horizontal="center" vertical="center"/>
    </xf>
    <xf numFmtId="0" fontId="40" fillId="22" borderId="37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4" pivotButton="0" quotePrefix="0" xfId="0"/>
    <xf numFmtId="0" fontId="40" fillId="0" borderId="69" applyAlignment="1" pivotButton="0" quotePrefix="0" xfId="0">
      <alignment horizontal="center"/>
    </xf>
    <xf numFmtId="0" fontId="40" fillId="0" borderId="113" applyAlignment="1" pivotButton="0" quotePrefix="0" xfId="0">
      <alignment horizontal="center" wrapText="1"/>
    </xf>
    <xf numFmtId="0" fontId="0" fillId="0" borderId="83" pivotButton="0" quotePrefix="0" xfId="0"/>
    <xf numFmtId="0" fontId="0" fillId="0" borderId="130" pivotButton="0" quotePrefix="0" xfId="0"/>
  </cellXfs>
  <cellStyles count="3">
    <cellStyle name="Normal" xfId="0" builtinId="0"/>
    <cellStyle name="Normal 9" xfId="1"/>
    <cellStyle name="Bad" xfId="2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16:S869"/>
  <sheetViews>
    <sheetView tabSelected="1" topLeftCell="A816" zoomScale="55" zoomScaleNormal="55" workbookViewId="0">
      <selection activeCell="H841" sqref="H841"/>
    </sheetView>
  </sheetViews>
  <sheetFormatPr baseColWidth="8" defaultColWidth="8.7265625" defaultRowHeight="14.5"/>
  <cols>
    <col width="13.453125" customWidth="1" style="263" min="1" max="1"/>
    <col width="47.1796875" customWidth="1" style="263" min="2" max="2"/>
    <col width="56.26953125" customWidth="1" style="295" min="3" max="3"/>
    <col width="15.26953125" customWidth="1" style="309" min="4" max="4"/>
    <col width="14.453125" customWidth="1" style="263" min="5" max="5"/>
    <col width="49.453125" customWidth="1" style="263" min="6" max="6"/>
    <col width="55.453125" customWidth="1" style="263" min="7" max="7"/>
    <col width="39.81640625" customWidth="1" style="309" min="8" max="8"/>
    <col width="50.453125" customWidth="1" style="309" min="9" max="10"/>
    <col width="34" customWidth="1" style="263" min="11" max="11"/>
    <col width="54.1796875" customWidth="1" style="263" min="12" max="12"/>
    <col width="38.453125" customWidth="1" style="309" min="13" max="13"/>
    <col width="30.1796875" bestFit="1" customWidth="1" style="263" min="14" max="14"/>
    <col width="35.81640625" customWidth="1" style="263" min="15" max="15"/>
    <col width="18.1796875" customWidth="1" style="309" min="16" max="16"/>
    <col width="12.26953125" customWidth="1" style="263" min="17" max="17"/>
    <col width="33.81640625" bestFit="1" customWidth="1" style="263" min="18" max="18"/>
    <col width="47.36328125" customWidth="1" style="309" min="19" max="19"/>
  </cols>
  <sheetData>
    <row r="816" ht="48" customHeight="1">
      <c r="A816" s="759" t="inlineStr">
        <is>
          <t>Unity_DS3D (CPU_WS)</t>
        </is>
      </c>
      <c r="B816" s="869" t="n"/>
      <c r="C816" s="869" t="n"/>
      <c r="D816" s="869" t="n"/>
      <c r="E816" s="869" t="n"/>
      <c r="F816" s="869" t="n"/>
      <c r="G816" s="869" t="n"/>
      <c r="H816" s="869" t="n"/>
      <c r="I816" s="869" t="n"/>
      <c r="J816" s="869" t="n"/>
      <c r="K816" s="869" t="n"/>
      <c r="L816" s="869" t="n"/>
      <c r="M816" s="869" t="n"/>
      <c r="N816" s="869" t="n"/>
      <c r="O816" s="870" t="n"/>
    </row>
    <row r="817" hidden="1"/>
    <row r="818" ht="42.75" customHeight="1"/>
    <row r="819" ht="66.75" customHeight="1">
      <c r="A819" s="754" t="inlineStr">
        <is>
          <t>Unity INPUTS from DS3D</t>
        </is>
      </c>
      <c r="B819" s="869" t="n"/>
      <c r="C819" s="869" t="n"/>
      <c r="D819" s="869" t="n"/>
      <c r="E819" s="869" t="n"/>
      <c r="F819" s="869" t="n"/>
      <c r="G819" s="870" t="n"/>
      <c r="I819" s="754" t="inlineStr">
        <is>
          <t>OUTPUT TO DS3D</t>
        </is>
      </c>
      <c r="J819" s="869" t="n"/>
      <c r="K819" s="869" t="n"/>
      <c r="L819" s="869" t="n"/>
      <c r="M819" s="869" t="n"/>
      <c r="N819" s="869" t="n"/>
      <c r="O819" s="870" t="n"/>
      <c r="R819" s="763" t="inlineStr">
        <is>
          <t>TO UNITY</t>
        </is>
      </c>
      <c r="S819" s="863" t="n"/>
    </row>
    <row r="820" ht="27" customHeight="1">
      <c r="A820" s="5" t="inlineStr">
        <is>
          <t>SR.No</t>
        </is>
      </c>
      <c r="B820" s="5" t="inlineStr">
        <is>
          <t>Variable</t>
        </is>
      </c>
      <c r="C820" s="19" t="inlineStr">
        <is>
          <t>Labels</t>
        </is>
      </c>
      <c r="D820" s="5" t="inlineStr">
        <is>
          <t xml:space="preserve">Units </t>
        </is>
      </c>
      <c r="E820" s="5" t="inlineStr">
        <is>
          <t>Data Type</t>
        </is>
      </c>
      <c r="F820" s="5" t="inlineStr">
        <is>
          <t>Value</t>
        </is>
      </c>
      <c r="G820" s="5" t="inlineStr">
        <is>
          <t>Remark</t>
        </is>
      </c>
      <c r="I820" s="5" t="inlineStr">
        <is>
          <t>SR.No</t>
        </is>
      </c>
      <c r="J820" s="5" t="inlineStr">
        <is>
          <t>Variable</t>
        </is>
      </c>
      <c r="K820" s="5" t="inlineStr">
        <is>
          <t>Labels</t>
        </is>
      </c>
      <c r="L820" s="5" t="inlineStr">
        <is>
          <t xml:space="preserve">Units </t>
        </is>
      </c>
      <c r="M820" s="5" t="inlineStr">
        <is>
          <t>Data Type</t>
        </is>
      </c>
      <c r="N820" s="5" t="inlineStr">
        <is>
          <t>Value</t>
        </is>
      </c>
      <c r="O820" s="5" t="inlineStr">
        <is>
          <t>Remark</t>
        </is>
      </c>
      <c r="P820" s="530" t="inlineStr">
        <is>
          <t>Do not touch</t>
        </is>
      </c>
      <c r="R820" s="402" t="inlineStr">
        <is>
          <t>Requirement</t>
        </is>
      </c>
      <c r="S820" s="402" t="inlineStr">
        <is>
          <t>Remarks</t>
        </is>
      </c>
    </row>
    <row r="821" ht="17.25" customFormat="1" customHeight="1" s="263">
      <c r="A821" s="714" t="n">
        <v>1</v>
      </c>
      <c r="B821" s="724" t="inlineStr">
        <is>
          <t>Active_Fault_Status</t>
        </is>
      </c>
      <c r="C821" s="715" t="inlineStr">
        <is>
          <t>Active Fault Status</t>
        </is>
      </c>
      <c r="D821" s="714" t="inlineStr">
        <is>
          <t>Code</t>
        </is>
      </c>
      <c r="E821" s="714" t="inlineStr">
        <is>
          <t>Integer</t>
        </is>
      </c>
      <c r="F821" s="714" t="n">
        <v>1</v>
      </c>
      <c r="G821" s="714" t="inlineStr">
        <is>
          <t>If Fault is active: 1, Fault Inactive: 0</t>
        </is>
      </c>
      <c r="I821" s="714" t="n">
        <v>1</v>
      </c>
      <c r="J821" s="715" t="inlineStr">
        <is>
          <t>BlueArrowOut</t>
        </is>
      </c>
      <c r="K821" s="715" t="inlineStr">
        <is>
          <t>Fresh Air arrow</t>
        </is>
      </c>
      <c r="L821" s="714" t="inlineStr">
        <is>
          <t>Fresh Air blue arrow</t>
        </is>
      </c>
      <c r="M821" s="714" t="inlineStr">
        <is>
          <t>Integer</t>
        </is>
      </c>
      <c r="N821" s="714" t="n">
        <v>5</v>
      </c>
      <c r="O821" s="714" t="inlineStr">
        <is>
          <t>0-10 (Speed)</t>
        </is>
      </c>
      <c r="P821" s="263">
        <f>IF('Mode Logic'!V18=1,5,0)</f>
        <v/>
      </c>
      <c r="R821" s="403" t="inlineStr">
        <is>
          <t>Every Arrow with Speed</t>
        </is>
      </c>
      <c r="S821" s="403" t="n"/>
    </row>
    <row r="822" ht="17.25" customFormat="1" customHeight="1" s="263">
      <c r="A822" s="714" t="n">
        <v>2</v>
      </c>
      <c r="B822" s="724" t="inlineStr">
        <is>
          <t>Current_Step_Number</t>
        </is>
      </c>
      <c r="C822" s="715" t="inlineStr">
        <is>
          <t>Current Step Number</t>
        </is>
      </c>
      <c r="D822" s="714" t="inlineStr">
        <is>
          <t>Step</t>
        </is>
      </c>
      <c r="E822" s="714" t="inlineStr">
        <is>
          <t>Integer</t>
        </is>
      </c>
      <c r="F822" s="714" t="n">
        <v>1</v>
      </c>
      <c r="G822" s="714" t="inlineStr">
        <is>
          <t>1-based step index in procedure (0 = reset/unstarted)</t>
        </is>
      </c>
      <c r="I822" s="714" t="n">
        <v>2</v>
      </c>
      <c r="J822" s="715" t="inlineStr">
        <is>
          <t>Fan1</t>
        </is>
      </c>
      <c r="K822" s="715" t="inlineStr">
        <is>
          <t>Condensor Fan RedArrow Set 1</t>
        </is>
      </c>
      <c r="L822" s="714" t="inlineStr">
        <is>
          <t>Condensor Fan RedArrow Set 1</t>
        </is>
      </c>
      <c r="M822" s="714" t="inlineStr">
        <is>
          <t>Integer</t>
        </is>
      </c>
      <c r="N822" s="714" t="n">
        <v>5</v>
      </c>
      <c r="O822" s="714" t="inlineStr">
        <is>
          <t>0-10 (Speed)</t>
        </is>
      </c>
      <c r="P822" s="263">
        <f>IF('Mode Logic'!T18=1,5,0)</f>
        <v/>
      </c>
      <c r="R822" s="403" t="inlineStr">
        <is>
          <t>Every Arrow Colour Control</t>
        </is>
      </c>
      <c r="S822" s="403" t="n"/>
    </row>
    <row r="823" ht="17.25" customFormat="1" customHeight="1" s="263">
      <c r="A823" s="714" t="n">
        <v>3</v>
      </c>
      <c r="B823" s="724" t="inlineStr">
        <is>
          <t>Total_Steps</t>
        </is>
      </c>
      <c r="C823" s="715" t="inlineStr">
        <is>
          <t>Total Steps in Procedure</t>
        </is>
      </c>
      <c r="D823" s="714" t="inlineStr">
        <is>
          <t>Steps</t>
        </is>
      </c>
      <c r="E823" s="714" t="inlineStr">
        <is>
          <t>Integer</t>
        </is>
      </c>
      <c r="F823" s="714" t="n">
        <v>15</v>
      </c>
      <c r="G823" s="714" t="inlineStr">
        <is>
          <t>Total steps for active fault</t>
        </is>
      </c>
      <c r="I823" s="714" t="n">
        <v>3</v>
      </c>
      <c r="J823" s="715" t="inlineStr">
        <is>
          <t>Fan2</t>
        </is>
      </c>
      <c r="K823" s="715" t="inlineStr">
        <is>
          <t>Evaporator Fan RedArrow Set 2</t>
        </is>
      </c>
      <c r="L823" s="714" t="inlineStr">
        <is>
          <t>Evaporator Fan RedArrow Set 2</t>
        </is>
      </c>
      <c r="M823" s="714" t="inlineStr">
        <is>
          <t>Integer</t>
        </is>
      </c>
      <c r="N823" s="714" t="n">
        <v>5</v>
      </c>
      <c r="O823" s="714" t="inlineStr">
        <is>
          <t>0-10 (Speed)</t>
        </is>
      </c>
      <c r="P823" s="263">
        <f>IF('Mode Logic'!U18=1,5,0)</f>
        <v/>
      </c>
      <c r="R823" s="403" t="inlineStr">
        <is>
          <t>Application Quit</t>
        </is>
      </c>
      <c r="S823" s="403" t="n"/>
    </row>
    <row r="824" ht="17.25" customFormat="1" customHeight="1" s="263">
      <c r="A824" s="714" t="n">
        <v>4</v>
      </c>
      <c r="B824" s="724" t="inlineStr">
        <is>
          <t>Wrong_Attempts</t>
        </is>
      </c>
      <c r="C824" s="715" t="inlineStr">
        <is>
          <t>Wrong Attempts Counter</t>
        </is>
      </c>
      <c r="D824" s="714" t="inlineStr">
        <is>
          <t>Count</t>
        </is>
      </c>
      <c r="E824" s="714" t="inlineStr">
        <is>
          <t>Integer</t>
        </is>
      </c>
      <c r="F824" s="714" t="n">
        <v>0</v>
      </c>
      <c r="G824" s="714" t="inlineStr">
        <is>
          <t>Total number of times wrong steps were taken</t>
        </is>
      </c>
      <c r="I824" s="714" t="n">
        <v>4</v>
      </c>
      <c r="J824" s="715" t="inlineStr">
        <is>
          <t>GreenArrowIN1</t>
        </is>
      </c>
      <c r="K824" s="715" t="inlineStr">
        <is>
          <t>Fresh Air Damper Right</t>
        </is>
      </c>
      <c r="L824" s="714" t="inlineStr">
        <is>
          <t>Fresh Air Damper Right</t>
        </is>
      </c>
      <c r="M824" s="714" t="inlineStr">
        <is>
          <t>Integer</t>
        </is>
      </c>
      <c r="N824" s="714" t="n">
        <v>0</v>
      </c>
      <c r="O824" s="714" t="inlineStr">
        <is>
          <t>0-10 (Speed)</t>
        </is>
      </c>
      <c r="P824" s="263">
        <f>IF('Mode Logic'!P18=1,5,0)</f>
        <v/>
      </c>
      <c r="R824" s="403" t="inlineStr">
        <is>
          <t>Fresh Air Damper Left Position</t>
        </is>
      </c>
      <c r="S824" s="403" t="n"/>
    </row>
    <row r="825" ht="17.25" customFormat="1" customHeight="1" s="263">
      <c r="A825" s="714" t="n">
        <v>5</v>
      </c>
      <c r="B825" s="724" t="inlineStr">
        <is>
          <t>Fault_101_Status</t>
        </is>
      </c>
      <c r="C825" s="715" t="inlineStr">
        <is>
          <t>Fault 101: No HVAC operations</t>
        </is>
      </c>
      <c r="D825" s="714" t="inlineStr">
        <is>
          <t>State</t>
        </is>
      </c>
      <c r="E825" s="714" t="inlineStr">
        <is>
          <t>Boolean</t>
        </is>
      </c>
      <c r="F825" s="714" t="n">
        <v>0</v>
      </c>
      <c r="G825" s="714" t="inlineStr">
        <is>
          <t>0: Inactive, 1: Active (14 steps)</t>
        </is>
      </c>
      <c r="I825" s="714" t="n">
        <v>5</v>
      </c>
      <c r="J825" s="715" t="inlineStr">
        <is>
          <t>GreenArrowIN2</t>
        </is>
      </c>
      <c r="K825" s="715" t="inlineStr">
        <is>
          <t>Fresh Air Damper left</t>
        </is>
      </c>
      <c r="L825" s="714" t="inlineStr">
        <is>
          <t>Fresh Air Damper left</t>
        </is>
      </c>
      <c r="M825" s="714" t="inlineStr">
        <is>
          <t>Integer</t>
        </is>
      </c>
      <c r="N825" s="714" t="n">
        <v>0</v>
      </c>
      <c r="O825" s="714" t="inlineStr">
        <is>
          <t>0-10 (Speed)</t>
        </is>
      </c>
      <c r="P825" s="263">
        <f>IF('Mode Logic'!P18=1,5,0)</f>
        <v/>
      </c>
      <c r="R825" s="403" t="inlineStr">
        <is>
          <t>Fresh Air Damper Right Position</t>
        </is>
      </c>
      <c r="S825" s="403" t="n"/>
    </row>
    <row r="826" ht="17.25" customHeight="1">
      <c r="A826" s="714" t="n">
        <v>6</v>
      </c>
      <c r="B826" s="724" t="inlineStr">
        <is>
          <t>Fault_102_Status</t>
        </is>
      </c>
      <c r="C826" s="715" t="inlineStr">
        <is>
          <t>Fault 102: No ventilation</t>
        </is>
      </c>
      <c r="D826" s="714" t="inlineStr">
        <is>
          <t>State</t>
        </is>
      </c>
      <c r="E826" s="714" t="inlineStr">
        <is>
          <t>Boolean</t>
        </is>
      </c>
      <c r="F826" s="714" t="n">
        <v>0</v>
      </c>
      <c r="G826" s="714" t="inlineStr">
        <is>
          <t>0: Inactive, 1: Active (22 steps)</t>
        </is>
      </c>
      <c r="I826" s="714" t="n">
        <v>6</v>
      </c>
      <c r="J826" s="715" t="inlineStr">
        <is>
          <t>YellowArrowIn</t>
        </is>
      </c>
      <c r="K826" s="715" t="inlineStr">
        <is>
          <t>Return Air Damper</t>
        </is>
      </c>
      <c r="L826" s="714" t="inlineStr">
        <is>
          <t>Return Air Damper</t>
        </is>
      </c>
      <c r="M826" s="714" t="inlineStr">
        <is>
          <t>Integer</t>
        </is>
      </c>
      <c r="N826" s="714" t="n">
        <v>5</v>
      </c>
      <c r="O826" s="714" t="inlineStr">
        <is>
          <t>0-10 (Speed)</t>
        </is>
      </c>
      <c r="P826" s="263">
        <f>IF('Mode Logic'!Q18=1,5,0)</f>
        <v/>
      </c>
      <c r="R826" s="403" t="inlineStr">
        <is>
          <t>Return Air Damper Position</t>
        </is>
      </c>
      <c r="S826" s="425" t="n"/>
    </row>
    <row r="827" ht="17.25" customHeight="1">
      <c r="A827" s="714" t="n">
        <v>7</v>
      </c>
      <c r="B827" s="724" t="inlineStr">
        <is>
          <t>Fault_103_Status</t>
        </is>
      </c>
      <c r="C827" s="715" t="inlineStr">
        <is>
          <t>Fault 103: Reduced ventilation</t>
        </is>
      </c>
      <c r="D827" s="714" t="inlineStr">
        <is>
          <t>State</t>
        </is>
      </c>
      <c r="E827" s="714" t="inlineStr">
        <is>
          <t>Boolean</t>
        </is>
      </c>
      <c r="F827" s="714" t="n">
        <v>0</v>
      </c>
      <c r="G827" s="714" t="inlineStr">
        <is>
          <t>0: Inactive, 1: Active (15 steps)</t>
        </is>
      </c>
      <c r="I827" s="714" t="n">
        <v>7</v>
      </c>
      <c r="J827" s="715" t="inlineStr">
        <is>
          <t>RedArrow_Inlet</t>
        </is>
      </c>
      <c r="K827" s="715" t="inlineStr">
        <is>
          <t>Fresh Air arrow Colour</t>
        </is>
      </c>
      <c r="L827" s="714" t="inlineStr">
        <is>
          <t>Intensity</t>
        </is>
      </c>
      <c r="M827" s="714" t="inlineStr">
        <is>
          <t>Float</t>
        </is>
      </c>
      <c r="N827" s="714" t="n">
        <v>0</v>
      </c>
      <c r="O827" s="714" t="inlineStr">
        <is>
          <t>0: Red, 1: Green, 2: Yellow, 3: Blue</t>
        </is>
      </c>
      <c r="R827" s="403" t="inlineStr">
        <is>
          <t>Fault Code</t>
        </is>
      </c>
      <c r="S827" s="425" t="inlineStr">
        <is>
          <t>Code to trigger the repective fault on Unity</t>
        </is>
      </c>
    </row>
    <row r="828" ht="17.25" customHeight="1">
      <c r="A828" s="714" t="n">
        <v>8</v>
      </c>
      <c r="B828" s="724" t="inlineStr">
        <is>
          <t>Fault_104_Status</t>
        </is>
      </c>
      <c r="C828" s="715" t="inlineStr">
        <is>
          <t>Fault 104: Suction low and discharge low (C1)</t>
        </is>
      </c>
      <c r="D828" s="714" t="inlineStr">
        <is>
          <t>State</t>
        </is>
      </c>
      <c r="E828" s="714" t="inlineStr">
        <is>
          <t>Boolean</t>
        </is>
      </c>
      <c r="F828" s="714" t="n">
        <v>1</v>
      </c>
      <c r="G828" s="714" t="inlineStr">
        <is>
          <t>0: Inactive, 1: Active (15 steps)</t>
        </is>
      </c>
      <c r="I828" s="714" t="n">
        <v>8</v>
      </c>
      <c r="J828" s="715" t="inlineStr">
        <is>
          <t>RedArrow_Outlet</t>
        </is>
      </c>
      <c r="K828" s="715" t="inlineStr">
        <is>
          <t>Condensor Fan RedArrow Set 1 Colour</t>
        </is>
      </c>
      <c r="L828" s="714" t="inlineStr">
        <is>
          <t>Intensity</t>
        </is>
      </c>
      <c r="M828" s="714" t="inlineStr">
        <is>
          <t>Float</t>
        </is>
      </c>
      <c r="N828" s="714" t="n">
        <v>0</v>
      </c>
      <c r="O828" s="714" t="inlineStr">
        <is>
          <t>0: Red, 1: Green, 2: Yellow, 3: Blue</t>
        </is>
      </c>
      <c r="R828" s="403" t="inlineStr">
        <is>
          <t>Fault Reset Trigger</t>
        </is>
      </c>
      <c r="S828" s="403" t="inlineStr">
        <is>
          <t>Boolean in Excel toReset Entire Screen to Normal Mode</t>
        </is>
      </c>
    </row>
    <row r="829" ht="17.25" customHeight="1">
      <c r="A829" s="714" t="n">
        <v>9</v>
      </c>
      <c r="B829" s="724" t="inlineStr">
        <is>
          <t>Fault_105_Status</t>
        </is>
      </c>
      <c r="C829" s="715" t="inlineStr">
        <is>
          <t>Fault 105: Suction low and discharge low (C2)</t>
        </is>
      </c>
      <c r="D829" s="714" t="inlineStr">
        <is>
          <t>State</t>
        </is>
      </c>
      <c r="E829" s="714" t="inlineStr">
        <is>
          <t>Boolean</t>
        </is>
      </c>
      <c r="F829" s="714" t="n">
        <v>0</v>
      </c>
      <c r="G829" s="714" t="inlineStr">
        <is>
          <t>0: Inactive, 1: Active (14 steps)</t>
        </is>
      </c>
      <c r="I829" s="714" t="n">
        <v>9</v>
      </c>
      <c r="J829" s="715" t="inlineStr">
        <is>
          <t>BlueArrow_Outlet</t>
        </is>
      </c>
      <c r="K829" s="715" t="inlineStr">
        <is>
          <t>Evaporator Fan RedArrow Set 2 Colour</t>
        </is>
      </c>
      <c r="L829" s="714" t="inlineStr">
        <is>
          <t>Intensity</t>
        </is>
      </c>
      <c r="M829" s="714" t="inlineStr">
        <is>
          <t>Float</t>
        </is>
      </c>
      <c r="N829" s="714" t="n">
        <v>0</v>
      </c>
      <c r="O829" s="714" t="inlineStr">
        <is>
          <t>0: Red, 1: Green, 2: Yellow, 3: Blue</t>
        </is>
      </c>
      <c r="R829" s="403" t="inlineStr">
        <is>
          <t>Show Hide Objects</t>
        </is>
      </c>
      <c r="S829" s="425" t="n"/>
    </row>
    <row r="830" ht="17.25" customHeight="1">
      <c r="A830" s="714" t="n">
        <v>10</v>
      </c>
      <c r="B830" s="724" t="inlineStr">
        <is>
          <t>Fault_106_Status</t>
        </is>
      </c>
      <c r="C830" s="715" t="inlineStr">
        <is>
          <t>Fault 106: High suction and high discharge</t>
        </is>
      </c>
      <c r="D830" s="714" t="inlineStr">
        <is>
          <t>State</t>
        </is>
      </c>
      <c r="E830" s="714" t="inlineStr">
        <is>
          <t>Boolean</t>
        </is>
      </c>
      <c r="F830" s="714" t="n">
        <v>0</v>
      </c>
      <c r="G830" s="714" t="inlineStr">
        <is>
          <t>0: Inactive, 1: Active (26 steps)</t>
        </is>
      </c>
      <c r="I830" s="714" t="n">
        <v>10</v>
      </c>
      <c r="J830" s="715" t="inlineStr">
        <is>
          <t>GreenArrow_Inlet</t>
        </is>
      </c>
      <c r="K830" s="715" t="inlineStr">
        <is>
          <t>Fresh Air Inlet Color Intensity</t>
        </is>
      </c>
      <c r="L830" s="714" t="inlineStr">
        <is>
          <t>Intensity</t>
        </is>
      </c>
      <c r="M830" s="714" t="inlineStr">
        <is>
          <t>Float</t>
        </is>
      </c>
      <c r="N830" s="714" t="n">
        <v>0</v>
      </c>
      <c r="O830" s="714" t="inlineStr">
        <is>
          <t>0-10 (Material color lerp)</t>
        </is>
      </c>
      <c r="R830" s="403" t="inlineStr">
        <is>
          <t>All Component Highlight</t>
        </is>
      </c>
      <c r="S830" s="403" t="inlineStr">
        <is>
          <t>As per discussion</t>
        </is>
      </c>
    </row>
    <row r="831" ht="17.25" customHeight="1">
      <c r="A831" s="714" t="n">
        <v>11</v>
      </c>
      <c r="B831" s="724" t="inlineStr">
        <is>
          <t>Fault_107_Status</t>
        </is>
      </c>
      <c r="C831" s="715" t="inlineStr">
        <is>
          <t>Fault 107: Compressor not operating</t>
        </is>
      </c>
      <c r="D831" s="714" t="inlineStr">
        <is>
          <t>State</t>
        </is>
      </c>
      <c r="E831" s="714" t="inlineStr">
        <is>
          <t>Boolean</t>
        </is>
      </c>
      <c r="F831" s="714" t="n">
        <v>0</v>
      </c>
      <c r="G831" s="714" t="inlineStr">
        <is>
          <t>0: Inactive, 1: Active (40 steps)</t>
        </is>
      </c>
      <c r="I831" s="714" t="n">
        <v>11</v>
      </c>
      <c r="J831" s="715" t="inlineStr">
        <is>
          <t>YellowArrow_Inlet</t>
        </is>
      </c>
      <c r="K831" s="715" t="inlineStr">
        <is>
          <t>Return Air Inlet Color Intensity</t>
        </is>
      </c>
      <c r="L831" s="714" t="inlineStr">
        <is>
          <t>Intensity</t>
        </is>
      </c>
      <c r="M831" s="714" t="inlineStr">
        <is>
          <t>Float</t>
        </is>
      </c>
      <c r="N831" s="714" t="n">
        <v>0</v>
      </c>
      <c r="O831" s="714" t="inlineStr">
        <is>
          <t>0-10 (Material color lerp)</t>
        </is>
      </c>
      <c r="R831" s="800" t="n"/>
    </row>
    <row r="832" ht="17.25" customHeight="1">
      <c r="A832" s="714" t="n">
        <v>12</v>
      </c>
      <c r="B832" s="724" t="inlineStr">
        <is>
          <t>Fault_108_Status</t>
        </is>
      </c>
      <c r="C832" s="715" t="inlineStr">
        <is>
          <t>Fault 108: Reduced cooling</t>
        </is>
      </c>
      <c r="D832" s="714" t="inlineStr">
        <is>
          <t>State</t>
        </is>
      </c>
      <c r="E832" s="714" t="inlineStr">
        <is>
          <t>Boolean</t>
        </is>
      </c>
      <c r="F832" s="714" t="n">
        <v>0</v>
      </c>
      <c r="G832" s="714" t="inlineStr">
        <is>
          <t>0: Inactive, 1: Active (33 steps)</t>
        </is>
      </c>
      <c r="I832" s="714" t="n">
        <v>12</v>
      </c>
      <c r="J832" s="715" t="inlineStr">
        <is>
          <t>FADL</t>
        </is>
      </c>
      <c r="K832" s="715" t="inlineStr">
        <is>
          <t>Fresh Air Damper Left Position</t>
        </is>
      </c>
      <c r="L832" s="714" t="inlineStr">
        <is>
          <t>Position</t>
        </is>
      </c>
      <c r="M832" s="714" t="inlineStr">
        <is>
          <t>Float</t>
        </is>
      </c>
      <c r="N832" s="714" t="n">
        <v>0</v>
      </c>
      <c r="O832" s="714" t="inlineStr">
        <is>
          <t>%</t>
        </is>
      </c>
      <c r="R832" s="800" t="n"/>
    </row>
    <row r="833" ht="17.25" customHeight="1">
      <c r="A833" s="714" t="n">
        <v>13</v>
      </c>
      <c r="B833" s="724" t="inlineStr">
        <is>
          <t>Fault_109_Status</t>
        </is>
      </c>
      <c r="C833" s="715" t="inlineStr">
        <is>
          <t>Fault 109: No Heating</t>
        </is>
      </c>
      <c r="D833" s="714" t="inlineStr">
        <is>
          <t>State</t>
        </is>
      </c>
      <c r="E833" s="714" t="inlineStr">
        <is>
          <t>Boolean</t>
        </is>
      </c>
      <c r="F833" s="714" t="n">
        <v>0</v>
      </c>
      <c r="G833" s="714" t="inlineStr">
        <is>
          <t>0: Inactive, 1: Active (15 steps)</t>
        </is>
      </c>
      <c r="I833" s="714" t="n">
        <v>13</v>
      </c>
      <c r="J833" s="715" t="inlineStr">
        <is>
          <t>FADR</t>
        </is>
      </c>
      <c r="K833" s="715" t="inlineStr">
        <is>
          <t>Fresh Air Damper Right Position</t>
        </is>
      </c>
      <c r="L833" s="714" t="inlineStr">
        <is>
          <t>Position</t>
        </is>
      </c>
      <c r="M833" s="714" t="inlineStr">
        <is>
          <t>Float</t>
        </is>
      </c>
      <c r="N833" s="714" t="n">
        <v>0</v>
      </c>
      <c r="O833" s="714" t="inlineStr">
        <is>
          <t>%</t>
        </is>
      </c>
    </row>
    <row r="834" ht="17.25" customHeight="1">
      <c r="A834" s="714" t="n">
        <v>14</v>
      </c>
      <c r="B834" s="724" t="inlineStr">
        <is>
          <t>Fault_110_Status</t>
        </is>
      </c>
      <c r="C834" s="715" t="inlineStr">
        <is>
          <t>Fault 110: Over Cooling</t>
        </is>
      </c>
      <c r="D834" s="714" t="inlineStr">
        <is>
          <t>State</t>
        </is>
      </c>
      <c r="E834" s="714" t="inlineStr">
        <is>
          <t>Boolean</t>
        </is>
      </c>
      <c r="F834" s="714" t="n">
        <v>0</v>
      </c>
      <c r="G834" s="714" t="inlineStr">
        <is>
          <t>0: Inactive, 1: Active (8 steps)</t>
        </is>
      </c>
      <c r="I834" s="714" t="n">
        <v>14</v>
      </c>
      <c r="J834" s="715" t="inlineStr">
        <is>
          <t>RAD</t>
        </is>
      </c>
      <c r="K834" s="715" t="inlineStr">
        <is>
          <t>Return Air Damper Position</t>
        </is>
      </c>
      <c r="L834" s="714" t="inlineStr">
        <is>
          <t>Position</t>
        </is>
      </c>
      <c r="M834" s="714" t="inlineStr">
        <is>
          <t>Float</t>
        </is>
      </c>
      <c r="N834" s="714" t="n">
        <v>0</v>
      </c>
      <c r="O834" s="714" t="inlineStr">
        <is>
          <t>0 &amp;100%</t>
        </is>
      </c>
    </row>
    <row r="835" ht="17.25" customHeight="1">
      <c r="A835" s="714" t="n">
        <v>15</v>
      </c>
      <c r="B835" s="724" t="inlineStr">
        <is>
          <t>Fault_111_Status</t>
        </is>
      </c>
      <c r="C835" s="715" t="inlineStr">
        <is>
          <t>Fault 111: Over Heating</t>
        </is>
      </c>
      <c r="D835" s="714" t="inlineStr">
        <is>
          <t>State</t>
        </is>
      </c>
      <c r="E835" s="714" t="inlineStr">
        <is>
          <t>Boolean</t>
        </is>
      </c>
      <c r="F835" s="714" t="n">
        <v>0</v>
      </c>
      <c r="G835" s="714" t="inlineStr">
        <is>
          <t>0: Inactive, 1: Active (7 steps)</t>
        </is>
      </c>
      <c r="I835" s="714" t="n">
        <v>15</v>
      </c>
      <c r="J835" s="715" t="inlineStr">
        <is>
          <t>DS3D_OFF</t>
        </is>
      </c>
      <c r="K835" s="715" t="inlineStr">
        <is>
          <t>DS3D Application Quit</t>
        </is>
      </c>
      <c r="L835" s="714" t="inlineStr">
        <is>
          <t>DS3D OFF</t>
        </is>
      </c>
      <c r="M835" s="714" t="inlineStr">
        <is>
          <t>Integer</t>
        </is>
      </c>
      <c r="N835" s="714" t="n">
        <v>0</v>
      </c>
      <c r="O835" s="714" t="inlineStr">
        <is>
          <t>0: Running, 1: Shutdown</t>
        </is>
      </c>
    </row>
    <row r="836" ht="17.25" customHeight="1">
      <c r="A836" s="714" t="n">
        <v>16</v>
      </c>
      <c r="B836" s="724" t="inlineStr">
        <is>
          <t>Fault_112_Status</t>
        </is>
      </c>
      <c r="C836" s="715" t="inlineStr">
        <is>
          <t>Fault 112: No emergency ventilation</t>
        </is>
      </c>
      <c r="D836" s="714" t="inlineStr">
        <is>
          <t>State</t>
        </is>
      </c>
      <c r="E836" s="714" t="inlineStr">
        <is>
          <t>Boolean</t>
        </is>
      </c>
      <c r="F836" s="714" t="n">
        <v>0</v>
      </c>
      <c r="G836" s="714" t="inlineStr">
        <is>
          <t>0: Inactive, 1: Active (14 steps)</t>
        </is>
      </c>
      <c r="I836" s="714" t="n">
        <v>16</v>
      </c>
      <c r="J836" s="715" t="inlineStr">
        <is>
          <t>Fault_Code_Trigger</t>
        </is>
      </c>
      <c r="K836" s="715" t="inlineStr">
        <is>
          <t>Fault Trigger Scenario Code</t>
        </is>
      </c>
      <c r="L836" s="714" t="inlineStr">
        <is>
          <t>Code</t>
        </is>
      </c>
      <c r="M836" s="714" t="inlineStr">
        <is>
          <t>Integer</t>
        </is>
      </c>
      <c r="N836" s="714" t="n">
        <v>104</v>
      </c>
      <c r="O836" s="714" t="inlineStr">
        <is>
          <t>Active Fault to Unity (101-114 active)</t>
        </is>
      </c>
    </row>
    <row r="837" ht="17.25" customHeight="1">
      <c r="A837" s="714" t="n">
        <v>17</v>
      </c>
      <c r="B837" s="724" t="inlineStr">
        <is>
          <t>Fault_113_Status</t>
        </is>
      </c>
      <c r="C837" s="715" t="inlineStr">
        <is>
          <t>Fault 113: Smoke identified in saloon</t>
        </is>
      </c>
      <c r="D837" s="714" t="inlineStr">
        <is>
          <t>State</t>
        </is>
      </c>
      <c r="E837" s="714" t="inlineStr">
        <is>
          <t>Boolean</t>
        </is>
      </c>
      <c r="F837" s="714" t="n">
        <v>0</v>
      </c>
      <c r="G837" s="714" t="inlineStr">
        <is>
          <t>0: Inactive, 1: Active (13 steps)</t>
        </is>
      </c>
      <c r="I837" s="714" t="n">
        <v>17</v>
      </c>
      <c r="J837" s="715" t="inlineStr">
        <is>
          <t>Fault_reset</t>
        </is>
      </c>
      <c r="K837" s="715" t="inlineStr">
        <is>
          <t>Fault Reset Trigger</t>
        </is>
      </c>
      <c r="L837" s="714" t="inlineStr">
        <is>
          <t>Command</t>
        </is>
      </c>
      <c r="M837" s="714" t="inlineStr">
        <is>
          <t>Integer</t>
        </is>
      </c>
      <c r="N837" s="714" t="n">
        <v>0</v>
      </c>
      <c r="O837" s="714" t="inlineStr">
        <is>
          <t>0: Idle, 1: Reset</t>
        </is>
      </c>
    </row>
    <row r="838" ht="17.25" customHeight="1">
      <c r="A838" s="714" t="n">
        <v>18</v>
      </c>
      <c r="B838" s="724" t="inlineStr">
        <is>
          <t>Fault_114_Status</t>
        </is>
      </c>
      <c r="C838" s="715" t="inlineStr">
        <is>
          <t>Fault 114: Compressor / Blower noisy</t>
        </is>
      </c>
      <c r="D838" s="714" t="inlineStr">
        <is>
          <t>State</t>
        </is>
      </c>
      <c r="E838" s="714" t="inlineStr">
        <is>
          <t>Boolean</t>
        </is>
      </c>
      <c r="F838" s="714" t="n">
        <v>0</v>
      </c>
      <c r="G838" s="714" t="inlineStr">
        <is>
          <t>0: Inactive, 1: Active (36 steps)</t>
        </is>
      </c>
      <c r="I838" s="714" t="n">
        <v>18</v>
      </c>
      <c r="J838" s="715" t="inlineStr">
        <is>
          <t>ShowHideObjects</t>
        </is>
      </c>
      <c r="K838" s="715" t="inlineStr">
        <is>
          <t>Toggle Component Visibility</t>
        </is>
      </c>
      <c r="L838" s="714" t="inlineStr">
        <is>
          <t>State</t>
        </is>
      </c>
      <c r="M838" s="714" t="inlineStr">
        <is>
          <t>Boolean</t>
        </is>
      </c>
      <c r="N838" s="714" t="n">
        <v>0</v>
      </c>
      <c r="O838" s="714" t="inlineStr">
        <is>
          <t>0: Hide, 1: Show</t>
        </is>
      </c>
    </row>
    <row r="839" ht="17.25" customHeight="1">
      <c r="A839" s="714" t="n">
        <v>19</v>
      </c>
      <c r="B839" s="724" t="inlineStr">
        <is>
          <t>Fault_115_Status</t>
        </is>
      </c>
      <c r="C839" s="715" t="inlineStr">
        <is>
          <t>Fault 115: Spare Fault Scenario</t>
        </is>
      </c>
      <c r="D839" s="714" t="inlineStr">
        <is>
          <t>State</t>
        </is>
      </c>
      <c r="E839" s="714" t="inlineStr">
        <is>
          <t>Boolean</t>
        </is>
      </c>
      <c r="F839" s="714" t="n">
        <v>0</v>
      </c>
      <c r="G839" s="714" t="inlineStr">
        <is>
          <t>0: Inactive, 1: Active (Reserved in Excel)</t>
        </is>
      </c>
      <c r="I839" s="714" t="n">
        <v>19</v>
      </c>
      <c r="J839" s="715" t="inlineStr">
        <is>
          <t>Compresor 1_Highlights</t>
        </is>
      </c>
      <c r="K839" s="715" t="inlineStr">
        <is>
          <t>Toggle Compressor Highlights Visibility</t>
        </is>
      </c>
      <c r="L839" s="714" t="inlineStr">
        <is>
          <t>State</t>
        </is>
      </c>
      <c r="M839" s="714" t="inlineStr">
        <is>
          <t>Boolean</t>
        </is>
      </c>
      <c r="N839" s="714" t="n">
        <v>1</v>
      </c>
      <c r="O839" s="714" t="inlineStr">
        <is>
          <t>0: Hide Highlights, 1: Show Highlights</t>
        </is>
      </c>
    </row>
    <row r="840" ht="17.25" customHeight="1">
      <c r="A840" s="714" t="n">
        <v>20</v>
      </c>
      <c r="B840" s="724" t="inlineStr">
        <is>
          <t>Fault_116_Status</t>
        </is>
      </c>
      <c r="C840" s="715" t="inlineStr">
        <is>
          <t>Fault 116: Spare Fault Scenario</t>
        </is>
      </c>
      <c r="D840" s="714" t="inlineStr">
        <is>
          <t>State</t>
        </is>
      </c>
      <c r="E840" s="714" t="inlineStr">
        <is>
          <t>Boolean</t>
        </is>
      </c>
      <c r="F840" s="714" t="n">
        <v>0</v>
      </c>
      <c r="G840" s="714" t="inlineStr">
        <is>
          <t>0: Inactive, 1: Active (Reserved in Excel)</t>
        </is>
      </c>
      <c r="I840" s="714" t="n">
        <v>20</v>
      </c>
      <c r="J840" s="715" t="inlineStr">
        <is>
          <t>Compresor 2_Highlights</t>
        </is>
      </c>
      <c r="K840" s="715" t="inlineStr">
        <is>
          <t>Toggle Compressor Highlights Visibility</t>
        </is>
      </c>
      <c r="L840" s="714" t="inlineStr">
        <is>
          <t>State</t>
        </is>
      </c>
      <c r="M840" s="714" t="inlineStr">
        <is>
          <t>Boolean</t>
        </is>
      </c>
      <c r="N840" s="714" t="n">
        <v>1</v>
      </c>
      <c r="O840" s="714" t="inlineStr">
        <is>
          <t>0: Hide Highlights, 1: Show Highlights</t>
        </is>
      </c>
    </row>
    <row r="841" ht="17.25" customHeight="1">
      <c r="A841" s="714" t="n">
        <v>21</v>
      </c>
      <c r="B841" s="715" t="n"/>
      <c r="C841" s="715" t="inlineStr">
        <is>
          <t xml:space="preserve">Spare </t>
        </is>
      </c>
      <c r="D841" s="714" t="n"/>
      <c r="E841" s="714" t="inlineStr">
        <is>
          <t>Boolean</t>
        </is>
      </c>
      <c r="F841" s="714" t="n"/>
      <c r="G841" s="715" t="n"/>
      <c r="I841" s="714" t="n">
        <v>21</v>
      </c>
      <c r="J841" s="715" t="inlineStr">
        <is>
          <t>Compresor 3_Highlights</t>
        </is>
      </c>
      <c r="K841" s="715" t="inlineStr">
        <is>
          <t>Toggle Compressor Highlights Visibility</t>
        </is>
      </c>
      <c r="L841" s="714" t="inlineStr">
        <is>
          <t>State</t>
        </is>
      </c>
      <c r="M841" s="714" t="inlineStr">
        <is>
          <t>Boolean</t>
        </is>
      </c>
      <c r="N841" s="714" t="n">
        <v>1</v>
      </c>
      <c r="O841" s="714" t="inlineStr">
        <is>
          <t>0: Hide Highlights, 1: Show Highlights</t>
        </is>
      </c>
    </row>
    <row r="842" ht="17.25" customHeight="1">
      <c r="A842" s="714" t="n">
        <v>22</v>
      </c>
      <c r="B842" s="715" t="n"/>
      <c r="C842" s="715" t="inlineStr">
        <is>
          <t xml:space="preserve">Spare </t>
        </is>
      </c>
      <c r="D842" s="714" t="n"/>
      <c r="E842" s="714" t="inlineStr">
        <is>
          <t>Boolean</t>
        </is>
      </c>
      <c r="F842" s="714" t="n"/>
      <c r="G842" s="715" t="n"/>
      <c r="I842" s="714" t="n">
        <v>22</v>
      </c>
      <c r="J842" s="715" t="inlineStr">
        <is>
          <t>Compresor 4_Highlights</t>
        </is>
      </c>
      <c r="K842" s="715" t="inlineStr">
        <is>
          <t>Toggle Compressor Highlights Visibility</t>
        </is>
      </c>
      <c r="L842" s="714" t="inlineStr">
        <is>
          <t>State</t>
        </is>
      </c>
      <c r="M842" s="714" t="inlineStr">
        <is>
          <t>Boolean</t>
        </is>
      </c>
      <c r="N842" s="714" t="n">
        <v>1</v>
      </c>
      <c r="O842" s="714" t="inlineStr">
        <is>
          <t>0: Hide Highlights, 1: Show Highlights</t>
        </is>
      </c>
    </row>
    <row r="843" ht="17.25" customHeight="1">
      <c r="A843" s="714" t="n">
        <v>23</v>
      </c>
      <c r="B843" s="715" t="n"/>
      <c r="C843" s="715" t="inlineStr">
        <is>
          <t xml:space="preserve">Spare </t>
        </is>
      </c>
      <c r="D843" s="714" t="n"/>
      <c r="E843" s="714" t="inlineStr">
        <is>
          <t>Boolean</t>
        </is>
      </c>
      <c r="F843" s="714" t="n"/>
      <c r="G843" s="715" t="n"/>
      <c r="I843" s="714" t="n">
        <v>23</v>
      </c>
      <c r="J843" s="725" t="inlineStr">
        <is>
          <t>FAT_Sensor_Highlights</t>
        </is>
      </c>
      <c r="K843" s="725" t="inlineStr">
        <is>
          <t>Toggle FAT Sensor Highlight Visibility</t>
        </is>
      </c>
      <c r="L843" s="726" t="inlineStr">
        <is>
          <t>State</t>
        </is>
      </c>
      <c r="M843" s="726" t="inlineStr">
        <is>
          <t>Boolean</t>
        </is>
      </c>
      <c r="N843" s="726" t="n">
        <v>1</v>
      </c>
      <c r="O843" s="725" t="inlineStr">
        <is>
          <t>0: Hide Highlights, 1: Show Highlights (Fresh Air Temp)</t>
        </is>
      </c>
    </row>
    <row r="844" ht="17.25" customHeight="1">
      <c r="A844" s="714" t="n">
        <v>24</v>
      </c>
      <c r="B844" s="715" t="n"/>
      <c r="C844" s="715" t="inlineStr">
        <is>
          <t xml:space="preserve">Spare </t>
        </is>
      </c>
      <c r="D844" s="714" t="n"/>
      <c r="E844" s="714" t="inlineStr">
        <is>
          <t>Boolean</t>
        </is>
      </c>
      <c r="F844" s="714" t="n"/>
      <c r="G844" s="715" t="n"/>
      <c r="I844" s="714" t="n">
        <v>24</v>
      </c>
      <c r="J844" s="725" t="inlineStr">
        <is>
          <t>RAT_Sensor_Highlights</t>
        </is>
      </c>
      <c r="K844" s="725" t="inlineStr">
        <is>
          <t>Toggle RAT Sensor Highlight Visibility</t>
        </is>
      </c>
      <c r="L844" s="726" t="inlineStr">
        <is>
          <t>State</t>
        </is>
      </c>
      <c r="M844" s="726" t="inlineStr">
        <is>
          <t>Boolean</t>
        </is>
      </c>
      <c r="N844" s="726" t="n">
        <v>1</v>
      </c>
      <c r="O844" s="725" t="inlineStr">
        <is>
          <t>0: Hide Highlights, 1: Show Highlights (Return Air Temp)</t>
        </is>
      </c>
    </row>
    <row r="845" ht="17.25" customHeight="1">
      <c r="A845" s="714" t="n">
        <v>25</v>
      </c>
      <c r="B845" s="715" t="n"/>
      <c r="C845" s="715" t="inlineStr">
        <is>
          <t xml:space="preserve">Spare </t>
        </is>
      </c>
      <c r="D845" s="714" t="n"/>
      <c r="E845" s="714" t="inlineStr">
        <is>
          <t>Boolean</t>
        </is>
      </c>
      <c r="F845" s="714" t="n"/>
      <c r="G845" s="715" t="n"/>
      <c r="I845" s="714" t="n">
        <v>25</v>
      </c>
      <c r="J845" s="725" t="inlineStr">
        <is>
          <t>SAT_Sensor_Highlights</t>
        </is>
      </c>
      <c r="K845" s="725" t="inlineStr">
        <is>
          <t>Toggle SAT Sensor Highlight Visibility</t>
        </is>
      </c>
      <c r="L845" s="726" t="inlineStr">
        <is>
          <t>State</t>
        </is>
      </c>
      <c r="M845" s="726" t="inlineStr">
        <is>
          <t>Boolean</t>
        </is>
      </c>
      <c r="N845" s="726" t="n">
        <v>1</v>
      </c>
      <c r="O845" s="725" t="inlineStr">
        <is>
          <t>0: Hide Highlights, 1: Show Highlights (Supply Air Temp)</t>
        </is>
      </c>
    </row>
    <row r="846" ht="17.25" customHeight="1">
      <c r="A846" s="714" t="n">
        <v>26</v>
      </c>
      <c r="B846" s="715" t="n"/>
      <c r="C846" s="715" t="inlineStr">
        <is>
          <t xml:space="preserve">Spare </t>
        </is>
      </c>
      <c r="D846" s="714" t="n"/>
      <c r="E846" s="714" t="inlineStr">
        <is>
          <t>Boolean</t>
        </is>
      </c>
      <c r="F846" s="714" t="n"/>
      <c r="G846" s="715" t="n"/>
      <c r="I846" s="714" t="n">
        <v>26</v>
      </c>
      <c r="J846" s="725" t="inlineStr">
        <is>
          <t>Smoke_Detector_Highlights</t>
        </is>
      </c>
      <c r="K846" s="725" t="inlineStr">
        <is>
          <t>Toggle Smoke Detector Highlight Visibility</t>
        </is>
      </c>
      <c r="L846" s="726" t="inlineStr">
        <is>
          <t>State</t>
        </is>
      </c>
      <c r="M846" s="726" t="inlineStr">
        <is>
          <t>Boolean</t>
        </is>
      </c>
      <c r="N846" s="726" t="n">
        <v>1</v>
      </c>
      <c r="O846" s="725" t="inlineStr">
        <is>
          <t>0: Hide Highlights, 1: Show Highlights (Smoke Detector)</t>
        </is>
      </c>
    </row>
    <row r="847" ht="17.25" customHeight="1">
      <c r="A847" s="714" t="n">
        <v>27</v>
      </c>
      <c r="B847" s="715" t="n"/>
      <c r="C847" s="715" t="inlineStr">
        <is>
          <t xml:space="preserve">Spare </t>
        </is>
      </c>
      <c r="D847" s="714" t="n"/>
      <c r="E847" s="714" t="inlineStr">
        <is>
          <t>Boolean</t>
        </is>
      </c>
      <c r="F847" s="714" t="n"/>
      <c r="G847" s="715" t="n"/>
      <c r="I847" s="714" t="n">
        <v>27</v>
      </c>
      <c r="J847" s="725" t="inlineStr">
        <is>
          <t>Spare Sensor</t>
        </is>
      </c>
      <c r="K847" s="725" t="inlineStr">
        <is>
          <t>Spare</t>
        </is>
      </c>
      <c r="L847" s="726" t="n"/>
      <c r="M847" s="726" t="inlineStr">
        <is>
          <t>Integer</t>
        </is>
      </c>
      <c r="N847" s="726" t="n">
        <v>0</v>
      </c>
      <c r="O847" s="725" t="n"/>
    </row>
    <row r="848" ht="17.25" customHeight="1">
      <c r="A848" s="714" t="n">
        <v>28</v>
      </c>
      <c r="B848" s="715" t="n"/>
      <c r="C848" s="715" t="inlineStr">
        <is>
          <t xml:space="preserve">Spare </t>
        </is>
      </c>
      <c r="D848" s="714" t="n"/>
      <c r="E848" s="714" t="inlineStr">
        <is>
          <t>Boolean</t>
        </is>
      </c>
      <c r="F848" s="714" t="n"/>
      <c r="G848" s="715" t="n"/>
      <c r="I848" s="714" t="n">
        <v>28</v>
      </c>
      <c r="J848" s="725" t="inlineStr">
        <is>
          <t>Spare Sensor</t>
        </is>
      </c>
      <c r="K848" s="725" t="inlineStr">
        <is>
          <t>Spare</t>
        </is>
      </c>
      <c r="L848" s="726" t="n"/>
      <c r="M848" s="726" t="inlineStr">
        <is>
          <t>Integer</t>
        </is>
      </c>
      <c r="N848" s="726" t="n">
        <v>0</v>
      </c>
      <c r="O848" s="725" t="n"/>
    </row>
    <row r="849" ht="17.25" customHeight="1">
      <c r="A849" s="714" t="n">
        <v>29</v>
      </c>
      <c r="B849" s="715" t="n"/>
      <c r="C849" s="715" t="inlineStr">
        <is>
          <t xml:space="preserve">Spare </t>
        </is>
      </c>
      <c r="D849" s="714" t="n"/>
      <c r="E849" s="714" t="inlineStr">
        <is>
          <t>Boolean</t>
        </is>
      </c>
      <c r="F849" s="714" t="n"/>
      <c r="G849" s="715" t="n"/>
      <c r="I849" s="714" t="n">
        <v>29</v>
      </c>
      <c r="J849" s="715" t="n"/>
      <c r="K849" s="715" t="inlineStr">
        <is>
          <t>Spare</t>
        </is>
      </c>
      <c r="L849" s="714" t="n"/>
      <c r="M849" s="714" t="inlineStr">
        <is>
          <t>Integer</t>
        </is>
      </c>
      <c r="N849" s="714" t="n">
        <v>0</v>
      </c>
      <c r="O849" s="715" t="n"/>
    </row>
    <row r="850" ht="17.25" customHeight="1">
      <c r="A850" s="714" t="n">
        <v>30</v>
      </c>
      <c r="B850" s="715" t="n"/>
      <c r="C850" s="715" t="inlineStr">
        <is>
          <t xml:space="preserve">Spare </t>
        </is>
      </c>
      <c r="D850" s="714" t="n"/>
      <c r="E850" s="714" t="inlineStr">
        <is>
          <t>Boolean</t>
        </is>
      </c>
      <c r="F850" s="714" t="n"/>
      <c r="G850" s="715" t="n"/>
      <c r="I850" s="714" t="n">
        <v>30</v>
      </c>
      <c r="J850" s="715" t="n"/>
      <c r="K850" s="715" t="inlineStr">
        <is>
          <t>Spare</t>
        </is>
      </c>
      <c r="L850" s="714" t="n"/>
      <c r="M850" s="714" t="inlineStr">
        <is>
          <t>Integer</t>
        </is>
      </c>
      <c r="N850" s="714" t="n">
        <v>0</v>
      </c>
      <c r="O850" s="715" t="n"/>
    </row>
    <row r="851" ht="17.25" customHeight="1">
      <c r="A851" s="714" t="n">
        <v>31</v>
      </c>
      <c r="B851" s="715" t="n"/>
      <c r="C851" s="715" t="inlineStr">
        <is>
          <t xml:space="preserve">Spare </t>
        </is>
      </c>
      <c r="D851" s="714" t="n"/>
      <c r="E851" s="714" t="inlineStr">
        <is>
          <t>Boolean</t>
        </is>
      </c>
      <c r="F851" s="714" t="n"/>
      <c r="G851" s="715" t="n"/>
      <c r="I851" s="714" t="n">
        <v>31</v>
      </c>
      <c r="J851" s="715" t="n"/>
      <c r="K851" s="715" t="inlineStr">
        <is>
          <t>Spare</t>
        </is>
      </c>
      <c r="L851" s="714" t="n"/>
      <c r="M851" s="714" t="inlineStr">
        <is>
          <t>Integer</t>
        </is>
      </c>
      <c r="N851" s="714" t="n">
        <v>0</v>
      </c>
      <c r="O851" s="715" t="n"/>
    </row>
    <row r="852" ht="17.25" customHeight="1">
      <c r="A852" s="714" t="n">
        <v>32</v>
      </c>
      <c r="B852" s="715" t="n"/>
      <c r="C852" s="715" t="inlineStr">
        <is>
          <t xml:space="preserve">Spare </t>
        </is>
      </c>
      <c r="D852" s="714" t="n"/>
      <c r="E852" s="714" t="inlineStr">
        <is>
          <t>Boolean</t>
        </is>
      </c>
      <c r="F852" s="714" t="n"/>
      <c r="G852" s="715" t="n"/>
      <c r="I852" s="714" t="n">
        <v>32</v>
      </c>
      <c r="J852" s="715" t="n"/>
      <c r="K852" s="715" t="inlineStr">
        <is>
          <t>Spare</t>
        </is>
      </c>
      <c r="L852" s="714" t="n"/>
      <c r="M852" s="714" t="inlineStr">
        <is>
          <t>Integer</t>
        </is>
      </c>
      <c r="N852" s="714" t="n">
        <v>0</v>
      </c>
      <c r="O852" s="715" t="n"/>
    </row>
    <row r="853" ht="17.25" customHeight="1">
      <c r="A853" s="714" t="n">
        <v>33</v>
      </c>
      <c r="B853" s="715" t="n"/>
      <c r="C853" s="715" t="inlineStr">
        <is>
          <t xml:space="preserve">Spare </t>
        </is>
      </c>
      <c r="D853" s="714" t="n"/>
      <c r="E853" s="714" t="inlineStr">
        <is>
          <t>Boolean</t>
        </is>
      </c>
      <c r="F853" s="714" t="n"/>
      <c r="G853" s="715" t="n"/>
      <c r="I853" s="714" t="n">
        <v>33</v>
      </c>
      <c r="J853" s="715" t="n"/>
      <c r="K853" s="715" t="inlineStr">
        <is>
          <t>Spare</t>
        </is>
      </c>
      <c r="L853" s="714" t="n"/>
      <c r="M853" s="714" t="inlineStr">
        <is>
          <t>Integer</t>
        </is>
      </c>
      <c r="N853" s="714" t="n">
        <v>0</v>
      </c>
      <c r="O853" s="715" t="n"/>
    </row>
    <row r="854" ht="17.25" customHeight="1">
      <c r="A854" s="714" t="n">
        <v>34</v>
      </c>
      <c r="B854" s="715" t="inlineStr">
        <is>
          <t>Telemetry_Event</t>
        </is>
      </c>
      <c r="C854" s="715" t="inlineStr">
        <is>
          <t>Telemetry Event Name</t>
        </is>
      </c>
      <c r="D854" s="714" t="inlineStr">
        <is>
          <t>String</t>
        </is>
      </c>
      <c r="E854" s="714" t="inlineStr">
        <is>
          <t>String</t>
        </is>
      </c>
      <c r="F854" s="714" t="inlineStr">
        <is>
          <t>fault_started</t>
        </is>
      </c>
      <c r="G854" s="715" t="inlineStr">
        <is>
          <t>fault_started / step_completed / fault_completed</t>
        </is>
      </c>
      <c r="I854" s="714" t="n">
        <v>34</v>
      </c>
      <c r="J854" s="715" t="n"/>
      <c r="K854" s="715" t="inlineStr">
        <is>
          <t>Spare</t>
        </is>
      </c>
      <c r="L854" s="714" t="n"/>
      <c r="M854" s="714" t="inlineStr">
        <is>
          <t>Integer</t>
        </is>
      </c>
      <c r="N854" s="714" t="n">
        <v>0</v>
      </c>
      <c r="O854" s="715" t="n"/>
    </row>
    <row r="855" ht="17.25" customHeight="1">
      <c r="I855" s="714" t="n">
        <v>35</v>
      </c>
      <c r="J855" s="715" t="n"/>
      <c r="K855" s="715" t="inlineStr">
        <is>
          <t>Spare</t>
        </is>
      </c>
      <c r="L855" s="714" t="n"/>
      <c r="M855" s="714" t="inlineStr">
        <is>
          <t>Integer</t>
        </is>
      </c>
      <c r="N855" s="714" t="n">
        <v>0</v>
      </c>
      <c r="O855" s="715" t="n"/>
    </row>
    <row r="856" ht="17.25" customHeight="1">
      <c r="I856" s="714" t="n">
        <v>36</v>
      </c>
      <c r="J856" s="715" t="n"/>
      <c r="K856" s="715" t="inlineStr">
        <is>
          <t>Spare</t>
        </is>
      </c>
      <c r="L856" s="714" t="n"/>
      <c r="M856" s="714" t="inlineStr">
        <is>
          <t>Integer</t>
        </is>
      </c>
      <c r="N856" s="714" t="n">
        <v>0</v>
      </c>
      <c r="O856" s="715" t="n"/>
    </row>
    <row r="857" ht="17.25" customHeight="1">
      <c r="I857" s="714" t="n">
        <v>37</v>
      </c>
      <c r="J857" s="715" t="n"/>
      <c r="K857" s="715" t="inlineStr">
        <is>
          <t>Spare</t>
        </is>
      </c>
      <c r="L857" s="714" t="n"/>
      <c r="M857" s="714" t="inlineStr">
        <is>
          <t>Integer</t>
        </is>
      </c>
      <c r="N857" s="714" t="n">
        <v>0</v>
      </c>
      <c r="O857" s="715" t="n"/>
    </row>
    <row r="858" ht="17.25" customHeight="1">
      <c r="I858" s="714" t="n">
        <v>38</v>
      </c>
      <c r="J858" s="715" t="n"/>
      <c r="K858" s="715" t="inlineStr">
        <is>
          <t>Spare</t>
        </is>
      </c>
      <c r="L858" s="714" t="n"/>
      <c r="M858" s="714" t="inlineStr">
        <is>
          <t>Integer</t>
        </is>
      </c>
      <c r="N858" s="714" t="n">
        <v>0</v>
      </c>
      <c r="O858" s="715" t="n"/>
    </row>
    <row r="859" ht="17.25" customHeight="1">
      <c r="I859" s="714" t="n">
        <v>39</v>
      </c>
      <c r="J859" s="715" t="n"/>
      <c r="K859" s="715" t="inlineStr">
        <is>
          <t>Spare</t>
        </is>
      </c>
      <c r="L859" s="714" t="n"/>
      <c r="M859" s="714" t="inlineStr">
        <is>
          <t>Integer</t>
        </is>
      </c>
      <c r="N859" s="714" t="n">
        <v>0</v>
      </c>
      <c r="O859" s="715" t="n"/>
    </row>
    <row r="860" ht="17.25" customHeight="1">
      <c r="I860" s="714" t="n">
        <v>40</v>
      </c>
      <c r="J860" s="715" t="n"/>
      <c r="K860" s="715" t="inlineStr">
        <is>
          <t>Spare</t>
        </is>
      </c>
      <c r="L860" s="714" t="n"/>
      <c r="M860" s="714" t="inlineStr">
        <is>
          <t>Integer</t>
        </is>
      </c>
      <c r="N860" s="714" t="n">
        <v>0</v>
      </c>
      <c r="O860" s="715" t="n"/>
    </row>
    <row r="861" ht="17.25" customHeight="1">
      <c r="I861" s="714" t="n">
        <v>41</v>
      </c>
      <c r="J861" s="715" t="n"/>
      <c r="K861" s="715" t="inlineStr">
        <is>
          <t>Spare</t>
        </is>
      </c>
      <c r="L861" s="714" t="n"/>
      <c r="M861" s="714" t="inlineStr">
        <is>
          <t>Integer</t>
        </is>
      </c>
      <c r="N861" s="714" t="n">
        <v>0</v>
      </c>
      <c r="O861" s="715" t="n"/>
    </row>
    <row r="862" ht="17.25" customHeight="1">
      <c r="I862" s="714" t="n">
        <v>42</v>
      </c>
      <c r="J862" s="715" t="n"/>
      <c r="K862" s="715" t="inlineStr">
        <is>
          <t>Spare</t>
        </is>
      </c>
      <c r="L862" s="714" t="n"/>
      <c r="M862" s="714" t="inlineStr">
        <is>
          <t>Integer</t>
        </is>
      </c>
      <c r="N862" s="714" t="n">
        <v>0</v>
      </c>
      <c r="O862" s="715" t="n"/>
    </row>
    <row r="863" ht="17.25" customHeight="1">
      <c r="I863" s="714" t="n">
        <v>43</v>
      </c>
      <c r="J863" s="715" t="n"/>
      <c r="K863" s="715" t="inlineStr">
        <is>
          <t>Spare</t>
        </is>
      </c>
      <c r="L863" s="714" t="n"/>
      <c r="M863" s="714" t="inlineStr">
        <is>
          <t>Integer</t>
        </is>
      </c>
      <c r="N863" s="714" t="n">
        <v>0</v>
      </c>
      <c r="O863" s="715" t="n"/>
    </row>
    <row r="864" ht="17.25" customHeight="1">
      <c r="I864" s="714" t="n">
        <v>44</v>
      </c>
      <c r="J864" s="715" t="n"/>
      <c r="K864" s="715" t="inlineStr">
        <is>
          <t>Spare</t>
        </is>
      </c>
      <c r="L864" s="714" t="n"/>
      <c r="M864" s="714" t="inlineStr">
        <is>
          <t>Integer</t>
        </is>
      </c>
      <c r="N864" s="714" t="n">
        <v>0</v>
      </c>
      <c r="O864" s="715" t="n"/>
    </row>
    <row r="865" ht="17.25" customHeight="1">
      <c r="I865" s="714" t="n">
        <v>45</v>
      </c>
      <c r="J865" s="715" t="n"/>
      <c r="K865" s="715" t="inlineStr">
        <is>
          <t>Spare</t>
        </is>
      </c>
      <c r="L865" s="714" t="n"/>
      <c r="M865" s="714" t="inlineStr">
        <is>
          <t>Integer</t>
        </is>
      </c>
      <c r="N865" s="714" t="n">
        <v>0</v>
      </c>
      <c r="O865" s="715" t="n"/>
    </row>
    <row r="866" ht="17.25" customHeight="1">
      <c r="I866" s="714" t="n">
        <v>46</v>
      </c>
      <c r="J866" s="715" t="n"/>
      <c r="K866" s="715" t="inlineStr">
        <is>
          <t>Spare</t>
        </is>
      </c>
      <c r="L866" s="714" t="n"/>
      <c r="M866" s="714" t="inlineStr">
        <is>
          <t>Integer</t>
        </is>
      </c>
      <c r="N866" s="714" t="n">
        <v>0</v>
      </c>
      <c r="O866" s="715" t="n"/>
    </row>
    <row r="867" ht="17.25" customHeight="1">
      <c r="I867" s="714" t="n">
        <v>47</v>
      </c>
      <c r="J867" s="715" t="n"/>
      <c r="K867" s="715" t="inlineStr">
        <is>
          <t>Spare</t>
        </is>
      </c>
      <c r="L867" s="714" t="n"/>
      <c r="M867" s="714" t="inlineStr">
        <is>
          <t>Integer</t>
        </is>
      </c>
      <c r="N867" s="714" t="n">
        <v>0</v>
      </c>
      <c r="O867" s="715" t="n"/>
    </row>
    <row r="868" ht="17.25" customHeight="1">
      <c r="I868" s="714" t="n">
        <v>48</v>
      </c>
      <c r="J868" s="715" t="n"/>
      <c r="K868" s="715" t="inlineStr">
        <is>
          <t>Spare</t>
        </is>
      </c>
      <c r="L868" s="714" t="n"/>
      <c r="M868" s="714" t="inlineStr">
        <is>
          <t>Integer</t>
        </is>
      </c>
      <c r="N868" s="714" t="n">
        <v>0</v>
      </c>
      <c r="O868" s="715" t="n"/>
    </row>
    <row r="869" ht="17.25" customHeight="1">
      <c r="I869" s="714" t="n">
        <v>49</v>
      </c>
      <c r="J869" s="715" t="n"/>
      <c r="K869" s="715" t="inlineStr">
        <is>
          <t>Spare</t>
        </is>
      </c>
      <c r="L869" s="714" t="n"/>
      <c r="M869" s="714" t="inlineStr">
        <is>
          <t>Integer</t>
        </is>
      </c>
      <c r="N869" s="714" t="n">
        <v>0</v>
      </c>
      <c r="O869" s="715" t="n"/>
    </row>
  </sheetData>
  <mergeCells count="4">
    <mergeCell ref="A816:O816"/>
    <mergeCell ref="A819:G819"/>
    <mergeCell ref="R819:S819"/>
    <mergeCell ref="I819:O819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4"/>
  <sheetViews>
    <sheetView topLeftCell="F1" workbookViewId="0">
      <selection activeCell="H10" sqref="H10"/>
    </sheetView>
  </sheetViews>
  <sheetFormatPr baseColWidth="8" defaultColWidth="8.7265625" defaultRowHeight="14.5"/>
  <cols>
    <col width="8.7265625" customWidth="1" style="733" min="1" max="1"/>
    <col width="28.7265625" customWidth="1" style="310" min="2" max="2"/>
    <col width="23.54296875" customWidth="1" style="733" min="3" max="3"/>
    <col width="9.54296875" customWidth="1" style="310" min="4" max="4"/>
    <col width="9.26953125" customWidth="1" style="310" min="5" max="5"/>
    <col width="63.81640625" customWidth="1" style="310" min="6" max="6"/>
    <col width="23.54296875" customWidth="1" style="310" min="7" max="7"/>
    <col width="26" customWidth="1" style="310" min="8" max="8"/>
    <col width="8.7265625" customWidth="1" style="310" min="9" max="9"/>
    <col width="9.26953125" customWidth="1" style="310" min="10" max="10"/>
    <col width="63.81640625" customWidth="1" style="310" min="11" max="11"/>
    <col width="23.54296875" customWidth="1" style="310" min="12" max="12"/>
    <col width="25.453125" customWidth="1" style="310" min="13" max="13"/>
    <col width="8.7265625" customWidth="1" style="310" min="14" max="14"/>
    <col width="9.26953125" customWidth="1" style="310" min="15" max="15"/>
    <col width="70.54296875" customWidth="1" style="310" min="16" max="16"/>
    <col width="23.54296875" customWidth="1" style="310" min="17" max="18"/>
    <col width="8.7265625" customWidth="1" style="310" min="19" max="19"/>
    <col width="9.26953125" customWidth="1" style="310" min="20" max="20"/>
    <col width="74.54296875" customWidth="1" style="310" min="21" max="21"/>
    <col width="23.54296875" customWidth="1" style="310" min="22" max="23"/>
    <col width="8.7265625" customWidth="1" style="310" min="24" max="24"/>
    <col width="9.26953125" customWidth="1" style="310" min="25" max="25"/>
    <col width="72.453125" customWidth="1" style="310" min="26" max="26"/>
    <col width="23.54296875" customWidth="1" style="310" min="27" max="28"/>
    <col width="8.7265625" customWidth="1" style="310" min="29" max="29"/>
    <col width="9.26953125" customWidth="1" style="310" min="30" max="30"/>
    <col width="76.7265625" customWidth="1" style="310" min="31" max="31"/>
    <col width="23.54296875" customWidth="1" style="310" min="32" max="33"/>
    <col width="8.7265625" customWidth="1" style="310" min="34" max="34"/>
    <col width="9.26953125" customWidth="1" style="310" min="35" max="35"/>
    <col width="72.453125" customWidth="1" style="310" min="36" max="36"/>
    <col width="23.54296875" customWidth="1" style="310" min="37" max="38"/>
    <col width="8.7265625" customWidth="1" style="310" min="39" max="39"/>
    <col width="9.26953125" customWidth="1" style="310" min="40" max="40"/>
    <col width="72.453125" customWidth="1" style="310" min="41" max="41"/>
    <col width="23.54296875" customWidth="1" style="310" min="42" max="43"/>
    <col width="8.7265625" customWidth="1" style="310" min="44" max="44"/>
    <col width="9.26953125" customWidth="1" style="310" min="45" max="45"/>
    <col width="74.54296875" customWidth="1" style="310" min="46" max="46"/>
    <col width="23.54296875" customWidth="1" style="310" min="47" max="48"/>
    <col width="8.7265625" customWidth="1" style="310" min="49" max="49"/>
    <col width="9.26953125" customWidth="1" style="310" min="50" max="50"/>
    <col width="73.1796875" customWidth="1" style="310" min="51" max="51"/>
    <col width="23.54296875" customWidth="1" style="310" min="52" max="53"/>
    <col width="8.7265625" customWidth="1" style="310" min="54" max="54"/>
    <col width="9.26953125" customWidth="1" style="310" min="55" max="55"/>
    <col width="72.453125" customWidth="1" style="310" min="56" max="56"/>
    <col width="23.54296875" customWidth="1" style="310" min="57" max="58"/>
    <col width="8.7265625" customWidth="1" style="310" min="59" max="59"/>
    <col width="9.26953125" customWidth="1" style="310" min="60" max="60"/>
    <col width="72.453125" customWidth="1" style="310" min="61" max="61"/>
    <col width="23.54296875" customWidth="1" style="310" min="62" max="63"/>
    <col width="8.7265625" customWidth="1" style="310" min="64" max="64"/>
    <col width="9.26953125" customWidth="1" style="310" min="65" max="65"/>
    <col width="72.453125" customWidth="1" style="310" min="66" max="66"/>
    <col width="23.54296875" customWidth="1" style="310" min="67" max="68"/>
    <col width="8.7265625" customWidth="1" style="310" min="69" max="69"/>
    <col width="9.26953125" customWidth="1" style="310" min="70" max="70"/>
    <col width="72.7265625" customWidth="1" style="310" min="71" max="71"/>
    <col width="23.54296875" customWidth="1" style="310" min="72" max="73"/>
    <col width="8.7265625" customWidth="1" style="310" min="74" max="16384"/>
  </cols>
  <sheetData>
    <row r="1" ht="16.5" customHeight="1" thickBot="1">
      <c r="E1" s="785">
        <f>E2</f>
        <v/>
      </c>
      <c r="F1" s="869" t="n"/>
      <c r="G1" s="869" t="n"/>
      <c r="H1" s="870" t="n"/>
      <c r="J1" s="785">
        <f>J2</f>
        <v/>
      </c>
      <c r="K1" s="869" t="n"/>
      <c r="L1" s="869" t="n"/>
      <c r="M1" s="870" t="n"/>
      <c r="O1" s="785">
        <f>O2</f>
        <v/>
      </c>
      <c r="P1" s="869" t="n"/>
      <c r="Q1" s="869" t="n"/>
      <c r="R1" s="870" t="n"/>
      <c r="T1" s="785">
        <f>T2</f>
        <v/>
      </c>
      <c r="U1" s="869" t="n"/>
      <c r="V1" s="869" t="n"/>
      <c r="W1" s="870" t="n"/>
      <c r="Y1" s="785">
        <f>Y2</f>
        <v/>
      </c>
      <c r="Z1" s="869" t="n"/>
      <c r="AA1" s="869" t="n"/>
      <c r="AB1" s="870" t="n"/>
      <c r="AD1" s="785">
        <f>AD2</f>
        <v/>
      </c>
      <c r="AE1" s="869" t="n"/>
      <c r="AF1" s="869" t="n"/>
      <c r="AG1" s="870" t="n"/>
      <c r="AI1" s="785">
        <f>AI2</f>
        <v/>
      </c>
      <c r="AJ1" s="869" t="n"/>
      <c r="AK1" s="869" t="n"/>
      <c r="AL1" s="870" t="n"/>
      <c r="AN1" s="785">
        <f>AN2</f>
        <v/>
      </c>
      <c r="AO1" s="869" t="n"/>
      <c r="AP1" s="869" t="n"/>
      <c r="AQ1" s="870" t="n"/>
      <c r="AS1" s="785">
        <f>AS2</f>
        <v/>
      </c>
      <c r="AT1" s="869" t="n"/>
      <c r="AU1" s="869" t="n"/>
      <c r="AV1" s="870" t="n"/>
      <c r="AX1" s="785">
        <f>AX2</f>
        <v/>
      </c>
      <c r="AY1" s="869" t="n"/>
      <c r="AZ1" s="869" t="n"/>
      <c r="BA1" s="870" t="n"/>
      <c r="BC1" s="785">
        <f>BC2</f>
        <v/>
      </c>
      <c r="BD1" s="869" t="n"/>
      <c r="BE1" s="869" t="n"/>
      <c r="BF1" s="870" t="n"/>
      <c r="BH1" s="785">
        <f>BH2</f>
        <v/>
      </c>
      <c r="BI1" s="869" t="n"/>
      <c r="BJ1" s="869" t="n"/>
      <c r="BK1" s="870" t="n"/>
      <c r="BM1" s="785">
        <f>BM2</f>
        <v/>
      </c>
      <c r="BN1" s="869" t="n"/>
      <c r="BO1" s="869" t="n"/>
      <c r="BP1" s="870" t="n"/>
      <c r="BR1" s="786">
        <f>BR2</f>
        <v/>
      </c>
      <c r="BS1" s="879" t="n"/>
      <c r="BT1" s="879" t="n"/>
      <c r="BU1" s="880" t="n"/>
    </row>
    <row r="2" ht="29.5" customFormat="1" customHeight="1" s="645" thickBot="1">
      <c r="B2" s="781" t="inlineStr">
        <is>
          <t>Components</t>
        </is>
      </c>
      <c r="C2" s="781" t="inlineStr">
        <is>
          <t>Status</t>
        </is>
      </c>
      <c r="E2" s="782" t="inlineStr">
        <is>
          <t>Fault 101</t>
        </is>
      </c>
      <c r="F2" s="782" t="inlineStr">
        <is>
          <t>No HVAC Operation</t>
        </is>
      </c>
      <c r="G2" s="650" t="inlineStr">
        <is>
          <t>Steps Complete</t>
        </is>
      </c>
      <c r="H2" s="782" t="n">
        <v>4</v>
      </c>
      <c r="J2" s="782" t="inlineStr">
        <is>
          <t>Fault 102</t>
        </is>
      </c>
      <c r="K2" s="782" t="inlineStr">
        <is>
          <t>No Ventilation</t>
        </is>
      </c>
      <c r="L2" s="650" t="inlineStr">
        <is>
          <t>Steps Complete</t>
        </is>
      </c>
      <c r="M2" s="782" t="n">
        <v>0</v>
      </c>
      <c r="O2" s="781" t="inlineStr">
        <is>
          <t>Fault 103</t>
        </is>
      </c>
      <c r="P2" s="781" t="inlineStr">
        <is>
          <t>Reduced Ventilation</t>
        </is>
      </c>
      <c r="Q2" s="650" t="inlineStr">
        <is>
          <t>Steps Complete</t>
        </is>
      </c>
      <c r="R2" s="782" t="n">
        <v>8</v>
      </c>
      <c r="T2" s="782" t="inlineStr">
        <is>
          <t>Fault 104</t>
        </is>
      </c>
      <c r="U2" s="782" t="inlineStr">
        <is>
          <t>Suction low and discharge low</t>
        </is>
      </c>
      <c r="V2" s="650" t="inlineStr">
        <is>
          <t>Steps Complete</t>
        </is>
      </c>
      <c r="W2" s="782" t="n">
        <v>1</v>
      </c>
      <c r="Y2" s="781" t="inlineStr">
        <is>
          <t>Fault 105</t>
        </is>
      </c>
      <c r="Z2" s="781" t="inlineStr">
        <is>
          <t>Suction low and discharge low</t>
        </is>
      </c>
      <c r="AA2" s="650" t="inlineStr">
        <is>
          <t>Steps Complete</t>
        </is>
      </c>
      <c r="AB2" s="782" t="n">
        <v>8</v>
      </c>
      <c r="AD2" s="781" t="inlineStr">
        <is>
          <t>Fault 106</t>
        </is>
      </c>
      <c r="AE2" s="781" t="inlineStr">
        <is>
          <t>High suction and high discharge</t>
        </is>
      </c>
      <c r="AF2" s="650" t="inlineStr">
        <is>
          <t>Steps Complete</t>
        </is>
      </c>
      <c r="AG2" s="782" t="n">
        <v>8</v>
      </c>
      <c r="AI2" s="781" t="inlineStr">
        <is>
          <t>Fault 107</t>
        </is>
      </c>
      <c r="AJ2" s="781" t="inlineStr">
        <is>
          <t>Compressor not Operating</t>
        </is>
      </c>
      <c r="AK2" s="650" t="inlineStr">
        <is>
          <t>Steps Complete</t>
        </is>
      </c>
      <c r="AL2" s="782" t="n">
        <v>8</v>
      </c>
      <c r="AN2" s="782" t="inlineStr">
        <is>
          <t>Fault 108</t>
        </is>
      </c>
      <c r="AO2" s="782" t="inlineStr">
        <is>
          <t>Reduced Cooling</t>
        </is>
      </c>
      <c r="AP2" s="650" t="inlineStr">
        <is>
          <t>Steps Complete</t>
        </is>
      </c>
      <c r="AQ2" s="782" t="n">
        <v>8</v>
      </c>
      <c r="AS2" s="781" t="inlineStr">
        <is>
          <t>Fault 109</t>
        </is>
      </c>
      <c r="AT2" s="781" t="inlineStr">
        <is>
          <t>No Heating</t>
        </is>
      </c>
      <c r="AU2" s="650" t="inlineStr">
        <is>
          <t>Steps Complete</t>
        </is>
      </c>
      <c r="AV2" s="782" t="n">
        <v>8</v>
      </c>
      <c r="AX2" s="781" t="inlineStr">
        <is>
          <t>Fault 110</t>
        </is>
      </c>
      <c r="AY2" s="781" t="inlineStr">
        <is>
          <t>Overcooling</t>
        </is>
      </c>
      <c r="AZ2" s="650" t="inlineStr">
        <is>
          <t>Steps Complete</t>
        </is>
      </c>
      <c r="BA2" s="782" t="n">
        <v>8</v>
      </c>
      <c r="BC2" s="781" t="inlineStr">
        <is>
          <t>Fault 111</t>
        </is>
      </c>
      <c r="BD2" s="781" t="inlineStr">
        <is>
          <t>Overheating</t>
        </is>
      </c>
      <c r="BE2" s="650" t="inlineStr">
        <is>
          <t>Steps Complete</t>
        </is>
      </c>
      <c r="BF2" s="782" t="n">
        <v>8</v>
      </c>
      <c r="BH2" s="781" t="inlineStr">
        <is>
          <t>Fault 112</t>
        </is>
      </c>
      <c r="BI2" s="781" t="inlineStr">
        <is>
          <t>No Emergency Ventilation</t>
        </is>
      </c>
      <c r="BJ2" s="650" t="inlineStr">
        <is>
          <t>Steps Complete</t>
        </is>
      </c>
      <c r="BK2" s="782" t="n">
        <v>8</v>
      </c>
      <c r="BM2" s="781" t="inlineStr">
        <is>
          <t>Fault 113</t>
        </is>
      </c>
      <c r="BN2" s="781" t="inlineStr">
        <is>
          <t>Smoke Identified in Saloon</t>
        </is>
      </c>
      <c r="BO2" s="650" t="inlineStr">
        <is>
          <t>Steps Complete</t>
        </is>
      </c>
      <c r="BP2" s="782" t="n">
        <v>8</v>
      </c>
      <c r="BR2" s="651" t="inlineStr">
        <is>
          <t>Fault 114</t>
        </is>
      </c>
      <c r="BS2" s="652" t="inlineStr">
        <is>
          <t>Compressor is excessively noisy | Condenser Fan or Supply air Blower is excessively noisy | Noisy TX valve | HVAC unit is noisy</t>
        </is>
      </c>
      <c r="BT2" s="653" t="inlineStr">
        <is>
          <t>Steps Complete</t>
        </is>
      </c>
      <c r="BU2" s="654" t="n">
        <v>2</v>
      </c>
    </row>
    <row r="3" ht="25" customFormat="1" customHeight="1" s="734">
      <c r="B3" s="656" t="inlineStr">
        <is>
          <t>HVAC OFF</t>
        </is>
      </c>
      <c r="C3" s="657" t="n"/>
      <c r="E3" s="658" t="inlineStr">
        <is>
          <t>Cause 1</t>
        </is>
      </c>
      <c r="F3" s="659">
        <f>_xlfn.CONCAT("Faulty"," ",F26)</f>
        <v/>
      </c>
      <c r="G3" s="660">
        <f>IF(H4=1,1,0)</f>
        <v/>
      </c>
      <c r="H3" s="661" t="inlineStr">
        <is>
          <t>Cause Triggered</t>
        </is>
      </c>
      <c r="J3" s="658" t="inlineStr">
        <is>
          <t>Cause 1</t>
        </is>
      </c>
      <c r="K3" s="659">
        <f>_xlfn.CONCAT("Faulty"," ",K34)</f>
        <v/>
      </c>
      <c r="L3" s="660">
        <f>IF(M4=1,1,0)</f>
        <v/>
      </c>
      <c r="M3" s="661" t="inlineStr">
        <is>
          <t>Cause Triggered</t>
        </is>
      </c>
      <c r="O3" s="658" t="inlineStr">
        <is>
          <t>Cause 1</t>
        </is>
      </c>
      <c r="P3" s="659">
        <f>_xlfn.CONCAT("Faulty"," ",P27)</f>
        <v/>
      </c>
      <c r="Q3" s="660">
        <f>IF(R4=1,1,0)</f>
        <v/>
      </c>
      <c r="R3" s="661" t="inlineStr">
        <is>
          <t>Cause Triggered</t>
        </is>
      </c>
      <c r="T3" s="658" t="inlineStr">
        <is>
          <t>Cause 1</t>
        </is>
      </c>
      <c r="U3" s="659">
        <f>U27</f>
        <v/>
      </c>
      <c r="V3" s="660">
        <f>IF(W4=1,1,0)</f>
        <v/>
      </c>
      <c r="W3" s="661" t="inlineStr">
        <is>
          <t>Cause Triggered</t>
        </is>
      </c>
      <c r="Y3" s="658" t="inlineStr">
        <is>
          <t>Cause 1</t>
        </is>
      </c>
      <c r="Z3" s="659">
        <f>_xlfn.CONCAT(Z26," ","Faulty")</f>
        <v/>
      </c>
      <c r="AA3" s="660">
        <f>IF(AB4=1,1,0)</f>
        <v/>
      </c>
      <c r="AB3" s="661" t="inlineStr">
        <is>
          <t>Cause Triggered</t>
        </is>
      </c>
      <c r="AD3" s="658" t="inlineStr">
        <is>
          <t>Cause 1</t>
        </is>
      </c>
      <c r="AE3" s="659">
        <f>_xlfn.CONCAT(AE40," ","Faulty")</f>
        <v/>
      </c>
      <c r="AF3" s="660">
        <f>IF(AG4=1,1,0)</f>
        <v/>
      </c>
      <c r="AG3" s="661" t="inlineStr">
        <is>
          <t>Cause Triggered</t>
        </is>
      </c>
      <c r="AI3" s="658" t="inlineStr">
        <is>
          <t>Cause 1</t>
        </is>
      </c>
      <c r="AJ3" s="659">
        <f>_xlfn.CONCAT(AJ59," ","Faulty")</f>
        <v/>
      </c>
      <c r="AK3" s="660">
        <f>IF(AL4=1,1,0)</f>
        <v/>
      </c>
      <c r="AL3" s="661" t="inlineStr">
        <is>
          <t>Cause Triggered</t>
        </is>
      </c>
      <c r="AN3" s="658" t="inlineStr">
        <is>
          <t>Cause 1</t>
        </is>
      </c>
      <c r="AO3" s="659">
        <f>_xlfn.CONCAT(AO58," ","Faulty")</f>
        <v/>
      </c>
      <c r="AP3" s="660">
        <f>IF(AQ4=1,1,0)</f>
        <v/>
      </c>
      <c r="AQ3" s="661" t="inlineStr">
        <is>
          <t>Cause Triggered</t>
        </is>
      </c>
      <c r="AS3" s="658" t="inlineStr">
        <is>
          <t>Cause 1</t>
        </is>
      </c>
      <c r="AT3" s="659">
        <f>_xlfn.CONCAT(AT34," ","Faulty")</f>
        <v/>
      </c>
      <c r="AU3" s="660">
        <f>IF($AV$4=1,1,0)</f>
        <v/>
      </c>
      <c r="AV3" s="661" t="inlineStr">
        <is>
          <t>Cause Triggered</t>
        </is>
      </c>
      <c r="AX3" s="658" t="inlineStr">
        <is>
          <t>Cause 1</t>
        </is>
      </c>
      <c r="AY3" s="662">
        <f>_xlfn.CONCAT(AY27," ","Faulty")</f>
        <v/>
      </c>
      <c r="AZ3" s="660">
        <f>IF(BA4=1,1,0)</f>
        <v/>
      </c>
      <c r="BA3" s="661" t="inlineStr">
        <is>
          <t>Cause Triggered</t>
        </is>
      </c>
      <c r="BC3" s="658" t="inlineStr">
        <is>
          <t>Cause 1</t>
        </is>
      </c>
      <c r="BD3" s="662">
        <f>_xlfn.CONCAT(BD21," ","Faulty")</f>
        <v/>
      </c>
      <c r="BE3" s="660">
        <f>IF(BF4=1,1,0)</f>
        <v/>
      </c>
      <c r="BF3" s="661" t="inlineStr">
        <is>
          <t>Cause Triggered</t>
        </is>
      </c>
      <c r="BH3" s="658" t="inlineStr">
        <is>
          <t>Cause 1</t>
        </is>
      </c>
      <c r="BI3" s="659">
        <f>_xlfn.CONCAT(BI27," ","Faulty")</f>
        <v/>
      </c>
      <c r="BJ3" s="660">
        <f>IF(BK4=1,1,0)</f>
        <v/>
      </c>
      <c r="BK3" s="661" t="inlineStr">
        <is>
          <t>Cause Triggered</t>
        </is>
      </c>
      <c r="BM3" s="658" t="inlineStr">
        <is>
          <t>Cause 1</t>
        </is>
      </c>
      <c r="BN3" s="659">
        <f>_xlfn.CONCAT(BN25," ","Faulty")</f>
        <v/>
      </c>
      <c r="BO3" s="660">
        <f>IF(BP4=1,1,0)</f>
        <v/>
      </c>
      <c r="BP3" s="661" t="inlineStr">
        <is>
          <t>Cause Triggered</t>
        </is>
      </c>
      <c r="BR3" s="663" t="inlineStr">
        <is>
          <t>Cause 1</t>
        </is>
      </c>
      <c r="BS3" s="664">
        <f>_xlfn.CONCAT(BS85," ","Faulty")</f>
        <v/>
      </c>
      <c r="BT3" s="663">
        <f>IF($BU$4=1,1,0)</f>
        <v/>
      </c>
      <c r="BU3" s="665" t="inlineStr">
        <is>
          <t>Cause Triggered</t>
        </is>
      </c>
    </row>
    <row r="4" ht="25" customHeight="1" thickBot="1">
      <c r="B4" s="666" t="inlineStr">
        <is>
          <t>Control Panel Circuit Breakers</t>
        </is>
      </c>
      <c r="C4" s="3" t="n"/>
      <c r="E4" s="667" t="inlineStr">
        <is>
          <t>Cause 2</t>
        </is>
      </c>
      <c r="F4" s="656">
        <f>_xlfn.CONCAT("Faulty"," ",F27)</f>
        <v/>
      </c>
      <c r="G4" s="657">
        <f>IF(H4=2,1,0)</f>
        <v/>
      </c>
      <c r="H4" s="668" t="n">
        <v>1</v>
      </c>
      <c r="J4" s="667" t="inlineStr">
        <is>
          <t>Cause 2</t>
        </is>
      </c>
      <c r="K4" s="656">
        <f>_xlfn.CONCAT("Faulty"," ",K35)</f>
        <v/>
      </c>
      <c r="L4" s="657">
        <f>IF(M4=2,1,0)</f>
        <v/>
      </c>
      <c r="M4" s="668" t="n">
        <v>1</v>
      </c>
      <c r="O4" s="667" t="inlineStr">
        <is>
          <t>Cause 2</t>
        </is>
      </c>
      <c r="P4" s="656">
        <f>_xlfn.CONCAT("Faulty"," ",P28)</f>
        <v/>
      </c>
      <c r="Q4" s="657">
        <f>IF(R4=2,1,0)</f>
        <v/>
      </c>
      <c r="R4" s="668" t="n">
        <v>0</v>
      </c>
      <c r="T4" s="667" t="inlineStr">
        <is>
          <t>Cause 2</t>
        </is>
      </c>
      <c r="U4" s="656">
        <f>_xlfn.CONCAT(U28," ","Faulty")</f>
        <v/>
      </c>
      <c r="V4" s="657">
        <f>IF(W4=2,1,0)</f>
        <v/>
      </c>
      <c r="W4" s="668" t="n">
        <v>1</v>
      </c>
      <c r="Y4" s="667" t="inlineStr">
        <is>
          <t>Cause 2</t>
        </is>
      </c>
      <c r="Z4" s="656">
        <f>_xlfn.CONCAT(Z27," ","Faulty")</f>
        <v/>
      </c>
      <c r="AA4" s="657">
        <f>IF(AB4=2,1,0)</f>
        <v/>
      </c>
      <c r="AB4" s="668" t="n">
        <v>0</v>
      </c>
      <c r="AD4" s="667" t="inlineStr">
        <is>
          <t>Cause 2</t>
        </is>
      </c>
      <c r="AE4" s="669">
        <f>_xlfn.CONCAT(AE41," ","Faulty")</f>
        <v/>
      </c>
      <c r="AF4" s="670">
        <f>IF($AG$4=2,1,0)</f>
        <v/>
      </c>
      <c r="AG4" s="668" t="n">
        <v>0</v>
      </c>
      <c r="AI4" s="667" t="inlineStr">
        <is>
          <t>Cause 2</t>
        </is>
      </c>
      <c r="AJ4" s="669">
        <f>_xlfn.CONCAT(AJ60," ","Faulty")</f>
        <v/>
      </c>
      <c r="AK4" s="657">
        <f>IF(AL4=2,1,0)</f>
        <v/>
      </c>
      <c r="AL4" s="668" t="n">
        <v>0</v>
      </c>
      <c r="AN4" s="667" t="inlineStr">
        <is>
          <t>Cause 2</t>
        </is>
      </c>
      <c r="AO4" s="656">
        <f>_xlfn.CONCAT(AO59," ","Damaged")</f>
        <v/>
      </c>
      <c r="AP4" s="671">
        <f>IF($AQ$4=2,1,0)</f>
        <v/>
      </c>
      <c r="AQ4" s="668" t="n">
        <v>0</v>
      </c>
      <c r="AS4" s="672" t="inlineStr">
        <is>
          <t>Cause 2</t>
        </is>
      </c>
      <c r="AT4" s="669">
        <f>_xlfn.CONCAT(AT35," ","Faulty")</f>
        <v/>
      </c>
      <c r="AU4" s="670">
        <f>IF($AV$4=2,1,0)</f>
        <v/>
      </c>
      <c r="AV4" s="668" t="n">
        <v>0</v>
      </c>
      <c r="AX4" s="667" t="n"/>
      <c r="AY4" s="657" t="n"/>
      <c r="AZ4" s="657" t="n"/>
      <c r="BA4" s="668" t="n">
        <v>0</v>
      </c>
      <c r="BC4" s="667" t="inlineStr">
        <is>
          <t>Cause 2</t>
        </is>
      </c>
      <c r="BD4" s="657">
        <f>_xlfn.CONCAT(BD22," ","Faulty")</f>
        <v/>
      </c>
      <c r="BE4" s="657">
        <f>IF(BF4=2,1,0)</f>
        <v/>
      </c>
      <c r="BF4" s="668" t="n">
        <v>0</v>
      </c>
      <c r="BH4" s="667" t="n"/>
      <c r="BI4" s="657" t="n"/>
      <c r="BJ4" s="657" t="n"/>
      <c r="BK4" s="668" t="n">
        <v>0</v>
      </c>
      <c r="BM4" s="667" t="inlineStr">
        <is>
          <t>Cause 2</t>
        </is>
      </c>
      <c r="BN4" s="656">
        <f>_xlfn.CONCAT(BN26," ","Faulty")</f>
        <v/>
      </c>
      <c r="BO4" s="657">
        <f>IF(BP4=2,1,0)</f>
        <v/>
      </c>
      <c r="BP4" s="668" t="n">
        <v>0</v>
      </c>
      <c r="BR4" s="673" t="inlineStr">
        <is>
          <t>Cause 2</t>
        </is>
      </c>
      <c r="BS4" s="674">
        <f>_xlfn.CONCAT(BS86," ","Faulty")</f>
        <v/>
      </c>
      <c r="BT4" s="673">
        <f>IF($BU$4=1,1,0)</f>
        <v/>
      </c>
      <c r="BU4" s="675" t="n">
        <v>0</v>
      </c>
    </row>
    <row r="5" ht="23.15" customHeight="1" thickBot="1">
      <c r="B5" s="666" t="inlineStr">
        <is>
          <t>Supply Air Fan</t>
        </is>
      </c>
      <c r="C5" s="3" t="n"/>
      <c r="E5" s="676" t="n"/>
      <c r="F5" s="677" t="n"/>
      <c r="G5" s="677" t="n"/>
      <c r="H5" s="678" t="n"/>
      <c r="J5" s="676" t="inlineStr">
        <is>
          <t>Cause 3</t>
        </is>
      </c>
      <c r="K5" s="679">
        <f>_xlfn.CONCAT("Faulty"," ",K36)</f>
        <v/>
      </c>
      <c r="L5" s="677">
        <f>IF(M4=3,1,0)</f>
        <v/>
      </c>
      <c r="M5" s="678" t="n"/>
      <c r="O5" s="676" t="inlineStr">
        <is>
          <t>Cause 3</t>
        </is>
      </c>
      <c r="P5" s="679" t="inlineStr">
        <is>
          <t>Refrigerant Leak</t>
        </is>
      </c>
      <c r="Q5" s="677">
        <f>IF(R4=3,1,0)</f>
        <v/>
      </c>
      <c r="R5" s="678" t="n"/>
      <c r="T5" s="676" t="n"/>
      <c r="U5" s="679" t="n"/>
      <c r="V5" s="677" t="n"/>
      <c r="W5" s="678" t="n"/>
      <c r="Y5" s="676" t="n"/>
      <c r="Z5" s="679" t="n"/>
      <c r="AA5" s="677" t="n"/>
      <c r="AB5" s="678" t="n"/>
      <c r="AD5" s="667" t="inlineStr">
        <is>
          <t>Cause 3</t>
        </is>
      </c>
      <c r="AE5" s="656">
        <f>_xlfn.CONCAT(AE42," ","Faulty")</f>
        <v/>
      </c>
      <c r="AF5" s="657">
        <f>IF($AG$4=3,1,0)</f>
        <v/>
      </c>
      <c r="AG5" s="680" t="n"/>
      <c r="AI5" s="676" t="inlineStr">
        <is>
          <t>Cause 3</t>
        </is>
      </c>
      <c r="AJ5" s="679">
        <f>_xlfn.CONCAT(AJ61," ","Faulty")</f>
        <v/>
      </c>
      <c r="AK5" s="677">
        <f>IF(AL4=3,1,0)</f>
        <v/>
      </c>
      <c r="AL5" s="678" t="n"/>
      <c r="AN5" s="667" t="inlineStr">
        <is>
          <t>Cause 3</t>
        </is>
      </c>
      <c r="AO5" s="656">
        <f>_xlfn.CONCAT(AO60," ","Faulty")</f>
        <v/>
      </c>
      <c r="AP5" s="657">
        <f>IF($AQ$4=3,1,0)</f>
        <v/>
      </c>
      <c r="AQ5" s="680" t="n"/>
      <c r="AS5" s="667" t="inlineStr">
        <is>
          <t>Cause 3</t>
        </is>
      </c>
      <c r="AT5" s="656">
        <f>_xlfn.CONCAT(AT36," ","Faulty")</f>
        <v/>
      </c>
      <c r="AU5" s="657">
        <f>IF($AV$4=3,1,0)</f>
        <v/>
      </c>
      <c r="AV5" s="680" t="n"/>
      <c r="AX5" s="676" t="n"/>
      <c r="AY5" s="677" t="n"/>
      <c r="AZ5" s="677" t="n"/>
      <c r="BA5" s="678" t="n"/>
      <c r="BC5" s="676" t="n"/>
      <c r="BD5" s="677" t="n"/>
      <c r="BE5" s="677" t="n"/>
      <c r="BF5" s="678" t="n"/>
      <c r="BH5" s="676" t="n"/>
      <c r="BI5" s="677" t="n"/>
      <c r="BJ5" s="677" t="n"/>
      <c r="BK5" s="678" t="n"/>
      <c r="BM5" s="676" t="n"/>
      <c r="BN5" s="677" t="n"/>
      <c r="BO5" s="677" t="n"/>
      <c r="BP5" s="678" t="n"/>
      <c r="BR5" s="673" t="inlineStr">
        <is>
          <t>Cause 3</t>
        </is>
      </c>
      <c r="BS5" s="674">
        <f>_xlfn.CONCAT(BS87," ","Faulty")</f>
        <v/>
      </c>
      <c r="BT5" s="673">
        <f>IF($BU$4=3,1,0)</f>
        <v/>
      </c>
      <c r="BU5" s="681" t="n"/>
    </row>
    <row r="6" ht="38.5" customHeight="1" thickBot="1">
      <c r="B6" s="666">
        <f>K36</f>
        <v/>
      </c>
      <c r="C6" s="3" t="n"/>
      <c r="E6" s="682" t="inlineStr">
        <is>
          <t>Sr No</t>
        </is>
      </c>
      <c r="F6" s="682" t="inlineStr">
        <is>
          <t>Fault Step</t>
        </is>
      </c>
      <c r="G6" s="682" t="inlineStr">
        <is>
          <t>Step Status</t>
        </is>
      </c>
      <c r="H6" s="682" t="inlineStr">
        <is>
          <t>Remarks</t>
        </is>
      </c>
      <c r="J6" s="682" t="inlineStr">
        <is>
          <t>Sr No</t>
        </is>
      </c>
      <c r="K6" s="682" t="inlineStr">
        <is>
          <t>Fault Step</t>
        </is>
      </c>
      <c r="L6" s="682" t="inlineStr">
        <is>
          <t>Step Status</t>
        </is>
      </c>
      <c r="M6" s="682" t="inlineStr">
        <is>
          <t>Remarks</t>
        </is>
      </c>
      <c r="O6" s="683" t="inlineStr">
        <is>
          <t>Sr No</t>
        </is>
      </c>
      <c r="P6" s="683" t="inlineStr">
        <is>
          <t>Fault Step</t>
        </is>
      </c>
      <c r="Q6" s="683" t="inlineStr">
        <is>
          <t>Step Status</t>
        </is>
      </c>
      <c r="R6" s="683" t="inlineStr">
        <is>
          <t>Remarks</t>
        </is>
      </c>
      <c r="T6" s="683" t="inlineStr">
        <is>
          <t>Sr No</t>
        </is>
      </c>
      <c r="U6" s="683" t="inlineStr">
        <is>
          <t>Fault Step</t>
        </is>
      </c>
      <c r="V6" s="683" t="inlineStr">
        <is>
          <t>Step Status</t>
        </is>
      </c>
      <c r="W6" s="683" t="inlineStr">
        <is>
          <t>Remarks</t>
        </is>
      </c>
      <c r="Y6" s="683" t="inlineStr">
        <is>
          <t>Sr No</t>
        </is>
      </c>
      <c r="Z6" s="683" t="inlineStr">
        <is>
          <t>Fault Step</t>
        </is>
      </c>
      <c r="AA6" s="683" t="inlineStr">
        <is>
          <t>Step Status</t>
        </is>
      </c>
      <c r="AB6" s="683" t="inlineStr">
        <is>
          <t>Remarks</t>
        </is>
      </c>
      <c r="AD6" s="676" t="inlineStr">
        <is>
          <t>Cause 4</t>
        </is>
      </c>
      <c r="AE6" s="679">
        <f>_xlfn.CONCAT(AE43," ","Faulty")</f>
        <v/>
      </c>
      <c r="AF6" s="677">
        <f>IF($AG$4=4,1,0)</f>
        <v/>
      </c>
      <c r="AG6" s="678" t="n"/>
      <c r="AI6" s="683" t="inlineStr">
        <is>
          <t>Sr No</t>
        </is>
      </c>
      <c r="AJ6" s="683" t="inlineStr">
        <is>
          <t>Fault Step</t>
        </is>
      </c>
      <c r="AK6" s="683" t="inlineStr">
        <is>
          <t>Step Status</t>
        </is>
      </c>
      <c r="AL6" s="683" t="inlineStr">
        <is>
          <t>Remarks</t>
        </is>
      </c>
      <c r="AN6" s="667" t="inlineStr">
        <is>
          <t>Cause 4</t>
        </is>
      </c>
      <c r="AO6" s="656">
        <f>_xlfn.CONCAT(AO61," ","Damaged")</f>
        <v/>
      </c>
      <c r="AP6" s="657">
        <f>IF($AQ$4=4,1,0)</f>
        <v/>
      </c>
      <c r="AQ6" s="684" t="n"/>
      <c r="AS6" s="667" t="inlineStr">
        <is>
          <t>Cause 4</t>
        </is>
      </c>
      <c r="AT6" s="656">
        <f>AT37</f>
        <v/>
      </c>
      <c r="AU6" s="657">
        <f>IF($AV$4=4,1,0)</f>
        <v/>
      </c>
      <c r="AV6" s="684" t="n"/>
      <c r="AX6" s="683" t="inlineStr">
        <is>
          <t>Sr No</t>
        </is>
      </c>
      <c r="AY6" s="683" t="inlineStr">
        <is>
          <t>Fault Step</t>
        </is>
      </c>
      <c r="AZ6" s="683" t="inlineStr">
        <is>
          <t>Step Status</t>
        </is>
      </c>
      <c r="BA6" s="683" t="inlineStr">
        <is>
          <t>Remarks</t>
        </is>
      </c>
      <c r="BC6" s="683" t="inlineStr">
        <is>
          <t>Sr No</t>
        </is>
      </c>
      <c r="BD6" s="683" t="inlineStr">
        <is>
          <t>Fault Step</t>
        </is>
      </c>
      <c r="BE6" s="683" t="inlineStr">
        <is>
          <t>Step Status</t>
        </is>
      </c>
      <c r="BF6" s="683" t="inlineStr">
        <is>
          <t>Remarks</t>
        </is>
      </c>
      <c r="BH6" s="683" t="inlineStr">
        <is>
          <t>Sr No</t>
        </is>
      </c>
      <c r="BI6" s="683" t="inlineStr">
        <is>
          <t>Fault Step</t>
        </is>
      </c>
      <c r="BJ6" s="683" t="inlineStr">
        <is>
          <t>Step Status</t>
        </is>
      </c>
      <c r="BK6" s="683" t="inlineStr">
        <is>
          <t>Remarks</t>
        </is>
      </c>
      <c r="BM6" s="683" t="inlineStr">
        <is>
          <t>Sr No</t>
        </is>
      </c>
      <c r="BN6" s="683" t="inlineStr">
        <is>
          <t>Fault Step</t>
        </is>
      </c>
      <c r="BO6" s="683" t="inlineStr">
        <is>
          <t>Step Status</t>
        </is>
      </c>
      <c r="BP6" s="683" t="inlineStr">
        <is>
          <t>Remarks</t>
        </is>
      </c>
      <c r="BR6" s="673" t="inlineStr">
        <is>
          <t>Cause 4</t>
        </is>
      </c>
      <c r="BS6" s="674">
        <f>_xlfn.CONCAT(BS88," ","Faulty")</f>
        <v/>
      </c>
      <c r="BT6" s="673">
        <f>IF($BU$4=4,1,0)</f>
        <v/>
      </c>
      <c r="BU6" s="685" t="n"/>
    </row>
    <row r="7" ht="38.5" customHeight="1" thickBot="1">
      <c r="B7" s="666" t="inlineStr">
        <is>
          <t>Compressor</t>
        </is>
      </c>
      <c r="C7" s="3" t="n">
        <v>1</v>
      </c>
      <c r="E7" s="3" t="n">
        <v>1</v>
      </c>
      <c r="F7" s="686" t="inlineStr">
        <is>
          <t>Loosen and remove 24 nos M8X20 bolts (8) along with washer set (7) to open evaporator cover (9). (Spanner)</t>
        </is>
      </c>
      <c r="G7" s="3">
        <f>IF($H$2&gt;=E7,1,0)</f>
        <v/>
      </c>
      <c r="H7" s="3" t="inlineStr">
        <is>
          <t>1: Complete, 0: Incomplete</t>
        </is>
      </c>
      <c r="J7" s="3" t="n">
        <v>1</v>
      </c>
      <c r="K7" s="686" t="inlineStr">
        <is>
          <t>Loosen and remove 24 nos M8X20 bolts (8) along with washer set (7) to open evaporator cover (9). (Spanner)</t>
        </is>
      </c>
      <c r="L7" s="3">
        <f>IF($M$2&gt;=J7,1,0)</f>
        <v/>
      </c>
      <c r="M7" s="3" t="inlineStr">
        <is>
          <t>1: Complete, 0: Incomplete</t>
        </is>
      </c>
      <c r="O7" s="3" t="n">
        <v>1</v>
      </c>
      <c r="P7" s="686" t="inlineStr">
        <is>
          <t>Loosen and remove 24 nos M8X20 bolts (8) along with washer set (7) to open evaporator cover (9). (Spanner)</t>
        </is>
      </c>
      <c r="Q7" s="3">
        <f>IF($R$2&gt;=O7,1,0)</f>
        <v/>
      </c>
      <c r="R7" s="3" t="inlineStr">
        <is>
          <t>1: Complete, 0: Incomplete</t>
        </is>
      </c>
      <c r="T7" s="3" t="n">
        <v>1</v>
      </c>
      <c r="U7" s="686" t="inlineStr">
        <is>
          <t>Loosen and remove 24 nos M8X20 bolts (8) along with washer set (7) to open evaporator cover (9). (Spanner)</t>
        </is>
      </c>
      <c r="V7" s="3">
        <f>IF($W$2&gt;=T7,1,0)</f>
        <v/>
      </c>
      <c r="W7" s="3" t="inlineStr">
        <is>
          <t>1: Complete, 0: Incomplete</t>
        </is>
      </c>
      <c r="Y7" s="3" t="n">
        <v>1</v>
      </c>
      <c r="Z7" s="686" t="inlineStr">
        <is>
          <t>Remove Condenser Mesh with lifting device (Lifting Device)</t>
        </is>
      </c>
      <c r="AA7" s="3">
        <f>IF($AB$2&gt;=Y7,1,0)</f>
        <v/>
      </c>
      <c r="AB7" s="3" t="inlineStr">
        <is>
          <t>1: Complete, 0: Incomplete</t>
        </is>
      </c>
      <c r="AD7" s="682" t="inlineStr">
        <is>
          <t>Sr No</t>
        </is>
      </c>
      <c r="AE7" s="682" t="inlineStr">
        <is>
          <t>Fault Step</t>
        </is>
      </c>
      <c r="AF7" s="682" t="inlineStr">
        <is>
          <t>Step Status</t>
        </is>
      </c>
      <c r="AG7" s="682" t="inlineStr">
        <is>
          <t>Remarks</t>
        </is>
      </c>
      <c r="AI7" s="3" t="n">
        <v>1</v>
      </c>
      <c r="AJ7" s="686" t="inlineStr">
        <is>
          <t>Loosen and remove 24 nos M8X20 bolts (8) along with washer set (7) to open evaporator cover (9). (Spanner)</t>
        </is>
      </c>
      <c r="AK7" s="3">
        <f>IF($AL$2&gt;=AI7,1,0)</f>
        <v/>
      </c>
      <c r="AL7" s="3" t="inlineStr">
        <is>
          <t>1: Complete, 0: Incomplete</t>
        </is>
      </c>
      <c r="AN7" s="667" t="inlineStr">
        <is>
          <t>Cause 5</t>
        </is>
      </c>
      <c r="AO7" s="656">
        <f>_xlfn.CONCAT(AO62," ","Faulty")</f>
        <v/>
      </c>
      <c r="AP7" s="657">
        <f>IF($AQ$4=5,1,0)</f>
        <v/>
      </c>
      <c r="AQ7" s="684" t="n"/>
      <c r="AS7" s="676" t="inlineStr">
        <is>
          <t>Cause 5</t>
        </is>
      </c>
      <c r="AT7" s="679">
        <f>_xlfn.CONCAT(AT38," ","Faulty")</f>
        <v/>
      </c>
      <c r="AU7" s="677">
        <f>IF($AV$4=5,1,0)</f>
        <v/>
      </c>
      <c r="AV7" s="678" t="n"/>
      <c r="AX7" s="3" t="n">
        <v>1</v>
      </c>
      <c r="AY7" s="686" t="inlineStr">
        <is>
          <t>Loosen and remove 24 nos M8X20 bolts (8) along with washer set (7) to open evaporator cover (9). (Spanner)</t>
        </is>
      </c>
      <c r="AZ7" s="3">
        <f>IF($BA$2&gt;=AX7,1,0)</f>
        <v/>
      </c>
      <c r="BA7" s="3" t="inlineStr">
        <is>
          <t>1: Complete, 0: Incomplete</t>
        </is>
      </c>
      <c r="BC7" s="3" t="n">
        <v>1</v>
      </c>
      <c r="BD7" s="686" t="inlineStr">
        <is>
          <t>Loosen and remove 24 nos M8X20 bolts (8) along with washer set (7) to open evaporator cover (9). (Spanner)</t>
        </is>
      </c>
      <c r="BE7" s="3">
        <f>IF(BF$2&gt;=BC7,1,0)</f>
        <v/>
      </c>
      <c r="BF7" s="3" t="inlineStr">
        <is>
          <t>1: Complete, 0: Incomplete</t>
        </is>
      </c>
      <c r="BH7" s="3" t="n">
        <v>1</v>
      </c>
      <c r="BI7" s="686" t="inlineStr">
        <is>
          <t>Loosen and remove 24 nos M8X20 bolts (8) along with washer set (7) to open evaporator cover (9). (Spanner)</t>
        </is>
      </c>
      <c r="BJ7" s="3">
        <f>IF($BK$2&gt;=BH7,1,0)</f>
        <v/>
      </c>
      <c r="BK7" s="3" t="inlineStr">
        <is>
          <t>1: Complete, 0: Incomplete</t>
        </is>
      </c>
      <c r="BM7" s="3" t="n">
        <v>1</v>
      </c>
      <c r="BN7" s="686" t="inlineStr">
        <is>
          <t>Loosen and remove 24 nos M8X20 bolts (8) along with washer set (7) to open evaporator cover (9). (Spanner)</t>
        </is>
      </c>
      <c r="BO7" s="3">
        <f>IF($BP$2&gt;=BM7,1,0)</f>
        <v/>
      </c>
      <c r="BP7" s="3" t="inlineStr">
        <is>
          <t>1: Complete, 0: Incomplete</t>
        </is>
      </c>
      <c r="BR7" s="673" t="inlineStr">
        <is>
          <t>Cause 5</t>
        </is>
      </c>
      <c r="BS7" s="674">
        <f>_xlfn.CONCAT(BS89," ","Faulty")</f>
        <v/>
      </c>
      <c r="BT7" s="673">
        <f>IF($BU$4=5,1,0)</f>
        <v/>
      </c>
      <c r="BU7" s="685" t="n"/>
    </row>
    <row r="8" ht="38.5" customHeight="1" thickBot="1">
      <c r="B8" s="666" t="inlineStr">
        <is>
          <t>Supply Air Fan Circuit</t>
        </is>
      </c>
      <c r="C8" s="3" t="n"/>
      <c r="E8" s="3">
        <f>E7+1</f>
        <v/>
      </c>
      <c r="F8" s="686" t="inlineStr">
        <is>
          <t>Remove hinge pins to remove the evaporator cover (9) from HVAC unit. (Pliers)</t>
        </is>
      </c>
      <c r="G8" s="3">
        <f>IF($H$2&gt;=E8,1,0)</f>
        <v/>
      </c>
      <c r="H8" s="236" t="n"/>
      <c r="J8" s="3">
        <f>J7+1</f>
        <v/>
      </c>
      <c r="K8" s="686" t="inlineStr">
        <is>
          <t>Remove hinge pins to remove the evaporator cover (9) from HVAC unit. (Pliers)</t>
        </is>
      </c>
      <c r="L8" s="3">
        <f>IF($M$2&gt;=J8,1,0)</f>
        <v/>
      </c>
      <c r="M8" s="236" t="n"/>
      <c r="O8" s="3">
        <f>O7+1</f>
        <v/>
      </c>
      <c r="P8" s="686" t="inlineStr">
        <is>
          <t>Remove hinge pins to remove the evaporator cover (9) from HVAC unit. (Pliers)</t>
        </is>
      </c>
      <c r="Q8" s="3">
        <f>IF($R$2&gt;=O8,1,0)</f>
        <v/>
      </c>
      <c r="R8" s="236" t="n"/>
      <c r="T8" s="3">
        <f>T7+1</f>
        <v/>
      </c>
      <c r="U8" s="686" t="inlineStr">
        <is>
          <t>Remove hinge pins to remove the evaporator cover (9) from HVAC unit. (Pliers)</t>
        </is>
      </c>
      <c r="V8" s="3">
        <f>IF($W$2&gt;=T8,1,0)</f>
        <v/>
      </c>
      <c r="W8" s="236" t="n"/>
      <c r="Y8" s="3">
        <f>Y7+1</f>
        <v/>
      </c>
      <c r="Z8" s="686" t="inlineStr">
        <is>
          <t>Remove Condenser Coil &amp; Filter with lifting device (Lifting Device)</t>
        </is>
      </c>
      <c r="AA8" s="3">
        <f>IF($AB$2&gt;=Y8,1,0)</f>
        <v/>
      </c>
      <c r="AB8" s="236" t="n"/>
      <c r="AD8" s="3" t="n">
        <v>1</v>
      </c>
      <c r="AE8" s="687" t="inlineStr">
        <is>
          <t>Unscrew Fan cover bolt (Spanner)</t>
        </is>
      </c>
      <c r="AF8" s="3">
        <f>IF($AG$2&gt;=AD8,1,0)</f>
        <v/>
      </c>
      <c r="AG8" s="3" t="inlineStr">
        <is>
          <t>1: Complete, 0: Incomplete</t>
        </is>
      </c>
      <c r="AI8" s="3">
        <f>AI7+1</f>
        <v/>
      </c>
      <c r="AJ8" s="686" t="inlineStr">
        <is>
          <t>Remove hinge pins to remove the evaporator cover (9) from HVAC unit. (Pliers)</t>
        </is>
      </c>
      <c r="AK8" s="3">
        <f>IF($AL$2&gt;=AI8,1,0)</f>
        <v/>
      </c>
      <c r="AL8" s="236" t="n"/>
      <c r="AN8" s="676" t="inlineStr">
        <is>
          <t>Cause 6</t>
        </is>
      </c>
      <c r="AO8" s="679">
        <f>_xlfn.CONCAT(AO63," ","Faulty")</f>
        <v/>
      </c>
      <c r="AP8" s="677">
        <f>IF($AQ$4=6,1,0)</f>
        <v/>
      </c>
      <c r="AQ8" s="678" t="n"/>
      <c r="AS8" s="683" t="inlineStr">
        <is>
          <t>Sr No</t>
        </is>
      </c>
      <c r="AT8" s="683" t="inlineStr">
        <is>
          <t>Fault Step</t>
        </is>
      </c>
      <c r="AU8" s="683" t="inlineStr">
        <is>
          <t>Step Status</t>
        </is>
      </c>
      <c r="AV8" s="683" t="inlineStr">
        <is>
          <t>Remarks</t>
        </is>
      </c>
      <c r="AX8" s="3">
        <f>AX7+1</f>
        <v/>
      </c>
      <c r="AY8" s="686" t="inlineStr">
        <is>
          <t>Remove hinge pins to remove the evaporator cover (9) from HVAC unit. (Pliers)</t>
        </is>
      </c>
      <c r="AZ8" s="3">
        <f>IF($BA$2&gt;=AX8,1,0)</f>
        <v/>
      </c>
      <c r="BA8" s="236" t="n"/>
      <c r="BC8" s="3">
        <f>BC7+1</f>
        <v/>
      </c>
      <c r="BD8" s="686" t="inlineStr">
        <is>
          <t>Remove hinge pins to remove the evaporator cover (9) from HVAC unit. (Pliers)</t>
        </is>
      </c>
      <c r="BE8" s="3">
        <f>IF(BF$2&gt;=BC8,1,0)</f>
        <v/>
      </c>
      <c r="BF8" s="236" t="n"/>
      <c r="BH8" s="3">
        <f>BH7+1</f>
        <v/>
      </c>
      <c r="BI8" s="686" t="inlineStr">
        <is>
          <t>Remove hinge pins to remove the evaporator cover (9) from HVAC unit. (Pliers)</t>
        </is>
      </c>
      <c r="BJ8" s="3">
        <f>IF($BK$2&gt;=BH8,1,0)</f>
        <v/>
      </c>
      <c r="BK8" s="236" t="n"/>
      <c r="BM8" s="3">
        <f>BM7+1</f>
        <v/>
      </c>
      <c r="BN8" s="686" t="inlineStr">
        <is>
          <t>Remove hinge pins to remove the evaporator cover (9) from HVAC unit. (Pliers)</t>
        </is>
      </c>
      <c r="BO8" s="3">
        <f>IF($BP$2&gt;=BM8,1,0)</f>
        <v/>
      </c>
      <c r="BP8" s="236" t="n"/>
      <c r="BR8" s="673" t="inlineStr">
        <is>
          <t>Cause 6</t>
        </is>
      </c>
      <c r="BS8" s="674">
        <f>_xlfn.CONCAT(BS90," ","Faulty")</f>
        <v/>
      </c>
      <c r="BT8" s="673">
        <f>IF($BU$4=6,1,0)</f>
        <v/>
      </c>
      <c r="BU8" s="685" t="n"/>
    </row>
    <row r="9" ht="37" customHeight="1">
      <c r="B9" s="666" t="inlineStr">
        <is>
          <t>Supply Air Filter</t>
        </is>
      </c>
      <c r="C9" s="3" t="n"/>
      <c r="E9" s="3">
        <f>E8+1</f>
        <v/>
      </c>
      <c r="F9" s="686" t="inlineStr">
        <is>
          <t>Remove the evaporator cover (9) from HVAC unit using suitable lifting device. (None)</t>
        </is>
      </c>
      <c r="G9" s="3">
        <f>IF($H$2&gt;=E9,1,0)</f>
        <v/>
      </c>
      <c r="H9" s="236" t="n"/>
      <c r="J9" s="3">
        <f>J8+1</f>
        <v/>
      </c>
      <c r="K9" s="686" t="inlineStr">
        <is>
          <t>Remove the evaporator cover (9) from HVAC unit using suitable lifting device. (None)</t>
        </is>
      </c>
      <c r="L9" s="3">
        <f>IF($M$2&gt;=J9,1,0)</f>
        <v/>
      </c>
      <c r="M9" s="236" t="n"/>
      <c r="O9" s="3">
        <f>O8+1</f>
        <v/>
      </c>
      <c r="P9" s="686" t="inlineStr">
        <is>
          <t>Remove the evaporator cover (9) from HVAC unit using suitable lifting device. (None)</t>
        </is>
      </c>
      <c r="Q9" s="3">
        <f>IF($R$2&gt;=O9,1,0)</f>
        <v/>
      </c>
      <c r="R9" s="236" t="n"/>
      <c r="T9" s="3">
        <f>T8+1</f>
        <v/>
      </c>
      <c r="U9" s="686" t="inlineStr">
        <is>
          <t>Remove the evaporator cover (9) from HVAC unit using suitable lifting device. (None)</t>
        </is>
      </c>
      <c r="V9" s="3">
        <f>IF($W$2&gt;=T9,1,0)</f>
        <v/>
      </c>
      <c r="W9" s="236" t="n"/>
      <c r="Y9" s="3">
        <f>Y8+1</f>
        <v/>
      </c>
      <c r="Z9" s="686" t="inlineStr">
        <is>
          <t>Check for leaks using Electronic leak detector (Electronic Leak Detector)</t>
        </is>
      </c>
      <c r="AA9" s="3">
        <f>IF($AB$2&gt;=Y9,1,0)</f>
        <v/>
      </c>
      <c r="AB9" s="236" t="n"/>
      <c r="AD9" s="3">
        <f>AD8+1</f>
        <v/>
      </c>
      <c r="AE9" s="687" t="inlineStr">
        <is>
          <t>Open fan cover (Insulated Gloves)</t>
        </is>
      </c>
      <c r="AF9" s="3">
        <f>IF($AG$2&gt;=AD9,1,0)</f>
        <v/>
      </c>
      <c r="AG9" s="236" t="n"/>
      <c r="AI9" s="3">
        <f>AI8+1</f>
        <v/>
      </c>
      <c r="AJ9" s="686" t="inlineStr">
        <is>
          <t>Remove the evaporator cover (9) from HVAC unit using suitable lifting device. (None)</t>
        </is>
      </c>
      <c r="AK9" s="3">
        <f>IF($AL$2&gt;=AI9,1,0)</f>
        <v/>
      </c>
      <c r="AL9" s="236" t="n"/>
      <c r="AN9" s="682" t="inlineStr">
        <is>
          <t>Sr No</t>
        </is>
      </c>
      <c r="AO9" s="682" t="inlineStr">
        <is>
          <t>Fault Step</t>
        </is>
      </c>
      <c r="AP9" s="682" t="inlineStr">
        <is>
          <t>Step Status</t>
        </is>
      </c>
      <c r="AQ9" s="682" t="inlineStr">
        <is>
          <t>Remarks</t>
        </is>
      </c>
      <c r="AS9" s="3" t="n">
        <v>1</v>
      </c>
      <c r="AT9" s="686" t="inlineStr">
        <is>
          <t>Loosen and remove 24 nos M8X20 bolts (8) along with washer set (7) to open evaporator cover (9). (Spanner)</t>
        </is>
      </c>
      <c r="AU9" s="3">
        <f>IF($AV$2&gt;=AS9,1,0)</f>
        <v/>
      </c>
      <c r="AV9" s="3" t="inlineStr">
        <is>
          <t>1: Complete, 0: Incomplete</t>
        </is>
      </c>
      <c r="AX9" s="3">
        <f>AX8+1</f>
        <v/>
      </c>
      <c r="AY9" s="686" t="inlineStr">
        <is>
          <t>Remove the evaporator cover (9) from HVAC unit using suitable lifting device. (None)</t>
        </is>
      </c>
      <c r="AZ9" s="3">
        <f>IF($BA$2&gt;=AX9,1,0)</f>
        <v/>
      </c>
      <c r="BA9" s="236" t="n"/>
      <c r="BC9" s="3">
        <f>BC8+1</f>
        <v/>
      </c>
      <c r="BD9" s="686" t="inlineStr">
        <is>
          <t>Remove the evaporator cover (9) from HVAC unit using suitable lifting device. (None)</t>
        </is>
      </c>
      <c r="BE9" s="3">
        <f>IF(BF$2&gt;=BC9,1,0)</f>
        <v/>
      </c>
      <c r="BF9" s="236" t="n"/>
      <c r="BH9" s="3">
        <f>BH8+1</f>
        <v/>
      </c>
      <c r="BI9" s="686" t="inlineStr">
        <is>
          <t>Remove the evaporator cover (9) from HVAC unit using suitable lifting device. (None)</t>
        </is>
      </c>
      <c r="BJ9" s="3">
        <f>IF($BK$2&gt;=BH9,1,0)</f>
        <v/>
      </c>
      <c r="BK9" s="236" t="n"/>
      <c r="BM9" s="3">
        <f>BM8+1</f>
        <v/>
      </c>
      <c r="BN9" s="686" t="inlineStr">
        <is>
          <t>Remove the evaporator cover (9) from HVAC unit using suitable lifting device. (None)</t>
        </is>
      </c>
      <c r="BO9" s="3">
        <f>IF($BP$2&gt;=BM9,1,0)</f>
        <v/>
      </c>
      <c r="BP9" s="236" t="n"/>
      <c r="BR9" s="673" t="inlineStr">
        <is>
          <t>Cause 7</t>
        </is>
      </c>
      <c r="BS9" s="674">
        <f>_xlfn.CONCAT(BS91," ","Faulty")</f>
        <v/>
      </c>
      <c r="BT9" s="673">
        <f>IF($BU$4=7,1,0)</f>
        <v/>
      </c>
      <c r="BU9" s="685" t="n"/>
    </row>
    <row r="10" ht="25" customHeight="1">
      <c r="B10" s="666" t="inlineStr">
        <is>
          <t>Evaporator Coil Damage</t>
        </is>
      </c>
      <c r="C10" s="3" t="n"/>
      <c r="E10" s="3">
        <f>E9+1</f>
        <v/>
      </c>
      <c r="F10" s="686" t="inlineStr">
        <is>
          <t>Remove electrical control panel assembly (Spanner)</t>
        </is>
      </c>
      <c r="G10" s="3">
        <f>IF($H$2&gt;=E10,1,0)</f>
        <v/>
      </c>
      <c r="H10" s="236" t="n"/>
      <c r="J10" s="3">
        <f>J9+1</f>
        <v/>
      </c>
      <c r="K10" s="686" t="inlineStr">
        <is>
          <t>Remove electrical control panel assembly (Spanner)</t>
        </is>
      </c>
      <c r="L10" s="3">
        <f>IF($M$2&gt;=J10,1,0)</f>
        <v/>
      </c>
      <c r="M10" s="236" t="n"/>
      <c r="O10" s="3">
        <f>O9+1</f>
        <v/>
      </c>
      <c r="P10" s="686" t="inlineStr">
        <is>
          <t>Open supply air blower (Spanner)</t>
        </is>
      </c>
      <c r="Q10" s="3">
        <f>IF($R$2&gt;=O10,1,0)</f>
        <v/>
      </c>
      <c r="R10" s="236" t="n"/>
      <c r="T10" s="3">
        <f>T9+1</f>
        <v/>
      </c>
      <c r="U10" s="686" t="inlineStr">
        <is>
          <t>Check the evaporator coil (1) for any damages to the fins. (Visual Inspection Lamp)</t>
        </is>
      </c>
      <c r="V10" s="3">
        <f>IF($W$2&gt;=T10,1,0)</f>
        <v/>
      </c>
      <c r="W10" s="236" t="n"/>
      <c r="Y10" s="3">
        <f>Y9+1</f>
        <v/>
      </c>
      <c r="Z10" s="686" t="inlineStr">
        <is>
          <t>Open Filter Drier Cover (Screwdriver)</t>
        </is>
      </c>
      <c r="AA10" s="3">
        <f>IF($AB$2&gt;=Y10,1,0)</f>
        <v/>
      </c>
      <c r="AB10" s="236" t="n"/>
      <c r="AD10" s="3">
        <f>AD9+1</f>
        <v/>
      </c>
      <c r="AE10" s="687" t="inlineStr">
        <is>
          <t>Unscrews Fan Motor Bolt (Spanner)</t>
        </is>
      </c>
      <c r="AF10" s="3">
        <f>IF($AG$2&gt;=AD10,1,0)</f>
        <v/>
      </c>
      <c r="AG10" s="236" t="n"/>
      <c r="AI10" s="3">
        <f>AI9+1</f>
        <v/>
      </c>
      <c r="AJ10" s="686" t="inlineStr">
        <is>
          <t>Remove electrical control panel assembly (Spanner)</t>
        </is>
      </c>
      <c r="AK10" s="3">
        <f>IF($AL$2&gt;=AI10,1,0)</f>
        <v/>
      </c>
      <c r="AL10" s="236" t="n"/>
      <c r="AN10" s="3" t="n">
        <v>1</v>
      </c>
      <c r="AO10" s="686" t="inlineStr">
        <is>
          <t>Unscrew bottom panel (Spanner)</t>
        </is>
      </c>
      <c r="AP10" s="3">
        <f>IF($AQ$2&gt;=AN10,1,0)</f>
        <v/>
      </c>
      <c r="AQ10" s="3" t="inlineStr">
        <is>
          <t>1: Complete, 0: Incomplete</t>
        </is>
      </c>
      <c r="AS10" s="3">
        <f>AS9+1</f>
        <v/>
      </c>
      <c r="AT10" s="687" t="inlineStr">
        <is>
          <t>Remove hinge pins to remove the evaporator cover (9) from HVAC unit. (Pliers)</t>
        </is>
      </c>
      <c r="AU10" s="688">
        <f>IF($AV$2&gt;=AS10,1,0)</f>
        <v/>
      </c>
      <c r="AV10" s="236" t="n"/>
      <c r="AX10" s="3">
        <f>AX9+1</f>
        <v/>
      </c>
      <c r="AY10" s="686" t="inlineStr">
        <is>
          <t>Open supply air cover (Spanner)</t>
        </is>
      </c>
      <c r="AZ10" s="3">
        <f>IF($BA$2&gt;=AX10,1,0)</f>
        <v/>
      </c>
      <c r="BA10" s="236" t="n"/>
      <c r="BC10" s="3">
        <f>BC9+1</f>
        <v/>
      </c>
      <c r="BD10" s="686" t="inlineStr">
        <is>
          <t>Check the temperature sensors for any damage (Clamp Thermometer)</t>
        </is>
      </c>
      <c r="BE10" s="3">
        <f>IF(BF$2&gt;=BC10,1,0)</f>
        <v/>
      </c>
      <c r="BF10" s="236" t="n"/>
      <c r="BH10" s="3">
        <f>BH9+1</f>
        <v/>
      </c>
      <c r="BI10" s="686" t="inlineStr">
        <is>
          <t>Remove electrical control panel assembly (Spanner)</t>
        </is>
      </c>
      <c r="BJ10" s="3">
        <f>IF($BK$2&gt;=BH10,1,0)</f>
        <v/>
      </c>
      <c r="BK10" s="236" t="n"/>
      <c r="BM10" s="3">
        <f>BM9+1</f>
        <v/>
      </c>
      <c r="BN10" s="686" t="inlineStr">
        <is>
          <t>Remove the fresh air dampers (Spanner)</t>
        </is>
      </c>
      <c r="BO10" s="3">
        <f>IF($BP$2&gt;=BM10,1,0)</f>
        <v/>
      </c>
      <c r="BP10" s="236" t="n"/>
      <c r="BR10" s="673" t="inlineStr">
        <is>
          <t>Cause 8</t>
        </is>
      </c>
      <c r="BS10" s="674">
        <f>_xlfn.CONCAT(BS92," ","Faulty")</f>
        <v/>
      </c>
      <c r="BT10" s="673">
        <f>IF($BU$4=8,1,0)</f>
        <v/>
      </c>
      <c r="BU10" s="685" t="n"/>
    </row>
    <row r="11" ht="34.5" customHeight="1" thickBot="1">
      <c r="B11" s="666" t="inlineStr">
        <is>
          <t>TX Valve</t>
        </is>
      </c>
      <c r="C11" s="3" t="n"/>
      <c r="E11" s="3">
        <f>E10+1</f>
        <v/>
      </c>
      <c r="F11" s="686" t="inlineStr">
        <is>
          <t>Check all circuit breakers and close. (Multimeter)</t>
        </is>
      </c>
      <c r="G11" s="3">
        <f>IF($H$2&gt;=E11,1,0)</f>
        <v/>
      </c>
      <c r="H11" s="236" t="n"/>
      <c r="J11" s="3">
        <f>J10+1</f>
        <v/>
      </c>
      <c r="K11" s="686" t="inlineStr">
        <is>
          <t>Check all circuit breakers and close. (Multimeter)</t>
        </is>
      </c>
      <c r="L11" s="3">
        <f>IF($M$2&gt;=J11,1,0)</f>
        <v/>
      </c>
      <c r="M11" s="236" t="n"/>
      <c r="O11" s="3">
        <f>O10+1</f>
        <v/>
      </c>
      <c r="P11" s="686" t="inlineStr">
        <is>
          <t>Clean the supply air blower (1) with compressed air. (Compressed Air Gun)</t>
        </is>
      </c>
      <c r="Q11" s="3">
        <f>IF($R$2&gt;=O11,1,0)</f>
        <v/>
      </c>
      <c r="R11" s="236" t="n"/>
      <c r="T11" s="3">
        <f>T10+1</f>
        <v/>
      </c>
      <c r="U11" s="686" t="inlineStr">
        <is>
          <t>Check and defrost evaporator coil. (Visual Inspection)</t>
        </is>
      </c>
      <c r="V11" s="3">
        <f>IF($W$2&gt;=T11,1,0)</f>
        <v/>
      </c>
      <c r="W11" s="236" t="n"/>
      <c r="Y11" s="3">
        <f>Y10+1</f>
        <v/>
      </c>
      <c r="Z11" s="686" t="inlineStr">
        <is>
          <t>Remove Filter Drier (Insulated Gloves)</t>
        </is>
      </c>
      <c r="AA11" s="3">
        <f>IF($AB$2&gt;=Y11,1,0)</f>
        <v/>
      </c>
      <c r="AB11" s="236" t="n"/>
      <c r="AD11" s="3">
        <f>AD10+1</f>
        <v/>
      </c>
      <c r="AE11" s="687" t="inlineStr">
        <is>
          <t>Remove Fan Motor (Insulated Gloves)</t>
        </is>
      </c>
      <c r="AF11" s="3">
        <f>IF($AG$2&gt;=AD11,1,0)</f>
        <v/>
      </c>
      <c r="AG11" s="236" t="n"/>
      <c r="AI11" s="3">
        <f>AI10+1</f>
        <v/>
      </c>
      <c r="AJ11" s="686" t="inlineStr">
        <is>
          <t>Check all circuit breakers and close. (Multimeter)</t>
        </is>
      </c>
      <c r="AK11" s="3">
        <f>IF($AL$2&gt;=AI11,1,0)</f>
        <v/>
      </c>
      <c r="AL11" s="236" t="n"/>
      <c r="AN11" s="3">
        <f>AN10+1</f>
        <v/>
      </c>
      <c r="AO11" s="686" t="inlineStr">
        <is>
          <t>Remove bottom panel (Insulated Gloves)</t>
        </is>
      </c>
      <c r="AP11" s="3">
        <f>IF($AQ$2&gt;=AN11,1,0)</f>
        <v/>
      </c>
      <c r="AQ11" s="236" t="n"/>
      <c r="AS11" s="3">
        <f>AS10+1</f>
        <v/>
      </c>
      <c r="AT11" s="687" t="inlineStr">
        <is>
          <t>Remove the evaporator cover (9) from HVAC unit using suitable lifting device. (None)</t>
        </is>
      </c>
      <c r="AU11" s="688">
        <f>IF($AV$2&gt;=AS11,1,0)</f>
        <v/>
      </c>
      <c r="AV11" s="236" t="n"/>
      <c r="AX11" s="3">
        <f>AX10+1</f>
        <v/>
      </c>
      <c r="AY11" s="686" t="inlineStr">
        <is>
          <t>Remove FAT Bolt (Spanner)</t>
        </is>
      </c>
      <c r="AZ11" s="3">
        <f>IF($BA$2&gt;=AX11,1,0)</f>
        <v/>
      </c>
      <c r="BA11" s="236" t="n"/>
      <c r="BC11" s="3">
        <f>BC10+1</f>
        <v/>
      </c>
      <c r="BD11" s="686" t="inlineStr">
        <is>
          <t>RAT Damaged (Visual Inspection)</t>
        </is>
      </c>
      <c r="BE11" s="3">
        <f>IF(BF$2&gt;=BC11,1,0)</f>
        <v/>
      </c>
      <c r="BF11" s="236" t="n"/>
      <c r="BH11" s="3">
        <f>BH10+1</f>
        <v/>
      </c>
      <c r="BI11" s="686" t="inlineStr">
        <is>
          <t>Check all circuit breakers and close. (Multimeter)</t>
        </is>
      </c>
      <c r="BJ11" s="3">
        <f>IF($BK$2&gt;=BH11,1,0)</f>
        <v/>
      </c>
      <c r="BK11" s="236" t="n"/>
      <c r="BM11" s="3">
        <f>BM10+1</f>
        <v/>
      </c>
      <c r="BN11" s="686" t="inlineStr">
        <is>
          <t>Replace the fresh air dampers (Visual Inspection)</t>
        </is>
      </c>
      <c r="BO11" s="3">
        <f>IF($BP$2&gt;=BM11,1,0)</f>
        <v/>
      </c>
      <c r="BP11" s="236" t="n"/>
      <c r="BR11" s="689" t="inlineStr">
        <is>
          <t>Cause 9</t>
        </is>
      </c>
      <c r="BS11" s="690">
        <f>_xlfn.CONCAT(BS93," ","Faulty")</f>
        <v/>
      </c>
      <c r="BT11" s="689">
        <f>IF($BU$4=9,1,0)</f>
        <v/>
      </c>
      <c r="BU11" s="691" t="n"/>
    </row>
    <row r="12" ht="37.5" customHeight="1" thickBot="1">
      <c r="B12" s="666" t="inlineStr">
        <is>
          <t>Filter Drier</t>
        </is>
      </c>
      <c r="C12" s="3" t="n"/>
      <c r="E12" s="3">
        <f>E11+1</f>
        <v/>
      </c>
      <c r="F12" s="686" t="inlineStr">
        <is>
          <t>Unplug the connected wires (Screwdriver)</t>
        </is>
      </c>
      <c r="G12" s="3">
        <f>IF($H$2&gt;=E12,1,0)</f>
        <v/>
      </c>
      <c r="H12" s="236" t="n"/>
      <c r="J12" s="3">
        <f>J11+1</f>
        <v/>
      </c>
      <c r="K12" s="686" t="inlineStr">
        <is>
          <t>Unplug the connected wires (Screwdriver)</t>
        </is>
      </c>
      <c r="L12" s="3">
        <f>IF($M$2&gt;=J12,1,0)</f>
        <v/>
      </c>
      <c r="M12" s="236" t="n"/>
      <c r="O12" s="3">
        <f>O11+1</f>
        <v/>
      </c>
      <c r="P12" s="686" t="inlineStr">
        <is>
          <t>Rotate supply air blower (1) motor with hand and ensure that only a light force is required to rotate it. (Insulated Hand Gloves)</t>
        </is>
      </c>
      <c r="Q12" s="3">
        <f>IF($R$2&gt;=O12,1,0)</f>
        <v/>
      </c>
      <c r="R12" s="236" t="n"/>
      <c r="T12" s="3">
        <f>T11+1</f>
        <v/>
      </c>
      <c r="U12" s="686" t="inlineStr">
        <is>
          <t>Use a fin comb to straighten any bent fins. (Fin Comb)</t>
        </is>
      </c>
      <c r="V12" s="3">
        <f>IF($W$2&gt;=T12,1,0)</f>
        <v/>
      </c>
      <c r="W12" s="236" t="n"/>
      <c r="Y12" s="3">
        <f>Y11+1</f>
        <v/>
      </c>
      <c r="Z12" s="686" t="inlineStr">
        <is>
          <t>Replace Filter Drier (None)</t>
        </is>
      </c>
      <c r="AA12" s="3">
        <f>IF($AB$2&gt;=Y12,1,0)</f>
        <v/>
      </c>
      <c r="AB12" s="236" t="n"/>
      <c r="AD12" s="3">
        <f>AD11+1</f>
        <v/>
      </c>
      <c r="AE12" s="687" t="inlineStr">
        <is>
          <t>Replace Fan Motor (None)</t>
        </is>
      </c>
      <c r="AF12" s="3">
        <f>IF($AG$2&gt;=AD12,1,0)</f>
        <v/>
      </c>
      <c r="AG12" s="236" t="n"/>
      <c r="AI12" s="3">
        <f>AI11+1</f>
        <v/>
      </c>
      <c r="AJ12" s="686" t="inlineStr">
        <is>
          <t>Unplug the connected wires (Screwdriver)</t>
        </is>
      </c>
      <c r="AK12" s="3">
        <f>IF($AL$2&gt;=AI12,1,0)</f>
        <v/>
      </c>
      <c r="AL12" s="236" t="n"/>
      <c r="AN12" s="3">
        <f>AN11+1</f>
        <v/>
      </c>
      <c r="AO12" s="686" t="inlineStr">
        <is>
          <t>Unscrew return air damper (Spanner)</t>
        </is>
      </c>
      <c r="AP12" s="3">
        <f>IF($AQ$2&gt;=AN12,1,0)</f>
        <v/>
      </c>
      <c r="AQ12" s="236" t="n"/>
      <c r="AS12" s="3">
        <f>AS11+1</f>
        <v/>
      </c>
      <c r="AT12" s="687" t="inlineStr">
        <is>
          <t>Remove electrical control panel assembly (Spanner)</t>
        </is>
      </c>
      <c r="AU12" s="688">
        <f>IF($AV$2&gt;=AS12,1,0)</f>
        <v/>
      </c>
      <c r="AV12" s="236" t="n"/>
      <c r="AX12" s="3">
        <f>AX11+1</f>
        <v/>
      </c>
      <c r="AY12" s="686" t="inlineStr">
        <is>
          <t>Replace with new FAT Sensor (None)</t>
        </is>
      </c>
      <c r="AZ12" s="3">
        <f>IF($BA$2&gt;=AX12,1,0)</f>
        <v/>
      </c>
      <c r="BA12" s="236" t="n"/>
      <c r="BC12" s="3">
        <f>BC11+1</f>
        <v/>
      </c>
      <c r="BD12" s="686" t="inlineStr">
        <is>
          <t>Unbolt the return air temperature sensor (Spanner)</t>
        </is>
      </c>
      <c r="BE12" s="3">
        <f>IF(BF$2&gt;=BC12,1,0)</f>
        <v/>
      </c>
      <c r="BF12" s="236" t="n"/>
      <c r="BH12" s="3">
        <f>BH11+1</f>
        <v/>
      </c>
      <c r="BI12" s="686" t="inlineStr">
        <is>
          <t>Unplug the connected wires (Screwdriver)</t>
        </is>
      </c>
      <c r="BJ12" s="3">
        <f>IF($BK$2&gt;=BH12,1,0)</f>
        <v/>
      </c>
      <c r="BK12" s="236" t="n"/>
      <c r="BM12" s="3">
        <f>BM11+1</f>
        <v/>
      </c>
      <c r="BN12" s="686" t="inlineStr">
        <is>
          <t>Unscrew fresh air filter bolt (Screwdriver)</t>
        </is>
      </c>
      <c r="BO12" s="3">
        <f>IF($BP$2&gt;=BM12,1,0)</f>
        <v/>
      </c>
      <c r="BP12" s="236" t="n"/>
      <c r="BR12" s="692" t="inlineStr">
        <is>
          <t>Sr No</t>
        </is>
      </c>
      <c r="BS12" s="693" t="inlineStr">
        <is>
          <t>Fault Step</t>
        </is>
      </c>
      <c r="BT12" s="692" t="inlineStr">
        <is>
          <t>Step Status</t>
        </is>
      </c>
      <c r="BU12" s="694" t="inlineStr">
        <is>
          <t>Remarks</t>
        </is>
      </c>
    </row>
    <row r="13" ht="54.65" customHeight="1">
      <c r="B13" s="666" t="inlineStr">
        <is>
          <t>Condensor Fan Motor</t>
        </is>
      </c>
      <c r="C13" s="3" t="n"/>
      <c r="E13" s="3">
        <f>E12+1</f>
        <v/>
      </c>
      <c r="F13" s="686" t="inlineStr">
        <is>
          <t>Remove electrical plugs. (Insulated Gloves)</t>
        </is>
      </c>
      <c r="G13" s="3">
        <f>IF($H$2&gt;=E13,1,0)</f>
        <v/>
      </c>
      <c r="H13" s="236" t="n"/>
      <c r="J13" s="3">
        <f>J12+1</f>
        <v/>
      </c>
      <c r="K13" s="686" t="inlineStr">
        <is>
          <t>Remove electrical plugs. (Insulated Gloves)</t>
        </is>
      </c>
      <c r="L13" s="3">
        <f>IF($M$2&gt;=J13,1,0)</f>
        <v/>
      </c>
      <c r="M13" s="236" t="n"/>
      <c r="O13" s="3">
        <f>O12+1</f>
        <v/>
      </c>
      <c r="P13" s="686" t="inlineStr">
        <is>
          <t>Remove supply air blower (Screwdriver)</t>
        </is>
      </c>
      <c r="Q13" s="3">
        <f>IF($R$2&gt;=O13,1,0)</f>
        <v/>
      </c>
      <c r="R13" s="236" t="n"/>
      <c r="T13" s="3">
        <f>T12+1</f>
        <v/>
      </c>
      <c r="U13" s="686" t="inlineStr">
        <is>
          <t>Wash the evaporator coil (1) with warm to hot water and a small quantity of detergent. The hot water softens the bristles helps the grease to dissolve and removes the chlorides. (Bristle Brush)</t>
        </is>
      </c>
      <c r="V13" s="3">
        <f>IF($W$2&gt;=T13,1,0)</f>
        <v/>
      </c>
      <c r="W13" s="236" t="n"/>
      <c r="Y13" s="3">
        <f>Y12+1</f>
        <v/>
      </c>
      <c r="Z13" s="686" t="inlineStr">
        <is>
          <t>Check LP/HP (Manifold Gauge Set)</t>
        </is>
      </c>
      <c r="AA13" s="3">
        <f>IF($AB$2&gt;=Y13,1,0)</f>
        <v/>
      </c>
      <c r="AB13" s="236" t="n"/>
      <c r="AD13" s="3">
        <f>AD12+1</f>
        <v/>
      </c>
      <c r="AE13" s="687" t="inlineStr">
        <is>
          <t>Clean the condenser fan with dry compressed air (Compressed Air)</t>
        </is>
      </c>
      <c r="AF13" s="3">
        <f>IF($AG$2&gt;=AD13,1,0)</f>
        <v/>
      </c>
      <c r="AG13" s="236" t="n"/>
      <c r="AI13" s="3">
        <f>AI12+1</f>
        <v/>
      </c>
      <c r="AJ13" s="686" t="inlineStr">
        <is>
          <t>Remove electrical plugs. (Insulated Gloves)</t>
        </is>
      </c>
      <c r="AK13" s="3">
        <f>IF($AL$2&gt;=AI13,1,0)</f>
        <v/>
      </c>
      <c r="AL13" s="236" t="n"/>
      <c r="AN13" s="3">
        <f>AN12+1</f>
        <v/>
      </c>
      <c r="AO13" s="686" t="inlineStr">
        <is>
          <t>Remove return air damper (Insulated Gloves)</t>
        </is>
      </c>
      <c r="AP13" s="3">
        <f>IF($AQ$2&gt;=AN13,1,0)</f>
        <v/>
      </c>
      <c r="AQ13" s="236" t="n"/>
      <c r="AS13" s="3">
        <f>AS12+1</f>
        <v/>
      </c>
      <c r="AT13" s="687" t="inlineStr">
        <is>
          <t>Check all circuit breakers and close. (Multimeter)</t>
        </is>
      </c>
      <c r="AU13" s="688">
        <f>IF($AV$2&gt;=AS13,1,0)</f>
        <v/>
      </c>
      <c r="AV13" s="236" t="n"/>
      <c r="AX13" s="3">
        <f>AX12+1</f>
        <v/>
      </c>
      <c r="AY13" s="686" t="inlineStr">
        <is>
          <t>Secure with FAT bolt (None)</t>
        </is>
      </c>
      <c r="AZ13" s="3">
        <f>IF($BA$2&gt;=AX13,1,0)</f>
        <v/>
      </c>
      <c r="BA13" s="236" t="n"/>
      <c r="BC13" s="3">
        <f>BC12+1</f>
        <v/>
      </c>
      <c r="BD13" s="686" t="inlineStr">
        <is>
          <t>Remove the return air temperature sensor (None)</t>
        </is>
      </c>
      <c r="BE13" s="3">
        <f>IF(BF$2&gt;=BC13,1,0)</f>
        <v/>
      </c>
      <c r="BF13" s="236" t="n"/>
      <c r="BH13" s="3">
        <f>BH12+1</f>
        <v/>
      </c>
      <c r="BI13" s="686" t="inlineStr">
        <is>
          <t>Remove electrical plugs. (Insulated Gloves)</t>
        </is>
      </c>
      <c r="BJ13" s="3">
        <f>IF($BK$2&gt;=BH13,1,0)</f>
        <v/>
      </c>
      <c r="BK13" s="236" t="n"/>
      <c r="BM13" s="3">
        <f>BM12+1</f>
        <v/>
      </c>
      <c r="BN13" s="686" t="inlineStr">
        <is>
          <t>Replace fresh air filter (Visual Inspection)</t>
        </is>
      </c>
      <c r="BO13" s="3">
        <f>IF($BP$2&gt;=BM13,1,0)</f>
        <v/>
      </c>
      <c r="BP13" s="236" t="n"/>
      <c r="BR13" s="695" t="n">
        <v>1</v>
      </c>
      <c r="BS13" s="696" t="inlineStr">
        <is>
          <t>Run HVAC 20 mins. (None)</t>
        </is>
      </c>
      <c r="BT13" s="695">
        <f>IF($BU$2&gt;=BR13,1,0)</f>
        <v/>
      </c>
      <c r="BU13" s="697" t="inlineStr">
        <is>
          <t>1: Complete, 0: Incomplete</t>
        </is>
      </c>
    </row>
    <row r="14" ht="35.5" customHeight="1">
      <c r="B14" s="666" t="inlineStr">
        <is>
          <t>Condensor Fan Circuit Breaker</t>
        </is>
      </c>
      <c r="C14" s="3" t="n"/>
      <c r="E14" s="3">
        <f>E13+1</f>
        <v/>
      </c>
      <c r="F14" s="259" t="inlineStr">
        <is>
          <t>Replace the plugs (Visual Inspection)</t>
        </is>
      </c>
      <c r="G14" s="3">
        <f>IF($H$2&gt;=E14,1,0)</f>
        <v/>
      </c>
      <c r="H14" s="236" t="n"/>
      <c r="J14" s="3">
        <f>J13+1</f>
        <v/>
      </c>
      <c r="K14" s="686" t="inlineStr">
        <is>
          <t>Replace the plugs (Visual Inspection)</t>
        </is>
      </c>
      <c r="L14" s="3">
        <f>IF($M$2&gt;=J14,1,0)</f>
        <v/>
      </c>
      <c r="M14" s="236" t="n"/>
      <c r="O14" s="3">
        <f>O13+1</f>
        <v/>
      </c>
      <c r="P14" s="686" t="inlineStr">
        <is>
          <t>Replace supply air blower (Visual Inspection)</t>
        </is>
      </c>
      <c r="Q14" s="3">
        <f>IF($R$2&gt;=O14,1,0)</f>
        <v/>
      </c>
      <c r="R14" s="236" t="n"/>
      <c r="T14" s="3">
        <f>T13+1</f>
        <v/>
      </c>
      <c r="U14" s="686" t="inlineStr">
        <is>
          <t>Clean the drain tray (2) with wet cloth (Wet Cloth)</t>
        </is>
      </c>
      <c r="V14" s="3">
        <f>IF($W$2&gt;=T14,1,0)</f>
        <v/>
      </c>
      <c r="W14" s="236" t="n"/>
      <c r="Y14" s="3">
        <f>Y13+1</f>
        <v/>
      </c>
      <c r="Z14" s="686" t="inlineStr">
        <is>
          <t>Loosen and remove 24 nos M8X20 bolts (8) along with washer set (7) to open evaporator cover (9). (Spanner)</t>
        </is>
      </c>
      <c r="AA14" s="3">
        <f>IF($AB$2&gt;=Y14,1,0)</f>
        <v/>
      </c>
      <c r="AB14" s="236" t="n"/>
      <c r="AD14" s="3">
        <f>AD13+1</f>
        <v/>
      </c>
      <c r="AE14" s="687" t="inlineStr">
        <is>
          <t>Unscrew condenser fan bolt (Spanner)</t>
        </is>
      </c>
      <c r="AF14" s="3">
        <f>IF($AG$2&gt;=AD14,1,0)</f>
        <v/>
      </c>
      <c r="AG14" s="236" t="n"/>
      <c r="AI14" s="3">
        <f>AI13+1</f>
        <v/>
      </c>
      <c r="AJ14" s="686" t="inlineStr">
        <is>
          <t>Replace the plugs (Visual Inspection)</t>
        </is>
      </c>
      <c r="AK14" s="3">
        <f>IF($AL$2&gt;=AI14,1,0)</f>
        <v/>
      </c>
      <c r="AL14" s="236" t="n"/>
      <c r="AN14" s="3">
        <f>AN13+1</f>
        <v/>
      </c>
      <c r="AO14" s="686" t="inlineStr">
        <is>
          <t>Loosen and remove 24 nos M8X20 bolts (8) along with washer set (7) to open evaporator cover (9). (Spanner)</t>
        </is>
      </c>
      <c r="AP14" s="3">
        <f>IF($AQ$2&gt;=AN14,1,0)</f>
        <v/>
      </c>
      <c r="AQ14" s="236" t="n"/>
      <c r="AS14" s="3">
        <f>AS13+1</f>
        <v/>
      </c>
      <c r="AT14" s="687" t="inlineStr">
        <is>
          <t>Unplug the connected wires (Screwdriver)</t>
        </is>
      </c>
      <c r="AU14" s="688">
        <f>IF($AV$2&gt;=AS14,1,0)</f>
        <v/>
      </c>
      <c r="AV14" s="236" t="n"/>
      <c r="AX14" s="3">
        <f>AX13+1</f>
        <v/>
      </c>
      <c r="AY14" s="686" t="inlineStr">
        <is>
          <t>Remove SAT Bolt (Spanner)</t>
        </is>
      </c>
      <c r="AZ14" s="3">
        <f>IF($BA$2&gt;=AX14,1,0)</f>
        <v/>
      </c>
      <c r="BA14" s="236" t="n"/>
      <c r="BC14" s="3">
        <f>BC13+1</f>
        <v/>
      </c>
      <c r="BD14" s="686" t="inlineStr">
        <is>
          <t>Replace the return air temperature sensor (None)</t>
        </is>
      </c>
      <c r="BE14" s="3">
        <f>IF(BF$2&gt;=BC14,1,0)</f>
        <v/>
      </c>
      <c r="BF14" s="236" t="n"/>
      <c r="BH14" s="3">
        <f>BH13+1</f>
        <v/>
      </c>
      <c r="BI14" s="686" t="inlineStr">
        <is>
          <t>Replace the plugs (Visual Inspection)</t>
        </is>
      </c>
      <c r="BJ14" s="3">
        <f>IF($BK$2&gt;=BH14,1,0)</f>
        <v/>
      </c>
      <c r="BK14" s="236" t="n"/>
      <c r="BM14" s="3">
        <f>BM13+1</f>
        <v/>
      </c>
      <c r="BN14" s="686" t="inlineStr">
        <is>
          <t>Remove fresh air damper motor (Screwdriver)</t>
        </is>
      </c>
      <c r="BO14" s="3">
        <f>IF($BP$2&gt;=BM14,1,0)</f>
        <v/>
      </c>
      <c r="BP14" s="236" t="n"/>
      <c r="BR14" s="698">
        <f>BR13+1</f>
        <v/>
      </c>
      <c r="BS14" s="699" t="inlineStr">
        <is>
          <t>Unusual noise from compressor assembly (None)</t>
        </is>
      </c>
      <c r="BT14" s="698">
        <f>IF($BU$2&gt;=BR14,1,0)</f>
        <v/>
      </c>
      <c r="BU14" s="685" t="n"/>
    </row>
    <row r="15" ht="35.15" customHeight="1">
      <c r="B15" s="666" t="inlineStr">
        <is>
          <t>Condensor Coil</t>
        </is>
      </c>
      <c r="C15" s="3" t="n"/>
      <c r="E15" s="3">
        <f>E14+1</f>
        <v/>
      </c>
      <c r="F15" s="686" t="inlineStr">
        <is>
          <t>Connect the electrical plugs. (Screwdriver)</t>
        </is>
      </c>
      <c r="G15" s="3">
        <f>IF($H$2&gt;=E15,1,0)</f>
        <v/>
      </c>
      <c r="H15" s="236" t="n"/>
      <c r="J15" s="3">
        <f>J14+1</f>
        <v/>
      </c>
      <c r="K15" s="686" t="inlineStr">
        <is>
          <t>Connect the electrical plugs. (Screwdriver)</t>
        </is>
      </c>
      <c r="L15" s="3">
        <f>IF($M$2&gt;=J15,1,0)</f>
        <v/>
      </c>
      <c r="M15" s="236" t="n"/>
      <c r="O15" s="3">
        <f>O14+1</f>
        <v/>
      </c>
      <c r="P15" s="686" t="inlineStr">
        <is>
          <t>Close air supply blower (Visual Inspection)</t>
        </is>
      </c>
      <c r="Q15" s="3">
        <f>IF($R$2&gt;=O15,1,0)</f>
        <v/>
      </c>
      <c r="R15" s="236" t="n"/>
      <c r="T15" s="3">
        <f>T14+1</f>
        <v/>
      </c>
      <c r="U15" s="686" t="inlineStr">
        <is>
          <t>Ensure that there is no condensate or debris left over on the drain tray (2). (Vacuum Cleaner)</t>
        </is>
      </c>
      <c r="V15" s="3">
        <f>IF($W$2&gt;=T15,1,0)</f>
        <v/>
      </c>
      <c r="W15" s="236" t="n"/>
      <c r="Y15" s="3">
        <f>Y14+1</f>
        <v/>
      </c>
      <c r="Z15" s="686" t="inlineStr">
        <is>
          <t>Remove hinge pins to remove the evaporator cover (9) from HVAC unit. (Pliers)</t>
        </is>
      </c>
      <c r="AA15" s="3">
        <f>IF($AB$2&gt;=Y15,1,0)</f>
        <v/>
      </c>
      <c r="AB15" s="236" t="n"/>
      <c r="AD15" s="3">
        <f>AD14+1</f>
        <v/>
      </c>
      <c r="AE15" s="687" t="inlineStr">
        <is>
          <t>Remove condenser fan (Insulated Gloves)</t>
        </is>
      </c>
      <c r="AF15" s="3">
        <f>IF($AG$2&gt;=AD15,1,0)</f>
        <v/>
      </c>
      <c r="AG15" s="236" t="n"/>
      <c r="AI15" s="3">
        <f>AI14+1</f>
        <v/>
      </c>
      <c r="AJ15" s="686" t="inlineStr">
        <is>
          <t>Connect the electrical plugs. (Screwdriver)</t>
        </is>
      </c>
      <c r="AK15" s="3">
        <f>IF($AL$2&gt;=AI15,1,0)</f>
        <v/>
      </c>
      <c r="AL15" s="236" t="n"/>
      <c r="AN15" s="3">
        <f>AN14+1</f>
        <v/>
      </c>
      <c r="AO15" s="686" t="inlineStr">
        <is>
          <t>Remove hinge pins to remove the evaporator cover (9) from HVAC unit. (Pliers)</t>
        </is>
      </c>
      <c r="AP15" s="3">
        <f>IF($AQ$2&gt;=AN15,1,0)</f>
        <v/>
      </c>
      <c r="AQ15" s="236" t="n"/>
      <c r="AS15" s="3">
        <f>AS14+1</f>
        <v/>
      </c>
      <c r="AT15" s="687" t="inlineStr">
        <is>
          <t>Remove electrical plugs. (Insulated Gloves)</t>
        </is>
      </c>
      <c r="AU15" s="688">
        <f>IF($AV$2&gt;=AS15,1,0)</f>
        <v/>
      </c>
      <c r="AV15" s="236" t="n"/>
      <c r="AX15" s="3">
        <f>AX14+1</f>
        <v/>
      </c>
      <c r="AY15" s="686" t="inlineStr">
        <is>
          <t>Remove SAT Sensor (None)</t>
        </is>
      </c>
      <c r="AZ15" s="3">
        <f>IF($BA$2&gt;=AX15,1,0)</f>
        <v/>
      </c>
      <c r="BA15" s="236" t="n"/>
      <c r="BC15" s="3">
        <f>BC14+1</f>
        <v/>
      </c>
      <c r="BD15" s="686" t="inlineStr">
        <is>
          <t>Secure the RAT sensor bolt (None)</t>
        </is>
      </c>
      <c r="BE15" s="3">
        <f>IF(BF$2&gt;=BC15,1,0)</f>
        <v/>
      </c>
      <c r="BF15" s="236" t="n"/>
      <c r="BH15" s="3">
        <f>BH14+1</f>
        <v/>
      </c>
      <c r="BI15" s="686" t="inlineStr">
        <is>
          <t>Connect the electrical plugs. (Screwdriver)</t>
        </is>
      </c>
      <c r="BJ15" s="3">
        <f>IF($BK$2&gt;=BH15,1,0)</f>
        <v/>
      </c>
      <c r="BK15" s="236" t="n"/>
      <c r="BM15" s="3">
        <f>BM14+1</f>
        <v/>
      </c>
      <c r="BN15" s="686" t="inlineStr">
        <is>
          <t>Replace fresh air damper motor (Visual Inspection)</t>
        </is>
      </c>
      <c r="BO15" s="3">
        <f>IF($BP$2&gt;=BM15,1,0)</f>
        <v/>
      </c>
      <c r="BP15" s="236" t="n"/>
      <c r="BR15" s="698">
        <f>BR14+1</f>
        <v/>
      </c>
      <c r="BS15" s="699" t="inlineStr">
        <is>
          <t>Unscrew bolt compressor unit cover (Spanner)</t>
        </is>
      </c>
      <c r="BT15" s="698">
        <f>IF($BU$2&gt;=BR15,1,0)</f>
        <v/>
      </c>
      <c r="BU15" s="685" t="n"/>
    </row>
    <row r="16" ht="25" customHeight="1">
      <c r="B16" s="666" t="inlineStr">
        <is>
          <t>Refrigerent Level</t>
        </is>
      </c>
      <c r="C16" s="3" t="n"/>
      <c r="E16" s="3">
        <f>E15+1</f>
        <v/>
      </c>
      <c r="F16" s="686" t="inlineStr">
        <is>
          <t>Close electrical control panel assembly (None)</t>
        </is>
      </c>
      <c r="G16" s="3">
        <f>IF($H$2&gt;=E16,1,0)</f>
        <v/>
      </c>
      <c r="H16" s="236" t="n"/>
      <c r="J16" s="3">
        <f>J15+1</f>
        <v/>
      </c>
      <c r="K16" s="686" t="inlineStr">
        <is>
          <t>Close electrical control panel assembly (None)</t>
        </is>
      </c>
      <c r="L16" s="3">
        <f>IF($M$2&gt;=J16,1,0)</f>
        <v/>
      </c>
      <c r="M16" s="236" t="n"/>
      <c r="O16" s="3">
        <f>O15+1</f>
        <v/>
      </c>
      <c r="P16" s="686" t="inlineStr">
        <is>
          <t>Unscrew bottom panel (Spanner)</t>
        </is>
      </c>
      <c r="Q16" s="3">
        <f>IF($R$2&gt;=O16,1,0)</f>
        <v/>
      </c>
      <c r="R16" s="236" t="n"/>
      <c r="T16" s="3">
        <f>T15+1</f>
        <v/>
      </c>
      <c r="U16" s="686" t="inlineStr">
        <is>
          <t>Remove the grommet on the drain hole cover. (Pliers)</t>
        </is>
      </c>
      <c r="V16" s="3">
        <f>IF($W$2&gt;=T16,1,0)</f>
        <v/>
      </c>
      <c r="W16" s="236" t="n"/>
      <c r="Y16" s="3">
        <f>Y15+1</f>
        <v/>
      </c>
      <c r="Z16" s="686" t="inlineStr">
        <is>
          <t>Remove the evaporator cover (9) from HVAC unit using suitable lifting device. (None)</t>
        </is>
      </c>
      <c r="AA16" s="3">
        <f>IF($AB$2&gt;=Y16,1,0)</f>
        <v/>
      </c>
      <c r="AB16" s="236" t="n"/>
      <c r="AD16" s="3">
        <f>AD15+1</f>
        <v/>
      </c>
      <c r="AE16" s="687" t="inlineStr">
        <is>
          <t>Replace condenser fan (None)</t>
        </is>
      </c>
      <c r="AF16" s="3">
        <f>IF($AG$2&gt;=AD16,1,0)</f>
        <v/>
      </c>
      <c r="AG16" s="236" t="n"/>
      <c r="AI16" s="3">
        <f>AI15+1</f>
        <v/>
      </c>
      <c r="AJ16" s="686" t="inlineStr">
        <is>
          <t>Close electrical control panel assembly (None)</t>
        </is>
      </c>
      <c r="AK16" s="3">
        <f>IF($AL$2&gt;=AI16,1,0)</f>
        <v/>
      </c>
      <c r="AL16" s="236" t="n"/>
      <c r="AN16" s="3">
        <f>AN15+1</f>
        <v/>
      </c>
      <c r="AO16" s="686" t="inlineStr">
        <is>
          <t>Remove the evaporator cover (9) from HVAC unit using suitable lifting device. (None)</t>
        </is>
      </c>
      <c r="AP16" s="3">
        <f>IF($AQ$2&gt;=AN16,1,0)</f>
        <v/>
      </c>
      <c r="AQ16" s="236" t="n"/>
      <c r="AS16" s="3">
        <f>AS15+1</f>
        <v/>
      </c>
      <c r="AT16" s="687" t="inlineStr">
        <is>
          <t>Replace the plugs (Visual Inspection)</t>
        </is>
      </c>
      <c r="AU16" s="688">
        <f>IF($AV$2&gt;=AS16,1,0)</f>
        <v/>
      </c>
      <c r="AV16" s="236" t="n"/>
      <c r="AX16" s="3">
        <f>AX15+1</f>
        <v/>
      </c>
      <c r="AY16" s="686" t="inlineStr">
        <is>
          <t>Replace with new SAT Sensor (None)</t>
        </is>
      </c>
      <c r="AZ16" s="3">
        <f>IF($BA$2&gt;=AX16,1,0)</f>
        <v/>
      </c>
      <c r="BA16" s="236" t="n"/>
      <c r="BC16" s="3">
        <f>BC15+1</f>
        <v/>
      </c>
      <c r="BD16" s="686" t="inlineStr">
        <is>
          <t>Tighten the fastener of RAT (Spanner)</t>
        </is>
      </c>
      <c r="BE16" s="3">
        <f>IF(BF$2&gt;=BC16,1,0)</f>
        <v/>
      </c>
      <c r="BF16" s="236" t="n"/>
      <c r="BH16" s="3">
        <f>BH15+1</f>
        <v/>
      </c>
      <c r="BI16" s="686" t="inlineStr">
        <is>
          <t>Close electrical control panel assembly (None)</t>
        </is>
      </c>
      <c r="BJ16" s="3">
        <f>IF($BK$2&gt;=BH16,1,0)</f>
        <v/>
      </c>
      <c r="BK16" s="236" t="n"/>
      <c r="BM16" s="3">
        <f>BM15+1</f>
        <v/>
      </c>
      <c r="BN16" s="686" t="inlineStr">
        <is>
          <t>Clean Smoke Detector (Bristle Brush)</t>
        </is>
      </c>
      <c r="BO16" s="3">
        <f>IF($BP$2&gt;=BM16,1,0)</f>
        <v/>
      </c>
      <c r="BP16" s="236" t="n"/>
      <c r="BR16" s="698">
        <f>BR15+1</f>
        <v/>
      </c>
      <c r="BS16" s="699" t="inlineStr">
        <is>
          <t>Compressor Cover Removal (None)</t>
        </is>
      </c>
      <c r="BT16" s="698">
        <f>IF($BU$2&gt;=BR16,1,0)</f>
        <v/>
      </c>
      <c r="BU16" s="685" t="n"/>
    </row>
    <row r="17" ht="37" customHeight="1">
      <c r="B17" s="666" t="inlineStr">
        <is>
          <t>RAT Sensor</t>
        </is>
      </c>
      <c r="C17" s="3" t="n"/>
      <c r="E17" s="3">
        <f>E16+1</f>
        <v/>
      </c>
      <c r="F17" s="686" t="inlineStr">
        <is>
          <t>Open supply air cover (Spanner)</t>
        </is>
      </c>
      <c r="G17" s="3">
        <f>IF($H$2&gt;=E17,1,0)</f>
        <v/>
      </c>
      <c r="H17" s="236" t="n"/>
      <c r="J17" s="3">
        <f>J16+1</f>
        <v/>
      </c>
      <c r="K17" s="686" t="inlineStr">
        <is>
          <t>Open supply air blower (Spanner)</t>
        </is>
      </c>
      <c r="L17" s="3">
        <f>IF($M$2&gt;=J17,1,0)</f>
        <v/>
      </c>
      <c r="M17" s="236" t="n"/>
      <c r="O17" s="3">
        <f>O16+1</f>
        <v/>
      </c>
      <c r="P17" s="686" t="inlineStr">
        <is>
          <t>Remove bottom panel (Insulated Gloves)</t>
        </is>
      </c>
      <c r="Q17" s="3">
        <f>IF($R$2&gt;=O17,1,0)</f>
        <v/>
      </c>
      <c r="R17" s="236" t="n"/>
      <c r="T17" s="3">
        <f>T16+1</f>
        <v/>
      </c>
      <c r="U17" s="686" t="inlineStr">
        <is>
          <t>Place the hose inside the hole and use high pressure to remove the debris from the drain hole. (None)</t>
        </is>
      </c>
      <c r="V17" s="3">
        <f>IF($W$2&gt;=T17,1,0)</f>
        <v/>
      </c>
      <c r="W17" s="236" t="n"/>
      <c r="Y17" s="3">
        <f>Y16+1</f>
        <v/>
      </c>
      <c r="Z17" s="686" t="inlineStr">
        <is>
          <t>Check temperature of solenoid valve using clamp thermometer (Clamp Thermometer)</t>
        </is>
      </c>
      <c r="AA17" s="3">
        <f>IF($AB$2&gt;=Y17,1,0)</f>
        <v/>
      </c>
      <c r="AB17" s="236" t="n"/>
      <c r="AD17" s="3">
        <f>AD16+1</f>
        <v/>
      </c>
      <c r="AE17" s="687" t="inlineStr">
        <is>
          <t>Remove the condenser coil cover (Lifting Device)</t>
        </is>
      </c>
      <c r="AF17" s="3">
        <f>IF($AG$2&gt;=AD17,1,0)</f>
        <v/>
      </c>
      <c r="AG17" s="236" t="n"/>
      <c r="AI17" s="3">
        <f>AI16+1</f>
        <v/>
      </c>
      <c r="AJ17" s="686" t="inlineStr">
        <is>
          <t>Unscrew bolt compressor unit cover (Spanner)</t>
        </is>
      </c>
      <c r="AK17" s="3">
        <f>IF($AL$2&gt;=AI17,1,0)</f>
        <v/>
      </c>
      <c r="AL17" s="236" t="n"/>
      <c r="AN17" s="3">
        <f>AN16+1</f>
        <v/>
      </c>
      <c r="AO17" s="686" t="inlineStr">
        <is>
          <t>Remove Heat bank screws (Spanner)</t>
        </is>
      </c>
      <c r="AP17" s="3">
        <f>IF($AQ$2&gt;=AN17,1,0)</f>
        <v/>
      </c>
      <c r="AQ17" s="236" t="n"/>
      <c r="AS17" s="3">
        <f>AS16+1</f>
        <v/>
      </c>
      <c r="AT17" s="687" t="inlineStr">
        <is>
          <t>Tighten loose connection of circuit breakers (Screwdriver)</t>
        </is>
      </c>
      <c r="AU17" s="688">
        <f>IF($AV$2&gt;=AS17,1,0)</f>
        <v/>
      </c>
      <c r="AV17" s="236" t="n"/>
      <c r="AX17" s="3">
        <f>AX16+1</f>
        <v/>
      </c>
      <c r="AY17" s="686" t="inlineStr">
        <is>
          <t>Secure with SAT Bolt (None)</t>
        </is>
      </c>
      <c r="AZ17" s="3">
        <f>IF($BA$2&gt;=AX17,1,0)</f>
        <v/>
      </c>
      <c r="BA17" s="236" t="n"/>
      <c r="BC17" s="3">
        <f>BC16+1</f>
        <v/>
      </c>
      <c r="BD17" s="686" t="inlineStr">
        <is>
          <t>Check working (Visual Inspection)</t>
        </is>
      </c>
      <c r="BE17" s="3">
        <f>IF(BF$2&gt;=BC17,1,0)</f>
        <v/>
      </c>
      <c r="BF17" s="236" t="n"/>
      <c r="BH17" s="3">
        <f>BH16+1</f>
        <v/>
      </c>
      <c r="BI17" s="686" t="inlineStr">
        <is>
          <t>DB9 Connection Clarification Pending (None)</t>
        </is>
      </c>
      <c r="BJ17" s="3">
        <f>IF($BK$2&gt;=BH17,1,0)</f>
        <v/>
      </c>
      <c r="BK17" s="236" t="n"/>
      <c r="BM17" s="3">
        <f>BM16+1</f>
        <v/>
      </c>
      <c r="BN17" s="686" t="inlineStr">
        <is>
          <t>Remove Smoke Detector Bolts (Spanner)</t>
        </is>
      </c>
      <c r="BO17" s="3">
        <f>IF($BP$2&gt;=BM17,1,0)</f>
        <v/>
      </c>
      <c r="BP17" s="236" t="n"/>
      <c r="BR17" s="698">
        <f>BR16+1</f>
        <v/>
      </c>
      <c r="BS17" s="699" t="inlineStr">
        <is>
          <t>Check hp lp pressure using manifold gauge set (None)</t>
        </is>
      </c>
      <c r="BT17" s="698">
        <f>IF($BU$2&gt;=BR17,1,0)</f>
        <v/>
      </c>
      <c r="BU17" s="685" t="n"/>
    </row>
    <row r="18" ht="54.65" customHeight="1">
      <c r="B18" s="666" t="inlineStr">
        <is>
          <t>Evaporator Coil</t>
        </is>
      </c>
      <c r="C18" s="3" t="n"/>
      <c r="E18" s="3">
        <f>E17+1</f>
        <v/>
      </c>
      <c r="F18" s="686" t="inlineStr">
        <is>
          <t>Clean the supply air cover (1) with compressed air. (Compressed Air Gun)</t>
        </is>
      </c>
      <c r="G18" s="3">
        <f>IF($H$2&gt;=E18,1,0)</f>
        <v/>
      </c>
      <c r="H18" s="236" t="n"/>
      <c r="J18" s="3">
        <f>J17+1</f>
        <v/>
      </c>
      <c r="K18" s="686" t="inlineStr">
        <is>
          <t>Clean the supply air blower (1) with compressed air. (Compressed Air Gun)</t>
        </is>
      </c>
      <c r="L18" s="3">
        <f>IF($M$2&gt;=J18,1,0)</f>
        <v/>
      </c>
      <c r="M18" s="236" t="n"/>
      <c r="O18" s="3">
        <f>O17+1</f>
        <v/>
      </c>
      <c r="P18" s="686" t="inlineStr">
        <is>
          <t>Unscrew return air damper (Spanner)</t>
        </is>
      </c>
      <c r="Q18" s="3">
        <f>IF($R$2&gt;=O18,1,0)</f>
        <v/>
      </c>
      <c r="R18" s="236" t="n"/>
      <c r="T18" s="3">
        <f>T17+1</f>
        <v/>
      </c>
      <c r="U18" s="686" t="inlineStr">
        <is>
          <t>Ensure that draining is done completely through the drain tube (3). (Compressed Air Gun)</t>
        </is>
      </c>
      <c r="V18" s="3">
        <f>IF($W$2&gt;=T18,1,0)</f>
        <v/>
      </c>
      <c r="W18" s="236" t="n"/>
      <c r="Y18" s="3">
        <f>Y17+1</f>
        <v/>
      </c>
      <c r="Z18" s="686" t="inlineStr">
        <is>
          <t>Unscrew solenoid valve using spanner (Spanner)</t>
        </is>
      </c>
      <c r="AA18" s="3">
        <f>IF($AB$2&gt;=Y18,1,0)</f>
        <v/>
      </c>
      <c r="AB18" s="236" t="n"/>
      <c r="AD18" s="3">
        <f>AD17+1</f>
        <v/>
      </c>
      <c r="AE18" s="687" t="inlineStr">
        <is>
          <t>Clean condenser coil (Bristle Brush)</t>
        </is>
      </c>
      <c r="AF18" s="3">
        <f>IF($AG$2&gt;=AD18,1,0)</f>
        <v/>
      </c>
      <c r="AG18" s="236" t="n"/>
      <c r="AI18" s="3">
        <f>AI17+1</f>
        <v/>
      </c>
      <c r="AJ18" s="686" t="inlineStr">
        <is>
          <t>Compressor Cover Removal (None)</t>
        </is>
      </c>
      <c r="AK18" s="3">
        <f>IF($AL$2&gt;=AI18,1,0)</f>
        <v/>
      </c>
      <c r="AL18" s="236" t="n"/>
      <c r="AN18" s="3">
        <f>AN17+1</f>
        <v/>
      </c>
      <c r="AO18" s="686" t="inlineStr">
        <is>
          <t>Remove Heat bank assembly (Insulated Gloves)</t>
        </is>
      </c>
      <c r="AP18" s="3">
        <f>IF($AQ$2&gt;=AN18,1,0)</f>
        <v/>
      </c>
      <c r="AQ18" s="236" t="n"/>
      <c r="AS18" s="3">
        <f>AS17+1</f>
        <v/>
      </c>
      <c r="AT18" s="687" t="inlineStr">
        <is>
          <t>Circuit Breaker Cleaning (Bristle Brush)</t>
        </is>
      </c>
      <c r="AU18" s="688">
        <f>IF($AV$2&gt;=AS18,1,0)</f>
        <v/>
      </c>
      <c r="AV18" s="236" t="n"/>
      <c r="AX18" s="3">
        <f>AX17+1</f>
        <v/>
      </c>
      <c r="AY18" s="686" t="inlineStr">
        <is>
          <t>Unbolt the return air temperature sensor (Spanner)</t>
        </is>
      </c>
      <c r="AZ18" s="3">
        <f>IF($BA$2&gt;=AX18,1,0)</f>
        <v/>
      </c>
      <c r="BA18" s="236" t="n"/>
      <c r="BH18" s="3">
        <f>BH17+1</f>
        <v/>
      </c>
      <c r="BI18" s="686" t="inlineStr">
        <is>
          <t>Remove Converter Bolts (Spanner)</t>
        </is>
      </c>
      <c r="BJ18" s="3">
        <f>IF($BK$2&gt;=BH18,1,0)</f>
        <v/>
      </c>
      <c r="BK18" s="236" t="n"/>
      <c r="BM18" s="3">
        <f>BM17+1</f>
        <v/>
      </c>
      <c r="BN18" s="686" t="inlineStr">
        <is>
          <t>Remove Smoke Detector unit (Visual Inspection)</t>
        </is>
      </c>
      <c r="BO18" s="3">
        <f>IF($BP$2&gt;=BM18,1,0)</f>
        <v/>
      </c>
      <c r="BP18" s="236" t="n"/>
      <c r="BR18" s="698">
        <f>BR17+1</f>
        <v/>
      </c>
      <c r="BS18" s="699" t="inlineStr">
        <is>
          <t>Unscrew compressor bolt (Spanner)</t>
        </is>
      </c>
      <c r="BT18" s="698">
        <f>IF($BU$2&gt;=BR18,1,0)</f>
        <v/>
      </c>
      <c r="BU18" s="685" t="n"/>
    </row>
    <row r="19" ht="35.5" customHeight="1">
      <c r="B19" s="666" t="inlineStr">
        <is>
          <t>Condensor Coil</t>
        </is>
      </c>
      <c r="C19" s="3" t="n"/>
      <c r="E19" s="3">
        <f>E18+1</f>
        <v/>
      </c>
      <c r="F19" s="686" t="inlineStr">
        <is>
          <t>Rotate supply air cover (1) motor with hand and ensure that only a light force is required to rotate it. (Insulated Hand Gloves)</t>
        </is>
      </c>
      <c r="G19" s="3">
        <f>IF($H$2&gt;=E19,1,0)</f>
        <v/>
      </c>
      <c r="H19" s="236" t="n"/>
      <c r="J19" s="3">
        <f>J18+1</f>
        <v/>
      </c>
      <c r="K19" s="686" t="inlineStr">
        <is>
          <t>Rotate supply air blower (1) motor with hand and ensure that only a light force is required to rotate it. (Insulated Hand Gloves)</t>
        </is>
      </c>
      <c r="L19" s="3">
        <f>IF($M$2&gt;=J19,1,0)</f>
        <v/>
      </c>
      <c r="M19" s="236" t="n"/>
      <c r="O19" s="3">
        <f>O18+1</f>
        <v/>
      </c>
      <c r="P19" s="686" t="inlineStr">
        <is>
          <t>Remove return air damper (Insulated Gloves)</t>
        </is>
      </c>
      <c r="Q19" s="3">
        <f>IF($R$2&gt;=O19,1,0)</f>
        <v/>
      </c>
      <c r="R19" s="236" t="n"/>
      <c r="T19" s="3">
        <f>T18+1</f>
        <v/>
      </c>
      <c r="U19" s="686" t="inlineStr">
        <is>
          <t>Check for leaks in TX Valve (Electronic Leak Detector)</t>
        </is>
      </c>
      <c r="V19" s="3">
        <f>IF($W$2&gt;=T19,1,0)</f>
        <v/>
      </c>
      <c r="W19" s="236" t="n"/>
      <c r="Y19" s="3">
        <f>Y18+1</f>
        <v/>
      </c>
      <c r="Z19" s="686" t="inlineStr">
        <is>
          <t>Remove solenoid valve (Visual Inspection)</t>
        </is>
      </c>
      <c r="AA19" s="3">
        <f>IF($AB$2&gt;=Y19,1,0)</f>
        <v/>
      </c>
      <c r="AB19" s="236" t="n"/>
      <c r="AD19" s="3">
        <f>AD18+1</f>
        <v/>
      </c>
      <c r="AE19" s="687" t="inlineStr">
        <is>
          <t>Straighten any bent fins with a fin comb (Fin Comb)</t>
        </is>
      </c>
      <c r="AF19" s="3">
        <f>IF($AG$2&gt;=AD19,1,0)</f>
        <v/>
      </c>
      <c r="AG19" s="236" t="n"/>
      <c r="AI19" s="3">
        <f>AI18+1</f>
        <v/>
      </c>
      <c r="AJ19" s="686" t="inlineStr">
        <is>
          <t>Clean the dust on the component with a soft bristle brush (with the metal part insulated) (Bristle Brush)</t>
        </is>
      </c>
      <c r="AK19" s="3">
        <f>IF($AL$2&gt;=AI19,1,0)</f>
        <v/>
      </c>
      <c r="AL19" s="236" t="n"/>
      <c r="AN19" s="3">
        <f>AN18+1</f>
        <v/>
      </c>
      <c r="AO19" s="686" t="inlineStr">
        <is>
          <t>Replace Heat bank assembly (None)</t>
        </is>
      </c>
      <c r="AP19" s="3">
        <f>IF($AQ$2&gt;=AN19,1,0)</f>
        <v/>
      </c>
      <c r="AQ19" s="236" t="n"/>
      <c r="AS19" s="3">
        <f>AS18+1</f>
        <v/>
      </c>
      <c r="AT19" s="687" t="inlineStr">
        <is>
          <t>Close electrical control panel assembly (None)</t>
        </is>
      </c>
      <c r="AU19" s="688">
        <f>IF($AV$2&gt;=AS19,1,0)</f>
        <v/>
      </c>
      <c r="AV19" s="236" t="n"/>
      <c r="AX19" s="3">
        <f>AX18+1</f>
        <v/>
      </c>
      <c r="AY19" s="686" t="inlineStr">
        <is>
          <t>Remove the return air temperature sensor (None)</t>
        </is>
      </c>
      <c r="AZ19" s="3">
        <f>IF($BA$2&gt;=AX19,1,0)</f>
        <v/>
      </c>
      <c r="BA19" s="236" t="n"/>
      <c r="BH19" s="3">
        <f>BH18+1</f>
        <v/>
      </c>
      <c r="BI19" s="686" t="inlineStr">
        <is>
          <t>Converter Removal (Lifting Device)</t>
        </is>
      </c>
      <c r="BJ19" s="3">
        <f>IF($BK$2&gt;=BH19,1,0)</f>
        <v/>
      </c>
      <c r="BK19" s="236" t="n"/>
      <c r="BM19" s="3">
        <f>BM18+1</f>
        <v/>
      </c>
      <c r="BN19" s="686" t="inlineStr">
        <is>
          <t>Replace Smoke Detector unit (Visual Inspection)</t>
        </is>
      </c>
      <c r="BO19" s="3">
        <f>IF($BP$2&gt;=BM19,1,0)</f>
        <v/>
      </c>
      <c r="BP19" s="236" t="n"/>
      <c r="BR19" s="698">
        <f>BR18+1</f>
        <v/>
      </c>
      <c r="BS19" s="699" t="inlineStr">
        <is>
          <t>Remove the compressor (Insulated Gloves)</t>
        </is>
      </c>
      <c r="BT19" s="698">
        <f>IF($BU$2&gt;=BR19,1,0)</f>
        <v/>
      </c>
      <c r="BU19" s="685" t="n"/>
    </row>
    <row r="20" ht="37.5" customHeight="1">
      <c r="B20" s="666" t="inlineStr">
        <is>
          <t>Solenoid Valve</t>
        </is>
      </c>
      <c r="C20" s="3" t="n"/>
      <c r="E20" s="3">
        <f>E19+1</f>
        <v/>
      </c>
      <c r="F20" s="686" t="inlineStr">
        <is>
          <t>Remove supply air blower (Screwdriver)</t>
        </is>
      </c>
      <c r="G20" s="3">
        <f>IF($H$2&gt;=E20,1,0)</f>
        <v/>
      </c>
      <c r="H20" s="236" t="n"/>
      <c r="J20" s="3">
        <f>J19+1</f>
        <v/>
      </c>
      <c r="K20" s="686" t="inlineStr">
        <is>
          <t>Remove supply air blower (Screwdriver)</t>
        </is>
      </c>
      <c r="L20" s="3">
        <f>IF($M$2&gt;=J20,1,0)</f>
        <v/>
      </c>
      <c r="M20" s="236" t="n"/>
      <c r="O20" s="3">
        <f>O19+1</f>
        <v/>
      </c>
      <c r="P20" s="686" t="inlineStr">
        <is>
          <t>Check moisture indicator on the sight glass (1) to find any excessive moisture in the system. (Electronic Leak Detector)</t>
        </is>
      </c>
      <c r="Q20" s="3">
        <f>IF($R$2&gt;=O20,1,0)</f>
        <v/>
      </c>
      <c r="R20" s="236" t="n"/>
      <c r="T20" s="3">
        <f>T19+1</f>
        <v/>
      </c>
      <c r="U20" s="686" t="inlineStr">
        <is>
          <t>Fix TX valve with spanner (Spanner)</t>
        </is>
      </c>
      <c r="V20" s="3">
        <f>IF($W$2&gt;=T20,1,0)</f>
        <v/>
      </c>
      <c r="W20" s="236" t="n"/>
      <c r="Y20" s="3">
        <f>Y19+1</f>
        <v/>
      </c>
      <c r="Z20" s="686" t="inlineStr">
        <is>
          <t>Replace solenoid valve (Visual Inspection)</t>
        </is>
      </c>
      <c r="AA20" s="3">
        <f>IF($AB$2&gt;=Y20,1,0)</f>
        <v/>
      </c>
      <c r="AB20" s="236" t="n"/>
      <c r="AD20" s="3">
        <f>AD19+1</f>
        <v/>
      </c>
      <c r="AE20" s="687" t="inlineStr">
        <is>
          <t>Clean the coil with compressed air (Compressed Air)</t>
        </is>
      </c>
      <c r="AF20" s="3">
        <f>IF($AG$2&gt;=AD20,1,0)</f>
        <v/>
      </c>
      <c r="AG20" s="236" t="n"/>
      <c r="AI20" s="3">
        <f>AI19+1</f>
        <v/>
      </c>
      <c r="AJ20" s="686" t="inlineStr">
        <is>
          <t>Ensure compressor is not over heated (Clamp Thermometer)</t>
        </is>
      </c>
      <c r="AK20" s="3">
        <f>IF($AL$2&gt;=AI20,1,0)</f>
        <v/>
      </c>
      <c r="AL20" s="236" t="n"/>
      <c r="AN20" s="3">
        <f>AN19+1</f>
        <v/>
      </c>
      <c r="AO20" s="686" t="inlineStr">
        <is>
          <t>Use a fin comb to straighten any bent fins. (Fin Comb)</t>
        </is>
      </c>
      <c r="AP20" s="3">
        <f>IF($AQ$2&gt;=AN20,1,0)</f>
        <v/>
      </c>
      <c r="AQ20" s="236" t="n"/>
      <c r="AS20" s="3">
        <f>AS19+1</f>
        <v/>
      </c>
      <c r="AT20" s="686" t="inlineStr">
        <is>
          <t>Check Heat Bank (Clamp Thermometer)</t>
        </is>
      </c>
      <c r="AU20" s="3">
        <f>IF($AV$2&gt;=AS20,1,0)</f>
        <v/>
      </c>
      <c r="AV20" s="236" t="n"/>
      <c r="AX20" s="3">
        <f>AX19+1</f>
        <v/>
      </c>
      <c r="AY20" s="686" t="inlineStr">
        <is>
          <t>Replace the return air temperature sensor (None)</t>
        </is>
      </c>
      <c r="AZ20" s="3">
        <f>IF($BA$2&gt;=AX20,1,0)</f>
        <v/>
      </c>
      <c r="BA20" s="236" t="n"/>
      <c r="BC20" s="657" t="inlineStr">
        <is>
          <t>Sr. No.</t>
        </is>
      </c>
      <c r="BD20" s="657" t="inlineStr">
        <is>
          <t>Components Affected</t>
        </is>
      </c>
      <c r="BE20" s="657" t="n"/>
      <c r="BF20" s="657" t="n"/>
      <c r="BH20" s="3">
        <f>BH19+1</f>
        <v/>
      </c>
      <c r="BI20" s="686" t="inlineStr">
        <is>
          <t>Check for short circuit using multimeter (Visual Inspection)</t>
        </is>
      </c>
      <c r="BJ20" s="3">
        <f>IF($BK$2&gt;=BH20,1,0)</f>
        <v/>
      </c>
      <c r="BK20" s="236" t="n"/>
      <c r="BM20" s="3">
        <f>BM19+1</f>
        <v/>
      </c>
      <c r="BN20" s="686" t="inlineStr">
        <is>
          <t>Secure Smoke Detector Bolts (None)</t>
        </is>
      </c>
      <c r="BO20" s="3">
        <f>IF($BP$2&gt;=BM20,1,0)</f>
        <v/>
      </c>
      <c r="BP20" s="236" t="n"/>
      <c r="BR20" s="698">
        <f>BR19+1</f>
        <v/>
      </c>
      <c r="BS20" s="699" t="inlineStr">
        <is>
          <t>Replace the compressor (None)</t>
        </is>
      </c>
      <c r="BT20" s="698">
        <f>IF($BU$2&gt;=BR20,1,0)</f>
        <v/>
      </c>
      <c r="BU20" s="685" t="n"/>
    </row>
    <row r="21" ht="54.65" customHeight="1">
      <c r="B21" s="666" t="inlineStr">
        <is>
          <t>Heater</t>
        </is>
      </c>
      <c r="C21" s="3" t="n"/>
      <c r="E21" s="3">
        <f>E20+1</f>
        <v/>
      </c>
      <c r="F21" s="686" t="inlineStr">
        <is>
          <t>Replace supply air blower (Visual Inspection)</t>
        </is>
      </c>
      <c r="G21" s="3">
        <f>IF($H$2&gt;=E21,1,0)</f>
        <v/>
      </c>
      <c r="H21" s="236" t="n"/>
      <c r="J21" s="3">
        <f>J20+1</f>
        <v/>
      </c>
      <c r="K21" s="686" t="inlineStr">
        <is>
          <t>Replace supply air blower (Visual Inspection)</t>
        </is>
      </c>
      <c r="L21" s="3">
        <f>IF($M$2&gt;=J21,1,0)</f>
        <v/>
      </c>
      <c r="M21" s="236" t="n"/>
      <c r="O21" s="3">
        <f>O20+1</f>
        <v/>
      </c>
      <c r="P21" s="686" t="inlineStr">
        <is>
          <t>Locate the leak (Spanner)</t>
        </is>
      </c>
      <c r="Q21" s="3">
        <f>IF($R$2&gt;=O21,1,0)</f>
        <v/>
      </c>
      <c r="R21" s="236" t="n"/>
      <c r="T21" s="3">
        <f>T20+1</f>
        <v/>
      </c>
      <c r="U21" s="686" t="inlineStr">
        <is>
          <t>Remove TX valve if necessary (Visual Inspection)</t>
        </is>
      </c>
      <c r="V21" s="3">
        <f>IF($W$2&gt;=T21,1,0)</f>
        <v/>
      </c>
      <c r="W21" s="236" t="n"/>
      <c r="Y21" s="3">
        <f>Y20+1</f>
        <v/>
      </c>
      <c r="Z21" s="686" t="inlineStr">
        <is>
          <t>Screw solenoid valve using spanner (Visual Inspection)</t>
        </is>
      </c>
      <c r="AA21" s="3">
        <f>IF($AB$2&gt;=Y21,1,0)</f>
        <v/>
      </c>
      <c r="AB21" s="236" t="n"/>
      <c r="AD21" s="3">
        <f>AD20+1</f>
        <v/>
      </c>
      <c r="AE21" s="687" t="inlineStr">
        <is>
          <t>Loosen and remove 24 nos M8X20 bolts (8) along with washer set (7) to open evaporator cover (9). (Spanner)</t>
        </is>
      </c>
      <c r="AF21" s="3">
        <f>IF($AG$2&gt;=AD21,1,0)</f>
        <v/>
      </c>
      <c r="AG21" s="236" t="n"/>
      <c r="AI21" s="3">
        <f>AI20+1</f>
        <v/>
      </c>
      <c r="AJ21" s="686" t="inlineStr">
        <is>
          <t>Unscrew Fan bolt (Spanner)</t>
        </is>
      </c>
      <c r="AK21" s="3">
        <f>IF($AL$2&gt;=AI21,1,0)</f>
        <v/>
      </c>
      <c r="AL21" s="236" t="n"/>
      <c r="AN21" s="3">
        <f>AN20+1</f>
        <v/>
      </c>
      <c r="AO21" s="686" t="inlineStr">
        <is>
          <t>Wash the evaporator coil (1) with warm to hot water and a small quantity of detergent. The hot water softens the bristles helps the grease to dissolve and removes the chlorides. (Bristle Brush)</t>
        </is>
      </c>
      <c r="AP21" s="3">
        <f>IF($AQ$2&gt;=AN21,1,0)</f>
        <v/>
      </c>
      <c r="AQ21" s="236" t="n"/>
      <c r="AS21" s="3">
        <f>AS20+1</f>
        <v/>
      </c>
      <c r="AT21" s="686" t="inlineStr">
        <is>
          <t>Heat bank damaged (None)</t>
        </is>
      </c>
      <c r="AU21" s="3">
        <f>IF($AV$2&gt;=AS21,1,0)</f>
        <v/>
      </c>
      <c r="AV21" s="236" t="n"/>
      <c r="AX21" s="3">
        <f>AX20+1</f>
        <v/>
      </c>
      <c r="AY21" s="686" t="inlineStr">
        <is>
          <t>Secure the RAT sensor bolt (None)</t>
        </is>
      </c>
      <c r="AZ21" s="3">
        <f>IF($BA$2&gt;=AX21,1,0)</f>
        <v/>
      </c>
      <c r="BA21" s="236" t="n"/>
      <c r="BC21" s="3" t="n">
        <v>1</v>
      </c>
      <c r="BD21" s="666" t="inlineStr">
        <is>
          <t>RAT Sensor</t>
        </is>
      </c>
      <c r="BE21" s="3">
        <f>IF(BE11=1,0,1)</f>
        <v/>
      </c>
      <c r="BF21" s="3" t="inlineStr">
        <is>
          <t>Open: 1, Close: 0</t>
        </is>
      </c>
      <c r="BH21" s="3">
        <f>BH20+1</f>
        <v/>
      </c>
      <c r="BI21" s="686" t="inlineStr">
        <is>
          <t>Put converter back to it place (Visual Inspection)</t>
        </is>
      </c>
      <c r="BJ21" s="3">
        <f>IF($BK$2&gt;=BH21,1,0)</f>
        <v/>
      </c>
      <c r="BK21" s="236" t="n"/>
      <c r="BM21" s="3">
        <f>BM20+1</f>
        <v/>
      </c>
      <c r="BN21" s="686" t="inlineStr">
        <is>
          <t>Check working (Visual Inspection)</t>
        </is>
      </c>
      <c r="BO21" s="3">
        <f>IF($BP$2&gt;=BM21,1,0)</f>
        <v/>
      </c>
      <c r="BP21" s="236" t="n"/>
      <c r="BR21" s="698">
        <f>BR20+1</f>
        <v/>
      </c>
      <c r="BS21" s="699" t="inlineStr">
        <is>
          <t>Compressor Cover close (None)</t>
        </is>
      </c>
      <c r="BT21" s="698">
        <f>IF($BU$2&gt;=BR21,1,0)</f>
        <v/>
      </c>
      <c r="BU21" s="685" t="n"/>
    </row>
    <row r="22" ht="35.15" customFormat="1" customHeight="1" s="734">
      <c r="B22" s="666" t="inlineStr">
        <is>
          <t>Electrical Connections</t>
        </is>
      </c>
      <c r="C22" s="657" t="n"/>
      <c r="E22" s="3">
        <f>E21+1</f>
        <v/>
      </c>
      <c r="F22" s="686" t="inlineStr">
        <is>
          <t>Check working (Visual Inspection)</t>
        </is>
      </c>
      <c r="G22" s="3">
        <f>IF($H$2&gt;=E22,1,0)</f>
        <v/>
      </c>
      <c r="H22" s="236" t="n"/>
      <c r="J22" s="3">
        <f>J21+1</f>
        <v/>
      </c>
      <c r="K22" s="686" t="inlineStr">
        <is>
          <t>Close air supply blower (Visual Inspection)</t>
        </is>
      </c>
      <c r="L22" s="3">
        <f>IF($M$2&gt;=J22,1,0)</f>
        <v/>
      </c>
      <c r="M22" s="236" t="n"/>
      <c r="O22" s="3">
        <f>O21+1</f>
        <v/>
      </c>
      <c r="P22" s="686" t="inlineStr">
        <is>
          <t>Repair the leak (None)</t>
        </is>
      </c>
      <c r="Q22" s="3">
        <f>IF($R$2&gt;=O22,1,0)</f>
        <v/>
      </c>
      <c r="R22" s="236" t="n"/>
      <c r="T22" s="3">
        <f>T21+1</f>
        <v/>
      </c>
      <c r="U22" s="686" t="inlineStr">
        <is>
          <t>Replace TX valve if necessary (Visual Inspection)</t>
        </is>
      </c>
      <c r="V22" s="3">
        <f>IF($W$2&gt;=T22,1,0)</f>
        <v/>
      </c>
      <c r="W22" s="236" t="n"/>
      <c r="Y22" s="3">
        <f>Y21+1</f>
        <v/>
      </c>
      <c r="Z22" s="686" t="inlineStr">
        <is>
          <t>Check HVAC working (Visual Inspection)</t>
        </is>
      </c>
      <c r="AA22" s="3">
        <f>IF($AB$2&gt;=Y22,1,0)</f>
        <v/>
      </c>
      <c r="AB22" s="236" t="n"/>
      <c r="AD22" s="3">
        <f>AD21+1</f>
        <v/>
      </c>
      <c r="AE22" s="687" t="inlineStr">
        <is>
          <t>Remove hinge pins to remove the evaporator cover (9) from HVAC unit. (Pliers)</t>
        </is>
      </c>
      <c r="AF22" s="3">
        <f>IF($AG$2&gt;=AD22,1,0)</f>
        <v/>
      </c>
      <c r="AG22" s="236" t="n"/>
      <c r="AI22" s="3">
        <f>AI21+1</f>
        <v/>
      </c>
      <c r="AJ22" s="686" t="inlineStr">
        <is>
          <t>Open fan cover (Insulated Gloves)</t>
        </is>
      </c>
      <c r="AK22" s="3">
        <f>IF($AL$2&gt;=AI22,1,0)</f>
        <v/>
      </c>
      <c r="AL22" s="236" t="n"/>
      <c r="AN22" s="3">
        <f>AN21+1</f>
        <v/>
      </c>
      <c r="AO22" s="686" t="inlineStr">
        <is>
          <t>Clean the drain tray (2) with wet cloth (Wet Cloth)</t>
        </is>
      </c>
      <c r="AP22" s="3">
        <f>IF($AQ$2&gt;=AN22,1,0)</f>
        <v/>
      </c>
      <c r="AQ22" s="236" t="n"/>
      <c r="AS22" s="3">
        <f>AS21+1</f>
        <v/>
      </c>
      <c r="AT22" s="686" t="inlineStr">
        <is>
          <t>Remove Heat bank screws (Spanner)</t>
        </is>
      </c>
      <c r="AU22" s="3">
        <f>IF($AV$2&gt;=AS22,1,0)</f>
        <v/>
      </c>
      <c r="AV22" s="236" t="n"/>
      <c r="AX22" s="3">
        <f>AX21+1</f>
        <v/>
      </c>
      <c r="AY22" s="686" t="inlineStr">
        <is>
          <t>Tighten the fastener of RAT (Spanner)</t>
        </is>
      </c>
      <c r="AZ22" s="3">
        <f>IF($BA$2&gt;=AX22,1,0)</f>
        <v/>
      </c>
      <c r="BA22" s="236" t="n"/>
      <c r="BC22" s="3" t="n">
        <v>2</v>
      </c>
      <c r="BD22" s="666" t="inlineStr">
        <is>
          <t>HOT 1 Switch</t>
        </is>
      </c>
      <c r="BE22" s="3" t="n"/>
      <c r="BF22" s="3" t="n"/>
      <c r="BH22" s="3">
        <f>BH21+1</f>
        <v/>
      </c>
      <c r="BI22" s="686" t="inlineStr">
        <is>
          <t>Secure converter with bolts (Visual Inspection)</t>
        </is>
      </c>
      <c r="BJ22" s="3">
        <f>IF($BK$2&gt;=BH22,1,0)</f>
        <v/>
      </c>
      <c r="BK22" s="236" t="n"/>
      <c r="BM22" s="310" t="n"/>
      <c r="BN22" s="310" t="n"/>
      <c r="BO22" s="310" t="n"/>
      <c r="BP22" s="310" t="n"/>
      <c r="BR22" s="698">
        <f>BR21+1</f>
        <v/>
      </c>
      <c r="BS22" s="699" t="inlineStr">
        <is>
          <t>Screw bolt compressor unit cover (None)</t>
        </is>
      </c>
      <c r="BT22" s="698">
        <f>IF($BU$2&gt;=BR22,1,0)</f>
        <v/>
      </c>
      <c r="BU22" s="685" t="n"/>
    </row>
    <row r="23" ht="34" customHeight="1" thickBot="1">
      <c r="A23" s="310" t="n"/>
      <c r="B23" s="666" t="inlineStr">
        <is>
          <t>Temperature Sensor</t>
        </is>
      </c>
      <c r="C23" s="3" t="n"/>
      <c r="E23" s="733" t="n"/>
      <c r="J23" s="3">
        <f>J22+1</f>
        <v/>
      </c>
      <c r="K23" s="686" t="inlineStr">
        <is>
          <t>Unscrew fresh air filter bolt (Screwdriver)</t>
        </is>
      </c>
      <c r="L23" s="3">
        <f>IF($M$2&gt;=J23,1,0)</f>
        <v/>
      </c>
      <c r="M23" s="236" t="n"/>
      <c r="O23" s="3">
        <f>O22+1</f>
        <v/>
      </c>
      <c r="P23" s="686" t="inlineStr">
        <is>
          <t>Check working (Visual Inspection)</t>
        </is>
      </c>
      <c r="Q23" s="3">
        <f>IF($R$2&gt;=O23,1,0)</f>
        <v/>
      </c>
      <c r="R23" s="236" t="n"/>
      <c r="T23" s="3">
        <f>T22+1</f>
        <v/>
      </c>
      <c r="U23" s="686" t="inlineStr">
        <is>
          <t>Check working (Visual Inspection)</t>
        </is>
      </c>
      <c r="V23" s="3">
        <f>IF($W$2&gt;=T23,1,0)</f>
        <v/>
      </c>
      <c r="W23" s="236" t="n"/>
      <c r="AD23" s="3">
        <f>AD22+1</f>
        <v/>
      </c>
      <c r="AE23" s="687" t="inlineStr">
        <is>
          <t>Remove the evaporator cover (9) from HVAC unit using suitable lifting device. (None)</t>
        </is>
      </c>
      <c r="AF23" s="3">
        <f>IF($AG$2&gt;=AD23,1,0)</f>
        <v/>
      </c>
      <c r="AG23" s="236" t="n"/>
      <c r="AI23" s="3">
        <f>AI22+1</f>
        <v/>
      </c>
      <c r="AJ23" s="686" t="inlineStr">
        <is>
          <t>Unscrews Fan Motor Bolt (Spanner)</t>
        </is>
      </c>
      <c r="AK23" s="3">
        <f>IF($AL$2&gt;=AI23,1,0)</f>
        <v/>
      </c>
      <c r="AL23" s="236" t="n"/>
      <c r="AN23" s="3">
        <f>AN22+1</f>
        <v/>
      </c>
      <c r="AO23" s="686" t="inlineStr">
        <is>
          <t>Ensure that there is no condensate or debris left over on the drain tray (2). (Vacuum Cleaner)</t>
        </is>
      </c>
      <c r="AP23" s="3">
        <f>IF($AQ$2&gt;=AN23,1,0)</f>
        <v/>
      </c>
      <c r="AQ23" s="236" t="n"/>
      <c r="AS23" s="3">
        <f>AS22+1</f>
        <v/>
      </c>
      <c r="AT23" s="686" t="inlineStr">
        <is>
          <t>Remove Heat bank assembly (Insulated Gloves)</t>
        </is>
      </c>
      <c r="AU23" s="3">
        <f>IF($AV$2&gt;=AS23,1,0)</f>
        <v/>
      </c>
      <c r="AV23" s="236" t="n"/>
      <c r="AX23" s="3">
        <f>AX22+1</f>
        <v/>
      </c>
      <c r="AY23" s="686" t="inlineStr">
        <is>
          <t>Check working (Visual Inspection)</t>
        </is>
      </c>
      <c r="AZ23" s="3">
        <f>IF($BA$2&gt;=AX23,1,0)</f>
        <v/>
      </c>
      <c r="BA23" s="236" t="n"/>
      <c r="BH23" s="3">
        <f>BH22+1</f>
        <v/>
      </c>
      <c r="BI23" s="686" t="inlineStr">
        <is>
          <t>Check working (Visual Inspection)</t>
        </is>
      </c>
      <c r="BJ23" s="3">
        <f>IF($BK$2&gt;=BH23,1,0)</f>
        <v/>
      </c>
      <c r="BK23" s="236" t="n"/>
      <c r="BR23" s="698">
        <f>BR22+1</f>
        <v/>
      </c>
      <c r="BS23" s="699" t="inlineStr">
        <is>
          <t>Loosen and remove 24 nos M8X20 bolts (8) along with washer set (7) to open evaporator cover (9). (Spanner)</t>
        </is>
      </c>
      <c r="BT23" s="698">
        <f>IF($BU$2&gt;=BR23,1,0)</f>
        <v/>
      </c>
      <c r="BU23" s="685" t="n"/>
    </row>
    <row r="24" ht="25" customHeight="1">
      <c r="A24" s="310" t="n"/>
      <c r="B24" s="666" t="inlineStr">
        <is>
          <t>RAT Sensor</t>
        </is>
      </c>
      <c r="C24" s="3" t="n"/>
      <c r="E24" s="733" t="n"/>
      <c r="J24" s="3">
        <f>J23+1</f>
        <v/>
      </c>
      <c r="K24" s="686" t="inlineStr">
        <is>
          <t>Replace fresh air filter (Visual Inspection)</t>
        </is>
      </c>
      <c r="L24" s="3">
        <f>IF($M$2&gt;=J24,1,0)</f>
        <v/>
      </c>
      <c r="M24" s="236" t="n"/>
      <c r="AD24" s="3">
        <f>AD23+1</f>
        <v/>
      </c>
      <c r="AE24" s="687" t="inlineStr">
        <is>
          <t>Open supply air blower (Spanner)</t>
        </is>
      </c>
      <c r="AF24" s="3">
        <f>IF($AG$2&gt;=AD24,1,0)</f>
        <v/>
      </c>
      <c r="AG24" s="236" t="n"/>
      <c r="AI24" s="3">
        <f>AI23+1</f>
        <v/>
      </c>
      <c r="AJ24" s="686" t="inlineStr">
        <is>
          <t>Remove Fan Motor (Insulated Gloves)</t>
        </is>
      </c>
      <c r="AK24" s="3">
        <f>IF($AL$2&gt;=AI24,1,0)</f>
        <v/>
      </c>
      <c r="AL24" s="236" t="n"/>
      <c r="AN24" s="3">
        <f>AN23+1</f>
        <v/>
      </c>
      <c r="AO24" s="686" t="inlineStr">
        <is>
          <t>Remove the grommet on the drain hole cover. (Pliers)</t>
        </is>
      </c>
      <c r="AP24" s="3">
        <f>IF($AQ$2&gt;=AN24,1,0)</f>
        <v/>
      </c>
      <c r="AQ24" s="236" t="n"/>
      <c r="AS24" s="3">
        <f>AS23+1</f>
        <v/>
      </c>
      <c r="AT24" s="686" t="inlineStr">
        <is>
          <t>Replace Heat bank assembly (None)</t>
        </is>
      </c>
      <c r="AU24" s="3">
        <f>IF($AV$2&gt;=AS24,1,0)</f>
        <v/>
      </c>
      <c r="AV24" s="236" t="n"/>
      <c r="BD24" s="859" t="inlineStr">
        <is>
          <t>Cause 1 &amp; Rectified</t>
        </is>
      </c>
      <c r="BE24" s="153">
        <f>IF(AND(BE17=1,BF4=1),1,0)</f>
        <v/>
      </c>
      <c r="BM24" s="657" t="inlineStr">
        <is>
          <t>Sr. No.</t>
        </is>
      </c>
      <c r="BN24" s="657" t="inlineStr">
        <is>
          <t>Components Affected</t>
        </is>
      </c>
      <c r="BO24" s="657" t="n"/>
      <c r="BP24" s="657" t="n"/>
      <c r="BR24" s="698">
        <f>BR23+1</f>
        <v/>
      </c>
      <c r="BS24" s="699" t="inlineStr">
        <is>
          <t>Remove hinge pins to remove the evaporator cover (9) from HVAC unit. (Pliers)</t>
        </is>
      </c>
      <c r="BT24" s="698">
        <f>IF($BU$2&gt;=BR24,1,0)</f>
        <v/>
      </c>
      <c r="BU24" s="685" t="n"/>
    </row>
    <row r="25" ht="34" customHeight="1" thickBot="1">
      <c r="A25" s="310" t="n"/>
      <c r="B25" s="666" t="inlineStr">
        <is>
          <t>Smoke Detector</t>
        </is>
      </c>
      <c r="C25" s="3" t="n"/>
      <c r="E25" s="657" t="inlineStr">
        <is>
          <t>Sr. No.</t>
        </is>
      </c>
      <c r="F25" s="657" t="inlineStr">
        <is>
          <t>Components Affected</t>
        </is>
      </c>
      <c r="G25" s="657" t="inlineStr">
        <is>
          <t>Status</t>
        </is>
      </c>
      <c r="H25" s="657" t="inlineStr">
        <is>
          <t>Remarks</t>
        </is>
      </c>
      <c r="J25" s="3">
        <f>J24+1</f>
        <v/>
      </c>
      <c r="K25" s="686" t="inlineStr">
        <is>
          <t>Clean the fresh air dampers (1) and damper motor (2) with dry compressed air. (Bristle Brush)</t>
        </is>
      </c>
      <c r="L25" s="3">
        <f>IF($M$2&gt;=J25,1,0)</f>
        <v/>
      </c>
      <c r="M25" s="236" t="n"/>
      <c r="Y25" s="657" t="inlineStr">
        <is>
          <t>Sr. No.</t>
        </is>
      </c>
      <c r="Z25" s="657" t="inlineStr">
        <is>
          <t>Components Affected</t>
        </is>
      </c>
      <c r="AA25" s="657" t="n"/>
      <c r="AB25" s="657" t="n"/>
      <c r="AD25" s="3">
        <f>AD24+1</f>
        <v/>
      </c>
      <c r="AE25" s="687" t="inlineStr">
        <is>
          <t>Clean the supply air blower (1) with compressed air. (Compressed Air Gun)</t>
        </is>
      </c>
      <c r="AF25" s="3">
        <f>IF($AG$2&gt;=AD25,1,0)</f>
        <v/>
      </c>
      <c r="AG25" s="236" t="n"/>
      <c r="AI25" s="3">
        <f>AI24+1</f>
        <v/>
      </c>
      <c r="AJ25" s="686" t="inlineStr">
        <is>
          <t>Replace Fan Motor (None)</t>
        </is>
      </c>
      <c r="AK25" s="3">
        <f>IF($AL$2&gt;=AI25,1,0)</f>
        <v/>
      </c>
      <c r="AL25" s="236" t="n"/>
      <c r="AN25" s="3">
        <f>AN24+1</f>
        <v/>
      </c>
      <c r="AO25" s="686" t="inlineStr">
        <is>
          <t>Place the hose inside the hole and use high pressure to remove the debris from the drain hole. (None)</t>
        </is>
      </c>
      <c r="AP25" s="3">
        <f>IF($AQ$2&gt;=AN25,1,0)</f>
        <v/>
      </c>
      <c r="AQ25" s="236" t="n"/>
      <c r="AS25" s="3">
        <f>AS24+1</f>
        <v/>
      </c>
      <c r="AT25" s="686" t="inlineStr">
        <is>
          <t>Clean Heat bank (Compressed Air Gun)</t>
        </is>
      </c>
      <c r="AU25" s="3">
        <f>IF($AV$2&gt;=AS25,1,0)</f>
        <v/>
      </c>
      <c r="AV25" s="236" t="n"/>
      <c r="BD25" s="700" t="inlineStr">
        <is>
          <t>Cause 2 &amp; Rectified</t>
        </is>
      </c>
      <c r="BE25" s="701">
        <f>IF(AND(BE17=1,BF4=2),1,0)</f>
        <v/>
      </c>
      <c r="BF25" s="310" t="inlineStr">
        <is>
          <t>Not present</t>
        </is>
      </c>
      <c r="BM25" s="3" t="n">
        <v>1</v>
      </c>
      <c r="BN25" s="666" t="inlineStr">
        <is>
          <t>Fresh Air Damper</t>
        </is>
      </c>
      <c r="BO25" s="3">
        <f>IF(BO11=1,0,1)</f>
        <v/>
      </c>
      <c r="BP25" s="3" t="inlineStr">
        <is>
          <t>Open: 1, Close: 0</t>
        </is>
      </c>
      <c r="BR25" s="698">
        <f>BR24+1</f>
        <v/>
      </c>
      <c r="BS25" s="699" t="inlineStr">
        <is>
          <t>Remove the evaporator cover (9) from HVAC unit using suitable lifting device. (None)</t>
        </is>
      </c>
      <c r="BT25" s="698">
        <f>IF($BU$2&gt;=BR25,1,0)</f>
        <v/>
      </c>
      <c r="BU25" s="685" t="n"/>
    </row>
    <row r="26" ht="42" customHeight="1" thickBot="1">
      <c r="A26" s="310" t="n"/>
      <c r="B26" s="666" t="n"/>
      <c r="C26" s="3" t="n"/>
      <c r="E26" s="3" t="n">
        <v>1</v>
      </c>
      <c r="F26" s="666" t="inlineStr">
        <is>
          <t>Control Panel Circuit Breakers</t>
        </is>
      </c>
      <c r="G26" s="3">
        <f>IF(G3=1,0,IF(G11=1,0,1))</f>
        <v/>
      </c>
      <c r="H26" s="3" t="inlineStr">
        <is>
          <t>Open: 1, Close: 0</t>
        </is>
      </c>
      <c r="J26" s="3">
        <f>J25+1</f>
        <v/>
      </c>
      <c r="K26" s="686" t="inlineStr">
        <is>
          <t>Remove the fresh air dampers (Spanner)</t>
        </is>
      </c>
      <c r="L26" s="3">
        <f>IF($M$2&gt;=J26,1,0)</f>
        <v/>
      </c>
      <c r="M26" s="236" t="n"/>
      <c r="O26" s="657" t="inlineStr">
        <is>
          <t>Sr. No.</t>
        </is>
      </c>
      <c r="P26" s="657" t="inlineStr">
        <is>
          <t>Components Affected</t>
        </is>
      </c>
      <c r="Q26" s="657" t="n"/>
      <c r="R26" s="657" t="n"/>
      <c r="T26" s="657" t="inlineStr">
        <is>
          <t>Sr. No.</t>
        </is>
      </c>
      <c r="U26" s="657" t="inlineStr">
        <is>
          <t>Components Affected</t>
        </is>
      </c>
      <c r="V26" s="657" t="n"/>
      <c r="W26" s="657" t="n"/>
      <c r="Y26" s="3" t="n">
        <v>1</v>
      </c>
      <c r="Z26" s="666" t="inlineStr">
        <is>
          <t>Filter Drier</t>
        </is>
      </c>
      <c r="AA26" s="3">
        <f>IF(AA11=1,0,1)</f>
        <v/>
      </c>
      <c r="AB26" s="3" t="inlineStr">
        <is>
          <t>Open: 1, Close: 0</t>
        </is>
      </c>
      <c r="AD26" s="3">
        <f>AD25+1</f>
        <v/>
      </c>
      <c r="AE26" s="687" t="inlineStr">
        <is>
          <t>Rotate supply air blower (1) motor with hand and ensure that only a light force is required to rotate it. (Insulated Hand Gloves)</t>
        </is>
      </c>
      <c r="AF26" s="3">
        <f>IF($AG$2&gt;=AD26,1,0)</f>
        <v/>
      </c>
      <c r="AG26" s="236" t="n"/>
      <c r="AI26" s="3">
        <f>AI25+1</f>
        <v/>
      </c>
      <c r="AJ26" s="686" t="inlineStr">
        <is>
          <t>Clean the condenser fan with dry compressed air (Compressed Air)</t>
        </is>
      </c>
      <c r="AK26" s="3">
        <f>IF($AL$2&gt;=AI26,1,0)</f>
        <v/>
      </c>
      <c r="AL26" s="236" t="n"/>
      <c r="AN26" s="3">
        <f>AN25+1</f>
        <v/>
      </c>
      <c r="AO26" s="686" t="inlineStr">
        <is>
          <t>Fix TX valve with spanner (Spanner)</t>
        </is>
      </c>
      <c r="AP26" s="3">
        <f>IF($AQ$2&gt;=AN26,1,0)</f>
        <v/>
      </c>
      <c r="AQ26" s="236" t="n"/>
      <c r="AS26" s="3">
        <f>AS25+1</f>
        <v/>
      </c>
      <c r="AT26" s="686" t="inlineStr">
        <is>
          <t>Unbolt the return air temperature sensor (Spanner)</t>
        </is>
      </c>
      <c r="AU26" s="3">
        <f>IF($AV$2&gt;=AS26,1,0)</f>
        <v/>
      </c>
      <c r="AV26" s="236" t="n"/>
      <c r="AX26" s="657" t="inlineStr">
        <is>
          <t>Sr. No.</t>
        </is>
      </c>
      <c r="AY26" s="657" t="inlineStr">
        <is>
          <t>Components Affected</t>
        </is>
      </c>
      <c r="AZ26" s="657" t="n"/>
      <c r="BA26" s="657" t="n"/>
      <c r="BD26" s="702" t="inlineStr">
        <is>
          <t>Fault Reset Logic</t>
        </is>
      </c>
      <c r="BE26" s="703">
        <f>IF(OR(BE24:BE25),1,0)</f>
        <v/>
      </c>
      <c r="BH26" s="657" t="inlineStr">
        <is>
          <t>Sr. No.</t>
        </is>
      </c>
      <c r="BI26" s="657" t="inlineStr">
        <is>
          <t>Components Affected</t>
        </is>
      </c>
      <c r="BJ26" s="657" t="n"/>
      <c r="BK26" s="657" t="n"/>
      <c r="BM26" s="3" t="n">
        <v>2</v>
      </c>
      <c r="BN26" s="666" t="inlineStr">
        <is>
          <t>Smoke Detector</t>
        </is>
      </c>
      <c r="BO26" s="3" t="n"/>
      <c r="BP26" s="3" t="n"/>
      <c r="BR26" s="698">
        <f>BR25+1</f>
        <v/>
      </c>
      <c r="BS26" s="699" t="inlineStr">
        <is>
          <t>Remove electrical control panel assembly (Spanner)</t>
        </is>
      </c>
      <c r="BT26" s="698">
        <f>IF($BU$2&gt;=BR26,1,0)</f>
        <v/>
      </c>
      <c r="BU26" s="685" t="n"/>
    </row>
    <row r="27" ht="25" customHeight="1" thickBot="1">
      <c r="A27" s="310" t="n"/>
      <c r="E27" s="3">
        <f>E26+1</f>
        <v/>
      </c>
      <c r="F27" s="666" t="inlineStr">
        <is>
          <t>Supply Air Blower</t>
        </is>
      </c>
      <c r="G27" s="3">
        <f>IF(OR(G3:G4),0,1)</f>
        <v/>
      </c>
      <c r="H27" s="3" t="n"/>
      <c r="J27" s="3">
        <f>J26+1</f>
        <v/>
      </c>
      <c r="K27" s="686" t="inlineStr">
        <is>
          <t>Replace the fresh air dampers (Visual Inspection)</t>
        </is>
      </c>
      <c r="L27" s="3">
        <f>IF($M$2&gt;=J27,1,0)</f>
        <v/>
      </c>
      <c r="M27" s="236" t="n"/>
      <c r="O27" s="3" t="n">
        <v>1</v>
      </c>
      <c r="P27" s="666" t="inlineStr">
        <is>
          <t>Supply Air Filter</t>
        </is>
      </c>
      <c r="Q27" s="3">
        <f>IF(Q11=1,0,1)</f>
        <v/>
      </c>
      <c r="R27" s="3" t="inlineStr">
        <is>
          <t>Open: 1, Close: 0</t>
        </is>
      </c>
      <c r="T27" s="3" t="n">
        <v>1</v>
      </c>
      <c r="U27" s="666" t="inlineStr">
        <is>
          <t>Evaporator Coil Damage</t>
        </is>
      </c>
      <c r="V27" s="3">
        <f>IF(V11=1,0,1)</f>
        <v/>
      </c>
      <c r="W27" s="3" t="inlineStr">
        <is>
          <t>Open: 1, Close: 0</t>
        </is>
      </c>
      <c r="Y27" s="3" t="n">
        <v>2</v>
      </c>
      <c r="Z27" s="666" t="inlineStr">
        <is>
          <t>Piping Section</t>
        </is>
      </c>
      <c r="AA27" s="3" t="n"/>
      <c r="AB27" s="3" t="n"/>
      <c r="AD27" s="3">
        <f>AD26+1</f>
        <v/>
      </c>
      <c r="AE27" s="687" t="inlineStr">
        <is>
          <t>Remove supply air blower (Screwdriver)</t>
        </is>
      </c>
      <c r="AF27" s="3">
        <f>IF($AG$2&gt;=AD27,1,0)</f>
        <v/>
      </c>
      <c r="AG27" s="236" t="n"/>
      <c r="AI27" s="3">
        <f>AI26+1</f>
        <v/>
      </c>
      <c r="AJ27" s="686" t="inlineStr">
        <is>
          <t>Unscrew condenser fan bolt (Spanner)</t>
        </is>
      </c>
      <c r="AK27" s="3">
        <f>IF($AL$2&gt;=AI27,1,0)</f>
        <v/>
      </c>
      <c r="AL27" s="236" t="n"/>
      <c r="AN27" s="3">
        <f>AN26+1</f>
        <v/>
      </c>
      <c r="AO27" s="686" t="inlineStr">
        <is>
          <t>Remove TX valve if necessary (Visual Inspection)</t>
        </is>
      </c>
      <c r="AP27" s="3">
        <f>IF($AQ$2&gt;=AN27,1,0)</f>
        <v/>
      </c>
      <c r="AQ27" s="236" t="n"/>
      <c r="AS27" s="3">
        <f>AS26+1</f>
        <v/>
      </c>
      <c r="AT27" s="686" t="inlineStr">
        <is>
          <t>Remove the return air temperature sensor (None)</t>
        </is>
      </c>
      <c r="AU27" s="3">
        <f>IF($AV$2&gt;=AS27,1,0)</f>
        <v/>
      </c>
      <c r="AV27" s="236" t="n"/>
      <c r="AX27" s="3" t="n">
        <v>1</v>
      </c>
      <c r="AY27" s="666" t="inlineStr">
        <is>
          <t>Temperature Sensor</t>
        </is>
      </c>
      <c r="AZ27" s="3">
        <f>IF(AZ11=1,0,1)</f>
        <v/>
      </c>
      <c r="BA27" s="3" t="inlineStr">
        <is>
          <t>Open: 1, Close: 0</t>
        </is>
      </c>
      <c r="BH27" s="3" t="n">
        <v>1</v>
      </c>
      <c r="BI27" s="666" t="inlineStr">
        <is>
          <t>Electrical Connections</t>
        </is>
      </c>
      <c r="BJ27" s="3">
        <f>IF(BJ11=1,0,1)</f>
        <v/>
      </c>
      <c r="BK27" s="3" t="inlineStr">
        <is>
          <t>Open: 1, Close: 0</t>
        </is>
      </c>
      <c r="BR27" s="698">
        <f>BR26+1</f>
        <v/>
      </c>
      <c r="BS27" s="699" t="inlineStr">
        <is>
          <t>Check all circuit breakers and close. (Multimeter)</t>
        </is>
      </c>
      <c r="BT27" s="698">
        <f>IF($BU$2&gt;=BR27,1,0)</f>
        <v/>
      </c>
      <c r="BU27" s="685" t="n"/>
    </row>
    <row r="28" ht="25" customHeight="1" thickBot="1">
      <c r="J28" s="3">
        <f>J27+1</f>
        <v/>
      </c>
      <c r="K28" s="686" t="inlineStr">
        <is>
          <t>Remove fresh air damper motor (Screwdriver)</t>
        </is>
      </c>
      <c r="L28" s="3">
        <f>IF($M$2&gt;=J28,1,0)</f>
        <v/>
      </c>
      <c r="M28" s="236" t="n"/>
      <c r="O28" s="3">
        <f>O27+1</f>
        <v/>
      </c>
      <c r="P28" s="666" t="inlineStr">
        <is>
          <t>Supply Air Blower</t>
        </is>
      </c>
      <c r="Q28" s="3" t="n"/>
      <c r="R28" s="3" t="n"/>
      <c r="T28" s="3" t="n">
        <v>2</v>
      </c>
      <c r="U28" s="666" t="inlineStr">
        <is>
          <t>TX Valve</t>
        </is>
      </c>
      <c r="V28" s="3" t="n"/>
      <c r="W28" s="3" t="n"/>
      <c r="AD28" s="3">
        <f>AD27+1</f>
        <v/>
      </c>
      <c r="AE28" s="686" t="inlineStr">
        <is>
          <t>Replace supply air blower (Visual Inspection)</t>
        </is>
      </c>
      <c r="AF28" s="3">
        <f>IF($AG$2&gt;=AD28,1,0)</f>
        <v/>
      </c>
      <c r="AG28" s="236" t="n"/>
      <c r="AI28" s="3">
        <f>AI27+1</f>
        <v/>
      </c>
      <c r="AJ28" s="686" t="inlineStr">
        <is>
          <t>Remove condenser fan (Insulated Gloves)</t>
        </is>
      </c>
      <c r="AK28" s="3">
        <f>IF($AL$2&gt;=AI28,1,0)</f>
        <v/>
      </c>
      <c r="AL28" s="236" t="n"/>
      <c r="AN28" s="3">
        <f>AN27+1</f>
        <v/>
      </c>
      <c r="AO28" s="686" t="inlineStr">
        <is>
          <t>Replace TX valve if necessary (Visual Inspection)</t>
        </is>
      </c>
      <c r="AP28" s="3">
        <f>IF($AQ$2&gt;=AN28,1,0)</f>
        <v/>
      </c>
      <c r="AQ28" s="236" t="n"/>
      <c r="AS28" s="3">
        <f>AS27+1</f>
        <v/>
      </c>
      <c r="AT28" s="686" t="inlineStr">
        <is>
          <t>Replace the return air temperature sensor (None)</t>
        </is>
      </c>
      <c r="AU28" s="3">
        <f>IF($AV$2&gt;=AS28,1,0)</f>
        <v/>
      </c>
      <c r="AV28" s="236" t="n"/>
      <c r="BN28" s="859" t="inlineStr">
        <is>
          <t>Cause 1 &amp; Rectified</t>
        </is>
      </c>
      <c r="BO28" s="153">
        <f>IF(AND(BO15=1,BP4=1),1,0)</f>
        <v/>
      </c>
      <c r="BR28" s="698">
        <f>BR27+1</f>
        <v/>
      </c>
      <c r="BS28" s="699" t="inlineStr">
        <is>
          <t>Unplug the connected wires (Screwdriver)</t>
        </is>
      </c>
      <c r="BT28" s="698">
        <f>IF($BU$2&gt;=BR28,1,0)</f>
        <v/>
      </c>
      <c r="BU28" s="685" t="n"/>
    </row>
    <row r="29" ht="25" customHeight="1" thickBot="1">
      <c r="F29" s="859" t="inlineStr">
        <is>
          <t>Cause 1 &amp; Rectified</t>
        </is>
      </c>
      <c r="G29" s="153">
        <f>IF(AND(H4=1,G11=1),1,0)</f>
        <v/>
      </c>
      <c r="J29" s="3">
        <f>J28+1</f>
        <v/>
      </c>
      <c r="K29" s="686" t="inlineStr">
        <is>
          <t>Replace fresh air damper motor (Visual Inspection)</t>
        </is>
      </c>
      <c r="L29" s="3">
        <f>IF($M$2&gt;=J29,1,0)</f>
        <v/>
      </c>
      <c r="M29" s="236" t="n"/>
      <c r="O29" s="3">
        <f>O28+1</f>
        <v/>
      </c>
      <c r="P29" s="666" t="inlineStr">
        <is>
          <t>Refrigerent Level</t>
        </is>
      </c>
      <c r="Q29" s="3" t="n"/>
      <c r="R29" s="3" t="n"/>
      <c r="AD29" s="3">
        <f>AD28+1</f>
        <v/>
      </c>
      <c r="AE29" s="686" t="inlineStr">
        <is>
          <t>Close air supply blower (Visual Inspection)</t>
        </is>
      </c>
      <c r="AF29" s="3">
        <f>IF($AG$2&gt;=AD29,1,0)</f>
        <v/>
      </c>
      <c r="AG29" s="236" t="n"/>
      <c r="AI29" s="3">
        <f>AI28+1</f>
        <v/>
      </c>
      <c r="AJ29" s="686" t="inlineStr">
        <is>
          <t>Replace condenser fan (None)</t>
        </is>
      </c>
      <c r="AK29" s="3">
        <f>IF($AL$2&gt;=AI29,1,0)</f>
        <v/>
      </c>
      <c r="AL29" s="236" t="n"/>
      <c r="AN29" s="3">
        <f>AN28+1</f>
        <v/>
      </c>
      <c r="AO29" s="686" t="inlineStr">
        <is>
          <t>Remove the condenser coil cover (Lifting Device)</t>
        </is>
      </c>
      <c r="AP29" s="3">
        <f>IF($AQ$2&gt;=AN29,1,0)</f>
        <v/>
      </c>
      <c r="AQ29" s="236" t="n"/>
      <c r="AS29" s="3">
        <f>AS28+1</f>
        <v/>
      </c>
      <c r="AT29" s="686" t="inlineStr">
        <is>
          <t>Bolt the RAT (None)</t>
        </is>
      </c>
      <c r="AU29" s="3">
        <f>IF($AV$2&gt;=AS29,1,0)</f>
        <v/>
      </c>
      <c r="AV29" s="236" t="n"/>
      <c r="AY29" s="859" t="inlineStr">
        <is>
          <t>Cause 1 &amp; Rectified</t>
        </is>
      </c>
      <c r="AZ29" s="153">
        <f>IF(AND(AZ23=1,$BA$4=1),1,0)</f>
        <v/>
      </c>
      <c r="BI29" s="859" t="inlineStr">
        <is>
          <t>Cause 1 &amp; Rectified</t>
        </is>
      </c>
      <c r="BJ29" s="153">
        <f>IF(AND(BJ23=1,$BK$4=1),1,0)</f>
        <v/>
      </c>
      <c r="BN29" s="860" t="inlineStr">
        <is>
          <t>Cause 2 &amp; Rectified</t>
        </is>
      </c>
      <c r="BO29" s="215">
        <f>IF(AND(BO21=1,BP8=2),1,0)</f>
        <v/>
      </c>
      <c r="BR29" s="698">
        <f>BR28+1</f>
        <v/>
      </c>
      <c r="BS29" s="699" t="inlineStr">
        <is>
          <t>Remove electrical plugs. (Insulated Gloves)</t>
        </is>
      </c>
      <c r="BT29" s="698">
        <f>IF($BU$2&gt;=BR29,1,0)</f>
        <v/>
      </c>
      <c r="BU29" s="685" t="n"/>
    </row>
    <row r="30" ht="25" customHeight="1" thickBot="1">
      <c r="F30" s="861" t="inlineStr">
        <is>
          <t>Cause 2 &amp; Rectified</t>
        </is>
      </c>
      <c r="G30" s="155">
        <f>IF(AND(H4=2,G22=1),1,0)</f>
        <v/>
      </c>
      <c r="J30" s="3">
        <f>J29+1</f>
        <v/>
      </c>
      <c r="K30" s="686" t="inlineStr">
        <is>
          <t>Check working (Visual Inspection)</t>
        </is>
      </c>
      <c r="L30" s="3">
        <f>IF($M$2&gt;=J30,1,0)</f>
        <v/>
      </c>
      <c r="M30" s="236" t="n"/>
      <c r="Z30" s="859" t="inlineStr">
        <is>
          <t>Cause 1 &amp; Rectified</t>
        </is>
      </c>
      <c r="AA30" s="153">
        <f>IF(AND(AA12=1,AB4=1),1,0)</f>
        <v/>
      </c>
      <c r="AD30" s="3">
        <f>AD29+1</f>
        <v/>
      </c>
      <c r="AE30" s="686" t="inlineStr">
        <is>
          <t>Unscrew bottom panel (Spanner)</t>
        </is>
      </c>
      <c r="AF30" s="3">
        <f>IF($AG$2&gt;=AD30,1,0)</f>
        <v/>
      </c>
      <c r="AG30" s="236" t="n"/>
      <c r="AI30" s="3">
        <f>AI29+1</f>
        <v/>
      </c>
      <c r="AJ30" s="686" t="inlineStr">
        <is>
          <t>Remove the condenser coil cover (Lifting Device)</t>
        </is>
      </c>
      <c r="AK30" s="3">
        <f>IF($AL$2&gt;=AI30,1,0)</f>
        <v/>
      </c>
      <c r="AL30" s="236" t="n"/>
      <c r="AN30" s="3">
        <f>AN29+1</f>
        <v/>
      </c>
      <c r="AO30" s="686" t="inlineStr">
        <is>
          <t>Clean condenser coil (Bristle Brush)</t>
        </is>
      </c>
      <c r="AP30" s="3">
        <f>IF($AQ$2&gt;=AN30,1,0)</f>
        <v/>
      </c>
      <c r="AQ30" s="236" t="n"/>
      <c r="AS30" s="3">
        <f>AS29+1</f>
        <v/>
      </c>
      <c r="AT30" s="686" t="inlineStr">
        <is>
          <t>Check working (Visual Inspection)</t>
        </is>
      </c>
      <c r="AU30" s="3">
        <f>IF($AV$2&gt;=AS30,1,0)</f>
        <v/>
      </c>
      <c r="AV30" s="236" t="n"/>
      <c r="AY30" s="702" t="inlineStr">
        <is>
          <t>Fault Reset Logic</t>
        </is>
      </c>
      <c r="AZ30" s="703">
        <f>IF(OR(AZ29),1,0)</f>
        <v/>
      </c>
      <c r="BI30" s="702" t="inlineStr">
        <is>
          <t>Fault Reset Logic</t>
        </is>
      </c>
      <c r="BJ30" s="703">
        <f>IF(OR(BJ29),1,0)</f>
        <v/>
      </c>
      <c r="BN30" s="702" t="inlineStr">
        <is>
          <t>Fault Reset Logic</t>
        </is>
      </c>
      <c r="BO30" s="703">
        <f>IF(OR(BO28:BO29),1,0)</f>
        <v/>
      </c>
      <c r="BR30" s="698">
        <f>BR29+1</f>
        <v/>
      </c>
      <c r="BS30" s="699" t="inlineStr">
        <is>
          <t>Replace the plugs (Visual Inspection)</t>
        </is>
      </c>
      <c r="BT30" s="698">
        <f>IF($BU$2&gt;=BR30,1,0)</f>
        <v/>
      </c>
      <c r="BU30" s="685" t="n"/>
    </row>
    <row r="31" ht="25" customHeight="1" thickBot="1">
      <c r="F31" s="704" t="inlineStr">
        <is>
          <t>Fault Reset Logic</t>
        </is>
      </c>
      <c r="G31" s="705">
        <f>IF(OR(G29:G30),1,0)</f>
        <v/>
      </c>
      <c r="H31" s="706" t="inlineStr">
        <is>
          <t>1: Reset</t>
        </is>
      </c>
      <c r="P31" s="859" t="inlineStr">
        <is>
          <t>Cause 1 &amp; Rectified</t>
        </is>
      </c>
      <c r="Q31" s="153">
        <f>IF(AND(Q15=1,R4=1),1,0)</f>
        <v/>
      </c>
      <c r="U31" s="859" t="inlineStr">
        <is>
          <t>Cause 1 &amp; Rectified</t>
        </is>
      </c>
      <c r="V31" s="153">
        <f>IF(AND(V11=1,W4=1),1,0)</f>
        <v/>
      </c>
      <c r="Z31" s="860" t="inlineStr">
        <is>
          <t>Cause 2 &amp; Rectified</t>
        </is>
      </c>
      <c r="AA31" s="215">
        <f>IF(AND(AA22=1,AB4=2),1,0)</f>
        <v/>
      </c>
      <c r="AD31" s="3">
        <f>AD30+1</f>
        <v/>
      </c>
      <c r="AE31" s="686" t="inlineStr">
        <is>
          <t>Remove bottom panel (Insulated Gloves)</t>
        </is>
      </c>
      <c r="AF31" s="3">
        <f>IF($AG$2&gt;=AD31,1,0)</f>
        <v/>
      </c>
      <c r="AG31" s="236" t="n"/>
      <c r="AI31" s="3">
        <f>AI30+1</f>
        <v/>
      </c>
      <c r="AJ31" s="686" t="inlineStr">
        <is>
          <t>Clean condenser coil (Bristle Brush)</t>
        </is>
      </c>
      <c r="AK31" s="3">
        <f>IF($AL$2&gt;=AI31,1,0)</f>
        <v/>
      </c>
      <c r="AL31" s="236" t="n"/>
      <c r="AN31" s="3">
        <f>AN30+1</f>
        <v/>
      </c>
      <c r="AO31" s="686" t="inlineStr">
        <is>
          <t>Straighten any bent fins with a fin comb (Fin Comb)</t>
        </is>
      </c>
      <c r="AP31" s="3">
        <f>IF($AQ$2&gt;=AN31,1,0)</f>
        <v/>
      </c>
      <c r="AQ31" s="236" t="n"/>
      <c r="BR31" s="698">
        <f>BR30+1</f>
        <v/>
      </c>
      <c r="BS31" s="699" t="inlineStr">
        <is>
          <t>Connect the electrical plugs. (Screwdriver)</t>
        </is>
      </c>
      <c r="BT31" s="698">
        <f>IF($BU$2&gt;=BR31,1,0)</f>
        <v/>
      </c>
      <c r="BU31" s="685" t="n"/>
    </row>
    <row r="32" ht="25" customHeight="1" thickBot="1">
      <c r="P32" s="860" t="inlineStr">
        <is>
          <t>Cause 2 &amp; Rectified</t>
        </is>
      </c>
      <c r="Q32" s="215">
        <f>IF(AND(Q15=1,R4=2),1,0)</f>
        <v/>
      </c>
      <c r="U32" s="860" t="inlineStr">
        <is>
          <t>Cause 2 &amp; Rectified</t>
        </is>
      </c>
      <c r="V32" s="215">
        <f>IF(AND(V23=1,W4=2),1,0)</f>
        <v/>
      </c>
      <c r="Z32" s="702" t="inlineStr">
        <is>
          <t>Fault Reset Logic</t>
        </is>
      </c>
      <c r="AA32" s="703">
        <f>IF(OR(AA30:AA31),1,0)</f>
        <v/>
      </c>
      <c r="AD32" s="3">
        <f>AD31+1</f>
        <v/>
      </c>
      <c r="AE32" s="686" t="inlineStr">
        <is>
          <t>Unscrew return air damper (Spanner)</t>
        </is>
      </c>
      <c r="AF32" s="3">
        <f>IF($AG$2&gt;=AD32,1,0)</f>
        <v/>
      </c>
      <c r="AG32" s="236" t="n"/>
      <c r="AI32" s="3">
        <f>AI31+1</f>
        <v/>
      </c>
      <c r="AJ32" s="686" t="inlineStr">
        <is>
          <t>Straighten any bent fins with a fin comb (Fin Comb)</t>
        </is>
      </c>
      <c r="AK32" s="3">
        <f>IF($AL$2&gt;=AI32,1,0)</f>
        <v/>
      </c>
      <c r="AL32" s="236" t="n"/>
      <c r="AN32" s="3">
        <f>AN31+1</f>
        <v/>
      </c>
      <c r="AO32" s="686" t="inlineStr">
        <is>
          <t>Clean the coil with compressed air (Compressed Air)</t>
        </is>
      </c>
      <c r="AP32" s="3">
        <f>IF($AQ$2&gt;=AN32,1,0)</f>
        <v/>
      </c>
      <c r="AQ32" s="236" t="n"/>
      <c r="BR32" s="698">
        <f>BR31+1</f>
        <v/>
      </c>
      <c r="BS32" s="699" t="inlineStr">
        <is>
          <t>Close electrical control panel assembly (None)</t>
        </is>
      </c>
      <c r="BT32" s="698">
        <f>IF($BU$2&gt;=BR32,1,0)</f>
        <v/>
      </c>
      <c r="BU32" s="685" t="n"/>
    </row>
    <row r="33" ht="25" customHeight="1" thickBot="1">
      <c r="J33" s="657" t="inlineStr">
        <is>
          <t>Sr. No.</t>
        </is>
      </c>
      <c r="K33" s="657" t="inlineStr">
        <is>
          <t>Components Affected</t>
        </is>
      </c>
      <c r="L33" s="657" t="n"/>
      <c r="M33" s="657" t="n"/>
      <c r="P33" s="707" t="inlineStr">
        <is>
          <t>Cause 3 &amp; Rectified</t>
        </is>
      </c>
      <c r="Q33" s="708">
        <f>IF(AND(R4=3,Q23=1),1,0)</f>
        <v/>
      </c>
      <c r="U33" s="702" t="inlineStr">
        <is>
          <t>Fault Reset Logic</t>
        </is>
      </c>
      <c r="V33" s="703">
        <f>IF(OR(V31:V32),1,0)</f>
        <v/>
      </c>
      <c r="AD33" s="3">
        <f>AD32+1</f>
        <v/>
      </c>
      <c r="AE33" s="686" t="inlineStr">
        <is>
          <t>Remove return air damper (Insulated Gloves)</t>
        </is>
      </c>
      <c r="AF33" s="3">
        <f>IF($AG$2&gt;=AD33,1,0)</f>
        <v/>
      </c>
      <c r="AG33" s="236" t="n"/>
      <c r="AI33" s="3">
        <f>AI32+1</f>
        <v/>
      </c>
      <c r="AJ33" s="686" t="inlineStr">
        <is>
          <t>Clean the coil with compressed air (Compressed Air)</t>
        </is>
      </c>
      <c r="AK33" s="3">
        <f>IF($AL$2&gt;=AI33,1,0)</f>
        <v/>
      </c>
      <c r="AL33" s="236" t="n"/>
      <c r="AN33" s="3">
        <f>AN32+1</f>
        <v/>
      </c>
      <c r="AO33" s="686" t="inlineStr">
        <is>
          <t>Close HVAC components (None)</t>
        </is>
      </c>
      <c r="AP33" s="3">
        <f>IF($AQ$2&gt;=AN33,1,0)</f>
        <v/>
      </c>
      <c r="AQ33" s="236" t="n"/>
      <c r="AS33" s="657" t="inlineStr">
        <is>
          <t>Sr. No.</t>
        </is>
      </c>
      <c r="AT33" s="657" t="inlineStr">
        <is>
          <t>Components Affected</t>
        </is>
      </c>
      <c r="AU33" s="657" t="n"/>
      <c r="AV33" s="657" t="n"/>
      <c r="BR33" s="698">
        <f>BR32+1</f>
        <v/>
      </c>
      <c r="BS33" s="699" t="inlineStr">
        <is>
          <t>Remove Heat bank screws (Spanner)</t>
        </is>
      </c>
      <c r="BT33" s="698">
        <f>IF($BU$2&gt;=BR33,1,0)</f>
        <v/>
      </c>
      <c r="BU33" s="685" t="n"/>
    </row>
    <row r="34" ht="37.5" customHeight="1" thickBot="1">
      <c r="J34" s="3" t="n">
        <v>1</v>
      </c>
      <c r="K34" s="666" t="inlineStr">
        <is>
          <t>Air Blower Circuit Breakers</t>
        </is>
      </c>
      <c r="L34" s="3">
        <f>IF(OR(L11=1,L3=1),0,1)</f>
        <v/>
      </c>
      <c r="M34" s="3" t="inlineStr">
        <is>
          <t>Open: 1, Close: 0</t>
        </is>
      </c>
      <c r="P34" s="702" t="inlineStr">
        <is>
          <t>Fault Reset Logic</t>
        </is>
      </c>
      <c r="Q34" s="703">
        <f>IF(OR(Q31:Q33),1,0)</f>
        <v/>
      </c>
      <c r="AD34" s="3">
        <f>AD33+1</f>
        <v/>
      </c>
      <c r="AE34" s="686" t="inlineStr">
        <is>
          <t>Check moisture indicator on the sight glass (1) to find any excessive moisture in the system. (Electronic Leak Detector)</t>
        </is>
      </c>
      <c r="AF34" s="3">
        <f>IF($AG$2&gt;=AD34,1,0)</f>
        <v/>
      </c>
      <c r="AG34" s="236" t="n"/>
      <c r="AI34" s="3">
        <f>AI33+1</f>
        <v/>
      </c>
      <c r="AJ34" s="686" t="inlineStr">
        <is>
          <t>Loosen and remove 24 nos M8X20 bolts (8) along with washer set (7) to open evaporator cover (9). (Spanner)</t>
        </is>
      </c>
      <c r="AK34" s="3">
        <f>IF($AL$2&gt;=AI34,1,0)</f>
        <v/>
      </c>
      <c r="AL34" s="236" t="n"/>
      <c r="AN34" s="3">
        <f>AN33+1</f>
        <v/>
      </c>
      <c r="AO34" s="686" t="inlineStr">
        <is>
          <t>Unscrew bolt compressor unit cover (Spanner)</t>
        </is>
      </c>
      <c r="AP34" s="3">
        <f>IF($AQ$2&gt;=AN34,1,0)</f>
        <v/>
      </c>
      <c r="AQ34" s="236" t="n"/>
      <c r="AS34" s="3" t="n">
        <v>1</v>
      </c>
      <c r="AT34" s="666" t="inlineStr">
        <is>
          <t>Heater Circuit Breaker</t>
        </is>
      </c>
      <c r="AU34" s="3">
        <f>IF(AU13=1,0,1)</f>
        <v/>
      </c>
      <c r="AV34" s="3" t="inlineStr">
        <is>
          <t>Open: 1, Close: 0</t>
        </is>
      </c>
      <c r="BR34" s="698">
        <f>BR33+1</f>
        <v/>
      </c>
      <c r="BS34" s="699" t="inlineStr">
        <is>
          <t>Remove Heat bank assembly (Insulated Gloves)</t>
        </is>
      </c>
      <c r="BT34" s="698">
        <f>IF($BU$2&gt;=BR34,1,0)</f>
        <v/>
      </c>
      <c r="BU34" s="685" t="n"/>
    </row>
    <row r="35" ht="25" customHeight="1">
      <c r="J35" s="3">
        <f>J34+1</f>
        <v/>
      </c>
      <c r="K35" s="666" t="inlineStr">
        <is>
          <t>Supply Air Blower</t>
        </is>
      </c>
      <c r="L35" s="3">
        <f>IF(OR(L3:L4),0,1)</f>
        <v/>
      </c>
      <c r="M35" s="3" t="n"/>
      <c r="AD35" s="3">
        <f>AD34+1</f>
        <v/>
      </c>
      <c r="AE35" s="686" t="inlineStr">
        <is>
          <t>Locate the leak and repair (Spanner)</t>
        </is>
      </c>
      <c r="AF35" s="3">
        <f>IF($AG$2&gt;=AD35,1,0)</f>
        <v/>
      </c>
      <c r="AG35" s="236" t="n"/>
      <c r="AI35" s="3">
        <f>AI34+1</f>
        <v/>
      </c>
      <c r="AJ35" s="686" t="inlineStr">
        <is>
          <t>Remove hinge pins to remove the evaporator cover (9) from HVAC unit. (Pliers)</t>
        </is>
      </c>
      <c r="AK35" s="3">
        <f>IF($AL$2&gt;=AI35,1,0)</f>
        <v/>
      </c>
      <c r="AL35" s="236" t="n"/>
      <c r="AN35" s="3">
        <f>AN34+1</f>
        <v/>
      </c>
      <c r="AO35" s="686" t="inlineStr">
        <is>
          <t>Compressor Cover Removal (None)</t>
        </is>
      </c>
      <c r="AP35" s="3">
        <f>IF($AQ$2&gt;=AN35,1,0)</f>
        <v/>
      </c>
      <c r="AQ35" s="236" t="n"/>
      <c r="AS35" s="3" t="n">
        <v>2</v>
      </c>
      <c r="AT35" s="666" t="inlineStr">
        <is>
          <t>Heater</t>
        </is>
      </c>
      <c r="AU35" s="3" t="n"/>
      <c r="AV35" s="3" t="n"/>
      <c r="BR35" s="698">
        <f>BR34+1</f>
        <v/>
      </c>
      <c r="BS35" s="699" t="inlineStr">
        <is>
          <t>Replace Heat bank assembly (None)</t>
        </is>
      </c>
      <c r="BT35" s="698">
        <f>IF($BU$2&gt;=BR35,1,0)</f>
        <v/>
      </c>
      <c r="BU35" s="685" t="n"/>
    </row>
    <row r="36" ht="25" customHeight="1">
      <c r="J36" s="3">
        <f>J35+1</f>
        <v/>
      </c>
      <c r="K36" s="666" t="inlineStr">
        <is>
          <t>Fresh Air Damper</t>
        </is>
      </c>
      <c r="L36" s="3" t="n"/>
      <c r="M36" s="3" t="n"/>
      <c r="AD36" s="3">
        <f>AD35+1</f>
        <v/>
      </c>
      <c r="AE36" s="686" t="inlineStr">
        <is>
          <t>Check working (Visual Inspection)</t>
        </is>
      </c>
      <c r="AF36" s="3">
        <f>IF($AG$2&gt;=AD36,1,0)</f>
        <v/>
      </c>
      <c r="AG36" s="236" t="n"/>
      <c r="AI36" s="3">
        <f>AI35+1</f>
        <v/>
      </c>
      <c r="AJ36" s="686" t="inlineStr">
        <is>
          <t>Remove the evaporator cover (9) from HVAC unit using suitable lifting device. (None)</t>
        </is>
      </c>
      <c r="AK36" s="3">
        <f>IF($AL$2&gt;=AI36,1,0)</f>
        <v/>
      </c>
      <c r="AL36" s="236" t="n"/>
      <c r="AN36" s="3">
        <f>AN35+1</f>
        <v/>
      </c>
      <c r="AO36" s="686" t="inlineStr">
        <is>
          <t>Check compressor of excessive noise or leaks (None)</t>
        </is>
      </c>
      <c r="AP36" s="3">
        <f>IF($AQ$2&gt;=AN36,1,0)</f>
        <v/>
      </c>
      <c r="AQ36" s="236" t="n"/>
      <c r="AS36" s="3" t="n">
        <v>3</v>
      </c>
      <c r="AT36" s="666" t="inlineStr">
        <is>
          <t>RAT Sensor</t>
        </is>
      </c>
      <c r="AU36" s="3" t="n"/>
      <c r="AV36" s="3" t="n"/>
      <c r="BR36" s="698">
        <f>BR35+1</f>
        <v/>
      </c>
      <c r="BS36" s="699" t="inlineStr">
        <is>
          <t>Clean Heat bank (Compressed Air Gun)</t>
        </is>
      </c>
      <c r="BT36" s="698">
        <f>IF($BU$2&gt;=BR36,1,0)</f>
        <v/>
      </c>
      <c r="BU36" s="685" t="n"/>
    </row>
    <row r="37" ht="25" customHeight="1" thickBot="1">
      <c r="AI37" s="3">
        <f>AI36+1</f>
        <v/>
      </c>
      <c r="AJ37" s="686" t="inlineStr">
        <is>
          <t>Open supply air blower (Spanner)</t>
        </is>
      </c>
      <c r="AK37" s="3">
        <f>IF($AL$2&gt;=AI37,1,0)</f>
        <v/>
      </c>
      <c r="AL37" s="236" t="n"/>
      <c r="AN37" s="3">
        <f>AN36+1</f>
        <v/>
      </c>
      <c r="AO37" s="686" t="inlineStr">
        <is>
          <t>Unscrew compressor bolt (Spanner)</t>
        </is>
      </c>
      <c r="AP37" s="3">
        <f>IF($AQ$2&gt;=AN37,1,0)</f>
        <v/>
      </c>
      <c r="AQ37" s="236" t="n"/>
      <c r="AS37" s="3" t="n">
        <v>4</v>
      </c>
      <c r="AT37" s="666" t="inlineStr">
        <is>
          <t>Heater Circuit Breaker Manual Reset Required</t>
        </is>
      </c>
      <c r="AU37" s="3" t="n"/>
      <c r="AV37" s="3" t="n"/>
      <c r="BR37" s="698">
        <f>BR36+1</f>
        <v/>
      </c>
      <c r="BS37" s="699" t="inlineStr">
        <is>
          <t>Secure the Heat bank screws (None)</t>
        </is>
      </c>
      <c r="BT37" s="698">
        <f>IF($BU$2&gt;=BR37,1,0)</f>
        <v/>
      </c>
      <c r="BU37" s="685" t="n"/>
    </row>
    <row r="38" ht="25" customHeight="1">
      <c r="K38" s="859" t="inlineStr">
        <is>
          <t>Cause 1 &amp; Rectified</t>
        </is>
      </c>
      <c r="L38" s="153">
        <f>IF(AND(L11=1,M4=1),1,0)</f>
        <v/>
      </c>
      <c r="AI38" s="3">
        <f>AI37+1</f>
        <v/>
      </c>
      <c r="AJ38" s="686" t="inlineStr">
        <is>
          <t>Clean the supply air blower (1) with compressed air. (Compressed Air Gun)</t>
        </is>
      </c>
      <c r="AK38" s="3">
        <f>IF($AL$2&gt;=AI38,1,0)</f>
        <v/>
      </c>
      <c r="AL38" s="236" t="n"/>
      <c r="AN38" s="3">
        <f>AN37+1</f>
        <v/>
      </c>
      <c r="AO38" s="686" t="inlineStr">
        <is>
          <t>Remove the compressor (Insulated Gloves)</t>
        </is>
      </c>
      <c r="AP38" s="3">
        <f>IF($AQ$2&gt;=AN38,1,0)</f>
        <v/>
      </c>
      <c r="AQ38" s="236" t="n"/>
      <c r="AS38" s="3" t="n">
        <v>5</v>
      </c>
      <c r="AT38" s="666" t="inlineStr">
        <is>
          <t>Electrical Connections</t>
        </is>
      </c>
      <c r="AU38" s="3" t="n"/>
      <c r="AV38" s="3" t="n"/>
      <c r="BR38" s="698">
        <f>BR37+1</f>
        <v/>
      </c>
      <c r="BS38" s="699" t="inlineStr">
        <is>
          <t>Run HVAC 20 mins. (None)</t>
        </is>
      </c>
      <c r="BT38" s="698">
        <f>IF($BU$2&gt;=BR38,1,0)</f>
        <v/>
      </c>
      <c r="BU38" s="685" t="n"/>
    </row>
    <row r="39" ht="31" customHeight="1" thickBot="1">
      <c r="K39" s="860" t="inlineStr">
        <is>
          <t>Cause 2 &amp; Rectified</t>
        </is>
      </c>
      <c r="L39" s="215">
        <f>IF(AND(L16=1,M4=2),1,0)</f>
        <v/>
      </c>
      <c r="AD39" s="657" t="inlineStr">
        <is>
          <t>Sr. No.</t>
        </is>
      </c>
      <c r="AE39" s="657" t="inlineStr">
        <is>
          <t>Components Affected</t>
        </is>
      </c>
      <c r="AF39" s="657" t="n"/>
      <c r="AG39" s="657" t="n"/>
      <c r="AI39" s="3">
        <f>AI38+1</f>
        <v/>
      </c>
      <c r="AJ39" s="686" t="inlineStr">
        <is>
          <t>Rotate supply air blower (1) motor with hand and ensure that only a light force is required to rotate it. (Insulated Hand Gloves)</t>
        </is>
      </c>
      <c r="AK39" s="3">
        <f>IF($AL$2&gt;=AI39,1,0)</f>
        <v/>
      </c>
      <c r="AL39" s="236" t="n"/>
      <c r="AN39" s="3">
        <f>AN38+1</f>
        <v/>
      </c>
      <c r="AO39" s="686" t="inlineStr">
        <is>
          <t>Replace the compressor (None)</t>
        </is>
      </c>
      <c r="AP39" s="3">
        <f>IF($AQ$2&gt;=AN39,1,0)</f>
        <v/>
      </c>
      <c r="AQ39" s="236" t="n"/>
      <c r="BR39" s="698">
        <f>BR38+1</f>
        <v/>
      </c>
      <c r="BS39" s="699" t="inlineStr">
        <is>
          <t>Unusual noise from compressor assembly (None)</t>
        </is>
      </c>
      <c r="BT39" s="698">
        <f>IF($BU$2&gt;=BR39,1,0)</f>
        <v/>
      </c>
      <c r="BU39" s="685" t="n"/>
    </row>
    <row r="40" ht="25" customHeight="1" thickBot="1">
      <c r="K40" s="707" t="inlineStr">
        <is>
          <t>Cause 3 &amp; Rectified</t>
        </is>
      </c>
      <c r="L40" s="708">
        <f>IF(AND(M4=3,L30=1),1,0)</f>
        <v/>
      </c>
      <c r="AD40" s="3" t="n">
        <v>1</v>
      </c>
      <c r="AE40" s="666" t="inlineStr">
        <is>
          <t>Condensor Fan Motor</t>
        </is>
      </c>
      <c r="AF40" s="3">
        <f>IF(AF12=1,0,1)</f>
        <v/>
      </c>
      <c r="AG40" s="3" t="inlineStr">
        <is>
          <t>Open: 1, Close: 0</t>
        </is>
      </c>
      <c r="AI40" s="3">
        <f>AI39+1</f>
        <v/>
      </c>
      <c r="AJ40" s="686" t="inlineStr">
        <is>
          <t>Remove supply air blower (Screwdriver)</t>
        </is>
      </c>
      <c r="AK40" s="3">
        <f>IF($AL$2&gt;=AI40,1,0)</f>
        <v/>
      </c>
      <c r="AL40" s="236" t="n"/>
      <c r="AN40" s="3">
        <f>AN39+1</f>
        <v/>
      </c>
      <c r="AO40" s="686" t="inlineStr">
        <is>
          <t>Check hp lp pressure using manifold gauge set (None)</t>
        </is>
      </c>
      <c r="AP40" s="3">
        <f>IF($AQ$2&gt;=AN40,1,0)</f>
        <v/>
      </c>
      <c r="AQ40" s="236" t="n"/>
      <c r="AT40" s="859" t="inlineStr">
        <is>
          <t>Cause 1 &amp; Rectified</t>
        </is>
      </c>
      <c r="AU40" s="153">
        <f>IF(AND(AU19=1,$AV$4=1),1,0)</f>
        <v/>
      </c>
      <c r="BR40" s="698">
        <f>BR39+1</f>
        <v/>
      </c>
      <c r="BS40" s="699" t="inlineStr">
        <is>
          <t>Unscrew bolt compressor unit cover (Spanner)</t>
        </is>
      </c>
      <c r="BT40" s="698">
        <f>IF($BU$2&gt;=BR40,1,0)</f>
        <v/>
      </c>
      <c r="BU40" s="685" t="n"/>
    </row>
    <row r="41" ht="25" customHeight="1" thickBot="1">
      <c r="K41" s="702" t="inlineStr">
        <is>
          <t>Fault Reset Logic</t>
        </is>
      </c>
      <c r="L41" s="703">
        <f>IF(OR(L38:L40),1,0)</f>
        <v/>
      </c>
      <c r="M41" s="706" t="inlineStr">
        <is>
          <t>1: Reset</t>
        </is>
      </c>
      <c r="AD41" s="3" t="n">
        <v>2</v>
      </c>
      <c r="AE41" s="709" t="inlineStr">
        <is>
          <t>Condensor Fan Circuit Breaker</t>
        </is>
      </c>
      <c r="AF41" s="3" t="n"/>
      <c r="AG41" s="3" t="n"/>
      <c r="AI41" s="3">
        <f>AI40+1</f>
        <v/>
      </c>
      <c r="AJ41" s="686" t="inlineStr">
        <is>
          <t>Replace supply air blower (Visual Inspection)</t>
        </is>
      </c>
      <c r="AK41" s="3">
        <f>IF($AL$2&gt;=AI41,1,0)</f>
        <v/>
      </c>
      <c r="AL41" s="236" t="n"/>
      <c r="AN41" s="3">
        <f>AN40+1</f>
        <v/>
      </c>
      <c r="AO41" s="686" t="inlineStr">
        <is>
          <t>Unscrew Fan bolt (Spanner)</t>
        </is>
      </c>
      <c r="AP41" s="3">
        <f>IF($AQ$2&gt;=AN41,1,0)</f>
        <v/>
      </c>
      <c r="AQ41" s="236" t="n"/>
      <c r="AT41" s="860" t="inlineStr">
        <is>
          <t>Cause 2 &amp; Rectified</t>
        </is>
      </c>
      <c r="AU41" s="215">
        <f>IF(AND(AU25=1,$AV$4=2),1,0)</f>
        <v/>
      </c>
      <c r="BR41" s="698">
        <f>BR40+1</f>
        <v/>
      </c>
      <c r="BS41" s="699" t="inlineStr">
        <is>
          <t>Compressor Cover Removal (None)</t>
        </is>
      </c>
      <c r="BT41" s="698">
        <f>IF($BU$2&gt;=BR41,1,0)</f>
        <v/>
      </c>
      <c r="BU41" s="685" t="n"/>
    </row>
    <row r="42" ht="25" customHeight="1">
      <c r="AD42" s="3" t="n">
        <v>3</v>
      </c>
      <c r="AE42" s="666" t="inlineStr">
        <is>
          <t>Condensor Coil</t>
        </is>
      </c>
      <c r="AF42" s="3" t="n"/>
      <c r="AG42" s="3" t="n"/>
      <c r="AI42" s="3">
        <f>AI41+1</f>
        <v/>
      </c>
      <c r="AJ42" s="686" t="inlineStr">
        <is>
          <t>Close air supply blower (Visual Inspection)</t>
        </is>
      </c>
      <c r="AK42" s="3">
        <f>IF($AL$2&gt;=AI42,1,0)</f>
        <v/>
      </c>
      <c r="AL42" s="236" t="n"/>
      <c r="AN42" s="3">
        <f>AN41+1</f>
        <v/>
      </c>
      <c r="AO42" s="686" t="inlineStr">
        <is>
          <t>Open fan cover (Insulated Gloves)</t>
        </is>
      </c>
      <c r="AP42" s="3">
        <f>IF($AQ$2&gt;=AN42,1,0)</f>
        <v/>
      </c>
      <c r="AQ42" s="236" t="n"/>
      <c r="AT42" s="860" t="inlineStr">
        <is>
          <t>Cause 3 &amp; Rectified</t>
        </is>
      </c>
      <c r="AU42" s="215">
        <f>IF(AND(AU15=1,$AV$4=3),1,0)</f>
        <v/>
      </c>
      <c r="BR42" s="698">
        <f>BR41+1</f>
        <v/>
      </c>
      <c r="BS42" s="699" t="inlineStr">
        <is>
          <t>Check hp lp pressure using manifold gauge set (None)</t>
        </is>
      </c>
      <c r="BT42" s="698">
        <f>IF($BU$2&gt;=BR42,1,0)</f>
        <v/>
      </c>
      <c r="BU42" s="685" t="n"/>
    </row>
    <row r="43" ht="35.15" customHeight="1">
      <c r="AD43" s="3" t="n">
        <v>4</v>
      </c>
      <c r="AE43" s="666" t="inlineStr">
        <is>
          <t>Refrigerent Level</t>
        </is>
      </c>
      <c r="AF43" s="3" t="n"/>
      <c r="AG43" s="3" t="n"/>
      <c r="AI43" s="3">
        <f>AI42+1</f>
        <v/>
      </c>
      <c r="AJ43" s="686" t="inlineStr">
        <is>
          <t>Unscrew bottom panel (Spanner)</t>
        </is>
      </c>
      <c r="AK43" s="3">
        <f>IF($AL$2&gt;=AI43,1,0)</f>
        <v/>
      </c>
      <c r="AL43" s="236" t="n"/>
      <c r="AN43" s="3">
        <f>AN42+1</f>
        <v/>
      </c>
      <c r="AO43" s="686" t="inlineStr">
        <is>
          <t>Remove the compressor (Insulated Gloves)</t>
        </is>
      </c>
      <c r="AP43" s="3">
        <f>IF($AQ$2&gt;=AN43,1,0)</f>
        <v/>
      </c>
      <c r="AQ43" s="236" t="n"/>
      <c r="AT43" s="860" t="inlineStr">
        <is>
          <t>Cause 4 &amp; Rectified</t>
        </is>
      </c>
      <c r="AU43" s="215">
        <f>IF(AND(AU16=1,$AV$4=4),1,0)</f>
        <v/>
      </c>
      <c r="BR43" s="698">
        <f>BR42+1</f>
        <v/>
      </c>
      <c r="BS43" s="699" t="inlineStr">
        <is>
          <t>Compressor Cover close (None)</t>
        </is>
      </c>
      <c r="BT43" s="698">
        <f>IF($BU$2&gt;=BR43,1,0)</f>
        <v/>
      </c>
      <c r="BU43" s="685" t="n"/>
    </row>
    <row r="44" ht="25" customHeight="1" thickBot="1">
      <c r="AI44" s="3">
        <f>AI43+1</f>
        <v/>
      </c>
      <c r="AJ44" s="686" t="inlineStr">
        <is>
          <t>Remove bottom panel (Insulated Gloves)</t>
        </is>
      </c>
      <c r="AK44" s="3">
        <f>IF($AL$2&gt;=AI44,1,0)</f>
        <v/>
      </c>
      <c r="AL44" s="236" t="n"/>
      <c r="AN44" s="3">
        <f>AN43+1</f>
        <v/>
      </c>
      <c r="AO44" s="686" t="inlineStr">
        <is>
          <t>Replace the compressor (None)</t>
        </is>
      </c>
      <c r="AP44" s="3">
        <f>IF($AQ$2&gt;=AN44,1,0)</f>
        <v/>
      </c>
      <c r="AQ44" s="236" t="n"/>
      <c r="AT44" s="860" t="inlineStr">
        <is>
          <t>Cause 5 &amp; Rectified</t>
        </is>
      </c>
      <c r="AU44" s="215">
        <f>IF(AND(AU17=1,$AV$4=5),1,0)</f>
        <v/>
      </c>
      <c r="BR44" s="698">
        <f>BR43+1</f>
        <v/>
      </c>
      <c r="BS44" s="699" t="inlineStr">
        <is>
          <t>Screw bolt compressor unit cover (None)</t>
        </is>
      </c>
      <c r="BT44" s="698">
        <f>IF($BU$2&gt;=BR44,1,0)</f>
        <v/>
      </c>
      <c r="BU44" s="685" t="n"/>
    </row>
    <row r="45" ht="25" customHeight="1" thickBot="1">
      <c r="AE45" s="859" t="inlineStr">
        <is>
          <t>Cause 1 &amp; Rectified</t>
        </is>
      </c>
      <c r="AF45" s="153">
        <f>IF(AND(AF16=1,AG4=1),1,0)</f>
        <v/>
      </c>
      <c r="AI45" s="3">
        <f>AI44+1</f>
        <v/>
      </c>
      <c r="AJ45" s="686" t="inlineStr">
        <is>
          <t>Unscrew return air damper (Spanner)</t>
        </is>
      </c>
      <c r="AK45" s="3">
        <f>IF($AL$2&gt;=AI45,1,0)</f>
        <v/>
      </c>
      <c r="AL45" s="236" t="n"/>
      <c r="AN45" s="3">
        <f>AN44+1</f>
        <v/>
      </c>
      <c r="AO45" s="686" t="inlineStr">
        <is>
          <t>Close HVAC components (None)</t>
        </is>
      </c>
      <c r="AP45" s="3">
        <f>IF($AQ$2&gt;=AN45,1,0)</f>
        <v/>
      </c>
      <c r="AQ45" s="236" t="n"/>
      <c r="AT45" s="702" t="inlineStr">
        <is>
          <t>Fault Reset Logic</t>
        </is>
      </c>
      <c r="AU45" s="703">
        <f>IF(OR(AU40:AU44),1,0)</f>
        <v/>
      </c>
      <c r="BR45" s="698">
        <f>BR44+1</f>
        <v/>
      </c>
      <c r="BS45" s="699" t="inlineStr">
        <is>
          <t>Unscrew bottom panel (Spanner)</t>
        </is>
      </c>
      <c r="BT45" s="698">
        <f>IF($BU$2&gt;=BR45,1,0)</f>
        <v/>
      </c>
      <c r="BU45" s="685" t="n"/>
    </row>
    <row r="46" ht="41.15" customHeight="1">
      <c r="AE46" s="860" t="inlineStr">
        <is>
          <t>Cause 2 &amp; Rectified</t>
        </is>
      </c>
      <c r="AF46" s="215">
        <f>IF(AND(AF21=1,AG4=2),1,0)</f>
        <v/>
      </c>
      <c r="AI46" s="3">
        <f>AI45+1</f>
        <v/>
      </c>
      <c r="AJ46" s="686" t="inlineStr">
        <is>
          <t>Remove return air damper (Insulated Gloves)</t>
        </is>
      </c>
      <c r="AK46" s="3">
        <f>IF($AL$2&gt;=AI46,1,0)</f>
        <v/>
      </c>
      <c r="AL46" s="236" t="n"/>
      <c r="AN46" s="3">
        <f>AN45+1</f>
        <v/>
      </c>
      <c r="AO46" s="686" t="inlineStr">
        <is>
          <t>Loosen and remove 24 nos M8X20 bolts (8) along with washer set (7) to open evaporator cover (9). (Spanner)</t>
        </is>
      </c>
      <c r="AP46" s="3">
        <f>IF($AQ$2&gt;=AN46,1,0)</f>
        <v/>
      </c>
      <c r="AQ46" s="236" t="n"/>
      <c r="BR46" s="698">
        <f>BR45+1</f>
        <v/>
      </c>
      <c r="BS46" s="699" t="inlineStr">
        <is>
          <t>Remove bottom panel (Insulated Gloves)</t>
        </is>
      </c>
      <c r="BT46" s="698">
        <f>IF($BU$2&gt;=BR46,1,0)</f>
        <v/>
      </c>
      <c r="BU46" s="685" t="n"/>
    </row>
    <row r="47" ht="34.5" customHeight="1">
      <c r="AE47" s="860" t="inlineStr">
        <is>
          <t>Cause 3 &amp; Rectified</t>
        </is>
      </c>
      <c r="AF47" s="215">
        <f>IF(AND(AF28=1,AG4=3),1,0)</f>
        <v/>
      </c>
      <c r="AI47" s="3">
        <f>AI46+1</f>
        <v/>
      </c>
      <c r="AJ47" s="686" t="inlineStr">
        <is>
          <t>Check moisture indicator on the sight glass (1) to find any excessive moisture in the system. (Electronic Leak Detector)</t>
        </is>
      </c>
      <c r="AK47" s="3">
        <f>IF($AL$2&gt;=AI47,1,0)</f>
        <v/>
      </c>
      <c r="AL47" s="236" t="n"/>
      <c r="AN47" s="3">
        <f>AN46+1</f>
        <v/>
      </c>
      <c r="AO47" s="686" t="inlineStr">
        <is>
          <t>Remove hinge pins to remove the evaporator cover (9) from HVAC unit. (Pliers)</t>
        </is>
      </c>
      <c r="AP47" s="3">
        <f>IF($AQ$2&gt;=AN47,1,0)</f>
        <v/>
      </c>
      <c r="AQ47" s="236" t="n"/>
      <c r="BR47" s="698">
        <f>BR46+1</f>
        <v/>
      </c>
      <c r="BS47" s="699" t="inlineStr">
        <is>
          <t>Unscrew return air damper (Spanner)</t>
        </is>
      </c>
      <c r="BT47" s="698">
        <f>IF($BU$2&gt;=BR47,1,0)</f>
        <v/>
      </c>
      <c r="BU47" s="685" t="n"/>
    </row>
    <row r="48" ht="25" customHeight="1" thickBot="1">
      <c r="AE48" s="860" t="inlineStr">
        <is>
          <t>Cause 4 &amp; Rectified</t>
        </is>
      </c>
      <c r="AF48" s="168">
        <f>IF(AND(AF36=1,AG4=4),1,0)</f>
        <v/>
      </c>
      <c r="AI48" s="3">
        <f>AI47+1</f>
        <v/>
      </c>
      <c r="AJ48" s="686" t="inlineStr">
        <is>
          <t>Locate the leak and repair (Spanner)</t>
        </is>
      </c>
      <c r="AK48" s="3">
        <f>IF($AL$2&gt;=AI48,1,0)</f>
        <v/>
      </c>
      <c r="AL48" s="236" t="n"/>
      <c r="AN48" s="3">
        <f>AN47+1</f>
        <v/>
      </c>
      <c r="AO48" s="686" t="inlineStr">
        <is>
          <t>Remove the evaporator cover (9) from HVAC unit using suitable lifting device. (None)</t>
        </is>
      </c>
      <c r="AP48" s="3">
        <f>IF($AQ$2&gt;=AN48,1,0)</f>
        <v/>
      </c>
      <c r="AQ48" s="236" t="n"/>
      <c r="BR48" s="698">
        <f>BR47+1</f>
        <v/>
      </c>
      <c r="BS48" s="699" t="inlineStr">
        <is>
          <t>Remove return air damper (Insulated Gloves)</t>
        </is>
      </c>
      <c r="BT48" s="698">
        <f>IF($BU$2&gt;=BR48,1,0)</f>
        <v/>
      </c>
      <c r="BU48" s="685" t="n"/>
    </row>
    <row r="49" ht="25" customHeight="1" thickBot="1">
      <c r="AE49" s="702" t="inlineStr">
        <is>
          <t>Fault Reset Logic</t>
        </is>
      </c>
      <c r="AF49" s="703">
        <f>IF(OR(AF45:AF48),1,0)</f>
        <v/>
      </c>
      <c r="AI49" s="3">
        <f>AI48+1</f>
        <v/>
      </c>
      <c r="AJ49" s="686" t="inlineStr">
        <is>
          <t>Unbolt the return air temperature sensor (Spanner)</t>
        </is>
      </c>
      <c r="AK49" s="3">
        <f>IF($AL$2&gt;=AI49,1,0)</f>
        <v/>
      </c>
      <c r="AL49" s="236" t="n"/>
      <c r="AN49" s="3">
        <f>AN48+1</f>
        <v/>
      </c>
      <c r="AO49" s="686" t="inlineStr">
        <is>
          <t>Check temperature of solenoid valve using clamp thermometer (Clamp Thermometer)</t>
        </is>
      </c>
      <c r="AP49" s="3">
        <f>IF($AQ$2&gt;=AN49,1,0)</f>
        <v/>
      </c>
      <c r="AQ49" s="236" t="n"/>
      <c r="BR49" s="698">
        <f>BR48+1</f>
        <v/>
      </c>
      <c r="BS49" s="699" t="inlineStr">
        <is>
          <t>Unscrew Fan cover bolt (Spanner)</t>
        </is>
      </c>
      <c r="BT49" s="698">
        <f>IF($BU$2&gt;=BR49,1,0)</f>
        <v/>
      </c>
      <c r="BU49" s="685" t="n"/>
    </row>
    <row r="50" ht="25" customHeight="1">
      <c r="AI50" s="3">
        <f>AI49+1</f>
        <v/>
      </c>
      <c r="AJ50" s="686" t="inlineStr">
        <is>
          <t>Remove the return air temperature sensor (None)</t>
        </is>
      </c>
      <c r="AK50" s="3">
        <f>IF($AL$2&gt;=AI50,1,0)</f>
        <v/>
      </c>
      <c r="AL50" s="236" t="n"/>
      <c r="AN50" s="3">
        <f>AN49+1</f>
        <v/>
      </c>
      <c r="AO50" s="686" t="inlineStr">
        <is>
          <t>Unscrew solenoid valve using spanner (Spanner)</t>
        </is>
      </c>
      <c r="AP50" s="3">
        <f>IF($AQ$2&gt;=AN50,1,0)</f>
        <v/>
      </c>
      <c r="AQ50" s="236" t="n"/>
      <c r="BR50" s="698">
        <f>BR49+1</f>
        <v/>
      </c>
      <c r="BS50" s="699" t="inlineStr">
        <is>
          <t>Open fan cover (Insulated Gloves)</t>
        </is>
      </c>
      <c r="BT50" s="698">
        <f>IF($BU$2&gt;=BR50,1,0)</f>
        <v/>
      </c>
      <c r="BU50" s="685" t="n"/>
    </row>
    <row r="51" ht="25" customHeight="1">
      <c r="AI51" s="3">
        <f>AI50+1</f>
        <v/>
      </c>
      <c r="AJ51" s="686" t="inlineStr">
        <is>
          <t>Replace the return air temperature sensor (None)</t>
        </is>
      </c>
      <c r="AK51" s="3">
        <f>IF($AL$2&gt;=AI51,1,0)</f>
        <v/>
      </c>
      <c r="AL51" s="236" t="n"/>
      <c r="AN51" s="3">
        <f>AN50+1</f>
        <v/>
      </c>
      <c r="AO51" s="686" t="inlineStr">
        <is>
          <t>Remove solenoid valve (Visual Inspection)</t>
        </is>
      </c>
      <c r="AP51" s="3">
        <f>IF($AQ$2&gt;=AN51,1,0)</f>
        <v/>
      </c>
      <c r="AQ51" s="236" t="n"/>
      <c r="BR51" s="698">
        <f>BR50+1</f>
        <v/>
      </c>
      <c r="BS51" s="699" t="inlineStr">
        <is>
          <t>Clean the condenser fan with dry compressed air (Compressed Air)</t>
        </is>
      </c>
      <c r="BT51" s="698">
        <f>IF($BU$2&gt;=BR51,1,0)</f>
        <v/>
      </c>
      <c r="BU51" s="685" t="n"/>
    </row>
    <row r="52" ht="38.5" customHeight="1">
      <c r="AI52" s="3">
        <f>AI51+1</f>
        <v/>
      </c>
      <c r="AJ52" s="686" t="inlineStr">
        <is>
          <t>Secure the RAT sensor bolt (None)</t>
        </is>
      </c>
      <c r="AK52" s="3">
        <f>IF($AL$2&gt;=AI52,1,0)</f>
        <v/>
      </c>
      <c r="AL52" s="236" t="n"/>
      <c r="AN52" s="3">
        <f>AN51+1</f>
        <v/>
      </c>
      <c r="AO52" s="686" t="inlineStr">
        <is>
          <t>Replace solenoid valve (Visual Inspection)</t>
        </is>
      </c>
      <c r="AP52" s="3">
        <f>IF($AQ$2&gt;=AN52,1,0)</f>
        <v/>
      </c>
      <c r="AQ52" s="236" t="n"/>
      <c r="BR52" s="698">
        <f>BR51+1</f>
        <v/>
      </c>
      <c r="BS52" s="699" t="inlineStr">
        <is>
          <t>Unscrew condenser fan bolt (Spanner)</t>
        </is>
      </c>
      <c r="BT52" s="698">
        <f>IF($BU$2&gt;=BR52,1,0)</f>
        <v/>
      </c>
      <c r="BU52" s="685" t="n"/>
    </row>
    <row r="53" ht="25" customHeight="1">
      <c r="AI53" s="3">
        <f>AI52+1</f>
        <v/>
      </c>
      <c r="AJ53" s="686" t="inlineStr">
        <is>
          <t>Check the temperature sensors for any damage (Clamp Thermometer)</t>
        </is>
      </c>
      <c r="AK53" s="3">
        <f>IF($AL$2&gt;=AI53,1,0)</f>
        <v/>
      </c>
      <c r="AL53" s="236" t="n"/>
      <c r="AN53" s="3">
        <f>AN52+1</f>
        <v/>
      </c>
      <c r="AO53" s="686" t="inlineStr">
        <is>
          <t>Screw solenoid valve using spanner (Visual Inspection)</t>
        </is>
      </c>
      <c r="AP53" s="3">
        <f>IF($AQ$2&gt;=AN53,1,0)</f>
        <v/>
      </c>
      <c r="AQ53" s="236" t="n"/>
      <c r="BR53" s="698">
        <f>BR52+1</f>
        <v/>
      </c>
      <c r="BS53" s="699" t="inlineStr">
        <is>
          <t>Remove condenser fan (Insulated Gloves)</t>
        </is>
      </c>
      <c r="BT53" s="698">
        <f>IF($BU$2&gt;=BR53,1,0)</f>
        <v/>
      </c>
      <c r="BU53" s="685" t="n"/>
    </row>
    <row r="54" ht="32.5" customHeight="1">
      <c r="AI54" s="3">
        <f>AI53+1</f>
        <v/>
      </c>
      <c r="AJ54" s="686" t="inlineStr">
        <is>
          <t>Place external calibrated temperature sensor close to the return air temperature sensor. (Calibrated Thermometer)</t>
        </is>
      </c>
      <c r="AK54" s="3">
        <f>IF($AL$2&gt;=AI54,1,0)</f>
        <v/>
      </c>
      <c r="AL54" s="236" t="n"/>
      <c r="AN54" s="3">
        <f>AN53+1</f>
        <v/>
      </c>
      <c r="AO54" s="686" t="inlineStr">
        <is>
          <t>Close HVAC components (None)</t>
        </is>
      </c>
      <c r="AP54" s="3">
        <f>IF($AQ$2&gt;=AN54,1,0)</f>
        <v/>
      </c>
      <c r="AQ54" s="236" t="n"/>
      <c r="BR54" s="698">
        <f>BR53+1</f>
        <v/>
      </c>
      <c r="BS54" s="699" t="inlineStr">
        <is>
          <t>Replace condenser fan (None)</t>
        </is>
      </c>
      <c r="BT54" s="698">
        <f>IF($BU$2&gt;=BR54,1,0)</f>
        <v/>
      </c>
      <c r="BU54" s="685" t="n"/>
    </row>
    <row r="55" ht="25" customHeight="1">
      <c r="AI55" s="3">
        <f>AI54+1</f>
        <v/>
      </c>
      <c r="AJ55" s="686" t="inlineStr">
        <is>
          <t>Check working (Visual Inspection)</t>
        </is>
      </c>
      <c r="AK55" s="3">
        <f>IF($AL$2&gt;=AI55,1,0)</f>
        <v/>
      </c>
      <c r="AL55" s="236" t="n"/>
      <c r="BR55" s="698">
        <f>BR54+1</f>
        <v/>
      </c>
      <c r="BS55" s="699" t="inlineStr">
        <is>
          <t>Close fan cover (None)</t>
        </is>
      </c>
      <c r="BT55" s="698">
        <f>IF($BU$2&gt;=BR55,1,0)</f>
        <v/>
      </c>
      <c r="BU55" s="685" t="n"/>
    </row>
    <row r="56" ht="25" customHeight="1">
      <c r="BR56" s="698">
        <f>BR55+1</f>
        <v/>
      </c>
      <c r="BS56" s="699" t="inlineStr">
        <is>
          <t>Secure Fan cover bolt (None)</t>
        </is>
      </c>
      <c r="BT56" s="698">
        <f>IF($BU$2&gt;=BR56,1,0)</f>
        <v/>
      </c>
      <c r="BU56" s="685" t="n"/>
    </row>
    <row r="57" ht="25" customHeight="1">
      <c r="AN57" s="657" t="inlineStr">
        <is>
          <t>Sr. No.</t>
        </is>
      </c>
      <c r="AO57" s="657" t="inlineStr">
        <is>
          <t>Components Affected</t>
        </is>
      </c>
      <c r="AP57" s="657" t="n"/>
      <c r="AQ57" s="657" t="n"/>
      <c r="BR57" s="698">
        <f>BR56+1</f>
        <v/>
      </c>
      <c r="BS57" s="699" t="inlineStr">
        <is>
          <t>Run HVAC 20 mins. (None)</t>
        </is>
      </c>
      <c r="BT57" s="698">
        <f>IF($BU$2&gt;=BR57,1,0)</f>
        <v/>
      </c>
      <c r="BU57" s="685" t="n"/>
    </row>
    <row r="58" ht="35.15" customHeight="1">
      <c r="AI58" s="657" t="inlineStr">
        <is>
          <t>Sr. No.</t>
        </is>
      </c>
      <c r="AJ58" s="657" t="inlineStr">
        <is>
          <t>Components Affected</t>
        </is>
      </c>
      <c r="AK58" s="657" t="n"/>
      <c r="AL58" s="657" t="n"/>
      <c r="AN58" s="3" t="n">
        <v>1</v>
      </c>
      <c r="AO58" s="666" t="inlineStr">
        <is>
          <t>Refrigerent Level</t>
        </is>
      </c>
      <c r="AP58" s="3">
        <f>IF(AP14=1,0,1)</f>
        <v/>
      </c>
      <c r="AQ58" s="3" t="inlineStr">
        <is>
          <t>Open: 1, Close: 0</t>
        </is>
      </c>
      <c r="BR58" s="698">
        <f>BR57+1</f>
        <v/>
      </c>
      <c r="BS58" s="699" t="inlineStr">
        <is>
          <t>Loosen and remove 24 nos M8X20 bolts (8) along with washer set (7) to open evaporator cover (9). (Spanner)</t>
        </is>
      </c>
      <c r="BT58" s="698">
        <f>IF($BU$2&gt;=BR58,1,0)</f>
        <v/>
      </c>
      <c r="BU58" s="685" t="n"/>
    </row>
    <row r="59" ht="25" customHeight="1">
      <c r="AI59" s="3" t="n">
        <v>1</v>
      </c>
      <c r="AJ59" s="666" t="inlineStr">
        <is>
          <t>Circuit Breaker</t>
        </is>
      </c>
      <c r="AK59" s="3">
        <f>IF(AK11=1,0,1)</f>
        <v/>
      </c>
      <c r="AL59" s="3" t="inlineStr">
        <is>
          <t>Open: 1, Close: 0</t>
        </is>
      </c>
      <c r="AN59" s="3" t="n">
        <v>2</v>
      </c>
      <c r="AO59" s="666" t="inlineStr">
        <is>
          <t>Evaporator Coil</t>
        </is>
      </c>
      <c r="AP59" s="3" t="n"/>
      <c r="AQ59" s="3" t="n"/>
      <c r="BR59" s="698">
        <f>BR58+1</f>
        <v/>
      </c>
      <c r="BS59" s="699" t="inlineStr">
        <is>
          <t>Remove hinge pins to remove the evaporator cover (9) from HVAC unit. (Pliers)</t>
        </is>
      </c>
      <c r="BT59" s="698">
        <f>IF($BU$2&gt;=BR59,1,0)</f>
        <v/>
      </c>
      <c r="BU59" s="685" t="n"/>
    </row>
    <row r="60" ht="25" customHeight="1">
      <c r="AI60" s="3" t="n">
        <v>2</v>
      </c>
      <c r="AJ60" s="666" t="inlineStr">
        <is>
          <t>Condensor Fan Motor</t>
        </is>
      </c>
      <c r="AK60" s="3" t="n"/>
      <c r="AL60" s="3" t="n"/>
      <c r="AN60" s="3" t="n">
        <v>3</v>
      </c>
      <c r="AO60" s="666" t="inlineStr">
        <is>
          <t>TX Valve</t>
        </is>
      </c>
      <c r="AP60" s="3" t="n"/>
      <c r="AQ60" s="3" t="n"/>
      <c r="BR60" s="698">
        <f>BR59+1</f>
        <v/>
      </c>
      <c r="BS60" s="699" t="inlineStr">
        <is>
          <t>Remove the evaporator cover (9) from HVAC unit using suitable lifting device. (None)</t>
        </is>
      </c>
      <c r="BT60" s="698">
        <f>IF($BU$2&gt;=BR60,1,0)</f>
        <v/>
      </c>
      <c r="BU60" s="685" t="n"/>
    </row>
    <row r="61" ht="25" customHeight="1">
      <c r="AI61" s="3" t="n">
        <v>3</v>
      </c>
      <c r="AJ61" s="666" t="inlineStr">
        <is>
          <t>RAT Sensor</t>
        </is>
      </c>
      <c r="AK61" s="3" t="n"/>
      <c r="AL61" s="3" t="n"/>
      <c r="AN61" s="3" t="n">
        <v>4</v>
      </c>
      <c r="AO61" s="666" t="inlineStr">
        <is>
          <t>Condensor Coil</t>
        </is>
      </c>
      <c r="AP61" s="3" t="n"/>
      <c r="AQ61" s="3" t="n"/>
      <c r="BR61" s="698">
        <f>BR60+1</f>
        <v/>
      </c>
      <c r="BS61" s="699" t="inlineStr">
        <is>
          <t>Unusual noise from supply air blower (None)</t>
        </is>
      </c>
      <c r="BT61" s="698">
        <f>IF($BU$2&gt;=BR61,1,0)</f>
        <v/>
      </c>
      <c r="BU61" s="685" t="n"/>
    </row>
    <row r="62" ht="25" customHeight="1" thickBot="1">
      <c r="AN62" s="3" t="n">
        <v>5</v>
      </c>
      <c r="AO62" s="666" t="inlineStr">
        <is>
          <t>Compressor</t>
        </is>
      </c>
      <c r="AP62" s="3" t="n"/>
      <c r="AQ62" s="3" t="n"/>
      <c r="BR62" s="698">
        <f>BR61+1</f>
        <v/>
      </c>
      <c r="BS62" s="699" t="inlineStr">
        <is>
          <t>Open supply air cover (Spanner)</t>
        </is>
      </c>
      <c r="BT62" s="698">
        <f>IF($BU$2&gt;=BR62,1,0)</f>
        <v/>
      </c>
      <c r="BU62" s="685" t="n"/>
    </row>
    <row r="63" ht="25" customHeight="1">
      <c r="AJ63" s="859" t="inlineStr">
        <is>
          <t>Cause 1 &amp; Rectified</t>
        </is>
      </c>
      <c r="AK63" s="153">
        <f>IF(AND(AK16=1,AL4=1),1,0)</f>
        <v/>
      </c>
      <c r="AN63" s="3" t="n">
        <v>6</v>
      </c>
      <c r="AO63" s="666" t="inlineStr">
        <is>
          <t>Solenoid Valve</t>
        </is>
      </c>
      <c r="AP63" s="3" t="n"/>
      <c r="AQ63" s="3" t="n"/>
      <c r="BR63" s="698">
        <f>BR62+1</f>
        <v/>
      </c>
      <c r="BS63" s="699" t="inlineStr">
        <is>
          <t>Remove supply air blower (Screwdriver)</t>
        </is>
      </c>
      <c r="BT63" s="698">
        <f>IF($BU$2&gt;=BR63,1,0)</f>
        <v/>
      </c>
      <c r="BU63" s="685" t="n"/>
    </row>
    <row r="64" ht="25" customHeight="1" thickBot="1">
      <c r="AJ64" s="860" t="inlineStr">
        <is>
          <t>Cause 2 &amp; Rectified</t>
        </is>
      </c>
      <c r="AK64" s="215">
        <f>IF(AND(AK29=1,AL4=2),1,0)</f>
        <v/>
      </c>
      <c r="BR64" s="698">
        <f>BR63+1</f>
        <v/>
      </c>
      <c r="BS64" s="699" t="inlineStr">
        <is>
          <t>Replace supply air blower (Visual Inspection)</t>
        </is>
      </c>
      <c r="BT64" s="698">
        <f>IF($BU$2&gt;=BR64,1,0)</f>
        <v/>
      </c>
      <c r="BU64" s="685" t="n"/>
    </row>
    <row r="65" ht="25" customHeight="1" thickBot="1">
      <c r="AJ65" s="860" t="inlineStr">
        <is>
          <t>Cause 3 &amp; Rectified</t>
        </is>
      </c>
      <c r="AK65" s="215">
        <f>IF(AND(AK55=1,AL4=3),1,0)</f>
        <v/>
      </c>
      <c r="AO65" s="710" t="inlineStr">
        <is>
          <t>Cause 1 &amp; Rectified</t>
        </is>
      </c>
      <c r="AP65" s="711" t="n"/>
      <c r="AQ65" s="310" t="inlineStr">
        <is>
          <t>Not preent</t>
        </is>
      </c>
      <c r="BR65" s="698">
        <f>BR64+1</f>
        <v/>
      </c>
      <c r="BS65" s="699" t="inlineStr">
        <is>
          <t>Close supply air cover (None)</t>
        </is>
      </c>
      <c r="BT65" s="698">
        <f>IF($BU$2&gt;=BR65,1,0)</f>
        <v/>
      </c>
      <c r="BU65" s="685" t="n"/>
    </row>
    <row r="66" ht="25" customHeight="1" thickBot="1">
      <c r="AJ66" s="702" t="inlineStr">
        <is>
          <t>Fault Reset Logic</t>
        </is>
      </c>
      <c r="AK66" s="703">
        <f>IF(OR(AK63:AK65),1,0)</f>
        <v/>
      </c>
      <c r="AO66" s="860" t="inlineStr">
        <is>
          <t>Cause 2 &amp; Rectified</t>
        </is>
      </c>
      <c r="AP66" s="215">
        <f>IF(AND(AP21=1,$AQ$4=2),1,0)</f>
        <v/>
      </c>
      <c r="BR66" s="698">
        <f>BR65+1</f>
        <v/>
      </c>
      <c r="BS66" s="699" t="inlineStr">
        <is>
          <t>Check for leaks in TX Valve (Electronic Leak Detector)</t>
        </is>
      </c>
      <c r="BT66" s="698">
        <f>IF($BU$2&gt;=BR66,1,0)</f>
        <v/>
      </c>
      <c r="BU66" s="685" t="n"/>
    </row>
    <row r="67" ht="25" customHeight="1">
      <c r="AO67" s="860" t="inlineStr">
        <is>
          <t>Cause 3 &amp; Rectified</t>
        </is>
      </c>
      <c r="AP67" s="215">
        <f>IF(AND(AP27=1,$AQ$4=3),1,0)</f>
        <v/>
      </c>
      <c r="BR67" s="698">
        <f>BR66+1</f>
        <v/>
      </c>
      <c r="BS67" s="699" t="inlineStr">
        <is>
          <t>Close the evaporator cover (None)</t>
        </is>
      </c>
      <c r="BT67" s="698">
        <f>IF($BU$2&gt;=BR67,1,0)</f>
        <v/>
      </c>
      <c r="BU67" s="685" t="n"/>
    </row>
    <row r="68" ht="25" customHeight="1">
      <c r="AO68" s="860" t="inlineStr">
        <is>
          <t>Cause 4 &amp; Rectified</t>
        </is>
      </c>
      <c r="AP68" s="215">
        <f>IF(AND(AP33=1,$AQ$4=4),1,0)</f>
        <v/>
      </c>
      <c r="BR68" s="698">
        <f>BR67+1</f>
        <v/>
      </c>
      <c r="BS68" s="699" t="inlineStr">
        <is>
          <t>Fix hinge pins to close the evaporator cover (None)</t>
        </is>
      </c>
      <c r="BT68" s="698">
        <f>IF($BU$2&gt;=BR68,1,0)</f>
        <v/>
      </c>
      <c r="BU68" s="685" t="n"/>
    </row>
    <row r="69" ht="25" customHeight="1">
      <c r="AO69" s="860" t="inlineStr">
        <is>
          <t>Cause 5 &amp; Rectified</t>
        </is>
      </c>
      <c r="AP69" s="215">
        <f>IF(AND(AP44=1,$AQ$4=5),1,0)</f>
        <v/>
      </c>
      <c r="BR69" s="698">
        <f>BR68+1</f>
        <v/>
      </c>
      <c r="BS69" s="699" t="inlineStr">
        <is>
          <t>Secure 24 nos M8X20 bolts (to close evaporator cover (None)</t>
        </is>
      </c>
      <c r="BT69" s="698">
        <f>IF($BU$2&gt;=BR69,1,0)</f>
        <v/>
      </c>
      <c r="BU69" s="685" t="n"/>
    </row>
    <row r="70" ht="25" customHeight="1" thickBot="1">
      <c r="AO70" s="860" t="inlineStr">
        <is>
          <t>Cause 6 &amp; Rectified</t>
        </is>
      </c>
      <c r="AP70" s="215">
        <f>IF(AND(AP54=1,$AQ$4=6),1,0)</f>
        <v/>
      </c>
      <c r="BR70" s="698">
        <f>BR69+1</f>
        <v/>
      </c>
      <c r="BS70" s="699" t="inlineStr">
        <is>
          <t>Remove Condenser Mesh with lifting device (Lifting Device)</t>
        </is>
      </c>
      <c r="BT70" s="698">
        <f>IF($BU$2&gt;=BR70,1,0)</f>
        <v/>
      </c>
      <c r="BU70" s="685" t="n"/>
    </row>
    <row r="71" ht="25" customHeight="1" thickBot="1">
      <c r="AO71" s="702" t="inlineStr">
        <is>
          <t>Fault Reset Logic</t>
        </is>
      </c>
      <c r="AP71" s="703">
        <f>IF(OR(AP65:AP70),1,0)</f>
        <v/>
      </c>
      <c r="BR71" s="698">
        <f>BR70+1</f>
        <v/>
      </c>
      <c r="BS71" s="699" t="inlineStr">
        <is>
          <t>Remove Condenser Coil &amp; Filter with lifting device (Lifting Device)</t>
        </is>
      </c>
      <c r="BT71" s="698">
        <f>IF($BU$2&gt;=BR71,1,0)</f>
        <v/>
      </c>
      <c r="BU71" s="685" t="n"/>
    </row>
    <row r="72" ht="25" customHeight="1">
      <c r="BR72" s="698">
        <f>BR71+1</f>
        <v/>
      </c>
      <c r="BS72" s="699" t="inlineStr">
        <is>
          <t>Open Filter Drier Cover (Screwdriver)</t>
        </is>
      </c>
      <c r="BT72" s="698">
        <f>IF($BU$2&gt;=BR72,1,0)</f>
        <v/>
      </c>
      <c r="BU72" s="685" t="n"/>
    </row>
    <row r="73" ht="25" customHeight="1">
      <c r="BR73" s="698">
        <f>BR72+1</f>
        <v/>
      </c>
      <c r="BS73" s="699" t="inlineStr">
        <is>
          <t>Remove Filter Drier (Insulated Gloves)</t>
        </is>
      </c>
      <c r="BT73" s="698">
        <f>IF($BU$2&gt;=BR73,1,0)</f>
        <v/>
      </c>
      <c r="BU73" s="685" t="n"/>
    </row>
    <row r="74" ht="25" customHeight="1">
      <c r="BR74" s="698">
        <f>BR73+1</f>
        <v/>
      </c>
      <c r="BS74" s="699" t="inlineStr">
        <is>
          <t>Replace Filter Drier (Visual Inspection)</t>
        </is>
      </c>
      <c r="BT74" s="698">
        <f>IF($BU$2&gt;=BR74,1,0)</f>
        <v/>
      </c>
      <c r="BU74" s="685" t="n"/>
    </row>
    <row r="75" ht="25" customHeight="1">
      <c r="BR75" s="698">
        <f>BR74+1</f>
        <v/>
      </c>
      <c r="BS75" s="699" t="inlineStr">
        <is>
          <t>Close Filter Drier Cover (None)</t>
        </is>
      </c>
      <c r="BT75" s="698">
        <f>IF($BU$2&gt;=BR75,1,0)</f>
        <v/>
      </c>
      <c r="BU75" s="685" t="n"/>
    </row>
    <row r="76" ht="25" customHeight="1">
      <c r="BR76" s="698">
        <f>BR75+1</f>
        <v/>
      </c>
      <c r="BS76" s="699" t="inlineStr">
        <is>
          <t>Place Condenser Coil &amp; Filter with lifting device (None)</t>
        </is>
      </c>
      <c r="BT76" s="698">
        <f>IF($BU$2&gt;=BR76,1,0)</f>
        <v/>
      </c>
      <c r="BU76" s="685" t="n"/>
    </row>
    <row r="77" ht="25" customHeight="1">
      <c r="BR77" s="698">
        <f>BR76+1</f>
        <v/>
      </c>
      <c r="BS77" s="699" t="inlineStr">
        <is>
          <t>Place Condenser Mesh with lifting device (None)</t>
        </is>
      </c>
      <c r="BT77" s="698">
        <f>IF($BU$2&gt;=BR77,1,0)</f>
        <v/>
      </c>
      <c r="BU77" s="685" t="n"/>
    </row>
    <row r="78" ht="25" customHeight="1">
      <c r="BR78" s="698">
        <f>BR77+1</f>
        <v/>
      </c>
      <c r="BS78" s="699" t="inlineStr">
        <is>
          <t>Run HVAC 20 mins. (None)</t>
        </is>
      </c>
      <c r="BT78" s="698">
        <f>IF($BU$2&gt;=BR78,1,0)</f>
        <v/>
      </c>
      <c r="BU78" s="685" t="n"/>
    </row>
    <row r="79" ht="25" customHeight="1">
      <c r="BR79" s="698">
        <f>BR78+1</f>
        <v/>
      </c>
      <c r="BS79" s="699" t="inlineStr">
        <is>
          <t>Unusual noise from HVAC Unit (None)</t>
        </is>
      </c>
      <c r="BT79" s="698">
        <f>IF($BU$2&gt;=BR79,1,0)</f>
        <v/>
      </c>
      <c r="BU79" s="685" t="n"/>
    </row>
    <row r="80" ht="25" customHeight="1">
      <c r="BR80" s="698">
        <f>BR79+1</f>
        <v/>
      </c>
      <c r="BS80" s="699" t="inlineStr">
        <is>
          <t>Tighten HVAC unit connection (Spanner)</t>
        </is>
      </c>
      <c r="BT80" s="698">
        <f>IF($BU$2&gt;=BR80,1,0)</f>
        <v/>
      </c>
      <c r="BU80" s="685" t="n"/>
    </row>
    <row r="81" ht="25" customHeight="1" thickBot="1">
      <c r="BR81" s="712">
        <f>BR80+1</f>
        <v/>
      </c>
      <c r="BS81" s="713" t="inlineStr">
        <is>
          <t>Check working (None)</t>
        </is>
      </c>
      <c r="BT81" s="712">
        <f>IF($BU$2&gt;=BR81,1,0)</f>
        <v/>
      </c>
      <c r="BU81" s="691" t="n"/>
    </row>
    <row r="82" ht="25" customHeight="1"/>
    <row r="83" ht="25" customHeight="1"/>
    <row r="84" ht="25" customHeight="1">
      <c r="BR84" s="657" t="inlineStr">
        <is>
          <t>Sr. No.</t>
        </is>
      </c>
      <c r="BS84" s="657" t="inlineStr">
        <is>
          <t>Components Affected</t>
        </is>
      </c>
      <c r="BT84" s="657" t="n"/>
      <c r="BU84" s="657" t="n"/>
    </row>
    <row r="85" ht="25" customHeight="1">
      <c r="BR85" s="3" t="n">
        <v>1</v>
      </c>
      <c r="BS85" s="666" t="inlineStr">
        <is>
          <t>Compressor</t>
        </is>
      </c>
      <c r="BT85" s="3">
        <f>IF(BT17=1,0,1)</f>
        <v/>
      </c>
      <c r="BU85" s="3" t="inlineStr">
        <is>
          <t>Open: 1, Close: 0</t>
        </is>
      </c>
    </row>
    <row r="86" ht="25" customHeight="1">
      <c r="BR86" s="3" t="n">
        <v>2</v>
      </c>
      <c r="BS86" s="666" t="inlineStr">
        <is>
          <t>Compresor Motor Heater Circuit Breaker</t>
        </is>
      </c>
      <c r="BT86" s="3" t="n"/>
      <c r="BU86" s="3" t="n"/>
    </row>
    <row r="87" ht="25" customHeight="1">
      <c r="BR87" s="3" t="n">
        <v>3</v>
      </c>
      <c r="BS87" s="666" t="inlineStr">
        <is>
          <t>Compresor Motor Heater Electrical Connections</t>
        </is>
      </c>
      <c r="BT87" s="3" t="n"/>
      <c r="BU87" s="3" t="n"/>
    </row>
    <row r="88" ht="25" customHeight="1">
      <c r="BR88" s="3" t="n">
        <v>4</v>
      </c>
      <c r="BS88" s="666" t="inlineStr">
        <is>
          <t>Compressor Bolts</t>
        </is>
      </c>
      <c r="BT88" s="3" t="n"/>
      <c r="BU88" s="3" t="n"/>
    </row>
    <row r="89" ht="25" customHeight="1">
      <c r="BR89" s="3" t="n">
        <v>5</v>
      </c>
      <c r="BS89" s="666" t="inlineStr">
        <is>
          <t>Refrigerent Level</t>
        </is>
      </c>
      <c r="BT89" s="3" t="n"/>
      <c r="BU89" s="3" t="n"/>
    </row>
    <row r="90" ht="25" customHeight="1">
      <c r="BR90" s="3" t="n">
        <v>6</v>
      </c>
      <c r="BS90" s="666" t="inlineStr">
        <is>
          <t>Condensor Fan Obstruction</t>
        </is>
      </c>
      <c r="BT90" s="3" t="n"/>
      <c r="BU90" s="3" t="n"/>
    </row>
    <row r="91" ht="25" customHeight="1">
      <c r="BR91" s="3" t="n">
        <v>7</v>
      </c>
      <c r="BS91" s="666" t="inlineStr">
        <is>
          <t>Supply Air Blower</t>
        </is>
      </c>
      <c r="BT91" s="3" t="n"/>
      <c r="BU91" s="3" t="n"/>
    </row>
    <row r="92" ht="25" customHeight="1">
      <c r="BR92" s="3" t="n">
        <v>8</v>
      </c>
      <c r="BS92" s="666" t="inlineStr">
        <is>
          <t>Filter Drier</t>
        </is>
      </c>
      <c r="BT92" s="3" t="n"/>
      <c r="BU92" s="3" t="n"/>
    </row>
    <row r="93" ht="25" customHeight="1">
      <c r="BR93" s="3" t="n">
        <v>9</v>
      </c>
      <c r="BS93" s="666" t="inlineStr">
        <is>
          <t>HVAC unit Component Bolts</t>
        </is>
      </c>
      <c r="BT93" s="3" t="n"/>
      <c r="BU93" s="3" t="n"/>
    </row>
    <row r="94" ht="25" customHeight="1" thickBot="1"/>
    <row r="95" ht="25" customHeight="1">
      <c r="BS95" s="859" t="inlineStr">
        <is>
          <t>Cause 1 &amp; Rectified</t>
        </is>
      </c>
      <c r="BT95" s="153">
        <f>IF(AND(BT22=1,$BT$4=1),1,0)</f>
        <v/>
      </c>
    </row>
    <row r="96" ht="25" customHeight="1">
      <c r="BS96" s="860" t="inlineStr">
        <is>
          <t>Cause 2 &amp; Rectified</t>
        </is>
      </c>
      <c r="BT96" s="215">
        <f>IF(AND(BT37=1,$BT$4=2),1,0)</f>
        <v/>
      </c>
    </row>
    <row r="97" ht="25" customHeight="1">
      <c r="BS97" s="860" t="inlineStr">
        <is>
          <t>Cause 3 &amp; Rectified</t>
        </is>
      </c>
      <c r="BT97" s="215">
        <f>IF(AND(BT37=1,$BT$4=3),1,0)</f>
        <v/>
      </c>
    </row>
    <row r="98" ht="25" customHeight="1">
      <c r="BS98" s="860" t="inlineStr">
        <is>
          <t>Cause 4 &amp; Rectified</t>
        </is>
      </c>
      <c r="BT98" s="215">
        <f>IF(AND(BT77=1,$BT$4=4),1,0)</f>
        <v/>
      </c>
    </row>
    <row r="99" ht="25" customHeight="1">
      <c r="BS99" s="860" t="inlineStr">
        <is>
          <t>Cause 5 &amp; Rectified</t>
        </is>
      </c>
      <c r="BT99" s="215">
        <f>IF(AND(BT67=1,$BT$4=5),1,0)</f>
        <v/>
      </c>
    </row>
    <row r="100" ht="25" customHeight="1">
      <c r="BS100" s="860" t="inlineStr">
        <is>
          <t>Cause 6 &amp; Rectified</t>
        </is>
      </c>
      <c r="BT100" s="215">
        <f>IF(AND(BT65=1,$BT$4=6),1,0)</f>
        <v/>
      </c>
    </row>
    <row r="101" ht="25" customHeight="1">
      <c r="BS101" s="860" t="inlineStr">
        <is>
          <t>Cause 7 &amp; Rectified</t>
        </is>
      </c>
      <c r="BT101" s="215">
        <f>IF(AND(BT65=1,$BT$4=7),1,0)</f>
        <v/>
      </c>
    </row>
    <row r="102" ht="25" customHeight="1">
      <c r="BS102" s="860" t="inlineStr">
        <is>
          <t>Cause 8 &amp; Rectified</t>
        </is>
      </c>
      <c r="BT102" s="215">
        <f>IF(AND(BT75=1,$BT$4=8),1,0)</f>
        <v/>
      </c>
    </row>
    <row r="103" ht="25" customHeight="1" thickBot="1">
      <c r="BS103" s="860" t="inlineStr">
        <is>
          <t>Cause 9 &amp; Rectified</t>
        </is>
      </c>
      <c r="BT103" s="215">
        <f>IF(AND(BT81=1,$BT$4=9),1,0)</f>
        <v/>
      </c>
    </row>
    <row r="104" ht="25" customHeight="1" thickBot="1">
      <c r="BS104" s="702" t="inlineStr">
        <is>
          <t>Fault Reset Logic</t>
        </is>
      </c>
      <c r="BT104" s="703">
        <f>IF(OR(BT95:BT103),1,0)</f>
        <v/>
      </c>
    </row>
    <row r="105" ht="25" customHeight="1"/>
  </sheetData>
  <mergeCells count="14">
    <mergeCell ref="AI1:AL1"/>
    <mergeCell ref="BH1:BK1"/>
    <mergeCell ref="BC1:BF1"/>
    <mergeCell ref="BR1:BU1"/>
    <mergeCell ref="O1:R1"/>
    <mergeCell ref="AS1:AV1"/>
    <mergeCell ref="AX1:BA1"/>
    <mergeCell ref="E1:H1"/>
    <mergeCell ref="AN1:AQ1"/>
    <mergeCell ref="AD1:AG1"/>
    <mergeCell ref="J1:M1"/>
    <mergeCell ref="Y1:AB1"/>
    <mergeCell ref="BM1:BP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Lapalikar</dc:creator>
  <dcterms:created xsi:type="dcterms:W3CDTF">2026-04-07T11:29:31Z</dcterms:created>
  <dcterms:modified xsi:type="dcterms:W3CDTF">2026-10-21T05:58:47Z</dcterms:modified>
  <cp:lastModifiedBy>Neil Lapalikar</cp:lastModifiedBy>
</cp:coreProperties>
</file>